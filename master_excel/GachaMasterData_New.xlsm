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140" tabRatio="943" activeTab="2"/>
  </bookViews>
  <sheets>
    <sheet name="output" sheetId="58" r:id="rId1"/>
    <sheet name="gachas" sheetId="26" r:id="rId2"/>
    <sheet name="gacha_elements" sheetId="51" r:id="rId3"/>
    <sheet name="gacha_patterns" sheetId="59" r:id="rId4"/>
    <sheet name="gacha_schedules" sheetId="24" r:id="rId5"/>
    <sheet name="banners_tips" sheetId="60" r:id="rId6"/>
    <sheet name="gacha_types" sheetId="27" r:id="rId7"/>
    <sheet name="gacha_rarity_bump" sheetId="37" r:id="rId8"/>
    <sheet name="gacha_groups" sheetId="53" r:id="rId9"/>
  </sheets>
  <definedNames>
    <definedName name="_xlnm._FilterDatabase" localSheetId="2" hidden="1">gacha_elements!$C$5219:$C$5228</definedName>
    <definedName name="_xlnm._FilterDatabase" localSheetId="4" hidden="1">gacha_schedules!$A$1:$H$361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5415" i="51" l="1"/>
  <c r="I5416" i="51"/>
  <c r="I5417" i="51"/>
  <c r="I5418" i="51"/>
  <c r="I5419" i="51"/>
  <c r="I5420" i="51"/>
  <c r="I5421" i="51"/>
  <c r="I5422" i="51"/>
  <c r="I5423" i="51"/>
  <c r="I5414" i="51"/>
  <c r="I5413" i="51"/>
  <c r="B5358" i="51"/>
  <c r="B5359" i="51"/>
  <c r="B5360" i="51"/>
  <c r="B5361" i="51"/>
  <c r="B5362" i="51"/>
  <c r="B5363" i="51"/>
  <c r="B5364" i="51"/>
  <c r="B5365" i="51"/>
  <c r="B5366" i="51"/>
  <c r="B5367" i="51"/>
  <c r="B5368" i="51"/>
  <c r="B5369" i="51"/>
  <c r="B5370" i="51"/>
  <c r="B5371" i="51"/>
  <c r="B5372" i="51"/>
  <c r="B5373" i="51"/>
  <c r="B5374" i="51"/>
  <c r="B5375" i="51"/>
  <c r="B5376" i="51"/>
  <c r="B5377" i="51"/>
  <c r="B5378" i="51"/>
  <c r="B5379" i="51"/>
  <c r="B5380" i="51"/>
  <c r="B5381" i="51"/>
  <c r="B5382" i="51"/>
  <c r="B5383" i="51"/>
  <c r="B5384" i="51"/>
  <c r="B5385" i="51"/>
  <c r="B5386" i="51"/>
  <c r="B5387" i="51"/>
  <c r="B5388" i="51"/>
  <c r="B5389" i="51"/>
  <c r="B5390" i="51"/>
  <c r="B5391" i="51"/>
  <c r="B5392" i="51"/>
  <c r="B5393" i="51"/>
  <c r="B5394" i="51"/>
  <c r="B5395" i="51"/>
  <c r="B5396" i="51"/>
  <c r="B5397" i="51"/>
  <c r="B5398" i="51"/>
  <c r="B5399" i="51"/>
  <c r="B5400" i="51"/>
  <c r="B5401" i="51"/>
  <c r="B5412" i="51"/>
  <c r="B5413" i="51"/>
  <c r="B5416" i="51"/>
  <c r="B5417" i="51"/>
  <c r="B5418" i="51"/>
  <c r="B5419" i="51"/>
  <c r="B5420" i="51"/>
  <c r="B5421" i="51"/>
  <c r="B5422" i="51"/>
  <c r="B5423" i="51"/>
  <c r="B5415" i="51"/>
  <c r="B5414" i="51"/>
  <c r="I5412" i="51"/>
  <c r="C5423" i="51"/>
  <c r="A5423" i="51"/>
  <c r="C5422" i="51"/>
  <c r="A5422" i="51"/>
  <c r="C5421" i="51"/>
  <c r="A5421" i="51"/>
  <c r="C5420" i="51"/>
  <c r="A5420" i="51"/>
  <c r="C5419" i="51"/>
  <c r="A5419" i="51"/>
  <c r="C5418" i="51"/>
  <c r="A5418" i="51"/>
  <c r="C5417" i="51"/>
  <c r="A5417" i="51"/>
  <c r="C5416" i="51"/>
  <c r="A5416" i="51"/>
  <c r="C5415" i="51"/>
  <c r="A5415" i="51"/>
  <c r="C5414" i="51"/>
  <c r="A5414" i="51"/>
  <c r="I5400" i="51"/>
  <c r="I5411" i="51"/>
  <c r="I5410" i="51"/>
  <c r="I5409" i="51"/>
  <c r="I5408" i="51"/>
  <c r="I5407" i="51"/>
  <c r="I5406" i="51"/>
  <c r="I5405" i="51"/>
  <c r="I5404" i="51"/>
  <c r="I5403" i="51"/>
  <c r="I5402" i="51"/>
  <c r="I5401" i="51"/>
  <c r="B5403" i="51"/>
  <c r="C5403" i="51"/>
  <c r="B5404" i="51"/>
  <c r="C5404" i="51"/>
  <c r="B5405" i="51"/>
  <c r="C5405" i="51"/>
  <c r="B5406" i="51"/>
  <c r="C5406" i="51"/>
  <c r="B5407" i="51"/>
  <c r="C5407" i="51"/>
  <c r="B5408" i="51"/>
  <c r="C5408" i="51"/>
  <c r="B5409" i="51"/>
  <c r="C5409" i="51"/>
  <c r="B5410" i="51"/>
  <c r="C5410" i="51"/>
  <c r="B5411" i="51"/>
  <c r="C5411" i="51"/>
  <c r="B5402" i="51"/>
  <c r="C5402" i="51"/>
  <c r="A5403" i="51"/>
  <c r="A5404" i="51"/>
  <c r="A5405" i="51"/>
  <c r="A5406" i="51"/>
  <c r="A5407" i="51"/>
  <c r="A5408" i="51"/>
  <c r="A5409" i="51"/>
  <c r="A5410" i="51"/>
  <c r="A5411" i="51"/>
  <c r="A5402" i="51"/>
  <c r="O418" i="26"/>
  <c r="C5413" i="51"/>
  <c r="A5413" i="51"/>
  <c r="C5412" i="51"/>
  <c r="A5412" i="51"/>
  <c r="C5401" i="51"/>
  <c r="A5401" i="51"/>
  <c r="C5400" i="51"/>
  <c r="A5400" i="51"/>
  <c r="C522" i="24"/>
  <c r="C523" i="24"/>
  <c r="D523" i="24"/>
  <c r="B522" i="24"/>
  <c r="B523" i="24"/>
  <c r="A523" i="24"/>
  <c r="D522" i="24"/>
  <c r="A522" i="24"/>
  <c r="C493" i="24"/>
  <c r="C494" i="24"/>
  <c r="C495" i="24"/>
  <c r="C496" i="24"/>
  <c r="C497" i="24"/>
  <c r="C498" i="24"/>
  <c r="C499" i="24"/>
  <c r="C500" i="24"/>
  <c r="C501" i="24"/>
  <c r="C502" i="24"/>
  <c r="C503" i="24"/>
  <c r="C504" i="24"/>
  <c r="C505" i="24"/>
  <c r="C506" i="24"/>
  <c r="C507" i="24"/>
  <c r="C508" i="24"/>
  <c r="C509" i="24"/>
  <c r="C510" i="24"/>
  <c r="C511" i="24"/>
  <c r="C512" i="24"/>
  <c r="C513" i="24"/>
  <c r="C514" i="24"/>
  <c r="C515" i="24"/>
  <c r="C516" i="24"/>
  <c r="C517" i="24"/>
  <c r="C518" i="24"/>
  <c r="C519" i="24"/>
  <c r="C520" i="24"/>
  <c r="C521" i="24"/>
  <c r="D521" i="24"/>
  <c r="B493" i="24"/>
  <c r="B494" i="24"/>
  <c r="B495" i="24"/>
  <c r="B496" i="24"/>
  <c r="B497" i="24"/>
  <c r="B498" i="24"/>
  <c r="B499" i="24"/>
  <c r="B500" i="24"/>
  <c r="B501" i="24"/>
  <c r="B502" i="24"/>
  <c r="B503" i="24"/>
  <c r="B504" i="24"/>
  <c r="B505" i="24"/>
  <c r="B506" i="24"/>
  <c r="B507" i="24"/>
  <c r="B508" i="24"/>
  <c r="B509" i="24"/>
  <c r="B510" i="24"/>
  <c r="B511" i="24"/>
  <c r="B512" i="24"/>
  <c r="B513" i="24"/>
  <c r="B514" i="24"/>
  <c r="B515" i="24"/>
  <c r="B516" i="24"/>
  <c r="B517" i="24"/>
  <c r="B518" i="24"/>
  <c r="B519" i="24"/>
  <c r="B520" i="24"/>
  <c r="B521" i="24"/>
  <c r="A521" i="24"/>
  <c r="D520" i="24"/>
  <c r="A520" i="24"/>
  <c r="C39" i="24"/>
  <c r="C40" i="24"/>
  <c r="C41" i="24"/>
  <c r="C42" i="24"/>
  <c r="D2" i="24"/>
  <c r="D3" i="24"/>
  <c r="D4" i="24"/>
  <c r="D5" i="24"/>
  <c r="D6" i="24"/>
  <c r="D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4" i="24"/>
  <c r="D25" i="24"/>
  <c r="D26" i="24"/>
  <c r="D27" i="24"/>
  <c r="D28" i="24"/>
  <c r="D29" i="24"/>
  <c r="D30" i="24"/>
  <c r="D31" i="24"/>
  <c r="D32" i="24"/>
  <c r="D33" i="24"/>
  <c r="D34" i="24"/>
  <c r="D35" i="24"/>
  <c r="D36" i="24"/>
  <c r="D37" i="24"/>
  <c r="D38" i="24"/>
  <c r="D39" i="24"/>
  <c r="D40" i="24"/>
  <c r="D41" i="24"/>
  <c r="D42" i="24"/>
  <c r="C43" i="24"/>
  <c r="D43" i="24"/>
  <c r="C44" i="24"/>
  <c r="D44" i="24"/>
  <c r="C45" i="24"/>
  <c r="D45" i="24"/>
  <c r="C46" i="24"/>
  <c r="D46" i="24"/>
  <c r="C47" i="24"/>
  <c r="D47" i="24"/>
  <c r="C48" i="24"/>
  <c r="D48" i="24"/>
  <c r="C49" i="24"/>
  <c r="D49" i="24"/>
  <c r="C50" i="24"/>
  <c r="D50" i="24"/>
  <c r="C51" i="24"/>
  <c r="D51" i="24"/>
  <c r="C52" i="24"/>
  <c r="D52" i="24"/>
  <c r="C53" i="24"/>
  <c r="D53" i="24"/>
  <c r="C54" i="24"/>
  <c r="D54" i="24"/>
  <c r="C55" i="24"/>
  <c r="D55" i="24"/>
  <c r="C56" i="24"/>
  <c r="D56" i="24"/>
  <c r="C57" i="24"/>
  <c r="D57" i="24"/>
  <c r="C58" i="24"/>
  <c r="D58" i="24"/>
  <c r="C59" i="24"/>
  <c r="D59" i="24"/>
  <c r="C60" i="24"/>
  <c r="D60" i="24"/>
  <c r="C61" i="24"/>
  <c r="D61" i="24"/>
  <c r="C62" i="24"/>
  <c r="D62" i="24"/>
  <c r="C63" i="24"/>
  <c r="D63" i="24"/>
  <c r="C64" i="24"/>
  <c r="D64" i="24"/>
  <c r="C65" i="24"/>
  <c r="D65" i="24"/>
  <c r="C66" i="24"/>
  <c r="D66" i="24"/>
  <c r="C67" i="24"/>
  <c r="D67" i="24"/>
  <c r="D68" i="24"/>
  <c r="D69" i="24"/>
  <c r="D70" i="24"/>
  <c r="D71" i="24"/>
  <c r="C72" i="24"/>
  <c r="D72" i="24"/>
  <c r="C73" i="24"/>
  <c r="D73" i="24"/>
  <c r="C74" i="24"/>
  <c r="D74" i="24"/>
  <c r="C75" i="24"/>
  <c r="D75" i="24"/>
  <c r="C76" i="24"/>
  <c r="D76" i="24"/>
  <c r="C77" i="24"/>
  <c r="D77" i="24"/>
  <c r="D78" i="24"/>
  <c r="C79" i="24"/>
  <c r="D79" i="24"/>
  <c r="C80" i="24"/>
  <c r="D80" i="24"/>
  <c r="C81" i="24"/>
  <c r="D81" i="24"/>
  <c r="C82" i="24"/>
  <c r="D82" i="24"/>
  <c r="C83" i="24"/>
  <c r="D83" i="24"/>
  <c r="C84" i="24"/>
  <c r="D84" i="24"/>
  <c r="C85" i="24"/>
  <c r="D85" i="24"/>
  <c r="C86" i="24"/>
  <c r="D86" i="24"/>
  <c r="C87" i="24"/>
  <c r="D87" i="24"/>
  <c r="C88" i="24"/>
  <c r="D88" i="24"/>
  <c r="C89" i="24"/>
  <c r="D89" i="24"/>
  <c r="C90" i="24"/>
  <c r="D90" i="24"/>
  <c r="C91" i="24"/>
  <c r="D91" i="24"/>
  <c r="C92" i="24"/>
  <c r="D92" i="24"/>
  <c r="C93" i="24"/>
  <c r="D93" i="24"/>
  <c r="C94" i="24"/>
  <c r="D94" i="24"/>
  <c r="C95" i="24"/>
  <c r="D95" i="24"/>
  <c r="C96" i="24"/>
  <c r="D96" i="24"/>
  <c r="C97" i="24"/>
  <c r="D97" i="24"/>
  <c r="C98" i="24"/>
  <c r="D98" i="24"/>
  <c r="C99" i="24"/>
  <c r="D99" i="24"/>
  <c r="C100" i="24"/>
  <c r="D100" i="24"/>
  <c r="C101" i="24"/>
  <c r="D101" i="24"/>
  <c r="C102" i="24"/>
  <c r="D102" i="24"/>
  <c r="C103" i="24"/>
  <c r="D103" i="24"/>
  <c r="C104" i="24"/>
  <c r="D104" i="24"/>
  <c r="C105" i="24"/>
  <c r="D105" i="24"/>
  <c r="C106" i="24"/>
  <c r="D106" i="24"/>
  <c r="C107" i="24"/>
  <c r="D107" i="24"/>
  <c r="D108" i="24"/>
  <c r="C109" i="24"/>
  <c r="D109" i="24"/>
  <c r="C110" i="24"/>
  <c r="D110" i="24"/>
  <c r="C111" i="24"/>
  <c r="D111" i="24"/>
  <c r="C112" i="24"/>
  <c r="D112" i="24"/>
  <c r="C113" i="24"/>
  <c r="D113" i="24"/>
  <c r="C114" i="24"/>
  <c r="D114" i="24"/>
  <c r="C115" i="24"/>
  <c r="D115" i="24"/>
  <c r="C116" i="24"/>
  <c r="D116" i="24"/>
  <c r="C117" i="24"/>
  <c r="D117" i="24"/>
  <c r="C118" i="24"/>
  <c r="D118" i="24"/>
  <c r="C119" i="24"/>
  <c r="D119" i="24"/>
  <c r="C120" i="24"/>
  <c r="D120" i="24"/>
  <c r="C121" i="24"/>
  <c r="D121" i="24"/>
  <c r="C122" i="24"/>
  <c r="D122" i="24"/>
  <c r="C123" i="24"/>
  <c r="D123" i="24"/>
  <c r="C124" i="24"/>
  <c r="D124" i="24"/>
  <c r="C125" i="24"/>
  <c r="D125" i="24"/>
  <c r="C126" i="24"/>
  <c r="D126" i="24"/>
  <c r="C127" i="24"/>
  <c r="D127" i="24"/>
  <c r="C128" i="24"/>
  <c r="D128" i="24"/>
  <c r="C129" i="24"/>
  <c r="D129" i="24"/>
  <c r="C130" i="24"/>
  <c r="D130" i="24"/>
  <c r="C131" i="24"/>
  <c r="D131" i="24"/>
  <c r="C132" i="24"/>
  <c r="D132" i="24"/>
  <c r="C133" i="24"/>
  <c r="D133" i="24"/>
  <c r="C134" i="24"/>
  <c r="D134" i="24"/>
  <c r="D135" i="24"/>
  <c r="D136" i="24"/>
  <c r="D137" i="24"/>
  <c r="D138" i="24"/>
  <c r="D139" i="24"/>
  <c r="D140" i="24"/>
  <c r="D141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D142" i="24"/>
  <c r="D143" i="24"/>
  <c r="D144" i="24"/>
  <c r="D145" i="24"/>
  <c r="D146" i="24"/>
  <c r="D147" i="24"/>
  <c r="D148" i="24"/>
  <c r="D149" i="24"/>
  <c r="D150" i="24"/>
  <c r="D151" i="24"/>
  <c r="D152" i="24"/>
  <c r="D153" i="24"/>
  <c r="D154" i="24"/>
  <c r="D155" i="24"/>
  <c r="D156" i="24"/>
  <c r="D157" i="24"/>
  <c r="D158" i="24"/>
  <c r="D159" i="24"/>
  <c r="D160" i="24"/>
  <c r="D161" i="24"/>
  <c r="D162" i="24"/>
  <c r="D163" i="24"/>
  <c r="D164" i="24"/>
  <c r="D165" i="24"/>
  <c r="D166" i="24"/>
  <c r="D167" i="24"/>
  <c r="D168" i="24"/>
  <c r="D169" i="24"/>
  <c r="D170" i="24"/>
  <c r="D171" i="24"/>
  <c r="D172" i="24"/>
  <c r="D173" i="24"/>
  <c r="D174" i="24"/>
  <c r="D175" i="24"/>
  <c r="D176" i="24"/>
  <c r="D177" i="24"/>
  <c r="D178" i="24"/>
  <c r="D179" i="24"/>
  <c r="D180" i="24"/>
  <c r="D181" i="24"/>
  <c r="D182" i="24"/>
  <c r="D183" i="24"/>
  <c r="D184" i="24"/>
  <c r="D185" i="24"/>
  <c r="D186" i="24"/>
  <c r="D187" i="24"/>
  <c r="D188" i="24"/>
  <c r="D189" i="24"/>
  <c r="D190" i="24"/>
  <c r="D191" i="24"/>
  <c r="D192" i="24"/>
  <c r="D193" i="24"/>
  <c r="D194" i="24"/>
  <c r="D195" i="24"/>
  <c r="D196" i="24"/>
  <c r="D197" i="24"/>
  <c r="D198" i="24"/>
  <c r="D199" i="24"/>
  <c r="D200" i="24"/>
  <c r="D201" i="24"/>
  <c r="D202" i="24"/>
  <c r="D203" i="24"/>
  <c r="D204" i="24"/>
  <c r="D205" i="24"/>
  <c r="D206" i="24"/>
  <c r="D207" i="24"/>
  <c r="D208" i="24"/>
  <c r="D209" i="24"/>
  <c r="D210" i="24"/>
  <c r="D211" i="24"/>
  <c r="D212" i="24"/>
  <c r="D213" i="24"/>
  <c r="D214" i="24"/>
  <c r="D215" i="24"/>
  <c r="D216" i="24"/>
  <c r="D217" i="24"/>
  <c r="D218" i="24"/>
  <c r="D219" i="24"/>
  <c r="D220" i="24"/>
  <c r="D221" i="24"/>
  <c r="D222" i="24"/>
  <c r="D223" i="24"/>
  <c r="D224" i="24"/>
  <c r="D225" i="24"/>
  <c r="D226" i="24"/>
  <c r="D227" i="24"/>
  <c r="D228" i="24"/>
  <c r="D229" i="24"/>
  <c r="D230" i="24"/>
  <c r="D231" i="24"/>
  <c r="D232" i="24"/>
  <c r="D233" i="24"/>
  <c r="D234" i="24"/>
  <c r="D235" i="24"/>
  <c r="D242" i="24"/>
  <c r="D243" i="24"/>
  <c r="D244" i="24"/>
  <c r="D245" i="24"/>
  <c r="D246" i="24"/>
  <c r="D247" i="24"/>
  <c r="D248" i="24"/>
  <c r="D249" i="24"/>
  <c r="D250" i="24"/>
  <c r="D251" i="24"/>
  <c r="D252" i="24"/>
  <c r="D253" i="24"/>
  <c r="D254" i="24"/>
  <c r="D255" i="24"/>
  <c r="D256" i="24"/>
  <c r="D257" i="24"/>
  <c r="D258" i="24"/>
  <c r="D259" i="24"/>
  <c r="D260" i="24"/>
  <c r="D261" i="24"/>
  <c r="D262" i="24"/>
  <c r="D263" i="24"/>
  <c r="D264" i="24"/>
  <c r="D265" i="24"/>
  <c r="D266" i="24"/>
  <c r="D267" i="24"/>
  <c r="D268" i="24"/>
  <c r="D269" i="24"/>
  <c r="D270" i="24"/>
  <c r="D271" i="24"/>
  <c r="D272" i="24"/>
  <c r="D273" i="24"/>
  <c r="D274" i="24"/>
  <c r="D275" i="24"/>
  <c r="D276" i="24"/>
  <c r="D277" i="24"/>
  <c r="D278" i="24"/>
  <c r="D279" i="24"/>
  <c r="D280" i="24"/>
  <c r="D281" i="24"/>
  <c r="D282" i="24"/>
  <c r="D283" i="24"/>
  <c r="D284" i="24"/>
  <c r="D285" i="24"/>
  <c r="D286" i="24"/>
  <c r="D287" i="24"/>
  <c r="D288" i="24"/>
  <c r="D289" i="24"/>
  <c r="D290" i="24"/>
  <c r="D291" i="24"/>
  <c r="D292" i="24"/>
  <c r="D293" i="24"/>
  <c r="D294" i="24"/>
  <c r="D295" i="24"/>
  <c r="D296" i="24"/>
  <c r="D297" i="24"/>
  <c r="D298" i="24"/>
  <c r="D299" i="24"/>
  <c r="D300" i="24"/>
  <c r="D301" i="24"/>
  <c r="D302" i="24"/>
  <c r="D303" i="24"/>
  <c r="D304" i="24"/>
  <c r="D305" i="24"/>
  <c r="D306" i="24"/>
  <c r="D307" i="24"/>
  <c r="D308" i="24"/>
  <c r="D309" i="24"/>
  <c r="D310" i="24"/>
  <c r="D311" i="24"/>
  <c r="D312" i="24"/>
  <c r="D313" i="24"/>
  <c r="D314" i="24"/>
  <c r="D315" i="24"/>
  <c r="D316" i="24"/>
  <c r="D317" i="24"/>
  <c r="D318" i="24"/>
  <c r="D319" i="24"/>
  <c r="D320" i="24"/>
  <c r="D321" i="24"/>
  <c r="D322" i="24"/>
  <c r="D323" i="24"/>
  <c r="D324" i="24"/>
  <c r="D325" i="24"/>
  <c r="D326" i="24"/>
  <c r="D327" i="24"/>
  <c r="D328" i="24"/>
  <c r="D329" i="24"/>
  <c r="D330" i="24"/>
  <c r="D331" i="24"/>
  <c r="D332" i="24"/>
  <c r="D333" i="24"/>
  <c r="D334" i="24"/>
  <c r="D335" i="24"/>
  <c r="D336" i="24"/>
  <c r="D337" i="24"/>
  <c r="D338" i="24"/>
  <c r="D339" i="24"/>
  <c r="D340" i="24"/>
  <c r="D341" i="24"/>
  <c r="D342" i="24"/>
  <c r="D343" i="24"/>
  <c r="D344" i="24"/>
  <c r="D345" i="24"/>
  <c r="D346" i="24"/>
  <c r="D347" i="24"/>
  <c r="D348" i="24"/>
  <c r="D349" i="24"/>
  <c r="D350" i="24"/>
  <c r="D351" i="24"/>
  <c r="D352" i="24"/>
  <c r="D353" i="24"/>
  <c r="D354" i="24"/>
  <c r="D355" i="24"/>
  <c r="D356" i="24"/>
  <c r="D357" i="24"/>
  <c r="D358" i="24"/>
  <c r="D359" i="24"/>
  <c r="D360" i="24"/>
  <c r="D361" i="24"/>
  <c r="D362" i="24"/>
  <c r="D363" i="24"/>
  <c r="D364" i="24"/>
  <c r="D365" i="24"/>
  <c r="D366" i="24"/>
  <c r="D367" i="24"/>
  <c r="D368" i="24"/>
  <c r="D369" i="24"/>
  <c r="D370" i="24"/>
  <c r="D371" i="24"/>
  <c r="D372" i="24"/>
  <c r="D373" i="24"/>
  <c r="D374" i="24"/>
  <c r="D375" i="24"/>
  <c r="D376" i="24"/>
  <c r="D377" i="24"/>
  <c r="D378" i="24"/>
  <c r="D379" i="24"/>
  <c r="D380" i="24"/>
  <c r="D381" i="24"/>
  <c r="D382" i="24"/>
  <c r="D383" i="24"/>
  <c r="D384" i="24"/>
  <c r="D385" i="24"/>
  <c r="D386" i="24"/>
  <c r="D387" i="24"/>
  <c r="D388" i="24"/>
  <c r="D389" i="24"/>
  <c r="D390" i="24"/>
  <c r="D391" i="24"/>
  <c r="D392" i="24"/>
  <c r="D393" i="24"/>
  <c r="D394" i="24"/>
  <c r="D395" i="24"/>
  <c r="D396" i="24"/>
  <c r="D397" i="24"/>
  <c r="D398" i="24"/>
  <c r="D399" i="24"/>
  <c r="D400" i="24"/>
  <c r="D401" i="24"/>
  <c r="D402" i="24"/>
  <c r="C403" i="24"/>
  <c r="D403" i="24"/>
  <c r="C404" i="24"/>
  <c r="D404" i="24"/>
  <c r="C405" i="24"/>
  <c r="D405" i="24"/>
  <c r="C406" i="24"/>
  <c r="D406" i="24"/>
  <c r="C407" i="24"/>
  <c r="D407" i="24"/>
  <c r="C408" i="24"/>
  <c r="D408" i="24"/>
  <c r="C409" i="24"/>
  <c r="D409" i="24"/>
  <c r="C410" i="24"/>
  <c r="D410" i="24"/>
  <c r="D411" i="24"/>
  <c r="D412" i="24"/>
  <c r="D413" i="24"/>
  <c r="D414" i="24"/>
  <c r="D415" i="24"/>
  <c r="D416" i="24"/>
  <c r="D417" i="24"/>
  <c r="D418" i="24"/>
  <c r="C419" i="24"/>
  <c r="D419" i="24"/>
  <c r="C420" i="24"/>
  <c r="D420" i="24"/>
  <c r="C421" i="24"/>
  <c r="D421" i="24"/>
  <c r="C422" i="24"/>
  <c r="D422" i="24"/>
  <c r="C423" i="24"/>
  <c r="D423" i="24"/>
  <c r="C424" i="24"/>
  <c r="D424" i="24"/>
  <c r="C425" i="24"/>
  <c r="D425" i="24"/>
  <c r="C426" i="24"/>
  <c r="D426" i="24"/>
  <c r="C427" i="24"/>
  <c r="D427" i="24"/>
  <c r="C428" i="24"/>
  <c r="D428" i="24"/>
  <c r="C429" i="24"/>
  <c r="D429" i="24"/>
  <c r="C430" i="24"/>
  <c r="D430" i="24"/>
  <c r="C431" i="24"/>
  <c r="D431" i="24"/>
  <c r="C432" i="24"/>
  <c r="D432" i="24"/>
  <c r="C433" i="24"/>
  <c r="D433" i="24"/>
  <c r="C434" i="24"/>
  <c r="D434" i="24"/>
  <c r="C435" i="24"/>
  <c r="D435" i="24"/>
  <c r="D436" i="24"/>
  <c r="D437" i="24"/>
  <c r="D438" i="24"/>
  <c r="D439" i="24"/>
  <c r="D440" i="24"/>
  <c r="D441" i="24"/>
  <c r="D442" i="24"/>
  <c r="C443" i="24"/>
  <c r="D443" i="24"/>
  <c r="C444" i="24"/>
  <c r="D444" i="24"/>
  <c r="C445" i="24"/>
  <c r="D445" i="24"/>
  <c r="C446" i="24"/>
  <c r="D446" i="24"/>
  <c r="C447" i="24"/>
  <c r="D447" i="24"/>
  <c r="C448" i="24"/>
  <c r="D448" i="24"/>
  <c r="C449" i="24"/>
  <c r="D449" i="24"/>
  <c r="C450" i="24"/>
  <c r="D450" i="24"/>
  <c r="C451" i="24"/>
  <c r="D451" i="24"/>
  <c r="C452" i="24"/>
  <c r="D452" i="24"/>
  <c r="C453" i="24"/>
  <c r="D453" i="24"/>
  <c r="C454" i="24"/>
  <c r="D454" i="24"/>
  <c r="C455" i="24"/>
  <c r="D455" i="24"/>
  <c r="C456" i="24"/>
  <c r="D456" i="24"/>
  <c r="C457" i="24"/>
  <c r="D457" i="24"/>
  <c r="C458" i="24"/>
  <c r="D458" i="24"/>
  <c r="C459" i="24"/>
  <c r="D459" i="24"/>
  <c r="C460" i="24"/>
  <c r="D460" i="24"/>
  <c r="D461" i="24"/>
  <c r="D462" i="24"/>
  <c r="D463" i="24"/>
  <c r="D464" i="24"/>
  <c r="D465" i="24"/>
  <c r="D466" i="24"/>
  <c r="D467" i="24"/>
  <c r="D468" i="24"/>
  <c r="D469" i="24"/>
  <c r="D470" i="24"/>
  <c r="D471" i="24"/>
  <c r="D472" i="24"/>
  <c r="D473" i="24"/>
  <c r="D474" i="24"/>
  <c r="D475" i="24"/>
  <c r="D476" i="24"/>
  <c r="D477" i="24"/>
  <c r="D478" i="24"/>
  <c r="D479" i="24"/>
  <c r="D480" i="24"/>
  <c r="D481" i="24"/>
  <c r="D482" i="24"/>
  <c r="D483" i="24"/>
  <c r="D484" i="24"/>
  <c r="D485" i="24"/>
  <c r="D486" i="24"/>
  <c r="D487" i="24"/>
  <c r="D488" i="24"/>
  <c r="D489" i="24"/>
  <c r="D490" i="24"/>
  <c r="D491" i="24"/>
  <c r="D492" i="24"/>
  <c r="D493" i="24"/>
  <c r="D494" i="24"/>
  <c r="D495" i="24"/>
  <c r="D496" i="24"/>
  <c r="D497" i="24"/>
  <c r="D498" i="24"/>
  <c r="D499" i="24"/>
  <c r="D500" i="24"/>
  <c r="D501" i="24"/>
  <c r="D502" i="24"/>
  <c r="D503" i="24"/>
  <c r="D504" i="24"/>
  <c r="D505" i="24"/>
  <c r="D506" i="24"/>
  <c r="D507" i="24"/>
  <c r="D508" i="24"/>
  <c r="D509" i="24"/>
  <c r="D510" i="24"/>
  <c r="D511" i="24"/>
  <c r="D512" i="24"/>
  <c r="D513" i="24"/>
  <c r="D514" i="24"/>
  <c r="D515" i="24"/>
  <c r="D516" i="24"/>
  <c r="D517" i="24"/>
  <c r="D518" i="24"/>
  <c r="D519" i="24"/>
  <c r="D524" i="24"/>
  <c r="D525" i="24"/>
  <c r="D526" i="24"/>
  <c r="D527" i="24"/>
  <c r="D528" i="24"/>
  <c r="D529" i="24"/>
  <c r="D530" i="24"/>
  <c r="D531" i="24"/>
  <c r="D532" i="24"/>
  <c r="D533" i="24"/>
  <c r="D534" i="24"/>
  <c r="D535" i="24"/>
  <c r="D536" i="24"/>
  <c r="D537" i="24"/>
  <c r="D538" i="24"/>
  <c r="D539" i="24"/>
  <c r="D540" i="24"/>
  <c r="D541" i="24"/>
  <c r="D542" i="24"/>
  <c r="D543" i="24"/>
  <c r="D544" i="24"/>
  <c r="D545" i="24"/>
  <c r="D546" i="24"/>
  <c r="D547" i="24"/>
  <c r="D548" i="24"/>
  <c r="D549" i="24"/>
  <c r="D550" i="24"/>
  <c r="D551" i="24"/>
  <c r="D552" i="24"/>
  <c r="D553" i="24"/>
  <c r="D554" i="24"/>
  <c r="D555" i="24"/>
  <c r="D556" i="24"/>
  <c r="D557" i="24"/>
  <c r="D558" i="24"/>
  <c r="D559" i="24"/>
  <c r="D560" i="24"/>
  <c r="D561" i="24"/>
  <c r="D562" i="24"/>
  <c r="D563" i="24"/>
  <c r="D564" i="24"/>
  <c r="D565" i="24"/>
  <c r="D566" i="24"/>
  <c r="D567" i="24"/>
  <c r="D568" i="24"/>
  <c r="D569" i="24"/>
  <c r="D570" i="24"/>
  <c r="D571" i="24"/>
  <c r="D572" i="24"/>
  <c r="D573" i="24"/>
  <c r="D574" i="24"/>
  <c r="D575" i="24"/>
  <c r="D576" i="24"/>
  <c r="D577" i="24"/>
  <c r="D578" i="24"/>
  <c r="D579" i="24"/>
  <c r="D580" i="24"/>
  <c r="D581" i="24"/>
  <c r="D582" i="24"/>
  <c r="D583" i="24"/>
  <c r="D584" i="24"/>
  <c r="D585" i="24"/>
  <c r="D586" i="24"/>
  <c r="D587" i="24"/>
  <c r="D588" i="24"/>
  <c r="D589" i="24"/>
  <c r="D590" i="24"/>
  <c r="D591" i="24"/>
  <c r="D592" i="24"/>
  <c r="D593" i="24"/>
  <c r="D594" i="24"/>
  <c r="D595" i="24"/>
  <c r="D596" i="24"/>
  <c r="D597" i="24"/>
  <c r="D598" i="24"/>
  <c r="D599" i="24"/>
  <c r="O577" i="26"/>
  <c r="Q577" i="26"/>
  <c r="O576" i="26"/>
  <c r="Q576" i="26"/>
  <c r="O575" i="26"/>
  <c r="Q575" i="26"/>
  <c r="O574" i="26"/>
  <c r="Q574" i="26"/>
  <c r="A576" i="26"/>
  <c r="A577" i="26"/>
  <c r="J577" i="26"/>
  <c r="H577" i="26"/>
  <c r="G577" i="26"/>
  <c r="F577" i="26"/>
  <c r="E577" i="26"/>
  <c r="J576" i="26"/>
  <c r="H576" i="26"/>
  <c r="G576" i="26"/>
  <c r="F576" i="26"/>
  <c r="E576" i="26"/>
  <c r="A574" i="26"/>
  <c r="A575" i="26"/>
  <c r="J575" i="26"/>
  <c r="H575" i="26"/>
  <c r="G575" i="26"/>
  <c r="F575" i="26"/>
  <c r="E575" i="26"/>
  <c r="J574" i="26"/>
  <c r="H574" i="26"/>
  <c r="G574" i="26"/>
  <c r="F574" i="26"/>
  <c r="E574" i="26"/>
  <c r="C5399" i="51"/>
  <c r="A5399" i="51"/>
  <c r="C5398" i="51"/>
  <c r="A5398" i="51"/>
  <c r="O573" i="26"/>
  <c r="O572" i="26"/>
  <c r="Q573" i="26"/>
  <c r="Q572" i="26"/>
  <c r="A519" i="24"/>
  <c r="A518" i="24"/>
  <c r="A572" i="26"/>
  <c r="A573" i="26"/>
  <c r="J573" i="26"/>
  <c r="H573" i="26"/>
  <c r="G573" i="26"/>
  <c r="F573" i="26"/>
  <c r="E573" i="26"/>
  <c r="J572" i="26"/>
  <c r="H572" i="26"/>
  <c r="G572" i="26"/>
  <c r="F572" i="26"/>
  <c r="E572" i="26"/>
  <c r="K5088" i="51"/>
  <c r="I5088" i="51"/>
  <c r="E5039" i="51"/>
  <c r="E5040" i="51"/>
  <c r="E5041" i="51"/>
  <c r="E5042" i="51"/>
  <c r="E5043" i="51"/>
  <c r="E5044" i="51"/>
  <c r="E5045" i="51"/>
  <c r="E5046" i="51"/>
  <c r="E5047" i="51"/>
  <c r="E5048" i="51"/>
  <c r="E5049" i="51"/>
  <c r="E5050" i="51"/>
  <c r="E5051" i="51"/>
  <c r="E5052" i="51"/>
  <c r="E5053" i="51"/>
  <c r="E5054" i="51"/>
  <c r="E5055" i="51"/>
  <c r="E5056" i="51"/>
  <c r="E5057" i="51"/>
  <c r="E5058" i="51"/>
  <c r="E5059" i="51"/>
  <c r="E5060" i="51"/>
  <c r="E5061" i="51"/>
  <c r="E5062" i="51"/>
  <c r="E5063" i="51"/>
  <c r="E5064" i="51"/>
  <c r="E5065" i="51"/>
  <c r="E5066" i="51"/>
  <c r="E5067" i="51"/>
  <c r="E5068" i="51"/>
  <c r="E5069" i="51"/>
  <c r="E5070" i="51"/>
  <c r="E5071" i="51"/>
  <c r="E5072" i="51"/>
  <c r="E5073" i="51"/>
  <c r="E5074" i="51"/>
  <c r="E5075" i="51"/>
  <c r="E5076" i="51"/>
  <c r="E5077" i="51"/>
  <c r="E5078" i="51"/>
  <c r="E5079" i="51"/>
  <c r="E5080" i="51"/>
  <c r="E5081" i="51"/>
  <c r="E5082" i="51"/>
  <c r="E5083" i="51"/>
  <c r="E5084" i="51"/>
  <c r="E5085" i="51"/>
  <c r="E5086" i="51"/>
  <c r="E5087" i="51"/>
  <c r="E5088" i="51"/>
  <c r="C5088" i="51"/>
  <c r="A5088" i="51"/>
  <c r="K5087" i="51"/>
  <c r="I5087" i="51"/>
  <c r="C5087" i="51"/>
  <c r="A5087" i="51"/>
  <c r="K5086" i="51"/>
  <c r="I5086" i="51"/>
  <c r="C5086" i="51"/>
  <c r="A5086" i="51"/>
  <c r="K5085" i="51"/>
  <c r="I5085" i="51"/>
  <c r="C5085" i="51"/>
  <c r="A5085" i="51"/>
  <c r="K5084" i="51"/>
  <c r="I5084" i="51"/>
  <c r="C5084" i="51"/>
  <c r="A5084" i="51"/>
  <c r="K5083" i="51"/>
  <c r="I5083" i="51"/>
  <c r="C5083" i="51"/>
  <c r="A5083" i="51"/>
  <c r="K5082" i="51"/>
  <c r="I5082" i="51"/>
  <c r="C5082" i="51"/>
  <c r="A5082" i="51"/>
  <c r="K5081" i="51"/>
  <c r="I5081" i="51"/>
  <c r="C5081" i="51"/>
  <c r="A5081" i="51"/>
  <c r="K5080" i="51"/>
  <c r="I5080" i="51"/>
  <c r="C5080" i="51"/>
  <c r="A5080" i="51"/>
  <c r="K5079" i="51"/>
  <c r="I5079" i="51"/>
  <c r="C5079" i="51"/>
  <c r="A5079" i="51"/>
  <c r="K5078" i="51"/>
  <c r="I5078" i="51"/>
  <c r="C5078" i="51"/>
  <c r="A5078" i="51"/>
  <c r="K5077" i="51"/>
  <c r="I5077" i="51"/>
  <c r="C5077" i="51"/>
  <c r="A5077" i="51"/>
  <c r="K5076" i="51"/>
  <c r="I5076" i="51"/>
  <c r="C5076" i="51"/>
  <c r="A5076" i="51"/>
  <c r="K5075" i="51"/>
  <c r="I5075" i="51"/>
  <c r="C5075" i="51"/>
  <c r="A5075" i="51"/>
  <c r="K5074" i="51"/>
  <c r="I5074" i="51"/>
  <c r="C5074" i="51"/>
  <c r="A5074" i="51"/>
  <c r="K5073" i="51"/>
  <c r="I5073" i="51"/>
  <c r="C5073" i="51"/>
  <c r="A5073" i="51"/>
  <c r="K5072" i="51"/>
  <c r="I5072" i="51"/>
  <c r="C5072" i="51"/>
  <c r="A5072" i="51"/>
  <c r="K5071" i="51"/>
  <c r="I5071" i="51"/>
  <c r="C5071" i="51"/>
  <c r="A5071" i="51"/>
  <c r="K5070" i="51"/>
  <c r="I5070" i="51"/>
  <c r="C5070" i="51"/>
  <c r="A5070" i="51"/>
  <c r="K5069" i="51"/>
  <c r="I5069" i="51"/>
  <c r="C5069" i="51"/>
  <c r="A5069" i="51"/>
  <c r="K5068" i="51"/>
  <c r="I5068" i="51"/>
  <c r="C5068" i="51"/>
  <c r="A5068" i="51"/>
  <c r="K5067" i="51"/>
  <c r="I5067" i="51"/>
  <c r="C5067" i="51"/>
  <c r="A5067" i="51"/>
  <c r="K5066" i="51"/>
  <c r="I5066" i="51"/>
  <c r="C5066" i="51"/>
  <c r="A5066" i="51"/>
  <c r="K5065" i="51"/>
  <c r="I5065" i="51"/>
  <c r="C5065" i="51"/>
  <c r="A5065" i="51"/>
  <c r="K5064" i="51"/>
  <c r="I5064" i="51"/>
  <c r="C5064" i="51"/>
  <c r="A5064" i="51"/>
  <c r="K5063" i="51"/>
  <c r="I5063" i="51"/>
  <c r="C5063" i="51"/>
  <c r="A5063" i="51"/>
  <c r="K5062" i="51"/>
  <c r="I5062" i="51"/>
  <c r="C5062" i="51"/>
  <c r="A5062" i="51"/>
  <c r="K5061" i="51"/>
  <c r="I5061" i="51"/>
  <c r="C5061" i="51"/>
  <c r="A5061" i="51"/>
  <c r="K5060" i="51"/>
  <c r="I5060" i="51"/>
  <c r="C5060" i="51"/>
  <c r="A5060" i="51"/>
  <c r="K5059" i="51"/>
  <c r="I5059" i="51"/>
  <c r="C5059" i="51"/>
  <c r="A5059" i="51"/>
  <c r="K5058" i="51"/>
  <c r="I5058" i="51"/>
  <c r="C5058" i="51"/>
  <c r="A5058" i="51"/>
  <c r="K5057" i="51"/>
  <c r="I5057" i="51"/>
  <c r="C5057" i="51"/>
  <c r="A5057" i="51"/>
  <c r="K5056" i="51"/>
  <c r="I5056" i="51"/>
  <c r="C5056" i="51"/>
  <c r="A5056" i="51"/>
  <c r="K5055" i="51"/>
  <c r="I5055" i="51"/>
  <c r="C5055" i="51"/>
  <c r="A5055" i="51"/>
  <c r="K5054" i="51"/>
  <c r="I5054" i="51"/>
  <c r="C5054" i="51"/>
  <c r="A5054" i="51"/>
  <c r="K5053" i="51"/>
  <c r="I5053" i="51"/>
  <c r="C5053" i="51"/>
  <c r="A5053" i="51"/>
  <c r="K5052" i="51"/>
  <c r="I5052" i="51"/>
  <c r="C5052" i="51"/>
  <c r="A5052" i="51"/>
  <c r="K5051" i="51"/>
  <c r="I5051" i="51"/>
  <c r="C5051" i="51"/>
  <c r="A5051" i="51"/>
  <c r="K5050" i="51"/>
  <c r="I5050" i="51"/>
  <c r="C5050" i="51"/>
  <c r="A5050" i="51"/>
  <c r="K5049" i="51"/>
  <c r="I5049" i="51"/>
  <c r="C5049" i="51"/>
  <c r="A5049" i="51"/>
  <c r="K5048" i="51"/>
  <c r="I5048" i="51"/>
  <c r="C5048" i="51"/>
  <c r="A5048" i="51"/>
  <c r="K5047" i="51"/>
  <c r="I5047" i="51"/>
  <c r="C5047" i="51"/>
  <c r="A5047" i="51"/>
  <c r="K5046" i="51"/>
  <c r="I5046" i="51"/>
  <c r="C5046" i="51"/>
  <c r="A5046" i="51"/>
  <c r="K5045" i="51"/>
  <c r="I5045" i="51"/>
  <c r="C5045" i="51"/>
  <c r="A5045" i="51"/>
  <c r="K5044" i="51"/>
  <c r="I5044" i="51"/>
  <c r="C5044" i="51"/>
  <c r="A5044" i="51"/>
  <c r="K5043" i="51"/>
  <c r="I5043" i="51"/>
  <c r="C5043" i="51"/>
  <c r="A5043" i="51"/>
  <c r="K5042" i="51"/>
  <c r="I5042" i="51"/>
  <c r="C5042" i="51"/>
  <c r="A5042" i="51"/>
  <c r="K5041" i="51"/>
  <c r="I5041" i="51"/>
  <c r="C5041" i="51"/>
  <c r="A5041" i="51"/>
  <c r="K5040" i="51"/>
  <c r="I5040" i="51"/>
  <c r="C5040" i="51"/>
  <c r="A5040" i="51"/>
  <c r="K5039" i="51"/>
  <c r="I5039" i="51"/>
  <c r="C5039" i="51"/>
  <c r="A5039" i="51"/>
  <c r="K5038" i="51"/>
  <c r="I5038" i="51"/>
  <c r="C5038" i="51"/>
  <c r="A5038" i="51"/>
  <c r="I5037" i="51"/>
  <c r="C5037" i="51"/>
  <c r="A5037" i="51"/>
  <c r="I5036" i="51"/>
  <c r="I5035" i="51"/>
  <c r="I5034" i="51"/>
  <c r="I5033" i="51"/>
  <c r="I5032" i="51"/>
  <c r="I5031" i="51"/>
  <c r="I5030" i="51"/>
  <c r="I5029" i="51"/>
  <c r="I5028" i="51"/>
  <c r="I5027" i="51"/>
  <c r="I5026" i="51"/>
  <c r="I5025" i="51"/>
  <c r="I5024" i="51"/>
  <c r="I5023" i="51"/>
  <c r="I5022" i="51"/>
  <c r="I5021" i="51"/>
  <c r="I5020" i="51"/>
  <c r="I5019" i="51"/>
  <c r="I5018" i="51"/>
  <c r="I5017" i="51"/>
  <c r="I5016" i="51"/>
  <c r="I5015" i="51"/>
  <c r="I5014" i="51"/>
  <c r="I5013" i="51"/>
  <c r="I5012" i="51"/>
  <c r="I5011" i="51"/>
  <c r="I5010" i="51"/>
  <c r="I5009" i="51"/>
  <c r="I5008" i="51"/>
  <c r="I5007" i="51"/>
  <c r="I5006" i="51"/>
  <c r="I5005" i="51"/>
  <c r="I5004" i="51"/>
  <c r="I5003" i="51"/>
  <c r="I5002" i="51"/>
  <c r="I5001" i="51"/>
  <c r="I5000" i="51"/>
  <c r="I4999" i="51"/>
  <c r="I4998" i="51"/>
  <c r="I4997" i="51"/>
  <c r="I4996" i="51"/>
  <c r="I4995" i="51"/>
  <c r="I4994" i="51"/>
  <c r="I4993" i="51"/>
  <c r="I4992" i="51"/>
  <c r="I4991" i="51"/>
  <c r="I4990" i="51"/>
  <c r="I4989" i="51"/>
  <c r="I4988" i="51"/>
  <c r="I4987" i="51"/>
  <c r="K5036" i="51"/>
  <c r="K5035" i="51"/>
  <c r="K5034" i="51"/>
  <c r="K5033" i="51"/>
  <c r="K5032" i="51"/>
  <c r="K5031" i="51"/>
  <c r="K5030" i="51"/>
  <c r="K5029" i="51"/>
  <c r="K5028" i="51"/>
  <c r="K5027" i="51"/>
  <c r="K5026" i="51"/>
  <c r="K5025" i="51"/>
  <c r="K5024" i="51"/>
  <c r="K5023" i="51"/>
  <c r="K5022" i="51"/>
  <c r="K5021" i="51"/>
  <c r="K5020" i="51"/>
  <c r="K5019" i="51"/>
  <c r="K5018" i="51"/>
  <c r="K5017" i="51"/>
  <c r="K5016" i="51"/>
  <c r="K5015" i="51"/>
  <c r="K5014" i="51"/>
  <c r="K5013" i="51"/>
  <c r="K5012" i="51"/>
  <c r="K5011" i="51"/>
  <c r="K5010" i="51"/>
  <c r="K5009" i="51"/>
  <c r="K5008" i="51"/>
  <c r="K5007" i="51"/>
  <c r="K5006" i="51"/>
  <c r="K5005" i="51"/>
  <c r="K5004" i="51"/>
  <c r="K5003" i="51"/>
  <c r="K5002" i="51"/>
  <c r="K5001" i="51"/>
  <c r="K5000" i="51"/>
  <c r="K4999" i="51"/>
  <c r="K4998" i="51"/>
  <c r="K4997" i="51"/>
  <c r="K4996" i="51"/>
  <c r="K4995" i="51"/>
  <c r="K4994" i="51"/>
  <c r="K4993" i="51"/>
  <c r="K4992" i="51"/>
  <c r="K4987" i="51"/>
  <c r="E4987" i="51"/>
  <c r="E4988" i="51"/>
  <c r="E4989" i="51"/>
  <c r="E4990" i="51"/>
  <c r="E4991" i="51"/>
  <c r="E4992" i="51"/>
  <c r="E4993" i="51"/>
  <c r="E4994" i="51"/>
  <c r="E4995" i="51"/>
  <c r="E4996" i="51"/>
  <c r="E4997" i="51"/>
  <c r="E4998" i="51"/>
  <c r="E4999" i="51"/>
  <c r="E5000" i="51"/>
  <c r="E5001" i="51"/>
  <c r="E5002" i="51"/>
  <c r="E5003" i="51"/>
  <c r="E5004" i="51"/>
  <c r="E5005" i="51"/>
  <c r="E5006" i="51"/>
  <c r="E5007" i="51"/>
  <c r="E5008" i="51"/>
  <c r="E5009" i="51"/>
  <c r="E5010" i="51"/>
  <c r="E5011" i="51"/>
  <c r="E5012" i="51"/>
  <c r="E5013" i="51"/>
  <c r="E5014" i="51"/>
  <c r="E5015" i="51"/>
  <c r="E5016" i="51"/>
  <c r="E5017" i="51"/>
  <c r="E5018" i="51"/>
  <c r="E5019" i="51"/>
  <c r="E5020" i="51"/>
  <c r="E5021" i="51"/>
  <c r="E5022" i="51"/>
  <c r="E5023" i="51"/>
  <c r="E5024" i="51"/>
  <c r="E5025" i="51"/>
  <c r="E5026" i="51"/>
  <c r="E5027" i="51"/>
  <c r="E5028" i="51"/>
  <c r="E5029" i="51"/>
  <c r="E5030" i="51"/>
  <c r="E5031" i="51"/>
  <c r="E5032" i="51"/>
  <c r="E5033" i="51"/>
  <c r="E5034" i="51"/>
  <c r="E5035" i="51"/>
  <c r="E5036" i="51"/>
  <c r="C5036" i="51"/>
  <c r="A5036" i="51"/>
  <c r="C5035" i="51"/>
  <c r="A5035" i="51"/>
  <c r="C5034" i="51"/>
  <c r="A5034" i="51"/>
  <c r="C5033" i="51"/>
  <c r="A5033" i="51"/>
  <c r="C5032" i="51"/>
  <c r="A5032" i="51"/>
  <c r="C5031" i="51"/>
  <c r="A5031" i="51"/>
  <c r="C5030" i="51"/>
  <c r="A5030" i="51"/>
  <c r="C5029" i="51"/>
  <c r="A5029" i="51"/>
  <c r="C5028" i="51"/>
  <c r="A5028" i="51"/>
  <c r="C5027" i="51"/>
  <c r="A5027" i="51"/>
  <c r="C5026" i="51"/>
  <c r="A5026" i="51"/>
  <c r="C5025" i="51"/>
  <c r="A5025" i="51"/>
  <c r="C5024" i="51"/>
  <c r="A5024" i="51"/>
  <c r="C5023" i="51"/>
  <c r="A5023" i="51"/>
  <c r="C5022" i="51"/>
  <c r="A5022" i="51"/>
  <c r="C5021" i="51"/>
  <c r="A5021" i="51"/>
  <c r="C5020" i="51"/>
  <c r="A5020" i="51"/>
  <c r="C5019" i="51"/>
  <c r="A5019" i="51"/>
  <c r="C5018" i="51"/>
  <c r="A5018" i="51"/>
  <c r="C5017" i="51"/>
  <c r="A5017" i="51"/>
  <c r="C5016" i="51"/>
  <c r="A5016" i="51"/>
  <c r="C5015" i="51"/>
  <c r="A5015" i="51"/>
  <c r="C5014" i="51"/>
  <c r="A5014" i="51"/>
  <c r="C5013" i="51"/>
  <c r="A5013" i="51"/>
  <c r="C5012" i="51"/>
  <c r="A5012" i="51"/>
  <c r="C5011" i="51"/>
  <c r="A5011" i="51"/>
  <c r="C5010" i="51"/>
  <c r="A5010" i="51"/>
  <c r="C5009" i="51"/>
  <c r="A5009" i="51"/>
  <c r="C5008" i="51"/>
  <c r="A5008" i="51"/>
  <c r="C5007" i="51"/>
  <c r="A5007" i="51"/>
  <c r="C5006" i="51"/>
  <c r="A5006" i="51"/>
  <c r="C5005" i="51"/>
  <c r="A5005" i="51"/>
  <c r="C5004" i="51"/>
  <c r="A5004" i="51"/>
  <c r="C5003" i="51"/>
  <c r="A5003" i="51"/>
  <c r="C5002" i="51"/>
  <c r="A5002" i="51"/>
  <c r="C5001" i="51"/>
  <c r="A5001" i="51"/>
  <c r="C5000" i="51"/>
  <c r="A5000" i="51"/>
  <c r="C4999" i="51"/>
  <c r="A4999" i="51"/>
  <c r="C4998" i="51"/>
  <c r="A4998" i="51"/>
  <c r="C4997" i="51"/>
  <c r="A4997" i="51"/>
  <c r="C4996" i="51"/>
  <c r="A4996" i="51"/>
  <c r="C4995" i="51"/>
  <c r="A4995" i="51"/>
  <c r="C4994" i="51"/>
  <c r="A4994" i="51"/>
  <c r="C4993" i="51"/>
  <c r="A4993" i="51"/>
  <c r="C4992" i="51"/>
  <c r="A4992" i="51"/>
  <c r="K4991" i="51"/>
  <c r="C4991" i="51"/>
  <c r="A4991" i="51"/>
  <c r="K4990" i="51"/>
  <c r="C4990" i="51"/>
  <c r="A4990" i="51"/>
  <c r="K4989" i="51"/>
  <c r="C4989" i="51"/>
  <c r="A4989" i="51"/>
  <c r="K4988" i="51"/>
  <c r="C4988" i="51"/>
  <c r="A4988" i="51"/>
  <c r="C4987" i="51"/>
  <c r="A4987" i="51"/>
  <c r="K4986" i="51"/>
  <c r="I4986" i="51"/>
  <c r="C4986" i="51"/>
  <c r="A4986" i="51"/>
  <c r="I4985" i="51"/>
  <c r="C4985" i="51"/>
  <c r="A4985" i="51"/>
  <c r="D218" i="60"/>
  <c r="D217" i="60"/>
  <c r="C218" i="60"/>
  <c r="E218" i="60"/>
  <c r="C217" i="60"/>
  <c r="E217" i="60"/>
  <c r="B598" i="24"/>
  <c r="B599" i="24"/>
  <c r="C598" i="24"/>
  <c r="C599" i="24"/>
  <c r="A599" i="24"/>
  <c r="A598" i="24"/>
  <c r="A420" i="26"/>
  <c r="A421" i="26"/>
  <c r="O421" i="26"/>
  <c r="Q421" i="26"/>
  <c r="J421" i="26"/>
  <c r="H421" i="26"/>
  <c r="G421" i="26"/>
  <c r="E421" i="26"/>
  <c r="O420" i="26"/>
  <c r="Q420" i="26"/>
  <c r="J420" i="26"/>
  <c r="H420" i="26"/>
  <c r="G420" i="26"/>
  <c r="E420" i="26"/>
  <c r="D199" i="60"/>
  <c r="D216" i="60"/>
  <c r="I4926" i="51"/>
  <c r="I4933" i="51"/>
  <c r="I4927" i="51"/>
  <c r="I4928" i="51"/>
  <c r="A373" i="26"/>
  <c r="A374" i="26"/>
  <c r="A375" i="26"/>
  <c r="A376" i="26"/>
  <c r="A377" i="26"/>
  <c r="A378" i="26"/>
  <c r="A379" i="26"/>
  <c r="A380" i="26"/>
  <c r="A381" i="26"/>
  <c r="A382" i="26"/>
  <c r="A383" i="26"/>
  <c r="A384" i="26"/>
  <c r="A385" i="26"/>
  <c r="A386" i="26"/>
  <c r="A387" i="26"/>
  <c r="A388" i="26"/>
  <c r="A389" i="26"/>
  <c r="A390" i="26"/>
  <c r="A391" i="26"/>
  <c r="A392" i="26"/>
  <c r="A393" i="26"/>
  <c r="A394" i="26"/>
  <c r="A395" i="26"/>
  <c r="A396" i="26"/>
  <c r="A397" i="26"/>
  <c r="A398" i="26"/>
  <c r="A399" i="26"/>
  <c r="A400" i="26"/>
  <c r="A401" i="26"/>
  <c r="A402" i="26"/>
  <c r="A403" i="26"/>
  <c r="A404" i="26"/>
  <c r="A405" i="26"/>
  <c r="A406" i="26"/>
  <c r="A407" i="26"/>
  <c r="A408" i="26"/>
  <c r="A409" i="26"/>
  <c r="A410" i="26"/>
  <c r="A411" i="26"/>
  <c r="A412" i="26"/>
  <c r="A413" i="26"/>
  <c r="A414" i="26"/>
  <c r="A415" i="26"/>
  <c r="A416" i="26"/>
  <c r="A417" i="26"/>
  <c r="A418" i="26"/>
  <c r="A419" i="26"/>
  <c r="C4933" i="51"/>
  <c r="A4933" i="51"/>
  <c r="I4932" i="51"/>
  <c r="J4932" i="51"/>
  <c r="C4932" i="51"/>
  <c r="A4932" i="51"/>
  <c r="I4931" i="51"/>
  <c r="J4931" i="51"/>
  <c r="C4931" i="51"/>
  <c r="A4931" i="51"/>
  <c r="I4930" i="51"/>
  <c r="K4930" i="51"/>
  <c r="C4930" i="51"/>
  <c r="A4930" i="51"/>
  <c r="I4929" i="51"/>
  <c r="K4929" i="51"/>
  <c r="C4929" i="51"/>
  <c r="A4929" i="51"/>
  <c r="C4928" i="51"/>
  <c r="A4928" i="51"/>
  <c r="C4927" i="51"/>
  <c r="A4927" i="51"/>
  <c r="C4926" i="51"/>
  <c r="A4926" i="51"/>
  <c r="E4935" i="51"/>
  <c r="E4936" i="51"/>
  <c r="E4937" i="51"/>
  <c r="E4938" i="51"/>
  <c r="E4939" i="51"/>
  <c r="E4940" i="51"/>
  <c r="E4941" i="51"/>
  <c r="E4942" i="51"/>
  <c r="E4943" i="51"/>
  <c r="E4944" i="51"/>
  <c r="E4945" i="51"/>
  <c r="E4946" i="51"/>
  <c r="E4947" i="51"/>
  <c r="E4948" i="51"/>
  <c r="E4949" i="51"/>
  <c r="E4950" i="51"/>
  <c r="E4951" i="51"/>
  <c r="E4952" i="51"/>
  <c r="E4953" i="51"/>
  <c r="E4954" i="51"/>
  <c r="E4955" i="51"/>
  <c r="E4956" i="51"/>
  <c r="E4957" i="51"/>
  <c r="E4958" i="51"/>
  <c r="E4959" i="51"/>
  <c r="E4960" i="51"/>
  <c r="E4961" i="51"/>
  <c r="E4962" i="51"/>
  <c r="E4963" i="51"/>
  <c r="E4964" i="51"/>
  <c r="E4965" i="51"/>
  <c r="E4966" i="51"/>
  <c r="E4967" i="51"/>
  <c r="E4968" i="51"/>
  <c r="E4969" i="51"/>
  <c r="E4970" i="51"/>
  <c r="E4971" i="51"/>
  <c r="E4972" i="51"/>
  <c r="E4973" i="51"/>
  <c r="E4974" i="51"/>
  <c r="E4975" i="51"/>
  <c r="E4976" i="51"/>
  <c r="E4977" i="51"/>
  <c r="E4978" i="51"/>
  <c r="E4979" i="51"/>
  <c r="E4980" i="51"/>
  <c r="E4981" i="51"/>
  <c r="E4982" i="51"/>
  <c r="E4983" i="51"/>
  <c r="E4984" i="51"/>
  <c r="C4984" i="51"/>
  <c r="A4984" i="51"/>
  <c r="C4983" i="51"/>
  <c r="A4983" i="51"/>
  <c r="C4982" i="51"/>
  <c r="A4982" i="51"/>
  <c r="C4981" i="51"/>
  <c r="A4981" i="51"/>
  <c r="C4980" i="51"/>
  <c r="A4980" i="51"/>
  <c r="C4979" i="51"/>
  <c r="A4979" i="51"/>
  <c r="C4978" i="51"/>
  <c r="A4978" i="51"/>
  <c r="C4977" i="51"/>
  <c r="A4977" i="51"/>
  <c r="C4976" i="51"/>
  <c r="A4976" i="51"/>
  <c r="C4975" i="51"/>
  <c r="A4975" i="51"/>
  <c r="C4974" i="51"/>
  <c r="A4974" i="51"/>
  <c r="C4973" i="51"/>
  <c r="A4973" i="51"/>
  <c r="C4972" i="51"/>
  <c r="A4972" i="51"/>
  <c r="C4971" i="51"/>
  <c r="A4971" i="51"/>
  <c r="C4970" i="51"/>
  <c r="A4970" i="51"/>
  <c r="C4969" i="51"/>
  <c r="A4969" i="51"/>
  <c r="C4968" i="51"/>
  <c r="A4968" i="51"/>
  <c r="C4967" i="51"/>
  <c r="A4967" i="51"/>
  <c r="C4966" i="51"/>
  <c r="A4966" i="51"/>
  <c r="C4965" i="51"/>
  <c r="A4965" i="51"/>
  <c r="C4964" i="51"/>
  <c r="A4964" i="51"/>
  <c r="C4963" i="51"/>
  <c r="A4963" i="51"/>
  <c r="C4962" i="51"/>
  <c r="A4962" i="51"/>
  <c r="C4961" i="51"/>
  <c r="A4961" i="51"/>
  <c r="C4960" i="51"/>
  <c r="A4960" i="51"/>
  <c r="C4959" i="51"/>
  <c r="A4959" i="51"/>
  <c r="C4958" i="51"/>
  <c r="A4958" i="51"/>
  <c r="C4957" i="51"/>
  <c r="A4957" i="51"/>
  <c r="C4956" i="51"/>
  <c r="A4956" i="51"/>
  <c r="C4955" i="51"/>
  <c r="A4955" i="51"/>
  <c r="C4954" i="51"/>
  <c r="A4954" i="51"/>
  <c r="C4953" i="51"/>
  <c r="A4953" i="51"/>
  <c r="C4952" i="51"/>
  <c r="A4952" i="51"/>
  <c r="C4951" i="51"/>
  <c r="A4951" i="51"/>
  <c r="C4950" i="51"/>
  <c r="A4950" i="51"/>
  <c r="C4949" i="51"/>
  <c r="A4949" i="51"/>
  <c r="C4948" i="51"/>
  <c r="A4948" i="51"/>
  <c r="C4947" i="51"/>
  <c r="A4947" i="51"/>
  <c r="C4946" i="51"/>
  <c r="A4946" i="51"/>
  <c r="C4945" i="51"/>
  <c r="A4945" i="51"/>
  <c r="C4944" i="51"/>
  <c r="A4944" i="51"/>
  <c r="C4943" i="51"/>
  <c r="A4943" i="51"/>
  <c r="C4942" i="51"/>
  <c r="A4942" i="51"/>
  <c r="C4941" i="51"/>
  <c r="A4941" i="51"/>
  <c r="C4940" i="51"/>
  <c r="A4940" i="51"/>
  <c r="C4939" i="51"/>
  <c r="A4939" i="51"/>
  <c r="C4938" i="51"/>
  <c r="A4938" i="51"/>
  <c r="C4937" i="51"/>
  <c r="A4937" i="51"/>
  <c r="C4936" i="51"/>
  <c r="A4936" i="51"/>
  <c r="C4935" i="51"/>
  <c r="A4935" i="51"/>
  <c r="C4934" i="51"/>
  <c r="A4934" i="51"/>
  <c r="E216" i="60"/>
  <c r="A266" i="26"/>
  <c r="A267" i="26"/>
  <c r="A268" i="26"/>
  <c r="A269" i="26"/>
  <c r="A270" i="26"/>
  <c r="A271" i="26"/>
  <c r="A272" i="26"/>
  <c r="A289" i="26"/>
  <c r="A290" i="26"/>
  <c r="A291" i="26"/>
  <c r="A292" i="26"/>
  <c r="A293" i="26"/>
  <c r="A294" i="26"/>
  <c r="A295" i="26"/>
  <c r="A296" i="26"/>
  <c r="A297" i="26"/>
  <c r="A298" i="26"/>
  <c r="A299" i="26"/>
  <c r="A300" i="26"/>
  <c r="A301" i="26"/>
  <c r="A302" i="26"/>
  <c r="A303" i="26"/>
  <c r="A304" i="26"/>
  <c r="A305" i="26"/>
  <c r="A306" i="26"/>
  <c r="A307" i="26"/>
  <c r="A308" i="26"/>
  <c r="A309" i="26"/>
  <c r="A310" i="26"/>
  <c r="A311" i="26"/>
  <c r="A312" i="26"/>
  <c r="A350" i="26"/>
  <c r="A351" i="26"/>
  <c r="A352" i="26"/>
  <c r="A353" i="26"/>
  <c r="A354" i="26"/>
  <c r="A355" i="26"/>
  <c r="A356" i="26"/>
  <c r="A357" i="26"/>
  <c r="A358" i="26"/>
  <c r="A359" i="26"/>
  <c r="A360" i="26"/>
  <c r="A361" i="26"/>
  <c r="A362" i="26"/>
  <c r="A363" i="26"/>
  <c r="A364" i="26"/>
  <c r="A365" i="26"/>
  <c r="A366" i="26"/>
  <c r="A367" i="26"/>
  <c r="A368" i="26"/>
  <c r="A369" i="26"/>
  <c r="A370" i="26"/>
  <c r="A371" i="26"/>
  <c r="C216" i="60"/>
  <c r="A216" i="60"/>
  <c r="E215" i="60"/>
  <c r="D215" i="60"/>
  <c r="C215" i="60"/>
  <c r="A215" i="60"/>
  <c r="G597" i="24"/>
  <c r="G596" i="24"/>
  <c r="C596" i="24"/>
  <c r="C597" i="24"/>
  <c r="B596" i="24"/>
  <c r="B597" i="24"/>
  <c r="A597" i="24"/>
  <c r="A596" i="24"/>
  <c r="H402" i="26"/>
  <c r="H419" i="26"/>
  <c r="O419" i="26"/>
  <c r="Q419" i="26"/>
  <c r="J419" i="26"/>
  <c r="G419" i="26"/>
  <c r="E419" i="26"/>
  <c r="Q418" i="26"/>
  <c r="J418" i="26"/>
  <c r="H418" i="26"/>
  <c r="G418" i="26"/>
  <c r="E418" i="26"/>
  <c r="K4925" i="51"/>
  <c r="I4925" i="51"/>
  <c r="A505" i="26"/>
  <c r="A506" i="26"/>
  <c r="A507" i="26"/>
  <c r="A508" i="26"/>
  <c r="A509" i="26"/>
  <c r="A510" i="26"/>
  <c r="A511" i="26"/>
  <c r="A512" i="26"/>
  <c r="A513" i="26"/>
  <c r="A514" i="26"/>
  <c r="A515" i="26"/>
  <c r="A435" i="26"/>
  <c r="A436" i="26"/>
  <c r="A437" i="26"/>
  <c r="A438" i="26"/>
  <c r="A439" i="26"/>
  <c r="A440" i="26"/>
  <c r="A441" i="26"/>
  <c r="A442" i="26"/>
  <c r="A443" i="26"/>
  <c r="A444" i="26"/>
  <c r="A445" i="26"/>
  <c r="A446" i="26"/>
  <c r="A447" i="26"/>
  <c r="A448" i="26"/>
  <c r="A449" i="26"/>
  <c r="A450" i="26"/>
  <c r="A451" i="26"/>
  <c r="A516" i="26"/>
  <c r="A452" i="26"/>
  <c r="C4925" i="51"/>
  <c r="A4925" i="51"/>
  <c r="I4924" i="51"/>
  <c r="C4924" i="51"/>
  <c r="A4924" i="51"/>
  <c r="I4923" i="51"/>
  <c r="C4923" i="51"/>
  <c r="A4923" i="51"/>
  <c r="K4922" i="51"/>
  <c r="I4922" i="51"/>
  <c r="C4922" i="51"/>
  <c r="A4922" i="51"/>
  <c r="I4921" i="51"/>
  <c r="C4921" i="51"/>
  <c r="A4921" i="51"/>
  <c r="I4920" i="51"/>
  <c r="C4920" i="51"/>
  <c r="A4920" i="51"/>
  <c r="K4919" i="51"/>
  <c r="I4919" i="51"/>
  <c r="C4919" i="51"/>
  <c r="A4919" i="51"/>
  <c r="I4918" i="51"/>
  <c r="C4918" i="51"/>
  <c r="A4918" i="51"/>
  <c r="I4917" i="51"/>
  <c r="C4917" i="51"/>
  <c r="A4917" i="51"/>
  <c r="K4916" i="51"/>
  <c r="I4916" i="51"/>
  <c r="C4916" i="51"/>
  <c r="A4916" i="51"/>
  <c r="I4915" i="51"/>
  <c r="C4915" i="51"/>
  <c r="A4915" i="51"/>
  <c r="I4914" i="51"/>
  <c r="C4914" i="51"/>
  <c r="A4914" i="51"/>
  <c r="K4913" i="51"/>
  <c r="I4913" i="51"/>
  <c r="C4913" i="51"/>
  <c r="A4913" i="51"/>
  <c r="I4912" i="51"/>
  <c r="C4912" i="51"/>
  <c r="A4912" i="51"/>
  <c r="I4911" i="51"/>
  <c r="C4911" i="51"/>
  <c r="A4911" i="51"/>
  <c r="K4910" i="51"/>
  <c r="I4910" i="51"/>
  <c r="C4910" i="51"/>
  <c r="A4910" i="51"/>
  <c r="I4909" i="51"/>
  <c r="C4909" i="51"/>
  <c r="A4909" i="51"/>
  <c r="I4908" i="51"/>
  <c r="C4908" i="51"/>
  <c r="A4908" i="51"/>
  <c r="K4907" i="51"/>
  <c r="I4907" i="51"/>
  <c r="C4907" i="51"/>
  <c r="A4907" i="51"/>
  <c r="I4906" i="51"/>
  <c r="C4906" i="51"/>
  <c r="A4906" i="51"/>
  <c r="I4905" i="51"/>
  <c r="C4905" i="51"/>
  <c r="A4905" i="51"/>
  <c r="K4904" i="51"/>
  <c r="I4904" i="51"/>
  <c r="C4904" i="51"/>
  <c r="A4904" i="51"/>
  <c r="I4903" i="51"/>
  <c r="C4903" i="51"/>
  <c r="A4903" i="51"/>
  <c r="I4902" i="51"/>
  <c r="C4902" i="51"/>
  <c r="A4902" i="51"/>
  <c r="K4901" i="51"/>
  <c r="I4901" i="51"/>
  <c r="C4901" i="51"/>
  <c r="A4901" i="51"/>
  <c r="I4900" i="51"/>
  <c r="C4900" i="51"/>
  <c r="A4900" i="51"/>
  <c r="I4899" i="51"/>
  <c r="C4899" i="51"/>
  <c r="A4899" i="51"/>
  <c r="K4898" i="51"/>
  <c r="I4898" i="51"/>
  <c r="C4898" i="51"/>
  <c r="A4898" i="51"/>
  <c r="I4897" i="51"/>
  <c r="C4897" i="51"/>
  <c r="A4897" i="51"/>
  <c r="I4896" i="51"/>
  <c r="C4896" i="51"/>
  <c r="A4896" i="51"/>
  <c r="I4895" i="51"/>
  <c r="C4895" i="51"/>
  <c r="A4895" i="51"/>
  <c r="I4894" i="51"/>
  <c r="C4894" i="51"/>
  <c r="A4894" i="51"/>
  <c r="I4893" i="51"/>
  <c r="K4893" i="51"/>
  <c r="C4893" i="51"/>
  <c r="A4893" i="51"/>
  <c r="I4892" i="51"/>
  <c r="C4892" i="51"/>
  <c r="A4892" i="51"/>
  <c r="I4891" i="51"/>
  <c r="K4891" i="51"/>
  <c r="C4891" i="51"/>
  <c r="A4891" i="51"/>
  <c r="I4890" i="51"/>
  <c r="C4890" i="51"/>
  <c r="A4890" i="51"/>
  <c r="I4889" i="51"/>
  <c r="K4889" i="51"/>
  <c r="C4889" i="51"/>
  <c r="A4889" i="51"/>
  <c r="I4888" i="51"/>
  <c r="C4888" i="51"/>
  <c r="A4888" i="51"/>
  <c r="I4887" i="51"/>
  <c r="I4886" i="51"/>
  <c r="K4887" i="51"/>
  <c r="C4887" i="51"/>
  <c r="A4887" i="51"/>
  <c r="C4886" i="51"/>
  <c r="A4886" i="51"/>
  <c r="K4885" i="51"/>
  <c r="I4885" i="51"/>
  <c r="C4885" i="51"/>
  <c r="A4885" i="51"/>
  <c r="K4882" i="51"/>
  <c r="K4884" i="51"/>
  <c r="I4884" i="51"/>
  <c r="C4884" i="51"/>
  <c r="A4884" i="51"/>
  <c r="K4883" i="51"/>
  <c r="I4883" i="51"/>
  <c r="C4883" i="51"/>
  <c r="A4883" i="51"/>
  <c r="I4882" i="51"/>
  <c r="C4882" i="51"/>
  <c r="A4882" i="51"/>
  <c r="I4881" i="51"/>
  <c r="C4881" i="51"/>
  <c r="A4881" i="51"/>
  <c r="I4880" i="51"/>
  <c r="C4880" i="51"/>
  <c r="A4880" i="51"/>
  <c r="I4879" i="51"/>
  <c r="C4879" i="51"/>
  <c r="A4879" i="51"/>
  <c r="I4878" i="51"/>
  <c r="C4878" i="51"/>
  <c r="A4878" i="51"/>
  <c r="K4877" i="51"/>
  <c r="I4877" i="51"/>
  <c r="C4877" i="51"/>
  <c r="A4877" i="51"/>
  <c r="K4874" i="51"/>
  <c r="K4876" i="51"/>
  <c r="I4876" i="51"/>
  <c r="C4876" i="51"/>
  <c r="A4876" i="51"/>
  <c r="K4875" i="51"/>
  <c r="I4875" i="51"/>
  <c r="C4875" i="51"/>
  <c r="A4875" i="51"/>
  <c r="I4874" i="51"/>
  <c r="C4874" i="51"/>
  <c r="A4874" i="51"/>
  <c r="I4873" i="51"/>
  <c r="C4873" i="51"/>
  <c r="A4873" i="51"/>
  <c r="I4872" i="51"/>
  <c r="C4872" i="51"/>
  <c r="A4872" i="51"/>
  <c r="I4871" i="51"/>
  <c r="C4871" i="51"/>
  <c r="A4871" i="51"/>
  <c r="I4870" i="51"/>
  <c r="C4870" i="51"/>
  <c r="A4870" i="51"/>
  <c r="K4869" i="51"/>
  <c r="I4869" i="51"/>
  <c r="C4869" i="51"/>
  <c r="A4869" i="51"/>
  <c r="K4866" i="51"/>
  <c r="K4868" i="51"/>
  <c r="I4868" i="51"/>
  <c r="C4868" i="51"/>
  <c r="A4868" i="51"/>
  <c r="K4867" i="51"/>
  <c r="I4867" i="51"/>
  <c r="C4867" i="51"/>
  <c r="A4867" i="51"/>
  <c r="I4866" i="51"/>
  <c r="C4866" i="51"/>
  <c r="A4866" i="51"/>
  <c r="I4865" i="51"/>
  <c r="C4865" i="51"/>
  <c r="A4865" i="51"/>
  <c r="I4864" i="51"/>
  <c r="C4864" i="51"/>
  <c r="A4864" i="51"/>
  <c r="I4863" i="51"/>
  <c r="C4863" i="51"/>
  <c r="A4863" i="51"/>
  <c r="I4862" i="51"/>
  <c r="C4862" i="51"/>
  <c r="A4862" i="51"/>
  <c r="K4858" i="51"/>
  <c r="K4860" i="51"/>
  <c r="K4859" i="51"/>
  <c r="K4861" i="51"/>
  <c r="I4858" i="51"/>
  <c r="I4861" i="51"/>
  <c r="I4860" i="51"/>
  <c r="I4859" i="51"/>
  <c r="C4861" i="51"/>
  <c r="A4861" i="51"/>
  <c r="C4860" i="51"/>
  <c r="A4860" i="51"/>
  <c r="C4859" i="51"/>
  <c r="A4859" i="51"/>
  <c r="C4858" i="51"/>
  <c r="A4858" i="51"/>
  <c r="I4857" i="51"/>
  <c r="C4857" i="51"/>
  <c r="A4857" i="51"/>
  <c r="I4856" i="51"/>
  <c r="C4856" i="51"/>
  <c r="A4856" i="51"/>
  <c r="I4855" i="51"/>
  <c r="C4855" i="51"/>
  <c r="A4855" i="51"/>
  <c r="I4854" i="51"/>
  <c r="C4854" i="51"/>
  <c r="A4854" i="51"/>
  <c r="A542" i="26"/>
  <c r="A543" i="26"/>
  <c r="A544" i="26"/>
  <c r="A545" i="26"/>
  <c r="A546" i="26"/>
  <c r="A547" i="26"/>
  <c r="A548" i="26"/>
  <c r="A549" i="26"/>
  <c r="A550" i="26"/>
  <c r="A551" i="26"/>
  <c r="A552" i="26"/>
  <c r="A553" i="26"/>
  <c r="A554" i="26"/>
  <c r="A555" i="26"/>
  <c r="A556" i="26"/>
  <c r="A557" i="26"/>
  <c r="A558" i="26"/>
  <c r="A559" i="26"/>
  <c r="A560" i="26"/>
  <c r="A561" i="26"/>
  <c r="A562" i="26"/>
  <c r="A563" i="26"/>
  <c r="A564" i="26"/>
  <c r="A565" i="26"/>
  <c r="A566" i="26"/>
  <c r="A567" i="26"/>
  <c r="A568" i="26"/>
  <c r="A569" i="26"/>
  <c r="A570" i="26"/>
  <c r="A571" i="26"/>
  <c r="C5397" i="51"/>
  <c r="A5397" i="51"/>
  <c r="I5396" i="51"/>
  <c r="C5396" i="51"/>
  <c r="A5396" i="51"/>
  <c r="C5395" i="51"/>
  <c r="A5395" i="51"/>
  <c r="C5394" i="51"/>
  <c r="A5394" i="51"/>
  <c r="I5248" i="51"/>
  <c r="A5248" i="51"/>
  <c r="I5247" i="51"/>
  <c r="A5247" i="51"/>
  <c r="I5246" i="51"/>
  <c r="A5246" i="51"/>
  <c r="I5245" i="51"/>
  <c r="A5245" i="51"/>
  <c r="I5244" i="51"/>
  <c r="A5244" i="51"/>
  <c r="I5243" i="51"/>
  <c r="A5243" i="51"/>
  <c r="I5242" i="51"/>
  <c r="A5242" i="51"/>
  <c r="I5241" i="51"/>
  <c r="A5241" i="51"/>
  <c r="I5240" i="51"/>
  <c r="A5240" i="51"/>
  <c r="I5239" i="51"/>
  <c r="A5239" i="51"/>
  <c r="D269" i="60"/>
  <c r="C269" i="60"/>
  <c r="A28" i="24"/>
  <c r="O571" i="26"/>
  <c r="Q571" i="26"/>
  <c r="O570" i="26"/>
  <c r="Q570" i="26"/>
  <c r="O569" i="26"/>
  <c r="Q569" i="26"/>
  <c r="O568" i="26"/>
  <c r="Q568" i="26"/>
  <c r="Q567" i="26"/>
  <c r="G517" i="24"/>
  <c r="G516" i="24"/>
  <c r="G515" i="24"/>
  <c r="G514" i="24"/>
  <c r="A517" i="24"/>
  <c r="A516" i="24"/>
  <c r="A515" i="24"/>
  <c r="A514" i="24"/>
  <c r="A475" i="26"/>
  <c r="A476" i="26"/>
  <c r="A477" i="26"/>
  <c r="A478" i="26"/>
  <c r="A479" i="26"/>
  <c r="A480" i="26"/>
  <c r="A481" i="26"/>
  <c r="A482" i="26"/>
  <c r="A453" i="26"/>
  <c r="A454" i="26"/>
  <c r="A455" i="26"/>
  <c r="A456" i="26"/>
  <c r="A457" i="26"/>
  <c r="A458" i="26"/>
  <c r="A483" i="26"/>
  <c r="A459" i="26"/>
  <c r="A484" i="26"/>
  <c r="A460" i="26"/>
  <c r="A461" i="26"/>
  <c r="A462" i="26"/>
  <c r="A463" i="26"/>
  <c r="A469" i="26"/>
  <c r="A470" i="26"/>
  <c r="A471" i="26"/>
  <c r="A472" i="26"/>
  <c r="A473" i="26"/>
  <c r="A485" i="26"/>
  <c r="A486" i="26"/>
  <c r="A487" i="26"/>
  <c r="A488" i="26"/>
  <c r="A489" i="26"/>
  <c r="A490" i="26"/>
  <c r="A491" i="26"/>
  <c r="A492" i="26"/>
  <c r="A493" i="26"/>
  <c r="A494" i="26"/>
  <c r="A495" i="26"/>
  <c r="A496" i="26"/>
  <c r="A497" i="26"/>
  <c r="A498" i="26"/>
  <c r="A499" i="26"/>
  <c r="A500" i="26"/>
  <c r="A501" i="26"/>
  <c r="A502" i="26"/>
  <c r="A503" i="26"/>
  <c r="A517" i="26"/>
  <c r="A518" i="26"/>
  <c r="A519" i="26"/>
  <c r="A520" i="26"/>
  <c r="A521" i="26"/>
  <c r="A522" i="26"/>
  <c r="A523" i="26"/>
  <c r="A524" i="26"/>
  <c r="A525" i="26"/>
  <c r="A526" i="26"/>
  <c r="A527" i="26"/>
  <c r="A528" i="26"/>
  <c r="A529" i="26"/>
  <c r="A530" i="26"/>
  <c r="A265" i="26"/>
  <c r="A288" i="26"/>
  <c r="A313" i="26"/>
  <c r="A314" i="26"/>
  <c r="A315" i="26"/>
  <c r="A316" i="26"/>
  <c r="A317" i="26"/>
  <c r="A318" i="26"/>
  <c r="J571" i="26"/>
  <c r="H571" i="26"/>
  <c r="G571" i="26"/>
  <c r="F571" i="26"/>
  <c r="E571" i="26"/>
  <c r="J570" i="26"/>
  <c r="H570" i="26"/>
  <c r="G570" i="26"/>
  <c r="F570" i="26"/>
  <c r="E570" i="26"/>
  <c r="J569" i="26"/>
  <c r="H569" i="26"/>
  <c r="G569" i="26"/>
  <c r="F569" i="26"/>
  <c r="E569" i="26"/>
  <c r="J568" i="26"/>
  <c r="H568" i="26"/>
  <c r="G568" i="26"/>
  <c r="F568" i="26"/>
  <c r="E568" i="26"/>
  <c r="J106" i="26"/>
  <c r="H106" i="26"/>
  <c r="G106" i="26"/>
  <c r="F106" i="26"/>
  <c r="E106" i="26"/>
  <c r="D206" i="60"/>
  <c r="D207" i="60"/>
  <c r="D208" i="60"/>
  <c r="D209" i="60"/>
  <c r="D210" i="60"/>
  <c r="D211" i="60"/>
  <c r="D212" i="60"/>
  <c r="D213" i="60"/>
  <c r="D214" i="60"/>
  <c r="E214" i="60"/>
  <c r="C214" i="60"/>
  <c r="E213" i="60"/>
  <c r="C213" i="60"/>
  <c r="E212" i="60"/>
  <c r="C212" i="60"/>
  <c r="E211" i="60"/>
  <c r="C211" i="60"/>
  <c r="E210" i="60"/>
  <c r="C210" i="60"/>
  <c r="E209" i="60"/>
  <c r="C209" i="60"/>
  <c r="E208" i="60"/>
  <c r="C208" i="60"/>
  <c r="E207" i="60"/>
  <c r="C207" i="60"/>
  <c r="E206" i="60"/>
  <c r="C206" i="60"/>
  <c r="C595" i="24"/>
  <c r="B595" i="24"/>
  <c r="A595" i="24"/>
  <c r="O417" i="26"/>
  <c r="Q417" i="26"/>
  <c r="J417" i="26"/>
  <c r="H417" i="26"/>
  <c r="G417" i="26"/>
  <c r="E417" i="26"/>
  <c r="B591" i="24"/>
  <c r="B592" i="24"/>
  <c r="B593" i="24"/>
  <c r="B594" i="24"/>
  <c r="C591" i="24"/>
  <c r="C592" i="24"/>
  <c r="C593" i="24"/>
  <c r="C594" i="24"/>
  <c r="A594" i="24"/>
  <c r="A593" i="24"/>
  <c r="A592" i="24"/>
  <c r="A591" i="24"/>
  <c r="O416" i="26"/>
  <c r="Q416" i="26"/>
  <c r="J416" i="26"/>
  <c r="H416" i="26"/>
  <c r="G416" i="26"/>
  <c r="E416" i="26"/>
  <c r="O415" i="26"/>
  <c r="Q415" i="26"/>
  <c r="J415" i="26"/>
  <c r="H415" i="26"/>
  <c r="G415" i="26"/>
  <c r="E415" i="26"/>
  <c r="O414" i="26"/>
  <c r="Q414" i="26"/>
  <c r="J414" i="26"/>
  <c r="H414" i="26"/>
  <c r="G414" i="26"/>
  <c r="E414" i="26"/>
  <c r="O413" i="26"/>
  <c r="Q413" i="26"/>
  <c r="J413" i="26"/>
  <c r="H413" i="26"/>
  <c r="G413" i="26"/>
  <c r="E413" i="26"/>
  <c r="C587" i="24"/>
  <c r="C588" i="24"/>
  <c r="C589" i="24"/>
  <c r="C590" i="24"/>
  <c r="B587" i="24"/>
  <c r="B588" i="24"/>
  <c r="B589" i="24"/>
  <c r="B590" i="24"/>
  <c r="A590" i="24"/>
  <c r="A589" i="24"/>
  <c r="A588" i="24"/>
  <c r="A587" i="24"/>
  <c r="O412" i="26"/>
  <c r="Q412" i="26"/>
  <c r="J412" i="26"/>
  <c r="H412" i="26"/>
  <c r="G412" i="26"/>
  <c r="E412" i="26"/>
  <c r="O411" i="26"/>
  <c r="Q411" i="26"/>
  <c r="J411" i="26"/>
  <c r="H411" i="26"/>
  <c r="G411" i="26"/>
  <c r="E411" i="26"/>
  <c r="O410" i="26"/>
  <c r="Q410" i="26"/>
  <c r="J410" i="26"/>
  <c r="H410" i="26"/>
  <c r="G410" i="26"/>
  <c r="E410" i="26"/>
  <c r="O409" i="26"/>
  <c r="Q409" i="26"/>
  <c r="J409" i="26"/>
  <c r="H409" i="26"/>
  <c r="G409" i="26"/>
  <c r="E409" i="26"/>
  <c r="O540" i="26"/>
  <c r="O539" i="26"/>
  <c r="B193" i="59"/>
  <c r="O405" i="26"/>
  <c r="I4849" i="51"/>
  <c r="C4849" i="51"/>
  <c r="A4849" i="51"/>
  <c r="K4848" i="51"/>
  <c r="I4848" i="51"/>
  <c r="C4848" i="51"/>
  <c r="A4848" i="51"/>
  <c r="I4847" i="51"/>
  <c r="C4847" i="51"/>
  <c r="A4847" i="51"/>
  <c r="I4846" i="51"/>
  <c r="C4846" i="51"/>
  <c r="A4846" i="51"/>
  <c r="I4845" i="51"/>
  <c r="C4845" i="51"/>
  <c r="A4845" i="51"/>
  <c r="I4837" i="51"/>
  <c r="C4837" i="51"/>
  <c r="A4837" i="51"/>
  <c r="I5393" i="51"/>
  <c r="C5393" i="51"/>
  <c r="A5393" i="51"/>
  <c r="I5392" i="51"/>
  <c r="C5392" i="51"/>
  <c r="A5392" i="51"/>
  <c r="I5391" i="51"/>
  <c r="C5391" i="51"/>
  <c r="A5391" i="51"/>
  <c r="I4853" i="51"/>
  <c r="I4852" i="51"/>
  <c r="I4851" i="51"/>
  <c r="I4850" i="51"/>
  <c r="C4853" i="51"/>
  <c r="A4853" i="51"/>
  <c r="C4852" i="51"/>
  <c r="A4852" i="51"/>
  <c r="C4851" i="51"/>
  <c r="A4851" i="51"/>
  <c r="C4850" i="51"/>
  <c r="A4850" i="51"/>
  <c r="K4835" i="51"/>
  <c r="K4840" i="51"/>
  <c r="J4843" i="51"/>
  <c r="I4844" i="51"/>
  <c r="C4844" i="51"/>
  <c r="A4844" i="51"/>
  <c r="I4843" i="51"/>
  <c r="C4843" i="51"/>
  <c r="A4843" i="51"/>
  <c r="I4842" i="51"/>
  <c r="C4842" i="51"/>
  <c r="A4842" i="51"/>
  <c r="I4841" i="51"/>
  <c r="C4841" i="51"/>
  <c r="A4841" i="51"/>
  <c r="I4840" i="51"/>
  <c r="C4840" i="51"/>
  <c r="A4840" i="51"/>
  <c r="I4839" i="51"/>
  <c r="C4839" i="51"/>
  <c r="A4839" i="51"/>
  <c r="I4838" i="51"/>
  <c r="C4838" i="51"/>
  <c r="A4838" i="51"/>
  <c r="J4836" i="51"/>
  <c r="J4835" i="51"/>
  <c r="J4834" i="51"/>
  <c r="K4834" i="51"/>
  <c r="K4836" i="51"/>
  <c r="I4836" i="51"/>
  <c r="C4836" i="51"/>
  <c r="A4836" i="51"/>
  <c r="I4835" i="51"/>
  <c r="C4835" i="51"/>
  <c r="A4835" i="51"/>
  <c r="I4834" i="51"/>
  <c r="C4834" i="51"/>
  <c r="A4834" i="51"/>
  <c r="C585" i="24"/>
  <c r="B585" i="24"/>
  <c r="C69" i="24"/>
  <c r="C70" i="24"/>
  <c r="C71" i="24"/>
  <c r="C160" i="24"/>
  <c r="C159" i="24"/>
  <c r="C158" i="24"/>
  <c r="C157" i="24"/>
  <c r="C156" i="24"/>
  <c r="C402" i="24"/>
  <c r="C418" i="24"/>
  <c r="C437" i="24"/>
  <c r="C438" i="24"/>
  <c r="C440" i="24"/>
  <c r="C441" i="24"/>
  <c r="C442" i="24"/>
  <c r="C462" i="24"/>
  <c r="C491" i="24"/>
  <c r="C492" i="24"/>
  <c r="C527" i="24"/>
  <c r="C528" i="24"/>
  <c r="C529" i="24"/>
  <c r="C530" i="24"/>
  <c r="C531" i="24"/>
  <c r="C532" i="24"/>
  <c r="C533" i="24"/>
  <c r="C534" i="24"/>
  <c r="C535" i="24"/>
  <c r="C536" i="24"/>
  <c r="C537" i="24"/>
  <c r="C538" i="24"/>
  <c r="C539" i="24"/>
  <c r="C540" i="24"/>
  <c r="C541" i="24"/>
  <c r="C542" i="24"/>
  <c r="C543" i="24"/>
  <c r="C544" i="24"/>
  <c r="C545" i="24"/>
  <c r="C546" i="24"/>
  <c r="C547" i="24"/>
  <c r="C548" i="24"/>
  <c r="C549" i="24"/>
  <c r="C550" i="24"/>
  <c r="C551" i="24"/>
  <c r="C552" i="24"/>
  <c r="C553" i="24"/>
  <c r="C554" i="24"/>
  <c r="C555" i="24"/>
  <c r="C556" i="24"/>
  <c r="C557" i="24"/>
  <c r="C558" i="24"/>
  <c r="C559" i="24"/>
  <c r="C560" i="24"/>
  <c r="C561" i="24"/>
  <c r="C562" i="24"/>
  <c r="C563" i="24"/>
  <c r="C564" i="24"/>
  <c r="C565" i="24"/>
  <c r="C566" i="24"/>
  <c r="C567" i="24"/>
  <c r="C568" i="24"/>
  <c r="C569" i="24"/>
  <c r="C570" i="24"/>
  <c r="C571" i="24"/>
  <c r="C572" i="24"/>
  <c r="C573" i="24"/>
  <c r="C574" i="24"/>
  <c r="C575" i="24"/>
  <c r="C576" i="24"/>
  <c r="C577" i="24"/>
  <c r="C578" i="24"/>
  <c r="C579" i="24"/>
  <c r="C580" i="24"/>
  <c r="C581" i="24"/>
  <c r="C582" i="24"/>
  <c r="C583" i="24"/>
  <c r="C584" i="24"/>
  <c r="C586" i="24"/>
  <c r="Q405" i="26"/>
  <c r="B491" i="24"/>
  <c r="B492" i="24"/>
  <c r="A513" i="24"/>
  <c r="A512" i="24"/>
  <c r="A511" i="24"/>
  <c r="H567" i="26"/>
  <c r="H566" i="26"/>
  <c r="H565" i="26"/>
  <c r="J567" i="26"/>
  <c r="G567" i="26"/>
  <c r="F567" i="26"/>
  <c r="E567" i="26"/>
  <c r="Q566" i="26"/>
  <c r="J566" i="26"/>
  <c r="G566" i="26"/>
  <c r="F566" i="26"/>
  <c r="E566" i="26"/>
  <c r="Q565" i="26"/>
  <c r="J565" i="26"/>
  <c r="G565" i="26"/>
  <c r="F565" i="26"/>
  <c r="E565" i="26"/>
  <c r="E205" i="60"/>
  <c r="D205" i="60"/>
  <c r="C205" i="60"/>
  <c r="A205" i="60"/>
  <c r="E204" i="60"/>
  <c r="D204" i="60"/>
  <c r="C204" i="60"/>
  <c r="A204" i="60"/>
  <c r="E203" i="60"/>
  <c r="D203" i="60"/>
  <c r="C203" i="60"/>
  <c r="A203" i="60"/>
  <c r="E202" i="60"/>
  <c r="D202" i="60"/>
  <c r="C202" i="60"/>
  <c r="A202" i="60"/>
  <c r="E201" i="60"/>
  <c r="D201" i="60"/>
  <c r="C201" i="60"/>
  <c r="A201" i="60"/>
  <c r="B586" i="24"/>
  <c r="A586" i="24"/>
  <c r="B527" i="24"/>
  <c r="B528" i="24"/>
  <c r="B529" i="24"/>
  <c r="B530" i="24"/>
  <c r="B531" i="24"/>
  <c r="B532" i="24"/>
  <c r="B533" i="24"/>
  <c r="B534" i="24"/>
  <c r="B535" i="24"/>
  <c r="B536" i="24"/>
  <c r="B537" i="24"/>
  <c r="B538" i="24"/>
  <c r="B539" i="24"/>
  <c r="B540" i="24"/>
  <c r="B541" i="24"/>
  <c r="B542" i="24"/>
  <c r="B543" i="24"/>
  <c r="B544" i="24"/>
  <c r="B545" i="24"/>
  <c r="B546" i="24"/>
  <c r="B547" i="24"/>
  <c r="B548" i="24"/>
  <c r="B549" i="24"/>
  <c r="B550" i="24"/>
  <c r="B551" i="24"/>
  <c r="B552" i="24"/>
  <c r="B553" i="24"/>
  <c r="B554" i="24"/>
  <c r="B555" i="24"/>
  <c r="B556" i="24"/>
  <c r="B557" i="24"/>
  <c r="B558" i="24"/>
  <c r="B559" i="24"/>
  <c r="B560" i="24"/>
  <c r="B561" i="24"/>
  <c r="B562" i="24"/>
  <c r="B563" i="24"/>
  <c r="B564" i="24"/>
  <c r="B565" i="24"/>
  <c r="B566" i="24"/>
  <c r="B567" i="24"/>
  <c r="B568" i="24"/>
  <c r="B569" i="24"/>
  <c r="B570" i="24"/>
  <c r="B571" i="24"/>
  <c r="B572" i="24"/>
  <c r="B573" i="24"/>
  <c r="B574" i="24"/>
  <c r="B575" i="24"/>
  <c r="B576" i="24"/>
  <c r="B577" i="24"/>
  <c r="B578" i="24"/>
  <c r="B579" i="24"/>
  <c r="B580" i="24"/>
  <c r="B581" i="24"/>
  <c r="B582" i="24"/>
  <c r="B583" i="24"/>
  <c r="B584" i="24"/>
  <c r="A585" i="24"/>
  <c r="G584" i="24"/>
  <c r="A584" i="24"/>
  <c r="G583" i="24"/>
  <c r="A583" i="24"/>
  <c r="G582" i="24"/>
  <c r="A582" i="24"/>
  <c r="O406" i="26"/>
  <c r="O408" i="26"/>
  <c r="O407" i="26"/>
  <c r="Q408" i="26"/>
  <c r="Q407" i="26"/>
  <c r="J408" i="26"/>
  <c r="H408" i="26"/>
  <c r="G408" i="26"/>
  <c r="E408" i="26"/>
  <c r="J407" i="26"/>
  <c r="H407" i="26"/>
  <c r="G407" i="26"/>
  <c r="E407" i="26"/>
  <c r="Q406" i="26"/>
  <c r="J406" i="26"/>
  <c r="H406" i="26"/>
  <c r="G406" i="26"/>
  <c r="E406" i="26"/>
  <c r="J405" i="26"/>
  <c r="H405" i="26"/>
  <c r="G405" i="26"/>
  <c r="E405" i="26"/>
  <c r="O404" i="26"/>
  <c r="Q404" i="26"/>
  <c r="J404" i="26"/>
  <c r="H404" i="26"/>
  <c r="G404" i="26"/>
  <c r="E404" i="26"/>
  <c r="A200" i="60"/>
  <c r="A199" i="60"/>
  <c r="I4829" i="51"/>
  <c r="K4829" i="51"/>
  <c r="I4826" i="51"/>
  <c r="I4833" i="51"/>
  <c r="C4833" i="51"/>
  <c r="A4833" i="51"/>
  <c r="I4832" i="51"/>
  <c r="J4832" i="51"/>
  <c r="C4832" i="51"/>
  <c r="A4832" i="51"/>
  <c r="I4831" i="51"/>
  <c r="J4831" i="51"/>
  <c r="C4831" i="51"/>
  <c r="A4831" i="51"/>
  <c r="I4830" i="51"/>
  <c r="K4830" i="51"/>
  <c r="C4830" i="51"/>
  <c r="A4830" i="51"/>
  <c r="C4829" i="51"/>
  <c r="A4829" i="51"/>
  <c r="I4827" i="51"/>
  <c r="I4828" i="51"/>
  <c r="C4828" i="51"/>
  <c r="A4828" i="51"/>
  <c r="C4827" i="51"/>
  <c r="A4827" i="51"/>
  <c r="C4826" i="51"/>
  <c r="A4826" i="51"/>
  <c r="K4825" i="51"/>
  <c r="I4825" i="51"/>
  <c r="E4776" i="51"/>
  <c r="E4777" i="51"/>
  <c r="E4778" i="51"/>
  <c r="E4779" i="51"/>
  <c r="E4780" i="51"/>
  <c r="E4781" i="51"/>
  <c r="E4782" i="51"/>
  <c r="E4783" i="51"/>
  <c r="E4784" i="51"/>
  <c r="E4785" i="51"/>
  <c r="E4786" i="51"/>
  <c r="E4787" i="51"/>
  <c r="E4788" i="51"/>
  <c r="E4789" i="51"/>
  <c r="E4790" i="51"/>
  <c r="E4791" i="51"/>
  <c r="E4792" i="51"/>
  <c r="E4793" i="51"/>
  <c r="E4794" i="51"/>
  <c r="E4795" i="51"/>
  <c r="E4796" i="51"/>
  <c r="E4797" i="51"/>
  <c r="E4798" i="51"/>
  <c r="E4799" i="51"/>
  <c r="E4800" i="51"/>
  <c r="E4801" i="51"/>
  <c r="E4802" i="51"/>
  <c r="E4803" i="51"/>
  <c r="E4804" i="51"/>
  <c r="E4805" i="51"/>
  <c r="E4806" i="51"/>
  <c r="E4807" i="51"/>
  <c r="E4808" i="51"/>
  <c r="E4809" i="51"/>
  <c r="E4810" i="51"/>
  <c r="E4811" i="51"/>
  <c r="E4812" i="51"/>
  <c r="E4813" i="51"/>
  <c r="E4814" i="51"/>
  <c r="E4815" i="51"/>
  <c r="E4816" i="51"/>
  <c r="E4817" i="51"/>
  <c r="E4818" i="51"/>
  <c r="E4819" i="51"/>
  <c r="E4820" i="51"/>
  <c r="E4821" i="51"/>
  <c r="E4822" i="51"/>
  <c r="E4823" i="51"/>
  <c r="E4824" i="51"/>
  <c r="E4825" i="51"/>
  <c r="C4825" i="51"/>
  <c r="A4825" i="51"/>
  <c r="I4824" i="51"/>
  <c r="C4824" i="51"/>
  <c r="A4824" i="51"/>
  <c r="I4823" i="51"/>
  <c r="C4823" i="51"/>
  <c r="A4823" i="51"/>
  <c r="I4822" i="51"/>
  <c r="C4822" i="51"/>
  <c r="A4822" i="51"/>
  <c r="I4821" i="51"/>
  <c r="C4821" i="51"/>
  <c r="A4821" i="51"/>
  <c r="K4820" i="51"/>
  <c r="I4820" i="51"/>
  <c r="C4820" i="51"/>
  <c r="A4820" i="51"/>
  <c r="I4819" i="51"/>
  <c r="C4819" i="51"/>
  <c r="A4819" i="51"/>
  <c r="I4818" i="51"/>
  <c r="C4818" i="51"/>
  <c r="A4818" i="51"/>
  <c r="I4817" i="51"/>
  <c r="C4817" i="51"/>
  <c r="A4817" i="51"/>
  <c r="I4816" i="51"/>
  <c r="C4816" i="51"/>
  <c r="A4816" i="51"/>
  <c r="K4815" i="51"/>
  <c r="I4815" i="51"/>
  <c r="C4815" i="51"/>
  <c r="A4815" i="51"/>
  <c r="I4814" i="51"/>
  <c r="C4814" i="51"/>
  <c r="A4814" i="51"/>
  <c r="I4813" i="51"/>
  <c r="C4813" i="51"/>
  <c r="A4813" i="51"/>
  <c r="I4812" i="51"/>
  <c r="C4812" i="51"/>
  <c r="A4812" i="51"/>
  <c r="I4811" i="51"/>
  <c r="C4811" i="51"/>
  <c r="A4811" i="51"/>
  <c r="K4810" i="51"/>
  <c r="I4810" i="51"/>
  <c r="C4810" i="51"/>
  <c r="A4810" i="51"/>
  <c r="I4809" i="51"/>
  <c r="C4809" i="51"/>
  <c r="A4809" i="51"/>
  <c r="I4808" i="51"/>
  <c r="C4808" i="51"/>
  <c r="A4808" i="51"/>
  <c r="I4807" i="51"/>
  <c r="C4807" i="51"/>
  <c r="A4807" i="51"/>
  <c r="I4806" i="51"/>
  <c r="C4806" i="51"/>
  <c r="A4806" i="51"/>
  <c r="K4805" i="51"/>
  <c r="I4805" i="51"/>
  <c r="C4805" i="51"/>
  <c r="A4805" i="51"/>
  <c r="I4804" i="51"/>
  <c r="C4804" i="51"/>
  <c r="A4804" i="51"/>
  <c r="I4803" i="51"/>
  <c r="C4803" i="51"/>
  <c r="A4803" i="51"/>
  <c r="I4802" i="51"/>
  <c r="C4802" i="51"/>
  <c r="A4802" i="51"/>
  <c r="I4801" i="51"/>
  <c r="C4801" i="51"/>
  <c r="A4801" i="51"/>
  <c r="K4800" i="51"/>
  <c r="I4800" i="51"/>
  <c r="C4800" i="51"/>
  <c r="A4800" i="51"/>
  <c r="I4799" i="51"/>
  <c r="C4799" i="51"/>
  <c r="A4799" i="51"/>
  <c r="I4798" i="51"/>
  <c r="C4798" i="51"/>
  <c r="A4798" i="51"/>
  <c r="I4797" i="51"/>
  <c r="C4797" i="51"/>
  <c r="A4797" i="51"/>
  <c r="I4796" i="51"/>
  <c r="C4796" i="51"/>
  <c r="A4796" i="51"/>
  <c r="K4795" i="51"/>
  <c r="I4795" i="51"/>
  <c r="C4795" i="51"/>
  <c r="A4795" i="51"/>
  <c r="I4794" i="51"/>
  <c r="C4794" i="51"/>
  <c r="A4794" i="51"/>
  <c r="I4793" i="51"/>
  <c r="C4793" i="51"/>
  <c r="A4793" i="51"/>
  <c r="I4792" i="51"/>
  <c r="C4792" i="51"/>
  <c r="A4792" i="51"/>
  <c r="I4791" i="51"/>
  <c r="C4791" i="51"/>
  <c r="A4791" i="51"/>
  <c r="K4790" i="51"/>
  <c r="I4790" i="51"/>
  <c r="C4790" i="51"/>
  <c r="A4790" i="51"/>
  <c r="I4789" i="51"/>
  <c r="C4789" i="51"/>
  <c r="A4789" i="51"/>
  <c r="I4788" i="51"/>
  <c r="C4788" i="51"/>
  <c r="A4788" i="51"/>
  <c r="I4787" i="51"/>
  <c r="C4787" i="51"/>
  <c r="A4787" i="51"/>
  <c r="I4786" i="51"/>
  <c r="C4786" i="51"/>
  <c r="A4786" i="51"/>
  <c r="K4785" i="51"/>
  <c r="I4785" i="51"/>
  <c r="C4785" i="51"/>
  <c r="A4785" i="51"/>
  <c r="I4784" i="51"/>
  <c r="C4784" i="51"/>
  <c r="A4784" i="51"/>
  <c r="I4783" i="51"/>
  <c r="C4783" i="51"/>
  <c r="A4783" i="51"/>
  <c r="I4782" i="51"/>
  <c r="C4782" i="51"/>
  <c r="A4782" i="51"/>
  <c r="I4781" i="51"/>
  <c r="C4781" i="51"/>
  <c r="A4781" i="51"/>
  <c r="K4780" i="51"/>
  <c r="I4780" i="51"/>
  <c r="C4780" i="51"/>
  <c r="A4780" i="51"/>
  <c r="I4779" i="51"/>
  <c r="C4779" i="51"/>
  <c r="A4779" i="51"/>
  <c r="I4778" i="51"/>
  <c r="C4778" i="51"/>
  <c r="A4778" i="51"/>
  <c r="I4777" i="51"/>
  <c r="C4777" i="51"/>
  <c r="A4777" i="51"/>
  <c r="I4776" i="51"/>
  <c r="C4776" i="51"/>
  <c r="A4776" i="51"/>
  <c r="I4775" i="51"/>
  <c r="C4775" i="51"/>
  <c r="A4775" i="51"/>
  <c r="O403" i="26"/>
  <c r="E200" i="60"/>
  <c r="D200" i="60"/>
  <c r="C200" i="60"/>
  <c r="E199" i="60"/>
  <c r="C199" i="60"/>
  <c r="G581" i="24"/>
  <c r="G580" i="24"/>
  <c r="A581" i="24"/>
  <c r="A580" i="24"/>
  <c r="Q403" i="26"/>
  <c r="J403" i="26"/>
  <c r="H403" i="26"/>
  <c r="G403" i="26"/>
  <c r="E403" i="26"/>
  <c r="O402" i="26"/>
  <c r="Q402" i="26"/>
  <c r="J402" i="26"/>
  <c r="G402" i="26"/>
  <c r="E402" i="26"/>
  <c r="I4774" i="51"/>
  <c r="K4774" i="51"/>
  <c r="J4774" i="51"/>
  <c r="E4725" i="51"/>
  <c r="E4726" i="51"/>
  <c r="E4727" i="51"/>
  <c r="E4728" i="51"/>
  <c r="E4729" i="51"/>
  <c r="E4730" i="51"/>
  <c r="E4731" i="51"/>
  <c r="E4732" i="51"/>
  <c r="E4733" i="51"/>
  <c r="E4734" i="51"/>
  <c r="E4735" i="51"/>
  <c r="E4736" i="51"/>
  <c r="E4737" i="51"/>
  <c r="E4738" i="51"/>
  <c r="E4739" i="51"/>
  <c r="E4740" i="51"/>
  <c r="E4741" i="51"/>
  <c r="E4742" i="51"/>
  <c r="E4743" i="51"/>
  <c r="E4744" i="51"/>
  <c r="E4745" i="51"/>
  <c r="E4746" i="51"/>
  <c r="E4747" i="51"/>
  <c r="E4748" i="51"/>
  <c r="E4749" i="51"/>
  <c r="E4750" i="51"/>
  <c r="E4751" i="51"/>
  <c r="E4752" i="51"/>
  <c r="E4753" i="51"/>
  <c r="E4754" i="51"/>
  <c r="E4755" i="51"/>
  <c r="E4756" i="51"/>
  <c r="E4757" i="51"/>
  <c r="E4758" i="51"/>
  <c r="E4759" i="51"/>
  <c r="E4760" i="51"/>
  <c r="E4761" i="51"/>
  <c r="E4762" i="51"/>
  <c r="E4763" i="51"/>
  <c r="E4764" i="51"/>
  <c r="E4765" i="51"/>
  <c r="E4766" i="51"/>
  <c r="E4767" i="51"/>
  <c r="E4768" i="51"/>
  <c r="E4769" i="51"/>
  <c r="E4770" i="51"/>
  <c r="E4771" i="51"/>
  <c r="E4772" i="51"/>
  <c r="E4773" i="51"/>
  <c r="E4774" i="51"/>
  <c r="C4774" i="51"/>
  <c r="A4774" i="51"/>
  <c r="I4773" i="51"/>
  <c r="K4773" i="51"/>
  <c r="C4773" i="51"/>
  <c r="A4773" i="51"/>
  <c r="I4772" i="51"/>
  <c r="K4772" i="51"/>
  <c r="C4772" i="51"/>
  <c r="A4772" i="51"/>
  <c r="I4771" i="51"/>
  <c r="K4771" i="51"/>
  <c r="C4771" i="51"/>
  <c r="A4771" i="51"/>
  <c r="I4770" i="51"/>
  <c r="K4770" i="51"/>
  <c r="C4770" i="51"/>
  <c r="A4770" i="51"/>
  <c r="I4769" i="51"/>
  <c r="K4769" i="51"/>
  <c r="J4769" i="51"/>
  <c r="C4769" i="51"/>
  <c r="A4769" i="51"/>
  <c r="I4768" i="51"/>
  <c r="K4768" i="51"/>
  <c r="C4768" i="51"/>
  <c r="A4768" i="51"/>
  <c r="I4767" i="51"/>
  <c r="K4767" i="51"/>
  <c r="C4767" i="51"/>
  <c r="A4767" i="51"/>
  <c r="I4766" i="51"/>
  <c r="K4766" i="51"/>
  <c r="C4766" i="51"/>
  <c r="A4766" i="51"/>
  <c r="I4765" i="51"/>
  <c r="K4765" i="51"/>
  <c r="C4765" i="51"/>
  <c r="A4765" i="51"/>
  <c r="I4764" i="51"/>
  <c r="K4764" i="51"/>
  <c r="J4764" i="51"/>
  <c r="C4764" i="51"/>
  <c r="A4764" i="51"/>
  <c r="I4763" i="51"/>
  <c r="K4763" i="51"/>
  <c r="C4763" i="51"/>
  <c r="A4763" i="51"/>
  <c r="I4762" i="51"/>
  <c r="K4762" i="51"/>
  <c r="C4762" i="51"/>
  <c r="A4762" i="51"/>
  <c r="I4761" i="51"/>
  <c r="K4761" i="51"/>
  <c r="C4761" i="51"/>
  <c r="A4761" i="51"/>
  <c r="I4760" i="51"/>
  <c r="K4760" i="51"/>
  <c r="C4760" i="51"/>
  <c r="A4760" i="51"/>
  <c r="I4759" i="51"/>
  <c r="K4759" i="51"/>
  <c r="J4759" i="51"/>
  <c r="C4759" i="51"/>
  <c r="A4759" i="51"/>
  <c r="I4758" i="51"/>
  <c r="K4758" i="51"/>
  <c r="C4758" i="51"/>
  <c r="A4758" i="51"/>
  <c r="I4757" i="51"/>
  <c r="K4757" i="51"/>
  <c r="C4757" i="51"/>
  <c r="A4757" i="51"/>
  <c r="I4756" i="51"/>
  <c r="K4756" i="51"/>
  <c r="C4756" i="51"/>
  <c r="A4756" i="51"/>
  <c r="I4755" i="51"/>
  <c r="K4755" i="51"/>
  <c r="C4755" i="51"/>
  <c r="A4755" i="51"/>
  <c r="I4754" i="51"/>
  <c r="K4754" i="51"/>
  <c r="J4754" i="51"/>
  <c r="C4754" i="51"/>
  <c r="A4754" i="51"/>
  <c r="I4753" i="51"/>
  <c r="K4753" i="51"/>
  <c r="C4753" i="51"/>
  <c r="A4753" i="51"/>
  <c r="I4752" i="51"/>
  <c r="K4752" i="51"/>
  <c r="C4752" i="51"/>
  <c r="A4752" i="51"/>
  <c r="I4751" i="51"/>
  <c r="K4751" i="51"/>
  <c r="C4751" i="51"/>
  <c r="A4751" i="51"/>
  <c r="I4750" i="51"/>
  <c r="K4750" i="51"/>
  <c r="C4750" i="51"/>
  <c r="A4750" i="51"/>
  <c r="I4749" i="51"/>
  <c r="K4749" i="51"/>
  <c r="J4749" i="51"/>
  <c r="C4749" i="51"/>
  <c r="A4749" i="51"/>
  <c r="I4748" i="51"/>
  <c r="K4748" i="51"/>
  <c r="C4748" i="51"/>
  <c r="A4748" i="51"/>
  <c r="I4747" i="51"/>
  <c r="K4747" i="51"/>
  <c r="C4747" i="51"/>
  <c r="A4747" i="51"/>
  <c r="I4746" i="51"/>
  <c r="K4746" i="51"/>
  <c r="C4746" i="51"/>
  <c r="A4746" i="51"/>
  <c r="I4745" i="51"/>
  <c r="K4745" i="51"/>
  <c r="C4745" i="51"/>
  <c r="A4745" i="51"/>
  <c r="I4744" i="51"/>
  <c r="K4744" i="51"/>
  <c r="J4744" i="51"/>
  <c r="C4744" i="51"/>
  <c r="A4744" i="51"/>
  <c r="I4743" i="51"/>
  <c r="K4743" i="51"/>
  <c r="C4743" i="51"/>
  <c r="A4743" i="51"/>
  <c r="I4742" i="51"/>
  <c r="K4742" i="51"/>
  <c r="C4742" i="51"/>
  <c r="A4742" i="51"/>
  <c r="I4741" i="51"/>
  <c r="K4741" i="51"/>
  <c r="C4741" i="51"/>
  <c r="A4741" i="51"/>
  <c r="I4740" i="51"/>
  <c r="K4740" i="51"/>
  <c r="C4740" i="51"/>
  <c r="A4740" i="51"/>
  <c r="I4739" i="51"/>
  <c r="K4739" i="51"/>
  <c r="J4739" i="51"/>
  <c r="C4739" i="51"/>
  <c r="A4739" i="51"/>
  <c r="I4738" i="51"/>
  <c r="K4738" i="51"/>
  <c r="C4738" i="51"/>
  <c r="A4738" i="51"/>
  <c r="I4737" i="51"/>
  <c r="K4737" i="51"/>
  <c r="C4737" i="51"/>
  <c r="A4737" i="51"/>
  <c r="I4736" i="51"/>
  <c r="K4736" i="51"/>
  <c r="C4736" i="51"/>
  <c r="A4736" i="51"/>
  <c r="I4735" i="51"/>
  <c r="K4735" i="51"/>
  <c r="C4735" i="51"/>
  <c r="A4735" i="51"/>
  <c r="I4734" i="51"/>
  <c r="K4734" i="51"/>
  <c r="J4734" i="51"/>
  <c r="C4734" i="51"/>
  <c r="A4734" i="51"/>
  <c r="I4733" i="51"/>
  <c r="K4733" i="51"/>
  <c r="C4733" i="51"/>
  <c r="A4733" i="51"/>
  <c r="I4732" i="51"/>
  <c r="K4732" i="51"/>
  <c r="C4732" i="51"/>
  <c r="A4732" i="51"/>
  <c r="I4731" i="51"/>
  <c r="K4731" i="51"/>
  <c r="C4731" i="51"/>
  <c r="A4731" i="51"/>
  <c r="I4730" i="51"/>
  <c r="K4730" i="51"/>
  <c r="C4730" i="51"/>
  <c r="A4730" i="51"/>
  <c r="I4729" i="51"/>
  <c r="K4729" i="51"/>
  <c r="J4729" i="51"/>
  <c r="C4729" i="51"/>
  <c r="A4729" i="51"/>
  <c r="I4728" i="51"/>
  <c r="K4728" i="51"/>
  <c r="C4728" i="51"/>
  <c r="A4728" i="51"/>
  <c r="I4727" i="51"/>
  <c r="K4727" i="51"/>
  <c r="C4727" i="51"/>
  <c r="A4727" i="51"/>
  <c r="I4726" i="51"/>
  <c r="K4726" i="51"/>
  <c r="C4726" i="51"/>
  <c r="A4726" i="51"/>
  <c r="I4725" i="51"/>
  <c r="K4725" i="51"/>
  <c r="C4725" i="51"/>
  <c r="A4725" i="51"/>
  <c r="I4724" i="51"/>
  <c r="K4724" i="51"/>
  <c r="C4724" i="51"/>
  <c r="A4724" i="51"/>
  <c r="I4723" i="51"/>
  <c r="C4723" i="51"/>
  <c r="A4723" i="51"/>
  <c r="I4722" i="51"/>
  <c r="K4722" i="51"/>
  <c r="J4722" i="51"/>
  <c r="E4673" i="51"/>
  <c r="E4674" i="51"/>
  <c r="E4675" i="51"/>
  <c r="E4676" i="51"/>
  <c r="E4677" i="51"/>
  <c r="E4678" i="51"/>
  <c r="E4679" i="51"/>
  <c r="E4680" i="51"/>
  <c r="E4681" i="51"/>
  <c r="E4682" i="51"/>
  <c r="E4683" i="51"/>
  <c r="E4684" i="51"/>
  <c r="E4685" i="51"/>
  <c r="E4686" i="51"/>
  <c r="E4687" i="51"/>
  <c r="E4688" i="51"/>
  <c r="E4689" i="51"/>
  <c r="E4690" i="51"/>
  <c r="E4691" i="51"/>
  <c r="E4692" i="51"/>
  <c r="E4693" i="51"/>
  <c r="E4694" i="51"/>
  <c r="E4695" i="51"/>
  <c r="E4696" i="51"/>
  <c r="E4697" i="51"/>
  <c r="E4698" i="51"/>
  <c r="E4699" i="51"/>
  <c r="E4700" i="51"/>
  <c r="E4701" i="51"/>
  <c r="E4702" i="51"/>
  <c r="E4703" i="51"/>
  <c r="E4704" i="51"/>
  <c r="E4705" i="51"/>
  <c r="E4706" i="51"/>
  <c r="E4707" i="51"/>
  <c r="E4708" i="51"/>
  <c r="E4709" i="51"/>
  <c r="E4710" i="51"/>
  <c r="E4711" i="51"/>
  <c r="E4712" i="51"/>
  <c r="E4713" i="51"/>
  <c r="E4714" i="51"/>
  <c r="E4715" i="51"/>
  <c r="E4716" i="51"/>
  <c r="E4717" i="51"/>
  <c r="E4718" i="51"/>
  <c r="E4719" i="51"/>
  <c r="E4720" i="51"/>
  <c r="E4721" i="51"/>
  <c r="E4722" i="51"/>
  <c r="C4722" i="51"/>
  <c r="A4722" i="51"/>
  <c r="I4721" i="51"/>
  <c r="K4721" i="51"/>
  <c r="C4721" i="51"/>
  <c r="A4721" i="51"/>
  <c r="I4720" i="51"/>
  <c r="K4720" i="51"/>
  <c r="C4720" i="51"/>
  <c r="A4720" i="51"/>
  <c r="I4719" i="51"/>
  <c r="K4719" i="51"/>
  <c r="C4719" i="51"/>
  <c r="A4719" i="51"/>
  <c r="I4718" i="51"/>
  <c r="K4718" i="51"/>
  <c r="C4718" i="51"/>
  <c r="A4718" i="51"/>
  <c r="I4717" i="51"/>
  <c r="K4717" i="51"/>
  <c r="J4717" i="51"/>
  <c r="C4717" i="51"/>
  <c r="A4717" i="51"/>
  <c r="I4716" i="51"/>
  <c r="K4716" i="51"/>
  <c r="C4716" i="51"/>
  <c r="A4716" i="51"/>
  <c r="I4715" i="51"/>
  <c r="K4715" i="51"/>
  <c r="C4715" i="51"/>
  <c r="A4715" i="51"/>
  <c r="I4714" i="51"/>
  <c r="K4714" i="51"/>
  <c r="C4714" i="51"/>
  <c r="A4714" i="51"/>
  <c r="I4713" i="51"/>
  <c r="K4713" i="51"/>
  <c r="C4713" i="51"/>
  <c r="A4713" i="51"/>
  <c r="I4712" i="51"/>
  <c r="K4712" i="51"/>
  <c r="J4712" i="51"/>
  <c r="C4712" i="51"/>
  <c r="A4712" i="51"/>
  <c r="I4711" i="51"/>
  <c r="K4711" i="51"/>
  <c r="C4711" i="51"/>
  <c r="A4711" i="51"/>
  <c r="I4710" i="51"/>
  <c r="K4710" i="51"/>
  <c r="C4710" i="51"/>
  <c r="A4710" i="51"/>
  <c r="I4709" i="51"/>
  <c r="K4709" i="51"/>
  <c r="C4709" i="51"/>
  <c r="A4709" i="51"/>
  <c r="I4708" i="51"/>
  <c r="K4708" i="51"/>
  <c r="C4708" i="51"/>
  <c r="A4708" i="51"/>
  <c r="I4707" i="51"/>
  <c r="K4707" i="51"/>
  <c r="J4707" i="51"/>
  <c r="C4707" i="51"/>
  <c r="A4707" i="51"/>
  <c r="I4706" i="51"/>
  <c r="K4706" i="51"/>
  <c r="C4706" i="51"/>
  <c r="A4706" i="51"/>
  <c r="I4705" i="51"/>
  <c r="K4705" i="51"/>
  <c r="C4705" i="51"/>
  <c r="A4705" i="51"/>
  <c r="I4704" i="51"/>
  <c r="K4704" i="51"/>
  <c r="C4704" i="51"/>
  <c r="A4704" i="51"/>
  <c r="I4703" i="51"/>
  <c r="K4703" i="51"/>
  <c r="C4703" i="51"/>
  <c r="A4703" i="51"/>
  <c r="I4702" i="51"/>
  <c r="K4702" i="51"/>
  <c r="J4702" i="51"/>
  <c r="C4702" i="51"/>
  <c r="A4702" i="51"/>
  <c r="I4701" i="51"/>
  <c r="K4701" i="51"/>
  <c r="C4701" i="51"/>
  <c r="A4701" i="51"/>
  <c r="I4700" i="51"/>
  <c r="K4700" i="51"/>
  <c r="C4700" i="51"/>
  <c r="A4700" i="51"/>
  <c r="I4699" i="51"/>
  <c r="K4699" i="51"/>
  <c r="C4699" i="51"/>
  <c r="A4699" i="51"/>
  <c r="I4698" i="51"/>
  <c r="K4698" i="51"/>
  <c r="C4698" i="51"/>
  <c r="A4698" i="51"/>
  <c r="I4697" i="51"/>
  <c r="K4697" i="51"/>
  <c r="J4697" i="51"/>
  <c r="C4697" i="51"/>
  <c r="A4697" i="51"/>
  <c r="I4696" i="51"/>
  <c r="K4696" i="51"/>
  <c r="C4696" i="51"/>
  <c r="A4696" i="51"/>
  <c r="I4695" i="51"/>
  <c r="K4695" i="51"/>
  <c r="C4695" i="51"/>
  <c r="A4695" i="51"/>
  <c r="I4694" i="51"/>
  <c r="K4694" i="51"/>
  <c r="C4694" i="51"/>
  <c r="A4694" i="51"/>
  <c r="I4693" i="51"/>
  <c r="K4693" i="51"/>
  <c r="C4693" i="51"/>
  <c r="A4693" i="51"/>
  <c r="I4692" i="51"/>
  <c r="K4692" i="51"/>
  <c r="J4692" i="51"/>
  <c r="C4692" i="51"/>
  <c r="A4692" i="51"/>
  <c r="I4691" i="51"/>
  <c r="K4691" i="51"/>
  <c r="C4691" i="51"/>
  <c r="A4691" i="51"/>
  <c r="I4690" i="51"/>
  <c r="K4690" i="51"/>
  <c r="C4690" i="51"/>
  <c r="A4690" i="51"/>
  <c r="I4689" i="51"/>
  <c r="K4689" i="51"/>
  <c r="C4689" i="51"/>
  <c r="A4689" i="51"/>
  <c r="I4688" i="51"/>
  <c r="K4688" i="51"/>
  <c r="C4688" i="51"/>
  <c r="A4688" i="51"/>
  <c r="I4687" i="51"/>
  <c r="K4687" i="51"/>
  <c r="J4687" i="51"/>
  <c r="C4687" i="51"/>
  <c r="A4687" i="51"/>
  <c r="I4686" i="51"/>
  <c r="K4686" i="51"/>
  <c r="C4686" i="51"/>
  <c r="A4686" i="51"/>
  <c r="I4685" i="51"/>
  <c r="K4685" i="51"/>
  <c r="C4685" i="51"/>
  <c r="A4685" i="51"/>
  <c r="I4684" i="51"/>
  <c r="K4684" i="51"/>
  <c r="C4684" i="51"/>
  <c r="A4684" i="51"/>
  <c r="I4683" i="51"/>
  <c r="K4683" i="51"/>
  <c r="C4683" i="51"/>
  <c r="A4683" i="51"/>
  <c r="I4682" i="51"/>
  <c r="K4682" i="51"/>
  <c r="J4682" i="51"/>
  <c r="C4682" i="51"/>
  <c r="A4682" i="51"/>
  <c r="I4681" i="51"/>
  <c r="K4681" i="51"/>
  <c r="C4681" i="51"/>
  <c r="A4681" i="51"/>
  <c r="I4680" i="51"/>
  <c r="K4680" i="51"/>
  <c r="C4680" i="51"/>
  <c r="A4680" i="51"/>
  <c r="I4679" i="51"/>
  <c r="K4679" i="51"/>
  <c r="C4679" i="51"/>
  <c r="A4679" i="51"/>
  <c r="I4678" i="51"/>
  <c r="K4678" i="51"/>
  <c r="C4678" i="51"/>
  <c r="A4678" i="51"/>
  <c r="I4677" i="51"/>
  <c r="K4677" i="51"/>
  <c r="J4677" i="51"/>
  <c r="C4677" i="51"/>
  <c r="A4677" i="51"/>
  <c r="I4676" i="51"/>
  <c r="K4676" i="51"/>
  <c r="C4676" i="51"/>
  <c r="A4676" i="51"/>
  <c r="I4675" i="51"/>
  <c r="K4675" i="51"/>
  <c r="C4675" i="51"/>
  <c r="A4675" i="51"/>
  <c r="I4674" i="51"/>
  <c r="K4674" i="51"/>
  <c r="C4674" i="51"/>
  <c r="A4674" i="51"/>
  <c r="I4673" i="51"/>
  <c r="K4673" i="51"/>
  <c r="C4673" i="51"/>
  <c r="A4673" i="51"/>
  <c r="I4672" i="51"/>
  <c r="K4672" i="51"/>
  <c r="C4672" i="51"/>
  <c r="A4672" i="51"/>
  <c r="I4671" i="51"/>
  <c r="C4671" i="51"/>
  <c r="A4671" i="51"/>
  <c r="I4670" i="51"/>
  <c r="K4670" i="51"/>
  <c r="J4670" i="51"/>
  <c r="E4621" i="51"/>
  <c r="E4622" i="51"/>
  <c r="E4623" i="51"/>
  <c r="E4624" i="51"/>
  <c r="E4625" i="51"/>
  <c r="E4626" i="51"/>
  <c r="E4627" i="51"/>
  <c r="E4628" i="51"/>
  <c r="E4629" i="51"/>
  <c r="E4630" i="51"/>
  <c r="E4631" i="51"/>
  <c r="E4632" i="51"/>
  <c r="E4633" i="51"/>
  <c r="E4634" i="51"/>
  <c r="E4635" i="51"/>
  <c r="E4636" i="51"/>
  <c r="E4637" i="51"/>
  <c r="E4638" i="51"/>
  <c r="E4639" i="51"/>
  <c r="E4640" i="51"/>
  <c r="E4641" i="51"/>
  <c r="E4642" i="51"/>
  <c r="E4643" i="51"/>
  <c r="E4644" i="51"/>
  <c r="E4645" i="51"/>
  <c r="E4646" i="51"/>
  <c r="E4647" i="51"/>
  <c r="E4648" i="51"/>
  <c r="E4649" i="51"/>
  <c r="E4650" i="51"/>
  <c r="E4651" i="51"/>
  <c r="E4652" i="51"/>
  <c r="E4653" i="51"/>
  <c r="E4654" i="51"/>
  <c r="E4655" i="51"/>
  <c r="E4656" i="51"/>
  <c r="E4657" i="51"/>
  <c r="E4658" i="51"/>
  <c r="E4659" i="51"/>
  <c r="E4660" i="51"/>
  <c r="E4661" i="51"/>
  <c r="E4662" i="51"/>
  <c r="E4663" i="51"/>
  <c r="E4664" i="51"/>
  <c r="E4665" i="51"/>
  <c r="E4666" i="51"/>
  <c r="E4667" i="51"/>
  <c r="E4668" i="51"/>
  <c r="E4669" i="51"/>
  <c r="E4670" i="51"/>
  <c r="C4670" i="51"/>
  <c r="A4670" i="51"/>
  <c r="I4669" i="51"/>
  <c r="K4669" i="51"/>
  <c r="C4669" i="51"/>
  <c r="A4669" i="51"/>
  <c r="I4668" i="51"/>
  <c r="K4668" i="51"/>
  <c r="C4668" i="51"/>
  <c r="A4668" i="51"/>
  <c r="I4667" i="51"/>
  <c r="K4667" i="51"/>
  <c r="C4667" i="51"/>
  <c r="A4667" i="51"/>
  <c r="I4666" i="51"/>
  <c r="K4666" i="51"/>
  <c r="C4666" i="51"/>
  <c r="A4666" i="51"/>
  <c r="I4665" i="51"/>
  <c r="K4665" i="51"/>
  <c r="J4665" i="51"/>
  <c r="C4665" i="51"/>
  <c r="A4665" i="51"/>
  <c r="I4664" i="51"/>
  <c r="K4664" i="51"/>
  <c r="C4664" i="51"/>
  <c r="A4664" i="51"/>
  <c r="I4663" i="51"/>
  <c r="K4663" i="51"/>
  <c r="C4663" i="51"/>
  <c r="A4663" i="51"/>
  <c r="I4662" i="51"/>
  <c r="K4662" i="51"/>
  <c r="C4662" i="51"/>
  <c r="A4662" i="51"/>
  <c r="I4661" i="51"/>
  <c r="K4661" i="51"/>
  <c r="C4661" i="51"/>
  <c r="A4661" i="51"/>
  <c r="I4660" i="51"/>
  <c r="K4660" i="51"/>
  <c r="J4660" i="51"/>
  <c r="C4660" i="51"/>
  <c r="A4660" i="51"/>
  <c r="I4659" i="51"/>
  <c r="K4659" i="51"/>
  <c r="C4659" i="51"/>
  <c r="A4659" i="51"/>
  <c r="I4658" i="51"/>
  <c r="K4658" i="51"/>
  <c r="C4658" i="51"/>
  <c r="A4658" i="51"/>
  <c r="I4657" i="51"/>
  <c r="K4657" i="51"/>
  <c r="C4657" i="51"/>
  <c r="A4657" i="51"/>
  <c r="I4656" i="51"/>
  <c r="K4656" i="51"/>
  <c r="C4656" i="51"/>
  <c r="A4656" i="51"/>
  <c r="I4655" i="51"/>
  <c r="K4655" i="51"/>
  <c r="J4655" i="51"/>
  <c r="C4655" i="51"/>
  <c r="A4655" i="51"/>
  <c r="I4654" i="51"/>
  <c r="K4654" i="51"/>
  <c r="C4654" i="51"/>
  <c r="A4654" i="51"/>
  <c r="I4653" i="51"/>
  <c r="K4653" i="51"/>
  <c r="C4653" i="51"/>
  <c r="A4653" i="51"/>
  <c r="I4652" i="51"/>
  <c r="K4652" i="51"/>
  <c r="C4652" i="51"/>
  <c r="A4652" i="51"/>
  <c r="I4651" i="51"/>
  <c r="K4651" i="51"/>
  <c r="C4651" i="51"/>
  <c r="A4651" i="51"/>
  <c r="I4650" i="51"/>
  <c r="K4650" i="51"/>
  <c r="J4650" i="51"/>
  <c r="C4650" i="51"/>
  <c r="A4650" i="51"/>
  <c r="I4649" i="51"/>
  <c r="K4649" i="51"/>
  <c r="C4649" i="51"/>
  <c r="A4649" i="51"/>
  <c r="I4648" i="51"/>
  <c r="K4648" i="51"/>
  <c r="C4648" i="51"/>
  <c r="A4648" i="51"/>
  <c r="I4647" i="51"/>
  <c r="K4647" i="51"/>
  <c r="C4647" i="51"/>
  <c r="A4647" i="51"/>
  <c r="I4646" i="51"/>
  <c r="K4646" i="51"/>
  <c r="C4646" i="51"/>
  <c r="A4646" i="51"/>
  <c r="I4645" i="51"/>
  <c r="K4645" i="51"/>
  <c r="J4645" i="51"/>
  <c r="C4645" i="51"/>
  <c r="A4645" i="51"/>
  <c r="I4644" i="51"/>
  <c r="K4644" i="51"/>
  <c r="C4644" i="51"/>
  <c r="A4644" i="51"/>
  <c r="I4643" i="51"/>
  <c r="K4643" i="51"/>
  <c r="C4643" i="51"/>
  <c r="A4643" i="51"/>
  <c r="I4642" i="51"/>
  <c r="K4642" i="51"/>
  <c r="C4642" i="51"/>
  <c r="A4642" i="51"/>
  <c r="I4641" i="51"/>
  <c r="K4641" i="51"/>
  <c r="C4641" i="51"/>
  <c r="A4641" i="51"/>
  <c r="I4640" i="51"/>
  <c r="K4640" i="51"/>
  <c r="J4640" i="51"/>
  <c r="C4640" i="51"/>
  <c r="A4640" i="51"/>
  <c r="I4639" i="51"/>
  <c r="K4639" i="51"/>
  <c r="C4639" i="51"/>
  <c r="A4639" i="51"/>
  <c r="I4638" i="51"/>
  <c r="K4638" i="51"/>
  <c r="C4638" i="51"/>
  <c r="A4638" i="51"/>
  <c r="I4637" i="51"/>
  <c r="K4637" i="51"/>
  <c r="C4637" i="51"/>
  <c r="A4637" i="51"/>
  <c r="I4636" i="51"/>
  <c r="K4636" i="51"/>
  <c r="C4636" i="51"/>
  <c r="A4636" i="51"/>
  <c r="I4635" i="51"/>
  <c r="K4635" i="51"/>
  <c r="J4635" i="51"/>
  <c r="C4635" i="51"/>
  <c r="A4635" i="51"/>
  <c r="I4634" i="51"/>
  <c r="K4634" i="51"/>
  <c r="C4634" i="51"/>
  <c r="A4634" i="51"/>
  <c r="I4633" i="51"/>
  <c r="K4633" i="51"/>
  <c r="C4633" i="51"/>
  <c r="A4633" i="51"/>
  <c r="I4632" i="51"/>
  <c r="K4632" i="51"/>
  <c r="C4632" i="51"/>
  <c r="A4632" i="51"/>
  <c r="I4631" i="51"/>
  <c r="K4631" i="51"/>
  <c r="C4631" i="51"/>
  <c r="A4631" i="51"/>
  <c r="I4630" i="51"/>
  <c r="K4630" i="51"/>
  <c r="J4630" i="51"/>
  <c r="C4630" i="51"/>
  <c r="A4630" i="51"/>
  <c r="I4629" i="51"/>
  <c r="K4629" i="51"/>
  <c r="C4629" i="51"/>
  <c r="A4629" i="51"/>
  <c r="I4628" i="51"/>
  <c r="K4628" i="51"/>
  <c r="C4628" i="51"/>
  <c r="A4628" i="51"/>
  <c r="I4627" i="51"/>
  <c r="K4627" i="51"/>
  <c r="C4627" i="51"/>
  <c r="A4627" i="51"/>
  <c r="I4626" i="51"/>
  <c r="K4626" i="51"/>
  <c r="C4626" i="51"/>
  <c r="A4626" i="51"/>
  <c r="I4625" i="51"/>
  <c r="K4625" i="51"/>
  <c r="J4625" i="51"/>
  <c r="C4625" i="51"/>
  <c r="A4625" i="51"/>
  <c r="I4624" i="51"/>
  <c r="K4624" i="51"/>
  <c r="C4624" i="51"/>
  <c r="A4624" i="51"/>
  <c r="I4623" i="51"/>
  <c r="K4623" i="51"/>
  <c r="C4623" i="51"/>
  <c r="A4623" i="51"/>
  <c r="I4622" i="51"/>
  <c r="K4622" i="51"/>
  <c r="C4622" i="51"/>
  <c r="A4622" i="51"/>
  <c r="I4621" i="51"/>
  <c r="K4621" i="51"/>
  <c r="C4621" i="51"/>
  <c r="A4621" i="51"/>
  <c r="I4620" i="51"/>
  <c r="K4620" i="51"/>
  <c r="C4620" i="51"/>
  <c r="A4620" i="51"/>
  <c r="I4619" i="51"/>
  <c r="C4619" i="51"/>
  <c r="A4619" i="51"/>
  <c r="I4618" i="51"/>
  <c r="K4618" i="51"/>
  <c r="J4618" i="51"/>
  <c r="E4569" i="51"/>
  <c r="E4570" i="51"/>
  <c r="E4571" i="51"/>
  <c r="E4572" i="51"/>
  <c r="E4573" i="51"/>
  <c r="E4574" i="51"/>
  <c r="E4575" i="51"/>
  <c r="E4576" i="51"/>
  <c r="E4577" i="51"/>
  <c r="E4578" i="51"/>
  <c r="E4579" i="51"/>
  <c r="E4580" i="51"/>
  <c r="E4581" i="51"/>
  <c r="E4582" i="51"/>
  <c r="E4583" i="51"/>
  <c r="E4584" i="51"/>
  <c r="E4585" i="51"/>
  <c r="E4586" i="51"/>
  <c r="E4587" i="51"/>
  <c r="E4588" i="51"/>
  <c r="E4589" i="51"/>
  <c r="E4590" i="51"/>
  <c r="E4591" i="51"/>
  <c r="E4592" i="51"/>
  <c r="E4593" i="51"/>
  <c r="E4594" i="51"/>
  <c r="E4595" i="51"/>
  <c r="E4596" i="51"/>
  <c r="E4597" i="51"/>
  <c r="E4598" i="51"/>
  <c r="E4599" i="51"/>
  <c r="E4600" i="51"/>
  <c r="E4601" i="51"/>
  <c r="E4602" i="51"/>
  <c r="E4603" i="51"/>
  <c r="E4604" i="51"/>
  <c r="E4605" i="51"/>
  <c r="E4606" i="51"/>
  <c r="E4607" i="51"/>
  <c r="E4608" i="51"/>
  <c r="E4609" i="51"/>
  <c r="E4610" i="51"/>
  <c r="E4611" i="51"/>
  <c r="E4612" i="51"/>
  <c r="E4613" i="51"/>
  <c r="E4614" i="51"/>
  <c r="E4615" i="51"/>
  <c r="E4616" i="51"/>
  <c r="E4617" i="51"/>
  <c r="E4618" i="51"/>
  <c r="C4618" i="51"/>
  <c r="A4618" i="51"/>
  <c r="I4617" i="51"/>
  <c r="K4617" i="51"/>
  <c r="C4617" i="51"/>
  <c r="A4617" i="51"/>
  <c r="I4616" i="51"/>
  <c r="K4616" i="51"/>
  <c r="C4616" i="51"/>
  <c r="A4616" i="51"/>
  <c r="I4615" i="51"/>
  <c r="K4615" i="51"/>
  <c r="C4615" i="51"/>
  <c r="A4615" i="51"/>
  <c r="I4614" i="51"/>
  <c r="K4614" i="51"/>
  <c r="C4614" i="51"/>
  <c r="A4614" i="51"/>
  <c r="I4613" i="51"/>
  <c r="K4613" i="51"/>
  <c r="J4613" i="51"/>
  <c r="C4613" i="51"/>
  <c r="A4613" i="51"/>
  <c r="I4612" i="51"/>
  <c r="K4612" i="51"/>
  <c r="C4612" i="51"/>
  <c r="A4612" i="51"/>
  <c r="I4611" i="51"/>
  <c r="K4611" i="51"/>
  <c r="C4611" i="51"/>
  <c r="A4611" i="51"/>
  <c r="I4610" i="51"/>
  <c r="K4610" i="51"/>
  <c r="C4610" i="51"/>
  <c r="A4610" i="51"/>
  <c r="I4609" i="51"/>
  <c r="K4609" i="51"/>
  <c r="C4609" i="51"/>
  <c r="A4609" i="51"/>
  <c r="I4608" i="51"/>
  <c r="K4608" i="51"/>
  <c r="J4608" i="51"/>
  <c r="C4608" i="51"/>
  <c r="A4608" i="51"/>
  <c r="I4607" i="51"/>
  <c r="K4607" i="51"/>
  <c r="C4607" i="51"/>
  <c r="A4607" i="51"/>
  <c r="I4606" i="51"/>
  <c r="K4606" i="51"/>
  <c r="C4606" i="51"/>
  <c r="A4606" i="51"/>
  <c r="I4605" i="51"/>
  <c r="K4605" i="51"/>
  <c r="C4605" i="51"/>
  <c r="A4605" i="51"/>
  <c r="I4604" i="51"/>
  <c r="K4604" i="51"/>
  <c r="C4604" i="51"/>
  <c r="A4604" i="51"/>
  <c r="I4603" i="51"/>
  <c r="K4603" i="51"/>
  <c r="J4603" i="51"/>
  <c r="C4603" i="51"/>
  <c r="A4603" i="51"/>
  <c r="I4602" i="51"/>
  <c r="K4602" i="51"/>
  <c r="C4602" i="51"/>
  <c r="A4602" i="51"/>
  <c r="I4601" i="51"/>
  <c r="K4601" i="51"/>
  <c r="C4601" i="51"/>
  <c r="A4601" i="51"/>
  <c r="I4600" i="51"/>
  <c r="K4600" i="51"/>
  <c r="C4600" i="51"/>
  <c r="A4600" i="51"/>
  <c r="I4599" i="51"/>
  <c r="K4599" i="51"/>
  <c r="C4599" i="51"/>
  <c r="A4599" i="51"/>
  <c r="I4598" i="51"/>
  <c r="K4598" i="51"/>
  <c r="J4598" i="51"/>
  <c r="C4598" i="51"/>
  <c r="A4598" i="51"/>
  <c r="I4597" i="51"/>
  <c r="K4597" i="51"/>
  <c r="C4597" i="51"/>
  <c r="A4597" i="51"/>
  <c r="I4596" i="51"/>
  <c r="K4596" i="51"/>
  <c r="C4596" i="51"/>
  <c r="A4596" i="51"/>
  <c r="I4595" i="51"/>
  <c r="K4595" i="51"/>
  <c r="C4595" i="51"/>
  <c r="A4595" i="51"/>
  <c r="I4594" i="51"/>
  <c r="K4594" i="51"/>
  <c r="C4594" i="51"/>
  <c r="A4594" i="51"/>
  <c r="I4593" i="51"/>
  <c r="K4593" i="51"/>
  <c r="J4593" i="51"/>
  <c r="C4593" i="51"/>
  <c r="A4593" i="51"/>
  <c r="I4592" i="51"/>
  <c r="K4592" i="51"/>
  <c r="C4592" i="51"/>
  <c r="A4592" i="51"/>
  <c r="I4591" i="51"/>
  <c r="K4591" i="51"/>
  <c r="C4591" i="51"/>
  <c r="A4591" i="51"/>
  <c r="I4590" i="51"/>
  <c r="K4590" i="51"/>
  <c r="C4590" i="51"/>
  <c r="A4590" i="51"/>
  <c r="I4589" i="51"/>
  <c r="K4589" i="51"/>
  <c r="C4589" i="51"/>
  <c r="A4589" i="51"/>
  <c r="I4588" i="51"/>
  <c r="K4588" i="51"/>
  <c r="J4588" i="51"/>
  <c r="C4588" i="51"/>
  <c r="A4588" i="51"/>
  <c r="I4587" i="51"/>
  <c r="K4587" i="51"/>
  <c r="C4587" i="51"/>
  <c r="A4587" i="51"/>
  <c r="I4586" i="51"/>
  <c r="K4586" i="51"/>
  <c r="C4586" i="51"/>
  <c r="A4586" i="51"/>
  <c r="I4585" i="51"/>
  <c r="K4585" i="51"/>
  <c r="C4585" i="51"/>
  <c r="A4585" i="51"/>
  <c r="I4584" i="51"/>
  <c r="K4584" i="51"/>
  <c r="C4584" i="51"/>
  <c r="A4584" i="51"/>
  <c r="I4583" i="51"/>
  <c r="K4583" i="51"/>
  <c r="J4583" i="51"/>
  <c r="C4583" i="51"/>
  <c r="A4583" i="51"/>
  <c r="I4582" i="51"/>
  <c r="K4582" i="51"/>
  <c r="C4582" i="51"/>
  <c r="A4582" i="51"/>
  <c r="I4581" i="51"/>
  <c r="K4581" i="51"/>
  <c r="C4581" i="51"/>
  <c r="A4581" i="51"/>
  <c r="I4580" i="51"/>
  <c r="K4580" i="51"/>
  <c r="C4580" i="51"/>
  <c r="A4580" i="51"/>
  <c r="I4579" i="51"/>
  <c r="K4579" i="51"/>
  <c r="C4579" i="51"/>
  <c r="A4579" i="51"/>
  <c r="I4578" i="51"/>
  <c r="K4578" i="51"/>
  <c r="J4578" i="51"/>
  <c r="C4578" i="51"/>
  <c r="A4578" i="51"/>
  <c r="I4577" i="51"/>
  <c r="K4577" i="51"/>
  <c r="C4577" i="51"/>
  <c r="A4577" i="51"/>
  <c r="I4576" i="51"/>
  <c r="K4576" i="51"/>
  <c r="C4576" i="51"/>
  <c r="A4576" i="51"/>
  <c r="I4575" i="51"/>
  <c r="K4575" i="51"/>
  <c r="C4575" i="51"/>
  <c r="A4575" i="51"/>
  <c r="I4574" i="51"/>
  <c r="K4574" i="51"/>
  <c r="C4574" i="51"/>
  <c r="A4574" i="51"/>
  <c r="I4573" i="51"/>
  <c r="K4573" i="51"/>
  <c r="J4573" i="51"/>
  <c r="C4573" i="51"/>
  <c r="A4573" i="51"/>
  <c r="I4572" i="51"/>
  <c r="K4572" i="51"/>
  <c r="C4572" i="51"/>
  <c r="A4572" i="51"/>
  <c r="I4571" i="51"/>
  <c r="K4571" i="51"/>
  <c r="C4571" i="51"/>
  <c r="A4571" i="51"/>
  <c r="I4570" i="51"/>
  <c r="K4570" i="51"/>
  <c r="C4570" i="51"/>
  <c r="A4570" i="51"/>
  <c r="I4569" i="51"/>
  <c r="K4569" i="51"/>
  <c r="C4569" i="51"/>
  <c r="A4569" i="51"/>
  <c r="I4568" i="51"/>
  <c r="K4568" i="51"/>
  <c r="C4568" i="51"/>
  <c r="A4568" i="51"/>
  <c r="I4567" i="51"/>
  <c r="C4567" i="51"/>
  <c r="A4567" i="51"/>
  <c r="E198" i="60"/>
  <c r="D198" i="60"/>
  <c r="C198" i="60"/>
  <c r="E197" i="60"/>
  <c r="D197" i="60"/>
  <c r="C197" i="60"/>
  <c r="E196" i="60"/>
  <c r="D196" i="60"/>
  <c r="C196" i="60"/>
  <c r="E195" i="60"/>
  <c r="D195" i="60"/>
  <c r="C195" i="60"/>
  <c r="A579" i="24"/>
  <c r="A578" i="24"/>
  <c r="A577" i="24"/>
  <c r="A576" i="24"/>
  <c r="B192" i="59"/>
  <c r="B191" i="59"/>
  <c r="B190" i="59"/>
  <c r="B189" i="59"/>
  <c r="O401" i="26"/>
  <c r="Q401" i="26"/>
  <c r="J401" i="26"/>
  <c r="H401" i="26"/>
  <c r="G401" i="26"/>
  <c r="E401" i="26"/>
  <c r="O400" i="26"/>
  <c r="Q400" i="26"/>
  <c r="J400" i="26"/>
  <c r="H400" i="26"/>
  <c r="G400" i="26"/>
  <c r="E400" i="26"/>
  <c r="O399" i="26"/>
  <c r="Q399" i="26"/>
  <c r="J399" i="26"/>
  <c r="H399" i="26"/>
  <c r="G399" i="26"/>
  <c r="E399" i="26"/>
  <c r="O398" i="26"/>
  <c r="Q398" i="26"/>
  <c r="J398" i="26"/>
  <c r="H398" i="26"/>
  <c r="G398" i="26"/>
  <c r="E398" i="26"/>
  <c r="Q559" i="26"/>
  <c r="Q558" i="26"/>
  <c r="Q557" i="26"/>
  <c r="H556" i="26"/>
  <c r="H559" i="26"/>
  <c r="H555" i="26"/>
  <c r="H558" i="26"/>
  <c r="H554" i="26"/>
  <c r="H557" i="26"/>
  <c r="Q555" i="26"/>
  <c r="B79" i="24"/>
  <c r="B80" i="24"/>
  <c r="B81" i="24"/>
  <c r="B82" i="24"/>
  <c r="B83" i="24"/>
  <c r="B84" i="24"/>
  <c r="B85" i="24"/>
  <c r="B86" i="24"/>
  <c r="B87" i="24"/>
  <c r="B88" i="24"/>
  <c r="B89" i="24"/>
  <c r="B90" i="24"/>
  <c r="B91" i="24"/>
  <c r="B92" i="24"/>
  <c r="B93" i="24"/>
  <c r="B94" i="24"/>
  <c r="B95" i="24"/>
  <c r="B96" i="24"/>
  <c r="B97" i="24"/>
  <c r="B98" i="24"/>
  <c r="B99" i="24"/>
  <c r="B100" i="24"/>
  <c r="B101" i="24"/>
  <c r="B102" i="24"/>
  <c r="B103" i="24"/>
  <c r="B104" i="24"/>
  <c r="B105" i="24"/>
  <c r="B106" i="24"/>
  <c r="B107" i="24"/>
  <c r="A107" i="24"/>
  <c r="A106" i="24"/>
  <c r="A105" i="24"/>
  <c r="A104" i="24"/>
  <c r="B5301" i="51"/>
  <c r="B5302" i="51"/>
  <c r="B5303" i="51"/>
  <c r="B5304" i="51"/>
  <c r="B5305" i="51"/>
  <c r="B5306" i="51"/>
  <c r="B5307" i="51"/>
  <c r="B5308" i="51"/>
  <c r="B5309" i="51"/>
  <c r="B5310" i="51"/>
  <c r="B5311" i="51"/>
  <c r="B5312" i="51"/>
  <c r="B5313" i="51"/>
  <c r="B5314" i="51"/>
  <c r="B5315" i="51"/>
  <c r="B5316" i="51"/>
  <c r="B5317" i="51"/>
  <c r="B5318" i="51"/>
  <c r="B5319" i="51"/>
  <c r="B5320" i="51"/>
  <c r="B5321" i="51"/>
  <c r="B5322" i="51"/>
  <c r="B5323" i="51"/>
  <c r="B5324" i="51"/>
  <c r="B5325" i="51"/>
  <c r="B5326" i="51"/>
  <c r="B5327" i="51"/>
  <c r="B5328" i="51"/>
  <c r="B5329" i="51"/>
  <c r="C5329" i="51"/>
  <c r="A5329" i="51"/>
  <c r="C5328" i="51"/>
  <c r="A5328" i="51"/>
  <c r="C5327" i="51"/>
  <c r="A5327" i="51"/>
  <c r="C5326" i="51"/>
  <c r="A5326" i="51"/>
  <c r="Q503" i="26"/>
  <c r="J503" i="26"/>
  <c r="H503" i="26"/>
  <c r="G503" i="26"/>
  <c r="F503" i="26"/>
  <c r="E503" i="26"/>
  <c r="Q502" i="26"/>
  <c r="J502" i="26"/>
  <c r="H502" i="26"/>
  <c r="G502" i="26"/>
  <c r="F502" i="26"/>
  <c r="E502" i="26"/>
  <c r="Q501" i="26"/>
  <c r="J501" i="26"/>
  <c r="H501" i="26"/>
  <c r="G501" i="26"/>
  <c r="F501" i="26"/>
  <c r="E501" i="26"/>
  <c r="Q500" i="26"/>
  <c r="J500" i="26"/>
  <c r="H500" i="26"/>
  <c r="G500" i="26"/>
  <c r="F500" i="26"/>
  <c r="E500" i="26"/>
  <c r="E238" i="60"/>
  <c r="C238" i="60"/>
  <c r="A238" i="60"/>
  <c r="I5385" i="51"/>
  <c r="I5390" i="51"/>
  <c r="I5389" i="51"/>
  <c r="I5388" i="51"/>
  <c r="I5387" i="51"/>
  <c r="C5390" i="51"/>
  <c r="A5390" i="51"/>
  <c r="C5389" i="51"/>
  <c r="A5389" i="51"/>
  <c r="C5388" i="51"/>
  <c r="A5388" i="51"/>
  <c r="C5387" i="51"/>
  <c r="A5387" i="51"/>
  <c r="A510" i="24"/>
  <c r="A509" i="24"/>
  <c r="A508" i="24"/>
  <c r="A507" i="24"/>
  <c r="H547" i="26"/>
  <c r="H564" i="26"/>
  <c r="H546" i="26"/>
  <c r="H563" i="26"/>
  <c r="H545" i="26"/>
  <c r="H562" i="26"/>
  <c r="H544" i="26"/>
  <c r="H561" i="26"/>
  <c r="Q564" i="26"/>
  <c r="J564" i="26"/>
  <c r="G564" i="26"/>
  <c r="F564" i="26"/>
  <c r="E564" i="26"/>
  <c r="Q563" i="26"/>
  <c r="J563" i="26"/>
  <c r="G563" i="26"/>
  <c r="F563" i="26"/>
  <c r="E563" i="26"/>
  <c r="Q562" i="26"/>
  <c r="J562" i="26"/>
  <c r="G562" i="26"/>
  <c r="F562" i="26"/>
  <c r="E562" i="26"/>
  <c r="Q561" i="26"/>
  <c r="J561" i="26"/>
  <c r="G561" i="26"/>
  <c r="F561" i="26"/>
  <c r="E561" i="26"/>
  <c r="H506" i="24"/>
  <c r="A506" i="24"/>
  <c r="H541" i="26"/>
  <c r="H542" i="26"/>
  <c r="H543" i="26"/>
  <c r="H560" i="26"/>
  <c r="Q560" i="26"/>
  <c r="J560" i="26"/>
  <c r="G560" i="26"/>
  <c r="F560" i="26"/>
  <c r="E560" i="26"/>
  <c r="C5386" i="51"/>
  <c r="A5386" i="51"/>
  <c r="B5331" i="51"/>
  <c r="B5332" i="51"/>
  <c r="B5333" i="51"/>
  <c r="B5334" i="51"/>
  <c r="B5335" i="51"/>
  <c r="B5336" i="51"/>
  <c r="B5337" i="51"/>
  <c r="B5338" i="51"/>
  <c r="B5339" i="51"/>
  <c r="B5340" i="51"/>
  <c r="B5341" i="51"/>
  <c r="B5342" i="51"/>
  <c r="B5343" i="51"/>
  <c r="B5344" i="51"/>
  <c r="B5345" i="51"/>
  <c r="B5346" i="51"/>
  <c r="B5347" i="51"/>
  <c r="B5348" i="51"/>
  <c r="B5349" i="51"/>
  <c r="B5350" i="51"/>
  <c r="B5351" i="51"/>
  <c r="B5352" i="51"/>
  <c r="B5353" i="51"/>
  <c r="B5354" i="51"/>
  <c r="B5355" i="51"/>
  <c r="B5356" i="51"/>
  <c r="C5356" i="51"/>
  <c r="A5356" i="51"/>
  <c r="B109" i="24"/>
  <c r="B110" i="24"/>
  <c r="B111" i="24"/>
  <c r="B112" i="24"/>
  <c r="B113" i="24"/>
  <c r="B114" i="24"/>
  <c r="B115" i="24"/>
  <c r="B116" i="24"/>
  <c r="B117" i="24"/>
  <c r="B118" i="24"/>
  <c r="B119" i="24"/>
  <c r="B120" i="24"/>
  <c r="B121" i="24"/>
  <c r="B122" i="24"/>
  <c r="B123" i="24"/>
  <c r="B124" i="24"/>
  <c r="B125" i="24"/>
  <c r="B126" i="24"/>
  <c r="B127" i="24"/>
  <c r="B128" i="24"/>
  <c r="B129" i="24"/>
  <c r="B130" i="24"/>
  <c r="B131" i="24"/>
  <c r="B132" i="24"/>
  <c r="B133" i="24"/>
  <c r="B134" i="24"/>
  <c r="A134" i="24"/>
  <c r="H517" i="26"/>
  <c r="H518" i="26"/>
  <c r="H519" i="26"/>
  <c r="H520" i="26"/>
  <c r="H521" i="26"/>
  <c r="H522" i="26"/>
  <c r="H523" i="26"/>
  <c r="H524" i="26"/>
  <c r="H525" i="26"/>
  <c r="H526" i="26"/>
  <c r="H527" i="26"/>
  <c r="H528" i="26"/>
  <c r="H530" i="26"/>
  <c r="J530" i="26"/>
  <c r="H529" i="26"/>
  <c r="G530" i="26"/>
  <c r="F530" i="26"/>
  <c r="E530" i="26"/>
  <c r="B69" i="24"/>
  <c r="B70" i="24"/>
  <c r="B71" i="24"/>
  <c r="B72" i="24"/>
  <c r="B73" i="24"/>
  <c r="B74" i="24"/>
  <c r="B75" i="24"/>
  <c r="B76" i="24"/>
  <c r="B77" i="24"/>
  <c r="A77" i="24"/>
  <c r="A76" i="24"/>
  <c r="A75" i="24"/>
  <c r="A74" i="24"/>
  <c r="A73" i="24"/>
  <c r="Q473" i="26"/>
  <c r="J473" i="26"/>
  <c r="G473" i="26"/>
  <c r="F473" i="26"/>
  <c r="E473" i="26"/>
  <c r="Q472" i="26"/>
  <c r="J472" i="26"/>
  <c r="G472" i="26"/>
  <c r="F472" i="26"/>
  <c r="E472" i="26"/>
  <c r="Q471" i="26"/>
  <c r="J471" i="26"/>
  <c r="G471" i="26"/>
  <c r="F471" i="26"/>
  <c r="E471" i="26"/>
  <c r="Q470" i="26"/>
  <c r="J470" i="26"/>
  <c r="G470" i="26"/>
  <c r="F470" i="26"/>
  <c r="E470" i="26"/>
  <c r="Q469" i="26"/>
  <c r="J469" i="26"/>
  <c r="G469" i="26"/>
  <c r="F469" i="26"/>
  <c r="E469" i="26"/>
  <c r="B5261" i="51"/>
  <c r="B5262" i="51"/>
  <c r="B5263" i="51"/>
  <c r="B5264" i="51"/>
  <c r="B5265" i="51"/>
  <c r="B5266" i="51"/>
  <c r="B5267" i="51"/>
  <c r="B5268" i="51"/>
  <c r="B5269" i="51"/>
  <c r="B5270" i="51"/>
  <c r="B5271" i="51"/>
  <c r="B5272" i="51"/>
  <c r="B5273" i="51"/>
  <c r="B5274" i="51"/>
  <c r="B5275" i="51"/>
  <c r="B5276" i="51"/>
  <c r="B5277" i="51"/>
  <c r="B5278" i="51"/>
  <c r="B5279" i="51"/>
  <c r="B5280" i="51"/>
  <c r="B5281" i="51"/>
  <c r="B5282" i="51"/>
  <c r="B5283" i="51"/>
  <c r="B5284" i="51"/>
  <c r="B5285" i="51"/>
  <c r="B5286" i="51"/>
  <c r="B5287" i="51"/>
  <c r="B5288" i="51"/>
  <c r="B5289" i="51"/>
  <c r="B5290" i="51"/>
  <c r="B5291" i="51"/>
  <c r="B5292" i="51"/>
  <c r="B5293" i="51"/>
  <c r="B5294" i="51"/>
  <c r="B5295" i="51"/>
  <c r="B5296" i="51"/>
  <c r="B5297" i="51"/>
  <c r="B5298" i="51"/>
  <c r="B5299" i="51"/>
  <c r="C5299" i="51"/>
  <c r="A5299" i="51"/>
  <c r="C5298" i="51"/>
  <c r="A5298" i="51"/>
  <c r="C5297" i="51"/>
  <c r="A5297" i="51"/>
  <c r="C5296" i="51"/>
  <c r="A5296" i="51"/>
  <c r="C5295" i="51"/>
  <c r="A5295" i="51"/>
  <c r="I4566" i="51"/>
  <c r="I4565" i="51"/>
  <c r="I4564" i="51"/>
  <c r="C4566" i="51"/>
  <c r="A4566" i="51"/>
  <c r="C4565" i="51"/>
  <c r="A4565" i="51"/>
  <c r="C4564" i="51"/>
  <c r="A4564" i="51"/>
  <c r="F554" i="26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8" i="24"/>
  <c r="H370" i="24"/>
  <c r="H372" i="24"/>
  <c r="H374" i="24"/>
  <c r="H376" i="24"/>
  <c r="H378" i="24"/>
  <c r="H380" i="24"/>
  <c r="H382" i="24"/>
  <c r="H384" i="24"/>
  <c r="H386" i="24"/>
  <c r="H388" i="24"/>
  <c r="H390" i="24"/>
  <c r="H392" i="24"/>
  <c r="H394" i="24"/>
  <c r="H396" i="24"/>
  <c r="H398" i="24"/>
  <c r="H400" i="24"/>
  <c r="H402" i="24"/>
  <c r="H367" i="24"/>
  <c r="H369" i="24"/>
  <c r="H371" i="24"/>
  <c r="H373" i="24"/>
  <c r="H375" i="24"/>
  <c r="H377" i="24"/>
  <c r="H379" i="24"/>
  <c r="H381" i="24"/>
  <c r="H383" i="24"/>
  <c r="H385" i="24"/>
  <c r="H387" i="24"/>
  <c r="H389" i="24"/>
  <c r="H391" i="24"/>
  <c r="H393" i="24"/>
  <c r="H395" i="24"/>
  <c r="H397" i="24"/>
  <c r="H399" i="24"/>
  <c r="H401" i="24"/>
  <c r="A575" i="24"/>
  <c r="B188" i="59"/>
  <c r="H397" i="26"/>
  <c r="J397" i="26"/>
  <c r="G397" i="26"/>
  <c r="E397" i="26"/>
  <c r="E194" i="60"/>
  <c r="D194" i="60"/>
  <c r="C194" i="60"/>
  <c r="A191" i="60"/>
  <c r="A192" i="60"/>
  <c r="A193" i="60"/>
  <c r="A194" i="60"/>
  <c r="K4563" i="51"/>
  <c r="I4563" i="51"/>
  <c r="E4504" i="51"/>
  <c r="E4505" i="51"/>
  <c r="E4506" i="51"/>
  <c r="E4507" i="51"/>
  <c r="E4508" i="51"/>
  <c r="E4509" i="51"/>
  <c r="E4510" i="51"/>
  <c r="E4511" i="51"/>
  <c r="E4512" i="51"/>
  <c r="E4513" i="51"/>
  <c r="E4514" i="51"/>
  <c r="E4515" i="51"/>
  <c r="E4516" i="51"/>
  <c r="E4517" i="51"/>
  <c r="E4518" i="51"/>
  <c r="E4519" i="51"/>
  <c r="E4520" i="51"/>
  <c r="E4521" i="51"/>
  <c r="E4522" i="51"/>
  <c r="E4523" i="51"/>
  <c r="E4524" i="51"/>
  <c r="E4525" i="51"/>
  <c r="E4526" i="51"/>
  <c r="E4527" i="51"/>
  <c r="E4528" i="51"/>
  <c r="E4529" i="51"/>
  <c r="E4530" i="51"/>
  <c r="E4531" i="51"/>
  <c r="E4532" i="51"/>
  <c r="E4533" i="51"/>
  <c r="E4534" i="51"/>
  <c r="E4535" i="51"/>
  <c r="E4536" i="51"/>
  <c r="E4537" i="51"/>
  <c r="E4538" i="51"/>
  <c r="E4539" i="51"/>
  <c r="E4540" i="51"/>
  <c r="E4541" i="51"/>
  <c r="E4542" i="51"/>
  <c r="E4543" i="51"/>
  <c r="E4544" i="51"/>
  <c r="E4545" i="51"/>
  <c r="E4546" i="51"/>
  <c r="E4547" i="51"/>
  <c r="E4548" i="51"/>
  <c r="E4549" i="51"/>
  <c r="E4550" i="51"/>
  <c r="E4551" i="51"/>
  <c r="E4552" i="51"/>
  <c r="E4553" i="51"/>
  <c r="E4554" i="51"/>
  <c r="E4555" i="51"/>
  <c r="E4556" i="51"/>
  <c r="E4557" i="51"/>
  <c r="E4558" i="51"/>
  <c r="E4559" i="51"/>
  <c r="E4560" i="51"/>
  <c r="E4561" i="51"/>
  <c r="E4562" i="51"/>
  <c r="E4563" i="51"/>
  <c r="C4563" i="51"/>
  <c r="A4563" i="51"/>
  <c r="I4562" i="51"/>
  <c r="C4562" i="51"/>
  <c r="A4562" i="51"/>
  <c r="I4561" i="51"/>
  <c r="C4561" i="51"/>
  <c r="A4561" i="51"/>
  <c r="K4560" i="51"/>
  <c r="I4560" i="51"/>
  <c r="C4560" i="51"/>
  <c r="A4560" i="51"/>
  <c r="I4559" i="51"/>
  <c r="C4559" i="51"/>
  <c r="A4559" i="51"/>
  <c r="I4558" i="51"/>
  <c r="C4558" i="51"/>
  <c r="A4558" i="51"/>
  <c r="K4557" i="51"/>
  <c r="I4557" i="51"/>
  <c r="C4557" i="51"/>
  <c r="A4557" i="51"/>
  <c r="I4556" i="51"/>
  <c r="C4556" i="51"/>
  <c r="A4556" i="51"/>
  <c r="I4555" i="51"/>
  <c r="C4555" i="51"/>
  <c r="A4555" i="51"/>
  <c r="K4554" i="51"/>
  <c r="I4554" i="51"/>
  <c r="C4554" i="51"/>
  <c r="A4554" i="51"/>
  <c r="I4553" i="51"/>
  <c r="C4553" i="51"/>
  <c r="A4553" i="51"/>
  <c r="I4552" i="51"/>
  <c r="C4552" i="51"/>
  <c r="A4552" i="51"/>
  <c r="K4551" i="51"/>
  <c r="I4551" i="51"/>
  <c r="C4551" i="51"/>
  <c r="A4551" i="51"/>
  <c r="I4550" i="51"/>
  <c r="C4550" i="51"/>
  <c r="A4550" i="51"/>
  <c r="I4549" i="51"/>
  <c r="C4549" i="51"/>
  <c r="A4549" i="51"/>
  <c r="K4548" i="51"/>
  <c r="I4548" i="51"/>
  <c r="C4548" i="51"/>
  <c r="A4548" i="51"/>
  <c r="I4547" i="51"/>
  <c r="C4547" i="51"/>
  <c r="A4547" i="51"/>
  <c r="I4546" i="51"/>
  <c r="C4546" i="51"/>
  <c r="A4546" i="51"/>
  <c r="K4545" i="51"/>
  <c r="I4545" i="51"/>
  <c r="C4545" i="51"/>
  <c r="A4545" i="51"/>
  <c r="I4544" i="51"/>
  <c r="C4544" i="51"/>
  <c r="A4544" i="51"/>
  <c r="I4543" i="51"/>
  <c r="C4543" i="51"/>
  <c r="A4543" i="51"/>
  <c r="K4542" i="51"/>
  <c r="I4542" i="51"/>
  <c r="C4542" i="51"/>
  <c r="A4542" i="51"/>
  <c r="I4541" i="51"/>
  <c r="C4541" i="51"/>
  <c r="A4541" i="51"/>
  <c r="I4540" i="51"/>
  <c r="C4540" i="51"/>
  <c r="A4540" i="51"/>
  <c r="K4539" i="51"/>
  <c r="I4539" i="51"/>
  <c r="C4539" i="51"/>
  <c r="A4539" i="51"/>
  <c r="I4538" i="51"/>
  <c r="C4538" i="51"/>
  <c r="A4538" i="51"/>
  <c r="I4537" i="51"/>
  <c r="C4537" i="51"/>
  <c r="A4537" i="51"/>
  <c r="K4536" i="51"/>
  <c r="I4536" i="51"/>
  <c r="C4536" i="51"/>
  <c r="A4536" i="51"/>
  <c r="I4535" i="51"/>
  <c r="C4535" i="51"/>
  <c r="A4535" i="51"/>
  <c r="I4534" i="51"/>
  <c r="C4534" i="51"/>
  <c r="A4534" i="51"/>
  <c r="K4533" i="51"/>
  <c r="I4533" i="51"/>
  <c r="C4533" i="51"/>
  <c r="A4533" i="51"/>
  <c r="I4532" i="51"/>
  <c r="C4532" i="51"/>
  <c r="A4532" i="51"/>
  <c r="I4531" i="51"/>
  <c r="C4531" i="51"/>
  <c r="A4531" i="51"/>
  <c r="K4530" i="51"/>
  <c r="I4530" i="51"/>
  <c r="C4530" i="51"/>
  <c r="A4530" i="51"/>
  <c r="I4529" i="51"/>
  <c r="C4529" i="51"/>
  <c r="A4529" i="51"/>
  <c r="I4528" i="51"/>
  <c r="C4528" i="51"/>
  <c r="A4528" i="51"/>
  <c r="K4527" i="51"/>
  <c r="I4527" i="51"/>
  <c r="C4527" i="51"/>
  <c r="A4527" i="51"/>
  <c r="I4526" i="51"/>
  <c r="C4526" i="51"/>
  <c r="A4526" i="51"/>
  <c r="I4525" i="51"/>
  <c r="C4525" i="51"/>
  <c r="A4525" i="51"/>
  <c r="K4524" i="51"/>
  <c r="I4524" i="51"/>
  <c r="C4524" i="51"/>
  <c r="A4524" i="51"/>
  <c r="I4523" i="51"/>
  <c r="C4523" i="51"/>
  <c r="A4523" i="51"/>
  <c r="I4522" i="51"/>
  <c r="C4522" i="51"/>
  <c r="A4522" i="51"/>
  <c r="K4521" i="51"/>
  <c r="I4521" i="51"/>
  <c r="C4521" i="51"/>
  <c r="A4521" i="51"/>
  <c r="I4520" i="51"/>
  <c r="C4520" i="51"/>
  <c r="A4520" i="51"/>
  <c r="I4519" i="51"/>
  <c r="C4519" i="51"/>
  <c r="A4519" i="51"/>
  <c r="K4518" i="51"/>
  <c r="I4518" i="51"/>
  <c r="C4518" i="51"/>
  <c r="A4518" i="51"/>
  <c r="I4517" i="51"/>
  <c r="C4517" i="51"/>
  <c r="A4517" i="51"/>
  <c r="I4516" i="51"/>
  <c r="C4516" i="51"/>
  <c r="A4516" i="51"/>
  <c r="K4515" i="51"/>
  <c r="I4515" i="51"/>
  <c r="C4515" i="51"/>
  <c r="A4515" i="51"/>
  <c r="I4514" i="51"/>
  <c r="C4514" i="51"/>
  <c r="A4514" i="51"/>
  <c r="I4513" i="51"/>
  <c r="C4513" i="51"/>
  <c r="A4513" i="51"/>
  <c r="K4512" i="51"/>
  <c r="I4512" i="51"/>
  <c r="C4512" i="51"/>
  <c r="A4512" i="51"/>
  <c r="I4511" i="51"/>
  <c r="C4511" i="51"/>
  <c r="A4511" i="51"/>
  <c r="I4510" i="51"/>
  <c r="C4510" i="51"/>
  <c r="A4510" i="51"/>
  <c r="K4509" i="51"/>
  <c r="I4509" i="51"/>
  <c r="C4509" i="51"/>
  <c r="A4509" i="51"/>
  <c r="I4508" i="51"/>
  <c r="C4508" i="51"/>
  <c r="A4508" i="51"/>
  <c r="I4507" i="51"/>
  <c r="C4507" i="51"/>
  <c r="A4507" i="51"/>
  <c r="K4506" i="51"/>
  <c r="I4506" i="51"/>
  <c r="C4506" i="51"/>
  <c r="A4506" i="51"/>
  <c r="I4505" i="51"/>
  <c r="C4505" i="51"/>
  <c r="A4505" i="51"/>
  <c r="I4504" i="51"/>
  <c r="C4504" i="51"/>
  <c r="A4504" i="51"/>
  <c r="I4503" i="51"/>
  <c r="C4503" i="51"/>
  <c r="A4503" i="51"/>
  <c r="I4502" i="51"/>
  <c r="C4502" i="51"/>
  <c r="A4502" i="51"/>
  <c r="G574" i="24"/>
  <c r="A574" i="24"/>
  <c r="Q396" i="26"/>
  <c r="J396" i="26"/>
  <c r="H396" i="26"/>
  <c r="G396" i="26"/>
  <c r="E396" i="26"/>
  <c r="D193" i="60"/>
  <c r="D192" i="60"/>
  <c r="D191" i="60"/>
  <c r="D190" i="60"/>
  <c r="E193" i="60"/>
  <c r="C193" i="60"/>
  <c r="E192" i="60"/>
  <c r="C192" i="60"/>
  <c r="E191" i="60"/>
  <c r="C191" i="60"/>
  <c r="E190" i="60"/>
  <c r="C190" i="60"/>
  <c r="I4498" i="51"/>
  <c r="K4498" i="51"/>
  <c r="I4494" i="51"/>
  <c r="I4501" i="51"/>
  <c r="C4501" i="51"/>
  <c r="A4501" i="51"/>
  <c r="I4500" i="51"/>
  <c r="J4500" i="51"/>
  <c r="C4500" i="51"/>
  <c r="A4500" i="51"/>
  <c r="I4499" i="51"/>
  <c r="J4499" i="51"/>
  <c r="C4499" i="51"/>
  <c r="A4499" i="51"/>
  <c r="C4498" i="51"/>
  <c r="A4498" i="51"/>
  <c r="I4497" i="51"/>
  <c r="J4497" i="51"/>
  <c r="C4497" i="51"/>
  <c r="A4497" i="51"/>
  <c r="I4495" i="51"/>
  <c r="I4496" i="51"/>
  <c r="C4496" i="51"/>
  <c r="A4496" i="51"/>
  <c r="C4495" i="51"/>
  <c r="A4495" i="51"/>
  <c r="C4494" i="51"/>
  <c r="A4494" i="51"/>
  <c r="I4489" i="51"/>
  <c r="K4489" i="51"/>
  <c r="I4493" i="51"/>
  <c r="K4493" i="51"/>
  <c r="C4493" i="51"/>
  <c r="A4493" i="51"/>
  <c r="I4492" i="51"/>
  <c r="C4492" i="51"/>
  <c r="A4492" i="51"/>
  <c r="I4491" i="51"/>
  <c r="K4491" i="51"/>
  <c r="C4491" i="51"/>
  <c r="A4491" i="51"/>
  <c r="I4490" i="51"/>
  <c r="C4490" i="51"/>
  <c r="A4490" i="51"/>
  <c r="I4488" i="51"/>
  <c r="C4489" i="51"/>
  <c r="A4489" i="51"/>
  <c r="C4488" i="51"/>
  <c r="A4488" i="51"/>
  <c r="O395" i="26"/>
  <c r="G573" i="24"/>
  <c r="A573" i="24"/>
  <c r="G572" i="24"/>
  <c r="G571" i="24"/>
  <c r="G570" i="24"/>
  <c r="Q395" i="26"/>
  <c r="J395" i="26"/>
  <c r="H395" i="26"/>
  <c r="G395" i="26"/>
  <c r="E395" i="26"/>
  <c r="A572" i="24"/>
  <c r="A571" i="24"/>
  <c r="A570" i="24"/>
  <c r="O394" i="26"/>
  <c r="Q394" i="26"/>
  <c r="J394" i="26"/>
  <c r="H394" i="26"/>
  <c r="G394" i="26"/>
  <c r="E394" i="26"/>
  <c r="O393" i="26"/>
  <c r="Q393" i="26"/>
  <c r="J393" i="26"/>
  <c r="H393" i="26"/>
  <c r="G393" i="26"/>
  <c r="E393" i="26"/>
  <c r="O392" i="26"/>
  <c r="Q392" i="26"/>
  <c r="J392" i="26"/>
  <c r="H392" i="26"/>
  <c r="G392" i="26"/>
  <c r="E392" i="26"/>
  <c r="A5385" i="51"/>
  <c r="C5385" i="51"/>
  <c r="C5384" i="51"/>
  <c r="A5384" i="51"/>
  <c r="C5383" i="51"/>
  <c r="A5383" i="51"/>
  <c r="A505" i="24"/>
  <c r="A504" i="24"/>
  <c r="A503" i="24"/>
  <c r="J559" i="26"/>
  <c r="G559" i="26"/>
  <c r="F559" i="26"/>
  <c r="E559" i="26"/>
  <c r="J558" i="26"/>
  <c r="G558" i="26"/>
  <c r="F558" i="26"/>
  <c r="E558" i="26"/>
  <c r="J557" i="26"/>
  <c r="G557" i="26"/>
  <c r="F557" i="26"/>
  <c r="E557" i="26"/>
  <c r="C5382" i="51"/>
  <c r="A5382" i="51"/>
  <c r="C5381" i="51"/>
  <c r="A5381" i="51"/>
  <c r="C5380" i="51"/>
  <c r="A5380" i="51"/>
  <c r="A502" i="24"/>
  <c r="A501" i="24"/>
  <c r="A500" i="24"/>
  <c r="Q556" i="26"/>
  <c r="J556" i="26"/>
  <c r="G556" i="26"/>
  <c r="F556" i="26"/>
  <c r="E556" i="26"/>
  <c r="J555" i="26"/>
  <c r="G555" i="26"/>
  <c r="F555" i="26"/>
  <c r="E555" i="26"/>
  <c r="Q554" i="26"/>
  <c r="J554" i="26"/>
  <c r="G554" i="26"/>
  <c r="E554" i="26"/>
  <c r="O390" i="26"/>
  <c r="Q390" i="26"/>
  <c r="I4339" i="51"/>
  <c r="C4339" i="51"/>
  <c r="A4339" i="51"/>
  <c r="I4346" i="51"/>
  <c r="C4346" i="51"/>
  <c r="A4346" i="51"/>
  <c r="E188" i="60"/>
  <c r="E187" i="60"/>
  <c r="E186" i="60"/>
  <c r="E185" i="60"/>
  <c r="E184" i="60"/>
  <c r="C185" i="60"/>
  <c r="D185" i="60"/>
  <c r="C186" i="60"/>
  <c r="D186" i="60"/>
  <c r="C187" i="60"/>
  <c r="D187" i="60"/>
  <c r="C188" i="60"/>
  <c r="D188" i="60"/>
  <c r="C184" i="60"/>
  <c r="D184" i="60"/>
  <c r="A179" i="60"/>
  <c r="A180" i="60"/>
  <c r="A181" i="60"/>
  <c r="A182" i="60"/>
  <c r="A183" i="60"/>
  <c r="A184" i="60"/>
  <c r="A185" i="60"/>
  <c r="A186" i="60"/>
  <c r="A187" i="60"/>
  <c r="A188" i="60"/>
  <c r="D268" i="60"/>
  <c r="C268" i="60"/>
  <c r="E4350" i="51"/>
  <c r="E4351" i="51"/>
  <c r="E4352" i="51"/>
  <c r="J4352" i="51"/>
  <c r="J4357" i="51"/>
  <c r="J4397" i="51"/>
  <c r="J4392" i="51"/>
  <c r="J4387" i="51"/>
  <c r="J4382" i="51"/>
  <c r="J4377" i="51"/>
  <c r="J4372" i="51"/>
  <c r="J4367" i="51"/>
  <c r="J4362" i="51"/>
  <c r="I4398" i="51"/>
  <c r="K4398" i="51"/>
  <c r="I4397" i="51"/>
  <c r="K4397" i="51"/>
  <c r="I4396" i="51"/>
  <c r="K4396" i="51"/>
  <c r="I4395" i="51"/>
  <c r="K4395" i="51"/>
  <c r="I4393" i="51"/>
  <c r="K4393" i="51"/>
  <c r="I4392" i="51"/>
  <c r="K4392" i="51"/>
  <c r="I4391" i="51"/>
  <c r="K4391" i="51"/>
  <c r="I4390" i="51"/>
  <c r="K4390" i="51"/>
  <c r="I4388" i="51"/>
  <c r="K4388" i="51"/>
  <c r="I4387" i="51"/>
  <c r="K4387" i="51"/>
  <c r="I4386" i="51"/>
  <c r="K4386" i="51"/>
  <c r="I4385" i="51"/>
  <c r="K4385" i="51"/>
  <c r="I4383" i="51"/>
  <c r="K4383" i="51"/>
  <c r="I4382" i="51"/>
  <c r="K4382" i="51"/>
  <c r="I4381" i="51"/>
  <c r="K4381" i="51"/>
  <c r="I4380" i="51"/>
  <c r="K4380" i="51"/>
  <c r="I4378" i="51"/>
  <c r="K4378" i="51"/>
  <c r="I4377" i="51"/>
  <c r="K4377" i="51"/>
  <c r="I4376" i="51"/>
  <c r="K4376" i="51"/>
  <c r="I4375" i="51"/>
  <c r="K4375" i="51"/>
  <c r="I4373" i="51"/>
  <c r="K4373" i="51"/>
  <c r="I4372" i="51"/>
  <c r="K4372" i="51"/>
  <c r="I4371" i="51"/>
  <c r="K4371" i="51"/>
  <c r="I4370" i="51"/>
  <c r="K4370" i="51"/>
  <c r="I4368" i="51"/>
  <c r="K4368" i="51"/>
  <c r="I4367" i="51"/>
  <c r="K4367" i="51"/>
  <c r="I4366" i="51"/>
  <c r="K4366" i="51"/>
  <c r="I4365" i="51"/>
  <c r="K4365" i="51"/>
  <c r="I4363" i="51"/>
  <c r="K4363" i="51"/>
  <c r="I4362" i="51"/>
  <c r="K4362" i="51"/>
  <c r="I4361" i="51"/>
  <c r="K4361" i="51"/>
  <c r="I4360" i="51"/>
  <c r="K4360" i="51"/>
  <c r="I4358" i="51"/>
  <c r="K4358" i="51"/>
  <c r="I4357" i="51"/>
  <c r="K4357" i="51"/>
  <c r="I4356" i="51"/>
  <c r="K4356" i="51"/>
  <c r="I4355" i="51"/>
  <c r="K4355" i="51"/>
  <c r="I4399" i="51"/>
  <c r="E4353" i="51"/>
  <c r="E4354" i="51"/>
  <c r="E4355" i="51"/>
  <c r="E4356" i="51"/>
  <c r="E4357" i="51"/>
  <c r="E4358" i="51"/>
  <c r="E4359" i="51"/>
  <c r="E4360" i="51"/>
  <c r="E4361" i="51"/>
  <c r="E4362" i="51"/>
  <c r="E4363" i="51"/>
  <c r="E4364" i="51"/>
  <c r="E4365" i="51"/>
  <c r="E4366" i="51"/>
  <c r="E4367" i="51"/>
  <c r="E4368" i="51"/>
  <c r="E4369" i="51"/>
  <c r="E4370" i="51"/>
  <c r="E4371" i="51"/>
  <c r="E4372" i="51"/>
  <c r="E4373" i="51"/>
  <c r="E4374" i="51"/>
  <c r="E4375" i="51"/>
  <c r="E4376" i="51"/>
  <c r="E4377" i="51"/>
  <c r="E4378" i="51"/>
  <c r="E4379" i="51"/>
  <c r="E4380" i="51"/>
  <c r="E4381" i="51"/>
  <c r="E4382" i="51"/>
  <c r="E4383" i="51"/>
  <c r="E4384" i="51"/>
  <c r="E4385" i="51"/>
  <c r="E4386" i="51"/>
  <c r="E4387" i="51"/>
  <c r="E4388" i="51"/>
  <c r="E4389" i="51"/>
  <c r="E4390" i="51"/>
  <c r="E4391" i="51"/>
  <c r="E4392" i="51"/>
  <c r="E4393" i="51"/>
  <c r="E4394" i="51"/>
  <c r="E4395" i="51"/>
  <c r="E4396" i="51"/>
  <c r="E4397" i="51"/>
  <c r="E4398" i="51"/>
  <c r="E4399" i="51"/>
  <c r="C4399" i="51"/>
  <c r="A4399" i="51"/>
  <c r="C4398" i="51"/>
  <c r="A4398" i="51"/>
  <c r="C4397" i="51"/>
  <c r="A4397" i="51"/>
  <c r="C4396" i="51"/>
  <c r="A4396" i="51"/>
  <c r="C4395" i="51"/>
  <c r="A4395" i="51"/>
  <c r="I4394" i="51"/>
  <c r="C4394" i="51"/>
  <c r="A4394" i="51"/>
  <c r="C4393" i="51"/>
  <c r="A4393" i="51"/>
  <c r="C4392" i="51"/>
  <c r="A4392" i="51"/>
  <c r="C4391" i="51"/>
  <c r="A4391" i="51"/>
  <c r="C4390" i="51"/>
  <c r="A4390" i="51"/>
  <c r="I4389" i="51"/>
  <c r="C4389" i="51"/>
  <c r="A4389" i="51"/>
  <c r="C4388" i="51"/>
  <c r="A4388" i="51"/>
  <c r="C4387" i="51"/>
  <c r="A4387" i="51"/>
  <c r="C4386" i="51"/>
  <c r="A4386" i="51"/>
  <c r="C4385" i="51"/>
  <c r="A4385" i="51"/>
  <c r="I4384" i="51"/>
  <c r="C4384" i="51"/>
  <c r="A4384" i="51"/>
  <c r="C4383" i="51"/>
  <c r="A4383" i="51"/>
  <c r="C4382" i="51"/>
  <c r="A4382" i="51"/>
  <c r="C4381" i="51"/>
  <c r="A4381" i="51"/>
  <c r="C4380" i="51"/>
  <c r="A4380" i="51"/>
  <c r="I4379" i="51"/>
  <c r="C4379" i="51"/>
  <c r="A4379" i="51"/>
  <c r="C4378" i="51"/>
  <c r="A4378" i="51"/>
  <c r="C4377" i="51"/>
  <c r="A4377" i="51"/>
  <c r="C4376" i="51"/>
  <c r="A4376" i="51"/>
  <c r="C4375" i="51"/>
  <c r="A4375" i="51"/>
  <c r="I4374" i="51"/>
  <c r="C4374" i="51"/>
  <c r="A4374" i="51"/>
  <c r="C4373" i="51"/>
  <c r="A4373" i="51"/>
  <c r="C4372" i="51"/>
  <c r="A4372" i="51"/>
  <c r="C4371" i="51"/>
  <c r="A4371" i="51"/>
  <c r="C4370" i="51"/>
  <c r="A4370" i="51"/>
  <c r="I4369" i="51"/>
  <c r="C4369" i="51"/>
  <c r="A4369" i="51"/>
  <c r="C4368" i="51"/>
  <c r="A4368" i="51"/>
  <c r="C4367" i="51"/>
  <c r="A4367" i="51"/>
  <c r="C4366" i="51"/>
  <c r="A4366" i="51"/>
  <c r="C4365" i="51"/>
  <c r="A4365" i="51"/>
  <c r="I4364" i="51"/>
  <c r="C4364" i="51"/>
  <c r="A4364" i="51"/>
  <c r="C4363" i="51"/>
  <c r="A4363" i="51"/>
  <c r="C4362" i="51"/>
  <c r="A4362" i="51"/>
  <c r="C4361" i="51"/>
  <c r="A4361" i="51"/>
  <c r="C4360" i="51"/>
  <c r="A4360" i="51"/>
  <c r="I4359" i="51"/>
  <c r="C4359" i="51"/>
  <c r="A4359" i="51"/>
  <c r="C4358" i="51"/>
  <c r="A4358" i="51"/>
  <c r="C4357" i="51"/>
  <c r="A4357" i="51"/>
  <c r="C4356" i="51"/>
  <c r="A4356" i="51"/>
  <c r="C4355" i="51"/>
  <c r="A4355" i="51"/>
  <c r="I4351" i="51"/>
  <c r="K4351" i="51"/>
  <c r="I4350" i="51"/>
  <c r="K4350" i="51"/>
  <c r="I4354" i="51"/>
  <c r="C4354" i="51"/>
  <c r="A4354" i="51"/>
  <c r="I4353" i="51"/>
  <c r="K4353" i="51"/>
  <c r="C4353" i="51"/>
  <c r="A4353" i="51"/>
  <c r="I4352" i="51"/>
  <c r="K4352" i="51"/>
  <c r="C4352" i="51"/>
  <c r="A4352" i="51"/>
  <c r="C4351" i="51"/>
  <c r="A4351" i="51"/>
  <c r="C4350" i="51"/>
  <c r="A4350" i="51"/>
  <c r="I4349" i="51"/>
  <c r="K4349" i="51"/>
  <c r="C4349" i="51"/>
  <c r="A4349" i="51"/>
  <c r="I4348" i="51"/>
  <c r="C4348" i="51"/>
  <c r="A4348" i="51"/>
  <c r="I4333" i="51"/>
  <c r="E4324" i="51"/>
  <c r="E4325" i="51"/>
  <c r="E4326" i="51"/>
  <c r="E4327" i="51"/>
  <c r="E4328" i="51"/>
  <c r="E4329" i="51"/>
  <c r="E4330" i="51"/>
  <c r="E4331" i="51"/>
  <c r="E4332" i="51"/>
  <c r="E4333" i="51"/>
  <c r="C4333" i="51"/>
  <c r="A4333" i="51"/>
  <c r="I4332" i="51"/>
  <c r="K4332" i="51"/>
  <c r="C4332" i="51"/>
  <c r="A4332" i="51"/>
  <c r="I4331" i="51"/>
  <c r="C4331" i="51"/>
  <c r="A4331" i="51"/>
  <c r="I4330" i="51"/>
  <c r="K4330" i="51"/>
  <c r="C4330" i="51"/>
  <c r="A4330" i="51"/>
  <c r="I4329" i="51"/>
  <c r="K4329" i="51"/>
  <c r="C4329" i="51"/>
  <c r="A4329" i="51"/>
  <c r="I4328" i="51"/>
  <c r="C4328" i="51"/>
  <c r="A4328" i="51"/>
  <c r="I4327" i="51"/>
  <c r="K4327" i="51"/>
  <c r="C4327" i="51"/>
  <c r="A4327" i="51"/>
  <c r="I4326" i="51"/>
  <c r="K4326" i="51"/>
  <c r="C4326" i="51"/>
  <c r="A4326" i="51"/>
  <c r="I4325" i="51"/>
  <c r="C4325" i="51"/>
  <c r="A4325" i="51"/>
  <c r="I4324" i="51"/>
  <c r="K4324" i="51"/>
  <c r="C4324" i="51"/>
  <c r="A4324" i="51"/>
  <c r="I4323" i="51"/>
  <c r="K4323" i="51"/>
  <c r="C4323" i="51"/>
  <c r="A4323" i="51"/>
  <c r="I4322" i="51"/>
  <c r="C4322" i="51"/>
  <c r="A4322" i="51"/>
  <c r="I4347" i="51"/>
  <c r="C4347" i="51"/>
  <c r="A4347" i="51"/>
  <c r="I4345" i="51"/>
  <c r="J4345" i="51"/>
  <c r="C4345" i="51"/>
  <c r="A4345" i="51"/>
  <c r="I4344" i="51"/>
  <c r="J4344" i="51"/>
  <c r="C4344" i="51"/>
  <c r="A4344" i="51"/>
  <c r="I4343" i="51"/>
  <c r="J4343" i="51"/>
  <c r="C4343" i="51"/>
  <c r="A4343" i="51"/>
  <c r="I4341" i="51"/>
  <c r="I4342" i="51"/>
  <c r="C4342" i="51"/>
  <c r="A4342" i="51"/>
  <c r="C4341" i="51"/>
  <c r="A4341" i="51"/>
  <c r="I4338" i="51"/>
  <c r="J4338" i="51"/>
  <c r="I4337" i="51"/>
  <c r="J4337" i="51"/>
  <c r="I4336" i="51"/>
  <c r="J4336" i="51"/>
  <c r="A4336" i="51"/>
  <c r="I4340" i="51"/>
  <c r="I4334" i="51"/>
  <c r="I4335" i="51"/>
  <c r="C4340" i="51"/>
  <c r="A4340" i="51"/>
  <c r="C4338" i="51"/>
  <c r="A4338" i="51"/>
  <c r="C4337" i="51"/>
  <c r="A4337" i="51"/>
  <c r="C4336" i="51"/>
  <c r="C4335" i="51"/>
  <c r="A4335" i="51"/>
  <c r="C4334" i="51"/>
  <c r="A4334" i="51"/>
  <c r="E4438" i="51"/>
  <c r="E4439" i="51"/>
  <c r="E4440" i="51"/>
  <c r="E4441" i="51"/>
  <c r="E4442" i="51"/>
  <c r="E4443" i="51"/>
  <c r="E4444" i="51"/>
  <c r="E4445" i="51"/>
  <c r="E4446" i="51"/>
  <c r="E4447" i="51"/>
  <c r="E4448" i="51"/>
  <c r="E4449" i="51"/>
  <c r="E4450" i="51"/>
  <c r="E4451" i="51"/>
  <c r="E4452" i="51"/>
  <c r="E4453" i="51"/>
  <c r="E4454" i="51"/>
  <c r="E4455" i="51"/>
  <c r="E4456" i="51"/>
  <c r="E4457" i="51"/>
  <c r="E4458" i="51"/>
  <c r="E4459" i="51"/>
  <c r="E4460" i="51"/>
  <c r="E4461" i="51"/>
  <c r="E4462" i="51"/>
  <c r="E4463" i="51"/>
  <c r="E4464" i="51"/>
  <c r="E4465" i="51"/>
  <c r="E4466" i="51"/>
  <c r="E4467" i="51"/>
  <c r="E4468" i="51"/>
  <c r="E4469" i="51"/>
  <c r="E4470" i="51"/>
  <c r="E4471" i="51"/>
  <c r="E4472" i="51"/>
  <c r="E4473" i="51"/>
  <c r="E4474" i="51"/>
  <c r="E4475" i="51"/>
  <c r="E4476" i="51"/>
  <c r="E4477" i="51"/>
  <c r="E4478" i="51"/>
  <c r="E4479" i="51"/>
  <c r="E4480" i="51"/>
  <c r="E4481" i="51"/>
  <c r="E4482" i="51"/>
  <c r="E4483" i="51"/>
  <c r="E4484" i="51"/>
  <c r="E4485" i="51"/>
  <c r="E4486" i="51"/>
  <c r="E4487" i="51"/>
  <c r="C4487" i="51"/>
  <c r="A4487" i="51"/>
  <c r="C4486" i="51"/>
  <c r="A4486" i="51"/>
  <c r="C4485" i="51"/>
  <c r="A4485" i="51"/>
  <c r="C4484" i="51"/>
  <c r="A4484" i="51"/>
  <c r="C4483" i="51"/>
  <c r="A4483" i="51"/>
  <c r="C4482" i="51"/>
  <c r="A4482" i="51"/>
  <c r="C4481" i="51"/>
  <c r="A4481" i="51"/>
  <c r="C4480" i="51"/>
  <c r="A4480" i="51"/>
  <c r="C4479" i="51"/>
  <c r="A4479" i="51"/>
  <c r="C4478" i="51"/>
  <c r="A4478" i="51"/>
  <c r="C4477" i="51"/>
  <c r="A4477" i="51"/>
  <c r="C4476" i="51"/>
  <c r="A4476" i="51"/>
  <c r="C4475" i="51"/>
  <c r="A4475" i="51"/>
  <c r="C4474" i="51"/>
  <c r="A4474" i="51"/>
  <c r="C4473" i="51"/>
  <c r="A4473" i="51"/>
  <c r="C4472" i="51"/>
  <c r="A4472" i="51"/>
  <c r="C4471" i="51"/>
  <c r="A4471" i="51"/>
  <c r="C4470" i="51"/>
  <c r="A4470" i="51"/>
  <c r="C4469" i="51"/>
  <c r="A4469" i="51"/>
  <c r="C4468" i="51"/>
  <c r="A4468" i="51"/>
  <c r="C4467" i="51"/>
  <c r="A4467" i="51"/>
  <c r="C4466" i="51"/>
  <c r="A4466" i="51"/>
  <c r="C4465" i="51"/>
  <c r="A4465" i="51"/>
  <c r="C4464" i="51"/>
  <c r="A4464" i="51"/>
  <c r="C4463" i="51"/>
  <c r="A4463" i="51"/>
  <c r="C4462" i="51"/>
  <c r="A4462" i="51"/>
  <c r="C4461" i="51"/>
  <c r="A4461" i="51"/>
  <c r="C4460" i="51"/>
  <c r="A4460" i="51"/>
  <c r="C4459" i="51"/>
  <c r="A4459" i="51"/>
  <c r="C4458" i="51"/>
  <c r="A4458" i="51"/>
  <c r="C4457" i="51"/>
  <c r="A4457" i="51"/>
  <c r="C4456" i="51"/>
  <c r="A4456" i="51"/>
  <c r="C4455" i="51"/>
  <c r="A4455" i="51"/>
  <c r="C4454" i="51"/>
  <c r="A4454" i="51"/>
  <c r="C4453" i="51"/>
  <c r="A4453" i="51"/>
  <c r="C4452" i="51"/>
  <c r="A4452" i="51"/>
  <c r="C4451" i="51"/>
  <c r="A4451" i="51"/>
  <c r="C4450" i="51"/>
  <c r="A4450" i="51"/>
  <c r="C4449" i="51"/>
  <c r="A4449" i="51"/>
  <c r="C4448" i="51"/>
  <c r="A4448" i="51"/>
  <c r="C4447" i="51"/>
  <c r="A4447" i="51"/>
  <c r="C4446" i="51"/>
  <c r="A4446" i="51"/>
  <c r="C4445" i="51"/>
  <c r="A4445" i="51"/>
  <c r="C4444" i="51"/>
  <c r="A4444" i="51"/>
  <c r="C4443" i="51"/>
  <c r="A4443" i="51"/>
  <c r="C4442" i="51"/>
  <c r="A4442" i="51"/>
  <c r="C4441" i="51"/>
  <c r="A4441" i="51"/>
  <c r="C4440" i="51"/>
  <c r="A4440" i="51"/>
  <c r="C4439" i="51"/>
  <c r="A4439" i="51"/>
  <c r="C4438" i="51"/>
  <c r="A4438" i="51"/>
  <c r="C4437" i="51"/>
  <c r="A4437" i="51"/>
  <c r="I4436" i="51"/>
  <c r="C4436" i="51"/>
  <c r="A4436" i="51"/>
  <c r="E189" i="60"/>
  <c r="C189" i="60"/>
  <c r="B187" i="59"/>
  <c r="O389" i="26"/>
  <c r="Q389" i="26"/>
  <c r="O553" i="26"/>
  <c r="Q553" i="26"/>
  <c r="O552" i="26"/>
  <c r="Q552" i="26"/>
  <c r="O551" i="26"/>
  <c r="Q551" i="26"/>
  <c r="O550" i="26"/>
  <c r="Q550" i="26"/>
  <c r="O549" i="26"/>
  <c r="Q549" i="26"/>
  <c r="O548" i="26"/>
  <c r="Q548" i="26"/>
  <c r="Q547" i="26"/>
  <c r="Q546" i="26"/>
  <c r="Q545" i="26"/>
  <c r="Q544" i="26"/>
  <c r="Q543" i="26"/>
  <c r="Q542" i="26"/>
  <c r="Q541" i="26"/>
  <c r="Q540" i="26"/>
  <c r="Q539" i="26"/>
  <c r="O391" i="26"/>
  <c r="Q391" i="26"/>
  <c r="O388" i="26"/>
  <c r="Q388" i="26"/>
  <c r="Q387" i="26"/>
  <c r="Q386" i="26"/>
  <c r="O385" i="26"/>
  <c r="Q385" i="26"/>
  <c r="O384" i="26"/>
  <c r="Q384" i="26"/>
  <c r="O383" i="26"/>
  <c r="Q383" i="26"/>
  <c r="O382" i="26"/>
  <c r="Q382" i="26"/>
  <c r="O381" i="26"/>
  <c r="Q381" i="26"/>
  <c r="O380" i="26"/>
  <c r="Q380" i="26"/>
  <c r="J391" i="26"/>
  <c r="G391" i="26"/>
  <c r="E391" i="26"/>
  <c r="G559" i="24"/>
  <c r="G560" i="24"/>
  <c r="G561" i="24"/>
  <c r="G562" i="24"/>
  <c r="G563" i="24"/>
  <c r="G564" i="24"/>
  <c r="G565" i="24"/>
  <c r="G566" i="24"/>
  <c r="G567" i="24"/>
  <c r="G568" i="24"/>
  <c r="A569" i="24"/>
  <c r="A568" i="24"/>
  <c r="J390" i="26"/>
  <c r="H390" i="26"/>
  <c r="G390" i="26"/>
  <c r="E390" i="26"/>
  <c r="Q534" i="26"/>
  <c r="E183" i="60"/>
  <c r="D183" i="60"/>
  <c r="C183" i="60"/>
  <c r="E182" i="60"/>
  <c r="D182" i="60"/>
  <c r="C182" i="60"/>
  <c r="E181" i="60"/>
  <c r="D181" i="60"/>
  <c r="C181" i="60"/>
  <c r="E180" i="60"/>
  <c r="D180" i="60"/>
  <c r="C180" i="60"/>
  <c r="E179" i="60"/>
  <c r="D179" i="60"/>
  <c r="C179" i="60"/>
  <c r="E178" i="60"/>
  <c r="D178" i="60"/>
  <c r="C178" i="60"/>
  <c r="I4435" i="51"/>
  <c r="C4435" i="51"/>
  <c r="A4435" i="51"/>
  <c r="I4434" i="51"/>
  <c r="C4434" i="51"/>
  <c r="A4434" i="51"/>
  <c r="C4433" i="51"/>
  <c r="A4433" i="51"/>
  <c r="C4432" i="51"/>
  <c r="A4432" i="51"/>
  <c r="K4431" i="51"/>
  <c r="I4431" i="51"/>
  <c r="C4431" i="51"/>
  <c r="A4431" i="51"/>
  <c r="I4430" i="51"/>
  <c r="C4430" i="51"/>
  <c r="A4430" i="51"/>
  <c r="I4429" i="51"/>
  <c r="C4429" i="51"/>
  <c r="A4429" i="51"/>
  <c r="K4428" i="51"/>
  <c r="I4428" i="51"/>
  <c r="C4428" i="51"/>
  <c r="A4428" i="51"/>
  <c r="I4427" i="51"/>
  <c r="C4427" i="51"/>
  <c r="A4427" i="51"/>
  <c r="I4426" i="51"/>
  <c r="C4426" i="51"/>
  <c r="A4426" i="51"/>
  <c r="K4425" i="51"/>
  <c r="I4425" i="51"/>
  <c r="C4425" i="51"/>
  <c r="A4425" i="51"/>
  <c r="I4424" i="51"/>
  <c r="C4424" i="51"/>
  <c r="A4424" i="51"/>
  <c r="I4423" i="51"/>
  <c r="C4423" i="51"/>
  <c r="A4423" i="51"/>
  <c r="K4422" i="51"/>
  <c r="I4422" i="51"/>
  <c r="C4422" i="51"/>
  <c r="A4422" i="51"/>
  <c r="I4421" i="51"/>
  <c r="C4421" i="51"/>
  <c r="A4421" i="51"/>
  <c r="I4420" i="51"/>
  <c r="C4420" i="51"/>
  <c r="A4420" i="51"/>
  <c r="K4419" i="51"/>
  <c r="I4419" i="51"/>
  <c r="C4419" i="51"/>
  <c r="A4419" i="51"/>
  <c r="I4418" i="51"/>
  <c r="C4418" i="51"/>
  <c r="A4418" i="51"/>
  <c r="I4417" i="51"/>
  <c r="C4417" i="51"/>
  <c r="A4417" i="51"/>
  <c r="K4416" i="51"/>
  <c r="I4416" i="51"/>
  <c r="C4416" i="51"/>
  <c r="A4416" i="51"/>
  <c r="I4415" i="51"/>
  <c r="C4415" i="51"/>
  <c r="A4415" i="51"/>
  <c r="I4414" i="51"/>
  <c r="C4414" i="51"/>
  <c r="A4414" i="51"/>
  <c r="K4413" i="51"/>
  <c r="I4413" i="51"/>
  <c r="C4413" i="51"/>
  <c r="A4413" i="51"/>
  <c r="I4412" i="51"/>
  <c r="C4412" i="51"/>
  <c r="A4412" i="51"/>
  <c r="I4411" i="51"/>
  <c r="C4411" i="51"/>
  <c r="A4411" i="51"/>
  <c r="K4410" i="51"/>
  <c r="I4410" i="51"/>
  <c r="C4410" i="51"/>
  <c r="A4410" i="51"/>
  <c r="I4409" i="51"/>
  <c r="C4409" i="51"/>
  <c r="A4409" i="51"/>
  <c r="I4408" i="51"/>
  <c r="C4408" i="51"/>
  <c r="A4408" i="51"/>
  <c r="K4407" i="51"/>
  <c r="I4407" i="51"/>
  <c r="C4407" i="51"/>
  <c r="A4407" i="51"/>
  <c r="I4406" i="51"/>
  <c r="C4406" i="51"/>
  <c r="A4406" i="51"/>
  <c r="I4405" i="51"/>
  <c r="C4405" i="51"/>
  <c r="A4405" i="51"/>
  <c r="K4404" i="51"/>
  <c r="I4404" i="51"/>
  <c r="C4404" i="51"/>
  <c r="A4404" i="51"/>
  <c r="I4403" i="51"/>
  <c r="C4403" i="51"/>
  <c r="A4403" i="51"/>
  <c r="I4402" i="51"/>
  <c r="C4402" i="51"/>
  <c r="A4402" i="51"/>
  <c r="I4401" i="51"/>
  <c r="C4401" i="51"/>
  <c r="A4401" i="51"/>
  <c r="I4400" i="51"/>
  <c r="C4400" i="51"/>
  <c r="A4400" i="51"/>
  <c r="I4290" i="51"/>
  <c r="C4290" i="51"/>
  <c r="A4290" i="51"/>
  <c r="K4321" i="51"/>
  <c r="I4321" i="51"/>
  <c r="C4321" i="51"/>
  <c r="A4321" i="51"/>
  <c r="I4320" i="51"/>
  <c r="C4320" i="51"/>
  <c r="A4320" i="51"/>
  <c r="I4319" i="51"/>
  <c r="C4319" i="51"/>
  <c r="A4319" i="51"/>
  <c r="K4318" i="51"/>
  <c r="I4318" i="51"/>
  <c r="C4318" i="51"/>
  <c r="A4318" i="51"/>
  <c r="I4317" i="51"/>
  <c r="C4317" i="51"/>
  <c r="A4317" i="51"/>
  <c r="I4316" i="51"/>
  <c r="C4316" i="51"/>
  <c r="A4316" i="51"/>
  <c r="K4315" i="51"/>
  <c r="I4315" i="51"/>
  <c r="C4315" i="51"/>
  <c r="A4315" i="51"/>
  <c r="I4314" i="51"/>
  <c r="C4314" i="51"/>
  <c r="A4314" i="51"/>
  <c r="I4313" i="51"/>
  <c r="C4313" i="51"/>
  <c r="A4313" i="51"/>
  <c r="K4312" i="51"/>
  <c r="I4312" i="51"/>
  <c r="C4312" i="51"/>
  <c r="A4312" i="51"/>
  <c r="I4311" i="51"/>
  <c r="C4311" i="51"/>
  <c r="A4311" i="51"/>
  <c r="I4310" i="51"/>
  <c r="C4310" i="51"/>
  <c r="A4310" i="51"/>
  <c r="K4309" i="51"/>
  <c r="I4309" i="51"/>
  <c r="C4309" i="51"/>
  <c r="A4309" i="51"/>
  <c r="I4308" i="51"/>
  <c r="C4308" i="51"/>
  <c r="A4308" i="51"/>
  <c r="I4307" i="51"/>
  <c r="C4307" i="51"/>
  <c r="A4307" i="51"/>
  <c r="K4306" i="51"/>
  <c r="I4306" i="51"/>
  <c r="C4306" i="51"/>
  <c r="A4306" i="51"/>
  <c r="I4305" i="51"/>
  <c r="C4305" i="51"/>
  <c r="A4305" i="51"/>
  <c r="I4304" i="51"/>
  <c r="C4304" i="51"/>
  <c r="A4304" i="51"/>
  <c r="K4303" i="51"/>
  <c r="I4303" i="51"/>
  <c r="C4303" i="51"/>
  <c r="A4303" i="51"/>
  <c r="I4302" i="51"/>
  <c r="C4302" i="51"/>
  <c r="A4302" i="51"/>
  <c r="I4301" i="51"/>
  <c r="C4301" i="51"/>
  <c r="A4301" i="51"/>
  <c r="K4300" i="51"/>
  <c r="I4300" i="51"/>
  <c r="C4300" i="51"/>
  <c r="A4300" i="51"/>
  <c r="I4299" i="51"/>
  <c r="C4299" i="51"/>
  <c r="A4299" i="51"/>
  <c r="I4298" i="51"/>
  <c r="C4298" i="51"/>
  <c r="A4298" i="51"/>
  <c r="K4297" i="51"/>
  <c r="I4297" i="51"/>
  <c r="C4297" i="51"/>
  <c r="A4297" i="51"/>
  <c r="I4296" i="51"/>
  <c r="C4296" i="51"/>
  <c r="A4296" i="51"/>
  <c r="I4295" i="51"/>
  <c r="C4295" i="51"/>
  <c r="A4295" i="51"/>
  <c r="K4294" i="51"/>
  <c r="I4294" i="51"/>
  <c r="C4294" i="51"/>
  <c r="A4294" i="51"/>
  <c r="I4293" i="51"/>
  <c r="C4293" i="51"/>
  <c r="A4293" i="51"/>
  <c r="I4292" i="51"/>
  <c r="C4292" i="51"/>
  <c r="A4292" i="51"/>
  <c r="I4291" i="51"/>
  <c r="C4291" i="51"/>
  <c r="A4291" i="51"/>
  <c r="A567" i="24"/>
  <c r="A566" i="24"/>
  <c r="A565" i="24"/>
  <c r="A564" i="24"/>
  <c r="A563" i="24"/>
  <c r="A562" i="24"/>
  <c r="A561" i="24"/>
  <c r="A560" i="24"/>
  <c r="A559" i="24"/>
  <c r="A558" i="24"/>
  <c r="B186" i="59"/>
  <c r="B185" i="59"/>
  <c r="B184" i="59"/>
  <c r="B183" i="59"/>
  <c r="J384" i="26"/>
  <c r="H384" i="26"/>
  <c r="G384" i="26"/>
  <c r="E384" i="26"/>
  <c r="J389" i="26"/>
  <c r="H389" i="26"/>
  <c r="G389" i="26"/>
  <c r="E389" i="26"/>
  <c r="J388" i="26"/>
  <c r="H388" i="26"/>
  <c r="G388" i="26"/>
  <c r="E388" i="26"/>
  <c r="J387" i="26"/>
  <c r="H387" i="26"/>
  <c r="G387" i="26"/>
  <c r="E387" i="26"/>
  <c r="J386" i="26"/>
  <c r="H386" i="26"/>
  <c r="G386" i="26"/>
  <c r="E386" i="26"/>
  <c r="J385" i="26"/>
  <c r="H385" i="26"/>
  <c r="G385" i="26"/>
  <c r="E385" i="26"/>
  <c r="J383" i="26"/>
  <c r="H383" i="26"/>
  <c r="G383" i="26"/>
  <c r="E383" i="26"/>
  <c r="J382" i="26"/>
  <c r="H382" i="26"/>
  <c r="G382" i="26"/>
  <c r="E382" i="26"/>
  <c r="J381" i="26"/>
  <c r="H381" i="26"/>
  <c r="G381" i="26"/>
  <c r="E381" i="26"/>
  <c r="J380" i="26"/>
  <c r="H380" i="26"/>
  <c r="G380" i="26"/>
  <c r="E380" i="26"/>
  <c r="B128" i="59"/>
  <c r="I5229" i="51"/>
  <c r="I5230" i="51"/>
  <c r="I5231" i="51"/>
  <c r="I5232" i="51"/>
  <c r="I5233" i="51"/>
  <c r="I5234" i="51"/>
  <c r="I5235" i="51"/>
  <c r="I5236" i="51"/>
  <c r="I5237" i="51"/>
  <c r="I5238" i="51"/>
  <c r="A5238" i="51"/>
  <c r="A5237" i="51"/>
  <c r="A5236" i="51"/>
  <c r="A5235" i="51"/>
  <c r="A5234" i="51"/>
  <c r="A5233" i="51"/>
  <c r="A5232" i="51"/>
  <c r="A5231" i="51"/>
  <c r="A5230" i="51"/>
  <c r="A5229" i="51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  <c r="B55" i="24"/>
  <c r="B56" i="24"/>
  <c r="B57" i="24"/>
  <c r="B58" i="24"/>
  <c r="B59" i="24"/>
  <c r="B60" i="24"/>
  <c r="B61" i="24"/>
  <c r="B62" i="24"/>
  <c r="B63" i="24"/>
  <c r="B64" i="24"/>
  <c r="B65" i="24"/>
  <c r="B66" i="24"/>
  <c r="B67" i="24"/>
  <c r="B402" i="24"/>
  <c r="B403" i="24"/>
  <c r="B404" i="24"/>
  <c r="B405" i="24"/>
  <c r="B406" i="24"/>
  <c r="B407" i="24"/>
  <c r="B408" i="24"/>
  <c r="B409" i="24"/>
  <c r="B410" i="24"/>
  <c r="B418" i="24"/>
  <c r="B419" i="24"/>
  <c r="B420" i="24"/>
  <c r="B421" i="24"/>
  <c r="B422" i="24"/>
  <c r="B423" i="24"/>
  <c r="B424" i="24"/>
  <c r="B425" i="24"/>
  <c r="B426" i="24"/>
  <c r="B427" i="24"/>
  <c r="B428" i="24"/>
  <c r="B429" i="24"/>
  <c r="B430" i="24"/>
  <c r="B431" i="24"/>
  <c r="B432" i="24"/>
  <c r="B433" i="24"/>
  <c r="B434" i="24"/>
  <c r="B435" i="24"/>
  <c r="B437" i="24"/>
  <c r="B438" i="24"/>
  <c r="B440" i="24"/>
  <c r="B441" i="24"/>
  <c r="B442" i="24"/>
  <c r="B443" i="24"/>
  <c r="B444" i="24"/>
  <c r="B445" i="24"/>
  <c r="B446" i="24"/>
  <c r="B447" i="24"/>
  <c r="B448" i="24"/>
  <c r="B449" i="24"/>
  <c r="B450" i="24"/>
  <c r="B451" i="24"/>
  <c r="B452" i="24"/>
  <c r="B453" i="24"/>
  <c r="B454" i="24"/>
  <c r="B455" i="24"/>
  <c r="B456" i="24"/>
  <c r="B457" i="24"/>
  <c r="B458" i="24"/>
  <c r="B459" i="24"/>
  <c r="B460" i="24"/>
  <c r="B462" i="24"/>
  <c r="A27" i="24"/>
  <c r="J105" i="26"/>
  <c r="H105" i="26"/>
  <c r="G105" i="26"/>
  <c r="F105" i="26"/>
  <c r="E105" i="26"/>
  <c r="O378" i="26"/>
  <c r="O377" i="26"/>
  <c r="O376" i="26"/>
  <c r="O379" i="26"/>
  <c r="Q379" i="26"/>
  <c r="Q376" i="26"/>
  <c r="I4282" i="51"/>
  <c r="I4289" i="51"/>
  <c r="C4289" i="51"/>
  <c r="A4289" i="51"/>
  <c r="I4288" i="51"/>
  <c r="J4288" i="51"/>
  <c r="C4288" i="51"/>
  <c r="A4288" i="51"/>
  <c r="I4287" i="51"/>
  <c r="J4287" i="51"/>
  <c r="C4287" i="51"/>
  <c r="A4287" i="51"/>
  <c r="I4286" i="51"/>
  <c r="K4286" i="51"/>
  <c r="C4286" i="51"/>
  <c r="A4286" i="51"/>
  <c r="I4285" i="51"/>
  <c r="J4285" i="51"/>
  <c r="C4285" i="51"/>
  <c r="A4285" i="51"/>
  <c r="I4283" i="51"/>
  <c r="I4284" i="51"/>
  <c r="C4284" i="51"/>
  <c r="A4284" i="51"/>
  <c r="C4283" i="51"/>
  <c r="A4283" i="51"/>
  <c r="C4282" i="51"/>
  <c r="A4282" i="51"/>
  <c r="K4281" i="51"/>
  <c r="I4281" i="51"/>
  <c r="C4281" i="51"/>
  <c r="A4281" i="51"/>
  <c r="I4280" i="51"/>
  <c r="C4280" i="51"/>
  <c r="A4280" i="51"/>
  <c r="I4279" i="51"/>
  <c r="C4279" i="51"/>
  <c r="A4279" i="51"/>
  <c r="K4278" i="51"/>
  <c r="I4278" i="51"/>
  <c r="C4278" i="51"/>
  <c r="A4278" i="51"/>
  <c r="I4277" i="51"/>
  <c r="C4277" i="51"/>
  <c r="A4277" i="51"/>
  <c r="I4276" i="51"/>
  <c r="C4276" i="51"/>
  <c r="A4276" i="51"/>
  <c r="K4275" i="51"/>
  <c r="I4275" i="51"/>
  <c r="C4275" i="51"/>
  <c r="A4275" i="51"/>
  <c r="I4274" i="51"/>
  <c r="C4274" i="51"/>
  <c r="A4274" i="51"/>
  <c r="I4273" i="51"/>
  <c r="C4273" i="51"/>
  <c r="A4273" i="51"/>
  <c r="K4272" i="51"/>
  <c r="I4272" i="51"/>
  <c r="C4272" i="51"/>
  <c r="A4272" i="51"/>
  <c r="I4271" i="51"/>
  <c r="C4271" i="51"/>
  <c r="A4271" i="51"/>
  <c r="I4270" i="51"/>
  <c r="C4270" i="51"/>
  <c r="A4270" i="51"/>
  <c r="K4269" i="51"/>
  <c r="I4269" i="51"/>
  <c r="C4269" i="51"/>
  <c r="A4269" i="51"/>
  <c r="I4268" i="51"/>
  <c r="C4268" i="51"/>
  <c r="A4268" i="51"/>
  <c r="I4267" i="51"/>
  <c r="C4267" i="51"/>
  <c r="A4267" i="51"/>
  <c r="K4266" i="51"/>
  <c r="I4266" i="51"/>
  <c r="C4266" i="51"/>
  <c r="A4266" i="51"/>
  <c r="I4265" i="51"/>
  <c r="C4265" i="51"/>
  <c r="A4265" i="51"/>
  <c r="I4264" i="51"/>
  <c r="C4264" i="51"/>
  <c r="A4264" i="51"/>
  <c r="K4263" i="51"/>
  <c r="I4263" i="51"/>
  <c r="C4263" i="51"/>
  <c r="A4263" i="51"/>
  <c r="I4262" i="51"/>
  <c r="C4262" i="51"/>
  <c r="A4262" i="51"/>
  <c r="I4261" i="51"/>
  <c r="C4261" i="51"/>
  <c r="A4261" i="51"/>
  <c r="K4260" i="51"/>
  <c r="I4260" i="51"/>
  <c r="C4260" i="51"/>
  <c r="A4260" i="51"/>
  <c r="I4259" i="51"/>
  <c r="C4259" i="51"/>
  <c r="A4259" i="51"/>
  <c r="I4258" i="51"/>
  <c r="C4258" i="51"/>
  <c r="A4258" i="51"/>
  <c r="K4257" i="51"/>
  <c r="I4257" i="51"/>
  <c r="C4257" i="51"/>
  <c r="A4257" i="51"/>
  <c r="I4256" i="51"/>
  <c r="C4256" i="51"/>
  <c r="A4256" i="51"/>
  <c r="I4255" i="51"/>
  <c r="C4255" i="51"/>
  <c r="A4255" i="51"/>
  <c r="K4254" i="51"/>
  <c r="I4254" i="51"/>
  <c r="C4254" i="51"/>
  <c r="A4254" i="51"/>
  <c r="I4253" i="51"/>
  <c r="C4253" i="51"/>
  <c r="A4253" i="51"/>
  <c r="I4252" i="51"/>
  <c r="C4252" i="51"/>
  <c r="A4252" i="51"/>
  <c r="I4251" i="51"/>
  <c r="C4251" i="51"/>
  <c r="A4251" i="51"/>
  <c r="K4250" i="51"/>
  <c r="I4250" i="51"/>
  <c r="C4250" i="51"/>
  <c r="A4250" i="51"/>
  <c r="I4249" i="51"/>
  <c r="C4249" i="51"/>
  <c r="A4249" i="51"/>
  <c r="I4248" i="51"/>
  <c r="C4248" i="51"/>
  <c r="A4248" i="51"/>
  <c r="K4247" i="51"/>
  <c r="I4247" i="51"/>
  <c r="C4247" i="51"/>
  <c r="A4247" i="51"/>
  <c r="I4246" i="51"/>
  <c r="C4246" i="51"/>
  <c r="A4246" i="51"/>
  <c r="I4245" i="51"/>
  <c r="C4245" i="51"/>
  <c r="A4245" i="51"/>
  <c r="K4244" i="51"/>
  <c r="I4244" i="51"/>
  <c r="C4244" i="51"/>
  <c r="A4244" i="51"/>
  <c r="I4243" i="51"/>
  <c r="C4243" i="51"/>
  <c r="A4243" i="51"/>
  <c r="I4242" i="51"/>
  <c r="C4242" i="51"/>
  <c r="A4242" i="51"/>
  <c r="K4241" i="51"/>
  <c r="I4241" i="51"/>
  <c r="C4241" i="51"/>
  <c r="A4241" i="51"/>
  <c r="I4240" i="51"/>
  <c r="C4240" i="51"/>
  <c r="A4240" i="51"/>
  <c r="I4239" i="51"/>
  <c r="C4239" i="51"/>
  <c r="A4239" i="51"/>
  <c r="K4238" i="51"/>
  <c r="I4238" i="51"/>
  <c r="C4238" i="51"/>
  <c r="A4238" i="51"/>
  <c r="I4237" i="51"/>
  <c r="C4237" i="51"/>
  <c r="A4237" i="51"/>
  <c r="I4236" i="51"/>
  <c r="C4236" i="51"/>
  <c r="A4236" i="51"/>
  <c r="K4235" i="51"/>
  <c r="I4235" i="51"/>
  <c r="C4235" i="51"/>
  <c r="A4235" i="51"/>
  <c r="I4234" i="51"/>
  <c r="C4234" i="51"/>
  <c r="A4234" i="51"/>
  <c r="I4233" i="51"/>
  <c r="C4233" i="51"/>
  <c r="A4233" i="51"/>
  <c r="K4232" i="51"/>
  <c r="I4232" i="51"/>
  <c r="C4232" i="51"/>
  <c r="A4232" i="51"/>
  <c r="I4231" i="51"/>
  <c r="C4231" i="51"/>
  <c r="A4231" i="51"/>
  <c r="I4230" i="51"/>
  <c r="C4230" i="51"/>
  <c r="A4230" i="51"/>
  <c r="K4229" i="51"/>
  <c r="I4229" i="51"/>
  <c r="C4229" i="51"/>
  <c r="A4229" i="51"/>
  <c r="I4228" i="51"/>
  <c r="C4228" i="51"/>
  <c r="A4228" i="51"/>
  <c r="I4227" i="51"/>
  <c r="C4227" i="51"/>
  <c r="A4227" i="51"/>
  <c r="K4226" i="51"/>
  <c r="I4226" i="51"/>
  <c r="C4226" i="51"/>
  <c r="A4226" i="51"/>
  <c r="I4225" i="51"/>
  <c r="C4225" i="51"/>
  <c r="A4225" i="51"/>
  <c r="I4224" i="51"/>
  <c r="C4224" i="51"/>
  <c r="A4224" i="51"/>
  <c r="K4223" i="51"/>
  <c r="I4223" i="51"/>
  <c r="C4223" i="51"/>
  <c r="A4223" i="51"/>
  <c r="I4222" i="51"/>
  <c r="C4222" i="51"/>
  <c r="A4222" i="51"/>
  <c r="I4221" i="51"/>
  <c r="C4221" i="51"/>
  <c r="A4221" i="51"/>
  <c r="I4220" i="51"/>
  <c r="C4220" i="51"/>
  <c r="A4220" i="51"/>
  <c r="K4219" i="51"/>
  <c r="I4219" i="51"/>
  <c r="C4219" i="51"/>
  <c r="A4219" i="51"/>
  <c r="I4218" i="51"/>
  <c r="C4218" i="51"/>
  <c r="A4218" i="51"/>
  <c r="I4217" i="51"/>
  <c r="C4217" i="51"/>
  <c r="A4217" i="51"/>
  <c r="K4216" i="51"/>
  <c r="I4216" i="51"/>
  <c r="C4216" i="51"/>
  <c r="A4216" i="51"/>
  <c r="I4215" i="51"/>
  <c r="C4215" i="51"/>
  <c r="A4215" i="51"/>
  <c r="I4214" i="51"/>
  <c r="C4214" i="51"/>
  <c r="A4214" i="51"/>
  <c r="K4213" i="51"/>
  <c r="I4213" i="51"/>
  <c r="C4213" i="51"/>
  <c r="A4213" i="51"/>
  <c r="I4212" i="51"/>
  <c r="C4212" i="51"/>
  <c r="A4212" i="51"/>
  <c r="I4211" i="51"/>
  <c r="C4211" i="51"/>
  <c r="A4211" i="51"/>
  <c r="K4210" i="51"/>
  <c r="I4210" i="51"/>
  <c r="C4210" i="51"/>
  <c r="A4210" i="51"/>
  <c r="I4209" i="51"/>
  <c r="C4209" i="51"/>
  <c r="A4209" i="51"/>
  <c r="I4208" i="51"/>
  <c r="C4208" i="51"/>
  <c r="A4208" i="51"/>
  <c r="K4207" i="51"/>
  <c r="I4207" i="51"/>
  <c r="C4207" i="51"/>
  <c r="A4207" i="51"/>
  <c r="I4206" i="51"/>
  <c r="C4206" i="51"/>
  <c r="A4206" i="51"/>
  <c r="I4205" i="51"/>
  <c r="C4205" i="51"/>
  <c r="A4205" i="51"/>
  <c r="K4204" i="51"/>
  <c r="I4204" i="51"/>
  <c r="C4204" i="51"/>
  <c r="A4204" i="51"/>
  <c r="I4203" i="51"/>
  <c r="C4203" i="51"/>
  <c r="A4203" i="51"/>
  <c r="I4202" i="51"/>
  <c r="C4202" i="51"/>
  <c r="A4202" i="51"/>
  <c r="K4201" i="51"/>
  <c r="I4201" i="51"/>
  <c r="C4201" i="51"/>
  <c r="A4201" i="51"/>
  <c r="I4200" i="51"/>
  <c r="C4200" i="51"/>
  <c r="A4200" i="51"/>
  <c r="I4199" i="51"/>
  <c r="C4199" i="51"/>
  <c r="A4199" i="51"/>
  <c r="K4198" i="51"/>
  <c r="I4198" i="51"/>
  <c r="C4198" i="51"/>
  <c r="A4198" i="51"/>
  <c r="I4197" i="51"/>
  <c r="C4197" i="51"/>
  <c r="A4197" i="51"/>
  <c r="I4196" i="51"/>
  <c r="C4196" i="51"/>
  <c r="A4196" i="51"/>
  <c r="K4195" i="51"/>
  <c r="I4195" i="51"/>
  <c r="C4195" i="51"/>
  <c r="A4195" i="51"/>
  <c r="I4194" i="51"/>
  <c r="C4194" i="51"/>
  <c r="A4194" i="51"/>
  <c r="I4193" i="51"/>
  <c r="C4193" i="51"/>
  <c r="A4193" i="51"/>
  <c r="Q537" i="26"/>
  <c r="K4192" i="51"/>
  <c r="I4192" i="51"/>
  <c r="I4191" i="51"/>
  <c r="I4190" i="51"/>
  <c r="I4189" i="51"/>
  <c r="C4192" i="51"/>
  <c r="C4191" i="51"/>
  <c r="C4190" i="51"/>
  <c r="C4189" i="51"/>
  <c r="A4192" i="51"/>
  <c r="A4191" i="51"/>
  <c r="A4190" i="51"/>
  <c r="A4189" i="51"/>
  <c r="A174" i="60"/>
  <c r="A175" i="60"/>
  <c r="A176" i="60"/>
  <c r="A177" i="60"/>
  <c r="E177" i="60"/>
  <c r="D177" i="60"/>
  <c r="C177" i="60"/>
  <c r="E176" i="60"/>
  <c r="D176" i="60"/>
  <c r="C176" i="60"/>
  <c r="E175" i="60"/>
  <c r="D175" i="60"/>
  <c r="C175" i="60"/>
  <c r="E174" i="60"/>
  <c r="D174" i="60"/>
  <c r="C174" i="60"/>
  <c r="G547" i="24"/>
  <c r="G548" i="24"/>
  <c r="G549" i="24"/>
  <c r="G550" i="24"/>
  <c r="G551" i="24"/>
  <c r="G552" i="24"/>
  <c r="G553" i="24"/>
  <c r="G554" i="24"/>
  <c r="G555" i="24"/>
  <c r="G556" i="24"/>
  <c r="G557" i="24"/>
  <c r="A557" i="24"/>
  <c r="A556" i="24"/>
  <c r="A555" i="24"/>
  <c r="A554" i="24"/>
  <c r="J379" i="26"/>
  <c r="H379" i="26"/>
  <c r="G379" i="26"/>
  <c r="E379" i="26"/>
  <c r="Q378" i="26"/>
  <c r="J378" i="26"/>
  <c r="H378" i="26"/>
  <c r="G378" i="26"/>
  <c r="E378" i="26"/>
  <c r="Q377" i="26"/>
  <c r="J377" i="26"/>
  <c r="H377" i="26"/>
  <c r="G377" i="26"/>
  <c r="E377" i="26"/>
  <c r="J376" i="26"/>
  <c r="H376" i="26"/>
  <c r="G376" i="26"/>
  <c r="E376" i="26"/>
  <c r="O371" i="26"/>
  <c r="Q371" i="26"/>
  <c r="Q538" i="26"/>
  <c r="E173" i="60"/>
  <c r="D173" i="60"/>
  <c r="C173" i="60"/>
  <c r="A173" i="60"/>
  <c r="E172" i="60"/>
  <c r="D172" i="60"/>
  <c r="C172" i="60"/>
  <c r="A172" i="60"/>
  <c r="E171" i="60"/>
  <c r="D171" i="60"/>
  <c r="C171" i="60"/>
  <c r="A171" i="60"/>
  <c r="A553" i="24"/>
  <c r="A552" i="24"/>
  <c r="A551" i="24"/>
  <c r="B182" i="59"/>
  <c r="B181" i="59"/>
  <c r="B180" i="59"/>
  <c r="I4188" i="51"/>
  <c r="K4188" i="51"/>
  <c r="J4188" i="51"/>
  <c r="E4139" i="51"/>
  <c r="E4140" i="51"/>
  <c r="E4141" i="51"/>
  <c r="E4142" i="51"/>
  <c r="E4143" i="51"/>
  <c r="E4144" i="51"/>
  <c r="E4145" i="51"/>
  <c r="E4146" i="51"/>
  <c r="E4147" i="51"/>
  <c r="E4148" i="51"/>
  <c r="E4149" i="51"/>
  <c r="E4150" i="51"/>
  <c r="E4151" i="51"/>
  <c r="E4152" i="51"/>
  <c r="E4153" i="51"/>
  <c r="E4154" i="51"/>
  <c r="E4155" i="51"/>
  <c r="E4156" i="51"/>
  <c r="E4157" i="51"/>
  <c r="E4158" i="51"/>
  <c r="E4159" i="51"/>
  <c r="E4160" i="51"/>
  <c r="E4161" i="51"/>
  <c r="E4162" i="51"/>
  <c r="E4163" i="51"/>
  <c r="E4164" i="51"/>
  <c r="E4165" i="51"/>
  <c r="E4166" i="51"/>
  <c r="E4167" i="51"/>
  <c r="E4168" i="51"/>
  <c r="E4169" i="51"/>
  <c r="E4170" i="51"/>
  <c r="E4171" i="51"/>
  <c r="E4172" i="51"/>
  <c r="E4173" i="51"/>
  <c r="E4174" i="51"/>
  <c r="E4175" i="51"/>
  <c r="E4176" i="51"/>
  <c r="E4177" i="51"/>
  <c r="E4178" i="51"/>
  <c r="E4179" i="51"/>
  <c r="E4180" i="51"/>
  <c r="E4181" i="51"/>
  <c r="E4182" i="51"/>
  <c r="E4183" i="51"/>
  <c r="E4184" i="51"/>
  <c r="E4185" i="51"/>
  <c r="E4186" i="51"/>
  <c r="E4187" i="51"/>
  <c r="E4188" i="51"/>
  <c r="C4188" i="51"/>
  <c r="A4188" i="51"/>
  <c r="I4187" i="51"/>
  <c r="K4187" i="51"/>
  <c r="C4187" i="51"/>
  <c r="A4187" i="51"/>
  <c r="I4186" i="51"/>
  <c r="K4186" i="51"/>
  <c r="C4186" i="51"/>
  <c r="A4186" i="51"/>
  <c r="I4185" i="51"/>
  <c r="K4185" i="51"/>
  <c r="C4185" i="51"/>
  <c r="A4185" i="51"/>
  <c r="I4184" i="51"/>
  <c r="K4184" i="51"/>
  <c r="C4184" i="51"/>
  <c r="A4184" i="51"/>
  <c r="I4183" i="51"/>
  <c r="K4183" i="51"/>
  <c r="J4183" i="51"/>
  <c r="C4183" i="51"/>
  <c r="A4183" i="51"/>
  <c r="I4182" i="51"/>
  <c r="K4182" i="51"/>
  <c r="C4182" i="51"/>
  <c r="A4182" i="51"/>
  <c r="I4181" i="51"/>
  <c r="K4181" i="51"/>
  <c r="C4181" i="51"/>
  <c r="A4181" i="51"/>
  <c r="I4180" i="51"/>
  <c r="K4180" i="51"/>
  <c r="C4180" i="51"/>
  <c r="A4180" i="51"/>
  <c r="I4179" i="51"/>
  <c r="K4179" i="51"/>
  <c r="C4179" i="51"/>
  <c r="A4179" i="51"/>
  <c r="I4178" i="51"/>
  <c r="K4178" i="51"/>
  <c r="J4178" i="51"/>
  <c r="C4178" i="51"/>
  <c r="A4178" i="51"/>
  <c r="I4177" i="51"/>
  <c r="K4177" i="51"/>
  <c r="C4177" i="51"/>
  <c r="A4177" i="51"/>
  <c r="I4176" i="51"/>
  <c r="K4176" i="51"/>
  <c r="C4176" i="51"/>
  <c r="A4176" i="51"/>
  <c r="I4175" i="51"/>
  <c r="K4175" i="51"/>
  <c r="C4175" i="51"/>
  <c r="A4175" i="51"/>
  <c r="I4174" i="51"/>
  <c r="K4174" i="51"/>
  <c r="C4174" i="51"/>
  <c r="A4174" i="51"/>
  <c r="I4173" i="51"/>
  <c r="K4173" i="51"/>
  <c r="J4173" i="51"/>
  <c r="C4173" i="51"/>
  <c r="A4173" i="51"/>
  <c r="I4172" i="51"/>
  <c r="K4172" i="51"/>
  <c r="C4172" i="51"/>
  <c r="A4172" i="51"/>
  <c r="I4171" i="51"/>
  <c r="K4171" i="51"/>
  <c r="C4171" i="51"/>
  <c r="A4171" i="51"/>
  <c r="I4170" i="51"/>
  <c r="K4170" i="51"/>
  <c r="C4170" i="51"/>
  <c r="A4170" i="51"/>
  <c r="I4169" i="51"/>
  <c r="K4169" i="51"/>
  <c r="C4169" i="51"/>
  <c r="A4169" i="51"/>
  <c r="I4168" i="51"/>
  <c r="K4168" i="51"/>
  <c r="J4168" i="51"/>
  <c r="C4168" i="51"/>
  <c r="A4168" i="51"/>
  <c r="I4167" i="51"/>
  <c r="K4167" i="51"/>
  <c r="C4167" i="51"/>
  <c r="A4167" i="51"/>
  <c r="I4166" i="51"/>
  <c r="K4166" i="51"/>
  <c r="C4166" i="51"/>
  <c r="A4166" i="51"/>
  <c r="I4165" i="51"/>
  <c r="K4165" i="51"/>
  <c r="C4165" i="51"/>
  <c r="A4165" i="51"/>
  <c r="I4164" i="51"/>
  <c r="K4164" i="51"/>
  <c r="C4164" i="51"/>
  <c r="A4164" i="51"/>
  <c r="I4163" i="51"/>
  <c r="K4163" i="51"/>
  <c r="J4163" i="51"/>
  <c r="C4163" i="51"/>
  <c r="A4163" i="51"/>
  <c r="I4162" i="51"/>
  <c r="K4162" i="51"/>
  <c r="C4162" i="51"/>
  <c r="A4162" i="51"/>
  <c r="I4161" i="51"/>
  <c r="K4161" i="51"/>
  <c r="C4161" i="51"/>
  <c r="A4161" i="51"/>
  <c r="I4160" i="51"/>
  <c r="K4160" i="51"/>
  <c r="C4160" i="51"/>
  <c r="A4160" i="51"/>
  <c r="I4159" i="51"/>
  <c r="K4159" i="51"/>
  <c r="C4159" i="51"/>
  <c r="A4159" i="51"/>
  <c r="I4158" i="51"/>
  <c r="K4158" i="51"/>
  <c r="J4158" i="51"/>
  <c r="C4158" i="51"/>
  <c r="A4158" i="51"/>
  <c r="I4157" i="51"/>
  <c r="K4157" i="51"/>
  <c r="C4157" i="51"/>
  <c r="A4157" i="51"/>
  <c r="I4156" i="51"/>
  <c r="K4156" i="51"/>
  <c r="C4156" i="51"/>
  <c r="A4156" i="51"/>
  <c r="I4155" i="51"/>
  <c r="K4155" i="51"/>
  <c r="C4155" i="51"/>
  <c r="A4155" i="51"/>
  <c r="I4154" i="51"/>
  <c r="K4154" i="51"/>
  <c r="C4154" i="51"/>
  <c r="A4154" i="51"/>
  <c r="I4153" i="51"/>
  <c r="K4153" i="51"/>
  <c r="J4153" i="51"/>
  <c r="C4153" i="51"/>
  <c r="A4153" i="51"/>
  <c r="I4152" i="51"/>
  <c r="K4152" i="51"/>
  <c r="C4152" i="51"/>
  <c r="A4152" i="51"/>
  <c r="I4151" i="51"/>
  <c r="K4151" i="51"/>
  <c r="C4151" i="51"/>
  <c r="A4151" i="51"/>
  <c r="I4150" i="51"/>
  <c r="K4150" i="51"/>
  <c r="C4150" i="51"/>
  <c r="A4150" i="51"/>
  <c r="I4149" i="51"/>
  <c r="K4149" i="51"/>
  <c r="C4149" i="51"/>
  <c r="A4149" i="51"/>
  <c r="I4148" i="51"/>
  <c r="K4148" i="51"/>
  <c r="J4148" i="51"/>
  <c r="C4148" i="51"/>
  <c r="A4148" i="51"/>
  <c r="I4147" i="51"/>
  <c r="K4147" i="51"/>
  <c r="C4147" i="51"/>
  <c r="A4147" i="51"/>
  <c r="I4146" i="51"/>
  <c r="K4146" i="51"/>
  <c r="C4146" i="51"/>
  <c r="A4146" i="51"/>
  <c r="I4145" i="51"/>
  <c r="K4145" i="51"/>
  <c r="C4145" i="51"/>
  <c r="A4145" i="51"/>
  <c r="I4144" i="51"/>
  <c r="K4144" i="51"/>
  <c r="C4144" i="51"/>
  <c r="A4144" i="51"/>
  <c r="I4143" i="51"/>
  <c r="K4143" i="51"/>
  <c r="J4143" i="51"/>
  <c r="C4143" i="51"/>
  <c r="A4143" i="51"/>
  <c r="I4142" i="51"/>
  <c r="K4142" i="51"/>
  <c r="C4142" i="51"/>
  <c r="A4142" i="51"/>
  <c r="I4141" i="51"/>
  <c r="K4141" i="51"/>
  <c r="C4141" i="51"/>
  <c r="A4141" i="51"/>
  <c r="I4140" i="51"/>
  <c r="K4140" i="51"/>
  <c r="C4140" i="51"/>
  <c r="A4140" i="51"/>
  <c r="I4139" i="51"/>
  <c r="K4139" i="51"/>
  <c r="C4139" i="51"/>
  <c r="A4139" i="51"/>
  <c r="I4138" i="51"/>
  <c r="K4138" i="51"/>
  <c r="C4138" i="51"/>
  <c r="A4138" i="51"/>
  <c r="I4137" i="51"/>
  <c r="C4137" i="51"/>
  <c r="A4137" i="51"/>
  <c r="I4136" i="51"/>
  <c r="K4136" i="51"/>
  <c r="J4136" i="51"/>
  <c r="E4087" i="51"/>
  <c r="E4088" i="51"/>
  <c r="E4089" i="51"/>
  <c r="E4090" i="51"/>
  <c r="E4091" i="51"/>
  <c r="E4092" i="51"/>
  <c r="E4093" i="51"/>
  <c r="E4094" i="51"/>
  <c r="E4095" i="51"/>
  <c r="E4096" i="51"/>
  <c r="E4097" i="51"/>
  <c r="E4098" i="51"/>
  <c r="E4099" i="51"/>
  <c r="E4100" i="51"/>
  <c r="E4101" i="51"/>
  <c r="E4102" i="51"/>
  <c r="E4103" i="51"/>
  <c r="E4104" i="51"/>
  <c r="E4105" i="51"/>
  <c r="E4106" i="51"/>
  <c r="E4107" i="51"/>
  <c r="E4108" i="51"/>
  <c r="E4109" i="51"/>
  <c r="E4110" i="51"/>
  <c r="E4111" i="51"/>
  <c r="E4112" i="51"/>
  <c r="E4113" i="51"/>
  <c r="E4114" i="51"/>
  <c r="E4115" i="51"/>
  <c r="E4116" i="51"/>
  <c r="E4117" i="51"/>
  <c r="E4118" i="51"/>
  <c r="E4119" i="51"/>
  <c r="E4120" i="51"/>
  <c r="E4121" i="51"/>
  <c r="E4122" i="51"/>
  <c r="E4123" i="51"/>
  <c r="E4124" i="51"/>
  <c r="E4125" i="51"/>
  <c r="E4126" i="51"/>
  <c r="E4127" i="51"/>
  <c r="E4128" i="51"/>
  <c r="E4129" i="51"/>
  <c r="E4130" i="51"/>
  <c r="E4131" i="51"/>
  <c r="E4132" i="51"/>
  <c r="E4133" i="51"/>
  <c r="E4134" i="51"/>
  <c r="E4135" i="51"/>
  <c r="E4136" i="51"/>
  <c r="C4136" i="51"/>
  <c r="A4136" i="51"/>
  <c r="I4135" i="51"/>
  <c r="K4135" i="51"/>
  <c r="C4135" i="51"/>
  <c r="A4135" i="51"/>
  <c r="I4134" i="51"/>
  <c r="K4134" i="51"/>
  <c r="C4134" i="51"/>
  <c r="A4134" i="51"/>
  <c r="I4133" i="51"/>
  <c r="K4133" i="51"/>
  <c r="C4133" i="51"/>
  <c r="A4133" i="51"/>
  <c r="I4132" i="51"/>
  <c r="K4132" i="51"/>
  <c r="C4132" i="51"/>
  <c r="A4132" i="51"/>
  <c r="I4131" i="51"/>
  <c r="K4131" i="51"/>
  <c r="J4131" i="51"/>
  <c r="C4131" i="51"/>
  <c r="A4131" i="51"/>
  <c r="I4130" i="51"/>
  <c r="K4130" i="51"/>
  <c r="C4130" i="51"/>
  <c r="A4130" i="51"/>
  <c r="I4129" i="51"/>
  <c r="K4129" i="51"/>
  <c r="C4129" i="51"/>
  <c r="A4129" i="51"/>
  <c r="I4128" i="51"/>
  <c r="K4128" i="51"/>
  <c r="C4128" i="51"/>
  <c r="A4128" i="51"/>
  <c r="I4127" i="51"/>
  <c r="K4127" i="51"/>
  <c r="C4127" i="51"/>
  <c r="A4127" i="51"/>
  <c r="I4126" i="51"/>
  <c r="K4126" i="51"/>
  <c r="J4126" i="51"/>
  <c r="C4126" i="51"/>
  <c r="A4126" i="51"/>
  <c r="I4125" i="51"/>
  <c r="K4125" i="51"/>
  <c r="C4125" i="51"/>
  <c r="A4125" i="51"/>
  <c r="I4124" i="51"/>
  <c r="K4124" i="51"/>
  <c r="C4124" i="51"/>
  <c r="A4124" i="51"/>
  <c r="I4123" i="51"/>
  <c r="K4123" i="51"/>
  <c r="C4123" i="51"/>
  <c r="A4123" i="51"/>
  <c r="I4122" i="51"/>
  <c r="K4122" i="51"/>
  <c r="C4122" i="51"/>
  <c r="A4122" i="51"/>
  <c r="I4121" i="51"/>
  <c r="K4121" i="51"/>
  <c r="J4121" i="51"/>
  <c r="C4121" i="51"/>
  <c r="A4121" i="51"/>
  <c r="I4120" i="51"/>
  <c r="K4120" i="51"/>
  <c r="C4120" i="51"/>
  <c r="A4120" i="51"/>
  <c r="I4119" i="51"/>
  <c r="K4119" i="51"/>
  <c r="C4119" i="51"/>
  <c r="A4119" i="51"/>
  <c r="I4118" i="51"/>
  <c r="K4118" i="51"/>
  <c r="C4118" i="51"/>
  <c r="A4118" i="51"/>
  <c r="I4117" i="51"/>
  <c r="K4117" i="51"/>
  <c r="C4117" i="51"/>
  <c r="A4117" i="51"/>
  <c r="I4116" i="51"/>
  <c r="K4116" i="51"/>
  <c r="J4116" i="51"/>
  <c r="C4116" i="51"/>
  <c r="A4116" i="51"/>
  <c r="I4115" i="51"/>
  <c r="K4115" i="51"/>
  <c r="C4115" i="51"/>
  <c r="A4115" i="51"/>
  <c r="I4114" i="51"/>
  <c r="K4114" i="51"/>
  <c r="C4114" i="51"/>
  <c r="A4114" i="51"/>
  <c r="I4113" i="51"/>
  <c r="K4113" i="51"/>
  <c r="C4113" i="51"/>
  <c r="A4113" i="51"/>
  <c r="I4112" i="51"/>
  <c r="K4112" i="51"/>
  <c r="C4112" i="51"/>
  <c r="A4112" i="51"/>
  <c r="I4111" i="51"/>
  <c r="K4111" i="51"/>
  <c r="J4111" i="51"/>
  <c r="C4111" i="51"/>
  <c r="A4111" i="51"/>
  <c r="I4110" i="51"/>
  <c r="K4110" i="51"/>
  <c r="C4110" i="51"/>
  <c r="A4110" i="51"/>
  <c r="I4109" i="51"/>
  <c r="K4109" i="51"/>
  <c r="C4109" i="51"/>
  <c r="A4109" i="51"/>
  <c r="I4108" i="51"/>
  <c r="K4108" i="51"/>
  <c r="C4108" i="51"/>
  <c r="A4108" i="51"/>
  <c r="I4107" i="51"/>
  <c r="K4107" i="51"/>
  <c r="C4107" i="51"/>
  <c r="A4107" i="51"/>
  <c r="I4106" i="51"/>
  <c r="K4106" i="51"/>
  <c r="J4106" i="51"/>
  <c r="C4106" i="51"/>
  <c r="A4106" i="51"/>
  <c r="I4105" i="51"/>
  <c r="K4105" i="51"/>
  <c r="C4105" i="51"/>
  <c r="A4105" i="51"/>
  <c r="I4104" i="51"/>
  <c r="K4104" i="51"/>
  <c r="C4104" i="51"/>
  <c r="A4104" i="51"/>
  <c r="I4103" i="51"/>
  <c r="K4103" i="51"/>
  <c r="C4103" i="51"/>
  <c r="A4103" i="51"/>
  <c r="I4102" i="51"/>
  <c r="K4102" i="51"/>
  <c r="C4102" i="51"/>
  <c r="A4102" i="51"/>
  <c r="I4101" i="51"/>
  <c r="K4101" i="51"/>
  <c r="J4101" i="51"/>
  <c r="C4101" i="51"/>
  <c r="A4101" i="51"/>
  <c r="I4100" i="51"/>
  <c r="K4100" i="51"/>
  <c r="C4100" i="51"/>
  <c r="A4100" i="51"/>
  <c r="I4099" i="51"/>
  <c r="K4099" i="51"/>
  <c r="C4099" i="51"/>
  <c r="A4099" i="51"/>
  <c r="I4098" i="51"/>
  <c r="K4098" i="51"/>
  <c r="C4098" i="51"/>
  <c r="A4098" i="51"/>
  <c r="I4097" i="51"/>
  <c r="K4097" i="51"/>
  <c r="C4097" i="51"/>
  <c r="A4097" i="51"/>
  <c r="I4096" i="51"/>
  <c r="K4096" i="51"/>
  <c r="J4096" i="51"/>
  <c r="C4096" i="51"/>
  <c r="A4096" i="51"/>
  <c r="I4095" i="51"/>
  <c r="K4095" i="51"/>
  <c r="C4095" i="51"/>
  <c r="A4095" i="51"/>
  <c r="I4094" i="51"/>
  <c r="K4094" i="51"/>
  <c r="C4094" i="51"/>
  <c r="A4094" i="51"/>
  <c r="I4093" i="51"/>
  <c r="K4093" i="51"/>
  <c r="C4093" i="51"/>
  <c r="A4093" i="51"/>
  <c r="I4092" i="51"/>
  <c r="K4092" i="51"/>
  <c r="C4092" i="51"/>
  <c r="A4092" i="51"/>
  <c r="I4091" i="51"/>
  <c r="K4091" i="51"/>
  <c r="J4091" i="51"/>
  <c r="C4091" i="51"/>
  <c r="A4091" i="51"/>
  <c r="I4090" i="51"/>
  <c r="K4090" i="51"/>
  <c r="C4090" i="51"/>
  <c r="A4090" i="51"/>
  <c r="I4089" i="51"/>
  <c r="K4089" i="51"/>
  <c r="C4089" i="51"/>
  <c r="A4089" i="51"/>
  <c r="I4088" i="51"/>
  <c r="K4088" i="51"/>
  <c r="C4088" i="51"/>
  <c r="A4088" i="51"/>
  <c r="I4087" i="51"/>
  <c r="K4087" i="51"/>
  <c r="C4087" i="51"/>
  <c r="A4087" i="51"/>
  <c r="I4086" i="51"/>
  <c r="K4086" i="51"/>
  <c r="C4086" i="51"/>
  <c r="A4086" i="51"/>
  <c r="I4085" i="51"/>
  <c r="C4085" i="51"/>
  <c r="A4085" i="51"/>
  <c r="I4084" i="51"/>
  <c r="K4084" i="51"/>
  <c r="J4084" i="51"/>
  <c r="E4035" i="51"/>
  <c r="E4036" i="51"/>
  <c r="E4037" i="51"/>
  <c r="E4038" i="51"/>
  <c r="E4039" i="51"/>
  <c r="E4040" i="51"/>
  <c r="E4041" i="51"/>
  <c r="E4042" i="51"/>
  <c r="E4043" i="51"/>
  <c r="E4044" i="51"/>
  <c r="E4045" i="51"/>
  <c r="E4046" i="51"/>
  <c r="E4047" i="51"/>
  <c r="E4048" i="51"/>
  <c r="E4049" i="51"/>
  <c r="E4050" i="51"/>
  <c r="E4051" i="51"/>
  <c r="E4052" i="51"/>
  <c r="E4053" i="51"/>
  <c r="E4054" i="51"/>
  <c r="E4055" i="51"/>
  <c r="E4056" i="51"/>
  <c r="E4057" i="51"/>
  <c r="E4058" i="51"/>
  <c r="E4059" i="51"/>
  <c r="E4060" i="51"/>
  <c r="E4061" i="51"/>
  <c r="E4062" i="51"/>
  <c r="E4063" i="51"/>
  <c r="E4064" i="51"/>
  <c r="E4065" i="51"/>
  <c r="E4066" i="51"/>
  <c r="E4067" i="51"/>
  <c r="E4068" i="51"/>
  <c r="E4069" i="51"/>
  <c r="E4070" i="51"/>
  <c r="E4071" i="51"/>
  <c r="E4072" i="51"/>
  <c r="E4073" i="51"/>
  <c r="E4074" i="51"/>
  <c r="E4075" i="51"/>
  <c r="E4076" i="51"/>
  <c r="E4077" i="51"/>
  <c r="E4078" i="51"/>
  <c r="E4079" i="51"/>
  <c r="E4080" i="51"/>
  <c r="E4081" i="51"/>
  <c r="E4082" i="51"/>
  <c r="E4083" i="51"/>
  <c r="E4084" i="51"/>
  <c r="C4084" i="51"/>
  <c r="A4084" i="51"/>
  <c r="I4083" i="51"/>
  <c r="K4083" i="51"/>
  <c r="C4083" i="51"/>
  <c r="A4083" i="51"/>
  <c r="I4082" i="51"/>
  <c r="K4082" i="51"/>
  <c r="C4082" i="51"/>
  <c r="A4082" i="51"/>
  <c r="I4081" i="51"/>
  <c r="K4081" i="51"/>
  <c r="C4081" i="51"/>
  <c r="A4081" i="51"/>
  <c r="I4080" i="51"/>
  <c r="K4080" i="51"/>
  <c r="C4080" i="51"/>
  <c r="A4080" i="51"/>
  <c r="I4079" i="51"/>
  <c r="K4079" i="51"/>
  <c r="J4079" i="51"/>
  <c r="C4079" i="51"/>
  <c r="A4079" i="51"/>
  <c r="I4078" i="51"/>
  <c r="K4078" i="51"/>
  <c r="C4078" i="51"/>
  <c r="A4078" i="51"/>
  <c r="I4077" i="51"/>
  <c r="K4077" i="51"/>
  <c r="C4077" i="51"/>
  <c r="A4077" i="51"/>
  <c r="I4076" i="51"/>
  <c r="K4076" i="51"/>
  <c r="C4076" i="51"/>
  <c r="A4076" i="51"/>
  <c r="I4075" i="51"/>
  <c r="K4075" i="51"/>
  <c r="C4075" i="51"/>
  <c r="A4075" i="51"/>
  <c r="I4074" i="51"/>
  <c r="K4074" i="51"/>
  <c r="J4074" i="51"/>
  <c r="C4074" i="51"/>
  <c r="A4074" i="51"/>
  <c r="I4073" i="51"/>
  <c r="K4073" i="51"/>
  <c r="C4073" i="51"/>
  <c r="A4073" i="51"/>
  <c r="I4072" i="51"/>
  <c r="K4072" i="51"/>
  <c r="C4072" i="51"/>
  <c r="A4072" i="51"/>
  <c r="I4071" i="51"/>
  <c r="K4071" i="51"/>
  <c r="C4071" i="51"/>
  <c r="A4071" i="51"/>
  <c r="I4070" i="51"/>
  <c r="K4070" i="51"/>
  <c r="C4070" i="51"/>
  <c r="A4070" i="51"/>
  <c r="I4069" i="51"/>
  <c r="K4069" i="51"/>
  <c r="J4069" i="51"/>
  <c r="C4069" i="51"/>
  <c r="A4069" i="51"/>
  <c r="I4068" i="51"/>
  <c r="K4068" i="51"/>
  <c r="C4068" i="51"/>
  <c r="A4068" i="51"/>
  <c r="I4067" i="51"/>
  <c r="K4067" i="51"/>
  <c r="C4067" i="51"/>
  <c r="A4067" i="51"/>
  <c r="I4066" i="51"/>
  <c r="K4066" i="51"/>
  <c r="C4066" i="51"/>
  <c r="A4066" i="51"/>
  <c r="I4065" i="51"/>
  <c r="K4065" i="51"/>
  <c r="C4065" i="51"/>
  <c r="A4065" i="51"/>
  <c r="I4064" i="51"/>
  <c r="K4064" i="51"/>
  <c r="J4064" i="51"/>
  <c r="C4064" i="51"/>
  <c r="A4064" i="51"/>
  <c r="I4063" i="51"/>
  <c r="K4063" i="51"/>
  <c r="C4063" i="51"/>
  <c r="A4063" i="51"/>
  <c r="I4062" i="51"/>
  <c r="K4062" i="51"/>
  <c r="C4062" i="51"/>
  <c r="A4062" i="51"/>
  <c r="I4061" i="51"/>
  <c r="K4061" i="51"/>
  <c r="C4061" i="51"/>
  <c r="A4061" i="51"/>
  <c r="I4060" i="51"/>
  <c r="K4060" i="51"/>
  <c r="C4060" i="51"/>
  <c r="A4060" i="51"/>
  <c r="I4059" i="51"/>
  <c r="K4059" i="51"/>
  <c r="J4059" i="51"/>
  <c r="C4059" i="51"/>
  <c r="A4059" i="51"/>
  <c r="I4058" i="51"/>
  <c r="K4058" i="51"/>
  <c r="C4058" i="51"/>
  <c r="A4058" i="51"/>
  <c r="I4057" i="51"/>
  <c r="K4057" i="51"/>
  <c r="C4057" i="51"/>
  <c r="A4057" i="51"/>
  <c r="I4056" i="51"/>
  <c r="K4056" i="51"/>
  <c r="C4056" i="51"/>
  <c r="A4056" i="51"/>
  <c r="I4055" i="51"/>
  <c r="K4055" i="51"/>
  <c r="C4055" i="51"/>
  <c r="A4055" i="51"/>
  <c r="I4054" i="51"/>
  <c r="K4054" i="51"/>
  <c r="J4054" i="51"/>
  <c r="C4054" i="51"/>
  <c r="A4054" i="51"/>
  <c r="I4053" i="51"/>
  <c r="K4053" i="51"/>
  <c r="C4053" i="51"/>
  <c r="A4053" i="51"/>
  <c r="I4052" i="51"/>
  <c r="K4052" i="51"/>
  <c r="C4052" i="51"/>
  <c r="A4052" i="51"/>
  <c r="I4051" i="51"/>
  <c r="K4051" i="51"/>
  <c r="C4051" i="51"/>
  <c r="A4051" i="51"/>
  <c r="I4050" i="51"/>
  <c r="K4050" i="51"/>
  <c r="C4050" i="51"/>
  <c r="A4050" i="51"/>
  <c r="I4049" i="51"/>
  <c r="K4049" i="51"/>
  <c r="J4049" i="51"/>
  <c r="C4049" i="51"/>
  <c r="A4049" i="51"/>
  <c r="I4048" i="51"/>
  <c r="K4048" i="51"/>
  <c r="C4048" i="51"/>
  <c r="A4048" i="51"/>
  <c r="I4047" i="51"/>
  <c r="K4047" i="51"/>
  <c r="C4047" i="51"/>
  <c r="A4047" i="51"/>
  <c r="I4046" i="51"/>
  <c r="K4046" i="51"/>
  <c r="C4046" i="51"/>
  <c r="A4046" i="51"/>
  <c r="I4045" i="51"/>
  <c r="K4045" i="51"/>
  <c r="C4045" i="51"/>
  <c r="A4045" i="51"/>
  <c r="I4044" i="51"/>
  <c r="K4044" i="51"/>
  <c r="J4044" i="51"/>
  <c r="C4044" i="51"/>
  <c r="A4044" i="51"/>
  <c r="I4043" i="51"/>
  <c r="K4043" i="51"/>
  <c r="C4043" i="51"/>
  <c r="A4043" i="51"/>
  <c r="I4042" i="51"/>
  <c r="K4042" i="51"/>
  <c r="C4042" i="51"/>
  <c r="A4042" i="51"/>
  <c r="I4041" i="51"/>
  <c r="K4041" i="51"/>
  <c r="C4041" i="51"/>
  <c r="A4041" i="51"/>
  <c r="I4040" i="51"/>
  <c r="K4040" i="51"/>
  <c r="C4040" i="51"/>
  <c r="A4040" i="51"/>
  <c r="I4039" i="51"/>
  <c r="K4039" i="51"/>
  <c r="J4039" i="51"/>
  <c r="C4039" i="51"/>
  <c r="A4039" i="51"/>
  <c r="I4038" i="51"/>
  <c r="K4038" i="51"/>
  <c r="C4038" i="51"/>
  <c r="A4038" i="51"/>
  <c r="I4037" i="51"/>
  <c r="K4037" i="51"/>
  <c r="C4037" i="51"/>
  <c r="A4037" i="51"/>
  <c r="I4036" i="51"/>
  <c r="K4036" i="51"/>
  <c r="C4036" i="51"/>
  <c r="A4036" i="51"/>
  <c r="I4035" i="51"/>
  <c r="K4035" i="51"/>
  <c r="C4035" i="51"/>
  <c r="A4035" i="51"/>
  <c r="I4034" i="51"/>
  <c r="K4034" i="51"/>
  <c r="C4034" i="51"/>
  <c r="A4034" i="51"/>
  <c r="I4033" i="51"/>
  <c r="C4033" i="51"/>
  <c r="A4033" i="51"/>
  <c r="O375" i="26"/>
  <c r="Q375" i="26"/>
  <c r="J375" i="26"/>
  <c r="H375" i="26"/>
  <c r="G375" i="26"/>
  <c r="E375" i="26"/>
  <c r="O374" i="26"/>
  <c r="Q374" i="26"/>
  <c r="J374" i="26"/>
  <c r="H374" i="26"/>
  <c r="G374" i="26"/>
  <c r="E374" i="26"/>
  <c r="O373" i="26"/>
  <c r="Q373" i="26"/>
  <c r="J373" i="26"/>
  <c r="H373" i="26"/>
  <c r="G373" i="26"/>
  <c r="E373" i="26"/>
  <c r="Q529" i="26"/>
  <c r="Q372" i="26"/>
  <c r="E170" i="60"/>
  <c r="D170" i="60"/>
  <c r="C170" i="60"/>
  <c r="A550" i="24"/>
  <c r="K4032" i="51"/>
  <c r="I4032" i="51"/>
  <c r="E3973" i="51"/>
  <c r="E3974" i="51"/>
  <c r="E3975" i="51"/>
  <c r="E3976" i="51"/>
  <c r="E3977" i="51"/>
  <c r="E3978" i="51"/>
  <c r="E3979" i="51"/>
  <c r="E3980" i="51"/>
  <c r="E3981" i="51"/>
  <c r="E3982" i="51"/>
  <c r="E3983" i="51"/>
  <c r="E3984" i="51"/>
  <c r="E3985" i="51"/>
  <c r="E3986" i="51"/>
  <c r="E3987" i="51"/>
  <c r="E3988" i="51"/>
  <c r="E3989" i="51"/>
  <c r="E3990" i="51"/>
  <c r="E3991" i="51"/>
  <c r="E3992" i="51"/>
  <c r="E3993" i="51"/>
  <c r="E3994" i="51"/>
  <c r="E3995" i="51"/>
  <c r="E3996" i="51"/>
  <c r="E3997" i="51"/>
  <c r="E3998" i="51"/>
  <c r="E3999" i="51"/>
  <c r="E4000" i="51"/>
  <c r="E4001" i="51"/>
  <c r="E4002" i="51"/>
  <c r="E4003" i="51"/>
  <c r="E4004" i="51"/>
  <c r="E4005" i="51"/>
  <c r="E4006" i="51"/>
  <c r="E4007" i="51"/>
  <c r="E4008" i="51"/>
  <c r="E4009" i="51"/>
  <c r="E4010" i="51"/>
  <c r="E4011" i="51"/>
  <c r="E4012" i="51"/>
  <c r="E4013" i="51"/>
  <c r="E4014" i="51"/>
  <c r="E4015" i="51"/>
  <c r="E4016" i="51"/>
  <c r="E4017" i="51"/>
  <c r="E4018" i="51"/>
  <c r="E4019" i="51"/>
  <c r="E4020" i="51"/>
  <c r="E4021" i="51"/>
  <c r="E4022" i="51"/>
  <c r="E4023" i="51"/>
  <c r="E4024" i="51"/>
  <c r="E4025" i="51"/>
  <c r="E4026" i="51"/>
  <c r="E4027" i="51"/>
  <c r="E4028" i="51"/>
  <c r="E4029" i="51"/>
  <c r="E4030" i="51"/>
  <c r="E4031" i="51"/>
  <c r="E4032" i="51"/>
  <c r="C4032" i="51"/>
  <c r="A4032" i="51"/>
  <c r="I4031" i="51"/>
  <c r="C4031" i="51"/>
  <c r="A4031" i="51"/>
  <c r="I4030" i="51"/>
  <c r="C4030" i="51"/>
  <c r="A4030" i="51"/>
  <c r="K4029" i="51"/>
  <c r="I4029" i="51"/>
  <c r="C4029" i="51"/>
  <c r="A4029" i="51"/>
  <c r="I4028" i="51"/>
  <c r="C4028" i="51"/>
  <c r="A4028" i="51"/>
  <c r="I4027" i="51"/>
  <c r="C4027" i="51"/>
  <c r="A4027" i="51"/>
  <c r="K4026" i="51"/>
  <c r="I4026" i="51"/>
  <c r="C4026" i="51"/>
  <c r="A4026" i="51"/>
  <c r="I4025" i="51"/>
  <c r="C4025" i="51"/>
  <c r="A4025" i="51"/>
  <c r="I4024" i="51"/>
  <c r="C4024" i="51"/>
  <c r="A4024" i="51"/>
  <c r="K4023" i="51"/>
  <c r="I4023" i="51"/>
  <c r="C4023" i="51"/>
  <c r="A4023" i="51"/>
  <c r="I4022" i="51"/>
  <c r="C4022" i="51"/>
  <c r="A4022" i="51"/>
  <c r="I4021" i="51"/>
  <c r="C4021" i="51"/>
  <c r="A4021" i="51"/>
  <c r="K4020" i="51"/>
  <c r="I4020" i="51"/>
  <c r="C4020" i="51"/>
  <c r="A4020" i="51"/>
  <c r="I4019" i="51"/>
  <c r="C4019" i="51"/>
  <c r="A4019" i="51"/>
  <c r="I4018" i="51"/>
  <c r="C4018" i="51"/>
  <c r="A4018" i="51"/>
  <c r="K4017" i="51"/>
  <c r="I4017" i="51"/>
  <c r="C4017" i="51"/>
  <c r="A4017" i="51"/>
  <c r="I4016" i="51"/>
  <c r="C4016" i="51"/>
  <c r="A4016" i="51"/>
  <c r="I4015" i="51"/>
  <c r="C4015" i="51"/>
  <c r="A4015" i="51"/>
  <c r="K4014" i="51"/>
  <c r="I4014" i="51"/>
  <c r="C4014" i="51"/>
  <c r="A4014" i="51"/>
  <c r="I4013" i="51"/>
  <c r="C4013" i="51"/>
  <c r="A4013" i="51"/>
  <c r="I4012" i="51"/>
  <c r="C4012" i="51"/>
  <c r="A4012" i="51"/>
  <c r="K4011" i="51"/>
  <c r="I4011" i="51"/>
  <c r="C4011" i="51"/>
  <c r="A4011" i="51"/>
  <c r="I4010" i="51"/>
  <c r="C4010" i="51"/>
  <c r="A4010" i="51"/>
  <c r="I4009" i="51"/>
  <c r="C4009" i="51"/>
  <c r="A4009" i="51"/>
  <c r="K4008" i="51"/>
  <c r="I4008" i="51"/>
  <c r="C4008" i="51"/>
  <c r="A4008" i="51"/>
  <c r="I4007" i="51"/>
  <c r="C4007" i="51"/>
  <c r="A4007" i="51"/>
  <c r="I4006" i="51"/>
  <c r="C4006" i="51"/>
  <c r="A4006" i="51"/>
  <c r="K4005" i="51"/>
  <c r="I4005" i="51"/>
  <c r="C4005" i="51"/>
  <c r="A4005" i="51"/>
  <c r="I4004" i="51"/>
  <c r="C4004" i="51"/>
  <c r="A4004" i="51"/>
  <c r="I4003" i="51"/>
  <c r="C4003" i="51"/>
  <c r="A4003" i="51"/>
  <c r="K4002" i="51"/>
  <c r="I4002" i="51"/>
  <c r="C4002" i="51"/>
  <c r="A4002" i="51"/>
  <c r="I4001" i="51"/>
  <c r="C4001" i="51"/>
  <c r="A4001" i="51"/>
  <c r="I4000" i="51"/>
  <c r="C4000" i="51"/>
  <c r="A4000" i="51"/>
  <c r="K3999" i="51"/>
  <c r="I3999" i="51"/>
  <c r="C3999" i="51"/>
  <c r="A3999" i="51"/>
  <c r="I3998" i="51"/>
  <c r="C3998" i="51"/>
  <c r="A3998" i="51"/>
  <c r="I3997" i="51"/>
  <c r="C3997" i="51"/>
  <c r="A3997" i="51"/>
  <c r="K3996" i="51"/>
  <c r="I3996" i="51"/>
  <c r="C3996" i="51"/>
  <c r="A3996" i="51"/>
  <c r="I3995" i="51"/>
  <c r="C3995" i="51"/>
  <c r="A3995" i="51"/>
  <c r="I3994" i="51"/>
  <c r="C3994" i="51"/>
  <c r="A3994" i="51"/>
  <c r="K3993" i="51"/>
  <c r="I3993" i="51"/>
  <c r="C3993" i="51"/>
  <c r="A3993" i="51"/>
  <c r="I3992" i="51"/>
  <c r="C3992" i="51"/>
  <c r="A3992" i="51"/>
  <c r="I3991" i="51"/>
  <c r="C3991" i="51"/>
  <c r="A3991" i="51"/>
  <c r="K3990" i="51"/>
  <c r="I3990" i="51"/>
  <c r="C3990" i="51"/>
  <c r="A3990" i="51"/>
  <c r="I3989" i="51"/>
  <c r="C3989" i="51"/>
  <c r="A3989" i="51"/>
  <c r="I3988" i="51"/>
  <c r="C3988" i="51"/>
  <c r="A3988" i="51"/>
  <c r="K3987" i="51"/>
  <c r="I3987" i="51"/>
  <c r="C3987" i="51"/>
  <c r="A3987" i="51"/>
  <c r="I3986" i="51"/>
  <c r="C3986" i="51"/>
  <c r="A3986" i="51"/>
  <c r="I3985" i="51"/>
  <c r="C3985" i="51"/>
  <c r="A3985" i="51"/>
  <c r="K3984" i="51"/>
  <c r="I3984" i="51"/>
  <c r="C3984" i="51"/>
  <c r="A3984" i="51"/>
  <c r="I3983" i="51"/>
  <c r="C3983" i="51"/>
  <c r="A3983" i="51"/>
  <c r="I3982" i="51"/>
  <c r="C3982" i="51"/>
  <c r="A3982" i="51"/>
  <c r="K3981" i="51"/>
  <c r="I3981" i="51"/>
  <c r="C3981" i="51"/>
  <c r="A3981" i="51"/>
  <c r="I3980" i="51"/>
  <c r="C3980" i="51"/>
  <c r="A3980" i="51"/>
  <c r="I3979" i="51"/>
  <c r="C3979" i="51"/>
  <c r="A3979" i="51"/>
  <c r="K3978" i="51"/>
  <c r="I3978" i="51"/>
  <c r="C3978" i="51"/>
  <c r="A3978" i="51"/>
  <c r="I3977" i="51"/>
  <c r="C3977" i="51"/>
  <c r="A3977" i="51"/>
  <c r="I3976" i="51"/>
  <c r="C3976" i="51"/>
  <c r="A3976" i="51"/>
  <c r="K3975" i="51"/>
  <c r="I3975" i="51"/>
  <c r="C3975" i="51"/>
  <c r="A3975" i="51"/>
  <c r="I3974" i="51"/>
  <c r="C3974" i="51"/>
  <c r="A3974" i="51"/>
  <c r="I3973" i="51"/>
  <c r="C3973" i="51"/>
  <c r="A3973" i="51"/>
  <c r="I3972" i="51"/>
  <c r="C3972" i="51"/>
  <c r="A3972" i="51"/>
  <c r="I3971" i="51"/>
  <c r="C3971" i="51"/>
  <c r="A3971" i="51"/>
  <c r="J372" i="26"/>
  <c r="H372" i="26"/>
  <c r="G372" i="26"/>
  <c r="E372" i="26"/>
  <c r="K3970" i="51"/>
  <c r="I3970" i="51"/>
  <c r="C3970" i="51"/>
  <c r="A3970" i="51"/>
  <c r="K3969" i="51"/>
  <c r="I3969" i="51"/>
  <c r="C3969" i="51"/>
  <c r="A3969" i="51"/>
  <c r="E169" i="60"/>
  <c r="D169" i="60"/>
  <c r="C169" i="60"/>
  <c r="A549" i="24"/>
  <c r="B179" i="59"/>
  <c r="K3968" i="51"/>
  <c r="I3968" i="51"/>
  <c r="C3968" i="51"/>
  <c r="A3968" i="51"/>
  <c r="J371" i="26"/>
  <c r="H371" i="26"/>
  <c r="G371" i="26"/>
  <c r="E371" i="26"/>
  <c r="A133" i="24"/>
  <c r="C5355" i="51"/>
  <c r="A5355" i="51"/>
  <c r="J529" i="26"/>
  <c r="G529" i="26"/>
  <c r="F529" i="26"/>
  <c r="E529" i="26"/>
  <c r="E168" i="60"/>
  <c r="D168" i="60"/>
  <c r="C168" i="60"/>
  <c r="A168" i="60"/>
  <c r="E167" i="60"/>
  <c r="D167" i="60"/>
  <c r="C167" i="60"/>
  <c r="A167" i="60"/>
  <c r="A166" i="60"/>
  <c r="E166" i="60"/>
  <c r="D166" i="60"/>
  <c r="C166" i="60"/>
  <c r="K3963" i="51"/>
  <c r="K3958" i="51"/>
  <c r="K3953" i="51"/>
  <c r="K3948" i="51"/>
  <c r="K3943" i="51"/>
  <c r="K3938" i="51"/>
  <c r="K3933" i="51"/>
  <c r="K3928" i="51"/>
  <c r="K3923" i="51"/>
  <c r="K3918" i="51"/>
  <c r="K3911" i="51"/>
  <c r="K3906" i="51"/>
  <c r="K3901" i="51"/>
  <c r="K3896" i="51"/>
  <c r="K3891" i="51"/>
  <c r="K3886" i="51"/>
  <c r="K3881" i="51"/>
  <c r="K3876" i="51"/>
  <c r="K3871" i="51"/>
  <c r="K3866" i="51"/>
  <c r="K3967" i="51"/>
  <c r="I3967" i="51"/>
  <c r="E3918" i="51"/>
  <c r="E3919" i="51"/>
  <c r="E3920" i="51"/>
  <c r="E3921" i="51"/>
  <c r="E3922" i="51"/>
  <c r="E3923" i="51"/>
  <c r="E3924" i="51"/>
  <c r="E3925" i="51"/>
  <c r="E3926" i="51"/>
  <c r="E3927" i="51"/>
  <c r="E3928" i="51"/>
  <c r="E3929" i="51"/>
  <c r="E3930" i="51"/>
  <c r="E3931" i="51"/>
  <c r="E3932" i="51"/>
  <c r="E3933" i="51"/>
  <c r="E3934" i="51"/>
  <c r="E3935" i="51"/>
  <c r="E3936" i="51"/>
  <c r="E3937" i="51"/>
  <c r="E3938" i="51"/>
  <c r="E3939" i="51"/>
  <c r="E3940" i="51"/>
  <c r="E3941" i="51"/>
  <c r="E3942" i="51"/>
  <c r="E3943" i="51"/>
  <c r="E3944" i="51"/>
  <c r="E3945" i="51"/>
  <c r="E3946" i="51"/>
  <c r="E3947" i="51"/>
  <c r="E3948" i="51"/>
  <c r="E3949" i="51"/>
  <c r="E3950" i="51"/>
  <c r="E3951" i="51"/>
  <c r="E3952" i="51"/>
  <c r="E3953" i="51"/>
  <c r="E3954" i="51"/>
  <c r="E3955" i="51"/>
  <c r="E3956" i="51"/>
  <c r="E3957" i="51"/>
  <c r="E3958" i="51"/>
  <c r="E3959" i="51"/>
  <c r="E3960" i="51"/>
  <c r="E3961" i="51"/>
  <c r="E3962" i="51"/>
  <c r="E3963" i="51"/>
  <c r="E3964" i="51"/>
  <c r="E3965" i="51"/>
  <c r="E3966" i="51"/>
  <c r="E3967" i="51"/>
  <c r="C3967" i="51"/>
  <c r="A3967" i="51"/>
  <c r="K3966" i="51"/>
  <c r="I3966" i="51"/>
  <c r="C3966" i="51"/>
  <c r="A3966" i="51"/>
  <c r="K3965" i="51"/>
  <c r="I3965" i="51"/>
  <c r="C3965" i="51"/>
  <c r="A3965" i="51"/>
  <c r="K3964" i="51"/>
  <c r="I3964" i="51"/>
  <c r="C3964" i="51"/>
  <c r="A3964" i="51"/>
  <c r="I3963" i="51"/>
  <c r="C3963" i="51"/>
  <c r="A3963" i="51"/>
  <c r="K3962" i="51"/>
  <c r="I3962" i="51"/>
  <c r="C3962" i="51"/>
  <c r="A3962" i="51"/>
  <c r="K3961" i="51"/>
  <c r="I3961" i="51"/>
  <c r="C3961" i="51"/>
  <c r="A3961" i="51"/>
  <c r="K3960" i="51"/>
  <c r="I3960" i="51"/>
  <c r="C3960" i="51"/>
  <c r="A3960" i="51"/>
  <c r="K3959" i="51"/>
  <c r="I3959" i="51"/>
  <c r="C3959" i="51"/>
  <c r="A3959" i="51"/>
  <c r="I3958" i="51"/>
  <c r="C3958" i="51"/>
  <c r="A3958" i="51"/>
  <c r="K3957" i="51"/>
  <c r="I3957" i="51"/>
  <c r="C3957" i="51"/>
  <c r="A3957" i="51"/>
  <c r="K3956" i="51"/>
  <c r="I3956" i="51"/>
  <c r="C3956" i="51"/>
  <c r="A3956" i="51"/>
  <c r="K3955" i="51"/>
  <c r="I3955" i="51"/>
  <c r="C3955" i="51"/>
  <c r="A3955" i="51"/>
  <c r="K3954" i="51"/>
  <c r="I3954" i="51"/>
  <c r="C3954" i="51"/>
  <c r="A3954" i="51"/>
  <c r="I3953" i="51"/>
  <c r="C3953" i="51"/>
  <c r="A3953" i="51"/>
  <c r="K3952" i="51"/>
  <c r="I3952" i="51"/>
  <c r="C3952" i="51"/>
  <c r="A3952" i="51"/>
  <c r="K3951" i="51"/>
  <c r="I3951" i="51"/>
  <c r="C3951" i="51"/>
  <c r="A3951" i="51"/>
  <c r="K3950" i="51"/>
  <c r="I3950" i="51"/>
  <c r="C3950" i="51"/>
  <c r="A3950" i="51"/>
  <c r="K3949" i="51"/>
  <c r="I3949" i="51"/>
  <c r="C3949" i="51"/>
  <c r="A3949" i="51"/>
  <c r="I3948" i="51"/>
  <c r="C3948" i="51"/>
  <c r="A3948" i="51"/>
  <c r="K3947" i="51"/>
  <c r="I3947" i="51"/>
  <c r="C3947" i="51"/>
  <c r="A3947" i="51"/>
  <c r="K3946" i="51"/>
  <c r="I3946" i="51"/>
  <c r="C3946" i="51"/>
  <c r="A3946" i="51"/>
  <c r="K3945" i="51"/>
  <c r="I3945" i="51"/>
  <c r="C3945" i="51"/>
  <c r="A3945" i="51"/>
  <c r="K3944" i="51"/>
  <c r="I3944" i="51"/>
  <c r="C3944" i="51"/>
  <c r="A3944" i="51"/>
  <c r="I3943" i="51"/>
  <c r="C3943" i="51"/>
  <c r="A3943" i="51"/>
  <c r="K3942" i="51"/>
  <c r="I3942" i="51"/>
  <c r="C3942" i="51"/>
  <c r="A3942" i="51"/>
  <c r="K3941" i="51"/>
  <c r="I3941" i="51"/>
  <c r="C3941" i="51"/>
  <c r="A3941" i="51"/>
  <c r="K3940" i="51"/>
  <c r="I3940" i="51"/>
  <c r="C3940" i="51"/>
  <c r="A3940" i="51"/>
  <c r="K3939" i="51"/>
  <c r="I3939" i="51"/>
  <c r="C3939" i="51"/>
  <c r="A3939" i="51"/>
  <c r="I3938" i="51"/>
  <c r="C3938" i="51"/>
  <c r="A3938" i="51"/>
  <c r="K3937" i="51"/>
  <c r="I3937" i="51"/>
  <c r="C3937" i="51"/>
  <c r="A3937" i="51"/>
  <c r="K3936" i="51"/>
  <c r="I3936" i="51"/>
  <c r="C3936" i="51"/>
  <c r="A3936" i="51"/>
  <c r="K3935" i="51"/>
  <c r="I3935" i="51"/>
  <c r="C3935" i="51"/>
  <c r="A3935" i="51"/>
  <c r="K3934" i="51"/>
  <c r="I3934" i="51"/>
  <c r="C3934" i="51"/>
  <c r="A3934" i="51"/>
  <c r="I3933" i="51"/>
  <c r="C3933" i="51"/>
  <c r="A3933" i="51"/>
  <c r="K3932" i="51"/>
  <c r="I3932" i="51"/>
  <c r="C3932" i="51"/>
  <c r="A3932" i="51"/>
  <c r="K3931" i="51"/>
  <c r="I3931" i="51"/>
  <c r="C3931" i="51"/>
  <c r="A3931" i="51"/>
  <c r="K3930" i="51"/>
  <c r="I3930" i="51"/>
  <c r="C3930" i="51"/>
  <c r="A3930" i="51"/>
  <c r="K3929" i="51"/>
  <c r="I3929" i="51"/>
  <c r="C3929" i="51"/>
  <c r="A3929" i="51"/>
  <c r="I3928" i="51"/>
  <c r="C3928" i="51"/>
  <c r="A3928" i="51"/>
  <c r="K3927" i="51"/>
  <c r="I3927" i="51"/>
  <c r="C3927" i="51"/>
  <c r="A3927" i="51"/>
  <c r="K3926" i="51"/>
  <c r="I3926" i="51"/>
  <c r="C3926" i="51"/>
  <c r="A3926" i="51"/>
  <c r="K3925" i="51"/>
  <c r="I3925" i="51"/>
  <c r="C3925" i="51"/>
  <c r="A3925" i="51"/>
  <c r="K3924" i="51"/>
  <c r="I3924" i="51"/>
  <c r="C3924" i="51"/>
  <c r="A3924" i="51"/>
  <c r="I3923" i="51"/>
  <c r="C3923" i="51"/>
  <c r="A3923" i="51"/>
  <c r="K3922" i="51"/>
  <c r="I3922" i="51"/>
  <c r="C3922" i="51"/>
  <c r="A3922" i="51"/>
  <c r="K3921" i="51"/>
  <c r="I3921" i="51"/>
  <c r="C3921" i="51"/>
  <c r="A3921" i="51"/>
  <c r="K3920" i="51"/>
  <c r="I3920" i="51"/>
  <c r="C3920" i="51"/>
  <c r="A3920" i="51"/>
  <c r="K3919" i="51"/>
  <c r="I3919" i="51"/>
  <c r="C3919" i="51"/>
  <c r="A3919" i="51"/>
  <c r="I3918" i="51"/>
  <c r="C3918" i="51"/>
  <c r="A3918" i="51"/>
  <c r="K3917" i="51"/>
  <c r="I3917" i="51"/>
  <c r="C3917" i="51"/>
  <c r="A3917" i="51"/>
  <c r="I3916" i="51"/>
  <c r="C3916" i="51"/>
  <c r="A3916" i="51"/>
  <c r="K3915" i="51"/>
  <c r="I3915" i="51"/>
  <c r="E3866" i="51"/>
  <c r="E3867" i="51"/>
  <c r="E3868" i="51"/>
  <c r="E3869" i="51"/>
  <c r="E3870" i="51"/>
  <c r="E3871" i="51"/>
  <c r="E3872" i="51"/>
  <c r="E3873" i="51"/>
  <c r="E3874" i="51"/>
  <c r="E3875" i="51"/>
  <c r="E3876" i="51"/>
  <c r="E3877" i="51"/>
  <c r="E3878" i="51"/>
  <c r="E3879" i="51"/>
  <c r="E3880" i="51"/>
  <c r="E3881" i="51"/>
  <c r="E3882" i="51"/>
  <c r="E3883" i="51"/>
  <c r="E3884" i="51"/>
  <c r="E3885" i="51"/>
  <c r="E3886" i="51"/>
  <c r="E3887" i="51"/>
  <c r="E3888" i="51"/>
  <c r="E3889" i="51"/>
  <c r="E3890" i="51"/>
  <c r="E3891" i="51"/>
  <c r="E3892" i="51"/>
  <c r="E3893" i="51"/>
  <c r="E3894" i="51"/>
  <c r="E3895" i="51"/>
  <c r="E3896" i="51"/>
  <c r="E3897" i="51"/>
  <c r="E3898" i="51"/>
  <c r="E3899" i="51"/>
  <c r="E3900" i="51"/>
  <c r="E3901" i="51"/>
  <c r="E3902" i="51"/>
  <c r="E3903" i="51"/>
  <c r="E3904" i="51"/>
  <c r="E3905" i="51"/>
  <c r="E3906" i="51"/>
  <c r="E3907" i="51"/>
  <c r="E3908" i="51"/>
  <c r="E3909" i="51"/>
  <c r="E3910" i="51"/>
  <c r="E3911" i="51"/>
  <c r="E3912" i="51"/>
  <c r="E3913" i="51"/>
  <c r="E3914" i="51"/>
  <c r="E3915" i="51"/>
  <c r="C3915" i="51"/>
  <c r="A3915" i="51"/>
  <c r="K3914" i="51"/>
  <c r="I3914" i="51"/>
  <c r="C3914" i="51"/>
  <c r="A3914" i="51"/>
  <c r="K3913" i="51"/>
  <c r="I3913" i="51"/>
  <c r="C3913" i="51"/>
  <c r="A3913" i="51"/>
  <c r="K3912" i="51"/>
  <c r="I3912" i="51"/>
  <c r="C3912" i="51"/>
  <c r="A3912" i="51"/>
  <c r="I3911" i="51"/>
  <c r="C3911" i="51"/>
  <c r="A3911" i="51"/>
  <c r="K3910" i="51"/>
  <c r="I3910" i="51"/>
  <c r="C3910" i="51"/>
  <c r="A3910" i="51"/>
  <c r="K3909" i="51"/>
  <c r="I3909" i="51"/>
  <c r="C3909" i="51"/>
  <c r="A3909" i="51"/>
  <c r="K3908" i="51"/>
  <c r="I3908" i="51"/>
  <c r="C3908" i="51"/>
  <c r="A3908" i="51"/>
  <c r="K3907" i="51"/>
  <c r="I3907" i="51"/>
  <c r="C3907" i="51"/>
  <c r="A3907" i="51"/>
  <c r="I3906" i="51"/>
  <c r="C3906" i="51"/>
  <c r="A3906" i="51"/>
  <c r="K3905" i="51"/>
  <c r="I3905" i="51"/>
  <c r="C3905" i="51"/>
  <c r="A3905" i="51"/>
  <c r="K3904" i="51"/>
  <c r="I3904" i="51"/>
  <c r="C3904" i="51"/>
  <c r="A3904" i="51"/>
  <c r="K3903" i="51"/>
  <c r="I3903" i="51"/>
  <c r="C3903" i="51"/>
  <c r="A3903" i="51"/>
  <c r="K3902" i="51"/>
  <c r="I3902" i="51"/>
  <c r="C3902" i="51"/>
  <c r="A3902" i="51"/>
  <c r="I3901" i="51"/>
  <c r="C3901" i="51"/>
  <c r="A3901" i="51"/>
  <c r="K3900" i="51"/>
  <c r="I3900" i="51"/>
  <c r="C3900" i="51"/>
  <c r="A3900" i="51"/>
  <c r="K3899" i="51"/>
  <c r="I3899" i="51"/>
  <c r="C3899" i="51"/>
  <c r="A3899" i="51"/>
  <c r="K3898" i="51"/>
  <c r="I3898" i="51"/>
  <c r="C3898" i="51"/>
  <c r="A3898" i="51"/>
  <c r="K3897" i="51"/>
  <c r="I3897" i="51"/>
  <c r="C3897" i="51"/>
  <c r="A3897" i="51"/>
  <c r="I3896" i="51"/>
  <c r="C3896" i="51"/>
  <c r="A3896" i="51"/>
  <c r="K3895" i="51"/>
  <c r="I3895" i="51"/>
  <c r="C3895" i="51"/>
  <c r="A3895" i="51"/>
  <c r="K3894" i="51"/>
  <c r="I3894" i="51"/>
  <c r="C3894" i="51"/>
  <c r="A3894" i="51"/>
  <c r="K3893" i="51"/>
  <c r="I3893" i="51"/>
  <c r="C3893" i="51"/>
  <c r="A3893" i="51"/>
  <c r="K3892" i="51"/>
  <c r="I3892" i="51"/>
  <c r="C3892" i="51"/>
  <c r="A3892" i="51"/>
  <c r="I3891" i="51"/>
  <c r="C3891" i="51"/>
  <c r="A3891" i="51"/>
  <c r="K3890" i="51"/>
  <c r="I3890" i="51"/>
  <c r="C3890" i="51"/>
  <c r="A3890" i="51"/>
  <c r="K3889" i="51"/>
  <c r="I3889" i="51"/>
  <c r="C3889" i="51"/>
  <c r="A3889" i="51"/>
  <c r="K3888" i="51"/>
  <c r="I3888" i="51"/>
  <c r="C3888" i="51"/>
  <c r="A3888" i="51"/>
  <c r="K3887" i="51"/>
  <c r="I3887" i="51"/>
  <c r="C3887" i="51"/>
  <c r="A3887" i="51"/>
  <c r="I3886" i="51"/>
  <c r="C3886" i="51"/>
  <c r="A3886" i="51"/>
  <c r="K3885" i="51"/>
  <c r="I3885" i="51"/>
  <c r="C3885" i="51"/>
  <c r="A3885" i="51"/>
  <c r="K3884" i="51"/>
  <c r="I3884" i="51"/>
  <c r="C3884" i="51"/>
  <c r="A3884" i="51"/>
  <c r="K3883" i="51"/>
  <c r="I3883" i="51"/>
  <c r="C3883" i="51"/>
  <c r="A3883" i="51"/>
  <c r="K3882" i="51"/>
  <c r="I3882" i="51"/>
  <c r="C3882" i="51"/>
  <c r="A3882" i="51"/>
  <c r="I3881" i="51"/>
  <c r="C3881" i="51"/>
  <c r="A3881" i="51"/>
  <c r="K3880" i="51"/>
  <c r="I3880" i="51"/>
  <c r="C3880" i="51"/>
  <c r="A3880" i="51"/>
  <c r="K3879" i="51"/>
  <c r="I3879" i="51"/>
  <c r="C3879" i="51"/>
  <c r="A3879" i="51"/>
  <c r="K3878" i="51"/>
  <c r="I3878" i="51"/>
  <c r="C3878" i="51"/>
  <c r="A3878" i="51"/>
  <c r="K3877" i="51"/>
  <c r="I3877" i="51"/>
  <c r="C3877" i="51"/>
  <c r="A3877" i="51"/>
  <c r="I3876" i="51"/>
  <c r="C3876" i="51"/>
  <c r="A3876" i="51"/>
  <c r="K3875" i="51"/>
  <c r="I3875" i="51"/>
  <c r="C3875" i="51"/>
  <c r="A3875" i="51"/>
  <c r="K3874" i="51"/>
  <c r="I3874" i="51"/>
  <c r="C3874" i="51"/>
  <c r="A3874" i="51"/>
  <c r="K3873" i="51"/>
  <c r="I3873" i="51"/>
  <c r="C3873" i="51"/>
  <c r="A3873" i="51"/>
  <c r="K3872" i="51"/>
  <c r="I3872" i="51"/>
  <c r="C3872" i="51"/>
  <c r="A3872" i="51"/>
  <c r="I3871" i="51"/>
  <c r="C3871" i="51"/>
  <c r="A3871" i="51"/>
  <c r="K3870" i="51"/>
  <c r="I3870" i="51"/>
  <c r="C3870" i="51"/>
  <c r="A3870" i="51"/>
  <c r="K3869" i="51"/>
  <c r="I3869" i="51"/>
  <c r="C3869" i="51"/>
  <c r="A3869" i="51"/>
  <c r="K3868" i="51"/>
  <c r="I3868" i="51"/>
  <c r="C3868" i="51"/>
  <c r="A3868" i="51"/>
  <c r="K3867" i="51"/>
  <c r="I3867" i="51"/>
  <c r="C3867" i="51"/>
  <c r="A3867" i="51"/>
  <c r="I3866" i="51"/>
  <c r="C3866" i="51"/>
  <c r="A3866" i="51"/>
  <c r="K3865" i="51"/>
  <c r="I3865" i="51"/>
  <c r="C3865" i="51"/>
  <c r="A3865" i="51"/>
  <c r="I3864" i="51"/>
  <c r="C3864" i="51"/>
  <c r="A3864" i="51"/>
  <c r="K3863" i="51"/>
  <c r="I3863" i="51"/>
  <c r="E3814" i="51"/>
  <c r="E3815" i="51"/>
  <c r="E3816" i="51"/>
  <c r="E3817" i="51"/>
  <c r="E3818" i="51"/>
  <c r="E3819" i="51"/>
  <c r="E3820" i="51"/>
  <c r="E3821" i="51"/>
  <c r="E3822" i="51"/>
  <c r="E3823" i="51"/>
  <c r="E3824" i="51"/>
  <c r="E3825" i="51"/>
  <c r="E3826" i="51"/>
  <c r="E3827" i="51"/>
  <c r="E3828" i="51"/>
  <c r="E3829" i="51"/>
  <c r="E3830" i="51"/>
  <c r="E3831" i="51"/>
  <c r="E3832" i="51"/>
  <c r="E3833" i="51"/>
  <c r="E3834" i="51"/>
  <c r="E3835" i="51"/>
  <c r="E3836" i="51"/>
  <c r="E3837" i="51"/>
  <c r="E3838" i="51"/>
  <c r="E3839" i="51"/>
  <c r="E3840" i="51"/>
  <c r="E3841" i="51"/>
  <c r="E3842" i="51"/>
  <c r="E3843" i="51"/>
  <c r="E3844" i="51"/>
  <c r="E3845" i="51"/>
  <c r="E3846" i="51"/>
  <c r="E3847" i="51"/>
  <c r="E3848" i="51"/>
  <c r="E3849" i="51"/>
  <c r="E3850" i="51"/>
  <c r="E3851" i="51"/>
  <c r="E3852" i="51"/>
  <c r="E3853" i="51"/>
  <c r="E3854" i="51"/>
  <c r="E3855" i="51"/>
  <c r="E3856" i="51"/>
  <c r="E3857" i="51"/>
  <c r="E3858" i="51"/>
  <c r="E3859" i="51"/>
  <c r="E3860" i="51"/>
  <c r="E3861" i="51"/>
  <c r="E3862" i="51"/>
  <c r="E3863" i="51"/>
  <c r="C3863" i="51"/>
  <c r="A3863" i="51"/>
  <c r="J3862" i="51"/>
  <c r="I3862" i="51"/>
  <c r="C3862" i="51"/>
  <c r="A3862" i="51"/>
  <c r="J3861" i="51"/>
  <c r="I3861" i="51"/>
  <c r="C3861" i="51"/>
  <c r="A3861" i="51"/>
  <c r="J3860" i="51"/>
  <c r="I3860" i="51"/>
  <c r="C3860" i="51"/>
  <c r="A3860" i="51"/>
  <c r="I3859" i="51"/>
  <c r="C3859" i="51"/>
  <c r="A3859" i="51"/>
  <c r="K3858" i="51"/>
  <c r="I3858" i="51"/>
  <c r="C3858" i="51"/>
  <c r="A3858" i="51"/>
  <c r="J3857" i="51"/>
  <c r="I3857" i="51"/>
  <c r="C3857" i="51"/>
  <c r="A3857" i="51"/>
  <c r="J3856" i="51"/>
  <c r="I3856" i="51"/>
  <c r="C3856" i="51"/>
  <c r="A3856" i="51"/>
  <c r="J3855" i="51"/>
  <c r="I3855" i="51"/>
  <c r="C3855" i="51"/>
  <c r="A3855" i="51"/>
  <c r="I3854" i="51"/>
  <c r="C3854" i="51"/>
  <c r="A3854" i="51"/>
  <c r="K3853" i="51"/>
  <c r="I3853" i="51"/>
  <c r="C3853" i="51"/>
  <c r="A3853" i="51"/>
  <c r="J3852" i="51"/>
  <c r="I3852" i="51"/>
  <c r="C3852" i="51"/>
  <c r="A3852" i="51"/>
  <c r="J3851" i="51"/>
  <c r="I3851" i="51"/>
  <c r="C3851" i="51"/>
  <c r="A3851" i="51"/>
  <c r="J3850" i="51"/>
  <c r="I3850" i="51"/>
  <c r="C3850" i="51"/>
  <c r="A3850" i="51"/>
  <c r="I3849" i="51"/>
  <c r="C3849" i="51"/>
  <c r="A3849" i="51"/>
  <c r="K3848" i="51"/>
  <c r="I3848" i="51"/>
  <c r="C3848" i="51"/>
  <c r="A3848" i="51"/>
  <c r="J3847" i="51"/>
  <c r="I3847" i="51"/>
  <c r="C3847" i="51"/>
  <c r="A3847" i="51"/>
  <c r="J3846" i="51"/>
  <c r="I3846" i="51"/>
  <c r="C3846" i="51"/>
  <c r="A3846" i="51"/>
  <c r="J3845" i="51"/>
  <c r="I3845" i="51"/>
  <c r="C3845" i="51"/>
  <c r="A3845" i="51"/>
  <c r="I3844" i="51"/>
  <c r="C3844" i="51"/>
  <c r="A3844" i="51"/>
  <c r="K3843" i="51"/>
  <c r="I3843" i="51"/>
  <c r="C3843" i="51"/>
  <c r="A3843" i="51"/>
  <c r="J3842" i="51"/>
  <c r="I3842" i="51"/>
  <c r="C3842" i="51"/>
  <c r="A3842" i="51"/>
  <c r="J3841" i="51"/>
  <c r="I3841" i="51"/>
  <c r="C3841" i="51"/>
  <c r="A3841" i="51"/>
  <c r="J3840" i="51"/>
  <c r="I3840" i="51"/>
  <c r="C3840" i="51"/>
  <c r="A3840" i="51"/>
  <c r="I3839" i="51"/>
  <c r="C3839" i="51"/>
  <c r="A3839" i="51"/>
  <c r="K3838" i="51"/>
  <c r="I3838" i="51"/>
  <c r="C3838" i="51"/>
  <c r="A3838" i="51"/>
  <c r="J3837" i="51"/>
  <c r="I3837" i="51"/>
  <c r="C3837" i="51"/>
  <c r="A3837" i="51"/>
  <c r="J3836" i="51"/>
  <c r="I3836" i="51"/>
  <c r="C3836" i="51"/>
  <c r="A3836" i="51"/>
  <c r="J3835" i="51"/>
  <c r="I3835" i="51"/>
  <c r="C3835" i="51"/>
  <c r="A3835" i="51"/>
  <c r="I3834" i="51"/>
  <c r="C3834" i="51"/>
  <c r="A3834" i="51"/>
  <c r="K3833" i="51"/>
  <c r="I3833" i="51"/>
  <c r="C3833" i="51"/>
  <c r="A3833" i="51"/>
  <c r="J3832" i="51"/>
  <c r="I3832" i="51"/>
  <c r="C3832" i="51"/>
  <c r="A3832" i="51"/>
  <c r="J3831" i="51"/>
  <c r="I3831" i="51"/>
  <c r="C3831" i="51"/>
  <c r="A3831" i="51"/>
  <c r="J3830" i="51"/>
  <c r="I3830" i="51"/>
  <c r="C3830" i="51"/>
  <c r="A3830" i="51"/>
  <c r="I3829" i="51"/>
  <c r="C3829" i="51"/>
  <c r="A3829" i="51"/>
  <c r="K3828" i="51"/>
  <c r="I3828" i="51"/>
  <c r="C3828" i="51"/>
  <c r="A3828" i="51"/>
  <c r="J3827" i="51"/>
  <c r="I3827" i="51"/>
  <c r="C3827" i="51"/>
  <c r="A3827" i="51"/>
  <c r="J3826" i="51"/>
  <c r="I3826" i="51"/>
  <c r="C3826" i="51"/>
  <c r="A3826" i="51"/>
  <c r="J3825" i="51"/>
  <c r="I3825" i="51"/>
  <c r="C3825" i="51"/>
  <c r="A3825" i="51"/>
  <c r="I3824" i="51"/>
  <c r="C3824" i="51"/>
  <c r="A3824" i="51"/>
  <c r="K3823" i="51"/>
  <c r="I3823" i="51"/>
  <c r="C3823" i="51"/>
  <c r="A3823" i="51"/>
  <c r="J3822" i="51"/>
  <c r="I3822" i="51"/>
  <c r="C3822" i="51"/>
  <c r="A3822" i="51"/>
  <c r="J3821" i="51"/>
  <c r="I3821" i="51"/>
  <c r="C3821" i="51"/>
  <c r="A3821" i="51"/>
  <c r="J3820" i="51"/>
  <c r="I3820" i="51"/>
  <c r="C3820" i="51"/>
  <c r="A3820" i="51"/>
  <c r="I3819" i="51"/>
  <c r="C3819" i="51"/>
  <c r="A3819" i="51"/>
  <c r="K3818" i="51"/>
  <c r="I3818" i="51"/>
  <c r="C3818" i="51"/>
  <c r="A3818" i="51"/>
  <c r="J3817" i="51"/>
  <c r="I3817" i="51"/>
  <c r="C3817" i="51"/>
  <c r="A3817" i="51"/>
  <c r="J3816" i="51"/>
  <c r="I3816" i="51"/>
  <c r="C3816" i="51"/>
  <c r="A3816" i="51"/>
  <c r="J3815" i="51"/>
  <c r="I3815" i="51"/>
  <c r="C3815" i="51"/>
  <c r="A3815" i="51"/>
  <c r="I3814" i="51"/>
  <c r="C3814" i="51"/>
  <c r="A3814" i="51"/>
  <c r="I3813" i="51"/>
  <c r="C3813" i="51"/>
  <c r="A3813" i="51"/>
  <c r="C5379" i="51"/>
  <c r="A5379" i="51"/>
  <c r="C5378" i="51"/>
  <c r="A5378" i="51"/>
  <c r="A499" i="24"/>
  <c r="A498" i="24"/>
  <c r="J553" i="26"/>
  <c r="H553" i="26"/>
  <c r="G553" i="26"/>
  <c r="F553" i="26"/>
  <c r="E553" i="26"/>
  <c r="J552" i="26"/>
  <c r="H552" i="26"/>
  <c r="G552" i="26"/>
  <c r="F552" i="26"/>
  <c r="E552" i="26"/>
  <c r="O368" i="26"/>
  <c r="Q368" i="26"/>
  <c r="O370" i="26"/>
  <c r="Q370" i="26"/>
  <c r="O369" i="26"/>
  <c r="Q369" i="26"/>
  <c r="A548" i="24"/>
  <c r="A547" i="24"/>
  <c r="A546" i="24"/>
  <c r="J370" i="26"/>
  <c r="H370" i="26"/>
  <c r="G370" i="26"/>
  <c r="E370" i="26"/>
  <c r="J369" i="26"/>
  <c r="H369" i="26"/>
  <c r="G369" i="26"/>
  <c r="E369" i="26"/>
  <c r="J368" i="26"/>
  <c r="H368" i="26"/>
  <c r="G368" i="26"/>
  <c r="E368" i="26"/>
  <c r="O363" i="26"/>
  <c r="Q363" i="26"/>
  <c r="G543" i="24"/>
  <c r="G544" i="24"/>
  <c r="I3812" i="51"/>
  <c r="I3811" i="51"/>
  <c r="I3810" i="51"/>
  <c r="I3809" i="51"/>
  <c r="I3808" i="51"/>
  <c r="I3807" i="51"/>
  <c r="I3806" i="51"/>
  <c r="I3805" i="51"/>
  <c r="O362" i="26"/>
  <c r="Q362" i="26"/>
  <c r="A26" i="24"/>
  <c r="K3812" i="51"/>
  <c r="C3812" i="51"/>
  <c r="A3812" i="51"/>
  <c r="C3811" i="51"/>
  <c r="A3811" i="51"/>
  <c r="K3810" i="51"/>
  <c r="C3810" i="51"/>
  <c r="A3810" i="51"/>
  <c r="C3809" i="51"/>
  <c r="A3809" i="51"/>
  <c r="K3808" i="51"/>
  <c r="C3808" i="51"/>
  <c r="A3808" i="51"/>
  <c r="C3807" i="51"/>
  <c r="A3807" i="51"/>
  <c r="K3806" i="51"/>
  <c r="C3806" i="51"/>
  <c r="A3806" i="51"/>
  <c r="C3805" i="51"/>
  <c r="A3805" i="51"/>
  <c r="I3799" i="51"/>
  <c r="I3800" i="51"/>
  <c r="I3801" i="51"/>
  <c r="I3802" i="51"/>
  <c r="I3803" i="51"/>
  <c r="I3804" i="51"/>
  <c r="I3797" i="51"/>
  <c r="C3797" i="51"/>
  <c r="A3797" i="51"/>
  <c r="C3804" i="51"/>
  <c r="A3804" i="51"/>
  <c r="C3803" i="51"/>
  <c r="A3803" i="51"/>
  <c r="C3802" i="51"/>
  <c r="A3802" i="51"/>
  <c r="C3801" i="51"/>
  <c r="A3801" i="51"/>
  <c r="C3800" i="51"/>
  <c r="A3800" i="51"/>
  <c r="C3799" i="51"/>
  <c r="A3799" i="51"/>
  <c r="C3798" i="51"/>
  <c r="A3798" i="51"/>
  <c r="O367" i="26"/>
  <c r="O366" i="26"/>
  <c r="O365" i="26"/>
  <c r="O364" i="26"/>
  <c r="E165" i="60"/>
  <c r="D165" i="60"/>
  <c r="C165" i="60"/>
  <c r="E164" i="60"/>
  <c r="D164" i="60"/>
  <c r="C164" i="60"/>
  <c r="E163" i="60"/>
  <c r="D163" i="60"/>
  <c r="C163" i="60"/>
  <c r="E162" i="60"/>
  <c r="D162" i="60"/>
  <c r="C162" i="60"/>
  <c r="E161" i="60"/>
  <c r="D161" i="60"/>
  <c r="C161" i="60"/>
  <c r="A545" i="24"/>
  <c r="A544" i="24"/>
  <c r="A543" i="24"/>
  <c r="A542" i="24"/>
  <c r="A541" i="24"/>
  <c r="Q367" i="26"/>
  <c r="J367" i="26"/>
  <c r="H367" i="26"/>
  <c r="G367" i="26"/>
  <c r="E367" i="26"/>
  <c r="Q366" i="26"/>
  <c r="J366" i="26"/>
  <c r="H366" i="26"/>
  <c r="G366" i="26"/>
  <c r="E366" i="26"/>
  <c r="Q365" i="26"/>
  <c r="J365" i="26"/>
  <c r="H365" i="26"/>
  <c r="G365" i="26"/>
  <c r="E365" i="26"/>
  <c r="Q364" i="26"/>
  <c r="J364" i="26"/>
  <c r="H364" i="26"/>
  <c r="G364" i="26"/>
  <c r="E364" i="26"/>
  <c r="J363" i="26"/>
  <c r="H363" i="26"/>
  <c r="G363" i="26"/>
  <c r="E363" i="26"/>
  <c r="E160" i="60"/>
  <c r="D160" i="60"/>
  <c r="C160" i="60"/>
  <c r="K3796" i="51"/>
  <c r="K3795" i="51"/>
  <c r="I3796" i="51"/>
  <c r="I3795" i="51"/>
  <c r="I3794" i="51"/>
  <c r="E3796" i="51"/>
  <c r="C3796" i="51"/>
  <c r="A3796" i="51"/>
  <c r="C3795" i="51"/>
  <c r="A3795" i="51"/>
  <c r="C3794" i="51"/>
  <c r="A3794" i="51"/>
  <c r="A540" i="24"/>
  <c r="J362" i="26"/>
  <c r="H362" i="26"/>
  <c r="G362" i="26"/>
  <c r="E362" i="26"/>
  <c r="O357" i="26"/>
  <c r="E156" i="60"/>
  <c r="E157" i="60"/>
  <c r="E158" i="60"/>
  <c r="E159" i="60"/>
  <c r="J3793" i="51"/>
  <c r="K3792" i="51"/>
  <c r="K3787" i="51"/>
  <c r="K3782" i="51"/>
  <c r="K3777" i="51"/>
  <c r="K3772" i="51"/>
  <c r="K3767" i="51"/>
  <c r="K3762" i="51"/>
  <c r="K3757" i="51"/>
  <c r="K3752" i="51"/>
  <c r="K3747" i="51"/>
  <c r="K3742" i="51"/>
  <c r="I3792" i="51"/>
  <c r="J3791" i="51"/>
  <c r="I3791" i="51"/>
  <c r="J3790" i="51"/>
  <c r="I3790" i="51"/>
  <c r="J3789" i="51"/>
  <c r="I3789" i="51"/>
  <c r="I3788" i="51"/>
  <c r="I3787" i="51"/>
  <c r="J3786" i="51"/>
  <c r="I3786" i="51"/>
  <c r="J3785" i="51"/>
  <c r="I3785" i="51"/>
  <c r="J3784" i="51"/>
  <c r="I3784" i="51"/>
  <c r="I3783" i="51"/>
  <c r="I3782" i="51"/>
  <c r="J3781" i="51"/>
  <c r="I3781" i="51"/>
  <c r="J3780" i="51"/>
  <c r="I3780" i="51"/>
  <c r="J3779" i="51"/>
  <c r="I3779" i="51"/>
  <c r="I3778" i="51"/>
  <c r="I3777" i="51"/>
  <c r="J3776" i="51"/>
  <c r="I3776" i="51"/>
  <c r="J3775" i="51"/>
  <c r="I3775" i="51"/>
  <c r="J3774" i="51"/>
  <c r="I3774" i="51"/>
  <c r="I3773" i="51"/>
  <c r="I3772" i="51"/>
  <c r="J3771" i="51"/>
  <c r="I3771" i="51"/>
  <c r="J3770" i="51"/>
  <c r="I3770" i="51"/>
  <c r="J3769" i="51"/>
  <c r="I3769" i="51"/>
  <c r="I3768" i="51"/>
  <c r="I3767" i="51"/>
  <c r="J3766" i="51"/>
  <c r="I3766" i="51"/>
  <c r="J3765" i="51"/>
  <c r="I3765" i="51"/>
  <c r="J3764" i="51"/>
  <c r="I3764" i="51"/>
  <c r="I3763" i="51"/>
  <c r="I3762" i="51"/>
  <c r="J3761" i="51"/>
  <c r="I3761" i="51"/>
  <c r="J3760" i="51"/>
  <c r="I3760" i="51"/>
  <c r="J3759" i="51"/>
  <c r="I3759" i="51"/>
  <c r="I3758" i="51"/>
  <c r="I3757" i="51"/>
  <c r="J3756" i="51"/>
  <c r="I3756" i="51"/>
  <c r="J3755" i="51"/>
  <c r="I3755" i="51"/>
  <c r="J3754" i="51"/>
  <c r="I3754" i="51"/>
  <c r="I3753" i="51"/>
  <c r="I3752" i="51"/>
  <c r="J3751" i="51"/>
  <c r="I3751" i="51"/>
  <c r="J3750" i="51"/>
  <c r="I3750" i="51"/>
  <c r="J3749" i="51"/>
  <c r="I3749" i="51"/>
  <c r="I3748" i="51"/>
  <c r="I3742" i="51"/>
  <c r="I3747" i="51"/>
  <c r="I3746" i="51"/>
  <c r="I3745" i="51"/>
  <c r="I3744" i="51"/>
  <c r="I3743" i="51"/>
  <c r="J3746" i="51"/>
  <c r="J3745" i="51"/>
  <c r="J3744" i="51"/>
  <c r="O361" i="26"/>
  <c r="Q361" i="26"/>
  <c r="I3740" i="51"/>
  <c r="K3740" i="51"/>
  <c r="J3739" i="51"/>
  <c r="J3738" i="51"/>
  <c r="J3737" i="51"/>
  <c r="I3734" i="51"/>
  <c r="K3734" i="51"/>
  <c r="J3733" i="51"/>
  <c r="J3732" i="51"/>
  <c r="J3731" i="51"/>
  <c r="I3728" i="51"/>
  <c r="K3728" i="51"/>
  <c r="J3727" i="51"/>
  <c r="J3726" i="51"/>
  <c r="J3725" i="51"/>
  <c r="I3722" i="51"/>
  <c r="K3722" i="51"/>
  <c r="J3721" i="51"/>
  <c r="J3720" i="51"/>
  <c r="J3719" i="51"/>
  <c r="I3716" i="51"/>
  <c r="K3716" i="51"/>
  <c r="J3715" i="51"/>
  <c r="J3714" i="51"/>
  <c r="J3713" i="51"/>
  <c r="I3710" i="51"/>
  <c r="K3710" i="51"/>
  <c r="J3709" i="51"/>
  <c r="J3708" i="51"/>
  <c r="J3707" i="51"/>
  <c r="I3704" i="51"/>
  <c r="K3704" i="51"/>
  <c r="J3703" i="51"/>
  <c r="J3702" i="51"/>
  <c r="J3701" i="51"/>
  <c r="I3698" i="51"/>
  <c r="K3698" i="51"/>
  <c r="J3697" i="51"/>
  <c r="J3696" i="51"/>
  <c r="J3695" i="51"/>
  <c r="I3692" i="51"/>
  <c r="K3692" i="51"/>
  <c r="J3691" i="51"/>
  <c r="J3690" i="51"/>
  <c r="J3689" i="51"/>
  <c r="I3678" i="51"/>
  <c r="K3678" i="51"/>
  <c r="J3677" i="51"/>
  <c r="J3676" i="51"/>
  <c r="J3675" i="51"/>
  <c r="I3672" i="51"/>
  <c r="K3672" i="51"/>
  <c r="J3671" i="51"/>
  <c r="J3670" i="51"/>
  <c r="J3669" i="51"/>
  <c r="I3666" i="51"/>
  <c r="K3666" i="51"/>
  <c r="J3665" i="51"/>
  <c r="J3664" i="51"/>
  <c r="J3663" i="51"/>
  <c r="I3660" i="51"/>
  <c r="K3660" i="51"/>
  <c r="J3659" i="51"/>
  <c r="J3658" i="51"/>
  <c r="J3657" i="51"/>
  <c r="I3654" i="51"/>
  <c r="K3654" i="51"/>
  <c r="J3653" i="51"/>
  <c r="J3652" i="51"/>
  <c r="J3651" i="51"/>
  <c r="I3648" i="51"/>
  <c r="K3648" i="51"/>
  <c r="J3647" i="51"/>
  <c r="J3646" i="51"/>
  <c r="J3645" i="51"/>
  <c r="I3642" i="51"/>
  <c r="K3642" i="51"/>
  <c r="J3641" i="51"/>
  <c r="J3640" i="51"/>
  <c r="J3639" i="51"/>
  <c r="I3636" i="51"/>
  <c r="K3636" i="51"/>
  <c r="J3635" i="51"/>
  <c r="J3634" i="51"/>
  <c r="J3633" i="51"/>
  <c r="I3630" i="51"/>
  <c r="K3630" i="51"/>
  <c r="J3629" i="51"/>
  <c r="J3628" i="51"/>
  <c r="J3627" i="51"/>
  <c r="D159" i="60"/>
  <c r="C159" i="60"/>
  <c r="D158" i="60"/>
  <c r="C158" i="60"/>
  <c r="D157" i="60"/>
  <c r="C157" i="60"/>
  <c r="D156" i="60"/>
  <c r="C156" i="60"/>
  <c r="A496" i="24"/>
  <c r="A497" i="24"/>
  <c r="A536" i="24"/>
  <c r="A537" i="24"/>
  <c r="A538" i="24"/>
  <c r="A539" i="24"/>
  <c r="B178" i="59"/>
  <c r="I3793" i="51"/>
  <c r="C3793" i="51"/>
  <c r="A3793" i="51"/>
  <c r="E3743" i="51"/>
  <c r="E3744" i="51"/>
  <c r="E3745" i="51"/>
  <c r="E3746" i="51"/>
  <c r="E3747" i="51"/>
  <c r="E3748" i="51"/>
  <c r="E3749" i="51"/>
  <c r="E3750" i="51"/>
  <c r="E3751" i="51"/>
  <c r="E3752" i="51"/>
  <c r="E3753" i="51"/>
  <c r="E3754" i="51"/>
  <c r="E3755" i="51"/>
  <c r="E3756" i="51"/>
  <c r="E3757" i="51"/>
  <c r="E3758" i="51"/>
  <c r="E3759" i="51"/>
  <c r="E3760" i="51"/>
  <c r="E3761" i="51"/>
  <c r="E3762" i="51"/>
  <c r="E3763" i="51"/>
  <c r="E3764" i="51"/>
  <c r="E3765" i="51"/>
  <c r="E3766" i="51"/>
  <c r="E3767" i="51"/>
  <c r="E3768" i="51"/>
  <c r="E3769" i="51"/>
  <c r="E3770" i="51"/>
  <c r="E3771" i="51"/>
  <c r="E3772" i="51"/>
  <c r="E3773" i="51"/>
  <c r="E3774" i="51"/>
  <c r="E3775" i="51"/>
  <c r="E3776" i="51"/>
  <c r="E3777" i="51"/>
  <c r="E3778" i="51"/>
  <c r="E3779" i="51"/>
  <c r="E3780" i="51"/>
  <c r="E3781" i="51"/>
  <c r="E3782" i="51"/>
  <c r="E3783" i="51"/>
  <c r="E3784" i="51"/>
  <c r="E3785" i="51"/>
  <c r="E3786" i="51"/>
  <c r="E3787" i="51"/>
  <c r="A3787" i="51"/>
  <c r="C3787" i="51"/>
  <c r="E3788" i="51"/>
  <c r="A3788" i="51"/>
  <c r="C3788" i="51"/>
  <c r="E3789" i="51"/>
  <c r="A3789" i="51"/>
  <c r="C3789" i="51"/>
  <c r="E3790" i="51"/>
  <c r="A3790" i="51"/>
  <c r="C3790" i="51"/>
  <c r="E3791" i="51"/>
  <c r="A3791" i="51"/>
  <c r="C3791" i="51"/>
  <c r="E3792" i="51"/>
  <c r="C3775" i="51"/>
  <c r="A3775" i="51"/>
  <c r="C3774" i="51"/>
  <c r="A3774" i="51"/>
  <c r="C3773" i="51"/>
  <c r="A3773" i="51"/>
  <c r="C3772" i="51"/>
  <c r="A3772" i="51"/>
  <c r="C3771" i="51"/>
  <c r="A3771" i="51"/>
  <c r="C3770" i="51"/>
  <c r="A3770" i="51"/>
  <c r="C3769" i="51"/>
  <c r="A3769" i="51"/>
  <c r="C3768" i="51"/>
  <c r="A3768" i="51"/>
  <c r="C3767" i="51"/>
  <c r="A3767" i="51"/>
  <c r="C3766" i="51"/>
  <c r="A3766" i="51"/>
  <c r="C3765" i="51"/>
  <c r="A3765" i="51"/>
  <c r="C3764" i="51"/>
  <c r="A3764" i="51"/>
  <c r="C3763" i="51"/>
  <c r="A3763" i="51"/>
  <c r="C3762" i="51"/>
  <c r="A3762" i="51"/>
  <c r="C3761" i="51"/>
  <c r="A3761" i="51"/>
  <c r="C3760" i="51"/>
  <c r="A3760" i="51"/>
  <c r="C3759" i="51"/>
  <c r="A3759" i="51"/>
  <c r="C3758" i="51"/>
  <c r="A3758" i="51"/>
  <c r="C3757" i="51"/>
  <c r="A3757" i="51"/>
  <c r="C3756" i="51"/>
  <c r="A3756" i="51"/>
  <c r="C3755" i="51"/>
  <c r="A3755" i="51"/>
  <c r="C3754" i="51"/>
  <c r="A3754" i="51"/>
  <c r="C3753" i="51"/>
  <c r="A3753" i="51"/>
  <c r="C3752" i="51"/>
  <c r="A3752" i="51"/>
  <c r="C3751" i="51"/>
  <c r="A3751" i="51"/>
  <c r="C3750" i="51"/>
  <c r="A3750" i="51"/>
  <c r="C3749" i="51"/>
  <c r="A3749" i="51"/>
  <c r="C3748" i="51"/>
  <c r="A3748" i="51"/>
  <c r="C3747" i="51"/>
  <c r="A3747" i="51"/>
  <c r="C3746" i="51"/>
  <c r="A3746" i="51"/>
  <c r="C3745" i="51"/>
  <c r="A3745" i="51"/>
  <c r="C3744" i="51"/>
  <c r="A3744" i="51"/>
  <c r="C3743" i="51"/>
  <c r="A3743" i="51"/>
  <c r="C3742" i="51"/>
  <c r="A3742" i="51"/>
  <c r="E3620" i="51"/>
  <c r="E3621" i="51"/>
  <c r="E3622" i="51"/>
  <c r="E3623" i="51"/>
  <c r="E3624" i="51"/>
  <c r="E3625" i="51"/>
  <c r="E3626" i="51"/>
  <c r="E3627" i="51"/>
  <c r="E3628" i="51"/>
  <c r="E3629" i="51"/>
  <c r="E3630" i="51"/>
  <c r="E3631" i="51"/>
  <c r="E3632" i="51"/>
  <c r="E3633" i="51"/>
  <c r="E3634" i="51"/>
  <c r="E3635" i="51"/>
  <c r="E3636" i="51"/>
  <c r="E3637" i="51"/>
  <c r="E3638" i="51"/>
  <c r="E3639" i="51"/>
  <c r="E3640" i="51"/>
  <c r="E3641" i="51"/>
  <c r="E3642" i="51"/>
  <c r="E3643" i="51"/>
  <c r="E3644" i="51"/>
  <c r="E3645" i="51"/>
  <c r="E3646" i="51"/>
  <c r="E3647" i="51"/>
  <c r="E3648" i="51"/>
  <c r="E3649" i="51"/>
  <c r="E3650" i="51"/>
  <c r="E3651" i="51"/>
  <c r="E3652" i="51"/>
  <c r="E3653" i="51"/>
  <c r="E3654" i="51"/>
  <c r="E3655" i="51"/>
  <c r="E3656" i="51"/>
  <c r="E3657" i="51"/>
  <c r="E3658" i="51"/>
  <c r="E3659" i="51"/>
  <c r="E3660" i="51"/>
  <c r="E3661" i="51"/>
  <c r="E3662" i="51"/>
  <c r="E3663" i="51"/>
  <c r="E3664" i="51"/>
  <c r="E3665" i="51"/>
  <c r="E3666" i="51"/>
  <c r="E3667" i="51"/>
  <c r="E3668" i="51"/>
  <c r="E3669" i="51"/>
  <c r="E3670" i="51"/>
  <c r="E3671" i="51"/>
  <c r="E3672" i="51"/>
  <c r="E3673" i="51"/>
  <c r="E3674" i="51"/>
  <c r="E3675" i="51"/>
  <c r="E3676" i="51"/>
  <c r="E3677" i="51"/>
  <c r="E3678" i="51"/>
  <c r="E3679" i="51"/>
  <c r="C3792" i="51"/>
  <c r="A3792" i="51"/>
  <c r="C3786" i="51"/>
  <c r="A3786" i="51"/>
  <c r="C3785" i="51"/>
  <c r="A3785" i="51"/>
  <c r="C3784" i="51"/>
  <c r="A3784" i="51"/>
  <c r="C3783" i="51"/>
  <c r="A3783" i="51"/>
  <c r="C3782" i="51"/>
  <c r="A3782" i="51"/>
  <c r="C3781" i="51"/>
  <c r="A3781" i="51"/>
  <c r="C3780" i="51"/>
  <c r="A3780" i="51"/>
  <c r="C3779" i="51"/>
  <c r="A3779" i="51"/>
  <c r="C3778" i="51"/>
  <c r="A3778" i="51"/>
  <c r="C3777" i="51"/>
  <c r="A3777" i="51"/>
  <c r="C3776" i="51"/>
  <c r="A3776" i="51"/>
  <c r="I3741" i="51"/>
  <c r="C3741" i="51"/>
  <c r="A3741" i="51"/>
  <c r="C3740" i="51"/>
  <c r="A3740" i="51"/>
  <c r="I3739" i="51"/>
  <c r="C3739" i="51"/>
  <c r="A3739" i="51"/>
  <c r="I3738" i="51"/>
  <c r="C3738" i="51"/>
  <c r="A3738" i="51"/>
  <c r="I3737" i="51"/>
  <c r="C3737" i="51"/>
  <c r="A3737" i="51"/>
  <c r="I3736" i="51"/>
  <c r="C3736" i="51"/>
  <c r="A3736" i="51"/>
  <c r="I3735" i="51"/>
  <c r="C3735" i="51"/>
  <c r="A3735" i="51"/>
  <c r="C3734" i="51"/>
  <c r="A3734" i="51"/>
  <c r="I3733" i="51"/>
  <c r="C3733" i="51"/>
  <c r="A3733" i="51"/>
  <c r="I3732" i="51"/>
  <c r="C3732" i="51"/>
  <c r="A3732" i="51"/>
  <c r="I3731" i="51"/>
  <c r="C3731" i="51"/>
  <c r="A3731" i="51"/>
  <c r="I3730" i="51"/>
  <c r="C3730" i="51"/>
  <c r="A3730" i="51"/>
  <c r="I3729" i="51"/>
  <c r="C3729" i="51"/>
  <c r="A3729" i="51"/>
  <c r="C3728" i="51"/>
  <c r="A3728" i="51"/>
  <c r="I3727" i="51"/>
  <c r="C3727" i="51"/>
  <c r="A3727" i="51"/>
  <c r="I3726" i="51"/>
  <c r="C3726" i="51"/>
  <c r="A3726" i="51"/>
  <c r="I3725" i="51"/>
  <c r="C3725" i="51"/>
  <c r="A3725" i="51"/>
  <c r="I3724" i="51"/>
  <c r="C3724" i="51"/>
  <c r="A3724" i="51"/>
  <c r="I3723" i="51"/>
  <c r="C3723" i="51"/>
  <c r="A3723" i="51"/>
  <c r="C3722" i="51"/>
  <c r="A3722" i="51"/>
  <c r="I3721" i="51"/>
  <c r="C3721" i="51"/>
  <c r="A3721" i="51"/>
  <c r="I3720" i="51"/>
  <c r="C3720" i="51"/>
  <c r="A3720" i="51"/>
  <c r="I3719" i="51"/>
  <c r="C3719" i="51"/>
  <c r="A3719" i="51"/>
  <c r="I3718" i="51"/>
  <c r="C3718" i="51"/>
  <c r="A3718" i="51"/>
  <c r="I3717" i="51"/>
  <c r="C3717" i="51"/>
  <c r="A3717" i="51"/>
  <c r="C3716" i="51"/>
  <c r="A3716" i="51"/>
  <c r="I3715" i="51"/>
  <c r="C3715" i="51"/>
  <c r="A3715" i="51"/>
  <c r="I3714" i="51"/>
  <c r="C3714" i="51"/>
  <c r="A3714" i="51"/>
  <c r="I3713" i="51"/>
  <c r="C3713" i="51"/>
  <c r="A3713" i="51"/>
  <c r="I3712" i="51"/>
  <c r="C3712" i="51"/>
  <c r="A3712" i="51"/>
  <c r="I3711" i="51"/>
  <c r="C3711" i="51"/>
  <c r="A3711" i="51"/>
  <c r="C3710" i="51"/>
  <c r="A3710" i="51"/>
  <c r="I3709" i="51"/>
  <c r="C3709" i="51"/>
  <c r="A3709" i="51"/>
  <c r="I3708" i="51"/>
  <c r="C3708" i="51"/>
  <c r="A3708" i="51"/>
  <c r="I3707" i="51"/>
  <c r="C3707" i="51"/>
  <c r="A3707" i="51"/>
  <c r="I3706" i="51"/>
  <c r="C3706" i="51"/>
  <c r="A3706" i="51"/>
  <c r="I3705" i="51"/>
  <c r="C3705" i="51"/>
  <c r="A3705" i="51"/>
  <c r="C3704" i="51"/>
  <c r="A3704" i="51"/>
  <c r="I3703" i="51"/>
  <c r="C3703" i="51"/>
  <c r="A3703" i="51"/>
  <c r="I3702" i="51"/>
  <c r="C3702" i="51"/>
  <c r="A3702" i="51"/>
  <c r="I3701" i="51"/>
  <c r="C3701" i="51"/>
  <c r="A3701" i="51"/>
  <c r="I3700" i="51"/>
  <c r="C3700" i="51"/>
  <c r="A3700" i="51"/>
  <c r="I3699" i="51"/>
  <c r="C3699" i="51"/>
  <c r="A3699" i="51"/>
  <c r="C3698" i="51"/>
  <c r="A3698" i="51"/>
  <c r="I3697" i="51"/>
  <c r="C3697" i="51"/>
  <c r="A3697" i="51"/>
  <c r="I3696" i="51"/>
  <c r="C3696" i="51"/>
  <c r="A3696" i="51"/>
  <c r="I3695" i="51"/>
  <c r="C3695" i="51"/>
  <c r="A3695" i="51"/>
  <c r="I3694" i="51"/>
  <c r="C3694" i="51"/>
  <c r="A3694" i="51"/>
  <c r="I3693" i="51"/>
  <c r="C3693" i="51"/>
  <c r="A3693" i="51"/>
  <c r="C3692" i="51"/>
  <c r="A3692" i="51"/>
  <c r="I3691" i="51"/>
  <c r="C3691" i="51"/>
  <c r="A3691" i="51"/>
  <c r="I3690" i="51"/>
  <c r="C3690" i="51"/>
  <c r="A3690" i="51"/>
  <c r="I3689" i="51"/>
  <c r="C3689" i="51"/>
  <c r="A3689" i="51"/>
  <c r="I3688" i="51"/>
  <c r="C3688" i="51"/>
  <c r="A3688" i="51"/>
  <c r="I3687" i="51"/>
  <c r="C3687" i="51"/>
  <c r="A3687" i="51"/>
  <c r="I3686" i="51"/>
  <c r="K3686" i="51"/>
  <c r="C3686" i="51"/>
  <c r="A3686" i="51"/>
  <c r="I3685" i="51"/>
  <c r="J3685" i="51"/>
  <c r="C3685" i="51"/>
  <c r="A3685" i="51"/>
  <c r="I3684" i="51"/>
  <c r="J3684" i="51"/>
  <c r="C3684" i="51"/>
  <c r="A3684" i="51"/>
  <c r="I3683" i="51"/>
  <c r="J3683" i="51"/>
  <c r="C3683" i="51"/>
  <c r="A3683" i="51"/>
  <c r="I3682" i="51"/>
  <c r="C3682" i="51"/>
  <c r="A3682" i="51"/>
  <c r="I3681" i="51"/>
  <c r="C3681" i="51"/>
  <c r="A3681" i="51"/>
  <c r="I3680" i="51"/>
  <c r="C3680" i="51"/>
  <c r="A3680" i="51"/>
  <c r="I3679" i="51"/>
  <c r="C3679" i="51"/>
  <c r="A3679" i="51"/>
  <c r="C3678" i="51"/>
  <c r="A3678" i="51"/>
  <c r="I3677" i="51"/>
  <c r="C3677" i="51"/>
  <c r="A3677" i="51"/>
  <c r="I3676" i="51"/>
  <c r="C3676" i="51"/>
  <c r="A3676" i="51"/>
  <c r="I3675" i="51"/>
  <c r="C3675" i="51"/>
  <c r="A3675" i="51"/>
  <c r="I3674" i="51"/>
  <c r="C3674" i="51"/>
  <c r="A3674" i="51"/>
  <c r="I3673" i="51"/>
  <c r="C3673" i="51"/>
  <c r="A3673" i="51"/>
  <c r="C3672" i="51"/>
  <c r="A3672" i="51"/>
  <c r="I3671" i="51"/>
  <c r="C3671" i="51"/>
  <c r="A3671" i="51"/>
  <c r="I3670" i="51"/>
  <c r="C3670" i="51"/>
  <c r="A3670" i="51"/>
  <c r="I3669" i="51"/>
  <c r="C3669" i="51"/>
  <c r="A3669" i="51"/>
  <c r="I3668" i="51"/>
  <c r="C3668" i="51"/>
  <c r="A3668" i="51"/>
  <c r="I3667" i="51"/>
  <c r="C3667" i="51"/>
  <c r="A3667" i="51"/>
  <c r="C3666" i="51"/>
  <c r="A3666" i="51"/>
  <c r="I3665" i="51"/>
  <c r="C3665" i="51"/>
  <c r="A3665" i="51"/>
  <c r="I3664" i="51"/>
  <c r="C3664" i="51"/>
  <c r="A3664" i="51"/>
  <c r="I3663" i="51"/>
  <c r="C3663" i="51"/>
  <c r="A3663" i="51"/>
  <c r="I3662" i="51"/>
  <c r="C3662" i="51"/>
  <c r="A3662" i="51"/>
  <c r="I3661" i="51"/>
  <c r="C3661" i="51"/>
  <c r="A3661" i="51"/>
  <c r="C3660" i="51"/>
  <c r="A3660" i="51"/>
  <c r="I3659" i="51"/>
  <c r="C3659" i="51"/>
  <c r="A3659" i="51"/>
  <c r="I3658" i="51"/>
  <c r="C3658" i="51"/>
  <c r="A3658" i="51"/>
  <c r="I3657" i="51"/>
  <c r="C3657" i="51"/>
  <c r="A3657" i="51"/>
  <c r="I3656" i="51"/>
  <c r="C3656" i="51"/>
  <c r="A3656" i="51"/>
  <c r="I3655" i="51"/>
  <c r="C3655" i="51"/>
  <c r="A3655" i="51"/>
  <c r="C3654" i="51"/>
  <c r="A3654" i="51"/>
  <c r="I3653" i="51"/>
  <c r="C3653" i="51"/>
  <c r="A3653" i="51"/>
  <c r="I3652" i="51"/>
  <c r="C3652" i="51"/>
  <c r="A3652" i="51"/>
  <c r="I3651" i="51"/>
  <c r="C3651" i="51"/>
  <c r="A3651" i="51"/>
  <c r="I3650" i="51"/>
  <c r="C3650" i="51"/>
  <c r="A3650" i="51"/>
  <c r="I3649" i="51"/>
  <c r="C3649" i="51"/>
  <c r="A3649" i="51"/>
  <c r="C3648" i="51"/>
  <c r="A3648" i="51"/>
  <c r="I3647" i="51"/>
  <c r="C3647" i="51"/>
  <c r="A3647" i="51"/>
  <c r="I3646" i="51"/>
  <c r="C3646" i="51"/>
  <c r="A3646" i="51"/>
  <c r="I3645" i="51"/>
  <c r="C3645" i="51"/>
  <c r="A3645" i="51"/>
  <c r="I3644" i="51"/>
  <c r="C3644" i="51"/>
  <c r="A3644" i="51"/>
  <c r="I3643" i="51"/>
  <c r="C3643" i="51"/>
  <c r="A3643" i="51"/>
  <c r="C3642" i="51"/>
  <c r="A3642" i="51"/>
  <c r="I3641" i="51"/>
  <c r="C3641" i="51"/>
  <c r="A3641" i="51"/>
  <c r="I3640" i="51"/>
  <c r="C3640" i="51"/>
  <c r="A3640" i="51"/>
  <c r="I3639" i="51"/>
  <c r="C3639" i="51"/>
  <c r="A3639" i="51"/>
  <c r="I3638" i="51"/>
  <c r="C3638" i="51"/>
  <c r="A3638" i="51"/>
  <c r="I3637" i="51"/>
  <c r="C3637" i="51"/>
  <c r="A3637" i="51"/>
  <c r="C3636" i="51"/>
  <c r="A3636" i="51"/>
  <c r="I3635" i="51"/>
  <c r="C3635" i="51"/>
  <c r="A3635" i="51"/>
  <c r="I3634" i="51"/>
  <c r="C3634" i="51"/>
  <c r="A3634" i="51"/>
  <c r="I3633" i="51"/>
  <c r="C3633" i="51"/>
  <c r="A3633" i="51"/>
  <c r="I3632" i="51"/>
  <c r="C3632" i="51"/>
  <c r="A3632" i="51"/>
  <c r="I3631" i="51"/>
  <c r="C3631" i="51"/>
  <c r="A3631" i="51"/>
  <c r="C3630" i="51"/>
  <c r="A3630" i="51"/>
  <c r="I3629" i="51"/>
  <c r="C3629" i="51"/>
  <c r="A3629" i="51"/>
  <c r="I3628" i="51"/>
  <c r="C3628" i="51"/>
  <c r="A3628" i="51"/>
  <c r="I3627" i="51"/>
  <c r="C3627" i="51"/>
  <c r="A3627" i="51"/>
  <c r="I3626" i="51"/>
  <c r="C3626" i="51"/>
  <c r="A3626" i="51"/>
  <c r="I3625" i="51"/>
  <c r="C3625" i="51"/>
  <c r="A3625" i="51"/>
  <c r="I3624" i="51"/>
  <c r="K3624" i="51"/>
  <c r="C3624" i="51"/>
  <c r="A3624" i="51"/>
  <c r="I3623" i="51"/>
  <c r="J3623" i="51"/>
  <c r="C3623" i="51"/>
  <c r="A3623" i="51"/>
  <c r="I3622" i="51"/>
  <c r="J3622" i="51"/>
  <c r="C3622" i="51"/>
  <c r="A3622" i="51"/>
  <c r="I3621" i="51"/>
  <c r="J3621" i="51"/>
  <c r="C3621" i="51"/>
  <c r="A3621" i="51"/>
  <c r="I3620" i="51"/>
  <c r="C3620" i="51"/>
  <c r="A3620" i="51"/>
  <c r="I3619" i="51"/>
  <c r="C3619" i="51"/>
  <c r="A3619" i="51"/>
  <c r="I3618" i="51"/>
  <c r="C3618" i="51"/>
  <c r="A3618" i="51"/>
  <c r="C5377" i="51"/>
  <c r="A5377" i="51"/>
  <c r="C5376" i="51"/>
  <c r="A5376" i="51"/>
  <c r="J551" i="26"/>
  <c r="H551" i="26"/>
  <c r="G551" i="26"/>
  <c r="F551" i="26"/>
  <c r="E551" i="26"/>
  <c r="J550" i="26"/>
  <c r="H550" i="26"/>
  <c r="G550" i="26"/>
  <c r="F550" i="26"/>
  <c r="E550" i="26"/>
  <c r="J361" i="26"/>
  <c r="H361" i="26"/>
  <c r="G361" i="26"/>
  <c r="E361" i="26"/>
  <c r="O360" i="26"/>
  <c r="Q360" i="26"/>
  <c r="J360" i="26"/>
  <c r="H360" i="26"/>
  <c r="G360" i="26"/>
  <c r="E360" i="26"/>
  <c r="J359" i="26"/>
  <c r="H359" i="26"/>
  <c r="G359" i="26"/>
  <c r="E359" i="26"/>
  <c r="J358" i="26"/>
  <c r="H358" i="26"/>
  <c r="G358" i="26"/>
  <c r="E358" i="26"/>
  <c r="A4" i="24"/>
  <c r="B127" i="59"/>
  <c r="J104" i="26"/>
  <c r="G104" i="26"/>
  <c r="F104" i="26"/>
  <c r="E104" i="26"/>
  <c r="A5128" i="51"/>
  <c r="A5127" i="51"/>
  <c r="A5126" i="51"/>
  <c r="A5125" i="51"/>
  <c r="A5124" i="51"/>
  <c r="A5123" i="51"/>
  <c r="A5122" i="51"/>
  <c r="A5121" i="51"/>
  <c r="A5120" i="51"/>
  <c r="A5119" i="51"/>
  <c r="K3460" i="51"/>
  <c r="K3455" i="51"/>
  <c r="K3450" i="51"/>
  <c r="K3445" i="51"/>
  <c r="K3440" i="51"/>
  <c r="K3435" i="51"/>
  <c r="K3430" i="51"/>
  <c r="K3425" i="51"/>
  <c r="K3420" i="51"/>
  <c r="K3415" i="51"/>
  <c r="B177" i="59"/>
  <c r="B176" i="59"/>
  <c r="B175" i="59"/>
  <c r="A155" i="60"/>
  <c r="A154" i="60"/>
  <c r="A153" i="60"/>
  <c r="E151" i="60"/>
  <c r="E152" i="60"/>
  <c r="E153" i="60"/>
  <c r="E154" i="60"/>
  <c r="E155" i="60"/>
  <c r="C155" i="60"/>
  <c r="C154" i="60"/>
  <c r="C153" i="60"/>
  <c r="C152" i="60"/>
  <c r="C151" i="60"/>
  <c r="D155" i="60"/>
  <c r="D154" i="60"/>
  <c r="D153" i="60"/>
  <c r="D152" i="60"/>
  <c r="D151" i="60"/>
  <c r="B174" i="59"/>
  <c r="K3461" i="51"/>
  <c r="I3461" i="51"/>
  <c r="C3461" i="51"/>
  <c r="A3461" i="51"/>
  <c r="I3617" i="51"/>
  <c r="K3617" i="51"/>
  <c r="J3617" i="51"/>
  <c r="E3568" i="51"/>
  <c r="E3569" i="51"/>
  <c r="E3570" i="51"/>
  <c r="E3571" i="51"/>
  <c r="E3572" i="51"/>
  <c r="E3573" i="51"/>
  <c r="E3574" i="51"/>
  <c r="E3575" i="51"/>
  <c r="E3576" i="51"/>
  <c r="E3577" i="51"/>
  <c r="E3578" i="51"/>
  <c r="E3579" i="51"/>
  <c r="E3580" i="51"/>
  <c r="E3581" i="51"/>
  <c r="E3582" i="51"/>
  <c r="E3583" i="51"/>
  <c r="E3584" i="51"/>
  <c r="E3585" i="51"/>
  <c r="E3586" i="51"/>
  <c r="E3587" i="51"/>
  <c r="E3588" i="51"/>
  <c r="E3589" i="51"/>
  <c r="E3590" i="51"/>
  <c r="E3591" i="51"/>
  <c r="E3592" i="51"/>
  <c r="E3593" i="51"/>
  <c r="E3594" i="51"/>
  <c r="E3595" i="51"/>
  <c r="E3596" i="51"/>
  <c r="E3597" i="51"/>
  <c r="E3598" i="51"/>
  <c r="E3599" i="51"/>
  <c r="E3600" i="51"/>
  <c r="E3601" i="51"/>
  <c r="E3602" i="51"/>
  <c r="E3603" i="51"/>
  <c r="E3604" i="51"/>
  <c r="E3605" i="51"/>
  <c r="E3606" i="51"/>
  <c r="E3607" i="51"/>
  <c r="E3608" i="51"/>
  <c r="E3609" i="51"/>
  <c r="E3610" i="51"/>
  <c r="E3611" i="51"/>
  <c r="E3612" i="51"/>
  <c r="E3613" i="51"/>
  <c r="E3614" i="51"/>
  <c r="E3615" i="51"/>
  <c r="E3616" i="51"/>
  <c r="E3617" i="51"/>
  <c r="C3617" i="51"/>
  <c r="A3617" i="51"/>
  <c r="I3616" i="51"/>
  <c r="K3616" i="51"/>
  <c r="C3616" i="51"/>
  <c r="A3616" i="51"/>
  <c r="I3615" i="51"/>
  <c r="K3615" i="51"/>
  <c r="C3615" i="51"/>
  <c r="A3615" i="51"/>
  <c r="I3614" i="51"/>
  <c r="K3614" i="51"/>
  <c r="C3614" i="51"/>
  <c r="A3614" i="51"/>
  <c r="I3613" i="51"/>
  <c r="K3613" i="51"/>
  <c r="C3613" i="51"/>
  <c r="A3613" i="51"/>
  <c r="I3612" i="51"/>
  <c r="K3612" i="51"/>
  <c r="J3612" i="51"/>
  <c r="C3612" i="51"/>
  <c r="A3612" i="51"/>
  <c r="I3611" i="51"/>
  <c r="K3611" i="51"/>
  <c r="C3611" i="51"/>
  <c r="A3611" i="51"/>
  <c r="I3610" i="51"/>
  <c r="K3610" i="51"/>
  <c r="C3610" i="51"/>
  <c r="A3610" i="51"/>
  <c r="I3609" i="51"/>
  <c r="K3609" i="51"/>
  <c r="C3609" i="51"/>
  <c r="A3609" i="51"/>
  <c r="I3608" i="51"/>
  <c r="K3608" i="51"/>
  <c r="C3608" i="51"/>
  <c r="A3608" i="51"/>
  <c r="I3607" i="51"/>
  <c r="K3607" i="51"/>
  <c r="J3607" i="51"/>
  <c r="C3607" i="51"/>
  <c r="A3607" i="51"/>
  <c r="I3606" i="51"/>
  <c r="K3606" i="51"/>
  <c r="C3606" i="51"/>
  <c r="A3606" i="51"/>
  <c r="I3605" i="51"/>
  <c r="K3605" i="51"/>
  <c r="C3605" i="51"/>
  <c r="A3605" i="51"/>
  <c r="I3604" i="51"/>
  <c r="K3604" i="51"/>
  <c r="C3604" i="51"/>
  <c r="A3604" i="51"/>
  <c r="I3603" i="51"/>
  <c r="K3603" i="51"/>
  <c r="C3603" i="51"/>
  <c r="A3603" i="51"/>
  <c r="I3602" i="51"/>
  <c r="K3602" i="51"/>
  <c r="J3602" i="51"/>
  <c r="C3602" i="51"/>
  <c r="A3602" i="51"/>
  <c r="I3601" i="51"/>
  <c r="K3601" i="51"/>
  <c r="C3601" i="51"/>
  <c r="A3601" i="51"/>
  <c r="I3600" i="51"/>
  <c r="K3600" i="51"/>
  <c r="C3600" i="51"/>
  <c r="A3600" i="51"/>
  <c r="I3599" i="51"/>
  <c r="K3599" i="51"/>
  <c r="C3599" i="51"/>
  <c r="A3599" i="51"/>
  <c r="I3598" i="51"/>
  <c r="K3598" i="51"/>
  <c r="C3598" i="51"/>
  <c r="A3598" i="51"/>
  <c r="I3597" i="51"/>
  <c r="K3597" i="51"/>
  <c r="J3597" i="51"/>
  <c r="C3597" i="51"/>
  <c r="A3597" i="51"/>
  <c r="I3596" i="51"/>
  <c r="K3596" i="51"/>
  <c r="C3596" i="51"/>
  <c r="A3596" i="51"/>
  <c r="I3595" i="51"/>
  <c r="K3595" i="51"/>
  <c r="C3595" i="51"/>
  <c r="A3595" i="51"/>
  <c r="I3594" i="51"/>
  <c r="K3594" i="51"/>
  <c r="C3594" i="51"/>
  <c r="A3594" i="51"/>
  <c r="I3593" i="51"/>
  <c r="K3593" i="51"/>
  <c r="C3593" i="51"/>
  <c r="A3593" i="51"/>
  <c r="I3592" i="51"/>
  <c r="K3592" i="51"/>
  <c r="J3592" i="51"/>
  <c r="C3592" i="51"/>
  <c r="A3592" i="51"/>
  <c r="I3591" i="51"/>
  <c r="K3591" i="51"/>
  <c r="C3591" i="51"/>
  <c r="A3591" i="51"/>
  <c r="I3590" i="51"/>
  <c r="K3590" i="51"/>
  <c r="C3590" i="51"/>
  <c r="A3590" i="51"/>
  <c r="I3589" i="51"/>
  <c r="K3589" i="51"/>
  <c r="C3589" i="51"/>
  <c r="A3589" i="51"/>
  <c r="I3588" i="51"/>
  <c r="K3588" i="51"/>
  <c r="C3588" i="51"/>
  <c r="A3588" i="51"/>
  <c r="I3587" i="51"/>
  <c r="K3587" i="51"/>
  <c r="J3587" i="51"/>
  <c r="C3587" i="51"/>
  <c r="A3587" i="51"/>
  <c r="I3586" i="51"/>
  <c r="K3586" i="51"/>
  <c r="C3586" i="51"/>
  <c r="A3586" i="51"/>
  <c r="I3585" i="51"/>
  <c r="K3585" i="51"/>
  <c r="C3585" i="51"/>
  <c r="A3585" i="51"/>
  <c r="I3584" i="51"/>
  <c r="K3584" i="51"/>
  <c r="C3584" i="51"/>
  <c r="A3584" i="51"/>
  <c r="I3583" i="51"/>
  <c r="K3583" i="51"/>
  <c r="C3583" i="51"/>
  <c r="A3583" i="51"/>
  <c r="I3582" i="51"/>
  <c r="K3582" i="51"/>
  <c r="J3582" i="51"/>
  <c r="C3582" i="51"/>
  <c r="A3582" i="51"/>
  <c r="I3581" i="51"/>
  <c r="K3581" i="51"/>
  <c r="C3581" i="51"/>
  <c r="A3581" i="51"/>
  <c r="I3580" i="51"/>
  <c r="K3580" i="51"/>
  <c r="C3580" i="51"/>
  <c r="A3580" i="51"/>
  <c r="I3579" i="51"/>
  <c r="K3579" i="51"/>
  <c r="C3579" i="51"/>
  <c r="A3579" i="51"/>
  <c r="I3578" i="51"/>
  <c r="K3578" i="51"/>
  <c r="C3578" i="51"/>
  <c r="A3578" i="51"/>
  <c r="I3577" i="51"/>
  <c r="K3577" i="51"/>
  <c r="J3577" i="51"/>
  <c r="C3577" i="51"/>
  <c r="A3577" i="51"/>
  <c r="I3576" i="51"/>
  <c r="K3576" i="51"/>
  <c r="C3576" i="51"/>
  <c r="A3576" i="51"/>
  <c r="I3575" i="51"/>
  <c r="K3575" i="51"/>
  <c r="C3575" i="51"/>
  <c r="A3575" i="51"/>
  <c r="I3574" i="51"/>
  <c r="K3574" i="51"/>
  <c r="C3574" i="51"/>
  <c r="A3574" i="51"/>
  <c r="I3573" i="51"/>
  <c r="K3573" i="51"/>
  <c r="C3573" i="51"/>
  <c r="A3573" i="51"/>
  <c r="I3572" i="51"/>
  <c r="K3572" i="51"/>
  <c r="J3572" i="51"/>
  <c r="C3572" i="51"/>
  <c r="A3572" i="51"/>
  <c r="I3571" i="51"/>
  <c r="K3571" i="51"/>
  <c r="C3571" i="51"/>
  <c r="A3571" i="51"/>
  <c r="I3570" i="51"/>
  <c r="K3570" i="51"/>
  <c r="C3570" i="51"/>
  <c r="A3570" i="51"/>
  <c r="I3569" i="51"/>
  <c r="K3569" i="51"/>
  <c r="C3569" i="51"/>
  <c r="A3569" i="51"/>
  <c r="I3568" i="51"/>
  <c r="K3568" i="51"/>
  <c r="C3568" i="51"/>
  <c r="A3568" i="51"/>
  <c r="I3567" i="51"/>
  <c r="K3567" i="51"/>
  <c r="C3567" i="51"/>
  <c r="A3567" i="51"/>
  <c r="I3566" i="51"/>
  <c r="C3566" i="51"/>
  <c r="A3566" i="51"/>
  <c r="I3565" i="51"/>
  <c r="K3565" i="51"/>
  <c r="J3565" i="51"/>
  <c r="E3516" i="51"/>
  <c r="E3517" i="51"/>
  <c r="E3518" i="51"/>
  <c r="E3519" i="51"/>
  <c r="E3520" i="51"/>
  <c r="E3521" i="51"/>
  <c r="E3522" i="51"/>
  <c r="E3523" i="51"/>
  <c r="E3524" i="51"/>
  <c r="E3525" i="51"/>
  <c r="E3526" i="51"/>
  <c r="E3527" i="51"/>
  <c r="E3528" i="51"/>
  <c r="E3529" i="51"/>
  <c r="E3530" i="51"/>
  <c r="E3531" i="51"/>
  <c r="E3532" i="51"/>
  <c r="E3533" i="51"/>
  <c r="E3534" i="51"/>
  <c r="E3535" i="51"/>
  <c r="E3536" i="51"/>
  <c r="E3537" i="51"/>
  <c r="E3538" i="51"/>
  <c r="E3539" i="51"/>
  <c r="E3540" i="51"/>
  <c r="E3541" i="51"/>
  <c r="E3542" i="51"/>
  <c r="E3543" i="51"/>
  <c r="E3544" i="51"/>
  <c r="E3545" i="51"/>
  <c r="E3546" i="51"/>
  <c r="E3547" i="51"/>
  <c r="E3548" i="51"/>
  <c r="E3549" i="51"/>
  <c r="E3550" i="51"/>
  <c r="E3551" i="51"/>
  <c r="E3552" i="51"/>
  <c r="E3553" i="51"/>
  <c r="E3554" i="51"/>
  <c r="E3555" i="51"/>
  <c r="E3556" i="51"/>
  <c r="E3557" i="51"/>
  <c r="E3558" i="51"/>
  <c r="E3559" i="51"/>
  <c r="E3560" i="51"/>
  <c r="E3561" i="51"/>
  <c r="E3562" i="51"/>
  <c r="E3563" i="51"/>
  <c r="E3564" i="51"/>
  <c r="E3565" i="51"/>
  <c r="C3565" i="51"/>
  <c r="A3565" i="51"/>
  <c r="I3564" i="51"/>
  <c r="K3564" i="51"/>
  <c r="C3564" i="51"/>
  <c r="A3564" i="51"/>
  <c r="I3563" i="51"/>
  <c r="K3563" i="51"/>
  <c r="C3563" i="51"/>
  <c r="A3563" i="51"/>
  <c r="I3562" i="51"/>
  <c r="K3562" i="51"/>
  <c r="C3562" i="51"/>
  <c r="A3562" i="51"/>
  <c r="I3561" i="51"/>
  <c r="K3561" i="51"/>
  <c r="C3561" i="51"/>
  <c r="A3561" i="51"/>
  <c r="I3560" i="51"/>
  <c r="K3560" i="51"/>
  <c r="J3560" i="51"/>
  <c r="C3560" i="51"/>
  <c r="A3560" i="51"/>
  <c r="I3559" i="51"/>
  <c r="K3559" i="51"/>
  <c r="C3559" i="51"/>
  <c r="A3559" i="51"/>
  <c r="I3558" i="51"/>
  <c r="K3558" i="51"/>
  <c r="C3558" i="51"/>
  <c r="A3558" i="51"/>
  <c r="I3557" i="51"/>
  <c r="K3557" i="51"/>
  <c r="C3557" i="51"/>
  <c r="A3557" i="51"/>
  <c r="I3556" i="51"/>
  <c r="K3556" i="51"/>
  <c r="C3556" i="51"/>
  <c r="A3556" i="51"/>
  <c r="I3555" i="51"/>
  <c r="K3555" i="51"/>
  <c r="J3555" i="51"/>
  <c r="C3555" i="51"/>
  <c r="A3555" i="51"/>
  <c r="I3554" i="51"/>
  <c r="K3554" i="51"/>
  <c r="C3554" i="51"/>
  <c r="A3554" i="51"/>
  <c r="I3553" i="51"/>
  <c r="K3553" i="51"/>
  <c r="C3553" i="51"/>
  <c r="A3553" i="51"/>
  <c r="I3552" i="51"/>
  <c r="K3552" i="51"/>
  <c r="C3552" i="51"/>
  <c r="A3552" i="51"/>
  <c r="I3551" i="51"/>
  <c r="K3551" i="51"/>
  <c r="C3551" i="51"/>
  <c r="A3551" i="51"/>
  <c r="I3550" i="51"/>
  <c r="K3550" i="51"/>
  <c r="J3550" i="51"/>
  <c r="C3550" i="51"/>
  <c r="A3550" i="51"/>
  <c r="I3549" i="51"/>
  <c r="K3549" i="51"/>
  <c r="C3549" i="51"/>
  <c r="A3549" i="51"/>
  <c r="I3548" i="51"/>
  <c r="K3548" i="51"/>
  <c r="C3548" i="51"/>
  <c r="A3548" i="51"/>
  <c r="I3547" i="51"/>
  <c r="K3547" i="51"/>
  <c r="C3547" i="51"/>
  <c r="A3547" i="51"/>
  <c r="I3546" i="51"/>
  <c r="K3546" i="51"/>
  <c r="C3546" i="51"/>
  <c r="A3546" i="51"/>
  <c r="I3545" i="51"/>
  <c r="K3545" i="51"/>
  <c r="J3545" i="51"/>
  <c r="C3545" i="51"/>
  <c r="A3545" i="51"/>
  <c r="I3544" i="51"/>
  <c r="K3544" i="51"/>
  <c r="C3544" i="51"/>
  <c r="A3544" i="51"/>
  <c r="I3543" i="51"/>
  <c r="K3543" i="51"/>
  <c r="C3543" i="51"/>
  <c r="A3543" i="51"/>
  <c r="I3542" i="51"/>
  <c r="K3542" i="51"/>
  <c r="C3542" i="51"/>
  <c r="A3542" i="51"/>
  <c r="I3541" i="51"/>
  <c r="K3541" i="51"/>
  <c r="C3541" i="51"/>
  <c r="A3541" i="51"/>
  <c r="I3540" i="51"/>
  <c r="K3540" i="51"/>
  <c r="J3540" i="51"/>
  <c r="C3540" i="51"/>
  <c r="A3540" i="51"/>
  <c r="I3539" i="51"/>
  <c r="K3539" i="51"/>
  <c r="C3539" i="51"/>
  <c r="A3539" i="51"/>
  <c r="I3538" i="51"/>
  <c r="K3538" i="51"/>
  <c r="C3538" i="51"/>
  <c r="A3538" i="51"/>
  <c r="I3537" i="51"/>
  <c r="K3537" i="51"/>
  <c r="C3537" i="51"/>
  <c r="A3537" i="51"/>
  <c r="I3536" i="51"/>
  <c r="K3536" i="51"/>
  <c r="C3536" i="51"/>
  <c r="A3536" i="51"/>
  <c r="I3535" i="51"/>
  <c r="K3535" i="51"/>
  <c r="J3535" i="51"/>
  <c r="C3535" i="51"/>
  <c r="A3535" i="51"/>
  <c r="I3534" i="51"/>
  <c r="K3534" i="51"/>
  <c r="C3534" i="51"/>
  <c r="A3534" i="51"/>
  <c r="I3533" i="51"/>
  <c r="K3533" i="51"/>
  <c r="C3533" i="51"/>
  <c r="A3533" i="51"/>
  <c r="I3532" i="51"/>
  <c r="K3532" i="51"/>
  <c r="C3532" i="51"/>
  <c r="A3532" i="51"/>
  <c r="I3531" i="51"/>
  <c r="K3531" i="51"/>
  <c r="C3531" i="51"/>
  <c r="A3531" i="51"/>
  <c r="I3530" i="51"/>
  <c r="K3530" i="51"/>
  <c r="J3530" i="51"/>
  <c r="C3530" i="51"/>
  <c r="A3530" i="51"/>
  <c r="I3529" i="51"/>
  <c r="K3529" i="51"/>
  <c r="C3529" i="51"/>
  <c r="A3529" i="51"/>
  <c r="I3528" i="51"/>
  <c r="K3528" i="51"/>
  <c r="C3528" i="51"/>
  <c r="A3528" i="51"/>
  <c r="I3527" i="51"/>
  <c r="K3527" i="51"/>
  <c r="C3527" i="51"/>
  <c r="A3527" i="51"/>
  <c r="I3526" i="51"/>
  <c r="K3526" i="51"/>
  <c r="C3526" i="51"/>
  <c r="A3526" i="51"/>
  <c r="I3525" i="51"/>
  <c r="K3525" i="51"/>
  <c r="J3525" i="51"/>
  <c r="C3525" i="51"/>
  <c r="A3525" i="51"/>
  <c r="I3524" i="51"/>
  <c r="K3524" i="51"/>
  <c r="C3524" i="51"/>
  <c r="A3524" i="51"/>
  <c r="I3523" i="51"/>
  <c r="K3523" i="51"/>
  <c r="C3523" i="51"/>
  <c r="A3523" i="51"/>
  <c r="I3522" i="51"/>
  <c r="K3522" i="51"/>
  <c r="C3522" i="51"/>
  <c r="A3522" i="51"/>
  <c r="I3521" i="51"/>
  <c r="K3521" i="51"/>
  <c r="C3521" i="51"/>
  <c r="A3521" i="51"/>
  <c r="I3520" i="51"/>
  <c r="K3520" i="51"/>
  <c r="J3520" i="51"/>
  <c r="C3520" i="51"/>
  <c r="A3520" i="51"/>
  <c r="I3519" i="51"/>
  <c r="K3519" i="51"/>
  <c r="C3519" i="51"/>
  <c r="A3519" i="51"/>
  <c r="I3518" i="51"/>
  <c r="K3518" i="51"/>
  <c r="C3518" i="51"/>
  <c r="A3518" i="51"/>
  <c r="I3517" i="51"/>
  <c r="K3517" i="51"/>
  <c r="C3517" i="51"/>
  <c r="A3517" i="51"/>
  <c r="I3516" i="51"/>
  <c r="K3516" i="51"/>
  <c r="C3516" i="51"/>
  <c r="A3516" i="51"/>
  <c r="I3515" i="51"/>
  <c r="K3515" i="51"/>
  <c r="C3515" i="51"/>
  <c r="A3515" i="51"/>
  <c r="I3514" i="51"/>
  <c r="C3514" i="51"/>
  <c r="A3514" i="51"/>
  <c r="I3513" i="51"/>
  <c r="K3513" i="51"/>
  <c r="J3513" i="51"/>
  <c r="E3464" i="51"/>
  <c r="E3465" i="51"/>
  <c r="E3466" i="51"/>
  <c r="E3467" i="51"/>
  <c r="E3468" i="51"/>
  <c r="E3469" i="51"/>
  <c r="E3470" i="51"/>
  <c r="E3471" i="51"/>
  <c r="E3472" i="51"/>
  <c r="E3473" i="51"/>
  <c r="E3474" i="51"/>
  <c r="E3475" i="51"/>
  <c r="E3476" i="51"/>
  <c r="E3477" i="51"/>
  <c r="E3478" i="51"/>
  <c r="E3479" i="51"/>
  <c r="E3480" i="51"/>
  <c r="E3481" i="51"/>
  <c r="E3482" i="51"/>
  <c r="E3483" i="51"/>
  <c r="E3484" i="51"/>
  <c r="E3485" i="51"/>
  <c r="E3486" i="51"/>
  <c r="E3487" i="51"/>
  <c r="E3488" i="51"/>
  <c r="E3489" i="51"/>
  <c r="E3490" i="51"/>
  <c r="E3491" i="51"/>
  <c r="E3492" i="51"/>
  <c r="E3493" i="51"/>
  <c r="E3494" i="51"/>
  <c r="E3495" i="51"/>
  <c r="E3496" i="51"/>
  <c r="E3497" i="51"/>
  <c r="E3498" i="51"/>
  <c r="E3499" i="51"/>
  <c r="E3500" i="51"/>
  <c r="E3501" i="51"/>
  <c r="E3502" i="51"/>
  <c r="E3503" i="51"/>
  <c r="E3504" i="51"/>
  <c r="E3505" i="51"/>
  <c r="E3506" i="51"/>
  <c r="E3507" i="51"/>
  <c r="E3508" i="51"/>
  <c r="E3509" i="51"/>
  <c r="E3510" i="51"/>
  <c r="E3511" i="51"/>
  <c r="E3512" i="51"/>
  <c r="E3513" i="51"/>
  <c r="C3513" i="51"/>
  <c r="A3513" i="51"/>
  <c r="I3512" i="51"/>
  <c r="K3512" i="51"/>
  <c r="C3512" i="51"/>
  <c r="A3512" i="51"/>
  <c r="I3511" i="51"/>
  <c r="K3511" i="51"/>
  <c r="C3511" i="51"/>
  <c r="A3511" i="51"/>
  <c r="I3510" i="51"/>
  <c r="K3510" i="51"/>
  <c r="C3510" i="51"/>
  <c r="A3510" i="51"/>
  <c r="I3509" i="51"/>
  <c r="K3509" i="51"/>
  <c r="C3509" i="51"/>
  <c r="A3509" i="51"/>
  <c r="I3508" i="51"/>
  <c r="K3508" i="51"/>
  <c r="J3508" i="51"/>
  <c r="C3508" i="51"/>
  <c r="A3508" i="51"/>
  <c r="I3507" i="51"/>
  <c r="K3507" i="51"/>
  <c r="C3507" i="51"/>
  <c r="A3507" i="51"/>
  <c r="I3506" i="51"/>
  <c r="K3506" i="51"/>
  <c r="C3506" i="51"/>
  <c r="A3506" i="51"/>
  <c r="I3505" i="51"/>
  <c r="K3505" i="51"/>
  <c r="C3505" i="51"/>
  <c r="A3505" i="51"/>
  <c r="I3504" i="51"/>
  <c r="K3504" i="51"/>
  <c r="C3504" i="51"/>
  <c r="A3504" i="51"/>
  <c r="I3503" i="51"/>
  <c r="K3503" i="51"/>
  <c r="J3503" i="51"/>
  <c r="C3503" i="51"/>
  <c r="A3503" i="51"/>
  <c r="I3502" i="51"/>
  <c r="K3502" i="51"/>
  <c r="C3502" i="51"/>
  <c r="A3502" i="51"/>
  <c r="I3501" i="51"/>
  <c r="K3501" i="51"/>
  <c r="C3501" i="51"/>
  <c r="A3501" i="51"/>
  <c r="I3500" i="51"/>
  <c r="K3500" i="51"/>
  <c r="C3500" i="51"/>
  <c r="A3500" i="51"/>
  <c r="I3499" i="51"/>
  <c r="K3499" i="51"/>
  <c r="C3499" i="51"/>
  <c r="A3499" i="51"/>
  <c r="I3498" i="51"/>
  <c r="K3498" i="51"/>
  <c r="J3498" i="51"/>
  <c r="C3498" i="51"/>
  <c r="A3498" i="51"/>
  <c r="I3497" i="51"/>
  <c r="K3497" i="51"/>
  <c r="C3497" i="51"/>
  <c r="A3497" i="51"/>
  <c r="I3496" i="51"/>
  <c r="K3496" i="51"/>
  <c r="C3496" i="51"/>
  <c r="A3496" i="51"/>
  <c r="I3495" i="51"/>
  <c r="K3495" i="51"/>
  <c r="C3495" i="51"/>
  <c r="A3495" i="51"/>
  <c r="I3494" i="51"/>
  <c r="K3494" i="51"/>
  <c r="C3494" i="51"/>
  <c r="A3494" i="51"/>
  <c r="I3493" i="51"/>
  <c r="K3493" i="51"/>
  <c r="J3493" i="51"/>
  <c r="C3493" i="51"/>
  <c r="A3493" i="51"/>
  <c r="I3492" i="51"/>
  <c r="K3492" i="51"/>
  <c r="C3492" i="51"/>
  <c r="A3492" i="51"/>
  <c r="I3491" i="51"/>
  <c r="K3491" i="51"/>
  <c r="C3491" i="51"/>
  <c r="A3491" i="51"/>
  <c r="I3490" i="51"/>
  <c r="K3490" i="51"/>
  <c r="C3490" i="51"/>
  <c r="A3490" i="51"/>
  <c r="I3489" i="51"/>
  <c r="K3489" i="51"/>
  <c r="C3489" i="51"/>
  <c r="A3489" i="51"/>
  <c r="I3488" i="51"/>
  <c r="K3488" i="51"/>
  <c r="J3488" i="51"/>
  <c r="C3488" i="51"/>
  <c r="A3488" i="51"/>
  <c r="I3487" i="51"/>
  <c r="K3487" i="51"/>
  <c r="C3487" i="51"/>
  <c r="A3487" i="51"/>
  <c r="I3486" i="51"/>
  <c r="K3486" i="51"/>
  <c r="C3486" i="51"/>
  <c r="A3486" i="51"/>
  <c r="I3485" i="51"/>
  <c r="K3485" i="51"/>
  <c r="C3485" i="51"/>
  <c r="A3485" i="51"/>
  <c r="I3484" i="51"/>
  <c r="K3484" i="51"/>
  <c r="C3484" i="51"/>
  <c r="A3484" i="51"/>
  <c r="I3483" i="51"/>
  <c r="K3483" i="51"/>
  <c r="J3483" i="51"/>
  <c r="C3483" i="51"/>
  <c r="A3483" i="51"/>
  <c r="I3482" i="51"/>
  <c r="K3482" i="51"/>
  <c r="C3482" i="51"/>
  <c r="A3482" i="51"/>
  <c r="I3481" i="51"/>
  <c r="K3481" i="51"/>
  <c r="C3481" i="51"/>
  <c r="A3481" i="51"/>
  <c r="I3480" i="51"/>
  <c r="K3480" i="51"/>
  <c r="C3480" i="51"/>
  <c r="A3480" i="51"/>
  <c r="I3479" i="51"/>
  <c r="K3479" i="51"/>
  <c r="C3479" i="51"/>
  <c r="A3479" i="51"/>
  <c r="I3478" i="51"/>
  <c r="K3478" i="51"/>
  <c r="J3478" i="51"/>
  <c r="C3478" i="51"/>
  <c r="A3478" i="51"/>
  <c r="I3477" i="51"/>
  <c r="K3477" i="51"/>
  <c r="C3477" i="51"/>
  <c r="A3477" i="51"/>
  <c r="I3476" i="51"/>
  <c r="K3476" i="51"/>
  <c r="C3476" i="51"/>
  <c r="A3476" i="51"/>
  <c r="I3475" i="51"/>
  <c r="K3475" i="51"/>
  <c r="C3475" i="51"/>
  <c r="A3475" i="51"/>
  <c r="I3474" i="51"/>
  <c r="K3474" i="51"/>
  <c r="C3474" i="51"/>
  <c r="A3474" i="51"/>
  <c r="I3473" i="51"/>
  <c r="K3473" i="51"/>
  <c r="J3473" i="51"/>
  <c r="C3473" i="51"/>
  <c r="A3473" i="51"/>
  <c r="I3472" i="51"/>
  <c r="K3472" i="51"/>
  <c r="C3472" i="51"/>
  <c r="A3472" i="51"/>
  <c r="I3471" i="51"/>
  <c r="K3471" i="51"/>
  <c r="C3471" i="51"/>
  <c r="A3471" i="51"/>
  <c r="I3470" i="51"/>
  <c r="K3470" i="51"/>
  <c r="C3470" i="51"/>
  <c r="A3470" i="51"/>
  <c r="I3469" i="51"/>
  <c r="K3469" i="51"/>
  <c r="C3469" i="51"/>
  <c r="A3469" i="51"/>
  <c r="I3468" i="51"/>
  <c r="K3468" i="51"/>
  <c r="J3468" i="51"/>
  <c r="C3468" i="51"/>
  <c r="A3468" i="51"/>
  <c r="I3467" i="51"/>
  <c r="K3467" i="51"/>
  <c r="C3467" i="51"/>
  <c r="A3467" i="51"/>
  <c r="I3466" i="51"/>
  <c r="K3466" i="51"/>
  <c r="C3466" i="51"/>
  <c r="A3466" i="51"/>
  <c r="I3465" i="51"/>
  <c r="K3465" i="51"/>
  <c r="C3465" i="51"/>
  <c r="A3465" i="51"/>
  <c r="I3464" i="51"/>
  <c r="K3464" i="51"/>
  <c r="C3464" i="51"/>
  <c r="A3464" i="51"/>
  <c r="I3463" i="51"/>
  <c r="K3463" i="51"/>
  <c r="C3463" i="51"/>
  <c r="A3463" i="51"/>
  <c r="I3462" i="51"/>
  <c r="C3462" i="51"/>
  <c r="A3462" i="51"/>
  <c r="I3460" i="51"/>
  <c r="E3411" i="51"/>
  <c r="E3412" i="51"/>
  <c r="E3413" i="51"/>
  <c r="E3414" i="51"/>
  <c r="E3415" i="51"/>
  <c r="E3416" i="51"/>
  <c r="E3417" i="51"/>
  <c r="E3418" i="51"/>
  <c r="E3419" i="51"/>
  <c r="E3420" i="51"/>
  <c r="E3421" i="51"/>
  <c r="E3422" i="51"/>
  <c r="E3423" i="51"/>
  <c r="E3424" i="51"/>
  <c r="E3425" i="51"/>
  <c r="E3426" i="51"/>
  <c r="E3427" i="51"/>
  <c r="E3428" i="51"/>
  <c r="E3429" i="51"/>
  <c r="E3430" i="51"/>
  <c r="E3431" i="51"/>
  <c r="E3432" i="51"/>
  <c r="E3433" i="51"/>
  <c r="E3434" i="51"/>
  <c r="E3435" i="51"/>
  <c r="E3436" i="51"/>
  <c r="E3437" i="51"/>
  <c r="E3438" i="51"/>
  <c r="E3439" i="51"/>
  <c r="E3440" i="51"/>
  <c r="E3441" i="51"/>
  <c r="E3442" i="51"/>
  <c r="E3443" i="51"/>
  <c r="E3444" i="51"/>
  <c r="E3445" i="51"/>
  <c r="E3446" i="51"/>
  <c r="E3447" i="51"/>
  <c r="E3448" i="51"/>
  <c r="E3449" i="51"/>
  <c r="E3450" i="51"/>
  <c r="E3451" i="51"/>
  <c r="E3452" i="51"/>
  <c r="E3453" i="51"/>
  <c r="E3454" i="51"/>
  <c r="E3455" i="51"/>
  <c r="E3456" i="51"/>
  <c r="E3457" i="51"/>
  <c r="E3458" i="51"/>
  <c r="E3459" i="51"/>
  <c r="E3460" i="51"/>
  <c r="C3460" i="51"/>
  <c r="A3460" i="51"/>
  <c r="I3459" i="51"/>
  <c r="C3459" i="51"/>
  <c r="A3459" i="51"/>
  <c r="I3458" i="51"/>
  <c r="C3458" i="51"/>
  <c r="A3458" i="51"/>
  <c r="I3457" i="51"/>
  <c r="C3457" i="51"/>
  <c r="A3457" i="51"/>
  <c r="I3456" i="51"/>
  <c r="C3456" i="51"/>
  <c r="A3456" i="51"/>
  <c r="I3455" i="51"/>
  <c r="C3455" i="51"/>
  <c r="A3455" i="51"/>
  <c r="I3454" i="51"/>
  <c r="C3454" i="51"/>
  <c r="A3454" i="51"/>
  <c r="I3453" i="51"/>
  <c r="C3453" i="51"/>
  <c r="A3453" i="51"/>
  <c r="I3452" i="51"/>
  <c r="C3452" i="51"/>
  <c r="A3452" i="51"/>
  <c r="I3451" i="51"/>
  <c r="C3451" i="51"/>
  <c r="A3451" i="51"/>
  <c r="I3450" i="51"/>
  <c r="C3450" i="51"/>
  <c r="A3450" i="51"/>
  <c r="I3449" i="51"/>
  <c r="C3449" i="51"/>
  <c r="A3449" i="51"/>
  <c r="I3448" i="51"/>
  <c r="C3448" i="51"/>
  <c r="A3448" i="51"/>
  <c r="I3447" i="51"/>
  <c r="C3447" i="51"/>
  <c r="A3447" i="51"/>
  <c r="I3446" i="51"/>
  <c r="C3446" i="51"/>
  <c r="A3446" i="51"/>
  <c r="I3445" i="51"/>
  <c r="C3445" i="51"/>
  <c r="A3445" i="51"/>
  <c r="I3444" i="51"/>
  <c r="C3444" i="51"/>
  <c r="A3444" i="51"/>
  <c r="I3443" i="51"/>
  <c r="C3443" i="51"/>
  <c r="A3443" i="51"/>
  <c r="I3442" i="51"/>
  <c r="C3442" i="51"/>
  <c r="A3442" i="51"/>
  <c r="I3441" i="51"/>
  <c r="C3441" i="51"/>
  <c r="A3441" i="51"/>
  <c r="I3440" i="51"/>
  <c r="C3440" i="51"/>
  <c r="A3440" i="51"/>
  <c r="I3439" i="51"/>
  <c r="C3439" i="51"/>
  <c r="A3439" i="51"/>
  <c r="I3438" i="51"/>
  <c r="C3438" i="51"/>
  <c r="A3438" i="51"/>
  <c r="I3437" i="51"/>
  <c r="C3437" i="51"/>
  <c r="A3437" i="51"/>
  <c r="I3436" i="51"/>
  <c r="C3436" i="51"/>
  <c r="A3436" i="51"/>
  <c r="I3435" i="51"/>
  <c r="C3435" i="51"/>
  <c r="A3435" i="51"/>
  <c r="I3434" i="51"/>
  <c r="C3434" i="51"/>
  <c r="A3434" i="51"/>
  <c r="I3433" i="51"/>
  <c r="C3433" i="51"/>
  <c r="A3433" i="51"/>
  <c r="I3432" i="51"/>
  <c r="C3432" i="51"/>
  <c r="A3432" i="51"/>
  <c r="I3431" i="51"/>
  <c r="C3431" i="51"/>
  <c r="A3431" i="51"/>
  <c r="I3430" i="51"/>
  <c r="C3430" i="51"/>
  <c r="A3430" i="51"/>
  <c r="I3429" i="51"/>
  <c r="C3429" i="51"/>
  <c r="A3429" i="51"/>
  <c r="I3428" i="51"/>
  <c r="C3428" i="51"/>
  <c r="A3428" i="51"/>
  <c r="I3427" i="51"/>
  <c r="C3427" i="51"/>
  <c r="A3427" i="51"/>
  <c r="I3426" i="51"/>
  <c r="C3426" i="51"/>
  <c r="A3426" i="51"/>
  <c r="I3425" i="51"/>
  <c r="C3425" i="51"/>
  <c r="A3425" i="51"/>
  <c r="I3424" i="51"/>
  <c r="C3424" i="51"/>
  <c r="A3424" i="51"/>
  <c r="I3423" i="51"/>
  <c r="C3423" i="51"/>
  <c r="A3423" i="51"/>
  <c r="I3422" i="51"/>
  <c r="C3422" i="51"/>
  <c r="A3422" i="51"/>
  <c r="I3421" i="51"/>
  <c r="C3421" i="51"/>
  <c r="A3421" i="51"/>
  <c r="I3420" i="51"/>
  <c r="C3420" i="51"/>
  <c r="A3420" i="51"/>
  <c r="I3419" i="51"/>
  <c r="C3419" i="51"/>
  <c r="A3419" i="51"/>
  <c r="I3418" i="51"/>
  <c r="C3418" i="51"/>
  <c r="A3418" i="51"/>
  <c r="I3417" i="51"/>
  <c r="C3417" i="51"/>
  <c r="A3417" i="51"/>
  <c r="I3416" i="51"/>
  <c r="C3416" i="51"/>
  <c r="A3416" i="51"/>
  <c r="I3415" i="51"/>
  <c r="C3415" i="51"/>
  <c r="A3415" i="51"/>
  <c r="I3414" i="51"/>
  <c r="C3414" i="51"/>
  <c r="A3414" i="51"/>
  <c r="I3413" i="51"/>
  <c r="C3413" i="51"/>
  <c r="A3413" i="51"/>
  <c r="I3412" i="51"/>
  <c r="C3412" i="51"/>
  <c r="A3412" i="51"/>
  <c r="I3411" i="51"/>
  <c r="C3411" i="51"/>
  <c r="A3411" i="51"/>
  <c r="I3410" i="51"/>
  <c r="C3410" i="51"/>
  <c r="A3410" i="51"/>
  <c r="I3409" i="51"/>
  <c r="C3409" i="51"/>
  <c r="A3409" i="51"/>
  <c r="H524" i="24"/>
  <c r="H527" i="24"/>
  <c r="H530" i="24"/>
  <c r="H526" i="24"/>
  <c r="H529" i="24"/>
  <c r="A535" i="24"/>
  <c r="H525" i="24"/>
  <c r="H528" i="24"/>
  <c r="A534" i="24"/>
  <c r="A533" i="24"/>
  <c r="A532" i="24"/>
  <c r="A531" i="24"/>
  <c r="Q357" i="26"/>
  <c r="J357" i="26"/>
  <c r="H357" i="26"/>
  <c r="G357" i="26"/>
  <c r="E357" i="26"/>
  <c r="O356" i="26"/>
  <c r="Q356" i="26"/>
  <c r="J356" i="26"/>
  <c r="H356" i="26"/>
  <c r="G356" i="26"/>
  <c r="E356" i="26"/>
  <c r="O355" i="26"/>
  <c r="Q355" i="26"/>
  <c r="J355" i="26"/>
  <c r="H355" i="26"/>
  <c r="G355" i="26"/>
  <c r="E355" i="26"/>
  <c r="O354" i="26"/>
  <c r="Q354" i="26"/>
  <c r="J354" i="26"/>
  <c r="H354" i="26"/>
  <c r="G354" i="26"/>
  <c r="E354" i="26"/>
  <c r="O353" i="26"/>
  <c r="Q353" i="26"/>
  <c r="J353" i="26"/>
  <c r="H353" i="26"/>
  <c r="G353" i="26"/>
  <c r="E353" i="26"/>
  <c r="Q350" i="26"/>
  <c r="Q243" i="26"/>
  <c r="I3324" i="51"/>
  <c r="J3375" i="51"/>
  <c r="J3374" i="51"/>
  <c r="J3373" i="51"/>
  <c r="J3370" i="51"/>
  <c r="J3369" i="51"/>
  <c r="J3368" i="51"/>
  <c r="J3365" i="51"/>
  <c r="J3364" i="51"/>
  <c r="J3363" i="51"/>
  <c r="J3360" i="51"/>
  <c r="J3359" i="51"/>
  <c r="J3358" i="51"/>
  <c r="J3355" i="51"/>
  <c r="J3354" i="51"/>
  <c r="J3353" i="51"/>
  <c r="J3350" i="51"/>
  <c r="J3349" i="51"/>
  <c r="J3348" i="51"/>
  <c r="J3345" i="51"/>
  <c r="J3344" i="51"/>
  <c r="J3343" i="51"/>
  <c r="J3340" i="51"/>
  <c r="J3339" i="51"/>
  <c r="J3338" i="51"/>
  <c r="J3335" i="51"/>
  <c r="J3334" i="51"/>
  <c r="J3333" i="51"/>
  <c r="J3330" i="51"/>
  <c r="J3329" i="51"/>
  <c r="J3328" i="51"/>
  <c r="K3326" i="51"/>
  <c r="K3376" i="51"/>
  <c r="K3371" i="51"/>
  <c r="K3366" i="51"/>
  <c r="K3361" i="51"/>
  <c r="K3356" i="51"/>
  <c r="K3351" i="51"/>
  <c r="K3346" i="51"/>
  <c r="K3341" i="51"/>
  <c r="K3336" i="51"/>
  <c r="K3331" i="51"/>
  <c r="K3408" i="51"/>
  <c r="K3405" i="51"/>
  <c r="K3402" i="51"/>
  <c r="K3399" i="51"/>
  <c r="K3396" i="51"/>
  <c r="K3393" i="51"/>
  <c r="K3390" i="51"/>
  <c r="K3387" i="51"/>
  <c r="K3384" i="51"/>
  <c r="K3381" i="51"/>
  <c r="O352" i="26"/>
  <c r="Q352" i="26"/>
  <c r="O351" i="26"/>
  <c r="Q351" i="26"/>
  <c r="C148" i="60"/>
  <c r="D148" i="60"/>
  <c r="C149" i="60"/>
  <c r="D149" i="60"/>
  <c r="C150" i="60"/>
  <c r="D150" i="60"/>
  <c r="E150" i="60"/>
  <c r="E148" i="60"/>
  <c r="E149" i="60"/>
  <c r="G524" i="24"/>
  <c r="G525" i="24"/>
  <c r="A495" i="24"/>
  <c r="A494" i="24"/>
  <c r="G526" i="24"/>
  <c r="G527" i="24"/>
  <c r="A530" i="24"/>
  <c r="A529" i="24"/>
  <c r="A528" i="24"/>
  <c r="B173" i="59"/>
  <c r="C5375" i="51"/>
  <c r="A5375" i="51"/>
  <c r="C5374" i="51"/>
  <c r="A5374" i="51"/>
  <c r="I3408" i="51"/>
  <c r="I3407" i="51"/>
  <c r="I3406" i="51"/>
  <c r="I3405" i="51"/>
  <c r="I3404" i="51"/>
  <c r="I3403" i="51"/>
  <c r="I3402" i="51"/>
  <c r="I3401" i="51"/>
  <c r="I3400" i="51"/>
  <c r="I3399" i="51"/>
  <c r="I3398" i="51"/>
  <c r="I3397" i="51"/>
  <c r="I3396" i="51"/>
  <c r="I3395" i="51"/>
  <c r="I3394" i="51"/>
  <c r="I3393" i="51"/>
  <c r="I3392" i="51"/>
  <c r="I3391" i="51"/>
  <c r="I3390" i="51"/>
  <c r="I3389" i="51"/>
  <c r="I3388" i="51"/>
  <c r="I3387" i="51"/>
  <c r="I3386" i="51"/>
  <c r="I3385" i="51"/>
  <c r="I3384" i="51"/>
  <c r="I3383" i="51"/>
  <c r="I3382" i="51"/>
  <c r="E3379" i="51"/>
  <c r="E3380" i="51"/>
  <c r="E3381" i="51"/>
  <c r="E3382" i="51"/>
  <c r="E3383" i="51"/>
  <c r="E3384" i="51"/>
  <c r="E3385" i="51"/>
  <c r="E3386" i="51"/>
  <c r="E3387" i="51"/>
  <c r="E3388" i="51"/>
  <c r="E3389" i="51"/>
  <c r="E3390" i="51"/>
  <c r="E3391" i="51"/>
  <c r="E3392" i="51"/>
  <c r="E3393" i="51"/>
  <c r="E3394" i="51"/>
  <c r="E3395" i="51"/>
  <c r="E3396" i="51"/>
  <c r="E3397" i="51"/>
  <c r="E3398" i="51"/>
  <c r="E3399" i="51"/>
  <c r="E3400" i="51"/>
  <c r="E3401" i="51"/>
  <c r="E3402" i="51"/>
  <c r="E3403" i="51"/>
  <c r="E3404" i="51"/>
  <c r="E3405" i="51"/>
  <c r="E3406" i="51"/>
  <c r="E3407" i="51"/>
  <c r="E3408" i="51"/>
  <c r="C3408" i="51"/>
  <c r="A3408" i="51"/>
  <c r="C3407" i="51"/>
  <c r="A3407" i="51"/>
  <c r="C3406" i="51"/>
  <c r="A3406" i="51"/>
  <c r="C3405" i="51"/>
  <c r="A3405" i="51"/>
  <c r="C3404" i="51"/>
  <c r="A3404" i="51"/>
  <c r="C3403" i="51"/>
  <c r="A3403" i="51"/>
  <c r="C3402" i="51"/>
  <c r="A3402" i="51"/>
  <c r="C3401" i="51"/>
  <c r="A3401" i="51"/>
  <c r="C3400" i="51"/>
  <c r="A3400" i="51"/>
  <c r="C3399" i="51"/>
  <c r="A3399" i="51"/>
  <c r="C3398" i="51"/>
  <c r="A3398" i="51"/>
  <c r="C3397" i="51"/>
  <c r="A3397" i="51"/>
  <c r="C3396" i="51"/>
  <c r="A3396" i="51"/>
  <c r="C3395" i="51"/>
  <c r="A3395" i="51"/>
  <c r="C3394" i="51"/>
  <c r="A3394" i="51"/>
  <c r="C3393" i="51"/>
  <c r="A3393" i="51"/>
  <c r="C3392" i="51"/>
  <c r="A3392" i="51"/>
  <c r="C3391" i="51"/>
  <c r="A3391" i="51"/>
  <c r="C3390" i="51"/>
  <c r="A3390" i="51"/>
  <c r="C3389" i="51"/>
  <c r="A3389" i="51"/>
  <c r="C3388" i="51"/>
  <c r="A3388" i="51"/>
  <c r="C3387" i="51"/>
  <c r="A3387" i="51"/>
  <c r="C3386" i="51"/>
  <c r="A3386" i="51"/>
  <c r="C3385" i="51"/>
  <c r="A3385" i="51"/>
  <c r="C3384" i="51"/>
  <c r="A3384" i="51"/>
  <c r="C3383" i="51"/>
  <c r="A3383" i="51"/>
  <c r="C3382" i="51"/>
  <c r="A3382" i="51"/>
  <c r="I3381" i="51"/>
  <c r="C3381" i="51"/>
  <c r="A3381" i="51"/>
  <c r="I3380" i="51"/>
  <c r="C3380" i="51"/>
  <c r="A3380" i="51"/>
  <c r="I3379" i="51"/>
  <c r="C3379" i="51"/>
  <c r="A3379" i="51"/>
  <c r="I3378" i="51"/>
  <c r="C3378" i="51"/>
  <c r="A3378" i="51"/>
  <c r="I3377" i="51"/>
  <c r="C3377" i="51"/>
  <c r="A3377" i="51"/>
  <c r="E3327" i="51"/>
  <c r="E3328" i="51"/>
  <c r="E3329" i="51"/>
  <c r="E3330" i="51"/>
  <c r="E3331" i="51"/>
  <c r="E3332" i="51"/>
  <c r="E3333" i="51"/>
  <c r="E3334" i="51"/>
  <c r="E3335" i="51"/>
  <c r="E3336" i="51"/>
  <c r="E3337" i="51"/>
  <c r="E3338" i="51"/>
  <c r="E3339" i="51"/>
  <c r="E3340" i="51"/>
  <c r="E3341" i="51"/>
  <c r="E3342" i="51"/>
  <c r="E3343" i="51"/>
  <c r="E3344" i="51"/>
  <c r="E3345" i="51"/>
  <c r="E3346" i="51"/>
  <c r="E3347" i="51"/>
  <c r="E3348" i="51"/>
  <c r="E3349" i="51"/>
  <c r="E3350" i="51"/>
  <c r="E3351" i="51"/>
  <c r="E3352" i="51"/>
  <c r="E3353" i="51"/>
  <c r="E3354" i="51"/>
  <c r="E3355" i="51"/>
  <c r="E3356" i="51"/>
  <c r="E3357" i="51"/>
  <c r="E3358" i="51"/>
  <c r="E3359" i="51"/>
  <c r="E3360" i="51"/>
  <c r="E3361" i="51"/>
  <c r="E3362" i="51"/>
  <c r="E3363" i="51"/>
  <c r="E3364" i="51"/>
  <c r="E3365" i="51"/>
  <c r="E3366" i="51"/>
  <c r="E3367" i="51"/>
  <c r="E3368" i="51"/>
  <c r="E3369" i="51"/>
  <c r="E3370" i="51"/>
  <c r="E3371" i="51"/>
  <c r="E3372" i="51"/>
  <c r="E3373" i="51"/>
  <c r="E3374" i="51"/>
  <c r="E3375" i="51"/>
  <c r="E3376" i="51"/>
  <c r="K3375" i="51"/>
  <c r="K3374" i="51"/>
  <c r="K3373" i="51"/>
  <c r="K3370" i="51"/>
  <c r="K3369" i="51"/>
  <c r="K3368" i="51"/>
  <c r="K3365" i="51"/>
  <c r="K3364" i="51"/>
  <c r="K3363" i="51"/>
  <c r="K3360" i="51"/>
  <c r="K3359" i="51"/>
  <c r="K3358" i="51"/>
  <c r="K3355" i="51"/>
  <c r="K3354" i="51"/>
  <c r="K3353" i="51"/>
  <c r="K3350" i="51"/>
  <c r="K3349" i="51"/>
  <c r="K3348" i="51"/>
  <c r="K3345" i="51"/>
  <c r="K3344" i="51"/>
  <c r="K3343" i="51"/>
  <c r="K3340" i="51"/>
  <c r="K3339" i="51"/>
  <c r="K3338" i="51"/>
  <c r="K3335" i="51"/>
  <c r="K3334" i="51"/>
  <c r="K3333" i="51"/>
  <c r="K3330" i="51"/>
  <c r="K3329" i="51"/>
  <c r="K3328" i="51"/>
  <c r="I3316" i="51"/>
  <c r="I3323" i="51"/>
  <c r="I3325" i="51"/>
  <c r="I3376" i="51"/>
  <c r="C3376" i="51"/>
  <c r="A3376" i="51"/>
  <c r="I3375" i="51"/>
  <c r="C3375" i="51"/>
  <c r="A3375" i="51"/>
  <c r="I3374" i="51"/>
  <c r="C3374" i="51"/>
  <c r="A3374" i="51"/>
  <c r="I3373" i="51"/>
  <c r="C3373" i="51"/>
  <c r="A3373" i="51"/>
  <c r="I3372" i="51"/>
  <c r="C3372" i="51"/>
  <c r="A3372" i="51"/>
  <c r="I3371" i="51"/>
  <c r="C3371" i="51"/>
  <c r="A3371" i="51"/>
  <c r="I3370" i="51"/>
  <c r="C3370" i="51"/>
  <c r="A3370" i="51"/>
  <c r="I3369" i="51"/>
  <c r="C3369" i="51"/>
  <c r="A3369" i="51"/>
  <c r="I3368" i="51"/>
  <c r="C3368" i="51"/>
  <c r="A3368" i="51"/>
  <c r="I3367" i="51"/>
  <c r="C3367" i="51"/>
  <c r="A3367" i="51"/>
  <c r="I3366" i="51"/>
  <c r="C3366" i="51"/>
  <c r="A3366" i="51"/>
  <c r="I3365" i="51"/>
  <c r="C3365" i="51"/>
  <c r="A3365" i="51"/>
  <c r="I3364" i="51"/>
  <c r="C3364" i="51"/>
  <c r="A3364" i="51"/>
  <c r="I3363" i="51"/>
  <c r="C3363" i="51"/>
  <c r="A3363" i="51"/>
  <c r="I3362" i="51"/>
  <c r="C3362" i="51"/>
  <c r="A3362" i="51"/>
  <c r="I3361" i="51"/>
  <c r="C3361" i="51"/>
  <c r="A3361" i="51"/>
  <c r="I3360" i="51"/>
  <c r="C3360" i="51"/>
  <c r="A3360" i="51"/>
  <c r="I3359" i="51"/>
  <c r="C3359" i="51"/>
  <c r="A3359" i="51"/>
  <c r="I3358" i="51"/>
  <c r="C3358" i="51"/>
  <c r="A3358" i="51"/>
  <c r="I3357" i="51"/>
  <c r="C3357" i="51"/>
  <c r="A3357" i="51"/>
  <c r="I3356" i="51"/>
  <c r="C3356" i="51"/>
  <c r="A3356" i="51"/>
  <c r="I3355" i="51"/>
  <c r="C3355" i="51"/>
  <c r="A3355" i="51"/>
  <c r="I3354" i="51"/>
  <c r="C3354" i="51"/>
  <c r="A3354" i="51"/>
  <c r="I3353" i="51"/>
  <c r="C3353" i="51"/>
  <c r="A3353" i="51"/>
  <c r="I3352" i="51"/>
  <c r="C3352" i="51"/>
  <c r="A3352" i="51"/>
  <c r="I3351" i="51"/>
  <c r="C3351" i="51"/>
  <c r="A3351" i="51"/>
  <c r="I3350" i="51"/>
  <c r="C3350" i="51"/>
  <c r="A3350" i="51"/>
  <c r="I3349" i="51"/>
  <c r="C3349" i="51"/>
  <c r="A3349" i="51"/>
  <c r="I3348" i="51"/>
  <c r="C3348" i="51"/>
  <c r="A3348" i="51"/>
  <c r="I3347" i="51"/>
  <c r="C3347" i="51"/>
  <c r="A3347" i="51"/>
  <c r="I3346" i="51"/>
  <c r="C3346" i="51"/>
  <c r="A3346" i="51"/>
  <c r="I3345" i="51"/>
  <c r="C3345" i="51"/>
  <c r="A3345" i="51"/>
  <c r="I3344" i="51"/>
  <c r="C3344" i="51"/>
  <c r="A3344" i="51"/>
  <c r="I3343" i="51"/>
  <c r="C3343" i="51"/>
  <c r="A3343" i="51"/>
  <c r="I3342" i="51"/>
  <c r="C3342" i="51"/>
  <c r="A3342" i="51"/>
  <c r="I3341" i="51"/>
  <c r="C3341" i="51"/>
  <c r="A3341" i="51"/>
  <c r="I3340" i="51"/>
  <c r="C3340" i="51"/>
  <c r="A3340" i="51"/>
  <c r="I3339" i="51"/>
  <c r="C3339" i="51"/>
  <c r="A3339" i="51"/>
  <c r="I3338" i="51"/>
  <c r="C3338" i="51"/>
  <c r="A3338" i="51"/>
  <c r="I3337" i="51"/>
  <c r="C3337" i="51"/>
  <c r="A3337" i="51"/>
  <c r="I3336" i="51"/>
  <c r="C3336" i="51"/>
  <c r="A3336" i="51"/>
  <c r="I3335" i="51"/>
  <c r="C3335" i="51"/>
  <c r="A3335" i="51"/>
  <c r="I3334" i="51"/>
  <c r="C3334" i="51"/>
  <c r="A3334" i="51"/>
  <c r="I3333" i="51"/>
  <c r="C3333" i="51"/>
  <c r="A3333" i="51"/>
  <c r="I3332" i="51"/>
  <c r="C3332" i="51"/>
  <c r="A3332" i="51"/>
  <c r="I3331" i="51"/>
  <c r="C3331" i="51"/>
  <c r="A3331" i="51"/>
  <c r="I3330" i="51"/>
  <c r="C3330" i="51"/>
  <c r="A3330" i="51"/>
  <c r="I3329" i="51"/>
  <c r="C3329" i="51"/>
  <c r="A3329" i="51"/>
  <c r="I3328" i="51"/>
  <c r="C3328" i="51"/>
  <c r="A3328" i="51"/>
  <c r="I3327" i="51"/>
  <c r="C3327" i="51"/>
  <c r="A3327" i="51"/>
  <c r="I3326" i="51"/>
  <c r="C3326" i="51"/>
  <c r="A3326" i="51"/>
  <c r="C3325" i="51"/>
  <c r="A3325" i="51"/>
  <c r="C3324" i="51"/>
  <c r="A3324" i="51"/>
  <c r="J352" i="26"/>
  <c r="H352" i="26"/>
  <c r="G352" i="26"/>
  <c r="E352" i="26"/>
  <c r="O329" i="26"/>
  <c r="J351" i="26"/>
  <c r="H351" i="26"/>
  <c r="G351" i="26"/>
  <c r="E351" i="26"/>
  <c r="J549" i="26"/>
  <c r="H549" i="26"/>
  <c r="G549" i="26"/>
  <c r="F549" i="26"/>
  <c r="E549" i="26"/>
  <c r="J548" i="26"/>
  <c r="H548" i="26"/>
  <c r="G548" i="26"/>
  <c r="F548" i="26"/>
  <c r="E548" i="26"/>
  <c r="J350" i="26"/>
  <c r="H350" i="26"/>
  <c r="G350" i="26"/>
  <c r="E350" i="26"/>
  <c r="A147" i="60"/>
  <c r="E147" i="60"/>
  <c r="D147" i="60"/>
  <c r="C147" i="60"/>
  <c r="A527" i="24"/>
  <c r="H404" i="24"/>
  <c r="H406" i="24"/>
  <c r="H408" i="24"/>
  <c r="H410" i="24"/>
  <c r="H412" i="24"/>
  <c r="H414" i="24"/>
  <c r="H416" i="24"/>
  <c r="H419" i="24"/>
  <c r="H422" i="24"/>
  <c r="H425" i="24"/>
  <c r="H428" i="24"/>
  <c r="H431" i="24"/>
  <c r="H434" i="24"/>
  <c r="H437" i="24"/>
  <c r="H440" i="24"/>
  <c r="H443" i="24"/>
  <c r="H446" i="24"/>
  <c r="H449" i="24"/>
  <c r="H452" i="24"/>
  <c r="H461" i="24"/>
  <c r="H463" i="24"/>
  <c r="H465" i="24"/>
  <c r="H472" i="24"/>
  <c r="H479" i="24"/>
  <c r="H486" i="24"/>
  <c r="I3321" i="51"/>
  <c r="J3321" i="51"/>
  <c r="I3322" i="51"/>
  <c r="J3322" i="51"/>
  <c r="I3319" i="51"/>
  <c r="J3319" i="51"/>
  <c r="I3320" i="51"/>
  <c r="K3320" i="51"/>
  <c r="I3317" i="51"/>
  <c r="I3318" i="51"/>
  <c r="C3323" i="51"/>
  <c r="A3323" i="51"/>
  <c r="C3322" i="51"/>
  <c r="A3322" i="51"/>
  <c r="C3321" i="51"/>
  <c r="A3321" i="51"/>
  <c r="C3320" i="51"/>
  <c r="A3320" i="51"/>
  <c r="C3319" i="51"/>
  <c r="A3319" i="51"/>
  <c r="C3318" i="51"/>
  <c r="A3318" i="51"/>
  <c r="C3317" i="51"/>
  <c r="A3317" i="51"/>
  <c r="C3316" i="51"/>
  <c r="A3316" i="51"/>
  <c r="Q349" i="26"/>
  <c r="O347" i="26"/>
  <c r="Q347" i="26"/>
  <c r="O346" i="26"/>
  <c r="Q346" i="26"/>
  <c r="J349" i="26"/>
  <c r="H349" i="26"/>
  <c r="G349" i="26"/>
  <c r="E349" i="26"/>
  <c r="I3310" i="51"/>
  <c r="I3315" i="51"/>
  <c r="K3315" i="51"/>
  <c r="I3314" i="51"/>
  <c r="I3313" i="51"/>
  <c r="K3313" i="51"/>
  <c r="I3312" i="51"/>
  <c r="I3311" i="51"/>
  <c r="K3311" i="51"/>
  <c r="D146" i="60"/>
  <c r="D145" i="60"/>
  <c r="D144" i="60"/>
  <c r="E146" i="60"/>
  <c r="C146" i="60"/>
  <c r="E145" i="60"/>
  <c r="C145" i="60"/>
  <c r="E144" i="60"/>
  <c r="C144" i="60"/>
  <c r="D267" i="60"/>
  <c r="C267" i="60"/>
  <c r="A25" i="24"/>
  <c r="B126" i="59"/>
  <c r="I5228" i="51"/>
  <c r="A5228" i="51"/>
  <c r="I5227" i="51"/>
  <c r="A5227" i="51"/>
  <c r="I5226" i="51"/>
  <c r="A5226" i="51"/>
  <c r="I5225" i="51"/>
  <c r="A5225" i="51"/>
  <c r="I5224" i="51"/>
  <c r="A5224" i="51"/>
  <c r="I5223" i="51"/>
  <c r="A5223" i="51"/>
  <c r="I5222" i="51"/>
  <c r="A5222" i="51"/>
  <c r="I5221" i="51"/>
  <c r="A5221" i="51"/>
  <c r="I5220" i="51"/>
  <c r="A5220" i="51"/>
  <c r="I5219" i="51"/>
  <c r="A5219" i="51"/>
  <c r="J103" i="26"/>
  <c r="H103" i="26"/>
  <c r="G103" i="26"/>
  <c r="F103" i="26"/>
  <c r="E103" i="26"/>
  <c r="C3315" i="51"/>
  <c r="A3315" i="51"/>
  <c r="C3314" i="51"/>
  <c r="A3314" i="51"/>
  <c r="C3313" i="51"/>
  <c r="A3313" i="51"/>
  <c r="C3312" i="51"/>
  <c r="A3312" i="51"/>
  <c r="C3311" i="51"/>
  <c r="A3311" i="51"/>
  <c r="C3310" i="51"/>
  <c r="A3310" i="51"/>
  <c r="A526" i="24"/>
  <c r="A525" i="24"/>
  <c r="A524" i="24"/>
  <c r="O348" i="26"/>
  <c r="Q348" i="26"/>
  <c r="J348" i="26"/>
  <c r="H348" i="26"/>
  <c r="G348" i="26"/>
  <c r="E348" i="26"/>
  <c r="J347" i="26"/>
  <c r="H347" i="26"/>
  <c r="G347" i="26"/>
  <c r="E347" i="26"/>
  <c r="J346" i="26"/>
  <c r="H346" i="26"/>
  <c r="G346" i="26"/>
  <c r="E346" i="26"/>
  <c r="A490" i="24"/>
  <c r="A491" i="24"/>
  <c r="A492" i="24"/>
  <c r="A493" i="24"/>
  <c r="A5370" i="51"/>
  <c r="C5370" i="51"/>
  <c r="A5371" i="51"/>
  <c r="C5371" i="51"/>
  <c r="A5372" i="51"/>
  <c r="C5372" i="51"/>
  <c r="A5373" i="51"/>
  <c r="C5373" i="51"/>
  <c r="J547" i="26"/>
  <c r="G547" i="26"/>
  <c r="F547" i="26"/>
  <c r="E547" i="26"/>
  <c r="J546" i="26"/>
  <c r="G546" i="26"/>
  <c r="F546" i="26"/>
  <c r="E546" i="26"/>
  <c r="J545" i="26"/>
  <c r="G545" i="26"/>
  <c r="F545" i="26"/>
  <c r="E545" i="26"/>
  <c r="J544" i="26"/>
  <c r="G544" i="26"/>
  <c r="F544" i="26"/>
  <c r="E544" i="26"/>
  <c r="E138" i="60"/>
  <c r="E139" i="60"/>
  <c r="E140" i="60"/>
  <c r="E141" i="60"/>
  <c r="E142" i="60"/>
  <c r="E143" i="60"/>
  <c r="C143" i="60"/>
  <c r="C142" i="60"/>
  <c r="C141" i="60"/>
  <c r="C140" i="60"/>
  <c r="C139" i="60"/>
  <c r="C138" i="60"/>
  <c r="H417" i="24"/>
  <c r="H420" i="24"/>
  <c r="H423" i="24"/>
  <c r="H426" i="24"/>
  <c r="H429" i="24"/>
  <c r="H432" i="24"/>
  <c r="H435" i="24"/>
  <c r="H438" i="24"/>
  <c r="H441" i="24"/>
  <c r="H444" i="24"/>
  <c r="H447" i="24"/>
  <c r="H450" i="24"/>
  <c r="H453" i="24"/>
  <c r="H462" i="24"/>
  <c r="H467" i="24"/>
  <c r="H474" i="24"/>
  <c r="H481" i="24"/>
  <c r="H488" i="24"/>
  <c r="A488" i="24"/>
  <c r="H464" i="24"/>
  <c r="H466" i="24"/>
  <c r="H473" i="24"/>
  <c r="H480" i="24"/>
  <c r="H487" i="24"/>
  <c r="A487" i="24"/>
  <c r="A486" i="24"/>
  <c r="H471" i="24"/>
  <c r="H478" i="24"/>
  <c r="H485" i="24"/>
  <c r="A485" i="24"/>
  <c r="H470" i="24"/>
  <c r="H477" i="24"/>
  <c r="H484" i="24"/>
  <c r="A484" i="24"/>
  <c r="H469" i="24"/>
  <c r="H476" i="24"/>
  <c r="H483" i="24"/>
  <c r="A483" i="24"/>
  <c r="B167" i="59"/>
  <c r="B168" i="59"/>
  <c r="B169" i="59"/>
  <c r="B170" i="59"/>
  <c r="B171" i="59"/>
  <c r="B172" i="59"/>
  <c r="C3309" i="51"/>
  <c r="A3309" i="51"/>
  <c r="C3308" i="51"/>
  <c r="A3308" i="51"/>
  <c r="C3307" i="51"/>
  <c r="A3307" i="51"/>
  <c r="C3306" i="51"/>
  <c r="A3306" i="51"/>
  <c r="C3305" i="51"/>
  <c r="A3305" i="51"/>
  <c r="C3304" i="51"/>
  <c r="A3304" i="51"/>
  <c r="J345" i="26"/>
  <c r="G345" i="26"/>
  <c r="E345" i="26"/>
  <c r="J344" i="26"/>
  <c r="G344" i="26"/>
  <c r="E344" i="26"/>
  <c r="J343" i="26"/>
  <c r="G343" i="26"/>
  <c r="E343" i="26"/>
  <c r="J342" i="26"/>
  <c r="G342" i="26"/>
  <c r="E342" i="26"/>
  <c r="J341" i="26"/>
  <c r="G341" i="26"/>
  <c r="E341" i="26"/>
  <c r="J340" i="26"/>
  <c r="G340" i="26"/>
  <c r="E340" i="26"/>
  <c r="I3299" i="51"/>
  <c r="K3299" i="51"/>
  <c r="E3272" i="51"/>
  <c r="E3273" i="51"/>
  <c r="E3274" i="51"/>
  <c r="E3275" i="51"/>
  <c r="E3276" i="51"/>
  <c r="E3277" i="51"/>
  <c r="E3278" i="51"/>
  <c r="E3279" i="51"/>
  <c r="E3280" i="51"/>
  <c r="E3281" i="51"/>
  <c r="E3282" i="51"/>
  <c r="E3283" i="51"/>
  <c r="E3284" i="51"/>
  <c r="E3285" i="51"/>
  <c r="E3286" i="51"/>
  <c r="E3287" i="51"/>
  <c r="E3288" i="51"/>
  <c r="E3289" i="51"/>
  <c r="E3290" i="51"/>
  <c r="E3291" i="51"/>
  <c r="E3292" i="51"/>
  <c r="E3293" i="51"/>
  <c r="E3294" i="51"/>
  <c r="E3295" i="51"/>
  <c r="E3296" i="51"/>
  <c r="E3297" i="51"/>
  <c r="E3298" i="51"/>
  <c r="E3299" i="51"/>
  <c r="C3299" i="51"/>
  <c r="A3299" i="51"/>
  <c r="I3298" i="51"/>
  <c r="K3298" i="51"/>
  <c r="C3298" i="51"/>
  <c r="A3298" i="51"/>
  <c r="I3297" i="51"/>
  <c r="K3297" i="51"/>
  <c r="C3297" i="51"/>
  <c r="A3297" i="51"/>
  <c r="I3296" i="51"/>
  <c r="K3296" i="51"/>
  <c r="C3296" i="51"/>
  <c r="A3296" i="51"/>
  <c r="I3295" i="51"/>
  <c r="K3295" i="51"/>
  <c r="C3295" i="51"/>
  <c r="A3295" i="51"/>
  <c r="I3294" i="51"/>
  <c r="K3294" i="51"/>
  <c r="C3294" i="51"/>
  <c r="A3294" i="51"/>
  <c r="I3293" i="51"/>
  <c r="K3293" i="51"/>
  <c r="C3293" i="51"/>
  <c r="A3293" i="51"/>
  <c r="I3292" i="51"/>
  <c r="K3292" i="51"/>
  <c r="C3292" i="51"/>
  <c r="A3292" i="51"/>
  <c r="I3291" i="51"/>
  <c r="K3291" i="51"/>
  <c r="C3291" i="51"/>
  <c r="A3291" i="51"/>
  <c r="I3290" i="51"/>
  <c r="K3290" i="51"/>
  <c r="C3290" i="51"/>
  <c r="A3290" i="51"/>
  <c r="I3289" i="51"/>
  <c r="K3289" i="51"/>
  <c r="C3289" i="51"/>
  <c r="A3289" i="51"/>
  <c r="I3288" i="51"/>
  <c r="K3288" i="51"/>
  <c r="C3288" i="51"/>
  <c r="A3288" i="51"/>
  <c r="I3287" i="51"/>
  <c r="K3287" i="51"/>
  <c r="C3287" i="51"/>
  <c r="A3287" i="51"/>
  <c r="I3286" i="51"/>
  <c r="K3286" i="51"/>
  <c r="C3286" i="51"/>
  <c r="A3286" i="51"/>
  <c r="I3285" i="51"/>
  <c r="K3285" i="51"/>
  <c r="C3285" i="51"/>
  <c r="A3285" i="51"/>
  <c r="I3284" i="51"/>
  <c r="K3284" i="51"/>
  <c r="C3284" i="51"/>
  <c r="A3284" i="51"/>
  <c r="I3283" i="51"/>
  <c r="K3283" i="51"/>
  <c r="C3283" i="51"/>
  <c r="A3283" i="51"/>
  <c r="I3282" i="51"/>
  <c r="K3282" i="51"/>
  <c r="C3282" i="51"/>
  <c r="A3282" i="51"/>
  <c r="I3281" i="51"/>
  <c r="K3281" i="51"/>
  <c r="C3281" i="51"/>
  <c r="A3281" i="51"/>
  <c r="I3280" i="51"/>
  <c r="K3280" i="51"/>
  <c r="C3280" i="51"/>
  <c r="A3280" i="51"/>
  <c r="I3279" i="51"/>
  <c r="K3279" i="51"/>
  <c r="C3279" i="51"/>
  <c r="A3279" i="51"/>
  <c r="I3278" i="51"/>
  <c r="K3278" i="51"/>
  <c r="C3278" i="51"/>
  <c r="A3278" i="51"/>
  <c r="I3277" i="51"/>
  <c r="K3277" i="51"/>
  <c r="C3277" i="51"/>
  <c r="A3277" i="51"/>
  <c r="I3276" i="51"/>
  <c r="K3276" i="51"/>
  <c r="C3276" i="51"/>
  <c r="A3276" i="51"/>
  <c r="I3275" i="51"/>
  <c r="K3275" i="51"/>
  <c r="C3275" i="51"/>
  <c r="A3275" i="51"/>
  <c r="I3274" i="51"/>
  <c r="K3274" i="51"/>
  <c r="C3274" i="51"/>
  <c r="A3274" i="51"/>
  <c r="I3273" i="51"/>
  <c r="K3273" i="51"/>
  <c r="C3273" i="51"/>
  <c r="A3273" i="51"/>
  <c r="I3272" i="51"/>
  <c r="K3272" i="51"/>
  <c r="C3272" i="51"/>
  <c r="A3272" i="51"/>
  <c r="I3271" i="51"/>
  <c r="K3271" i="51"/>
  <c r="C3271" i="51"/>
  <c r="A3271" i="51"/>
  <c r="I3270" i="51"/>
  <c r="C3270" i="51"/>
  <c r="A3270" i="51"/>
  <c r="I3241" i="51"/>
  <c r="K3241" i="51"/>
  <c r="C3269" i="51"/>
  <c r="C3268" i="51"/>
  <c r="C3267" i="51"/>
  <c r="C3266" i="51"/>
  <c r="C3265" i="51"/>
  <c r="C3264" i="51"/>
  <c r="C3263" i="51"/>
  <c r="C3262" i="51"/>
  <c r="C3261" i="51"/>
  <c r="C3260" i="51"/>
  <c r="C3259" i="51"/>
  <c r="C3258" i="51"/>
  <c r="C3257" i="51"/>
  <c r="C3256" i="51"/>
  <c r="C3255" i="51"/>
  <c r="C3254" i="51"/>
  <c r="C3253" i="51"/>
  <c r="C3252" i="51"/>
  <c r="C3251" i="51"/>
  <c r="C3250" i="51"/>
  <c r="C3249" i="51"/>
  <c r="C3248" i="51"/>
  <c r="C3247" i="51"/>
  <c r="C3246" i="51"/>
  <c r="C3245" i="51"/>
  <c r="C3244" i="51"/>
  <c r="C3243" i="51"/>
  <c r="C3242" i="51"/>
  <c r="C3241" i="51"/>
  <c r="A3241" i="51"/>
  <c r="E3242" i="51"/>
  <c r="E3243" i="51"/>
  <c r="E3244" i="51"/>
  <c r="E3245" i="51"/>
  <c r="E3246" i="51"/>
  <c r="E3247" i="51"/>
  <c r="E3248" i="51"/>
  <c r="E3249" i="51"/>
  <c r="E3250" i="51"/>
  <c r="E3251" i="51"/>
  <c r="E3252" i="51"/>
  <c r="E3253" i="51"/>
  <c r="E3254" i="51"/>
  <c r="E3255" i="51"/>
  <c r="E3256" i="51"/>
  <c r="E3257" i="51"/>
  <c r="E3258" i="51"/>
  <c r="E3259" i="51"/>
  <c r="E3260" i="51"/>
  <c r="E3261" i="51"/>
  <c r="E3262" i="51"/>
  <c r="E3263" i="51"/>
  <c r="E3264" i="51"/>
  <c r="E3265" i="51"/>
  <c r="E3266" i="51"/>
  <c r="E3267" i="51"/>
  <c r="E3268" i="51"/>
  <c r="E3269" i="51"/>
  <c r="A3269" i="51"/>
  <c r="A3268" i="51"/>
  <c r="A3267" i="51"/>
  <c r="A3266" i="51"/>
  <c r="A3265" i="51"/>
  <c r="A3264" i="51"/>
  <c r="A3263" i="51"/>
  <c r="A3262" i="51"/>
  <c r="A3261" i="51"/>
  <c r="A3260" i="51"/>
  <c r="A3259" i="51"/>
  <c r="A3258" i="51"/>
  <c r="A3257" i="51"/>
  <c r="A3256" i="51"/>
  <c r="A3255" i="51"/>
  <c r="A3254" i="51"/>
  <c r="A3253" i="51"/>
  <c r="A3252" i="51"/>
  <c r="A3251" i="51"/>
  <c r="A3250" i="51"/>
  <c r="A3249" i="51"/>
  <c r="A3248" i="51"/>
  <c r="A3247" i="51"/>
  <c r="A3246" i="51"/>
  <c r="A3245" i="51"/>
  <c r="A3244" i="51"/>
  <c r="A3243" i="51"/>
  <c r="A3242" i="51"/>
  <c r="I3269" i="51"/>
  <c r="K3269" i="51"/>
  <c r="I3268" i="51"/>
  <c r="K3268" i="51"/>
  <c r="I3267" i="51"/>
  <c r="K3267" i="51"/>
  <c r="I3266" i="51"/>
  <c r="K3266" i="51"/>
  <c r="I3265" i="51"/>
  <c r="K3265" i="51"/>
  <c r="I3264" i="51"/>
  <c r="K3264" i="51"/>
  <c r="I3263" i="51"/>
  <c r="K3263" i="51"/>
  <c r="I3262" i="51"/>
  <c r="K3262" i="51"/>
  <c r="I3261" i="51"/>
  <c r="K3261" i="51"/>
  <c r="I3260" i="51"/>
  <c r="K3260" i="51"/>
  <c r="I3259" i="51"/>
  <c r="K3259" i="51"/>
  <c r="I3258" i="51"/>
  <c r="K3258" i="51"/>
  <c r="I3257" i="51"/>
  <c r="K3257" i="51"/>
  <c r="I3256" i="51"/>
  <c r="K3256" i="51"/>
  <c r="I3255" i="51"/>
  <c r="K3255" i="51"/>
  <c r="I3254" i="51"/>
  <c r="K3254" i="51"/>
  <c r="I3253" i="51"/>
  <c r="K3253" i="51"/>
  <c r="I3252" i="51"/>
  <c r="K3252" i="51"/>
  <c r="I3251" i="51"/>
  <c r="K3251" i="51"/>
  <c r="I3250" i="51"/>
  <c r="K3250" i="51"/>
  <c r="I3249" i="51"/>
  <c r="K3249" i="51"/>
  <c r="I3248" i="51"/>
  <c r="K3248" i="51"/>
  <c r="I3247" i="51"/>
  <c r="K3247" i="51"/>
  <c r="I3246" i="51"/>
  <c r="K3246" i="51"/>
  <c r="I3245" i="51"/>
  <c r="K3245" i="51"/>
  <c r="I3244" i="51"/>
  <c r="K3244" i="51"/>
  <c r="I3243" i="51"/>
  <c r="K3243" i="51"/>
  <c r="I3242" i="51"/>
  <c r="K3242" i="51"/>
  <c r="C5354" i="51"/>
  <c r="A5354" i="51"/>
  <c r="A132" i="24"/>
  <c r="J528" i="26"/>
  <c r="G528" i="26"/>
  <c r="F528" i="26"/>
  <c r="E528" i="26"/>
  <c r="C5294" i="51"/>
  <c r="A5294" i="51"/>
  <c r="C5293" i="51"/>
  <c r="A5293" i="51"/>
  <c r="C5292" i="51"/>
  <c r="A5292" i="51"/>
  <c r="C5291" i="51"/>
  <c r="A5291" i="51"/>
  <c r="C5290" i="51"/>
  <c r="A5290" i="51"/>
  <c r="A72" i="24"/>
  <c r="A71" i="24"/>
  <c r="A70" i="24"/>
  <c r="A69" i="24"/>
  <c r="A68" i="24"/>
  <c r="Q468" i="26"/>
  <c r="J468" i="26"/>
  <c r="G468" i="26"/>
  <c r="F468" i="26"/>
  <c r="E468" i="26"/>
  <c r="Q467" i="26"/>
  <c r="J467" i="26"/>
  <c r="G467" i="26"/>
  <c r="F467" i="26"/>
  <c r="E467" i="26"/>
  <c r="Q466" i="26"/>
  <c r="J466" i="26"/>
  <c r="G466" i="26"/>
  <c r="F466" i="26"/>
  <c r="E466" i="26"/>
  <c r="Q465" i="26"/>
  <c r="J465" i="26"/>
  <c r="G465" i="26"/>
  <c r="F465" i="26"/>
  <c r="E465" i="26"/>
  <c r="Q464" i="26"/>
  <c r="J464" i="26"/>
  <c r="G464" i="26"/>
  <c r="F464" i="26"/>
  <c r="E464" i="26"/>
  <c r="C5369" i="51"/>
  <c r="A5369" i="51"/>
  <c r="J543" i="26"/>
  <c r="G543" i="26"/>
  <c r="F543" i="26"/>
  <c r="E543" i="26"/>
  <c r="H403" i="24"/>
  <c r="H405" i="24"/>
  <c r="H407" i="24"/>
  <c r="H409" i="24"/>
  <c r="H411" i="24"/>
  <c r="H413" i="24"/>
  <c r="H415" i="24"/>
  <c r="H418" i="24"/>
  <c r="H421" i="24"/>
  <c r="H424" i="24"/>
  <c r="H427" i="24"/>
  <c r="H430" i="24"/>
  <c r="H433" i="24"/>
  <c r="H436" i="24"/>
  <c r="H439" i="24"/>
  <c r="H442" i="24"/>
  <c r="H445" i="24"/>
  <c r="H448" i="24"/>
  <c r="H451" i="24"/>
  <c r="H454" i="24"/>
  <c r="H468" i="24"/>
  <c r="H475" i="24"/>
  <c r="H482" i="24"/>
  <c r="H489" i="24"/>
  <c r="A489" i="24"/>
  <c r="E237" i="60"/>
  <c r="C237" i="60"/>
  <c r="A237" i="60"/>
  <c r="B166" i="59"/>
  <c r="I3303" i="51"/>
  <c r="C3303" i="51"/>
  <c r="A3303" i="51"/>
  <c r="I3302" i="51"/>
  <c r="C3302" i="51"/>
  <c r="A3302" i="51"/>
  <c r="I3301" i="51"/>
  <c r="C3301" i="51"/>
  <c r="A3301" i="51"/>
  <c r="J339" i="26"/>
  <c r="G339" i="26"/>
  <c r="E339" i="26"/>
  <c r="A482" i="24"/>
  <c r="B165" i="59"/>
  <c r="B164" i="59"/>
  <c r="B163" i="59"/>
  <c r="B162" i="59"/>
  <c r="E137" i="60"/>
  <c r="C137" i="60"/>
  <c r="E136" i="60"/>
  <c r="D136" i="60"/>
  <c r="C136" i="60"/>
  <c r="E135" i="60"/>
  <c r="D135" i="60"/>
  <c r="C135" i="60"/>
  <c r="A481" i="24"/>
  <c r="A480" i="24"/>
  <c r="A479" i="24"/>
  <c r="O337" i="26"/>
  <c r="Q337" i="26"/>
  <c r="O336" i="26"/>
  <c r="Q336" i="26"/>
  <c r="E338" i="26"/>
  <c r="E337" i="26"/>
  <c r="E336" i="26"/>
  <c r="G338" i="26"/>
  <c r="J338" i="26"/>
  <c r="G337" i="26"/>
  <c r="H337" i="26"/>
  <c r="J337" i="26"/>
  <c r="G336" i="26"/>
  <c r="H336" i="26"/>
  <c r="J336" i="26"/>
  <c r="I3300" i="51"/>
  <c r="I3240" i="51"/>
  <c r="C3300" i="51"/>
  <c r="A3300" i="51"/>
  <c r="C3240" i="51"/>
  <c r="A3240" i="51"/>
  <c r="I3239" i="51"/>
  <c r="E3180" i="51"/>
  <c r="E3181" i="51"/>
  <c r="E3182" i="51"/>
  <c r="E3183" i="51"/>
  <c r="E3184" i="51"/>
  <c r="E3185" i="51"/>
  <c r="E3186" i="51"/>
  <c r="E3187" i="51"/>
  <c r="E3188" i="51"/>
  <c r="E3189" i="51"/>
  <c r="E3190" i="51"/>
  <c r="E3191" i="51"/>
  <c r="E3192" i="51"/>
  <c r="E3193" i="51"/>
  <c r="E3194" i="51"/>
  <c r="E3195" i="51"/>
  <c r="E3196" i="51"/>
  <c r="E3197" i="51"/>
  <c r="E3198" i="51"/>
  <c r="E3199" i="51"/>
  <c r="E3200" i="51"/>
  <c r="E3201" i="51"/>
  <c r="E3202" i="51"/>
  <c r="E3203" i="51"/>
  <c r="E3204" i="51"/>
  <c r="E3205" i="51"/>
  <c r="E3206" i="51"/>
  <c r="E3207" i="51"/>
  <c r="E3208" i="51"/>
  <c r="E3209" i="51"/>
  <c r="E3210" i="51"/>
  <c r="E3211" i="51"/>
  <c r="E3212" i="51"/>
  <c r="E3213" i="51"/>
  <c r="E3214" i="51"/>
  <c r="E3215" i="51"/>
  <c r="E3216" i="51"/>
  <c r="E3217" i="51"/>
  <c r="E3218" i="51"/>
  <c r="E3219" i="51"/>
  <c r="E3220" i="51"/>
  <c r="E3221" i="51"/>
  <c r="E3222" i="51"/>
  <c r="E3223" i="51"/>
  <c r="E3224" i="51"/>
  <c r="E3225" i="51"/>
  <c r="E3226" i="51"/>
  <c r="E3227" i="51"/>
  <c r="E3228" i="51"/>
  <c r="E3229" i="51"/>
  <c r="E3230" i="51"/>
  <c r="E3231" i="51"/>
  <c r="E3232" i="51"/>
  <c r="E3233" i="51"/>
  <c r="E3234" i="51"/>
  <c r="E3235" i="51"/>
  <c r="E3236" i="51"/>
  <c r="E3237" i="51"/>
  <c r="E3238" i="51"/>
  <c r="E3239" i="51"/>
  <c r="C3239" i="51"/>
  <c r="A3239" i="51"/>
  <c r="I3238" i="51"/>
  <c r="C3238" i="51"/>
  <c r="A3238" i="51"/>
  <c r="I3237" i="51"/>
  <c r="C3237" i="51"/>
  <c r="A3237" i="51"/>
  <c r="I3236" i="51"/>
  <c r="C3236" i="51"/>
  <c r="A3236" i="51"/>
  <c r="I3235" i="51"/>
  <c r="C3235" i="51"/>
  <c r="A3235" i="51"/>
  <c r="I3234" i="51"/>
  <c r="C3234" i="51"/>
  <c r="A3234" i="51"/>
  <c r="I3233" i="51"/>
  <c r="C3233" i="51"/>
  <c r="A3233" i="51"/>
  <c r="I3232" i="51"/>
  <c r="C3232" i="51"/>
  <c r="A3232" i="51"/>
  <c r="I3231" i="51"/>
  <c r="C3231" i="51"/>
  <c r="A3231" i="51"/>
  <c r="I3230" i="51"/>
  <c r="C3230" i="51"/>
  <c r="A3230" i="51"/>
  <c r="K3185" i="51"/>
  <c r="K3188" i="51"/>
  <c r="K3191" i="51"/>
  <c r="K3194" i="51"/>
  <c r="K3197" i="51"/>
  <c r="K3200" i="51"/>
  <c r="K3203" i="51"/>
  <c r="K3206" i="51"/>
  <c r="K3209" i="51"/>
  <c r="K3212" i="51"/>
  <c r="K3215" i="51"/>
  <c r="K3218" i="51"/>
  <c r="K3221" i="51"/>
  <c r="K3224" i="51"/>
  <c r="K3227" i="51"/>
  <c r="K3230" i="51"/>
  <c r="K3233" i="51"/>
  <c r="K3236" i="51"/>
  <c r="K3239" i="51"/>
  <c r="K3182" i="51"/>
  <c r="I3178" i="51"/>
  <c r="C3178" i="51"/>
  <c r="A3178" i="51"/>
  <c r="I3229" i="51"/>
  <c r="C3229" i="51"/>
  <c r="A3229" i="51"/>
  <c r="I3228" i="51"/>
  <c r="C3228" i="51"/>
  <c r="A3228" i="51"/>
  <c r="I3227" i="51"/>
  <c r="C3227" i="51"/>
  <c r="A3227" i="51"/>
  <c r="I3226" i="51"/>
  <c r="C3226" i="51"/>
  <c r="A3226" i="51"/>
  <c r="I3225" i="51"/>
  <c r="C3225" i="51"/>
  <c r="A3225" i="51"/>
  <c r="I3224" i="51"/>
  <c r="C3224" i="51"/>
  <c r="A3224" i="51"/>
  <c r="I3223" i="51"/>
  <c r="C3223" i="51"/>
  <c r="A3223" i="51"/>
  <c r="I3222" i="51"/>
  <c r="C3222" i="51"/>
  <c r="A3222" i="51"/>
  <c r="I3221" i="51"/>
  <c r="C3221" i="51"/>
  <c r="A3221" i="51"/>
  <c r="I3220" i="51"/>
  <c r="C3220" i="51"/>
  <c r="A3220" i="51"/>
  <c r="I3219" i="51"/>
  <c r="C3219" i="51"/>
  <c r="A3219" i="51"/>
  <c r="I3218" i="51"/>
  <c r="C3218" i="51"/>
  <c r="A3218" i="51"/>
  <c r="I3217" i="51"/>
  <c r="C3217" i="51"/>
  <c r="A3217" i="51"/>
  <c r="I3216" i="51"/>
  <c r="C3216" i="51"/>
  <c r="A3216" i="51"/>
  <c r="I3215" i="51"/>
  <c r="C3215" i="51"/>
  <c r="A3215" i="51"/>
  <c r="I3214" i="51"/>
  <c r="C3214" i="51"/>
  <c r="A3214" i="51"/>
  <c r="I3213" i="51"/>
  <c r="C3213" i="51"/>
  <c r="A3213" i="51"/>
  <c r="I3212" i="51"/>
  <c r="C3212" i="51"/>
  <c r="A3212" i="51"/>
  <c r="I3211" i="51"/>
  <c r="C3211" i="51"/>
  <c r="A3211" i="51"/>
  <c r="I3210" i="51"/>
  <c r="C3210" i="51"/>
  <c r="A3210" i="51"/>
  <c r="I3209" i="51"/>
  <c r="C3209" i="51"/>
  <c r="A3209" i="51"/>
  <c r="I3208" i="51"/>
  <c r="C3208" i="51"/>
  <c r="A3208" i="51"/>
  <c r="I3207" i="51"/>
  <c r="C3207" i="51"/>
  <c r="A3207" i="51"/>
  <c r="I3206" i="51"/>
  <c r="C3206" i="51"/>
  <c r="A3206" i="51"/>
  <c r="I3205" i="51"/>
  <c r="C3205" i="51"/>
  <c r="A3205" i="51"/>
  <c r="I3204" i="51"/>
  <c r="C3204" i="51"/>
  <c r="A3204" i="51"/>
  <c r="I3203" i="51"/>
  <c r="C3203" i="51"/>
  <c r="A3203" i="51"/>
  <c r="I3202" i="51"/>
  <c r="C3202" i="51"/>
  <c r="A3202" i="51"/>
  <c r="I3201" i="51"/>
  <c r="C3201" i="51"/>
  <c r="A3201" i="51"/>
  <c r="I3200" i="51"/>
  <c r="C3200" i="51"/>
  <c r="A3200" i="51"/>
  <c r="I3199" i="51"/>
  <c r="C3199" i="51"/>
  <c r="A3199" i="51"/>
  <c r="I3198" i="51"/>
  <c r="C3198" i="51"/>
  <c r="A3198" i="51"/>
  <c r="I3197" i="51"/>
  <c r="C3197" i="51"/>
  <c r="A3197" i="51"/>
  <c r="I3196" i="51"/>
  <c r="C3196" i="51"/>
  <c r="A3196" i="51"/>
  <c r="I3195" i="51"/>
  <c r="C3195" i="51"/>
  <c r="A3195" i="51"/>
  <c r="I3194" i="51"/>
  <c r="C3194" i="51"/>
  <c r="A3194" i="51"/>
  <c r="I3193" i="51"/>
  <c r="C3193" i="51"/>
  <c r="A3193" i="51"/>
  <c r="I3192" i="51"/>
  <c r="C3192" i="51"/>
  <c r="A3192" i="51"/>
  <c r="I3191" i="51"/>
  <c r="C3191" i="51"/>
  <c r="A3191" i="51"/>
  <c r="I3190" i="51"/>
  <c r="C3190" i="51"/>
  <c r="A3190" i="51"/>
  <c r="I3189" i="51"/>
  <c r="C3189" i="51"/>
  <c r="A3189" i="51"/>
  <c r="I3188" i="51"/>
  <c r="C3188" i="51"/>
  <c r="A3188" i="51"/>
  <c r="I3187" i="51"/>
  <c r="C3187" i="51"/>
  <c r="A3187" i="51"/>
  <c r="I3186" i="51"/>
  <c r="C3186" i="51"/>
  <c r="A3186" i="51"/>
  <c r="I3185" i="51"/>
  <c r="C3185" i="51"/>
  <c r="A3185" i="51"/>
  <c r="I3184" i="51"/>
  <c r="C3184" i="51"/>
  <c r="A3184" i="51"/>
  <c r="I3183" i="51"/>
  <c r="C3183" i="51"/>
  <c r="A3183" i="51"/>
  <c r="I3182" i="51"/>
  <c r="C3182" i="51"/>
  <c r="A3182" i="51"/>
  <c r="I3181" i="51"/>
  <c r="C3181" i="51"/>
  <c r="A3181" i="51"/>
  <c r="I3180" i="51"/>
  <c r="C3180" i="51"/>
  <c r="A3180" i="51"/>
  <c r="I3179" i="51"/>
  <c r="C3179" i="51"/>
  <c r="A3179" i="51"/>
  <c r="E134" i="60"/>
  <c r="D134" i="60"/>
  <c r="C134" i="60"/>
  <c r="A478" i="24"/>
  <c r="O335" i="26"/>
  <c r="Q335" i="26"/>
  <c r="J335" i="26"/>
  <c r="H335" i="26"/>
  <c r="G335" i="26"/>
  <c r="E335" i="26"/>
  <c r="O330" i="26"/>
  <c r="Q330" i="26"/>
  <c r="E133" i="60"/>
  <c r="D133" i="60"/>
  <c r="C133" i="60"/>
  <c r="E132" i="60"/>
  <c r="D132" i="60"/>
  <c r="C132" i="60"/>
  <c r="E131" i="60"/>
  <c r="D131" i="60"/>
  <c r="C131" i="60"/>
  <c r="E130" i="60"/>
  <c r="D130" i="60"/>
  <c r="C130" i="60"/>
  <c r="K3177" i="51"/>
  <c r="K3172" i="51"/>
  <c r="K3167" i="51"/>
  <c r="K3162" i="51"/>
  <c r="K3157" i="51"/>
  <c r="K3152" i="51"/>
  <c r="K3147" i="51"/>
  <c r="K3142" i="51"/>
  <c r="K3137" i="51"/>
  <c r="K3132" i="51"/>
  <c r="I3177" i="51"/>
  <c r="I3176" i="51"/>
  <c r="I3175" i="51"/>
  <c r="I3174" i="51"/>
  <c r="I3173" i="51"/>
  <c r="I3172" i="51"/>
  <c r="I3171" i="51"/>
  <c r="I3170" i="51"/>
  <c r="I3169" i="51"/>
  <c r="I3168" i="51"/>
  <c r="I3167" i="51"/>
  <c r="I3166" i="51"/>
  <c r="I3165" i="51"/>
  <c r="I3164" i="51"/>
  <c r="I3163" i="51"/>
  <c r="I3162" i="51"/>
  <c r="I3161" i="51"/>
  <c r="I3160" i="51"/>
  <c r="I3159" i="51"/>
  <c r="I3158" i="51"/>
  <c r="I3157" i="51"/>
  <c r="I3156" i="51"/>
  <c r="I3155" i="51"/>
  <c r="I3154" i="51"/>
  <c r="I3153" i="51"/>
  <c r="I3152" i="51"/>
  <c r="I3151" i="51"/>
  <c r="I3150" i="51"/>
  <c r="I3149" i="51"/>
  <c r="I3148" i="51"/>
  <c r="I3147" i="51"/>
  <c r="I3146" i="51"/>
  <c r="I3145" i="51"/>
  <c r="I3144" i="51"/>
  <c r="I3143" i="51"/>
  <c r="I3142" i="51"/>
  <c r="I3141" i="51"/>
  <c r="I3140" i="51"/>
  <c r="I3139" i="51"/>
  <c r="I3138" i="51"/>
  <c r="I3137" i="51"/>
  <c r="I3136" i="51"/>
  <c r="I3135" i="51"/>
  <c r="I3134" i="51"/>
  <c r="I3133" i="51"/>
  <c r="I3132" i="51"/>
  <c r="I3131" i="51"/>
  <c r="I3130" i="51"/>
  <c r="I3129" i="51"/>
  <c r="I3128" i="51"/>
  <c r="I3127" i="51"/>
  <c r="I3126" i="51"/>
  <c r="C3126" i="51"/>
  <c r="E3128" i="51"/>
  <c r="E3129" i="51"/>
  <c r="E3130" i="51"/>
  <c r="E3131" i="51"/>
  <c r="E3132" i="51"/>
  <c r="E3133" i="51"/>
  <c r="E3134" i="51"/>
  <c r="E3135" i="51"/>
  <c r="E3136" i="51"/>
  <c r="E3137" i="51"/>
  <c r="E3138" i="51"/>
  <c r="E3139" i="51"/>
  <c r="E3140" i="51"/>
  <c r="E3141" i="51"/>
  <c r="E3142" i="51"/>
  <c r="E3143" i="51"/>
  <c r="E3144" i="51"/>
  <c r="E3145" i="51"/>
  <c r="E3146" i="51"/>
  <c r="E3147" i="51"/>
  <c r="E3148" i="51"/>
  <c r="E3149" i="51"/>
  <c r="E3150" i="51"/>
  <c r="E3151" i="51"/>
  <c r="E3152" i="51"/>
  <c r="E3153" i="51"/>
  <c r="E3154" i="51"/>
  <c r="E3155" i="51"/>
  <c r="E3156" i="51"/>
  <c r="E3157" i="51"/>
  <c r="E3158" i="51"/>
  <c r="E3159" i="51"/>
  <c r="E3160" i="51"/>
  <c r="E3161" i="51"/>
  <c r="E3162" i="51"/>
  <c r="E3163" i="51"/>
  <c r="E3164" i="51"/>
  <c r="E3165" i="51"/>
  <c r="E3166" i="51"/>
  <c r="E3167" i="51"/>
  <c r="E3168" i="51"/>
  <c r="E3169" i="51"/>
  <c r="E3170" i="51"/>
  <c r="E3171" i="51"/>
  <c r="E3172" i="51"/>
  <c r="E3173" i="51"/>
  <c r="E3174" i="51"/>
  <c r="E3175" i="51"/>
  <c r="E3176" i="51"/>
  <c r="E3177" i="51"/>
  <c r="C3177" i="51"/>
  <c r="A3177" i="51"/>
  <c r="C3176" i="51"/>
  <c r="A3176" i="51"/>
  <c r="C3175" i="51"/>
  <c r="A3175" i="51"/>
  <c r="C3174" i="51"/>
  <c r="A3174" i="51"/>
  <c r="C3173" i="51"/>
  <c r="A3173" i="51"/>
  <c r="C3172" i="51"/>
  <c r="A3172" i="51"/>
  <c r="C3171" i="51"/>
  <c r="A3171" i="51"/>
  <c r="C3170" i="51"/>
  <c r="A3170" i="51"/>
  <c r="C3169" i="51"/>
  <c r="A3169" i="51"/>
  <c r="C3168" i="51"/>
  <c r="A3168" i="51"/>
  <c r="C3167" i="51"/>
  <c r="A3167" i="51"/>
  <c r="C3166" i="51"/>
  <c r="A3166" i="51"/>
  <c r="C3165" i="51"/>
  <c r="A3165" i="51"/>
  <c r="C3164" i="51"/>
  <c r="A3164" i="51"/>
  <c r="C3163" i="51"/>
  <c r="A3163" i="51"/>
  <c r="C3162" i="51"/>
  <c r="A3162" i="51"/>
  <c r="C3161" i="51"/>
  <c r="A3161" i="51"/>
  <c r="C3160" i="51"/>
  <c r="A3160" i="51"/>
  <c r="C3159" i="51"/>
  <c r="A3159" i="51"/>
  <c r="C3158" i="51"/>
  <c r="A3158" i="51"/>
  <c r="C3157" i="51"/>
  <c r="A3157" i="51"/>
  <c r="C3156" i="51"/>
  <c r="A3156" i="51"/>
  <c r="C3155" i="51"/>
  <c r="A3155" i="51"/>
  <c r="C3154" i="51"/>
  <c r="A3154" i="51"/>
  <c r="C3153" i="51"/>
  <c r="A3153" i="51"/>
  <c r="C3152" i="51"/>
  <c r="A3152" i="51"/>
  <c r="C3151" i="51"/>
  <c r="A3151" i="51"/>
  <c r="C3150" i="51"/>
  <c r="A3150" i="51"/>
  <c r="C3149" i="51"/>
  <c r="A3149" i="51"/>
  <c r="C3148" i="51"/>
  <c r="A3148" i="51"/>
  <c r="C3147" i="51"/>
  <c r="A3147" i="51"/>
  <c r="C3146" i="51"/>
  <c r="A3146" i="51"/>
  <c r="C3145" i="51"/>
  <c r="A3145" i="51"/>
  <c r="C3144" i="51"/>
  <c r="A3144" i="51"/>
  <c r="C3143" i="51"/>
  <c r="A3143" i="51"/>
  <c r="C3142" i="51"/>
  <c r="A3142" i="51"/>
  <c r="C3141" i="51"/>
  <c r="A3141" i="51"/>
  <c r="C3140" i="51"/>
  <c r="A3140" i="51"/>
  <c r="C3139" i="51"/>
  <c r="A3139" i="51"/>
  <c r="C3138" i="51"/>
  <c r="A3138" i="51"/>
  <c r="C3137" i="51"/>
  <c r="A3137" i="51"/>
  <c r="C3136" i="51"/>
  <c r="A3136" i="51"/>
  <c r="C3135" i="51"/>
  <c r="A3135" i="51"/>
  <c r="C3134" i="51"/>
  <c r="A3134" i="51"/>
  <c r="C3133" i="51"/>
  <c r="A3133" i="51"/>
  <c r="C3132" i="51"/>
  <c r="A3132" i="51"/>
  <c r="C3131" i="51"/>
  <c r="A3131" i="51"/>
  <c r="C3130" i="51"/>
  <c r="A3130" i="51"/>
  <c r="C3129" i="51"/>
  <c r="A3129" i="51"/>
  <c r="C3128" i="51"/>
  <c r="A3128" i="51"/>
  <c r="C3127" i="51"/>
  <c r="A3127" i="51"/>
  <c r="A3126" i="51"/>
  <c r="I3125" i="51"/>
  <c r="K3125" i="51"/>
  <c r="J3125" i="51"/>
  <c r="E3076" i="51"/>
  <c r="E3077" i="51"/>
  <c r="E3078" i="51"/>
  <c r="E3079" i="51"/>
  <c r="E3080" i="51"/>
  <c r="E3081" i="51"/>
  <c r="E3082" i="51"/>
  <c r="E3083" i="51"/>
  <c r="E3084" i="51"/>
  <c r="E3085" i="51"/>
  <c r="E3086" i="51"/>
  <c r="E3087" i="51"/>
  <c r="E3088" i="51"/>
  <c r="E3089" i="51"/>
  <c r="E3090" i="51"/>
  <c r="E3091" i="51"/>
  <c r="E3092" i="51"/>
  <c r="E3093" i="51"/>
  <c r="E3094" i="51"/>
  <c r="E3095" i="51"/>
  <c r="E3096" i="51"/>
  <c r="E3097" i="51"/>
  <c r="E3098" i="51"/>
  <c r="E3099" i="51"/>
  <c r="E3100" i="51"/>
  <c r="E3101" i="51"/>
  <c r="E3102" i="51"/>
  <c r="E3103" i="51"/>
  <c r="E3104" i="51"/>
  <c r="E3105" i="51"/>
  <c r="E3106" i="51"/>
  <c r="E3107" i="51"/>
  <c r="E3108" i="51"/>
  <c r="E3109" i="51"/>
  <c r="E3110" i="51"/>
  <c r="E3111" i="51"/>
  <c r="E3112" i="51"/>
  <c r="E3113" i="51"/>
  <c r="E3114" i="51"/>
  <c r="E3115" i="51"/>
  <c r="E3116" i="51"/>
  <c r="E3117" i="51"/>
  <c r="E3118" i="51"/>
  <c r="E3119" i="51"/>
  <c r="E3120" i="51"/>
  <c r="E3121" i="51"/>
  <c r="E3122" i="51"/>
  <c r="E3123" i="51"/>
  <c r="E3124" i="51"/>
  <c r="E3125" i="51"/>
  <c r="C3125" i="51"/>
  <c r="A3125" i="51"/>
  <c r="I3124" i="51"/>
  <c r="K3124" i="51"/>
  <c r="C3124" i="51"/>
  <c r="A3124" i="51"/>
  <c r="I3123" i="51"/>
  <c r="K3123" i="51"/>
  <c r="C3123" i="51"/>
  <c r="A3123" i="51"/>
  <c r="I3122" i="51"/>
  <c r="K3122" i="51"/>
  <c r="C3122" i="51"/>
  <c r="A3122" i="51"/>
  <c r="I3121" i="51"/>
  <c r="K3121" i="51"/>
  <c r="C3121" i="51"/>
  <c r="A3121" i="51"/>
  <c r="I3120" i="51"/>
  <c r="K3120" i="51"/>
  <c r="J3120" i="51"/>
  <c r="C3120" i="51"/>
  <c r="A3120" i="51"/>
  <c r="I3119" i="51"/>
  <c r="K3119" i="51"/>
  <c r="C3119" i="51"/>
  <c r="A3119" i="51"/>
  <c r="I3118" i="51"/>
  <c r="K3118" i="51"/>
  <c r="C3118" i="51"/>
  <c r="A3118" i="51"/>
  <c r="I3117" i="51"/>
  <c r="K3117" i="51"/>
  <c r="C3117" i="51"/>
  <c r="A3117" i="51"/>
  <c r="I3116" i="51"/>
  <c r="K3116" i="51"/>
  <c r="C3116" i="51"/>
  <c r="A3116" i="51"/>
  <c r="I3115" i="51"/>
  <c r="K3115" i="51"/>
  <c r="J3115" i="51"/>
  <c r="C3115" i="51"/>
  <c r="A3115" i="51"/>
  <c r="I3114" i="51"/>
  <c r="K3114" i="51"/>
  <c r="C3114" i="51"/>
  <c r="A3114" i="51"/>
  <c r="I3113" i="51"/>
  <c r="K3113" i="51"/>
  <c r="C3113" i="51"/>
  <c r="A3113" i="51"/>
  <c r="I3112" i="51"/>
  <c r="K3112" i="51"/>
  <c r="C3112" i="51"/>
  <c r="A3112" i="51"/>
  <c r="I3111" i="51"/>
  <c r="K3111" i="51"/>
  <c r="C3111" i="51"/>
  <c r="A3111" i="51"/>
  <c r="I3110" i="51"/>
  <c r="K3110" i="51"/>
  <c r="J3110" i="51"/>
  <c r="C3110" i="51"/>
  <c r="A3110" i="51"/>
  <c r="I3109" i="51"/>
  <c r="K3109" i="51"/>
  <c r="C3109" i="51"/>
  <c r="A3109" i="51"/>
  <c r="I3108" i="51"/>
  <c r="K3108" i="51"/>
  <c r="C3108" i="51"/>
  <c r="A3108" i="51"/>
  <c r="I3107" i="51"/>
  <c r="K3107" i="51"/>
  <c r="C3107" i="51"/>
  <c r="A3107" i="51"/>
  <c r="I3106" i="51"/>
  <c r="K3106" i="51"/>
  <c r="C3106" i="51"/>
  <c r="A3106" i="51"/>
  <c r="I3105" i="51"/>
  <c r="K3105" i="51"/>
  <c r="J3105" i="51"/>
  <c r="C3105" i="51"/>
  <c r="A3105" i="51"/>
  <c r="I3104" i="51"/>
  <c r="K3104" i="51"/>
  <c r="C3104" i="51"/>
  <c r="A3104" i="51"/>
  <c r="I3103" i="51"/>
  <c r="K3103" i="51"/>
  <c r="C3103" i="51"/>
  <c r="A3103" i="51"/>
  <c r="I3102" i="51"/>
  <c r="K3102" i="51"/>
  <c r="C3102" i="51"/>
  <c r="A3102" i="51"/>
  <c r="I3101" i="51"/>
  <c r="K3101" i="51"/>
  <c r="C3101" i="51"/>
  <c r="A3101" i="51"/>
  <c r="I3100" i="51"/>
  <c r="K3100" i="51"/>
  <c r="J3100" i="51"/>
  <c r="C3100" i="51"/>
  <c r="A3100" i="51"/>
  <c r="I3099" i="51"/>
  <c r="K3099" i="51"/>
  <c r="C3099" i="51"/>
  <c r="A3099" i="51"/>
  <c r="I3098" i="51"/>
  <c r="K3098" i="51"/>
  <c r="C3098" i="51"/>
  <c r="A3098" i="51"/>
  <c r="I3097" i="51"/>
  <c r="K3097" i="51"/>
  <c r="C3097" i="51"/>
  <c r="A3097" i="51"/>
  <c r="I3096" i="51"/>
  <c r="K3096" i="51"/>
  <c r="C3096" i="51"/>
  <c r="A3096" i="51"/>
  <c r="I3095" i="51"/>
  <c r="K3095" i="51"/>
  <c r="J3095" i="51"/>
  <c r="C3095" i="51"/>
  <c r="A3095" i="51"/>
  <c r="I3094" i="51"/>
  <c r="K3094" i="51"/>
  <c r="C3094" i="51"/>
  <c r="A3094" i="51"/>
  <c r="I3093" i="51"/>
  <c r="K3093" i="51"/>
  <c r="C3093" i="51"/>
  <c r="A3093" i="51"/>
  <c r="I3092" i="51"/>
  <c r="K3092" i="51"/>
  <c r="C3092" i="51"/>
  <c r="A3092" i="51"/>
  <c r="I3091" i="51"/>
  <c r="K3091" i="51"/>
  <c r="C3091" i="51"/>
  <c r="A3091" i="51"/>
  <c r="I3090" i="51"/>
  <c r="K3090" i="51"/>
  <c r="J3090" i="51"/>
  <c r="C3090" i="51"/>
  <c r="A3090" i="51"/>
  <c r="I3089" i="51"/>
  <c r="K3089" i="51"/>
  <c r="C3089" i="51"/>
  <c r="A3089" i="51"/>
  <c r="I3088" i="51"/>
  <c r="K3088" i="51"/>
  <c r="C3088" i="51"/>
  <c r="A3088" i="51"/>
  <c r="I3087" i="51"/>
  <c r="K3087" i="51"/>
  <c r="C3087" i="51"/>
  <c r="A3087" i="51"/>
  <c r="I3086" i="51"/>
  <c r="K3086" i="51"/>
  <c r="C3086" i="51"/>
  <c r="A3086" i="51"/>
  <c r="I3085" i="51"/>
  <c r="K3085" i="51"/>
  <c r="J3085" i="51"/>
  <c r="C3085" i="51"/>
  <c r="A3085" i="51"/>
  <c r="I3084" i="51"/>
  <c r="K3084" i="51"/>
  <c r="C3084" i="51"/>
  <c r="A3084" i="51"/>
  <c r="I3083" i="51"/>
  <c r="K3083" i="51"/>
  <c r="C3083" i="51"/>
  <c r="A3083" i="51"/>
  <c r="I3082" i="51"/>
  <c r="K3082" i="51"/>
  <c r="C3082" i="51"/>
  <c r="A3082" i="51"/>
  <c r="I3081" i="51"/>
  <c r="K3081" i="51"/>
  <c r="C3081" i="51"/>
  <c r="A3081" i="51"/>
  <c r="I3080" i="51"/>
  <c r="K3080" i="51"/>
  <c r="J3080" i="51"/>
  <c r="C3080" i="51"/>
  <c r="A3080" i="51"/>
  <c r="I3079" i="51"/>
  <c r="K3079" i="51"/>
  <c r="C3079" i="51"/>
  <c r="A3079" i="51"/>
  <c r="I3078" i="51"/>
  <c r="K3078" i="51"/>
  <c r="C3078" i="51"/>
  <c r="A3078" i="51"/>
  <c r="I3077" i="51"/>
  <c r="K3077" i="51"/>
  <c r="C3077" i="51"/>
  <c r="A3077" i="51"/>
  <c r="I3076" i="51"/>
  <c r="K3076" i="51"/>
  <c r="C3076" i="51"/>
  <c r="A3076" i="51"/>
  <c r="I3075" i="51"/>
  <c r="K3075" i="51"/>
  <c r="C3075" i="51"/>
  <c r="A3075" i="51"/>
  <c r="I3074" i="51"/>
  <c r="C3074" i="51"/>
  <c r="A3074" i="51"/>
  <c r="I3073" i="51"/>
  <c r="K3073" i="51"/>
  <c r="J3073" i="51"/>
  <c r="E3024" i="51"/>
  <c r="E3025" i="51"/>
  <c r="E3026" i="51"/>
  <c r="E3027" i="51"/>
  <c r="E3028" i="51"/>
  <c r="E3029" i="51"/>
  <c r="E3030" i="51"/>
  <c r="E3031" i="51"/>
  <c r="E3032" i="51"/>
  <c r="E3033" i="51"/>
  <c r="E3034" i="51"/>
  <c r="E3035" i="51"/>
  <c r="E3036" i="51"/>
  <c r="E3037" i="51"/>
  <c r="E3038" i="51"/>
  <c r="E3039" i="51"/>
  <c r="E3040" i="51"/>
  <c r="E3041" i="51"/>
  <c r="E3042" i="51"/>
  <c r="E3043" i="51"/>
  <c r="E3044" i="51"/>
  <c r="E3045" i="51"/>
  <c r="E3046" i="51"/>
  <c r="E3047" i="51"/>
  <c r="E3048" i="51"/>
  <c r="E3049" i="51"/>
  <c r="E3050" i="51"/>
  <c r="E3051" i="51"/>
  <c r="E3052" i="51"/>
  <c r="E3053" i="51"/>
  <c r="E3054" i="51"/>
  <c r="E3055" i="51"/>
  <c r="E3056" i="51"/>
  <c r="E3057" i="51"/>
  <c r="E3058" i="51"/>
  <c r="E3059" i="51"/>
  <c r="E3060" i="51"/>
  <c r="E3061" i="51"/>
  <c r="E3062" i="51"/>
  <c r="E3063" i="51"/>
  <c r="E3064" i="51"/>
  <c r="E3065" i="51"/>
  <c r="E3066" i="51"/>
  <c r="E3067" i="51"/>
  <c r="E3068" i="51"/>
  <c r="E3069" i="51"/>
  <c r="E3070" i="51"/>
  <c r="E3071" i="51"/>
  <c r="E3072" i="51"/>
  <c r="E3073" i="51"/>
  <c r="C3073" i="51"/>
  <c r="A3073" i="51"/>
  <c r="I3072" i="51"/>
  <c r="K3072" i="51"/>
  <c r="C3072" i="51"/>
  <c r="A3072" i="51"/>
  <c r="I3071" i="51"/>
  <c r="K3071" i="51"/>
  <c r="C3071" i="51"/>
  <c r="A3071" i="51"/>
  <c r="I3070" i="51"/>
  <c r="K3070" i="51"/>
  <c r="C3070" i="51"/>
  <c r="A3070" i="51"/>
  <c r="I3069" i="51"/>
  <c r="K3069" i="51"/>
  <c r="C3069" i="51"/>
  <c r="A3069" i="51"/>
  <c r="I3068" i="51"/>
  <c r="K3068" i="51"/>
  <c r="J3068" i="51"/>
  <c r="C3068" i="51"/>
  <c r="A3068" i="51"/>
  <c r="I3067" i="51"/>
  <c r="K3067" i="51"/>
  <c r="C3067" i="51"/>
  <c r="A3067" i="51"/>
  <c r="I3066" i="51"/>
  <c r="K3066" i="51"/>
  <c r="C3066" i="51"/>
  <c r="A3066" i="51"/>
  <c r="I3065" i="51"/>
  <c r="K3065" i="51"/>
  <c r="C3065" i="51"/>
  <c r="A3065" i="51"/>
  <c r="I3064" i="51"/>
  <c r="K3064" i="51"/>
  <c r="C3064" i="51"/>
  <c r="A3064" i="51"/>
  <c r="I3063" i="51"/>
  <c r="K3063" i="51"/>
  <c r="J3063" i="51"/>
  <c r="C3063" i="51"/>
  <c r="A3063" i="51"/>
  <c r="I3062" i="51"/>
  <c r="K3062" i="51"/>
  <c r="C3062" i="51"/>
  <c r="A3062" i="51"/>
  <c r="I3061" i="51"/>
  <c r="K3061" i="51"/>
  <c r="C3061" i="51"/>
  <c r="A3061" i="51"/>
  <c r="I3060" i="51"/>
  <c r="K3060" i="51"/>
  <c r="C3060" i="51"/>
  <c r="A3060" i="51"/>
  <c r="I3059" i="51"/>
  <c r="K3059" i="51"/>
  <c r="C3059" i="51"/>
  <c r="A3059" i="51"/>
  <c r="I3058" i="51"/>
  <c r="K3058" i="51"/>
  <c r="J3058" i="51"/>
  <c r="C3058" i="51"/>
  <c r="A3058" i="51"/>
  <c r="I3057" i="51"/>
  <c r="K3057" i="51"/>
  <c r="C3057" i="51"/>
  <c r="A3057" i="51"/>
  <c r="I3056" i="51"/>
  <c r="K3056" i="51"/>
  <c r="C3056" i="51"/>
  <c r="A3056" i="51"/>
  <c r="I3055" i="51"/>
  <c r="K3055" i="51"/>
  <c r="C3055" i="51"/>
  <c r="A3055" i="51"/>
  <c r="I3054" i="51"/>
  <c r="K3054" i="51"/>
  <c r="C3054" i="51"/>
  <c r="A3054" i="51"/>
  <c r="I3053" i="51"/>
  <c r="K3053" i="51"/>
  <c r="J3053" i="51"/>
  <c r="C3053" i="51"/>
  <c r="A3053" i="51"/>
  <c r="I3052" i="51"/>
  <c r="K3052" i="51"/>
  <c r="C3052" i="51"/>
  <c r="A3052" i="51"/>
  <c r="I3051" i="51"/>
  <c r="K3051" i="51"/>
  <c r="C3051" i="51"/>
  <c r="A3051" i="51"/>
  <c r="I3050" i="51"/>
  <c r="K3050" i="51"/>
  <c r="C3050" i="51"/>
  <c r="A3050" i="51"/>
  <c r="I3049" i="51"/>
  <c r="K3049" i="51"/>
  <c r="C3049" i="51"/>
  <c r="A3049" i="51"/>
  <c r="I3048" i="51"/>
  <c r="K3048" i="51"/>
  <c r="J3048" i="51"/>
  <c r="C3048" i="51"/>
  <c r="A3048" i="51"/>
  <c r="I3047" i="51"/>
  <c r="K3047" i="51"/>
  <c r="C3047" i="51"/>
  <c r="A3047" i="51"/>
  <c r="I3046" i="51"/>
  <c r="K3046" i="51"/>
  <c r="C3046" i="51"/>
  <c r="A3046" i="51"/>
  <c r="I3045" i="51"/>
  <c r="K3045" i="51"/>
  <c r="C3045" i="51"/>
  <c r="A3045" i="51"/>
  <c r="I3044" i="51"/>
  <c r="K3044" i="51"/>
  <c r="C3044" i="51"/>
  <c r="A3044" i="51"/>
  <c r="I3043" i="51"/>
  <c r="K3043" i="51"/>
  <c r="J3043" i="51"/>
  <c r="C3043" i="51"/>
  <c r="A3043" i="51"/>
  <c r="I3042" i="51"/>
  <c r="K3042" i="51"/>
  <c r="C3042" i="51"/>
  <c r="A3042" i="51"/>
  <c r="I3041" i="51"/>
  <c r="K3041" i="51"/>
  <c r="C3041" i="51"/>
  <c r="A3041" i="51"/>
  <c r="I3040" i="51"/>
  <c r="K3040" i="51"/>
  <c r="C3040" i="51"/>
  <c r="A3040" i="51"/>
  <c r="I3039" i="51"/>
  <c r="K3039" i="51"/>
  <c r="C3039" i="51"/>
  <c r="A3039" i="51"/>
  <c r="I3038" i="51"/>
  <c r="K3038" i="51"/>
  <c r="J3038" i="51"/>
  <c r="C3038" i="51"/>
  <c r="A3038" i="51"/>
  <c r="I3037" i="51"/>
  <c r="K3037" i="51"/>
  <c r="C3037" i="51"/>
  <c r="A3037" i="51"/>
  <c r="I3036" i="51"/>
  <c r="K3036" i="51"/>
  <c r="C3036" i="51"/>
  <c r="A3036" i="51"/>
  <c r="I3035" i="51"/>
  <c r="K3035" i="51"/>
  <c r="C3035" i="51"/>
  <c r="A3035" i="51"/>
  <c r="I3034" i="51"/>
  <c r="K3034" i="51"/>
  <c r="C3034" i="51"/>
  <c r="A3034" i="51"/>
  <c r="I3033" i="51"/>
  <c r="K3033" i="51"/>
  <c r="J3033" i="51"/>
  <c r="C3033" i="51"/>
  <c r="A3033" i="51"/>
  <c r="I3032" i="51"/>
  <c r="K3032" i="51"/>
  <c r="C3032" i="51"/>
  <c r="A3032" i="51"/>
  <c r="I3031" i="51"/>
  <c r="K3031" i="51"/>
  <c r="C3031" i="51"/>
  <c r="A3031" i="51"/>
  <c r="I3030" i="51"/>
  <c r="K3030" i="51"/>
  <c r="C3030" i="51"/>
  <c r="A3030" i="51"/>
  <c r="I3029" i="51"/>
  <c r="K3029" i="51"/>
  <c r="C3029" i="51"/>
  <c r="A3029" i="51"/>
  <c r="I3028" i="51"/>
  <c r="K3028" i="51"/>
  <c r="J3028" i="51"/>
  <c r="C3028" i="51"/>
  <c r="A3028" i="51"/>
  <c r="I3027" i="51"/>
  <c r="K3027" i="51"/>
  <c r="C3027" i="51"/>
  <c r="A3027" i="51"/>
  <c r="I3026" i="51"/>
  <c r="K3026" i="51"/>
  <c r="C3026" i="51"/>
  <c r="A3026" i="51"/>
  <c r="I3025" i="51"/>
  <c r="K3025" i="51"/>
  <c r="C3025" i="51"/>
  <c r="A3025" i="51"/>
  <c r="I3024" i="51"/>
  <c r="K3024" i="51"/>
  <c r="C3024" i="51"/>
  <c r="A3024" i="51"/>
  <c r="I3023" i="51"/>
  <c r="K3023" i="51"/>
  <c r="C3023" i="51"/>
  <c r="A3023" i="51"/>
  <c r="I3022" i="51"/>
  <c r="C3022" i="51"/>
  <c r="A3022" i="51"/>
  <c r="I3021" i="51"/>
  <c r="K3021" i="51"/>
  <c r="J3021" i="51"/>
  <c r="E2972" i="51"/>
  <c r="E2973" i="51"/>
  <c r="E2974" i="51"/>
  <c r="E2975" i="51"/>
  <c r="E2976" i="51"/>
  <c r="E2977" i="51"/>
  <c r="E2978" i="51"/>
  <c r="E2979" i="51"/>
  <c r="E2980" i="51"/>
  <c r="E2981" i="51"/>
  <c r="E2982" i="51"/>
  <c r="E2983" i="51"/>
  <c r="E2984" i="51"/>
  <c r="E2985" i="51"/>
  <c r="E2986" i="51"/>
  <c r="E2987" i="51"/>
  <c r="E2988" i="51"/>
  <c r="E2989" i="51"/>
  <c r="E2990" i="51"/>
  <c r="E2991" i="51"/>
  <c r="E2992" i="51"/>
  <c r="E2993" i="51"/>
  <c r="E2994" i="51"/>
  <c r="E2995" i="51"/>
  <c r="E2996" i="51"/>
  <c r="E2997" i="51"/>
  <c r="E2998" i="51"/>
  <c r="E2999" i="51"/>
  <c r="E3000" i="51"/>
  <c r="E3001" i="51"/>
  <c r="E3002" i="51"/>
  <c r="E3003" i="51"/>
  <c r="E3004" i="51"/>
  <c r="E3005" i="51"/>
  <c r="E3006" i="51"/>
  <c r="E3007" i="51"/>
  <c r="E3008" i="51"/>
  <c r="E3009" i="51"/>
  <c r="E3010" i="51"/>
  <c r="E3011" i="51"/>
  <c r="E3012" i="51"/>
  <c r="E3013" i="51"/>
  <c r="E3014" i="51"/>
  <c r="E3015" i="51"/>
  <c r="E3016" i="51"/>
  <c r="E3017" i="51"/>
  <c r="E3018" i="51"/>
  <c r="E3019" i="51"/>
  <c r="E3020" i="51"/>
  <c r="E3021" i="51"/>
  <c r="C3021" i="51"/>
  <c r="A3021" i="51"/>
  <c r="I3020" i="51"/>
  <c r="K3020" i="51"/>
  <c r="C3020" i="51"/>
  <c r="A3020" i="51"/>
  <c r="I3019" i="51"/>
  <c r="K3019" i="51"/>
  <c r="C3019" i="51"/>
  <c r="A3019" i="51"/>
  <c r="I3018" i="51"/>
  <c r="K3018" i="51"/>
  <c r="C3018" i="51"/>
  <c r="A3018" i="51"/>
  <c r="I3017" i="51"/>
  <c r="K3017" i="51"/>
  <c r="C3017" i="51"/>
  <c r="A3017" i="51"/>
  <c r="I3016" i="51"/>
  <c r="K3016" i="51"/>
  <c r="J3016" i="51"/>
  <c r="C3016" i="51"/>
  <c r="A3016" i="51"/>
  <c r="I3015" i="51"/>
  <c r="K3015" i="51"/>
  <c r="C3015" i="51"/>
  <c r="A3015" i="51"/>
  <c r="I3014" i="51"/>
  <c r="K3014" i="51"/>
  <c r="C3014" i="51"/>
  <c r="A3014" i="51"/>
  <c r="I3013" i="51"/>
  <c r="K3013" i="51"/>
  <c r="C3013" i="51"/>
  <c r="A3013" i="51"/>
  <c r="I3012" i="51"/>
  <c r="K3012" i="51"/>
  <c r="C3012" i="51"/>
  <c r="A3012" i="51"/>
  <c r="I3011" i="51"/>
  <c r="K3011" i="51"/>
  <c r="J3011" i="51"/>
  <c r="C3011" i="51"/>
  <c r="A3011" i="51"/>
  <c r="I3010" i="51"/>
  <c r="K3010" i="51"/>
  <c r="C3010" i="51"/>
  <c r="A3010" i="51"/>
  <c r="I3009" i="51"/>
  <c r="K3009" i="51"/>
  <c r="C3009" i="51"/>
  <c r="A3009" i="51"/>
  <c r="I3008" i="51"/>
  <c r="K3008" i="51"/>
  <c r="C3008" i="51"/>
  <c r="A3008" i="51"/>
  <c r="I3007" i="51"/>
  <c r="K3007" i="51"/>
  <c r="C3007" i="51"/>
  <c r="A3007" i="51"/>
  <c r="I3006" i="51"/>
  <c r="K3006" i="51"/>
  <c r="J3006" i="51"/>
  <c r="C3006" i="51"/>
  <c r="A3006" i="51"/>
  <c r="I3005" i="51"/>
  <c r="K3005" i="51"/>
  <c r="C3005" i="51"/>
  <c r="A3005" i="51"/>
  <c r="I3004" i="51"/>
  <c r="K3004" i="51"/>
  <c r="C3004" i="51"/>
  <c r="A3004" i="51"/>
  <c r="I3003" i="51"/>
  <c r="K3003" i="51"/>
  <c r="C3003" i="51"/>
  <c r="A3003" i="51"/>
  <c r="I3002" i="51"/>
  <c r="K3002" i="51"/>
  <c r="C3002" i="51"/>
  <c r="A3002" i="51"/>
  <c r="I3001" i="51"/>
  <c r="K3001" i="51"/>
  <c r="J3001" i="51"/>
  <c r="C3001" i="51"/>
  <c r="A3001" i="51"/>
  <c r="I3000" i="51"/>
  <c r="K3000" i="51"/>
  <c r="C3000" i="51"/>
  <c r="A3000" i="51"/>
  <c r="I2999" i="51"/>
  <c r="K2999" i="51"/>
  <c r="C2999" i="51"/>
  <c r="A2999" i="51"/>
  <c r="I2998" i="51"/>
  <c r="K2998" i="51"/>
  <c r="C2998" i="51"/>
  <c r="A2998" i="51"/>
  <c r="I2997" i="51"/>
  <c r="K2997" i="51"/>
  <c r="C2997" i="51"/>
  <c r="A2997" i="51"/>
  <c r="I2996" i="51"/>
  <c r="K2996" i="51"/>
  <c r="J2996" i="51"/>
  <c r="C2996" i="51"/>
  <c r="A2996" i="51"/>
  <c r="I2995" i="51"/>
  <c r="K2995" i="51"/>
  <c r="C2995" i="51"/>
  <c r="A2995" i="51"/>
  <c r="I2994" i="51"/>
  <c r="K2994" i="51"/>
  <c r="C2994" i="51"/>
  <c r="A2994" i="51"/>
  <c r="I2993" i="51"/>
  <c r="K2993" i="51"/>
  <c r="C2993" i="51"/>
  <c r="A2993" i="51"/>
  <c r="I2992" i="51"/>
  <c r="K2992" i="51"/>
  <c r="C2992" i="51"/>
  <c r="A2992" i="51"/>
  <c r="I2991" i="51"/>
  <c r="K2991" i="51"/>
  <c r="J2991" i="51"/>
  <c r="C2991" i="51"/>
  <c r="A2991" i="51"/>
  <c r="I2990" i="51"/>
  <c r="K2990" i="51"/>
  <c r="C2990" i="51"/>
  <c r="A2990" i="51"/>
  <c r="I2989" i="51"/>
  <c r="K2989" i="51"/>
  <c r="C2989" i="51"/>
  <c r="A2989" i="51"/>
  <c r="I2988" i="51"/>
  <c r="K2988" i="51"/>
  <c r="C2988" i="51"/>
  <c r="A2988" i="51"/>
  <c r="I2987" i="51"/>
  <c r="K2987" i="51"/>
  <c r="C2987" i="51"/>
  <c r="A2987" i="51"/>
  <c r="I2986" i="51"/>
  <c r="K2986" i="51"/>
  <c r="J2986" i="51"/>
  <c r="C2986" i="51"/>
  <c r="A2986" i="51"/>
  <c r="I2985" i="51"/>
  <c r="K2985" i="51"/>
  <c r="C2985" i="51"/>
  <c r="A2985" i="51"/>
  <c r="I2984" i="51"/>
  <c r="K2984" i="51"/>
  <c r="C2984" i="51"/>
  <c r="A2984" i="51"/>
  <c r="I2983" i="51"/>
  <c r="K2983" i="51"/>
  <c r="C2983" i="51"/>
  <c r="A2983" i="51"/>
  <c r="I2982" i="51"/>
  <c r="K2982" i="51"/>
  <c r="C2982" i="51"/>
  <c r="A2982" i="51"/>
  <c r="I2981" i="51"/>
  <c r="K2981" i="51"/>
  <c r="J2981" i="51"/>
  <c r="C2981" i="51"/>
  <c r="A2981" i="51"/>
  <c r="I2980" i="51"/>
  <c r="K2980" i="51"/>
  <c r="C2980" i="51"/>
  <c r="A2980" i="51"/>
  <c r="I2979" i="51"/>
  <c r="K2979" i="51"/>
  <c r="C2979" i="51"/>
  <c r="A2979" i="51"/>
  <c r="I2978" i="51"/>
  <c r="K2978" i="51"/>
  <c r="C2978" i="51"/>
  <c r="A2978" i="51"/>
  <c r="I2977" i="51"/>
  <c r="K2977" i="51"/>
  <c r="C2977" i="51"/>
  <c r="A2977" i="51"/>
  <c r="I2976" i="51"/>
  <c r="K2976" i="51"/>
  <c r="J2976" i="51"/>
  <c r="C2976" i="51"/>
  <c r="A2976" i="51"/>
  <c r="I2975" i="51"/>
  <c r="K2975" i="51"/>
  <c r="C2975" i="51"/>
  <c r="A2975" i="51"/>
  <c r="I2974" i="51"/>
  <c r="K2974" i="51"/>
  <c r="C2974" i="51"/>
  <c r="A2974" i="51"/>
  <c r="I2973" i="51"/>
  <c r="K2973" i="51"/>
  <c r="C2973" i="51"/>
  <c r="A2973" i="51"/>
  <c r="I2972" i="51"/>
  <c r="K2972" i="51"/>
  <c r="C2972" i="51"/>
  <c r="A2972" i="51"/>
  <c r="I2971" i="51"/>
  <c r="K2971" i="51"/>
  <c r="C2971" i="51"/>
  <c r="A2971" i="51"/>
  <c r="I2970" i="51"/>
  <c r="C2970" i="51"/>
  <c r="A2970" i="51"/>
  <c r="A477" i="24"/>
  <c r="A476" i="24"/>
  <c r="A475" i="24"/>
  <c r="A474" i="24"/>
  <c r="O334" i="26"/>
  <c r="Q334" i="26"/>
  <c r="J334" i="26"/>
  <c r="H334" i="26"/>
  <c r="G334" i="26"/>
  <c r="E334" i="26"/>
  <c r="O333" i="26"/>
  <c r="Q333" i="26"/>
  <c r="J333" i="26"/>
  <c r="H333" i="26"/>
  <c r="G333" i="26"/>
  <c r="E333" i="26"/>
  <c r="O332" i="26"/>
  <c r="Q332" i="26"/>
  <c r="J332" i="26"/>
  <c r="H332" i="26"/>
  <c r="G332" i="26"/>
  <c r="E332" i="26"/>
  <c r="O331" i="26"/>
  <c r="Q331" i="26"/>
  <c r="J331" i="26"/>
  <c r="H331" i="26"/>
  <c r="G331" i="26"/>
  <c r="E331" i="26"/>
  <c r="H455" i="24"/>
  <c r="O327" i="26"/>
  <c r="Q327" i="26"/>
  <c r="Q328" i="26"/>
  <c r="P2813" i="51"/>
  <c r="P2814" i="51"/>
  <c r="P2815" i="51"/>
  <c r="P2816" i="51"/>
  <c r="P2812" i="51"/>
  <c r="C2864" i="51"/>
  <c r="A2864" i="51"/>
  <c r="I2920" i="51"/>
  <c r="I2921" i="51"/>
  <c r="I2922" i="51"/>
  <c r="I2923" i="51"/>
  <c r="I2924" i="51"/>
  <c r="I2925" i="51"/>
  <c r="I2926" i="51"/>
  <c r="I2927" i="51"/>
  <c r="I2928" i="51"/>
  <c r="I2929" i="51"/>
  <c r="I2930" i="51"/>
  <c r="I2931" i="51"/>
  <c r="I2932" i="51"/>
  <c r="I2933" i="51"/>
  <c r="I2934" i="51"/>
  <c r="I2935" i="51"/>
  <c r="I2936" i="51"/>
  <c r="I2937" i="51"/>
  <c r="I2938" i="51"/>
  <c r="I2939" i="51"/>
  <c r="I2940" i="51"/>
  <c r="I2941" i="51"/>
  <c r="I2942" i="51"/>
  <c r="I2943" i="51"/>
  <c r="I2944" i="51"/>
  <c r="I2945" i="51"/>
  <c r="I2946" i="51"/>
  <c r="I2947" i="51"/>
  <c r="I2948" i="51"/>
  <c r="I2949" i="51"/>
  <c r="I2950" i="51"/>
  <c r="I2951" i="51"/>
  <c r="I2952" i="51"/>
  <c r="I2953" i="51"/>
  <c r="I2954" i="51"/>
  <c r="I2955" i="51"/>
  <c r="I2956" i="51"/>
  <c r="I2957" i="51"/>
  <c r="I2958" i="51"/>
  <c r="I2959" i="51"/>
  <c r="I2960" i="51"/>
  <c r="I2961" i="51"/>
  <c r="I2962" i="51"/>
  <c r="I2963" i="51"/>
  <c r="I2964" i="51"/>
  <c r="I2965" i="51"/>
  <c r="I2966" i="51"/>
  <c r="I2967" i="51"/>
  <c r="I2968" i="51"/>
  <c r="I2969" i="51"/>
  <c r="I2919" i="51"/>
  <c r="I2918" i="51"/>
  <c r="K2969" i="51"/>
  <c r="K2964" i="51"/>
  <c r="K2959" i="51"/>
  <c r="K2954" i="51"/>
  <c r="K2949" i="51"/>
  <c r="K2944" i="51"/>
  <c r="K2939" i="51"/>
  <c r="K2934" i="51"/>
  <c r="K2929" i="51"/>
  <c r="K2924" i="51"/>
  <c r="K2917" i="51"/>
  <c r="K2912" i="51"/>
  <c r="K2907" i="51"/>
  <c r="K2902" i="51"/>
  <c r="K2897" i="51"/>
  <c r="K2892" i="51"/>
  <c r="K2887" i="51"/>
  <c r="K2882" i="51"/>
  <c r="K2877" i="51"/>
  <c r="K2872" i="51"/>
  <c r="I2868" i="51"/>
  <c r="I2869" i="51"/>
  <c r="I2870" i="51"/>
  <c r="I2871" i="51"/>
  <c r="I2872" i="51"/>
  <c r="I2873" i="51"/>
  <c r="I2874" i="51"/>
  <c r="I2875" i="51"/>
  <c r="I2876" i="51"/>
  <c r="I2877" i="51"/>
  <c r="I2878" i="51"/>
  <c r="I2879" i="51"/>
  <c r="I2880" i="51"/>
  <c r="I2881" i="51"/>
  <c r="I2882" i="51"/>
  <c r="I2883" i="51"/>
  <c r="I2884" i="51"/>
  <c r="I2885" i="51"/>
  <c r="I2886" i="51"/>
  <c r="I2887" i="51"/>
  <c r="I2888" i="51"/>
  <c r="I2889" i="51"/>
  <c r="I2890" i="51"/>
  <c r="I2891" i="51"/>
  <c r="I2892" i="51"/>
  <c r="I2893" i="51"/>
  <c r="I2894" i="51"/>
  <c r="I2895" i="51"/>
  <c r="I2896" i="51"/>
  <c r="I2897" i="51"/>
  <c r="I2898" i="51"/>
  <c r="I2899" i="51"/>
  <c r="I2900" i="51"/>
  <c r="I2901" i="51"/>
  <c r="I2902" i="51"/>
  <c r="I2903" i="51"/>
  <c r="I2904" i="51"/>
  <c r="I2905" i="51"/>
  <c r="I2906" i="51"/>
  <c r="I2907" i="51"/>
  <c r="I2908" i="51"/>
  <c r="I2909" i="51"/>
  <c r="I2910" i="51"/>
  <c r="I2911" i="51"/>
  <c r="I2912" i="51"/>
  <c r="I2913" i="51"/>
  <c r="I2914" i="51"/>
  <c r="I2915" i="51"/>
  <c r="I2916" i="51"/>
  <c r="I2917" i="51"/>
  <c r="I2867" i="51"/>
  <c r="I2866" i="51"/>
  <c r="E2920" i="51"/>
  <c r="E2921" i="51"/>
  <c r="E2922" i="51"/>
  <c r="E2923" i="51"/>
  <c r="E2924" i="51"/>
  <c r="E2925" i="51"/>
  <c r="E2926" i="51"/>
  <c r="E2927" i="51"/>
  <c r="E2928" i="51"/>
  <c r="E2929" i="51"/>
  <c r="E2930" i="51"/>
  <c r="E2931" i="51"/>
  <c r="E2932" i="51"/>
  <c r="E2933" i="51"/>
  <c r="E2934" i="51"/>
  <c r="E2935" i="51"/>
  <c r="E2936" i="51"/>
  <c r="E2937" i="51"/>
  <c r="E2938" i="51"/>
  <c r="E2939" i="51"/>
  <c r="E2940" i="51"/>
  <c r="E2941" i="51"/>
  <c r="E2942" i="51"/>
  <c r="E2943" i="51"/>
  <c r="E2944" i="51"/>
  <c r="E2945" i="51"/>
  <c r="E2946" i="51"/>
  <c r="E2947" i="51"/>
  <c r="E2948" i="51"/>
  <c r="E2949" i="51"/>
  <c r="E2950" i="51"/>
  <c r="E2951" i="51"/>
  <c r="E2952" i="51"/>
  <c r="E2953" i="51"/>
  <c r="E2954" i="51"/>
  <c r="E2955" i="51"/>
  <c r="E2956" i="51"/>
  <c r="E2957" i="51"/>
  <c r="E2958" i="51"/>
  <c r="E2959" i="51"/>
  <c r="E2960" i="51"/>
  <c r="E2961" i="51"/>
  <c r="E2962" i="51"/>
  <c r="E2963" i="51"/>
  <c r="E2964" i="51"/>
  <c r="E2965" i="51"/>
  <c r="E2966" i="51"/>
  <c r="E2967" i="51"/>
  <c r="E2968" i="51"/>
  <c r="E2969" i="51"/>
  <c r="C2969" i="51"/>
  <c r="A2969" i="51"/>
  <c r="C2968" i="51"/>
  <c r="A2968" i="51"/>
  <c r="C2967" i="51"/>
  <c r="A2967" i="51"/>
  <c r="C2966" i="51"/>
  <c r="A2966" i="51"/>
  <c r="C2965" i="51"/>
  <c r="A2965" i="51"/>
  <c r="C2964" i="51"/>
  <c r="A2964" i="51"/>
  <c r="C2963" i="51"/>
  <c r="A2963" i="51"/>
  <c r="C2962" i="51"/>
  <c r="A2962" i="51"/>
  <c r="C2961" i="51"/>
  <c r="A2961" i="51"/>
  <c r="C2960" i="51"/>
  <c r="A2960" i="51"/>
  <c r="C2959" i="51"/>
  <c r="A2959" i="51"/>
  <c r="C2958" i="51"/>
  <c r="A2958" i="51"/>
  <c r="C2957" i="51"/>
  <c r="A2957" i="51"/>
  <c r="C2956" i="51"/>
  <c r="A2956" i="51"/>
  <c r="C2955" i="51"/>
  <c r="A2955" i="51"/>
  <c r="C2954" i="51"/>
  <c r="A2954" i="51"/>
  <c r="C2953" i="51"/>
  <c r="A2953" i="51"/>
  <c r="C2952" i="51"/>
  <c r="A2952" i="51"/>
  <c r="C2951" i="51"/>
  <c r="A2951" i="51"/>
  <c r="C2950" i="51"/>
  <c r="A2950" i="51"/>
  <c r="C2949" i="51"/>
  <c r="A2949" i="51"/>
  <c r="C2948" i="51"/>
  <c r="A2948" i="51"/>
  <c r="C2947" i="51"/>
  <c r="A2947" i="51"/>
  <c r="C2946" i="51"/>
  <c r="A2946" i="51"/>
  <c r="C2945" i="51"/>
  <c r="A2945" i="51"/>
  <c r="C2944" i="51"/>
  <c r="A2944" i="51"/>
  <c r="C2943" i="51"/>
  <c r="A2943" i="51"/>
  <c r="C2942" i="51"/>
  <c r="A2942" i="51"/>
  <c r="C2941" i="51"/>
  <c r="A2941" i="51"/>
  <c r="C2940" i="51"/>
  <c r="A2940" i="51"/>
  <c r="C2939" i="51"/>
  <c r="A2939" i="51"/>
  <c r="C2938" i="51"/>
  <c r="A2938" i="51"/>
  <c r="C2937" i="51"/>
  <c r="A2937" i="51"/>
  <c r="C2936" i="51"/>
  <c r="A2936" i="51"/>
  <c r="C2935" i="51"/>
  <c r="A2935" i="51"/>
  <c r="C2934" i="51"/>
  <c r="A2934" i="51"/>
  <c r="C2933" i="51"/>
  <c r="A2933" i="51"/>
  <c r="C2932" i="51"/>
  <c r="A2932" i="51"/>
  <c r="C2931" i="51"/>
  <c r="A2931" i="51"/>
  <c r="C2930" i="51"/>
  <c r="A2930" i="51"/>
  <c r="C2929" i="51"/>
  <c r="A2929" i="51"/>
  <c r="C2928" i="51"/>
  <c r="A2928" i="51"/>
  <c r="C2927" i="51"/>
  <c r="A2927" i="51"/>
  <c r="C2926" i="51"/>
  <c r="A2926" i="51"/>
  <c r="C2925" i="51"/>
  <c r="A2925" i="51"/>
  <c r="C2924" i="51"/>
  <c r="A2924" i="51"/>
  <c r="C2923" i="51"/>
  <c r="A2923" i="51"/>
  <c r="C2922" i="51"/>
  <c r="A2922" i="51"/>
  <c r="C2921" i="51"/>
  <c r="A2921" i="51"/>
  <c r="C2920" i="51"/>
  <c r="A2920" i="51"/>
  <c r="C2919" i="51"/>
  <c r="A2919" i="51"/>
  <c r="C2918" i="51"/>
  <c r="A2918" i="51"/>
  <c r="E2868" i="51"/>
  <c r="E2869" i="51"/>
  <c r="E2870" i="51"/>
  <c r="E2871" i="51"/>
  <c r="E2872" i="51"/>
  <c r="E2873" i="51"/>
  <c r="E2874" i="51"/>
  <c r="E2875" i="51"/>
  <c r="E2876" i="51"/>
  <c r="E2877" i="51"/>
  <c r="E2878" i="51"/>
  <c r="E2879" i="51"/>
  <c r="E2880" i="51"/>
  <c r="E2881" i="51"/>
  <c r="E2882" i="51"/>
  <c r="E2883" i="51"/>
  <c r="E2884" i="51"/>
  <c r="E2885" i="51"/>
  <c r="E2886" i="51"/>
  <c r="E2887" i="51"/>
  <c r="E2888" i="51"/>
  <c r="E2889" i="51"/>
  <c r="E2890" i="51"/>
  <c r="E2891" i="51"/>
  <c r="E2892" i="51"/>
  <c r="E2893" i="51"/>
  <c r="E2894" i="51"/>
  <c r="E2895" i="51"/>
  <c r="E2896" i="51"/>
  <c r="E2897" i="51"/>
  <c r="E2898" i="51"/>
  <c r="E2899" i="51"/>
  <c r="E2900" i="51"/>
  <c r="E2901" i="51"/>
  <c r="E2902" i="51"/>
  <c r="E2903" i="51"/>
  <c r="E2904" i="51"/>
  <c r="E2905" i="51"/>
  <c r="E2906" i="51"/>
  <c r="E2907" i="51"/>
  <c r="E2908" i="51"/>
  <c r="E2909" i="51"/>
  <c r="E2910" i="51"/>
  <c r="E2911" i="51"/>
  <c r="E2912" i="51"/>
  <c r="E2913" i="51"/>
  <c r="E2914" i="51"/>
  <c r="E2915" i="51"/>
  <c r="E2916" i="51"/>
  <c r="E2917" i="51"/>
  <c r="C2917" i="51"/>
  <c r="A2917" i="51"/>
  <c r="C2916" i="51"/>
  <c r="A2916" i="51"/>
  <c r="C2915" i="51"/>
  <c r="A2915" i="51"/>
  <c r="C2914" i="51"/>
  <c r="A2914" i="51"/>
  <c r="C2913" i="51"/>
  <c r="A2913" i="51"/>
  <c r="C2912" i="51"/>
  <c r="A2912" i="51"/>
  <c r="C2911" i="51"/>
  <c r="A2911" i="51"/>
  <c r="C2910" i="51"/>
  <c r="A2910" i="51"/>
  <c r="C2909" i="51"/>
  <c r="A2909" i="51"/>
  <c r="C2908" i="51"/>
  <c r="A2908" i="51"/>
  <c r="C2907" i="51"/>
  <c r="A2907" i="51"/>
  <c r="C2906" i="51"/>
  <c r="A2906" i="51"/>
  <c r="C2905" i="51"/>
  <c r="A2905" i="51"/>
  <c r="C2904" i="51"/>
  <c r="A2904" i="51"/>
  <c r="C2903" i="51"/>
  <c r="A2903" i="51"/>
  <c r="C2902" i="51"/>
  <c r="A2902" i="51"/>
  <c r="C2901" i="51"/>
  <c r="A2901" i="51"/>
  <c r="C2900" i="51"/>
  <c r="A2900" i="51"/>
  <c r="C2899" i="51"/>
  <c r="A2899" i="51"/>
  <c r="C2898" i="51"/>
  <c r="A2898" i="51"/>
  <c r="C2897" i="51"/>
  <c r="A2897" i="51"/>
  <c r="C2896" i="51"/>
  <c r="A2896" i="51"/>
  <c r="C2895" i="51"/>
  <c r="A2895" i="51"/>
  <c r="C2894" i="51"/>
  <c r="A2894" i="51"/>
  <c r="C2893" i="51"/>
  <c r="A2893" i="51"/>
  <c r="C2892" i="51"/>
  <c r="A2892" i="51"/>
  <c r="C2891" i="51"/>
  <c r="A2891" i="51"/>
  <c r="C2890" i="51"/>
  <c r="A2890" i="51"/>
  <c r="C2889" i="51"/>
  <c r="A2889" i="51"/>
  <c r="C2888" i="51"/>
  <c r="A2888" i="51"/>
  <c r="C2887" i="51"/>
  <c r="A2887" i="51"/>
  <c r="C2886" i="51"/>
  <c r="A2886" i="51"/>
  <c r="C2885" i="51"/>
  <c r="A2885" i="51"/>
  <c r="C2884" i="51"/>
  <c r="A2884" i="51"/>
  <c r="C2883" i="51"/>
  <c r="A2883" i="51"/>
  <c r="C2882" i="51"/>
  <c r="A2882" i="51"/>
  <c r="C2881" i="51"/>
  <c r="A2881" i="51"/>
  <c r="C2880" i="51"/>
  <c r="A2880" i="51"/>
  <c r="C2879" i="51"/>
  <c r="A2879" i="51"/>
  <c r="C2878" i="51"/>
  <c r="A2878" i="51"/>
  <c r="C2877" i="51"/>
  <c r="A2877" i="51"/>
  <c r="C2876" i="51"/>
  <c r="A2876" i="51"/>
  <c r="C2875" i="51"/>
  <c r="A2875" i="51"/>
  <c r="C2874" i="51"/>
  <c r="A2874" i="51"/>
  <c r="C2873" i="51"/>
  <c r="A2873" i="51"/>
  <c r="C2872" i="51"/>
  <c r="A2872" i="51"/>
  <c r="C2871" i="51"/>
  <c r="A2871" i="51"/>
  <c r="C2870" i="51"/>
  <c r="A2870" i="51"/>
  <c r="C2869" i="51"/>
  <c r="A2869" i="51"/>
  <c r="C2868" i="51"/>
  <c r="A2868" i="51"/>
  <c r="C2867" i="51"/>
  <c r="A2867" i="51"/>
  <c r="C2866" i="51"/>
  <c r="A2866" i="51"/>
  <c r="I2865" i="51"/>
  <c r="C2865" i="51"/>
  <c r="A2865" i="51"/>
  <c r="I2863" i="51"/>
  <c r="C2863" i="51"/>
  <c r="A2863" i="51"/>
  <c r="I2862" i="51"/>
  <c r="K2861" i="51"/>
  <c r="I2861" i="51"/>
  <c r="J2860" i="51"/>
  <c r="I2860" i="51"/>
  <c r="J2859" i="51"/>
  <c r="I2859" i="51"/>
  <c r="J2858" i="51"/>
  <c r="I2858" i="51"/>
  <c r="I2857" i="51"/>
  <c r="K2856" i="51"/>
  <c r="I2856" i="51"/>
  <c r="J2855" i="51"/>
  <c r="I2855" i="51"/>
  <c r="J2854" i="51"/>
  <c r="I2854" i="51"/>
  <c r="J2853" i="51"/>
  <c r="I2853" i="51"/>
  <c r="I2852" i="51"/>
  <c r="K2851" i="51"/>
  <c r="I2851" i="51"/>
  <c r="J2850" i="51"/>
  <c r="I2850" i="51"/>
  <c r="J2849" i="51"/>
  <c r="I2849" i="51"/>
  <c r="J2848" i="51"/>
  <c r="I2848" i="51"/>
  <c r="I2847" i="51"/>
  <c r="K2846" i="51"/>
  <c r="I2846" i="51"/>
  <c r="J2845" i="51"/>
  <c r="I2845" i="51"/>
  <c r="J2844" i="51"/>
  <c r="I2844" i="51"/>
  <c r="J2843" i="51"/>
  <c r="I2843" i="51"/>
  <c r="I2842" i="51"/>
  <c r="K2841" i="51"/>
  <c r="I2841" i="51"/>
  <c r="J2840" i="51"/>
  <c r="I2840" i="51"/>
  <c r="J2839" i="51"/>
  <c r="I2839" i="51"/>
  <c r="J2838" i="51"/>
  <c r="I2838" i="51"/>
  <c r="I2837" i="51"/>
  <c r="K2836" i="51"/>
  <c r="I2836" i="51"/>
  <c r="J2835" i="51"/>
  <c r="I2835" i="51"/>
  <c r="J2834" i="51"/>
  <c r="I2834" i="51"/>
  <c r="J2833" i="51"/>
  <c r="I2833" i="51"/>
  <c r="I2832" i="51"/>
  <c r="K2831" i="51"/>
  <c r="I2831" i="51"/>
  <c r="J2830" i="51"/>
  <c r="I2830" i="51"/>
  <c r="J2829" i="51"/>
  <c r="I2829" i="51"/>
  <c r="J2828" i="51"/>
  <c r="I2828" i="51"/>
  <c r="I2827" i="51"/>
  <c r="K2826" i="51"/>
  <c r="I2826" i="51"/>
  <c r="J2825" i="51"/>
  <c r="I2825" i="51"/>
  <c r="J2824" i="51"/>
  <c r="I2824" i="51"/>
  <c r="J2823" i="51"/>
  <c r="I2823" i="51"/>
  <c r="I2822" i="51"/>
  <c r="K2821" i="51"/>
  <c r="I2821" i="51"/>
  <c r="J2820" i="51"/>
  <c r="I2820" i="51"/>
  <c r="J2819" i="51"/>
  <c r="I2819" i="51"/>
  <c r="J2818" i="51"/>
  <c r="I2818" i="51"/>
  <c r="I2817" i="51"/>
  <c r="K2816" i="51"/>
  <c r="J2815" i="51"/>
  <c r="J2814" i="51"/>
  <c r="J2813" i="51"/>
  <c r="I2816" i="51"/>
  <c r="I2815" i="51"/>
  <c r="I2814" i="51"/>
  <c r="I2813" i="51"/>
  <c r="I2812" i="51"/>
  <c r="C2862" i="51"/>
  <c r="A2862" i="51"/>
  <c r="C2861" i="51"/>
  <c r="A2861" i="51"/>
  <c r="C2860" i="51"/>
  <c r="A2860" i="51"/>
  <c r="C2859" i="51"/>
  <c r="A2859" i="51"/>
  <c r="C2858" i="51"/>
  <c r="A2858" i="51"/>
  <c r="C2857" i="51"/>
  <c r="A2857" i="51"/>
  <c r="C2856" i="51"/>
  <c r="A2856" i="51"/>
  <c r="C2855" i="51"/>
  <c r="A2855" i="51"/>
  <c r="C2854" i="51"/>
  <c r="A2854" i="51"/>
  <c r="C2853" i="51"/>
  <c r="A2853" i="51"/>
  <c r="C2852" i="51"/>
  <c r="A2852" i="51"/>
  <c r="C2851" i="51"/>
  <c r="A2851" i="51"/>
  <c r="C2850" i="51"/>
  <c r="A2850" i="51"/>
  <c r="C2849" i="51"/>
  <c r="A2849" i="51"/>
  <c r="C2848" i="51"/>
  <c r="A2848" i="51"/>
  <c r="C2847" i="51"/>
  <c r="A2847" i="51"/>
  <c r="C2846" i="51"/>
  <c r="A2846" i="51"/>
  <c r="C2845" i="51"/>
  <c r="A2845" i="51"/>
  <c r="C2844" i="51"/>
  <c r="A2844" i="51"/>
  <c r="C2843" i="51"/>
  <c r="A2843" i="51"/>
  <c r="C2842" i="51"/>
  <c r="A2842" i="51"/>
  <c r="C2841" i="51"/>
  <c r="A2841" i="51"/>
  <c r="C2840" i="51"/>
  <c r="A2840" i="51"/>
  <c r="C2839" i="51"/>
  <c r="A2839" i="51"/>
  <c r="C2838" i="51"/>
  <c r="A2838" i="51"/>
  <c r="C2837" i="51"/>
  <c r="A2837" i="51"/>
  <c r="C2836" i="51"/>
  <c r="A2836" i="51"/>
  <c r="C2835" i="51"/>
  <c r="A2835" i="51"/>
  <c r="C2834" i="51"/>
  <c r="A2834" i="51"/>
  <c r="C2833" i="51"/>
  <c r="A2833" i="51"/>
  <c r="C2832" i="51"/>
  <c r="A2832" i="51"/>
  <c r="C2831" i="51"/>
  <c r="A2831" i="51"/>
  <c r="C2830" i="51"/>
  <c r="A2830" i="51"/>
  <c r="C2829" i="51"/>
  <c r="A2829" i="51"/>
  <c r="C2828" i="51"/>
  <c r="A2828" i="51"/>
  <c r="C2827" i="51"/>
  <c r="A2827" i="51"/>
  <c r="C2826" i="51"/>
  <c r="A2826" i="51"/>
  <c r="C2825" i="51"/>
  <c r="A2825" i="51"/>
  <c r="C2824" i="51"/>
  <c r="A2824" i="51"/>
  <c r="C2823" i="51"/>
  <c r="A2823" i="51"/>
  <c r="C2822" i="51"/>
  <c r="A2822" i="51"/>
  <c r="C2821" i="51"/>
  <c r="A2821" i="51"/>
  <c r="C2820" i="51"/>
  <c r="A2820" i="51"/>
  <c r="C2819" i="51"/>
  <c r="A2819" i="51"/>
  <c r="C2818" i="51"/>
  <c r="A2818" i="51"/>
  <c r="C2817" i="51"/>
  <c r="A2817" i="51"/>
  <c r="C2816" i="51"/>
  <c r="A2816" i="51"/>
  <c r="C2815" i="51"/>
  <c r="A2815" i="51"/>
  <c r="C2814" i="51"/>
  <c r="A2814" i="51"/>
  <c r="C2813" i="51"/>
  <c r="A2813" i="51"/>
  <c r="C2812" i="51"/>
  <c r="A2812" i="51"/>
  <c r="A126" i="60"/>
  <c r="C126" i="60"/>
  <c r="D126" i="60"/>
  <c r="E126" i="60"/>
  <c r="A127" i="60"/>
  <c r="C127" i="60"/>
  <c r="D127" i="60"/>
  <c r="E127" i="60"/>
  <c r="C128" i="60"/>
  <c r="D128" i="60"/>
  <c r="E128" i="60"/>
  <c r="C129" i="60"/>
  <c r="D129" i="60"/>
  <c r="E129" i="60"/>
  <c r="Q329" i="26"/>
  <c r="G471" i="24"/>
  <c r="A470" i="24"/>
  <c r="A471" i="24"/>
  <c r="A472" i="24"/>
  <c r="A473" i="24"/>
  <c r="E327" i="26"/>
  <c r="G327" i="26"/>
  <c r="H327" i="26"/>
  <c r="J327" i="26"/>
  <c r="E328" i="26"/>
  <c r="G328" i="26"/>
  <c r="H328" i="26"/>
  <c r="J328" i="26"/>
  <c r="E329" i="26"/>
  <c r="G329" i="26"/>
  <c r="H329" i="26"/>
  <c r="J329" i="26"/>
  <c r="E330" i="26"/>
  <c r="G330" i="26"/>
  <c r="H330" i="26"/>
  <c r="J330" i="26"/>
  <c r="O326" i="26"/>
  <c r="E2811" i="51"/>
  <c r="C2811" i="51"/>
  <c r="A2811" i="51"/>
  <c r="C2810" i="51"/>
  <c r="A2810" i="51"/>
  <c r="C2809" i="51"/>
  <c r="A2809" i="51"/>
  <c r="A467" i="24"/>
  <c r="Q326" i="26"/>
  <c r="J326" i="26"/>
  <c r="H326" i="26"/>
  <c r="G326" i="26"/>
  <c r="E326" i="26"/>
  <c r="A24" i="24"/>
  <c r="I2756" i="51"/>
  <c r="K2756" i="51"/>
  <c r="I2754" i="51"/>
  <c r="K2754" i="51"/>
  <c r="I2752" i="51"/>
  <c r="K2752" i="51"/>
  <c r="I2753" i="51"/>
  <c r="I2755" i="51"/>
  <c r="I2751" i="51"/>
  <c r="C2756" i="51"/>
  <c r="A2756" i="51"/>
  <c r="C2755" i="51"/>
  <c r="A2755" i="51"/>
  <c r="C2754" i="51"/>
  <c r="A2754" i="51"/>
  <c r="C2753" i="51"/>
  <c r="A2753" i="51"/>
  <c r="C2752" i="51"/>
  <c r="A2752" i="51"/>
  <c r="C2751" i="51"/>
  <c r="A2751" i="51"/>
  <c r="A123" i="60"/>
  <c r="A124" i="60"/>
  <c r="A122" i="60"/>
  <c r="C122" i="60"/>
  <c r="D122" i="60"/>
  <c r="E122" i="60"/>
  <c r="C123" i="60"/>
  <c r="D123" i="60"/>
  <c r="E123" i="60"/>
  <c r="C124" i="60"/>
  <c r="D124" i="60"/>
  <c r="E124" i="60"/>
  <c r="G464" i="24"/>
  <c r="G465" i="24"/>
  <c r="G466" i="24"/>
  <c r="A464" i="24"/>
  <c r="A465" i="24"/>
  <c r="A466" i="24"/>
  <c r="O324" i="26"/>
  <c r="Q324" i="26"/>
  <c r="O323" i="26"/>
  <c r="Q323" i="26"/>
  <c r="O322" i="26"/>
  <c r="Q322" i="26"/>
  <c r="H324" i="26"/>
  <c r="H323" i="26"/>
  <c r="H322" i="26"/>
  <c r="E322" i="26"/>
  <c r="G322" i="26"/>
  <c r="J322" i="26"/>
  <c r="E323" i="26"/>
  <c r="G323" i="26"/>
  <c r="J323" i="26"/>
  <c r="E324" i="26"/>
  <c r="G324" i="26"/>
  <c r="J324" i="26"/>
  <c r="E325" i="26"/>
  <c r="G325" i="26"/>
  <c r="J325" i="26"/>
  <c r="Q456" i="26"/>
  <c r="Q457" i="26"/>
  <c r="Q458" i="26"/>
  <c r="Q459" i="26"/>
  <c r="Q460" i="26"/>
  <c r="Q461" i="26"/>
  <c r="Q462" i="26"/>
  <c r="Q463" i="26"/>
  <c r="Q455" i="26"/>
  <c r="O316" i="26"/>
  <c r="Q316" i="26"/>
  <c r="O317" i="26"/>
  <c r="Q317" i="26"/>
  <c r="O318" i="26"/>
  <c r="Q318" i="26"/>
  <c r="O315" i="26"/>
  <c r="Q315" i="26"/>
  <c r="C2643" i="51"/>
  <c r="A2643" i="51"/>
  <c r="I2642" i="51"/>
  <c r="C2642" i="51"/>
  <c r="A2642" i="51"/>
  <c r="I2641" i="51"/>
  <c r="C2641" i="51"/>
  <c r="A2641" i="51"/>
  <c r="I2640" i="51"/>
  <c r="K2640" i="51"/>
  <c r="C2640" i="51"/>
  <c r="A2640" i="51"/>
  <c r="I2639" i="51"/>
  <c r="C2639" i="51"/>
  <c r="A2639" i="51"/>
  <c r="C2638" i="51"/>
  <c r="A2638" i="51"/>
  <c r="I2637" i="51"/>
  <c r="C2637" i="51"/>
  <c r="A2637" i="51"/>
  <c r="I2636" i="51"/>
  <c r="C2636" i="51"/>
  <c r="A2636" i="51"/>
  <c r="A67" i="24"/>
  <c r="A66" i="24"/>
  <c r="A65" i="24"/>
  <c r="A64" i="24"/>
  <c r="A63" i="24"/>
  <c r="A131" i="24"/>
  <c r="C5289" i="51"/>
  <c r="A5289" i="51"/>
  <c r="C5288" i="51"/>
  <c r="A5288" i="51"/>
  <c r="C5287" i="51"/>
  <c r="A5287" i="51"/>
  <c r="C5286" i="51"/>
  <c r="A5286" i="51"/>
  <c r="C5285" i="51"/>
  <c r="A5285" i="51"/>
  <c r="C5353" i="51"/>
  <c r="A5353" i="51"/>
  <c r="E2586" i="51"/>
  <c r="E2587" i="51"/>
  <c r="E2588" i="51"/>
  <c r="E2589" i="51"/>
  <c r="E2590" i="51"/>
  <c r="E2591" i="51"/>
  <c r="E2592" i="51"/>
  <c r="E2593" i="51"/>
  <c r="E2594" i="51"/>
  <c r="E2595" i="51"/>
  <c r="E2596" i="51"/>
  <c r="E2597" i="51"/>
  <c r="E2598" i="51"/>
  <c r="E2599" i="51"/>
  <c r="E2600" i="51"/>
  <c r="E2601" i="51"/>
  <c r="E2602" i="51"/>
  <c r="E2603" i="51"/>
  <c r="E2604" i="51"/>
  <c r="E2605" i="51"/>
  <c r="E2606" i="51"/>
  <c r="E2607" i="51"/>
  <c r="E2608" i="51"/>
  <c r="E2609" i="51"/>
  <c r="E2610" i="51"/>
  <c r="E2611" i="51"/>
  <c r="E2612" i="51"/>
  <c r="E2613" i="51"/>
  <c r="E2614" i="51"/>
  <c r="E2615" i="51"/>
  <c r="E2616" i="51"/>
  <c r="E2617" i="51"/>
  <c r="E2618" i="51"/>
  <c r="E2619" i="51"/>
  <c r="E2620" i="51"/>
  <c r="E2621" i="51"/>
  <c r="E2622" i="51"/>
  <c r="E2623" i="51"/>
  <c r="E2624" i="51"/>
  <c r="E2625" i="51"/>
  <c r="E2626" i="51"/>
  <c r="E2627" i="51"/>
  <c r="E2628" i="51"/>
  <c r="E2629" i="51"/>
  <c r="E2630" i="51"/>
  <c r="E2631" i="51"/>
  <c r="E2632" i="51"/>
  <c r="E2633" i="51"/>
  <c r="E2634" i="51"/>
  <c r="E2635" i="51"/>
  <c r="C2635" i="51"/>
  <c r="A2635" i="51"/>
  <c r="C2634" i="51"/>
  <c r="A2634" i="51"/>
  <c r="C2633" i="51"/>
  <c r="A2633" i="51"/>
  <c r="C2632" i="51"/>
  <c r="A2632" i="51"/>
  <c r="C2631" i="51"/>
  <c r="A2631" i="51"/>
  <c r="C2630" i="51"/>
  <c r="A2630" i="51"/>
  <c r="C2629" i="51"/>
  <c r="A2629" i="51"/>
  <c r="C2628" i="51"/>
  <c r="A2628" i="51"/>
  <c r="C2627" i="51"/>
  <c r="A2627" i="51"/>
  <c r="C2626" i="51"/>
  <c r="A2626" i="51"/>
  <c r="C2625" i="51"/>
  <c r="A2625" i="51"/>
  <c r="C2624" i="51"/>
  <c r="A2624" i="51"/>
  <c r="C2623" i="51"/>
  <c r="A2623" i="51"/>
  <c r="C2622" i="51"/>
  <c r="A2622" i="51"/>
  <c r="C2621" i="51"/>
  <c r="A2621" i="51"/>
  <c r="C2620" i="51"/>
  <c r="A2620" i="51"/>
  <c r="C2619" i="51"/>
  <c r="A2619" i="51"/>
  <c r="C2618" i="51"/>
  <c r="A2618" i="51"/>
  <c r="C2617" i="51"/>
  <c r="A2617" i="51"/>
  <c r="C2616" i="51"/>
  <c r="A2616" i="51"/>
  <c r="C2615" i="51"/>
  <c r="A2615" i="51"/>
  <c r="C2614" i="51"/>
  <c r="A2614" i="51"/>
  <c r="C2613" i="51"/>
  <c r="A2613" i="51"/>
  <c r="C2612" i="51"/>
  <c r="A2612" i="51"/>
  <c r="C2611" i="51"/>
  <c r="A2611" i="51"/>
  <c r="C2610" i="51"/>
  <c r="A2610" i="51"/>
  <c r="C2609" i="51"/>
  <c r="A2609" i="51"/>
  <c r="C2608" i="51"/>
  <c r="A2608" i="51"/>
  <c r="C2607" i="51"/>
  <c r="A2607" i="51"/>
  <c r="C2606" i="51"/>
  <c r="A2606" i="51"/>
  <c r="C2605" i="51"/>
  <c r="A2605" i="51"/>
  <c r="C2604" i="51"/>
  <c r="A2604" i="51"/>
  <c r="C2603" i="51"/>
  <c r="A2603" i="51"/>
  <c r="C2602" i="51"/>
  <c r="A2602" i="51"/>
  <c r="C2601" i="51"/>
  <c r="A2601" i="51"/>
  <c r="C2600" i="51"/>
  <c r="A2600" i="51"/>
  <c r="C2599" i="51"/>
  <c r="A2599" i="51"/>
  <c r="C2598" i="51"/>
  <c r="A2598" i="51"/>
  <c r="C2597" i="51"/>
  <c r="A2597" i="51"/>
  <c r="C2596" i="51"/>
  <c r="A2596" i="51"/>
  <c r="C2595" i="51"/>
  <c r="A2595" i="51"/>
  <c r="C2594" i="51"/>
  <c r="A2594" i="51"/>
  <c r="C2593" i="51"/>
  <c r="A2593" i="51"/>
  <c r="C2592" i="51"/>
  <c r="A2592" i="51"/>
  <c r="C2591" i="51"/>
  <c r="A2591" i="51"/>
  <c r="C2590" i="51"/>
  <c r="A2590" i="51"/>
  <c r="C2589" i="51"/>
  <c r="A2589" i="51"/>
  <c r="C2588" i="51"/>
  <c r="A2588" i="51"/>
  <c r="C2587" i="51"/>
  <c r="A2587" i="51"/>
  <c r="C2586" i="51"/>
  <c r="A2586" i="51"/>
  <c r="C2585" i="51"/>
  <c r="A2585" i="51"/>
  <c r="C2584" i="51"/>
  <c r="A2584" i="51"/>
  <c r="Q454" i="26"/>
  <c r="J459" i="26"/>
  <c r="G459" i="26"/>
  <c r="F459" i="26"/>
  <c r="E459" i="26"/>
  <c r="E461" i="26"/>
  <c r="F461" i="26"/>
  <c r="G461" i="26"/>
  <c r="J461" i="26"/>
  <c r="E462" i="26"/>
  <c r="F462" i="26"/>
  <c r="G462" i="26"/>
  <c r="J462" i="26"/>
  <c r="J460" i="26"/>
  <c r="G460" i="26"/>
  <c r="F460" i="26"/>
  <c r="E460" i="26"/>
  <c r="A469" i="24"/>
  <c r="E542" i="26"/>
  <c r="F542" i="26"/>
  <c r="G542" i="26"/>
  <c r="J542" i="26"/>
  <c r="A5368" i="51"/>
  <c r="C5368" i="51"/>
  <c r="J527" i="26"/>
  <c r="G527" i="26"/>
  <c r="F527" i="26"/>
  <c r="E527" i="26"/>
  <c r="J463" i="26"/>
  <c r="G463" i="26"/>
  <c r="F463" i="26"/>
  <c r="E463" i="26"/>
  <c r="A468" i="24"/>
  <c r="I2750" i="51"/>
  <c r="C2750" i="51"/>
  <c r="A2750" i="51"/>
  <c r="I2749" i="51"/>
  <c r="C2749" i="51"/>
  <c r="A2749" i="51"/>
  <c r="I2748" i="51"/>
  <c r="C2748" i="51"/>
  <c r="A2748" i="51"/>
  <c r="J321" i="26"/>
  <c r="G321" i="26"/>
  <c r="E321" i="26"/>
  <c r="E236" i="60"/>
  <c r="C236" i="60"/>
  <c r="A236" i="60"/>
  <c r="A463" i="24"/>
  <c r="B161" i="59"/>
  <c r="E118" i="60"/>
  <c r="D118" i="60"/>
  <c r="C118" i="60"/>
  <c r="A118" i="60"/>
  <c r="E117" i="60"/>
  <c r="D117" i="60"/>
  <c r="C117" i="60"/>
  <c r="A117" i="60"/>
  <c r="A460" i="24"/>
  <c r="G453" i="24"/>
  <c r="G454" i="24"/>
  <c r="G455" i="24"/>
  <c r="G456" i="24"/>
  <c r="G457" i="24"/>
  <c r="G458" i="24"/>
  <c r="G459" i="24"/>
  <c r="G460" i="24"/>
  <c r="H457" i="24"/>
  <c r="H460" i="24"/>
  <c r="E119" i="60"/>
  <c r="D119" i="60"/>
  <c r="C119" i="60"/>
  <c r="A119" i="60"/>
  <c r="E318" i="26"/>
  <c r="G318" i="26"/>
  <c r="H318" i="26"/>
  <c r="J318" i="26"/>
  <c r="E317" i="26"/>
  <c r="G317" i="26"/>
  <c r="H317" i="26"/>
  <c r="J317" i="26"/>
  <c r="C2790" i="51"/>
  <c r="I2583" i="51"/>
  <c r="C2583" i="51"/>
  <c r="A2583" i="51"/>
  <c r="I2582" i="51"/>
  <c r="C2582" i="51"/>
  <c r="A2582" i="51"/>
  <c r="A459" i="24"/>
  <c r="H456" i="24"/>
  <c r="H459" i="24"/>
  <c r="A458" i="24"/>
  <c r="H458" i="24"/>
  <c r="E316" i="26"/>
  <c r="G316" i="26"/>
  <c r="H316" i="26"/>
  <c r="J316" i="26"/>
  <c r="O314" i="26"/>
  <c r="Q314" i="26"/>
  <c r="A114" i="60"/>
  <c r="C114" i="60"/>
  <c r="D114" i="60"/>
  <c r="E114" i="60"/>
  <c r="A115" i="60"/>
  <c r="C115" i="60"/>
  <c r="D115" i="60"/>
  <c r="E115" i="60"/>
  <c r="A116" i="60"/>
  <c r="C116" i="60"/>
  <c r="D116" i="60"/>
  <c r="E116" i="60"/>
  <c r="C120" i="60"/>
  <c r="D120" i="60"/>
  <c r="E120" i="60"/>
  <c r="B158" i="59"/>
  <c r="B159" i="59"/>
  <c r="B160" i="59"/>
  <c r="I2581" i="51"/>
  <c r="K2581" i="51"/>
  <c r="J2581" i="51"/>
  <c r="E2532" i="51"/>
  <c r="E2533" i="51"/>
  <c r="E2534" i="51"/>
  <c r="E2535" i="51"/>
  <c r="E2536" i="51"/>
  <c r="E2537" i="51"/>
  <c r="E2538" i="51"/>
  <c r="E2539" i="51"/>
  <c r="E2540" i="51"/>
  <c r="E2541" i="51"/>
  <c r="E2542" i="51"/>
  <c r="E2543" i="51"/>
  <c r="E2544" i="51"/>
  <c r="E2545" i="51"/>
  <c r="E2546" i="51"/>
  <c r="E2547" i="51"/>
  <c r="E2548" i="51"/>
  <c r="E2549" i="51"/>
  <c r="E2550" i="51"/>
  <c r="E2551" i="51"/>
  <c r="E2552" i="51"/>
  <c r="E2553" i="51"/>
  <c r="E2554" i="51"/>
  <c r="E2555" i="51"/>
  <c r="E2556" i="51"/>
  <c r="E2557" i="51"/>
  <c r="E2558" i="51"/>
  <c r="E2559" i="51"/>
  <c r="E2560" i="51"/>
  <c r="E2561" i="51"/>
  <c r="E2562" i="51"/>
  <c r="E2563" i="51"/>
  <c r="E2564" i="51"/>
  <c r="E2565" i="51"/>
  <c r="E2566" i="51"/>
  <c r="E2567" i="51"/>
  <c r="E2568" i="51"/>
  <c r="E2569" i="51"/>
  <c r="E2570" i="51"/>
  <c r="E2571" i="51"/>
  <c r="E2572" i="51"/>
  <c r="E2573" i="51"/>
  <c r="E2574" i="51"/>
  <c r="E2575" i="51"/>
  <c r="E2576" i="51"/>
  <c r="E2577" i="51"/>
  <c r="E2578" i="51"/>
  <c r="E2579" i="51"/>
  <c r="E2580" i="51"/>
  <c r="E2581" i="51"/>
  <c r="C2581" i="51"/>
  <c r="A2581" i="51"/>
  <c r="I2580" i="51"/>
  <c r="K2580" i="51"/>
  <c r="C2580" i="51"/>
  <c r="A2580" i="51"/>
  <c r="I2579" i="51"/>
  <c r="K2579" i="51"/>
  <c r="C2579" i="51"/>
  <c r="A2579" i="51"/>
  <c r="I2578" i="51"/>
  <c r="K2578" i="51"/>
  <c r="C2578" i="51"/>
  <c r="A2578" i="51"/>
  <c r="I2577" i="51"/>
  <c r="K2577" i="51"/>
  <c r="C2577" i="51"/>
  <c r="A2577" i="51"/>
  <c r="I2576" i="51"/>
  <c r="K2576" i="51"/>
  <c r="J2576" i="51"/>
  <c r="C2576" i="51"/>
  <c r="A2576" i="51"/>
  <c r="I2575" i="51"/>
  <c r="K2575" i="51"/>
  <c r="C2575" i="51"/>
  <c r="A2575" i="51"/>
  <c r="I2574" i="51"/>
  <c r="K2574" i="51"/>
  <c r="C2574" i="51"/>
  <c r="A2574" i="51"/>
  <c r="I2573" i="51"/>
  <c r="K2573" i="51"/>
  <c r="C2573" i="51"/>
  <c r="A2573" i="51"/>
  <c r="I2572" i="51"/>
  <c r="K2572" i="51"/>
  <c r="C2572" i="51"/>
  <c r="A2572" i="51"/>
  <c r="I2571" i="51"/>
  <c r="K2571" i="51"/>
  <c r="J2571" i="51"/>
  <c r="C2571" i="51"/>
  <c r="A2571" i="51"/>
  <c r="I2570" i="51"/>
  <c r="K2570" i="51"/>
  <c r="C2570" i="51"/>
  <c r="A2570" i="51"/>
  <c r="I2569" i="51"/>
  <c r="K2569" i="51"/>
  <c r="C2569" i="51"/>
  <c r="A2569" i="51"/>
  <c r="I2568" i="51"/>
  <c r="K2568" i="51"/>
  <c r="C2568" i="51"/>
  <c r="A2568" i="51"/>
  <c r="I2567" i="51"/>
  <c r="K2567" i="51"/>
  <c r="C2567" i="51"/>
  <c r="A2567" i="51"/>
  <c r="I2566" i="51"/>
  <c r="K2566" i="51"/>
  <c r="J2566" i="51"/>
  <c r="C2566" i="51"/>
  <c r="A2566" i="51"/>
  <c r="I2565" i="51"/>
  <c r="K2565" i="51"/>
  <c r="C2565" i="51"/>
  <c r="A2565" i="51"/>
  <c r="I2564" i="51"/>
  <c r="K2564" i="51"/>
  <c r="C2564" i="51"/>
  <c r="A2564" i="51"/>
  <c r="I2563" i="51"/>
  <c r="K2563" i="51"/>
  <c r="C2563" i="51"/>
  <c r="A2563" i="51"/>
  <c r="I2562" i="51"/>
  <c r="K2562" i="51"/>
  <c r="C2562" i="51"/>
  <c r="A2562" i="51"/>
  <c r="I2561" i="51"/>
  <c r="K2561" i="51"/>
  <c r="J2561" i="51"/>
  <c r="C2561" i="51"/>
  <c r="A2561" i="51"/>
  <c r="I2560" i="51"/>
  <c r="K2560" i="51"/>
  <c r="C2560" i="51"/>
  <c r="A2560" i="51"/>
  <c r="I2559" i="51"/>
  <c r="K2559" i="51"/>
  <c r="C2559" i="51"/>
  <c r="A2559" i="51"/>
  <c r="I2558" i="51"/>
  <c r="K2558" i="51"/>
  <c r="C2558" i="51"/>
  <c r="A2558" i="51"/>
  <c r="I2557" i="51"/>
  <c r="K2557" i="51"/>
  <c r="C2557" i="51"/>
  <c r="A2557" i="51"/>
  <c r="I2556" i="51"/>
  <c r="K2556" i="51"/>
  <c r="J2556" i="51"/>
  <c r="C2556" i="51"/>
  <c r="A2556" i="51"/>
  <c r="I2555" i="51"/>
  <c r="K2555" i="51"/>
  <c r="C2555" i="51"/>
  <c r="A2555" i="51"/>
  <c r="I2554" i="51"/>
  <c r="K2554" i="51"/>
  <c r="C2554" i="51"/>
  <c r="A2554" i="51"/>
  <c r="I2553" i="51"/>
  <c r="K2553" i="51"/>
  <c r="C2553" i="51"/>
  <c r="A2553" i="51"/>
  <c r="I2552" i="51"/>
  <c r="K2552" i="51"/>
  <c r="C2552" i="51"/>
  <c r="A2552" i="51"/>
  <c r="I2551" i="51"/>
  <c r="K2551" i="51"/>
  <c r="J2551" i="51"/>
  <c r="C2551" i="51"/>
  <c r="A2551" i="51"/>
  <c r="I2550" i="51"/>
  <c r="K2550" i="51"/>
  <c r="C2550" i="51"/>
  <c r="A2550" i="51"/>
  <c r="I2549" i="51"/>
  <c r="K2549" i="51"/>
  <c r="C2549" i="51"/>
  <c r="A2549" i="51"/>
  <c r="I2548" i="51"/>
  <c r="K2548" i="51"/>
  <c r="C2548" i="51"/>
  <c r="A2548" i="51"/>
  <c r="I2547" i="51"/>
  <c r="K2547" i="51"/>
  <c r="C2547" i="51"/>
  <c r="A2547" i="51"/>
  <c r="I2546" i="51"/>
  <c r="K2546" i="51"/>
  <c r="J2546" i="51"/>
  <c r="C2546" i="51"/>
  <c r="A2546" i="51"/>
  <c r="I2545" i="51"/>
  <c r="K2545" i="51"/>
  <c r="C2545" i="51"/>
  <c r="A2545" i="51"/>
  <c r="I2544" i="51"/>
  <c r="K2544" i="51"/>
  <c r="C2544" i="51"/>
  <c r="A2544" i="51"/>
  <c r="I2543" i="51"/>
  <c r="K2543" i="51"/>
  <c r="C2543" i="51"/>
  <c r="A2543" i="51"/>
  <c r="I2542" i="51"/>
  <c r="K2542" i="51"/>
  <c r="C2542" i="51"/>
  <c r="A2542" i="51"/>
  <c r="I2541" i="51"/>
  <c r="K2541" i="51"/>
  <c r="J2541" i="51"/>
  <c r="C2541" i="51"/>
  <c r="A2541" i="51"/>
  <c r="I2540" i="51"/>
  <c r="K2540" i="51"/>
  <c r="C2540" i="51"/>
  <c r="A2540" i="51"/>
  <c r="I2539" i="51"/>
  <c r="K2539" i="51"/>
  <c r="C2539" i="51"/>
  <c r="A2539" i="51"/>
  <c r="I2538" i="51"/>
  <c r="K2538" i="51"/>
  <c r="C2538" i="51"/>
  <c r="A2538" i="51"/>
  <c r="I2537" i="51"/>
  <c r="K2537" i="51"/>
  <c r="C2537" i="51"/>
  <c r="A2537" i="51"/>
  <c r="I2536" i="51"/>
  <c r="K2536" i="51"/>
  <c r="J2536" i="51"/>
  <c r="C2536" i="51"/>
  <c r="A2536" i="51"/>
  <c r="I2535" i="51"/>
  <c r="K2535" i="51"/>
  <c r="C2535" i="51"/>
  <c r="A2535" i="51"/>
  <c r="I2534" i="51"/>
  <c r="K2534" i="51"/>
  <c r="C2534" i="51"/>
  <c r="A2534" i="51"/>
  <c r="I2533" i="51"/>
  <c r="K2533" i="51"/>
  <c r="C2533" i="51"/>
  <c r="A2533" i="51"/>
  <c r="I2532" i="51"/>
  <c r="K2532" i="51"/>
  <c r="C2532" i="51"/>
  <c r="A2532" i="51"/>
  <c r="I2531" i="51"/>
  <c r="K2531" i="51"/>
  <c r="C2531" i="51"/>
  <c r="A2531" i="51"/>
  <c r="I2530" i="51"/>
  <c r="C2530" i="51"/>
  <c r="A2530" i="51"/>
  <c r="J2529" i="51"/>
  <c r="J2524" i="51"/>
  <c r="J2519" i="51"/>
  <c r="J2514" i="51"/>
  <c r="J2509" i="51"/>
  <c r="J2504" i="51"/>
  <c r="J2499" i="51"/>
  <c r="J2494" i="51"/>
  <c r="J2489" i="51"/>
  <c r="J2484" i="51"/>
  <c r="J2477" i="51"/>
  <c r="J2472" i="51"/>
  <c r="J2467" i="51"/>
  <c r="J2462" i="51"/>
  <c r="J2457" i="51"/>
  <c r="J2452" i="51"/>
  <c r="J2447" i="51"/>
  <c r="J2442" i="51"/>
  <c r="J2437" i="51"/>
  <c r="J2432" i="51"/>
  <c r="I2429" i="51"/>
  <c r="I2430" i="51"/>
  <c r="I2431" i="51"/>
  <c r="I2432" i="51"/>
  <c r="I2433" i="51"/>
  <c r="I2434" i="51"/>
  <c r="I2435" i="51"/>
  <c r="I2436" i="51"/>
  <c r="I2437" i="51"/>
  <c r="I2438" i="51"/>
  <c r="I2439" i="51"/>
  <c r="I2440" i="51"/>
  <c r="I2441" i="51"/>
  <c r="I2442" i="51"/>
  <c r="I2443" i="51"/>
  <c r="I2444" i="51"/>
  <c r="I2445" i="51"/>
  <c r="I2446" i="51"/>
  <c r="I2447" i="51"/>
  <c r="I2448" i="51"/>
  <c r="I2449" i="51"/>
  <c r="I2450" i="51"/>
  <c r="I2451" i="51"/>
  <c r="I2452" i="51"/>
  <c r="I2453" i="51"/>
  <c r="I2454" i="51"/>
  <c r="I2455" i="51"/>
  <c r="I2456" i="51"/>
  <c r="I2457" i="51"/>
  <c r="I2458" i="51"/>
  <c r="I2459" i="51"/>
  <c r="I2460" i="51"/>
  <c r="I2461" i="51"/>
  <c r="I2462" i="51"/>
  <c r="I2463" i="51"/>
  <c r="I2464" i="51"/>
  <c r="I2465" i="51"/>
  <c r="I2466" i="51"/>
  <c r="I2467" i="51"/>
  <c r="I2468" i="51"/>
  <c r="I2469" i="51"/>
  <c r="I2470" i="51"/>
  <c r="I2471" i="51"/>
  <c r="I2472" i="51"/>
  <c r="I2473" i="51"/>
  <c r="I2474" i="51"/>
  <c r="I2475" i="51"/>
  <c r="I2476" i="51"/>
  <c r="I2477" i="51"/>
  <c r="I2478" i="51"/>
  <c r="I2479" i="51"/>
  <c r="I2480" i="51"/>
  <c r="I2481" i="51"/>
  <c r="I2482" i="51"/>
  <c r="I2483" i="51"/>
  <c r="I2484" i="51"/>
  <c r="I2485" i="51"/>
  <c r="I2486" i="51"/>
  <c r="I2487" i="51"/>
  <c r="I2488" i="51"/>
  <c r="I2489" i="51"/>
  <c r="I2490" i="51"/>
  <c r="I2491" i="51"/>
  <c r="I2492" i="51"/>
  <c r="I2493" i="51"/>
  <c r="I2494" i="51"/>
  <c r="I2495" i="51"/>
  <c r="I2496" i="51"/>
  <c r="I2497" i="51"/>
  <c r="I2498" i="51"/>
  <c r="I2499" i="51"/>
  <c r="I2500" i="51"/>
  <c r="I2501" i="51"/>
  <c r="I2502" i="51"/>
  <c r="I2503" i="51"/>
  <c r="I2504" i="51"/>
  <c r="I2505" i="51"/>
  <c r="I2506" i="51"/>
  <c r="I2507" i="51"/>
  <c r="I2508" i="51"/>
  <c r="I2509" i="51"/>
  <c r="I2510" i="51"/>
  <c r="I2511" i="51"/>
  <c r="I2512" i="51"/>
  <c r="I2513" i="51"/>
  <c r="I2514" i="51"/>
  <c r="I2515" i="51"/>
  <c r="I2516" i="51"/>
  <c r="I2517" i="51"/>
  <c r="I2518" i="51"/>
  <c r="I2519" i="51"/>
  <c r="I2520" i="51"/>
  <c r="I2521" i="51"/>
  <c r="I2522" i="51"/>
  <c r="I2523" i="51"/>
  <c r="I2524" i="51"/>
  <c r="I2525" i="51"/>
  <c r="I2526" i="51"/>
  <c r="I2527" i="51"/>
  <c r="I2528" i="51"/>
  <c r="I2529" i="51"/>
  <c r="I2428" i="51"/>
  <c r="I2427" i="51"/>
  <c r="I2426" i="51"/>
  <c r="K2529" i="51"/>
  <c r="E2480" i="51"/>
  <c r="E2481" i="51"/>
  <c r="E2482" i="51"/>
  <c r="E2483" i="51"/>
  <c r="E2484" i="51"/>
  <c r="E2485" i="51"/>
  <c r="E2486" i="51"/>
  <c r="E2487" i="51"/>
  <c r="E2488" i="51"/>
  <c r="E2489" i="51"/>
  <c r="E2490" i="51"/>
  <c r="E2491" i="51"/>
  <c r="E2492" i="51"/>
  <c r="E2493" i="51"/>
  <c r="E2494" i="51"/>
  <c r="E2495" i="51"/>
  <c r="E2496" i="51"/>
  <c r="E2497" i="51"/>
  <c r="E2498" i="51"/>
  <c r="E2499" i="51"/>
  <c r="E2500" i="51"/>
  <c r="E2501" i="51"/>
  <c r="E2502" i="51"/>
  <c r="E2503" i="51"/>
  <c r="E2504" i="51"/>
  <c r="E2505" i="51"/>
  <c r="E2506" i="51"/>
  <c r="E2507" i="51"/>
  <c r="E2508" i="51"/>
  <c r="E2509" i="51"/>
  <c r="E2510" i="51"/>
  <c r="E2511" i="51"/>
  <c r="E2512" i="51"/>
  <c r="E2513" i="51"/>
  <c r="E2514" i="51"/>
  <c r="E2515" i="51"/>
  <c r="E2516" i="51"/>
  <c r="E2517" i="51"/>
  <c r="E2518" i="51"/>
  <c r="E2519" i="51"/>
  <c r="E2520" i="51"/>
  <c r="E2521" i="51"/>
  <c r="E2522" i="51"/>
  <c r="E2523" i="51"/>
  <c r="E2524" i="51"/>
  <c r="E2525" i="51"/>
  <c r="E2526" i="51"/>
  <c r="E2527" i="51"/>
  <c r="E2528" i="51"/>
  <c r="E2529" i="51"/>
  <c r="C2529" i="51"/>
  <c r="A2529" i="51"/>
  <c r="K2528" i="51"/>
  <c r="C2528" i="51"/>
  <c r="A2528" i="51"/>
  <c r="K2527" i="51"/>
  <c r="C2527" i="51"/>
  <c r="A2527" i="51"/>
  <c r="K2526" i="51"/>
  <c r="C2526" i="51"/>
  <c r="A2526" i="51"/>
  <c r="K2525" i="51"/>
  <c r="C2525" i="51"/>
  <c r="A2525" i="51"/>
  <c r="K2524" i="51"/>
  <c r="C2524" i="51"/>
  <c r="A2524" i="51"/>
  <c r="K2523" i="51"/>
  <c r="C2523" i="51"/>
  <c r="A2523" i="51"/>
  <c r="K2522" i="51"/>
  <c r="C2522" i="51"/>
  <c r="A2522" i="51"/>
  <c r="K2521" i="51"/>
  <c r="C2521" i="51"/>
  <c r="A2521" i="51"/>
  <c r="K2520" i="51"/>
  <c r="C2520" i="51"/>
  <c r="A2520" i="51"/>
  <c r="K2519" i="51"/>
  <c r="C2519" i="51"/>
  <c r="A2519" i="51"/>
  <c r="K2518" i="51"/>
  <c r="C2518" i="51"/>
  <c r="A2518" i="51"/>
  <c r="K2517" i="51"/>
  <c r="C2517" i="51"/>
  <c r="A2517" i="51"/>
  <c r="K2516" i="51"/>
  <c r="C2516" i="51"/>
  <c r="A2516" i="51"/>
  <c r="K2515" i="51"/>
  <c r="C2515" i="51"/>
  <c r="A2515" i="51"/>
  <c r="K2514" i="51"/>
  <c r="C2514" i="51"/>
  <c r="A2514" i="51"/>
  <c r="K2513" i="51"/>
  <c r="C2513" i="51"/>
  <c r="A2513" i="51"/>
  <c r="K2512" i="51"/>
  <c r="C2512" i="51"/>
  <c r="A2512" i="51"/>
  <c r="K2511" i="51"/>
  <c r="C2511" i="51"/>
  <c r="A2511" i="51"/>
  <c r="K2510" i="51"/>
  <c r="C2510" i="51"/>
  <c r="A2510" i="51"/>
  <c r="K2509" i="51"/>
  <c r="C2509" i="51"/>
  <c r="A2509" i="51"/>
  <c r="K2508" i="51"/>
  <c r="C2508" i="51"/>
  <c r="A2508" i="51"/>
  <c r="K2507" i="51"/>
  <c r="C2507" i="51"/>
  <c r="A2507" i="51"/>
  <c r="K2506" i="51"/>
  <c r="C2506" i="51"/>
  <c r="A2506" i="51"/>
  <c r="K2505" i="51"/>
  <c r="C2505" i="51"/>
  <c r="A2505" i="51"/>
  <c r="K2504" i="51"/>
  <c r="C2504" i="51"/>
  <c r="A2504" i="51"/>
  <c r="K2503" i="51"/>
  <c r="C2503" i="51"/>
  <c r="A2503" i="51"/>
  <c r="K2502" i="51"/>
  <c r="C2502" i="51"/>
  <c r="A2502" i="51"/>
  <c r="K2501" i="51"/>
  <c r="C2501" i="51"/>
  <c r="A2501" i="51"/>
  <c r="K2500" i="51"/>
  <c r="C2500" i="51"/>
  <c r="A2500" i="51"/>
  <c r="K2499" i="51"/>
  <c r="C2499" i="51"/>
  <c r="A2499" i="51"/>
  <c r="K2498" i="51"/>
  <c r="C2498" i="51"/>
  <c r="A2498" i="51"/>
  <c r="K2497" i="51"/>
  <c r="C2497" i="51"/>
  <c r="A2497" i="51"/>
  <c r="K2496" i="51"/>
  <c r="C2496" i="51"/>
  <c r="A2496" i="51"/>
  <c r="K2495" i="51"/>
  <c r="C2495" i="51"/>
  <c r="A2495" i="51"/>
  <c r="K2494" i="51"/>
  <c r="C2494" i="51"/>
  <c r="A2494" i="51"/>
  <c r="K2493" i="51"/>
  <c r="C2493" i="51"/>
  <c r="A2493" i="51"/>
  <c r="K2492" i="51"/>
  <c r="C2492" i="51"/>
  <c r="A2492" i="51"/>
  <c r="K2491" i="51"/>
  <c r="C2491" i="51"/>
  <c r="A2491" i="51"/>
  <c r="K2490" i="51"/>
  <c r="C2490" i="51"/>
  <c r="A2490" i="51"/>
  <c r="K2489" i="51"/>
  <c r="C2489" i="51"/>
  <c r="A2489" i="51"/>
  <c r="K2488" i="51"/>
  <c r="C2488" i="51"/>
  <c r="A2488" i="51"/>
  <c r="K2487" i="51"/>
  <c r="C2487" i="51"/>
  <c r="A2487" i="51"/>
  <c r="K2486" i="51"/>
  <c r="C2486" i="51"/>
  <c r="A2486" i="51"/>
  <c r="K2485" i="51"/>
  <c r="C2485" i="51"/>
  <c r="A2485" i="51"/>
  <c r="K2484" i="51"/>
  <c r="C2484" i="51"/>
  <c r="A2484" i="51"/>
  <c r="K2483" i="51"/>
  <c r="C2483" i="51"/>
  <c r="A2483" i="51"/>
  <c r="K2482" i="51"/>
  <c r="C2482" i="51"/>
  <c r="A2482" i="51"/>
  <c r="K2481" i="51"/>
  <c r="C2481" i="51"/>
  <c r="A2481" i="51"/>
  <c r="K2480" i="51"/>
  <c r="C2480" i="51"/>
  <c r="A2480" i="51"/>
  <c r="K2479" i="51"/>
  <c r="C2479" i="51"/>
  <c r="A2479" i="51"/>
  <c r="C2478" i="51"/>
  <c r="A2478" i="51"/>
  <c r="K2477" i="51"/>
  <c r="E2428" i="51"/>
  <c r="E2429" i="51"/>
  <c r="E2430" i="51"/>
  <c r="E2431" i="51"/>
  <c r="E2432" i="51"/>
  <c r="E2433" i="51"/>
  <c r="E2434" i="51"/>
  <c r="E2435" i="51"/>
  <c r="E2436" i="51"/>
  <c r="E2437" i="51"/>
  <c r="E2438" i="51"/>
  <c r="E2439" i="51"/>
  <c r="E2440" i="51"/>
  <c r="E2441" i="51"/>
  <c r="E2442" i="51"/>
  <c r="E2443" i="51"/>
  <c r="E2444" i="51"/>
  <c r="E2445" i="51"/>
  <c r="E2446" i="51"/>
  <c r="E2447" i="51"/>
  <c r="E2448" i="51"/>
  <c r="E2449" i="51"/>
  <c r="E2450" i="51"/>
  <c r="E2451" i="51"/>
  <c r="E2452" i="51"/>
  <c r="E2453" i="51"/>
  <c r="E2454" i="51"/>
  <c r="E2455" i="51"/>
  <c r="E2456" i="51"/>
  <c r="E2457" i="51"/>
  <c r="E2458" i="51"/>
  <c r="E2459" i="51"/>
  <c r="E2460" i="51"/>
  <c r="E2461" i="51"/>
  <c r="E2462" i="51"/>
  <c r="E2463" i="51"/>
  <c r="E2464" i="51"/>
  <c r="E2465" i="51"/>
  <c r="E2466" i="51"/>
  <c r="E2467" i="51"/>
  <c r="E2468" i="51"/>
  <c r="E2469" i="51"/>
  <c r="E2470" i="51"/>
  <c r="E2471" i="51"/>
  <c r="E2472" i="51"/>
  <c r="E2473" i="51"/>
  <c r="E2474" i="51"/>
  <c r="E2475" i="51"/>
  <c r="E2476" i="51"/>
  <c r="E2477" i="51"/>
  <c r="C2477" i="51"/>
  <c r="A2477" i="51"/>
  <c r="K2476" i="51"/>
  <c r="C2476" i="51"/>
  <c r="A2476" i="51"/>
  <c r="K2475" i="51"/>
  <c r="C2475" i="51"/>
  <c r="A2475" i="51"/>
  <c r="K2474" i="51"/>
  <c r="C2474" i="51"/>
  <c r="A2474" i="51"/>
  <c r="K2473" i="51"/>
  <c r="C2473" i="51"/>
  <c r="A2473" i="51"/>
  <c r="K2472" i="51"/>
  <c r="C2472" i="51"/>
  <c r="A2472" i="51"/>
  <c r="K2471" i="51"/>
  <c r="C2471" i="51"/>
  <c r="A2471" i="51"/>
  <c r="K2470" i="51"/>
  <c r="C2470" i="51"/>
  <c r="A2470" i="51"/>
  <c r="K2469" i="51"/>
  <c r="C2469" i="51"/>
  <c r="A2469" i="51"/>
  <c r="K2468" i="51"/>
  <c r="C2468" i="51"/>
  <c r="A2468" i="51"/>
  <c r="K2467" i="51"/>
  <c r="C2467" i="51"/>
  <c r="A2467" i="51"/>
  <c r="K2466" i="51"/>
  <c r="C2466" i="51"/>
  <c r="A2466" i="51"/>
  <c r="K2465" i="51"/>
  <c r="C2465" i="51"/>
  <c r="A2465" i="51"/>
  <c r="K2464" i="51"/>
  <c r="C2464" i="51"/>
  <c r="A2464" i="51"/>
  <c r="K2463" i="51"/>
  <c r="C2463" i="51"/>
  <c r="A2463" i="51"/>
  <c r="K2462" i="51"/>
  <c r="C2462" i="51"/>
  <c r="A2462" i="51"/>
  <c r="K2461" i="51"/>
  <c r="C2461" i="51"/>
  <c r="A2461" i="51"/>
  <c r="K2460" i="51"/>
  <c r="C2460" i="51"/>
  <c r="A2460" i="51"/>
  <c r="K2459" i="51"/>
  <c r="C2459" i="51"/>
  <c r="A2459" i="51"/>
  <c r="K2458" i="51"/>
  <c r="C2458" i="51"/>
  <c r="A2458" i="51"/>
  <c r="K2457" i="51"/>
  <c r="C2457" i="51"/>
  <c r="A2457" i="51"/>
  <c r="K2456" i="51"/>
  <c r="C2456" i="51"/>
  <c r="A2456" i="51"/>
  <c r="K2455" i="51"/>
  <c r="C2455" i="51"/>
  <c r="A2455" i="51"/>
  <c r="K2454" i="51"/>
  <c r="C2454" i="51"/>
  <c r="A2454" i="51"/>
  <c r="K2453" i="51"/>
  <c r="C2453" i="51"/>
  <c r="A2453" i="51"/>
  <c r="K2452" i="51"/>
  <c r="C2452" i="51"/>
  <c r="A2452" i="51"/>
  <c r="K2451" i="51"/>
  <c r="C2451" i="51"/>
  <c r="A2451" i="51"/>
  <c r="K2450" i="51"/>
  <c r="C2450" i="51"/>
  <c r="A2450" i="51"/>
  <c r="K2449" i="51"/>
  <c r="C2449" i="51"/>
  <c r="A2449" i="51"/>
  <c r="K2448" i="51"/>
  <c r="C2448" i="51"/>
  <c r="A2448" i="51"/>
  <c r="K2447" i="51"/>
  <c r="C2447" i="51"/>
  <c r="A2447" i="51"/>
  <c r="K2446" i="51"/>
  <c r="C2446" i="51"/>
  <c r="A2446" i="51"/>
  <c r="K2445" i="51"/>
  <c r="C2445" i="51"/>
  <c r="A2445" i="51"/>
  <c r="K2444" i="51"/>
  <c r="C2444" i="51"/>
  <c r="A2444" i="51"/>
  <c r="K2443" i="51"/>
  <c r="C2443" i="51"/>
  <c r="A2443" i="51"/>
  <c r="K2442" i="51"/>
  <c r="C2442" i="51"/>
  <c r="A2442" i="51"/>
  <c r="K2441" i="51"/>
  <c r="C2441" i="51"/>
  <c r="A2441" i="51"/>
  <c r="K2440" i="51"/>
  <c r="C2440" i="51"/>
  <c r="A2440" i="51"/>
  <c r="K2439" i="51"/>
  <c r="C2439" i="51"/>
  <c r="A2439" i="51"/>
  <c r="K2438" i="51"/>
  <c r="C2438" i="51"/>
  <c r="A2438" i="51"/>
  <c r="K2437" i="51"/>
  <c r="C2437" i="51"/>
  <c r="A2437" i="51"/>
  <c r="K2436" i="51"/>
  <c r="C2436" i="51"/>
  <c r="A2436" i="51"/>
  <c r="K2435" i="51"/>
  <c r="C2435" i="51"/>
  <c r="A2435" i="51"/>
  <c r="K2434" i="51"/>
  <c r="C2434" i="51"/>
  <c r="A2434" i="51"/>
  <c r="K2433" i="51"/>
  <c r="C2433" i="51"/>
  <c r="A2433" i="51"/>
  <c r="K2432" i="51"/>
  <c r="C2432" i="51"/>
  <c r="A2432" i="51"/>
  <c r="K2431" i="51"/>
  <c r="C2431" i="51"/>
  <c r="A2431" i="51"/>
  <c r="K2430" i="51"/>
  <c r="C2430" i="51"/>
  <c r="A2430" i="51"/>
  <c r="K2429" i="51"/>
  <c r="C2429" i="51"/>
  <c r="A2429" i="51"/>
  <c r="K2428" i="51"/>
  <c r="C2428" i="51"/>
  <c r="A2428" i="51"/>
  <c r="K2427" i="51"/>
  <c r="C2427" i="51"/>
  <c r="A2427" i="51"/>
  <c r="C2426" i="51"/>
  <c r="A2426" i="51"/>
  <c r="O313" i="26"/>
  <c r="J314" i="26"/>
  <c r="H314" i="26"/>
  <c r="G314" i="26"/>
  <c r="E314" i="26"/>
  <c r="Q313" i="26"/>
  <c r="J313" i="26"/>
  <c r="H313" i="26"/>
  <c r="G313" i="26"/>
  <c r="E313" i="26"/>
  <c r="A455" i="24"/>
  <c r="A456" i="24"/>
  <c r="A457" i="24"/>
  <c r="E315" i="26"/>
  <c r="G315" i="26"/>
  <c r="H315" i="26"/>
  <c r="J315" i="26"/>
  <c r="C121" i="60"/>
  <c r="D121" i="60"/>
  <c r="E121" i="60"/>
  <c r="A125" i="60"/>
  <c r="C125" i="60"/>
  <c r="D125" i="60"/>
  <c r="E125" i="60"/>
  <c r="E2759" i="51"/>
  <c r="E2760" i="51"/>
  <c r="E2761" i="51"/>
  <c r="E2762" i="51"/>
  <c r="E2763" i="51"/>
  <c r="E2764" i="51"/>
  <c r="E2765" i="51"/>
  <c r="E2766" i="51"/>
  <c r="E2767" i="51"/>
  <c r="E2768" i="51"/>
  <c r="E2769" i="51"/>
  <c r="E2770" i="51"/>
  <c r="E2771" i="51"/>
  <c r="E2772" i="51"/>
  <c r="E2773" i="51"/>
  <c r="E2774" i="51"/>
  <c r="E2775" i="51"/>
  <c r="E2776" i="51"/>
  <c r="E2777" i="51"/>
  <c r="E2778" i="51"/>
  <c r="E2779" i="51"/>
  <c r="E2780" i="51"/>
  <c r="E2781" i="51"/>
  <c r="E2782" i="51"/>
  <c r="E2783" i="51"/>
  <c r="E2784" i="51"/>
  <c r="E2785" i="51"/>
  <c r="E2786" i="51"/>
  <c r="E2787" i="51"/>
  <c r="E2788" i="51"/>
  <c r="E2789" i="51"/>
  <c r="E2790" i="51"/>
  <c r="E2791" i="51"/>
  <c r="E2792" i="51"/>
  <c r="E2793" i="51"/>
  <c r="E2794" i="51"/>
  <c r="E2795" i="51"/>
  <c r="E2796" i="51"/>
  <c r="E2797" i="51"/>
  <c r="E2798" i="51"/>
  <c r="E2799" i="51"/>
  <c r="E2800" i="51"/>
  <c r="E2801" i="51"/>
  <c r="E2802" i="51"/>
  <c r="E2803" i="51"/>
  <c r="E2804" i="51"/>
  <c r="E2805" i="51"/>
  <c r="E2806" i="51"/>
  <c r="E2807" i="51"/>
  <c r="E2808" i="51"/>
  <c r="C2808" i="51"/>
  <c r="A2808" i="51"/>
  <c r="C2807" i="51"/>
  <c r="A2807" i="51"/>
  <c r="C2806" i="51"/>
  <c r="A2806" i="51"/>
  <c r="C2805" i="51"/>
  <c r="A2805" i="51"/>
  <c r="C2804" i="51"/>
  <c r="A2804" i="51"/>
  <c r="C2803" i="51"/>
  <c r="A2803" i="51"/>
  <c r="C2802" i="51"/>
  <c r="A2802" i="51"/>
  <c r="C2801" i="51"/>
  <c r="A2801" i="51"/>
  <c r="C2800" i="51"/>
  <c r="A2800" i="51"/>
  <c r="C2799" i="51"/>
  <c r="A2799" i="51"/>
  <c r="C2798" i="51"/>
  <c r="A2798" i="51"/>
  <c r="C2797" i="51"/>
  <c r="A2797" i="51"/>
  <c r="C2796" i="51"/>
  <c r="A2796" i="51"/>
  <c r="C2795" i="51"/>
  <c r="A2795" i="51"/>
  <c r="C2794" i="51"/>
  <c r="A2794" i="51"/>
  <c r="C2793" i="51"/>
  <c r="A2793" i="51"/>
  <c r="C2792" i="51"/>
  <c r="A2792" i="51"/>
  <c r="C2791" i="51"/>
  <c r="A2791" i="51"/>
  <c r="A2790" i="51"/>
  <c r="C2789" i="51"/>
  <c r="A2789" i="51"/>
  <c r="C2788" i="51"/>
  <c r="A2788" i="51"/>
  <c r="C2787" i="51"/>
  <c r="A2787" i="51"/>
  <c r="C2786" i="51"/>
  <c r="A2786" i="51"/>
  <c r="C2785" i="51"/>
  <c r="A2785" i="51"/>
  <c r="C2784" i="51"/>
  <c r="A2784" i="51"/>
  <c r="C2783" i="51"/>
  <c r="A2783" i="51"/>
  <c r="C2782" i="51"/>
  <c r="A2782" i="51"/>
  <c r="C2781" i="51"/>
  <c r="A2781" i="51"/>
  <c r="C2780" i="51"/>
  <c r="A2780" i="51"/>
  <c r="C2779" i="51"/>
  <c r="A2779" i="51"/>
  <c r="C2778" i="51"/>
  <c r="A2778" i="51"/>
  <c r="C2777" i="51"/>
  <c r="A2777" i="51"/>
  <c r="C2776" i="51"/>
  <c r="A2776" i="51"/>
  <c r="C2775" i="51"/>
  <c r="A2775" i="51"/>
  <c r="C2774" i="51"/>
  <c r="A2774" i="51"/>
  <c r="C2773" i="51"/>
  <c r="A2773" i="51"/>
  <c r="C2772" i="51"/>
  <c r="A2772" i="51"/>
  <c r="C2771" i="51"/>
  <c r="A2771" i="51"/>
  <c r="C2770" i="51"/>
  <c r="A2770" i="51"/>
  <c r="C2769" i="51"/>
  <c r="A2769" i="51"/>
  <c r="C2768" i="51"/>
  <c r="A2768" i="51"/>
  <c r="C2767" i="51"/>
  <c r="A2767" i="51"/>
  <c r="C2766" i="51"/>
  <c r="A2766" i="51"/>
  <c r="C2765" i="51"/>
  <c r="A2765" i="51"/>
  <c r="C2764" i="51"/>
  <c r="A2764" i="51"/>
  <c r="C2763" i="51"/>
  <c r="A2763" i="51"/>
  <c r="C2762" i="51"/>
  <c r="A2762" i="51"/>
  <c r="C2761" i="51"/>
  <c r="A2761" i="51"/>
  <c r="C2760" i="51"/>
  <c r="A2760" i="51"/>
  <c r="C2759" i="51"/>
  <c r="A2759" i="51"/>
  <c r="C2758" i="51"/>
  <c r="A2758" i="51"/>
  <c r="C2757" i="51"/>
  <c r="A2757" i="51"/>
  <c r="E2698" i="51"/>
  <c r="E2699" i="51"/>
  <c r="E2700" i="51"/>
  <c r="E2701" i="51"/>
  <c r="E2702" i="51"/>
  <c r="E2703" i="51"/>
  <c r="E2704" i="51"/>
  <c r="E2705" i="51"/>
  <c r="E2706" i="51"/>
  <c r="E2707" i="51"/>
  <c r="E2708" i="51"/>
  <c r="E2709" i="51"/>
  <c r="E2710" i="51"/>
  <c r="E2711" i="51"/>
  <c r="E2712" i="51"/>
  <c r="E2713" i="51"/>
  <c r="E2714" i="51"/>
  <c r="E2715" i="51"/>
  <c r="E2716" i="51"/>
  <c r="E2717" i="51"/>
  <c r="E2718" i="51"/>
  <c r="E2719" i="51"/>
  <c r="E2720" i="51"/>
  <c r="E2721" i="51"/>
  <c r="E2722" i="51"/>
  <c r="E2723" i="51"/>
  <c r="E2724" i="51"/>
  <c r="E2725" i="51"/>
  <c r="E2726" i="51"/>
  <c r="E2727" i="51"/>
  <c r="E2728" i="51"/>
  <c r="E2729" i="51"/>
  <c r="E2730" i="51"/>
  <c r="E2731" i="51"/>
  <c r="E2732" i="51"/>
  <c r="E2733" i="51"/>
  <c r="E2734" i="51"/>
  <c r="E2735" i="51"/>
  <c r="E2736" i="51"/>
  <c r="E2737" i="51"/>
  <c r="E2738" i="51"/>
  <c r="E2739" i="51"/>
  <c r="E2740" i="51"/>
  <c r="E2741" i="51"/>
  <c r="E2742" i="51"/>
  <c r="E2743" i="51"/>
  <c r="E2744" i="51"/>
  <c r="E2745" i="51"/>
  <c r="E2746" i="51"/>
  <c r="E2747" i="51"/>
  <c r="C2747" i="51"/>
  <c r="A2747" i="51"/>
  <c r="C2746" i="51"/>
  <c r="A2746" i="51"/>
  <c r="C2745" i="51"/>
  <c r="A2745" i="51"/>
  <c r="C2744" i="51"/>
  <c r="A2744" i="51"/>
  <c r="C2743" i="51"/>
  <c r="A2743" i="51"/>
  <c r="C2742" i="51"/>
  <c r="A2742" i="51"/>
  <c r="C2741" i="51"/>
  <c r="A2741" i="51"/>
  <c r="C2740" i="51"/>
  <c r="A2740" i="51"/>
  <c r="C2739" i="51"/>
  <c r="A2739" i="51"/>
  <c r="C2738" i="51"/>
  <c r="A2738" i="51"/>
  <c r="C2737" i="51"/>
  <c r="A2737" i="51"/>
  <c r="C2736" i="51"/>
  <c r="A2736" i="51"/>
  <c r="C2735" i="51"/>
  <c r="A2735" i="51"/>
  <c r="C2734" i="51"/>
  <c r="A2734" i="51"/>
  <c r="C2733" i="51"/>
  <c r="A2733" i="51"/>
  <c r="C2732" i="51"/>
  <c r="A2732" i="51"/>
  <c r="C2731" i="51"/>
  <c r="A2731" i="51"/>
  <c r="C2730" i="51"/>
  <c r="A2730" i="51"/>
  <c r="C2729" i="51"/>
  <c r="A2729" i="51"/>
  <c r="C2728" i="51"/>
  <c r="A2728" i="51"/>
  <c r="C2727" i="51"/>
  <c r="A2727" i="51"/>
  <c r="C2726" i="51"/>
  <c r="A2726" i="51"/>
  <c r="C2725" i="51"/>
  <c r="A2725" i="51"/>
  <c r="C2724" i="51"/>
  <c r="A2724" i="51"/>
  <c r="C2723" i="51"/>
  <c r="A2723" i="51"/>
  <c r="C2722" i="51"/>
  <c r="A2722" i="51"/>
  <c r="C2721" i="51"/>
  <c r="A2721" i="51"/>
  <c r="C2720" i="51"/>
  <c r="A2720" i="51"/>
  <c r="C2719" i="51"/>
  <c r="A2719" i="51"/>
  <c r="C2718" i="51"/>
  <c r="A2718" i="51"/>
  <c r="C2717" i="51"/>
  <c r="A2717" i="51"/>
  <c r="C2716" i="51"/>
  <c r="A2716" i="51"/>
  <c r="C2715" i="51"/>
  <c r="A2715" i="51"/>
  <c r="C2714" i="51"/>
  <c r="A2714" i="51"/>
  <c r="C2713" i="51"/>
  <c r="A2713" i="51"/>
  <c r="C2712" i="51"/>
  <c r="A2712" i="51"/>
  <c r="C2711" i="51"/>
  <c r="A2711" i="51"/>
  <c r="C2710" i="51"/>
  <c r="A2710" i="51"/>
  <c r="C2709" i="51"/>
  <c r="A2709" i="51"/>
  <c r="C2708" i="51"/>
  <c r="A2708" i="51"/>
  <c r="C2707" i="51"/>
  <c r="A2707" i="51"/>
  <c r="C2706" i="51"/>
  <c r="A2706" i="51"/>
  <c r="C2705" i="51"/>
  <c r="A2705" i="51"/>
  <c r="C2704" i="51"/>
  <c r="A2704" i="51"/>
  <c r="C2703" i="51"/>
  <c r="A2703" i="51"/>
  <c r="C2702" i="51"/>
  <c r="A2702" i="51"/>
  <c r="C2701" i="51"/>
  <c r="A2701" i="51"/>
  <c r="C2700" i="51"/>
  <c r="A2700" i="51"/>
  <c r="C2699" i="51"/>
  <c r="A2699" i="51"/>
  <c r="C2698" i="51"/>
  <c r="A2698" i="51"/>
  <c r="C2697" i="51"/>
  <c r="A2697" i="51"/>
  <c r="C2696" i="51"/>
  <c r="A2696" i="51"/>
  <c r="E2646" i="51"/>
  <c r="E2647" i="51"/>
  <c r="E2648" i="51"/>
  <c r="E2649" i="51"/>
  <c r="E2650" i="51"/>
  <c r="E2651" i="51"/>
  <c r="E2652" i="51"/>
  <c r="E2653" i="51"/>
  <c r="E2654" i="51"/>
  <c r="E2655" i="51"/>
  <c r="E2656" i="51"/>
  <c r="E2657" i="51"/>
  <c r="E2658" i="51"/>
  <c r="E2659" i="51"/>
  <c r="E2660" i="51"/>
  <c r="E2661" i="51"/>
  <c r="E2662" i="51"/>
  <c r="E2663" i="51"/>
  <c r="E2664" i="51"/>
  <c r="E2665" i="51"/>
  <c r="E2666" i="51"/>
  <c r="E2667" i="51"/>
  <c r="E2668" i="51"/>
  <c r="E2669" i="51"/>
  <c r="E2670" i="51"/>
  <c r="E2671" i="51"/>
  <c r="E2672" i="51"/>
  <c r="E2673" i="51"/>
  <c r="E2674" i="51"/>
  <c r="E2675" i="51"/>
  <c r="E2676" i="51"/>
  <c r="E2677" i="51"/>
  <c r="E2678" i="51"/>
  <c r="E2679" i="51"/>
  <c r="E2680" i="51"/>
  <c r="E2681" i="51"/>
  <c r="E2682" i="51"/>
  <c r="E2683" i="51"/>
  <c r="E2684" i="51"/>
  <c r="E2685" i="51"/>
  <c r="E2686" i="51"/>
  <c r="E2687" i="51"/>
  <c r="E2688" i="51"/>
  <c r="E2689" i="51"/>
  <c r="E2690" i="51"/>
  <c r="E2691" i="51"/>
  <c r="E2692" i="51"/>
  <c r="E2693" i="51"/>
  <c r="E2694" i="51"/>
  <c r="E2695" i="51"/>
  <c r="C2695" i="51"/>
  <c r="A2695" i="51"/>
  <c r="C2694" i="51"/>
  <c r="A2694" i="51"/>
  <c r="C2693" i="51"/>
  <c r="A2693" i="51"/>
  <c r="C2692" i="51"/>
  <c r="A2692" i="51"/>
  <c r="C2691" i="51"/>
  <c r="A2691" i="51"/>
  <c r="C2690" i="51"/>
  <c r="A2690" i="51"/>
  <c r="C2689" i="51"/>
  <c r="A2689" i="51"/>
  <c r="C2688" i="51"/>
  <c r="A2688" i="51"/>
  <c r="C2687" i="51"/>
  <c r="A2687" i="51"/>
  <c r="C2686" i="51"/>
  <c r="A2686" i="51"/>
  <c r="C2685" i="51"/>
  <c r="A2685" i="51"/>
  <c r="C2684" i="51"/>
  <c r="A2684" i="51"/>
  <c r="C2683" i="51"/>
  <c r="A2683" i="51"/>
  <c r="C2682" i="51"/>
  <c r="A2682" i="51"/>
  <c r="C2681" i="51"/>
  <c r="A2681" i="51"/>
  <c r="C2680" i="51"/>
  <c r="A2680" i="51"/>
  <c r="C2679" i="51"/>
  <c r="A2679" i="51"/>
  <c r="C2678" i="51"/>
  <c r="A2678" i="51"/>
  <c r="C2677" i="51"/>
  <c r="A2677" i="51"/>
  <c r="C2676" i="51"/>
  <c r="A2676" i="51"/>
  <c r="C2675" i="51"/>
  <c r="A2675" i="51"/>
  <c r="C2674" i="51"/>
  <c r="A2674" i="51"/>
  <c r="C2673" i="51"/>
  <c r="A2673" i="51"/>
  <c r="C2672" i="51"/>
  <c r="A2672" i="51"/>
  <c r="C2671" i="51"/>
  <c r="A2671" i="51"/>
  <c r="C2670" i="51"/>
  <c r="A2670" i="51"/>
  <c r="C2669" i="51"/>
  <c r="A2669" i="51"/>
  <c r="C2668" i="51"/>
  <c r="A2668" i="51"/>
  <c r="C2667" i="51"/>
  <c r="A2667" i="51"/>
  <c r="C2666" i="51"/>
  <c r="A2666" i="51"/>
  <c r="C2665" i="51"/>
  <c r="A2665" i="51"/>
  <c r="C2664" i="51"/>
  <c r="A2664" i="51"/>
  <c r="C2663" i="51"/>
  <c r="A2663" i="51"/>
  <c r="C2662" i="51"/>
  <c r="A2662" i="51"/>
  <c r="C2661" i="51"/>
  <c r="A2661" i="51"/>
  <c r="C2660" i="51"/>
  <c r="A2660" i="51"/>
  <c r="C2659" i="51"/>
  <c r="A2659" i="51"/>
  <c r="C2658" i="51"/>
  <c r="A2658" i="51"/>
  <c r="C2657" i="51"/>
  <c r="A2657" i="51"/>
  <c r="C2656" i="51"/>
  <c r="A2656" i="51"/>
  <c r="C2655" i="51"/>
  <c r="A2655" i="51"/>
  <c r="C2654" i="51"/>
  <c r="A2654" i="51"/>
  <c r="C2653" i="51"/>
  <c r="A2653" i="51"/>
  <c r="C2652" i="51"/>
  <c r="A2652" i="51"/>
  <c r="C2651" i="51"/>
  <c r="A2651" i="51"/>
  <c r="C2650" i="51"/>
  <c r="A2650" i="51"/>
  <c r="C2649" i="51"/>
  <c r="A2649" i="51"/>
  <c r="C2648" i="51"/>
  <c r="A2648" i="51"/>
  <c r="C2647" i="51"/>
  <c r="A2647" i="51"/>
  <c r="C2646" i="51"/>
  <c r="A2646" i="51"/>
  <c r="C2645" i="51"/>
  <c r="A2645" i="51"/>
  <c r="C2644" i="51"/>
  <c r="A2644" i="51"/>
  <c r="A461" i="24"/>
  <c r="A462" i="24"/>
  <c r="E320" i="26"/>
  <c r="G320" i="26"/>
  <c r="J320" i="26"/>
  <c r="E319" i="26"/>
  <c r="G319" i="26"/>
  <c r="J319" i="26"/>
  <c r="A112" i="60"/>
  <c r="A113" i="60"/>
  <c r="E113" i="60"/>
  <c r="D113" i="60"/>
  <c r="C113" i="60"/>
  <c r="E112" i="60"/>
  <c r="D112" i="60"/>
  <c r="C112" i="60"/>
  <c r="E111" i="60"/>
  <c r="D111" i="60"/>
  <c r="C111" i="60"/>
  <c r="A111" i="60"/>
  <c r="A454" i="24"/>
  <c r="A452" i="24"/>
  <c r="A453" i="24"/>
  <c r="E2376" i="51"/>
  <c r="E2377" i="51"/>
  <c r="E2378" i="51"/>
  <c r="E2379" i="51"/>
  <c r="E2380" i="51"/>
  <c r="E2381" i="51"/>
  <c r="E2382" i="51"/>
  <c r="E2383" i="51"/>
  <c r="E2384" i="51"/>
  <c r="E2385" i="51"/>
  <c r="E2386" i="51"/>
  <c r="E2387" i="51"/>
  <c r="E2388" i="51"/>
  <c r="E2389" i="51"/>
  <c r="E2390" i="51"/>
  <c r="E2391" i="51"/>
  <c r="E2392" i="51"/>
  <c r="E2393" i="51"/>
  <c r="E2394" i="51"/>
  <c r="E2395" i="51"/>
  <c r="E2396" i="51"/>
  <c r="E2397" i="51"/>
  <c r="E2398" i="51"/>
  <c r="E2399" i="51"/>
  <c r="E2400" i="51"/>
  <c r="E2401" i="51"/>
  <c r="E2402" i="51"/>
  <c r="E2403" i="51"/>
  <c r="E2404" i="51"/>
  <c r="E2405" i="51"/>
  <c r="E2406" i="51"/>
  <c r="E2407" i="51"/>
  <c r="E2408" i="51"/>
  <c r="E2409" i="51"/>
  <c r="E2410" i="51"/>
  <c r="E2411" i="51"/>
  <c r="E2412" i="51"/>
  <c r="E2413" i="51"/>
  <c r="E2414" i="51"/>
  <c r="E2415" i="51"/>
  <c r="E2416" i="51"/>
  <c r="E2417" i="51"/>
  <c r="E2418" i="51"/>
  <c r="E2419" i="51"/>
  <c r="E2420" i="51"/>
  <c r="E2421" i="51"/>
  <c r="E2422" i="51"/>
  <c r="E2423" i="51"/>
  <c r="E2424" i="51"/>
  <c r="E2425" i="51"/>
  <c r="E2324" i="51"/>
  <c r="E2325" i="51"/>
  <c r="E2326" i="51"/>
  <c r="E2327" i="51"/>
  <c r="E2328" i="51"/>
  <c r="E2329" i="51"/>
  <c r="E2330" i="51"/>
  <c r="E2331" i="51"/>
  <c r="E2332" i="51"/>
  <c r="E2333" i="51"/>
  <c r="E2334" i="51"/>
  <c r="E2335" i="51"/>
  <c r="E2336" i="51"/>
  <c r="E2337" i="51"/>
  <c r="E2338" i="51"/>
  <c r="E2339" i="51"/>
  <c r="E2340" i="51"/>
  <c r="E2341" i="51"/>
  <c r="E2342" i="51"/>
  <c r="E2343" i="51"/>
  <c r="E2344" i="51"/>
  <c r="E2345" i="51"/>
  <c r="E2346" i="51"/>
  <c r="E2347" i="51"/>
  <c r="E2348" i="51"/>
  <c r="E2349" i="51"/>
  <c r="E2350" i="51"/>
  <c r="E2351" i="51"/>
  <c r="E2352" i="51"/>
  <c r="E2353" i="51"/>
  <c r="E2354" i="51"/>
  <c r="E2355" i="51"/>
  <c r="E2356" i="51"/>
  <c r="E2357" i="51"/>
  <c r="E2358" i="51"/>
  <c r="E2359" i="51"/>
  <c r="E2360" i="51"/>
  <c r="E2361" i="51"/>
  <c r="E2362" i="51"/>
  <c r="E2363" i="51"/>
  <c r="E2364" i="51"/>
  <c r="E2365" i="51"/>
  <c r="E2366" i="51"/>
  <c r="E2367" i="51"/>
  <c r="E2368" i="51"/>
  <c r="E2369" i="51"/>
  <c r="E2370" i="51"/>
  <c r="E2371" i="51"/>
  <c r="E2372" i="51"/>
  <c r="E2373" i="51"/>
  <c r="A2323" i="51"/>
  <c r="C2323" i="51"/>
  <c r="A2324" i="51"/>
  <c r="C2324" i="51"/>
  <c r="A2325" i="51"/>
  <c r="C2325" i="51"/>
  <c r="A2326" i="51"/>
  <c r="C2326" i="51"/>
  <c r="A2327" i="51"/>
  <c r="C2327" i="51"/>
  <c r="A2328" i="51"/>
  <c r="C2328" i="51"/>
  <c r="A2329" i="51"/>
  <c r="C2329" i="51"/>
  <c r="A2330" i="51"/>
  <c r="C2330" i="51"/>
  <c r="A2331" i="51"/>
  <c r="C2331" i="51"/>
  <c r="A2332" i="51"/>
  <c r="C2332" i="51"/>
  <c r="A2333" i="51"/>
  <c r="C2333" i="51"/>
  <c r="A2334" i="51"/>
  <c r="C2334" i="51"/>
  <c r="A2335" i="51"/>
  <c r="C2335" i="51"/>
  <c r="A2336" i="51"/>
  <c r="C2336" i="51"/>
  <c r="A2337" i="51"/>
  <c r="C2337" i="51"/>
  <c r="A2338" i="51"/>
  <c r="C2338" i="51"/>
  <c r="A2339" i="51"/>
  <c r="C2339" i="51"/>
  <c r="A2340" i="51"/>
  <c r="C2340" i="51"/>
  <c r="A2341" i="51"/>
  <c r="C2341" i="51"/>
  <c r="A2342" i="51"/>
  <c r="C2342" i="51"/>
  <c r="A2343" i="51"/>
  <c r="C2343" i="51"/>
  <c r="A2344" i="51"/>
  <c r="C2344" i="51"/>
  <c r="A2345" i="51"/>
  <c r="C2345" i="51"/>
  <c r="A2346" i="51"/>
  <c r="C2346" i="51"/>
  <c r="A2347" i="51"/>
  <c r="C2347" i="51"/>
  <c r="A2348" i="51"/>
  <c r="C2348" i="51"/>
  <c r="A2349" i="51"/>
  <c r="C2349" i="51"/>
  <c r="A2350" i="51"/>
  <c r="C2350" i="51"/>
  <c r="A2351" i="51"/>
  <c r="C2351" i="51"/>
  <c r="A2352" i="51"/>
  <c r="C2352" i="51"/>
  <c r="A2353" i="51"/>
  <c r="C2353" i="51"/>
  <c r="A2354" i="51"/>
  <c r="C2354" i="51"/>
  <c r="A2355" i="51"/>
  <c r="C2355" i="51"/>
  <c r="A2356" i="51"/>
  <c r="C2356" i="51"/>
  <c r="A2357" i="51"/>
  <c r="C2357" i="51"/>
  <c r="A2358" i="51"/>
  <c r="C2358" i="51"/>
  <c r="A2359" i="51"/>
  <c r="C2359" i="51"/>
  <c r="A2360" i="51"/>
  <c r="C2360" i="51"/>
  <c r="A2361" i="51"/>
  <c r="C2361" i="51"/>
  <c r="A2362" i="51"/>
  <c r="C2362" i="51"/>
  <c r="A2363" i="51"/>
  <c r="C2363" i="51"/>
  <c r="A2364" i="51"/>
  <c r="C2364" i="51"/>
  <c r="A2365" i="51"/>
  <c r="C2365" i="51"/>
  <c r="A2366" i="51"/>
  <c r="C2366" i="51"/>
  <c r="A2367" i="51"/>
  <c r="C2367" i="51"/>
  <c r="A2368" i="51"/>
  <c r="C2368" i="51"/>
  <c r="A2369" i="51"/>
  <c r="C2369" i="51"/>
  <c r="A2370" i="51"/>
  <c r="C2370" i="51"/>
  <c r="A2371" i="51"/>
  <c r="C2371" i="51"/>
  <c r="A2372" i="51"/>
  <c r="C2372" i="51"/>
  <c r="A2373" i="51"/>
  <c r="C2373" i="51"/>
  <c r="A2374" i="51"/>
  <c r="C2374" i="51"/>
  <c r="A2375" i="51"/>
  <c r="C2375" i="51"/>
  <c r="A2376" i="51"/>
  <c r="C2376" i="51"/>
  <c r="A2377" i="51"/>
  <c r="C2377" i="51"/>
  <c r="A2378" i="51"/>
  <c r="C2378" i="51"/>
  <c r="A2379" i="51"/>
  <c r="C2379" i="51"/>
  <c r="A2380" i="51"/>
  <c r="C2380" i="51"/>
  <c r="A2381" i="51"/>
  <c r="C2381" i="51"/>
  <c r="A2382" i="51"/>
  <c r="C2382" i="51"/>
  <c r="A2383" i="51"/>
  <c r="C2383" i="51"/>
  <c r="A2384" i="51"/>
  <c r="C2384" i="51"/>
  <c r="A2385" i="51"/>
  <c r="C2385" i="51"/>
  <c r="A2386" i="51"/>
  <c r="C2386" i="51"/>
  <c r="A2387" i="51"/>
  <c r="C2387" i="51"/>
  <c r="A2388" i="51"/>
  <c r="C2388" i="51"/>
  <c r="A2389" i="51"/>
  <c r="C2389" i="51"/>
  <c r="A2390" i="51"/>
  <c r="C2390" i="51"/>
  <c r="A2391" i="51"/>
  <c r="C2391" i="51"/>
  <c r="A2392" i="51"/>
  <c r="C2392" i="51"/>
  <c r="A2393" i="51"/>
  <c r="C2393" i="51"/>
  <c r="A2394" i="51"/>
  <c r="C2394" i="51"/>
  <c r="A2395" i="51"/>
  <c r="C2395" i="51"/>
  <c r="A2396" i="51"/>
  <c r="C2396" i="51"/>
  <c r="A2397" i="51"/>
  <c r="C2397" i="51"/>
  <c r="A2398" i="51"/>
  <c r="C2398" i="51"/>
  <c r="A2399" i="51"/>
  <c r="C2399" i="51"/>
  <c r="A2400" i="51"/>
  <c r="C2400" i="51"/>
  <c r="A2401" i="51"/>
  <c r="C2401" i="51"/>
  <c r="A2402" i="51"/>
  <c r="C2402" i="51"/>
  <c r="A2403" i="51"/>
  <c r="C2403" i="51"/>
  <c r="A2404" i="51"/>
  <c r="C2404" i="51"/>
  <c r="A2405" i="51"/>
  <c r="C2405" i="51"/>
  <c r="A2406" i="51"/>
  <c r="C2406" i="51"/>
  <c r="A2407" i="51"/>
  <c r="C2407" i="51"/>
  <c r="A2408" i="51"/>
  <c r="C2408" i="51"/>
  <c r="A2409" i="51"/>
  <c r="C2409" i="51"/>
  <c r="A2410" i="51"/>
  <c r="C2410" i="51"/>
  <c r="A2411" i="51"/>
  <c r="C2411" i="51"/>
  <c r="A2412" i="51"/>
  <c r="C2412" i="51"/>
  <c r="A2413" i="51"/>
  <c r="C2413" i="51"/>
  <c r="A2414" i="51"/>
  <c r="C2414" i="51"/>
  <c r="A2415" i="51"/>
  <c r="C2415" i="51"/>
  <c r="A2416" i="51"/>
  <c r="C2416" i="51"/>
  <c r="A2417" i="51"/>
  <c r="C2417" i="51"/>
  <c r="A2418" i="51"/>
  <c r="C2418" i="51"/>
  <c r="A2419" i="51"/>
  <c r="C2419" i="51"/>
  <c r="A2420" i="51"/>
  <c r="C2420" i="51"/>
  <c r="A2421" i="51"/>
  <c r="C2421" i="51"/>
  <c r="A2422" i="51"/>
  <c r="C2422" i="51"/>
  <c r="A2423" i="51"/>
  <c r="C2423" i="51"/>
  <c r="A2424" i="51"/>
  <c r="C2424" i="51"/>
  <c r="A2425" i="51"/>
  <c r="C2425" i="51"/>
  <c r="A2322" i="51"/>
  <c r="C2322" i="51"/>
  <c r="A2314" i="51"/>
  <c r="C2314" i="51"/>
  <c r="I2314" i="51"/>
  <c r="A2315" i="51"/>
  <c r="C2315" i="51"/>
  <c r="I2315" i="51"/>
  <c r="A2316" i="51"/>
  <c r="C2316" i="51"/>
  <c r="A2317" i="51"/>
  <c r="C2317" i="51"/>
  <c r="I2317" i="51"/>
  <c r="A2318" i="51"/>
  <c r="C2318" i="51"/>
  <c r="I2318" i="51"/>
  <c r="K2318" i="51"/>
  <c r="A2319" i="51"/>
  <c r="C2319" i="51"/>
  <c r="I2319" i="51"/>
  <c r="A2320" i="51"/>
  <c r="C2320" i="51"/>
  <c r="I2320" i="51"/>
  <c r="A2321" i="51"/>
  <c r="C2321" i="51"/>
  <c r="E310" i="26"/>
  <c r="G310" i="26"/>
  <c r="H310" i="26"/>
  <c r="J310" i="26"/>
  <c r="E311" i="26"/>
  <c r="G311" i="26"/>
  <c r="H311" i="26"/>
  <c r="J311" i="26"/>
  <c r="E312" i="26"/>
  <c r="G312" i="26"/>
  <c r="H312" i="26"/>
  <c r="J312" i="26"/>
  <c r="Q273" i="26"/>
  <c r="Q274" i="26"/>
  <c r="Q275" i="26"/>
  <c r="Q276" i="26"/>
  <c r="Q277" i="26"/>
  <c r="Q278" i="26"/>
  <c r="Q279" i="26"/>
  <c r="Q280" i="26"/>
  <c r="Q281" i="26"/>
  <c r="Q282" i="26"/>
  <c r="Q283" i="26"/>
  <c r="Q284" i="26"/>
  <c r="Q285" i="26"/>
  <c r="Q286" i="26"/>
  <c r="Q287" i="26"/>
  <c r="A22" i="24"/>
  <c r="A23" i="24"/>
  <c r="E110" i="60"/>
  <c r="D110" i="60"/>
  <c r="C110" i="60"/>
  <c r="E109" i="60"/>
  <c r="D109" i="60"/>
  <c r="C109" i="60"/>
  <c r="E108" i="60"/>
  <c r="D108" i="60"/>
  <c r="C108" i="60"/>
  <c r="E107" i="60"/>
  <c r="D107" i="60"/>
  <c r="C107" i="60"/>
  <c r="E106" i="60"/>
  <c r="D106" i="60"/>
  <c r="C106" i="60"/>
  <c r="A451" i="24"/>
  <c r="A447" i="24"/>
  <c r="A448" i="24"/>
  <c r="A449" i="24"/>
  <c r="A450" i="24"/>
  <c r="I2313" i="51"/>
  <c r="K2313" i="51"/>
  <c r="C2313" i="51"/>
  <c r="A2313" i="51"/>
  <c r="I2312" i="51"/>
  <c r="C2312" i="51"/>
  <c r="A2312" i="51"/>
  <c r="I2311" i="51"/>
  <c r="K2311" i="51"/>
  <c r="C2311" i="51"/>
  <c r="A2311" i="51"/>
  <c r="I2310" i="51"/>
  <c r="C2310" i="51"/>
  <c r="A2310" i="51"/>
  <c r="I2309" i="51"/>
  <c r="K2309" i="51"/>
  <c r="C2309" i="51"/>
  <c r="A2309" i="51"/>
  <c r="I2308" i="51"/>
  <c r="C2308" i="51"/>
  <c r="A2308" i="51"/>
  <c r="I2307" i="51"/>
  <c r="K2307" i="51"/>
  <c r="I2306" i="51"/>
  <c r="A2307" i="51"/>
  <c r="C2307" i="51"/>
  <c r="A2306" i="51"/>
  <c r="C2306" i="51"/>
  <c r="E2281" i="51"/>
  <c r="E2282" i="51"/>
  <c r="E2283" i="51"/>
  <c r="E2284" i="51"/>
  <c r="E2285" i="51"/>
  <c r="E2286" i="51"/>
  <c r="E2287" i="51"/>
  <c r="E2288" i="51"/>
  <c r="E2289" i="51"/>
  <c r="E2290" i="51"/>
  <c r="E2291" i="51"/>
  <c r="E2292" i="51"/>
  <c r="E2293" i="51"/>
  <c r="E2294" i="51"/>
  <c r="E2295" i="51"/>
  <c r="E2296" i="51"/>
  <c r="E2297" i="51"/>
  <c r="E2298" i="51"/>
  <c r="E2299" i="51"/>
  <c r="E2300" i="51"/>
  <c r="E2301" i="51"/>
  <c r="E2302" i="51"/>
  <c r="E2303" i="51"/>
  <c r="E2304" i="51"/>
  <c r="E2305" i="51"/>
  <c r="A2280" i="51"/>
  <c r="C2280" i="51"/>
  <c r="I2280" i="51"/>
  <c r="A2281" i="51"/>
  <c r="C2281" i="51"/>
  <c r="A2282" i="51"/>
  <c r="C2282" i="51"/>
  <c r="A2283" i="51"/>
  <c r="C2283" i="51"/>
  <c r="A2284" i="51"/>
  <c r="C2284" i="51"/>
  <c r="A2285" i="51"/>
  <c r="C2285" i="51"/>
  <c r="A2286" i="51"/>
  <c r="C2286" i="51"/>
  <c r="A2287" i="51"/>
  <c r="C2287" i="51"/>
  <c r="A2288" i="51"/>
  <c r="C2288" i="51"/>
  <c r="A2289" i="51"/>
  <c r="C2289" i="51"/>
  <c r="A2290" i="51"/>
  <c r="C2290" i="51"/>
  <c r="A2291" i="51"/>
  <c r="C2291" i="51"/>
  <c r="A2292" i="51"/>
  <c r="C2292" i="51"/>
  <c r="A2293" i="51"/>
  <c r="C2293" i="51"/>
  <c r="A2294" i="51"/>
  <c r="C2294" i="51"/>
  <c r="A2295" i="51"/>
  <c r="C2295" i="51"/>
  <c r="A2296" i="51"/>
  <c r="C2296" i="51"/>
  <c r="A2297" i="51"/>
  <c r="C2297" i="51"/>
  <c r="A2298" i="51"/>
  <c r="C2298" i="51"/>
  <c r="A2299" i="51"/>
  <c r="C2299" i="51"/>
  <c r="A2300" i="51"/>
  <c r="C2300" i="51"/>
  <c r="A2301" i="51"/>
  <c r="C2301" i="51"/>
  <c r="A2302" i="51"/>
  <c r="C2302" i="51"/>
  <c r="A2303" i="51"/>
  <c r="C2303" i="51"/>
  <c r="A2304" i="51"/>
  <c r="C2304" i="51"/>
  <c r="A2305" i="51"/>
  <c r="C2305" i="51"/>
  <c r="A2279" i="51"/>
  <c r="C2279" i="51"/>
  <c r="I2279" i="51"/>
  <c r="H306" i="26"/>
  <c r="H307" i="26"/>
  <c r="H308" i="26"/>
  <c r="H309" i="26"/>
  <c r="H305" i="26"/>
  <c r="E305" i="26"/>
  <c r="G305" i="26"/>
  <c r="J305" i="26"/>
  <c r="E306" i="26"/>
  <c r="G306" i="26"/>
  <c r="J306" i="26"/>
  <c r="E307" i="26"/>
  <c r="G307" i="26"/>
  <c r="J307" i="26"/>
  <c r="E308" i="26"/>
  <c r="G308" i="26"/>
  <c r="J308" i="26"/>
  <c r="E309" i="26"/>
  <c r="G309" i="26"/>
  <c r="J309" i="26"/>
  <c r="A62" i="24"/>
  <c r="A61" i="24"/>
  <c r="A60" i="24"/>
  <c r="A59" i="24"/>
  <c r="A58" i="24"/>
  <c r="A130" i="24"/>
  <c r="A5352" i="51"/>
  <c r="C5352" i="51"/>
  <c r="E526" i="26"/>
  <c r="F526" i="26"/>
  <c r="G526" i="26"/>
  <c r="J526" i="26"/>
  <c r="C5284" i="51"/>
  <c r="A5284" i="51"/>
  <c r="C5283" i="51"/>
  <c r="A5283" i="51"/>
  <c r="C5282" i="51"/>
  <c r="A5282" i="51"/>
  <c r="C5281" i="51"/>
  <c r="A5281" i="51"/>
  <c r="C5280" i="51"/>
  <c r="A5280" i="51"/>
  <c r="J458" i="26"/>
  <c r="G458" i="26"/>
  <c r="F458" i="26"/>
  <c r="E458" i="26"/>
  <c r="J457" i="26"/>
  <c r="G457" i="26"/>
  <c r="F457" i="26"/>
  <c r="E457" i="26"/>
  <c r="J456" i="26"/>
  <c r="G456" i="26"/>
  <c r="F456" i="26"/>
  <c r="E456" i="26"/>
  <c r="J455" i="26"/>
  <c r="G455" i="26"/>
  <c r="F455" i="26"/>
  <c r="E455" i="26"/>
  <c r="J454" i="26"/>
  <c r="G454" i="26"/>
  <c r="F454" i="26"/>
  <c r="E454" i="26"/>
  <c r="E105" i="60"/>
  <c r="C105" i="60"/>
  <c r="A446" i="24"/>
  <c r="I2278" i="51"/>
  <c r="C2278" i="51"/>
  <c r="A2278" i="51"/>
  <c r="I2277" i="51"/>
  <c r="C2277" i="51"/>
  <c r="A2277" i="51"/>
  <c r="I2276" i="51"/>
  <c r="C2276" i="51"/>
  <c r="A2276" i="51"/>
  <c r="I2273" i="51"/>
  <c r="I2274" i="51"/>
  <c r="C2275" i="51"/>
  <c r="A2275" i="51"/>
  <c r="C2274" i="51"/>
  <c r="A2274" i="51"/>
  <c r="C2273" i="51"/>
  <c r="A2273" i="51"/>
  <c r="J304" i="26"/>
  <c r="G304" i="26"/>
  <c r="E304" i="26"/>
  <c r="D104" i="60"/>
  <c r="A104" i="60"/>
  <c r="C104" i="60"/>
  <c r="E104" i="60"/>
  <c r="A445" i="24"/>
  <c r="E2223" i="51"/>
  <c r="E2224" i="51"/>
  <c r="E2225" i="51"/>
  <c r="E2226" i="51"/>
  <c r="E2227" i="51"/>
  <c r="E2228" i="51"/>
  <c r="E2229" i="51"/>
  <c r="E2230" i="51"/>
  <c r="E2231" i="51"/>
  <c r="E2232" i="51"/>
  <c r="E2233" i="51"/>
  <c r="E2234" i="51"/>
  <c r="E2235" i="51"/>
  <c r="E2236" i="51"/>
  <c r="E2237" i="51"/>
  <c r="E2238" i="51"/>
  <c r="E2239" i="51"/>
  <c r="E2240" i="51"/>
  <c r="E2241" i="51"/>
  <c r="E2242" i="51"/>
  <c r="E2243" i="51"/>
  <c r="E2244" i="51"/>
  <c r="E2245" i="51"/>
  <c r="E2246" i="51"/>
  <c r="E2247" i="51"/>
  <c r="E2248" i="51"/>
  <c r="E2249" i="51"/>
  <c r="E2250" i="51"/>
  <c r="E2251" i="51"/>
  <c r="E2252" i="51"/>
  <c r="E2253" i="51"/>
  <c r="E2254" i="51"/>
  <c r="E2255" i="51"/>
  <c r="E2256" i="51"/>
  <c r="E2257" i="51"/>
  <c r="E2258" i="51"/>
  <c r="E2259" i="51"/>
  <c r="E2260" i="51"/>
  <c r="E2261" i="51"/>
  <c r="E2262" i="51"/>
  <c r="E2263" i="51"/>
  <c r="E2264" i="51"/>
  <c r="E2265" i="51"/>
  <c r="E2266" i="51"/>
  <c r="E2267" i="51"/>
  <c r="E2268" i="51"/>
  <c r="E2269" i="51"/>
  <c r="E2270" i="51"/>
  <c r="E2271" i="51"/>
  <c r="E2272" i="51"/>
  <c r="C2272" i="51"/>
  <c r="A2272" i="51"/>
  <c r="C2271" i="51"/>
  <c r="A2271" i="51"/>
  <c r="C2270" i="51"/>
  <c r="A2270" i="51"/>
  <c r="C2269" i="51"/>
  <c r="A2269" i="51"/>
  <c r="C2268" i="51"/>
  <c r="A2268" i="51"/>
  <c r="C2267" i="51"/>
  <c r="A2267" i="51"/>
  <c r="C2266" i="51"/>
  <c r="A2266" i="51"/>
  <c r="C2265" i="51"/>
  <c r="A2265" i="51"/>
  <c r="C2264" i="51"/>
  <c r="A2264" i="51"/>
  <c r="C2263" i="51"/>
  <c r="A2263" i="51"/>
  <c r="C2262" i="51"/>
  <c r="A2262" i="51"/>
  <c r="C2261" i="51"/>
  <c r="A2261" i="51"/>
  <c r="C2260" i="51"/>
  <c r="A2260" i="51"/>
  <c r="C2259" i="51"/>
  <c r="A2259" i="51"/>
  <c r="C2258" i="51"/>
  <c r="A2258" i="51"/>
  <c r="C2257" i="51"/>
  <c r="A2257" i="51"/>
  <c r="C2256" i="51"/>
  <c r="A2256" i="51"/>
  <c r="C2255" i="51"/>
  <c r="A2255" i="51"/>
  <c r="C2254" i="51"/>
  <c r="A2254" i="51"/>
  <c r="C2253" i="51"/>
  <c r="A2253" i="51"/>
  <c r="C2252" i="51"/>
  <c r="A2252" i="51"/>
  <c r="C2251" i="51"/>
  <c r="A2251" i="51"/>
  <c r="C2250" i="51"/>
  <c r="A2250" i="51"/>
  <c r="C2249" i="51"/>
  <c r="A2249" i="51"/>
  <c r="C2248" i="51"/>
  <c r="A2248" i="51"/>
  <c r="C2247" i="51"/>
  <c r="A2247" i="51"/>
  <c r="C2246" i="51"/>
  <c r="A2246" i="51"/>
  <c r="C2245" i="51"/>
  <c r="A2245" i="51"/>
  <c r="C2244" i="51"/>
  <c r="A2244" i="51"/>
  <c r="C2243" i="51"/>
  <c r="A2243" i="51"/>
  <c r="C2242" i="51"/>
  <c r="A2242" i="51"/>
  <c r="C2241" i="51"/>
  <c r="A2241" i="51"/>
  <c r="C2240" i="51"/>
  <c r="A2240" i="51"/>
  <c r="C2239" i="51"/>
  <c r="A2239" i="51"/>
  <c r="C2238" i="51"/>
  <c r="A2238" i="51"/>
  <c r="C2237" i="51"/>
  <c r="A2237" i="51"/>
  <c r="C2236" i="51"/>
  <c r="A2236" i="51"/>
  <c r="C2235" i="51"/>
  <c r="A2235" i="51"/>
  <c r="C2234" i="51"/>
  <c r="A2234" i="51"/>
  <c r="C2233" i="51"/>
  <c r="A2233" i="51"/>
  <c r="C2232" i="51"/>
  <c r="A2232" i="51"/>
  <c r="C2231" i="51"/>
  <c r="A2231" i="51"/>
  <c r="C2230" i="51"/>
  <c r="A2230" i="51"/>
  <c r="C2229" i="51"/>
  <c r="A2229" i="51"/>
  <c r="C2228" i="51"/>
  <c r="A2228" i="51"/>
  <c r="C2227" i="51"/>
  <c r="A2227" i="51"/>
  <c r="C2226" i="51"/>
  <c r="A2226" i="51"/>
  <c r="C2225" i="51"/>
  <c r="A2225" i="51"/>
  <c r="C2224" i="51"/>
  <c r="A2224" i="51"/>
  <c r="C2223" i="51"/>
  <c r="A2223" i="51"/>
  <c r="I2222" i="51"/>
  <c r="C2222" i="51"/>
  <c r="A2222" i="51"/>
  <c r="I2221" i="51"/>
  <c r="C2221" i="51"/>
  <c r="A2221" i="51"/>
  <c r="J303" i="26"/>
  <c r="E303" i="26"/>
  <c r="G303" i="26"/>
  <c r="H303" i="26"/>
  <c r="A103" i="60"/>
  <c r="C103" i="60"/>
  <c r="E103" i="60"/>
  <c r="A444" i="24"/>
  <c r="I2220" i="51"/>
  <c r="I2219" i="51"/>
  <c r="I2218" i="51"/>
  <c r="I2215" i="51"/>
  <c r="I2216" i="51"/>
  <c r="C2215" i="51"/>
  <c r="C2216" i="51"/>
  <c r="C2217" i="51"/>
  <c r="C2218" i="51"/>
  <c r="C2219" i="51"/>
  <c r="C2220" i="51"/>
  <c r="C5089" i="51"/>
  <c r="A2215" i="51"/>
  <c r="A2216" i="51"/>
  <c r="A2217" i="51"/>
  <c r="A2218" i="51"/>
  <c r="A2219" i="51"/>
  <c r="A2220" i="51"/>
  <c r="E302" i="26"/>
  <c r="G302" i="26"/>
  <c r="J302" i="26"/>
  <c r="A235" i="60"/>
  <c r="C235" i="60"/>
  <c r="D235" i="60"/>
  <c r="E235" i="60"/>
  <c r="A102" i="60"/>
  <c r="C102" i="60"/>
  <c r="D102" i="60"/>
  <c r="E102" i="60"/>
  <c r="A442" i="24"/>
  <c r="G442" i="24"/>
  <c r="A443" i="24"/>
  <c r="B157" i="59"/>
  <c r="I2214" i="51"/>
  <c r="I2213" i="51"/>
  <c r="I2212" i="51"/>
  <c r="I2211" i="51"/>
  <c r="I2210" i="51"/>
  <c r="A2211" i="51"/>
  <c r="C2211" i="51"/>
  <c r="A2212" i="51"/>
  <c r="C2212" i="51"/>
  <c r="A2213" i="51"/>
  <c r="C2213" i="51"/>
  <c r="A2214" i="51"/>
  <c r="C2214" i="51"/>
  <c r="A2210" i="51"/>
  <c r="C2210" i="51"/>
  <c r="E300" i="26"/>
  <c r="G300" i="26"/>
  <c r="H300" i="26"/>
  <c r="J300" i="26"/>
  <c r="E301" i="26"/>
  <c r="G301" i="26"/>
  <c r="H301" i="26"/>
  <c r="J301" i="26"/>
  <c r="I2159" i="51"/>
  <c r="I2158" i="51"/>
  <c r="I2155" i="51"/>
  <c r="I2154" i="51"/>
  <c r="I2149" i="51"/>
  <c r="I2150" i="51"/>
  <c r="A2155" i="51"/>
  <c r="C2155" i="51"/>
  <c r="A2156" i="51"/>
  <c r="C2156" i="51"/>
  <c r="E2160" i="51"/>
  <c r="E2161" i="51"/>
  <c r="E2162" i="51"/>
  <c r="E2163" i="51"/>
  <c r="E2164" i="51"/>
  <c r="E2165" i="51"/>
  <c r="E2166" i="51"/>
  <c r="E2167" i="51"/>
  <c r="E2168" i="51"/>
  <c r="E2169" i="51"/>
  <c r="E2170" i="51"/>
  <c r="E2171" i="51"/>
  <c r="E2172" i="51"/>
  <c r="E2173" i="51"/>
  <c r="E2174" i="51"/>
  <c r="E2175" i="51"/>
  <c r="E2176" i="51"/>
  <c r="E2177" i="51"/>
  <c r="E2178" i="51"/>
  <c r="E2179" i="51"/>
  <c r="E2180" i="51"/>
  <c r="E2181" i="51"/>
  <c r="E2182" i="51"/>
  <c r="E2183" i="51"/>
  <c r="E2184" i="51"/>
  <c r="E2185" i="51"/>
  <c r="E2186" i="51"/>
  <c r="E2187" i="51"/>
  <c r="E2188" i="51"/>
  <c r="E2189" i="51"/>
  <c r="E2190" i="51"/>
  <c r="E2191" i="51"/>
  <c r="E2192" i="51"/>
  <c r="E2193" i="51"/>
  <c r="E2194" i="51"/>
  <c r="E2195" i="51"/>
  <c r="E2196" i="51"/>
  <c r="E2197" i="51"/>
  <c r="E2198" i="51"/>
  <c r="E2199" i="51"/>
  <c r="E2200" i="51"/>
  <c r="E2201" i="51"/>
  <c r="E2202" i="51"/>
  <c r="E2203" i="51"/>
  <c r="E2204" i="51"/>
  <c r="E2205" i="51"/>
  <c r="E2206" i="51"/>
  <c r="E2207" i="51"/>
  <c r="E2208" i="51"/>
  <c r="E2209" i="51"/>
  <c r="C2209" i="51"/>
  <c r="A2209" i="51"/>
  <c r="C2208" i="51"/>
  <c r="A2208" i="51"/>
  <c r="C2207" i="51"/>
  <c r="A2207" i="51"/>
  <c r="C2206" i="51"/>
  <c r="A2206" i="51"/>
  <c r="C2205" i="51"/>
  <c r="A2205" i="51"/>
  <c r="C2204" i="51"/>
  <c r="A2204" i="51"/>
  <c r="C2203" i="51"/>
  <c r="A2203" i="51"/>
  <c r="C2202" i="51"/>
  <c r="A2202" i="51"/>
  <c r="C2201" i="51"/>
  <c r="A2201" i="51"/>
  <c r="C2200" i="51"/>
  <c r="A2200" i="51"/>
  <c r="C2199" i="51"/>
  <c r="A2199" i="51"/>
  <c r="C2198" i="51"/>
  <c r="A2198" i="51"/>
  <c r="C2197" i="51"/>
  <c r="A2197" i="51"/>
  <c r="C2196" i="51"/>
  <c r="A2196" i="51"/>
  <c r="C2195" i="51"/>
  <c r="A2195" i="51"/>
  <c r="C2194" i="51"/>
  <c r="A2194" i="51"/>
  <c r="C2193" i="51"/>
  <c r="A2193" i="51"/>
  <c r="C2192" i="51"/>
  <c r="A2192" i="51"/>
  <c r="C2191" i="51"/>
  <c r="A2191" i="51"/>
  <c r="C2190" i="51"/>
  <c r="A2190" i="51"/>
  <c r="C2189" i="51"/>
  <c r="A2189" i="51"/>
  <c r="C2188" i="51"/>
  <c r="A2188" i="51"/>
  <c r="C2187" i="51"/>
  <c r="A2187" i="51"/>
  <c r="C2186" i="51"/>
  <c r="A2186" i="51"/>
  <c r="C2185" i="51"/>
  <c r="A2185" i="51"/>
  <c r="C2184" i="51"/>
  <c r="A2184" i="51"/>
  <c r="C2183" i="51"/>
  <c r="A2183" i="51"/>
  <c r="C2182" i="51"/>
  <c r="A2182" i="51"/>
  <c r="C2181" i="51"/>
  <c r="A2181" i="51"/>
  <c r="C2180" i="51"/>
  <c r="A2180" i="51"/>
  <c r="C2179" i="51"/>
  <c r="A2179" i="51"/>
  <c r="C2178" i="51"/>
  <c r="A2178" i="51"/>
  <c r="C2177" i="51"/>
  <c r="A2177" i="51"/>
  <c r="C2176" i="51"/>
  <c r="A2176" i="51"/>
  <c r="C2175" i="51"/>
  <c r="A2175" i="51"/>
  <c r="C2174" i="51"/>
  <c r="A2174" i="51"/>
  <c r="C2173" i="51"/>
  <c r="A2173" i="51"/>
  <c r="C2172" i="51"/>
  <c r="A2172" i="51"/>
  <c r="C2171" i="51"/>
  <c r="A2171" i="51"/>
  <c r="C2170" i="51"/>
  <c r="A2170" i="51"/>
  <c r="C2169" i="51"/>
  <c r="A2169" i="51"/>
  <c r="C2168" i="51"/>
  <c r="A2168" i="51"/>
  <c r="C2167" i="51"/>
  <c r="A2167" i="51"/>
  <c r="C2166" i="51"/>
  <c r="A2166" i="51"/>
  <c r="C2165" i="51"/>
  <c r="A2165" i="51"/>
  <c r="C2164" i="51"/>
  <c r="A2164" i="51"/>
  <c r="C2163" i="51"/>
  <c r="A2163" i="51"/>
  <c r="C2162" i="51"/>
  <c r="A2162" i="51"/>
  <c r="C2161" i="51"/>
  <c r="A2161" i="51"/>
  <c r="C2160" i="51"/>
  <c r="A2160" i="51"/>
  <c r="C2159" i="51"/>
  <c r="A2159" i="51"/>
  <c r="C2158" i="51"/>
  <c r="A2158" i="51"/>
  <c r="I2157" i="51"/>
  <c r="C2157" i="51"/>
  <c r="A2157" i="51"/>
  <c r="C2154" i="51"/>
  <c r="A2154" i="51"/>
  <c r="I2153" i="51"/>
  <c r="J2153" i="51"/>
  <c r="C2153" i="51"/>
  <c r="A2153" i="51"/>
  <c r="I2152" i="51"/>
  <c r="J2152" i="51"/>
  <c r="C2152" i="51"/>
  <c r="A2152" i="51"/>
  <c r="I2151" i="51"/>
  <c r="C2151" i="51"/>
  <c r="A2151" i="51"/>
  <c r="C2150" i="51"/>
  <c r="A2150" i="51"/>
  <c r="C2149" i="51"/>
  <c r="A2149" i="51"/>
  <c r="A99" i="60"/>
  <c r="C99" i="60"/>
  <c r="D99" i="60"/>
  <c r="E99" i="60"/>
  <c r="A100" i="60"/>
  <c r="C100" i="60"/>
  <c r="D100" i="60"/>
  <c r="E100" i="60"/>
  <c r="A101" i="60"/>
  <c r="C101" i="60"/>
  <c r="D101" i="60"/>
  <c r="E101" i="60"/>
  <c r="E2099" i="51"/>
  <c r="E2100" i="51"/>
  <c r="E2101" i="51"/>
  <c r="E2102" i="51"/>
  <c r="E2103" i="51"/>
  <c r="E2104" i="51"/>
  <c r="E2105" i="51"/>
  <c r="E2106" i="51"/>
  <c r="E2107" i="51"/>
  <c r="E2108" i="51"/>
  <c r="E2109" i="51"/>
  <c r="E2110" i="51"/>
  <c r="E2111" i="51"/>
  <c r="E2112" i="51"/>
  <c r="E2113" i="51"/>
  <c r="E2114" i="51"/>
  <c r="E2115" i="51"/>
  <c r="E2116" i="51"/>
  <c r="E2117" i="51"/>
  <c r="E2118" i="51"/>
  <c r="E2119" i="51"/>
  <c r="E2120" i="51"/>
  <c r="E2121" i="51"/>
  <c r="E2122" i="51"/>
  <c r="E2123" i="51"/>
  <c r="E2124" i="51"/>
  <c r="E2125" i="51"/>
  <c r="E2126" i="51"/>
  <c r="E2127" i="51"/>
  <c r="E2128" i="51"/>
  <c r="E2129" i="51"/>
  <c r="E2130" i="51"/>
  <c r="E2131" i="51"/>
  <c r="E2132" i="51"/>
  <c r="E2133" i="51"/>
  <c r="E2134" i="51"/>
  <c r="E2135" i="51"/>
  <c r="E2136" i="51"/>
  <c r="E2137" i="51"/>
  <c r="E2138" i="51"/>
  <c r="E2139" i="51"/>
  <c r="E2140" i="51"/>
  <c r="E2141" i="51"/>
  <c r="E2142" i="51"/>
  <c r="E2143" i="51"/>
  <c r="E2144" i="51"/>
  <c r="E2145" i="51"/>
  <c r="E2146" i="51"/>
  <c r="E2147" i="51"/>
  <c r="E2148" i="51"/>
  <c r="C2148" i="51"/>
  <c r="A2148" i="51"/>
  <c r="C2147" i="51"/>
  <c r="A2147" i="51"/>
  <c r="C2146" i="51"/>
  <c r="A2146" i="51"/>
  <c r="C2145" i="51"/>
  <c r="A2145" i="51"/>
  <c r="C2144" i="51"/>
  <c r="A2144" i="51"/>
  <c r="C2143" i="51"/>
  <c r="A2143" i="51"/>
  <c r="C2142" i="51"/>
  <c r="A2142" i="51"/>
  <c r="C2141" i="51"/>
  <c r="A2141" i="51"/>
  <c r="C2140" i="51"/>
  <c r="A2140" i="51"/>
  <c r="C2139" i="51"/>
  <c r="A2139" i="51"/>
  <c r="C2138" i="51"/>
  <c r="A2138" i="51"/>
  <c r="C2137" i="51"/>
  <c r="A2137" i="51"/>
  <c r="C2136" i="51"/>
  <c r="A2136" i="51"/>
  <c r="C2135" i="51"/>
  <c r="A2135" i="51"/>
  <c r="C2134" i="51"/>
  <c r="A2134" i="51"/>
  <c r="C2133" i="51"/>
  <c r="A2133" i="51"/>
  <c r="C2132" i="51"/>
  <c r="A2132" i="51"/>
  <c r="C2131" i="51"/>
  <c r="A2131" i="51"/>
  <c r="C2130" i="51"/>
  <c r="A2130" i="51"/>
  <c r="C2129" i="51"/>
  <c r="A2129" i="51"/>
  <c r="C2128" i="51"/>
  <c r="A2128" i="51"/>
  <c r="C2127" i="51"/>
  <c r="A2127" i="51"/>
  <c r="C2126" i="51"/>
  <c r="A2126" i="51"/>
  <c r="C2125" i="51"/>
  <c r="A2125" i="51"/>
  <c r="C2124" i="51"/>
  <c r="A2124" i="51"/>
  <c r="C2123" i="51"/>
  <c r="A2123" i="51"/>
  <c r="C2122" i="51"/>
  <c r="A2122" i="51"/>
  <c r="C2121" i="51"/>
  <c r="A2121" i="51"/>
  <c r="C2120" i="51"/>
  <c r="A2120" i="51"/>
  <c r="C2119" i="51"/>
  <c r="A2119" i="51"/>
  <c r="C2118" i="51"/>
  <c r="A2118" i="51"/>
  <c r="C2117" i="51"/>
  <c r="A2117" i="51"/>
  <c r="C2116" i="51"/>
  <c r="A2116" i="51"/>
  <c r="C2115" i="51"/>
  <c r="A2115" i="51"/>
  <c r="C2114" i="51"/>
  <c r="A2114" i="51"/>
  <c r="C2113" i="51"/>
  <c r="A2113" i="51"/>
  <c r="C2112" i="51"/>
  <c r="A2112" i="51"/>
  <c r="C2111" i="51"/>
  <c r="A2111" i="51"/>
  <c r="C2110" i="51"/>
  <c r="A2110" i="51"/>
  <c r="C2109" i="51"/>
  <c r="A2109" i="51"/>
  <c r="C2108" i="51"/>
  <c r="A2108" i="51"/>
  <c r="C2107" i="51"/>
  <c r="A2107" i="51"/>
  <c r="C2106" i="51"/>
  <c r="A2106" i="51"/>
  <c r="C2105" i="51"/>
  <c r="A2105" i="51"/>
  <c r="C2104" i="51"/>
  <c r="A2104" i="51"/>
  <c r="C2103" i="51"/>
  <c r="A2103" i="51"/>
  <c r="C2102" i="51"/>
  <c r="A2102" i="51"/>
  <c r="C2101" i="51"/>
  <c r="A2101" i="51"/>
  <c r="C2100" i="51"/>
  <c r="A2100" i="51"/>
  <c r="C2099" i="51"/>
  <c r="A2099" i="51"/>
  <c r="C2098" i="51"/>
  <c r="A2098" i="51"/>
  <c r="C2097" i="51"/>
  <c r="A2097" i="51"/>
  <c r="A440" i="24"/>
  <c r="G440" i="24"/>
  <c r="A441" i="24"/>
  <c r="G441" i="24"/>
  <c r="G439" i="24"/>
  <c r="A439" i="24"/>
  <c r="Q181" i="26"/>
  <c r="E297" i="26"/>
  <c r="G297" i="26"/>
  <c r="H297" i="26"/>
  <c r="J297" i="26"/>
  <c r="E298" i="26"/>
  <c r="G298" i="26"/>
  <c r="H298" i="26"/>
  <c r="J298" i="26"/>
  <c r="E299" i="26"/>
  <c r="G299" i="26"/>
  <c r="H299" i="26"/>
  <c r="J299" i="26"/>
  <c r="A438" i="24"/>
  <c r="A5367" i="51"/>
  <c r="C5367" i="51"/>
  <c r="J541" i="26"/>
  <c r="G541" i="26"/>
  <c r="F541" i="26"/>
  <c r="E541" i="26"/>
  <c r="O272" i="26"/>
  <c r="Q272" i="26"/>
  <c r="A436" i="24"/>
  <c r="A437" i="24"/>
  <c r="I5365" i="51"/>
  <c r="A5365" i="51"/>
  <c r="C5365" i="51"/>
  <c r="A5366" i="51"/>
  <c r="C5366" i="51"/>
  <c r="E539" i="26"/>
  <c r="F539" i="26"/>
  <c r="G539" i="26"/>
  <c r="H539" i="26"/>
  <c r="J539" i="26"/>
  <c r="E540" i="26"/>
  <c r="F540" i="26"/>
  <c r="G540" i="26"/>
  <c r="H540" i="26"/>
  <c r="J540" i="26"/>
  <c r="G433" i="24"/>
  <c r="G434" i="24"/>
  <c r="G435" i="24"/>
  <c r="C97" i="60"/>
  <c r="D97" i="60"/>
  <c r="E97" i="60"/>
  <c r="C98" i="60"/>
  <c r="D98" i="60"/>
  <c r="E98" i="60"/>
  <c r="A92" i="60"/>
  <c r="A93" i="60"/>
  <c r="A96" i="60"/>
  <c r="A97" i="60"/>
  <c r="A98" i="60"/>
  <c r="A91" i="60"/>
  <c r="C91" i="60"/>
  <c r="D91" i="60"/>
  <c r="E91" i="60"/>
  <c r="C92" i="60"/>
  <c r="E92" i="60"/>
  <c r="C93" i="60"/>
  <c r="D93" i="60"/>
  <c r="E93" i="60"/>
  <c r="C94" i="60"/>
  <c r="D94" i="60"/>
  <c r="E94" i="60"/>
  <c r="C95" i="60"/>
  <c r="D95" i="60"/>
  <c r="E95" i="60"/>
  <c r="C96" i="60"/>
  <c r="D96" i="60"/>
  <c r="E96" i="60"/>
  <c r="G429" i="24"/>
  <c r="G428" i="24"/>
  <c r="A428" i="24"/>
  <c r="A429" i="24"/>
  <c r="A430" i="24"/>
  <c r="A431" i="24"/>
  <c r="A432" i="24"/>
  <c r="A433" i="24"/>
  <c r="A434" i="24"/>
  <c r="A435" i="24"/>
  <c r="B156" i="59"/>
  <c r="K1943" i="51"/>
  <c r="K1944" i="51"/>
  <c r="K1945" i="51"/>
  <c r="K1946" i="51"/>
  <c r="K1947" i="51"/>
  <c r="K1948" i="51"/>
  <c r="K1949" i="51"/>
  <c r="K1950" i="51"/>
  <c r="K1951" i="51"/>
  <c r="K1952" i="51"/>
  <c r="K1953" i="51"/>
  <c r="K1954" i="51"/>
  <c r="K1955" i="51"/>
  <c r="K1956" i="51"/>
  <c r="K1957" i="51"/>
  <c r="K1958" i="51"/>
  <c r="K1959" i="51"/>
  <c r="K1960" i="51"/>
  <c r="K1961" i="51"/>
  <c r="K1962" i="51"/>
  <c r="K1963" i="51"/>
  <c r="K1964" i="51"/>
  <c r="K1965" i="51"/>
  <c r="K1966" i="51"/>
  <c r="K1967" i="51"/>
  <c r="K1968" i="51"/>
  <c r="K1969" i="51"/>
  <c r="K1970" i="51"/>
  <c r="K1971" i="51"/>
  <c r="K1972" i="51"/>
  <c r="K1973" i="51"/>
  <c r="K1974" i="51"/>
  <c r="K1975" i="51"/>
  <c r="K1976" i="51"/>
  <c r="K1977" i="51"/>
  <c r="K1978" i="51"/>
  <c r="K1979" i="51"/>
  <c r="K1980" i="51"/>
  <c r="K1981" i="51"/>
  <c r="K1982" i="51"/>
  <c r="K1983" i="51"/>
  <c r="K1984" i="51"/>
  <c r="K1985" i="51"/>
  <c r="K1986" i="51"/>
  <c r="K1987" i="51"/>
  <c r="K1988" i="51"/>
  <c r="K1989" i="51"/>
  <c r="K1990" i="51"/>
  <c r="K1991" i="51"/>
  <c r="K1992" i="51"/>
  <c r="K1994" i="51"/>
  <c r="K1995" i="51"/>
  <c r="K1996" i="51"/>
  <c r="K1997" i="51"/>
  <c r="K1998" i="51"/>
  <c r="K1999" i="51"/>
  <c r="K2000" i="51"/>
  <c r="K2001" i="51"/>
  <c r="K2002" i="51"/>
  <c r="K2003" i="51"/>
  <c r="K2004" i="51"/>
  <c r="K2005" i="51"/>
  <c r="K2006" i="51"/>
  <c r="K2007" i="51"/>
  <c r="K2008" i="51"/>
  <c r="K2009" i="51"/>
  <c r="K2010" i="51"/>
  <c r="K2011" i="51"/>
  <c r="K2012" i="51"/>
  <c r="K2013" i="51"/>
  <c r="K2014" i="51"/>
  <c r="K2015" i="51"/>
  <c r="K2016" i="51"/>
  <c r="K2017" i="51"/>
  <c r="K2018" i="51"/>
  <c r="K2019" i="51"/>
  <c r="K2020" i="51"/>
  <c r="K2021" i="51"/>
  <c r="K2022" i="51"/>
  <c r="K2023" i="51"/>
  <c r="K2024" i="51"/>
  <c r="K2025" i="51"/>
  <c r="K2026" i="51"/>
  <c r="K2027" i="51"/>
  <c r="K2028" i="51"/>
  <c r="K2029" i="51"/>
  <c r="K2030" i="51"/>
  <c r="K2031" i="51"/>
  <c r="K2032" i="51"/>
  <c r="K2033" i="51"/>
  <c r="K2034" i="51"/>
  <c r="K2035" i="51"/>
  <c r="K2036" i="51"/>
  <c r="K2037" i="51"/>
  <c r="K2038" i="51"/>
  <c r="K2039" i="51"/>
  <c r="K2040" i="51"/>
  <c r="K2041" i="51"/>
  <c r="K2042" i="51"/>
  <c r="K2043" i="51"/>
  <c r="K2044" i="51"/>
  <c r="K2046" i="51"/>
  <c r="K2047" i="51"/>
  <c r="K2048" i="51"/>
  <c r="K2049" i="51"/>
  <c r="K2050" i="51"/>
  <c r="K2051" i="51"/>
  <c r="K2052" i="51"/>
  <c r="K2053" i="51"/>
  <c r="K2054" i="51"/>
  <c r="K2055" i="51"/>
  <c r="K2056" i="51"/>
  <c r="K2057" i="51"/>
  <c r="K2058" i="51"/>
  <c r="K2059" i="51"/>
  <c r="K2060" i="51"/>
  <c r="K2061" i="51"/>
  <c r="K2062" i="51"/>
  <c r="K2063" i="51"/>
  <c r="K2064" i="51"/>
  <c r="K2065" i="51"/>
  <c r="K2066" i="51"/>
  <c r="K2067" i="51"/>
  <c r="K2068" i="51"/>
  <c r="K2069" i="51"/>
  <c r="K2070" i="51"/>
  <c r="K2071" i="51"/>
  <c r="K2072" i="51"/>
  <c r="K2073" i="51"/>
  <c r="K2074" i="51"/>
  <c r="K2075" i="51"/>
  <c r="K2076" i="51"/>
  <c r="K2077" i="51"/>
  <c r="K2078" i="51"/>
  <c r="K2079" i="51"/>
  <c r="K2080" i="51"/>
  <c r="K2081" i="51"/>
  <c r="K2082" i="51"/>
  <c r="K2083" i="51"/>
  <c r="K2084" i="51"/>
  <c r="K2085" i="51"/>
  <c r="K2086" i="51"/>
  <c r="K2087" i="51"/>
  <c r="K2088" i="51"/>
  <c r="K2089" i="51"/>
  <c r="K2090" i="51"/>
  <c r="K2091" i="51"/>
  <c r="K2092" i="51"/>
  <c r="K2093" i="51"/>
  <c r="K2094" i="51"/>
  <c r="K2095" i="51"/>
  <c r="K2096" i="51"/>
  <c r="K1942" i="51"/>
  <c r="I1993" i="51"/>
  <c r="I2045" i="51"/>
  <c r="I1941" i="51"/>
  <c r="C1941" i="51"/>
  <c r="C1942" i="51"/>
  <c r="C1943" i="51"/>
  <c r="C1944" i="51"/>
  <c r="C1945" i="51"/>
  <c r="C1946" i="51"/>
  <c r="C1947" i="51"/>
  <c r="C1948" i="51"/>
  <c r="C1949" i="51"/>
  <c r="C1950" i="51"/>
  <c r="C1951" i="51"/>
  <c r="C1952" i="51"/>
  <c r="C1953" i="51"/>
  <c r="C1954" i="51"/>
  <c r="C1955" i="51"/>
  <c r="C1956" i="51"/>
  <c r="C1957" i="51"/>
  <c r="C1958" i="51"/>
  <c r="C1959" i="51"/>
  <c r="C1960" i="51"/>
  <c r="C1961" i="51"/>
  <c r="C1962" i="51"/>
  <c r="C1963" i="51"/>
  <c r="C1964" i="51"/>
  <c r="C1965" i="51"/>
  <c r="C1966" i="51"/>
  <c r="C1967" i="51"/>
  <c r="C1968" i="51"/>
  <c r="C1969" i="51"/>
  <c r="C1970" i="51"/>
  <c r="C1971" i="51"/>
  <c r="C1972" i="51"/>
  <c r="C1973" i="51"/>
  <c r="C1974" i="51"/>
  <c r="C1975" i="51"/>
  <c r="C1976" i="51"/>
  <c r="C1977" i="51"/>
  <c r="C1978" i="51"/>
  <c r="C1979" i="51"/>
  <c r="C1980" i="51"/>
  <c r="C1981" i="51"/>
  <c r="C1982" i="51"/>
  <c r="C1983" i="51"/>
  <c r="C1984" i="51"/>
  <c r="C1985" i="51"/>
  <c r="C1986" i="51"/>
  <c r="C1987" i="51"/>
  <c r="C1988" i="51"/>
  <c r="C1989" i="51"/>
  <c r="C1990" i="51"/>
  <c r="C1991" i="51"/>
  <c r="C1992" i="51"/>
  <c r="C1993" i="51"/>
  <c r="C1994" i="51"/>
  <c r="C1995" i="51"/>
  <c r="C1996" i="51"/>
  <c r="C1997" i="51"/>
  <c r="C1998" i="51"/>
  <c r="C1999" i="51"/>
  <c r="C2000" i="51"/>
  <c r="C2001" i="51"/>
  <c r="C2002" i="51"/>
  <c r="C2003" i="51"/>
  <c r="C2004" i="51"/>
  <c r="C2005" i="51"/>
  <c r="C2006" i="51"/>
  <c r="C2007" i="51"/>
  <c r="C2008" i="51"/>
  <c r="C2009" i="51"/>
  <c r="C2010" i="51"/>
  <c r="C2011" i="51"/>
  <c r="C2012" i="51"/>
  <c r="C2013" i="51"/>
  <c r="C2014" i="51"/>
  <c r="C2015" i="51"/>
  <c r="C2016" i="51"/>
  <c r="C2017" i="51"/>
  <c r="C2018" i="51"/>
  <c r="C2019" i="51"/>
  <c r="C2020" i="51"/>
  <c r="C2021" i="51"/>
  <c r="C2022" i="51"/>
  <c r="C2023" i="51"/>
  <c r="C2024" i="51"/>
  <c r="C2025" i="51"/>
  <c r="C2026" i="51"/>
  <c r="C2027" i="51"/>
  <c r="C2028" i="51"/>
  <c r="C2029" i="51"/>
  <c r="C2030" i="51"/>
  <c r="C2031" i="51"/>
  <c r="C2032" i="51"/>
  <c r="C2033" i="51"/>
  <c r="C2034" i="51"/>
  <c r="C2035" i="51"/>
  <c r="C2036" i="51"/>
  <c r="C2037" i="51"/>
  <c r="C2038" i="51"/>
  <c r="C2039" i="51"/>
  <c r="C2040" i="51"/>
  <c r="C2041" i="51"/>
  <c r="C2042" i="51"/>
  <c r="C2043" i="51"/>
  <c r="C2044" i="51"/>
  <c r="C2045" i="51"/>
  <c r="C2046" i="51"/>
  <c r="C2047" i="51"/>
  <c r="C2048" i="51"/>
  <c r="C2049" i="51"/>
  <c r="C2050" i="51"/>
  <c r="C2051" i="51"/>
  <c r="C2052" i="51"/>
  <c r="C2053" i="51"/>
  <c r="C2054" i="51"/>
  <c r="C2055" i="51"/>
  <c r="C2056" i="51"/>
  <c r="C2057" i="51"/>
  <c r="C2058" i="51"/>
  <c r="C2059" i="51"/>
  <c r="C2060" i="51"/>
  <c r="C2061" i="51"/>
  <c r="C2062" i="51"/>
  <c r="C2063" i="51"/>
  <c r="C2064" i="51"/>
  <c r="C2065" i="51"/>
  <c r="C2066" i="51"/>
  <c r="C2067" i="51"/>
  <c r="C2068" i="51"/>
  <c r="C2069" i="51"/>
  <c r="C2070" i="51"/>
  <c r="C2071" i="51"/>
  <c r="C2072" i="51"/>
  <c r="C2073" i="51"/>
  <c r="C2074" i="51"/>
  <c r="C2075" i="51"/>
  <c r="C2076" i="51"/>
  <c r="C2077" i="51"/>
  <c r="C2078" i="51"/>
  <c r="C2079" i="51"/>
  <c r="C2080" i="51"/>
  <c r="C2081" i="51"/>
  <c r="C2082" i="51"/>
  <c r="C2083" i="51"/>
  <c r="C2084" i="51"/>
  <c r="C2085" i="51"/>
  <c r="C2086" i="51"/>
  <c r="C2087" i="51"/>
  <c r="C2088" i="51"/>
  <c r="C2089" i="51"/>
  <c r="C2090" i="51"/>
  <c r="C2091" i="51"/>
  <c r="C2092" i="51"/>
  <c r="C2093" i="51"/>
  <c r="C2094" i="51"/>
  <c r="C2095" i="51"/>
  <c r="C2096" i="51"/>
  <c r="A1941" i="51"/>
  <c r="A1942" i="51"/>
  <c r="E1943" i="51"/>
  <c r="A1943" i="51"/>
  <c r="E1944" i="51"/>
  <c r="A1944" i="51"/>
  <c r="E1945" i="51"/>
  <c r="A1945" i="51"/>
  <c r="E1946" i="51"/>
  <c r="A1946" i="51"/>
  <c r="E1947" i="51"/>
  <c r="A1947" i="51"/>
  <c r="E1948" i="51"/>
  <c r="A1948" i="51"/>
  <c r="E1949" i="51"/>
  <c r="A1949" i="51"/>
  <c r="E1950" i="51"/>
  <c r="A1950" i="51"/>
  <c r="E1951" i="51"/>
  <c r="A1951" i="51"/>
  <c r="E1952" i="51"/>
  <c r="A1952" i="51"/>
  <c r="E1953" i="51"/>
  <c r="A1953" i="51"/>
  <c r="E1954" i="51"/>
  <c r="A1954" i="51"/>
  <c r="E1955" i="51"/>
  <c r="A1955" i="51"/>
  <c r="E1956" i="51"/>
  <c r="A1956" i="51"/>
  <c r="E1957" i="51"/>
  <c r="A1957" i="51"/>
  <c r="E1958" i="51"/>
  <c r="A1958" i="51"/>
  <c r="E1959" i="51"/>
  <c r="A1959" i="51"/>
  <c r="E1960" i="51"/>
  <c r="A1960" i="51"/>
  <c r="E1961" i="51"/>
  <c r="A1961" i="51"/>
  <c r="E1962" i="51"/>
  <c r="A1962" i="51"/>
  <c r="E1963" i="51"/>
  <c r="A1963" i="51"/>
  <c r="E1964" i="51"/>
  <c r="A1964" i="51"/>
  <c r="E1965" i="51"/>
  <c r="A1965" i="51"/>
  <c r="E1966" i="51"/>
  <c r="A1966" i="51"/>
  <c r="E1967" i="51"/>
  <c r="A1967" i="51"/>
  <c r="E1968" i="51"/>
  <c r="A1968" i="51"/>
  <c r="E1969" i="51"/>
  <c r="A1969" i="51"/>
  <c r="E1970" i="51"/>
  <c r="A1970" i="51"/>
  <c r="E1971" i="51"/>
  <c r="A1971" i="51"/>
  <c r="E1972" i="51"/>
  <c r="A1972" i="51"/>
  <c r="E1973" i="51"/>
  <c r="A1973" i="51"/>
  <c r="E1974" i="51"/>
  <c r="A1974" i="51"/>
  <c r="E1975" i="51"/>
  <c r="A1975" i="51"/>
  <c r="E1976" i="51"/>
  <c r="A1976" i="51"/>
  <c r="E1977" i="51"/>
  <c r="A1977" i="51"/>
  <c r="E1978" i="51"/>
  <c r="A1978" i="51"/>
  <c r="E1979" i="51"/>
  <c r="A1979" i="51"/>
  <c r="E1980" i="51"/>
  <c r="A1980" i="51"/>
  <c r="E1981" i="51"/>
  <c r="A1981" i="51"/>
  <c r="E1982" i="51"/>
  <c r="A1982" i="51"/>
  <c r="E1983" i="51"/>
  <c r="A1983" i="51"/>
  <c r="E1984" i="51"/>
  <c r="A1984" i="51"/>
  <c r="E1985" i="51"/>
  <c r="A1985" i="51"/>
  <c r="E1986" i="51"/>
  <c r="A1986" i="51"/>
  <c r="E1987" i="51"/>
  <c r="A1987" i="51"/>
  <c r="E1988" i="51"/>
  <c r="A1988" i="51"/>
  <c r="E1989" i="51"/>
  <c r="A1989" i="51"/>
  <c r="E1990" i="51"/>
  <c r="A1990" i="51"/>
  <c r="E1991" i="51"/>
  <c r="A1991" i="51"/>
  <c r="E1992" i="51"/>
  <c r="A1992" i="51"/>
  <c r="A1993" i="51"/>
  <c r="A1994" i="51"/>
  <c r="E1995" i="51"/>
  <c r="A1995" i="51"/>
  <c r="E1996" i="51"/>
  <c r="A1996" i="51"/>
  <c r="E1997" i="51"/>
  <c r="A1997" i="51"/>
  <c r="E1998" i="51"/>
  <c r="A1998" i="51"/>
  <c r="E1999" i="51"/>
  <c r="A1999" i="51"/>
  <c r="E2000" i="51"/>
  <c r="A2000" i="51"/>
  <c r="E2001" i="51"/>
  <c r="A2001" i="51"/>
  <c r="E2002" i="51"/>
  <c r="A2002" i="51"/>
  <c r="E2003" i="51"/>
  <c r="A2003" i="51"/>
  <c r="E2004" i="51"/>
  <c r="A2004" i="51"/>
  <c r="E2005" i="51"/>
  <c r="A2005" i="51"/>
  <c r="E2006" i="51"/>
  <c r="A2006" i="51"/>
  <c r="E2007" i="51"/>
  <c r="A2007" i="51"/>
  <c r="E2008" i="51"/>
  <c r="A2008" i="51"/>
  <c r="E2009" i="51"/>
  <c r="A2009" i="51"/>
  <c r="E2010" i="51"/>
  <c r="A2010" i="51"/>
  <c r="E2011" i="51"/>
  <c r="A2011" i="51"/>
  <c r="E2012" i="51"/>
  <c r="A2012" i="51"/>
  <c r="E2013" i="51"/>
  <c r="A2013" i="51"/>
  <c r="E2014" i="51"/>
  <c r="A2014" i="51"/>
  <c r="E2015" i="51"/>
  <c r="A2015" i="51"/>
  <c r="E2016" i="51"/>
  <c r="A2016" i="51"/>
  <c r="E2017" i="51"/>
  <c r="A2017" i="51"/>
  <c r="E2018" i="51"/>
  <c r="A2018" i="51"/>
  <c r="E2019" i="51"/>
  <c r="A2019" i="51"/>
  <c r="E2020" i="51"/>
  <c r="A2020" i="51"/>
  <c r="E2021" i="51"/>
  <c r="A2021" i="51"/>
  <c r="E2022" i="51"/>
  <c r="A2022" i="51"/>
  <c r="E2023" i="51"/>
  <c r="A2023" i="51"/>
  <c r="E2024" i="51"/>
  <c r="A2024" i="51"/>
  <c r="E2025" i="51"/>
  <c r="A2025" i="51"/>
  <c r="E2026" i="51"/>
  <c r="A2026" i="51"/>
  <c r="E2027" i="51"/>
  <c r="A2027" i="51"/>
  <c r="E2028" i="51"/>
  <c r="A2028" i="51"/>
  <c r="E2029" i="51"/>
  <c r="A2029" i="51"/>
  <c r="E2030" i="51"/>
  <c r="A2030" i="51"/>
  <c r="E2031" i="51"/>
  <c r="A2031" i="51"/>
  <c r="E2032" i="51"/>
  <c r="A2032" i="51"/>
  <c r="E2033" i="51"/>
  <c r="A2033" i="51"/>
  <c r="E2034" i="51"/>
  <c r="A2034" i="51"/>
  <c r="E2035" i="51"/>
  <c r="A2035" i="51"/>
  <c r="E2036" i="51"/>
  <c r="A2036" i="51"/>
  <c r="E2037" i="51"/>
  <c r="A2037" i="51"/>
  <c r="E2038" i="51"/>
  <c r="A2038" i="51"/>
  <c r="E2039" i="51"/>
  <c r="A2039" i="51"/>
  <c r="E2040" i="51"/>
  <c r="A2040" i="51"/>
  <c r="E2041" i="51"/>
  <c r="A2041" i="51"/>
  <c r="E2042" i="51"/>
  <c r="A2042" i="51"/>
  <c r="E2043" i="51"/>
  <c r="A2043" i="51"/>
  <c r="E2044" i="51"/>
  <c r="A2044" i="51"/>
  <c r="A2045" i="51"/>
  <c r="A2046" i="51"/>
  <c r="E2047" i="51"/>
  <c r="A2047" i="51"/>
  <c r="E2048" i="51"/>
  <c r="A2048" i="51"/>
  <c r="E2049" i="51"/>
  <c r="A2049" i="51"/>
  <c r="E2050" i="51"/>
  <c r="A2050" i="51"/>
  <c r="E2051" i="51"/>
  <c r="A2051" i="51"/>
  <c r="E2052" i="51"/>
  <c r="A2052" i="51"/>
  <c r="E2053" i="51"/>
  <c r="A2053" i="51"/>
  <c r="E2054" i="51"/>
  <c r="A2054" i="51"/>
  <c r="E2055" i="51"/>
  <c r="A2055" i="51"/>
  <c r="E2056" i="51"/>
  <c r="A2056" i="51"/>
  <c r="E2057" i="51"/>
  <c r="A2057" i="51"/>
  <c r="E2058" i="51"/>
  <c r="A2058" i="51"/>
  <c r="E2059" i="51"/>
  <c r="A2059" i="51"/>
  <c r="E2060" i="51"/>
  <c r="A2060" i="51"/>
  <c r="E2061" i="51"/>
  <c r="A2061" i="51"/>
  <c r="E2062" i="51"/>
  <c r="A2062" i="51"/>
  <c r="E2063" i="51"/>
  <c r="A2063" i="51"/>
  <c r="E2064" i="51"/>
  <c r="A2064" i="51"/>
  <c r="E2065" i="51"/>
  <c r="A2065" i="51"/>
  <c r="E2066" i="51"/>
  <c r="A2066" i="51"/>
  <c r="E2067" i="51"/>
  <c r="A2067" i="51"/>
  <c r="E2068" i="51"/>
  <c r="A2068" i="51"/>
  <c r="E2069" i="51"/>
  <c r="A2069" i="51"/>
  <c r="E2070" i="51"/>
  <c r="A2070" i="51"/>
  <c r="E2071" i="51"/>
  <c r="A2071" i="51"/>
  <c r="E2072" i="51"/>
  <c r="A2072" i="51"/>
  <c r="E2073" i="51"/>
  <c r="A2073" i="51"/>
  <c r="E2074" i="51"/>
  <c r="A2074" i="51"/>
  <c r="E2075" i="51"/>
  <c r="A2075" i="51"/>
  <c r="E2076" i="51"/>
  <c r="A2076" i="51"/>
  <c r="E2077" i="51"/>
  <c r="A2077" i="51"/>
  <c r="E2078" i="51"/>
  <c r="A2078" i="51"/>
  <c r="E2079" i="51"/>
  <c r="A2079" i="51"/>
  <c r="E2080" i="51"/>
  <c r="A2080" i="51"/>
  <c r="E2081" i="51"/>
  <c r="A2081" i="51"/>
  <c r="E2082" i="51"/>
  <c r="A2082" i="51"/>
  <c r="E2083" i="51"/>
  <c r="A2083" i="51"/>
  <c r="E2084" i="51"/>
  <c r="A2084" i="51"/>
  <c r="E2085" i="51"/>
  <c r="A2085" i="51"/>
  <c r="E2086" i="51"/>
  <c r="A2086" i="51"/>
  <c r="E2087" i="51"/>
  <c r="A2087" i="51"/>
  <c r="E2088" i="51"/>
  <c r="A2088" i="51"/>
  <c r="E2089" i="51"/>
  <c r="A2089" i="51"/>
  <c r="E2090" i="51"/>
  <c r="A2090" i="51"/>
  <c r="E2091" i="51"/>
  <c r="A2091" i="51"/>
  <c r="E2092" i="51"/>
  <c r="A2092" i="51"/>
  <c r="E2093" i="51"/>
  <c r="A2093" i="51"/>
  <c r="E2094" i="51"/>
  <c r="A2094" i="51"/>
  <c r="E2095" i="51"/>
  <c r="A2095" i="51"/>
  <c r="E2096" i="51"/>
  <c r="A2096" i="51"/>
  <c r="A5089" i="51"/>
  <c r="A1937" i="51"/>
  <c r="C1937" i="51"/>
  <c r="A1938" i="51"/>
  <c r="C1938" i="51"/>
  <c r="A1939" i="51"/>
  <c r="C1939" i="51"/>
  <c r="A1940" i="51"/>
  <c r="C1940" i="51"/>
  <c r="A1936" i="51"/>
  <c r="C1936" i="51"/>
  <c r="A1886" i="51"/>
  <c r="C1886" i="51"/>
  <c r="A1887" i="51"/>
  <c r="C1887" i="51"/>
  <c r="A1888" i="51"/>
  <c r="C1888" i="51"/>
  <c r="A1889" i="51"/>
  <c r="C1889" i="51"/>
  <c r="A1890" i="51"/>
  <c r="C1890" i="51"/>
  <c r="A1891" i="51"/>
  <c r="C1891" i="51"/>
  <c r="A1892" i="51"/>
  <c r="C1892" i="51"/>
  <c r="A1893" i="51"/>
  <c r="C1893" i="51"/>
  <c r="A1894" i="51"/>
  <c r="C1894" i="51"/>
  <c r="A1895" i="51"/>
  <c r="C1895" i="51"/>
  <c r="A1896" i="51"/>
  <c r="C1896" i="51"/>
  <c r="A1897" i="51"/>
  <c r="C1897" i="51"/>
  <c r="A1898" i="51"/>
  <c r="C1898" i="51"/>
  <c r="A1899" i="51"/>
  <c r="C1899" i="51"/>
  <c r="A1900" i="51"/>
  <c r="C1900" i="51"/>
  <c r="A1901" i="51"/>
  <c r="C1901" i="51"/>
  <c r="A1902" i="51"/>
  <c r="C1902" i="51"/>
  <c r="A1903" i="51"/>
  <c r="C1903" i="51"/>
  <c r="A1904" i="51"/>
  <c r="C1904" i="51"/>
  <c r="A1905" i="51"/>
  <c r="C1905" i="51"/>
  <c r="A1906" i="51"/>
  <c r="C1906" i="51"/>
  <c r="A1907" i="51"/>
  <c r="C1907" i="51"/>
  <c r="A1908" i="51"/>
  <c r="C1908" i="51"/>
  <c r="A1909" i="51"/>
  <c r="C1909" i="51"/>
  <c r="A1910" i="51"/>
  <c r="C1910" i="51"/>
  <c r="A1911" i="51"/>
  <c r="C1911" i="51"/>
  <c r="A1912" i="51"/>
  <c r="C1912" i="51"/>
  <c r="A1913" i="51"/>
  <c r="C1913" i="51"/>
  <c r="A1914" i="51"/>
  <c r="C1914" i="51"/>
  <c r="A1915" i="51"/>
  <c r="C1915" i="51"/>
  <c r="A1916" i="51"/>
  <c r="C1916" i="51"/>
  <c r="A1917" i="51"/>
  <c r="C1917" i="51"/>
  <c r="A1918" i="51"/>
  <c r="C1918" i="51"/>
  <c r="A1919" i="51"/>
  <c r="C1919" i="51"/>
  <c r="A1920" i="51"/>
  <c r="C1920" i="51"/>
  <c r="A1921" i="51"/>
  <c r="C1921" i="51"/>
  <c r="A1922" i="51"/>
  <c r="C1922" i="51"/>
  <c r="A1923" i="51"/>
  <c r="C1923" i="51"/>
  <c r="A1924" i="51"/>
  <c r="C1924" i="51"/>
  <c r="A1925" i="51"/>
  <c r="C1925" i="51"/>
  <c r="A1926" i="51"/>
  <c r="C1926" i="51"/>
  <c r="A1927" i="51"/>
  <c r="C1927" i="51"/>
  <c r="A1928" i="51"/>
  <c r="C1928" i="51"/>
  <c r="A1929" i="51"/>
  <c r="C1929" i="51"/>
  <c r="A1930" i="51"/>
  <c r="C1930" i="51"/>
  <c r="A1931" i="51"/>
  <c r="C1931" i="51"/>
  <c r="A1932" i="51"/>
  <c r="C1932" i="51"/>
  <c r="A1933" i="51"/>
  <c r="C1933" i="51"/>
  <c r="A1934" i="51"/>
  <c r="C1934" i="51"/>
  <c r="A1935" i="51"/>
  <c r="C1935" i="51"/>
  <c r="C1885" i="51"/>
  <c r="A1885" i="51"/>
  <c r="E1835" i="51"/>
  <c r="E1836" i="51"/>
  <c r="E1837" i="51"/>
  <c r="E1838" i="51"/>
  <c r="E1839" i="51"/>
  <c r="E1840" i="51"/>
  <c r="E1841" i="51"/>
  <c r="E1842" i="51"/>
  <c r="E1843" i="51"/>
  <c r="E1844" i="51"/>
  <c r="E1845" i="51"/>
  <c r="E1846" i="51"/>
  <c r="E1847" i="51"/>
  <c r="E1848" i="51"/>
  <c r="E1849" i="51"/>
  <c r="E1850" i="51"/>
  <c r="E1851" i="51"/>
  <c r="E1852" i="51"/>
  <c r="E1853" i="51"/>
  <c r="E1854" i="51"/>
  <c r="E1855" i="51"/>
  <c r="E1856" i="51"/>
  <c r="E1857" i="51"/>
  <c r="E1858" i="51"/>
  <c r="E1859" i="51"/>
  <c r="E1860" i="51"/>
  <c r="E1861" i="51"/>
  <c r="E1862" i="51"/>
  <c r="E1863" i="51"/>
  <c r="E1864" i="51"/>
  <c r="E1865" i="51"/>
  <c r="E1866" i="51"/>
  <c r="E1867" i="51"/>
  <c r="E1868" i="51"/>
  <c r="E1869" i="51"/>
  <c r="E1870" i="51"/>
  <c r="E1871" i="51"/>
  <c r="E1872" i="51"/>
  <c r="E1873" i="51"/>
  <c r="E1874" i="51"/>
  <c r="E1875" i="51"/>
  <c r="E1876" i="51"/>
  <c r="E1877" i="51"/>
  <c r="E1878" i="51"/>
  <c r="E1879" i="51"/>
  <c r="E1880" i="51"/>
  <c r="E1881" i="51"/>
  <c r="E1882" i="51"/>
  <c r="E1883" i="51"/>
  <c r="E1884" i="51"/>
  <c r="A1834" i="51"/>
  <c r="C1834" i="51"/>
  <c r="A1835" i="51"/>
  <c r="C1835" i="51"/>
  <c r="A1836" i="51"/>
  <c r="C1836" i="51"/>
  <c r="A1837" i="51"/>
  <c r="C1837" i="51"/>
  <c r="A1838" i="51"/>
  <c r="C1838" i="51"/>
  <c r="A1839" i="51"/>
  <c r="C1839" i="51"/>
  <c r="A1840" i="51"/>
  <c r="C1840" i="51"/>
  <c r="A1841" i="51"/>
  <c r="C1841" i="51"/>
  <c r="A1842" i="51"/>
  <c r="C1842" i="51"/>
  <c r="A1843" i="51"/>
  <c r="C1843" i="51"/>
  <c r="A1844" i="51"/>
  <c r="C1844" i="51"/>
  <c r="A1845" i="51"/>
  <c r="C1845" i="51"/>
  <c r="A1846" i="51"/>
  <c r="C1846" i="51"/>
  <c r="A1847" i="51"/>
  <c r="C1847" i="51"/>
  <c r="A1848" i="51"/>
  <c r="C1848" i="51"/>
  <c r="A1849" i="51"/>
  <c r="C1849" i="51"/>
  <c r="A1850" i="51"/>
  <c r="C1850" i="51"/>
  <c r="A1851" i="51"/>
  <c r="C1851" i="51"/>
  <c r="A1852" i="51"/>
  <c r="C1852" i="51"/>
  <c r="A1853" i="51"/>
  <c r="C1853" i="51"/>
  <c r="A1854" i="51"/>
  <c r="C1854" i="51"/>
  <c r="A1855" i="51"/>
  <c r="C1855" i="51"/>
  <c r="A1856" i="51"/>
  <c r="C1856" i="51"/>
  <c r="A1857" i="51"/>
  <c r="C1857" i="51"/>
  <c r="A1858" i="51"/>
  <c r="C1858" i="51"/>
  <c r="A1859" i="51"/>
  <c r="C1859" i="51"/>
  <c r="A1860" i="51"/>
  <c r="C1860" i="51"/>
  <c r="A1861" i="51"/>
  <c r="C1861" i="51"/>
  <c r="A1862" i="51"/>
  <c r="C1862" i="51"/>
  <c r="A1863" i="51"/>
  <c r="C1863" i="51"/>
  <c r="A1864" i="51"/>
  <c r="C1864" i="51"/>
  <c r="A1865" i="51"/>
  <c r="C1865" i="51"/>
  <c r="A1866" i="51"/>
  <c r="C1866" i="51"/>
  <c r="A1867" i="51"/>
  <c r="C1867" i="51"/>
  <c r="A1868" i="51"/>
  <c r="C1868" i="51"/>
  <c r="A1869" i="51"/>
  <c r="C1869" i="51"/>
  <c r="A1870" i="51"/>
  <c r="C1870" i="51"/>
  <c r="A1871" i="51"/>
  <c r="C1871" i="51"/>
  <c r="A1872" i="51"/>
  <c r="C1872" i="51"/>
  <c r="A1873" i="51"/>
  <c r="C1873" i="51"/>
  <c r="A1874" i="51"/>
  <c r="C1874" i="51"/>
  <c r="A1875" i="51"/>
  <c r="C1875" i="51"/>
  <c r="A1876" i="51"/>
  <c r="C1876" i="51"/>
  <c r="A1877" i="51"/>
  <c r="C1877" i="51"/>
  <c r="A1878" i="51"/>
  <c r="C1878" i="51"/>
  <c r="A1879" i="51"/>
  <c r="C1879" i="51"/>
  <c r="A1880" i="51"/>
  <c r="C1880" i="51"/>
  <c r="A1881" i="51"/>
  <c r="C1881" i="51"/>
  <c r="A1882" i="51"/>
  <c r="C1882" i="51"/>
  <c r="A1883" i="51"/>
  <c r="C1883" i="51"/>
  <c r="A1884" i="51"/>
  <c r="C1884" i="51"/>
  <c r="A1833" i="51"/>
  <c r="C1833" i="51"/>
  <c r="H291" i="26"/>
  <c r="H292" i="26"/>
  <c r="H293" i="26"/>
  <c r="H294" i="26"/>
  <c r="H295" i="26"/>
  <c r="H296" i="26"/>
  <c r="H289" i="26"/>
  <c r="E289" i="26"/>
  <c r="G289" i="26"/>
  <c r="J289" i="26"/>
  <c r="E290" i="26"/>
  <c r="G290" i="26"/>
  <c r="J290" i="26"/>
  <c r="E291" i="26"/>
  <c r="G291" i="26"/>
  <c r="J291" i="26"/>
  <c r="E292" i="26"/>
  <c r="G292" i="26"/>
  <c r="J292" i="26"/>
  <c r="E293" i="26"/>
  <c r="G293" i="26"/>
  <c r="J293" i="26"/>
  <c r="E294" i="26"/>
  <c r="G294" i="26"/>
  <c r="J294" i="26"/>
  <c r="E295" i="26"/>
  <c r="G295" i="26"/>
  <c r="J295" i="26"/>
  <c r="E296" i="26"/>
  <c r="G296" i="26"/>
  <c r="J296" i="26"/>
  <c r="J102" i="26"/>
  <c r="B125" i="59"/>
  <c r="O271" i="26"/>
  <c r="A427" i="24"/>
  <c r="B155" i="59"/>
  <c r="A1832" i="51"/>
  <c r="C1832" i="51"/>
  <c r="E288" i="26"/>
  <c r="G288" i="26"/>
  <c r="J288" i="26"/>
  <c r="C90" i="60"/>
  <c r="D90" i="60"/>
  <c r="E90" i="60"/>
  <c r="A36" i="24"/>
  <c r="G36" i="24"/>
  <c r="A37" i="24"/>
  <c r="G37" i="24"/>
  <c r="A426" i="24"/>
  <c r="A5258" i="51"/>
  <c r="C5258" i="51"/>
  <c r="A5259" i="51"/>
  <c r="C5259" i="51"/>
  <c r="I1831" i="51"/>
  <c r="I1829" i="51"/>
  <c r="J1829" i="51"/>
  <c r="I1828" i="51"/>
  <c r="J1828" i="51"/>
  <c r="I1827" i="51"/>
  <c r="I1825" i="51"/>
  <c r="A1825" i="51"/>
  <c r="C1825" i="51"/>
  <c r="A1826" i="51"/>
  <c r="C1826" i="51"/>
  <c r="A1827" i="51"/>
  <c r="C1827" i="51"/>
  <c r="A1828" i="51"/>
  <c r="C1828" i="51"/>
  <c r="A1829" i="51"/>
  <c r="C1829" i="51"/>
  <c r="A1830" i="51"/>
  <c r="C1830" i="51"/>
  <c r="A1831" i="51"/>
  <c r="C1831" i="51"/>
  <c r="J433" i="26"/>
  <c r="J432" i="26"/>
  <c r="H433" i="26"/>
  <c r="H432" i="26"/>
  <c r="E432" i="26"/>
  <c r="F432" i="26"/>
  <c r="G432" i="26"/>
  <c r="E433" i="26"/>
  <c r="F433" i="26"/>
  <c r="G433" i="26"/>
  <c r="E287" i="26"/>
  <c r="G287" i="26"/>
  <c r="H287" i="26"/>
  <c r="J287" i="26"/>
  <c r="A260" i="60"/>
  <c r="C260" i="60"/>
  <c r="D260" i="60"/>
  <c r="E260" i="60"/>
  <c r="Q498" i="26"/>
  <c r="Q497" i="26"/>
  <c r="Q496" i="26"/>
  <c r="A266" i="60"/>
  <c r="C266" i="60"/>
  <c r="D266" i="60"/>
  <c r="A21" i="24"/>
  <c r="Q452" i="26"/>
  <c r="Q451" i="26"/>
  <c r="Q450" i="26"/>
  <c r="Q449" i="26"/>
  <c r="E1738" i="51"/>
  <c r="E1739" i="51"/>
  <c r="E1740" i="51"/>
  <c r="E1741" i="51"/>
  <c r="E1742" i="51"/>
  <c r="E1743" i="51"/>
  <c r="E1744" i="51"/>
  <c r="E1745" i="51"/>
  <c r="E1746" i="51"/>
  <c r="E1747" i="51"/>
  <c r="E1748" i="51"/>
  <c r="E1749" i="51"/>
  <c r="E1750" i="51"/>
  <c r="E1751" i="51"/>
  <c r="E1752" i="51"/>
  <c r="E1753" i="51"/>
  <c r="E1754" i="51"/>
  <c r="E1755" i="51"/>
  <c r="E1756" i="51"/>
  <c r="E1757" i="51"/>
  <c r="E1758" i="51"/>
  <c r="E1759" i="51"/>
  <c r="E1760" i="51"/>
  <c r="E1761" i="51"/>
  <c r="E1762" i="51"/>
  <c r="E1763" i="51"/>
  <c r="E1764" i="51"/>
  <c r="E1765" i="51"/>
  <c r="E1766" i="51"/>
  <c r="E1767" i="51"/>
  <c r="E1768" i="51"/>
  <c r="E1769" i="51"/>
  <c r="E1770" i="51"/>
  <c r="E1771" i="51"/>
  <c r="E1772" i="51"/>
  <c r="E1773" i="51"/>
  <c r="E1774" i="51"/>
  <c r="E1775" i="51"/>
  <c r="E1776" i="51"/>
  <c r="E1777" i="51"/>
  <c r="E1778" i="51"/>
  <c r="E1779" i="51"/>
  <c r="E1780" i="51"/>
  <c r="E1781" i="51"/>
  <c r="E1782" i="51"/>
  <c r="E1783" i="51"/>
  <c r="E1784" i="51"/>
  <c r="E1785" i="51"/>
  <c r="E1786" i="51"/>
  <c r="E1787" i="51"/>
  <c r="C1736" i="51"/>
  <c r="C1737" i="51"/>
  <c r="C1738" i="51"/>
  <c r="C1739" i="51"/>
  <c r="C1740" i="51"/>
  <c r="C1741" i="51"/>
  <c r="C1742" i="51"/>
  <c r="C1743" i="51"/>
  <c r="C1744" i="51"/>
  <c r="C1745" i="51"/>
  <c r="C1746" i="51"/>
  <c r="C1747" i="51"/>
  <c r="C1748" i="51"/>
  <c r="C1749" i="51"/>
  <c r="C1750" i="51"/>
  <c r="C1751" i="51"/>
  <c r="C1752" i="51"/>
  <c r="C1753" i="51"/>
  <c r="C1754" i="51"/>
  <c r="C1755" i="51"/>
  <c r="C1756" i="51"/>
  <c r="C1757" i="51"/>
  <c r="C1758" i="51"/>
  <c r="C1759" i="51"/>
  <c r="C1760" i="51"/>
  <c r="C1761" i="51"/>
  <c r="C1762" i="51"/>
  <c r="C1763" i="51"/>
  <c r="C1764" i="51"/>
  <c r="C1765" i="51"/>
  <c r="C1766" i="51"/>
  <c r="C1767" i="51"/>
  <c r="C1768" i="51"/>
  <c r="C1769" i="51"/>
  <c r="C1770" i="51"/>
  <c r="C1771" i="51"/>
  <c r="C1772" i="51"/>
  <c r="C1773" i="51"/>
  <c r="C1774" i="51"/>
  <c r="C1775" i="51"/>
  <c r="C1776" i="51"/>
  <c r="C1777" i="51"/>
  <c r="C1778" i="51"/>
  <c r="C1779" i="51"/>
  <c r="C1780" i="51"/>
  <c r="C1781" i="51"/>
  <c r="C1782" i="51"/>
  <c r="C1783" i="51"/>
  <c r="C1784" i="51"/>
  <c r="C1785" i="51"/>
  <c r="C1786" i="51"/>
  <c r="C1787" i="51"/>
  <c r="C1788" i="51"/>
  <c r="A1736" i="51"/>
  <c r="A1737" i="51"/>
  <c r="A1738" i="51"/>
  <c r="A1739" i="51"/>
  <c r="A1740" i="51"/>
  <c r="A1741" i="51"/>
  <c r="A1742" i="51"/>
  <c r="A1743" i="51"/>
  <c r="A1744" i="51"/>
  <c r="A1745" i="51"/>
  <c r="A1746" i="51"/>
  <c r="A1747" i="51"/>
  <c r="A1748" i="51"/>
  <c r="A1749" i="51"/>
  <c r="A1750" i="51"/>
  <c r="A1751" i="51"/>
  <c r="A1752" i="51"/>
  <c r="A1753" i="51"/>
  <c r="A1754" i="51"/>
  <c r="A1755" i="51"/>
  <c r="A1756" i="51"/>
  <c r="A1757" i="51"/>
  <c r="A1758" i="51"/>
  <c r="A1759" i="51"/>
  <c r="A1760" i="51"/>
  <c r="A1761" i="51"/>
  <c r="A1762" i="51"/>
  <c r="A1763" i="51"/>
  <c r="A1764" i="51"/>
  <c r="A1765" i="51"/>
  <c r="A1766" i="51"/>
  <c r="A1767" i="51"/>
  <c r="A1768" i="51"/>
  <c r="A1769" i="51"/>
  <c r="A1770" i="51"/>
  <c r="A1771" i="51"/>
  <c r="A1772" i="51"/>
  <c r="A1773" i="51"/>
  <c r="A1774" i="51"/>
  <c r="A1775" i="51"/>
  <c r="A1776" i="51"/>
  <c r="A1777" i="51"/>
  <c r="A1778" i="51"/>
  <c r="A1779" i="51"/>
  <c r="A1780" i="51"/>
  <c r="A1781" i="51"/>
  <c r="A1782" i="51"/>
  <c r="A1783" i="51"/>
  <c r="A1784" i="51"/>
  <c r="A1785" i="51"/>
  <c r="A1786" i="51"/>
  <c r="A1787" i="51"/>
  <c r="A1788" i="51"/>
  <c r="C89" i="60"/>
  <c r="D89" i="60"/>
  <c r="E89" i="60"/>
  <c r="D88" i="60"/>
  <c r="D87" i="60"/>
  <c r="D86" i="60"/>
  <c r="C86" i="60"/>
  <c r="E86" i="60"/>
  <c r="C87" i="60"/>
  <c r="E87" i="60"/>
  <c r="C88" i="60"/>
  <c r="E88" i="60"/>
  <c r="A418" i="24"/>
  <c r="A419" i="24"/>
  <c r="A420" i="24"/>
  <c r="A421" i="24"/>
  <c r="A422" i="24"/>
  <c r="A423" i="24"/>
  <c r="A424" i="24"/>
  <c r="A425" i="24"/>
  <c r="A416" i="24"/>
  <c r="B154" i="59"/>
  <c r="I5218" i="51"/>
  <c r="I5217" i="51"/>
  <c r="I5216" i="51"/>
  <c r="I5215" i="51"/>
  <c r="I5214" i="51"/>
  <c r="I5213" i="51"/>
  <c r="I5212" i="51"/>
  <c r="I5211" i="51"/>
  <c r="I5210" i="51"/>
  <c r="I5209" i="51"/>
  <c r="A5209" i="51"/>
  <c r="A5210" i="51"/>
  <c r="A5211" i="51"/>
  <c r="A5212" i="51"/>
  <c r="A5213" i="51"/>
  <c r="A5214" i="51"/>
  <c r="A5215" i="51"/>
  <c r="A5216" i="51"/>
  <c r="A5217" i="51"/>
  <c r="A5218" i="51"/>
  <c r="H102" i="26"/>
  <c r="E102" i="26"/>
  <c r="F102" i="26"/>
  <c r="G102" i="26"/>
  <c r="A1818" i="51"/>
  <c r="C1818" i="51"/>
  <c r="A1819" i="51"/>
  <c r="C1819" i="51"/>
  <c r="A1820" i="51"/>
  <c r="C1820" i="51"/>
  <c r="A1821" i="51"/>
  <c r="C1821" i="51"/>
  <c r="A1822" i="51"/>
  <c r="C1822" i="51"/>
  <c r="A1823" i="51"/>
  <c r="C1823" i="51"/>
  <c r="A1824" i="51"/>
  <c r="C1824" i="51"/>
  <c r="A1814" i="51"/>
  <c r="C1814" i="51"/>
  <c r="A1815" i="51"/>
  <c r="C1815" i="51"/>
  <c r="A1816" i="51"/>
  <c r="C1816" i="51"/>
  <c r="A1817" i="51"/>
  <c r="C1817" i="51"/>
  <c r="E283" i="26"/>
  <c r="G283" i="26"/>
  <c r="H283" i="26"/>
  <c r="J283" i="26"/>
  <c r="E284" i="26"/>
  <c r="G284" i="26"/>
  <c r="H284" i="26"/>
  <c r="J284" i="26"/>
  <c r="E285" i="26"/>
  <c r="G285" i="26"/>
  <c r="H285" i="26"/>
  <c r="J285" i="26"/>
  <c r="E286" i="26"/>
  <c r="G286" i="26"/>
  <c r="H286" i="26"/>
  <c r="J286" i="26"/>
  <c r="E280" i="26"/>
  <c r="G280" i="26"/>
  <c r="H280" i="26"/>
  <c r="J280" i="26"/>
  <c r="E281" i="26"/>
  <c r="G281" i="26"/>
  <c r="H281" i="26"/>
  <c r="J281" i="26"/>
  <c r="E282" i="26"/>
  <c r="G282" i="26"/>
  <c r="H282" i="26"/>
  <c r="J282" i="26"/>
  <c r="H279" i="26"/>
  <c r="E279" i="26"/>
  <c r="G279" i="26"/>
  <c r="J279" i="26"/>
  <c r="E277" i="26"/>
  <c r="G277" i="26"/>
  <c r="H277" i="26"/>
  <c r="J277" i="26"/>
  <c r="A1789" i="51"/>
  <c r="C1789" i="51"/>
  <c r="A1790" i="51"/>
  <c r="C1790" i="51"/>
  <c r="A1791" i="51"/>
  <c r="C1791" i="51"/>
  <c r="A1792" i="51"/>
  <c r="C1792" i="51"/>
  <c r="A1793" i="51"/>
  <c r="C1793" i="51"/>
  <c r="A1794" i="51"/>
  <c r="C1794" i="51"/>
  <c r="A1795" i="51"/>
  <c r="C1795" i="51"/>
  <c r="A1796" i="51"/>
  <c r="C1796" i="51"/>
  <c r="A1797" i="51"/>
  <c r="C1797" i="51"/>
  <c r="A1798" i="51"/>
  <c r="C1798" i="51"/>
  <c r="A1799" i="51"/>
  <c r="C1799" i="51"/>
  <c r="A1800" i="51"/>
  <c r="C1800" i="51"/>
  <c r="A1801" i="51"/>
  <c r="C1801" i="51"/>
  <c r="A1802" i="51"/>
  <c r="C1802" i="51"/>
  <c r="A1803" i="51"/>
  <c r="C1803" i="51"/>
  <c r="A1804" i="51"/>
  <c r="C1804" i="51"/>
  <c r="A1805" i="51"/>
  <c r="C1805" i="51"/>
  <c r="A1806" i="51"/>
  <c r="C1806" i="51"/>
  <c r="A1807" i="51"/>
  <c r="C1807" i="51"/>
  <c r="A1808" i="51"/>
  <c r="C1808" i="51"/>
  <c r="A1809" i="51"/>
  <c r="C1809" i="51"/>
  <c r="A1810" i="51"/>
  <c r="C1810" i="51"/>
  <c r="A1811" i="51"/>
  <c r="C1811" i="51"/>
  <c r="A1812" i="51"/>
  <c r="C1812" i="51"/>
  <c r="A1813" i="51"/>
  <c r="C1813" i="51"/>
  <c r="E85" i="60"/>
  <c r="C85" i="60"/>
  <c r="A417" i="24"/>
  <c r="Q261" i="26"/>
  <c r="Q260" i="26"/>
  <c r="Q259" i="26"/>
  <c r="Q258" i="26"/>
  <c r="Q257" i="26"/>
  <c r="Q256" i="26"/>
  <c r="Q255" i="26"/>
  <c r="Q254" i="26"/>
  <c r="Q253" i="26"/>
  <c r="Q251" i="26"/>
  <c r="Q250" i="26"/>
  <c r="Q249" i="26"/>
  <c r="Q248" i="26"/>
  <c r="Q247" i="26"/>
  <c r="Q246" i="26"/>
  <c r="Q245" i="26"/>
  <c r="Q244" i="26"/>
  <c r="Q242" i="26"/>
  <c r="Q241" i="26"/>
  <c r="Q240" i="26"/>
  <c r="Q239" i="26"/>
  <c r="Q238" i="26"/>
  <c r="Q237" i="26"/>
  <c r="Q235" i="26"/>
  <c r="Q234" i="26"/>
  <c r="Q233" i="26"/>
  <c r="Q232" i="26"/>
  <c r="Q231" i="26"/>
  <c r="Q230" i="26"/>
  <c r="E278" i="26"/>
  <c r="G278" i="26"/>
  <c r="J278" i="26"/>
  <c r="Q167" i="26"/>
  <c r="Q165" i="26"/>
  <c r="A20" i="24"/>
  <c r="B144" i="59"/>
  <c r="Q228" i="26"/>
  <c r="C83" i="60"/>
  <c r="D83" i="60"/>
  <c r="E83" i="60"/>
  <c r="C84" i="60"/>
  <c r="D84" i="60"/>
  <c r="E84" i="60"/>
  <c r="A414" i="24"/>
  <c r="A415" i="24"/>
  <c r="E1686" i="51"/>
  <c r="E1687" i="51"/>
  <c r="E1688" i="51"/>
  <c r="E1689" i="51"/>
  <c r="E1690" i="51"/>
  <c r="E1691" i="51"/>
  <c r="E1692" i="51"/>
  <c r="E1693" i="51"/>
  <c r="E1694" i="51"/>
  <c r="E1695" i="51"/>
  <c r="E1696" i="51"/>
  <c r="E1697" i="51"/>
  <c r="E1698" i="51"/>
  <c r="E1699" i="51"/>
  <c r="E1700" i="51"/>
  <c r="E1701" i="51"/>
  <c r="E1702" i="51"/>
  <c r="E1703" i="51"/>
  <c r="E1704" i="51"/>
  <c r="E1705" i="51"/>
  <c r="E1706" i="51"/>
  <c r="E1707" i="51"/>
  <c r="E1708" i="51"/>
  <c r="E1709" i="51"/>
  <c r="E1710" i="51"/>
  <c r="E1711" i="51"/>
  <c r="E1712" i="51"/>
  <c r="E1713" i="51"/>
  <c r="E1714" i="51"/>
  <c r="E1715" i="51"/>
  <c r="E1716" i="51"/>
  <c r="E1717" i="51"/>
  <c r="E1718" i="51"/>
  <c r="E1719" i="51"/>
  <c r="E1720" i="51"/>
  <c r="E1721" i="51"/>
  <c r="E1722" i="51"/>
  <c r="E1723" i="51"/>
  <c r="E1724" i="51"/>
  <c r="E1725" i="51"/>
  <c r="E1726" i="51"/>
  <c r="E1727" i="51"/>
  <c r="E1728" i="51"/>
  <c r="E1729" i="51"/>
  <c r="E1730" i="51"/>
  <c r="E1731" i="51"/>
  <c r="E1732" i="51"/>
  <c r="E1733" i="51"/>
  <c r="E1734" i="51"/>
  <c r="E1735" i="51"/>
  <c r="E276" i="26"/>
  <c r="G276" i="26"/>
  <c r="H276" i="26"/>
  <c r="J276" i="26"/>
  <c r="C1684" i="51"/>
  <c r="C1685" i="51"/>
  <c r="C1686" i="51"/>
  <c r="C1687" i="51"/>
  <c r="C1688" i="51"/>
  <c r="C1689" i="51"/>
  <c r="C1690" i="51"/>
  <c r="C1691" i="51"/>
  <c r="C1692" i="51"/>
  <c r="C1693" i="51"/>
  <c r="C1694" i="51"/>
  <c r="C1695" i="51"/>
  <c r="C1696" i="51"/>
  <c r="C1697" i="51"/>
  <c r="C1698" i="51"/>
  <c r="C1699" i="51"/>
  <c r="C1700" i="51"/>
  <c r="C1701" i="51"/>
  <c r="C1702" i="51"/>
  <c r="C1703" i="51"/>
  <c r="C1704" i="51"/>
  <c r="C1705" i="51"/>
  <c r="C1706" i="51"/>
  <c r="C1707" i="51"/>
  <c r="C1708" i="51"/>
  <c r="C1709" i="51"/>
  <c r="C1710" i="51"/>
  <c r="C1711" i="51"/>
  <c r="C1712" i="51"/>
  <c r="C1713" i="51"/>
  <c r="C1714" i="51"/>
  <c r="C1715" i="51"/>
  <c r="C1716" i="51"/>
  <c r="C1717" i="51"/>
  <c r="C1718" i="51"/>
  <c r="C1719" i="51"/>
  <c r="C1720" i="51"/>
  <c r="C1721" i="51"/>
  <c r="C1722" i="51"/>
  <c r="C1723" i="51"/>
  <c r="C1724" i="51"/>
  <c r="C1725" i="51"/>
  <c r="C1726" i="51"/>
  <c r="C1727" i="51"/>
  <c r="C1728" i="51"/>
  <c r="C1729" i="51"/>
  <c r="C1730" i="51"/>
  <c r="C1731" i="51"/>
  <c r="C1732" i="51"/>
  <c r="C1733" i="51"/>
  <c r="C1734" i="51"/>
  <c r="C1735" i="51"/>
  <c r="A1684" i="51"/>
  <c r="A1685" i="51"/>
  <c r="A1686" i="51"/>
  <c r="A1687" i="51"/>
  <c r="A1688" i="51"/>
  <c r="A1689" i="51"/>
  <c r="A1690" i="51"/>
  <c r="A1691" i="51"/>
  <c r="A1692" i="51"/>
  <c r="A1693" i="51"/>
  <c r="A1694" i="51"/>
  <c r="A1695" i="51"/>
  <c r="A1696" i="51"/>
  <c r="A1697" i="51"/>
  <c r="A1698" i="51"/>
  <c r="A1699" i="51"/>
  <c r="A1700" i="51"/>
  <c r="A1701" i="51"/>
  <c r="A1702" i="51"/>
  <c r="A1703" i="51"/>
  <c r="A1704" i="51"/>
  <c r="A1705" i="51"/>
  <c r="A1706" i="51"/>
  <c r="A1707" i="51"/>
  <c r="A1708" i="51"/>
  <c r="A1709" i="51"/>
  <c r="A1710" i="51"/>
  <c r="A1711" i="51"/>
  <c r="A1712" i="51"/>
  <c r="A1713" i="51"/>
  <c r="A1714" i="51"/>
  <c r="A1715" i="51"/>
  <c r="A1716" i="51"/>
  <c r="A1717" i="51"/>
  <c r="A1718" i="51"/>
  <c r="A1719" i="51"/>
  <c r="A1720" i="51"/>
  <c r="A1721" i="51"/>
  <c r="A1722" i="51"/>
  <c r="A1723" i="51"/>
  <c r="A1724" i="51"/>
  <c r="A1725" i="51"/>
  <c r="A1726" i="51"/>
  <c r="A1727" i="51"/>
  <c r="A1728" i="51"/>
  <c r="A1729" i="51"/>
  <c r="A1730" i="51"/>
  <c r="A1731" i="51"/>
  <c r="A1732" i="51"/>
  <c r="A1733" i="51"/>
  <c r="A1734" i="51"/>
  <c r="A1735" i="51"/>
  <c r="E275" i="26"/>
  <c r="G275" i="26"/>
  <c r="H275" i="26"/>
  <c r="J275" i="26"/>
  <c r="A1682" i="51"/>
  <c r="C1682" i="51"/>
  <c r="A1683" i="51"/>
  <c r="C1683" i="51"/>
  <c r="C82" i="60"/>
  <c r="D82" i="60"/>
  <c r="E82" i="60"/>
  <c r="A413" i="24"/>
  <c r="C1681" i="51"/>
  <c r="A1681" i="51"/>
  <c r="C1680" i="51"/>
  <c r="A1680" i="51"/>
  <c r="C1679" i="51"/>
  <c r="A1679" i="51"/>
  <c r="C1678" i="51"/>
  <c r="A1678" i="51"/>
  <c r="C1677" i="51"/>
  <c r="A1677" i="51"/>
  <c r="C1676" i="51"/>
  <c r="A1676" i="51"/>
  <c r="E274" i="26"/>
  <c r="G274" i="26"/>
  <c r="H274" i="26"/>
  <c r="J274" i="26"/>
  <c r="A81" i="60"/>
  <c r="C81" i="60"/>
  <c r="D81" i="60"/>
  <c r="E81" i="60"/>
  <c r="A1671" i="51"/>
  <c r="C1671" i="51"/>
  <c r="A1672" i="51"/>
  <c r="C1672" i="51"/>
  <c r="A1673" i="51"/>
  <c r="C1673" i="51"/>
  <c r="A1674" i="51"/>
  <c r="C1674" i="51"/>
  <c r="A1675" i="51"/>
  <c r="C1675" i="51"/>
  <c r="A412" i="24"/>
  <c r="G412" i="24"/>
  <c r="A1670" i="51"/>
  <c r="C1670" i="51"/>
  <c r="E273" i="26"/>
  <c r="G273" i="26"/>
  <c r="H273" i="26"/>
  <c r="J273" i="26"/>
  <c r="A411" i="24"/>
  <c r="G411" i="24"/>
  <c r="A5364" i="51"/>
  <c r="C5364" i="51"/>
  <c r="I5364" i="51"/>
  <c r="E538" i="26"/>
  <c r="F538" i="26"/>
  <c r="G538" i="26"/>
  <c r="H538" i="26"/>
  <c r="J538" i="26"/>
  <c r="D259" i="60"/>
  <c r="A259" i="60"/>
  <c r="C259" i="60"/>
  <c r="E259" i="60"/>
  <c r="A410" i="24"/>
  <c r="G410" i="24"/>
  <c r="B153" i="59"/>
  <c r="C1669" i="51"/>
  <c r="A1669" i="51"/>
  <c r="H272" i="26"/>
  <c r="E272" i="26"/>
  <c r="G272" i="26"/>
  <c r="J272" i="26"/>
  <c r="A258" i="60"/>
  <c r="A257" i="60"/>
  <c r="A256" i="60"/>
  <c r="A255" i="60"/>
  <c r="A254" i="60"/>
  <c r="A253" i="60"/>
  <c r="A252" i="60"/>
  <c r="A251" i="60"/>
  <c r="D251" i="60"/>
  <c r="C252" i="60"/>
  <c r="D252" i="60"/>
  <c r="E252" i="60"/>
  <c r="C253" i="60"/>
  <c r="D253" i="60"/>
  <c r="E253" i="60"/>
  <c r="C254" i="60"/>
  <c r="D254" i="60"/>
  <c r="E254" i="60"/>
  <c r="C255" i="60"/>
  <c r="D255" i="60"/>
  <c r="E255" i="60"/>
  <c r="C256" i="60"/>
  <c r="D256" i="60"/>
  <c r="E256" i="60"/>
  <c r="C257" i="60"/>
  <c r="D257" i="60"/>
  <c r="E257" i="60"/>
  <c r="C258" i="60"/>
  <c r="D258" i="60"/>
  <c r="E258" i="60"/>
  <c r="C251" i="60"/>
  <c r="E251" i="60"/>
  <c r="A409" i="24"/>
  <c r="A402" i="24"/>
  <c r="G402" i="24"/>
  <c r="A403" i="24"/>
  <c r="G403" i="24"/>
  <c r="A404" i="24"/>
  <c r="G404" i="24"/>
  <c r="A405" i="24"/>
  <c r="G405" i="24"/>
  <c r="A406" i="24"/>
  <c r="G406" i="24"/>
  <c r="A407" i="24"/>
  <c r="G407" i="24"/>
  <c r="A408" i="24"/>
  <c r="G408" i="24"/>
  <c r="B146" i="59"/>
  <c r="B147" i="59"/>
  <c r="B148" i="59"/>
  <c r="B149" i="59"/>
  <c r="B150" i="59"/>
  <c r="B151" i="59"/>
  <c r="B152" i="59"/>
  <c r="B145" i="59"/>
  <c r="C1661" i="51"/>
  <c r="C1662" i="51"/>
  <c r="C1663" i="51"/>
  <c r="C1664" i="51"/>
  <c r="C1665" i="51"/>
  <c r="C1666" i="51"/>
  <c r="C1667" i="51"/>
  <c r="C1668" i="51"/>
  <c r="A1661" i="51"/>
  <c r="A1662" i="51"/>
  <c r="A1663" i="51"/>
  <c r="A1664" i="51"/>
  <c r="A1665" i="51"/>
  <c r="A1666" i="51"/>
  <c r="A1667" i="51"/>
  <c r="A1668" i="51"/>
  <c r="E265" i="26"/>
  <c r="G265" i="26"/>
  <c r="J265" i="26"/>
  <c r="E266" i="26"/>
  <c r="G266" i="26"/>
  <c r="J266" i="26"/>
  <c r="E267" i="26"/>
  <c r="G267" i="26"/>
  <c r="J267" i="26"/>
  <c r="E268" i="26"/>
  <c r="G268" i="26"/>
  <c r="J268" i="26"/>
  <c r="E269" i="26"/>
  <c r="G269" i="26"/>
  <c r="J269" i="26"/>
  <c r="E270" i="26"/>
  <c r="G270" i="26"/>
  <c r="J270" i="26"/>
  <c r="E271" i="26"/>
  <c r="G271" i="26"/>
  <c r="J271" i="26"/>
  <c r="E264" i="26"/>
  <c r="G264" i="26"/>
  <c r="J264" i="26"/>
  <c r="A80" i="60"/>
  <c r="C80" i="60"/>
  <c r="D80" i="60"/>
  <c r="E80" i="60"/>
  <c r="G401" i="24"/>
  <c r="A401" i="24"/>
  <c r="E1654" i="51"/>
  <c r="E1655" i="51"/>
  <c r="E1656" i="51"/>
  <c r="E1657" i="51"/>
  <c r="E1658" i="51"/>
  <c r="E1659" i="51"/>
  <c r="E1660" i="51"/>
  <c r="A1653" i="51"/>
  <c r="C1653" i="51"/>
  <c r="A1654" i="51"/>
  <c r="C1654" i="51"/>
  <c r="A1655" i="51"/>
  <c r="C1655" i="51"/>
  <c r="A1656" i="51"/>
  <c r="C1656" i="51"/>
  <c r="A1657" i="51"/>
  <c r="C1657" i="51"/>
  <c r="A1658" i="51"/>
  <c r="C1658" i="51"/>
  <c r="A1659" i="51"/>
  <c r="C1659" i="51"/>
  <c r="A1660" i="51"/>
  <c r="C1660" i="51"/>
  <c r="Q263" i="26"/>
  <c r="J263" i="26"/>
  <c r="H263" i="26"/>
  <c r="G263" i="26"/>
  <c r="E263" i="26"/>
  <c r="Q495" i="26"/>
  <c r="K5325" i="51"/>
  <c r="K5351" i="51"/>
  <c r="A5351" i="51"/>
  <c r="C5351" i="51"/>
  <c r="A5325" i="51"/>
  <c r="C5325" i="51"/>
  <c r="K5279" i="51"/>
  <c r="A5279" i="51"/>
  <c r="C5279" i="51"/>
  <c r="A129" i="24"/>
  <c r="A103" i="24"/>
  <c r="A57" i="24"/>
  <c r="E525" i="26"/>
  <c r="F525" i="26"/>
  <c r="G525" i="26"/>
  <c r="J525" i="26"/>
  <c r="E499" i="26"/>
  <c r="F499" i="26"/>
  <c r="G499" i="26"/>
  <c r="J499" i="26"/>
  <c r="E453" i="26"/>
  <c r="F453" i="26"/>
  <c r="G453" i="26"/>
  <c r="J453" i="26"/>
  <c r="A234" i="60"/>
  <c r="C234" i="60"/>
  <c r="D234" i="60"/>
  <c r="E234" i="60"/>
  <c r="E79" i="60"/>
  <c r="D79" i="60"/>
  <c r="C79" i="60"/>
  <c r="A79" i="60"/>
  <c r="A399" i="24"/>
  <c r="A400" i="24"/>
  <c r="B143" i="59"/>
  <c r="I1649" i="51"/>
  <c r="I1648" i="51"/>
  <c r="I1652" i="51"/>
  <c r="I1651" i="51"/>
  <c r="I1650" i="51"/>
  <c r="A1648" i="51"/>
  <c r="C1648" i="51"/>
  <c r="A1649" i="51"/>
  <c r="C1649" i="51"/>
  <c r="A1650" i="51"/>
  <c r="C1650" i="51"/>
  <c r="A1651" i="51"/>
  <c r="C1651" i="51"/>
  <c r="A1652" i="51"/>
  <c r="C1652" i="51"/>
  <c r="E261" i="26"/>
  <c r="G261" i="26"/>
  <c r="H261" i="26"/>
  <c r="J261" i="26"/>
  <c r="E262" i="26"/>
  <c r="G262" i="26"/>
  <c r="H262" i="26"/>
  <c r="J262" i="26"/>
  <c r="A99" i="24"/>
  <c r="A100" i="24"/>
  <c r="A101" i="24"/>
  <c r="A102" i="24"/>
  <c r="A52" i="24"/>
  <c r="A53" i="24"/>
  <c r="A54" i="24"/>
  <c r="A55" i="24"/>
  <c r="A56" i="24"/>
  <c r="A5321" i="51"/>
  <c r="C5321" i="51"/>
  <c r="A5322" i="51"/>
  <c r="C5322" i="51"/>
  <c r="A5323" i="51"/>
  <c r="C5323" i="51"/>
  <c r="A5324" i="51"/>
  <c r="C5324" i="51"/>
  <c r="H498" i="26"/>
  <c r="H497" i="26"/>
  <c r="H496" i="26"/>
  <c r="H495" i="26"/>
  <c r="E495" i="26"/>
  <c r="F495" i="26"/>
  <c r="G495" i="26"/>
  <c r="J495" i="26"/>
  <c r="E496" i="26"/>
  <c r="F496" i="26"/>
  <c r="G496" i="26"/>
  <c r="J496" i="26"/>
  <c r="E497" i="26"/>
  <c r="F497" i="26"/>
  <c r="G497" i="26"/>
  <c r="J497" i="26"/>
  <c r="E498" i="26"/>
  <c r="F498" i="26"/>
  <c r="G498" i="26"/>
  <c r="J498" i="26"/>
  <c r="A5274" i="51"/>
  <c r="C5274" i="51"/>
  <c r="A5275" i="51"/>
  <c r="C5275" i="51"/>
  <c r="A5276" i="51"/>
  <c r="C5276" i="51"/>
  <c r="A5277" i="51"/>
  <c r="C5277" i="51"/>
  <c r="A5278" i="51"/>
  <c r="C5278" i="51"/>
  <c r="Q448" i="26"/>
  <c r="H449" i="26"/>
  <c r="H450" i="26"/>
  <c r="H451" i="26"/>
  <c r="H452" i="26"/>
  <c r="H448" i="26"/>
  <c r="E448" i="26"/>
  <c r="F448" i="26"/>
  <c r="G448" i="26"/>
  <c r="J448" i="26"/>
  <c r="E449" i="26"/>
  <c r="F449" i="26"/>
  <c r="G449" i="26"/>
  <c r="J449" i="26"/>
  <c r="E450" i="26"/>
  <c r="F450" i="26"/>
  <c r="G450" i="26"/>
  <c r="J450" i="26"/>
  <c r="E451" i="26"/>
  <c r="F451" i="26"/>
  <c r="G451" i="26"/>
  <c r="J451" i="26"/>
  <c r="E452" i="26"/>
  <c r="F452" i="26"/>
  <c r="G452" i="26"/>
  <c r="J452" i="26"/>
  <c r="A398" i="24"/>
  <c r="A5363" i="51"/>
  <c r="C5363" i="51"/>
  <c r="I5363" i="51"/>
  <c r="E537" i="26"/>
  <c r="F537" i="26"/>
  <c r="G537" i="26"/>
  <c r="H537" i="26"/>
  <c r="J537" i="26"/>
  <c r="C78" i="60"/>
  <c r="D78" i="60"/>
  <c r="E78" i="60"/>
  <c r="A397" i="24"/>
  <c r="A1645" i="51"/>
  <c r="C1645" i="51"/>
  <c r="A1646" i="51"/>
  <c r="C1646" i="51"/>
  <c r="E1647" i="51"/>
  <c r="A1647" i="51"/>
  <c r="C1647" i="51"/>
  <c r="E260" i="26"/>
  <c r="G260" i="26"/>
  <c r="H260" i="26"/>
  <c r="J260" i="26"/>
  <c r="A19" i="24"/>
  <c r="E1595" i="51"/>
  <c r="A1595" i="51"/>
  <c r="C1595" i="51"/>
  <c r="E1596" i="51"/>
  <c r="A1596" i="51"/>
  <c r="C1596" i="51"/>
  <c r="E1597" i="51"/>
  <c r="A1597" i="51"/>
  <c r="C1597" i="51"/>
  <c r="E1598" i="51"/>
  <c r="A1598" i="51"/>
  <c r="C1598" i="51"/>
  <c r="E1599" i="51"/>
  <c r="A1599" i="51"/>
  <c r="C1599" i="51"/>
  <c r="E1600" i="51"/>
  <c r="A1600" i="51"/>
  <c r="C1600" i="51"/>
  <c r="E1601" i="51"/>
  <c r="A1601" i="51"/>
  <c r="C1601" i="51"/>
  <c r="E1602" i="51"/>
  <c r="A1602" i="51"/>
  <c r="C1602" i="51"/>
  <c r="E1603" i="51"/>
  <c r="A1603" i="51"/>
  <c r="C1603" i="51"/>
  <c r="E1604" i="51"/>
  <c r="A1604" i="51"/>
  <c r="C1604" i="51"/>
  <c r="E1605" i="51"/>
  <c r="A1605" i="51"/>
  <c r="C1605" i="51"/>
  <c r="E1606" i="51"/>
  <c r="A1606" i="51"/>
  <c r="C1606" i="51"/>
  <c r="E1607" i="51"/>
  <c r="A1607" i="51"/>
  <c r="C1607" i="51"/>
  <c r="E1608" i="51"/>
  <c r="A1608" i="51"/>
  <c r="C1608" i="51"/>
  <c r="E1609" i="51"/>
  <c r="A1609" i="51"/>
  <c r="C1609" i="51"/>
  <c r="E1610" i="51"/>
  <c r="A1610" i="51"/>
  <c r="C1610" i="51"/>
  <c r="E1611" i="51"/>
  <c r="A1611" i="51"/>
  <c r="C1611" i="51"/>
  <c r="E1612" i="51"/>
  <c r="A1612" i="51"/>
  <c r="C1612" i="51"/>
  <c r="E1613" i="51"/>
  <c r="A1613" i="51"/>
  <c r="C1613" i="51"/>
  <c r="E1614" i="51"/>
  <c r="A1614" i="51"/>
  <c r="C1614" i="51"/>
  <c r="E1615" i="51"/>
  <c r="A1615" i="51"/>
  <c r="C1615" i="51"/>
  <c r="E1616" i="51"/>
  <c r="A1616" i="51"/>
  <c r="C1616" i="51"/>
  <c r="E1617" i="51"/>
  <c r="A1617" i="51"/>
  <c r="C1617" i="51"/>
  <c r="E1618" i="51"/>
  <c r="A1618" i="51"/>
  <c r="C1618" i="51"/>
  <c r="E1619" i="51"/>
  <c r="A1619" i="51"/>
  <c r="C1619" i="51"/>
  <c r="E1620" i="51"/>
  <c r="A1620" i="51"/>
  <c r="C1620" i="51"/>
  <c r="E1621" i="51"/>
  <c r="A1621" i="51"/>
  <c r="C1621" i="51"/>
  <c r="E1622" i="51"/>
  <c r="A1622" i="51"/>
  <c r="C1622" i="51"/>
  <c r="E1623" i="51"/>
  <c r="A1623" i="51"/>
  <c r="C1623" i="51"/>
  <c r="E1624" i="51"/>
  <c r="A1624" i="51"/>
  <c r="C1624" i="51"/>
  <c r="E1625" i="51"/>
  <c r="A1625" i="51"/>
  <c r="C1625" i="51"/>
  <c r="E1626" i="51"/>
  <c r="A1626" i="51"/>
  <c r="C1626" i="51"/>
  <c r="E1627" i="51"/>
  <c r="A1627" i="51"/>
  <c r="C1627" i="51"/>
  <c r="E1628" i="51"/>
  <c r="A1628" i="51"/>
  <c r="C1628" i="51"/>
  <c r="E1629" i="51"/>
  <c r="A1629" i="51"/>
  <c r="C1629" i="51"/>
  <c r="E1630" i="51"/>
  <c r="A1630" i="51"/>
  <c r="C1630" i="51"/>
  <c r="E1631" i="51"/>
  <c r="A1631" i="51"/>
  <c r="C1631" i="51"/>
  <c r="E1632" i="51"/>
  <c r="A1632" i="51"/>
  <c r="C1632" i="51"/>
  <c r="E1633" i="51"/>
  <c r="A1633" i="51"/>
  <c r="C1633" i="51"/>
  <c r="E1634" i="51"/>
  <c r="A1634" i="51"/>
  <c r="C1634" i="51"/>
  <c r="E1635" i="51"/>
  <c r="A1635" i="51"/>
  <c r="C1635" i="51"/>
  <c r="E1636" i="51"/>
  <c r="A1636" i="51"/>
  <c r="C1636" i="51"/>
  <c r="E1637" i="51"/>
  <c r="A1637" i="51"/>
  <c r="C1637" i="51"/>
  <c r="E1638" i="51"/>
  <c r="A1638" i="51"/>
  <c r="C1638" i="51"/>
  <c r="E1639" i="51"/>
  <c r="A1639" i="51"/>
  <c r="C1639" i="51"/>
  <c r="E1640" i="51"/>
  <c r="A1640" i="51"/>
  <c r="C1640" i="51"/>
  <c r="E1641" i="51"/>
  <c r="A1641" i="51"/>
  <c r="C1641" i="51"/>
  <c r="E1642" i="51"/>
  <c r="A1642" i="51"/>
  <c r="C1642" i="51"/>
  <c r="E1643" i="51"/>
  <c r="A1643" i="51"/>
  <c r="C1643" i="51"/>
  <c r="E1644" i="51"/>
  <c r="A1644" i="51"/>
  <c r="C1644" i="51"/>
  <c r="E1543" i="51"/>
  <c r="A1543" i="51"/>
  <c r="C1543" i="51"/>
  <c r="E1544" i="51"/>
  <c r="A1544" i="51"/>
  <c r="C1544" i="51"/>
  <c r="E1545" i="51"/>
  <c r="A1545" i="51"/>
  <c r="C1545" i="51"/>
  <c r="E1546" i="51"/>
  <c r="A1546" i="51"/>
  <c r="C1546" i="51"/>
  <c r="E1547" i="51"/>
  <c r="A1547" i="51"/>
  <c r="C1547" i="51"/>
  <c r="E1548" i="51"/>
  <c r="A1548" i="51"/>
  <c r="C1548" i="51"/>
  <c r="E1549" i="51"/>
  <c r="A1549" i="51"/>
  <c r="C1549" i="51"/>
  <c r="E1550" i="51"/>
  <c r="A1550" i="51"/>
  <c r="C1550" i="51"/>
  <c r="E1551" i="51"/>
  <c r="A1551" i="51"/>
  <c r="C1551" i="51"/>
  <c r="E1552" i="51"/>
  <c r="A1552" i="51"/>
  <c r="C1552" i="51"/>
  <c r="E1553" i="51"/>
  <c r="A1553" i="51"/>
  <c r="C1553" i="51"/>
  <c r="E1554" i="51"/>
  <c r="A1554" i="51"/>
  <c r="C1554" i="51"/>
  <c r="E1555" i="51"/>
  <c r="A1555" i="51"/>
  <c r="C1555" i="51"/>
  <c r="E1556" i="51"/>
  <c r="A1556" i="51"/>
  <c r="C1556" i="51"/>
  <c r="E1557" i="51"/>
  <c r="A1557" i="51"/>
  <c r="C1557" i="51"/>
  <c r="E1558" i="51"/>
  <c r="A1558" i="51"/>
  <c r="C1558" i="51"/>
  <c r="E1559" i="51"/>
  <c r="A1559" i="51"/>
  <c r="C1559" i="51"/>
  <c r="E1560" i="51"/>
  <c r="A1560" i="51"/>
  <c r="C1560" i="51"/>
  <c r="E1561" i="51"/>
  <c r="A1561" i="51"/>
  <c r="C1561" i="51"/>
  <c r="E1562" i="51"/>
  <c r="A1562" i="51"/>
  <c r="C1562" i="51"/>
  <c r="E1563" i="51"/>
  <c r="A1563" i="51"/>
  <c r="C1563" i="51"/>
  <c r="E1564" i="51"/>
  <c r="A1564" i="51"/>
  <c r="C1564" i="51"/>
  <c r="E1565" i="51"/>
  <c r="A1565" i="51"/>
  <c r="C1565" i="51"/>
  <c r="E1566" i="51"/>
  <c r="A1566" i="51"/>
  <c r="C1566" i="51"/>
  <c r="E1567" i="51"/>
  <c r="A1567" i="51"/>
  <c r="C1567" i="51"/>
  <c r="E1568" i="51"/>
  <c r="A1568" i="51"/>
  <c r="C1568" i="51"/>
  <c r="E1569" i="51"/>
  <c r="A1569" i="51"/>
  <c r="C1569" i="51"/>
  <c r="E1570" i="51"/>
  <c r="A1570" i="51"/>
  <c r="C1570" i="51"/>
  <c r="E1571" i="51"/>
  <c r="A1571" i="51"/>
  <c r="C1571" i="51"/>
  <c r="E1572" i="51"/>
  <c r="A1572" i="51"/>
  <c r="C1572" i="51"/>
  <c r="E1573" i="51"/>
  <c r="A1573" i="51"/>
  <c r="C1573" i="51"/>
  <c r="E1574" i="51"/>
  <c r="A1574" i="51"/>
  <c r="C1574" i="51"/>
  <c r="E1575" i="51"/>
  <c r="A1575" i="51"/>
  <c r="C1575" i="51"/>
  <c r="E1576" i="51"/>
  <c r="A1576" i="51"/>
  <c r="C1576" i="51"/>
  <c r="E1577" i="51"/>
  <c r="A1577" i="51"/>
  <c r="C1577" i="51"/>
  <c r="E1578" i="51"/>
  <c r="A1578" i="51"/>
  <c r="C1578" i="51"/>
  <c r="E1579" i="51"/>
  <c r="A1579" i="51"/>
  <c r="C1579" i="51"/>
  <c r="E1580" i="51"/>
  <c r="A1580" i="51"/>
  <c r="C1580" i="51"/>
  <c r="E1581" i="51"/>
  <c r="A1581" i="51"/>
  <c r="C1581" i="51"/>
  <c r="E1582" i="51"/>
  <c r="A1582" i="51"/>
  <c r="C1582" i="51"/>
  <c r="E1583" i="51"/>
  <c r="A1583" i="51"/>
  <c r="C1583" i="51"/>
  <c r="E1584" i="51"/>
  <c r="A1584" i="51"/>
  <c r="C1584" i="51"/>
  <c r="E1585" i="51"/>
  <c r="A1585" i="51"/>
  <c r="C1585" i="51"/>
  <c r="E1586" i="51"/>
  <c r="A1586" i="51"/>
  <c r="C1586" i="51"/>
  <c r="E1587" i="51"/>
  <c r="A1587" i="51"/>
  <c r="C1587" i="51"/>
  <c r="E1588" i="51"/>
  <c r="A1588" i="51"/>
  <c r="C1588" i="51"/>
  <c r="E1589" i="51"/>
  <c r="A1589" i="51"/>
  <c r="C1589" i="51"/>
  <c r="E1590" i="51"/>
  <c r="A1590" i="51"/>
  <c r="C1590" i="51"/>
  <c r="E1591" i="51"/>
  <c r="A1591" i="51"/>
  <c r="C1591" i="51"/>
  <c r="E1592" i="51"/>
  <c r="A1592" i="51"/>
  <c r="C1592" i="51"/>
  <c r="E1491" i="51"/>
  <c r="E1492" i="51"/>
  <c r="E1493" i="51"/>
  <c r="E1494" i="51"/>
  <c r="E1495" i="51"/>
  <c r="E1496" i="51"/>
  <c r="E1497" i="51"/>
  <c r="E1498" i="51"/>
  <c r="E1499" i="51"/>
  <c r="E1500" i="51"/>
  <c r="E1501" i="51"/>
  <c r="E1502" i="51"/>
  <c r="E1503" i="51"/>
  <c r="E1504" i="51"/>
  <c r="E1505" i="51"/>
  <c r="E1506" i="51"/>
  <c r="E1507" i="51"/>
  <c r="E1508" i="51"/>
  <c r="E1509" i="51"/>
  <c r="E1510" i="51"/>
  <c r="E1511" i="51"/>
  <c r="E1512" i="51"/>
  <c r="E1513" i="51"/>
  <c r="E1514" i="51"/>
  <c r="E1515" i="51"/>
  <c r="E1516" i="51"/>
  <c r="E1517" i="51"/>
  <c r="E1518" i="51"/>
  <c r="E1519" i="51"/>
  <c r="E1520" i="51"/>
  <c r="E1521" i="51"/>
  <c r="E1522" i="51"/>
  <c r="E1523" i="51"/>
  <c r="E1524" i="51"/>
  <c r="E1525" i="51"/>
  <c r="E1526" i="51"/>
  <c r="E1527" i="51"/>
  <c r="E1528" i="51"/>
  <c r="E1529" i="51"/>
  <c r="E1530" i="51"/>
  <c r="E1531" i="51"/>
  <c r="E1532" i="51"/>
  <c r="E1533" i="51"/>
  <c r="E1534" i="51"/>
  <c r="E1535" i="51"/>
  <c r="E1536" i="51"/>
  <c r="E1537" i="51"/>
  <c r="E1538" i="51"/>
  <c r="E1539" i="51"/>
  <c r="E1540" i="51"/>
  <c r="A1492" i="51"/>
  <c r="C1492" i="51"/>
  <c r="A1493" i="51"/>
  <c r="C1493" i="51"/>
  <c r="A1494" i="51"/>
  <c r="C1494" i="51"/>
  <c r="A1495" i="51"/>
  <c r="C1495" i="51"/>
  <c r="A1496" i="51"/>
  <c r="C1496" i="51"/>
  <c r="A1497" i="51"/>
  <c r="C1497" i="51"/>
  <c r="A1498" i="51"/>
  <c r="C1498" i="51"/>
  <c r="A1499" i="51"/>
  <c r="C1499" i="51"/>
  <c r="A1500" i="51"/>
  <c r="C1500" i="51"/>
  <c r="A1501" i="51"/>
  <c r="C1501" i="51"/>
  <c r="A1502" i="51"/>
  <c r="C1502" i="51"/>
  <c r="A1503" i="51"/>
  <c r="C1503" i="51"/>
  <c r="A1504" i="51"/>
  <c r="C1504" i="51"/>
  <c r="A1505" i="51"/>
  <c r="C1505" i="51"/>
  <c r="A1506" i="51"/>
  <c r="C1506" i="51"/>
  <c r="A1507" i="51"/>
  <c r="C1507" i="51"/>
  <c r="A1508" i="51"/>
  <c r="C1508" i="51"/>
  <c r="A1509" i="51"/>
  <c r="C1509" i="51"/>
  <c r="A1510" i="51"/>
  <c r="C1510" i="51"/>
  <c r="A1511" i="51"/>
  <c r="C1511" i="51"/>
  <c r="A1512" i="51"/>
  <c r="C1512" i="51"/>
  <c r="A1513" i="51"/>
  <c r="C1513" i="51"/>
  <c r="A1514" i="51"/>
  <c r="C1514" i="51"/>
  <c r="A1515" i="51"/>
  <c r="C1515" i="51"/>
  <c r="A1516" i="51"/>
  <c r="C1516" i="51"/>
  <c r="A1517" i="51"/>
  <c r="C1517" i="51"/>
  <c r="A1518" i="51"/>
  <c r="C1518" i="51"/>
  <c r="A1519" i="51"/>
  <c r="C1519" i="51"/>
  <c r="A1520" i="51"/>
  <c r="C1520" i="51"/>
  <c r="A1521" i="51"/>
  <c r="C1521" i="51"/>
  <c r="A1522" i="51"/>
  <c r="C1522" i="51"/>
  <c r="A1523" i="51"/>
  <c r="C1523" i="51"/>
  <c r="A1524" i="51"/>
  <c r="C1524" i="51"/>
  <c r="A1525" i="51"/>
  <c r="C1525" i="51"/>
  <c r="A1526" i="51"/>
  <c r="C1526" i="51"/>
  <c r="A1527" i="51"/>
  <c r="C1527" i="51"/>
  <c r="A1528" i="51"/>
  <c r="C1528" i="51"/>
  <c r="A1529" i="51"/>
  <c r="C1529" i="51"/>
  <c r="A1530" i="51"/>
  <c r="C1530" i="51"/>
  <c r="A1531" i="51"/>
  <c r="C1531" i="51"/>
  <c r="A1532" i="51"/>
  <c r="C1532" i="51"/>
  <c r="A1533" i="51"/>
  <c r="C1533" i="51"/>
  <c r="A1534" i="51"/>
  <c r="C1534" i="51"/>
  <c r="A1535" i="51"/>
  <c r="C1535" i="51"/>
  <c r="A1536" i="51"/>
  <c r="C1536" i="51"/>
  <c r="A1537" i="51"/>
  <c r="C1537" i="51"/>
  <c r="A1538" i="51"/>
  <c r="C1538" i="51"/>
  <c r="A1539" i="51"/>
  <c r="C1539" i="51"/>
  <c r="A1540" i="51"/>
  <c r="C1540" i="51"/>
  <c r="A1491" i="51"/>
  <c r="C1491" i="51"/>
  <c r="A75" i="60"/>
  <c r="C75" i="60"/>
  <c r="D75" i="60"/>
  <c r="E75" i="60"/>
  <c r="A76" i="60"/>
  <c r="C76" i="60"/>
  <c r="D76" i="60"/>
  <c r="E76" i="60"/>
  <c r="C77" i="60"/>
  <c r="D77" i="60"/>
  <c r="E77" i="60"/>
  <c r="A394" i="24"/>
  <c r="G394" i="24"/>
  <c r="A395" i="24"/>
  <c r="G395" i="24"/>
  <c r="A396" i="24"/>
  <c r="C1489" i="51"/>
  <c r="C1490" i="51"/>
  <c r="C1541" i="51"/>
  <c r="C1542" i="51"/>
  <c r="C1593" i="51"/>
  <c r="C1594" i="51"/>
  <c r="A1489" i="51"/>
  <c r="A1490" i="51"/>
  <c r="A1541" i="51"/>
  <c r="A1542" i="51"/>
  <c r="A1593" i="51"/>
  <c r="A1594" i="51"/>
  <c r="E257" i="26"/>
  <c r="G257" i="26"/>
  <c r="H257" i="26"/>
  <c r="J257" i="26"/>
  <c r="E258" i="26"/>
  <c r="G258" i="26"/>
  <c r="H258" i="26"/>
  <c r="J258" i="26"/>
  <c r="E259" i="26"/>
  <c r="G259" i="26"/>
  <c r="H259" i="26"/>
  <c r="J259" i="26"/>
  <c r="D74" i="60"/>
  <c r="A74" i="60"/>
  <c r="C74" i="60"/>
  <c r="E74" i="60"/>
  <c r="A393" i="24"/>
  <c r="G393" i="24"/>
  <c r="E1439" i="51"/>
  <c r="E1440" i="51"/>
  <c r="E1441" i="51"/>
  <c r="E1442" i="51"/>
  <c r="E1443" i="51"/>
  <c r="E1444" i="51"/>
  <c r="E1445" i="51"/>
  <c r="E1446" i="51"/>
  <c r="E1447" i="51"/>
  <c r="E1448" i="51"/>
  <c r="E1449" i="51"/>
  <c r="E1450" i="51"/>
  <c r="E1451" i="51"/>
  <c r="E1452" i="51"/>
  <c r="E1453" i="51"/>
  <c r="E1454" i="51"/>
  <c r="E1455" i="51"/>
  <c r="E1456" i="51"/>
  <c r="E1457" i="51"/>
  <c r="E1458" i="51"/>
  <c r="E1459" i="51"/>
  <c r="E1460" i="51"/>
  <c r="E1461" i="51"/>
  <c r="E1462" i="51"/>
  <c r="E1463" i="51"/>
  <c r="E1464" i="51"/>
  <c r="E1465" i="51"/>
  <c r="E1466" i="51"/>
  <c r="E1467" i="51"/>
  <c r="E1468" i="51"/>
  <c r="E1469" i="51"/>
  <c r="E1470" i="51"/>
  <c r="E1471" i="51"/>
  <c r="E1472" i="51"/>
  <c r="E1473" i="51"/>
  <c r="E1474" i="51"/>
  <c r="E1475" i="51"/>
  <c r="E1476" i="51"/>
  <c r="E1477" i="51"/>
  <c r="E1478" i="51"/>
  <c r="E1479" i="51"/>
  <c r="E1480" i="51"/>
  <c r="E1481" i="51"/>
  <c r="E1482" i="51"/>
  <c r="E1483" i="51"/>
  <c r="E1484" i="51"/>
  <c r="E1485" i="51"/>
  <c r="E1486" i="51"/>
  <c r="E1487" i="51"/>
  <c r="E1488" i="51"/>
  <c r="C1437" i="51"/>
  <c r="C1438" i="51"/>
  <c r="C1439" i="51"/>
  <c r="C1440" i="51"/>
  <c r="C1441" i="51"/>
  <c r="C1442" i="51"/>
  <c r="C1443" i="51"/>
  <c r="C1444" i="51"/>
  <c r="C1445" i="51"/>
  <c r="C1446" i="51"/>
  <c r="C1447" i="51"/>
  <c r="C1448" i="51"/>
  <c r="C1449" i="51"/>
  <c r="C1450" i="51"/>
  <c r="C1451" i="51"/>
  <c r="C1452" i="51"/>
  <c r="C1453" i="51"/>
  <c r="C1454" i="51"/>
  <c r="C1455" i="51"/>
  <c r="C1456" i="51"/>
  <c r="C1457" i="51"/>
  <c r="C1458" i="51"/>
  <c r="C1459" i="51"/>
  <c r="C1460" i="51"/>
  <c r="C1461" i="51"/>
  <c r="C1462" i="51"/>
  <c r="C1463" i="51"/>
  <c r="C1464" i="51"/>
  <c r="C1465" i="51"/>
  <c r="C1466" i="51"/>
  <c r="C1467" i="51"/>
  <c r="C1468" i="51"/>
  <c r="C1469" i="51"/>
  <c r="C1470" i="51"/>
  <c r="C1471" i="51"/>
  <c r="C1472" i="51"/>
  <c r="C1473" i="51"/>
  <c r="C1474" i="51"/>
  <c r="C1475" i="51"/>
  <c r="C1476" i="51"/>
  <c r="C1477" i="51"/>
  <c r="C1478" i="51"/>
  <c r="C1479" i="51"/>
  <c r="C1480" i="51"/>
  <c r="C1481" i="51"/>
  <c r="C1482" i="51"/>
  <c r="C1483" i="51"/>
  <c r="C1484" i="51"/>
  <c r="C1485" i="51"/>
  <c r="C1486" i="51"/>
  <c r="C1487" i="51"/>
  <c r="C1488" i="51"/>
  <c r="A1437" i="51"/>
  <c r="A1438" i="51"/>
  <c r="A1439" i="51"/>
  <c r="A1440" i="51"/>
  <c r="A1441" i="51"/>
  <c r="A1442" i="51"/>
  <c r="A1443" i="51"/>
  <c r="A1444" i="51"/>
  <c r="A1445" i="51"/>
  <c r="A1446" i="51"/>
  <c r="A1447" i="51"/>
  <c r="A1448" i="51"/>
  <c r="A1449" i="51"/>
  <c r="A1450" i="51"/>
  <c r="A1451" i="51"/>
  <c r="A1452" i="51"/>
  <c r="A1453" i="51"/>
  <c r="A1454" i="51"/>
  <c r="A1455" i="51"/>
  <c r="A1456" i="51"/>
  <c r="A1457" i="51"/>
  <c r="A1458" i="51"/>
  <c r="A1459" i="51"/>
  <c r="A1460" i="51"/>
  <c r="A1461" i="51"/>
  <c r="A1462" i="51"/>
  <c r="A1463" i="51"/>
  <c r="A1464" i="51"/>
  <c r="A1465" i="51"/>
  <c r="A1466" i="51"/>
  <c r="A1467" i="51"/>
  <c r="A1468" i="51"/>
  <c r="A1469" i="51"/>
  <c r="A1470" i="51"/>
  <c r="A1471" i="51"/>
  <c r="A1472" i="51"/>
  <c r="A1473" i="51"/>
  <c r="A1474" i="51"/>
  <c r="A1475" i="51"/>
  <c r="A1476" i="51"/>
  <c r="A1477" i="51"/>
  <c r="A1478" i="51"/>
  <c r="A1479" i="51"/>
  <c r="A1480" i="51"/>
  <c r="A1481" i="51"/>
  <c r="A1482" i="51"/>
  <c r="A1483" i="51"/>
  <c r="A1484" i="51"/>
  <c r="A1485" i="51"/>
  <c r="A1486" i="51"/>
  <c r="A1487" i="51"/>
  <c r="A1488" i="51"/>
  <c r="H256" i="26"/>
  <c r="E256" i="26"/>
  <c r="G256" i="26"/>
  <c r="J256" i="26"/>
  <c r="E73" i="60"/>
  <c r="C73" i="60"/>
  <c r="A73" i="60"/>
  <c r="E72" i="60"/>
  <c r="C72" i="60"/>
  <c r="A72" i="60"/>
  <c r="E71" i="60"/>
  <c r="C71" i="60"/>
  <c r="A71" i="60"/>
  <c r="G391" i="24"/>
  <c r="G392" i="24"/>
  <c r="G390" i="24"/>
  <c r="A390" i="24"/>
  <c r="A391" i="24"/>
  <c r="A392" i="24"/>
  <c r="C1431" i="51"/>
  <c r="C1432" i="51"/>
  <c r="C1433" i="51"/>
  <c r="C1434" i="51"/>
  <c r="C1435" i="51"/>
  <c r="C1436" i="51"/>
  <c r="A1436" i="51"/>
  <c r="A1435" i="51"/>
  <c r="A1434" i="51"/>
  <c r="A1433" i="51"/>
  <c r="A1432" i="51"/>
  <c r="A1431" i="51"/>
  <c r="J255" i="26"/>
  <c r="G255" i="26"/>
  <c r="E255" i="26"/>
  <c r="J254" i="26"/>
  <c r="G254" i="26"/>
  <c r="E254" i="26"/>
  <c r="J253" i="26"/>
  <c r="G253" i="26"/>
  <c r="E253" i="26"/>
  <c r="A18" i="24"/>
  <c r="A233" i="60"/>
  <c r="C233" i="60"/>
  <c r="D233" i="60"/>
  <c r="E233" i="60"/>
  <c r="A128" i="24"/>
  <c r="A98" i="24"/>
  <c r="A51" i="24"/>
  <c r="A389" i="24"/>
  <c r="B142" i="59"/>
  <c r="A5350" i="51"/>
  <c r="C5350" i="51"/>
  <c r="K5320" i="51"/>
  <c r="K5350" i="51"/>
  <c r="A5320" i="51"/>
  <c r="C5320" i="51"/>
  <c r="A5273" i="51"/>
  <c r="C5273" i="51"/>
  <c r="K5273" i="51"/>
  <c r="A1428" i="51"/>
  <c r="C1428" i="51"/>
  <c r="A1429" i="51"/>
  <c r="C1429" i="51"/>
  <c r="A1430" i="51"/>
  <c r="C1430" i="51"/>
  <c r="I1430" i="51"/>
  <c r="I1429" i="51"/>
  <c r="I1428" i="51"/>
  <c r="E524" i="26"/>
  <c r="F524" i="26"/>
  <c r="G524" i="26"/>
  <c r="J524" i="26"/>
  <c r="E447" i="26"/>
  <c r="F447" i="26"/>
  <c r="G447" i="26"/>
  <c r="H442" i="26"/>
  <c r="H443" i="26"/>
  <c r="H444" i="26"/>
  <c r="H445" i="26"/>
  <c r="H446" i="26"/>
  <c r="H447" i="26"/>
  <c r="J447" i="26"/>
  <c r="E494" i="26"/>
  <c r="F494" i="26"/>
  <c r="G494" i="26"/>
  <c r="H487" i="26"/>
  <c r="H488" i="26"/>
  <c r="H489" i="26"/>
  <c r="H490" i="26"/>
  <c r="H491" i="26"/>
  <c r="H492" i="26"/>
  <c r="H493" i="26"/>
  <c r="H494" i="26"/>
  <c r="J494" i="26"/>
  <c r="E252" i="26"/>
  <c r="G252" i="26"/>
  <c r="H252" i="26"/>
  <c r="J252" i="26"/>
  <c r="C70" i="60"/>
  <c r="D70" i="60"/>
  <c r="E70" i="60"/>
  <c r="A388" i="24"/>
  <c r="A1378" i="51"/>
  <c r="C1378" i="51"/>
  <c r="A1379" i="51"/>
  <c r="C1379" i="51"/>
  <c r="A1380" i="51"/>
  <c r="C1380" i="51"/>
  <c r="A1381" i="51"/>
  <c r="C1381" i="51"/>
  <c r="A1382" i="51"/>
  <c r="C1382" i="51"/>
  <c r="A1383" i="51"/>
  <c r="C1383" i="51"/>
  <c r="A1384" i="51"/>
  <c r="C1384" i="51"/>
  <c r="A1385" i="51"/>
  <c r="C1385" i="51"/>
  <c r="A1386" i="51"/>
  <c r="C1386" i="51"/>
  <c r="A1387" i="51"/>
  <c r="C1387" i="51"/>
  <c r="A1388" i="51"/>
  <c r="C1388" i="51"/>
  <c r="A1389" i="51"/>
  <c r="C1389" i="51"/>
  <c r="A1390" i="51"/>
  <c r="C1390" i="51"/>
  <c r="A1391" i="51"/>
  <c r="C1391" i="51"/>
  <c r="A1392" i="51"/>
  <c r="C1392" i="51"/>
  <c r="A1393" i="51"/>
  <c r="C1393" i="51"/>
  <c r="A1394" i="51"/>
  <c r="C1394" i="51"/>
  <c r="A1395" i="51"/>
  <c r="C1395" i="51"/>
  <c r="A1396" i="51"/>
  <c r="C1396" i="51"/>
  <c r="A1397" i="51"/>
  <c r="C1397" i="51"/>
  <c r="A1398" i="51"/>
  <c r="C1398" i="51"/>
  <c r="A1399" i="51"/>
  <c r="C1399" i="51"/>
  <c r="A1400" i="51"/>
  <c r="C1400" i="51"/>
  <c r="A1401" i="51"/>
  <c r="C1401" i="51"/>
  <c r="A1402" i="51"/>
  <c r="C1402" i="51"/>
  <c r="A1403" i="51"/>
  <c r="C1403" i="51"/>
  <c r="A1404" i="51"/>
  <c r="C1404" i="51"/>
  <c r="A1405" i="51"/>
  <c r="C1405" i="51"/>
  <c r="A1406" i="51"/>
  <c r="C1406" i="51"/>
  <c r="A1407" i="51"/>
  <c r="C1407" i="51"/>
  <c r="A1408" i="51"/>
  <c r="C1408" i="51"/>
  <c r="A1409" i="51"/>
  <c r="C1409" i="51"/>
  <c r="A1410" i="51"/>
  <c r="C1410" i="51"/>
  <c r="A1411" i="51"/>
  <c r="C1411" i="51"/>
  <c r="A1412" i="51"/>
  <c r="C1412" i="51"/>
  <c r="A1413" i="51"/>
  <c r="C1413" i="51"/>
  <c r="A1414" i="51"/>
  <c r="C1414" i="51"/>
  <c r="A1415" i="51"/>
  <c r="C1415" i="51"/>
  <c r="A1416" i="51"/>
  <c r="C1416" i="51"/>
  <c r="A1417" i="51"/>
  <c r="C1417" i="51"/>
  <c r="A1418" i="51"/>
  <c r="C1418" i="51"/>
  <c r="A1419" i="51"/>
  <c r="C1419" i="51"/>
  <c r="A1420" i="51"/>
  <c r="C1420" i="51"/>
  <c r="A1421" i="51"/>
  <c r="C1421" i="51"/>
  <c r="A1422" i="51"/>
  <c r="C1422" i="51"/>
  <c r="A1423" i="51"/>
  <c r="C1423" i="51"/>
  <c r="A1424" i="51"/>
  <c r="C1424" i="51"/>
  <c r="A1425" i="51"/>
  <c r="C1425" i="51"/>
  <c r="A1426" i="51"/>
  <c r="C1426" i="51"/>
  <c r="A1427" i="51"/>
  <c r="C1427" i="51"/>
  <c r="C1377" i="51"/>
  <c r="A1377" i="51"/>
  <c r="E251" i="26"/>
  <c r="G251" i="26"/>
  <c r="H251" i="26"/>
  <c r="J251" i="26"/>
  <c r="C69" i="60"/>
  <c r="D69" i="60"/>
  <c r="E69" i="60"/>
  <c r="A387" i="24"/>
  <c r="A1375" i="51"/>
  <c r="C1375" i="51"/>
  <c r="I1375" i="51"/>
  <c r="A1376" i="51"/>
  <c r="C1376" i="51"/>
  <c r="I1376" i="51"/>
  <c r="E250" i="26"/>
  <c r="G250" i="26"/>
  <c r="H250" i="26"/>
  <c r="J250" i="26"/>
  <c r="A68" i="60"/>
  <c r="C68" i="60"/>
  <c r="D68" i="60"/>
  <c r="E68" i="60"/>
  <c r="A386" i="24"/>
  <c r="G386" i="24"/>
  <c r="A1368" i="51"/>
  <c r="A1369" i="51"/>
  <c r="A1370" i="51"/>
  <c r="A1371" i="51"/>
  <c r="A1372" i="51"/>
  <c r="A1373" i="51"/>
  <c r="A1374" i="51"/>
  <c r="I1374" i="51"/>
  <c r="C1374" i="51"/>
  <c r="C1373" i="51"/>
  <c r="I1372" i="51"/>
  <c r="J1372" i="51"/>
  <c r="C1372" i="51"/>
  <c r="I1371" i="51"/>
  <c r="J1371" i="51"/>
  <c r="C1371" i="51"/>
  <c r="I1370" i="51"/>
  <c r="C1370" i="51"/>
  <c r="C1369" i="51"/>
  <c r="I1368" i="51"/>
  <c r="C1368" i="51"/>
  <c r="E249" i="26"/>
  <c r="G249" i="26"/>
  <c r="H249" i="26"/>
  <c r="J249" i="26"/>
  <c r="A64" i="60"/>
  <c r="C64" i="60"/>
  <c r="D64" i="60"/>
  <c r="E64" i="60"/>
  <c r="A65" i="60"/>
  <c r="C65" i="60"/>
  <c r="D65" i="60"/>
  <c r="E65" i="60"/>
  <c r="A66" i="60"/>
  <c r="C66" i="60"/>
  <c r="D66" i="60"/>
  <c r="E66" i="60"/>
  <c r="A67" i="60"/>
  <c r="C67" i="60"/>
  <c r="D67" i="60"/>
  <c r="E67" i="60"/>
  <c r="A382" i="24"/>
  <c r="G382" i="24"/>
  <c r="A383" i="24"/>
  <c r="G383" i="24"/>
  <c r="A384" i="24"/>
  <c r="G384" i="24"/>
  <c r="A385" i="24"/>
  <c r="G385" i="24"/>
  <c r="E1318" i="51"/>
  <c r="E1319" i="51"/>
  <c r="E1320" i="51"/>
  <c r="E1321" i="51"/>
  <c r="E1322" i="51"/>
  <c r="E1323" i="51"/>
  <c r="E1324" i="51"/>
  <c r="E1325" i="51"/>
  <c r="E1326" i="51"/>
  <c r="E1327" i="51"/>
  <c r="E1328" i="51"/>
  <c r="E1329" i="51"/>
  <c r="E1330" i="51"/>
  <c r="E1331" i="51"/>
  <c r="E1332" i="51"/>
  <c r="E1333" i="51"/>
  <c r="E1334" i="51"/>
  <c r="E1335" i="51"/>
  <c r="E1336" i="51"/>
  <c r="E1337" i="51"/>
  <c r="E1338" i="51"/>
  <c r="E1339" i="51"/>
  <c r="E1340" i="51"/>
  <c r="E1341" i="51"/>
  <c r="E1342" i="51"/>
  <c r="E1343" i="51"/>
  <c r="E1344" i="51"/>
  <c r="E1345" i="51"/>
  <c r="E1346" i="51"/>
  <c r="E1347" i="51"/>
  <c r="E1348" i="51"/>
  <c r="E1349" i="51"/>
  <c r="E1350" i="51"/>
  <c r="E1351" i="51"/>
  <c r="E1352" i="51"/>
  <c r="E1353" i="51"/>
  <c r="E1354" i="51"/>
  <c r="E1355" i="51"/>
  <c r="E1356" i="51"/>
  <c r="E1357" i="51"/>
  <c r="E1358" i="51"/>
  <c r="E1359" i="51"/>
  <c r="E1360" i="51"/>
  <c r="E1361" i="51"/>
  <c r="E1362" i="51"/>
  <c r="E1363" i="51"/>
  <c r="E1364" i="51"/>
  <c r="E1365" i="51"/>
  <c r="E1366" i="51"/>
  <c r="E1367" i="51"/>
  <c r="A1367" i="51"/>
  <c r="C1367" i="51"/>
  <c r="A1317" i="51"/>
  <c r="C1317" i="51"/>
  <c r="A1318" i="51"/>
  <c r="C1318" i="51"/>
  <c r="A1319" i="51"/>
  <c r="C1319" i="51"/>
  <c r="A1320" i="51"/>
  <c r="C1320" i="51"/>
  <c r="A1321" i="51"/>
  <c r="C1321" i="51"/>
  <c r="A1322" i="51"/>
  <c r="C1322" i="51"/>
  <c r="A1323" i="51"/>
  <c r="C1323" i="51"/>
  <c r="A1324" i="51"/>
  <c r="C1324" i="51"/>
  <c r="A1325" i="51"/>
  <c r="C1325" i="51"/>
  <c r="A1326" i="51"/>
  <c r="C1326" i="51"/>
  <c r="A1327" i="51"/>
  <c r="C1327" i="51"/>
  <c r="A1328" i="51"/>
  <c r="C1328" i="51"/>
  <c r="A1329" i="51"/>
  <c r="C1329" i="51"/>
  <c r="A1330" i="51"/>
  <c r="C1330" i="51"/>
  <c r="A1331" i="51"/>
  <c r="C1331" i="51"/>
  <c r="A1332" i="51"/>
  <c r="C1332" i="51"/>
  <c r="A1333" i="51"/>
  <c r="C1333" i="51"/>
  <c r="A1334" i="51"/>
  <c r="C1334" i="51"/>
  <c r="A1335" i="51"/>
  <c r="C1335" i="51"/>
  <c r="A1336" i="51"/>
  <c r="C1336" i="51"/>
  <c r="A1337" i="51"/>
  <c r="C1337" i="51"/>
  <c r="A1338" i="51"/>
  <c r="C1338" i="51"/>
  <c r="A1339" i="51"/>
  <c r="C1339" i="51"/>
  <c r="A1340" i="51"/>
  <c r="C1340" i="51"/>
  <c r="A1341" i="51"/>
  <c r="C1341" i="51"/>
  <c r="A1342" i="51"/>
  <c r="C1342" i="51"/>
  <c r="A1343" i="51"/>
  <c r="C1343" i="51"/>
  <c r="A1344" i="51"/>
  <c r="C1344" i="51"/>
  <c r="A1345" i="51"/>
  <c r="C1345" i="51"/>
  <c r="A1346" i="51"/>
  <c r="C1346" i="51"/>
  <c r="A1347" i="51"/>
  <c r="C1347" i="51"/>
  <c r="A1348" i="51"/>
  <c r="C1348" i="51"/>
  <c r="A1349" i="51"/>
  <c r="C1349" i="51"/>
  <c r="A1350" i="51"/>
  <c r="C1350" i="51"/>
  <c r="A1351" i="51"/>
  <c r="C1351" i="51"/>
  <c r="A1352" i="51"/>
  <c r="C1352" i="51"/>
  <c r="A1353" i="51"/>
  <c r="C1353" i="51"/>
  <c r="A1354" i="51"/>
  <c r="C1354" i="51"/>
  <c r="A1355" i="51"/>
  <c r="C1355" i="51"/>
  <c r="A1356" i="51"/>
  <c r="C1356" i="51"/>
  <c r="A1357" i="51"/>
  <c r="C1357" i="51"/>
  <c r="A1358" i="51"/>
  <c r="C1358" i="51"/>
  <c r="A1359" i="51"/>
  <c r="C1359" i="51"/>
  <c r="A1360" i="51"/>
  <c r="C1360" i="51"/>
  <c r="A1361" i="51"/>
  <c r="C1361" i="51"/>
  <c r="A1362" i="51"/>
  <c r="C1362" i="51"/>
  <c r="A1363" i="51"/>
  <c r="C1363" i="51"/>
  <c r="A1364" i="51"/>
  <c r="C1364" i="51"/>
  <c r="A1365" i="51"/>
  <c r="C1365" i="51"/>
  <c r="A1366" i="51"/>
  <c r="C1366" i="51"/>
  <c r="I1317" i="51"/>
  <c r="I1316" i="51"/>
  <c r="A1316" i="51"/>
  <c r="C1316" i="51"/>
  <c r="A1314" i="51"/>
  <c r="C1314" i="51"/>
  <c r="A1315" i="51"/>
  <c r="C1315" i="51"/>
  <c r="A1310" i="51"/>
  <c r="C1310" i="51"/>
  <c r="A1311" i="51"/>
  <c r="C1311" i="51"/>
  <c r="A1312" i="51"/>
  <c r="C1312" i="51"/>
  <c r="A1313" i="51"/>
  <c r="C1313" i="51"/>
  <c r="E245" i="26"/>
  <c r="G245" i="26"/>
  <c r="H245" i="26"/>
  <c r="J245" i="26"/>
  <c r="E246" i="26"/>
  <c r="G246" i="26"/>
  <c r="H246" i="26"/>
  <c r="J246" i="26"/>
  <c r="E247" i="26"/>
  <c r="G247" i="26"/>
  <c r="H247" i="26"/>
  <c r="J247" i="26"/>
  <c r="E248" i="26"/>
  <c r="G248" i="26"/>
  <c r="H248" i="26"/>
  <c r="J248" i="26"/>
  <c r="A63" i="60"/>
  <c r="C63" i="60"/>
  <c r="D63" i="60"/>
  <c r="E63" i="60"/>
  <c r="A381" i="24"/>
  <c r="G381" i="24"/>
  <c r="A1308" i="51"/>
  <c r="C1308" i="51"/>
  <c r="A1309" i="51"/>
  <c r="C1309" i="51"/>
  <c r="A1307" i="51"/>
  <c r="C1307" i="51"/>
  <c r="E244" i="26"/>
  <c r="G244" i="26"/>
  <c r="H244" i="26"/>
  <c r="J244" i="26"/>
  <c r="Q201" i="26"/>
  <c r="A261" i="60"/>
  <c r="C261" i="60"/>
  <c r="E261" i="60"/>
  <c r="G380" i="24"/>
  <c r="A380" i="24"/>
  <c r="B141" i="59"/>
  <c r="A1306" i="51"/>
  <c r="C1306" i="51"/>
  <c r="E243" i="26"/>
  <c r="G243" i="26"/>
  <c r="H243" i="26"/>
  <c r="J243" i="26"/>
  <c r="Q535" i="26"/>
  <c r="Q536" i="26"/>
  <c r="A5361" i="51"/>
  <c r="C5361" i="51"/>
  <c r="I5361" i="51"/>
  <c r="A5362" i="51"/>
  <c r="C5362" i="51"/>
  <c r="I5362" i="51"/>
  <c r="A379" i="24"/>
  <c r="A378" i="24"/>
  <c r="E535" i="26"/>
  <c r="F535" i="26"/>
  <c r="G535" i="26"/>
  <c r="H535" i="26"/>
  <c r="J535" i="26"/>
  <c r="E536" i="26"/>
  <c r="F536" i="26"/>
  <c r="G536" i="26"/>
  <c r="H536" i="26"/>
  <c r="J536" i="26"/>
  <c r="A1254" i="51"/>
  <c r="C1254" i="51"/>
  <c r="C62" i="60"/>
  <c r="D62" i="60"/>
  <c r="E62" i="60"/>
  <c r="A377" i="24"/>
  <c r="E1256" i="51"/>
  <c r="E1257" i="51"/>
  <c r="E1258" i="51"/>
  <c r="E1259" i="51"/>
  <c r="E1260" i="51"/>
  <c r="E1261" i="51"/>
  <c r="A1261" i="51"/>
  <c r="C1261" i="51"/>
  <c r="E1262" i="51"/>
  <c r="A1262" i="51"/>
  <c r="C1262" i="51"/>
  <c r="E1263" i="51"/>
  <c r="A1263" i="51"/>
  <c r="C1263" i="51"/>
  <c r="E1264" i="51"/>
  <c r="A1264" i="51"/>
  <c r="C1264" i="51"/>
  <c r="E1265" i="51"/>
  <c r="A1265" i="51"/>
  <c r="C1265" i="51"/>
  <c r="E1266" i="51"/>
  <c r="A1266" i="51"/>
  <c r="C1266" i="51"/>
  <c r="E1267" i="51"/>
  <c r="A1267" i="51"/>
  <c r="C1267" i="51"/>
  <c r="E1268" i="51"/>
  <c r="A1268" i="51"/>
  <c r="C1268" i="51"/>
  <c r="E1269" i="51"/>
  <c r="A1269" i="51"/>
  <c r="C1269" i="51"/>
  <c r="E1270" i="51"/>
  <c r="A1270" i="51"/>
  <c r="C1270" i="51"/>
  <c r="E1271" i="51"/>
  <c r="A1271" i="51"/>
  <c r="C1271" i="51"/>
  <c r="E1272" i="51"/>
  <c r="A1272" i="51"/>
  <c r="C1272" i="51"/>
  <c r="E1273" i="51"/>
  <c r="A1273" i="51"/>
  <c r="C1273" i="51"/>
  <c r="E1274" i="51"/>
  <c r="A1274" i="51"/>
  <c r="C1274" i="51"/>
  <c r="E1275" i="51"/>
  <c r="A1275" i="51"/>
  <c r="C1275" i="51"/>
  <c r="E1276" i="51"/>
  <c r="A1276" i="51"/>
  <c r="C1276" i="51"/>
  <c r="E1277" i="51"/>
  <c r="A1277" i="51"/>
  <c r="C1277" i="51"/>
  <c r="E1278" i="51"/>
  <c r="A1278" i="51"/>
  <c r="C1278" i="51"/>
  <c r="E1279" i="51"/>
  <c r="A1279" i="51"/>
  <c r="C1279" i="51"/>
  <c r="E1280" i="51"/>
  <c r="A1280" i="51"/>
  <c r="C1280" i="51"/>
  <c r="E1281" i="51"/>
  <c r="A1281" i="51"/>
  <c r="C1281" i="51"/>
  <c r="E1282" i="51"/>
  <c r="A1282" i="51"/>
  <c r="C1282" i="51"/>
  <c r="E1283" i="51"/>
  <c r="A1283" i="51"/>
  <c r="C1283" i="51"/>
  <c r="E1284" i="51"/>
  <c r="A1284" i="51"/>
  <c r="C1284" i="51"/>
  <c r="E1285" i="51"/>
  <c r="A1285" i="51"/>
  <c r="C1285" i="51"/>
  <c r="E1286" i="51"/>
  <c r="A1286" i="51"/>
  <c r="C1286" i="51"/>
  <c r="E1287" i="51"/>
  <c r="A1287" i="51"/>
  <c r="C1287" i="51"/>
  <c r="E1288" i="51"/>
  <c r="A1288" i="51"/>
  <c r="C1288" i="51"/>
  <c r="E1289" i="51"/>
  <c r="A1289" i="51"/>
  <c r="C1289" i="51"/>
  <c r="E1290" i="51"/>
  <c r="A1290" i="51"/>
  <c r="C1290" i="51"/>
  <c r="E1291" i="51"/>
  <c r="A1291" i="51"/>
  <c r="C1291" i="51"/>
  <c r="E1292" i="51"/>
  <c r="A1292" i="51"/>
  <c r="C1292" i="51"/>
  <c r="E1293" i="51"/>
  <c r="A1293" i="51"/>
  <c r="C1293" i="51"/>
  <c r="E1294" i="51"/>
  <c r="A1294" i="51"/>
  <c r="C1294" i="51"/>
  <c r="E1295" i="51"/>
  <c r="A1295" i="51"/>
  <c r="C1295" i="51"/>
  <c r="E1296" i="51"/>
  <c r="A1296" i="51"/>
  <c r="C1296" i="51"/>
  <c r="E1297" i="51"/>
  <c r="A1297" i="51"/>
  <c r="C1297" i="51"/>
  <c r="E1298" i="51"/>
  <c r="A1298" i="51"/>
  <c r="C1298" i="51"/>
  <c r="E1299" i="51"/>
  <c r="A1299" i="51"/>
  <c r="C1299" i="51"/>
  <c r="E1300" i="51"/>
  <c r="A1300" i="51"/>
  <c r="C1300" i="51"/>
  <c r="E1301" i="51"/>
  <c r="A1301" i="51"/>
  <c r="C1301" i="51"/>
  <c r="E1302" i="51"/>
  <c r="A1302" i="51"/>
  <c r="C1302" i="51"/>
  <c r="E1303" i="51"/>
  <c r="A1303" i="51"/>
  <c r="C1303" i="51"/>
  <c r="E1304" i="51"/>
  <c r="A1304" i="51"/>
  <c r="C1304" i="51"/>
  <c r="E1305" i="51"/>
  <c r="A1305" i="51"/>
  <c r="C1305" i="51"/>
  <c r="A1257" i="51"/>
  <c r="C1257" i="51"/>
  <c r="A1258" i="51"/>
  <c r="C1258" i="51"/>
  <c r="A1259" i="51"/>
  <c r="C1259" i="51"/>
  <c r="A1260" i="51"/>
  <c r="C1260" i="51"/>
  <c r="A1256" i="51"/>
  <c r="C1256" i="51"/>
  <c r="A1255" i="51"/>
  <c r="C1255" i="51"/>
  <c r="E242" i="26"/>
  <c r="G242" i="26"/>
  <c r="H242" i="26"/>
  <c r="J242" i="26"/>
  <c r="E1204" i="51"/>
  <c r="E1205" i="51"/>
  <c r="E1206" i="51"/>
  <c r="E1207" i="51"/>
  <c r="E1208" i="51"/>
  <c r="E1209" i="51"/>
  <c r="E1210" i="51"/>
  <c r="E1211" i="51"/>
  <c r="E1212" i="51"/>
  <c r="E1213" i="51"/>
  <c r="E1214" i="51"/>
  <c r="E1215" i="51"/>
  <c r="E1216" i="51"/>
  <c r="E1217" i="51"/>
  <c r="E1218" i="51"/>
  <c r="E1219" i="51"/>
  <c r="E1220" i="51"/>
  <c r="E1221" i="51"/>
  <c r="E1222" i="51"/>
  <c r="E1223" i="51"/>
  <c r="E1224" i="51"/>
  <c r="E1225" i="51"/>
  <c r="E1226" i="51"/>
  <c r="E1227" i="51"/>
  <c r="E1228" i="51"/>
  <c r="E1229" i="51"/>
  <c r="E1230" i="51"/>
  <c r="E1231" i="51"/>
  <c r="E1232" i="51"/>
  <c r="E1233" i="51"/>
  <c r="E1234" i="51"/>
  <c r="E1235" i="51"/>
  <c r="E1236" i="51"/>
  <c r="E1237" i="51"/>
  <c r="E1238" i="51"/>
  <c r="E1239" i="51"/>
  <c r="E1240" i="51"/>
  <c r="E1241" i="51"/>
  <c r="E1242" i="51"/>
  <c r="E1243" i="51"/>
  <c r="E1244" i="51"/>
  <c r="E1245" i="51"/>
  <c r="E1246" i="51"/>
  <c r="E1247" i="51"/>
  <c r="E1248" i="51"/>
  <c r="E1249" i="51"/>
  <c r="E1250" i="51"/>
  <c r="E1251" i="51"/>
  <c r="E1252" i="51"/>
  <c r="E1253" i="51"/>
  <c r="A61" i="60"/>
  <c r="C61" i="60"/>
  <c r="D61" i="60"/>
  <c r="E61" i="60"/>
  <c r="A376" i="24"/>
  <c r="G376" i="24"/>
  <c r="A1209" i="51"/>
  <c r="C1209" i="51"/>
  <c r="A1210" i="51"/>
  <c r="C1210" i="51"/>
  <c r="A1211" i="51"/>
  <c r="C1211" i="51"/>
  <c r="A1212" i="51"/>
  <c r="C1212" i="51"/>
  <c r="A1213" i="51"/>
  <c r="C1213" i="51"/>
  <c r="A1214" i="51"/>
  <c r="C1214" i="51"/>
  <c r="A1215" i="51"/>
  <c r="C1215" i="51"/>
  <c r="A1216" i="51"/>
  <c r="C1216" i="51"/>
  <c r="A1217" i="51"/>
  <c r="C1217" i="51"/>
  <c r="A1218" i="51"/>
  <c r="C1218" i="51"/>
  <c r="A1219" i="51"/>
  <c r="C1219" i="51"/>
  <c r="A1220" i="51"/>
  <c r="C1220" i="51"/>
  <c r="A1221" i="51"/>
  <c r="C1221" i="51"/>
  <c r="A1222" i="51"/>
  <c r="C1222" i="51"/>
  <c r="A1223" i="51"/>
  <c r="C1223" i="51"/>
  <c r="A1224" i="51"/>
  <c r="C1224" i="51"/>
  <c r="A1225" i="51"/>
  <c r="C1225" i="51"/>
  <c r="A1226" i="51"/>
  <c r="C1226" i="51"/>
  <c r="A1227" i="51"/>
  <c r="C1227" i="51"/>
  <c r="A1228" i="51"/>
  <c r="C1228" i="51"/>
  <c r="A1229" i="51"/>
  <c r="C1229" i="51"/>
  <c r="A1230" i="51"/>
  <c r="C1230" i="51"/>
  <c r="A1231" i="51"/>
  <c r="C1231" i="51"/>
  <c r="A1232" i="51"/>
  <c r="C1232" i="51"/>
  <c r="A1233" i="51"/>
  <c r="C1233" i="51"/>
  <c r="A1234" i="51"/>
  <c r="C1234" i="51"/>
  <c r="A1235" i="51"/>
  <c r="C1235" i="51"/>
  <c r="A1236" i="51"/>
  <c r="C1236" i="51"/>
  <c r="A1237" i="51"/>
  <c r="C1237" i="51"/>
  <c r="A1238" i="51"/>
  <c r="C1238" i="51"/>
  <c r="A1239" i="51"/>
  <c r="C1239" i="51"/>
  <c r="A1240" i="51"/>
  <c r="C1240" i="51"/>
  <c r="A1241" i="51"/>
  <c r="C1241" i="51"/>
  <c r="A1242" i="51"/>
  <c r="C1242" i="51"/>
  <c r="A1243" i="51"/>
  <c r="C1243" i="51"/>
  <c r="A1244" i="51"/>
  <c r="C1244" i="51"/>
  <c r="A1245" i="51"/>
  <c r="C1245" i="51"/>
  <c r="A1246" i="51"/>
  <c r="C1246" i="51"/>
  <c r="A1247" i="51"/>
  <c r="C1247" i="51"/>
  <c r="A1248" i="51"/>
  <c r="C1248" i="51"/>
  <c r="A1249" i="51"/>
  <c r="C1249" i="51"/>
  <c r="A1250" i="51"/>
  <c r="C1250" i="51"/>
  <c r="A1251" i="51"/>
  <c r="C1251" i="51"/>
  <c r="A1252" i="51"/>
  <c r="C1252" i="51"/>
  <c r="A1253" i="51"/>
  <c r="C1253" i="51"/>
  <c r="A1208" i="51"/>
  <c r="C1208" i="51"/>
  <c r="A1207" i="51"/>
  <c r="C1207" i="51"/>
  <c r="A1206" i="51"/>
  <c r="C1206" i="51"/>
  <c r="A1205" i="51"/>
  <c r="C1205" i="51"/>
  <c r="A1204" i="51"/>
  <c r="C1204" i="51"/>
  <c r="C1203" i="51"/>
  <c r="A1203" i="51"/>
  <c r="E241" i="26"/>
  <c r="G241" i="26"/>
  <c r="H241" i="26"/>
  <c r="J241" i="26"/>
  <c r="A60" i="60"/>
  <c r="C60" i="60"/>
  <c r="D60" i="60"/>
  <c r="E60" i="60"/>
  <c r="A375" i="24"/>
  <c r="G375" i="24"/>
  <c r="I1202" i="51"/>
  <c r="I1200" i="51"/>
  <c r="J1200" i="51"/>
  <c r="I1199" i="51"/>
  <c r="J1199" i="51"/>
  <c r="I1198" i="51"/>
  <c r="I1196" i="51"/>
  <c r="C1196" i="51"/>
  <c r="C1197" i="51"/>
  <c r="C1198" i="51"/>
  <c r="C1199" i="51"/>
  <c r="C1200" i="51"/>
  <c r="C1201" i="51"/>
  <c r="C1202" i="51"/>
  <c r="A1196" i="51"/>
  <c r="A1197" i="51"/>
  <c r="A1198" i="51"/>
  <c r="A1199" i="51"/>
  <c r="A1200" i="51"/>
  <c r="A1201" i="51"/>
  <c r="A1202" i="51"/>
  <c r="E240" i="26"/>
  <c r="G240" i="26"/>
  <c r="H240" i="26"/>
  <c r="J240" i="26"/>
  <c r="B14" i="24"/>
  <c r="B15" i="24"/>
  <c r="B16" i="24"/>
  <c r="A17" i="24"/>
  <c r="A16" i="24"/>
  <c r="A15" i="24"/>
  <c r="A14" i="24"/>
  <c r="E1146" i="51"/>
  <c r="E1147" i="51"/>
  <c r="A1147" i="51"/>
  <c r="C1147" i="51"/>
  <c r="E1148" i="51"/>
  <c r="A1148" i="51"/>
  <c r="C1148" i="51"/>
  <c r="E1149" i="51"/>
  <c r="A1149" i="51"/>
  <c r="C1149" i="51"/>
  <c r="E1150" i="51"/>
  <c r="A1150" i="51"/>
  <c r="C1150" i="51"/>
  <c r="E1151" i="51"/>
  <c r="A1151" i="51"/>
  <c r="C1151" i="51"/>
  <c r="E1152" i="51"/>
  <c r="A1152" i="51"/>
  <c r="C1152" i="51"/>
  <c r="E1153" i="51"/>
  <c r="A1153" i="51"/>
  <c r="C1153" i="51"/>
  <c r="E1154" i="51"/>
  <c r="A1154" i="51"/>
  <c r="C1154" i="51"/>
  <c r="E1155" i="51"/>
  <c r="A1155" i="51"/>
  <c r="C1155" i="51"/>
  <c r="E1156" i="51"/>
  <c r="A1156" i="51"/>
  <c r="C1156" i="51"/>
  <c r="E1157" i="51"/>
  <c r="A1157" i="51"/>
  <c r="C1157" i="51"/>
  <c r="E1158" i="51"/>
  <c r="A1158" i="51"/>
  <c r="C1158" i="51"/>
  <c r="E1159" i="51"/>
  <c r="A1159" i="51"/>
  <c r="C1159" i="51"/>
  <c r="E1160" i="51"/>
  <c r="A1160" i="51"/>
  <c r="C1160" i="51"/>
  <c r="E1161" i="51"/>
  <c r="A1161" i="51"/>
  <c r="C1161" i="51"/>
  <c r="E1162" i="51"/>
  <c r="A1162" i="51"/>
  <c r="C1162" i="51"/>
  <c r="E1163" i="51"/>
  <c r="A1163" i="51"/>
  <c r="C1163" i="51"/>
  <c r="E1164" i="51"/>
  <c r="A1164" i="51"/>
  <c r="C1164" i="51"/>
  <c r="E1165" i="51"/>
  <c r="A1165" i="51"/>
  <c r="C1165" i="51"/>
  <c r="E1166" i="51"/>
  <c r="A1166" i="51"/>
  <c r="C1166" i="51"/>
  <c r="E1167" i="51"/>
  <c r="A1167" i="51"/>
  <c r="C1167" i="51"/>
  <c r="E1168" i="51"/>
  <c r="A1168" i="51"/>
  <c r="C1168" i="51"/>
  <c r="E1169" i="51"/>
  <c r="A1169" i="51"/>
  <c r="C1169" i="51"/>
  <c r="E1170" i="51"/>
  <c r="A1170" i="51"/>
  <c r="C1170" i="51"/>
  <c r="E1171" i="51"/>
  <c r="A1171" i="51"/>
  <c r="C1171" i="51"/>
  <c r="E1172" i="51"/>
  <c r="A1172" i="51"/>
  <c r="C1172" i="51"/>
  <c r="E1173" i="51"/>
  <c r="A1173" i="51"/>
  <c r="C1173" i="51"/>
  <c r="E1174" i="51"/>
  <c r="A1174" i="51"/>
  <c r="C1174" i="51"/>
  <c r="E1175" i="51"/>
  <c r="A1175" i="51"/>
  <c r="C1175" i="51"/>
  <c r="E1176" i="51"/>
  <c r="A1176" i="51"/>
  <c r="C1176" i="51"/>
  <c r="E1177" i="51"/>
  <c r="A1177" i="51"/>
  <c r="C1177" i="51"/>
  <c r="E1178" i="51"/>
  <c r="A1178" i="51"/>
  <c r="C1178" i="51"/>
  <c r="E1179" i="51"/>
  <c r="A1179" i="51"/>
  <c r="C1179" i="51"/>
  <c r="E1180" i="51"/>
  <c r="A1180" i="51"/>
  <c r="C1180" i="51"/>
  <c r="E1181" i="51"/>
  <c r="A1181" i="51"/>
  <c r="C1181" i="51"/>
  <c r="E1182" i="51"/>
  <c r="A1182" i="51"/>
  <c r="C1182" i="51"/>
  <c r="E1183" i="51"/>
  <c r="A1183" i="51"/>
  <c r="C1183" i="51"/>
  <c r="E1184" i="51"/>
  <c r="A1184" i="51"/>
  <c r="C1184" i="51"/>
  <c r="E1185" i="51"/>
  <c r="A1185" i="51"/>
  <c r="C1185" i="51"/>
  <c r="E1186" i="51"/>
  <c r="A1186" i="51"/>
  <c r="C1186" i="51"/>
  <c r="E1187" i="51"/>
  <c r="A1187" i="51"/>
  <c r="C1187" i="51"/>
  <c r="E1188" i="51"/>
  <c r="A1188" i="51"/>
  <c r="C1188" i="51"/>
  <c r="E1189" i="51"/>
  <c r="A1189" i="51"/>
  <c r="C1189" i="51"/>
  <c r="E1190" i="51"/>
  <c r="A1190" i="51"/>
  <c r="C1190" i="51"/>
  <c r="E1191" i="51"/>
  <c r="A1191" i="51"/>
  <c r="C1191" i="51"/>
  <c r="E1192" i="51"/>
  <c r="A1192" i="51"/>
  <c r="C1192" i="51"/>
  <c r="E1193" i="51"/>
  <c r="A1193" i="51"/>
  <c r="C1193" i="51"/>
  <c r="E1194" i="51"/>
  <c r="A1194" i="51"/>
  <c r="C1194" i="51"/>
  <c r="E1195" i="51"/>
  <c r="A1195" i="51"/>
  <c r="C1195" i="51"/>
  <c r="I1145" i="51"/>
  <c r="I1144" i="51"/>
  <c r="G373" i="24"/>
  <c r="G374" i="24"/>
  <c r="G372" i="24"/>
  <c r="A372" i="24"/>
  <c r="A373" i="24"/>
  <c r="A374" i="24"/>
  <c r="A1144" i="51"/>
  <c r="C1144" i="51"/>
  <c r="A1145" i="51"/>
  <c r="C1145" i="51"/>
  <c r="A1146" i="51"/>
  <c r="C1146" i="51"/>
  <c r="E1094" i="51"/>
  <c r="A1094" i="51"/>
  <c r="C1094" i="51"/>
  <c r="E1095" i="51"/>
  <c r="A1095" i="51"/>
  <c r="C1095" i="51"/>
  <c r="E1096" i="51"/>
  <c r="A1096" i="51"/>
  <c r="C1096" i="51"/>
  <c r="E1097" i="51"/>
  <c r="A1097" i="51"/>
  <c r="C1097" i="51"/>
  <c r="E1098" i="51"/>
  <c r="A1098" i="51"/>
  <c r="C1098" i="51"/>
  <c r="E1099" i="51"/>
  <c r="A1099" i="51"/>
  <c r="C1099" i="51"/>
  <c r="E1100" i="51"/>
  <c r="A1100" i="51"/>
  <c r="C1100" i="51"/>
  <c r="E1101" i="51"/>
  <c r="A1101" i="51"/>
  <c r="C1101" i="51"/>
  <c r="E1102" i="51"/>
  <c r="A1102" i="51"/>
  <c r="C1102" i="51"/>
  <c r="E1103" i="51"/>
  <c r="A1103" i="51"/>
  <c r="C1103" i="51"/>
  <c r="E1104" i="51"/>
  <c r="A1104" i="51"/>
  <c r="C1104" i="51"/>
  <c r="E1105" i="51"/>
  <c r="A1105" i="51"/>
  <c r="C1105" i="51"/>
  <c r="E1106" i="51"/>
  <c r="A1106" i="51"/>
  <c r="C1106" i="51"/>
  <c r="E1107" i="51"/>
  <c r="A1107" i="51"/>
  <c r="C1107" i="51"/>
  <c r="E1108" i="51"/>
  <c r="A1108" i="51"/>
  <c r="C1108" i="51"/>
  <c r="E1109" i="51"/>
  <c r="A1109" i="51"/>
  <c r="C1109" i="51"/>
  <c r="E1110" i="51"/>
  <c r="A1110" i="51"/>
  <c r="C1110" i="51"/>
  <c r="E1111" i="51"/>
  <c r="A1111" i="51"/>
  <c r="C1111" i="51"/>
  <c r="E1112" i="51"/>
  <c r="A1112" i="51"/>
  <c r="C1112" i="51"/>
  <c r="E1113" i="51"/>
  <c r="A1113" i="51"/>
  <c r="C1113" i="51"/>
  <c r="E1114" i="51"/>
  <c r="A1114" i="51"/>
  <c r="C1114" i="51"/>
  <c r="E1115" i="51"/>
  <c r="A1115" i="51"/>
  <c r="C1115" i="51"/>
  <c r="E1116" i="51"/>
  <c r="A1116" i="51"/>
  <c r="C1116" i="51"/>
  <c r="E1117" i="51"/>
  <c r="A1117" i="51"/>
  <c r="C1117" i="51"/>
  <c r="E1118" i="51"/>
  <c r="A1118" i="51"/>
  <c r="C1118" i="51"/>
  <c r="E1119" i="51"/>
  <c r="A1119" i="51"/>
  <c r="C1119" i="51"/>
  <c r="E1120" i="51"/>
  <c r="A1120" i="51"/>
  <c r="C1120" i="51"/>
  <c r="E1121" i="51"/>
  <c r="A1121" i="51"/>
  <c r="C1121" i="51"/>
  <c r="E1122" i="51"/>
  <c r="A1122" i="51"/>
  <c r="C1122" i="51"/>
  <c r="E1123" i="51"/>
  <c r="A1123" i="51"/>
  <c r="C1123" i="51"/>
  <c r="E1124" i="51"/>
  <c r="A1124" i="51"/>
  <c r="C1124" i="51"/>
  <c r="E1125" i="51"/>
  <c r="A1125" i="51"/>
  <c r="C1125" i="51"/>
  <c r="E1126" i="51"/>
  <c r="A1126" i="51"/>
  <c r="C1126" i="51"/>
  <c r="E1127" i="51"/>
  <c r="A1127" i="51"/>
  <c r="C1127" i="51"/>
  <c r="E1128" i="51"/>
  <c r="A1128" i="51"/>
  <c r="C1128" i="51"/>
  <c r="E1129" i="51"/>
  <c r="A1129" i="51"/>
  <c r="C1129" i="51"/>
  <c r="E1130" i="51"/>
  <c r="A1130" i="51"/>
  <c r="C1130" i="51"/>
  <c r="E1131" i="51"/>
  <c r="A1131" i="51"/>
  <c r="C1131" i="51"/>
  <c r="E1132" i="51"/>
  <c r="A1132" i="51"/>
  <c r="C1132" i="51"/>
  <c r="E1133" i="51"/>
  <c r="A1133" i="51"/>
  <c r="C1133" i="51"/>
  <c r="E1134" i="51"/>
  <c r="A1134" i="51"/>
  <c r="C1134" i="51"/>
  <c r="E1135" i="51"/>
  <c r="A1135" i="51"/>
  <c r="C1135" i="51"/>
  <c r="E1136" i="51"/>
  <c r="A1136" i="51"/>
  <c r="C1136" i="51"/>
  <c r="E1137" i="51"/>
  <c r="A1137" i="51"/>
  <c r="C1137" i="51"/>
  <c r="E1138" i="51"/>
  <c r="A1138" i="51"/>
  <c r="C1138" i="51"/>
  <c r="E1139" i="51"/>
  <c r="A1139" i="51"/>
  <c r="C1139" i="51"/>
  <c r="E1140" i="51"/>
  <c r="A1140" i="51"/>
  <c r="C1140" i="51"/>
  <c r="E1141" i="51"/>
  <c r="A1141" i="51"/>
  <c r="C1141" i="51"/>
  <c r="E1142" i="51"/>
  <c r="A1142" i="51"/>
  <c r="C1142" i="51"/>
  <c r="A1143" i="51"/>
  <c r="C1143" i="51"/>
  <c r="A1093" i="51"/>
  <c r="C1093" i="51"/>
  <c r="A57" i="60"/>
  <c r="C57" i="60"/>
  <c r="D57" i="60"/>
  <c r="E57" i="60"/>
  <c r="A58" i="60"/>
  <c r="C58" i="60"/>
  <c r="D58" i="60"/>
  <c r="E58" i="60"/>
  <c r="A59" i="60"/>
  <c r="C59" i="60"/>
  <c r="D59" i="60"/>
  <c r="E59" i="60"/>
  <c r="E1043" i="51"/>
  <c r="E1044" i="51"/>
  <c r="A1044" i="51"/>
  <c r="C1044" i="51"/>
  <c r="E1045" i="51"/>
  <c r="A1045" i="51"/>
  <c r="C1045" i="51"/>
  <c r="E1046" i="51"/>
  <c r="A1046" i="51"/>
  <c r="C1046" i="51"/>
  <c r="E1047" i="51"/>
  <c r="A1047" i="51"/>
  <c r="C1047" i="51"/>
  <c r="E1048" i="51"/>
  <c r="A1048" i="51"/>
  <c r="C1048" i="51"/>
  <c r="E1049" i="51"/>
  <c r="A1049" i="51"/>
  <c r="C1049" i="51"/>
  <c r="E1050" i="51"/>
  <c r="A1050" i="51"/>
  <c r="C1050" i="51"/>
  <c r="E1051" i="51"/>
  <c r="A1051" i="51"/>
  <c r="C1051" i="51"/>
  <c r="E1052" i="51"/>
  <c r="A1052" i="51"/>
  <c r="C1052" i="51"/>
  <c r="E1053" i="51"/>
  <c r="A1053" i="51"/>
  <c r="C1053" i="51"/>
  <c r="E1054" i="51"/>
  <c r="A1054" i="51"/>
  <c r="C1054" i="51"/>
  <c r="E1055" i="51"/>
  <c r="A1055" i="51"/>
  <c r="C1055" i="51"/>
  <c r="E1056" i="51"/>
  <c r="A1056" i="51"/>
  <c r="C1056" i="51"/>
  <c r="E1057" i="51"/>
  <c r="A1057" i="51"/>
  <c r="C1057" i="51"/>
  <c r="E1058" i="51"/>
  <c r="A1058" i="51"/>
  <c r="C1058" i="51"/>
  <c r="E1059" i="51"/>
  <c r="A1059" i="51"/>
  <c r="C1059" i="51"/>
  <c r="E1060" i="51"/>
  <c r="A1060" i="51"/>
  <c r="C1060" i="51"/>
  <c r="E1061" i="51"/>
  <c r="A1061" i="51"/>
  <c r="C1061" i="51"/>
  <c r="E1062" i="51"/>
  <c r="A1062" i="51"/>
  <c r="C1062" i="51"/>
  <c r="E1063" i="51"/>
  <c r="A1063" i="51"/>
  <c r="C1063" i="51"/>
  <c r="E1064" i="51"/>
  <c r="A1064" i="51"/>
  <c r="C1064" i="51"/>
  <c r="E1065" i="51"/>
  <c r="A1065" i="51"/>
  <c r="C1065" i="51"/>
  <c r="E1066" i="51"/>
  <c r="A1066" i="51"/>
  <c r="C1066" i="51"/>
  <c r="E1067" i="51"/>
  <c r="A1067" i="51"/>
  <c r="C1067" i="51"/>
  <c r="E1068" i="51"/>
  <c r="A1068" i="51"/>
  <c r="C1068" i="51"/>
  <c r="E1069" i="51"/>
  <c r="A1069" i="51"/>
  <c r="C1069" i="51"/>
  <c r="E1070" i="51"/>
  <c r="A1070" i="51"/>
  <c r="C1070" i="51"/>
  <c r="E1071" i="51"/>
  <c r="A1071" i="51"/>
  <c r="C1071" i="51"/>
  <c r="E1072" i="51"/>
  <c r="A1072" i="51"/>
  <c r="C1072" i="51"/>
  <c r="E1073" i="51"/>
  <c r="A1073" i="51"/>
  <c r="C1073" i="51"/>
  <c r="E1074" i="51"/>
  <c r="A1074" i="51"/>
  <c r="C1074" i="51"/>
  <c r="E1075" i="51"/>
  <c r="A1075" i="51"/>
  <c r="C1075" i="51"/>
  <c r="E1076" i="51"/>
  <c r="A1076" i="51"/>
  <c r="C1076" i="51"/>
  <c r="E1077" i="51"/>
  <c r="A1077" i="51"/>
  <c r="C1077" i="51"/>
  <c r="E1078" i="51"/>
  <c r="A1078" i="51"/>
  <c r="C1078" i="51"/>
  <c r="E1079" i="51"/>
  <c r="A1079" i="51"/>
  <c r="C1079" i="51"/>
  <c r="E1080" i="51"/>
  <c r="A1080" i="51"/>
  <c r="C1080" i="51"/>
  <c r="E1081" i="51"/>
  <c r="A1081" i="51"/>
  <c r="C1081" i="51"/>
  <c r="E1082" i="51"/>
  <c r="A1082" i="51"/>
  <c r="C1082" i="51"/>
  <c r="E1083" i="51"/>
  <c r="A1083" i="51"/>
  <c r="C1083" i="51"/>
  <c r="E1084" i="51"/>
  <c r="A1084" i="51"/>
  <c r="C1084" i="51"/>
  <c r="E1085" i="51"/>
  <c r="A1085" i="51"/>
  <c r="C1085" i="51"/>
  <c r="E1086" i="51"/>
  <c r="A1086" i="51"/>
  <c r="C1086" i="51"/>
  <c r="E1087" i="51"/>
  <c r="A1087" i="51"/>
  <c r="C1087" i="51"/>
  <c r="E1088" i="51"/>
  <c r="A1088" i="51"/>
  <c r="C1088" i="51"/>
  <c r="E1089" i="51"/>
  <c r="A1089" i="51"/>
  <c r="C1089" i="51"/>
  <c r="E1090" i="51"/>
  <c r="A1090" i="51"/>
  <c r="C1090" i="51"/>
  <c r="E1091" i="51"/>
  <c r="A1091" i="51"/>
  <c r="C1091" i="51"/>
  <c r="E1092" i="51"/>
  <c r="A1092" i="51"/>
  <c r="C1092" i="51"/>
  <c r="A1043" i="51"/>
  <c r="C1043" i="51"/>
  <c r="A1042" i="51"/>
  <c r="C1042" i="51"/>
  <c r="I1042" i="51"/>
  <c r="A1041" i="51"/>
  <c r="C1041" i="51"/>
  <c r="I1041" i="51"/>
  <c r="E237" i="26"/>
  <c r="G237" i="26"/>
  <c r="H237" i="26"/>
  <c r="J237" i="26"/>
  <c r="E238" i="26"/>
  <c r="G238" i="26"/>
  <c r="H238" i="26"/>
  <c r="J238" i="26"/>
  <c r="E239" i="26"/>
  <c r="G239" i="26"/>
  <c r="H239" i="26"/>
  <c r="J239" i="26"/>
  <c r="A232" i="60"/>
  <c r="C232" i="60"/>
  <c r="D232" i="60"/>
  <c r="E232" i="60"/>
  <c r="A50" i="24"/>
  <c r="A97" i="24"/>
  <c r="A127" i="24"/>
  <c r="A371" i="24"/>
  <c r="B140" i="59"/>
  <c r="A5349" i="51"/>
  <c r="C5349" i="51"/>
  <c r="K5319" i="51"/>
  <c r="K5349" i="51"/>
  <c r="A5319" i="51"/>
  <c r="C5319" i="51"/>
  <c r="E523" i="26"/>
  <c r="F523" i="26"/>
  <c r="G523" i="26"/>
  <c r="J523" i="26"/>
  <c r="E493" i="26"/>
  <c r="F493" i="26"/>
  <c r="G493" i="26"/>
  <c r="J493" i="26"/>
  <c r="E446" i="26"/>
  <c r="F446" i="26"/>
  <c r="G446" i="26"/>
  <c r="J446" i="26"/>
  <c r="A5272" i="51"/>
  <c r="C5272" i="51"/>
  <c r="K5272" i="51"/>
  <c r="I1040" i="51"/>
  <c r="I1039" i="51"/>
  <c r="I1038" i="51"/>
  <c r="A1038" i="51"/>
  <c r="C1038" i="51"/>
  <c r="A1039" i="51"/>
  <c r="C1039" i="51"/>
  <c r="A1040" i="51"/>
  <c r="C1040" i="51"/>
  <c r="E236" i="26"/>
  <c r="G236" i="26"/>
  <c r="H236" i="26"/>
  <c r="J236" i="26"/>
  <c r="A370" i="24"/>
  <c r="Q162" i="26"/>
  <c r="Q164" i="26"/>
  <c r="Q166" i="26"/>
  <c r="Q169" i="26"/>
  <c r="Q170" i="26"/>
  <c r="Q173" i="26"/>
  <c r="Q174" i="26"/>
  <c r="Q176" i="26"/>
  <c r="Q177" i="26"/>
  <c r="Q180" i="26"/>
  <c r="Q182" i="26"/>
  <c r="Q183" i="26"/>
  <c r="Q184" i="26"/>
  <c r="Q185" i="26"/>
  <c r="Q186" i="26"/>
  <c r="Q188" i="26"/>
  <c r="Q190" i="26"/>
  <c r="Q191" i="26"/>
  <c r="Q192" i="26"/>
  <c r="Q193" i="26"/>
  <c r="Q194" i="26"/>
  <c r="Q195" i="26"/>
  <c r="Q196" i="26"/>
  <c r="Q197" i="26"/>
  <c r="Q199" i="26"/>
  <c r="Q200" i="26"/>
  <c r="Q204" i="26"/>
  <c r="Q207" i="26"/>
  <c r="A5360" i="51"/>
  <c r="C5360" i="51"/>
  <c r="I5360" i="51"/>
  <c r="E534" i="26"/>
  <c r="F534" i="26"/>
  <c r="G534" i="26"/>
  <c r="H534" i="26"/>
  <c r="J534" i="26"/>
  <c r="A56" i="60"/>
  <c r="C56" i="60"/>
  <c r="D56" i="60"/>
  <c r="E56" i="60"/>
  <c r="A369" i="24"/>
  <c r="A1024" i="51"/>
  <c r="C1024" i="51"/>
  <c r="A1025" i="51"/>
  <c r="C1025" i="51"/>
  <c r="A1026" i="51"/>
  <c r="C1026" i="51"/>
  <c r="A1027" i="51"/>
  <c r="C1027" i="51"/>
  <c r="A1028" i="51"/>
  <c r="C1028" i="51"/>
  <c r="A1029" i="51"/>
  <c r="C1029" i="51"/>
  <c r="A1030" i="51"/>
  <c r="C1030" i="51"/>
  <c r="A1031" i="51"/>
  <c r="C1031" i="51"/>
  <c r="A1032" i="51"/>
  <c r="C1032" i="51"/>
  <c r="A1033" i="51"/>
  <c r="C1033" i="51"/>
  <c r="A1034" i="51"/>
  <c r="C1034" i="51"/>
  <c r="A1035" i="51"/>
  <c r="C1035" i="51"/>
  <c r="A1036" i="51"/>
  <c r="C1036" i="51"/>
  <c r="A992" i="51"/>
  <c r="C992" i="51"/>
  <c r="A993" i="51"/>
  <c r="C993" i="51"/>
  <c r="A994" i="51"/>
  <c r="C994" i="51"/>
  <c r="A995" i="51"/>
  <c r="C995" i="51"/>
  <c r="A996" i="51"/>
  <c r="C996" i="51"/>
  <c r="A997" i="51"/>
  <c r="C997" i="51"/>
  <c r="A998" i="51"/>
  <c r="C998" i="51"/>
  <c r="A999" i="51"/>
  <c r="C999" i="51"/>
  <c r="A1000" i="51"/>
  <c r="C1000" i="51"/>
  <c r="A1001" i="51"/>
  <c r="C1001" i="51"/>
  <c r="A1002" i="51"/>
  <c r="C1002" i="51"/>
  <c r="A1003" i="51"/>
  <c r="C1003" i="51"/>
  <c r="A1004" i="51"/>
  <c r="C1004" i="51"/>
  <c r="A1005" i="51"/>
  <c r="C1005" i="51"/>
  <c r="A1006" i="51"/>
  <c r="C1006" i="51"/>
  <c r="A1007" i="51"/>
  <c r="C1007" i="51"/>
  <c r="A1008" i="51"/>
  <c r="C1008" i="51"/>
  <c r="A1009" i="51"/>
  <c r="C1009" i="51"/>
  <c r="A1010" i="51"/>
  <c r="C1010" i="51"/>
  <c r="A1011" i="51"/>
  <c r="C1011" i="51"/>
  <c r="A1012" i="51"/>
  <c r="C1012" i="51"/>
  <c r="A1013" i="51"/>
  <c r="C1013" i="51"/>
  <c r="A1014" i="51"/>
  <c r="C1014" i="51"/>
  <c r="A1015" i="51"/>
  <c r="C1015" i="51"/>
  <c r="A1016" i="51"/>
  <c r="C1016" i="51"/>
  <c r="A1017" i="51"/>
  <c r="C1017" i="51"/>
  <c r="A1018" i="51"/>
  <c r="C1018" i="51"/>
  <c r="A1019" i="51"/>
  <c r="C1019" i="51"/>
  <c r="A1020" i="51"/>
  <c r="C1020" i="51"/>
  <c r="A1021" i="51"/>
  <c r="C1021" i="51"/>
  <c r="A1022" i="51"/>
  <c r="C1022" i="51"/>
  <c r="A1023" i="51"/>
  <c r="C1023" i="51"/>
  <c r="A987" i="51"/>
  <c r="C987" i="51"/>
  <c r="A986" i="51"/>
  <c r="C986" i="51"/>
  <c r="I986" i="51"/>
  <c r="A988" i="51"/>
  <c r="C988" i="51"/>
  <c r="A989" i="51"/>
  <c r="C989" i="51"/>
  <c r="A990" i="51"/>
  <c r="C990" i="51"/>
  <c r="A991" i="51"/>
  <c r="C991" i="51"/>
  <c r="A1037" i="51"/>
  <c r="C1037" i="51"/>
  <c r="I1037" i="51"/>
  <c r="E235" i="26"/>
  <c r="G235" i="26"/>
  <c r="H235" i="26"/>
  <c r="J235" i="26"/>
  <c r="A54" i="60"/>
  <c r="C54" i="60"/>
  <c r="D54" i="60"/>
  <c r="E54" i="60"/>
  <c r="A367" i="24"/>
  <c r="G367" i="24"/>
  <c r="A983" i="51"/>
  <c r="C983" i="51"/>
  <c r="A958" i="51"/>
  <c r="C958" i="51"/>
  <c r="A959" i="51"/>
  <c r="C959" i="51"/>
  <c r="A960" i="51"/>
  <c r="C960" i="51"/>
  <c r="A961" i="51"/>
  <c r="C961" i="51"/>
  <c r="A962" i="51"/>
  <c r="C962" i="51"/>
  <c r="A963" i="51"/>
  <c r="C963" i="51"/>
  <c r="A964" i="51"/>
  <c r="C964" i="51"/>
  <c r="A965" i="51"/>
  <c r="C965" i="51"/>
  <c r="A966" i="51"/>
  <c r="C966" i="51"/>
  <c r="A967" i="51"/>
  <c r="C967" i="51"/>
  <c r="A968" i="51"/>
  <c r="C968" i="51"/>
  <c r="A969" i="51"/>
  <c r="C969" i="51"/>
  <c r="A970" i="51"/>
  <c r="C970" i="51"/>
  <c r="A971" i="51"/>
  <c r="C971" i="51"/>
  <c r="A972" i="51"/>
  <c r="C972" i="51"/>
  <c r="A973" i="51"/>
  <c r="C973" i="51"/>
  <c r="A974" i="51"/>
  <c r="C974" i="51"/>
  <c r="A975" i="51"/>
  <c r="C975" i="51"/>
  <c r="A976" i="51"/>
  <c r="C976" i="51"/>
  <c r="A977" i="51"/>
  <c r="C977" i="51"/>
  <c r="A978" i="51"/>
  <c r="C978" i="51"/>
  <c r="A979" i="51"/>
  <c r="C979" i="51"/>
  <c r="A980" i="51"/>
  <c r="C980" i="51"/>
  <c r="A981" i="51"/>
  <c r="C981" i="51"/>
  <c r="A982" i="51"/>
  <c r="C982" i="51"/>
  <c r="E233" i="26"/>
  <c r="G233" i="26"/>
  <c r="H233" i="26"/>
  <c r="J233" i="26"/>
  <c r="A55" i="60"/>
  <c r="C55" i="60"/>
  <c r="D55" i="60"/>
  <c r="E55" i="60"/>
  <c r="A368" i="24"/>
  <c r="G368" i="24"/>
  <c r="I985" i="51"/>
  <c r="I984" i="51"/>
  <c r="A984" i="51"/>
  <c r="C984" i="51"/>
  <c r="A985" i="51"/>
  <c r="C985" i="51"/>
  <c r="E234" i="26"/>
  <c r="G234" i="26"/>
  <c r="H234" i="26"/>
  <c r="J234" i="26"/>
  <c r="A53" i="60"/>
  <c r="C53" i="60"/>
  <c r="D53" i="60"/>
  <c r="E53" i="60"/>
  <c r="A366" i="24"/>
  <c r="G366" i="24"/>
  <c r="I957" i="51"/>
  <c r="I955" i="51"/>
  <c r="J955" i="51"/>
  <c r="I954" i="51"/>
  <c r="J954" i="51"/>
  <c r="I953" i="51"/>
  <c r="I951" i="51"/>
  <c r="A957" i="51"/>
  <c r="C957" i="51"/>
  <c r="C956" i="51"/>
  <c r="A956" i="51"/>
  <c r="C955" i="51"/>
  <c r="A955" i="51"/>
  <c r="C954" i="51"/>
  <c r="A954" i="51"/>
  <c r="C953" i="51"/>
  <c r="A953" i="51"/>
  <c r="C952" i="51"/>
  <c r="A952" i="51"/>
  <c r="C951" i="51"/>
  <c r="A951" i="51"/>
  <c r="E232" i="26"/>
  <c r="G232" i="26"/>
  <c r="H232" i="26"/>
  <c r="J232" i="26"/>
  <c r="I897" i="51"/>
  <c r="I898" i="51"/>
  <c r="I896" i="51"/>
  <c r="A52" i="60"/>
  <c r="C52" i="60"/>
  <c r="D52" i="60"/>
  <c r="E52" i="60"/>
  <c r="A365" i="24"/>
  <c r="G365" i="24"/>
  <c r="A950" i="51"/>
  <c r="C950" i="51"/>
  <c r="J231" i="26"/>
  <c r="H231" i="26"/>
  <c r="G231" i="26"/>
  <c r="E231" i="26"/>
  <c r="A126" i="24"/>
  <c r="A96" i="24"/>
  <c r="A49" i="24"/>
  <c r="A5348" i="51"/>
  <c r="C5348" i="51"/>
  <c r="K5318" i="51"/>
  <c r="K5348" i="51"/>
  <c r="A5318" i="51"/>
  <c r="C5318" i="51"/>
  <c r="A5271" i="51"/>
  <c r="C5271" i="51"/>
  <c r="K5271" i="51"/>
  <c r="E522" i="26"/>
  <c r="F522" i="26"/>
  <c r="G522" i="26"/>
  <c r="J522" i="26"/>
  <c r="E492" i="26"/>
  <c r="F492" i="26"/>
  <c r="G492" i="26"/>
  <c r="J492" i="26"/>
  <c r="E445" i="26"/>
  <c r="F445" i="26"/>
  <c r="G445" i="26"/>
  <c r="J445" i="26"/>
  <c r="E900" i="51"/>
  <c r="E901" i="51"/>
  <c r="E902" i="51"/>
  <c r="E903" i="51"/>
  <c r="E904" i="51"/>
  <c r="A904" i="51"/>
  <c r="C904" i="51"/>
  <c r="E905" i="51"/>
  <c r="A905" i="51"/>
  <c r="C905" i="51"/>
  <c r="E906" i="51"/>
  <c r="A906" i="51"/>
  <c r="C906" i="51"/>
  <c r="E907" i="51"/>
  <c r="A907" i="51"/>
  <c r="C907" i="51"/>
  <c r="E908" i="51"/>
  <c r="A908" i="51"/>
  <c r="C908" i="51"/>
  <c r="E909" i="51"/>
  <c r="A909" i="51"/>
  <c r="C909" i="51"/>
  <c r="E910" i="51"/>
  <c r="A910" i="51"/>
  <c r="C910" i="51"/>
  <c r="E911" i="51"/>
  <c r="A911" i="51"/>
  <c r="C911" i="51"/>
  <c r="E912" i="51"/>
  <c r="A912" i="51"/>
  <c r="C912" i="51"/>
  <c r="E913" i="51"/>
  <c r="A913" i="51"/>
  <c r="C913" i="51"/>
  <c r="E914" i="51"/>
  <c r="A914" i="51"/>
  <c r="C914" i="51"/>
  <c r="E915" i="51"/>
  <c r="A915" i="51"/>
  <c r="C915" i="51"/>
  <c r="E916" i="51"/>
  <c r="A916" i="51"/>
  <c r="C916" i="51"/>
  <c r="E917" i="51"/>
  <c r="A917" i="51"/>
  <c r="C917" i="51"/>
  <c r="E918" i="51"/>
  <c r="A918" i="51"/>
  <c r="C918" i="51"/>
  <c r="E919" i="51"/>
  <c r="A919" i="51"/>
  <c r="C919" i="51"/>
  <c r="E920" i="51"/>
  <c r="A920" i="51"/>
  <c r="C920" i="51"/>
  <c r="E921" i="51"/>
  <c r="A921" i="51"/>
  <c r="C921" i="51"/>
  <c r="E922" i="51"/>
  <c r="A922" i="51"/>
  <c r="C922" i="51"/>
  <c r="E923" i="51"/>
  <c r="A923" i="51"/>
  <c r="C923" i="51"/>
  <c r="E924" i="51"/>
  <c r="A924" i="51"/>
  <c r="C924" i="51"/>
  <c r="E925" i="51"/>
  <c r="A925" i="51"/>
  <c r="C925" i="51"/>
  <c r="E926" i="51"/>
  <c r="A926" i="51"/>
  <c r="C926" i="51"/>
  <c r="E927" i="51"/>
  <c r="A927" i="51"/>
  <c r="C927" i="51"/>
  <c r="E928" i="51"/>
  <c r="A928" i="51"/>
  <c r="C928" i="51"/>
  <c r="E929" i="51"/>
  <c r="A929" i="51"/>
  <c r="C929" i="51"/>
  <c r="E930" i="51"/>
  <c r="A930" i="51"/>
  <c r="C930" i="51"/>
  <c r="E931" i="51"/>
  <c r="A931" i="51"/>
  <c r="C931" i="51"/>
  <c r="E932" i="51"/>
  <c r="A932" i="51"/>
  <c r="C932" i="51"/>
  <c r="E933" i="51"/>
  <c r="A933" i="51"/>
  <c r="C933" i="51"/>
  <c r="E934" i="51"/>
  <c r="A934" i="51"/>
  <c r="C934" i="51"/>
  <c r="E935" i="51"/>
  <c r="A935" i="51"/>
  <c r="C935" i="51"/>
  <c r="E936" i="51"/>
  <c r="A936" i="51"/>
  <c r="C936" i="51"/>
  <c r="E937" i="51"/>
  <c r="A937" i="51"/>
  <c r="C937" i="51"/>
  <c r="E938" i="51"/>
  <c r="A938" i="51"/>
  <c r="C938" i="51"/>
  <c r="E939" i="51"/>
  <c r="A939" i="51"/>
  <c r="C939" i="51"/>
  <c r="E940" i="51"/>
  <c r="A940" i="51"/>
  <c r="C940" i="51"/>
  <c r="E941" i="51"/>
  <c r="A941" i="51"/>
  <c r="C941" i="51"/>
  <c r="E942" i="51"/>
  <c r="A942" i="51"/>
  <c r="C942" i="51"/>
  <c r="E943" i="51"/>
  <c r="A943" i="51"/>
  <c r="C943" i="51"/>
  <c r="E944" i="51"/>
  <c r="A944" i="51"/>
  <c r="C944" i="51"/>
  <c r="E945" i="51"/>
  <c r="A945" i="51"/>
  <c r="C945" i="51"/>
  <c r="E946" i="51"/>
  <c r="A946" i="51"/>
  <c r="C946" i="51"/>
  <c r="E947" i="51"/>
  <c r="A947" i="51"/>
  <c r="C947" i="51"/>
  <c r="E948" i="51"/>
  <c r="A948" i="51"/>
  <c r="C948" i="51"/>
  <c r="A949" i="51"/>
  <c r="C949" i="51"/>
  <c r="A903" i="51"/>
  <c r="C903" i="51"/>
  <c r="A902" i="51"/>
  <c r="C902" i="51"/>
  <c r="A901" i="51"/>
  <c r="C901" i="51"/>
  <c r="A900" i="51"/>
  <c r="C900" i="51"/>
  <c r="A51" i="60"/>
  <c r="C51" i="60"/>
  <c r="D51" i="60"/>
  <c r="E51" i="60"/>
  <c r="A231" i="60"/>
  <c r="C231" i="60"/>
  <c r="D231" i="60"/>
  <c r="E231" i="60"/>
  <c r="A363" i="24"/>
  <c r="A364" i="24"/>
  <c r="G364" i="24"/>
  <c r="B139" i="59"/>
  <c r="A896" i="51"/>
  <c r="C896" i="51"/>
  <c r="A897" i="51"/>
  <c r="C897" i="51"/>
  <c r="A898" i="51"/>
  <c r="C898" i="51"/>
  <c r="A899" i="51"/>
  <c r="C899" i="51"/>
  <c r="J230" i="26"/>
  <c r="H230" i="26"/>
  <c r="G230" i="26"/>
  <c r="E230" i="26"/>
  <c r="J229" i="26"/>
  <c r="H229" i="26"/>
  <c r="G229" i="26"/>
  <c r="E229" i="26"/>
  <c r="A50" i="60"/>
  <c r="C50" i="60"/>
  <c r="D50" i="60"/>
  <c r="E50" i="60"/>
  <c r="A362" i="24"/>
  <c r="G362" i="24"/>
  <c r="I895" i="51"/>
  <c r="A895" i="51"/>
  <c r="C895" i="51"/>
  <c r="C894" i="51"/>
  <c r="A894" i="51"/>
  <c r="J228" i="26"/>
  <c r="H228" i="26"/>
  <c r="G228" i="26"/>
  <c r="F228" i="26"/>
  <c r="E228" i="26"/>
  <c r="D242" i="60"/>
  <c r="D243" i="60"/>
  <c r="D244" i="60"/>
  <c r="D245" i="60"/>
  <c r="D246" i="60"/>
  <c r="D247" i="60"/>
  <c r="D248" i="60"/>
  <c r="D249" i="60"/>
  <c r="D250" i="60"/>
  <c r="C242" i="60"/>
  <c r="C243" i="60"/>
  <c r="C244" i="60"/>
  <c r="C245" i="60"/>
  <c r="C246" i="60"/>
  <c r="C247" i="60"/>
  <c r="C248" i="60"/>
  <c r="C249" i="60"/>
  <c r="C250" i="60"/>
  <c r="E250" i="60"/>
  <c r="E249" i="60"/>
  <c r="E248" i="60"/>
  <c r="E247" i="60"/>
  <c r="E246" i="60"/>
  <c r="E245" i="60"/>
  <c r="E244" i="60"/>
  <c r="E243" i="60"/>
  <c r="E242" i="60"/>
  <c r="A244" i="60"/>
  <c r="A245" i="60"/>
  <c r="A246" i="60"/>
  <c r="A247" i="60"/>
  <c r="A248" i="60"/>
  <c r="A249" i="60"/>
  <c r="A250" i="60"/>
  <c r="I880" i="51"/>
  <c r="J880" i="51"/>
  <c r="A355" i="24"/>
  <c r="G355" i="24"/>
  <c r="A356" i="24"/>
  <c r="G356" i="24"/>
  <c r="A357" i="24"/>
  <c r="G357" i="24"/>
  <c r="A358" i="24"/>
  <c r="G358" i="24"/>
  <c r="A359" i="24"/>
  <c r="G359" i="24"/>
  <c r="A360" i="24"/>
  <c r="G360" i="24"/>
  <c r="A361" i="24"/>
  <c r="G361" i="24"/>
  <c r="B132" i="59"/>
  <c r="B133" i="59"/>
  <c r="B134" i="59"/>
  <c r="B135" i="59"/>
  <c r="B136" i="59"/>
  <c r="B137" i="59"/>
  <c r="B138" i="59"/>
  <c r="A889" i="51"/>
  <c r="A890" i="51"/>
  <c r="A891" i="51"/>
  <c r="A892" i="51"/>
  <c r="A893" i="51"/>
  <c r="I882" i="51"/>
  <c r="J882" i="51"/>
  <c r="H218" i="26"/>
  <c r="H219" i="26"/>
  <c r="H220" i="26"/>
  <c r="H221" i="26"/>
  <c r="H222" i="26"/>
  <c r="H223" i="26"/>
  <c r="H224" i="26"/>
  <c r="H225" i="26"/>
  <c r="H226" i="26"/>
  <c r="H227" i="26"/>
  <c r="G227" i="26"/>
  <c r="J227" i="26"/>
  <c r="G226" i="26"/>
  <c r="J226" i="26"/>
  <c r="G225" i="26"/>
  <c r="J225" i="26"/>
  <c r="G224" i="26"/>
  <c r="J224" i="26"/>
  <c r="G223" i="26"/>
  <c r="J223" i="26"/>
  <c r="G222" i="26"/>
  <c r="J222" i="26"/>
  <c r="G221" i="26"/>
  <c r="J221" i="26"/>
  <c r="J218" i="26"/>
  <c r="J219" i="26"/>
  <c r="J220" i="26"/>
  <c r="A886" i="51"/>
  <c r="A887" i="51"/>
  <c r="A888" i="51"/>
  <c r="A354" i="24"/>
  <c r="G354" i="24"/>
  <c r="B131" i="59"/>
  <c r="G220" i="26"/>
  <c r="B129" i="59"/>
  <c r="B130" i="59"/>
  <c r="A352" i="24"/>
  <c r="G352" i="24"/>
  <c r="A353" i="24"/>
  <c r="G353" i="24"/>
  <c r="A885" i="51"/>
  <c r="A884" i="51"/>
  <c r="G219" i="26"/>
  <c r="G218" i="26"/>
  <c r="E422" i="26"/>
  <c r="F422" i="26"/>
  <c r="G422" i="26"/>
  <c r="H422" i="26"/>
  <c r="J422" i="26"/>
  <c r="E423" i="26"/>
  <c r="F423" i="26"/>
  <c r="G423" i="26"/>
  <c r="H423" i="26"/>
  <c r="J423" i="26"/>
  <c r="I5359" i="51"/>
  <c r="I826" i="51"/>
  <c r="A350" i="24"/>
  <c r="G349" i="24"/>
  <c r="G351" i="24"/>
  <c r="A5359" i="51"/>
  <c r="C5359" i="51"/>
  <c r="C826" i="51"/>
  <c r="A826" i="51"/>
  <c r="J533" i="26"/>
  <c r="H533" i="26"/>
  <c r="G533" i="26"/>
  <c r="F533" i="26"/>
  <c r="E533" i="26"/>
  <c r="A49" i="60"/>
  <c r="C49" i="60"/>
  <c r="D49" i="60"/>
  <c r="E49" i="60"/>
  <c r="A351" i="24"/>
  <c r="I883" i="51"/>
  <c r="A879" i="51"/>
  <c r="C879" i="51"/>
  <c r="A880" i="51"/>
  <c r="C880" i="51"/>
  <c r="A881" i="51"/>
  <c r="C881" i="51"/>
  <c r="A882" i="51"/>
  <c r="C882" i="51"/>
  <c r="A883" i="51"/>
  <c r="C883" i="51"/>
  <c r="I881" i="51"/>
  <c r="J881" i="51"/>
  <c r="I878" i="51"/>
  <c r="I879" i="51"/>
  <c r="C878" i="51"/>
  <c r="G217" i="26"/>
  <c r="H217" i="26"/>
  <c r="J217" i="26"/>
  <c r="A878" i="51"/>
  <c r="A828" i="51"/>
  <c r="A829" i="51"/>
  <c r="A830" i="51"/>
  <c r="A831" i="51"/>
  <c r="A832" i="51"/>
  <c r="A833" i="51"/>
  <c r="A834" i="51"/>
  <c r="A835" i="51"/>
  <c r="A836" i="51"/>
  <c r="A837" i="51"/>
  <c r="A838" i="51"/>
  <c r="A839" i="51"/>
  <c r="A840" i="51"/>
  <c r="A841" i="51"/>
  <c r="A842" i="51"/>
  <c r="A843" i="51"/>
  <c r="A844" i="51"/>
  <c r="A845" i="51"/>
  <c r="A846" i="51"/>
  <c r="A847" i="51"/>
  <c r="A848" i="51"/>
  <c r="A849" i="51"/>
  <c r="A850" i="51"/>
  <c r="A851" i="51"/>
  <c r="A852" i="51"/>
  <c r="A853" i="51"/>
  <c r="A854" i="51"/>
  <c r="A855" i="51"/>
  <c r="A856" i="51"/>
  <c r="A857" i="51"/>
  <c r="A858" i="51"/>
  <c r="A859" i="51"/>
  <c r="A860" i="51"/>
  <c r="A861" i="51"/>
  <c r="A862" i="51"/>
  <c r="A863" i="51"/>
  <c r="A864" i="51"/>
  <c r="A865" i="51"/>
  <c r="A866" i="51"/>
  <c r="A867" i="51"/>
  <c r="A868" i="51"/>
  <c r="A869" i="51"/>
  <c r="A870" i="51"/>
  <c r="A871" i="51"/>
  <c r="A872" i="51"/>
  <c r="A873" i="51"/>
  <c r="A874" i="51"/>
  <c r="A875" i="51"/>
  <c r="A876" i="51"/>
  <c r="A877" i="51"/>
  <c r="A827" i="51"/>
  <c r="A48" i="60"/>
  <c r="C48" i="60"/>
  <c r="D48" i="60"/>
  <c r="E48" i="60"/>
  <c r="A349" i="24"/>
  <c r="C828" i="51"/>
  <c r="C829" i="51"/>
  <c r="C830" i="51"/>
  <c r="C831" i="51"/>
  <c r="C832" i="51"/>
  <c r="C833" i="51"/>
  <c r="C834" i="51"/>
  <c r="C835" i="51"/>
  <c r="C836" i="51"/>
  <c r="C837" i="51"/>
  <c r="C838" i="51"/>
  <c r="C839" i="51"/>
  <c r="C840" i="51"/>
  <c r="C841" i="51"/>
  <c r="C842" i="51"/>
  <c r="C843" i="51"/>
  <c r="C844" i="51"/>
  <c r="C845" i="51"/>
  <c r="C846" i="51"/>
  <c r="C847" i="51"/>
  <c r="C848" i="51"/>
  <c r="C849" i="51"/>
  <c r="C850" i="51"/>
  <c r="C851" i="51"/>
  <c r="C852" i="51"/>
  <c r="C853" i="51"/>
  <c r="C854" i="51"/>
  <c r="C855" i="51"/>
  <c r="C856" i="51"/>
  <c r="C857" i="51"/>
  <c r="C858" i="51"/>
  <c r="C859" i="51"/>
  <c r="C860" i="51"/>
  <c r="C861" i="51"/>
  <c r="C862" i="51"/>
  <c r="C863" i="51"/>
  <c r="C864" i="51"/>
  <c r="C865" i="51"/>
  <c r="C866" i="51"/>
  <c r="C867" i="51"/>
  <c r="C868" i="51"/>
  <c r="C869" i="51"/>
  <c r="C870" i="51"/>
  <c r="C871" i="51"/>
  <c r="C872" i="51"/>
  <c r="C873" i="51"/>
  <c r="C874" i="51"/>
  <c r="C875" i="51"/>
  <c r="C876" i="51"/>
  <c r="C877" i="51"/>
  <c r="C827" i="51"/>
  <c r="Q216" i="26"/>
  <c r="J216" i="26"/>
  <c r="H216" i="26"/>
  <c r="G216" i="26"/>
  <c r="A241" i="60"/>
  <c r="C241" i="60"/>
  <c r="E241" i="60"/>
  <c r="B114" i="59"/>
  <c r="B124" i="59"/>
  <c r="A5118" i="51"/>
  <c r="A5117" i="51"/>
  <c r="A5116" i="51"/>
  <c r="A5115" i="51"/>
  <c r="A5114" i="51"/>
  <c r="A5113" i="51"/>
  <c r="A5112" i="51"/>
  <c r="A5111" i="51"/>
  <c r="A5110" i="51"/>
  <c r="A5109" i="51"/>
  <c r="E101" i="26"/>
  <c r="F101" i="26"/>
  <c r="G101" i="26"/>
  <c r="A3" i="24"/>
  <c r="B123" i="59"/>
  <c r="A265" i="60"/>
  <c r="C265" i="60"/>
  <c r="D265" i="60"/>
  <c r="B113" i="59"/>
  <c r="C814" i="51"/>
  <c r="A814" i="51"/>
  <c r="I5199" i="51"/>
  <c r="I5200" i="51"/>
  <c r="I5201" i="51"/>
  <c r="I5202" i="51"/>
  <c r="I5203" i="51"/>
  <c r="I5204" i="51"/>
  <c r="I5205" i="51"/>
  <c r="I5206" i="51"/>
  <c r="I5207" i="51"/>
  <c r="I5208" i="51"/>
  <c r="A5199" i="51"/>
  <c r="A5200" i="51"/>
  <c r="A5201" i="51"/>
  <c r="A5202" i="51"/>
  <c r="A5203" i="51"/>
  <c r="A5204" i="51"/>
  <c r="A5205" i="51"/>
  <c r="A5206" i="51"/>
  <c r="A5207" i="51"/>
  <c r="A5208" i="51"/>
  <c r="E100" i="26"/>
  <c r="F100" i="26"/>
  <c r="G100" i="26"/>
  <c r="H100" i="26"/>
  <c r="J100" i="26"/>
  <c r="A47" i="60"/>
  <c r="C47" i="60"/>
  <c r="D47" i="60"/>
  <c r="E47" i="60"/>
  <c r="A348" i="24"/>
  <c r="I815" i="51"/>
  <c r="J815" i="51"/>
  <c r="C815" i="51"/>
  <c r="A815" i="51"/>
  <c r="E214" i="26"/>
  <c r="G214" i="26"/>
  <c r="H214" i="26"/>
  <c r="J214" i="26"/>
  <c r="A46" i="60"/>
  <c r="C46" i="60"/>
  <c r="D46" i="60"/>
  <c r="E46" i="60"/>
  <c r="A347" i="24"/>
  <c r="I813" i="51"/>
  <c r="I811" i="51"/>
  <c r="C811" i="51"/>
  <c r="C812" i="51"/>
  <c r="C813" i="51"/>
  <c r="A811" i="51"/>
  <c r="A812" i="51"/>
  <c r="A813" i="51"/>
  <c r="Q213" i="26"/>
  <c r="E213" i="26"/>
  <c r="G213" i="26"/>
  <c r="H213" i="26"/>
  <c r="J213" i="26"/>
  <c r="A346" i="24"/>
  <c r="A5347" i="51"/>
  <c r="C5347" i="51"/>
  <c r="K5317" i="51"/>
  <c r="K5347" i="51"/>
  <c r="A5317" i="51"/>
  <c r="C5317" i="51"/>
  <c r="A230" i="60"/>
  <c r="C230" i="60"/>
  <c r="D230" i="60"/>
  <c r="E230" i="60"/>
  <c r="A48" i="24"/>
  <c r="A95" i="24"/>
  <c r="A125" i="24"/>
  <c r="B112" i="59"/>
  <c r="I810" i="51"/>
  <c r="I809" i="51"/>
  <c r="I808" i="51"/>
  <c r="J212" i="26"/>
  <c r="H212" i="26"/>
  <c r="G212" i="26"/>
  <c r="E212" i="26"/>
  <c r="C808" i="51"/>
  <c r="C809" i="51"/>
  <c r="C810" i="51"/>
  <c r="A808" i="51"/>
  <c r="A809" i="51"/>
  <c r="A810" i="51"/>
  <c r="A5270" i="51"/>
  <c r="C5270" i="51"/>
  <c r="K5270" i="51"/>
  <c r="E521" i="26"/>
  <c r="F521" i="26"/>
  <c r="G521" i="26"/>
  <c r="J521" i="26"/>
  <c r="E491" i="26"/>
  <c r="F491" i="26"/>
  <c r="G491" i="26"/>
  <c r="J491" i="26"/>
  <c r="E444" i="26"/>
  <c r="F444" i="26"/>
  <c r="G444" i="26"/>
  <c r="J444" i="26"/>
  <c r="C44" i="60"/>
  <c r="D44" i="60"/>
  <c r="E44" i="60"/>
  <c r="C45" i="60"/>
  <c r="D45" i="60"/>
  <c r="E45" i="60"/>
  <c r="A45" i="60"/>
  <c r="A44" i="60"/>
  <c r="A41" i="60"/>
  <c r="A344" i="24"/>
  <c r="A345" i="24"/>
  <c r="I807" i="51"/>
  <c r="I805" i="51"/>
  <c r="I804" i="51"/>
  <c r="I802" i="51"/>
  <c r="C802" i="51"/>
  <c r="C803" i="51"/>
  <c r="C804" i="51"/>
  <c r="C805" i="51"/>
  <c r="C806" i="51"/>
  <c r="C807" i="51"/>
  <c r="Q211" i="26"/>
  <c r="Q210" i="26"/>
  <c r="E210" i="26"/>
  <c r="E211" i="26"/>
  <c r="G211" i="26"/>
  <c r="H211" i="26"/>
  <c r="J211" i="26"/>
  <c r="G210" i="26"/>
  <c r="H210" i="26"/>
  <c r="J210" i="26"/>
  <c r="A802" i="51"/>
  <c r="A803" i="51"/>
  <c r="A804" i="51"/>
  <c r="A805" i="51"/>
  <c r="A806" i="51"/>
  <c r="A807" i="51"/>
  <c r="Q209" i="26"/>
  <c r="A124" i="24"/>
  <c r="A94" i="24"/>
  <c r="K5316" i="51"/>
  <c r="K5346" i="51"/>
  <c r="E490" i="26"/>
  <c r="F490" i="26"/>
  <c r="G490" i="26"/>
  <c r="J490" i="26"/>
  <c r="C5316" i="51"/>
  <c r="A5316" i="51"/>
  <c r="K5315" i="51"/>
  <c r="K5345" i="51"/>
  <c r="K5300" i="51"/>
  <c r="K5330" i="51"/>
  <c r="A5346" i="51"/>
  <c r="C5346" i="51"/>
  <c r="E520" i="26"/>
  <c r="F520" i="26"/>
  <c r="G520" i="26"/>
  <c r="J520" i="26"/>
  <c r="C43" i="60"/>
  <c r="D43" i="60"/>
  <c r="E43" i="60"/>
  <c r="A799" i="51"/>
  <c r="C799" i="51"/>
  <c r="I799" i="51"/>
  <c r="A800" i="51"/>
  <c r="C800" i="51"/>
  <c r="A801" i="51"/>
  <c r="C801" i="51"/>
  <c r="I801" i="51"/>
  <c r="E209" i="26"/>
  <c r="G209" i="26"/>
  <c r="H209" i="26"/>
  <c r="J209" i="26"/>
  <c r="A343" i="24"/>
  <c r="A123" i="24"/>
  <c r="A93" i="24"/>
  <c r="A5345" i="51"/>
  <c r="C5345" i="51"/>
  <c r="A5315" i="51"/>
  <c r="C5315" i="51"/>
  <c r="E519" i="26"/>
  <c r="F519" i="26"/>
  <c r="G519" i="26"/>
  <c r="J519" i="26"/>
  <c r="E489" i="26"/>
  <c r="F489" i="26"/>
  <c r="G489" i="26"/>
  <c r="J489" i="26"/>
  <c r="A240" i="60"/>
  <c r="A122" i="24"/>
  <c r="A92" i="24"/>
  <c r="A47" i="24"/>
  <c r="A239" i="60"/>
  <c r="D240" i="60"/>
  <c r="H208" i="26"/>
  <c r="C240" i="60"/>
  <c r="E240" i="60"/>
  <c r="A342" i="24"/>
  <c r="B111" i="59"/>
  <c r="I798" i="51"/>
  <c r="C798" i="51"/>
  <c r="A798" i="51"/>
  <c r="J208" i="26"/>
  <c r="G208" i="26"/>
  <c r="E208" i="26"/>
  <c r="C42" i="60"/>
  <c r="D42" i="60"/>
  <c r="E42" i="60"/>
  <c r="A341" i="24"/>
  <c r="I795" i="51"/>
  <c r="J795" i="51"/>
  <c r="I794" i="51"/>
  <c r="J794" i="51"/>
  <c r="E207" i="26"/>
  <c r="G207" i="26"/>
  <c r="J207" i="26"/>
  <c r="A791" i="51"/>
  <c r="C791" i="51"/>
  <c r="I791" i="51"/>
  <c r="A792" i="51"/>
  <c r="C792" i="51"/>
  <c r="A793" i="51"/>
  <c r="C793" i="51"/>
  <c r="I793" i="51"/>
  <c r="A794" i="51"/>
  <c r="C794" i="51"/>
  <c r="A795" i="51"/>
  <c r="C795" i="51"/>
  <c r="A796" i="51"/>
  <c r="C796" i="51"/>
  <c r="A797" i="51"/>
  <c r="C797" i="51"/>
  <c r="I797" i="51"/>
  <c r="C239" i="60"/>
  <c r="D239" i="60"/>
  <c r="E239" i="60"/>
  <c r="A340" i="24"/>
  <c r="E206" i="26"/>
  <c r="G206" i="26"/>
  <c r="H206" i="26"/>
  <c r="J206" i="26"/>
  <c r="A789" i="51"/>
  <c r="C789" i="51"/>
  <c r="I789" i="51"/>
  <c r="A790" i="51"/>
  <c r="C790" i="51"/>
  <c r="I790" i="51"/>
  <c r="D38" i="60"/>
  <c r="H199" i="26"/>
  <c r="E229" i="60"/>
  <c r="D229" i="60"/>
  <c r="C229" i="60"/>
  <c r="A229" i="60"/>
  <c r="E41" i="60"/>
  <c r="D41" i="60"/>
  <c r="C41" i="60"/>
  <c r="A338" i="24"/>
  <c r="A339" i="24"/>
  <c r="B110" i="59"/>
  <c r="A5344" i="51"/>
  <c r="C5344" i="51"/>
  <c r="K5314" i="51"/>
  <c r="K5344" i="51"/>
  <c r="A5314" i="51"/>
  <c r="C5314" i="51"/>
  <c r="A5269" i="51"/>
  <c r="C5269" i="51"/>
  <c r="K5269" i="51"/>
  <c r="A786" i="51"/>
  <c r="A787" i="51"/>
  <c r="A788" i="51"/>
  <c r="I788" i="51"/>
  <c r="C788" i="51"/>
  <c r="I787" i="51"/>
  <c r="C787" i="51"/>
  <c r="I786" i="51"/>
  <c r="C786" i="51"/>
  <c r="I785" i="51"/>
  <c r="I784" i="51"/>
  <c r="I783" i="51"/>
  <c r="C785" i="51"/>
  <c r="C784" i="51"/>
  <c r="C783" i="51"/>
  <c r="I769" i="51"/>
  <c r="I767" i="51"/>
  <c r="A783" i="51"/>
  <c r="A784" i="51"/>
  <c r="A785" i="51"/>
  <c r="E518" i="26"/>
  <c r="F518" i="26"/>
  <c r="G518" i="26"/>
  <c r="J518" i="26"/>
  <c r="E488" i="26"/>
  <c r="F488" i="26"/>
  <c r="G488" i="26"/>
  <c r="J488" i="26"/>
  <c r="E443" i="26"/>
  <c r="F443" i="26"/>
  <c r="G443" i="26"/>
  <c r="J443" i="26"/>
  <c r="E204" i="26"/>
  <c r="G204" i="26"/>
  <c r="H204" i="26"/>
  <c r="J204" i="26"/>
  <c r="E205" i="26"/>
  <c r="G205" i="26"/>
  <c r="H205" i="26"/>
  <c r="J205" i="26"/>
  <c r="I782" i="51"/>
  <c r="A228" i="60"/>
  <c r="C228" i="60"/>
  <c r="D228" i="60"/>
  <c r="E228" i="60"/>
  <c r="A337" i="24"/>
  <c r="B109" i="59"/>
  <c r="A782" i="51"/>
  <c r="C782" i="51"/>
  <c r="E203" i="26"/>
  <c r="G203" i="26"/>
  <c r="H203" i="26"/>
  <c r="J203" i="26"/>
  <c r="A227" i="60"/>
  <c r="C227" i="60"/>
  <c r="D227" i="60"/>
  <c r="E227" i="60"/>
  <c r="A38" i="60"/>
  <c r="C38" i="60"/>
  <c r="E38" i="60"/>
  <c r="A336" i="24"/>
  <c r="A333" i="24"/>
  <c r="H333" i="24"/>
  <c r="B108" i="59"/>
  <c r="C781" i="51"/>
  <c r="I781" i="51"/>
  <c r="A781" i="51"/>
  <c r="A770" i="51"/>
  <c r="C770" i="51"/>
  <c r="I770" i="51"/>
  <c r="A771" i="51"/>
  <c r="C771" i="51"/>
  <c r="I771" i="51"/>
  <c r="E202" i="26"/>
  <c r="G202" i="26"/>
  <c r="H202" i="26"/>
  <c r="J202" i="26"/>
  <c r="J199" i="26"/>
  <c r="G199" i="26"/>
  <c r="F199" i="26"/>
  <c r="E199" i="26"/>
  <c r="A39" i="60"/>
  <c r="C39" i="60"/>
  <c r="D39" i="60"/>
  <c r="E39" i="60"/>
  <c r="A40" i="60"/>
  <c r="C40" i="60"/>
  <c r="D40" i="60"/>
  <c r="E40" i="60"/>
  <c r="I773" i="51"/>
  <c r="K773" i="51"/>
  <c r="C773" i="51"/>
  <c r="I772" i="51"/>
  <c r="C772" i="51"/>
  <c r="I780" i="51"/>
  <c r="C780" i="51"/>
  <c r="I779" i="51"/>
  <c r="C779" i="51"/>
  <c r="I778" i="51"/>
  <c r="J778" i="51"/>
  <c r="C778" i="51"/>
  <c r="I777" i="51"/>
  <c r="J777" i="51"/>
  <c r="C777" i="51"/>
  <c r="I776" i="51"/>
  <c r="K776" i="51"/>
  <c r="C776" i="51"/>
  <c r="I774" i="51"/>
  <c r="I775" i="51"/>
  <c r="C775" i="51"/>
  <c r="C774" i="51"/>
  <c r="J201" i="26"/>
  <c r="H201" i="26"/>
  <c r="G201" i="26"/>
  <c r="F201" i="26"/>
  <c r="E201" i="26"/>
  <c r="A334" i="24"/>
  <c r="A335" i="24"/>
  <c r="J200" i="26"/>
  <c r="H200" i="26"/>
  <c r="G200" i="26"/>
  <c r="F200" i="26"/>
  <c r="E200" i="26"/>
  <c r="A772" i="51"/>
  <c r="A773" i="51"/>
  <c r="A774" i="51"/>
  <c r="A775" i="51"/>
  <c r="A776" i="51"/>
  <c r="A777" i="51"/>
  <c r="A778" i="51"/>
  <c r="A779" i="51"/>
  <c r="A780" i="51"/>
  <c r="A226" i="60"/>
  <c r="C226" i="60"/>
  <c r="D226" i="60"/>
  <c r="E226" i="60"/>
  <c r="B107" i="59"/>
  <c r="A767" i="51"/>
  <c r="C767" i="51"/>
  <c r="A332" i="24"/>
  <c r="A768" i="51"/>
  <c r="C768" i="51"/>
  <c r="I768" i="51"/>
  <c r="A769" i="51"/>
  <c r="C769" i="51"/>
  <c r="E198" i="26"/>
  <c r="F198" i="26"/>
  <c r="G198" i="26"/>
  <c r="H198" i="26"/>
  <c r="J198" i="26"/>
  <c r="A121" i="24"/>
  <c r="A91" i="24"/>
  <c r="A46" i="24"/>
  <c r="A5343" i="51"/>
  <c r="C5343" i="51"/>
  <c r="K5313" i="51"/>
  <c r="K5343" i="51"/>
  <c r="A5313" i="51"/>
  <c r="C5313" i="51"/>
  <c r="A5268" i="51"/>
  <c r="C5268" i="51"/>
  <c r="K5268" i="51"/>
  <c r="E517" i="26"/>
  <c r="F517" i="26"/>
  <c r="G517" i="26"/>
  <c r="J517" i="26"/>
  <c r="E487" i="26"/>
  <c r="F487" i="26"/>
  <c r="G487" i="26"/>
  <c r="J487" i="26"/>
  <c r="E442" i="26"/>
  <c r="F442" i="26"/>
  <c r="G442" i="26"/>
  <c r="J442" i="26"/>
  <c r="A37" i="60"/>
  <c r="E37" i="60"/>
  <c r="D37" i="60"/>
  <c r="C37" i="60"/>
  <c r="G331" i="24"/>
  <c r="A331" i="24"/>
  <c r="I766" i="51"/>
  <c r="K766" i="51"/>
  <c r="C766" i="51"/>
  <c r="A766" i="51"/>
  <c r="I765" i="51"/>
  <c r="K765" i="51"/>
  <c r="C765" i="51"/>
  <c r="A765" i="51"/>
  <c r="I764" i="51"/>
  <c r="C764" i="51"/>
  <c r="A764" i="51"/>
  <c r="J197" i="26"/>
  <c r="H197" i="26"/>
  <c r="G197" i="26"/>
  <c r="F197" i="26"/>
  <c r="E197" i="26"/>
  <c r="E36" i="60"/>
  <c r="D36" i="60"/>
  <c r="C36" i="60"/>
  <c r="A330" i="24"/>
  <c r="I763" i="51"/>
  <c r="I762" i="51"/>
  <c r="C762" i="51"/>
  <c r="C763" i="51"/>
  <c r="A762" i="51"/>
  <c r="A763" i="51"/>
  <c r="E196" i="26"/>
  <c r="F196" i="26"/>
  <c r="G196" i="26"/>
  <c r="H196" i="26"/>
  <c r="J196" i="26"/>
  <c r="E34" i="60"/>
  <c r="E35" i="60"/>
  <c r="D35" i="60"/>
  <c r="C35" i="60"/>
  <c r="A329" i="24"/>
  <c r="J195" i="26"/>
  <c r="H195" i="26"/>
  <c r="G195" i="26"/>
  <c r="F195" i="26"/>
  <c r="E195" i="26"/>
  <c r="I761" i="51"/>
  <c r="C761" i="51"/>
  <c r="A761" i="51"/>
  <c r="I760" i="51"/>
  <c r="C760" i="51"/>
  <c r="A760" i="51"/>
  <c r="I759" i="51"/>
  <c r="J759" i="51"/>
  <c r="C759" i="51"/>
  <c r="A759" i="51"/>
  <c r="I758" i="51"/>
  <c r="J758" i="51"/>
  <c r="C758" i="51"/>
  <c r="A758" i="51"/>
  <c r="I757" i="51"/>
  <c r="K757" i="51"/>
  <c r="C757" i="51"/>
  <c r="A757" i="51"/>
  <c r="I755" i="51"/>
  <c r="I756" i="51"/>
  <c r="C756" i="51"/>
  <c r="A756" i="51"/>
  <c r="C755" i="51"/>
  <c r="A755" i="51"/>
  <c r="C34" i="60"/>
  <c r="D34" i="60"/>
  <c r="A328" i="24"/>
  <c r="I752" i="51"/>
  <c r="I754" i="51"/>
  <c r="C754" i="51"/>
  <c r="A754" i="51"/>
  <c r="I753" i="51"/>
  <c r="C753" i="51"/>
  <c r="A753" i="51"/>
  <c r="C752" i="51"/>
  <c r="A752" i="51"/>
  <c r="J194" i="26"/>
  <c r="H194" i="26"/>
  <c r="G194" i="26"/>
  <c r="E194" i="26"/>
  <c r="F194" i="26"/>
  <c r="K5312" i="51"/>
  <c r="K5342" i="51"/>
  <c r="C5342" i="51"/>
  <c r="A5342" i="51"/>
  <c r="C5341" i="51"/>
  <c r="K5310" i="51"/>
  <c r="K5340" i="51"/>
  <c r="K5311" i="51"/>
  <c r="K5341" i="51"/>
  <c r="A120" i="24"/>
  <c r="A90" i="24"/>
  <c r="C5312" i="51"/>
  <c r="A5312" i="51"/>
  <c r="J516" i="26"/>
  <c r="E516" i="26"/>
  <c r="F516" i="26"/>
  <c r="G516" i="26"/>
  <c r="H510" i="26"/>
  <c r="H511" i="26"/>
  <c r="H512" i="26"/>
  <c r="H513" i="26"/>
  <c r="H514" i="26"/>
  <c r="H515" i="26"/>
  <c r="H516" i="26"/>
  <c r="J486" i="26"/>
  <c r="E486" i="26"/>
  <c r="F486" i="26"/>
  <c r="G486" i="26"/>
  <c r="H480" i="26"/>
  <c r="H481" i="26"/>
  <c r="H483" i="26"/>
  <c r="H484" i="26"/>
  <c r="H485" i="26"/>
  <c r="H486" i="26"/>
  <c r="P735" i="51"/>
  <c r="A13" i="24"/>
  <c r="P744" i="51"/>
  <c r="P743" i="51"/>
  <c r="P745" i="51"/>
  <c r="A5341" i="51"/>
  <c r="C5311" i="51"/>
  <c r="A5311" i="51"/>
  <c r="J515" i="26"/>
  <c r="G515" i="26"/>
  <c r="F515" i="26"/>
  <c r="E515" i="26"/>
  <c r="J485" i="26"/>
  <c r="G485" i="26"/>
  <c r="F485" i="26"/>
  <c r="E485" i="26"/>
  <c r="A119" i="24"/>
  <c r="A89" i="24"/>
  <c r="I751" i="51"/>
  <c r="C751" i="51"/>
  <c r="A751" i="51"/>
  <c r="I750" i="51"/>
  <c r="C750" i="51"/>
  <c r="A750" i="51"/>
  <c r="P746" i="51"/>
  <c r="P747" i="51"/>
  <c r="P748" i="51"/>
  <c r="P749" i="51"/>
  <c r="I749" i="51"/>
  <c r="C749" i="51"/>
  <c r="A749" i="51"/>
  <c r="C748" i="51"/>
  <c r="A748" i="51"/>
  <c r="I747" i="51"/>
  <c r="C747" i="51"/>
  <c r="A747" i="51"/>
  <c r="I746" i="51"/>
  <c r="C746" i="51"/>
  <c r="A746" i="51"/>
  <c r="I745" i="51"/>
  <c r="C745" i="51"/>
  <c r="A745" i="51"/>
  <c r="I743" i="51"/>
  <c r="I744" i="51"/>
  <c r="C744" i="51"/>
  <c r="A744" i="51"/>
  <c r="C743" i="51"/>
  <c r="A743" i="51"/>
  <c r="B115" i="59"/>
  <c r="P736" i="51"/>
  <c r="P737" i="51"/>
  <c r="P738" i="51"/>
  <c r="P739" i="51"/>
  <c r="P740" i="51"/>
  <c r="P741" i="51"/>
  <c r="I736" i="51"/>
  <c r="I737" i="51"/>
  <c r="I738" i="51"/>
  <c r="I739" i="51"/>
  <c r="I740" i="51"/>
  <c r="I741" i="51"/>
  <c r="I742" i="51"/>
  <c r="C742" i="51"/>
  <c r="A742" i="51"/>
  <c r="C741" i="51"/>
  <c r="A741" i="51"/>
  <c r="C740" i="51"/>
  <c r="A740" i="51"/>
  <c r="C739" i="51"/>
  <c r="A739" i="51"/>
  <c r="C738" i="51"/>
  <c r="A738" i="51"/>
  <c r="C737" i="51"/>
  <c r="A737" i="51"/>
  <c r="C736" i="51"/>
  <c r="A736" i="51"/>
  <c r="C735" i="51"/>
  <c r="A735" i="51"/>
  <c r="I734" i="51"/>
  <c r="C734" i="51"/>
  <c r="A734" i="51"/>
  <c r="I733" i="51"/>
  <c r="C733" i="51"/>
  <c r="A733" i="51"/>
  <c r="I732" i="51"/>
  <c r="C732" i="51"/>
  <c r="A732" i="51"/>
  <c r="E692" i="51"/>
  <c r="E693" i="51"/>
  <c r="E694" i="51"/>
  <c r="E695" i="51"/>
  <c r="E696" i="51"/>
  <c r="E697" i="51"/>
  <c r="E698" i="51"/>
  <c r="E699" i="51"/>
  <c r="E700" i="51"/>
  <c r="E701" i="51"/>
  <c r="E702" i="51"/>
  <c r="E703" i="51"/>
  <c r="E704" i="51"/>
  <c r="E705" i="51"/>
  <c r="E706" i="51"/>
  <c r="E707" i="51"/>
  <c r="E708" i="51"/>
  <c r="E709" i="51"/>
  <c r="E710" i="51"/>
  <c r="E711" i="51"/>
  <c r="E712" i="51"/>
  <c r="E713" i="51"/>
  <c r="E714" i="51"/>
  <c r="E715" i="51"/>
  <c r="E716" i="51"/>
  <c r="E717" i="51"/>
  <c r="E718" i="51"/>
  <c r="E719" i="51"/>
  <c r="E720" i="51"/>
  <c r="E721" i="51"/>
  <c r="E722" i="51"/>
  <c r="E723" i="51"/>
  <c r="E724" i="51"/>
  <c r="E725" i="51"/>
  <c r="E726" i="51"/>
  <c r="E727" i="51"/>
  <c r="E728" i="51"/>
  <c r="E729" i="51"/>
  <c r="E730" i="51"/>
  <c r="C731" i="51"/>
  <c r="A731" i="51"/>
  <c r="C730" i="51"/>
  <c r="A730" i="51"/>
  <c r="C729" i="51"/>
  <c r="A729" i="51"/>
  <c r="C728" i="51"/>
  <c r="A728" i="51"/>
  <c r="C727" i="51"/>
  <c r="A727" i="51"/>
  <c r="C726" i="51"/>
  <c r="A726" i="51"/>
  <c r="C725" i="51"/>
  <c r="A725" i="51"/>
  <c r="C724" i="51"/>
  <c r="A724" i="51"/>
  <c r="C723" i="51"/>
  <c r="A723" i="51"/>
  <c r="C722" i="51"/>
  <c r="A722" i="51"/>
  <c r="C721" i="51"/>
  <c r="A721" i="51"/>
  <c r="C720" i="51"/>
  <c r="A720" i="51"/>
  <c r="C719" i="51"/>
  <c r="A719" i="51"/>
  <c r="C718" i="51"/>
  <c r="A718" i="51"/>
  <c r="C717" i="51"/>
  <c r="A717" i="51"/>
  <c r="C716" i="51"/>
  <c r="A716" i="51"/>
  <c r="C715" i="51"/>
  <c r="A715" i="51"/>
  <c r="C714" i="51"/>
  <c r="A714" i="51"/>
  <c r="C713" i="51"/>
  <c r="A713" i="51"/>
  <c r="C712" i="51"/>
  <c r="A712" i="51"/>
  <c r="C711" i="51"/>
  <c r="A711" i="51"/>
  <c r="C710" i="51"/>
  <c r="A710" i="51"/>
  <c r="C709" i="51"/>
  <c r="A709" i="51"/>
  <c r="C708" i="51"/>
  <c r="A708" i="51"/>
  <c r="C707" i="51"/>
  <c r="A707" i="51"/>
  <c r="C706" i="51"/>
  <c r="A706" i="51"/>
  <c r="C705" i="51"/>
  <c r="A705" i="51"/>
  <c r="C704" i="51"/>
  <c r="A704" i="51"/>
  <c r="C703" i="51"/>
  <c r="A703" i="51"/>
  <c r="C702" i="51"/>
  <c r="A702" i="51"/>
  <c r="C701" i="51"/>
  <c r="A701" i="51"/>
  <c r="C700" i="51"/>
  <c r="A700" i="51"/>
  <c r="C699" i="51"/>
  <c r="A699" i="51"/>
  <c r="C698" i="51"/>
  <c r="A698" i="51"/>
  <c r="C697" i="51"/>
  <c r="A697" i="51"/>
  <c r="C696" i="51"/>
  <c r="A696" i="51"/>
  <c r="C695" i="51"/>
  <c r="A695" i="51"/>
  <c r="C694" i="51"/>
  <c r="A694" i="51"/>
  <c r="C693" i="51"/>
  <c r="A693" i="51"/>
  <c r="C692" i="51"/>
  <c r="A692" i="51"/>
  <c r="C691" i="51"/>
  <c r="A691" i="51"/>
  <c r="I690" i="51"/>
  <c r="C690" i="51"/>
  <c r="A690" i="51"/>
  <c r="E32" i="60"/>
  <c r="D32" i="60"/>
  <c r="C32" i="60"/>
  <c r="A32" i="60"/>
  <c r="E31" i="60"/>
  <c r="D31" i="60"/>
  <c r="C31" i="60"/>
  <c r="A31" i="60"/>
  <c r="E30" i="60"/>
  <c r="D30" i="60"/>
  <c r="C30" i="60"/>
  <c r="A30" i="60"/>
  <c r="E29" i="60"/>
  <c r="D29" i="60"/>
  <c r="C29" i="60"/>
  <c r="A29" i="60"/>
  <c r="E28" i="60"/>
  <c r="D28" i="60"/>
  <c r="C28" i="60"/>
  <c r="A28" i="60"/>
  <c r="A323" i="24"/>
  <c r="G323" i="24"/>
  <c r="A324" i="24"/>
  <c r="G324" i="24"/>
  <c r="A325" i="24"/>
  <c r="A326" i="24"/>
  <c r="A327" i="24"/>
  <c r="J193" i="26"/>
  <c r="H193" i="26"/>
  <c r="G193" i="26"/>
  <c r="F193" i="26"/>
  <c r="E193" i="26"/>
  <c r="J192" i="26"/>
  <c r="H192" i="26"/>
  <c r="G192" i="26"/>
  <c r="F192" i="26"/>
  <c r="E192" i="26"/>
  <c r="J191" i="26"/>
  <c r="H191" i="26"/>
  <c r="G191" i="26"/>
  <c r="F191" i="26"/>
  <c r="E191" i="26"/>
  <c r="J190" i="26"/>
  <c r="H190" i="26"/>
  <c r="G190" i="26"/>
  <c r="F190" i="26"/>
  <c r="E190" i="26"/>
  <c r="J189" i="26"/>
  <c r="H189" i="26"/>
  <c r="G189" i="26"/>
  <c r="F189" i="26"/>
  <c r="E189" i="26"/>
  <c r="H430" i="26"/>
  <c r="H429" i="26"/>
  <c r="K5309" i="51"/>
  <c r="K5339" i="51"/>
  <c r="G35" i="24"/>
  <c r="A35" i="24"/>
  <c r="J429" i="26"/>
  <c r="J430" i="26"/>
  <c r="J431" i="26"/>
  <c r="C5257" i="51"/>
  <c r="A5257" i="51"/>
  <c r="G431" i="26"/>
  <c r="F431" i="26"/>
  <c r="E431" i="26"/>
  <c r="G32" i="24"/>
  <c r="G33" i="24"/>
  <c r="G34" i="24"/>
  <c r="A34" i="24"/>
  <c r="A33" i="24"/>
  <c r="C5256" i="51"/>
  <c r="A5256" i="51"/>
  <c r="C5255" i="51"/>
  <c r="A5255" i="51"/>
  <c r="G430" i="26"/>
  <c r="F430" i="26"/>
  <c r="E430" i="26"/>
  <c r="G429" i="26"/>
  <c r="F429" i="26"/>
  <c r="E429" i="26"/>
  <c r="A118" i="24"/>
  <c r="A117" i="24"/>
  <c r="A88" i="24"/>
  <c r="A87" i="24"/>
  <c r="C5310" i="51"/>
  <c r="A5310" i="51"/>
  <c r="J482" i="26"/>
  <c r="H482" i="26"/>
  <c r="G482" i="26"/>
  <c r="F482" i="26"/>
  <c r="E482" i="26"/>
  <c r="A45" i="24"/>
  <c r="C5340" i="51"/>
  <c r="A5340" i="51"/>
  <c r="C5339" i="51"/>
  <c r="A5339" i="51"/>
  <c r="C5309" i="51"/>
  <c r="A5309" i="51"/>
  <c r="K5267" i="51"/>
  <c r="C5267" i="51"/>
  <c r="A5267" i="51"/>
  <c r="J514" i="26"/>
  <c r="G514" i="26"/>
  <c r="F514" i="26"/>
  <c r="E514" i="26"/>
  <c r="J513" i="26"/>
  <c r="G513" i="26"/>
  <c r="F513" i="26"/>
  <c r="E513" i="26"/>
  <c r="J484" i="26"/>
  <c r="G484" i="26"/>
  <c r="F484" i="26"/>
  <c r="E484" i="26"/>
  <c r="J441" i="26"/>
  <c r="H439" i="26"/>
  <c r="H440" i="26"/>
  <c r="H441" i="26"/>
  <c r="G441" i="26"/>
  <c r="F441" i="26"/>
  <c r="E441" i="26"/>
  <c r="A225" i="60"/>
  <c r="E225" i="60"/>
  <c r="D225" i="60"/>
  <c r="C225" i="60"/>
  <c r="E27" i="60"/>
  <c r="D27" i="60"/>
  <c r="C27" i="60"/>
  <c r="A27" i="60"/>
  <c r="E26" i="60"/>
  <c r="D26" i="60"/>
  <c r="C26" i="60"/>
  <c r="A26" i="60"/>
  <c r="E25" i="60"/>
  <c r="D25" i="60"/>
  <c r="C25" i="60"/>
  <c r="A25" i="60"/>
  <c r="I689" i="51"/>
  <c r="C689" i="51"/>
  <c r="A689" i="51"/>
  <c r="I688" i="51"/>
  <c r="C688" i="51"/>
  <c r="A688" i="51"/>
  <c r="I687" i="51"/>
  <c r="C687" i="51"/>
  <c r="A687" i="51"/>
  <c r="I686" i="51"/>
  <c r="C686" i="51"/>
  <c r="A686" i="51"/>
  <c r="I685" i="51"/>
  <c r="C685" i="51"/>
  <c r="A685" i="51"/>
  <c r="I684" i="51"/>
  <c r="C684" i="51"/>
  <c r="A684" i="51"/>
  <c r="I683" i="51"/>
  <c r="K683" i="51"/>
  <c r="C683" i="51"/>
  <c r="A683" i="51"/>
  <c r="I682" i="51"/>
  <c r="K682" i="51"/>
  <c r="C682" i="51"/>
  <c r="A682" i="51"/>
  <c r="I681" i="51"/>
  <c r="C681" i="51"/>
  <c r="A681" i="51"/>
  <c r="I680" i="51"/>
  <c r="K680" i="51"/>
  <c r="C680" i="51"/>
  <c r="A680" i="51"/>
  <c r="I679" i="51"/>
  <c r="C679" i="51"/>
  <c r="A679" i="51"/>
  <c r="B105" i="59"/>
  <c r="A319" i="24"/>
  <c r="G319" i="24"/>
  <c r="A320" i="24"/>
  <c r="G320" i="24"/>
  <c r="A321" i="24"/>
  <c r="A322" i="24"/>
  <c r="G322" i="24"/>
  <c r="J187" i="26"/>
  <c r="H187" i="26"/>
  <c r="G187" i="26"/>
  <c r="F187" i="26"/>
  <c r="E187" i="26"/>
  <c r="J186" i="26"/>
  <c r="H186" i="26"/>
  <c r="G186" i="26"/>
  <c r="F186" i="26"/>
  <c r="E186" i="26"/>
  <c r="J185" i="26"/>
  <c r="H185" i="26"/>
  <c r="G185" i="26"/>
  <c r="F185" i="26"/>
  <c r="E185" i="26"/>
  <c r="J184" i="26"/>
  <c r="H184" i="26"/>
  <c r="G184" i="26"/>
  <c r="F184" i="26"/>
  <c r="E184" i="26"/>
  <c r="H188" i="26"/>
  <c r="D33" i="60"/>
  <c r="A86" i="24"/>
  <c r="A116" i="24"/>
  <c r="K5308" i="51"/>
  <c r="K5338" i="51"/>
  <c r="C5338" i="51"/>
  <c r="A5338" i="51"/>
  <c r="C5308" i="51"/>
  <c r="A5308" i="51"/>
  <c r="J512" i="26"/>
  <c r="G512" i="26"/>
  <c r="F512" i="26"/>
  <c r="E512" i="26"/>
  <c r="J483" i="26"/>
  <c r="G483" i="26"/>
  <c r="F483" i="26"/>
  <c r="E483" i="26"/>
  <c r="D219" i="60"/>
  <c r="A222" i="60"/>
  <c r="A223" i="60"/>
  <c r="A224" i="60"/>
  <c r="E224" i="60"/>
  <c r="C224" i="60"/>
  <c r="E223" i="60"/>
  <c r="C223" i="60"/>
  <c r="E222" i="60"/>
  <c r="C222" i="60"/>
  <c r="I678" i="51"/>
  <c r="C678" i="51"/>
  <c r="A678" i="51"/>
  <c r="I677" i="51"/>
  <c r="C677" i="51"/>
  <c r="A677" i="51"/>
  <c r="I676" i="51"/>
  <c r="J676" i="51"/>
  <c r="C676" i="51"/>
  <c r="A676" i="51"/>
  <c r="I675" i="51"/>
  <c r="J675" i="51"/>
  <c r="C675" i="51"/>
  <c r="A675" i="51"/>
  <c r="I674" i="51"/>
  <c r="K674" i="51"/>
  <c r="C674" i="51"/>
  <c r="A674" i="51"/>
  <c r="I672" i="51"/>
  <c r="I673" i="51"/>
  <c r="C673" i="51"/>
  <c r="A673" i="51"/>
  <c r="C672" i="51"/>
  <c r="A672" i="51"/>
  <c r="I671" i="51"/>
  <c r="C671" i="51"/>
  <c r="A671" i="51"/>
  <c r="I670" i="51"/>
  <c r="C670" i="51"/>
  <c r="A670" i="51"/>
  <c r="I669" i="51"/>
  <c r="C669" i="51"/>
  <c r="A669" i="51"/>
  <c r="I668" i="51"/>
  <c r="C668" i="51"/>
  <c r="A668" i="51"/>
  <c r="I667" i="51"/>
  <c r="C667" i="51"/>
  <c r="A667" i="51"/>
  <c r="I666" i="51"/>
  <c r="C666" i="51"/>
  <c r="A666" i="51"/>
  <c r="I665" i="51"/>
  <c r="C665" i="51"/>
  <c r="A665" i="51"/>
  <c r="I664" i="51"/>
  <c r="C664" i="51"/>
  <c r="A664" i="51"/>
  <c r="I663" i="51"/>
  <c r="C663" i="51"/>
  <c r="A663" i="51"/>
  <c r="I662" i="51"/>
  <c r="C662" i="51"/>
  <c r="A662" i="51"/>
  <c r="I661" i="51"/>
  <c r="C661" i="51"/>
  <c r="A661" i="51"/>
  <c r="I660" i="51"/>
  <c r="C660" i="51"/>
  <c r="A660" i="51"/>
  <c r="A24" i="60"/>
  <c r="D24" i="60"/>
  <c r="C24" i="60"/>
  <c r="E24" i="60"/>
  <c r="C33" i="60"/>
  <c r="E33" i="60"/>
  <c r="A315" i="24"/>
  <c r="A316" i="24"/>
  <c r="A317" i="24"/>
  <c r="G317" i="24"/>
  <c r="A318" i="24"/>
  <c r="G318" i="24"/>
  <c r="A314" i="24"/>
  <c r="H183" i="26"/>
  <c r="E180" i="26"/>
  <c r="F180" i="26"/>
  <c r="G180" i="26"/>
  <c r="J180" i="26"/>
  <c r="E181" i="26"/>
  <c r="F181" i="26"/>
  <c r="G181" i="26"/>
  <c r="J181" i="26"/>
  <c r="E182" i="26"/>
  <c r="F182" i="26"/>
  <c r="G182" i="26"/>
  <c r="J182" i="26"/>
  <c r="E183" i="26"/>
  <c r="F183" i="26"/>
  <c r="G183" i="26"/>
  <c r="J183" i="26"/>
  <c r="E188" i="26"/>
  <c r="F188" i="26"/>
  <c r="G188" i="26"/>
  <c r="J188" i="26"/>
  <c r="H532" i="26"/>
  <c r="I5358" i="51"/>
  <c r="I5357" i="51"/>
  <c r="A313" i="24"/>
  <c r="A312" i="24"/>
  <c r="K5358" i="51"/>
  <c r="J532" i="26"/>
  <c r="G532" i="26"/>
  <c r="F532" i="26"/>
  <c r="E532" i="26"/>
  <c r="J531" i="26"/>
  <c r="H531" i="26"/>
  <c r="G531" i="26"/>
  <c r="F531" i="26"/>
  <c r="E531" i="26"/>
  <c r="C5358" i="51"/>
  <c r="A5358" i="51"/>
  <c r="C5357" i="51"/>
  <c r="A5357" i="51"/>
  <c r="I659" i="51"/>
  <c r="I658" i="51"/>
  <c r="I657" i="51"/>
  <c r="I656" i="51"/>
  <c r="C659" i="51"/>
  <c r="A659" i="51"/>
  <c r="C658" i="51"/>
  <c r="A658" i="51"/>
  <c r="C657" i="51"/>
  <c r="A657" i="51"/>
  <c r="C656" i="51"/>
  <c r="A656" i="51"/>
  <c r="I655" i="51"/>
  <c r="C655" i="51"/>
  <c r="A655" i="51"/>
  <c r="I653" i="51"/>
  <c r="K653" i="51"/>
  <c r="C653" i="51"/>
  <c r="A653" i="51"/>
  <c r="I654" i="51"/>
  <c r="C654" i="51"/>
  <c r="A654" i="51"/>
  <c r="I652" i="51"/>
  <c r="C652" i="51"/>
  <c r="A652" i="51"/>
  <c r="E23" i="60"/>
  <c r="C23" i="60"/>
  <c r="E22" i="60"/>
  <c r="C22" i="60"/>
  <c r="E21" i="60"/>
  <c r="D21" i="60"/>
  <c r="C21" i="60"/>
  <c r="A21" i="60"/>
  <c r="E20" i="60"/>
  <c r="D20" i="60"/>
  <c r="C20" i="60"/>
  <c r="A20" i="60"/>
  <c r="J179" i="26"/>
  <c r="G179" i="26"/>
  <c r="F179" i="26"/>
  <c r="E179" i="26"/>
  <c r="J178" i="26"/>
  <c r="G178" i="26"/>
  <c r="F178" i="26"/>
  <c r="E178" i="26"/>
  <c r="A310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A311" i="24"/>
  <c r="H311" i="24"/>
  <c r="A308" i="24"/>
  <c r="G308" i="24"/>
  <c r="A309" i="24"/>
  <c r="G309" i="24"/>
  <c r="J177" i="26"/>
  <c r="H177" i="26"/>
  <c r="G177" i="26"/>
  <c r="F177" i="26"/>
  <c r="E177" i="26"/>
  <c r="J176" i="26"/>
  <c r="G176" i="26"/>
  <c r="F176" i="26"/>
  <c r="E176" i="26"/>
  <c r="A32" i="24"/>
  <c r="C5254" i="51"/>
  <c r="A5254" i="51"/>
  <c r="J427" i="26"/>
  <c r="J428" i="26"/>
  <c r="G428" i="26"/>
  <c r="F428" i="26"/>
  <c r="E428" i="26"/>
  <c r="I608" i="51"/>
  <c r="I610" i="51"/>
  <c r="I609" i="51"/>
  <c r="G31" i="24"/>
  <c r="A31" i="24"/>
  <c r="I5249" i="51"/>
  <c r="I5250" i="51"/>
  <c r="I5251" i="51"/>
  <c r="I5252" i="51"/>
  <c r="C5253" i="51"/>
  <c r="A5253" i="51"/>
  <c r="G427" i="26"/>
  <c r="F427" i="26"/>
  <c r="E427" i="26"/>
  <c r="P643" i="51"/>
  <c r="P644" i="51"/>
  <c r="P645" i="51"/>
  <c r="P646" i="51"/>
  <c r="P647" i="51"/>
  <c r="P648" i="51"/>
  <c r="P649" i="51"/>
  <c r="P650" i="51"/>
  <c r="P642" i="51"/>
  <c r="A19" i="60"/>
  <c r="A18" i="60"/>
  <c r="E19" i="60"/>
  <c r="D19" i="60"/>
  <c r="C19" i="60"/>
  <c r="E18" i="60"/>
  <c r="D18" i="60"/>
  <c r="C18" i="60"/>
  <c r="B106" i="59"/>
  <c r="J648" i="51"/>
  <c r="J649" i="51"/>
  <c r="J650" i="51"/>
  <c r="J647" i="51"/>
  <c r="I651" i="51"/>
  <c r="K651" i="51"/>
  <c r="C651" i="51"/>
  <c r="A651" i="51"/>
  <c r="I647" i="51"/>
  <c r="I648" i="51"/>
  <c r="I649" i="51"/>
  <c r="I650" i="51"/>
  <c r="C650" i="51"/>
  <c r="A650" i="51"/>
  <c r="C649" i="51"/>
  <c r="A649" i="51"/>
  <c r="C648" i="51"/>
  <c r="A648" i="51"/>
  <c r="C647" i="51"/>
  <c r="A647" i="51"/>
  <c r="I646" i="51"/>
  <c r="I645" i="51"/>
  <c r="I644" i="51"/>
  <c r="J644" i="51"/>
  <c r="I643" i="51"/>
  <c r="J643" i="51"/>
  <c r="C646" i="51"/>
  <c r="A646" i="51"/>
  <c r="C645" i="51"/>
  <c r="A645" i="51"/>
  <c r="C644" i="51"/>
  <c r="A644" i="51"/>
  <c r="C643" i="51"/>
  <c r="A643" i="51"/>
  <c r="I642" i="51"/>
  <c r="K642" i="51"/>
  <c r="C642" i="51"/>
  <c r="A642" i="51"/>
  <c r="I640" i="51"/>
  <c r="I641" i="51"/>
  <c r="C641" i="51"/>
  <c r="A641" i="51"/>
  <c r="C640" i="51"/>
  <c r="A640" i="51"/>
  <c r="J175" i="26"/>
  <c r="H175" i="26"/>
  <c r="G175" i="26"/>
  <c r="F175" i="26"/>
  <c r="E175" i="26"/>
  <c r="J174" i="26"/>
  <c r="H174" i="26"/>
  <c r="G174" i="26"/>
  <c r="F174" i="26"/>
  <c r="E174" i="26"/>
  <c r="G307" i="24"/>
  <c r="G306" i="24"/>
  <c r="A306" i="24"/>
  <c r="A307" i="24"/>
  <c r="I635" i="51"/>
  <c r="I636" i="51"/>
  <c r="I633" i="51"/>
  <c r="I630" i="51"/>
  <c r="I631" i="51"/>
  <c r="B104" i="59"/>
  <c r="A639" i="51"/>
  <c r="C639" i="51"/>
  <c r="I639" i="51"/>
  <c r="I611" i="51"/>
  <c r="C611" i="51"/>
  <c r="A611" i="51"/>
  <c r="I613" i="51"/>
  <c r="I612" i="51"/>
  <c r="I638" i="51"/>
  <c r="C638" i="51"/>
  <c r="A638" i="51"/>
  <c r="C637" i="51"/>
  <c r="A637" i="51"/>
  <c r="C636" i="51"/>
  <c r="A636" i="51"/>
  <c r="C635" i="51"/>
  <c r="A635" i="51"/>
  <c r="C634" i="51"/>
  <c r="A634" i="51"/>
  <c r="C633" i="51"/>
  <c r="A633" i="51"/>
  <c r="C632" i="51"/>
  <c r="A632" i="51"/>
  <c r="C631" i="51"/>
  <c r="A631" i="51"/>
  <c r="C630" i="51"/>
  <c r="A630" i="51"/>
  <c r="C629" i="51"/>
  <c r="A629" i="51"/>
  <c r="K612" i="51"/>
  <c r="C612" i="51"/>
  <c r="A612" i="51"/>
  <c r="E17" i="60"/>
  <c r="D17" i="60"/>
  <c r="C17" i="60"/>
  <c r="A305" i="24"/>
  <c r="J173" i="26"/>
  <c r="H173" i="26"/>
  <c r="G173" i="26"/>
  <c r="F173" i="26"/>
  <c r="E173" i="26"/>
  <c r="I628" i="51"/>
  <c r="C628" i="51"/>
  <c r="A628" i="51"/>
  <c r="C627" i="51"/>
  <c r="A627" i="51"/>
  <c r="I624" i="51"/>
  <c r="I625" i="51"/>
  <c r="I626" i="51"/>
  <c r="C626" i="51"/>
  <c r="A626" i="51"/>
  <c r="C625" i="51"/>
  <c r="A625" i="51"/>
  <c r="C624" i="51"/>
  <c r="A624" i="51"/>
  <c r="E221" i="60"/>
  <c r="D221" i="60"/>
  <c r="C221" i="60"/>
  <c r="A221" i="60"/>
  <c r="E16" i="60"/>
  <c r="D16" i="60"/>
  <c r="C16" i="60"/>
  <c r="A115" i="24"/>
  <c r="A85" i="24"/>
  <c r="A44" i="24"/>
  <c r="B103" i="59"/>
  <c r="A5337" i="51"/>
  <c r="C5337" i="51"/>
  <c r="K5307" i="51"/>
  <c r="K5337" i="51"/>
  <c r="C5307" i="51"/>
  <c r="A5307" i="51"/>
  <c r="K5266" i="51"/>
  <c r="C5266" i="51"/>
  <c r="A5266" i="51"/>
  <c r="K613" i="51"/>
  <c r="C613" i="51"/>
  <c r="A613" i="51"/>
  <c r="I616" i="51"/>
  <c r="C616" i="51"/>
  <c r="A616" i="51"/>
  <c r="I615" i="51"/>
  <c r="C615" i="51"/>
  <c r="A615" i="51"/>
  <c r="I614" i="51"/>
  <c r="C614" i="51"/>
  <c r="A614" i="51"/>
  <c r="E511" i="26"/>
  <c r="F511" i="26"/>
  <c r="G511" i="26"/>
  <c r="J511" i="26"/>
  <c r="J481" i="26"/>
  <c r="G481" i="26"/>
  <c r="F481" i="26"/>
  <c r="E481" i="26"/>
  <c r="J440" i="26"/>
  <c r="G440" i="26"/>
  <c r="F440" i="26"/>
  <c r="E440" i="26"/>
  <c r="A304" i="24"/>
  <c r="J172" i="26"/>
  <c r="H172" i="26"/>
  <c r="G172" i="26"/>
  <c r="F172" i="26"/>
  <c r="E172" i="26"/>
  <c r="E15" i="60"/>
  <c r="D15" i="60"/>
  <c r="C15" i="60"/>
  <c r="I623" i="51"/>
  <c r="C623" i="51"/>
  <c r="A623" i="51"/>
  <c r="C622" i="51"/>
  <c r="A622" i="51"/>
  <c r="I621" i="51"/>
  <c r="C621" i="51"/>
  <c r="A621" i="51"/>
  <c r="I620" i="51"/>
  <c r="C620" i="51"/>
  <c r="A620" i="51"/>
  <c r="I619" i="51"/>
  <c r="K619" i="51"/>
  <c r="C619" i="51"/>
  <c r="A619" i="51"/>
  <c r="I617" i="51"/>
  <c r="I618" i="51"/>
  <c r="C618" i="51"/>
  <c r="A618" i="51"/>
  <c r="C617" i="51"/>
  <c r="A617" i="51"/>
  <c r="J171" i="26"/>
  <c r="H171" i="26"/>
  <c r="G171" i="26"/>
  <c r="F171" i="26"/>
  <c r="E171" i="26"/>
  <c r="A302" i="24"/>
  <c r="A303" i="24"/>
  <c r="J170" i="26"/>
  <c r="H170" i="26"/>
  <c r="G170" i="26"/>
  <c r="F170" i="26"/>
  <c r="E170" i="26"/>
  <c r="A114" i="24"/>
  <c r="A84" i="24"/>
  <c r="A43" i="24"/>
  <c r="K5265" i="51"/>
  <c r="K5263" i="51"/>
  <c r="I567" i="51"/>
  <c r="C5265" i="51"/>
  <c r="A5265" i="51"/>
  <c r="K5306" i="51"/>
  <c r="K5336" i="51"/>
  <c r="C5306" i="51"/>
  <c r="A5306" i="51"/>
  <c r="A5336" i="51"/>
  <c r="C5336" i="51"/>
  <c r="E510" i="26"/>
  <c r="F510" i="26"/>
  <c r="G510" i="26"/>
  <c r="J510" i="26"/>
  <c r="J480" i="26"/>
  <c r="G480" i="26"/>
  <c r="F480" i="26"/>
  <c r="E480" i="26"/>
  <c r="J439" i="26"/>
  <c r="G439" i="26"/>
  <c r="F439" i="26"/>
  <c r="E439" i="26"/>
  <c r="E13" i="60"/>
  <c r="D13" i="60"/>
  <c r="C13" i="60"/>
  <c r="A13" i="60"/>
  <c r="E220" i="60"/>
  <c r="D220" i="60"/>
  <c r="C220" i="60"/>
  <c r="A220" i="60"/>
  <c r="E14" i="60"/>
  <c r="D14" i="60"/>
  <c r="C14" i="60"/>
  <c r="A14" i="60"/>
  <c r="E12" i="60"/>
  <c r="D12" i="60"/>
  <c r="C12" i="60"/>
  <c r="A12" i="60"/>
  <c r="B102" i="59"/>
  <c r="K610" i="51"/>
  <c r="C610" i="51"/>
  <c r="A610" i="51"/>
  <c r="C609" i="51"/>
  <c r="A609" i="51"/>
  <c r="C608" i="51"/>
  <c r="A608" i="51"/>
  <c r="I607" i="51"/>
  <c r="C607" i="51"/>
  <c r="A607" i="51"/>
  <c r="I606" i="51"/>
  <c r="C606" i="51"/>
  <c r="A606" i="51"/>
  <c r="C605" i="51"/>
  <c r="A605" i="51"/>
  <c r="I604" i="51"/>
  <c r="K604" i="51"/>
  <c r="C604" i="51"/>
  <c r="A604" i="51"/>
  <c r="I603" i="51"/>
  <c r="C603" i="51"/>
  <c r="A603" i="51"/>
  <c r="J168" i="26"/>
  <c r="H168" i="26"/>
  <c r="G168" i="26"/>
  <c r="F168" i="26"/>
  <c r="E168" i="26"/>
  <c r="J169" i="26"/>
  <c r="H169" i="26"/>
  <c r="G169" i="26"/>
  <c r="F169" i="26"/>
  <c r="E169" i="26"/>
  <c r="J167" i="26"/>
  <c r="H167" i="26"/>
  <c r="G167" i="26"/>
  <c r="F167" i="26"/>
  <c r="E167" i="26"/>
  <c r="A298" i="24"/>
  <c r="G298" i="24"/>
  <c r="A299" i="24"/>
  <c r="G299" i="24"/>
  <c r="A300" i="24"/>
  <c r="A301" i="24"/>
  <c r="G301" i="24"/>
  <c r="J166" i="26"/>
  <c r="H166" i="26"/>
  <c r="G166" i="26"/>
  <c r="F166" i="26"/>
  <c r="E166" i="26"/>
  <c r="I602" i="51"/>
  <c r="K602" i="51"/>
  <c r="I601" i="51"/>
  <c r="C602" i="51"/>
  <c r="A602" i="51"/>
  <c r="C601" i="51"/>
  <c r="A601" i="51"/>
  <c r="I600" i="51"/>
  <c r="K600" i="51"/>
  <c r="C600" i="51"/>
  <c r="A600" i="51"/>
  <c r="I599" i="51"/>
  <c r="C599" i="51"/>
  <c r="A599" i="51"/>
  <c r="E11" i="60"/>
  <c r="D11" i="60"/>
  <c r="C11" i="60"/>
  <c r="A11" i="60"/>
  <c r="E10" i="60"/>
  <c r="D10" i="60"/>
  <c r="C10" i="60"/>
  <c r="A10" i="60"/>
  <c r="J165" i="26"/>
  <c r="H165" i="26"/>
  <c r="G165" i="26"/>
  <c r="F165" i="26"/>
  <c r="E165" i="26"/>
  <c r="A296" i="24"/>
  <c r="G296" i="24"/>
  <c r="A297" i="24"/>
  <c r="G297" i="24"/>
  <c r="Q140" i="26"/>
  <c r="Q139" i="26"/>
  <c r="J164" i="26"/>
  <c r="H164" i="26"/>
  <c r="G164" i="26"/>
  <c r="F164" i="26"/>
  <c r="E164" i="26"/>
  <c r="G30" i="24"/>
  <c r="G29" i="24"/>
  <c r="A30" i="24"/>
  <c r="A29" i="24"/>
  <c r="A113" i="24"/>
  <c r="A83" i="24"/>
  <c r="A5335" i="51"/>
  <c r="C5335" i="51"/>
  <c r="I5335" i="51"/>
  <c r="K5305" i="51"/>
  <c r="K5335" i="51"/>
  <c r="C5305" i="51"/>
  <c r="A5305" i="51"/>
  <c r="E509" i="26"/>
  <c r="F509" i="26"/>
  <c r="G509" i="26"/>
  <c r="H504" i="26"/>
  <c r="H505" i="26"/>
  <c r="H506" i="26"/>
  <c r="H507" i="26"/>
  <c r="H508" i="26"/>
  <c r="H509" i="26"/>
  <c r="J509" i="26"/>
  <c r="J479" i="26"/>
  <c r="H474" i="26"/>
  <c r="H475" i="26"/>
  <c r="H476" i="26"/>
  <c r="H477" i="26"/>
  <c r="H478" i="26"/>
  <c r="H479" i="26"/>
  <c r="G479" i="26"/>
  <c r="F479" i="26"/>
  <c r="E479" i="26"/>
  <c r="J425" i="26"/>
  <c r="J426" i="26"/>
  <c r="G426" i="26"/>
  <c r="F426" i="26"/>
  <c r="E426" i="26"/>
  <c r="G425" i="26"/>
  <c r="F425" i="26"/>
  <c r="E425" i="26"/>
  <c r="C5252" i="51"/>
  <c r="A5252" i="51"/>
  <c r="C5251" i="51"/>
  <c r="A5251" i="51"/>
  <c r="E263" i="60"/>
  <c r="E264" i="60"/>
  <c r="A264" i="60"/>
  <c r="C264" i="60"/>
  <c r="D264" i="60"/>
  <c r="A11" i="24"/>
  <c r="B122" i="59"/>
  <c r="G99" i="26"/>
  <c r="H99" i="26"/>
  <c r="J99" i="26"/>
  <c r="F99" i="26"/>
  <c r="E99" i="26"/>
  <c r="I5190" i="51"/>
  <c r="I5191" i="51"/>
  <c r="I5192" i="51"/>
  <c r="I5193" i="51"/>
  <c r="I5194" i="51"/>
  <c r="I5195" i="51"/>
  <c r="I5196" i="51"/>
  <c r="I5197" i="51"/>
  <c r="I5198" i="51"/>
  <c r="I5189" i="51"/>
  <c r="A5198" i="51"/>
  <c r="A5197" i="51"/>
  <c r="A5196" i="51"/>
  <c r="A5195" i="51"/>
  <c r="A5194" i="51"/>
  <c r="A5193" i="51"/>
  <c r="A5192" i="51"/>
  <c r="A5191" i="51"/>
  <c r="A5190" i="51"/>
  <c r="A5189" i="51"/>
  <c r="Q163" i="26"/>
  <c r="E8" i="60"/>
  <c r="D8" i="60"/>
  <c r="C8" i="60"/>
  <c r="A8" i="60"/>
  <c r="E7" i="60"/>
  <c r="D7" i="60"/>
  <c r="C7" i="60"/>
  <c r="A7" i="60"/>
  <c r="E6" i="60"/>
  <c r="D6" i="60"/>
  <c r="C6" i="60"/>
  <c r="A6" i="60"/>
  <c r="A293" i="24"/>
  <c r="G293" i="24"/>
  <c r="A294" i="24"/>
  <c r="G294" i="24"/>
  <c r="A295" i="24"/>
  <c r="G295" i="24"/>
  <c r="I597" i="51"/>
  <c r="I598" i="51"/>
  <c r="K598" i="51"/>
  <c r="C598" i="51"/>
  <c r="A598" i="51"/>
  <c r="C597" i="51"/>
  <c r="A597" i="51"/>
  <c r="I596" i="51"/>
  <c r="K596" i="51"/>
  <c r="C596" i="51"/>
  <c r="A596" i="51"/>
  <c r="I595" i="51"/>
  <c r="C595" i="51"/>
  <c r="A595" i="51"/>
  <c r="I594" i="51"/>
  <c r="C594" i="51"/>
  <c r="A594" i="51"/>
  <c r="I593" i="51"/>
  <c r="C593" i="51"/>
  <c r="A593" i="51"/>
  <c r="I592" i="51"/>
  <c r="C592" i="51"/>
  <c r="A592" i="51"/>
  <c r="J163" i="26"/>
  <c r="H163" i="26"/>
  <c r="G163" i="26"/>
  <c r="F163" i="26"/>
  <c r="E163" i="26"/>
  <c r="J161" i="26"/>
  <c r="H161" i="26"/>
  <c r="G161" i="26"/>
  <c r="F161" i="26"/>
  <c r="E161" i="26"/>
  <c r="J160" i="26"/>
  <c r="H160" i="26"/>
  <c r="G160" i="26"/>
  <c r="F160" i="26"/>
  <c r="E160" i="26"/>
  <c r="A4" i="60"/>
  <c r="A5" i="60"/>
  <c r="A9" i="60"/>
  <c r="D263" i="60"/>
  <c r="G98" i="26"/>
  <c r="H98" i="26"/>
  <c r="C589" i="51"/>
  <c r="A589" i="51"/>
  <c r="C263" i="60"/>
  <c r="C262" i="60"/>
  <c r="A263" i="60"/>
  <c r="A10" i="24"/>
  <c r="B120" i="59"/>
  <c r="B121" i="59"/>
  <c r="A5188" i="51"/>
  <c r="A5187" i="51"/>
  <c r="A5186" i="51"/>
  <c r="A5185" i="51"/>
  <c r="A5184" i="51"/>
  <c r="A5183" i="51"/>
  <c r="A5182" i="51"/>
  <c r="A5181" i="51"/>
  <c r="A5180" i="51"/>
  <c r="A5179" i="51"/>
  <c r="J97" i="26"/>
  <c r="G97" i="26"/>
  <c r="F97" i="26"/>
  <c r="E97" i="26"/>
  <c r="E5" i="60"/>
  <c r="D5" i="60"/>
  <c r="C5" i="60"/>
  <c r="E4" i="60"/>
  <c r="D4" i="60"/>
  <c r="C4" i="60"/>
  <c r="C3" i="60"/>
  <c r="C219" i="60"/>
  <c r="C9" i="60"/>
  <c r="C2" i="60"/>
  <c r="E219" i="60"/>
  <c r="A219" i="60"/>
  <c r="G291" i="24"/>
  <c r="G292" i="24"/>
  <c r="G290" i="24"/>
  <c r="A290" i="24"/>
  <c r="A291" i="24"/>
  <c r="A292" i="24"/>
  <c r="B100" i="59"/>
  <c r="B101" i="59"/>
  <c r="I591" i="51"/>
  <c r="J591" i="51"/>
  <c r="I584" i="51"/>
  <c r="C591" i="51"/>
  <c r="A591" i="51"/>
  <c r="I590" i="51"/>
  <c r="C590" i="51"/>
  <c r="A590" i="51"/>
  <c r="I588" i="51"/>
  <c r="C588" i="51"/>
  <c r="A588" i="51"/>
  <c r="I587" i="51"/>
  <c r="C587" i="51"/>
  <c r="A587" i="51"/>
  <c r="I586" i="51"/>
  <c r="K586" i="51"/>
  <c r="C586" i="51"/>
  <c r="A586" i="51"/>
  <c r="I585" i="51"/>
  <c r="C585" i="51"/>
  <c r="A585" i="51"/>
  <c r="C584" i="51"/>
  <c r="A584" i="51"/>
  <c r="I583" i="51"/>
  <c r="K583" i="51"/>
  <c r="I579" i="51"/>
  <c r="I580" i="51"/>
  <c r="I581" i="51"/>
  <c r="I582" i="51"/>
  <c r="C583" i="51"/>
  <c r="A583" i="51"/>
  <c r="C582" i="51"/>
  <c r="A582" i="51"/>
  <c r="C581" i="51"/>
  <c r="A581" i="51"/>
  <c r="C580" i="51"/>
  <c r="A580" i="51"/>
  <c r="C579" i="51"/>
  <c r="A579" i="51"/>
  <c r="J162" i="26"/>
  <c r="H162" i="26"/>
  <c r="G162" i="26"/>
  <c r="F162" i="26"/>
  <c r="E162" i="26"/>
  <c r="J159" i="26"/>
  <c r="H159" i="26"/>
  <c r="G159" i="26"/>
  <c r="F159" i="26"/>
  <c r="E159" i="26"/>
  <c r="J157" i="26"/>
  <c r="H157" i="26"/>
  <c r="G157" i="26"/>
  <c r="F157" i="26"/>
  <c r="E157" i="26"/>
  <c r="A3" i="60"/>
  <c r="E3" i="60"/>
  <c r="D3" i="60"/>
  <c r="A262" i="60"/>
  <c r="E9" i="60"/>
  <c r="D9" i="60"/>
  <c r="E2" i="60"/>
  <c r="D2" i="60"/>
  <c r="A2" i="60"/>
  <c r="E15" i="58"/>
  <c r="E14" i="58"/>
  <c r="E13" i="58"/>
  <c r="E12" i="58"/>
  <c r="A289" i="24"/>
  <c r="I578" i="51"/>
  <c r="I577" i="51"/>
  <c r="K578" i="51"/>
  <c r="C578" i="51"/>
  <c r="A578" i="51"/>
  <c r="C577" i="51"/>
  <c r="A577" i="51"/>
  <c r="J158" i="26"/>
  <c r="H158" i="26"/>
  <c r="G158" i="26"/>
  <c r="F158" i="26"/>
  <c r="E158" i="26"/>
  <c r="A112" i="24"/>
  <c r="A82" i="24"/>
  <c r="A42" i="24"/>
  <c r="K5304" i="51"/>
  <c r="K5334" i="51"/>
  <c r="I566" i="51"/>
  <c r="I5264" i="51"/>
  <c r="I5304" i="51"/>
  <c r="I5334" i="51"/>
  <c r="C5334" i="51"/>
  <c r="A5334" i="51"/>
  <c r="C5304" i="51"/>
  <c r="A5304" i="51"/>
  <c r="K5264" i="51"/>
  <c r="I5263" i="51"/>
  <c r="C5264" i="51"/>
  <c r="A5264" i="51"/>
  <c r="J508" i="26"/>
  <c r="G508" i="26"/>
  <c r="F508" i="26"/>
  <c r="E508" i="26"/>
  <c r="J478" i="26"/>
  <c r="G478" i="26"/>
  <c r="F478" i="26"/>
  <c r="E478" i="26"/>
  <c r="J438" i="26"/>
  <c r="H434" i="26"/>
  <c r="H435" i="26"/>
  <c r="H436" i="26"/>
  <c r="H437" i="26"/>
  <c r="H438" i="26"/>
  <c r="G438" i="26"/>
  <c r="F438" i="26"/>
  <c r="E438" i="26"/>
  <c r="E474" i="26"/>
  <c r="F474" i="26"/>
  <c r="G474" i="26"/>
  <c r="J474" i="26"/>
  <c r="A288" i="24"/>
  <c r="G287" i="24"/>
  <c r="A287" i="24"/>
  <c r="I574" i="51"/>
  <c r="J574" i="51"/>
  <c r="I575" i="51"/>
  <c r="J575" i="51"/>
  <c r="I573" i="51"/>
  <c r="I571" i="51"/>
  <c r="I576" i="51"/>
  <c r="C576" i="51"/>
  <c r="A576" i="51"/>
  <c r="C575" i="51"/>
  <c r="A575" i="51"/>
  <c r="C574" i="51"/>
  <c r="A574" i="51"/>
  <c r="I572" i="51"/>
  <c r="C573" i="51"/>
  <c r="A573" i="51"/>
  <c r="C572" i="51"/>
  <c r="A572" i="51"/>
  <c r="C571" i="51"/>
  <c r="A571" i="51"/>
  <c r="I570" i="51"/>
  <c r="C570" i="51"/>
  <c r="A570" i="51"/>
  <c r="I569" i="51"/>
  <c r="C569" i="51"/>
  <c r="A569" i="51"/>
  <c r="I568" i="51"/>
  <c r="C568" i="51"/>
  <c r="A568" i="51"/>
  <c r="J156" i="26"/>
  <c r="H156" i="26"/>
  <c r="G156" i="26"/>
  <c r="F156" i="26"/>
  <c r="E156" i="26"/>
  <c r="J155" i="26"/>
  <c r="H155" i="26"/>
  <c r="G155" i="26"/>
  <c r="F155" i="26"/>
  <c r="E155" i="26"/>
  <c r="I5303" i="51"/>
  <c r="I546" i="51"/>
  <c r="I5262" i="51"/>
  <c r="I5302" i="51"/>
  <c r="I5333" i="51"/>
  <c r="Q143" i="26"/>
  <c r="Q153" i="26"/>
  <c r="I553" i="51"/>
  <c r="I552" i="51"/>
  <c r="I555" i="51"/>
  <c r="I554" i="51"/>
  <c r="B98" i="59"/>
  <c r="I5261" i="51"/>
  <c r="I5301" i="51"/>
  <c r="I5331" i="51"/>
  <c r="C567" i="51"/>
  <c r="A567" i="51"/>
  <c r="C566" i="51"/>
  <c r="A566" i="51"/>
  <c r="I565" i="51"/>
  <c r="C565" i="51"/>
  <c r="A565" i="51"/>
  <c r="K553" i="51"/>
  <c r="K555" i="51"/>
  <c r="I564" i="51"/>
  <c r="K564" i="51"/>
  <c r="C564" i="51"/>
  <c r="A564" i="51"/>
  <c r="I563" i="51"/>
  <c r="I562" i="51"/>
  <c r="I561" i="51"/>
  <c r="I560" i="51"/>
  <c r="I559" i="51"/>
  <c r="I558" i="51"/>
  <c r="I557" i="51"/>
  <c r="I556" i="51"/>
  <c r="K563" i="51"/>
  <c r="C563" i="51"/>
  <c r="A563" i="51"/>
  <c r="C562" i="51"/>
  <c r="A562" i="51"/>
  <c r="K561" i="51"/>
  <c r="C561" i="51"/>
  <c r="A561" i="51"/>
  <c r="C560" i="51"/>
  <c r="A560" i="51"/>
  <c r="K559" i="51"/>
  <c r="C559" i="51"/>
  <c r="A559" i="51"/>
  <c r="C558" i="51"/>
  <c r="A558" i="51"/>
  <c r="K557" i="51"/>
  <c r="C557" i="51"/>
  <c r="A557" i="51"/>
  <c r="C556" i="51"/>
  <c r="A556" i="51"/>
  <c r="C555" i="51"/>
  <c r="A555" i="51"/>
  <c r="C554" i="51"/>
  <c r="A554" i="51"/>
  <c r="I510" i="51"/>
  <c r="C553" i="51"/>
  <c r="A553" i="51"/>
  <c r="C552" i="51"/>
  <c r="A552" i="51"/>
  <c r="K5303" i="51"/>
  <c r="K5333" i="51"/>
  <c r="I547" i="51"/>
  <c r="C5333" i="51"/>
  <c r="A5333" i="51"/>
  <c r="C5303" i="51"/>
  <c r="A5303" i="51"/>
  <c r="K5261" i="51"/>
  <c r="K5262" i="51"/>
  <c r="C5263" i="51"/>
  <c r="A5263" i="51"/>
  <c r="A41" i="24"/>
  <c r="A81" i="24"/>
  <c r="A111" i="24"/>
  <c r="A286" i="24"/>
  <c r="J154" i="26"/>
  <c r="H154" i="26"/>
  <c r="G154" i="26"/>
  <c r="F154" i="26"/>
  <c r="E154" i="26"/>
  <c r="H279" i="24"/>
  <c r="H280" i="24"/>
  <c r="H281" i="24"/>
  <c r="H282" i="24"/>
  <c r="H283" i="24"/>
  <c r="H284" i="24"/>
  <c r="H285" i="24"/>
  <c r="G285" i="24"/>
  <c r="A285" i="24"/>
  <c r="A284" i="24"/>
  <c r="A283" i="24"/>
  <c r="A282" i="24"/>
  <c r="A281" i="24"/>
  <c r="A280" i="24"/>
  <c r="A279" i="24"/>
  <c r="J507" i="26"/>
  <c r="G507" i="26"/>
  <c r="F507" i="26"/>
  <c r="E507" i="26"/>
  <c r="J477" i="26"/>
  <c r="G477" i="26"/>
  <c r="F477" i="26"/>
  <c r="E477" i="26"/>
  <c r="J437" i="26"/>
  <c r="G437" i="26"/>
  <c r="F437" i="26"/>
  <c r="E437" i="26"/>
  <c r="J153" i="26"/>
  <c r="H153" i="26"/>
  <c r="G153" i="26"/>
  <c r="F153" i="26"/>
  <c r="E153" i="26"/>
  <c r="J152" i="26"/>
  <c r="H152" i="26"/>
  <c r="G152" i="26"/>
  <c r="F152" i="26"/>
  <c r="E152" i="26"/>
  <c r="J151" i="26"/>
  <c r="H151" i="26"/>
  <c r="G151" i="26"/>
  <c r="F151" i="26"/>
  <c r="E151" i="26"/>
  <c r="J149" i="26"/>
  <c r="H149" i="26"/>
  <c r="G149" i="26"/>
  <c r="F149" i="26"/>
  <c r="E149" i="26"/>
  <c r="J148" i="26"/>
  <c r="H148" i="26"/>
  <c r="G148" i="26"/>
  <c r="F148" i="26"/>
  <c r="E148" i="26"/>
  <c r="J147" i="26"/>
  <c r="H147" i="26"/>
  <c r="G147" i="26"/>
  <c r="F147" i="26"/>
  <c r="E147" i="26"/>
  <c r="J150" i="26"/>
  <c r="H150" i="26"/>
  <c r="G150" i="26"/>
  <c r="F150" i="26"/>
  <c r="E150" i="26"/>
  <c r="G278" i="24"/>
  <c r="A12" i="24"/>
  <c r="A5178" i="51"/>
  <c r="A5177" i="51"/>
  <c r="A5176" i="51"/>
  <c r="A5175" i="51"/>
  <c r="A5174" i="51"/>
  <c r="A5173" i="51"/>
  <c r="A5172" i="51"/>
  <c r="A5171" i="51"/>
  <c r="A5170" i="51"/>
  <c r="A5169" i="51"/>
  <c r="G96" i="26"/>
  <c r="J98" i="26"/>
  <c r="F98" i="26"/>
  <c r="E98" i="26"/>
  <c r="A278" i="24"/>
  <c r="H277" i="24"/>
  <c r="G277" i="24"/>
  <c r="A277" i="24"/>
  <c r="B99" i="59"/>
  <c r="I549" i="51"/>
  <c r="I551" i="51"/>
  <c r="I550" i="51"/>
  <c r="I548" i="51"/>
  <c r="K548" i="51"/>
  <c r="C548" i="51"/>
  <c r="A548" i="51"/>
  <c r="C551" i="51"/>
  <c r="A551" i="51"/>
  <c r="C550" i="51"/>
  <c r="A550" i="51"/>
  <c r="C549" i="51"/>
  <c r="A549" i="51"/>
  <c r="J145" i="26"/>
  <c r="H145" i="26"/>
  <c r="G145" i="26"/>
  <c r="F145" i="26"/>
  <c r="E145" i="26"/>
  <c r="J146" i="26"/>
  <c r="H146" i="26"/>
  <c r="G146" i="26"/>
  <c r="F146" i="26"/>
  <c r="E146" i="26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62" i="24"/>
  <c r="G259" i="24"/>
  <c r="E5" i="58"/>
  <c r="E7" i="58"/>
  <c r="B119" i="59"/>
  <c r="B118" i="59"/>
  <c r="B117" i="59"/>
  <c r="B116" i="59"/>
  <c r="B97" i="59"/>
  <c r="B96" i="59"/>
  <c r="B95" i="59"/>
  <c r="B94" i="59"/>
  <c r="B93" i="59"/>
  <c r="B92" i="59"/>
  <c r="B91" i="59"/>
  <c r="B90" i="59"/>
  <c r="B89" i="59"/>
  <c r="B88" i="59"/>
  <c r="B87" i="59"/>
  <c r="B86" i="59"/>
  <c r="B85" i="59"/>
  <c r="B84" i="59"/>
  <c r="B83" i="59"/>
  <c r="B82" i="59"/>
  <c r="B81" i="59"/>
  <c r="B80" i="59"/>
  <c r="B79" i="59"/>
  <c r="B78" i="59"/>
  <c r="B77" i="59"/>
  <c r="B76" i="59"/>
  <c r="B75" i="59"/>
  <c r="B74" i="59"/>
  <c r="B73" i="59"/>
  <c r="B72" i="59"/>
  <c r="B71" i="59"/>
  <c r="B70" i="59"/>
  <c r="B69" i="59"/>
  <c r="B68" i="59"/>
  <c r="B67" i="59"/>
  <c r="B66" i="59"/>
  <c r="B65" i="59"/>
  <c r="B64" i="59"/>
  <c r="B63" i="59"/>
  <c r="B62" i="59"/>
  <c r="B61" i="59"/>
  <c r="B60" i="59"/>
  <c r="B59" i="59"/>
  <c r="B58" i="59"/>
  <c r="B57" i="59"/>
  <c r="B56" i="59"/>
  <c r="B55" i="59"/>
  <c r="B54" i="59"/>
  <c r="B53" i="59"/>
  <c r="B52" i="59"/>
  <c r="B51" i="59"/>
  <c r="B50" i="59"/>
  <c r="B49" i="59"/>
  <c r="B48" i="59"/>
  <c r="B47" i="59"/>
  <c r="B46" i="59"/>
  <c r="B45" i="59"/>
  <c r="B44" i="59"/>
  <c r="B43" i="59"/>
  <c r="B42" i="59"/>
  <c r="B41" i="59"/>
  <c r="B40" i="59"/>
  <c r="B39" i="59"/>
  <c r="B38" i="59"/>
  <c r="B37" i="59"/>
  <c r="B36" i="59"/>
  <c r="B35" i="59"/>
  <c r="B34" i="59"/>
  <c r="B33" i="59"/>
  <c r="B32" i="59"/>
  <c r="B31" i="59"/>
  <c r="B30" i="59"/>
  <c r="B29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3" i="59"/>
  <c r="B12" i="59"/>
  <c r="B11" i="59"/>
  <c r="B10" i="59"/>
  <c r="B9" i="59"/>
  <c r="B8" i="59"/>
  <c r="B7" i="59"/>
  <c r="B6" i="59"/>
  <c r="B5" i="59"/>
  <c r="A109" i="24"/>
  <c r="A110" i="24"/>
  <c r="A79" i="24"/>
  <c r="A40" i="24"/>
  <c r="A78" i="24"/>
  <c r="A39" i="24"/>
  <c r="K5260" i="51"/>
  <c r="I5260" i="51"/>
  <c r="K5301" i="51"/>
  <c r="K5302" i="51"/>
  <c r="I5300" i="51"/>
  <c r="K5332" i="51"/>
  <c r="K5331" i="51"/>
  <c r="I5332" i="51"/>
  <c r="C5332" i="51"/>
  <c r="A5332" i="51"/>
  <c r="C5331" i="51"/>
  <c r="A5331" i="51"/>
  <c r="C5301" i="51"/>
  <c r="A5301" i="51"/>
  <c r="C5302" i="51"/>
  <c r="A5302" i="51"/>
  <c r="C5262" i="51"/>
  <c r="A5262" i="51"/>
  <c r="C5261" i="51"/>
  <c r="A5261" i="51"/>
  <c r="J506" i="26"/>
  <c r="G506" i="26"/>
  <c r="F506" i="26"/>
  <c r="E506" i="26"/>
  <c r="J476" i="26"/>
  <c r="G476" i="26"/>
  <c r="F476" i="26"/>
  <c r="E476" i="26"/>
  <c r="J436" i="26"/>
  <c r="G436" i="26"/>
  <c r="F436" i="26"/>
  <c r="E436" i="26"/>
  <c r="J505" i="26"/>
  <c r="G505" i="26"/>
  <c r="F505" i="26"/>
  <c r="E505" i="26"/>
  <c r="J475" i="26"/>
  <c r="G475" i="26"/>
  <c r="F475" i="26"/>
  <c r="E475" i="26"/>
  <c r="J435" i="26"/>
  <c r="G435" i="26"/>
  <c r="F435" i="26"/>
  <c r="E435" i="26"/>
  <c r="H275" i="24"/>
  <c r="H272" i="24"/>
  <c r="H273" i="24"/>
  <c r="H269" i="24"/>
  <c r="H270" i="24"/>
  <c r="I540" i="51"/>
  <c r="I541" i="51"/>
  <c r="I537" i="51"/>
  <c r="I538" i="51"/>
  <c r="I539" i="51"/>
  <c r="C547" i="51"/>
  <c r="A547" i="51"/>
  <c r="C546" i="51"/>
  <c r="A546" i="51"/>
  <c r="I545" i="51"/>
  <c r="C545" i="51"/>
  <c r="A545" i="51"/>
  <c r="A276" i="24"/>
  <c r="A275" i="24"/>
  <c r="A274" i="24"/>
  <c r="A261" i="24"/>
  <c r="A273" i="24"/>
  <c r="A97" i="53"/>
  <c r="E97" i="53"/>
  <c r="E144" i="26"/>
  <c r="F144" i="26"/>
  <c r="G144" i="26"/>
  <c r="H144" i="26"/>
  <c r="J144" i="26"/>
  <c r="A544" i="51"/>
  <c r="I544" i="51"/>
  <c r="K544" i="51"/>
  <c r="C544" i="51"/>
  <c r="C5250" i="51"/>
  <c r="A5250" i="51"/>
  <c r="C543" i="51"/>
  <c r="A543" i="51"/>
  <c r="K541" i="51"/>
  <c r="A537" i="51"/>
  <c r="A538" i="51"/>
  <c r="A539" i="51"/>
  <c r="A540" i="51"/>
  <c r="A541" i="51"/>
  <c r="A542" i="51"/>
  <c r="I542" i="51"/>
  <c r="C538" i="51"/>
  <c r="C539" i="51"/>
  <c r="C540" i="51"/>
  <c r="C541" i="51"/>
  <c r="C542" i="51"/>
  <c r="C537" i="51"/>
  <c r="E143" i="26"/>
  <c r="F143" i="26"/>
  <c r="E142" i="26"/>
  <c r="F142" i="26"/>
  <c r="E424" i="26"/>
  <c r="F424" i="26"/>
  <c r="J424" i="26"/>
  <c r="G424" i="26"/>
  <c r="H424" i="26"/>
  <c r="G143" i="26"/>
  <c r="H143" i="26"/>
  <c r="J143" i="26"/>
  <c r="G142" i="26"/>
  <c r="J142" i="26"/>
  <c r="I534" i="51"/>
  <c r="K534" i="51"/>
  <c r="K533" i="51"/>
  <c r="I533" i="51"/>
  <c r="C533" i="51"/>
  <c r="A533" i="51"/>
  <c r="I532" i="51"/>
  <c r="I531" i="51"/>
  <c r="C531" i="51"/>
  <c r="A531" i="51"/>
  <c r="I530" i="51"/>
  <c r="K530" i="51"/>
  <c r="K529" i="51"/>
  <c r="I529" i="51"/>
  <c r="C529" i="51"/>
  <c r="A529" i="51"/>
  <c r="I528" i="51"/>
  <c r="I527" i="51"/>
  <c r="C527" i="51"/>
  <c r="A527" i="51"/>
  <c r="A269" i="24"/>
  <c r="A271" i="24"/>
  <c r="A272" i="24"/>
  <c r="A270" i="24"/>
  <c r="I536" i="51"/>
  <c r="C536" i="51"/>
  <c r="A536" i="51"/>
  <c r="C535" i="51"/>
  <c r="A535" i="51"/>
  <c r="C534" i="51"/>
  <c r="A534" i="51"/>
  <c r="C532" i="51"/>
  <c r="A532" i="51"/>
  <c r="C530" i="51"/>
  <c r="A530" i="51"/>
  <c r="C528" i="51"/>
  <c r="A528" i="51"/>
  <c r="E139" i="26"/>
  <c r="F139" i="26"/>
  <c r="E140" i="26"/>
  <c r="F140" i="26"/>
  <c r="E141" i="26"/>
  <c r="F141" i="26"/>
  <c r="G141" i="26"/>
  <c r="H141" i="26"/>
  <c r="J141" i="26"/>
  <c r="G140" i="26"/>
  <c r="H140" i="26"/>
  <c r="J140" i="26"/>
  <c r="G139" i="26"/>
  <c r="H139" i="26"/>
  <c r="J139" i="26"/>
  <c r="I5330" i="51"/>
  <c r="A108" i="24"/>
  <c r="A80" i="24"/>
  <c r="A38" i="24"/>
  <c r="A260" i="24"/>
  <c r="I521" i="51"/>
  <c r="I522" i="51"/>
  <c r="I523" i="51"/>
  <c r="I515" i="51"/>
  <c r="I516" i="51"/>
  <c r="I517" i="51"/>
  <c r="A263" i="24"/>
  <c r="A264" i="24"/>
  <c r="A265" i="24"/>
  <c r="A266" i="24"/>
  <c r="A267" i="24"/>
  <c r="A268" i="24"/>
  <c r="I526" i="51"/>
  <c r="C526" i="51"/>
  <c r="A526" i="51"/>
  <c r="I525" i="51"/>
  <c r="C525" i="51"/>
  <c r="A525" i="51"/>
  <c r="I524" i="51"/>
  <c r="C524" i="51"/>
  <c r="A524" i="51"/>
  <c r="C523" i="51"/>
  <c r="A523" i="51"/>
  <c r="C522" i="51"/>
  <c r="A522" i="51"/>
  <c r="C521" i="51"/>
  <c r="A521" i="51"/>
  <c r="C520" i="51"/>
  <c r="C519" i="51"/>
  <c r="C518" i="51"/>
  <c r="C517" i="51"/>
  <c r="C516" i="51"/>
  <c r="C515" i="51"/>
  <c r="I520" i="51"/>
  <c r="I519" i="51"/>
  <c r="I518" i="51"/>
  <c r="A520" i="51"/>
  <c r="A519" i="51"/>
  <c r="A518" i="51"/>
  <c r="A517" i="51"/>
  <c r="A516" i="51"/>
  <c r="A515" i="51"/>
  <c r="J138" i="26"/>
  <c r="H138" i="26"/>
  <c r="G138" i="26"/>
  <c r="F138" i="26"/>
  <c r="E138" i="26"/>
  <c r="J137" i="26"/>
  <c r="H137" i="26"/>
  <c r="G137" i="26"/>
  <c r="F137" i="26"/>
  <c r="E137" i="26"/>
  <c r="I514" i="51"/>
  <c r="C514" i="51"/>
  <c r="A514" i="51"/>
  <c r="I513" i="51"/>
  <c r="C513" i="51"/>
  <c r="A513" i="51"/>
  <c r="I512" i="51"/>
  <c r="C512" i="51"/>
  <c r="A512" i="51"/>
  <c r="A262" i="24"/>
  <c r="Q136" i="26"/>
  <c r="J136" i="26"/>
  <c r="H136" i="26"/>
  <c r="G136" i="26"/>
  <c r="F136" i="26"/>
  <c r="E136" i="26"/>
  <c r="Q132" i="26"/>
  <c r="I506" i="51"/>
  <c r="I505" i="51"/>
  <c r="K505" i="51"/>
  <c r="C505" i="51"/>
  <c r="A505" i="51"/>
  <c r="Q131" i="26"/>
  <c r="Q135" i="26"/>
  <c r="Q130" i="26"/>
  <c r="Q133" i="26"/>
  <c r="Q129" i="26"/>
  <c r="I499" i="51"/>
  <c r="I500" i="51"/>
  <c r="C5260" i="51"/>
  <c r="C5300" i="51"/>
  <c r="C5330" i="51"/>
  <c r="C5249" i="51"/>
  <c r="A5168" i="51"/>
  <c r="E434" i="26"/>
  <c r="F434" i="26"/>
  <c r="G434" i="26"/>
  <c r="J434" i="26"/>
  <c r="E504" i="26"/>
  <c r="F504" i="26"/>
  <c r="G504" i="26"/>
  <c r="J504" i="26"/>
  <c r="A5249" i="51"/>
  <c r="A5300" i="51"/>
  <c r="A5330" i="51"/>
  <c r="A259" i="24"/>
  <c r="A255" i="24"/>
  <c r="H253" i="24"/>
  <c r="H254" i="24"/>
  <c r="A256" i="24"/>
  <c r="A257" i="24"/>
  <c r="A258" i="24"/>
  <c r="I511" i="51"/>
  <c r="K511" i="51"/>
  <c r="C511" i="51"/>
  <c r="A511" i="51"/>
  <c r="C510" i="51"/>
  <c r="A510" i="51"/>
  <c r="I509" i="51"/>
  <c r="C509" i="51"/>
  <c r="A509" i="51"/>
  <c r="I508" i="51"/>
  <c r="C508" i="51"/>
  <c r="A508" i="51"/>
  <c r="I507" i="51"/>
  <c r="C507" i="51"/>
  <c r="A507" i="51"/>
  <c r="K506" i="51"/>
  <c r="C506" i="51"/>
  <c r="A506" i="51"/>
  <c r="I502" i="51"/>
  <c r="I501" i="51"/>
  <c r="I503" i="51"/>
  <c r="I504" i="51"/>
  <c r="K501" i="51"/>
  <c r="C504" i="51"/>
  <c r="A504" i="51"/>
  <c r="C503" i="51"/>
  <c r="A503" i="51"/>
  <c r="C502" i="51"/>
  <c r="A502" i="51"/>
  <c r="C501" i="51"/>
  <c r="A501" i="51"/>
  <c r="C500" i="51"/>
  <c r="A500" i="51"/>
  <c r="C499" i="51"/>
  <c r="A499" i="51"/>
  <c r="E96" i="53"/>
  <c r="A96" i="53"/>
  <c r="I498" i="51"/>
  <c r="E135" i="26"/>
  <c r="F135" i="26"/>
  <c r="G135" i="26"/>
  <c r="H135" i="26"/>
  <c r="J135" i="26"/>
  <c r="E131" i="26"/>
  <c r="F131" i="26"/>
  <c r="G131" i="26"/>
  <c r="H131" i="26"/>
  <c r="J131" i="26"/>
  <c r="E132" i="26"/>
  <c r="F132" i="26"/>
  <c r="G132" i="26"/>
  <c r="H132" i="26"/>
  <c r="J132" i="26"/>
  <c r="E133" i="26"/>
  <c r="F133" i="26"/>
  <c r="G133" i="26"/>
  <c r="H133" i="26"/>
  <c r="J133" i="26"/>
  <c r="E134" i="26"/>
  <c r="F134" i="26"/>
  <c r="G134" i="26"/>
  <c r="H134" i="26"/>
  <c r="J134" i="26"/>
  <c r="C498" i="51"/>
  <c r="A498" i="51"/>
  <c r="I497" i="51"/>
  <c r="C497" i="51"/>
  <c r="A497" i="51"/>
  <c r="I496" i="51"/>
  <c r="C496" i="51"/>
  <c r="A496" i="51"/>
  <c r="I493" i="51"/>
  <c r="I492" i="51"/>
  <c r="I491" i="51"/>
  <c r="A492" i="51"/>
  <c r="C492" i="51"/>
  <c r="K495" i="51"/>
  <c r="I495" i="51"/>
  <c r="I494" i="51"/>
  <c r="C495" i="51"/>
  <c r="C494" i="51"/>
  <c r="C491" i="51"/>
  <c r="C493" i="51"/>
  <c r="C490" i="51"/>
  <c r="A494" i="51"/>
  <c r="A495" i="51"/>
  <c r="A253" i="24"/>
  <c r="A254" i="24"/>
  <c r="I490" i="51"/>
  <c r="I478" i="51"/>
  <c r="A490" i="51"/>
  <c r="A491" i="51"/>
  <c r="A493" i="51"/>
  <c r="E129" i="26"/>
  <c r="F129" i="26"/>
  <c r="G129" i="26"/>
  <c r="H129" i="26"/>
  <c r="J129" i="26"/>
  <c r="E130" i="26"/>
  <c r="F130" i="26"/>
  <c r="G130" i="26"/>
  <c r="H130" i="26"/>
  <c r="J130" i="26"/>
  <c r="A252" i="24"/>
  <c r="I474" i="51"/>
  <c r="P483" i="51"/>
  <c r="P488" i="51"/>
  <c r="P482" i="51"/>
  <c r="P487" i="51"/>
  <c r="P481" i="51"/>
  <c r="P486" i="51"/>
  <c r="L481" i="51"/>
  <c r="L486" i="51"/>
  <c r="P480" i="51"/>
  <c r="P485" i="51"/>
  <c r="P479" i="51"/>
  <c r="P484" i="51"/>
  <c r="N483" i="51"/>
  <c r="N488" i="51"/>
  <c r="M483" i="51"/>
  <c r="M488" i="51"/>
  <c r="L483" i="51"/>
  <c r="L488" i="51"/>
  <c r="K478" i="51"/>
  <c r="K483" i="51"/>
  <c r="K488" i="51"/>
  <c r="J483" i="51"/>
  <c r="J488" i="51"/>
  <c r="I483" i="51"/>
  <c r="I488" i="51"/>
  <c r="H483" i="51"/>
  <c r="H488" i="51"/>
  <c r="G483" i="51"/>
  <c r="G488" i="51"/>
  <c r="F483" i="51"/>
  <c r="F488" i="51"/>
  <c r="N482" i="51"/>
  <c r="N487" i="51"/>
  <c r="M482" i="51"/>
  <c r="M487" i="51"/>
  <c r="L482" i="51"/>
  <c r="L487" i="51"/>
  <c r="K482" i="51"/>
  <c r="K487" i="51"/>
  <c r="J482" i="51"/>
  <c r="J487" i="51"/>
  <c r="I477" i="51"/>
  <c r="I482" i="51"/>
  <c r="I487" i="51"/>
  <c r="H482" i="51"/>
  <c r="H487" i="51"/>
  <c r="G482" i="51"/>
  <c r="G487" i="51"/>
  <c r="F482" i="51"/>
  <c r="F487" i="51"/>
  <c r="N481" i="51"/>
  <c r="N486" i="51"/>
  <c r="M481" i="51"/>
  <c r="M486" i="51"/>
  <c r="K476" i="51"/>
  <c r="K481" i="51"/>
  <c r="K486" i="51"/>
  <c r="J481" i="51"/>
  <c r="J486" i="51"/>
  <c r="I476" i="51"/>
  <c r="I481" i="51"/>
  <c r="I486" i="51"/>
  <c r="H481" i="51"/>
  <c r="H486" i="51"/>
  <c r="G481" i="51"/>
  <c r="G486" i="51"/>
  <c r="F481" i="51"/>
  <c r="F486" i="51"/>
  <c r="N480" i="51"/>
  <c r="N485" i="51"/>
  <c r="M480" i="51"/>
  <c r="M485" i="51"/>
  <c r="L480" i="51"/>
  <c r="L485" i="51"/>
  <c r="K480" i="51"/>
  <c r="K485" i="51"/>
  <c r="J480" i="51"/>
  <c r="J485" i="51"/>
  <c r="I475" i="51"/>
  <c r="I480" i="51"/>
  <c r="I485" i="51"/>
  <c r="H480" i="51"/>
  <c r="H485" i="51"/>
  <c r="G480" i="51"/>
  <c r="G485" i="51"/>
  <c r="F480" i="51"/>
  <c r="F485" i="51"/>
  <c r="N479" i="51"/>
  <c r="N484" i="51"/>
  <c r="M479" i="51"/>
  <c r="M484" i="51"/>
  <c r="L479" i="51"/>
  <c r="L484" i="51"/>
  <c r="K479" i="51"/>
  <c r="K484" i="51"/>
  <c r="J479" i="51"/>
  <c r="J484" i="51"/>
  <c r="I479" i="51"/>
  <c r="I484" i="51"/>
  <c r="H479" i="51"/>
  <c r="H484" i="51"/>
  <c r="G479" i="51"/>
  <c r="G484" i="51"/>
  <c r="F479" i="51"/>
  <c r="F484" i="51"/>
  <c r="C474" i="51"/>
  <c r="C489" i="51"/>
  <c r="A489" i="51"/>
  <c r="C488" i="51"/>
  <c r="A488" i="51"/>
  <c r="C487" i="51"/>
  <c r="A487" i="51"/>
  <c r="C486" i="51"/>
  <c r="A486" i="51"/>
  <c r="C485" i="51"/>
  <c r="A485" i="51"/>
  <c r="C484" i="51"/>
  <c r="A484" i="51"/>
  <c r="C483" i="51"/>
  <c r="A483" i="51"/>
  <c r="C482" i="51"/>
  <c r="A482" i="51"/>
  <c r="C481" i="51"/>
  <c r="A481" i="51"/>
  <c r="C480" i="51"/>
  <c r="A480" i="51"/>
  <c r="C479" i="51"/>
  <c r="A479" i="51"/>
  <c r="C478" i="51"/>
  <c r="A478" i="51"/>
  <c r="C477" i="51"/>
  <c r="A477" i="51"/>
  <c r="C476" i="51"/>
  <c r="A476" i="51"/>
  <c r="C475" i="51"/>
  <c r="A475" i="51"/>
  <c r="A474" i="51"/>
  <c r="I473" i="51"/>
  <c r="I471" i="51"/>
  <c r="I472" i="51"/>
  <c r="E95" i="53"/>
  <c r="A95" i="53"/>
  <c r="C473" i="51"/>
  <c r="A473" i="51"/>
  <c r="C472" i="51"/>
  <c r="A472" i="51"/>
  <c r="C471" i="51"/>
  <c r="A471" i="51"/>
  <c r="A251" i="24"/>
  <c r="Q128" i="26"/>
  <c r="Q126" i="26"/>
  <c r="Q125" i="26"/>
  <c r="A250" i="24"/>
  <c r="K469" i="51"/>
  <c r="I470" i="51"/>
  <c r="I469" i="51"/>
  <c r="I468" i="51"/>
  <c r="I467" i="51"/>
  <c r="A249" i="24"/>
  <c r="A466" i="51"/>
  <c r="C466" i="51"/>
  <c r="A464" i="51"/>
  <c r="C464" i="51"/>
  <c r="A462" i="51"/>
  <c r="C462" i="51"/>
  <c r="A460" i="51"/>
  <c r="C460" i="51"/>
  <c r="E127" i="26"/>
  <c r="F127" i="26"/>
  <c r="G127" i="26"/>
  <c r="H127" i="26"/>
  <c r="J127" i="26"/>
  <c r="C469" i="51"/>
  <c r="C470" i="51"/>
  <c r="C467" i="51"/>
  <c r="C468" i="51"/>
  <c r="A467" i="51"/>
  <c r="A468" i="51"/>
  <c r="A469" i="51"/>
  <c r="A470" i="51"/>
  <c r="Q124" i="26"/>
  <c r="Q123" i="26"/>
  <c r="E125" i="26"/>
  <c r="F125" i="26"/>
  <c r="G125" i="26"/>
  <c r="H125" i="26"/>
  <c r="J125" i="26"/>
  <c r="E126" i="26"/>
  <c r="F126" i="26"/>
  <c r="G126" i="26"/>
  <c r="H126" i="26"/>
  <c r="J126" i="26"/>
  <c r="E128" i="26"/>
  <c r="F128" i="26"/>
  <c r="G128" i="26"/>
  <c r="H128" i="26"/>
  <c r="J128" i="26"/>
  <c r="Q122" i="26"/>
  <c r="A247" i="24"/>
  <c r="A248" i="24"/>
  <c r="A459" i="51"/>
  <c r="A461" i="51"/>
  <c r="A463" i="51"/>
  <c r="A465" i="51"/>
  <c r="C459" i="51"/>
  <c r="C461" i="51"/>
  <c r="C463" i="51"/>
  <c r="C465" i="51"/>
  <c r="E124" i="26"/>
  <c r="F124" i="26"/>
  <c r="G124" i="26"/>
  <c r="H124" i="26"/>
  <c r="J124" i="26"/>
  <c r="A246" i="24"/>
  <c r="C450" i="51"/>
  <c r="C451" i="51"/>
  <c r="C452" i="51"/>
  <c r="C453" i="51"/>
  <c r="C454" i="51"/>
  <c r="C455" i="51"/>
  <c r="C456" i="51"/>
  <c r="C457" i="51"/>
  <c r="C458" i="51"/>
  <c r="C449" i="51"/>
  <c r="A455" i="51"/>
  <c r="A456" i="51"/>
  <c r="A457" i="51"/>
  <c r="A458" i="51"/>
  <c r="A244" i="24"/>
  <c r="A245" i="24"/>
  <c r="A450" i="51"/>
  <c r="A451" i="51"/>
  <c r="A452" i="51"/>
  <c r="A453" i="51"/>
  <c r="A454" i="51"/>
  <c r="A449" i="51"/>
  <c r="Q44" i="26"/>
  <c r="E121" i="26"/>
  <c r="F121" i="26"/>
  <c r="G121" i="26"/>
  <c r="H121" i="26"/>
  <c r="J121" i="26"/>
  <c r="E120" i="26"/>
  <c r="F120" i="26"/>
  <c r="G120" i="26"/>
  <c r="H120" i="26"/>
  <c r="J120" i="26"/>
  <c r="E122" i="26"/>
  <c r="F122" i="26"/>
  <c r="G122" i="26"/>
  <c r="H122" i="26"/>
  <c r="J122" i="26"/>
  <c r="E123" i="26"/>
  <c r="F123" i="26"/>
  <c r="G123" i="26"/>
  <c r="H123" i="26"/>
  <c r="J123" i="26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2" i="24"/>
  <c r="H243" i="24"/>
  <c r="A243" i="24"/>
  <c r="Q73" i="26"/>
  <c r="Q72" i="26"/>
  <c r="Q71" i="26"/>
  <c r="Q70" i="26"/>
  <c r="Q69" i="26"/>
  <c r="Q68" i="26"/>
  <c r="Q67" i="26"/>
  <c r="Q81" i="26"/>
  <c r="Q80" i="26"/>
  <c r="Q79" i="26"/>
  <c r="Q78" i="26"/>
  <c r="Q77" i="26"/>
  <c r="Q76" i="26"/>
  <c r="Q75" i="26"/>
  <c r="Q112" i="26"/>
  <c r="Q111" i="26"/>
  <c r="Q110" i="26"/>
  <c r="Q109" i="26"/>
  <c r="Q108" i="26"/>
  <c r="Q116" i="26"/>
  <c r="Q119" i="26"/>
  <c r="J119" i="26"/>
  <c r="H119" i="26"/>
  <c r="G119" i="26"/>
  <c r="F119" i="26"/>
  <c r="E119" i="26"/>
  <c r="C448" i="51"/>
  <c r="A448" i="51"/>
  <c r="C447" i="51"/>
  <c r="A447" i="51"/>
  <c r="C446" i="51"/>
  <c r="A446" i="51"/>
  <c r="C445" i="51"/>
  <c r="A445" i="51"/>
  <c r="C444" i="51"/>
  <c r="A444" i="51"/>
  <c r="C443" i="51"/>
  <c r="A443" i="51"/>
  <c r="C442" i="51"/>
  <c r="A442" i="51"/>
  <c r="C441" i="51"/>
  <c r="A441" i="51"/>
  <c r="C440" i="51"/>
  <c r="A440" i="51"/>
  <c r="C439" i="51"/>
  <c r="A439" i="51"/>
  <c r="C438" i="51"/>
  <c r="A438" i="51"/>
  <c r="C437" i="51"/>
  <c r="A437" i="51"/>
  <c r="C436" i="51"/>
  <c r="A436" i="51"/>
  <c r="C435" i="51"/>
  <c r="A435" i="51"/>
  <c r="C434" i="51"/>
  <c r="A434" i="51"/>
  <c r="C433" i="51"/>
  <c r="A433" i="51"/>
  <c r="C432" i="51"/>
  <c r="A432" i="51"/>
  <c r="C431" i="51"/>
  <c r="A431" i="51"/>
  <c r="C430" i="51"/>
  <c r="A430" i="51"/>
  <c r="C429" i="51"/>
  <c r="A429" i="51"/>
  <c r="C428" i="51"/>
  <c r="A428" i="51"/>
  <c r="C427" i="51"/>
  <c r="A427" i="51"/>
  <c r="C426" i="51"/>
  <c r="A426" i="51"/>
  <c r="C425" i="51"/>
  <c r="A425" i="51"/>
  <c r="C424" i="51"/>
  <c r="A424" i="51"/>
  <c r="C423" i="51"/>
  <c r="A423" i="51"/>
  <c r="C422" i="51"/>
  <c r="A422" i="51"/>
  <c r="C421" i="51"/>
  <c r="A421" i="51"/>
  <c r="C420" i="51"/>
  <c r="A420" i="51"/>
  <c r="C419" i="51"/>
  <c r="A419" i="51"/>
  <c r="C418" i="51"/>
  <c r="A418" i="51"/>
  <c r="I410" i="51"/>
  <c r="C410" i="51"/>
  <c r="A410" i="51"/>
  <c r="A242" i="24"/>
  <c r="I417" i="51"/>
  <c r="C417" i="51"/>
  <c r="A417" i="51"/>
  <c r="I416" i="51"/>
  <c r="C416" i="51"/>
  <c r="A416" i="51"/>
  <c r="I415" i="51"/>
  <c r="C415" i="51"/>
  <c r="A415" i="51"/>
  <c r="I414" i="51"/>
  <c r="C414" i="51"/>
  <c r="A414" i="51"/>
  <c r="Q41" i="26"/>
  <c r="Q40" i="26"/>
  <c r="Q66" i="26"/>
  <c r="Q65" i="26"/>
  <c r="Q64" i="26"/>
  <c r="Q63" i="26"/>
  <c r="Q62" i="26"/>
  <c r="Q61" i="26"/>
  <c r="Q60" i="26"/>
  <c r="Q59" i="26"/>
  <c r="Q58" i="26"/>
  <c r="Q57" i="26"/>
  <c r="Q56" i="26"/>
  <c r="Q55" i="26"/>
  <c r="Q54" i="26"/>
  <c r="Q53" i="26"/>
  <c r="Q52" i="26"/>
  <c r="Q51" i="26"/>
  <c r="Q50" i="26"/>
  <c r="Q49" i="26"/>
  <c r="Q48" i="26"/>
  <c r="Q47" i="26"/>
  <c r="Q46" i="26"/>
  <c r="Q45" i="26"/>
  <c r="Q43" i="26"/>
  <c r="Q83" i="26"/>
  <c r="Q84" i="26"/>
  <c r="Q118" i="26"/>
  <c r="J118" i="26"/>
  <c r="H118" i="26"/>
  <c r="G118" i="26"/>
  <c r="F118" i="26"/>
  <c r="E118" i="26"/>
  <c r="A241" i="24"/>
  <c r="A240" i="24"/>
  <c r="A239" i="24"/>
  <c r="E92" i="53"/>
  <c r="A92" i="53"/>
  <c r="E91" i="53"/>
  <c r="A91" i="53"/>
  <c r="E94" i="53"/>
  <c r="A94" i="53"/>
  <c r="C413" i="51"/>
  <c r="A413" i="51"/>
  <c r="C412" i="51"/>
  <c r="A412" i="51"/>
  <c r="C411" i="51"/>
  <c r="A411" i="51"/>
  <c r="I409" i="51"/>
  <c r="C409" i="51"/>
  <c r="A409" i="51"/>
  <c r="C408" i="51"/>
  <c r="A408" i="51"/>
  <c r="C407" i="51"/>
  <c r="A407" i="51"/>
  <c r="C406" i="51"/>
  <c r="A406" i="51"/>
  <c r="C405" i="51"/>
  <c r="A405" i="51"/>
  <c r="C404" i="51"/>
  <c r="A404" i="51"/>
  <c r="C403" i="51"/>
  <c r="A403" i="51"/>
  <c r="Q86" i="26"/>
  <c r="J117" i="26"/>
  <c r="H117" i="26"/>
  <c r="F117" i="26"/>
  <c r="E117" i="26"/>
  <c r="J116" i="26"/>
  <c r="H116" i="26"/>
  <c r="F116" i="26"/>
  <c r="E116" i="26"/>
  <c r="J115" i="26"/>
  <c r="H115" i="26"/>
  <c r="G115" i="26"/>
  <c r="F115" i="26"/>
  <c r="E115" i="26"/>
  <c r="C401" i="51"/>
  <c r="A401" i="51"/>
  <c r="C398" i="51"/>
  <c r="A398" i="51"/>
  <c r="I386" i="51"/>
  <c r="C386" i="51"/>
  <c r="A386" i="51"/>
  <c r="A385" i="51"/>
  <c r="C385" i="51"/>
  <c r="I385" i="51"/>
  <c r="I384" i="51"/>
  <c r="C384" i="51"/>
  <c r="A384" i="51"/>
  <c r="I389" i="51"/>
  <c r="I388" i="51"/>
  <c r="I390" i="51"/>
  <c r="C390" i="51"/>
  <c r="A390" i="51"/>
  <c r="C389" i="51"/>
  <c r="A389" i="51"/>
  <c r="C388" i="51"/>
  <c r="A388" i="51"/>
  <c r="I387" i="51"/>
  <c r="C387" i="51"/>
  <c r="A387" i="51"/>
  <c r="Q88" i="26"/>
  <c r="E90" i="53"/>
  <c r="A90" i="53"/>
  <c r="E89" i="53"/>
  <c r="A89" i="53"/>
  <c r="I402" i="51"/>
  <c r="C402" i="51"/>
  <c r="A402" i="51"/>
  <c r="I400" i="51"/>
  <c r="C400" i="51"/>
  <c r="A400" i="51"/>
  <c r="I399" i="51"/>
  <c r="C399" i="51"/>
  <c r="A399" i="51"/>
  <c r="I397" i="51"/>
  <c r="C397" i="51"/>
  <c r="A397" i="51"/>
  <c r="J114" i="26"/>
  <c r="H114" i="26"/>
  <c r="F114" i="26"/>
  <c r="E114" i="26"/>
  <c r="J113" i="26"/>
  <c r="H113" i="26"/>
  <c r="F113" i="26"/>
  <c r="E113" i="26"/>
  <c r="A238" i="24"/>
  <c r="A237" i="24"/>
  <c r="E88" i="53"/>
  <c r="A88" i="53"/>
  <c r="A93" i="53"/>
  <c r="E93" i="53"/>
  <c r="C396" i="51"/>
  <c r="A396" i="51"/>
  <c r="C395" i="51"/>
  <c r="A395" i="51"/>
  <c r="C394" i="51"/>
  <c r="A394" i="51"/>
  <c r="C393" i="51"/>
  <c r="A393" i="51"/>
  <c r="C392" i="51"/>
  <c r="A392" i="51"/>
  <c r="C391" i="51"/>
  <c r="A391" i="51"/>
  <c r="J112" i="26"/>
  <c r="H112" i="26"/>
  <c r="G112" i="26"/>
  <c r="F112" i="26"/>
  <c r="E112" i="26"/>
  <c r="A236" i="24"/>
  <c r="A235" i="24"/>
  <c r="J111" i="26"/>
  <c r="H111" i="26"/>
  <c r="G111" i="26"/>
  <c r="F111" i="26"/>
  <c r="E111" i="26"/>
  <c r="A234" i="24"/>
  <c r="A87" i="53"/>
  <c r="E87" i="53"/>
  <c r="I383" i="51"/>
  <c r="C383" i="51"/>
  <c r="A383" i="51"/>
  <c r="H110" i="26"/>
  <c r="F110" i="26"/>
  <c r="E110" i="26"/>
  <c r="A233" i="24"/>
  <c r="C382" i="51"/>
  <c r="A382" i="51"/>
  <c r="C381" i="51"/>
  <c r="A381" i="51"/>
  <c r="C380" i="51"/>
  <c r="A380" i="51"/>
  <c r="C379" i="51"/>
  <c r="A379" i="51"/>
  <c r="C378" i="51"/>
  <c r="A378" i="51"/>
  <c r="C377" i="51"/>
  <c r="A377" i="51"/>
  <c r="C376" i="51"/>
  <c r="A376" i="51"/>
  <c r="C375" i="51"/>
  <c r="A375" i="51"/>
  <c r="C374" i="51"/>
  <c r="A374" i="51"/>
  <c r="C373" i="51"/>
  <c r="A373" i="51"/>
  <c r="C372" i="51"/>
  <c r="A372" i="51"/>
  <c r="C371" i="51"/>
  <c r="A371" i="51"/>
  <c r="C370" i="51"/>
  <c r="A370" i="51"/>
  <c r="C369" i="51"/>
  <c r="A369" i="51"/>
  <c r="C368" i="51"/>
  <c r="A368" i="51"/>
  <c r="C367" i="51"/>
  <c r="A367" i="51"/>
  <c r="C366" i="51"/>
  <c r="A366" i="51"/>
  <c r="C365" i="51"/>
  <c r="A365" i="51"/>
  <c r="C364" i="51"/>
  <c r="A364" i="51"/>
  <c r="C363" i="51"/>
  <c r="A363" i="51"/>
  <c r="C362" i="51"/>
  <c r="A362" i="51"/>
  <c r="C361" i="51"/>
  <c r="A361" i="51"/>
  <c r="C360" i="51"/>
  <c r="A360" i="51"/>
  <c r="C359" i="51"/>
  <c r="A359" i="51"/>
  <c r="C358" i="51"/>
  <c r="A358" i="51"/>
  <c r="C357" i="51"/>
  <c r="A357" i="51"/>
  <c r="C356" i="51"/>
  <c r="A356" i="51"/>
  <c r="C355" i="51"/>
  <c r="A355" i="51"/>
  <c r="C354" i="51"/>
  <c r="A354" i="51"/>
  <c r="C353" i="51"/>
  <c r="A353" i="51"/>
  <c r="C352" i="51"/>
  <c r="A352" i="51"/>
  <c r="J109" i="26"/>
  <c r="H109" i="26"/>
  <c r="G109" i="26"/>
  <c r="F109" i="26"/>
  <c r="E109" i="26"/>
  <c r="A232" i="24"/>
  <c r="C349" i="51"/>
  <c r="A349" i="51"/>
  <c r="C350" i="51"/>
  <c r="A350" i="51"/>
  <c r="I351" i="51"/>
  <c r="C351" i="51"/>
  <c r="A351" i="51"/>
  <c r="I348" i="51"/>
  <c r="C348" i="51"/>
  <c r="A348" i="51"/>
  <c r="J108" i="26"/>
  <c r="H108" i="26"/>
  <c r="G108" i="26"/>
  <c r="F108" i="26"/>
  <c r="E108" i="26"/>
  <c r="A140" i="24"/>
  <c r="A141" i="24"/>
  <c r="J2" i="26"/>
  <c r="J3" i="26"/>
  <c r="J4" i="26"/>
  <c r="J5" i="26"/>
  <c r="J6" i="26"/>
  <c r="J7" i="26"/>
  <c r="J8" i="26"/>
  <c r="J9" i="26"/>
  <c r="J10" i="26"/>
  <c r="J11" i="26"/>
  <c r="J12" i="26"/>
  <c r="J13" i="26"/>
  <c r="J14" i="26"/>
  <c r="J15" i="26"/>
  <c r="J16" i="26"/>
  <c r="J17" i="26"/>
  <c r="J18" i="26"/>
  <c r="J19" i="26"/>
  <c r="J20" i="26"/>
  <c r="J21" i="26"/>
  <c r="J22" i="26"/>
  <c r="J23" i="26"/>
  <c r="J24" i="26"/>
  <c r="J25" i="26"/>
  <c r="J26" i="26"/>
  <c r="J27" i="26"/>
  <c r="J28" i="26"/>
  <c r="J29" i="26"/>
  <c r="J30" i="26"/>
  <c r="J31" i="26"/>
  <c r="J32" i="26"/>
  <c r="J33" i="26"/>
  <c r="J34" i="26"/>
  <c r="J35" i="26"/>
  <c r="J36" i="26"/>
  <c r="J37" i="26"/>
  <c r="J38" i="26"/>
  <c r="J39" i="26"/>
  <c r="J40" i="26"/>
  <c r="J41" i="26"/>
  <c r="J42" i="26"/>
  <c r="J43" i="26"/>
  <c r="J44" i="26"/>
  <c r="J45" i="26"/>
  <c r="J46" i="26"/>
  <c r="J47" i="26"/>
  <c r="J48" i="26"/>
  <c r="J49" i="26"/>
  <c r="J50" i="26"/>
  <c r="J51" i="26"/>
  <c r="J52" i="26"/>
  <c r="J53" i="26"/>
  <c r="J54" i="26"/>
  <c r="J55" i="26"/>
  <c r="J56" i="26"/>
  <c r="J57" i="26"/>
  <c r="J58" i="26"/>
  <c r="J59" i="26"/>
  <c r="J60" i="26"/>
  <c r="J61" i="26"/>
  <c r="J62" i="26"/>
  <c r="J63" i="26"/>
  <c r="J64" i="26"/>
  <c r="J65" i="26"/>
  <c r="J66" i="26"/>
  <c r="J67" i="26"/>
  <c r="J68" i="26"/>
  <c r="J69" i="26"/>
  <c r="J70" i="26"/>
  <c r="J71" i="26"/>
  <c r="J72" i="26"/>
  <c r="J73" i="26"/>
  <c r="J74" i="26"/>
  <c r="J75" i="26"/>
  <c r="J76" i="26"/>
  <c r="J77" i="26"/>
  <c r="J78" i="26"/>
  <c r="J79" i="26"/>
  <c r="J80" i="26"/>
  <c r="J81" i="26"/>
  <c r="J82" i="26"/>
  <c r="J83" i="26"/>
  <c r="J84" i="26"/>
  <c r="J85" i="26"/>
  <c r="J86" i="26"/>
  <c r="J87" i="26"/>
  <c r="J88" i="26"/>
  <c r="J89" i="26"/>
  <c r="J90" i="26"/>
  <c r="J91" i="26"/>
  <c r="J92" i="26"/>
  <c r="J93" i="26"/>
  <c r="J94" i="26"/>
  <c r="J95" i="26"/>
  <c r="J96" i="26"/>
  <c r="J107" i="26"/>
  <c r="A34" i="51"/>
  <c r="A35" i="51"/>
  <c r="A230" i="24"/>
  <c r="A231" i="24"/>
  <c r="E86" i="53"/>
  <c r="A86" i="53"/>
  <c r="C345" i="51"/>
  <c r="I347" i="51"/>
  <c r="C347" i="51"/>
  <c r="A347" i="51"/>
  <c r="I346" i="51"/>
  <c r="C346" i="51"/>
  <c r="A346" i="51"/>
  <c r="I345" i="51"/>
  <c r="A345" i="51"/>
  <c r="I344" i="51"/>
  <c r="C344" i="51"/>
  <c r="A344" i="51"/>
  <c r="H88" i="26"/>
  <c r="G88" i="26"/>
  <c r="F88" i="26"/>
  <c r="E88" i="26"/>
  <c r="H107" i="26"/>
  <c r="G107" i="26"/>
  <c r="F107" i="26"/>
  <c r="E107" i="26"/>
  <c r="I314" i="51"/>
  <c r="I315" i="51"/>
  <c r="I316" i="51"/>
  <c r="I317" i="51"/>
  <c r="I318" i="51"/>
  <c r="I319" i="51"/>
  <c r="I320" i="51"/>
  <c r="I321" i="51"/>
  <c r="I322" i="51"/>
  <c r="I323" i="51"/>
  <c r="I324" i="51"/>
  <c r="I325" i="51"/>
  <c r="I326" i="51"/>
  <c r="I327" i="51"/>
  <c r="I328" i="51"/>
  <c r="I329" i="51"/>
  <c r="I330" i="51"/>
  <c r="I331" i="51"/>
  <c r="I332" i="51"/>
  <c r="I333" i="51"/>
  <c r="I334" i="51"/>
  <c r="I335" i="51"/>
  <c r="I336" i="51"/>
  <c r="I337" i="51"/>
  <c r="I338" i="51"/>
  <c r="I339" i="51"/>
  <c r="I340" i="51"/>
  <c r="I341" i="51"/>
  <c r="I342" i="51"/>
  <c r="I343" i="51"/>
  <c r="A228" i="24"/>
  <c r="A229" i="24"/>
  <c r="E85" i="53"/>
  <c r="A85" i="53"/>
  <c r="C343" i="51"/>
  <c r="A343" i="51"/>
  <c r="C342" i="51"/>
  <c r="A342" i="51"/>
  <c r="C341" i="51"/>
  <c r="A341" i="51"/>
  <c r="C340" i="51"/>
  <c r="A340" i="51"/>
  <c r="C339" i="51"/>
  <c r="A339" i="51"/>
  <c r="C338" i="51"/>
  <c r="A338" i="51"/>
  <c r="C337" i="51"/>
  <c r="A337" i="51"/>
  <c r="C336" i="51"/>
  <c r="A336" i="51"/>
  <c r="C335" i="51"/>
  <c r="A335" i="51"/>
  <c r="C334" i="51"/>
  <c r="A334" i="51"/>
  <c r="C333" i="51"/>
  <c r="A333" i="51"/>
  <c r="C332" i="51"/>
  <c r="A332" i="51"/>
  <c r="C331" i="51"/>
  <c r="A331" i="51"/>
  <c r="C330" i="51"/>
  <c r="A330" i="51"/>
  <c r="C329" i="51"/>
  <c r="A329" i="51"/>
  <c r="C328" i="51"/>
  <c r="A328" i="51"/>
  <c r="C327" i="51"/>
  <c r="A327" i="51"/>
  <c r="C326" i="51"/>
  <c r="A326" i="51"/>
  <c r="C325" i="51"/>
  <c r="A325" i="51"/>
  <c r="C324" i="51"/>
  <c r="A324" i="51"/>
  <c r="C323" i="51"/>
  <c r="A323" i="51"/>
  <c r="C322" i="51"/>
  <c r="A322" i="51"/>
  <c r="C321" i="51"/>
  <c r="A321" i="51"/>
  <c r="C320" i="51"/>
  <c r="A320" i="51"/>
  <c r="C319" i="51"/>
  <c r="A319" i="51"/>
  <c r="C318" i="51"/>
  <c r="A318" i="51"/>
  <c r="C317" i="51"/>
  <c r="A317" i="51"/>
  <c r="C316" i="51"/>
  <c r="A316" i="51"/>
  <c r="C315" i="51"/>
  <c r="A315" i="51"/>
  <c r="C314" i="51"/>
  <c r="A314" i="51"/>
  <c r="I313" i="51"/>
  <c r="C313" i="51"/>
  <c r="A313" i="51"/>
  <c r="C312" i="51"/>
  <c r="A312" i="51"/>
  <c r="I311" i="51"/>
  <c r="C311" i="51"/>
  <c r="A311" i="51"/>
  <c r="H86" i="26"/>
  <c r="G86" i="26"/>
  <c r="F86" i="26"/>
  <c r="E86" i="26"/>
  <c r="H85" i="26"/>
  <c r="G85" i="26"/>
  <c r="F85" i="26"/>
  <c r="E85" i="26"/>
  <c r="I310" i="51"/>
  <c r="C310" i="51"/>
  <c r="A310" i="51"/>
  <c r="C309" i="51"/>
  <c r="A309" i="51"/>
  <c r="I308" i="51"/>
  <c r="C308" i="51"/>
  <c r="A308" i="51"/>
  <c r="A2" i="24"/>
  <c r="A5" i="24"/>
  <c r="A6" i="24"/>
  <c r="A7" i="24"/>
  <c r="A8" i="24"/>
  <c r="A9" i="24"/>
  <c r="A135" i="24"/>
  <c r="A136" i="24"/>
  <c r="A137" i="24"/>
  <c r="A138" i="24"/>
  <c r="A142" i="24"/>
  <c r="A143" i="24"/>
  <c r="A144" i="24"/>
  <c r="A145" i="24"/>
  <c r="A146" i="24"/>
  <c r="A147" i="24"/>
  <c r="A148" i="24"/>
  <c r="A149" i="24"/>
  <c r="A150" i="24"/>
  <c r="A151" i="24"/>
  <c r="A152" i="24"/>
  <c r="A153" i="24"/>
  <c r="A154" i="24"/>
  <c r="A155" i="24"/>
  <c r="A156" i="24"/>
  <c r="A157" i="24"/>
  <c r="A158" i="24"/>
  <c r="A159" i="24"/>
  <c r="A160" i="24"/>
  <c r="A161" i="24"/>
  <c r="A162" i="24"/>
  <c r="A163" i="24"/>
  <c r="A164" i="24"/>
  <c r="A165" i="24"/>
  <c r="A166" i="24"/>
  <c r="A167" i="24"/>
  <c r="A168" i="24"/>
  <c r="A169" i="24"/>
  <c r="A170" i="24"/>
  <c r="A172" i="24"/>
  <c r="A227" i="24"/>
  <c r="I307" i="51"/>
  <c r="C307" i="51"/>
  <c r="A307" i="51"/>
  <c r="I306" i="51"/>
  <c r="C306" i="51"/>
  <c r="A306" i="51"/>
  <c r="I305" i="51"/>
  <c r="C305" i="51"/>
  <c r="A305" i="51"/>
  <c r="H87" i="26"/>
  <c r="H84" i="26"/>
  <c r="G84" i="26"/>
  <c r="F84" i="26"/>
  <c r="E84" i="26"/>
  <c r="E83" i="53"/>
  <c r="A83" i="53"/>
  <c r="A226" i="24"/>
  <c r="H82" i="26"/>
  <c r="G87" i="26"/>
  <c r="F87" i="26"/>
  <c r="E87" i="26"/>
  <c r="A101" i="53"/>
  <c r="E101" i="53"/>
  <c r="E96" i="26"/>
  <c r="F96" i="26"/>
  <c r="H83" i="26"/>
  <c r="I304" i="51"/>
  <c r="I303" i="51"/>
  <c r="I302" i="51"/>
  <c r="I295" i="51"/>
  <c r="I294" i="51"/>
  <c r="I293" i="51"/>
  <c r="I292" i="51"/>
  <c r="I291" i="51"/>
  <c r="C293" i="51"/>
  <c r="A293" i="51"/>
  <c r="C294" i="51"/>
  <c r="A294" i="51"/>
  <c r="A223" i="24"/>
  <c r="A224" i="24"/>
  <c r="A225" i="24"/>
  <c r="E82" i="53"/>
  <c r="A82" i="53"/>
  <c r="C301" i="51"/>
  <c r="A301" i="51"/>
  <c r="C300" i="51"/>
  <c r="A300" i="51"/>
  <c r="C299" i="51"/>
  <c r="A299" i="51"/>
  <c r="C298" i="51"/>
  <c r="A298" i="51"/>
  <c r="C297" i="51"/>
  <c r="A297" i="51"/>
  <c r="C296" i="51"/>
  <c r="A296" i="51"/>
  <c r="C304" i="51"/>
  <c r="A304" i="51"/>
  <c r="C303" i="51"/>
  <c r="A303" i="51"/>
  <c r="C302" i="51"/>
  <c r="A302" i="51"/>
  <c r="I259" i="51"/>
  <c r="C259" i="51"/>
  <c r="A259" i="51"/>
  <c r="I258" i="51"/>
  <c r="C258" i="51"/>
  <c r="A258" i="51"/>
  <c r="I257" i="51"/>
  <c r="C257" i="51"/>
  <c r="A257" i="51"/>
  <c r="H81" i="26"/>
  <c r="G81" i="26"/>
  <c r="F81" i="26"/>
  <c r="E81" i="26"/>
  <c r="H80" i="26"/>
  <c r="G80" i="26"/>
  <c r="F80" i="26"/>
  <c r="E80" i="26"/>
  <c r="G82" i="26"/>
  <c r="F82" i="26"/>
  <c r="E82" i="26"/>
  <c r="C290" i="51"/>
  <c r="A290" i="51"/>
  <c r="C289" i="51"/>
  <c r="A289" i="51"/>
  <c r="C288" i="51"/>
  <c r="A288" i="51"/>
  <c r="C287" i="51"/>
  <c r="A287" i="51"/>
  <c r="C286" i="51"/>
  <c r="A286" i="51"/>
  <c r="C285" i="51"/>
  <c r="A285" i="51"/>
  <c r="C284" i="51"/>
  <c r="A284" i="51"/>
  <c r="C283" i="51"/>
  <c r="A283" i="51"/>
  <c r="C282" i="51"/>
  <c r="A282" i="51"/>
  <c r="C281" i="51"/>
  <c r="A281" i="51"/>
  <c r="C280" i="51"/>
  <c r="A280" i="51"/>
  <c r="C279" i="51"/>
  <c r="A279" i="51"/>
  <c r="C278" i="51"/>
  <c r="A278" i="51"/>
  <c r="C277" i="51"/>
  <c r="A277" i="51"/>
  <c r="C276" i="51"/>
  <c r="A276" i="51"/>
  <c r="C275" i="51"/>
  <c r="A275" i="51"/>
  <c r="C274" i="51"/>
  <c r="A274" i="51"/>
  <c r="C273" i="51"/>
  <c r="A273" i="51"/>
  <c r="C272" i="51"/>
  <c r="A272" i="51"/>
  <c r="C271" i="51"/>
  <c r="A271" i="51"/>
  <c r="C270" i="51"/>
  <c r="A270" i="51"/>
  <c r="C269" i="51"/>
  <c r="A269" i="51"/>
  <c r="C268" i="51"/>
  <c r="A268" i="51"/>
  <c r="C267" i="51"/>
  <c r="A267" i="51"/>
  <c r="C266" i="51"/>
  <c r="A266" i="51"/>
  <c r="C265" i="51"/>
  <c r="A265" i="51"/>
  <c r="C264" i="51"/>
  <c r="A264" i="51"/>
  <c r="C263" i="51"/>
  <c r="A263" i="51"/>
  <c r="C262" i="51"/>
  <c r="A262" i="51"/>
  <c r="C261" i="51"/>
  <c r="A261" i="51"/>
  <c r="C260" i="51"/>
  <c r="A260" i="51"/>
  <c r="A222" i="24"/>
  <c r="E81" i="53"/>
  <c r="A81" i="53"/>
  <c r="C295" i="51"/>
  <c r="A295" i="51"/>
  <c r="C292" i="51"/>
  <c r="A292" i="51"/>
  <c r="C291" i="51"/>
  <c r="A291" i="51"/>
  <c r="H79" i="26"/>
  <c r="G79" i="26"/>
  <c r="F79" i="26"/>
  <c r="E79" i="26"/>
  <c r="A220" i="24"/>
  <c r="A221" i="24"/>
  <c r="E84" i="53"/>
  <c r="A84" i="53"/>
  <c r="E80" i="53"/>
  <c r="A80" i="53"/>
  <c r="I253" i="51"/>
  <c r="C253" i="51"/>
  <c r="A253" i="51"/>
  <c r="I252" i="51"/>
  <c r="C252" i="51"/>
  <c r="A252" i="51"/>
  <c r="I251" i="51"/>
  <c r="C251" i="51"/>
  <c r="A251" i="51"/>
  <c r="I250" i="51"/>
  <c r="C250" i="51"/>
  <c r="A250" i="51"/>
  <c r="I249" i="51"/>
  <c r="C249" i="51"/>
  <c r="A249" i="51"/>
  <c r="I248" i="51"/>
  <c r="C248" i="51"/>
  <c r="A248" i="51"/>
  <c r="H77" i="26"/>
  <c r="G77" i="26"/>
  <c r="F77" i="26"/>
  <c r="E77" i="26"/>
  <c r="H76" i="26"/>
  <c r="G76" i="26"/>
  <c r="F76" i="26"/>
  <c r="E76" i="26"/>
  <c r="H74" i="26"/>
  <c r="C242" i="51"/>
  <c r="A242" i="51"/>
  <c r="C243" i="51"/>
  <c r="A243" i="51"/>
  <c r="C244" i="51"/>
  <c r="A244" i="51"/>
  <c r="C241" i="51"/>
  <c r="A241" i="51"/>
  <c r="C240" i="51"/>
  <c r="A240" i="51"/>
  <c r="C239" i="51"/>
  <c r="A239" i="51"/>
  <c r="A218" i="24"/>
  <c r="A219" i="24"/>
  <c r="E77" i="53"/>
  <c r="A77" i="53"/>
  <c r="E78" i="53"/>
  <c r="A78" i="53"/>
  <c r="I256" i="51"/>
  <c r="C256" i="51"/>
  <c r="A256" i="51"/>
  <c r="I255" i="51"/>
  <c r="C255" i="51"/>
  <c r="A255" i="51"/>
  <c r="I254" i="51"/>
  <c r="C254" i="51"/>
  <c r="A254" i="51"/>
  <c r="H78" i="26"/>
  <c r="G78" i="26"/>
  <c r="F78" i="26"/>
  <c r="E78" i="26"/>
  <c r="G83" i="26"/>
  <c r="F83" i="26"/>
  <c r="E83" i="26"/>
  <c r="E5" i="53"/>
  <c r="E100" i="53"/>
  <c r="I247" i="51"/>
  <c r="I246" i="51"/>
  <c r="I238" i="51"/>
  <c r="I237" i="51"/>
  <c r="I235" i="51"/>
  <c r="I234" i="51"/>
  <c r="I233" i="51"/>
  <c r="I236" i="51"/>
  <c r="I245" i="51"/>
  <c r="A217" i="24"/>
  <c r="A216" i="24"/>
  <c r="A215" i="24"/>
  <c r="A214" i="24"/>
  <c r="A100" i="53"/>
  <c r="E79" i="53"/>
  <c r="A79" i="53"/>
  <c r="E76" i="53"/>
  <c r="A76" i="53"/>
  <c r="E75" i="53"/>
  <c r="A75" i="53"/>
  <c r="E74" i="53"/>
  <c r="A74" i="53"/>
  <c r="A5260" i="51"/>
  <c r="A5167" i="51"/>
  <c r="A5166" i="51"/>
  <c r="A5165" i="51"/>
  <c r="A5164" i="51"/>
  <c r="A5163" i="51"/>
  <c r="A5162" i="51"/>
  <c r="A5161" i="51"/>
  <c r="A5160" i="51"/>
  <c r="A5159" i="51"/>
  <c r="C238" i="51"/>
  <c r="A238" i="51"/>
  <c r="C237" i="51"/>
  <c r="A237" i="51"/>
  <c r="C236" i="51"/>
  <c r="A236" i="51"/>
  <c r="K235" i="51"/>
  <c r="C235" i="51"/>
  <c r="A235" i="51"/>
  <c r="C234" i="51"/>
  <c r="A234" i="51"/>
  <c r="C233" i="51"/>
  <c r="A233" i="51"/>
  <c r="C247" i="51"/>
  <c r="A247" i="51"/>
  <c r="C246" i="51"/>
  <c r="A246" i="51"/>
  <c r="C245" i="51"/>
  <c r="A245" i="51"/>
  <c r="F95" i="26"/>
  <c r="E95" i="26"/>
  <c r="H73" i="26"/>
  <c r="H75" i="26"/>
  <c r="H72" i="26"/>
  <c r="G75" i="26"/>
  <c r="F75" i="26"/>
  <c r="E75" i="26"/>
  <c r="G74" i="26"/>
  <c r="F74" i="26"/>
  <c r="E74" i="26"/>
  <c r="G73" i="26"/>
  <c r="F73" i="26"/>
  <c r="E73" i="26"/>
  <c r="G72" i="26"/>
  <c r="F72" i="26"/>
  <c r="E72" i="26"/>
  <c r="C223" i="51"/>
  <c r="C228" i="51"/>
  <c r="A228" i="51"/>
  <c r="C227" i="51"/>
  <c r="A227" i="51"/>
  <c r="C226" i="51"/>
  <c r="A226" i="51"/>
  <c r="C225" i="51"/>
  <c r="A225" i="51"/>
  <c r="C224" i="51"/>
  <c r="A224" i="51"/>
  <c r="A223" i="51"/>
  <c r="C232" i="51"/>
  <c r="A232" i="51"/>
  <c r="C231" i="51"/>
  <c r="A231" i="51"/>
  <c r="C230" i="51"/>
  <c r="A230" i="51"/>
  <c r="C198" i="51"/>
  <c r="A198" i="51"/>
  <c r="C197" i="51"/>
  <c r="A197" i="51"/>
  <c r="C196" i="51"/>
  <c r="A196" i="51"/>
  <c r="C195" i="51"/>
  <c r="A195" i="51"/>
  <c r="C194" i="51"/>
  <c r="A194" i="51"/>
  <c r="C193" i="51"/>
  <c r="A193" i="51"/>
  <c r="A213" i="24"/>
  <c r="A211" i="24"/>
  <c r="A210" i="24"/>
  <c r="E72" i="53"/>
  <c r="A72" i="53"/>
  <c r="E70" i="53"/>
  <c r="A70" i="53"/>
  <c r="E69" i="53"/>
  <c r="A69" i="53"/>
  <c r="E71" i="53"/>
  <c r="A71" i="53"/>
  <c r="H71" i="26"/>
  <c r="C222" i="51"/>
  <c r="A222" i="51"/>
  <c r="C221" i="51"/>
  <c r="A221" i="51"/>
  <c r="C220" i="51"/>
  <c r="A220" i="51"/>
  <c r="C219" i="51"/>
  <c r="A219" i="51"/>
  <c r="C218" i="51"/>
  <c r="A218" i="51"/>
  <c r="C217" i="51"/>
  <c r="A217" i="51"/>
  <c r="C200" i="51"/>
  <c r="C201" i="51"/>
  <c r="C202" i="51"/>
  <c r="C203" i="51"/>
  <c r="C204" i="51"/>
  <c r="C205" i="51"/>
  <c r="C206" i="51"/>
  <c r="C207" i="51"/>
  <c r="C208" i="51"/>
  <c r="C209" i="51"/>
  <c r="C210" i="51"/>
  <c r="C211" i="51"/>
  <c r="C212" i="51"/>
  <c r="C213" i="51"/>
  <c r="C214" i="51"/>
  <c r="C215" i="51"/>
  <c r="C216" i="51"/>
  <c r="C199" i="51"/>
  <c r="A216" i="51"/>
  <c r="A215" i="51"/>
  <c r="A214" i="51"/>
  <c r="A213" i="51"/>
  <c r="A212" i="51"/>
  <c r="A211" i="51"/>
  <c r="A204" i="51"/>
  <c r="A203" i="51"/>
  <c r="A202" i="51"/>
  <c r="A201" i="51"/>
  <c r="A200" i="51"/>
  <c r="A199" i="51"/>
  <c r="C229" i="51"/>
  <c r="A210" i="51"/>
  <c r="A229" i="51"/>
  <c r="A209" i="51"/>
  <c r="A208" i="51"/>
  <c r="H70" i="26"/>
  <c r="G70" i="26"/>
  <c r="F70" i="26"/>
  <c r="E70" i="26"/>
  <c r="G71" i="26"/>
  <c r="F71" i="26"/>
  <c r="E71" i="26"/>
  <c r="H69" i="26"/>
  <c r="G69" i="26"/>
  <c r="F69" i="26"/>
  <c r="E69" i="26"/>
  <c r="H68" i="26"/>
  <c r="G68" i="26"/>
  <c r="F68" i="26"/>
  <c r="E68" i="26"/>
  <c r="A207" i="51"/>
  <c r="A206" i="51"/>
  <c r="A205" i="51"/>
  <c r="A32" i="51"/>
  <c r="A31" i="51"/>
  <c r="A30" i="51"/>
  <c r="A29" i="51"/>
  <c r="A28" i="51"/>
  <c r="A27" i="51"/>
  <c r="A26" i="51"/>
  <c r="A212" i="24"/>
  <c r="A209" i="24"/>
  <c r="A208" i="24"/>
  <c r="E68" i="53"/>
  <c r="A68" i="53"/>
  <c r="E67" i="53"/>
  <c r="A67" i="53"/>
  <c r="C189" i="51"/>
  <c r="A189" i="51"/>
  <c r="C188" i="51"/>
  <c r="A188" i="51"/>
  <c r="C187" i="51"/>
  <c r="A187" i="51"/>
  <c r="C186" i="51"/>
  <c r="A186" i="51"/>
  <c r="C185" i="51"/>
  <c r="A185" i="51"/>
  <c r="C184" i="51"/>
  <c r="A184" i="51"/>
  <c r="H66" i="26"/>
  <c r="G66" i="26"/>
  <c r="F66" i="26"/>
  <c r="E66" i="26"/>
  <c r="H65" i="26"/>
  <c r="G65" i="26"/>
  <c r="F65" i="26"/>
  <c r="E65" i="26"/>
  <c r="A206" i="24"/>
  <c r="E66" i="53"/>
  <c r="A66" i="53"/>
  <c r="C183" i="51"/>
  <c r="A183" i="51"/>
  <c r="C182" i="51"/>
  <c r="A182" i="51"/>
  <c r="C181" i="51"/>
  <c r="A181" i="51"/>
  <c r="H63" i="26"/>
  <c r="H64" i="26"/>
  <c r="G64" i="26"/>
  <c r="F64" i="26"/>
  <c r="E64" i="26"/>
  <c r="H67" i="26"/>
  <c r="A207" i="24"/>
  <c r="E65" i="53"/>
  <c r="A65" i="53"/>
  <c r="C192" i="51"/>
  <c r="A192" i="51"/>
  <c r="C191" i="51"/>
  <c r="A191" i="51"/>
  <c r="C190" i="51"/>
  <c r="A190" i="51"/>
  <c r="G63" i="26"/>
  <c r="F63" i="26"/>
  <c r="E63" i="26"/>
  <c r="A205" i="24"/>
  <c r="E64" i="53"/>
  <c r="A64" i="53"/>
  <c r="C180" i="51"/>
  <c r="A180" i="51"/>
  <c r="C179" i="51"/>
  <c r="A179" i="51"/>
  <c r="C178" i="51"/>
  <c r="A178" i="51"/>
  <c r="G67" i="26"/>
  <c r="F67" i="26"/>
  <c r="E67" i="26"/>
  <c r="A139" i="24"/>
  <c r="A25" i="51"/>
  <c r="A33" i="51"/>
  <c r="E99" i="53"/>
  <c r="A99" i="53"/>
  <c r="A5158" i="51"/>
  <c r="A5157" i="51"/>
  <c r="A5156" i="51"/>
  <c r="A5155" i="51"/>
  <c r="A5154" i="51"/>
  <c r="A5153" i="51"/>
  <c r="A5152" i="51"/>
  <c r="A5151" i="51"/>
  <c r="A5150" i="51"/>
  <c r="A5149" i="51"/>
  <c r="F94" i="26"/>
  <c r="E94" i="26"/>
  <c r="A204" i="24"/>
  <c r="E73" i="53"/>
  <c r="A73" i="53"/>
  <c r="H62" i="26"/>
  <c r="G62" i="26"/>
  <c r="F62" i="26"/>
  <c r="E62" i="26"/>
  <c r="C177" i="51"/>
  <c r="A177" i="51"/>
  <c r="C176" i="51"/>
  <c r="A176" i="51"/>
  <c r="C175" i="51"/>
  <c r="A175" i="51"/>
  <c r="A203" i="24"/>
  <c r="E63" i="53"/>
  <c r="A63" i="53"/>
  <c r="C174" i="51"/>
  <c r="A174" i="51"/>
  <c r="C173" i="51"/>
  <c r="A173" i="51"/>
  <c r="C172" i="51"/>
  <c r="A172" i="51"/>
  <c r="H61" i="26"/>
  <c r="G61" i="26"/>
  <c r="F61" i="26"/>
  <c r="E61" i="26"/>
  <c r="A202" i="24"/>
  <c r="E62" i="53"/>
  <c r="A62" i="53"/>
  <c r="C171" i="51"/>
  <c r="A171" i="51"/>
  <c r="C170" i="51"/>
  <c r="A170" i="51"/>
  <c r="C169" i="51"/>
  <c r="A169" i="51"/>
  <c r="H60" i="26"/>
  <c r="G60" i="26"/>
  <c r="F60" i="26"/>
  <c r="E60" i="26"/>
  <c r="A201" i="24"/>
  <c r="E61" i="53"/>
  <c r="A61" i="53"/>
  <c r="C168" i="51"/>
  <c r="A168" i="51"/>
  <c r="C167" i="51"/>
  <c r="A167" i="51"/>
  <c r="C166" i="51"/>
  <c r="A166" i="51"/>
  <c r="H59" i="26"/>
  <c r="G59" i="26"/>
  <c r="F59" i="26"/>
  <c r="E59" i="26"/>
  <c r="A200" i="24"/>
  <c r="E60" i="53"/>
  <c r="A60" i="53"/>
  <c r="C164" i="51"/>
  <c r="C165" i="51"/>
  <c r="C163" i="51"/>
  <c r="A165" i="51"/>
  <c r="A164" i="51"/>
  <c r="A163" i="51"/>
  <c r="H58" i="26"/>
  <c r="G58" i="26"/>
  <c r="F58" i="26"/>
  <c r="E58" i="26"/>
  <c r="A5148" i="51"/>
  <c r="A5147" i="51"/>
  <c r="A5146" i="51"/>
  <c r="A5145" i="51"/>
  <c r="A5144" i="51"/>
  <c r="A5143" i="51"/>
  <c r="A5142" i="51"/>
  <c r="A5141" i="51"/>
  <c r="A5140" i="51"/>
  <c r="A5139" i="51"/>
  <c r="F93" i="26"/>
  <c r="E93" i="26"/>
  <c r="A199" i="24"/>
  <c r="E58" i="53"/>
  <c r="A58" i="53"/>
  <c r="A162" i="51"/>
  <c r="A161" i="51"/>
  <c r="A160" i="51"/>
  <c r="H57" i="26"/>
  <c r="G57" i="26"/>
  <c r="F57" i="26"/>
  <c r="E57" i="26"/>
  <c r="A198" i="24"/>
  <c r="E57" i="53"/>
  <c r="A57" i="53"/>
  <c r="A159" i="51"/>
  <c r="A158" i="51"/>
  <c r="A157" i="51"/>
  <c r="H55" i="26"/>
  <c r="G55" i="26"/>
  <c r="F55" i="26"/>
  <c r="E55" i="26"/>
  <c r="A5108" i="51"/>
  <c r="A5107" i="51"/>
  <c r="A5106" i="51"/>
  <c r="A5105" i="51"/>
  <c r="A5104" i="51"/>
  <c r="A5103" i="51"/>
  <c r="A5102" i="51"/>
  <c r="A5101" i="51"/>
  <c r="A5100" i="51"/>
  <c r="A5099" i="51"/>
  <c r="A196" i="24"/>
  <c r="E56" i="53"/>
  <c r="A56" i="53"/>
  <c r="A153" i="51"/>
  <c r="A152" i="51"/>
  <c r="A151" i="51"/>
  <c r="H53" i="26"/>
  <c r="G53" i="26"/>
  <c r="F53" i="26"/>
  <c r="E53" i="26"/>
  <c r="A195" i="24"/>
  <c r="A194" i="24"/>
  <c r="E54" i="53"/>
  <c r="A54" i="53"/>
  <c r="E55" i="53"/>
  <c r="A55" i="53"/>
  <c r="A150" i="51"/>
  <c r="A149" i="51"/>
  <c r="A148" i="51"/>
  <c r="A147" i="51"/>
  <c r="A146" i="51"/>
  <c r="A145" i="51"/>
  <c r="H54" i="26"/>
  <c r="G54" i="26"/>
  <c r="F54" i="26"/>
  <c r="E54" i="26"/>
  <c r="H52" i="26"/>
  <c r="G52" i="26"/>
  <c r="F52" i="26"/>
  <c r="E52" i="26"/>
  <c r="A193" i="24"/>
  <c r="E53" i="53"/>
  <c r="A53" i="53"/>
  <c r="A144" i="51"/>
  <c r="A143" i="51"/>
  <c r="A142" i="51"/>
  <c r="H51" i="26"/>
  <c r="G51" i="26"/>
  <c r="F51" i="26"/>
  <c r="E51" i="26"/>
  <c r="E59" i="53"/>
  <c r="A59" i="53"/>
  <c r="A192" i="24"/>
  <c r="A156" i="51"/>
  <c r="A155" i="51"/>
  <c r="A154" i="51"/>
  <c r="H56" i="26"/>
  <c r="G56" i="26"/>
  <c r="F56" i="26"/>
  <c r="E56" i="26"/>
  <c r="A191" i="24"/>
  <c r="E51" i="53"/>
  <c r="A51" i="53"/>
  <c r="A141" i="51"/>
  <c r="A140" i="51"/>
  <c r="A139" i="51"/>
  <c r="G50" i="26"/>
  <c r="H49" i="26"/>
  <c r="G49" i="26"/>
  <c r="F49" i="26"/>
  <c r="E49" i="26"/>
  <c r="A197" i="24"/>
  <c r="A52" i="53"/>
  <c r="E50" i="53"/>
  <c r="A50" i="53"/>
  <c r="A138" i="51"/>
  <c r="A137" i="51"/>
  <c r="A136" i="51"/>
  <c r="H48" i="26"/>
  <c r="G48" i="26"/>
  <c r="F48" i="26"/>
  <c r="E48" i="26"/>
  <c r="H45" i="26"/>
  <c r="A190" i="24"/>
  <c r="E52" i="53"/>
  <c r="H50" i="26"/>
  <c r="F50" i="26"/>
  <c r="E50" i="26"/>
  <c r="A135" i="51"/>
  <c r="A134" i="51"/>
  <c r="A133" i="51"/>
  <c r="A189" i="24"/>
  <c r="A188" i="24"/>
  <c r="E49" i="53"/>
  <c r="A49" i="53"/>
  <c r="E48" i="53"/>
  <c r="A48" i="53"/>
  <c r="E47" i="53"/>
  <c r="C132" i="51"/>
  <c r="A132" i="51"/>
  <c r="C131" i="51"/>
  <c r="A131" i="51"/>
  <c r="C130" i="51"/>
  <c r="A130" i="51"/>
  <c r="C129" i="51"/>
  <c r="A129" i="51"/>
  <c r="C128" i="51"/>
  <c r="A128" i="51"/>
  <c r="C127" i="51"/>
  <c r="A127" i="51"/>
  <c r="H47" i="26"/>
  <c r="G47" i="26"/>
  <c r="F47" i="26"/>
  <c r="E47" i="26"/>
  <c r="H46" i="26"/>
  <c r="G46" i="26"/>
  <c r="F46" i="26"/>
  <c r="E46" i="26"/>
  <c r="C125" i="51"/>
  <c r="A125" i="51"/>
  <c r="H5138" i="51"/>
  <c r="H5137" i="51"/>
  <c r="H5136" i="51"/>
  <c r="H5135" i="51"/>
  <c r="H5134" i="51"/>
  <c r="H5133" i="51"/>
  <c r="H5132" i="51"/>
  <c r="H5131" i="51"/>
  <c r="H5130" i="51"/>
  <c r="I5138" i="51"/>
  <c r="I5137" i="51"/>
  <c r="I5136" i="51"/>
  <c r="I5135" i="51"/>
  <c r="I5134" i="51"/>
  <c r="I5133" i="51"/>
  <c r="I5132" i="51"/>
  <c r="I5131" i="51"/>
  <c r="I5130" i="51"/>
  <c r="I5129" i="51"/>
  <c r="C5129" i="51"/>
  <c r="C5131" i="51"/>
  <c r="C5132" i="51"/>
  <c r="C5133" i="51"/>
  <c r="C5134" i="51"/>
  <c r="C5135" i="51"/>
  <c r="C5136" i="51"/>
  <c r="C5137" i="51"/>
  <c r="C5138" i="51"/>
  <c r="C5130" i="51"/>
  <c r="A5138" i="51"/>
  <c r="A5137" i="51"/>
  <c r="A5136" i="51"/>
  <c r="A5135" i="51"/>
  <c r="A5134" i="51"/>
  <c r="A5133" i="51"/>
  <c r="A5132" i="51"/>
  <c r="A5131" i="51"/>
  <c r="A5130" i="51"/>
  <c r="A5129" i="51"/>
  <c r="F92" i="26"/>
  <c r="E92" i="26"/>
  <c r="A116" i="51"/>
  <c r="C116" i="51"/>
  <c r="A187" i="24"/>
  <c r="G45" i="26"/>
  <c r="F45" i="26"/>
  <c r="E45" i="26"/>
  <c r="A47" i="53"/>
  <c r="C126" i="51"/>
  <c r="A126" i="51"/>
  <c r="C124" i="51"/>
  <c r="A124" i="51"/>
  <c r="A186" i="24"/>
  <c r="E46" i="53"/>
  <c r="A46" i="53"/>
  <c r="C123" i="51"/>
  <c r="A123" i="51"/>
  <c r="C122" i="51"/>
  <c r="A122" i="51"/>
  <c r="C121" i="51"/>
  <c r="A121" i="51"/>
  <c r="H44" i="26"/>
  <c r="G44" i="26"/>
  <c r="F44" i="26"/>
  <c r="E44" i="26"/>
  <c r="A184" i="24"/>
  <c r="E44" i="53"/>
  <c r="A44" i="53"/>
  <c r="C120" i="51"/>
  <c r="A120" i="51"/>
  <c r="C119" i="51"/>
  <c r="A119" i="51"/>
  <c r="C118" i="51"/>
  <c r="A118" i="51"/>
  <c r="H42" i="26"/>
  <c r="G42" i="26"/>
  <c r="F42" i="26"/>
  <c r="E42" i="26"/>
  <c r="A185" i="24"/>
  <c r="E43" i="53"/>
  <c r="A43" i="53"/>
  <c r="C117" i="51"/>
  <c r="A117" i="51"/>
  <c r="C115" i="51"/>
  <c r="A115" i="51"/>
  <c r="H43" i="26"/>
  <c r="G43" i="26"/>
  <c r="F43" i="26"/>
  <c r="E43" i="26"/>
  <c r="E42" i="53"/>
  <c r="A42" i="53"/>
  <c r="C114" i="51"/>
  <c r="A114" i="51"/>
  <c r="C113" i="51"/>
  <c r="A113" i="51"/>
  <c r="C112" i="51"/>
  <c r="A112" i="51"/>
  <c r="H40" i="26"/>
  <c r="G40" i="26"/>
  <c r="F40" i="26"/>
  <c r="E40" i="26"/>
  <c r="A183" i="24"/>
  <c r="A171" i="24"/>
  <c r="A173" i="24"/>
  <c r="A174" i="24"/>
  <c r="A175" i="24"/>
  <c r="A176" i="24"/>
  <c r="A177" i="24"/>
  <c r="A178" i="24"/>
  <c r="A179" i="24"/>
  <c r="A180" i="24"/>
  <c r="A181" i="24"/>
  <c r="A182" i="24"/>
  <c r="C111" i="51"/>
  <c r="A111" i="51"/>
  <c r="C110" i="51"/>
  <c r="A110" i="51"/>
  <c r="C109" i="51"/>
  <c r="A109" i="51"/>
  <c r="C108" i="51"/>
  <c r="A108" i="51"/>
  <c r="C107" i="51"/>
  <c r="A107" i="51"/>
  <c r="C106" i="51"/>
  <c r="A106" i="51"/>
  <c r="E45" i="53"/>
  <c r="A45" i="53"/>
  <c r="E41" i="53"/>
  <c r="A41" i="53"/>
  <c r="H41" i="26"/>
  <c r="G41" i="26"/>
  <c r="F41" i="26"/>
  <c r="E41" i="26"/>
  <c r="H39" i="26"/>
  <c r="G39" i="26"/>
  <c r="F39" i="26"/>
  <c r="E39" i="26"/>
  <c r="E11" i="58"/>
  <c r="E10" i="58"/>
  <c r="E9" i="58"/>
  <c r="E8" i="58"/>
  <c r="E6" i="58"/>
  <c r="E4" i="58"/>
  <c r="E3" i="58"/>
  <c r="E2" i="58"/>
  <c r="E40" i="53"/>
  <c r="A40" i="53"/>
  <c r="E39" i="53"/>
  <c r="A39" i="53"/>
  <c r="C105" i="51"/>
  <c r="A105" i="51"/>
  <c r="C104" i="51"/>
  <c r="A104" i="51"/>
  <c r="C103" i="51"/>
  <c r="A103" i="51"/>
  <c r="C102" i="51"/>
  <c r="A102" i="51"/>
  <c r="C101" i="51"/>
  <c r="A101" i="51"/>
  <c r="C100" i="51"/>
  <c r="A100" i="51"/>
  <c r="H38" i="26"/>
  <c r="G38" i="26"/>
  <c r="F38" i="26"/>
  <c r="E38" i="26"/>
  <c r="H37" i="26"/>
  <c r="G37" i="26"/>
  <c r="F37" i="26"/>
  <c r="E37" i="26"/>
  <c r="E38" i="53"/>
  <c r="A38" i="53"/>
  <c r="E37" i="53"/>
  <c r="A37" i="53"/>
  <c r="E36" i="53"/>
  <c r="A36" i="53"/>
  <c r="E35" i="53"/>
  <c r="A35" i="53"/>
  <c r="E34" i="53"/>
  <c r="A34" i="53"/>
  <c r="E33" i="53"/>
  <c r="A33" i="53"/>
  <c r="C99" i="51"/>
  <c r="A99" i="51"/>
  <c r="C98" i="51"/>
  <c r="A98" i="51"/>
  <c r="C97" i="51"/>
  <c r="A97" i="51"/>
  <c r="C96" i="51"/>
  <c r="A96" i="51"/>
  <c r="C95" i="51"/>
  <c r="A95" i="51"/>
  <c r="C94" i="51"/>
  <c r="A94" i="51"/>
  <c r="C93" i="51"/>
  <c r="A93" i="51"/>
  <c r="C92" i="51"/>
  <c r="A92" i="51"/>
  <c r="C91" i="51"/>
  <c r="A91" i="51"/>
  <c r="C90" i="51"/>
  <c r="A90" i="51"/>
  <c r="C89" i="51"/>
  <c r="A89" i="51"/>
  <c r="C88" i="51"/>
  <c r="A88" i="51"/>
  <c r="C87" i="51"/>
  <c r="A87" i="51"/>
  <c r="C86" i="51"/>
  <c r="A86" i="51"/>
  <c r="C85" i="51"/>
  <c r="A85" i="51"/>
  <c r="C84" i="51"/>
  <c r="A84" i="51"/>
  <c r="C83" i="51"/>
  <c r="A83" i="51"/>
  <c r="C82" i="51"/>
  <c r="A82" i="51"/>
  <c r="H36" i="26"/>
  <c r="G36" i="26"/>
  <c r="F36" i="26"/>
  <c r="E36" i="26"/>
  <c r="H35" i="26"/>
  <c r="G35" i="26"/>
  <c r="F35" i="26"/>
  <c r="E35" i="26"/>
  <c r="H34" i="26"/>
  <c r="G34" i="26"/>
  <c r="F34" i="26"/>
  <c r="E34" i="26"/>
  <c r="H33" i="26"/>
  <c r="G33" i="26"/>
  <c r="F33" i="26"/>
  <c r="E33" i="26"/>
  <c r="H32" i="26"/>
  <c r="G32" i="26"/>
  <c r="F32" i="26"/>
  <c r="E32" i="26"/>
  <c r="H31" i="26"/>
  <c r="G31" i="26"/>
  <c r="F31" i="26"/>
  <c r="E31" i="26"/>
  <c r="C56" i="51"/>
  <c r="A56" i="51"/>
  <c r="C57" i="51"/>
  <c r="A57" i="51"/>
  <c r="C80" i="51"/>
  <c r="A80" i="51"/>
  <c r="C77" i="51"/>
  <c r="A77" i="51"/>
  <c r="C74" i="51"/>
  <c r="A74" i="51"/>
  <c r="C72" i="51"/>
  <c r="A72" i="51"/>
  <c r="C69" i="51"/>
  <c r="A69" i="51"/>
  <c r="C65" i="51"/>
  <c r="A65" i="51"/>
  <c r="C66" i="51"/>
  <c r="A66" i="51"/>
  <c r="C81" i="51"/>
  <c r="C62" i="51"/>
  <c r="C63" i="51"/>
  <c r="C64" i="51"/>
  <c r="C67" i="51"/>
  <c r="C68" i="51"/>
  <c r="C70" i="51"/>
  <c r="C71" i="51"/>
  <c r="C73" i="51"/>
  <c r="C75" i="51"/>
  <c r="C76" i="51"/>
  <c r="C78" i="51"/>
  <c r="C79" i="51"/>
  <c r="C48" i="51"/>
  <c r="C49" i="51"/>
  <c r="C50" i="51"/>
  <c r="C51" i="51"/>
  <c r="C52" i="51"/>
  <c r="C53" i="51"/>
  <c r="C54" i="51"/>
  <c r="C55" i="51"/>
  <c r="C58" i="51"/>
  <c r="E27" i="53"/>
  <c r="E28" i="53"/>
  <c r="E29" i="53"/>
  <c r="E30" i="53"/>
  <c r="E31" i="53"/>
  <c r="E32" i="53"/>
  <c r="E6" i="53"/>
  <c r="E7" i="53"/>
  <c r="E8" i="53"/>
  <c r="E9" i="53"/>
  <c r="E10" i="53"/>
  <c r="E11" i="53"/>
  <c r="E12" i="53"/>
  <c r="E13" i="53"/>
  <c r="E14" i="53"/>
  <c r="E15" i="53"/>
  <c r="E16" i="53"/>
  <c r="E17" i="53"/>
  <c r="E18" i="53"/>
  <c r="E19" i="53"/>
  <c r="E20" i="53"/>
  <c r="E21" i="53"/>
  <c r="E22" i="53"/>
  <c r="E23" i="53"/>
  <c r="E24" i="53"/>
  <c r="E25" i="53"/>
  <c r="E26" i="53"/>
  <c r="C60" i="51"/>
  <c r="C61" i="51"/>
  <c r="C59" i="51"/>
  <c r="A61" i="51"/>
  <c r="F90" i="26"/>
  <c r="E90" i="26"/>
  <c r="F2" i="26"/>
  <c r="E2" i="26"/>
  <c r="F24" i="26"/>
  <c r="E24" i="26"/>
  <c r="F23" i="26"/>
  <c r="E23" i="26"/>
  <c r="F15" i="26"/>
  <c r="E15" i="26"/>
  <c r="F8" i="26"/>
  <c r="E8" i="26"/>
  <c r="F11" i="26"/>
  <c r="E11" i="26"/>
  <c r="F10" i="26"/>
  <c r="E10" i="26"/>
  <c r="F9" i="26"/>
  <c r="E9" i="26"/>
  <c r="F14" i="26"/>
  <c r="E14" i="26"/>
  <c r="F13" i="26"/>
  <c r="E13" i="26"/>
  <c r="F12" i="26"/>
  <c r="E12" i="26"/>
  <c r="F4" i="26"/>
  <c r="E4" i="26"/>
  <c r="F89" i="26"/>
  <c r="E89" i="26"/>
  <c r="F7" i="26"/>
  <c r="E7" i="26"/>
  <c r="F6" i="26"/>
  <c r="E6" i="26"/>
  <c r="F5" i="26"/>
  <c r="E5" i="26"/>
  <c r="F3" i="26"/>
  <c r="E3" i="26"/>
  <c r="A75" i="51"/>
  <c r="A76" i="51"/>
  <c r="A78" i="51"/>
  <c r="A79" i="51"/>
  <c r="A81" i="51"/>
  <c r="A71" i="51"/>
  <c r="A68" i="51"/>
  <c r="A60" i="51"/>
  <c r="A30" i="53"/>
  <c r="A31" i="53"/>
  <c r="A32" i="53"/>
  <c r="A73" i="51"/>
  <c r="E28" i="26"/>
  <c r="F28" i="26"/>
  <c r="G28" i="26"/>
  <c r="H28" i="26"/>
  <c r="E29" i="26"/>
  <c r="F29" i="26"/>
  <c r="G29" i="26"/>
  <c r="H29" i="26"/>
  <c r="E30" i="26"/>
  <c r="F30" i="26"/>
  <c r="G30" i="26"/>
  <c r="H30" i="26"/>
  <c r="E26" i="26"/>
  <c r="F26" i="26"/>
  <c r="E27" i="26"/>
  <c r="F27" i="26"/>
  <c r="E25" i="26"/>
  <c r="F25" i="26"/>
  <c r="A70" i="51"/>
  <c r="A29" i="53"/>
  <c r="H26" i="26"/>
  <c r="H27" i="26"/>
  <c r="G26" i="26"/>
  <c r="G27" i="26"/>
  <c r="A2" i="53"/>
  <c r="A3" i="53"/>
  <c r="A4" i="53"/>
  <c r="A2" i="51"/>
  <c r="A3" i="51"/>
  <c r="A4" i="51"/>
  <c r="A5" i="51"/>
  <c r="A6" i="51"/>
  <c r="A7" i="51"/>
  <c r="A8" i="51"/>
  <c r="A9" i="51"/>
  <c r="A10" i="51"/>
  <c r="A11" i="51"/>
  <c r="A12" i="51"/>
  <c r="A13" i="51"/>
  <c r="A14" i="51"/>
  <c r="A15" i="51"/>
  <c r="A16" i="51"/>
  <c r="A17" i="51"/>
  <c r="A18" i="51"/>
  <c r="A19" i="51"/>
  <c r="A20" i="51"/>
  <c r="A21" i="51"/>
  <c r="A22" i="51"/>
  <c r="A23" i="51"/>
  <c r="A24" i="51"/>
  <c r="H3" i="26"/>
  <c r="H2" i="26"/>
  <c r="A37" i="51"/>
  <c r="G2" i="26"/>
  <c r="A36" i="51"/>
  <c r="A6" i="53"/>
  <c r="A7" i="53"/>
  <c r="A8" i="53"/>
  <c r="A9" i="53"/>
  <c r="A10" i="53"/>
  <c r="A11" i="53"/>
  <c r="A12" i="53"/>
  <c r="A13" i="53"/>
  <c r="A14" i="53"/>
  <c r="A15" i="53"/>
  <c r="A16" i="53"/>
  <c r="A17" i="53"/>
  <c r="A18" i="53"/>
  <c r="A19" i="53"/>
  <c r="A20" i="53"/>
  <c r="A21" i="53"/>
  <c r="A22" i="53"/>
  <c r="A23" i="53"/>
  <c r="A24" i="53"/>
  <c r="A25" i="53"/>
  <c r="A26" i="53"/>
  <c r="A27" i="53"/>
  <c r="A28" i="53"/>
  <c r="A98" i="53"/>
  <c r="A5" i="53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8" i="51"/>
  <c r="A59" i="51"/>
  <c r="A62" i="51"/>
  <c r="A63" i="51"/>
  <c r="A64" i="51"/>
  <c r="A67" i="51"/>
  <c r="G89" i="26"/>
  <c r="E98" i="53"/>
  <c r="A5098" i="51"/>
  <c r="A5097" i="51"/>
  <c r="A5096" i="51"/>
  <c r="A5095" i="51"/>
  <c r="A5094" i="51"/>
  <c r="A5093" i="51"/>
  <c r="A5092" i="51"/>
  <c r="A5091" i="51"/>
  <c r="A5090" i="51"/>
  <c r="G3" i="26"/>
  <c r="F91" i="26"/>
  <c r="E91" i="26"/>
  <c r="G90" i="26"/>
  <c r="G25" i="26"/>
  <c r="G24" i="26"/>
  <c r="G23" i="26"/>
  <c r="G22" i="26"/>
  <c r="G21" i="26"/>
  <c r="G20" i="26"/>
  <c r="G19" i="26"/>
  <c r="G18" i="26"/>
  <c r="G17" i="26"/>
  <c r="G16" i="26"/>
  <c r="G15" i="26"/>
  <c r="G14" i="26"/>
  <c r="G13" i="26"/>
  <c r="G12" i="26"/>
  <c r="G11" i="26"/>
  <c r="G10" i="26"/>
  <c r="G9" i="26"/>
  <c r="G8" i="26"/>
  <c r="G7" i="26"/>
  <c r="G6" i="26"/>
  <c r="G5" i="26"/>
  <c r="G4" i="26"/>
  <c r="H23" i="26"/>
  <c r="H24" i="26"/>
  <c r="H25" i="26"/>
  <c r="E19" i="26"/>
  <c r="F19" i="26"/>
  <c r="E20" i="26"/>
  <c r="F20" i="26"/>
  <c r="E21" i="26"/>
  <c r="F21" i="26"/>
  <c r="E22" i="26"/>
  <c r="F22" i="26"/>
  <c r="E16" i="26"/>
  <c r="F16" i="26"/>
  <c r="H22" i="26"/>
  <c r="H21" i="26"/>
  <c r="H20" i="26"/>
  <c r="H19" i="26"/>
  <c r="F18" i="26"/>
  <c r="E18" i="26"/>
  <c r="F17" i="26"/>
  <c r="E17" i="26"/>
  <c r="H18" i="26"/>
  <c r="H17" i="26"/>
  <c r="H16" i="26"/>
  <c r="H15" i="26"/>
  <c r="H12" i="26"/>
  <c r="H14" i="26"/>
  <c r="H13" i="26"/>
  <c r="H11" i="26"/>
  <c r="H6" i="26"/>
  <c r="H9" i="26"/>
  <c r="H10" i="26"/>
  <c r="H8" i="26"/>
  <c r="H7" i="26"/>
  <c r="H5" i="26"/>
  <c r="H4" i="26"/>
  <c r="H89" i="26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B6" authorId="0">
      <text>
        <r>
          <rPr>
            <b/>
            <sz val="11"/>
            <color indexed="81"/>
            <rFont val="ＭＳ Ｐゴシック"/>
            <family val="3"/>
            <charset val="128"/>
          </rPr>
          <t>Microsoft Office ユーザー:</t>
        </r>
        <r>
          <rPr>
            <sz val="11"/>
            <color indexed="81"/>
            <rFont val="ＭＳ Ｐゴシック"/>
            <family val="3"/>
            <charset val="128"/>
          </rPr>
          <t xml:space="preserve">
ver1.4系まで</t>
        </r>
      </text>
    </comment>
  </commentList>
</comments>
</file>

<file path=xl/comments2.xml><?xml version="1.0" encoding="utf-8"?>
<comments xmlns="http://schemas.openxmlformats.org/spreadsheetml/2006/main">
  <authors>
    <author>吉澤 曜祐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出力データシートに追加する必要あり</t>
        </r>
      </text>
    </comment>
    <comment ref="E1" authorId="1">
      <text>
        <r>
          <rPr>
            <b/>
            <sz val="10"/>
            <color indexed="81"/>
            <rFont val="ＭＳ Ｐゴシック"/>
            <family val="3"/>
            <charset val="128"/>
          </rPr>
          <t>消費アイテム
　・ポリゴン：polygon
　・リンク：link</t>
        </r>
        <r>
          <rPr>
            <sz val="10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  <author>Microsoft Office ユーザー</author>
  </authors>
  <commentList>
    <comment ref="E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何回目か？</t>
        </r>
      </text>
    </comment>
    <comment ref="G1" authorId="1">
      <text>
        <r>
          <rPr>
            <b/>
            <sz val="10"/>
            <color indexed="81"/>
            <rFont val="ＭＳ Ｐゴシック"/>
            <family val="3"/>
            <charset val="128"/>
          </rPr>
          <t>消費アイテム
　・ポリゴン：polygon
　・リンク：link</t>
        </r>
        <r>
          <rPr>
            <sz val="10"/>
            <color indexed="81"/>
            <rFont val="ＭＳ Ｐゴシック"/>
            <family val="3"/>
            <charset val="128"/>
          </rPr>
          <t xml:space="preserve">
</t>
        </r>
      </text>
    </comment>
    <comment ref="I5261" authorId="2">
      <text>
        <r>
          <rPr>
            <b/>
            <sz val="11"/>
            <color indexed="81"/>
            <rFont val="ＭＳ Ｐゴシック"/>
            <family val="3"/>
            <charset val="128"/>
          </rPr>
          <t>Microsoft Office ユーザー:</t>
        </r>
        <r>
          <rPr>
            <sz val="11"/>
            <color indexed="81"/>
            <rFont val="ＭＳ Ｐゴシック"/>
            <family val="3"/>
            <charset val="128"/>
          </rPr>
          <t>最新のノーマルガチャ単発テーブル</t>
        </r>
      </text>
    </comment>
    <comment ref="K5261" authorId="2">
      <text>
        <r>
          <rPr>
            <b/>
            <sz val="11"/>
            <color indexed="81"/>
            <rFont val="ＭＳ Ｐゴシック"/>
            <family val="3"/>
            <charset val="128"/>
          </rPr>
          <t xml:space="preserve">Microsoft Office ユーザー:
</t>
        </r>
        <r>
          <rPr>
            <sz val="11"/>
            <color indexed="81"/>
            <rFont val="ＭＳ Ｐゴシック"/>
            <family val="3"/>
            <charset val="128"/>
          </rPr>
          <t>専用の★5確定テーブル</t>
        </r>
      </text>
    </comment>
    <comment ref="K5263" authorId="2">
      <text>
        <r>
          <rPr>
            <b/>
            <sz val="11"/>
            <color indexed="81"/>
            <rFont val="ＭＳ Ｐゴシック"/>
            <family val="3"/>
            <charset val="128"/>
          </rPr>
          <t xml:space="preserve">Microsoft Office ユーザー:
</t>
        </r>
        <r>
          <rPr>
            <sz val="11"/>
            <color indexed="81"/>
            <rFont val="ＭＳ Ｐゴシック"/>
            <family val="3"/>
            <charset val="128"/>
          </rPr>
          <t>専用の★5確定テーブル</t>
        </r>
      </text>
    </comment>
    <comment ref="K5301" authorId="2">
      <text>
        <r>
          <rPr>
            <b/>
            <sz val="11"/>
            <color indexed="81"/>
            <rFont val="ＭＳ Ｐゴシック"/>
            <family val="3"/>
            <charset val="128"/>
          </rPr>
          <t>Microsoft Office ユーザー:</t>
        </r>
        <r>
          <rPr>
            <sz val="11"/>
            <color indexed="81"/>
            <rFont val="ＭＳ Ｐゴシック"/>
            <family val="3"/>
            <charset val="128"/>
          </rPr>
          <t xml:space="preserve">
専用の★6覚醒可能ユニット確定テーブル
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E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v1.1.5が完全に消えたらこちらに直打ちしてOK</t>
        </r>
      </text>
    </comment>
    <comment ref="G1" authorId="1">
      <text>
        <r>
          <rPr>
            <b/>
            <sz val="10"/>
            <color indexed="81"/>
            <rFont val="ＭＳ Ｐゴシック"/>
            <family val="3"/>
            <charset val="128"/>
          </rPr>
          <t>v1.1.5向→v1.5.0で復活
値が高いほど優先度が高く、一つだけ出てくる</t>
        </r>
      </text>
    </comment>
    <comment ref="H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ver1.1.6向け→v1.4.x系で最期
orderの数値が小さいものほど左にでる
65535が最大とのことなので、そこからカウントダウンして使えば楽になりそう</t>
        </r>
      </text>
    </comment>
  </commentList>
</comments>
</file>

<file path=xl/comments5.xml><?xml version="1.0" encoding="utf-8"?>
<comments xmlns="http://schemas.openxmlformats.org/spreadsheetml/2006/main">
  <authors>
    <author>Microsoft Office ユーザー</author>
  </authors>
  <commentList>
    <comment ref="H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おまじない</t>
        </r>
      </text>
    </comment>
  </commentList>
</comments>
</file>

<file path=xl/comments6.xml><?xml version="1.0" encoding="utf-8"?>
<comments xmlns="http://schemas.openxmlformats.org/spreadsheetml/2006/main">
  <authors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消費アイテム
　・ポリゴン：polygon
　・リンク：link</t>
        </r>
        <r>
          <rPr>
            <sz val="10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<sst xmlns="http://schemas.openxmlformats.org/spreadsheetml/2006/main" count="42143" uniqueCount="3435">
  <si>
    <t>rare</t>
  </si>
  <si>
    <t>start_date</t>
    <phoneticPr fontId="12"/>
  </si>
  <si>
    <t>end_date</t>
    <phoneticPr fontId="12"/>
  </si>
  <si>
    <t>priority</t>
    <phoneticPr fontId="12"/>
  </si>
  <si>
    <t>gacha_type_id</t>
    <phoneticPr fontId="12"/>
  </si>
  <si>
    <t>use_item</t>
    <phoneticPr fontId="12"/>
  </si>
  <si>
    <t>draw_cost</t>
    <phoneticPr fontId="12"/>
  </si>
  <si>
    <t>link</t>
    <phoneticPr fontId="12"/>
  </si>
  <si>
    <t>備考</t>
    <rPh sb="0" eb="2">
      <t>ビコウ</t>
    </rPh>
    <phoneticPr fontId="12"/>
  </si>
  <si>
    <t>gacha_id</t>
    <phoneticPr fontId="12"/>
  </si>
  <si>
    <t>order</t>
    <phoneticPr fontId="12"/>
  </si>
  <si>
    <t>通常</t>
    <rPh sb="0" eb="2">
      <t>ツウジョウ</t>
    </rPh>
    <phoneticPr fontId="12"/>
  </si>
  <si>
    <t>rare</t>
    <phoneticPr fontId="12"/>
  </si>
  <si>
    <t>start_date</t>
    <phoneticPr fontId="12"/>
  </si>
  <si>
    <t>end_date</t>
    <phoneticPr fontId="12"/>
  </si>
  <si>
    <t>rate</t>
    <phoneticPr fontId="12"/>
  </si>
  <si>
    <t>gacha_id</t>
  </si>
  <si>
    <t>period_id</t>
  </si>
  <si>
    <t>detail</t>
    <phoneticPr fontId="12"/>
  </si>
  <si>
    <t>period_id</t>
    <phoneticPr fontId="12"/>
  </si>
  <si>
    <t>gacha_type_id</t>
  </si>
  <si>
    <t>gacha_type_id</t>
    <phoneticPr fontId="12"/>
  </si>
  <si>
    <t>polygon</t>
    <phoneticPr fontId="12"/>
  </si>
  <si>
    <t>use_item</t>
  </si>
  <si>
    <t>use_item</t>
    <phoneticPr fontId="12"/>
  </si>
  <si>
    <t>draw_cost</t>
  </si>
  <si>
    <t>draw_cost</t>
    <phoneticPr fontId="12"/>
  </si>
  <si>
    <t>language</t>
    <phoneticPr fontId="12"/>
  </si>
  <si>
    <t>order</t>
  </si>
  <si>
    <t>gacha_schedule_id</t>
    <phoneticPr fontId="12"/>
  </si>
  <si>
    <t>valid_flg</t>
    <phoneticPr fontId="12"/>
  </si>
  <si>
    <t>フレンドガチャ（常設）</t>
    <rPh sb="8" eb="10">
      <t>ジョウセツ</t>
    </rPh>
    <phoneticPr fontId="12"/>
  </si>
  <si>
    <t>image_filename</t>
    <phoneticPr fontId="12"/>
  </si>
  <si>
    <t>レアガチャ（追加02 確率UP）</t>
    <rPh sb="6" eb="8">
      <t>ツイカ</t>
    </rPh>
    <rPh sb="11" eb="13">
      <t>カクリツ</t>
    </rPh>
    <phoneticPr fontId="12"/>
  </si>
  <si>
    <t>ピックアップ01　開始</t>
    <rPh sb="9" eb="11">
      <t>カイシ</t>
    </rPh>
    <phoneticPr fontId="12"/>
  </si>
  <si>
    <t>ピックアップ01　あと少し</t>
    <rPh sb="11" eb="12">
      <t>スコ</t>
    </rPh>
    <phoneticPr fontId="12"/>
  </si>
  <si>
    <t>ピックアップ01　最終日</t>
    <rPh sb="9" eb="12">
      <t>サイシュウビ</t>
    </rPh>
    <phoneticPr fontId="12"/>
  </si>
  <si>
    <t>赤アップ01　開始</t>
    <rPh sb="0" eb="1">
      <t>アカ</t>
    </rPh>
    <rPh sb="7" eb="9">
      <t>カイシ</t>
    </rPh>
    <phoneticPr fontId="12"/>
  </si>
  <si>
    <t>内容</t>
    <rPh sb="0" eb="2">
      <t>ナイヨウ</t>
    </rPh>
    <phoneticPr fontId="15"/>
  </si>
  <si>
    <t>男気リンクガチャ（常設）</t>
    <rPh sb="0" eb="2">
      <t>オトコギ</t>
    </rPh>
    <rPh sb="2" eb="8">
      <t>シンリンク</t>
    </rPh>
    <rPh sb="9" eb="11">
      <t>ジョウセツ</t>
    </rPh>
    <phoneticPr fontId="12"/>
  </si>
  <si>
    <t>ピックアップ02(沖田) 開始</t>
    <rPh sb="9" eb="11">
      <t>オキタ</t>
    </rPh>
    <rPh sb="13" eb="15">
      <t>カイシ</t>
    </rPh>
    <phoneticPr fontId="12"/>
  </si>
  <si>
    <t>ピックアップ02(沖田) あと少し</t>
    <rPh sb="9" eb="11">
      <t>オキタ</t>
    </rPh>
    <rPh sb="15" eb="17">
      <t>スk</t>
    </rPh>
    <phoneticPr fontId="12"/>
  </si>
  <si>
    <t>ピックアップ02(沖田) 最終日</t>
    <rPh sb="9" eb="11">
      <t>オキタ</t>
    </rPh>
    <rPh sb="13" eb="16">
      <t>サイシュウビ</t>
    </rPh>
    <phoneticPr fontId="12"/>
  </si>
  <si>
    <t>新キャラ追加03（新撰組）</t>
    <rPh sb="0" eb="1">
      <t>シン</t>
    </rPh>
    <rPh sb="4" eb="6">
      <t>ツイカ</t>
    </rPh>
    <rPh sb="9" eb="12">
      <t>シンセングミ</t>
    </rPh>
    <phoneticPr fontId="12"/>
  </si>
  <si>
    <t>レアガチャ（追加02）（大罪）</t>
    <rPh sb="6" eb="8">
      <t>ツイカ</t>
    </rPh>
    <rPh sb="12" eb="14">
      <t>タイザイ</t>
    </rPh>
    <phoneticPr fontId="12"/>
  </si>
  <si>
    <t>青アップ01　開始</t>
    <rPh sb="0" eb="1">
      <t>アオ</t>
    </rPh>
    <rPh sb="7" eb="9">
      <t>カイシ</t>
    </rPh>
    <phoneticPr fontId="12"/>
  </si>
  <si>
    <t>赤アップ0１　あと少し</t>
    <rPh sb="0" eb="1">
      <t>アカ</t>
    </rPh>
    <rPh sb="9" eb="10">
      <t>スコ</t>
    </rPh>
    <phoneticPr fontId="12"/>
  </si>
  <si>
    <t>赤アップ0１　最終日</t>
    <rPh sb="0" eb="1">
      <t>アカ</t>
    </rPh>
    <rPh sb="7" eb="10">
      <t>サイシュウビ</t>
    </rPh>
    <phoneticPr fontId="12"/>
  </si>
  <si>
    <t>青アップ0１　あと少し</t>
    <rPh sb="0" eb="1">
      <t>アオ</t>
    </rPh>
    <rPh sb="9" eb="10">
      <t>スコ</t>
    </rPh>
    <phoneticPr fontId="12"/>
  </si>
  <si>
    <t>青アップ0１　最終日</t>
    <rPh sb="0" eb="1">
      <t>アオ</t>
    </rPh>
    <rPh sb="7" eb="10">
      <t>サイシュウビ</t>
    </rPh>
    <phoneticPr fontId="12"/>
  </si>
  <si>
    <t>緑アップ01 開始</t>
    <rPh sb="0" eb="1">
      <t>ミドリ</t>
    </rPh>
    <rPh sb="7" eb="9">
      <t>カイシ</t>
    </rPh>
    <phoneticPr fontId="12"/>
  </si>
  <si>
    <t>緑アップ01 あと少し</t>
    <rPh sb="0" eb="1">
      <t>ミドリ</t>
    </rPh>
    <rPh sb="9" eb="10">
      <t>スコ</t>
    </rPh>
    <phoneticPr fontId="12"/>
  </si>
  <si>
    <t>緑アップ01 最終日</t>
    <rPh sb="0" eb="1">
      <t>ミドリ</t>
    </rPh>
    <rPh sb="7" eb="10">
      <t>サイシュウビ</t>
    </rPh>
    <phoneticPr fontId="12"/>
  </si>
  <si>
    <t>新キャラ追加04(ドラゴン）あと少し</t>
    <rPh sb="0" eb="4">
      <t>シンキャ</t>
    </rPh>
    <rPh sb="4" eb="6">
      <t>ツイカ</t>
    </rPh>
    <rPh sb="16" eb="17">
      <t>スコ</t>
    </rPh>
    <phoneticPr fontId="12"/>
  </si>
  <si>
    <t>新キャラ追加04(ドラゴン）最終日</t>
    <rPh sb="0" eb="4">
      <t>シンキャ</t>
    </rPh>
    <rPh sb="4" eb="6">
      <t>ツイカ</t>
    </rPh>
    <rPh sb="14" eb="17">
      <t>サイシュウビ</t>
    </rPh>
    <phoneticPr fontId="12"/>
  </si>
  <si>
    <t>新キャラ追加04(ドラゴン)通常</t>
    <rPh sb="0" eb="1">
      <t>シン</t>
    </rPh>
    <rPh sb="4" eb="6">
      <t>ツイカ</t>
    </rPh>
    <rPh sb="14" eb="16">
      <t>ツウジョウ</t>
    </rPh>
    <phoneticPr fontId="12"/>
  </si>
  <si>
    <t>新キャラ追加04(ドラゴン）確率アップ</t>
    <rPh sb="0" eb="4">
      <t>シンキャ</t>
    </rPh>
    <rPh sb="4" eb="6">
      <t>ツイカ</t>
    </rPh>
    <rPh sb="14" eb="16">
      <t>カクリツ</t>
    </rPh>
    <phoneticPr fontId="12"/>
  </si>
  <si>
    <t>gacha_element_id</t>
  </si>
  <si>
    <t>gacha_element_id</t>
    <phoneticPr fontId="12"/>
  </si>
  <si>
    <t>start_date</t>
    <phoneticPr fontId="12"/>
  </si>
  <si>
    <t>end_date</t>
    <phoneticPr fontId="12"/>
  </si>
  <si>
    <t>image_filename</t>
    <phoneticPr fontId="12"/>
  </si>
  <si>
    <t>start_date</t>
    <phoneticPr fontId="12"/>
  </si>
  <si>
    <t>gacha_element_id</t>
    <phoneticPr fontId="12"/>
  </si>
  <si>
    <t>gacha_pattern</t>
  </si>
  <si>
    <t>gacha_pattern</t>
    <phoneticPr fontId="12"/>
  </si>
  <si>
    <t>draw_time</t>
  </si>
  <si>
    <t>draw_time</t>
    <phoneticPr fontId="12"/>
  </si>
  <si>
    <t>select_table_no</t>
  </si>
  <si>
    <t>select_table_no</t>
    <phoneticPr fontId="12"/>
  </si>
  <si>
    <t>bonus_table_no</t>
  </si>
  <si>
    <t>bonus_table_no</t>
    <phoneticPr fontId="12"/>
  </si>
  <si>
    <t>settle_table_no</t>
  </si>
  <si>
    <t>settle_table_no</t>
    <phoneticPr fontId="12"/>
  </si>
  <si>
    <t>settle_count</t>
  </si>
  <si>
    <t>settle_count</t>
    <phoneticPr fontId="12"/>
  </si>
  <si>
    <t>unsettle_rarity</t>
  </si>
  <si>
    <t>unsettle_rarity</t>
    <phoneticPr fontId="12"/>
  </si>
  <si>
    <t>memo</t>
  </si>
  <si>
    <t>memo</t>
    <phoneticPr fontId="12"/>
  </si>
  <si>
    <t>draw_count</t>
  </si>
  <si>
    <t>draw_count</t>
    <phoneticPr fontId="12"/>
  </si>
  <si>
    <t>use_item</t>
    <phoneticPr fontId="12"/>
  </si>
  <si>
    <t>draw_cost</t>
    <phoneticPr fontId="12"/>
  </si>
  <si>
    <t>null</t>
    <phoneticPr fontId="12"/>
  </si>
  <si>
    <t>null</t>
    <phoneticPr fontId="12"/>
  </si>
  <si>
    <t>null</t>
    <phoneticPr fontId="12"/>
  </si>
  <si>
    <t>null</t>
    <phoneticPr fontId="12"/>
  </si>
  <si>
    <t>概要</t>
    <rPh sb="0" eb="2">
      <t>ガイヨウ</t>
    </rPh>
    <phoneticPr fontId="12"/>
  </si>
  <si>
    <t>リンクガチャ</t>
    <phoneticPr fontId="12"/>
  </si>
  <si>
    <t>リンクガチャ（2連）</t>
    <rPh sb="8" eb="9">
      <t>レン</t>
    </rPh>
    <phoneticPr fontId="12"/>
  </si>
  <si>
    <t>リンクガチャ（3連）</t>
    <rPh sb="8" eb="9">
      <t>レン</t>
    </rPh>
    <phoneticPr fontId="12"/>
  </si>
  <si>
    <t>リンクガチャ（4連）</t>
    <rPh sb="8" eb="9">
      <t>レン</t>
    </rPh>
    <phoneticPr fontId="12"/>
  </si>
  <si>
    <t>リンクガチャ（5連）</t>
    <rPh sb="8" eb="9">
      <t>レン</t>
    </rPh>
    <phoneticPr fontId="12"/>
  </si>
  <si>
    <t>リンクガチャ（6連）</t>
    <rPh sb="8" eb="9">
      <t>レン</t>
    </rPh>
    <phoneticPr fontId="12"/>
  </si>
  <si>
    <t>リンクガチャ（7連）</t>
    <rPh sb="8" eb="9">
      <t>レン</t>
    </rPh>
    <phoneticPr fontId="12"/>
  </si>
  <si>
    <t>リンクガチャ（8連）</t>
    <rPh sb="8" eb="9">
      <t>レン</t>
    </rPh>
    <phoneticPr fontId="12"/>
  </si>
  <si>
    <t>リンクガチャ（9連）</t>
    <rPh sb="8" eb="9">
      <t>レン</t>
    </rPh>
    <phoneticPr fontId="12"/>
  </si>
  <si>
    <t>リンクガチャ（10連）</t>
    <rPh sb="9" eb="10">
      <t>レン</t>
    </rPh>
    <phoneticPr fontId="12"/>
  </si>
  <si>
    <t>temp_id</t>
    <phoneticPr fontId="12"/>
  </si>
  <si>
    <t>gacha_id</t>
    <phoneticPr fontId="12"/>
  </si>
  <si>
    <t>ポリゴンガチャのペースグループ</t>
    <phoneticPr fontId="12"/>
  </si>
  <si>
    <t>リンクガチャのベースグループ</t>
    <phoneticPr fontId="12"/>
  </si>
  <si>
    <t>start_date</t>
    <phoneticPr fontId="12"/>
  </si>
  <si>
    <t>end_date</t>
    <phoneticPr fontId="12"/>
  </si>
  <si>
    <t>gacha_group_code</t>
    <phoneticPr fontId="12"/>
  </si>
  <si>
    <t>gacha_pattern</t>
    <phoneticPr fontId="12"/>
  </si>
  <si>
    <t>poly_1</t>
    <phoneticPr fontId="12"/>
  </si>
  <si>
    <t>link_1</t>
    <phoneticPr fontId="12"/>
  </si>
  <si>
    <t>temp_id</t>
    <phoneticPr fontId="12"/>
  </si>
  <si>
    <t>テスト用ガチャ</t>
    <rPh sb="3" eb="4">
      <t>ヨウ</t>
    </rPh>
    <phoneticPr fontId="12"/>
  </si>
  <si>
    <t>テスト定常</t>
    <rPh sb="3" eb="5">
      <t>テイジョウ</t>
    </rPh>
    <phoneticPr fontId="12"/>
  </si>
  <si>
    <t>テストイベ１</t>
    <phoneticPr fontId="12"/>
  </si>
  <si>
    <t>テストイベ２</t>
    <phoneticPr fontId="12"/>
  </si>
  <si>
    <t>テストイベ１</t>
    <phoneticPr fontId="12"/>
  </si>
  <si>
    <t>テストイベ２</t>
    <phoneticPr fontId="12"/>
  </si>
  <si>
    <t>null</t>
    <phoneticPr fontId="12"/>
  </si>
  <si>
    <t>テストイベ３</t>
    <phoneticPr fontId="12"/>
  </si>
  <si>
    <t>ja</t>
  </si>
  <si>
    <t>赤アップ02　あと少し</t>
    <rPh sb="0" eb="1">
      <t>アカ</t>
    </rPh>
    <rPh sb="9" eb="10">
      <t>スコ</t>
    </rPh>
    <phoneticPr fontId="12"/>
  </si>
  <si>
    <t>赤アップ02　最終日</t>
    <rPh sb="0" eb="1">
      <t>アカ</t>
    </rPh>
    <rPh sb="7" eb="10">
      <t>サイシュウビ</t>
    </rPh>
    <phoneticPr fontId="12"/>
  </si>
  <si>
    <t>黄アップ01　開始</t>
    <rPh sb="0" eb="1">
      <t>キ</t>
    </rPh>
    <rPh sb="7" eb="9">
      <t>カイシ</t>
    </rPh>
    <phoneticPr fontId="12"/>
  </si>
  <si>
    <t>黄アップ01　あと少し</t>
    <rPh sb="0" eb="1">
      <t>キ</t>
    </rPh>
    <rPh sb="9" eb="11">
      <t>スコ</t>
    </rPh>
    <phoneticPr fontId="12"/>
  </si>
  <si>
    <t>黄アップ01　最終日</t>
    <rPh sb="0" eb="1">
      <t>キ</t>
    </rPh>
    <rPh sb="7" eb="10">
      <t>サイシュ</t>
    </rPh>
    <phoneticPr fontId="12"/>
  </si>
  <si>
    <t>2015-10-05 00:00:00</t>
    <phoneticPr fontId="15"/>
  </si>
  <si>
    <t>2015-10-06 00:00:00</t>
    <phoneticPr fontId="15"/>
  </si>
  <si>
    <t>2015-10-06 15:00:00</t>
    <phoneticPr fontId="15"/>
  </si>
  <si>
    <t>2015-10-06 23:59:59</t>
    <phoneticPr fontId="15"/>
  </si>
  <si>
    <t>2015-10-07 14:59:59</t>
    <phoneticPr fontId="15"/>
  </si>
  <si>
    <t>2015-10-07 00:00:00</t>
    <phoneticPr fontId="15"/>
  </si>
  <si>
    <t>2015-10-07 23:59:59</t>
    <phoneticPr fontId="15"/>
  </si>
  <si>
    <t>2015-10-07 23:59:59</t>
    <phoneticPr fontId="15"/>
  </si>
  <si>
    <t>temp_id</t>
  </si>
  <si>
    <t>赤アップ02開始</t>
    <rPh sb="0" eb="1">
      <t>アカ</t>
    </rPh>
    <rPh sb="6" eb="8">
      <t>カイシ</t>
    </rPh>
    <phoneticPr fontId="12"/>
  </si>
  <si>
    <t>campaign_image</t>
    <phoneticPr fontId="12"/>
  </si>
  <si>
    <t>campaign_image</t>
    <phoneticPr fontId="12"/>
  </si>
  <si>
    <t>新撰組UP 開始</t>
    <rPh sb="0" eb="3">
      <t>シンセングミ</t>
    </rPh>
    <rPh sb="6" eb="8">
      <t>カイシ</t>
    </rPh>
    <phoneticPr fontId="12"/>
  </si>
  <si>
    <t>新撰組UP あと少し</t>
    <rPh sb="0" eb="3">
      <t>シンセングミ</t>
    </rPh>
    <rPh sb="8" eb="9">
      <t>スコ</t>
    </rPh>
    <phoneticPr fontId="12"/>
  </si>
  <si>
    <t>新撰組UP 最終日</t>
    <rPh sb="0" eb="3">
      <t>シンセングミ</t>
    </rPh>
    <rPh sb="6" eb="9">
      <t>サイシュウビ</t>
    </rPh>
    <phoneticPr fontId="12"/>
  </si>
  <si>
    <t>童話ガチャ　開始</t>
    <rPh sb="0" eb="2">
      <t>ドウワ</t>
    </rPh>
    <rPh sb="6" eb="8">
      <t>カイシ</t>
    </rPh>
    <phoneticPr fontId="12"/>
  </si>
  <si>
    <t>童話ガチャ　あと少し</t>
    <rPh sb="0" eb="2">
      <t>ドウワ</t>
    </rPh>
    <rPh sb="8" eb="10">
      <t>スコ</t>
    </rPh>
    <phoneticPr fontId="12"/>
  </si>
  <si>
    <t>童話ガチャ　最終日</t>
    <rPh sb="0" eb="2">
      <t>ドウワ</t>
    </rPh>
    <rPh sb="6" eb="9">
      <t>サイシュ</t>
    </rPh>
    <phoneticPr fontId="12"/>
  </si>
  <si>
    <t>tit_single.png</t>
    <phoneticPr fontId="12"/>
  </si>
  <si>
    <t>tit_10ren.png</t>
    <phoneticPr fontId="12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</si>
  <si>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</si>
  <si>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</si>
  <si>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</si>
  <si>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</si>
  <si>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</si>
  <si>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</si>
  <si>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gachas</t>
  </si>
  <si>
    <t>.csv</t>
    <phoneticPr fontId="45"/>
  </si>
  <si>
    <t>gachas_i18n</t>
    <phoneticPr fontId="45"/>
  </si>
  <si>
    <t>gacha_elements</t>
  </si>
  <si>
    <t>gacha_groups</t>
  </si>
  <si>
    <t>gacha_schedules</t>
    <phoneticPr fontId="45"/>
  </si>
  <si>
    <t>gacha_schedules</t>
    <phoneticPr fontId="45"/>
  </si>
  <si>
    <t>gacha_layouts</t>
    <phoneticPr fontId="12"/>
  </si>
  <si>
    <t>gacha_types</t>
  </si>
  <si>
    <t>gacha_rarity_bump</t>
  </si>
  <si>
    <t>gacha_rarity_bump</t>
    <phoneticPr fontId="12"/>
  </si>
  <si>
    <t>GachaTop_200_2.png</t>
    <phoneticPr fontId="12"/>
  </si>
  <si>
    <t xml:space="preserve">攻撃凸 </t>
    <rPh sb="0" eb="2">
      <t>コウゲキ</t>
    </rPh>
    <rPh sb="2" eb="3">
      <t>トツ</t>
    </rPh>
    <phoneticPr fontId="12"/>
  </si>
  <si>
    <t>斎藤ピックアップ</t>
    <rPh sb="0" eb="2">
      <t>サイトウ</t>
    </rPh>
    <phoneticPr fontId="12"/>
  </si>
  <si>
    <t>新ガチャ（神話動物）前半</t>
    <rPh sb="0" eb="1">
      <t>シン</t>
    </rPh>
    <rPh sb="5" eb="9">
      <t>シンワドウ</t>
    </rPh>
    <rPh sb="10" eb="12">
      <t>ゼンハン</t>
    </rPh>
    <phoneticPr fontId="12"/>
  </si>
  <si>
    <t>新ガチャ（神話動物）後半</t>
    <rPh sb="0" eb="1">
      <t>シン</t>
    </rPh>
    <rPh sb="5" eb="9">
      <t>シンワドウ</t>
    </rPh>
    <rPh sb="10" eb="11">
      <t>アト</t>
    </rPh>
    <rPh sb="11" eb="12">
      <t>ゼンハン</t>
    </rPh>
    <phoneticPr fontId="12"/>
  </si>
  <si>
    <t>【&lt;font color="#ff2626"&gt;超&lt;/font&gt;&lt;font color="#ffe22a"&gt;激&lt;/font&gt;&lt;font color="#0093ff"&gt;レ&lt;/font&gt;&lt;font color="#00e074"&gt;ア&lt;/font&gt;ユニットをGETしよう！】
&lt;font color="#ffab27"&gt;8/28〜9/2&lt;/font&gt;は新ユニットの出現率UP!</t>
    <rPh sb="0" eb="1">
      <t>ゲキ</t>
    </rPh>
    <phoneticPr fontId="12"/>
  </si>
  <si>
    <t>【&lt;font color="#ff2626"&gt;超&lt;/font&gt;&lt;font color="#ffe22a"&gt;激&lt;/font&gt;&lt;font color="#0093ff"&gt;レ&lt;/font&gt;&lt;font color="#00e074"&gt;ア&lt;/font&gt;ユニットをGETしよう！】
レアガチャは&lt;font color="#ffab27"&gt;ポリゴン5個&lt;/font&gt;で1回引けるよ！</t>
    <rPh sb="0" eb="1">
      <t>ゲキ</t>
    </rPh>
    <rPh sb="167" eb="168">
      <t>コ</t>
    </rPh>
    <rPh sb="177" eb="178">
      <t>カイ</t>
    </rPh>
    <rPh sb="178" eb="179">
      <t>ヒ</t>
    </rPh>
    <phoneticPr fontId="12"/>
  </si>
  <si>
    <t>【&lt;font color="#ff2626"&gt;アレス&lt;/font&gt;、&lt;font color="#ffe22a"&gt;イザナミ&lt;/font&gt;、&lt;font color="#0093ff"&gt;ジークフリート&lt;/font&gt;、&lt;font color="#00e074"&gt;オセ&lt;/font&gt;をGETしよう！】
&lt;font color="#ffab27"&gt;9/11〜9/15&lt;/font&gt;はこの４体の出現率UP!</t>
    <rPh sb="0" eb="1">
      <t>ゲキ</t>
    </rPh>
    <rPh sb="188" eb="189">
      <t>タイ</t>
    </rPh>
    <phoneticPr fontId="12"/>
  </si>
  <si>
    <t>【超強力&lt;font color="#ff2626"&gt;赤&lt;/font&gt;ユニットをGETしよう！】
&lt;font color="#ffab27"&gt;9/26〜9/28&lt;/font&gt;は赤ユニットの出現率UP!</t>
    <rPh sb="0" eb="1">
      <t>ゲキ</t>
    </rPh>
    <rPh sb="87" eb="88">
      <t>アカ</t>
    </rPh>
    <phoneticPr fontId="12"/>
  </si>
  <si>
    <t>【&lt;font color="#0093ff"&gt;沖田総司&lt;/font&gt;、&lt;font color="#ffe22a"&gt;ミカエル&lt;/font&gt;、&lt;font color="#00e074"&gt;ヨルムンガンド&lt;/font&gt;をGETしよう！】
&lt;font color="#ffab27"&gt;9/22〜9/25&lt;/font&gt;はこの3体の出現率UP!</t>
    <rPh sb="156" eb="157">
      <t>タイ</t>
    </rPh>
    <phoneticPr fontId="12"/>
  </si>
  <si>
    <t>【&lt;font color="#ff2626"&gt;超&lt;/font&gt;&lt;font color="#ffe22a"&gt;激&lt;/font&gt;&lt;font color="#0093ff"&gt;レ&lt;/font&gt;&lt;font color="#00e074"&gt;ア&lt;/font&gt;ユニットをGETしよう！】
&lt;font color="#ffab27"&gt;9/30〜10/5&lt;/font&gt;は新ユニットの出現率UP!</t>
    <rPh sb="0" eb="1">
      <t>ゲキ</t>
    </rPh>
    <phoneticPr fontId="12"/>
  </si>
  <si>
    <t>【超強力&lt;font color="#0093ff"&gt;青&lt;/font&gt;ユニットをGETしよう！】
&lt;font color="#ffab27"&gt;10/10〜10/13&lt;/font&gt;は青ユニットの出現率UP!</t>
    <rPh sb="0" eb="1">
      <t>ゲキ</t>
    </rPh>
    <rPh sb="26" eb="27">
      <t>アオ</t>
    </rPh>
    <rPh sb="89" eb="90">
      <t>アオ</t>
    </rPh>
    <phoneticPr fontId="12"/>
  </si>
  <si>
    <t>【超強力&lt;font color="#00e074"&gt;緑&lt;/font&gt;ユニットをGETしよう！】
&lt;font color="#ffab27"&gt;10/5〜10/7&lt;/font&gt;は緑ユニットの出現率UP!</t>
    <rPh sb="0" eb="1">
      <t>ゲキ</t>
    </rPh>
    <rPh sb="26" eb="27">
      <t>ミドリ</t>
    </rPh>
    <rPh sb="87" eb="88">
      <t>ミドリ</t>
    </rPh>
    <phoneticPr fontId="12"/>
  </si>
  <si>
    <t>【超強力&lt;font color="#ff2626"&gt;赤&lt;/font&gt;ユニットをGETしよう！】
&lt;font color="#ffab27"&gt;10/8〜10/10&lt;/font&gt;は赤ユニットの出現率UP!</t>
  </si>
  <si>
    <t>【超強力&lt;font color="#ff2626"&gt;赤&lt;/font&gt;ユニットをGETしよう！】
&lt;font color="#ffab27"&gt;10/8〜10/10&lt;/font&gt;は赤ユニットの出現率UP!</t>
    <rPh sb="25" eb="26">
      <t>アカ</t>
    </rPh>
    <rPh sb="87" eb="88">
      <t>アカ</t>
    </rPh>
    <phoneticPr fontId="12"/>
  </si>
  <si>
    <t>【超強力&lt;font color="#ff2626"&gt;赤&lt;/font&gt;ユニットをGETしよう！】
&lt;font color="#ffab27"&gt;10/8〜10/10&lt;/font&gt;は赤ユニットの出現率UP!</t>
    <rPh sb="86" eb="87">
      <t>アカ</t>
    </rPh>
    <phoneticPr fontId="12"/>
  </si>
  <si>
    <t>【超強力&lt;font color="#ffe22a"&gt;黄&lt;/font&gt;ユニットをGETしよう！】
&lt;font color="#ffab27"&gt;10/13〜10/16&lt;/font&gt;は黄ユニットの出現率UP!</t>
    <rPh sb="24" eb="25">
      <t>キ</t>
    </rPh>
    <rPh sb="85" eb="86">
      <t>アカ</t>
    </rPh>
    <rPh sb="87" eb="88">
      <t>キ</t>
    </rPh>
    <phoneticPr fontId="12"/>
  </si>
  <si>
    <t>史上最強の&lt;font color="#ff2626"&gt;新撰組シリーズ&lt;/font&gt;をGETしよう！】
&lt;font color="#ffab27"&gt;10/16〜10/19&lt;/font&gt;は人気ユニットの出現率UP!</t>
    <rPh sb="0" eb="2">
      <t>シジョウサイキョウ</t>
    </rPh>
    <rPh sb="25" eb="28">
      <t>シンセングミ</t>
    </rPh>
    <rPh sb="88" eb="89">
      <t>アカ</t>
    </rPh>
    <rPh sb="90" eb="92">
      <t>ニンキ</t>
    </rPh>
    <phoneticPr fontId="12"/>
  </si>
  <si>
    <t>史上最強の&lt;font color="#ff2626"&gt;新撰組シリーズ&lt;/font&gt;をGETしよう！】
&lt;font color="#ffab27"&gt;10/16〜10/19&lt;/font&gt;は人気ユニットの出現率UP!</t>
    <rPh sb="0" eb="2">
      <t>シジョウサイキョウ</t>
    </rPh>
    <rPh sb="25" eb="28">
      <t>シンセングミ</t>
    </rPh>
    <rPh sb="88" eb="89">
      <t>アカ</t>
    </rPh>
    <phoneticPr fontId="12"/>
  </si>
  <si>
    <t>【&lt;font color="#ff2626"&gt;超&lt;/font&gt;&lt;font color="#ffe22a"&gt;激&lt;/font&gt;&lt;font color="#0093ff"&gt;レ&lt;/font&gt;&lt;font color="#00e074"&gt;ア&lt;/font&gt;ユニットをGETしよう！】
&lt;font color="#ffab27"&gt;10/19〜10/23&lt;/font&gt;は新ユニットの出現率UP!</t>
    <rPh sb="0" eb="1">
      <t>ゲキ</t>
    </rPh>
    <phoneticPr fontId="12"/>
  </si>
  <si>
    <t>【超強力&lt;font color="#ff2626"&gt;攻撃&lt;/font&gt;ユニットをGETしよう！】
&lt;font color="#ffab27"&gt;10/23〜10/28&lt;/font&gt;は攻撃ユニットの出現率UP!</t>
    <rPh sb="24" eb="25">
      <t>キ</t>
    </rPh>
    <rPh sb="25" eb="27">
      <t>コウゲキ</t>
    </rPh>
    <rPh sb="86" eb="87">
      <t>アカ</t>
    </rPh>
    <rPh sb="88" eb="89">
      <t>キ</t>
    </rPh>
    <rPh sb="89" eb="91">
      <t>コウゲキ</t>
    </rPh>
    <phoneticPr fontId="12"/>
  </si>
  <si>
    <t>【&lt;font color="#ffe22a"&gt;斎藤&lt;/font&gt;、&lt;font color="#ffe22a"&gt;ミカエル&lt;/font&gt;、&lt;font color="#ffe22a"&gt;アストライアー&lt;/font&gt;をGETしよう！】
&lt;font color="#ffab27"&gt;10/28〜10/31&lt;/font&gt;はこの3体の出現率UP!</t>
    <rPh sb="0" eb="1">
      <t>ゲキ</t>
    </rPh>
    <rPh sb="23" eb="25">
      <t>サイトウ</t>
    </rPh>
    <rPh sb="157" eb="158">
      <t>タイ</t>
    </rPh>
    <phoneticPr fontId="12"/>
  </si>
  <si>
    <t>【&lt;font color="#ff2626"&gt;超&lt;/font&gt;&lt;font color="#ffe22a"&gt;激&lt;/font&gt;&lt;font color="#0093ff"&gt;レ&lt;/font&gt;&lt;font color="#00e074"&gt;ア&lt;/font&gt;ユニットをGETしよう！】
&lt;font color="#ffab27"&gt;11/2〜11/8&lt;/font&gt;は&lt;font color="#00e074"&gt;八咫烏&lt;/font&gt;・&lt;font color="#ff2626"&gt;フェンリル&lt;/font&gt;の出現率UP!</t>
    <rPh sb="0" eb="1">
      <t>ゲキ</t>
    </rPh>
    <rPh sb="196" eb="199">
      <t>ヤタガr</t>
    </rPh>
    <phoneticPr fontId="12"/>
  </si>
  <si>
    <t>【リンクを使って無料でユニットGET！】
リンクガチャは&lt;font color="#ffab27"&gt;リンク100pt&lt;/font&gt;で1回引けるよ！
フレンドに&lt;font color="#ffab27"&gt;助っ人&lt;/font&gt;してもらってリンクを集めよう！</t>
    <rPh sb="4" eb="5">
      <t>ツカ</t>
    </rPh>
    <rPh sb="7" eb="9">
      <t>ムリョウ</t>
    </rPh>
    <rPh sb="66" eb="67">
      <t>カイ</t>
    </rPh>
    <rPh sb="67" eb="68">
      <t>ヒ</t>
    </rPh>
    <rPh sb="101" eb="102">
      <t>スケ</t>
    </rPh>
    <rPh sb="103" eb="104">
      <t>ト</t>
    </rPh>
    <rPh sb="121" eb="122">
      <t>アツ</t>
    </rPh>
    <phoneticPr fontId="12"/>
  </si>
  <si>
    <t>2015-03-27 00:00:00</t>
  </si>
  <si>
    <t>2970-01-01 09:00:00</t>
  </si>
  <si>
    <t>2100-01-01 00:00:00</t>
  </si>
  <si>
    <t>2100-01-01 23:59:59</t>
  </si>
  <si>
    <t>2015-10-10 15:00:00</t>
  </si>
  <si>
    <t>2015-10-11 23:59:59</t>
  </si>
  <si>
    <t>2015-10-12 00:00:00</t>
  </si>
  <si>
    <t>2015-10-12 23:59:59</t>
  </si>
  <si>
    <t>2015-10-13 00:00:00</t>
  </si>
  <si>
    <t>2015-10-13 14:59:59</t>
  </si>
  <si>
    <t>2015-10-07 00:00:00</t>
  </si>
  <si>
    <t>2015-10-07 14:59:59</t>
  </si>
  <si>
    <t>2015-10-08 15:00:00</t>
  </si>
  <si>
    <t>2015-10-08 23:59:59</t>
  </si>
  <si>
    <t>2015-10-08 00:00:00</t>
  </si>
  <si>
    <t>2015-10-04 00:00:00</t>
  </si>
  <si>
    <t>2015-10-04 23:59:59</t>
  </si>
  <si>
    <t>2015-10-05 00:00:00</t>
  </si>
  <si>
    <t>2015-10-05 14:59:59</t>
  </si>
  <si>
    <t>2015-10-07 15:00:00</t>
  </si>
  <si>
    <t>2015-10-08 14:59:59</t>
  </si>
  <si>
    <t>2015-10-09 00:00:00</t>
  </si>
  <si>
    <t>2015-10-09 23:59:59</t>
  </si>
  <si>
    <t>2015-10-10 00:00:00</t>
  </si>
  <si>
    <t>2015-10-10 14:59:59</t>
  </si>
  <si>
    <t>2015-10-13 15:00:00</t>
  </si>
  <si>
    <t>2015-10-14 23:59:59</t>
  </si>
  <si>
    <t>2015-10-15 00:00:00</t>
  </si>
  <si>
    <t>2015-10-15 23:59:59</t>
  </si>
  <si>
    <t>2015-10-16 00:00:00</t>
  </si>
  <si>
    <t>2015-10-16 14:59:59</t>
  </si>
  <si>
    <t>2015-10-16 15:00:00</t>
  </si>
  <si>
    <t>2015-10-17 23:59:59</t>
  </si>
  <si>
    <t>2015-10-18 00:00:00</t>
  </si>
  <si>
    <t>2015-10-18 23:59:59</t>
  </si>
  <si>
    <t>2015-10-19 00:00:00</t>
  </si>
  <si>
    <t>2015-10-19 14:59:59</t>
  </si>
  <si>
    <t>2015-10-19 15:00:00</t>
  </si>
  <si>
    <t>2015-10-21 23:59:59</t>
  </si>
  <si>
    <t>2015-10-22 00:00:00</t>
  </si>
  <si>
    <t>2015-10-22 23:59:59</t>
  </si>
  <si>
    <t>2015-10-23 00:00:00</t>
  </si>
  <si>
    <t>2015-10-23 14:59:59</t>
  </si>
  <si>
    <t>2015-10-23 15:00:00</t>
  </si>
  <si>
    <t>2015-10-28 14:59:59</t>
  </si>
  <si>
    <t>2015-10-28 15:00:00</t>
  </si>
  <si>
    <t>2015-10-31 14:59:59</t>
  </si>
  <si>
    <t>2015-11-02 15:00:00</t>
  </si>
  <si>
    <t>2015-11-08 14:59:59</t>
  </si>
  <si>
    <t>2015-11-08 15:00:00</t>
  </si>
  <si>
    <t>フィーバーフェスティバル</t>
    <phoneticPr fontId="12"/>
  </si>
  <si>
    <t>2015-10-31 15:00:00</t>
    <phoneticPr fontId="12"/>
  </si>
  <si>
    <t>2015-11-02 14:59:59</t>
    <phoneticPr fontId="12"/>
  </si>
  <si>
    <t>新ガチャ（神話動物）恒常</t>
    <rPh sb="0" eb="1">
      <t>シン</t>
    </rPh>
    <rPh sb="5" eb="9">
      <t>シンワドウ</t>
    </rPh>
    <rPh sb="10" eb="12">
      <t>コウジョウ</t>
    </rPh>
    <phoneticPr fontId="12"/>
  </si>
  <si>
    <t>出力flg</t>
    <rPh sb="0" eb="2">
      <t>シュツリョク</t>
    </rPh>
    <phoneticPr fontId="45"/>
  </si>
  <si>
    <t>old</t>
    <phoneticPr fontId="12"/>
  </si>
  <si>
    <t>old</t>
    <phoneticPr fontId="12"/>
  </si>
  <si>
    <t>2015-11-06 15:00:00</t>
    <phoneticPr fontId="12"/>
  </si>
  <si>
    <t>2015-11-08 14:59:59</t>
    <phoneticPr fontId="12"/>
  </si>
  <si>
    <t>親指ピックアップ</t>
    <rPh sb="0" eb="2">
      <t>オヤユビ</t>
    </rPh>
    <phoneticPr fontId="12"/>
  </si>
  <si>
    <t>前文</t>
    <rPh sb="0" eb="2">
      <t>ゼンブン</t>
    </rPh>
    <phoneticPr fontId="12"/>
  </si>
  <si>
    <t>&lt;font color="#ffe22a"&gt;アスタロト&lt;/font&gt;・&lt;font color="#0093ff"&gt;エキドナ&lt;/font&gt;の出現率UP!</t>
    <phoneticPr fontId="12"/>
  </si>
  <si>
    <t>後文</t>
    <rPh sb="0" eb="1">
      <t>コウブン</t>
    </rPh>
    <rPh sb="1" eb="2">
      <t>ブン</t>
    </rPh>
    <phoneticPr fontId="12"/>
  </si>
  <si>
    <t>【&lt;font color="#ff2626"&gt;超&lt;/font&gt;&lt;font color="#ffe22a"&gt;激&lt;/font&gt;&lt;font color="#0093ff"&gt;レ&lt;/font&gt;&lt;font color="#00e075"&gt;ア&lt;/font&gt;ユニットをGETしよう！】</t>
  </si>
  <si>
    <t>&lt;font color="#ff2626"&gt;★4,★5&lt;/font&gt;の出現率UP!</t>
    <phoneticPr fontId="12"/>
  </si>
  <si>
    <t>【&lt;font color="#ff2626"&gt;超&lt;/font&gt;&lt;font color="#ffe22a"&gt;激&lt;/font&gt;&lt;font color="#0093ff"&gt;レ&lt;/font&gt;&lt;font color="#00e074"&gt;ア&lt;/font&gt;ユニットをGETしよう！】</t>
    <phoneticPr fontId="12"/>
  </si>
  <si>
    <t>【&lt;font color="#ff2626"&gt;超&lt;/font&gt;&lt;font color="#ffe22a"&gt;激&lt;/font&gt;&lt;font color="#0093ff"&gt;レ&lt;/font&gt;&lt;font color="#00e074"&gt;ア&lt;/font&gt;ユニットをGETしよう！】
レアガチャは&lt;font color="#ffab27"&gt;ポリゴン5個&lt;/font&gt;で1回引けるよ！</t>
    <phoneticPr fontId="12"/>
  </si>
  <si>
    <t>レアガチャは&lt;font color="#ffab27"&gt;ポリゴン5個&lt;/font&gt;で1回引けるよ！</t>
    <phoneticPr fontId="12"/>
  </si>
  <si>
    <t>【&lt;font color="red"&gt;親指姫&lt;/font&gt;、&lt;font color="yellow"&gt;スフィンクス&lt;/font&gt;、&lt;font color="blue"&gt;乙姫&lt;/font&gt;をGETしよう！】</t>
    <phoneticPr fontId="12"/>
  </si>
  <si>
    <t>この3体の出現率UP!</t>
    <phoneticPr fontId="12"/>
  </si>
  <si>
    <t>山田ピックアップ</t>
    <rPh sb="0" eb="2">
      <t>ヤマダ</t>
    </rPh>
    <phoneticPr fontId="12"/>
  </si>
  <si>
    <t>この4体の出現率UP!</t>
    <phoneticPr fontId="12"/>
  </si>
  <si>
    <t>null</t>
    <phoneticPr fontId="12"/>
  </si>
  <si>
    <t>tit_10ren_bonus.png</t>
    <phoneticPr fontId="12"/>
  </si>
  <si>
    <t>null</t>
    <phoneticPr fontId="12"/>
  </si>
  <si>
    <t>100万DL記念</t>
    <rPh sb="3" eb="4">
      <t>マン</t>
    </rPh>
    <rPh sb="6" eb="8">
      <t>キネン</t>
    </rPh>
    <phoneticPr fontId="12"/>
  </si>
  <si>
    <t>tit_single_30.png</t>
    <phoneticPr fontId="12"/>
  </si>
  <si>
    <t>2015-11-16 14:59:59</t>
    <phoneticPr fontId="12"/>
  </si>
  <si>
    <t>2015-11-16 15:00:00</t>
    <phoneticPr fontId="12"/>
  </si>
  <si>
    <t>2015-11-19 14:59:59</t>
    <phoneticPr fontId="12"/>
  </si>
  <si>
    <t>2015-11-16 14:59:59</t>
    <phoneticPr fontId="15"/>
  </si>
  <si>
    <t>ゴールド素材がザックザク！</t>
    <rPh sb="4" eb="6">
      <t>ソザイ</t>
    </rPh>
    <phoneticPr fontId="12"/>
  </si>
  <si>
    <t>リンクガチャ 【GOLD】</t>
    <phoneticPr fontId="12"/>
  </si>
  <si>
    <t>ガチャで★4のユニットを引いたとき、表示上★3からシュポンして★4にする</t>
    <rPh sb="12" eb="13">
      <t>ヒ</t>
    </rPh>
    <rPh sb="18" eb="21">
      <t>ヒョウジジョウ</t>
    </rPh>
    <phoneticPr fontId="12"/>
  </si>
  <si>
    <t>tit_10ren_settle.png</t>
    <phoneticPr fontId="12"/>
  </si>
  <si>
    <t>tit_settle4.png</t>
    <phoneticPr fontId="12"/>
  </si>
  <si>
    <t>【&lt;font color="red"&gt;☆５&lt;/font&gt;&lt;font color="yellow"&gt;超&lt;/font&gt;&lt;font color="blue"&gt;強&lt;/font&gt;&lt;font color="green"&gt;力&lt;/font&gt;ユニットをプレゼント！】</t>
    <rPh sb="49" eb="105">
      <t>チョウキョウリョク</t>
    </rPh>
    <phoneticPr fontId="12"/>
  </si>
  <si>
    <t>10連限定で☆５ユニットを１体プレゼント！</t>
    <rPh sb="2" eb="3">
      <t>レン</t>
    </rPh>
    <rPh sb="3" eb="5">
      <t>ゲンテイ</t>
    </rPh>
    <rPh sb="14" eb="15">
      <t>タイ</t>
    </rPh>
    <phoneticPr fontId="12"/>
  </si>
  <si>
    <t>null</t>
    <phoneticPr fontId="12"/>
  </si>
  <si>
    <t>2015-11-13 15:00:00</t>
    <phoneticPr fontId="12"/>
  </si>
  <si>
    <t>オズ</t>
    <phoneticPr fontId="12"/>
  </si>
  <si>
    <t>ウィザードピックアップ</t>
    <phoneticPr fontId="12"/>
  </si>
  <si>
    <t>2015-11-30 14:59:59</t>
    <phoneticPr fontId="12"/>
  </si>
  <si>
    <t>【&lt;font color="#ff2626"&gt;超&lt;/font&gt;&lt;font color="#ffe22a"&gt;激&lt;/font&gt;&lt;font color="#0093ff"&gt;レ&lt;/font&gt;&lt;font color="#00e074"&gt;ア&lt;/font&gt;ユニットをGETしよう！】</t>
    <phoneticPr fontId="12"/>
  </si>
  <si>
    <t>新ユニットの出現率UP！</t>
    <rPh sb="0" eb="1">
      <t>シン</t>
    </rPh>
    <rPh sb="6" eb="9">
      <t>シュツゲンリツ</t>
    </rPh>
    <phoneticPr fontId="12"/>
  </si>
  <si>
    <t>ウィザード対抗ユニットの出現率UP！</t>
    <rPh sb="5" eb="7">
      <t>タイコウ</t>
    </rPh>
    <rPh sb="12" eb="15">
      <t>シュツゲンリツ</t>
    </rPh>
    <phoneticPr fontId="12"/>
  </si>
  <si>
    <t>null</t>
    <phoneticPr fontId="12"/>
  </si>
  <si>
    <t>tit_single_30.png</t>
    <phoneticPr fontId="12"/>
  </si>
  <si>
    <t>2015-11-19 15:00:00</t>
    <phoneticPr fontId="12"/>
  </si>
  <si>
    <t>2015-11-20 15:00:00</t>
    <phoneticPr fontId="12"/>
  </si>
  <si>
    <t>null</t>
    <phoneticPr fontId="12"/>
  </si>
  <si>
    <t>polygon</t>
    <phoneticPr fontId="12"/>
  </si>
  <si>
    <t>null</t>
    <phoneticPr fontId="12"/>
  </si>
  <si>
    <t>tit_10ren_settle_new.png</t>
    <phoneticPr fontId="12"/>
  </si>
  <si>
    <t>tit_10ren_settle_pick.png</t>
    <phoneticPr fontId="12"/>
  </si>
  <si>
    <t>GachaTop_203.png</t>
    <phoneticPr fontId="12"/>
  </si>
  <si>
    <t>null</t>
    <phoneticPr fontId="12"/>
  </si>
  <si>
    <t>フィバフェス</t>
    <phoneticPr fontId="12"/>
  </si>
  <si>
    <t>tit_single.png</t>
    <phoneticPr fontId="12"/>
  </si>
  <si>
    <t>tit_10ren.png</t>
    <phoneticPr fontId="12"/>
  </si>
  <si>
    <t>フィバフェス</t>
    <phoneticPr fontId="12"/>
  </si>
  <si>
    <t>2015-11-30 15:00:00</t>
    <phoneticPr fontId="12"/>
  </si>
  <si>
    <t>2015-12-3 14:59:59</t>
    <phoneticPr fontId="12"/>
  </si>
  <si>
    <t>2015-11-26 10:55:00</t>
    <phoneticPr fontId="12"/>
  </si>
  <si>
    <t>2015-11-30 14:59:59</t>
    <phoneticPr fontId="12"/>
  </si>
  <si>
    <t>フィバフェス</t>
    <phoneticPr fontId="12"/>
  </si>
  <si>
    <t>円卓ガチャ</t>
    <rPh sb="0" eb="2">
      <t>エンタク</t>
    </rPh>
    <phoneticPr fontId="12"/>
  </si>
  <si>
    <t>2015-12-03 15:00:00</t>
    <phoneticPr fontId="12"/>
  </si>
  <si>
    <t>緑フィーバー</t>
    <rPh sb="0" eb="1">
      <t>ミドリ</t>
    </rPh>
    <phoneticPr fontId="12"/>
  </si>
  <si>
    <t>2015-12-11 14:59:59</t>
    <phoneticPr fontId="12"/>
  </si>
  <si>
    <t>緑属性ユニットの出現率UP!</t>
    <rPh sb="0" eb="1">
      <t>ミドリ</t>
    </rPh>
    <rPh sb="1" eb="3">
      <t>ゾクセイ</t>
    </rPh>
    <rPh sb="8" eb="11">
      <t>シュツゲンリツ</t>
    </rPh>
    <phoneticPr fontId="12"/>
  </si>
  <si>
    <t>新ユニットの出現率UP!</t>
    <rPh sb="0" eb="1">
      <t>シン</t>
    </rPh>
    <rPh sb="6" eb="9">
      <t>シュツゲンリツ</t>
    </rPh>
    <phoneticPr fontId="12"/>
  </si>
  <si>
    <t>tit_10ren.png</t>
    <phoneticPr fontId="12"/>
  </si>
  <si>
    <t>2015-12-04 15:00:00</t>
    <phoneticPr fontId="12"/>
  </si>
  <si>
    <t>クラファーセレクション</t>
    <phoneticPr fontId="12"/>
  </si>
  <si>
    <t>2015-12-07 15:00:00</t>
    <phoneticPr fontId="12"/>
  </si>
  <si>
    <t>2015-12-14 14:59:59</t>
    <phoneticPr fontId="12"/>
  </si>
  <si>
    <t>クラファー人気ユニットの出現率UP!</t>
    <rPh sb="5" eb="7">
      <t>ニンキ</t>
    </rPh>
    <rPh sb="12" eb="15">
      <t>シュツゲンリツ</t>
    </rPh>
    <phoneticPr fontId="12"/>
  </si>
  <si>
    <t>tit_10ren_crapher.png</t>
    <phoneticPr fontId="12"/>
  </si>
  <si>
    <t>2015-12-14 14:59:59</t>
    <phoneticPr fontId="12"/>
  </si>
  <si>
    <t>体力フィーバー</t>
    <rPh sb="0" eb="7">
      <t>タイリョk</t>
    </rPh>
    <phoneticPr fontId="12"/>
  </si>
  <si>
    <t>体力タイプユニットの出現率UP!</t>
    <rPh sb="0" eb="5">
      <t>タイリョk</t>
    </rPh>
    <rPh sb="10" eb="13">
      <t>シュツゲンリツ</t>
    </rPh>
    <phoneticPr fontId="12"/>
  </si>
  <si>
    <t>2015-12-11 15:00:00</t>
    <phoneticPr fontId="12"/>
  </si>
  <si>
    <t>2015-12-18 14:59:59</t>
    <phoneticPr fontId="12"/>
  </si>
  <si>
    <t>tit_10ren_toughness.png</t>
    <phoneticPr fontId="12"/>
  </si>
  <si>
    <t>ブルーフェスティバル</t>
    <phoneticPr fontId="12"/>
  </si>
  <si>
    <t>青属性ユニットの出現率UP!</t>
    <rPh sb="0" eb="3">
      <t>ア</t>
    </rPh>
    <rPh sb="8" eb="11">
      <t>シュツゲンリツ</t>
    </rPh>
    <phoneticPr fontId="12"/>
  </si>
  <si>
    <t>クリスマスフェス</t>
    <phoneticPr fontId="12"/>
  </si>
  <si>
    <t>クリスマスフェスティバル</t>
    <phoneticPr fontId="12"/>
  </si>
  <si>
    <t>2015-12-16 15:00:00</t>
    <phoneticPr fontId="12"/>
  </si>
  <si>
    <t>2015-12-25 14:59:59</t>
    <phoneticPr fontId="12"/>
  </si>
  <si>
    <t>2015-12-13 14:59:59</t>
    <phoneticPr fontId="12"/>
  </si>
  <si>
    <t>オズ対抗ピックアップ</t>
    <rPh sb="2" eb="4">
      <t>タイコ</t>
    </rPh>
    <phoneticPr fontId="12"/>
  </si>
  <si>
    <t>2015-12-14 15:00:00</t>
    <phoneticPr fontId="12"/>
  </si>
  <si>
    <t>2015-12-18 14:59:59</t>
    <phoneticPr fontId="12"/>
  </si>
  <si>
    <t>オズ対抗ピックアップ</t>
    <rPh sb="2" eb="10">
      <t>タイコ</t>
    </rPh>
    <phoneticPr fontId="12"/>
  </si>
  <si>
    <t>tit_10ren_r5blue.png</t>
    <phoneticPr fontId="12"/>
  </si>
  <si>
    <t>tit_10ren_christmas.png</t>
    <phoneticPr fontId="12"/>
  </si>
  <si>
    <t>クリスマス特別ユニットの出現率UP!</t>
    <rPh sb="5" eb="7">
      <t>トクベt</t>
    </rPh>
    <rPh sb="12" eb="15">
      <t>シュツゲンリツ</t>
    </rPh>
    <phoneticPr fontId="12"/>
  </si>
  <si>
    <t>GachaTop_200_3.png</t>
    <phoneticPr fontId="12"/>
  </si>
  <si>
    <t>【&lt;font color="red"&gt;D.R.T.H.&lt;/font&gt;、&lt;font color="green"&gt;ピーターパン&lt;/font&gt;、&lt;font color="blue"&gt;エキドナ&lt;/font&gt;、&lt;font color="red"&gt;親指姫&lt;/font&gt;をGET！】</t>
    <rPh sb="118" eb="121">
      <t>オy</t>
    </rPh>
    <phoneticPr fontId="12"/>
  </si>
  <si>
    <t xml:space="preserve">【&lt;font color="#ff2626"&gt;100万&lt;/font&gt;&lt;font color="#ffe22a"&gt;DL&lt;/font&gt;&lt;font color="#0093ff"&gt;記念&lt;/font&gt;&lt;font color="#00e074"&gt;キャンペーン&lt;/font&gt;】
</t>
    <rPh sb="26" eb="27">
      <t>マン</t>
    </rPh>
    <rPh sb="87" eb="89">
      <t>キネン</t>
    </rPh>
    <phoneticPr fontId="12"/>
  </si>
  <si>
    <t>【&lt;font color="#ff2626"&gt;超&lt;/font&gt;&lt;font color="#ffe22a"&gt;激&lt;/font&gt;&lt;font color="#0093ff"&gt;レ&lt;/font&gt;&lt;font color="#00e075"&gt;ア&lt;/font&gt;ユニットをGETしよう！】</t>
    <phoneticPr fontId="12"/>
  </si>
  <si>
    <t>【&lt;font color="#ff2626"&gt;超&lt;/font&gt;&lt;font color="#ffe22a"&gt;激&lt;/font&gt;&lt;font color="#0093ff"&gt;レ&lt;/font&gt;&lt;font color="#00e075"&gt;ア&lt;/font&gt;ユニットをGETしよう！】</t>
    <phoneticPr fontId="12"/>
  </si>
  <si>
    <t>赤フィーバー</t>
    <rPh sb="0" eb="1">
      <t>アk</t>
    </rPh>
    <phoneticPr fontId="12"/>
  </si>
  <si>
    <t>赤属性ユニットの出現率UP!</t>
    <rPh sb="0" eb="8">
      <t>アk</t>
    </rPh>
    <rPh sb="8" eb="11">
      <t>sh</t>
    </rPh>
    <phoneticPr fontId="12"/>
  </si>
  <si>
    <t>赤フィーバー</t>
    <rPh sb="0" eb="6">
      <t>アk</t>
    </rPh>
    <phoneticPr fontId="12"/>
  </si>
  <si>
    <t>tit_10ren_r5red.png</t>
    <phoneticPr fontId="12"/>
  </si>
  <si>
    <t>アーサー対抗ピックアップ</t>
    <rPh sb="4" eb="12">
      <t>タイコ</t>
    </rPh>
    <phoneticPr fontId="12"/>
  </si>
  <si>
    <t>この4体の出現率UP!</t>
    <phoneticPr fontId="12"/>
  </si>
  <si>
    <t>null</t>
    <phoneticPr fontId="12"/>
  </si>
  <si>
    <t>2015-12-18 15:00:00</t>
    <phoneticPr fontId="12"/>
  </si>
  <si>
    <t>2015-12-21 15:00:00</t>
    <phoneticPr fontId="12"/>
  </si>
  <si>
    <t>ピックアップユニット4体の出現率UP</t>
    <phoneticPr fontId="12"/>
  </si>
  <si>
    <t>GachaTop_200_4.png</t>
    <phoneticPr fontId="12"/>
  </si>
  <si>
    <t>サンタフィーバー</t>
    <phoneticPr fontId="12"/>
  </si>
  <si>
    <t>2015-12-21 15:00:00</t>
    <phoneticPr fontId="15"/>
  </si>
  <si>
    <t>2015-12-25 14:59:59</t>
    <phoneticPr fontId="15"/>
  </si>
  <si>
    <t>ロキガチャ</t>
    <phoneticPr fontId="12"/>
  </si>
  <si>
    <t>2015-12-25 15:00:00</t>
    <phoneticPr fontId="12"/>
  </si>
  <si>
    <t>tit_10ren_settle_new.png</t>
    <phoneticPr fontId="12"/>
  </si>
  <si>
    <t>ドラゴンフィーバー</t>
    <phoneticPr fontId="12"/>
  </si>
  <si>
    <t>2015-12-31 14:59:59</t>
    <phoneticPr fontId="12"/>
  </si>
  <si>
    <t>ドラゴンユニットの出現率UP!</t>
    <rPh sb="9" eb="12">
      <t>シュツゲンリツ</t>
    </rPh>
    <phoneticPr fontId="12"/>
  </si>
  <si>
    <t>年忘れフィーバーフェス</t>
    <rPh sb="0" eb="3">
      <t>トs</t>
    </rPh>
    <phoneticPr fontId="12"/>
  </si>
  <si>
    <t>2015-12-31 15:00:00</t>
    <phoneticPr fontId="12"/>
  </si>
  <si>
    <t>2016-01-01 14:59:59</t>
    <phoneticPr fontId="12"/>
  </si>
  <si>
    <t>null</t>
    <phoneticPr fontId="12"/>
  </si>
  <si>
    <t>tit_10ren.png</t>
    <phoneticPr fontId="12"/>
  </si>
  <si>
    <t>お年玉ガチャ</t>
    <rPh sb="1" eb="6">
      <t>t</t>
    </rPh>
    <phoneticPr fontId="12"/>
  </si>
  <si>
    <t>2016-01-02 14:59:59</t>
    <phoneticPr fontId="12"/>
  </si>
  <si>
    <t>1661</t>
    <phoneticPr fontId="12"/>
  </si>
  <si>
    <t>1661</t>
    <phoneticPr fontId="12"/>
  </si>
  <si>
    <t>1660</t>
    <phoneticPr fontId="12"/>
  </si>
  <si>
    <t>tit_10ren_otoshidama.png</t>
    <phoneticPr fontId="12"/>
  </si>
  <si>
    <t>tit_10ren_r5dragon.png</t>
    <phoneticPr fontId="12"/>
  </si>
  <si>
    <t>2016-01-01 15:00:00</t>
    <phoneticPr fontId="12"/>
  </si>
  <si>
    <t>フェス限定ユニットが出現中!</t>
    <rPh sb="3" eb="10">
      <t>ゲン</t>
    </rPh>
    <rPh sb="10" eb="13">
      <t>sh</t>
    </rPh>
    <phoneticPr fontId="12"/>
  </si>
  <si>
    <t>福袋ガチャ</t>
    <rPh sb="0" eb="5">
      <t>フクブクr</t>
    </rPh>
    <phoneticPr fontId="12"/>
  </si>
  <si>
    <t>★5ユニットの出現率UP!</t>
    <rPh sb="2" eb="6">
      <t>ゲン</t>
    </rPh>
    <rPh sb="7" eb="10">
      <t>シュt</t>
    </rPh>
    <phoneticPr fontId="12"/>
  </si>
  <si>
    <t>1671</t>
    <phoneticPr fontId="12"/>
  </si>
  <si>
    <t>1671</t>
    <phoneticPr fontId="12"/>
  </si>
  <si>
    <t>1670</t>
    <phoneticPr fontId="12"/>
  </si>
  <si>
    <t>tit_10ren_fukubukuro.png</t>
    <phoneticPr fontId="12"/>
  </si>
  <si>
    <t>2016-01-02 15:00:00</t>
    <phoneticPr fontId="12"/>
  </si>
  <si>
    <t>GachaTop_200_5.png</t>
    <phoneticPr fontId="12"/>
  </si>
  <si>
    <t>2016-01-01 15:00:00</t>
    <phoneticPr fontId="15"/>
  </si>
  <si>
    <t>2016-01-07 14:59:59</t>
    <phoneticPr fontId="15"/>
  </si>
  <si>
    <t>新年フィーバー</t>
    <rPh sb="0" eb="2">
      <t>シン</t>
    </rPh>
    <phoneticPr fontId="12"/>
  </si>
  <si>
    <t>2015-12-26 14:59:59</t>
    <phoneticPr fontId="12"/>
  </si>
  <si>
    <t>2016-01-08 14:59:59</t>
    <phoneticPr fontId="12"/>
  </si>
  <si>
    <t>最強クラスユニットの出現率UP!</t>
    <rPh sb="0" eb="5">
      <t>サイキョ</t>
    </rPh>
    <rPh sb="5" eb="9">
      <t>ゲン</t>
    </rPh>
    <rPh sb="10" eb="13">
      <t>シュt</t>
    </rPh>
    <phoneticPr fontId="12"/>
  </si>
  <si>
    <t>テストイベ４</t>
    <phoneticPr fontId="12"/>
  </si>
  <si>
    <t>2016-01-01 00:00:00</t>
    <phoneticPr fontId="15"/>
  </si>
  <si>
    <t>2016-01-05 23:59:59</t>
    <phoneticPr fontId="15"/>
  </si>
  <si>
    <t>2016-01-22 14:59:59</t>
    <phoneticPr fontId="12"/>
  </si>
  <si>
    <t>null</t>
    <phoneticPr fontId="12"/>
  </si>
  <si>
    <t>null</t>
    <phoneticPr fontId="12"/>
  </si>
  <si>
    <t>2016-01-08 15:00:00</t>
    <phoneticPr fontId="12"/>
  </si>
  <si>
    <t>2016-01-12 15:00:00</t>
    <phoneticPr fontId="12"/>
  </si>
  <si>
    <t>2016-01-12 14:59:59</t>
    <phoneticPr fontId="12"/>
  </si>
  <si>
    <t>2016-01-06 15:00:00</t>
    <phoneticPr fontId="12"/>
  </si>
  <si>
    <t>2016-01-15 14:59:59</t>
    <phoneticPr fontId="12"/>
  </si>
  <si>
    <t>美女と野獣ガチャ（バナーA)</t>
    <rPh sb="0" eb="8">
      <t>ビj</t>
    </rPh>
    <phoneticPr fontId="12"/>
  </si>
  <si>
    <t>美女と野獣ガチャ（バナーB）</t>
    <rPh sb="0" eb="8">
      <t>ビj</t>
    </rPh>
    <phoneticPr fontId="12"/>
  </si>
  <si>
    <t>2016-01-15 15:00:00</t>
    <phoneticPr fontId="12"/>
  </si>
  <si>
    <t>2016-01-15 14:59:59</t>
    <phoneticPr fontId="12"/>
  </si>
  <si>
    <t>150万DL記念ガチャ</t>
    <rPh sb="3" eb="6">
      <t>マン</t>
    </rPh>
    <rPh sb="6" eb="11">
      <t>キネン</t>
    </rPh>
    <phoneticPr fontId="12"/>
  </si>
  <si>
    <t>グリム対抗ピックアップ</t>
    <rPh sb="3" eb="11">
      <t>タイコ</t>
    </rPh>
    <phoneticPr fontId="12"/>
  </si>
  <si>
    <t>2016-01-14 15:00:00</t>
    <phoneticPr fontId="12"/>
  </si>
  <si>
    <t>2016-01-20 14:59:59</t>
    <phoneticPr fontId="12"/>
  </si>
  <si>
    <t>2016-01-25 14:59:59</t>
    <phoneticPr fontId="12"/>
  </si>
  <si>
    <t>null</t>
    <phoneticPr fontId="12"/>
  </si>
  <si>
    <t>2016-01-18 15:00:00</t>
    <phoneticPr fontId="12"/>
  </si>
  <si>
    <t>tit_single_150dl.png</t>
    <phoneticPr fontId="12"/>
  </si>
  <si>
    <t>tit_single_150dl.png</t>
    <phoneticPr fontId="12"/>
  </si>
  <si>
    <t>10連で★５ユニットを追加プレゼント!</t>
    <phoneticPr fontId="12"/>
  </si>
  <si>
    <t>2016-01-20 14:59:59</t>
    <phoneticPr fontId="12"/>
  </si>
  <si>
    <t>2016-01-14 00:00:00</t>
    <phoneticPr fontId="12"/>
  </si>
  <si>
    <t>2016-01-13 23:59:59</t>
    <phoneticPr fontId="12"/>
  </si>
  <si>
    <t>2016-01-20 15:00:00</t>
    <phoneticPr fontId="12"/>
  </si>
  <si>
    <t>ガチャで★5のユニットを引いたとき、表示上★4からシュポンして★5にする</t>
    <rPh sb="12" eb="13">
      <t>ヒ</t>
    </rPh>
    <rPh sb="18" eb="21">
      <t>ヒョ</t>
    </rPh>
    <phoneticPr fontId="12"/>
  </si>
  <si>
    <t>2970-01-01 09:00:00</t>
    <phoneticPr fontId="12"/>
  </si>
  <si>
    <t>null</t>
    <phoneticPr fontId="12"/>
  </si>
  <si>
    <t>tit_10ren.png</t>
    <phoneticPr fontId="12"/>
  </si>
  <si>
    <t>2016-01-30 14:59:59</t>
    <phoneticPr fontId="12"/>
  </si>
  <si>
    <t>2016-01-25 15:00:00</t>
    <phoneticPr fontId="12"/>
  </si>
  <si>
    <t>tit_10ren_otoshidama.png</t>
    <phoneticPr fontId="12"/>
  </si>
  <si>
    <t>tit_10ren_toughness.png</t>
    <phoneticPr fontId="12"/>
  </si>
  <si>
    <t>tit_10ren_bonus.png</t>
    <phoneticPr fontId="12"/>
  </si>
  <si>
    <t>tit_10ren_settle_new.png</t>
    <phoneticPr fontId="12"/>
  </si>
  <si>
    <t>tit_10ren_settle_pick.png</t>
    <phoneticPr fontId="12"/>
  </si>
  <si>
    <t>null</t>
    <phoneticPr fontId="12"/>
  </si>
  <si>
    <t>tit_10ren_fukubukuro.png</t>
    <phoneticPr fontId="12"/>
  </si>
  <si>
    <t>tit_10ren_r5dragon.png</t>
    <phoneticPr fontId="12"/>
  </si>
  <si>
    <t>アルフヘイムガチャ</t>
    <phoneticPr fontId="12"/>
  </si>
  <si>
    <t>レッドフェスティバル</t>
    <phoneticPr fontId="12"/>
  </si>
  <si>
    <t>ステップアップガチャ</t>
    <phoneticPr fontId="12"/>
  </si>
  <si>
    <t>ドラゴンフィーバー</t>
    <phoneticPr fontId="12"/>
  </si>
  <si>
    <t>null</t>
    <phoneticPr fontId="12"/>
  </si>
  <si>
    <t>tit_stepup_01.png</t>
    <phoneticPr fontId="12"/>
  </si>
  <si>
    <t>tit_stepup_02.png</t>
    <phoneticPr fontId="12"/>
  </si>
  <si>
    <t>tit_stepup_03.png</t>
  </si>
  <si>
    <t>tit_stepup_04.png</t>
  </si>
  <si>
    <t>tit_stepup_05.png</t>
  </si>
  <si>
    <t>tit_stepup_06.png</t>
  </si>
  <si>
    <t>ステップアップで厳選ユニット1体確定!</t>
    <rPh sb="8" eb="14">
      <t>ゲンセン</t>
    </rPh>
    <rPh sb="15" eb="16">
      <t>タ</t>
    </rPh>
    <rPh sb="16" eb="18">
      <t>カk</t>
    </rPh>
    <phoneticPr fontId="12"/>
  </si>
  <si>
    <t>2016-01-20 15:00:00</t>
    <phoneticPr fontId="12"/>
  </si>
  <si>
    <t>新ユニットの出現率UP!</t>
    <rPh sb="0" eb="5">
      <t>シン</t>
    </rPh>
    <phoneticPr fontId="12"/>
  </si>
  <si>
    <t>赤属性ユニットの出現率UP!</t>
    <rPh sb="0" eb="7">
      <t>アk</t>
    </rPh>
    <phoneticPr fontId="12"/>
  </si>
  <si>
    <t>ドラゴンユニットの出現率UP!</t>
    <phoneticPr fontId="12"/>
  </si>
  <si>
    <t>2016-01-22 15:00:00</t>
    <phoneticPr fontId="12"/>
  </si>
  <si>
    <t>2016-01-23 14:59:59</t>
    <phoneticPr fontId="12"/>
  </si>
  <si>
    <t>2016-01-25 14:59:59</t>
    <phoneticPr fontId="12"/>
  </si>
  <si>
    <t>null</t>
    <phoneticPr fontId="12"/>
  </si>
  <si>
    <t>tit_10ren_r5red.png</t>
    <phoneticPr fontId="12"/>
  </si>
  <si>
    <t>null</t>
    <phoneticPr fontId="12"/>
  </si>
  <si>
    <t>2016-01-25 14:59:59</t>
    <phoneticPr fontId="12"/>
  </si>
  <si>
    <t>2016-01-25 15:00:00</t>
    <phoneticPr fontId="12"/>
  </si>
  <si>
    <t>2016-01-30 14:59:59</t>
    <phoneticPr fontId="12"/>
  </si>
  <si>
    <t>2016-01-30 15:00:00</t>
    <phoneticPr fontId="12"/>
  </si>
  <si>
    <t>1760</t>
    <phoneticPr fontId="12"/>
  </si>
  <si>
    <t>6STEPで1セット! 5セットまで特典付き!</t>
    <phoneticPr fontId="12"/>
  </si>
  <si>
    <t>tit_stepup_99.png</t>
    <phoneticPr fontId="12"/>
  </si>
  <si>
    <t>クラコレ</t>
    <phoneticPr fontId="12"/>
  </si>
  <si>
    <t>ミクガチャ（ミクUP）</t>
    <phoneticPr fontId="12"/>
  </si>
  <si>
    <t>ミクガチャ（アペンドUP）</t>
    <phoneticPr fontId="12"/>
  </si>
  <si>
    <t>2016-02-03 14:59:59</t>
    <phoneticPr fontId="12"/>
  </si>
  <si>
    <t>ミクリンク</t>
    <phoneticPr fontId="12"/>
  </si>
  <si>
    <t>Link_GachaTop_206.png</t>
    <phoneticPr fontId="12"/>
  </si>
  <si>
    <t>null</t>
    <phoneticPr fontId="12"/>
  </si>
  <si>
    <t>null</t>
    <phoneticPr fontId="12"/>
  </si>
  <si>
    <t>tit_10ren.png</t>
    <phoneticPr fontId="12"/>
  </si>
  <si>
    <t>ミクリンクガチャ</t>
    <phoneticPr fontId="12"/>
  </si>
  <si>
    <t>ミクリンクガチャ（2連）</t>
    <rPh sb="10" eb="11">
      <t>レン</t>
    </rPh>
    <phoneticPr fontId="12"/>
  </si>
  <si>
    <t>ミクリンクガチャ（3連）</t>
    <rPh sb="10" eb="11">
      <t>レン</t>
    </rPh>
    <phoneticPr fontId="12"/>
  </si>
  <si>
    <t>ミクリンクガチャ（4連）</t>
    <rPh sb="10" eb="11">
      <t>レン</t>
    </rPh>
    <phoneticPr fontId="12"/>
  </si>
  <si>
    <t>ミクリンクガチャ（5連）</t>
    <rPh sb="10" eb="11">
      <t>レン</t>
    </rPh>
    <phoneticPr fontId="12"/>
  </si>
  <si>
    <t>ミクリンクガチャ（6連）</t>
    <rPh sb="10" eb="11">
      <t>レン</t>
    </rPh>
    <phoneticPr fontId="12"/>
  </si>
  <si>
    <t>ミクリンクガチャ（7連）</t>
    <rPh sb="10" eb="11">
      <t>レン</t>
    </rPh>
    <phoneticPr fontId="12"/>
  </si>
  <si>
    <t>ミクリンクガチャ（8連）</t>
    <rPh sb="10" eb="11">
      <t>レン</t>
    </rPh>
    <phoneticPr fontId="12"/>
  </si>
  <si>
    <t>ミクリンクガチャ（9連）</t>
    <rPh sb="10" eb="11">
      <t>レン</t>
    </rPh>
    <phoneticPr fontId="12"/>
  </si>
  <si>
    <t>ミクリンクガチャ（10連）</t>
    <rPh sb="11" eb="12">
      <t>レン</t>
    </rPh>
    <phoneticPr fontId="12"/>
  </si>
  <si>
    <t>2016-01-27 15:00:00</t>
    <phoneticPr fontId="12"/>
  </si>
  <si>
    <t>2016-01-29 00:00:00</t>
    <phoneticPr fontId="12"/>
  </si>
  <si>
    <t>2016-02-12 23:59:59</t>
    <phoneticPr fontId="12"/>
  </si>
  <si>
    <t>title</t>
    <phoneticPr fontId="12"/>
  </si>
  <si>
    <t>title</t>
    <phoneticPr fontId="12"/>
  </si>
  <si>
    <t>title</t>
    <phoneticPr fontId="12"/>
  </si>
  <si>
    <t>tit_10ren.png</t>
    <phoneticPr fontId="12"/>
  </si>
  <si>
    <t>2016-02-05 14:59:59</t>
    <phoneticPr fontId="12"/>
  </si>
  <si>
    <t>2016-02-05 15:00:00</t>
    <phoneticPr fontId="12"/>
  </si>
  <si>
    <t>tit_10ren_settle_pick.png</t>
    <phoneticPr fontId="12"/>
  </si>
  <si>
    <t>クラファー人気ユニットの出現率UP!</t>
    <phoneticPr fontId="12"/>
  </si>
  <si>
    <t>初音ミクコラボ限定ユニットが出現中！</t>
    <rPh sb="0" eb="4">
      <t>ハt</t>
    </rPh>
    <rPh sb="14" eb="17">
      <t>sh</t>
    </rPh>
    <phoneticPr fontId="12"/>
  </si>
  <si>
    <t>2016-01-29 15:00:00</t>
    <phoneticPr fontId="15"/>
  </si>
  <si>
    <t>2016-02-12 14:59:59</t>
    <phoneticPr fontId="15"/>
  </si>
  <si>
    <t>ピックアップフィーバー</t>
    <phoneticPr fontId="12"/>
  </si>
  <si>
    <t>ラグナロクガチャ２</t>
    <phoneticPr fontId="12"/>
  </si>
  <si>
    <t>2016-02-03 15:00:00</t>
    <phoneticPr fontId="12"/>
  </si>
  <si>
    <t>ピックアップユニット4体の出現率UP!</t>
    <phoneticPr fontId="12"/>
  </si>
  <si>
    <t>tit_10ren_settle_pick.png</t>
    <phoneticPr fontId="12"/>
  </si>
  <si>
    <t>2016-02-09 15:00:00</t>
    <phoneticPr fontId="12"/>
  </si>
  <si>
    <t>2016-02-01 00:00:00</t>
    <phoneticPr fontId="12"/>
  </si>
  <si>
    <t>2016-02-02 23:59:59</t>
    <phoneticPr fontId="12"/>
  </si>
  <si>
    <t>2016-02-13 14:59:59</t>
    <phoneticPr fontId="12"/>
  </si>
  <si>
    <t>null</t>
    <phoneticPr fontId="12"/>
  </si>
  <si>
    <t>2016-02-09 14:59:59</t>
    <phoneticPr fontId="12"/>
  </si>
  <si>
    <t>tit_miku_stepup_01.png</t>
    <phoneticPr fontId="12"/>
  </si>
  <si>
    <t>tit_miku_stepup_02.png</t>
    <phoneticPr fontId="12"/>
  </si>
  <si>
    <t>tit_miku_stepup_03.png</t>
  </si>
  <si>
    <t>tit_miku_stepup_04.png</t>
  </si>
  <si>
    <t>tit_miku_stepup_05.png</t>
  </si>
  <si>
    <t>tit_miku_stepup_06.png</t>
    <phoneticPr fontId="12"/>
  </si>
  <si>
    <t>【&lt;font color="#ff2626"&gt;超&lt;/font&gt;&lt;font color="#ffe22a"&gt;激&lt;/font&gt;&lt;font color="#0093ff"&gt;レ&lt;/font&gt;&lt;font color="#00e075"&gt;ア&lt;/font&gt;ユニットをGETしよう！】</t>
    <phoneticPr fontId="12"/>
  </si>
  <si>
    <t>【&lt;font color="#ff2626"&gt;超&lt;/font&gt;&lt;font color="#ffe22a"&gt;激&lt;/font&gt;&lt;font color="#0093ff"&gt;レ&lt;/font&gt;&lt;font color="#00e075"&gt;ア&lt;/font&gt;ユニットをGETしよう！】
&lt;font color="#ffab27"&gt;02/12 23:59&lt;/font&gt;まで初音ミクコラボ限定ユニットが出現中!
コラボユニットは&lt;font color="#00CCFF"&gt;バグ５&lt;/font&gt;&amp;&lt;font color="#ffe22a"&gt;Lv.MAX&lt;/font&gt;で排出！</t>
    <rPh sb="177" eb="186">
      <t>ハt</t>
    </rPh>
    <rPh sb="191" eb="194">
      <t>sh</t>
    </rPh>
    <rPh sb="273" eb="275">
      <t>ハイシュツ</t>
    </rPh>
    <phoneticPr fontId="12"/>
  </si>
  <si>
    <t>イエローフェス（ハップル）</t>
    <phoneticPr fontId="12"/>
  </si>
  <si>
    <t>旧Wiz対抗ピックアップ</t>
    <rPh sb="0" eb="1">
      <t>キュ</t>
    </rPh>
    <rPh sb="4" eb="6">
      <t>タイコ</t>
    </rPh>
    <phoneticPr fontId="12"/>
  </si>
  <si>
    <t>2016-02-12 15:00:00</t>
    <phoneticPr fontId="12"/>
  </si>
  <si>
    <t>2016-02-15 14:59:59</t>
    <phoneticPr fontId="12"/>
  </si>
  <si>
    <t>2016-02-14 15:00:00</t>
    <phoneticPr fontId="12"/>
  </si>
  <si>
    <t>2016-02-19 14:59:59</t>
    <phoneticPr fontId="12"/>
  </si>
  <si>
    <t>tit_10ren_r5yellow.png</t>
    <phoneticPr fontId="12"/>
  </si>
  <si>
    <t>黄属性ユニットの出現率UP!</t>
    <rPh sb="0" eb="1">
      <t>キ</t>
    </rPh>
    <rPh sb="1" eb="7">
      <t>アk</t>
    </rPh>
    <phoneticPr fontId="12"/>
  </si>
  <si>
    <t>2016-02-22 14:59:59</t>
    <phoneticPr fontId="12"/>
  </si>
  <si>
    <t>マシンフィーバー</t>
    <phoneticPr fontId="12"/>
  </si>
  <si>
    <t>クラファーコレクション</t>
    <phoneticPr fontId="12"/>
  </si>
  <si>
    <t>ステップアップフィーバー</t>
    <phoneticPr fontId="12"/>
  </si>
  <si>
    <t>2016-02-19 15:00:00</t>
    <phoneticPr fontId="12"/>
  </si>
  <si>
    <t>2016-02-29 14:59:59</t>
    <phoneticPr fontId="12"/>
  </si>
  <si>
    <t>2016-02-24 15:00:00</t>
    <phoneticPr fontId="12"/>
  </si>
  <si>
    <t>tit_10ren_r5machine.png</t>
    <phoneticPr fontId="12"/>
  </si>
  <si>
    <t>tit_stepup188_02.png</t>
    <phoneticPr fontId="12"/>
  </si>
  <si>
    <t>tit_stepup188_03.png</t>
  </si>
  <si>
    <t>tit_stepup188_04.png</t>
  </si>
  <si>
    <t>tit_stepup188_05.png</t>
  </si>
  <si>
    <t>tit_stepup188_06.png</t>
  </si>
  <si>
    <t>マシンユニットの出現率UP!</t>
    <phoneticPr fontId="12"/>
  </si>
  <si>
    <t>tit_stepup_01.png</t>
    <phoneticPr fontId="12"/>
  </si>
  <si>
    <t>tit_stepup_03.png</t>
    <phoneticPr fontId="12"/>
  </si>
  <si>
    <t>tit_stepup_04.png</t>
    <phoneticPr fontId="12"/>
  </si>
  <si>
    <t>tit_stepup_05.png</t>
    <phoneticPr fontId="12"/>
  </si>
  <si>
    <t>tit_stepup_06.png</t>
    <phoneticPr fontId="12"/>
  </si>
  <si>
    <t>tit_stepup_99.png</t>
    <phoneticPr fontId="12"/>
  </si>
  <si>
    <t>null</t>
    <phoneticPr fontId="12"/>
  </si>
  <si>
    <t>四神UPリンクガチャ</t>
    <rPh sb="0" eb="1">
      <t>ヨン</t>
    </rPh>
    <rPh sb="1" eb="2">
      <t>シン</t>
    </rPh>
    <phoneticPr fontId="12"/>
  </si>
  <si>
    <t>2016-02-29 15:00:00</t>
    <phoneticPr fontId="15"/>
  </si>
  <si>
    <t>2016-03-06 14:59:59</t>
    <phoneticPr fontId="15"/>
  </si>
  <si>
    <t>2016-03-08 14:59:59</t>
    <phoneticPr fontId="12"/>
  </si>
  <si>
    <t>ピックアップユニットの出現率UP!</t>
    <phoneticPr fontId="12"/>
  </si>
  <si>
    <t>2016-02-17 12:00:00</t>
    <phoneticPr fontId="12"/>
  </si>
  <si>
    <t>tit_stepup188_01.png</t>
    <phoneticPr fontId="12"/>
  </si>
  <si>
    <t>tit_10ren_15poly.png</t>
    <phoneticPr fontId="12"/>
  </si>
  <si>
    <t>tit_10ren_25poly.png</t>
    <phoneticPr fontId="12"/>
  </si>
  <si>
    <t>Link_GachaTop_207.png</t>
    <phoneticPr fontId="12"/>
  </si>
  <si>
    <t>2016-03-02 14:59:59</t>
    <phoneticPr fontId="12"/>
  </si>
  <si>
    <t>2016-03-06 14:59:59</t>
    <phoneticPr fontId="12"/>
  </si>
  <si>
    <t>第１弾 200万DL記念ガチャ</t>
    <rPh sb="0" eb="3">
      <t>ダ</t>
    </rPh>
    <rPh sb="7" eb="8">
      <t>マン</t>
    </rPh>
    <rPh sb="10" eb="15">
      <t>キネン</t>
    </rPh>
    <phoneticPr fontId="12"/>
  </si>
  <si>
    <t>第２弾 200万DL記念ガチャ</t>
    <rPh sb="0" eb="3">
      <t>ダ</t>
    </rPh>
    <rPh sb="7" eb="8">
      <t>マン</t>
    </rPh>
    <rPh sb="10" eb="15">
      <t>キネン</t>
    </rPh>
    <phoneticPr fontId="12"/>
  </si>
  <si>
    <t>2016-03-02 15:00:00</t>
    <phoneticPr fontId="12"/>
  </si>
  <si>
    <t>2016-03-08 14:59:59</t>
    <phoneticPr fontId="12"/>
  </si>
  <si>
    <t>2016-02-22 15:00:00</t>
    <phoneticPr fontId="12"/>
  </si>
  <si>
    <t>null</t>
    <phoneticPr fontId="12"/>
  </si>
  <si>
    <t>200万DL記念ユニットが出現中！</t>
    <rPh sb="3" eb="4">
      <t>マン</t>
    </rPh>
    <rPh sb="6" eb="8">
      <t>キネン</t>
    </rPh>
    <rPh sb="8" eb="13">
      <t>ゲン</t>
    </rPh>
    <rPh sb="13" eb="16">
      <t>sh</t>
    </rPh>
    <phoneticPr fontId="12"/>
  </si>
  <si>
    <t>【&lt;font color="#ff2626"&gt;超&lt;/font&gt;&lt;font color="#ffe22a"&gt;激&lt;/font&gt;&lt;font color="#0093ff"&gt;レ&lt;/font&gt;&lt;font color="#00e075"&gt;ア&lt;/font&gt;ユニットをGETしよう！】
&lt;font color="#ffab27"&gt;3/6 14:59&lt;/font&gt;まで200万DL記念ユニットが出現中!
STEP UP完走で記念ユニットの&lt;font color="#ffe22a"&gt;出現率５倍&lt;/font&gt;！</t>
    <rPh sb="178" eb="179">
      <t>マン</t>
    </rPh>
    <rPh sb="181" eb="183">
      <t>キネン</t>
    </rPh>
    <rPh sb="188" eb="191">
      <t>sh</t>
    </rPh>
    <rPh sb="200" eb="203">
      <t>カンソ</t>
    </rPh>
    <rPh sb="203" eb="205">
      <t>キネン</t>
    </rPh>
    <rPh sb="232" eb="245">
      <t>sh</t>
    </rPh>
    <phoneticPr fontId="12"/>
  </si>
  <si>
    <t>フィーバーフェスティバル（ファラデーUP）</t>
    <phoneticPr fontId="12"/>
  </si>
  <si>
    <t>フィーバーフェスティバル（ユークリッドUP）</t>
    <phoneticPr fontId="12"/>
  </si>
  <si>
    <t>スーパーセレクション</t>
    <phoneticPr fontId="12"/>
  </si>
  <si>
    <t>2016-02-29 23:59:59</t>
    <phoneticPr fontId="12"/>
  </si>
  <si>
    <t>2016-03-01 00:00:00</t>
    <phoneticPr fontId="12"/>
  </si>
  <si>
    <t>2016-03-01 23:59:59</t>
    <phoneticPr fontId="12"/>
  </si>
  <si>
    <t>tit_sellection_01.png</t>
    <phoneticPr fontId="12"/>
  </si>
  <si>
    <t>tit_sellection_02.png</t>
    <phoneticPr fontId="12"/>
  </si>
  <si>
    <t>tit_sellection_03.png</t>
    <phoneticPr fontId="12"/>
  </si>
  <si>
    <t>tit_sellection_04.png</t>
    <phoneticPr fontId="12"/>
  </si>
  <si>
    <t>tit_sellection_05.png</t>
    <phoneticPr fontId="12"/>
  </si>
  <si>
    <t>tit_sellection_06.png</t>
    <phoneticPr fontId="12"/>
  </si>
  <si>
    <t>tit_sellection_07.png</t>
    <phoneticPr fontId="12"/>
  </si>
  <si>
    <t>tit_sellection_08.png</t>
    <phoneticPr fontId="12"/>
  </si>
  <si>
    <t>tit_sellection_09.png</t>
    <phoneticPr fontId="12"/>
  </si>
  <si>
    <t>tit_sellection_10.png</t>
    <phoneticPr fontId="12"/>
  </si>
  <si>
    <t>null</t>
    <phoneticPr fontId="12"/>
  </si>
  <si>
    <t>tit_sellection_00.png</t>
    <phoneticPr fontId="12"/>
  </si>
  <si>
    <t>null</t>
    <phoneticPr fontId="12"/>
  </si>
  <si>
    <t>2016-02-29 00:00:00</t>
    <phoneticPr fontId="12"/>
  </si>
  <si>
    <t>2016-02-26 15:00:00</t>
    <phoneticPr fontId="12"/>
  </si>
  <si>
    <t>2016-03-05 14:59:59</t>
    <phoneticPr fontId="12"/>
  </si>
  <si>
    <t>この2体の出現率UP!</t>
    <phoneticPr fontId="12"/>
  </si>
  <si>
    <t>【&lt;font color="yellow"&gt;ヘンゼル&amp;グレーテル&lt;/font&gt;、&lt;font color="green"&gt;ハーメルン&lt;/font&gt;をGET！】</t>
    <phoneticPr fontId="12"/>
  </si>
  <si>
    <t>妖怪ガチャ１</t>
    <rPh sb="0" eb="2">
      <t>ヨウカ</t>
    </rPh>
    <phoneticPr fontId="12"/>
  </si>
  <si>
    <t>ノーマルガチャ</t>
    <phoneticPr fontId="12"/>
  </si>
  <si>
    <t>【&lt;font color="#ff2626"&gt;超&lt;/font&gt;&lt;font color="#ffe22a"&gt;激&lt;/font&gt;&lt;font color="#0093ff"&gt;レ&lt;/font&gt;&lt;font color="#00e075"&gt;ア&lt;/font&gt;ユニットをGETしよう！】
&lt;font color="#ffab27"&gt;03/01 23:59&lt;/font&gt;までフェス限定ユニットが出現中!</t>
    <rPh sb="180" eb="187">
      <t>ゲン</t>
    </rPh>
    <rPh sb="187" eb="190">
      <t>sh</t>
    </rPh>
    <phoneticPr fontId="12"/>
  </si>
  <si>
    <t>tit_10ren.png</t>
    <phoneticPr fontId="12"/>
  </si>
  <si>
    <t>【&lt;font color="yellow"&gt;ヘンゼル&amp;グレーテル&lt;/font&gt;、&lt;font color="green"&gt;ハーメルン&lt;/font&gt;をGET！】
&lt;font color="#ffab27"&gt;03/05 14:59&lt;/font&gt;まで10回ごとに対象ユニット１体確定！
確定のチャンスは３体(30回目)まで！</t>
    <rPh sb="127" eb="129">
      <t>タイショウ</t>
    </rPh>
    <rPh sb="134" eb="135">
      <t>タイ</t>
    </rPh>
    <rPh sb="135" eb="137">
      <t>カクテイ</t>
    </rPh>
    <rPh sb="139" eb="141">
      <t>カクテイ</t>
    </rPh>
    <rPh sb="148" eb="149">
      <t>タイ</t>
    </rPh>
    <rPh sb="152" eb="154">
      <t>カイメ</t>
    </rPh>
    <phoneticPr fontId="12"/>
  </si>
  <si>
    <t>must_display</t>
    <phoneticPr fontId="12"/>
  </si>
  <si>
    <t>display_group_code</t>
    <phoneticPr fontId="12"/>
  </si>
  <si>
    <t>display_group_priority</t>
    <phoneticPr fontId="12"/>
  </si>
  <si>
    <t>チケットですという宣言</t>
    <rPh sb="9" eb="11">
      <t>センゲン</t>
    </rPh>
    <phoneticPr fontId="12"/>
  </si>
  <si>
    <t>ticket_bonze</t>
    <phoneticPr fontId="12"/>
  </si>
  <si>
    <t>1970</t>
  </si>
  <si>
    <t>2016-01-01 00:00:00</t>
    <phoneticPr fontId="15"/>
  </si>
  <si>
    <t>2017-01-05 23:59:59</t>
    <phoneticPr fontId="15"/>
  </si>
  <si>
    <t>ticket_normal</t>
    <phoneticPr fontId="45"/>
  </si>
  <si>
    <t>テストイベ5</t>
    <phoneticPr fontId="12"/>
  </si>
  <si>
    <t>テストイベ6</t>
    <phoneticPr fontId="12"/>
  </si>
  <si>
    <t>確率の支配者</t>
    <rPh sb="0" eb="2">
      <t>カクリツ</t>
    </rPh>
    <rPh sb="3" eb="6">
      <t>シハイシャ</t>
    </rPh>
    <phoneticPr fontId="12"/>
  </si>
  <si>
    <t>ピックアップユニット4体の出現率UP!</t>
    <phoneticPr fontId="12"/>
  </si>
  <si>
    <t>tit_10ren_25poly.png</t>
    <phoneticPr fontId="12"/>
  </si>
  <si>
    <t>2016-03-13 14:59:59</t>
    <phoneticPr fontId="12"/>
  </si>
  <si>
    <t>2016-03-07 15:00:00</t>
    <phoneticPr fontId="12"/>
  </si>
  <si>
    <t>2016-03-05 15:00:00</t>
    <phoneticPr fontId="12"/>
  </si>
  <si>
    <t>2016-03-11 14:59:59</t>
    <phoneticPr fontId="12"/>
  </si>
  <si>
    <t>2016-03-21 14:59:59</t>
    <phoneticPr fontId="12"/>
  </si>
  <si>
    <t>2016-03-05 15:00:00</t>
    <phoneticPr fontId="12"/>
  </si>
  <si>
    <t>新ユニットが１体確定出現!</t>
    <rPh sb="0" eb="12">
      <t>シン</t>
    </rPh>
    <phoneticPr fontId="12"/>
  </si>
  <si>
    <t>2016-03-08 15:00:00</t>
    <phoneticPr fontId="12"/>
  </si>
  <si>
    <t>ステップアップフィーバー</t>
    <phoneticPr fontId="12"/>
  </si>
  <si>
    <t>【&lt;font color="#ff2626"&gt;超&lt;/font&gt;&lt;font color="#ffe22a"&gt;激&lt;/font&gt;&lt;font color="#0093ff"&gt;レ&lt;/font&gt;&lt;font color="#00e075"&gt;ア&lt;/font&gt;ユニットをGETしよう！】
限定ユニットを除くすべてのガチャユニットが出現!</t>
    <rPh sb="135" eb="144">
      <t>ゲン</t>
    </rPh>
    <rPh sb="156" eb="158">
      <t>シュt</t>
    </rPh>
    <phoneticPr fontId="12"/>
  </si>
  <si>
    <t>限定を除く全ガチャユニットが出現!</t>
    <rPh sb="0" eb="2">
      <t>ゲン</t>
    </rPh>
    <rPh sb="3" eb="5">
      <t>ノゾk</t>
    </rPh>
    <rPh sb="5" eb="6">
      <t>ゼン</t>
    </rPh>
    <rPh sb="9" eb="16">
      <t>ゼン</t>
    </rPh>
    <phoneticPr fontId="12"/>
  </si>
  <si>
    <t>2016-03-14 14:59:59</t>
    <phoneticPr fontId="12"/>
  </si>
  <si>
    <t>グリーンフェス（チューリング）</t>
    <phoneticPr fontId="12"/>
  </si>
  <si>
    <t>2016-03-10 15:00:00</t>
    <phoneticPr fontId="12"/>
  </si>
  <si>
    <t>2016-03-13 14:59:59</t>
    <phoneticPr fontId="12"/>
  </si>
  <si>
    <t>緑属性ユニットの出現率UP!</t>
    <rPh sb="0" eb="1">
      <t>ミドリ</t>
    </rPh>
    <rPh sb="1" eb="7">
      <t>アk</t>
    </rPh>
    <phoneticPr fontId="12"/>
  </si>
  <si>
    <t>tit_10ren_r5green.png</t>
    <phoneticPr fontId="12"/>
  </si>
  <si>
    <t>tit_10renyoukai.png</t>
    <phoneticPr fontId="12"/>
  </si>
  <si>
    <t>2016-03-12 15:00:00</t>
    <phoneticPr fontId="12"/>
  </si>
  <si>
    <t>ホワイトデーガチャ</t>
    <phoneticPr fontId="15"/>
  </si>
  <si>
    <t>2016-03-14 15:00:00</t>
    <phoneticPr fontId="12"/>
  </si>
  <si>
    <t>2016-03-17 14:59:59</t>
    <phoneticPr fontId="12"/>
  </si>
  <si>
    <t>ホワイトデーガチャ</t>
    <phoneticPr fontId="12"/>
  </si>
  <si>
    <t>3050</t>
    <phoneticPr fontId="12"/>
  </si>
  <si>
    <t>3051</t>
    <phoneticPr fontId="12"/>
  </si>
  <si>
    <t>tit_stepup305_05.png</t>
    <phoneticPr fontId="12"/>
  </si>
  <si>
    <t>tit_stepup305_06.png</t>
    <phoneticPr fontId="12"/>
  </si>
  <si>
    <t>ホワイトデー記念ユニットが出現中！</t>
    <rPh sb="6" eb="8">
      <t>キネン</t>
    </rPh>
    <rPh sb="8" eb="13">
      <t>ゲン</t>
    </rPh>
    <rPh sb="13" eb="16">
      <t>sh</t>
    </rPh>
    <phoneticPr fontId="12"/>
  </si>
  <si>
    <t>tit_stepup_04master.png</t>
    <phoneticPr fontId="12"/>
  </si>
  <si>
    <t>ガールズフィーバー</t>
    <phoneticPr fontId="15"/>
  </si>
  <si>
    <t>ボーイズフィーバー</t>
    <phoneticPr fontId="15"/>
  </si>
  <si>
    <t>2016-03-16 15:00:00</t>
    <phoneticPr fontId="12"/>
  </si>
  <si>
    <t>2016-03-22 14:59:59</t>
    <phoneticPr fontId="12"/>
  </si>
  <si>
    <t>ガールズフィーバー</t>
    <phoneticPr fontId="12"/>
  </si>
  <si>
    <t>ボーイズフィーバー</t>
    <phoneticPr fontId="12"/>
  </si>
  <si>
    <t>ピックアップフィーバー</t>
    <phoneticPr fontId="12"/>
  </si>
  <si>
    <t>tit_stepup305_04.png</t>
    <phoneticPr fontId="12"/>
  </si>
  <si>
    <t>限定を除く女性ユニットのみが出現!</t>
    <rPh sb="0" eb="2">
      <t>ゲン</t>
    </rPh>
    <rPh sb="3" eb="5">
      <t>ノゾk</t>
    </rPh>
    <rPh sb="5" eb="7">
      <t>ジョセイ</t>
    </rPh>
    <rPh sb="7" eb="16">
      <t>ゼン</t>
    </rPh>
    <phoneticPr fontId="12"/>
  </si>
  <si>
    <t>限定を除く男性ユニットのみが出現!</t>
    <rPh sb="0" eb="2">
      <t>ゲン</t>
    </rPh>
    <rPh sb="3" eb="5">
      <t>ノゾk</t>
    </rPh>
    <rPh sb="5" eb="7">
      <t>ダンセイ</t>
    </rPh>
    <rPh sb="7" eb="16">
      <t>ゼン</t>
    </rPh>
    <phoneticPr fontId="12"/>
  </si>
  <si>
    <t>【&lt;font color="#ff2626"&gt;超&lt;/font&gt;&lt;font color="#ffe22a"&gt;激&lt;/font&gt;&lt;font color="#0093ff"&gt;レ&lt;/font&gt;&lt;font color="#00e075"&gt;ア&lt;/font&gt;ユニットをGETしよう！】
限定ユニットを除く女性ユニットのみが出現!</t>
    <rPh sb="144" eb="146">
      <t>ジョセイ</t>
    </rPh>
    <phoneticPr fontId="12"/>
  </si>
  <si>
    <t>【&lt;font color="#ff2626"&gt;超&lt;/font&gt;&lt;font color="#ffe22a"&gt;激&lt;/font&gt;&lt;font color="#0093ff"&gt;レ&lt;/font&gt;&lt;font color="#00e075"&gt;ア&lt;/font&gt;ユニットをGETしよう！】
限定ユニットを除く男性ユニットのみが出現!</t>
    <rPh sb="144" eb="146">
      <t>ダンセイ</t>
    </rPh>
    <phoneticPr fontId="12"/>
  </si>
  <si>
    <t>インドガチャ</t>
    <phoneticPr fontId="12"/>
  </si>
  <si>
    <t>ノーマルガチャ</t>
    <phoneticPr fontId="12"/>
  </si>
  <si>
    <t>2016-03-27 14:59:59</t>
    <phoneticPr fontId="12"/>
  </si>
  <si>
    <t>2016-03-21 15:00:00</t>
    <phoneticPr fontId="12"/>
  </si>
  <si>
    <t>青属性ユニットの出現率UP!</t>
    <rPh sb="0" eb="1">
      <t>アオ</t>
    </rPh>
    <rPh sb="1" eb="7">
      <t>アk</t>
    </rPh>
    <phoneticPr fontId="12"/>
  </si>
  <si>
    <t>3080</t>
    <phoneticPr fontId="12"/>
  </si>
  <si>
    <t>3081</t>
    <phoneticPr fontId="12"/>
  </si>
  <si>
    <t>ブルーフェスティバル</t>
    <phoneticPr fontId="15"/>
  </si>
  <si>
    <t>インドガチャ</t>
    <phoneticPr fontId="15"/>
  </si>
  <si>
    <t>ノーマルガチャ</t>
    <phoneticPr fontId="15"/>
  </si>
  <si>
    <t>2016-03-18 15:00:00</t>
    <phoneticPr fontId="12"/>
  </si>
  <si>
    <t>2016-03-21 14:59:59</t>
    <phoneticPr fontId="12"/>
  </si>
  <si>
    <t>2016-03-18 14:59:59</t>
    <phoneticPr fontId="12"/>
  </si>
  <si>
    <t>回復フィーバー</t>
    <rPh sb="0" eb="2">
      <t>カイフク</t>
    </rPh>
    <phoneticPr fontId="12"/>
  </si>
  <si>
    <t>2016-03-23 15:00:00</t>
    <phoneticPr fontId="12"/>
  </si>
  <si>
    <t>2016-03-29 14:59:59</t>
    <phoneticPr fontId="12"/>
  </si>
  <si>
    <t>tit_stepup308_04.png</t>
    <phoneticPr fontId="12"/>
  </si>
  <si>
    <t>tit_stepup308_05.png</t>
    <phoneticPr fontId="12"/>
  </si>
  <si>
    <t>tit_stepup308_06.png</t>
    <phoneticPr fontId="12"/>
  </si>
  <si>
    <t>STEP1,STEP2は&lt;font color="#ffe22a"&gt;ポリゴン割引！&lt;/font&gt;
STEP3は&lt;font color="#ffe22a"&gt;ポリゴン割引+★5ユニット１体確定！&lt;/font&gt;
&lt;font color="#ffe22a"&gt;3/21 14:59&lt;/font&gt;まで青フェス限定ユニット出現中！</t>
    <rPh sb="38" eb="40">
      <t>ワリビキ</t>
    </rPh>
    <rPh sb="81" eb="83">
      <t>ワリビキ</t>
    </rPh>
    <rPh sb="91" eb="92">
      <t>タイ</t>
    </rPh>
    <rPh sb="92" eb="94">
      <t>カクテイ</t>
    </rPh>
    <rPh sb="144" eb="145">
      <t>アオ</t>
    </rPh>
    <rPh sb="148" eb="150">
      <t>ゲンテイ</t>
    </rPh>
    <rPh sb="154" eb="157">
      <t>シュツゲンチュウ</t>
    </rPh>
    <phoneticPr fontId="12"/>
  </si>
  <si>
    <t>超カラーフェス前半&lt;赤黄&gt;</t>
    <rPh sb="0" eb="1">
      <t>チョウ</t>
    </rPh>
    <rPh sb="7" eb="9">
      <t>ゼンハン</t>
    </rPh>
    <rPh sb="10" eb="11">
      <t>アカ</t>
    </rPh>
    <rPh sb="11" eb="12">
      <t>キイロ</t>
    </rPh>
    <phoneticPr fontId="12"/>
  </si>
  <si>
    <t>超カラーフェス後半&lt;青緑&gt;</t>
    <rPh sb="0" eb="1">
      <t>チョウ</t>
    </rPh>
    <rPh sb="7" eb="9">
      <t>コウハン</t>
    </rPh>
    <rPh sb="10" eb="11">
      <t>アオ</t>
    </rPh>
    <rPh sb="11" eb="12">
      <t>ミドリ</t>
    </rPh>
    <phoneticPr fontId="12"/>
  </si>
  <si>
    <t>2016-03-27 00:00:00</t>
    <phoneticPr fontId="12"/>
  </si>
  <si>
    <t>2016-03-29 00:00:00</t>
    <phoneticPr fontId="12"/>
  </si>
  <si>
    <t>2016-03-30 23:59:59</t>
    <phoneticPr fontId="12"/>
  </si>
  <si>
    <t>【&lt;font color="green"&gt;ヤマタノオロチ&lt;/font&gt;、&lt;font color="red"&gt;ウリエル&lt;/font&gt;、&lt;font color="blue"&gt;ラファエル&lt;/font&gt;、&lt;font color="yellow"&gt;ホルス&lt;/font&gt;をGETしよう！】</t>
    <phoneticPr fontId="12"/>
  </si>
  <si>
    <t>&lt;font color="red"&gt;シュレディンガー&lt;/font&gt;と&lt;font color="yellow"&gt;ハップル&lt;/font&gt;の出現率アップ！</t>
    <rPh sb="67" eb="70">
      <t>シュツゲンリツ</t>
    </rPh>
    <phoneticPr fontId="12"/>
  </si>
  <si>
    <t>&lt;font color="blue"&gt;ヘンペル&lt;/font&gt;と&lt;font color="green"&gt;チューリング&lt;/font&gt;の出現率アップ！</t>
    <rPh sb="65" eb="68">
      <t>シュツゲンリツ</t>
    </rPh>
    <phoneticPr fontId="12"/>
  </si>
  <si>
    <t>null</t>
    <phoneticPr fontId="12"/>
  </si>
  <si>
    <t>2016-03-28 23:59:59</t>
    <phoneticPr fontId="12"/>
  </si>
  <si>
    <t>colorfull_tips01.png</t>
    <phoneticPr fontId="12"/>
  </si>
  <si>
    <t>colorfull_tips02.png</t>
  </si>
  <si>
    <t>ピックアップフィーバー&lt;バランス編&gt;</t>
    <rPh sb="16" eb="17">
      <t>ヘン</t>
    </rPh>
    <phoneticPr fontId="12"/>
  </si>
  <si>
    <t>2016-03-25 00:00:00</t>
    <phoneticPr fontId="12"/>
  </si>
  <si>
    <t>2016-03-26 00:00:00</t>
    <phoneticPr fontId="12"/>
  </si>
  <si>
    <t>2016-03-31 23:59:59</t>
    <phoneticPr fontId="12"/>
  </si>
  <si>
    <t>３月フィーバーフェス&lt;前半&gt;</t>
    <rPh sb="1" eb="2">
      <t>ガツ</t>
    </rPh>
    <rPh sb="11" eb="13">
      <t>ゼンハン</t>
    </rPh>
    <phoneticPr fontId="12"/>
  </si>
  <si>
    <t>３月フィーバーフェス&lt;後半&gt;</t>
    <rPh sb="1" eb="2">
      <t>ガツ</t>
    </rPh>
    <rPh sb="11" eb="13">
      <t>コウハン</t>
    </rPh>
    <phoneticPr fontId="12"/>
  </si>
  <si>
    <t>2016-03-31 00:00:00</t>
    <phoneticPr fontId="12"/>
  </si>
  <si>
    <t>2016-04-02 23:59:59</t>
    <phoneticPr fontId="12"/>
  </si>
  <si>
    <t>null</t>
    <phoneticPr fontId="12"/>
  </si>
  <si>
    <t>null</t>
    <phoneticPr fontId="12"/>
  </si>
  <si>
    <t>2016-04-01 00:00:00</t>
    <phoneticPr fontId="12"/>
  </si>
  <si>
    <t>2016-04-04 23:59:59</t>
    <phoneticPr fontId="12"/>
  </si>
  <si>
    <t>【&lt;font color="#ff2626"&gt;超&lt;/font&gt;&lt;font color="#ffe22a"&gt;激&lt;/font&gt;&lt;font color="#0093ff"&gt;レ&lt;/font&gt;&lt;font color="#00e075"&gt;ア&lt;/font&gt;ユニットをGETしよう！】
&lt;font color="#ffab27"&gt;03/30 23:59&lt;/font&gt;までカラーフェスティバルユニット出現中！
前半は&lt;font color="red"&gt;シュレディンガー&lt;/font&gt;と&lt;font color="yellow"&gt;ハップル&lt;/font&gt;の出現率アップ！</t>
    <phoneticPr fontId="12"/>
  </si>
  <si>
    <t>【&lt;font color="#ff2626"&gt;超&lt;/font&gt;&lt;font color="#ffe22a"&gt;激&lt;/font&gt;&lt;font color="#0093ff"&gt;レ&lt;/font&gt;&lt;font color="#00e075"&gt;ア&lt;/font&gt;ユニットをGETしよう！】
&lt;font color="#ffab27"&gt;03/30 23:59&lt;/font&gt;までカラーフェスティバルユニット出現中！
後半は&lt;font color="green"&gt;チューリング&lt;/font&gt;と&lt;font color="blue"&gt;ヘンペル&lt;/font&gt;の出現率アップ！</t>
    <rPh sb="196" eb="198">
      <t>コウハン</t>
    </rPh>
    <phoneticPr fontId="12"/>
  </si>
  <si>
    <t>新キャラ追加&lt;日本昔話&gt;</t>
    <rPh sb="0" eb="1">
      <t>シン</t>
    </rPh>
    <rPh sb="4" eb="6">
      <t>ツイカ</t>
    </rPh>
    <rPh sb="7" eb="9">
      <t>ニホン</t>
    </rPh>
    <rPh sb="9" eb="10">
      <t>ムカシ</t>
    </rPh>
    <rPh sb="10" eb="11">
      <t>バナ</t>
    </rPh>
    <phoneticPr fontId="12"/>
  </si>
  <si>
    <t>r4_tips.png</t>
    <phoneticPr fontId="12"/>
  </si>
  <si>
    <t>ピックアップフィーバー&lt;新春厳選&gt;</t>
    <rPh sb="12" eb="14">
      <t>シンシュン</t>
    </rPh>
    <rPh sb="14" eb="16">
      <t>ゲンセン</t>
    </rPh>
    <phoneticPr fontId="12"/>
  </si>
  <si>
    <t>ノーマルガチャ&lt;日本昔話追加&gt;</t>
    <rPh sb="8" eb="10">
      <t>ニホン</t>
    </rPh>
    <rPh sb="10" eb="11">
      <t>ムカシ</t>
    </rPh>
    <rPh sb="11" eb="12">
      <t>バナ</t>
    </rPh>
    <rPh sb="12" eb="14">
      <t>ツイカ</t>
    </rPh>
    <phoneticPr fontId="12"/>
  </si>
  <si>
    <t>2回目以降新ユニットが2体確定出現!</t>
    <rPh sb="1" eb="3">
      <t>カイメ</t>
    </rPh>
    <rPh sb="3" eb="5">
      <t>イコウ</t>
    </rPh>
    <rPh sb="5" eb="17">
      <t>シン</t>
    </rPh>
    <phoneticPr fontId="12"/>
  </si>
  <si>
    <t>160402_haru_tips01.png</t>
    <phoneticPr fontId="12"/>
  </si>
  <si>
    <t>160402_haru_tips02.png</t>
    <phoneticPr fontId="12"/>
  </si>
  <si>
    <t>2016-04-02 15:00:00</t>
    <phoneticPr fontId="15"/>
  </si>
  <si>
    <t>2016-04-06 14:59:59</t>
    <phoneticPr fontId="15"/>
  </si>
  <si>
    <t>160404_nihon_tips01.png</t>
    <phoneticPr fontId="12"/>
  </si>
  <si>
    <t>160404_nihon_tips02.png</t>
    <phoneticPr fontId="12"/>
  </si>
  <si>
    <t>2016-04-04 15:00:00</t>
    <phoneticPr fontId="15"/>
  </si>
  <si>
    <t>2016-04-08 14:59:59</t>
    <phoneticPr fontId="15"/>
  </si>
  <si>
    <t>2016-04-04 14:59:59</t>
    <phoneticPr fontId="12"/>
  </si>
  <si>
    <t>ステップアップフィーバー&lt;4月頭&gt;</t>
    <rPh sb="14" eb="15">
      <t>ガツ</t>
    </rPh>
    <rPh sb="15" eb="16">
      <t>アタマ</t>
    </rPh>
    <phoneticPr fontId="12"/>
  </si>
  <si>
    <t>null</t>
    <phoneticPr fontId="12"/>
  </si>
  <si>
    <t>320100</t>
  </si>
  <si>
    <t>2016-04-06 15:00:00</t>
    <phoneticPr fontId="15"/>
  </si>
  <si>
    <t>2016-04-10 14:59:59</t>
    <phoneticPr fontId="15"/>
  </si>
  <si>
    <t>tips_stepup_01.png</t>
    <phoneticPr fontId="12"/>
  </si>
  <si>
    <t>tips_stepup_02.png</t>
  </si>
  <si>
    <t>tips_stepup_03.png</t>
  </si>
  <si>
    <t>tips_stepup_04.png</t>
  </si>
  <si>
    <t>tips_stepup_05.png</t>
  </si>
  <si>
    <t>5STEPで1セット！3セットまで特典付き！</t>
    <phoneticPr fontId="12"/>
  </si>
  <si>
    <t>STEP5で最強厳選ユニット1体確定！
※4セット目からは★4以上確定10連ガチャとなります</t>
    <rPh sb="6" eb="8">
      <t>サイキョウ</t>
    </rPh>
    <phoneticPr fontId="12"/>
  </si>
  <si>
    <t>ピックアップフィーバー&lt;ランス&amp;近藤&gt;</t>
    <rPh sb="16" eb="18">
      <t>コンドウ</t>
    </rPh>
    <phoneticPr fontId="12"/>
  </si>
  <si>
    <t>イエローフェス&lt;5月フーリエ&gt;</t>
    <rPh sb="9" eb="10">
      <t>ガツ</t>
    </rPh>
    <phoneticPr fontId="12"/>
  </si>
  <si>
    <t>2016-04-09 15:00:00</t>
    <phoneticPr fontId="12"/>
  </si>
  <si>
    <t>2016-04-11 15:00:00</t>
    <phoneticPr fontId="12"/>
  </si>
  <si>
    <t>2016-04-14 14:59:59</t>
    <phoneticPr fontId="12"/>
  </si>
  <si>
    <t>2016-04-13 14:59:59</t>
    <phoneticPr fontId="12"/>
  </si>
  <si>
    <t>★6開放記念ガチャ&lt;オイフォイ&gt;</t>
    <rPh sb="2" eb="4">
      <t>カイホウ</t>
    </rPh>
    <rPh sb="4" eb="6">
      <t>キネン</t>
    </rPh>
    <phoneticPr fontId="12"/>
  </si>
  <si>
    <t>2016-04-14 15:00:00</t>
    <phoneticPr fontId="12"/>
  </si>
  <si>
    <t>2016-04-20 14:59:59</t>
    <phoneticPr fontId="12"/>
  </si>
  <si>
    <t>ランキング対抗ガチャ&lt;ヘイウェイ&gt;</t>
    <rPh sb="5" eb="7">
      <t>タイコウ</t>
    </rPh>
    <phoneticPr fontId="12"/>
  </si>
  <si>
    <t>新キャラ追加&lt;戦国&gt;</t>
    <rPh sb="0" eb="1">
      <t>シンキャラ</t>
    </rPh>
    <rPh sb="4" eb="6">
      <t>ツイカ</t>
    </rPh>
    <rPh sb="7" eb="9">
      <t>センゴク</t>
    </rPh>
    <phoneticPr fontId="12"/>
  </si>
  <si>
    <t>ノーマルガチャ&lt;戦国追加&gt;</t>
    <rPh sb="8" eb="10">
      <t>センゴク</t>
    </rPh>
    <rPh sb="10" eb="12">
      <t>ツイカ</t>
    </rPh>
    <phoneticPr fontId="12"/>
  </si>
  <si>
    <t>ブルーフェス&lt;フィボナッチ&gt;</t>
    <phoneticPr fontId="12"/>
  </si>
  <si>
    <t>2016-04-20 15:00:00</t>
    <phoneticPr fontId="12"/>
  </si>
  <si>
    <t>tit_10ren_r5blue.png</t>
    <phoneticPr fontId="12"/>
  </si>
  <si>
    <t>初心者応援チケットガチャ</t>
    <rPh sb="0" eb="3">
      <t>ショシンシャ</t>
    </rPh>
    <rPh sb="3" eb="5">
      <t>オウエン</t>
    </rPh>
    <phoneticPr fontId="12"/>
  </si>
  <si>
    <t>中級者チケットガチャ</t>
    <rPh sb="0" eb="3">
      <t>チュウキュウシャ</t>
    </rPh>
    <phoneticPr fontId="12"/>
  </si>
  <si>
    <t>超お得チケットガチャ</t>
    <rPh sb="0" eb="1">
      <t>チョウオトク</t>
    </rPh>
    <phoneticPr fontId="12"/>
  </si>
  <si>
    <t>ticket_beginner</t>
    <phoneticPr fontId="45"/>
  </si>
  <si>
    <t>ticket_middle</t>
    <phoneticPr fontId="45"/>
  </si>
  <si>
    <t>ticket_other</t>
    <phoneticPr fontId="45"/>
  </si>
  <si>
    <t>ticket_ranking160401</t>
    <phoneticPr fontId="45"/>
  </si>
  <si>
    <t>４月ランキングガチャ</t>
    <phoneticPr fontId="12"/>
  </si>
  <si>
    <t>2000-01-01 00:00:00</t>
    <phoneticPr fontId="12"/>
  </si>
  <si>
    <t>ランキング対抗の赤属性出現率アップ！
限定ユニットも出現中!</t>
    <rPh sb="5" eb="7">
      <t>タイコウ</t>
    </rPh>
    <rPh sb="8" eb="9">
      <t>アカ</t>
    </rPh>
    <rPh sb="9" eb="11">
      <t>ゾクセイ</t>
    </rPh>
    <rPh sb="11" eb="14">
      <t>シュツゲンリツ</t>
    </rPh>
    <rPh sb="19" eb="25">
      <t>ゲン</t>
    </rPh>
    <rPh sb="26" eb="29">
      <t>sh</t>
    </rPh>
    <phoneticPr fontId="12"/>
  </si>
  <si>
    <t>【&lt;font color="#ff2626"&gt;超&lt;/font&gt;&lt;font color="#ffe22a"&gt;激&lt;/font&gt;&lt;font color="#0093ff"&gt;レ&lt;/font&gt;&lt;font color="#00e075"&gt;ア&lt;/font&gt;ユニットをGETしよう！】</t>
    <phoneticPr fontId="12"/>
  </si>
  <si>
    <t>ピックアップユニット4体の出現率UP!
&lt;font color=""#ffab27""&gt;※直接★６ユニットは排出されません&lt;/font&gt;</t>
    <rPh sb="45" eb="47">
      <t>チョクセツ</t>
    </rPh>
    <rPh sb="54" eb="56">
      <t>ハイシュツ</t>
    </rPh>
    <phoneticPr fontId="12"/>
  </si>
  <si>
    <t>tips_stepup325_04.png</t>
    <phoneticPr fontId="12"/>
  </si>
  <si>
    <t>tips_stepup325_05.png</t>
    <phoneticPr fontId="12"/>
  </si>
  <si>
    <t>tips_stepup325_06.png</t>
    <phoneticPr fontId="12"/>
  </si>
  <si>
    <t>tips_stepup325_03.png</t>
    <phoneticPr fontId="12"/>
  </si>
  <si>
    <t>2016-04-16 15:00:00</t>
    <phoneticPr fontId="12"/>
  </si>
  <si>
    <t>2016-04-22 14:59:59</t>
    <phoneticPr fontId="12"/>
  </si>
  <si>
    <t>2016-04-16 14:59:59</t>
    <phoneticPr fontId="15"/>
  </si>
  <si>
    <t>2016-04-18 15:00:00</t>
    <phoneticPr fontId="12"/>
  </si>
  <si>
    <t>2016-04-21 14:59:59</t>
    <phoneticPr fontId="12"/>
  </si>
  <si>
    <t>★6解放ガチャ&lt;沖田親指&gt;</t>
    <rPh sb="2" eb="4">
      <t>カイホウ</t>
    </rPh>
    <rPh sb="8" eb="10">
      <t>オキタ</t>
    </rPh>
    <rPh sb="10" eb="12">
      <t>オヤユビ</t>
    </rPh>
    <phoneticPr fontId="12"/>
  </si>
  <si>
    <t>2016-04-23 15:00:00</t>
    <phoneticPr fontId="12"/>
  </si>
  <si>
    <t>2016-04-27 14:59:59</t>
    <phoneticPr fontId="12"/>
  </si>
  <si>
    <t>ピックアップユニットの出現率UP!
&lt;font color=""#ffab27""&gt;※直接★６ユニットは排出されません&lt;/font&gt;</t>
    <rPh sb="43" eb="45">
      <t>チョクセツ</t>
    </rPh>
    <rPh sb="52" eb="54">
      <t>ハイシュツ</t>
    </rPh>
    <phoneticPr fontId="12"/>
  </si>
  <si>
    <t>デュラララガチャ宵&lt;帝人&gt;</t>
    <rPh sb="8" eb="9">
      <t>ヨイ</t>
    </rPh>
    <rPh sb="10" eb="11">
      <t>ミカド</t>
    </rPh>
    <rPh sb="11" eb="12">
      <t>ジン</t>
    </rPh>
    <phoneticPr fontId="12"/>
  </si>
  <si>
    <t>デュラララガチャ暁&lt;静雄&gt;</t>
    <rPh sb="8" eb="9">
      <t>アカツキ</t>
    </rPh>
    <rPh sb="10" eb="12">
      <t>シズオ</t>
    </rPh>
    <phoneticPr fontId="12"/>
  </si>
  <si>
    <t>コラボユニットが出現中！</t>
    <rPh sb="8" eb="11">
      <t>シュツゲンチュウ</t>
    </rPh>
    <phoneticPr fontId="12"/>
  </si>
  <si>
    <t>コラボユニットが出現中！
※コラボユニット以外も排出されます</t>
    <rPh sb="8" eb="11">
      <t>シュツゲンチュウ</t>
    </rPh>
    <rPh sb="21" eb="23">
      <t>イガイ</t>
    </rPh>
    <rPh sb="24" eb="26">
      <t>ハイシュツ</t>
    </rPh>
    <phoneticPr fontId="12"/>
  </si>
  <si>
    <t>tips_drrA_stepup_03.png</t>
    <phoneticPr fontId="12"/>
  </si>
  <si>
    <t>tips_drrA_stepup_04.png</t>
    <phoneticPr fontId="12"/>
  </si>
  <si>
    <t>tips_drrA_stepup_05.png</t>
    <phoneticPr fontId="12"/>
  </si>
  <si>
    <t>tips_drrA_stepup_07.png</t>
    <phoneticPr fontId="12"/>
  </si>
  <si>
    <t>2016-04-26 00:00:00</t>
    <phoneticPr fontId="15"/>
  </si>
  <si>
    <t>2016-04-27 23:59:59</t>
    <phoneticPr fontId="15"/>
  </si>
  <si>
    <t>2016-05-03 00:00:00</t>
    <phoneticPr fontId="15"/>
  </si>
  <si>
    <t>2016-05-04 23:59:59</t>
    <phoneticPr fontId="15"/>
  </si>
  <si>
    <t>2016-05-07 00:00:00</t>
    <phoneticPr fontId="15"/>
  </si>
  <si>
    <t>2016-05-08 23:59:59</t>
    <phoneticPr fontId="15"/>
  </si>
  <si>
    <t>2016-04-28 00:00:00</t>
    <phoneticPr fontId="15"/>
  </si>
  <si>
    <t>2016-04-29 23:59:59</t>
    <phoneticPr fontId="15"/>
  </si>
  <si>
    <t>2016-05-05 00:00:00</t>
    <phoneticPr fontId="15"/>
  </si>
  <si>
    <t>2016-05-06 23:59:59</t>
    <phoneticPr fontId="15"/>
  </si>
  <si>
    <t>2016-05-09 00:00:00</t>
    <phoneticPr fontId="15"/>
  </si>
  <si>
    <t>2016-05-10 23:59:59</t>
    <phoneticPr fontId="15"/>
  </si>
  <si>
    <t>2016-04-21 23:59:59</t>
    <phoneticPr fontId="12"/>
  </si>
  <si>
    <t>-</t>
    <phoneticPr fontId="12"/>
  </si>
  <si>
    <t>tips_drrB_stepup_03.png</t>
    <phoneticPr fontId="12"/>
  </si>
  <si>
    <t>tips_drrB_stepup_04.png</t>
    <phoneticPr fontId="12"/>
  </si>
  <si>
    <t>tips_drrB_stepup_05.png</t>
    <phoneticPr fontId="12"/>
  </si>
  <si>
    <t>tips_drrB_stepup_07.png</t>
    <phoneticPr fontId="12"/>
  </si>
  <si>
    <t>2016-04-22 01:30:00</t>
    <phoneticPr fontId="15"/>
  </si>
  <si>
    <t>【限定コラボユニットをGETしよう！】
STEP6まで進めると&lt;font color="blue"&gt;竜ヶ峰帝人&lt;/font&gt;の&lt;font color="red"&gt;出現率５倍！&lt;/font&gt;
&lt;font color="#ffab27"&gt;※コラボユニット以外も排出されます&lt;/font&gt;</t>
    <rPh sb="1" eb="3">
      <t>ゲンテイ</t>
    </rPh>
    <rPh sb="27" eb="28">
      <t>ススメルト</t>
    </rPh>
    <rPh sb="50" eb="51">
      <t>リュウガミネ</t>
    </rPh>
    <rPh sb="53" eb="54">
      <t>ミカド</t>
    </rPh>
    <rPh sb="54" eb="55">
      <t>ジン</t>
    </rPh>
    <rPh sb="81" eb="84">
      <t>シュツゲンリツ</t>
    </rPh>
    <rPh sb="85" eb="86">
      <t>バイ</t>
    </rPh>
    <rPh sb="125" eb="127">
      <t>イガイ</t>
    </rPh>
    <rPh sb="128" eb="130">
      <t>ハイシュツ</t>
    </rPh>
    <phoneticPr fontId="12"/>
  </si>
  <si>
    <t>【限定コラボユニットをGETしよう！】
STEP6まで進めると&lt;font color="yellow"&gt;平和島静雄&lt;/font&gt;の&lt;font color="red"&gt;出現率５倍！&lt;/font&gt;
&lt;font color="#ffab27"&gt;※コラボユニット以外も排出されます&lt;/font&gt;</t>
    <rPh sb="27" eb="28">
      <t>ススメルト</t>
    </rPh>
    <rPh sb="52" eb="55">
      <t>ヘイワジマ</t>
    </rPh>
    <rPh sb="55" eb="57">
      <t>シズオ</t>
    </rPh>
    <rPh sb="83" eb="86">
      <t>シュツゲンリツ</t>
    </rPh>
    <rPh sb="87" eb="88">
      <t>バイ</t>
    </rPh>
    <rPh sb="127" eb="129">
      <t>イガイ</t>
    </rPh>
    <rPh sb="130" eb="132">
      <t>ハイシュツ</t>
    </rPh>
    <phoneticPr fontId="12"/>
  </si>
  <si>
    <t>2016-04-25 15:00:00</t>
    <phoneticPr fontId="15"/>
  </si>
  <si>
    <t>ハンプティ&lt;初回限定&gt;</t>
    <rPh sb="6" eb="8">
      <t>ショカイ</t>
    </rPh>
    <rPh sb="8" eb="10">
      <t>ゲンテイ</t>
    </rPh>
    <phoneticPr fontId="12"/>
  </si>
  <si>
    <t>初回限定でリトルハンプティ１体をプレゼント！</t>
    <rPh sb="0" eb="2">
      <t>ショカイ</t>
    </rPh>
    <rPh sb="2" eb="4">
      <t>ゲンテイ</t>
    </rPh>
    <phoneticPr fontId="12"/>
  </si>
  <si>
    <t>2016-04-30 00:00:00</t>
    <phoneticPr fontId="15"/>
  </si>
  <si>
    <t>2016-04-30 23:59:59</t>
    <phoneticPr fontId="15"/>
  </si>
  <si>
    <t>2016-05-01 00:00:00</t>
    <phoneticPr fontId="15"/>
  </si>
  <si>
    <t>2016-05-02 23:59:59</t>
    <phoneticPr fontId="15"/>
  </si>
  <si>
    <t>2016-04-28 15:00:00</t>
    <phoneticPr fontId="12"/>
  </si>
  <si>
    <t>2016-05-05 14:59:59</t>
    <phoneticPr fontId="12"/>
  </si>
  <si>
    <t>４月フィーバーフェス&lt;前半&gt;</t>
    <rPh sb="1" eb="2">
      <t>ガツ</t>
    </rPh>
    <rPh sb="11" eb="13">
      <t>ゼンハン</t>
    </rPh>
    <phoneticPr fontId="12"/>
  </si>
  <si>
    <t>４月フィーバーフェス&lt;後半&gt;</t>
    <rPh sb="1" eb="2">
      <t>ガツ</t>
    </rPh>
    <rPh sb="11" eb="13">
      <t>コウハン</t>
    </rPh>
    <phoneticPr fontId="12"/>
  </si>
  <si>
    <t>tips_hampty_step1.png</t>
    <phoneticPr fontId="12"/>
  </si>
  <si>
    <t>４月ランキングピースガチャ</t>
    <rPh sb="1" eb="2">
      <t>ガツ</t>
    </rPh>
    <phoneticPr fontId="12"/>
  </si>
  <si>
    <t>-</t>
    <phoneticPr fontId="12"/>
  </si>
  <si>
    <t>新キャラ追加&lt;天使悪魔&gt;</t>
    <rPh sb="0" eb="1">
      <t>シンキャラ</t>
    </rPh>
    <rPh sb="4" eb="6">
      <t>ツイカ</t>
    </rPh>
    <rPh sb="7" eb="9">
      <t>テンシ</t>
    </rPh>
    <rPh sb="9" eb="11">
      <t>アクマ</t>
    </rPh>
    <phoneticPr fontId="12"/>
  </si>
  <si>
    <t>４月ステップアップフィーバー</t>
    <rPh sb="1" eb="2">
      <t>ガツ</t>
    </rPh>
    <phoneticPr fontId="12"/>
  </si>
  <si>
    <t>４月ステップアップ&lt;50%券&gt;</t>
    <rPh sb="1" eb="2">
      <t>ガツ</t>
    </rPh>
    <rPh sb="13" eb="14">
      <t>ケン</t>
    </rPh>
    <phoneticPr fontId="12"/>
  </si>
  <si>
    <t>tips_stepup_05_R6.png</t>
    <phoneticPr fontId="12"/>
  </si>
  <si>
    <t>tips_stepup_03_R6.png</t>
    <phoneticPr fontId="12"/>
  </si>
  <si>
    <t>ticket_R6_50p</t>
    <phoneticPr fontId="45"/>
  </si>
  <si>
    <t>null</t>
    <phoneticPr fontId="12"/>
  </si>
  <si>
    <t>ticket_piece</t>
    <phoneticPr fontId="45"/>
  </si>
  <si>
    <t>ノーマルガチャ&lt;天使in&gt;</t>
    <rPh sb="8" eb="10">
      <t>テンシ</t>
    </rPh>
    <phoneticPr fontId="12"/>
  </si>
  <si>
    <t>2016-05-19 14:59:59</t>
    <phoneticPr fontId="15"/>
  </si>
  <si>
    <t>2016-05-06 08:00:00</t>
    <phoneticPr fontId="15"/>
  </si>
  <si>
    <t>2016-05-10 15:00:00</t>
    <phoneticPr fontId="15"/>
  </si>
  <si>
    <t>2016-05-10 14:59:59</t>
    <phoneticPr fontId="12"/>
  </si>
  <si>
    <t>335103</t>
  </si>
  <si>
    <t>2000-01-01 15:00:34</t>
  </si>
  <si>
    <t>2970-01-01 14:59:25</t>
  </si>
  <si>
    <t>本ガチャと★6覚醒可能ユニット出現率50%チケットでは
&lt;font color="#ffab27"&gt;★6覚醒後ユニットは直接排出されません&lt;/font&gt;
また&lt;font color="#ffab27"&gt;限定ユニットは排出されません&lt;/font&gt;</t>
    <rPh sb="0" eb="1">
      <t>ホンガチャ</t>
    </rPh>
    <rPh sb="7" eb="9">
      <t>カクセイ</t>
    </rPh>
    <rPh sb="9" eb="11">
      <t>カノウ</t>
    </rPh>
    <rPh sb="15" eb="18">
      <t>シュツゲンリツ</t>
    </rPh>
    <rPh sb="52" eb="54">
      <t>カクセイ</t>
    </rPh>
    <rPh sb="54" eb="55">
      <t>ゴ</t>
    </rPh>
    <rPh sb="60" eb="62">
      <t>チョクセツ</t>
    </rPh>
    <rPh sb="62" eb="64">
      <t>ハイシュツ</t>
    </rPh>
    <rPh sb="101" eb="103">
      <t>ゲンテイ</t>
    </rPh>
    <rPh sb="108" eb="110">
      <t>ハイシュツ</t>
    </rPh>
    <phoneticPr fontId="12"/>
  </si>
  <si>
    <t>ランキング報酬ユニット１体が確定出現！
開設期間：&lt;font color="#ffab27"&gt;5/19 14:59まで&lt;/font&gt;
※★5の状態で排出されます</t>
    <rPh sb="5" eb="7">
      <t>ホウシュウ</t>
    </rPh>
    <rPh sb="12" eb="13">
      <t>タイ</t>
    </rPh>
    <rPh sb="14" eb="16">
      <t>カクテイ</t>
    </rPh>
    <rPh sb="16" eb="18">
      <t>シュツゲン</t>
    </rPh>
    <rPh sb="20" eb="24">
      <t>カイセツキカン</t>
    </rPh>
    <rPh sb="71" eb="73">
      <t>ジョウタイ</t>
    </rPh>
    <rPh sb="74" eb="76">
      <t>ハイシュツ</t>
    </rPh>
    <phoneticPr fontId="12"/>
  </si>
  <si>
    <t>null</t>
    <phoneticPr fontId="12"/>
  </si>
  <si>
    <t>2016-05-06 15:00:00</t>
    <phoneticPr fontId="15"/>
  </si>
  <si>
    <t>2016-05-12 14:59:59</t>
    <phoneticPr fontId="15"/>
  </si>
  <si>
    <t>2016-05-08 15:00:00</t>
    <phoneticPr fontId="15"/>
  </si>
  <si>
    <t>【&lt;font color="#ff2626"&gt;超&lt;/font&gt;&lt;font color="#ffe22a"&gt;激&lt;/font&gt;&lt;font color="#0093ff"&gt;レ&lt;/font&gt;&lt;font color="#00e075"&gt;ア&lt;/font&gt;ユニットをGETしよう！】
&lt;font color="#ffab27"&gt;05/12 14:59&lt;/font&gt;まで初回限定でリトルハンプティを
１体プレゼント！</t>
    <phoneticPr fontId="12"/>
  </si>
  <si>
    <t>初心者応援チケットガチャ&lt;天使in&gt;</t>
    <rPh sb="0" eb="3">
      <t>ショシンシャ</t>
    </rPh>
    <rPh sb="3" eb="5">
      <t>オウエン</t>
    </rPh>
    <rPh sb="13" eb="15">
      <t>テンシ</t>
    </rPh>
    <phoneticPr fontId="12"/>
  </si>
  <si>
    <t>初心者応援チケットガチャ&lt;八咫ヘングレin&gt;</t>
    <rPh sb="0" eb="3">
      <t>ショシンシャ</t>
    </rPh>
    <rPh sb="3" eb="5">
      <t>オウエン</t>
    </rPh>
    <rPh sb="13" eb="15">
      <t>ヤタ</t>
    </rPh>
    <phoneticPr fontId="12"/>
  </si>
  <si>
    <t>中級者チケットガチャ&lt;天使in&gt;</t>
    <rPh sb="0" eb="3">
      <t>チュウキュウシャ</t>
    </rPh>
    <phoneticPr fontId="12"/>
  </si>
  <si>
    <t>中級者チケットガチャ&lt;八咫ヘングレin&gt;</t>
    <rPh sb="0" eb="3">
      <t>チュウキュウシャ</t>
    </rPh>
    <phoneticPr fontId="12"/>
  </si>
  <si>
    <t>超お得チケットガチャ&lt;八咫ヘングレin&gt;</t>
    <rPh sb="0" eb="1">
      <t>チョウオトク</t>
    </rPh>
    <phoneticPr fontId="12"/>
  </si>
  <si>
    <t>超お得チケットガチャ&lt;天使in&gt;</t>
    <rPh sb="0" eb="1">
      <t>チョウオトク</t>
    </rPh>
    <phoneticPr fontId="12"/>
  </si>
  <si>
    <t>2016-05-10 14:59:59</t>
    <phoneticPr fontId="15"/>
  </si>
  <si>
    <t>2016-05-10 15:00:00</t>
    <phoneticPr fontId="15"/>
  </si>
  <si>
    <t>GachaTop_335_2.png</t>
    <phoneticPr fontId="12"/>
  </si>
  <si>
    <t>2016-05-26 14:59:59</t>
    <phoneticPr fontId="15"/>
  </si>
  <si>
    <t>gacha_group_code</t>
    <phoneticPr fontId="12"/>
  </si>
  <si>
    <t>memo</t>
    <phoneticPr fontId="12"/>
  </si>
  <si>
    <t>limit_type</t>
    <phoneticPr fontId="12"/>
  </si>
  <si>
    <t>limit_value</t>
    <phoneticPr fontId="12"/>
  </si>
  <si>
    <t>null</t>
    <phoneticPr fontId="12"/>
  </si>
  <si>
    <t>gacha_patterns</t>
    <phoneticPr fontId="12"/>
  </si>
  <si>
    <t>gacha_patterns</t>
    <phoneticPr fontId="12"/>
  </si>
  <si>
    <t>gacha_elements_i18n</t>
    <phoneticPr fontId="12"/>
  </si>
  <si>
    <t>old</t>
    <phoneticPr fontId="12"/>
  </si>
  <si>
    <t>ja</t>
    <phoneticPr fontId="12"/>
  </si>
  <si>
    <t>'day','week','month','term'</t>
  </si>
  <si>
    <t>limit_typeの中身</t>
    <rPh sb="11" eb="13">
      <t>ナカミ</t>
    </rPh>
    <phoneticPr fontId="12"/>
  </si>
  <si>
    <t>2016-05-15 14:59:59</t>
    <phoneticPr fontId="15"/>
  </si>
  <si>
    <t>2016-05-13 8:59:59</t>
    <phoneticPr fontId="15"/>
  </si>
  <si>
    <t>2016-05-13 9:00:00</t>
    <phoneticPr fontId="15"/>
  </si>
  <si>
    <t>2016-05-13 8:59:59</t>
    <phoneticPr fontId="15"/>
  </si>
  <si>
    <t>2016-05-13 8:59:59</t>
    <phoneticPr fontId="15"/>
  </si>
  <si>
    <t>TVCM放送記念10連限定ガチャ</t>
    <rPh sb="4" eb="6">
      <t>ホウソウ</t>
    </rPh>
    <rPh sb="6" eb="8">
      <t>キネｎ</t>
    </rPh>
    <rPh sb="11" eb="13">
      <t>ゲンテイガチャ</t>
    </rPh>
    <phoneticPr fontId="12"/>
  </si>
  <si>
    <t>ピックアップフィーバー&lt;八咫烏、ヘングレ&gt;</t>
    <rPh sb="12" eb="15">
      <t>ヤタガラス</t>
    </rPh>
    <phoneticPr fontId="12"/>
  </si>
  <si>
    <t>poly_338</t>
    <phoneticPr fontId="12"/>
  </si>
  <si>
    <t>term</t>
    <phoneticPr fontId="12"/>
  </si>
  <si>
    <t>2016-05-17 15:00:00</t>
    <phoneticPr fontId="15"/>
  </si>
  <si>
    <t>メタルフィーバー&lt;リンク&gt;</t>
    <phoneticPr fontId="12"/>
  </si>
  <si>
    <t>ゴールドフィーバー&lt;リンク&gt;</t>
    <phoneticPr fontId="12"/>
  </si>
  <si>
    <t>Link_GachaTop_208.png</t>
    <phoneticPr fontId="12"/>
  </si>
  <si>
    <t>メタルフィーバー</t>
    <phoneticPr fontId="12"/>
  </si>
  <si>
    <t>メタルフィーバー（2連）</t>
    <rPh sb="10" eb="11">
      <t>レン</t>
    </rPh>
    <phoneticPr fontId="12"/>
  </si>
  <si>
    <t>メタルフィーバー（3連）</t>
    <rPh sb="10" eb="11">
      <t>レン</t>
    </rPh>
    <phoneticPr fontId="12"/>
  </si>
  <si>
    <t>メタルフィーバー（4連）</t>
    <rPh sb="10" eb="11">
      <t>レン</t>
    </rPh>
    <phoneticPr fontId="12"/>
  </si>
  <si>
    <t>メタルフィーバー（5連）</t>
    <rPh sb="10" eb="11">
      <t>レン</t>
    </rPh>
    <phoneticPr fontId="12"/>
  </si>
  <si>
    <t>メタルフィーバー（6連）</t>
    <rPh sb="10" eb="11">
      <t>レン</t>
    </rPh>
    <phoneticPr fontId="12"/>
  </si>
  <si>
    <t>メタルフィーバー（7連）</t>
    <rPh sb="10" eb="11">
      <t>レン</t>
    </rPh>
    <phoneticPr fontId="12"/>
  </si>
  <si>
    <t>メタルフィーバー（8連）</t>
    <rPh sb="10" eb="11">
      <t>レン</t>
    </rPh>
    <phoneticPr fontId="12"/>
  </si>
  <si>
    <t>メタルフィーバー（9連）</t>
    <rPh sb="10" eb="11">
      <t>レン</t>
    </rPh>
    <phoneticPr fontId="12"/>
  </si>
  <si>
    <t>メタルフィーバー（10連）</t>
    <rPh sb="11" eb="12">
      <t>レン</t>
    </rPh>
    <phoneticPr fontId="12"/>
  </si>
  <si>
    <t>2016-05-19 15:00:00</t>
    <phoneticPr fontId="15"/>
  </si>
  <si>
    <t>2016-05-24 14:59:59</t>
    <phoneticPr fontId="15"/>
  </si>
  <si>
    <t>2016-05-14 00:00:00</t>
    <phoneticPr fontId="15"/>
  </si>
  <si>
    <t>2016-05-29 23:59:59</t>
    <phoneticPr fontId="15"/>
  </si>
  <si>
    <t>【超強力★6覚醒済みユニットをGETしよう！】
★6覚醒済みユニットが１体確定排出！
&lt;font color="#ffab27"&gt;※このガチャは１回のみ引くことが可能です&lt;/font&gt;</t>
    <rPh sb="1" eb="4">
      <t>チョウキョウリョク</t>
    </rPh>
    <rPh sb="6" eb="9">
      <t>カクセイズミ</t>
    </rPh>
    <rPh sb="26" eb="28">
      <t>カクセイ</t>
    </rPh>
    <rPh sb="28" eb="29">
      <t>ズミ</t>
    </rPh>
    <rPh sb="36" eb="37">
      <t>タイ</t>
    </rPh>
    <rPh sb="37" eb="39">
      <t>カクテイ</t>
    </rPh>
    <rPh sb="39" eb="41">
      <t>ハイシュツ</t>
    </rPh>
    <rPh sb="73" eb="74">
      <t>カイ</t>
    </rPh>
    <rPh sb="76" eb="77">
      <t>ヒクコト</t>
    </rPh>
    <rPh sb="81" eb="83">
      <t>カノウ</t>
    </rPh>
    <phoneticPr fontId="12"/>
  </si>
  <si>
    <t>2016-05-23 14:59:59</t>
    <phoneticPr fontId="15"/>
  </si>
  <si>
    <t>TVCM放送記念フェス&lt;ファラ、ハーシェル&gt;</t>
    <phoneticPr fontId="12"/>
  </si>
  <si>
    <t>TVCM放送記念フェス&lt;ハイゼン、メビ&gt;</t>
    <phoneticPr fontId="12"/>
  </si>
  <si>
    <t>超フィーバーフェス（オイラーUP）</t>
    <phoneticPr fontId="12"/>
  </si>
  <si>
    <t>超フィーバーフェス（クロネッカーUP）</t>
    <phoneticPr fontId="12"/>
  </si>
  <si>
    <t>超フィーバーフェス（ユークリッドUP）</t>
    <phoneticPr fontId="12"/>
  </si>
  <si>
    <t>超フィーバーフェス（ラグランジュUP）</t>
    <phoneticPr fontId="12"/>
  </si>
  <si>
    <t>新キャラ追加&lt;グリム&gt;</t>
    <phoneticPr fontId="12"/>
  </si>
  <si>
    <t>初心者応援チケットガチャ&lt;グリム2in&gt;</t>
    <rPh sb="0" eb="3">
      <t>ショシンシャ</t>
    </rPh>
    <rPh sb="3" eb="5">
      <t>オウエン</t>
    </rPh>
    <phoneticPr fontId="12"/>
  </si>
  <si>
    <t>中級者チケットガチャ&lt;グリム2in&gt;</t>
    <rPh sb="0" eb="3">
      <t>チュウキュウシャ</t>
    </rPh>
    <phoneticPr fontId="12"/>
  </si>
  <si>
    <t>超お得チケットガチャ&lt;グリム2in&gt;</t>
    <rPh sb="0" eb="1">
      <t>チョウオトク</t>
    </rPh>
    <phoneticPr fontId="12"/>
  </si>
  <si>
    <t>2016-05-20 00:00:00</t>
    <phoneticPr fontId="15"/>
  </si>
  <si>
    <t>2016-05-22 23:59:59</t>
    <phoneticPr fontId="15"/>
  </si>
  <si>
    <t>2016-05-22 00:00:00</t>
    <phoneticPr fontId="15"/>
  </si>
  <si>
    <t>2016-05-24 23:59:59</t>
    <phoneticPr fontId="15"/>
  </si>
  <si>
    <t>ノーマルガチャ&lt;グリム2in&gt;</t>
    <phoneticPr fontId="12"/>
  </si>
  <si>
    <t>2016-05-31 14:59:59</t>
    <phoneticPr fontId="15"/>
  </si>
  <si>
    <t>2016-05-25 00:00:00</t>
    <phoneticPr fontId="15"/>
  </si>
  <si>
    <t>2016-05-25 00:00:00</t>
    <phoneticPr fontId="15"/>
  </si>
  <si>
    <t>ピックアップユニットの出現率UP!
&lt;font color=""#ffab27""&gt;※直接★６ユニットは排出されません&lt;/font&gt;</t>
    <phoneticPr fontId="12"/>
  </si>
  <si>
    <t>フェス限定ユニットが出現中!
&lt;font color=""#ffab27""&gt;※直接★６ユニットは排出されません&lt;/font&gt;</t>
    <rPh sb="3" eb="10">
      <t>ゲン</t>
    </rPh>
    <rPh sb="10" eb="13">
      <t>sh</t>
    </rPh>
    <phoneticPr fontId="12"/>
  </si>
  <si>
    <t>2016-05-24 23:59:59</t>
    <phoneticPr fontId="15"/>
  </si>
  <si>
    <t>2016-05-25 00:00:00</t>
    <phoneticPr fontId="15"/>
  </si>
  <si>
    <t>限定ユニットが出現中!
&lt;font color=""#ffab27""&gt;※直接★６ユニットは排出されません&lt;/font&gt;</t>
    <rPh sb="0" eb="7">
      <t>ゲン</t>
    </rPh>
    <rPh sb="7" eb="10">
      <t>sh</t>
    </rPh>
    <phoneticPr fontId="12"/>
  </si>
  <si>
    <t>&lt;font color="#ffab27"&gt;05/31 23:59&lt;/font&gt;まで新ユニットが１体確定出現!</t>
    <phoneticPr fontId="12"/>
  </si>
  <si>
    <t>&lt;font color="#ffab27"&gt;05/19 14:59&lt;/font&gt;まで新ユニットが１体確定出現!</t>
    <phoneticPr fontId="12"/>
  </si>
  <si>
    <t>【&lt;font color="#ff2626"&gt;超&lt;/font&gt;&lt;font color="#ffe22a"&gt;激&lt;/font&gt;&lt;font color="#0093ff"&gt;レ&lt;/font&gt;&lt;font color="#00e075"&gt;ア&lt;/font&gt;ユニットをGETしよう！】
&lt;font color="#ffab27"&gt;05/23 14:59&lt;/font&gt;までピックアップユニットの出現率UP!
&lt;font color=""#ffab27""&gt;※直接★６ユニットは排出されません&lt;/font&gt;</t>
    <phoneticPr fontId="12"/>
  </si>
  <si>
    <t>2016-05-19 14:59:59</t>
    <phoneticPr fontId="15"/>
  </si>
  <si>
    <t>超強力フェス限定ユニット&lt;font color="#00e075"&gt;オイラー&lt;/font&gt;、&lt;font color="#ff2626"&gt;ラグランジュ&lt;/font&gt;、
&lt;font color="#0093ff"&gt;ユークリッド&lt;/font&gt;、&lt;font color="#ffe22a"&gt;クロネッカー&lt;/font&gt;が今だけ同時出現！
&lt;font color="#ffab27"&gt;※★６覚醒済みユニットは直接排出されません&lt;/font&gt;</t>
    <phoneticPr fontId="12"/>
  </si>
  <si>
    <t>超強力フェス限定ユニット&lt;font color="#00e075"&gt;オイラー&lt;/font&gt;、&lt;font color="#ff2626"&gt;ラグランジュ&lt;/font&gt;、
&lt;font color="#0093ff"&gt;ユークリッド&lt;/font&gt;、&lt;font color="#ffe22a"&gt;クロネッカー&lt;/font&gt;が今だけ同時出現！
&lt;font color="#ffab27"&gt;※★６覚醒済みユニットは直接排出されません&lt;/font&gt;</t>
    <phoneticPr fontId="12"/>
  </si>
  <si>
    <t>【超強力ユニットを手に入れよう！】
&lt;font color="#ffab27"&gt;限定ユニットのファラデー、ハーシェルが今だけ出現！&lt;/font&gt;
&lt;font color="#ffab27"&gt;※★６覚醒済みユニットは直接排出されません&lt;/font&gt;</t>
    <phoneticPr fontId="12"/>
  </si>
  <si>
    <t>ピックアップ&lt;モルド、D.R.T.H&gt;</t>
    <phoneticPr fontId="12"/>
  </si>
  <si>
    <t>ステップアップ&lt;ブール&gt;</t>
    <phoneticPr fontId="12"/>
  </si>
  <si>
    <t>349103</t>
    <phoneticPr fontId="12"/>
  </si>
  <si>
    <t>null</t>
    <phoneticPr fontId="12"/>
  </si>
  <si>
    <t>null</t>
    <phoneticPr fontId="12"/>
  </si>
  <si>
    <t>2016-05-28 15:00:00</t>
    <phoneticPr fontId="15"/>
  </si>
  <si>
    <t>tit_stepup349_04.png</t>
    <phoneticPr fontId="12"/>
  </si>
  <si>
    <t>tit_stepup349_05.png</t>
    <phoneticPr fontId="12"/>
  </si>
  <si>
    <t>tit_stepup349_06.png</t>
    <phoneticPr fontId="12"/>
  </si>
  <si>
    <t>初心者応援チケットガチャ&lt;D.R.T.H.、モルドレッドin&gt;</t>
    <rPh sb="0" eb="3">
      <t>ショシンシャ</t>
    </rPh>
    <rPh sb="3" eb="5">
      <t>オウエン</t>
    </rPh>
    <phoneticPr fontId="12"/>
  </si>
  <si>
    <t>中級者チケットガチャ&lt;D.R.T.H.、モルドレッドin&gt;</t>
    <rPh sb="0" eb="3">
      <t>チュウキュウシャ</t>
    </rPh>
    <phoneticPr fontId="12"/>
  </si>
  <si>
    <t>超お得チケットガチャ&lt;D.R.T.H.、モルドレッドin&gt;</t>
    <rPh sb="0" eb="1">
      <t>チョウオトク</t>
    </rPh>
    <phoneticPr fontId="12"/>
  </si>
  <si>
    <t>2016-05-28 15:00:00</t>
    <phoneticPr fontId="15"/>
  </si>
  <si>
    <t>2016-05-31 00:00:00</t>
    <phoneticPr fontId="15"/>
  </si>
  <si>
    <t>2016-06-02 23:59:59</t>
    <phoneticPr fontId="15"/>
  </si>
  <si>
    <t>フィーバーフェス(フロイト、ラグランジュ)</t>
    <phoneticPr fontId="12"/>
  </si>
  <si>
    <t>2016-06-02 23:59:59</t>
    <phoneticPr fontId="15"/>
  </si>
  <si>
    <t>2016-05-28 14:59:59</t>
    <phoneticPr fontId="15"/>
  </si>
  <si>
    <t>_gacha</t>
    <phoneticPr fontId="45"/>
  </si>
  <si>
    <t>.tmp</t>
    <phoneticPr fontId="45"/>
  </si>
  <si>
    <t>banners_tips</t>
  </si>
  <si>
    <t>banner_no</t>
  </si>
  <si>
    <t>jump_to</t>
    <phoneticPr fontId="45"/>
  </si>
  <si>
    <t>image_filename</t>
    <phoneticPr fontId="45"/>
  </si>
  <si>
    <t>quest_schedule_id</t>
    <phoneticPr fontId="45"/>
  </si>
  <si>
    <t>gacha_schedule_id</t>
    <phoneticPr fontId="45"/>
  </si>
  <si>
    <t>mypage_banners_i18n</t>
    <phoneticPr fontId="45"/>
  </si>
  <si>
    <t>_gacha</t>
    <phoneticPr fontId="45"/>
  </si>
  <si>
    <t>.tmp</t>
    <phoneticPr fontId="45"/>
  </si>
  <si>
    <t>language</t>
    <phoneticPr fontId="45"/>
  </si>
  <si>
    <t>image_filename</t>
    <phoneticPr fontId="45"/>
  </si>
  <si>
    <t>jump_to</t>
    <phoneticPr fontId="45"/>
  </si>
  <si>
    <t>quest_schedule_id</t>
    <phoneticPr fontId="45"/>
  </si>
  <si>
    <t>gacha_schedule_id</t>
    <phoneticPr fontId="45"/>
  </si>
  <si>
    <t>mypage_tips_i18n</t>
    <phoneticPr fontId="45"/>
  </si>
  <si>
    <t>message</t>
    <phoneticPr fontId="45"/>
  </si>
  <si>
    <t>jump_to</t>
    <phoneticPr fontId="12"/>
  </si>
  <si>
    <t>name</t>
    <phoneticPr fontId="12"/>
  </si>
  <si>
    <t>image_filename</t>
    <phoneticPr fontId="45"/>
  </si>
  <si>
    <t>gacha_schedule_id</t>
    <phoneticPr fontId="45"/>
  </si>
  <si>
    <t>message</t>
    <phoneticPr fontId="45"/>
  </si>
  <si>
    <t>language</t>
    <phoneticPr fontId="45"/>
  </si>
  <si>
    <t>quest_schedule_id</t>
    <phoneticPr fontId="45"/>
  </si>
  <si>
    <t>↓以下idのルール（列増やす度に乱れると思うので、適度になおして下さい）</t>
    <phoneticPr fontId="12"/>
  </si>
  <si>
    <t>gacha349</t>
    <phoneticPr fontId="45"/>
  </si>
  <si>
    <t>ステップアップガチャ開催中！STEP6以降は新限定ユニットの出現率10倍！</t>
    <phoneticPr fontId="45"/>
  </si>
  <si>
    <t>ja</t>
    <phoneticPr fontId="12"/>
  </si>
  <si>
    <t>null</t>
    <phoneticPr fontId="12"/>
  </si>
  <si>
    <t>banner_noのルール</t>
    <phoneticPr fontId="12"/>
  </si>
  <si>
    <t>gacha347</t>
    <phoneticPr fontId="45"/>
  </si>
  <si>
    <t>【レアガチャ限定】★3以上ユニット確定！</t>
    <phoneticPr fontId="45"/>
  </si>
  <si>
    <t>ja</t>
    <phoneticPr fontId="12"/>
  </si>
  <si>
    <t>レアガチャ</t>
    <phoneticPr fontId="12"/>
  </si>
  <si>
    <t>9xxx</t>
    <phoneticPr fontId="12"/>
  </si>
  <si>
    <t>gacha208</t>
    <phoneticPr fontId="45"/>
  </si>
  <si>
    <t>link_gacha208.png</t>
    <phoneticPr fontId="45"/>
  </si>
  <si>
    <t>【リンクガチャ】期間限定！リンクガチャからメタルダックファミリー大量出現！</t>
    <phoneticPr fontId="45"/>
  </si>
  <si>
    <t>null</t>
    <phoneticPr fontId="12"/>
  </si>
  <si>
    <t>ノーマルガチャ</t>
    <phoneticPr fontId="12"/>
  </si>
  <si>
    <t>8xxx</t>
    <phoneticPr fontId="12"/>
  </si>
  <si>
    <t>7xxx</t>
    <phoneticPr fontId="12"/>
  </si>
  <si>
    <t>mypage_banners_data</t>
    <phoneticPr fontId="45"/>
  </si>
  <si>
    <t>mypage_tips_data</t>
    <phoneticPr fontId="45"/>
  </si>
  <si>
    <t>gacha350</t>
    <phoneticPr fontId="45"/>
  </si>
  <si>
    <t>【レアガチャ限定】フィーバーフェス開催！今だけフェス限定ユニット出現中！</t>
    <phoneticPr fontId="45"/>
  </si>
  <si>
    <t>300万DL突破記念ガチャ</t>
    <phoneticPr fontId="12"/>
  </si>
  <si>
    <t>ランキング対抗ガチャ&lt;シュヴァルツシルト&gt;</t>
    <phoneticPr fontId="12"/>
  </si>
  <si>
    <t>【&lt;font color="#ff2626"&gt;超&lt;/font&gt;&lt;font color="#ffe22a"&gt;激&lt;/font&gt;&lt;font color="#0093ff"&gt;レ&lt;/font&gt;&lt;font color="#00e075"&gt;ア&lt;/font&gt;ユニットをGETしよう！】
&lt;font color="#ffab27"&gt;06/02 23:59&lt;/font&gt;までフェス限定ユニットが出現中!
&lt;font color=""#ffab27""&gt;※直接★6覚醒済ユニットは排出されません&lt;/font&gt;</t>
    <phoneticPr fontId="12"/>
  </si>
  <si>
    <t>青属性出現率アップ&amp;限定ユニット出現！
&lt;font color=""#ffab27""&gt;※直接★6覚醒済ユニットは排出されません&lt;/font&gt;</t>
    <rPh sb="1" eb="3">
      <t>ゾクセイ</t>
    </rPh>
    <rPh sb="3" eb="6">
      <t>シュツゲンリツ</t>
    </rPh>
    <phoneticPr fontId="12"/>
  </si>
  <si>
    <t>ハンプティおまけガチャ&lt;1回のみ&gt;</t>
    <phoneticPr fontId="12"/>
  </si>
  <si>
    <t>351101</t>
    <phoneticPr fontId="12"/>
  </si>
  <si>
    <t>351102</t>
    <phoneticPr fontId="12"/>
  </si>
  <si>
    <t>351103</t>
    <phoneticPr fontId="12"/>
  </si>
  <si>
    <t>351104</t>
    <phoneticPr fontId="12"/>
  </si>
  <si>
    <t>tit_stepup351_01.png</t>
    <phoneticPr fontId="12"/>
  </si>
  <si>
    <t>tit_stepup351_02.png</t>
    <phoneticPr fontId="12"/>
  </si>
  <si>
    <t>tit_stepup351_03.png</t>
    <phoneticPr fontId="12"/>
  </si>
  <si>
    <t>tit_stepup351_04.png</t>
    <phoneticPr fontId="12"/>
  </si>
  <si>
    <t>tit_stepup351_05.png</t>
    <phoneticPr fontId="12"/>
  </si>
  <si>
    <t>null</t>
    <phoneticPr fontId="12"/>
  </si>
  <si>
    <t>352104</t>
    <phoneticPr fontId="12"/>
  </si>
  <si>
    <t>352105</t>
    <phoneticPr fontId="12"/>
  </si>
  <si>
    <t>poly_353</t>
    <phoneticPr fontId="12"/>
  </si>
  <si>
    <t>poly_351</t>
    <phoneticPr fontId="12"/>
  </si>
  <si>
    <t>2016-06-03 15:00:00</t>
    <phoneticPr fontId="15"/>
  </si>
  <si>
    <t>2016-06-09 14:59:59</t>
    <phoneticPr fontId="15"/>
  </si>
  <si>
    <t>2016-06-06 15:00:00</t>
    <phoneticPr fontId="15"/>
  </si>
  <si>
    <t>2016-06-08 15:00:00</t>
    <phoneticPr fontId="15"/>
  </si>
  <si>
    <t>2016-06-14 14:59:59</t>
    <phoneticPr fontId="15"/>
  </si>
  <si>
    <t>gacha351</t>
    <phoneticPr fontId="45"/>
  </si>
  <si>
    <t>gacha352</t>
    <phoneticPr fontId="45"/>
  </si>
  <si>
    <t>gacha353</t>
    <phoneticPr fontId="45"/>
  </si>
  <si>
    <t>【レアガチャ限定】ランキング対抗の青属性ユニット出現率アップ！さらに限定ユニット出現中！</t>
    <phoneticPr fontId="12"/>
  </si>
  <si>
    <t>【レアガチャ限定】お一人様一回限り！リトルハンプティ１体プレゼント！</t>
    <phoneticPr fontId="12"/>
  </si>
  <si>
    <t>300万DL突破記念のステップアップガチャ開催中! STEP5まで豪華特典をプレゼント!</t>
    <phoneticPr fontId="45"/>
  </si>
  <si>
    <t>tit_stepup352_03.png</t>
    <phoneticPr fontId="12"/>
  </si>
  <si>
    <t>tit_stepup352_04.png</t>
    <phoneticPr fontId="12"/>
  </si>
  <si>
    <t>tit_stepup352_00.png</t>
    <phoneticPr fontId="12"/>
  </si>
  <si>
    <t>tit_hampty353.png</t>
    <phoneticPr fontId="12"/>
  </si>
  <si>
    <t>2016-06-08 14:59:59</t>
    <phoneticPr fontId="15"/>
  </si>
  <si>
    <t>メタルフィーバー&lt;208調整&gt;</t>
    <phoneticPr fontId="12"/>
  </si>
  <si>
    <t>gacha209</t>
    <phoneticPr fontId="45"/>
  </si>
  <si>
    <t>352100</t>
    <phoneticPr fontId="12"/>
  </si>
  <si>
    <t>tit_stepup352_05.png</t>
    <phoneticPr fontId="12"/>
  </si>
  <si>
    <t>tit_stepup352_06.png</t>
    <phoneticPr fontId="12"/>
  </si>
  <si>
    <t>2016-06-14 23:59:59</t>
    <phoneticPr fontId="15"/>
  </si>
  <si>
    <t>【&lt;font color="#ff2626"&gt;超&lt;/font&gt;&lt;font color="#ffe22a"&gt;激&lt;/font&gt;&lt;font color="#0093ff"&gt;レ&lt;/font&gt;&lt;font color="#00e075"&gt;ア&lt;/font&gt;ユニットをGETしよう！】
&lt;font color="#ffab27"&gt;06/14 23:59&lt;/font&gt;まで青属性出現率アップ&amp;限定ユニット出現!
&lt;font color=""#ffab27""&gt;※直接★6覚醒済ユニットは排出されません&lt;/font&gt;</t>
    <phoneticPr fontId="12"/>
  </si>
  <si>
    <t>【&lt;font color="#ff2626"&gt;超&lt;/font&gt;&lt;font color="#ffe22a"&gt;激&lt;/font&gt;&lt;font color="#0093ff"&gt;レ&lt;/font&gt;&lt;font color="#00e075"&gt;ア&lt;/font&gt;ユニットをGETしよう！】
&lt;font color="#ffab27"&gt;06/08 14:59&lt;/font&gt;までピックアップユニットの出現率UP!
&lt;font color=""#ffab27""&gt;※直接★6覚醒済ユニットは排出されません&lt;/font&gt;</t>
    <phoneticPr fontId="12"/>
  </si>
  <si>
    <t>ピックアップ&lt;ペロー、ハーメルン&gt;</t>
    <phoneticPr fontId="12"/>
  </si>
  <si>
    <t>サンリオガチャ前半</t>
    <phoneticPr fontId="12"/>
  </si>
  <si>
    <t>ダブルカラーフェス&lt;レッド、グリーン&gt;</t>
    <phoneticPr fontId="12"/>
  </si>
  <si>
    <t>tit_sanrio_25poly.png</t>
    <phoneticPr fontId="12"/>
  </si>
  <si>
    <t>tit_10ren_r5rg.png</t>
    <phoneticPr fontId="12"/>
  </si>
  <si>
    <t>2016-06-10 15:00:00</t>
    <phoneticPr fontId="15"/>
  </si>
  <si>
    <t>2016-06-22 14:59:59</t>
    <phoneticPr fontId="15"/>
  </si>
  <si>
    <t>2016-06-13 00:00:00</t>
    <phoneticPr fontId="15"/>
  </si>
  <si>
    <t>2016-06-19 23:59:59</t>
    <phoneticPr fontId="15"/>
  </si>
  <si>
    <t>2016-06-16 15:00:00</t>
    <phoneticPr fontId="15"/>
  </si>
  <si>
    <t>gacha354</t>
    <phoneticPr fontId="45"/>
  </si>
  <si>
    <t>gacha355</t>
    <phoneticPr fontId="45"/>
  </si>
  <si>
    <t>gacha356</t>
    <phoneticPr fontId="45"/>
  </si>
  <si>
    <t>【コラボガチャ前半】サンリオキャラクターズコラボ実施中！5連でコラボユニットが1体確定！</t>
    <phoneticPr fontId="12"/>
  </si>
  <si>
    <t>【レアガチャ限定】今だけ！ピックアップユニットの出現率UPキャンペーン開催中！</t>
    <phoneticPr fontId="12"/>
  </si>
  <si>
    <t>【超強力ユニットを手に入れよう！】
&lt;font color="#ffab27"&gt;限定ユニットのハイゼンベルク、メビウスが今だけ出現！&lt;/font&gt;
&lt;font color="#ffab27"&gt;※★６覚醒済みユニットは直接排出されません&lt;/font&gt;</t>
    <phoneticPr fontId="12"/>
  </si>
  <si>
    <t>KIRIMIリンクガチャ</t>
    <phoneticPr fontId="12"/>
  </si>
  <si>
    <t>KIRIMIリンクガチャ（2連）</t>
    <rPh sb="14" eb="15">
      <t>レン</t>
    </rPh>
    <phoneticPr fontId="12"/>
  </si>
  <si>
    <t>KIRIMIリンクガチャ（3連）</t>
    <rPh sb="14" eb="15">
      <t>レン</t>
    </rPh>
    <phoneticPr fontId="12"/>
  </si>
  <si>
    <t>KIRIMIリンクガチャ（4連）</t>
    <rPh sb="14" eb="15">
      <t>レン</t>
    </rPh>
    <phoneticPr fontId="12"/>
  </si>
  <si>
    <t>KIRIMIリンクガチャ（5連）</t>
    <rPh sb="14" eb="15">
      <t>レン</t>
    </rPh>
    <phoneticPr fontId="12"/>
  </si>
  <si>
    <t>KIRIMIリンクガチャ（6連）</t>
    <rPh sb="14" eb="15">
      <t>レン</t>
    </rPh>
    <phoneticPr fontId="12"/>
  </si>
  <si>
    <t>KIRIMIリンクガチャ（7連）</t>
    <rPh sb="14" eb="15">
      <t>レン</t>
    </rPh>
    <phoneticPr fontId="12"/>
  </si>
  <si>
    <t>KIRIMIリンクガチャ（8連）</t>
    <rPh sb="14" eb="15">
      <t>レン</t>
    </rPh>
    <phoneticPr fontId="12"/>
  </si>
  <si>
    <t>KIRIMIリンクガチャ（9連）</t>
    <rPh sb="14" eb="15">
      <t>レン</t>
    </rPh>
    <phoneticPr fontId="12"/>
  </si>
  <si>
    <t>KIRIMIリンクガチャ（10連）</t>
    <rPh sb="15" eb="16">
      <t>レン</t>
    </rPh>
    <phoneticPr fontId="12"/>
  </si>
  <si>
    <t>KIRIMIリンク</t>
    <phoneticPr fontId="12"/>
  </si>
  <si>
    <t>2016-06-13 15:00:00</t>
    <phoneticPr fontId="15"/>
  </si>
  <si>
    <t>2016-06-26 23:59:59</t>
    <phoneticPr fontId="15"/>
  </si>
  <si>
    <t>gacha210</t>
    <phoneticPr fontId="45"/>
  </si>
  <si>
    <t>ランキング報酬ユニット１体が確定出現！
有効期限：&lt;font color="#ffab27"&gt;7/1 14:59まで&lt;/font&gt;
※★5の状態で排出されます</t>
    <rPh sb="5" eb="7">
      <t>ホウシュウ</t>
    </rPh>
    <rPh sb="12" eb="13">
      <t>タイ</t>
    </rPh>
    <rPh sb="14" eb="16">
      <t>カクテイ</t>
    </rPh>
    <rPh sb="16" eb="18">
      <t>シュツゲン</t>
    </rPh>
    <rPh sb="20" eb="24">
      <t>ユウコウキゲン</t>
    </rPh>
    <rPh sb="70" eb="72">
      <t>ジョウタイ</t>
    </rPh>
    <rPh sb="73" eb="75">
      <t>ハイシュツ</t>
    </rPh>
    <phoneticPr fontId="12"/>
  </si>
  <si>
    <t>ランキング報酬ユニット１体が確定出現！
開設期間：&lt;font color="#ffab27"&gt;7/1 14:59まで&lt;/font&gt;
※★5の状態で排出されます</t>
    <rPh sb="5" eb="7">
      <t>ホウシュウ</t>
    </rPh>
    <rPh sb="12" eb="13">
      <t>タイ</t>
    </rPh>
    <rPh sb="14" eb="16">
      <t>カクテイ</t>
    </rPh>
    <rPh sb="16" eb="18">
      <t>シュツゲン</t>
    </rPh>
    <rPh sb="20" eb="24">
      <t>カイセツキカン</t>
    </rPh>
    <rPh sb="70" eb="72">
      <t>ジョウタイ</t>
    </rPh>
    <rPh sb="73" eb="75">
      <t>ハイシュツ</t>
    </rPh>
    <phoneticPr fontId="12"/>
  </si>
  <si>
    <t>中級者チケットガチャ&lt;ペロー、ハーメルン&gt;</t>
    <rPh sb="0" eb="3">
      <t>チュウキュウシャ</t>
    </rPh>
    <phoneticPr fontId="12"/>
  </si>
  <si>
    <t>超お得チケットガチャ&lt;ペロー、ハーメルン&gt;</t>
    <rPh sb="0" eb="1">
      <t>チョウオトク</t>
    </rPh>
    <phoneticPr fontId="12"/>
  </si>
  <si>
    <t>347010</t>
    <phoneticPr fontId="12"/>
  </si>
  <si>
    <t>2016-06-10 15:00:00</t>
  </si>
  <si>
    <t>2016-06-10 14:59:59</t>
    <phoneticPr fontId="15"/>
  </si>
  <si>
    <t>2016-07-01 14:59:59</t>
    <phoneticPr fontId="15"/>
  </si>
  <si>
    <t>2016-06-15 15:00:00</t>
    <phoneticPr fontId="15"/>
  </si>
  <si>
    <t>【&lt;font color="#ff2626"&gt;超&lt;/font&gt;&lt;font color="#ffe22a"&gt;激&lt;/font&gt;&lt;font color="#0093ff"&gt;レ&lt;/font&gt;&lt;font color="#00e075"&gt;ア&lt;/font&gt;ユニットをGETしよう！】
&lt;font color="#ffab27"&gt;06/22 14:59&lt;/font&gt;までピックアップユニットの出現率UP!
&lt;font color=""#ffab27""&gt;※直接★6覚醒済ユニットは排出されません&lt;/font&gt;</t>
    <phoneticPr fontId="12"/>
  </si>
  <si>
    <t>&lt;font color="#ffab27"&gt;05/31 23:59&lt;/font&gt;まで新ユニットが１体確定出現!</t>
    <phoneticPr fontId="12"/>
  </si>
  <si>
    <t>ticket_ranking160608</t>
    <phoneticPr fontId="45"/>
  </si>
  <si>
    <t>6月ランキングガチャ</t>
    <phoneticPr fontId="12"/>
  </si>
  <si>
    <t>6月ランキングピースガチャ</t>
    <rPh sb="1" eb="2">
      <t>ガツ</t>
    </rPh>
    <phoneticPr fontId="12"/>
  </si>
  <si>
    <t>GachaTop_6000.png</t>
  </si>
  <si>
    <t>GachaTop_6001.png</t>
  </si>
  <si>
    <t>2016-06-18 14:59:59</t>
    <phoneticPr fontId="15"/>
  </si>
  <si>
    <t>&lt;font color="#ffab27"&gt;06/18 14:59&lt;/font&gt;までカラーフェス限定ユニットが出現中!</t>
    <rPh sb="48" eb="55">
      <t>ゲン</t>
    </rPh>
    <rPh sb="55" eb="58">
      <t>sh</t>
    </rPh>
    <phoneticPr fontId="12"/>
  </si>
  <si>
    <t>【&lt;font color="#ff2626"&gt;超&lt;/font&gt;&lt;font color="#ffe22a"&gt;激&lt;/font&gt;&lt;font color="#0093ff"&gt;レ&lt;/font&gt;&lt;font color="#00e075"&gt;ア&lt;/font&gt;ユニットをGETしよう！】
限定ユニットを除く★6まで覚醒可能なユニット1体確定！</t>
    <rPh sb="148" eb="150">
      <t>カクセイ</t>
    </rPh>
    <rPh sb="150" eb="152">
      <t>カノウ</t>
    </rPh>
    <rPh sb="158" eb="159">
      <t>イッタイ</t>
    </rPh>
    <rPh sb="159" eb="161">
      <t>カクテイ</t>
    </rPh>
    <phoneticPr fontId="12"/>
  </si>
  <si>
    <t>【&lt;font color="#ff2626"&gt;超&lt;/font&gt;&lt;font color="#ffe22a"&gt;激&lt;/font&gt;&lt;font color="#0093ff"&gt;レ&lt;/font&gt;&lt;font color="#00e075"&gt;ア&lt;/font&gt;ユニットをGETしよう！】
限定ユニットを除くすべてのガチャユニットが出現!
さらに★6まで覚醒可能なユニット1体確定！</t>
    <rPh sb="167" eb="169">
      <t>カクセイ</t>
    </rPh>
    <rPh sb="169" eb="171">
      <t>カノウ</t>
    </rPh>
    <rPh sb="177" eb="178">
      <t>イッタイ</t>
    </rPh>
    <rPh sb="178" eb="180">
      <t>カクテイ</t>
    </rPh>
    <phoneticPr fontId="12"/>
  </si>
  <si>
    <t>【&lt;font color="#ff2626"&gt;超&lt;/font&gt;&lt;font color="#ffe22a"&gt;激&lt;/font&gt;&lt;font color="#0093ff"&gt;レ&lt;/font&gt;&lt;font color="#00e075"&gt;ア&lt;/font&gt;ユニットをGETしよう！】</t>
    <phoneticPr fontId="12"/>
  </si>
  <si>
    <t>サンリオガチャ後半</t>
    <phoneticPr fontId="12"/>
  </si>
  <si>
    <t>【&lt;font color="#ff2626"&gt;超&lt;/font&gt;&lt;font color="#ffe22a"&gt;激&lt;/font&gt;&lt;font color="#0093ff"&gt;レ&lt;/font&gt;&lt;font color="#00e075"&gt;ア&lt;/font&gt;ユニットをGETしよう！】
&lt;font color="#ffab27"&gt;06/14 14:59&lt;/font&gt;までリトルハンプティ１体プレゼント！
&lt;font color="#ffab27"&gt;※このガチャは１回のみ引くことが可能です&lt;/font&gt;</t>
    <phoneticPr fontId="12"/>
  </si>
  <si>
    <t>2016-06-20 00:00:00</t>
    <phoneticPr fontId="15"/>
  </si>
  <si>
    <t>2016-06-26 23:59:59</t>
    <phoneticPr fontId="15"/>
  </si>
  <si>
    <t>400万DL突破記念ガチャ</t>
    <phoneticPr fontId="12"/>
  </si>
  <si>
    <t>&lt;font color="#ffab27"&gt;※★6覚醒済みユニットは直接排出されません&lt;/font&gt;</t>
    <phoneticPr fontId="12"/>
  </si>
  <si>
    <t>&lt;font color="#ffab27"&gt;※★6覚醒済みユニットは直接排出されません&lt;/font&gt;</t>
    <phoneticPr fontId="12"/>
  </si>
  <si>
    <t>&lt;font color="#ffab27"&gt;※★６覚醒済みユニットは直接排出されません&lt;/font&gt;</t>
    <phoneticPr fontId="12"/>
  </si>
  <si>
    <t>gacha357</t>
    <phoneticPr fontId="45"/>
  </si>
  <si>
    <t>gacha358</t>
    <phoneticPr fontId="45"/>
  </si>
  <si>
    <t>【コラボガチャ後半】サンリオキャラクターズコラボ実施中！5連でコラボユニットが1体確定！</t>
    <phoneticPr fontId="12"/>
  </si>
  <si>
    <t>【&lt;font color="#ff2626"&gt;超&lt;/font&gt;&lt;font color="#ffe22a"&gt;激&lt;/font&gt;&lt;font color="#0093ff"&gt;レ&lt;/font&gt;&lt;font color="#00e075"&gt;ア&lt;/font&gt;ユニットをGETしよう！】</t>
    <phoneticPr fontId="12"/>
  </si>
  <si>
    <t>コラボユニットが出現!</t>
    <phoneticPr fontId="12"/>
  </si>
  <si>
    <t>【&lt;font color="#ff2626"&gt;超&lt;/font&gt;&lt;font color="#ffe22a"&gt;激&lt;/font&gt;&lt;font color="#0093ff"&gt;レ&lt;/font&gt;&lt;font color="#00e075"&gt;ア&lt;/font&gt;ユニットをGETしよう！】</t>
    <phoneticPr fontId="12"/>
  </si>
  <si>
    <t>【限定コラボユニットをGETしよう!】</t>
    <phoneticPr fontId="12"/>
  </si>
  <si>
    <t>r4_tips.png</t>
    <phoneticPr fontId="12"/>
  </si>
  <si>
    <t>tit_10ren_fukubukuro.png</t>
    <phoneticPr fontId="12"/>
  </si>
  <si>
    <t>【&lt;font color="#ff2626"&gt;超&lt;/font&gt;&lt;font color="#ffe22a"&gt;激&lt;/font&gt;&lt;font color="#0093ff"&gt;レ&lt;/font&gt;&lt;font color="#00e075"&gt;ア&lt;/font&gt;ユニットをGETしよう！】</t>
    <phoneticPr fontId="12"/>
  </si>
  <si>
    <t>【レアガチャ限定】400万DL突破記念のガチャ開催! 今だけ限定ユニット出現中!</t>
    <phoneticPr fontId="45"/>
  </si>
  <si>
    <t>Wカラーフェス&lt;青、黄&gt;</t>
    <phoneticPr fontId="12"/>
  </si>
  <si>
    <t>カラーフェス限定ユニットが出現中!</t>
    <phoneticPr fontId="12"/>
  </si>
  <si>
    <t>ギリシャ神話ガチャ（新キャラ）</t>
    <phoneticPr fontId="12"/>
  </si>
  <si>
    <t>レアガチャ&lt;ギリシャin&gt;</t>
    <phoneticPr fontId="12"/>
  </si>
  <si>
    <t>&lt;font color="#ffab27"&gt;05/31 23:59&lt;/font&gt;まで新ユニットが１体確定出現!</t>
    <phoneticPr fontId="12"/>
  </si>
  <si>
    <t>【&lt;font color="#ff2626"&gt;超&lt;/font&gt;&lt;font color="#ffe22a"&gt;激&lt;/font&gt;&lt;font color="#0093ff"&gt;レ&lt;/font&gt;&lt;font color="#00e075"&gt;ア&lt;/font&gt;ユニットをGETしよう！】
限定ユニットを除くすべてのガチャユニットが出現!
&lt;font color="#ffab27"&gt;※★6覚醒済みユニットは直接排出されません&lt;/font&gt;</t>
    <phoneticPr fontId="12"/>
  </si>
  <si>
    <t>2016-06-25 15:00:00</t>
    <phoneticPr fontId="15"/>
  </si>
  <si>
    <t>2016-06-27 14:59:59</t>
    <phoneticPr fontId="15"/>
  </si>
  <si>
    <t>2016-06-27 15:00:00</t>
    <phoneticPr fontId="15"/>
  </si>
  <si>
    <t>2016-07-04 14:59:59</t>
    <phoneticPr fontId="15"/>
  </si>
  <si>
    <t>2016-06-27 15:00:00</t>
    <phoneticPr fontId="15"/>
  </si>
  <si>
    <t>2016-06-30 00:00:00</t>
    <phoneticPr fontId="15"/>
  </si>
  <si>
    <t>2016-07-02 23:59:59</t>
    <phoneticPr fontId="15"/>
  </si>
  <si>
    <t>tit_10ren_r5by.png</t>
    <phoneticPr fontId="12"/>
  </si>
  <si>
    <t>gacha359</t>
    <phoneticPr fontId="45"/>
  </si>
  <si>
    <t>gacha360</t>
    <phoneticPr fontId="45"/>
  </si>
  <si>
    <t>gacha361</t>
    <phoneticPr fontId="45"/>
  </si>
  <si>
    <t>gacha362</t>
    <phoneticPr fontId="45"/>
  </si>
  <si>
    <t>中級者チケットガチャ&lt;アポロン、ヘルメス&gt;</t>
    <rPh sb="0" eb="3">
      <t>チュウキュウシャ</t>
    </rPh>
    <phoneticPr fontId="12"/>
  </si>
  <si>
    <t>初心者応援チケットガチャ&lt;アポロン、ヘルメス&gt;</t>
    <rPh sb="0" eb="3">
      <t>ショシンシャ</t>
    </rPh>
    <rPh sb="3" eb="5">
      <t>オウエン</t>
    </rPh>
    <phoneticPr fontId="12"/>
  </si>
  <si>
    <t>超お得チケットガチャ&lt;アポロン、ヘルメス&gt;</t>
    <rPh sb="0" eb="1">
      <t>チョウオトク</t>
    </rPh>
    <phoneticPr fontId="12"/>
  </si>
  <si>
    <t>361010</t>
    <phoneticPr fontId="12"/>
  </si>
  <si>
    <t>361010</t>
    <phoneticPr fontId="12"/>
  </si>
  <si>
    <t>2016-06-27 15:00:00</t>
    <phoneticPr fontId="15"/>
  </si>
  <si>
    <t>Wカラーフェス開催！今だけカラーフェス限定ユニット2体が同時出現中！</t>
    <phoneticPr fontId="12"/>
  </si>
  <si>
    <t>Wカラーフェス開催！今だけ青・黄属性ユニット出現率UP &amp; 限定ユニット2体が同時出現中！</t>
    <phoneticPr fontId="12"/>
  </si>
  <si>
    <t>【レアガチャ限定】フィーバーフェス開催！今だけフェス限定ユニット出現中！</t>
    <phoneticPr fontId="12"/>
  </si>
  <si>
    <t>&lt;font color="#ffe22a"&gt;フェルマー&lt;/font&gt;と&lt;font color="#0093ff"&gt;メビウス&lt;/font&gt;が出現!</t>
    <phoneticPr fontId="12"/>
  </si>
  <si>
    <t>【レアガチャ限定】新ユニット追加！今だけ5連で新ユニット1体が確定出現！</t>
    <phoneticPr fontId="12"/>
  </si>
  <si>
    <t>360100</t>
    <phoneticPr fontId="12"/>
  </si>
  <si>
    <t>360010</t>
    <phoneticPr fontId="12"/>
  </si>
  <si>
    <t>新ユニットが1体確定出現!</t>
    <phoneticPr fontId="12"/>
  </si>
  <si>
    <t>2000-01-01 15:00:34</t>
    <phoneticPr fontId="12"/>
  </si>
  <si>
    <t>2016-06-23 00:00:00</t>
    <phoneticPr fontId="15"/>
  </si>
  <si>
    <t>2016-06-30 23:59:59</t>
    <phoneticPr fontId="15"/>
  </si>
  <si>
    <t>フランス革命ガチャ</t>
    <phoneticPr fontId="12"/>
  </si>
  <si>
    <t>2016-07-16 14:59:59</t>
    <phoneticPr fontId="15"/>
  </si>
  <si>
    <t>七夕ステップアップガチャ</t>
    <phoneticPr fontId="12"/>
  </si>
  <si>
    <t>&lt;font color="#ffab27"&gt;06/02 23:59&lt;/font&gt;まで新限定ユニット「&lt;font color="blue"&gt;ブール&lt;/font&gt;」が出現中!
STEP6まで進めると&lt;font color="blue"&gt;ブール&lt;/font&gt;の&lt;font color="red"&gt;出現率10倍!&lt;/font&gt;
&lt;font color=""#ffab27""&gt;※直接★6覚醒済ユニットは排出されません&lt;/font&gt;</t>
    <phoneticPr fontId="12"/>
  </si>
  <si>
    <t>gacha363</t>
    <phoneticPr fontId="45"/>
  </si>
  <si>
    <t>【レアガチャ限定】七夕限定ガチャ開催中！ステップアップで限定ユニット出現率7倍！</t>
    <phoneticPr fontId="12"/>
  </si>
  <si>
    <t>レアガチャ&lt;フランス革命in&gt;</t>
    <phoneticPr fontId="12"/>
  </si>
  <si>
    <t>365100</t>
    <phoneticPr fontId="12"/>
  </si>
  <si>
    <t>365105</t>
    <phoneticPr fontId="12"/>
  </si>
  <si>
    <t>365104</t>
    <phoneticPr fontId="12"/>
  </si>
  <si>
    <t>tit_stepup365_03.png</t>
    <phoneticPr fontId="12"/>
  </si>
  <si>
    <t>tit_stepup365_04.png</t>
    <phoneticPr fontId="12"/>
  </si>
  <si>
    <t>tit_stepup365_05.png</t>
    <phoneticPr fontId="12"/>
  </si>
  <si>
    <t>tit_stepup365_06.png</t>
    <phoneticPr fontId="12"/>
  </si>
  <si>
    <t>tit_stepup365_00.png</t>
    <phoneticPr fontId="12"/>
  </si>
  <si>
    <t>2970-07-16 14:59:59</t>
    <phoneticPr fontId="15"/>
  </si>
  <si>
    <t>中級者チケットガチャ&lt;フランスin&gt;</t>
    <rPh sb="0" eb="3">
      <t>チュウキュウシャ</t>
    </rPh>
    <phoneticPr fontId="12"/>
  </si>
  <si>
    <t>初心者応援チケットガチャ&lt;フランスin&gt;</t>
    <rPh sb="0" eb="3">
      <t>ショシンシャ</t>
    </rPh>
    <rPh sb="3" eb="5">
      <t>オウエン</t>
    </rPh>
    <phoneticPr fontId="12"/>
  </si>
  <si>
    <t>超お得チケットガチャ&lt;フランスin&gt;</t>
    <rPh sb="0" eb="1">
      <t>チョウオトク</t>
    </rPh>
    <phoneticPr fontId="12"/>
  </si>
  <si>
    <t>364010</t>
    <phoneticPr fontId="12"/>
  </si>
  <si>
    <t>364010</t>
    <phoneticPr fontId="12"/>
  </si>
  <si>
    <t>gacha365</t>
    <phoneticPr fontId="45"/>
  </si>
  <si>
    <t>gacha364</t>
    <phoneticPr fontId="45"/>
  </si>
  <si>
    <t>【レアガチャ限定】新ユニット追加！今だけ10連で新ユニット1体が確定出現！</t>
    <phoneticPr fontId="12"/>
  </si>
  <si>
    <t>7月ステップアップフィーバー</t>
    <phoneticPr fontId="12"/>
  </si>
  <si>
    <t>5STEPで1セット! 3セットまで特典付き!</t>
    <phoneticPr fontId="12"/>
  </si>
  <si>
    <t>5STEPで1セットのステップアップガチャ
&lt;font color="#ffab27"&gt;06/09 14:59&lt;/font&gt;まで各STEPで豪華特典をプレゼント!
&lt;font color=""#ffab27""&gt;※このガチャは1セットのみ引くことが可能です&lt;/font&gt;</t>
    <phoneticPr fontId="12"/>
  </si>
  <si>
    <t>&lt;font color="#ffab27"&gt;※★6覚醒済みユニットは直接排出されません&lt;/font&gt;</t>
    <phoneticPr fontId="12"/>
  </si>
  <si>
    <t>&lt;font color="#ffab27"&gt;07/16 14:59&lt;/font&gt;まで七夕限定ユニット「&lt;font color="#ff2626"&gt;織姫&lt;/font&gt;」が出現!
STEP6まで進めると&lt;font color="#ff2626"&gt;織姫&lt;/font&gt;の&lt;font color="red"&gt;出現率7倍!&lt;/font&gt;
&lt;font color="#ffab27"&gt;※直接★6覚醒済ユニットは排出されません&lt;/font&gt;</t>
    <phoneticPr fontId="12"/>
  </si>
  <si>
    <t>2016-07-02 15:00:00</t>
    <phoneticPr fontId="15"/>
  </si>
  <si>
    <t>2016-07-08 14:59:59</t>
    <phoneticPr fontId="15"/>
  </si>
  <si>
    <t>gacha366</t>
    <phoneticPr fontId="45"/>
  </si>
  <si>
    <t>9363</t>
    <phoneticPr fontId="12"/>
  </si>
  <si>
    <t>9365</t>
    <phoneticPr fontId="12"/>
  </si>
  <si>
    <t>9366</t>
    <phoneticPr fontId="12"/>
  </si>
  <si>
    <t>366103</t>
    <phoneticPr fontId="12"/>
  </si>
  <si>
    <t>366104</t>
    <phoneticPr fontId="12"/>
  </si>
  <si>
    <t>366105</t>
    <phoneticPr fontId="12"/>
  </si>
  <si>
    <t>tips_stepup366_03.png</t>
    <phoneticPr fontId="12"/>
  </si>
  <si>
    <t>null</t>
    <phoneticPr fontId="12"/>
  </si>
  <si>
    <t>null</t>
    <phoneticPr fontId="12"/>
  </si>
  <si>
    <t>poly_366</t>
    <phoneticPr fontId="12"/>
  </si>
  <si>
    <t>2016-07-06 15:00:00</t>
    <phoneticPr fontId="15"/>
  </si>
  <si>
    <t>2016-07-04 15:00:00</t>
    <phoneticPr fontId="15"/>
  </si>
  <si>
    <t>2016-07-04 15:00:00</t>
    <phoneticPr fontId="15"/>
  </si>
  <si>
    <t>2016-07-10 14:59:59</t>
    <phoneticPr fontId="15"/>
  </si>
  <si>
    <t>【&lt;font color="#ff2626"&gt;超&lt;/font&gt;&lt;font color="#ffe22a"&gt;激&lt;/font&gt;&lt;font color="#0093ff"&gt;レ&lt;/font&gt;&lt;font color="#00e075"&gt;ア&lt;/font&gt;ユニットをGETしよう！】
限定ユニットを除くすべてのガチャユニットが出現！
さらに★5ユニット1体確定！</t>
    <rPh sb="170" eb="171">
      <t>イッタイ</t>
    </rPh>
    <rPh sb="171" eb="173">
      <t>カクテイ</t>
    </rPh>
    <phoneticPr fontId="12"/>
  </si>
  <si>
    <t>10連で新ユニットが1体確定出現!</t>
    <phoneticPr fontId="12"/>
  </si>
  <si>
    <t>フィーバーフェス&lt;ポアソン、クロネッカー&gt;</t>
    <phoneticPr fontId="12"/>
  </si>
  <si>
    <t>2016-07-04 15:00:00</t>
    <phoneticPr fontId="15"/>
  </si>
  <si>
    <t>2016-07-04 15:00:00</t>
    <phoneticPr fontId="15"/>
  </si>
  <si>
    <t>366101</t>
    <phoneticPr fontId="12"/>
  </si>
  <si>
    <t>STEP5で★6覚醒可能ユニット1体確定!</t>
    <rPh sb="12" eb="16">
      <t>ゲンセン</t>
    </rPh>
    <rPh sb="17" eb="18">
      <t>タ</t>
    </rPh>
    <rPh sb="18" eb="20">
      <t>カk</t>
    </rPh>
    <phoneticPr fontId="12"/>
  </si>
  <si>
    <t>2016-07-04 14:59:59</t>
    <phoneticPr fontId="15"/>
  </si>
  <si>
    <t>2016-07-04 14:59:59</t>
    <phoneticPr fontId="15"/>
  </si>
  <si>
    <t>2016-07-04 14:59:59</t>
    <phoneticPr fontId="15"/>
  </si>
  <si>
    <t>2016-07-13 15:00:00</t>
    <phoneticPr fontId="15"/>
  </si>
  <si>
    <t>2016-07-19 14:59:59</t>
    <phoneticPr fontId="15"/>
  </si>
  <si>
    <t>ランキング対抗ガチャ&lt;フレネル&gt;</t>
    <phoneticPr fontId="12"/>
  </si>
  <si>
    <t>2016-07-18 23:59:59</t>
    <phoneticPr fontId="15"/>
  </si>
  <si>
    <t>poly_368</t>
    <phoneticPr fontId="12"/>
  </si>
  <si>
    <t>gacha367</t>
    <phoneticPr fontId="45"/>
  </si>
  <si>
    <t>gacha368</t>
    <phoneticPr fontId="45"/>
  </si>
  <si>
    <t>【レアガチャ限定】ランキング対抗の黄属性ユニット出現率アップ！さらに限定ユニット出現中！</t>
    <phoneticPr fontId="12"/>
  </si>
  <si>
    <t>【&lt;font color="#ff2626"&gt;超&lt;/font&gt;&lt;font color="#ffe22a"&gt;激&lt;/font&gt;&lt;font color="#0093ff"&gt;レ&lt;/font&gt;&lt;font color="#00e075"&gt;ア&lt;/font&gt;ユニットをGETしよう！】</t>
    <phoneticPr fontId="12"/>
  </si>
  <si>
    <t>【1周年記念】ステップアップガチャ開催中！STEP5で★6覚醒可能ユニットが2体確定！</t>
    <phoneticPr fontId="12"/>
  </si>
  <si>
    <t>1周年記念ステップアップ</t>
    <phoneticPr fontId="12"/>
  </si>
  <si>
    <t>5STEPで1セットのステップアップガチャ
&lt;font color="#ffab27"&gt;07/19 14:59&lt;/font&gt;まで各STEPで豪華特典をプレゼント!
&lt;font color=""#ffab27""&gt;※このガチャは1セットのみ引くことが可能です&lt;/font&gt;</t>
    <phoneticPr fontId="12"/>
  </si>
  <si>
    <t>tips_stepup368_05.png</t>
    <phoneticPr fontId="12"/>
  </si>
  <si>
    <t>黄属性出現率アップ&amp;限定ユニット出現！</t>
    <rPh sb="1" eb="3">
      <t>ゾクセイ</t>
    </rPh>
    <rPh sb="3" eb="6">
      <t>シュツゲンリツ</t>
    </rPh>
    <phoneticPr fontId="12"/>
  </si>
  <si>
    <t>GachaTop_6004.png</t>
    <phoneticPr fontId="12"/>
  </si>
  <si>
    <t>ticket_ranking160711</t>
    <phoneticPr fontId="45"/>
  </si>
  <si>
    <t>ランキング報酬ユニット1体が確定出現!</t>
    <phoneticPr fontId="12"/>
  </si>
  <si>
    <t>このガチャからは槍シリーズのみ排出されます。</t>
    <phoneticPr fontId="12"/>
  </si>
  <si>
    <t>7月ランキングガチャ&lt;槍&gt;</t>
    <phoneticPr fontId="12"/>
  </si>
  <si>
    <t>2970-07-01 14:59:59</t>
    <phoneticPr fontId="15"/>
  </si>
  <si>
    <t>2016-07-04 14:59:59</t>
    <phoneticPr fontId="15"/>
  </si>
  <si>
    <t>2016-07-13 15:00:00</t>
    <phoneticPr fontId="15"/>
  </si>
  <si>
    <t>7月ランキングピースガチャ</t>
    <phoneticPr fontId="12"/>
  </si>
  <si>
    <t>ticket_piece_spear</t>
    <phoneticPr fontId="12"/>
  </si>
  <si>
    <t>GachaTop_6005.png</t>
    <phoneticPr fontId="12"/>
  </si>
  <si>
    <t>使用率上位ユニット4体の出現率UP!</t>
    <rPh sb="5" eb="9">
      <t>ゲンセン</t>
    </rPh>
    <rPh sb="10" eb="11">
      <t>タ</t>
    </rPh>
    <phoneticPr fontId="12"/>
  </si>
  <si>
    <t>10連で超覚醒可能ユニット1体確定!</t>
    <phoneticPr fontId="12"/>
  </si>
  <si>
    <t>超覚醒記念ガチャ</t>
    <phoneticPr fontId="12"/>
  </si>
  <si>
    <t>新クラファーコレクション</t>
    <phoneticPr fontId="12"/>
  </si>
  <si>
    <t>2016-07-16 15:00:00</t>
    <phoneticPr fontId="15"/>
  </si>
  <si>
    <t>2016-07-22 14:59:59</t>
    <phoneticPr fontId="15"/>
  </si>
  <si>
    <t>2016-07-16 15:00:00</t>
    <phoneticPr fontId="15"/>
  </si>
  <si>
    <t>2016-07-19 15:00:00</t>
    <phoneticPr fontId="15"/>
  </si>
  <si>
    <t>2016-07-29 14:59:59</t>
    <phoneticPr fontId="15"/>
  </si>
  <si>
    <t>水着ガチャ&lt;SideB&gt;</t>
    <phoneticPr fontId="12"/>
  </si>
  <si>
    <t>2016-07-19 15:00:00</t>
    <phoneticPr fontId="15"/>
  </si>
  <si>
    <t>2016-07-22 14:59:59</t>
    <phoneticPr fontId="15"/>
  </si>
  <si>
    <t>夏限定の水着ユニットが出現!</t>
    <phoneticPr fontId="12"/>
  </si>
  <si>
    <t>gacha369</t>
    <phoneticPr fontId="45"/>
  </si>
  <si>
    <t>【レアガチャ限定】超覚醒記念ガチャ開催中！10連で超覚醒可能ユニットが1体確定！</t>
    <phoneticPr fontId="12"/>
  </si>
  <si>
    <t>gacha370</t>
    <phoneticPr fontId="45"/>
  </si>
  <si>
    <t>【レアガチャ限定】新クラファーコレクション開催中！使用率上位ユニット4体の出現率UP！</t>
    <phoneticPr fontId="12"/>
  </si>
  <si>
    <t>gacha371</t>
    <phoneticPr fontId="45"/>
  </si>
  <si>
    <t>gacha372</t>
    <phoneticPr fontId="45"/>
  </si>
  <si>
    <t>【レアガチャ限定】スペシャルサマーガチャ開催中！今だけ水着ユニットが出現中！</t>
    <phoneticPr fontId="12"/>
  </si>
  <si>
    <t>371100</t>
    <phoneticPr fontId="12"/>
  </si>
  <si>
    <t>null</t>
    <phoneticPr fontId="12"/>
  </si>
  <si>
    <t>372100</t>
    <phoneticPr fontId="12"/>
  </si>
  <si>
    <t>水着ガチャ&lt;SideA&gt;</t>
    <phoneticPr fontId="12"/>
  </si>
  <si>
    <t>2016-07-19 14:59:59</t>
    <phoneticPr fontId="15"/>
  </si>
  <si>
    <t>9372</t>
    <phoneticPr fontId="12"/>
  </si>
  <si>
    <t>9371</t>
    <phoneticPr fontId="12"/>
  </si>
  <si>
    <t>【メタル素材がザックザク！】
&lt;font color="yellow"&gt;メタルダックファミリー&lt;/font&gt;のみ出現する特別なガチャ！
経験値を沢山Getして育成を加速しよう！！</t>
    <rPh sb="4" eb="6">
      <t>ソザイ</t>
    </rPh>
    <rPh sb="68" eb="71">
      <t>ケイケンチ</t>
    </rPh>
    <rPh sb="72" eb="74">
      <t>タクサン</t>
    </rPh>
    <rPh sb="79" eb="81">
      <t>イクセイ</t>
    </rPh>
    <rPh sb="82" eb="84">
      <t>カソク</t>
    </rPh>
    <phoneticPr fontId="12"/>
  </si>
  <si>
    <t>【ゴールド素材がザックザク！】
&lt;font color="yellow"&gt;ゴールドダックファミリー&lt;/font&gt;のみ出現する特別なガチャ！
ビットを沢山Getして育成を加速しよう！！</t>
    <rPh sb="5" eb="7">
      <t>ソザイ</t>
    </rPh>
    <rPh sb="74" eb="76">
      <t>タクサン</t>
    </rPh>
    <rPh sb="81" eb="83">
      <t>イクセイ</t>
    </rPh>
    <rPh sb="84" eb="86">
      <t>カソク</t>
    </rPh>
    <phoneticPr fontId="12"/>
  </si>
  <si>
    <t>限定水着ユニットが出現!</t>
    <phoneticPr fontId="12"/>
  </si>
  <si>
    <t>2016-07-16 00:00:00</t>
    <phoneticPr fontId="15"/>
  </si>
  <si>
    <t>tips_r5over.png</t>
    <phoneticPr fontId="12"/>
  </si>
  <si>
    <t>tips_r5over.png</t>
    <phoneticPr fontId="12"/>
  </si>
  <si>
    <t>&lt;font color="#ffab27"&gt;07/29 14:59&lt;/font&gt;まで限定水着ユニットが出現!
&lt;font color="#ffab27"&gt;※通常のメビウス、シュレディンガーは排出されません&lt;/font&gt;
&lt;font color="#ffab27"&gt;※水着ユニット以外の★6ユニットは排出されません&lt;/font&gt;</t>
    <phoneticPr fontId="12"/>
  </si>
  <si>
    <t>tips_choukakusei.png</t>
    <phoneticPr fontId="12"/>
  </si>
  <si>
    <t>GachaTop_369_2.png</t>
    <phoneticPr fontId="12"/>
  </si>
  <si>
    <t>スイカチケットガチャ</t>
    <phoneticPr fontId="12"/>
  </si>
  <si>
    <t>スイカチケットガチャ10連</t>
    <phoneticPr fontId="12"/>
  </si>
  <si>
    <t>ticket_suika</t>
  </si>
  <si>
    <t>&lt;font color="#ffab27"&gt;※★6覚醒済みユニットは直接排出されません&lt;/font&gt;</t>
    <phoneticPr fontId="12"/>
  </si>
  <si>
    <t>【&lt;font color="#0093ff"&gt;夏&lt;/font&gt;&lt;font color="#00e075"&gt;☆&lt;/font&gt;&lt;font color="#ffe22a"&gt;襲&lt;/font&gt;&lt;font color="#ff2626"&gt;来&lt;/font&gt;！を遊んで報酬をGETしよう！】
&lt;font color="#ffab27"&gt;夏仕様麒麟は確定排出ではありません。
また、★6覚醒済み状態では排出されません。&lt;/font&gt;</t>
    <phoneticPr fontId="12"/>
  </si>
  <si>
    <t>GachaTop_371_2.png</t>
    <phoneticPr fontId="12"/>
  </si>
  <si>
    <t>GachaTop_372_2.png</t>
    <phoneticPr fontId="12"/>
  </si>
  <si>
    <t>gacha371_2.png</t>
    <phoneticPr fontId="12"/>
  </si>
  <si>
    <t>gacha372_2.png</t>
    <phoneticPr fontId="12"/>
  </si>
  <si>
    <t>復刻ピックアップ&lt;沖田、親指&gt;</t>
    <phoneticPr fontId="12"/>
  </si>
  <si>
    <t>復刻ピックアップ&lt;モルド、DRTH&gt;</t>
    <phoneticPr fontId="12"/>
  </si>
  <si>
    <t>復刻ピックアップ&lt;ペロー、ハーメルン&gt;</t>
    <phoneticPr fontId="12"/>
  </si>
  <si>
    <t>R6解放ピックアップ&lt;クルミ、フウガ、ラプ、フレイヤ&gt;</t>
    <phoneticPr fontId="12"/>
  </si>
  <si>
    <t>【&lt;font color="#ff2626"&gt;超&lt;/font&gt;&lt;font color="#ffe22a"&gt;激&lt;/font&gt;&lt;font color="#0093ff"&gt;レ&lt;/font&gt;&lt;font color="#00e076"&gt;ア&lt;/font&gt;ユニットをGETしよう！】</t>
  </si>
  <si>
    <t>【&lt;font color="#ff2626"&gt;超&lt;/font&gt;&lt;font color="#ffe22a"&gt;激&lt;/font&gt;&lt;font color="#0093ff"&gt;レ&lt;/font&gt;&lt;font color="#00e077"&gt;ア&lt;/font&gt;ユニットをGETしよう！】</t>
  </si>
  <si>
    <t>【&lt;font color="#ff2626"&gt;超&lt;/font&gt;&lt;font color="#ffe22a"&gt;激&lt;/font&gt;&lt;font color="#0093ff"&gt;レ&lt;/font&gt;&lt;font color="#00e078"&gt;ア&lt;/font&gt;ユニットをGETしよう！】</t>
  </si>
  <si>
    <t>【&lt;font color="#ff2626"&gt;超&lt;/font&gt;&lt;font color="#ffe22a"&gt;激&lt;/font&gt;&lt;font color="#0093ff"&gt;レ&lt;/font&gt;&lt;font color="#00e079"&gt;ア&lt;/font&gt;ユニットをGETしよう！】</t>
  </si>
  <si>
    <t>2016-07-22 15:00:00</t>
    <phoneticPr fontId="15"/>
  </si>
  <si>
    <t>2016-07-26 15:00:00</t>
    <phoneticPr fontId="15"/>
  </si>
  <si>
    <t>2016-07-28 15:00:00</t>
    <phoneticPr fontId="15"/>
  </si>
  <si>
    <t>2016-07-25 15:00:00</t>
    <phoneticPr fontId="15"/>
  </si>
  <si>
    <t>2016-07-31 14:59:59</t>
    <phoneticPr fontId="15"/>
  </si>
  <si>
    <t>2016-07-24 14:59:59</t>
    <phoneticPr fontId="15"/>
  </si>
  <si>
    <t>2016-07-24 15:00:00</t>
    <phoneticPr fontId="15"/>
  </si>
  <si>
    <t>2016-07-26 14:59:59</t>
    <phoneticPr fontId="15"/>
  </si>
  <si>
    <t>2016-07-28 14:59:59</t>
    <phoneticPr fontId="15"/>
  </si>
  <si>
    <t>ピックアップユニットの出現率UP!</t>
    <phoneticPr fontId="12"/>
  </si>
  <si>
    <t>赤属性出現率アップ&amp;限定ユニット出現！</t>
    <rPh sb="1" eb="3">
      <t>ゾクセイ</t>
    </rPh>
    <rPh sb="3" eb="6">
      <t>シュツゲンリツ</t>
    </rPh>
    <phoneticPr fontId="12"/>
  </si>
  <si>
    <t>gacha373</t>
    <phoneticPr fontId="45"/>
  </si>
  <si>
    <t>gacha374</t>
    <phoneticPr fontId="45"/>
  </si>
  <si>
    <t>gacha375</t>
    <phoneticPr fontId="45"/>
  </si>
  <si>
    <t>gacha376</t>
    <phoneticPr fontId="45"/>
  </si>
  <si>
    <t>gacha377</t>
    <phoneticPr fontId="45"/>
  </si>
  <si>
    <t>gacha354.png</t>
    <phoneticPr fontId="12"/>
  </si>
  <si>
    <t>【レアガチャ限定】ランキング対抗の赤属性ユニット出現率アップ！さらに限定ユニット出現中！</t>
    <phoneticPr fontId="12"/>
  </si>
  <si>
    <t>gacha329.png</t>
    <phoneticPr fontId="12"/>
  </si>
  <si>
    <t>gacha348.png</t>
    <phoneticPr fontId="12"/>
  </si>
  <si>
    <t>GachaTop_329.png</t>
    <phoneticPr fontId="12"/>
  </si>
  <si>
    <t>GachaTop_348.png</t>
    <phoneticPr fontId="12"/>
  </si>
  <si>
    <t>GachaTop_354.png</t>
    <phoneticPr fontId="12"/>
  </si>
  <si>
    <t>tit_stepup188_02.png</t>
  </si>
  <si>
    <t>tips_stepup325_03.png</t>
  </si>
  <si>
    <t>tips_stepup325_04.png</t>
  </si>
  <si>
    <t>tips_stepup325_05.png</t>
  </si>
  <si>
    <t>tips_stepup325_06.png</t>
  </si>
  <si>
    <t>tit_stepup188_01.png</t>
  </si>
  <si>
    <t>超お得チケットガチャ&lt;クルミ、フウガ、ラプ、フレイヤin&gt;</t>
    <rPh sb="0" eb="1">
      <t>チョウオトク</t>
    </rPh>
    <phoneticPr fontId="12"/>
  </si>
  <si>
    <t>null</t>
    <phoneticPr fontId="12"/>
  </si>
  <si>
    <t>2016-07-25 15:00:00</t>
    <phoneticPr fontId="15"/>
  </si>
  <si>
    <t>2016-07-25 14:59:59</t>
    <phoneticPr fontId="15"/>
  </si>
  <si>
    <t>2016-07-25 15:00:00</t>
    <phoneticPr fontId="15"/>
  </si>
  <si>
    <t>近藤ランスピックアップ</t>
    <phoneticPr fontId="12"/>
  </si>
  <si>
    <t>7月フィーバーフェス</t>
    <phoneticPr fontId="12"/>
  </si>
  <si>
    <t>エジプトガチャ</t>
    <phoneticPr fontId="12"/>
  </si>
  <si>
    <t>レアガチャ&lt;エジプトin&gt;</t>
    <phoneticPr fontId="12"/>
  </si>
  <si>
    <t>2016-07-30 00:00:00</t>
    <phoneticPr fontId="15"/>
  </si>
  <si>
    <t>2016-08-02 23:59:59</t>
    <phoneticPr fontId="15"/>
  </si>
  <si>
    <t>2016-08-02 15:00:00</t>
    <phoneticPr fontId="15"/>
  </si>
  <si>
    <t>2016-08-08 14:59:59</t>
    <phoneticPr fontId="15"/>
  </si>
  <si>
    <t>2016-08-09 14:59:59</t>
    <phoneticPr fontId="15"/>
  </si>
  <si>
    <t>null</t>
    <phoneticPr fontId="12"/>
  </si>
  <si>
    <t>gacha378</t>
    <phoneticPr fontId="45"/>
  </si>
  <si>
    <t>gacha379</t>
    <phoneticPr fontId="45"/>
  </si>
  <si>
    <t>gacha380</t>
    <phoneticPr fontId="45"/>
  </si>
  <si>
    <t>gacha381</t>
    <phoneticPr fontId="45"/>
  </si>
  <si>
    <t>初心者応援チケットガチャ&lt;エジプトin&gt;</t>
    <rPh sb="0" eb="3">
      <t>ショシンシャ</t>
    </rPh>
    <rPh sb="3" eb="5">
      <t>オウエン</t>
    </rPh>
    <phoneticPr fontId="12"/>
  </si>
  <si>
    <t>中級者チケットガチャ&lt;近藤、ランスロットin&gt;</t>
    <rPh sb="0" eb="3">
      <t>チュウキュウシャ</t>
    </rPh>
    <phoneticPr fontId="12"/>
  </si>
  <si>
    <t>中級者チケットガチャ&lt;エジプトin&gt;</t>
    <rPh sb="0" eb="3">
      <t>チュウキュウシャ</t>
    </rPh>
    <phoneticPr fontId="12"/>
  </si>
  <si>
    <t>超お得チケットガチャ&lt;近藤、ランスロットin&gt;</t>
    <rPh sb="0" eb="1">
      <t>チョウオトク</t>
    </rPh>
    <phoneticPr fontId="12"/>
  </si>
  <si>
    <t>2016-08-02 14:59:59</t>
    <phoneticPr fontId="15"/>
  </si>
  <si>
    <t>2016-07-29 15:00:00</t>
    <phoneticPr fontId="15"/>
  </si>
  <si>
    <t>2016-08-02 14:59:59</t>
    <phoneticPr fontId="15"/>
  </si>
  <si>
    <t>2016-08-02 15:00:00</t>
    <phoneticPr fontId="15"/>
  </si>
  <si>
    <t>中級者チケットガチャ&lt;クルミ、フウガ、ラプ、フレイヤin&gt;</t>
    <rPh sb="0" eb="3">
      <t>チュウキュウシャ</t>
    </rPh>
    <phoneticPr fontId="12"/>
  </si>
  <si>
    <t>2016-07-29 14:59:59</t>
    <phoneticPr fontId="15"/>
  </si>
  <si>
    <t>2016-08-02 14:59:59</t>
    <phoneticPr fontId="15"/>
  </si>
  <si>
    <t>ランキングガチャ&lt;刀&gt;</t>
    <phoneticPr fontId="12"/>
  </si>
  <si>
    <t>ランキングピースガチャ&lt;刀&gt;</t>
    <phoneticPr fontId="12"/>
  </si>
  <si>
    <t>このガチャからは刀シリーズのみ排出されます。</t>
    <phoneticPr fontId="12"/>
  </si>
  <si>
    <t>6000</t>
    <phoneticPr fontId="12"/>
  </si>
  <si>
    <t>2016-07-29 15:00:00</t>
    <phoneticPr fontId="15"/>
  </si>
  <si>
    <t>ランキングガチャ&lt;刀&gt; 6月チケット対応</t>
    <phoneticPr fontId="12"/>
  </si>
  <si>
    <t>380011</t>
    <phoneticPr fontId="12"/>
  </si>
  <si>
    <t>380011</t>
    <phoneticPr fontId="12"/>
  </si>
  <si>
    <t>380011</t>
    <phoneticPr fontId="12"/>
  </si>
  <si>
    <t>GachaTop_6006.png</t>
    <phoneticPr fontId="12"/>
  </si>
  <si>
    <t>2016-07-31 23:59:59</t>
    <phoneticPr fontId="15"/>
  </si>
  <si>
    <t>1周年記念スペシャルガチャ</t>
    <phoneticPr fontId="12"/>
  </si>
  <si>
    <t>R6解放ピックアップ&lt;ヴィシュヌ、サラスヴァティ&gt;</t>
    <phoneticPr fontId="12"/>
  </si>
  <si>
    <t>サマーセール特集記念ステップアップ</t>
    <phoneticPr fontId="12"/>
  </si>
  <si>
    <t>進撃コラボ前半</t>
    <phoneticPr fontId="12"/>
  </si>
  <si>
    <t>進撃コラボ後半</t>
    <phoneticPr fontId="12"/>
  </si>
  <si>
    <t>2016-08-03 15:00:00</t>
    <phoneticPr fontId="15"/>
  </si>
  <si>
    <t>2016-08-05 15:00:00</t>
    <phoneticPr fontId="15"/>
  </si>
  <si>
    <t>2016-08-12 14:59:59</t>
    <phoneticPr fontId="15"/>
  </si>
  <si>
    <t>2016-08-08 15:00:00</t>
    <phoneticPr fontId="15"/>
  </si>
  <si>
    <t>2016-08-14 14:59:59</t>
    <phoneticPr fontId="15"/>
  </si>
  <si>
    <t>2016-08-11 12:00:00</t>
    <phoneticPr fontId="15"/>
  </si>
  <si>
    <t>2016-08-10 00:00:00</t>
    <phoneticPr fontId="15"/>
  </si>
  <si>
    <t>2016-08-16 23:59:59</t>
    <phoneticPr fontId="15"/>
  </si>
  <si>
    <t>2016-08-17 00:00:00</t>
    <phoneticPr fontId="15"/>
  </si>
  <si>
    <t>2016-08-24 23:59:59</t>
    <phoneticPr fontId="15"/>
  </si>
  <si>
    <t>gacha382</t>
    <phoneticPr fontId="45"/>
  </si>
  <si>
    <t>gacha383</t>
    <phoneticPr fontId="45"/>
  </si>
  <si>
    <t>gacha384</t>
    <phoneticPr fontId="45"/>
  </si>
  <si>
    <t>gacha385</t>
    <phoneticPr fontId="45"/>
  </si>
  <si>
    <t>gacha386</t>
    <phoneticPr fontId="45"/>
  </si>
  <si>
    <t>382100</t>
    <phoneticPr fontId="12"/>
  </si>
  <si>
    <t>384100</t>
    <phoneticPr fontId="12"/>
  </si>
  <si>
    <t>384107</t>
    <phoneticPr fontId="12"/>
  </si>
  <si>
    <t>384104</t>
    <phoneticPr fontId="12"/>
  </si>
  <si>
    <t>null</t>
    <phoneticPr fontId="12"/>
  </si>
  <si>
    <t>poly_384</t>
    <phoneticPr fontId="12"/>
  </si>
  <si>
    <t>term</t>
    <phoneticPr fontId="12"/>
  </si>
  <si>
    <t>385100</t>
    <phoneticPr fontId="12"/>
  </si>
  <si>
    <t>tips_10ren382_01.png</t>
  </si>
  <si>
    <t>tips_10ren382_02.png</t>
  </si>
  <si>
    <t>tips_10ren382_03.png</t>
  </si>
  <si>
    <t>tips_10ren382_04.png</t>
  </si>
  <si>
    <t>tit_10ren.png</t>
    <phoneticPr fontId="12"/>
  </si>
  <si>
    <t>null</t>
    <phoneticPr fontId="12"/>
  </si>
  <si>
    <t>STEP7でフェス限定ユニット1体確定!</t>
    <phoneticPr fontId="12"/>
  </si>
  <si>
    <t>コラボユニットが出現中!</t>
    <phoneticPr fontId="12"/>
  </si>
  <si>
    <t>2016-08-05 15:00:00</t>
    <phoneticPr fontId="15"/>
  </si>
  <si>
    <t>2016-08-05 14:59:59</t>
    <phoneticPr fontId="15"/>
  </si>
  <si>
    <t>2016-08-02 15:00:00</t>
    <phoneticPr fontId="15"/>
  </si>
  <si>
    <t>2016-08-05 15:00:00</t>
    <phoneticPr fontId="15"/>
  </si>
  <si>
    <t>中級者チケットガチャ&lt;ヴィシュヌ、サラスヴァティin&gt;</t>
    <rPh sb="0" eb="3">
      <t>チュウキュウシャ</t>
    </rPh>
    <phoneticPr fontId="12"/>
  </si>
  <si>
    <t>【&lt;font color="#ff2626"&gt;超&lt;/font&gt;&lt;font color="#ffe22a"&gt;激&lt;/font&gt;&lt;font color="#0093ff"&gt;レ&lt;/font&gt;&lt;font color="#00e075"&gt;ア&lt;/font&gt;ユニットをGETしよう!】</t>
    <phoneticPr fontId="12"/>
  </si>
  <si>
    <t>【&lt;font color="#ff2626"&gt;超&lt;/font&gt;&lt;font color="#ffe22a"&gt;激&lt;/font&gt;&lt;font color="#0093ff"&gt;レ&lt;/font&gt;&lt;font color="#00e075"&gt;ア&lt;/font&gt;ユニットをGETしよう!】
限定ユニットを除く★6まで覚醒可能なユニット1体確定!</t>
    <rPh sb="148" eb="150">
      <t>カクセイ</t>
    </rPh>
    <rPh sb="150" eb="152">
      <t>カノウ</t>
    </rPh>
    <rPh sb="158" eb="159">
      <t>イッタイ</t>
    </rPh>
    <rPh sb="159" eb="161">
      <t>カクテイ</t>
    </rPh>
    <phoneticPr fontId="12"/>
  </si>
  <si>
    <t>【&lt;font color="#ff2626"&gt;超&lt;/font&gt;&lt;font color="#ffe22a"&gt;激&lt;/font&gt;&lt;font color="#0093ff"&gt;レ&lt;/font&gt;&lt;font color="#00e075"&gt;ア&lt;/font&gt;ユニットをGETしよう!】
限定ユニットを除くすべてのガチャユニットが出現!
さらに★6まで覚醒可能なユニット1体確定!</t>
    <rPh sb="167" eb="169">
      <t>カクセイ</t>
    </rPh>
    <rPh sb="169" eb="171">
      <t>カノウ</t>
    </rPh>
    <rPh sb="177" eb="178">
      <t>イッタイ</t>
    </rPh>
    <rPh sb="178" eb="180">
      <t>カクテイ</t>
    </rPh>
    <phoneticPr fontId="12"/>
  </si>
  <si>
    <t>&lt;font color="#ffab27"&gt;08/12 14:59&lt;/font&gt;まで10連3回で次の10連が無料!
&lt;font color="#ffab27"&gt;※★6覚醒済みユニットは直接排出されません&lt;/font&gt;
&lt;font color="#ffab27"&gt;※無料になる回数は最大で10回までとなります&lt;/font&gt;</t>
    <phoneticPr fontId="12"/>
  </si>
  <si>
    <t>超お得チケットガチャ&lt;エジプトin&gt;</t>
    <phoneticPr fontId="12"/>
  </si>
  <si>
    <t>超お得チケットガチャ&lt;ヴィシュヌ、サラスヴァティin&gt;</t>
    <phoneticPr fontId="12"/>
  </si>
  <si>
    <t>tips_10ren382_01.png</t>
    <phoneticPr fontId="12"/>
  </si>
  <si>
    <t>tips_10ren382_02.png</t>
    <phoneticPr fontId="12"/>
  </si>
  <si>
    <t>tips_10ren382_03.png</t>
    <phoneticPr fontId="12"/>
  </si>
  <si>
    <t>tips_10ren382_04.png</t>
    <phoneticPr fontId="12"/>
  </si>
  <si>
    <t>null</t>
    <phoneticPr fontId="12"/>
  </si>
  <si>
    <t>【限定コラボユニットをGETしよう!】</t>
  </si>
  <si>
    <t>【コラボガチャ第１弾】進撃の巨人コラボ開催!今だけコラボユニットが出現中!</t>
    <phoneticPr fontId="12"/>
  </si>
  <si>
    <t>【コラボガチャ第２弾】進撃の巨人コラボ開催!今だけコラボユニットが出現中!</t>
    <phoneticPr fontId="12"/>
  </si>
  <si>
    <t>【1周年記念】今だけ10連を3回引くと１回無料！</t>
    <phoneticPr fontId="12"/>
  </si>
  <si>
    <t>2016-08-20 14:59:59</t>
    <phoneticPr fontId="15"/>
  </si>
  <si>
    <t>【レアガチャ限定】サマーセール特集記念ガチャ開催中!STEP7でフェス限定ユニット1体が確定出現!</t>
    <phoneticPr fontId="12"/>
  </si>
  <si>
    <t>中級者チケットガチャ&lt;ハヅル、イナバin&gt;</t>
    <rPh sb="0" eb="3">
      <t>チュウキュウシャ</t>
    </rPh>
    <phoneticPr fontId="12"/>
  </si>
  <si>
    <t>超お得チケットガチャ&lt;ハヅル、イナバin&gt;</t>
    <phoneticPr fontId="12"/>
  </si>
  <si>
    <t>2016-08-12 14:59:59</t>
    <phoneticPr fontId="15"/>
  </si>
  <si>
    <t>2016-08-12 15:00:00</t>
    <phoneticPr fontId="15"/>
  </si>
  <si>
    <t>2016-08-12 15:00:00</t>
    <phoneticPr fontId="15"/>
  </si>
  <si>
    <t>gacha387</t>
    <phoneticPr fontId="45"/>
  </si>
  <si>
    <t>ランキング対抗&lt;ド・モルガン&gt;</t>
    <phoneticPr fontId="12"/>
  </si>
  <si>
    <t>緑属性出現率アップ&amp;限定ユニット出現！</t>
    <rPh sb="1" eb="3">
      <t>ゾクセイ</t>
    </rPh>
    <rPh sb="3" eb="6">
      <t>シュツゲンリツ</t>
    </rPh>
    <phoneticPr fontId="12"/>
  </si>
  <si>
    <t>2016-08-21 23:59:59</t>
    <phoneticPr fontId="15"/>
  </si>
  <si>
    <t>2016-08-19 14:59:59</t>
    <phoneticPr fontId="15"/>
  </si>
  <si>
    <t>2016-08-15 15:00:00</t>
    <phoneticPr fontId="15"/>
  </si>
  <si>
    <t>gacha388</t>
    <phoneticPr fontId="45"/>
  </si>
  <si>
    <t>【レアガチャ限定】ランキング対抗の緑属性ユニット出現率アップ！さらに限定ユニット出現中！</t>
    <phoneticPr fontId="12"/>
  </si>
  <si>
    <t>2016-08-15 15:00:00</t>
    <phoneticPr fontId="15"/>
  </si>
  <si>
    <t>tips_stepup388_03.png</t>
    <phoneticPr fontId="12"/>
  </si>
  <si>
    <t>tips_stepup388_04.png</t>
    <phoneticPr fontId="12"/>
  </si>
  <si>
    <t>tips_stepup388_05.png</t>
    <phoneticPr fontId="12"/>
  </si>
  <si>
    <t>tips_stepup388_06.png</t>
    <phoneticPr fontId="12"/>
  </si>
  <si>
    <t>tips_stepup388_07.png</t>
    <phoneticPr fontId="12"/>
  </si>
  <si>
    <t>2000-01-01 15:00:35</t>
  </si>
  <si>
    <t>2970-01-01 14:59:26</t>
  </si>
  <si>
    <t>【&lt;font color="#ff2626"&gt;超&lt;/font&gt;&lt;font color="#ffe22a"&gt;激&lt;/font&gt;&lt;font color="#0093ff"&gt;レ&lt;/font&gt;&lt;font color="#00e075"&gt;ア&lt;/font&gt;ユニットをGETしよう！】</t>
    <phoneticPr fontId="12"/>
  </si>
  <si>
    <t>カラーフェス限定ユニットが出現中!</t>
    <phoneticPr fontId="12"/>
  </si>
  <si>
    <t>2016-08-20 15:00:00</t>
    <phoneticPr fontId="15"/>
  </si>
  <si>
    <t>2016-08-23 14:59:59</t>
    <phoneticPr fontId="15"/>
  </si>
  <si>
    <t>gacha389</t>
    <phoneticPr fontId="45"/>
  </si>
  <si>
    <t>ja</t>
    <phoneticPr fontId="12"/>
  </si>
  <si>
    <t>平安ガチャ</t>
    <phoneticPr fontId="12"/>
  </si>
  <si>
    <t>2016-08-23 15:00:00</t>
    <phoneticPr fontId="15"/>
  </si>
  <si>
    <t>2016-08-29 14:59:59</t>
    <phoneticPr fontId="15"/>
  </si>
  <si>
    <t>gacha390</t>
    <phoneticPr fontId="45"/>
  </si>
  <si>
    <t>初心者応援チケットガチャ&lt;平安in&gt;</t>
    <rPh sb="0" eb="3">
      <t>ショシンシャ</t>
    </rPh>
    <rPh sb="3" eb="5">
      <t>オウエン</t>
    </rPh>
    <phoneticPr fontId="12"/>
  </si>
  <si>
    <t>中級者チケットガチャ&lt;平安in&gt;</t>
    <rPh sb="0" eb="3">
      <t>チュウキュウシャ</t>
    </rPh>
    <phoneticPr fontId="12"/>
  </si>
  <si>
    <t>超お得チケットガチャ&lt;平安in&gt;</t>
    <phoneticPr fontId="12"/>
  </si>
  <si>
    <t>2016-08-23 14:59:59</t>
    <phoneticPr fontId="15"/>
  </si>
  <si>
    <t>2016-08-23 15:00:00</t>
    <phoneticPr fontId="15"/>
  </si>
  <si>
    <t>レアガチャ（平安in）</t>
    <phoneticPr fontId="12"/>
  </si>
  <si>
    <t>2016-08-23 14:59:59</t>
    <phoneticPr fontId="15"/>
  </si>
  <si>
    <t>391011</t>
    <phoneticPr fontId="12"/>
  </si>
  <si>
    <t>【&lt;font color="#ff2626"&gt;超&lt;/font&gt;&lt;font color="#ffe22a"&gt;激&lt;/font&gt;&lt;font color="#0093ff"&gt;レ&lt;/font&gt;&lt;font color="#00e075"&gt;ア&lt;/font&gt;ユニットをGETしよう!】</t>
    <phoneticPr fontId="12"/>
  </si>
  <si>
    <t>gacha391</t>
    <phoneticPr fontId="45"/>
  </si>
  <si>
    <t>8月フィーバーフェス</t>
    <phoneticPr fontId="12"/>
  </si>
  <si>
    <t>【&lt;font color="#ff2626"&gt;超&lt;/font&gt;&lt;font color="#ffe22a"&gt;激&lt;/font&gt;&lt;font color="#0093ff"&gt;レ&lt;/font&gt;&lt;font color="#00e079"&gt;ア&lt;/font&gt;ユニットをGETしよう！】</t>
    <phoneticPr fontId="12"/>
  </si>
  <si>
    <t>ランキング対抗&lt;シュヴァルツシルト&gt;</t>
    <phoneticPr fontId="12"/>
  </si>
  <si>
    <t>青属性出現率アップ&amp;限定ユニット出現！</t>
    <rPh sb="1" eb="3">
      <t>ゾクセイ</t>
    </rPh>
    <rPh sb="3" eb="6">
      <t>シュツゲンリツ</t>
    </rPh>
    <phoneticPr fontId="12"/>
  </si>
  <si>
    <t>2016-09-02 15:00:00</t>
    <phoneticPr fontId="15"/>
  </si>
  <si>
    <t>gacha393</t>
    <phoneticPr fontId="45"/>
  </si>
  <si>
    <t>gacha394</t>
    <phoneticPr fontId="45"/>
  </si>
  <si>
    <t>【レアガチャ限定】ランキング対抗の青属性ユニット出現率アップ！さらに限定ユニット出現中！</t>
    <phoneticPr fontId="12"/>
  </si>
  <si>
    <t>復刻ピックアップ&lt;円卓&gt;</t>
    <phoneticPr fontId="12"/>
  </si>
  <si>
    <t>TVCM第2弾放送記念 1日1回無料レアガチャ</t>
    <phoneticPr fontId="12"/>
  </si>
  <si>
    <t>tit_10ren_settle_new.png</t>
    <phoneticPr fontId="12"/>
  </si>
  <si>
    <t>tit_10ren_settle_pick.png</t>
    <phoneticPr fontId="12"/>
  </si>
  <si>
    <t>null</t>
    <phoneticPr fontId="12"/>
  </si>
  <si>
    <t>day</t>
    <phoneticPr fontId="12"/>
  </si>
  <si>
    <t>2016-08-28 15:00:00</t>
    <phoneticPr fontId="15"/>
  </si>
  <si>
    <t>2016-09-03 14:59:59</t>
    <phoneticPr fontId="15"/>
  </si>
  <si>
    <t>2016-08-26 15:00:00</t>
    <phoneticPr fontId="15"/>
  </si>
  <si>
    <t>gacha392</t>
    <phoneticPr fontId="45"/>
  </si>
  <si>
    <t>gacha395</t>
    <phoneticPr fontId="45"/>
  </si>
  <si>
    <t>TVCM第2弾記念ガチャ１</t>
    <phoneticPr fontId="12"/>
  </si>
  <si>
    <t>tit_cm01.png</t>
  </si>
  <si>
    <t>tit_cm01.png</t>
    <phoneticPr fontId="12"/>
  </si>
  <si>
    <t>gacha396</t>
    <phoneticPr fontId="45"/>
  </si>
  <si>
    <t>【レアガチャ限定】ステップアップガチャ開催中！STEP5で★6覚醒可能ユニット確定！</t>
    <phoneticPr fontId="12"/>
  </si>
  <si>
    <t>【TVCM放送記念】今だけ1日1回無料！★3以上ユニット確定！</t>
    <phoneticPr fontId="45"/>
  </si>
  <si>
    <t>2016-09-11 14:59:59</t>
    <phoneticPr fontId="15"/>
  </si>
  <si>
    <t>poly_396</t>
    <phoneticPr fontId="12"/>
  </si>
  <si>
    <t>2016-08-08 15:00:00</t>
    <phoneticPr fontId="15"/>
  </si>
  <si>
    <t>2016-09-02 15:00:00</t>
    <phoneticPr fontId="15"/>
  </si>
  <si>
    <t>2016-09-11 14:59:59</t>
    <phoneticPr fontId="15"/>
  </si>
  <si>
    <t>poly_395</t>
    <phoneticPr fontId="12"/>
  </si>
  <si>
    <t>メソポタミアガチャ</t>
    <phoneticPr fontId="12"/>
  </si>
  <si>
    <t>レアガチャ（メソポタミアin）</t>
    <phoneticPr fontId="12"/>
  </si>
  <si>
    <t>初心者応援チケットガチャ&lt;メソポタミアin&gt;</t>
    <rPh sb="0" eb="3">
      <t>ショシンシャ</t>
    </rPh>
    <rPh sb="3" eb="5">
      <t>オウエン</t>
    </rPh>
    <phoneticPr fontId="12"/>
  </si>
  <si>
    <t>中級者チケットガチャ&lt;メソポタミアin&gt;</t>
    <rPh sb="0" eb="3">
      <t>チュウキュウシャ</t>
    </rPh>
    <phoneticPr fontId="12"/>
  </si>
  <si>
    <t>超お得チケットガチャ&lt;メソポタミアin&gt;</t>
    <phoneticPr fontId="12"/>
  </si>
  <si>
    <t>398011</t>
    <phoneticPr fontId="12"/>
  </si>
  <si>
    <t>398011</t>
    <phoneticPr fontId="12"/>
  </si>
  <si>
    <t>2016-09-05 15:00:00</t>
    <phoneticPr fontId="15"/>
  </si>
  <si>
    <t>2016-09-05 15:00:00</t>
    <phoneticPr fontId="15"/>
  </si>
  <si>
    <t>gacha397</t>
    <phoneticPr fontId="45"/>
  </si>
  <si>
    <t>gacha398</t>
    <phoneticPr fontId="45"/>
  </si>
  <si>
    <t>tips_392.png</t>
    <phoneticPr fontId="12"/>
  </si>
  <si>
    <t>【レアガチャ限定】ランスロット、モルドレッド、トリスタン、ガウェインの出現率UP&amp;10連で1体確定出現!</t>
    <phoneticPr fontId="12"/>
  </si>
  <si>
    <t>10連限定で出現率UPユニットが1体確定!</t>
    <phoneticPr fontId="12"/>
  </si>
  <si>
    <t>2016-08-30 00:00:00</t>
    <phoneticPr fontId="15"/>
  </si>
  <si>
    <t>2016-09-02 14:59:59</t>
    <phoneticPr fontId="15"/>
  </si>
  <si>
    <t>null</t>
    <phoneticPr fontId="12"/>
  </si>
  <si>
    <t>null</t>
    <phoneticPr fontId="12"/>
  </si>
  <si>
    <t>TVCM第2弾放送記念ガチャ2</t>
    <phoneticPr fontId="12"/>
  </si>
  <si>
    <t>2016-09-08 0:00:00</t>
    <phoneticPr fontId="15"/>
  </si>
  <si>
    <t>gacha399</t>
    <phoneticPr fontId="45"/>
  </si>
  <si>
    <t>【TVCM放送記念】1回限定で★6覚醒済みユニット1体確定！</t>
    <phoneticPr fontId="45"/>
  </si>
  <si>
    <t>【TVCM放送記念】TVCM放送記念限定ユニット出現中！</t>
    <phoneticPr fontId="45"/>
  </si>
  <si>
    <t>【レアガチャ限定】新ユニット追加！今だけ★5ユニット出現率UPキャンペーン開催中！</t>
    <phoneticPr fontId="12"/>
  </si>
  <si>
    <t>2016-09-05 14:59:59</t>
    <phoneticPr fontId="15"/>
  </si>
  <si>
    <t>ランキング対抗&lt;ウィグナー&gt;</t>
    <phoneticPr fontId="12"/>
  </si>
  <si>
    <t>2016-09-13 15:00:00</t>
    <phoneticPr fontId="15"/>
  </si>
  <si>
    <t>gacha400</t>
    <phoneticPr fontId="45"/>
  </si>
  <si>
    <t>2016-09-13 14:59:59</t>
    <phoneticPr fontId="15"/>
  </si>
  <si>
    <t>【&lt;font color="#ff2626"&gt;超&lt;/font&gt;&lt;font color="#ffe22a"&gt;激&lt;/font&gt;&lt;font color="#0093ff"&gt;レ&lt;/font&gt;&lt;font color="#00e075"&gt;ア&lt;/font&gt;ユニットをGETしよう！】
限定ユニットを除くすべてのガチャユニットが出現!
&lt;font color="#ffab27"&gt;※★6覚醒済みユニットは直接排出されません&lt;/font&gt;</t>
    <phoneticPr fontId="12"/>
  </si>
  <si>
    <t>新ユニットの出現率UP!</t>
    <rPh sb="1" eb="5">
      <t>ゲン</t>
    </rPh>
    <rPh sb="6" eb="9">
      <t>シュt</t>
    </rPh>
    <phoneticPr fontId="12"/>
  </si>
  <si>
    <t>2016-09-11 23:59:59</t>
    <phoneticPr fontId="15"/>
  </si>
  <si>
    <t>2016-09-05 23:59:59</t>
    <phoneticPr fontId="15"/>
  </si>
  <si>
    <t>2016-09-05 15:00:00</t>
    <phoneticPr fontId="15"/>
  </si>
  <si>
    <t>2016-09-05 14:59:59</t>
    <phoneticPr fontId="15"/>
  </si>
  <si>
    <t>gacha401</t>
    <phoneticPr fontId="45"/>
  </si>
  <si>
    <t>【&lt;font color="#ff2626"&gt;超&lt;/font&gt;&lt;font color="#ffe22a"&gt;激&lt;/font&gt;&lt;font color="#0093ff"&gt;レ&lt;/font&gt;&lt;font color="#00e075"&gt;ア&lt;/font&gt;ユニットをGETしよう！】
今だけ限定ユニットが出現中！
&lt;font color="#ffab27"&gt;※★6覚醒済みユニットは直接排出されません&lt;/font&gt;</t>
    <phoneticPr fontId="12"/>
  </si>
  <si>
    <t>2016-09-05 14:59:59</t>
    <phoneticPr fontId="15"/>
  </si>
  <si>
    <t>2016-09-05 15:00:00</t>
    <phoneticPr fontId="15"/>
  </si>
  <si>
    <t>中級者チケットガチャ&lt;アルフヘイムin&gt;</t>
    <rPh sb="0" eb="3">
      <t>チュウキュウシャ</t>
    </rPh>
    <phoneticPr fontId="12"/>
  </si>
  <si>
    <t>超お得チケットガチャ&lt;アルフヘイムin&gt;</t>
    <phoneticPr fontId="12"/>
  </si>
  <si>
    <t>2016-09-06 15:00:00</t>
    <phoneticPr fontId="15"/>
  </si>
  <si>
    <t>2016-09-06 14:59:59</t>
    <phoneticPr fontId="15"/>
  </si>
  <si>
    <t>R6解放ピックアップ&lt;ハヅル、イナバ&gt;</t>
    <phoneticPr fontId="12"/>
  </si>
  <si>
    <t>R6解放ピックアップ&lt;ドライグ、アルフヘイム&gt;</t>
    <phoneticPr fontId="12"/>
  </si>
  <si>
    <t>2016-09-20 23:59:59</t>
    <phoneticPr fontId="15"/>
  </si>
  <si>
    <t>gacha402</t>
    <phoneticPr fontId="45"/>
  </si>
  <si>
    <t>2016-09-17 14:59:59</t>
    <phoneticPr fontId="15"/>
  </si>
  <si>
    <t>超お得チケットガチャ&lt;ドライグin&gt;</t>
    <phoneticPr fontId="12"/>
  </si>
  <si>
    <t>中級者チケットガチャ&lt;ドライグin&gt;</t>
    <rPh sb="0" eb="3">
      <t>チュウキュウシャ</t>
    </rPh>
    <phoneticPr fontId="12"/>
  </si>
  <si>
    <t>2016-09-09 14:59:59</t>
    <phoneticPr fontId="15"/>
  </si>
  <si>
    <t>2016-09-09 15:00:00</t>
    <phoneticPr fontId="15"/>
  </si>
  <si>
    <t>tit_stepup400_04.png</t>
  </si>
  <si>
    <t>tit_stepup400_05.png</t>
  </si>
  <si>
    <t>tit_stepup400_06.png</t>
  </si>
  <si>
    <t>tit_stepup400_03.png</t>
    <phoneticPr fontId="12"/>
  </si>
  <si>
    <t>GachaTop400.png</t>
  </si>
  <si>
    <t>tips_10ren382_04.png</t>
    <phoneticPr fontId="12"/>
  </si>
  <si>
    <t>tit_stepup400_07.png</t>
    <phoneticPr fontId="12"/>
  </si>
  <si>
    <t>&lt;font color="#ffab27"&gt;※★6覚醒済みユニットは直接排出されません&lt;/font&gt;</t>
    <phoneticPr fontId="12"/>
  </si>
  <si>
    <t>,P202,</t>
  </si>
  <si>
    <t>,R202)</t>
  </si>
  <si>
    <t>&lt;font color="#ffab27"&gt;※上記ピックアップユニット以外も排出されます&lt;/font&gt;</t>
    <phoneticPr fontId="12"/>
  </si>
  <si>
    <t>【&lt;font color="#ff2626"&gt;超&lt;/font&gt;&lt;font color="#ffe22a"&gt;激&lt;/font&gt;&lt;font color="#0093ff"&gt;レ&lt;/font&gt;&lt;font color="#00e075"&gt;ア&lt;/font&gt;ユニットをGETしよう！】
限定ユニットを除くすべてのガチャユニットが出現!
&lt;font color="#ffab27"&gt;※★6覚醒済みユニットは直接排出されません&lt;/font&gt;</t>
    <phoneticPr fontId="12"/>
  </si>
  <si>
    <t>今だけ&lt;font color="#ffe22a"&gt;アルフヘイム&lt;/font&gt;、&lt;font color="#ff2626"&gt;キング・ドライグ&lt;/font&gt;の出現率UP!</t>
    <phoneticPr fontId="12"/>
  </si>
  <si>
    <t>2016-09-11 18:30:00</t>
    <phoneticPr fontId="15"/>
  </si>
  <si>
    <t>R6解放ピックアップ&lt;ヤマタノオロチ、リヴァイアサン&gt;</t>
    <phoneticPr fontId="12"/>
  </si>
  <si>
    <t>ニューフェイスガチャ(画家)</t>
    <phoneticPr fontId="12"/>
  </si>
  <si>
    <t>今だけ&lt;font color="#00e075"&gt;ヤマタノオロチ&lt;/font&gt;、&lt;font color="#0093ff"&gt;リヴァイアサン&lt;/font&gt;の出現率UP!</t>
    <phoneticPr fontId="12"/>
  </si>
  <si>
    <t>今だけ新ユニットの出現率UP！</t>
    <phoneticPr fontId="12"/>
  </si>
  <si>
    <t>2016-09-16 15:00:00</t>
    <phoneticPr fontId="15"/>
  </si>
  <si>
    <t>2016-09-22 14:59:59</t>
    <phoneticPr fontId="15"/>
  </si>
  <si>
    <t>2016-09-19 15:00:00</t>
    <phoneticPr fontId="15"/>
  </si>
  <si>
    <t>2016-09-25 14:59:59</t>
    <phoneticPr fontId="15"/>
  </si>
  <si>
    <t>gacha403</t>
  </si>
  <si>
    <t>gacha404</t>
  </si>
  <si>
    <t>初心者応援チケットガチャ&lt;画家in&gt;</t>
    <rPh sb="0" eb="3">
      <t>ショシンシャ</t>
    </rPh>
    <rPh sb="3" eb="5">
      <t>オウエン</t>
    </rPh>
    <phoneticPr fontId="12"/>
  </si>
  <si>
    <t>中級者チケットガチャ&lt;画家in&gt;</t>
    <rPh sb="0" eb="3">
      <t>チュウキュウシャ</t>
    </rPh>
    <phoneticPr fontId="12"/>
  </si>
  <si>
    <t>超お得チケットガチャ&lt;画家in&gt;</t>
    <phoneticPr fontId="12"/>
  </si>
  <si>
    <t>レアガチャ（画家in）</t>
    <phoneticPr fontId="12"/>
  </si>
  <si>
    <t>2016-09-19 14:59:59</t>
    <phoneticPr fontId="15"/>
  </si>
  <si>
    <t>gacha405</t>
    <phoneticPr fontId="45"/>
  </si>
  <si>
    <t>405010</t>
    <phoneticPr fontId="12"/>
  </si>
  <si>
    <t>2016-09-21 15:00:00</t>
    <phoneticPr fontId="15"/>
  </si>
  <si>
    <t>2016-09-27 14:59:59</t>
    <phoneticPr fontId="15"/>
  </si>
  <si>
    <t>gacha406</t>
    <phoneticPr fontId="12"/>
  </si>
  <si>
    <t>今だけピックアップユニットの出現率UP!</t>
    <phoneticPr fontId="12"/>
  </si>
  <si>
    <t>【&lt;font color="#ff2626"&gt;超&lt;/font&gt;&lt;font color="#ffe22a"&gt;激&lt;/font&gt;&lt;font color="#0093ff"&gt;レ&lt;/font&gt;&lt;font color="#00e075"&gt;ア&lt;/font&gt;ユニットをGETしよう！】
&lt;font color="#ffab27"&gt;09/20 14:59&lt;/font&gt;までリトルハンプティ１体プレゼント！
&lt;font color="#ffab27"&gt;※★6覚醒済みユニットは直接排出されません&lt;/font&gt;</t>
    <phoneticPr fontId="12"/>
  </si>
  <si>
    <t>ハンプティおまけガチャ</t>
    <phoneticPr fontId="12"/>
  </si>
  <si>
    <t>gacha407</t>
    <phoneticPr fontId="12"/>
  </si>
  <si>
    <t>Hyperリンク</t>
    <phoneticPr fontId="12"/>
  </si>
  <si>
    <t>Hyperリンクガチャ</t>
  </si>
  <si>
    <t>Hyperリンクガチャ（2連）</t>
    <rPh sb="13" eb="14">
      <t>レン</t>
    </rPh>
    <phoneticPr fontId="12"/>
  </si>
  <si>
    <t>Hyperリンクガチャ（3連）</t>
    <rPh sb="13" eb="14">
      <t>レン</t>
    </rPh>
    <phoneticPr fontId="12"/>
  </si>
  <si>
    <t>Hyperリンクガチャ（4連）</t>
    <rPh sb="13" eb="14">
      <t>レン</t>
    </rPh>
    <phoneticPr fontId="12"/>
  </si>
  <si>
    <t>Hyperリンクガチャ（5連）</t>
    <rPh sb="13" eb="14">
      <t>レン</t>
    </rPh>
    <phoneticPr fontId="12"/>
  </si>
  <si>
    <t>Hyperリンクガチャ（6連）</t>
    <rPh sb="13" eb="14">
      <t>レン</t>
    </rPh>
    <phoneticPr fontId="12"/>
  </si>
  <si>
    <t>Hyperリンクガチャ（7連）</t>
    <rPh sb="13" eb="14">
      <t>レン</t>
    </rPh>
    <phoneticPr fontId="12"/>
  </si>
  <si>
    <t>Hyperリンクガチャ（8連）</t>
    <rPh sb="13" eb="14">
      <t>レン</t>
    </rPh>
    <phoneticPr fontId="12"/>
  </si>
  <si>
    <t>Hyperリンクガチャ（9連）</t>
    <rPh sb="13" eb="14">
      <t>レン</t>
    </rPh>
    <phoneticPr fontId="12"/>
  </si>
  <si>
    <t>Hyperリンクガチャ（10連）</t>
    <rPh sb="14" eb="15">
      <t>レン</t>
    </rPh>
    <phoneticPr fontId="12"/>
  </si>
  <si>
    <t>2016-09-20 14:59:59</t>
    <phoneticPr fontId="15"/>
  </si>
  <si>
    <t>2016-09-16 15:00:00</t>
    <phoneticPr fontId="15"/>
  </si>
  <si>
    <t>poly_407</t>
    <phoneticPr fontId="12"/>
  </si>
  <si>
    <t>2016-09-17 15:00:00</t>
    <phoneticPr fontId="15"/>
  </si>
  <si>
    <t>gacha211</t>
    <phoneticPr fontId="45"/>
  </si>
  <si>
    <t>【リンクガチャ】期間限定！200リンクで一体排出、りんご出現率超UP中！</t>
    <phoneticPr fontId="45"/>
  </si>
  <si>
    <t>【リンクを使って無料でユニットGET！】
スペシャルリンクガチャは&lt;font color="#ffab27"&gt;リンク200pt&lt;/font&gt;で1回引けるよ！
フレンドに&lt;font color="#ffab27"&gt;助っ人&lt;/font&gt;してもらってリンクを集めよう！</t>
    <rPh sb="4" eb="5">
      <t>ツカ</t>
    </rPh>
    <rPh sb="7" eb="9">
      <t>ムリョウ</t>
    </rPh>
    <rPh sb="71" eb="72">
      <t>カイ</t>
    </rPh>
    <rPh sb="72" eb="73">
      <t>ヒ</t>
    </rPh>
    <rPh sb="106" eb="107">
      <t>スケ</t>
    </rPh>
    <rPh sb="108" eb="109">
      <t>ト</t>
    </rPh>
    <rPh sb="126" eb="127">
      <t>アツ</t>
    </rPh>
    <phoneticPr fontId="12"/>
  </si>
  <si>
    <t>【リンクを使って無料でユニットGET！】
リンクガチャは&lt;font color="#ffab27"&gt;リンク100pt&lt;/font&gt;で1回引けるよ！
&lt;font color="#ffab27"&gt;消費リンクは100ptです、ふきだしの表示は実際の数と異なります&lt;/font&gt;</t>
    <rPh sb="4" eb="5">
      <t>ツカ</t>
    </rPh>
    <rPh sb="7" eb="9">
      <t>ムリョウ</t>
    </rPh>
    <rPh sb="66" eb="67">
      <t>カイ</t>
    </rPh>
    <rPh sb="67" eb="68">
      <t>ヒ</t>
    </rPh>
    <phoneticPr fontId="12"/>
  </si>
  <si>
    <t>160916_hampti_tips01.png</t>
    <phoneticPr fontId="12"/>
  </si>
  <si>
    <t>160916_hampti_tips02.png</t>
    <phoneticPr fontId="12"/>
  </si>
  <si>
    <t>2016-09-20 23:59:59</t>
    <phoneticPr fontId="15"/>
  </si>
  <si>
    <t>【レアガチャ限定】5連ガチャでリトルハンプティ１体プレゼント！</t>
    <phoneticPr fontId="12"/>
  </si>
  <si>
    <t>2016-09-20 23:59:59</t>
    <phoneticPr fontId="15"/>
  </si>
  <si>
    <t>2016-09-21 00:00:00</t>
    <phoneticPr fontId="15"/>
  </si>
  <si>
    <t>全世界600万DL記念1日1回無料ガチャ</t>
  </si>
  <si>
    <t>polygon</t>
  </si>
  <si>
    <t>GachaTop_408.png</t>
  </si>
  <si>
    <t>【&lt;font color="#ff2626"&gt;超&lt;/font&gt;&lt;font color="#ffe22a"&gt;激&lt;/font&gt;&lt;font color="#0093ff"&gt;レ&lt;/font&gt;&lt;font color="#00e075"&gt;ア&lt;/font&gt;ユニットをGETしよう！】
限定ユニットを除くすべてのガチャユニットが出現!
&lt;font color="#ffab27"&gt;※★6覚醒済みユニットは直接排出されません&lt;/font&gt;</t>
  </si>
  <si>
    <t>&lt;font color="#ffab27"&gt;※★6覚醒済みユニットは直接排出されません&lt;/font&gt;</t>
  </si>
  <si>
    <t>408_1_1_1_polygon</t>
  </si>
  <si>
    <t>null</t>
  </si>
  <si>
    <t>408_1_2_1_polygon</t>
  </si>
  <si>
    <t>408_1_3_1_polygon</t>
  </si>
  <si>
    <t>408_1_4_1_polygon</t>
  </si>
  <si>
    <t>408_1_5_1_polygon</t>
  </si>
  <si>
    <t>408_1_6_1_polygon</t>
  </si>
  <si>
    <t>408_1_7_1_polygon</t>
  </si>
  <si>
    <t>408_1_8_1_polygon</t>
  </si>
  <si>
    <t>408_1_9_1_polygon</t>
  </si>
  <si>
    <t>408_1_0_1_polygon</t>
  </si>
  <si>
    <t>poly_408</t>
    <phoneticPr fontId="12"/>
  </si>
  <si>
    <t>day</t>
    <phoneticPr fontId="12"/>
  </si>
  <si>
    <t>2016-09-23 15:00:00</t>
    <phoneticPr fontId="15"/>
  </si>
  <si>
    <t>2016-10-02 14:59:59</t>
    <phoneticPr fontId="15"/>
  </si>
  <si>
    <t>2016-09-26 14:59:59</t>
    <phoneticPr fontId="15"/>
  </si>
  <si>
    <t>gacha409</t>
    <phoneticPr fontId="12"/>
  </si>
  <si>
    <t>Wカラーフェス開催！今だけカラーフェス限定ユニット4体が同時出現中！</t>
    <phoneticPr fontId="12"/>
  </si>
  <si>
    <t>null</t>
    <phoneticPr fontId="12"/>
  </si>
  <si>
    <t>null</t>
    <phoneticPr fontId="12"/>
  </si>
  <si>
    <t>null</t>
    <phoneticPr fontId="12"/>
  </si>
  <si>
    <t>ja</t>
    <phoneticPr fontId="12"/>
  </si>
  <si>
    <t>gacha410</t>
    <phoneticPr fontId="12"/>
  </si>
  <si>
    <t>超厳選チケットガチャ</t>
    <rPh sb="0" eb="3">
      <t>チョウゲンセn</t>
    </rPh>
    <phoneticPr fontId="12"/>
  </si>
  <si>
    <t>【&lt;font color="#ff2626"&gt;超&lt;/font&gt;&lt;font color="#ffe22a"&gt;激&lt;/font&gt;&lt;font color="#0093ff"&gt;レ&lt;/font&gt;&lt;font color="#00e075"&gt;ア&lt;/font&gt;ユニットをGETしよう！】</t>
    <phoneticPr fontId="12"/>
  </si>
  <si>
    <t>【&lt;font color="#ff2626"&gt;超&lt;/font&gt;&lt;font color="#ffe22a"&gt;激&lt;/font&gt;&lt;font color="#0093ff"&gt;レ&lt;/font&gt;&lt;font color="#00e075"&gt;ア&lt;/font&gt;ユニットをGETしよう!】
厳選ユニット6体のうち1体が確定排出！</t>
    <rPh sb="135" eb="137">
      <t>ゲンセn</t>
    </rPh>
    <rPh sb="151" eb="153">
      <t>ハイシュt</t>
    </rPh>
    <phoneticPr fontId="12"/>
  </si>
  <si>
    <t>600万DLガチャ2（パレート）</t>
    <phoneticPr fontId="12"/>
  </si>
  <si>
    <t>600万DLガチャ1（カラーフェス限）</t>
    <rPh sb="3" eb="4">
      <t>マn</t>
    </rPh>
    <rPh sb="17" eb="18">
      <t>ゲn</t>
    </rPh>
    <phoneticPr fontId="12"/>
  </si>
  <si>
    <t>tips_408_01.png</t>
    <phoneticPr fontId="12"/>
  </si>
  <si>
    <t>tips_408_03.png</t>
    <phoneticPr fontId="12"/>
  </si>
  <si>
    <t>tips_408_05.png</t>
    <phoneticPr fontId="12"/>
  </si>
  <si>
    <t>tips_408_01.png</t>
    <phoneticPr fontId="12"/>
  </si>
  <si>
    <t>【全世界600万DL記念】今だけ全カラーフェス限定ユニット同時出現中！</t>
    <phoneticPr fontId="12"/>
  </si>
  <si>
    <t>tips_409_01.png</t>
    <phoneticPr fontId="12"/>
  </si>
  <si>
    <t>tips_409_02.png</t>
    <phoneticPr fontId="12"/>
  </si>
  <si>
    <t>tips_409_03.png</t>
    <phoneticPr fontId="12"/>
  </si>
  <si>
    <t>tips_409_04.png</t>
    <phoneticPr fontId="12"/>
  </si>
  <si>
    <t>tips_409_05.png</t>
    <phoneticPr fontId="12"/>
  </si>
  <si>
    <t>tips_410_03.png</t>
    <phoneticPr fontId="12"/>
  </si>
  <si>
    <t>tips_410_04.png</t>
    <phoneticPr fontId="12"/>
  </si>
  <si>
    <t>tips_410_05.png</t>
    <phoneticPr fontId="12"/>
  </si>
  <si>
    <t>tips_410_07.png</t>
    <phoneticPr fontId="12"/>
  </si>
  <si>
    <t>【全世界600万DL記念】今だけ1日1回無料！★3以上ユニット確定！</t>
    <phoneticPr fontId="45"/>
  </si>
  <si>
    <t>tips_408_01.png</t>
    <phoneticPr fontId="12"/>
  </si>
  <si>
    <t>tips_408_0709.png</t>
    <phoneticPr fontId="12"/>
  </si>
  <si>
    <t>ticket_hyperlimited_1609</t>
    <phoneticPr fontId="45"/>
  </si>
  <si>
    <t>2016-09-26 15:00:00</t>
    <phoneticPr fontId="15"/>
  </si>
  <si>
    <t>全世界600万DL記念1日1回無料ガチャ</t>
    <phoneticPr fontId="12"/>
  </si>
  <si>
    <t>全世界600万DL記念1日1回無料ガチャ-1日目-</t>
    <phoneticPr fontId="12"/>
  </si>
  <si>
    <t>全世界600万DL記念1日1回無料ガチャ-2日目-</t>
    <phoneticPr fontId="12"/>
  </si>
  <si>
    <t>全世界600万DL記念1日1回無料ガチャ-4日目-</t>
    <phoneticPr fontId="12"/>
  </si>
  <si>
    <t>全世界600万DL記念1日1回無料ガチャ-5日目-</t>
    <phoneticPr fontId="12"/>
  </si>
  <si>
    <t>全世界600万DL記念1日1回無料ガチャ-6日目-</t>
    <phoneticPr fontId="12"/>
  </si>
  <si>
    <t>全世界600万DL記念1日1回無料ガチャ-7日目-</t>
    <phoneticPr fontId="12"/>
  </si>
  <si>
    <t>全世界600万DL記念1日1回無料ガチャ-8日目-</t>
    <phoneticPr fontId="12"/>
  </si>
  <si>
    <t>全世界600万DL記念1日1回無料ガチャ-9日目-</t>
    <phoneticPr fontId="12"/>
  </si>
  <si>
    <t>全世界600万DL記念1日1回無料ガチャ-3日目-</t>
    <phoneticPr fontId="12"/>
  </si>
  <si>
    <t>全世界600万DL記念1日1回無料ガチャ-10日目-</t>
    <phoneticPr fontId="12"/>
  </si>
  <si>
    <t>tips_408_03.png</t>
    <phoneticPr fontId="12"/>
  </si>
  <si>
    <t>tips_408_0709.png</t>
    <phoneticPr fontId="12"/>
  </si>
  <si>
    <t>poly_411</t>
    <phoneticPr fontId="12"/>
  </si>
  <si>
    <t>poly_412</t>
    <phoneticPr fontId="12"/>
  </si>
  <si>
    <t>poly_413</t>
    <phoneticPr fontId="12"/>
  </si>
  <si>
    <t>poly_414</t>
    <phoneticPr fontId="12"/>
  </si>
  <si>
    <t>poly_415</t>
    <phoneticPr fontId="12"/>
  </si>
  <si>
    <t>poly_416</t>
    <phoneticPr fontId="12"/>
  </si>
  <si>
    <t>poly_417</t>
    <phoneticPr fontId="12"/>
  </si>
  <si>
    <t>poly_418</t>
    <phoneticPr fontId="12"/>
  </si>
  <si>
    <t>poly_419</t>
    <phoneticPr fontId="12"/>
  </si>
  <si>
    <t>poly_420</t>
    <phoneticPr fontId="12"/>
  </si>
  <si>
    <t>2016-09-24 00:00:00</t>
    <phoneticPr fontId="15"/>
  </si>
  <si>
    <t>2016-09-23 23:59:59</t>
    <phoneticPr fontId="15"/>
  </si>
  <si>
    <t>2016-09-24 23:59:59</t>
    <phoneticPr fontId="15"/>
  </si>
  <si>
    <t>2016-09-25 00:00:00</t>
    <phoneticPr fontId="15"/>
  </si>
  <si>
    <t>2016-09-25 23:59:59</t>
    <phoneticPr fontId="15"/>
  </si>
  <si>
    <t>2016-09-26 00:00:00</t>
    <phoneticPr fontId="15"/>
  </si>
  <si>
    <t>2016-09-27 23:59:59</t>
    <phoneticPr fontId="15"/>
  </si>
  <si>
    <t>2016-09-27 00:00:00</t>
    <phoneticPr fontId="15"/>
  </si>
  <si>
    <t>2016-09-26 23:59:59</t>
    <phoneticPr fontId="15"/>
  </si>
  <si>
    <t>2016-09-28 00:00:00</t>
    <phoneticPr fontId="15"/>
  </si>
  <si>
    <t>2016-09-28 23:59:59</t>
    <phoneticPr fontId="15"/>
  </si>
  <si>
    <t>2016-09-29 00:00:00</t>
    <phoneticPr fontId="15"/>
  </si>
  <si>
    <t>2016-09-29 23:59:59</t>
    <phoneticPr fontId="15"/>
  </si>
  <si>
    <t>2016-09-30 00:00:00</t>
    <phoneticPr fontId="15"/>
  </si>
  <si>
    <t>2016-09-30 23:59:59</t>
    <phoneticPr fontId="15"/>
  </si>
  <si>
    <t>2016-10-01 00:00:00</t>
    <phoneticPr fontId="15"/>
  </si>
  <si>
    <t>2016-10-01 23:59:59</t>
    <phoneticPr fontId="15"/>
  </si>
  <si>
    <t>2016-10-02 00:00:00</t>
    <phoneticPr fontId="15"/>
  </si>
  <si>
    <t>2016-10-02 14:59:59</t>
    <phoneticPr fontId="15"/>
  </si>
  <si>
    <t>１日１回ポリゴン無料で引くことができます。
期間中毎日深夜０時にリセットされます。
&lt;font color="#ffab27"&gt;※★6覚醒済みユニットは直接排出されません&lt;/font&gt;</t>
    <phoneticPr fontId="12"/>
  </si>
  <si>
    <t>gacha411</t>
    <phoneticPr fontId="45"/>
  </si>
  <si>
    <t>gacha412</t>
    <phoneticPr fontId="12"/>
  </si>
  <si>
    <t>gacha413</t>
    <phoneticPr fontId="12"/>
  </si>
  <si>
    <t>gacha414</t>
    <phoneticPr fontId="12"/>
  </si>
  <si>
    <t>gacha415</t>
    <phoneticPr fontId="12"/>
  </si>
  <si>
    <t>gacha416</t>
    <phoneticPr fontId="12"/>
  </si>
  <si>
    <t>gacha417</t>
    <phoneticPr fontId="12"/>
  </si>
  <si>
    <t>gacha418</t>
    <phoneticPr fontId="12"/>
  </si>
  <si>
    <t>gacha419</t>
    <phoneticPr fontId="12"/>
  </si>
  <si>
    <t>gacha420</t>
    <phoneticPr fontId="12"/>
  </si>
  <si>
    <t>gacha408.png</t>
    <phoneticPr fontId="12"/>
  </si>
  <si>
    <t>【全世界600万DL記念】限定ユニットがバグ10で出現中！</t>
    <phoneticPr fontId="45"/>
  </si>
  <si>
    <t>9月フィーバーフェスティバル</t>
    <phoneticPr fontId="12"/>
  </si>
  <si>
    <t>2016-10-03 14:59:59</t>
    <phoneticPr fontId="15"/>
  </si>
  <si>
    <t>gacha421</t>
    <phoneticPr fontId="12"/>
  </si>
  <si>
    <t>レアガチャ(三国志in)</t>
    <phoneticPr fontId="12"/>
  </si>
  <si>
    <t>ニューフェイスガチャ(三国志)</t>
    <phoneticPr fontId="12"/>
  </si>
  <si>
    <t>2016-10-03 15:00:00</t>
    <phoneticPr fontId="15"/>
  </si>
  <si>
    <t>gacha422</t>
    <phoneticPr fontId="45"/>
  </si>
  <si>
    <t>gacha423</t>
    <phoneticPr fontId="12"/>
  </si>
  <si>
    <t>null</t>
    <phoneticPr fontId="12"/>
  </si>
  <si>
    <t>null</t>
    <phoneticPr fontId="12"/>
  </si>
  <si>
    <t>ja</t>
    <phoneticPr fontId="12"/>
  </si>
  <si>
    <t>&lt;font color="#ffab27"&gt;09/25 14:59&lt;/font&gt;まで初回のみ25ポリゴンで10体排出！</t>
    <phoneticPr fontId="12"/>
  </si>
  <si>
    <t>2016-09-30 00:00:00</t>
    <phoneticPr fontId="15"/>
  </si>
  <si>
    <t>初心者応援チケットガチャ&lt;三国志in&gt;</t>
    <rPh sb="0" eb="3">
      <t>ショシンシャ</t>
    </rPh>
    <rPh sb="3" eb="5">
      <t>オウエン</t>
    </rPh>
    <phoneticPr fontId="12"/>
  </si>
  <si>
    <t>中級者チケットガチャ&lt;三国志in&gt;</t>
    <rPh sb="0" eb="3">
      <t>チュウキュウシャ</t>
    </rPh>
    <phoneticPr fontId="12"/>
  </si>
  <si>
    <t>超お得チケットガチャ&lt;三国志in&gt;</t>
    <phoneticPr fontId="12"/>
  </si>
  <si>
    <t>423100</t>
    <phoneticPr fontId="12"/>
  </si>
  <si>
    <t>2016-10-03 14:59:59</t>
    <phoneticPr fontId="15"/>
  </si>
  <si>
    <t>&lt;font color="#ff2626"&gt;セキ&lt;/font&gt;、&lt;font color="#0093ff"&gt;ユークリッド&lt;/font&gt;、&lt;font color="#ffe22a"&gt;ファラデー&lt;/font&gt;、&lt;font color="#00e075"&gt;オイラー&lt;/font&gt;が出現中！</t>
    <phoneticPr fontId="12"/>
  </si>
  <si>
    <t>2016-10-05 15:00:00</t>
    <phoneticPr fontId="15"/>
  </si>
  <si>
    <t>2016-10-11 14:59:59</t>
    <phoneticPr fontId="15"/>
  </si>
  <si>
    <t>gacha424</t>
    <phoneticPr fontId="12"/>
  </si>
  <si>
    <t>&lt;font color="#ffab27"&gt;STEP5で★6覚醒可能ニューフェイスユニット1体確定！&lt;/font&gt;</t>
    <phoneticPr fontId="12"/>
  </si>
  <si>
    <t>161003_newface_tips01.png</t>
  </si>
  <si>
    <t>161003_newface_tips02.png</t>
  </si>
  <si>
    <t>161003_newface_tips03.png</t>
  </si>
  <si>
    <t>161003_newface_tips04.png</t>
  </si>
  <si>
    <t>161003_newface_tips05.png</t>
  </si>
  <si>
    <t>161003_newface_tips06.png</t>
  </si>
  <si>
    <t>【レアガチャ限定】今だけ！10連でピックアップユニット一体確定キャンペーン開催中！</t>
    <phoneticPr fontId="12"/>
  </si>
  <si>
    <t>161005_pick_tips01.png</t>
    <phoneticPr fontId="12"/>
  </si>
  <si>
    <t>ウィザード対抗確定ガチャ&lt;近藤、モルドレッド、八咫烏、バステト&gt;</t>
    <phoneticPr fontId="12"/>
  </si>
  <si>
    <t>&lt;font color="#ffab27"&gt;10/11 14:59&lt;/font&gt;まで</t>
    <phoneticPr fontId="12"/>
  </si>
  <si>
    <t>ピックアップユニットが1体確定！</t>
    <phoneticPr fontId="12"/>
  </si>
  <si>
    <t>【レアガチャ限定】新ユニット追加！STEP5で★6覚醒可能新ユニット一体確定キャンペーン開催中！</t>
    <phoneticPr fontId="12"/>
  </si>
  <si>
    <t>2016-10-09 15:59:59</t>
    <phoneticPr fontId="15"/>
  </si>
  <si>
    <t>2016-10-03 16:00:00</t>
    <phoneticPr fontId="15"/>
  </si>
  <si>
    <t>&lt;font color="#ffab27"&gt;10/09 15:59&lt;/font&gt;まで新ユニットの出現率UP中！</t>
    <phoneticPr fontId="12"/>
  </si>
  <si>
    <t>2016-10-07 15:00:00</t>
    <phoneticPr fontId="15"/>
  </si>
  <si>
    <t>2016-10-10 23:59:59</t>
    <phoneticPr fontId="15"/>
  </si>
  <si>
    <t>gacha425</t>
    <phoneticPr fontId="12"/>
  </si>
  <si>
    <t>ランキング対抗ガチャ&lt;フレネル&gt;</t>
    <phoneticPr fontId="12"/>
  </si>
  <si>
    <t>【&lt;font color="#ff2626"&gt;超&lt;/font&gt;&lt;font color="#ffe22a"&gt;激&lt;/font&gt;&lt;font color="#0093ff"&gt;レ&lt;/font&gt;&lt;font color="#00e075"&gt;ア&lt;/font&gt;ユニットをGETしよう！】</t>
    <phoneticPr fontId="12"/>
  </si>
  <si>
    <t>【レアガチャ限定】ランキング対抗の黄属性ユニット出現率アップ！さらに限定ユニット出現中！</t>
    <phoneticPr fontId="12"/>
  </si>
  <si>
    <t>tips_stepup367_03.png</t>
  </si>
  <si>
    <t>tips_stepup367_04.png</t>
  </si>
  <si>
    <t>tips_stepup367_05.png</t>
  </si>
  <si>
    <t>tips_stepup367_06.png</t>
  </si>
  <si>
    <t>tips_stepup367_00.png</t>
  </si>
  <si>
    <t>今だけ！黄属性出現率大幅アップ！</t>
    <phoneticPr fontId="12"/>
  </si>
  <si>
    <t>&lt;font color="#ffab27"&gt;10/10 23:59&lt;/font&gt;まで限定ユニット&lt;font color="#ffe22a"&gt;フレネル&lt;/font&gt;出現中！</t>
    <phoneticPr fontId="12"/>
  </si>
  <si>
    <t>2016-10-11 15:00:00</t>
    <phoneticPr fontId="15"/>
  </si>
  <si>
    <t>gacha427</t>
    <phoneticPr fontId="12"/>
  </si>
  <si>
    <t>【レアガチャ限定】新クラファーコレクション開催中！使用率上位ユニット4体の出現率UP中！</t>
    <phoneticPr fontId="12"/>
  </si>
  <si>
    <t>確定ステップアップガチャ</t>
    <phoneticPr fontId="12"/>
  </si>
  <si>
    <t>新クラファーコレクション</t>
    <phoneticPr fontId="12"/>
  </si>
  <si>
    <t>2016-10-09 15:00:00</t>
    <phoneticPr fontId="15"/>
  </si>
  <si>
    <t>2016-10-16 14:59:59</t>
    <phoneticPr fontId="15"/>
  </si>
  <si>
    <t>2016-10-18 14:59:59</t>
    <phoneticPr fontId="15"/>
  </si>
  <si>
    <t>gacha426</t>
    <phoneticPr fontId="12"/>
  </si>
  <si>
    <t>&lt;font color="#ffab27"&gt;※★6覚醒済み、超覚醒済みユニットは直接排出されません&lt;/font&gt;</t>
    <phoneticPr fontId="12"/>
  </si>
  <si>
    <t>2016-10-13 15:00:00</t>
    <phoneticPr fontId="15"/>
  </si>
  <si>
    <t>2016-10-17 14:59:59</t>
    <phoneticPr fontId="15"/>
  </si>
  <si>
    <t>gacha428</t>
    <phoneticPr fontId="12"/>
  </si>
  <si>
    <t>null</t>
    <phoneticPr fontId="12"/>
  </si>
  <si>
    <t>【レアガチャ限定】STEP5で★6覚醒可能ユニット一体確定キャンペーン中！</t>
    <phoneticPr fontId="12"/>
  </si>
  <si>
    <t>★6覚醒可能ユニット確定ガチャ</t>
    <phoneticPr fontId="12"/>
  </si>
  <si>
    <t>★6覚醒可能ユニットのうち1体が確定排出！</t>
  </si>
  <si>
    <t>ticket_fes_161013</t>
  </si>
  <si>
    <t>STEP5で★6覚醒可能ユニット一体確定！</t>
    <phoneticPr fontId="12"/>
  </si>
  <si>
    <t>&lt;font color="#ffab27"&gt;10/16 14:59&lt;/font&gt;まで</t>
    <phoneticPr fontId="12"/>
  </si>
  <si>
    <t>&lt;font color="#ffab27"&gt;10/18 14:59&lt;/font&gt;まで</t>
    <phoneticPr fontId="12"/>
  </si>
  <si>
    <t>&lt;font color="#ffab27"&gt;10/17 14:59&lt;/font&gt;まで</t>
    <phoneticPr fontId="12"/>
  </si>
  <si>
    <t>フィーバーフェスティバル開催！今だけ限定ユニット4体が出現中！</t>
    <phoneticPr fontId="12"/>
  </si>
  <si>
    <t>161009_kstepup_tips01.png</t>
  </si>
  <si>
    <t>161009_kstepup_tips02.png</t>
    <phoneticPr fontId="12"/>
  </si>
  <si>
    <t>161009_kstepup_tips03.png</t>
    <phoneticPr fontId="12"/>
  </si>
  <si>
    <t>161009_kstepup_tips04.png</t>
    <phoneticPr fontId="12"/>
  </si>
  <si>
    <t>161009_kstepup_tips05.png</t>
    <phoneticPr fontId="12"/>
  </si>
  <si>
    <t>161009_kstepup_tips06.png</t>
    <phoneticPr fontId="12"/>
  </si>
  <si>
    <t>&lt;font color="#ff2626"&gt;モールス&lt;/font&gt;、&lt;font color="#0093ff"&gt;ヘンペル&lt;/font&gt;、&lt;font color="#ffe22a"&gt;ハップル&lt;/font&gt;、&lt;font color="#00e075"&gt;チューリング&lt;/font&gt;が出現中！</t>
    <phoneticPr fontId="12"/>
  </si>
  <si>
    <t>レアガチャ（インド第2弾in）</t>
    <phoneticPr fontId="12"/>
  </si>
  <si>
    <t>初心者応援チケットガチャ&lt;インド第2弾in&gt;</t>
    <rPh sb="0" eb="3">
      <t>ショシンシャ</t>
    </rPh>
    <rPh sb="3" eb="5">
      <t>オウエン</t>
    </rPh>
    <phoneticPr fontId="12"/>
  </si>
  <si>
    <t>中級者チケットガチャ&lt;インド第2弾in&gt;</t>
    <rPh sb="0" eb="3">
      <t>チュウキュウシャ</t>
    </rPh>
    <phoneticPr fontId="12"/>
  </si>
  <si>
    <t>超お得チケットガチャ&lt;インド第2弾in&gt;</t>
    <phoneticPr fontId="12"/>
  </si>
  <si>
    <t>429100</t>
    <phoneticPr fontId="12"/>
  </si>
  <si>
    <t>429100</t>
    <phoneticPr fontId="12"/>
  </si>
  <si>
    <t>2016-10-17 15:00:00</t>
    <phoneticPr fontId="15"/>
  </si>
  <si>
    <t>2016-10-17 14:59:59</t>
    <phoneticPr fontId="15"/>
  </si>
  <si>
    <t>2016-10-17 15:00:00</t>
    <phoneticPr fontId="15"/>
  </si>
  <si>
    <t>gacha429</t>
    <phoneticPr fontId="45"/>
  </si>
  <si>
    <t>161013_fefes_tips05.png</t>
    <phoneticPr fontId="12"/>
  </si>
  <si>
    <t>&lt;font color="#ffab27"&gt;※★6覚醒済、限定ユニット及び、10/13(木)以降に&lt;/font&gt;</t>
    <phoneticPr fontId="12"/>
  </si>
  <si>
    <t>ニューフェイスガチャ（インド第2弾）</t>
    <phoneticPr fontId="12"/>
  </si>
  <si>
    <t>ピックアップカラーガチャ（赤）</t>
    <phoneticPr fontId="12"/>
  </si>
  <si>
    <t>&lt;font color="#ffab27"&gt;10/23 14:59&lt;/font&gt;まで新ユニットの出現率UP中！</t>
    <phoneticPr fontId="12"/>
  </si>
  <si>
    <t>アビリティピックアップガチャ</t>
    <phoneticPr fontId="12"/>
  </si>
  <si>
    <t>&lt;font color="#ffab27"&gt;※★6覚醒済みユニットは直接排出されません&lt;/font&gt;</t>
    <phoneticPr fontId="12"/>
  </si>
  <si>
    <t>gacha430</t>
    <phoneticPr fontId="12"/>
  </si>
  <si>
    <t>gacha431</t>
    <phoneticPr fontId="12"/>
  </si>
  <si>
    <t>gacha432</t>
    <phoneticPr fontId="12"/>
  </si>
  <si>
    <t>【レアガチャ限定】今だけ！ピックアップユニットの出現率UPキャンペーン開催中！</t>
    <phoneticPr fontId="12"/>
  </si>
  <si>
    <t>【レアガチャ限定】新ユニット追加！STEP5で★6覚醒可能新ユニット一体確定キャンペーン開催中！</t>
    <phoneticPr fontId="12"/>
  </si>
  <si>
    <t>&lt;font color="#ffab27"&gt;※★6覚醒済みユニットは直接排出されません&lt;/font&gt;</t>
    <phoneticPr fontId="12"/>
  </si>
  <si>
    <t>2016-10-15 15:00:00</t>
    <phoneticPr fontId="15"/>
  </si>
  <si>
    <t>2016-10-21 14:59:59</t>
    <phoneticPr fontId="15"/>
  </si>
  <si>
    <t>2016-10-23 14:59:59</t>
    <phoneticPr fontId="15"/>
  </si>
  <si>
    <t>2016-10-19 15:00:00</t>
    <phoneticPr fontId="15"/>
  </si>
  <si>
    <t>2016-10-26 14:59:59</t>
    <phoneticPr fontId="15"/>
  </si>
  <si>
    <t>161015_avi_pick_tips05.png</t>
  </si>
  <si>
    <t>&lt;font color="#ffe22a"&gt;ラファエロ&lt;/font&gt;、&lt;font color="#00e075"&gt;イシュタル&lt;/font&gt;が出現率UP中！</t>
    <phoneticPr fontId="12"/>
  </si>
  <si>
    <t>161015_avi_pick_tips01.png</t>
  </si>
  <si>
    <t>2016-10-17 15:00:00</t>
    <phoneticPr fontId="15"/>
  </si>
  <si>
    <t>2016-10-23 14:59:59</t>
    <phoneticPr fontId="15"/>
  </si>
  <si>
    <t>ランキング対抗ガチャ&lt;マクローリン&gt;</t>
    <phoneticPr fontId="12"/>
  </si>
  <si>
    <t>今だけ！赤属性出現率大幅アップ！</t>
    <phoneticPr fontId="12"/>
  </si>
  <si>
    <t>2016-10-21 15:00:00</t>
    <phoneticPr fontId="15"/>
  </si>
  <si>
    <t>gacha433</t>
    <phoneticPr fontId="12"/>
  </si>
  <si>
    <t>161021_ranking_stepup_tips03.png</t>
    <phoneticPr fontId="12"/>
  </si>
  <si>
    <t>161021_ranking_stepup_tips04.png</t>
  </si>
  <si>
    <t>161021_ranking_stepup_tips05.png</t>
  </si>
  <si>
    <t>161021_ranking_stepup_tips06.png</t>
  </si>
  <si>
    <t>161021_ranking_stepup_tips07.png</t>
  </si>
  <si>
    <t>【レアガチャ限定】ランキング対抗の赤属性ユニット出現率アップ！さらに限定ユニット出現中！</t>
    <phoneticPr fontId="12"/>
  </si>
  <si>
    <t>null</t>
    <phoneticPr fontId="12"/>
  </si>
  <si>
    <t>null</t>
    <phoneticPr fontId="12"/>
  </si>
  <si>
    <t>null</t>
    <phoneticPr fontId="12"/>
  </si>
  <si>
    <t>ja</t>
    <phoneticPr fontId="12"/>
  </si>
  <si>
    <t>null</t>
    <phoneticPr fontId="12"/>
  </si>
  <si>
    <t>2016-10-24 15:00:00</t>
    <phoneticPr fontId="15"/>
  </si>
  <si>
    <t>2016-10-30 14:59:59</t>
    <phoneticPr fontId="15"/>
  </si>
  <si>
    <t>gacha434</t>
    <phoneticPr fontId="12"/>
  </si>
  <si>
    <t>8・9月追加ユニット出現率UP中！</t>
    <phoneticPr fontId="12"/>
  </si>
  <si>
    <t>&lt;font color="#ffab27"&gt;※限定ユニット及び★6覚醒済みユニットは排出されません&lt;/font&gt;</t>
    <phoneticPr fontId="12"/>
  </si>
  <si>
    <t>スペシャルハロウィンガチャ</t>
    <phoneticPr fontId="12"/>
  </si>
  <si>
    <t>2016-10-26 15:00:00</t>
    <phoneticPr fontId="15"/>
  </si>
  <si>
    <t>2016-11-01 14:59:59</t>
    <phoneticPr fontId="15"/>
  </si>
  <si>
    <t>gacha435</t>
    <phoneticPr fontId="12"/>
  </si>
  <si>
    <t>【レアガチャ限定】今だけ！8・9月追加ユニット出現率UPキャンペーン中！</t>
    <phoneticPr fontId="12"/>
  </si>
  <si>
    <t>【レアガチャ限定】スペシャルサマーガチャ開催中！今だけ水着ユニットが出現中！</t>
    <phoneticPr fontId="12"/>
  </si>
  <si>
    <t>&lt;font color="#00e075"&gt;ハーヴェスト&lt;/font&gt;、&lt;font color="#00e075"&gt;華装の闇鋏 ラプンツェル&lt;/font&gt;から一体確定！</t>
    <phoneticPr fontId="12"/>
  </si>
  <si>
    <t>お菓子チケットガチャ</t>
    <phoneticPr fontId="12"/>
  </si>
  <si>
    <t>お菓子チケットガチャ10連</t>
    <phoneticPr fontId="12"/>
  </si>
  <si>
    <t>ticket_okashi</t>
    <phoneticPr fontId="12"/>
  </si>
  <si>
    <t>161024_kstepup_tips06.png</t>
    <phoneticPr fontId="12"/>
  </si>
  <si>
    <t>161024_kstepup_tips01.png</t>
    <phoneticPr fontId="12"/>
  </si>
  <si>
    <t>161024_kstepup_tips02.png</t>
    <phoneticPr fontId="12"/>
  </si>
  <si>
    <t>161024_kstepup_tips03.png</t>
    <phoneticPr fontId="12"/>
  </si>
  <si>
    <t>161024_kstepup_tips04.png</t>
    <phoneticPr fontId="12"/>
  </si>
  <si>
    <t>161024_kstepup_tips05.png</t>
    <phoneticPr fontId="12"/>
  </si>
  <si>
    <t>161026_hw_gacha_tips01.png</t>
  </si>
  <si>
    <t>161026_hw_gacha_tips02.png</t>
    <phoneticPr fontId="12"/>
  </si>
  <si>
    <t>null</t>
    <phoneticPr fontId="12"/>
  </si>
  <si>
    <t>【&lt;font color="#0093ff"&gt;夏&lt;/font&gt;&lt;font color="#00e075"&gt;☆&lt;/font&gt;&lt;font color="#ffe22a"&gt;襲&lt;/font&gt;&lt;font color="#ff2626"&gt;来&lt;/font&gt;！を遊んで報酬をGETしよう！】
&lt;font color="#ffab27"&gt;夏仕様麒麟は★6覚醒済み状態では排出されません。&lt;/font&gt;</t>
    <phoneticPr fontId="12"/>
  </si>
  <si>
    <t>&lt;font color="#ffab27"&gt;追加されたユニットは排出されません&lt;/font&gt;</t>
    <phoneticPr fontId="12"/>
  </si>
  <si>
    <t>&lt;font color="#ffab27"&gt;※1回につき30枚のお菓子チケットが必要です&lt;/font&gt;</t>
    <phoneticPr fontId="12"/>
  </si>
  <si>
    <t>&lt;font color="#ffab27"&gt;※1回につき3枚のお菓子チケットが必要です&lt;/font&gt;</t>
    <phoneticPr fontId="12"/>
  </si>
  <si>
    <t>null</t>
    <phoneticPr fontId="12"/>
  </si>
  <si>
    <t>poly_436</t>
    <phoneticPr fontId="12"/>
  </si>
  <si>
    <t>gacha436</t>
    <phoneticPr fontId="12"/>
  </si>
  <si>
    <t>【レアガチャ限定】スペシャルハロウィンガチャ開催中！今だけハロウィン限定スペシャルユニットが出現中！</t>
    <phoneticPr fontId="12"/>
  </si>
  <si>
    <t>毎日1回無料ハロウィンガチャ</t>
    <phoneticPr fontId="12"/>
  </si>
  <si>
    <t>161026_hw_free_gacha_tips01.png</t>
    <phoneticPr fontId="12"/>
  </si>
  <si>
    <t>&lt;font color="#ffab27"&gt;10/26 14:59&lt;/font&gt;まで</t>
    <phoneticPr fontId="12"/>
  </si>
  <si>
    <t>2016-10-28 14:59:59</t>
    <phoneticPr fontId="15"/>
  </si>
  <si>
    <t>今だけ毎日1回無料！ハロウィン限定スペシャルユニットが出現中！</t>
    <phoneticPr fontId="45"/>
  </si>
  <si>
    <t>gacha436.png</t>
    <phoneticPr fontId="12"/>
  </si>
  <si>
    <t>&lt;font color="#ffab27"&gt;11/01 14:59まで毎日1回無料！&lt;/font&gt;</t>
    <phoneticPr fontId="12"/>
  </si>
  <si>
    <t>&lt;font color="#ffab27"&gt;10/30 14:59&lt;/font&gt;まで</t>
    <phoneticPr fontId="12"/>
  </si>
  <si>
    <t>お菓子チケットを集めて豪華素材ユニットをGETしよう！</t>
    <phoneticPr fontId="12"/>
  </si>
  <si>
    <t>&lt;font color="#ffab27"&gt;07/29 14:59&lt;/font&gt;まで限定水着ユニットが出現!
&lt;font color="#ffab27"&gt;※通常のオイラー、ファラデーは排出されません&lt;/font&gt;
&lt;font color="#ffab27"&gt;※水着ユニット以外の★6ユニットは排出されません&lt;/font&gt;</t>
    <phoneticPr fontId="12"/>
  </si>
  <si>
    <t>&lt;font color="#ffab27"&gt;※ハロウィンユニット以外の★6ユニットは排出されません&lt;/font&gt;</t>
    <phoneticPr fontId="12"/>
  </si>
  <si>
    <t>&lt;font color="#ffab27"&gt;※★6覚醒済みユニットは直接排出されません&lt;/font&gt;</t>
    <phoneticPr fontId="12"/>
  </si>
  <si>
    <t>null</t>
    <phoneticPr fontId="12"/>
  </si>
  <si>
    <t>gacha437</t>
    <phoneticPr fontId="12"/>
  </si>
  <si>
    <t>【レアガチャ限定】今だけ！★5ユニット出現確率UP中！全ユニットレベルMAXで排出！</t>
    <phoneticPr fontId="12"/>
  </si>
  <si>
    <t>タワーオブザクイーン攻略応援ガチャ</t>
    <phoneticPr fontId="12"/>
  </si>
  <si>
    <t>全ユニットレベルMAXで排出されます</t>
    <phoneticPr fontId="12"/>
  </si>
  <si>
    <t>超フィーバーフィーバーフェスティバル＜ガロア、ディラック＞</t>
    <phoneticPr fontId="12"/>
  </si>
  <si>
    <t>超フィーバーフィーバーフェスティバル＜ガロア、クロネッカー＞</t>
    <phoneticPr fontId="12"/>
  </si>
  <si>
    <t>超フィーバーフィーバーフェスティバル＜ガロア、セキ＞</t>
    <phoneticPr fontId="12"/>
  </si>
  <si>
    <t>ピックアップカラーガチャ（青）</t>
    <phoneticPr fontId="12"/>
  </si>
  <si>
    <t>超強力フェス限定ユニットを手に入れよう！</t>
    <phoneticPr fontId="12"/>
  </si>
  <si>
    <t>&lt;font color="#ff2626"&gt;メタトロン&lt;/font&gt;、&lt;font color="#0093ff"&gt;紫式部&lt;/font&gt;、&lt;font color="#ffe22a"&gt;ラプンツェル&lt;/font&gt;、&lt;font color="#00e075"&gt;牛若丸&lt;/font&gt;が出現率UP！</t>
    <phoneticPr fontId="12"/>
  </si>
  <si>
    <t>&lt;font color="#0093ff"&gt;上杉謙信&lt;/font&gt;、&lt;font color="#0093ff"&gt;リヴァイアサン&lt;/font&gt;の出現率UP中！</t>
    <phoneticPr fontId="12"/>
  </si>
  <si>
    <t>&lt;font color="#ffab27"&gt;11/08 14:59&lt;/font&gt;まで</t>
    <phoneticPr fontId="12"/>
  </si>
  <si>
    <t>2016-10-29 15:00:00</t>
    <phoneticPr fontId="15"/>
  </si>
  <si>
    <t>2016-11-05 14:59:59</t>
    <phoneticPr fontId="15"/>
  </si>
  <si>
    <t>2016-10-30 15:00:00</t>
    <phoneticPr fontId="15"/>
  </si>
  <si>
    <t>2016-10-31 14:59:59</t>
    <phoneticPr fontId="15"/>
  </si>
  <si>
    <t>2016-10-31 15:00:00</t>
    <phoneticPr fontId="15"/>
  </si>
  <si>
    <t>2016-11-01 15:00:00</t>
    <phoneticPr fontId="15"/>
  </si>
  <si>
    <t>2016-11-02 14:59:59</t>
    <phoneticPr fontId="15"/>
  </si>
  <si>
    <t>2016-11-02 15:00:00</t>
    <phoneticPr fontId="15"/>
  </si>
  <si>
    <t>2016-11-08 14:59:59</t>
    <phoneticPr fontId="15"/>
  </si>
  <si>
    <t>gacha438</t>
    <phoneticPr fontId="12"/>
  </si>
  <si>
    <t>gacha439</t>
    <phoneticPr fontId="12"/>
  </si>
  <si>
    <t>gacha440</t>
    <phoneticPr fontId="12"/>
  </si>
  <si>
    <t>gacha441</t>
    <phoneticPr fontId="12"/>
  </si>
  <si>
    <t>超フィーバーフェスティバル開催！今だけ限定ユニット2体が出現中！</t>
    <phoneticPr fontId="12"/>
  </si>
  <si>
    <t>&lt;font color="#ffab27"&gt;10/31 14:59まで&lt;/font&gt;超フェス限定ユニットを手に入れよう！</t>
    <phoneticPr fontId="12"/>
  </si>
  <si>
    <t>&lt;font color="#ffab27"&gt;11/01 14:59まで&lt;/font&gt;超フェス限定ユニットを手に入れよう！</t>
    <phoneticPr fontId="12"/>
  </si>
  <si>
    <t>&lt;font color="#ffab27"&gt;11/02 14:59まで&lt;/font&gt;超フェス限定ユニットを手に入れよう！</t>
    <phoneticPr fontId="12"/>
  </si>
  <si>
    <t>チョイス2　&lt;font color="#00e075"&gt;ガロア&lt;/font&gt;、&lt;font color="#ffe22a"&gt;クロネッカー&lt;/font&gt;出現中！</t>
    <phoneticPr fontId="12"/>
  </si>
  <si>
    <t>チョイス3　&lt;font color="#00e075"&gt;ガロア&lt;/font&gt;、&lt;font color="#ff2626"&gt;セキ&lt;/font&gt;出現中！</t>
    <phoneticPr fontId="12"/>
  </si>
  <si>
    <t>ランキング対抗ガチャ&lt;ウィグナー&gt;</t>
    <phoneticPr fontId="12"/>
  </si>
  <si>
    <t>&lt;font color="#ffab27"&gt;10/21 14:59&lt;/font&gt;まで&lt;font color="#ff2626"&gt;諸葛亮&lt;/font&gt;、&lt;font color="#0093ff"&gt;リヴァイアサン&lt;/font&gt;、</t>
    <phoneticPr fontId="12"/>
  </si>
  <si>
    <t>今だけ！青属性出現率大幅アップ！</t>
    <phoneticPr fontId="12"/>
  </si>
  <si>
    <t>2016-11-04 15:00:00</t>
    <phoneticPr fontId="15"/>
  </si>
  <si>
    <t>2016-11-07 23:59:59</t>
    <phoneticPr fontId="15"/>
  </si>
  <si>
    <t>gacha442</t>
    <phoneticPr fontId="12"/>
  </si>
  <si>
    <t>&lt;font color="#ffab27"&gt;11/07 23:59&lt;/font&gt;まで限定ユニット&lt;font color="#0093ff"&gt;ウィグナー&lt;/font&gt;出現中！</t>
    <phoneticPr fontId="12"/>
  </si>
  <si>
    <t>ニューフェイスガチャ（ギリシャ神話第2弾）</t>
    <phoneticPr fontId="12"/>
  </si>
  <si>
    <t>&lt;font color="#ffab27"&gt;11/14 14:59&lt;/font&gt;まで新ユニットの出現率UP中！</t>
    <phoneticPr fontId="12"/>
  </si>
  <si>
    <t>10連で新ユニットが1体確定出現！</t>
    <phoneticPr fontId="12"/>
  </si>
  <si>
    <t>null</t>
    <phoneticPr fontId="12"/>
  </si>
  <si>
    <t>2016-11-08 15:00:00</t>
    <phoneticPr fontId="15"/>
  </si>
  <si>
    <t>2016-11-14 14:59:59</t>
    <phoneticPr fontId="15"/>
  </si>
  <si>
    <t>gacha443</t>
    <phoneticPr fontId="12"/>
  </si>
  <si>
    <t>2016-11-06 15:00:00</t>
    <phoneticPr fontId="15"/>
  </si>
  <si>
    <t>2016-11-12 14:59:59</t>
    <phoneticPr fontId="15"/>
  </si>
  <si>
    <t>gacha444</t>
    <phoneticPr fontId="12"/>
  </si>
  <si>
    <t>レアガチャ（ギリシャ神話第2弾in）</t>
    <phoneticPr fontId="12"/>
  </si>
  <si>
    <t>中級者チケットガチャ&lt;ギリシャ神話第2弾in&gt;</t>
    <rPh sb="0" eb="3">
      <t>チュウキュウシャ</t>
    </rPh>
    <phoneticPr fontId="12"/>
  </si>
  <si>
    <t>初心者応援チケットガチャ&lt;ギリシャ神話第2弾in&gt;</t>
    <rPh sb="0" eb="3">
      <t>ショシンシャ</t>
    </rPh>
    <rPh sb="3" eb="5">
      <t>オウエン</t>
    </rPh>
    <phoneticPr fontId="12"/>
  </si>
  <si>
    <t>超お得チケットガチャ&lt;ギリシャ神話第2弾in&gt;</t>
    <phoneticPr fontId="12"/>
  </si>
  <si>
    <t>445100</t>
    <phoneticPr fontId="12"/>
  </si>
  <si>
    <t>poly_1</t>
    <phoneticPr fontId="12"/>
  </si>
  <si>
    <t>null</t>
    <phoneticPr fontId="12"/>
  </si>
  <si>
    <t>2016-11-08 15:00:00</t>
    <phoneticPr fontId="15"/>
  </si>
  <si>
    <t>gacha445</t>
    <phoneticPr fontId="45"/>
  </si>
  <si>
    <t>2016-11-07 15:00:00</t>
    <phoneticPr fontId="15"/>
  </si>
  <si>
    <t>2016-11-13 14:59:59</t>
    <phoneticPr fontId="15"/>
  </si>
  <si>
    <t>超フィーバーフィーバーフェスティバル＜ガロア、ディラック＞再</t>
    <phoneticPr fontId="12"/>
  </si>
  <si>
    <t>超フィーバーフィーバーフェスティバル＜ガロア、クロネッカー＞再</t>
    <phoneticPr fontId="12"/>
  </si>
  <si>
    <t>超フィーバーフィーバーフェスティバル＜ガロア、セキ＞再</t>
    <phoneticPr fontId="12"/>
  </si>
  <si>
    <t>2016-11-09 14:59:59</t>
    <phoneticPr fontId="15"/>
  </si>
  <si>
    <t>gacha446</t>
    <phoneticPr fontId="12"/>
  </si>
  <si>
    <t>gacha447</t>
    <phoneticPr fontId="12"/>
  </si>
  <si>
    <t>gacha448</t>
    <phoneticPr fontId="12"/>
  </si>
  <si>
    <t>GachaTop_438.png</t>
  </si>
  <si>
    <t>GachaTop_439.png</t>
  </si>
  <si>
    <t>GachaTop_440.png</t>
  </si>
  <si>
    <t>&lt;font color="#ffab27"&gt;11/13 14:59まで&lt;/font&gt;5回目で&lt;font color="#ff2626"&gt;血飢なる夜想卿 ランスロット&lt;/font&gt;、</t>
    <phoneticPr fontId="12"/>
  </si>
  <si>
    <t>2016-11-10 15:00:00</t>
    <phoneticPr fontId="15"/>
  </si>
  <si>
    <t>2016-11-13 14:59:59</t>
    <phoneticPr fontId="15"/>
  </si>
  <si>
    <t>&lt;font color="#ffab27"&gt;11/09 14:59まで&lt;/font&gt;超フェス限定ユニットを手に入れよう！</t>
    <phoneticPr fontId="12"/>
  </si>
  <si>
    <t>161108_newface_tips01.png</t>
    <phoneticPr fontId="12"/>
  </si>
  <si>
    <t>161106_kstepup_tips01.png</t>
    <phoneticPr fontId="12"/>
  </si>
  <si>
    <t>161106_kstepup_tips02.png</t>
    <phoneticPr fontId="12"/>
  </si>
  <si>
    <t>161106_kstepup_tips03.png</t>
    <phoneticPr fontId="12"/>
  </si>
  <si>
    <t>161106_kstepup_tips04.png</t>
    <phoneticPr fontId="12"/>
  </si>
  <si>
    <t>161106_kstepup_tips05.png</t>
    <phoneticPr fontId="12"/>
  </si>
  <si>
    <t>161106_kstepup_tips06.png</t>
    <phoneticPr fontId="12"/>
  </si>
  <si>
    <t>gacha438.png</t>
  </si>
  <si>
    <t>gacha439.png</t>
  </si>
  <si>
    <t>gacha440.png</t>
  </si>
  <si>
    <t>2016-11-08 14:59:59</t>
    <phoneticPr fontId="15"/>
  </si>
  <si>
    <t>2970-07-16 14:59:59</t>
    <phoneticPr fontId="15"/>
  </si>
  <si>
    <t>2016-11-08 14:59:59</t>
    <phoneticPr fontId="15"/>
  </si>
  <si>
    <t>2016-11-08 14:59:59</t>
    <phoneticPr fontId="15"/>
  </si>
  <si>
    <t>2016-11-08 14:59:59</t>
    <phoneticPr fontId="15"/>
  </si>
  <si>
    <t>ウィザード対抗確定ガチャ</t>
    <phoneticPr fontId="12"/>
  </si>
  <si>
    <t>チョイス1　&lt;font color="#00e075"&gt;ガロア&lt;/font&gt;、&lt;font color="#0093ff"&gt;ディラック&lt;/font&gt;出現中！</t>
    <phoneticPr fontId="12"/>
  </si>
  <si>
    <t>null</t>
    <phoneticPr fontId="12"/>
  </si>
  <si>
    <t>gacha449</t>
    <phoneticPr fontId="12"/>
  </si>
  <si>
    <t>&lt;font color="#ffab27"&gt;11/15 14:59まで&lt;/font&gt;</t>
    <phoneticPr fontId="12"/>
  </si>
  <si>
    <t>&lt;font color="#ffab27"&gt;11/16 14:59まで&lt;/font&gt;</t>
    <phoneticPr fontId="12"/>
  </si>
  <si>
    <t>&lt;font color="#ffab27"&gt;11/17 14:59まで&lt;/font&gt;</t>
    <phoneticPr fontId="12"/>
  </si>
  <si>
    <t>2016-11-14 14:59:59</t>
    <phoneticPr fontId="15"/>
  </si>
  <si>
    <t>&lt;font color="#ffab27"&gt;11/14 14:59&lt;/font&gt;まで</t>
    <phoneticPr fontId="12"/>
  </si>
  <si>
    <t>&lt;font color="#ffab27"&gt;11/14 14:59&lt;/font&gt;まで</t>
    <phoneticPr fontId="12"/>
  </si>
  <si>
    <t>2016-11-14 15:00:00</t>
    <phoneticPr fontId="15"/>
  </si>
  <si>
    <t>2016-11-15 14:59:59</t>
    <phoneticPr fontId="15"/>
  </si>
  <si>
    <t>2016-11-15 15:00:00</t>
    <phoneticPr fontId="15"/>
  </si>
  <si>
    <t>2016-11-16 14:59:59</t>
    <phoneticPr fontId="15"/>
  </si>
  <si>
    <t>2016-11-16 15:00:00</t>
    <phoneticPr fontId="15"/>
  </si>
  <si>
    <t>2016-11-17 14:59:59</t>
    <phoneticPr fontId="15"/>
  </si>
  <si>
    <t>gacha450</t>
    <phoneticPr fontId="12"/>
  </si>
  <si>
    <t>gacha451</t>
    <phoneticPr fontId="12"/>
  </si>
  <si>
    <t>gacha452</t>
    <phoneticPr fontId="12"/>
  </si>
  <si>
    <t>フィーバーフェスティバル開催！今だけ限定ユニット2体が出現中！</t>
  </si>
  <si>
    <t>2016-11-14 15:00:00</t>
    <phoneticPr fontId="15"/>
  </si>
  <si>
    <t>2016-11-20 14:59:59</t>
    <phoneticPr fontId="15"/>
  </si>
  <si>
    <t>フィーバーフェスティバル＜ケプラー、チューリング＞</t>
    <phoneticPr fontId="12"/>
  </si>
  <si>
    <t>フィーバーフェスティバル＜ケプラー、モールス＞</t>
    <phoneticPr fontId="12"/>
  </si>
  <si>
    <t>フィーバーフェスティバル＜ケプラー、フィボナッチ＞</t>
    <phoneticPr fontId="12"/>
  </si>
  <si>
    <t>null</t>
    <phoneticPr fontId="12"/>
  </si>
  <si>
    <t>タワーオブザクイーン攻略応援ガチャ</t>
    <phoneticPr fontId="12"/>
  </si>
  <si>
    <t>&lt;font color="#ffab27"&gt;11/05 14:59まで&lt;/font&gt;★5ユニット出現確率UP中！</t>
    <phoneticPr fontId="12"/>
  </si>
  <si>
    <t>&lt;font color="#ffab27"&gt;11/22 14:59まで&lt;/font&gt;★5ユニット出現確率UP中！</t>
    <phoneticPr fontId="12"/>
  </si>
  <si>
    <t>null</t>
    <phoneticPr fontId="12"/>
  </si>
  <si>
    <t>null</t>
    <phoneticPr fontId="12"/>
  </si>
  <si>
    <t>2016-11-22 14:59:59</t>
    <phoneticPr fontId="15"/>
  </si>
  <si>
    <t>gacha453</t>
    <phoneticPr fontId="12"/>
  </si>
  <si>
    <t>&lt;font color="#ffab27"&gt;※★6覚醒済、限定ユニット及び、11/14(月)以降に&lt;/font&gt;</t>
    <phoneticPr fontId="12"/>
  </si>
  <si>
    <t>2016-11-14 15:00:00</t>
    <phoneticPr fontId="15"/>
  </si>
  <si>
    <t>2016-11-11 18:00:00</t>
    <phoneticPr fontId="15"/>
  </si>
  <si>
    <t>2016-11-18 17:59:59</t>
    <phoneticPr fontId="15"/>
  </si>
  <si>
    <t>&lt;font color="#ffab27"&gt;11/18 17:59まで&lt;/font&gt;</t>
    <phoneticPr fontId="12"/>
  </si>
  <si>
    <t>新初心者パック★6＜リリース＞</t>
    <phoneticPr fontId="12"/>
  </si>
  <si>
    <t>新初心者パック赤＜リリース＞</t>
    <phoneticPr fontId="12"/>
  </si>
  <si>
    <t>新初心者パック青＜リリース＞</t>
    <phoneticPr fontId="12"/>
  </si>
  <si>
    <t>新初心者パック緑＜リリース＞</t>
    <phoneticPr fontId="12"/>
  </si>
  <si>
    <t>新初心者パック黄＜リリース＞</t>
    <phoneticPr fontId="12"/>
  </si>
  <si>
    <t>★6覚醒済みユニットのうち一体が確定排出！</t>
    <phoneticPr fontId="12"/>
  </si>
  <si>
    <t>★5赤ユニットのうち1体が確定排出！</t>
    <phoneticPr fontId="12"/>
  </si>
  <si>
    <t>★5青ユニットのうち1体が確定排出！</t>
    <phoneticPr fontId="12"/>
  </si>
  <si>
    <t>★5緑ユニットのうち1体が確定排出！</t>
    <phoneticPr fontId="12"/>
  </si>
  <si>
    <t>★5黄ユニットのうち1体が確定排出！</t>
    <phoneticPr fontId="12"/>
  </si>
  <si>
    <t>ticket_beginner_r6</t>
    <phoneticPr fontId="45"/>
  </si>
  <si>
    <t>ticket_beginner_red</t>
    <phoneticPr fontId="45"/>
  </si>
  <si>
    <t>ticket_beginner_blue</t>
    <phoneticPr fontId="45"/>
  </si>
  <si>
    <t>ticket_beginner_green</t>
    <phoneticPr fontId="45"/>
  </si>
  <si>
    <t>ticket_beginner_yellow</t>
    <phoneticPr fontId="45"/>
  </si>
  <si>
    <t>2016-11-14 14:59:59</t>
    <phoneticPr fontId="15"/>
  </si>
  <si>
    <t>赤属性選抜ガチャ＜リリース＞</t>
    <phoneticPr fontId="12"/>
  </si>
  <si>
    <t>青属性選抜ガチャ＜リリース＞</t>
    <phoneticPr fontId="12"/>
  </si>
  <si>
    <t>緑属性選抜ガチャ＜リリース＞</t>
    <phoneticPr fontId="12"/>
  </si>
  <si>
    <t>黄属性選抜ガチャ＜リリース＞</t>
    <phoneticPr fontId="12"/>
  </si>
  <si>
    <t>高評価選抜赤ユニットのうち1体が確定排出！</t>
    <phoneticPr fontId="12"/>
  </si>
  <si>
    <t>高評価選抜青ユニットのうち1体が確定排出！</t>
    <phoneticPr fontId="12"/>
  </si>
  <si>
    <t>高評価選抜緑ユニットのうち1体が確定排出！</t>
    <phoneticPr fontId="12"/>
  </si>
  <si>
    <t>ticket_middle_01</t>
    <phoneticPr fontId="12"/>
  </si>
  <si>
    <t>2016-11-08 15:00:00</t>
    <phoneticPr fontId="15"/>
  </si>
  <si>
    <t>ニューフェイスガチャ（文豪）</t>
  </si>
  <si>
    <t>レアガチャ（文豪in）</t>
    <phoneticPr fontId="12"/>
  </si>
  <si>
    <t>&lt;font color="#ffab27"&gt;11/26 14:59&lt;/font&gt;まで新ユニットの出現率UP中！</t>
    <phoneticPr fontId="12"/>
  </si>
  <si>
    <t>2016-11-18 15:00:00</t>
    <phoneticPr fontId="15"/>
  </si>
  <si>
    <t>2016-11-26 14:59:59</t>
    <phoneticPr fontId="15"/>
  </si>
  <si>
    <t>2016-11-18 14:59:59</t>
    <phoneticPr fontId="15"/>
  </si>
  <si>
    <t>2016-11-18 15:00:00</t>
    <phoneticPr fontId="15"/>
  </si>
  <si>
    <t>gacha454</t>
    <phoneticPr fontId="12"/>
  </si>
  <si>
    <t>gacha455</t>
    <phoneticPr fontId="45"/>
  </si>
  <si>
    <t>初心者応援チケットガチャ&lt;文豪in&gt;</t>
    <rPh sb="0" eb="3">
      <t>ショシンシャ</t>
    </rPh>
    <rPh sb="3" eb="5">
      <t>オウエン</t>
    </rPh>
    <phoneticPr fontId="12"/>
  </si>
  <si>
    <t>GachaTop_7008.png</t>
  </si>
  <si>
    <t>GachaTop_7113.png</t>
  </si>
  <si>
    <t>中級者チケットガチャ&lt;文豪in&gt;</t>
    <rPh sb="0" eb="3">
      <t>チュウキュウシャ</t>
    </rPh>
    <phoneticPr fontId="12"/>
  </si>
  <si>
    <t>超お得チケットガチャ&lt;文豪in&gt;</t>
    <phoneticPr fontId="12"/>
  </si>
  <si>
    <t>2016-11-18 14:59:59</t>
    <phoneticPr fontId="15"/>
  </si>
  <si>
    <t>2016-11-18 15:00:00</t>
    <phoneticPr fontId="15"/>
  </si>
  <si>
    <t>2016-11-18 14:59:59</t>
    <phoneticPr fontId="15"/>
  </si>
  <si>
    <t>2016-11-18 15:00:00</t>
    <phoneticPr fontId="15"/>
  </si>
  <si>
    <t>2016-11-18 14:59:59</t>
    <phoneticPr fontId="15"/>
  </si>
  <si>
    <t>2016-11-18 15:00:00</t>
    <phoneticPr fontId="15"/>
  </si>
  <si>
    <t>全世界700万DL突破記念フェス限確定ガチャ</t>
    <phoneticPr fontId="12"/>
  </si>
  <si>
    <t>STEP7で超フェス・フェス限定ユニット1体確定！</t>
    <phoneticPr fontId="12"/>
  </si>
  <si>
    <t>456100</t>
  </si>
  <si>
    <t>null</t>
    <phoneticPr fontId="12"/>
  </si>
  <si>
    <t>gacha456</t>
    <phoneticPr fontId="12"/>
  </si>
  <si>
    <t>【全世界700万DL記念】今だけSTEP7で限定ユニット1体確定排出！</t>
    <phoneticPr fontId="12"/>
  </si>
  <si>
    <t>GachaTop_457.png</t>
    <phoneticPr fontId="12"/>
  </si>
  <si>
    <t>null</t>
    <phoneticPr fontId="12"/>
  </si>
  <si>
    <t>poly_457</t>
    <phoneticPr fontId="12"/>
  </si>
  <si>
    <t>poly_458</t>
    <phoneticPr fontId="12"/>
  </si>
  <si>
    <t>poly_459</t>
    <phoneticPr fontId="12"/>
  </si>
  <si>
    <t>poly_460</t>
    <phoneticPr fontId="12"/>
  </si>
  <si>
    <t>poly_461</t>
    <phoneticPr fontId="12"/>
  </si>
  <si>
    <t>poly_462</t>
    <phoneticPr fontId="12"/>
  </si>
  <si>
    <t>poly_463</t>
    <phoneticPr fontId="12"/>
  </si>
  <si>
    <t>poly_464</t>
    <phoneticPr fontId="12"/>
  </si>
  <si>
    <t>gacha457</t>
    <phoneticPr fontId="12"/>
  </si>
  <si>
    <t>gacha458</t>
    <phoneticPr fontId="12"/>
  </si>
  <si>
    <t>gacha459</t>
    <phoneticPr fontId="12"/>
  </si>
  <si>
    <t>gacha460</t>
    <phoneticPr fontId="12"/>
  </si>
  <si>
    <t>gacha461</t>
    <phoneticPr fontId="12"/>
  </si>
  <si>
    <t>gacha462</t>
    <phoneticPr fontId="12"/>
  </si>
  <si>
    <t>gacha463</t>
    <phoneticPr fontId="12"/>
  </si>
  <si>
    <t>gacha464</t>
    <phoneticPr fontId="12"/>
  </si>
  <si>
    <t>【全世界700万DL記念】今だけ1日1回無料！★3以上ユニット確定！</t>
  </si>
  <si>
    <t>poly_465</t>
    <phoneticPr fontId="12"/>
  </si>
  <si>
    <t>term</t>
    <phoneticPr fontId="12"/>
  </si>
  <si>
    <t>gacha465</t>
    <phoneticPr fontId="12"/>
  </si>
  <si>
    <t>【全世界700万DL記念】期間中1回無料！★6覚醒可能ユニット1体確定！</t>
    <phoneticPr fontId="12"/>
  </si>
  <si>
    <t>カムバックチケットガチャ</t>
    <phoneticPr fontId="12"/>
  </si>
  <si>
    <t>&lt;font color="#00e075"&gt;ヘルメス&lt;/font&gt;、&lt;font color="#0093ff"&gt;サラスヴァティ&lt;/font&gt;の出現率UP中！</t>
    <phoneticPr fontId="12"/>
  </si>
  <si>
    <t>ticket_comeback</t>
    <phoneticPr fontId="12"/>
  </si>
  <si>
    <t>null</t>
    <phoneticPr fontId="12"/>
  </si>
  <si>
    <t>全世界700万DL突破記念スペシャルガチャ第1弾</t>
    <phoneticPr fontId="12"/>
  </si>
  <si>
    <t>gacha466</t>
    <phoneticPr fontId="12"/>
  </si>
  <si>
    <t>【全世界700万DL記念】今だけ記念限定ユニット出現中！</t>
    <phoneticPr fontId="12"/>
  </si>
  <si>
    <t>ticket_middle</t>
    <phoneticPr fontId="12"/>
  </si>
  <si>
    <t>全世界700万DL突破記念スペシャルガチャ第2弾</t>
    <phoneticPr fontId="12"/>
  </si>
  <si>
    <t>&lt;font color="#ffab27"&gt;※このガチャは1回限りです&lt;/font&gt;</t>
    <phoneticPr fontId="12"/>
  </si>
  <si>
    <t>チョイス1　&lt;font color="#ffe22a"&gt;ケプラー&lt;/font&gt;、&lt;font color="#00e075"&gt;チューリング&lt;/font&gt;出現中！</t>
    <phoneticPr fontId="12"/>
  </si>
  <si>
    <t>記念限定ユニット&lt;font color="#00e075"&gt;パレート&lt;/font&gt;出現中！</t>
    <phoneticPr fontId="12"/>
  </si>
  <si>
    <t>記念限定ユニット&lt;font color="#0093ff"&gt;ブール&lt;/font&gt;出現中！</t>
    <phoneticPr fontId="12"/>
  </si>
  <si>
    <t>gacha467</t>
    <phoneticPr fontId="12"/>
  </si>
  <si>
    <t>全世界700万DL突破記念スペシャルガチャ第3弾</t>
    <phoneticPr fontId="12"/>
  </si>
  <si>
    <t>記念限定ユニット5体出現中！</t>
    <phoneticPr fontId="12"/>
  </si>
  <si>
    <t>&lt;font color="#ffab27"&gt;※★6覚醒済み、超覚醒済みユニットは直接排出されません&lt;/font&gt;</t>
    <phoneticPr fontId="12"/>
  </si>
  <si>
    <t>ピックアップカラーガチャ（黄）</t>
    <phoneticPr fontId="12"/>
  </si>
  <si>
    <t>チョイス2　&lt;font color="#00e075"&gt;ガロア&lt;/font&gt;、&lt;font color="#ffe22a"&gt;クロネッカー&lt;/font&gt;出現中！</t>
    <phoneticPr fontId="12"/>
  </si>
  <si>
    <t>null</t>
    <phoneticPr fontId="12"/>
  </si>
  <si>
    <t>16126_700_fes_tips01.png</t>
    <phoneticPr fontId="12"/>
  </si>
  <si>
    <t>16126_700_fes_tips02.png</t>
    <phoneticPr fontId="12"/>
  </si>
  <si>
    <t>16126_700_fes_tips03.png</t>
    <phoneticPr fontId="12"/>
  </si>
  <si>
    <t>16126_700_fes_tips04.png</t>
    <phoneticPr fontId="12"/>
  </si>
  <si>
    <t>16126_700_fes_tips05.png</t>
    <phoneticPr fontId="12"/>
  </si>
  <si>
    <t>16126_700_fes_tips06.png</t>
    <phoneticPr fontId="12"/>
  </si>
  <si>
    <t>16126_700_fes_tips07.png</t>
    <phoneticPr fontId="12"/>
  </si>
  <si>
    <t>161121_freereagacha_tips01.png</t>
  </si>
  <si>
    <t>161121_freereagacha_tips02.png</t>
    <phoneticPr fontId="12"/>
  </si>
  <si>
    <t>161121_freereagacha_tips03.png</t>
    <phoneticPr fontId="12"/>
  </si>
  <si>
    <t>161121_freereagacha_tips04.png</t>
    <phoneticPr fontId="12"/>
  </si>
  <si>
    <t>161121_freereagacha_tips05.png</t>
    <phoneticPr fontId="12"/>
  </si>
  <si>
    <t>161121_freereagacha_tips06.png</t>
    <phoneticPr fontId="12"/>
  </si>
  <si>
    <t>161121_freereagacha_tips07.png</t>
    <phoneticPr fontId="12"/>
  </si>
  <si>
    <t>16124_700sp02_tips01.png</t>
    <phoneticPr fontId="12"/>
  </si>
  <si>
    <t>16124_700sp02_tips03.png</t>
    <phoneticPr fontId="12"/>
  </si>
  <si>
    <t>16124_700sp02_tips04.png</t>
    <phoneticPr fontId="12"/>
  </si>
  <si>
    <t>16124_700sp02_tips05.png</t>
    <phoneticPr fontId="12"/>
  </si>
  <si>
    <t>16124_700sp02_tips07.png</t>
    <phoneticPr fontId="12"/>
  </si>
  <si>
    <t>全世界700万DL突破記念無料レアガチャ1日目</t>
    <phoneticPr fontId="12"/>
  </si>
  <si>
    <t>全世界700万DL突破記念無料レアガチャ2日目</t>
    <phoneticPr fontId="12"/>
  </si>
  <si>
    <t>全世界700万DL突破記念無料レアガチャ3日目</t>
    <phoneticPr fontId="12"/>
  </si>
  <si>
    <t>全世界700万DL突破記念無料レアガチャ4日目</t>
    <phoneticPr fontId="12"/>
  </si>
  <si>
    <t>全世界700万DL突破記念無料レアガチャ5日目</t>
    <phoneticPr fontId="12"/>
  </si>
  <si>
    <t>全世界700万DL突破記念無料レアガチャ6日目</t>
    <phoneticPr fontId="12"/>
  </si>
  <si>
    <t>全世界700万DL突破記念無料レアガチャ7日目</t>
    <phoneticPr fontId="12"/>
  </si>
  <si>
    <t>null</t>
    <phoneticPr fontId="12"/>
  </si>
  <si>
    <t>null</t>
    <phoneticPr fontId="12"/>
  </si>
  <si>
    <t>null</t>
    <phoneticPr fontId="12"/>
  </si>
  <si>
    <t>ja</t>
    <phoneticPr fontId="12"/>
  </si>
  <si>
    <t>2016-11-28 14:59:59</t>
    <phoneticPr fontId="15"/>
  </si>
  <si>
    <t>gacha468</t>
    <phoneticPr fontId="12"/>
  </si>
  <si>
    <t>gacha469</t>
    <phoneticPr fontId="12"/>
  </si>
  <si>
    <t>【全世界700万DL記念】今だけ記念限定ユニット出現中！</t>
    <phoneticPr fontId="12"/>
  </si>
  <si>
    <t>poly_456</t>
    <phoneticPr fontId="12"/>
  </si>
  <si>
    <t>ユニットレベル・スキルレベルMAX</t>
  </si>
  <si>
    <t>&amp;限界突破値+99で排出！</t>
  </si>
  <si>
    <t>2016-11-23 15:00:00</t>
    <phoneticPr fontId="15"/>
  </si>
  <si>
    <t>2016-11-23 15:00:00</t>
    <phoneticPr fontId="15"/>
  </si>
  <si>
    <t>2016-11-24 00:00:00</t>
    <phoneticPr fontId="15"/>
  </si>
  <si>
    <t>2016-11-25 00:00:00</t>
    <phoneticPr fontId="15"/>
  </si>
  <si>
    <t>2016-11-26 00:00:00</t>
    <phoneticPr fontId="15"/>
  </si>
  <si>
    <t>2016-11-27 00:00:00</t>
    <phoneticPr fontId="15"/>
  </si>
  <si>
    <t>2016-11-28 00:00:00</t>
    <phoneticPr fontId="15"/>
  </si>
  <si>
    <t>2016-11-29 00:00:00</t>
    <phoneticPr fontId="15"/>
  </si>
  <si>
    <t>2016-11-23 23:59:59</t>
    <phoneticPr fontId="15"/>
  </si>
  <si>
    <t>2016-11-24 23:59:59</t>
    <phoneticPr fontId="15"/>
  </si>
  <si>
    <t>2016-11-25 23:59:59</t>
    <phoneticPr fontId="15"/>
  </si>
  <si>
    <t>2016-11-26 23:59:59</t>
    <phoneticPr fontId="15"/>
  </si>
  <si>
    <t>2016-11-27 23:59:59</t>
    <phoneticPr fontId="15"/>
  </si>
  <si>
    <t>2016-11-28 23:59:59</t>
    <phoneticPr fontId="15"/>
  </si>
  <si>
    <t>2016-11-29 23:59:59</t>
    <phoneticPr fontId="15"/>
  </si>
  <si>
    <t>2016-11-30 14:59:59</t>
    <phoneticPr fontId="15"/>
  </si>
  <si>
    <t>2016-11-23 15:00:00</t>
    <phoneticPr fontId="15"/>
  </si>
  <si>
    <t>2016-11-27 15:00:00</t>
    <phoneticPr fontId="15"/>
  </si>
  <si>
    <t>2016-11-30 14:59:59</t>
    <phoneticPr fontId="15"/>
  </si>
  <si>
    <t>2016-11-23 15:00:00</t>
    <phoneticPr fontId="15"/>
  </si>
  <si>
    <t>復刻ピックアップ&lt;ヘングレ、親指、マルドゥク、メタトロン&gt;</t>
    <phoneticPr fontId="12"/>
  </si>
  <si>
    <t>チョイス2　&lt;font color="#ffe22a"&gt;ケプラー&lt;/font&gt;、&lt;font color="#ff2626"&gt;モールス&lt;/font&gt;出現中！</t>
    <phoneticPr fontId="12"/>
  </si>
  <si>
    <t>2016-11-24 15:00:00</t>
    <phoneticPr fontId="15"/>
  </si>
  <si>
    <t>2016-11-26 14:59:59</t>
    <phoneticPr fontId="15"/>
  </si>
  <si>
    <t>2016-11-26 15:00:00</t>
    <phoneticPr fontId="15"/>
  </si>
  <si>
    <t>2016-11-28 15:00:00</t>
    <phoneticPr fontId="15"/>
  </si>
  <si>
    <t>2016-11-30 14:59:59</t>
    <phoneticPr fontId="15"/>
  </si>
  <si>
    <t>2016-12-06 14:59:59</t>
    <phoneticPr fontId="15"/>
  </si>
  <si>
    <t>2016-11-21 15:00:00</t>
    <phoneticPr fontId="15"/>
  </si>
  <si>
    <t>gacha471</t>
    <phoneticPr fontId="12"/>
  </si>
  <si>
    <t>GachaTop_426.png</t>
    <phoneticPr fontId="12"/>
  </si>
  <si>
    <t>【レアガチャ限定】STEP5で★6覚醒可能ユニット1体確定キャンペーン中！</t>
    <phoneticPr fontId="12"/>
  </si>
  <si>
    <t>gacha426.png</t>
    <phoneticPr fontId="12"/>
  </si>
  <si>
    <t>2016-11-22 16:00:00</t>
    <phoneticPr fontId="15"/>
  </si>
  <si>
    <t>2016-11-28 15:59:59</t>
    <phoneticPr fontId="15"/>
  </si>
  <si>
    <t>&lt;font color="#ffab27"&gt;11/26 14:59&lt;/font&gt;まで</t>
    <phoneticPr fontId="12"/>
  </si>
  <si>
    <t>&lt;font color="#ffab27"&gt;11/28 14:59&lt;/font&gt;まで</t>
    <phoneticPr fontId="12"/>
  </si>
  <si>
    <t>&lt;font color="#ffab27"&gt;11/30 14:59&lt;/font&gt;まで</t>
    <phoneticPr fontId="12"/>
  </si>
  <si>
    <t>&lt;font color="#ffab27"&gt;12/6 14:59&lt;/font&gt;まで限定ユニット8体出現中！</t>
    <phoneticPr fontId="12"/>
  </si>
  <si>
    <t>【&lt;font color="#ff2626"&gt;超&lt;/font&gt;&lt;font color="#ffe22a"&gt;激&lt;/font&gt;&lt;font color="#0093ff"&gt;レ&lt;/font&gt;&lt;font color="#00e074"&gt;ア&lt;/font&gt;ユニットをGETしよう！】
こいつはテストガチャです。</t>
    <phoneticPr fontId="12"/>
  </si>
  <si>
    <t>全世界700万DL突破記念台港澳祭典</t>
    <phoneticPr fontId="12"/>
  </si>
  <si>
    <t>&lt;font color="#ffab27"&gt;12/08 14:59&lt;/font&gt;まで</t>
    <phoneticPr fontId="12"/>
  </si>
  <si>
    <t>&lt;font color="#ffab27"&gt;11/28 15:59&lt;/font&gt;まで</t>
    <phoneticPr fontId="12"/>
  </si>
  <si>
    <t>全世界700万DL記念チケットガチャ（赤）</t>
    <phoneticPr fontId="12"/>
  </si>
  <si>
    <t>★4以上の赤ユニット1体確定排出！</t>
    <phoneticPr fontId="12"/>
  </si>
  <si>
    <t>全世界700万DL記念チケットガチャ（青）</t>
    <phoneticPr fontId="12"/>
  </si>
  <si>
    <t>全世界700万DL記念チケットガチャ（緑）</t>
    <phoneticPr fontId="12"/>
  </si>
  <si>
    <t>全世界700万DL記念チケットガチャ（黄）</t>
    <phoneticPr fontId="12"/>
  </si>
  <si>
    <t>★4以上の青ユニット1体確定排出！</t>
    <phoneticPr fontId="12"/>
  </si>
  <si>
    <t>★4以上の緑ユニット1体確定排出！</t>
    <phoneticPr fontId="12"/>
  </si>
  <si>
    <t>★4以上の黄ユニット1体確定排出！</t>
    <phoneticPr fontId="12"/>
  </si>
  <si>
    <t>全世界700万DL突破記念★6覚醒可能ユニット確定無料ガチャ</t>
    <phoneticPr fontId="12"/>
  </si>
  <si>
    <t>全世界700万DL突破記念★6覚醒可能ユニット確定無料ガチャ（後半）</t>
    <phoneticPr fontId="12"/>
  </si>
  <si>
    <t>超フィーバーフェスティバル＜ベルヌーイ、ユークリッド＞</t>
    <phoneticPr fontId="12"/>
  </si>
  <si>
    <t>超フィーバーフェスティバル＜ベルヌーイ、フロイト＞</t>
    <phoneticPr fontId="12"/>
  </si>
  <si>
    <t>超フィーバーフェスティバル＜ベルヌーイ、ファラデー＞</t>
    <phoneticPr fontId="12"/>
  </si>
  <si>
    <t>チョイス1　&lt;font color="#0093ff"&gt;ベルヌーイ&lt;/font&gt;、&lt;font color="#0093ff"&gt;ユークリッド&lt;/font&gt;出現中！</t>
    <phoneticPr fontId="12"/>
  </si>
  <si>
    <t>チョイス2　&lt;font color="#0093ff"&gt;ベルヌーイ&lt;/font&gt;、&lt;font color="#ff2626"&gt;フロイト&lt;/font&gt;出現中！</t>
    <phoneticPr fontId="12"/>
  </si>
  <si>
    <t>&lt;font color="#ffab27"&gt;12/01 14:59&lt;/font&gt;まで</t>
    <phoneticPr fontId="12"/>
  </si>
  <si>
    <t>&lt;font color="#ffab27"&gt;11/30 14:59&lt;/font&gt;まで</t>
    <phoneticPr fontId="12"/>
  </si>
  <si>
    <t>&lt;font color="#ffab27"&gt;12/02 14:59&lt;/font&gt;まで</t>
    <phoneticPr fontId="12"/>
  </si>
  <si>
    <t>&lt;font color="#ffab27"&gt;12/06 14:59&lt;/font&gt;まで★6覚醒可能ユニット1体確定！</t>
    <phoneticPr fontId="12"/>
  </si>
  <si>
    <t>Happyリンクガチャ</t>
    <phoneticPr fontId="12"/>
  </si>
  <si>
    <t>チョイス3　&lt;font color="#00e075"&gt;ガロア&lt;/font&gt;、&lt;font color="#ff2626"&gt;セキ&lt;/font&gt;出現中！</t>
    <phoneticPr fontId="12"/>
  </si>
  <si>
    <t>ticket_7million</t>
    <phoneticPr fontId="12"/>
  </si>
  <si>
    <t>Happyリンクガチャ</t>
  </si>
  <si>
    <t>Happyリンクガチャ（2連）</t>
    <rPh sb="13" eb="14">
      <t>レン</t>
    </rPh>
    <phoneticPr fontId="12"/>
  </si>
  <si>
    <t>Happyリンクガチャ（3連）</t>
    <rPh sb="13" eb="14">
      <t>レン</t>
    </rPh>
    <phoneticPr fontId="12"/>
  </si>
  <si>
    <t>Happyリンクガチャ（4連）</t>
    <rPh sb="13" eb="14">
      <t>レン</t>
    </rPh>
    <phoneticPr fontId="12"/>
  </si>
  <si>
    <t>Happyリンクガチャ（5連）</t>
    <rPh sb="13" eb="14">
      <t>レン</t>
    </rPh>
    <phoneticPr fontId="12"/>
  </si>
  <si>
    <t>Happyリンクガチャ（6連）</t>
    <rPh sb="13" eb="14">
      <t>レン</t>
    </rPh>
    <phoneticPr fontId="12"/>
  </si>
  <si>
    <t>Happyリンクガチャ（7連）</t>
    <rPh sb="13" eb="14">
      <t>レン</t>
    </rPh>
    <phoneticPr fontId="12"/>
  </si>
  <si>
    <t>Happyリンクガチャ（8連）</t>
    <rPh sb="13" eb="14">
      <t>レン</t>
    </rPh>
    <phoneticPr fontId="12"/>
  </si>
  <si>
    <t>Happyリンクガチャ（9連）</t>
    <rPh sb="13" eb="14">
      <t>レン</t>
    </rPh>
    <phoneticPr fontId="12"/>
  </si>
  <si>
    <t>Happyリンクガチャ（10連）</t>
    <rPh sb="14" eb="15">
      <t>レン</t>
    </rPh>
    <phoneticPr fontId="12"/>
  </si>
  <si>
    <t>poly_476</t>
    <phoneticPr fontId="12"/>
  </si>
  <si>
    <t>2016-11-30 15:00:00</t>
    <phoneticPr fontId="15"/>
  </si>
  <si>
    <t>2016-12-06 14:59:59</t>
    <phoneticPr fontId="15"/>
  </si>
  <si>
    <t>2016-11-29 15:00:00</t>
    <phoneticPr fontId="15"/>
  </si>
  <si>
    <t>2016-11-30 14:59:59</t>
    <phoneticPr fontId="15"/>
  </si>
  <si>
    <t>2016-12-01 14:59:59</t>
    <phoneticPr fontId="15"/>
  </si>
  <si>
    <t>2016-12-02 14:59:59</t>
    <phoneticPr fontId="15"/>
  </si>
  <si>
    <t>2016-12-01 15:00:00</t>
    <phoneticPr fontId="15"/>
  </si>
  <si>
    <t>gacha477</t>
    <phoneticPr fontId="12"/>
  </si>
  <si>
    <t>gacha478</t>
    <phoneticPr fontId="12"/>
  </si>
  <si>
    <t>gacha479</t>
    <phoneticPr fontId="12"/>
  </si>
  <si>
    <t>gacha470</t>
    <phoneticPr fontId="12"/>
  </si>
  <si>
    <t>null</t>
    <phoneticPr fontId="12"/>
  </si>
  <si>
    <t>161128_tw_fefes_tips.png</t>
  </si>
  <si>
    <t>2016-12-02 15:00:00</t>
    <phoneticPr fontId="15"/>
  </si>
  <si>
    <t>2016-12-08 14:59:59</t>
    <phoneticPr fontId="15"/>
  </si>
  <si>
    <t>ticket_7million</t>
    <phoneticPr fontId="12"/>
  </si>
  <si>
    <t>2016-12-02 15:00:00</t>
    <phoneticPr fontId="15"/>
  </si>
  <si>
    <t>2016-12-06 14:59:59</t>
    <phoneticPr fontId="15"/>
  </si>
  <si>
    <t>gacha213</t>
    <phoneticPr fontId="45"/>
  </si>
  <si>
    <t>【リンクガチャ】期間限定！リンクガチャから「KIRIMIちゃん.」が出現！</t>
    <phoneticPr fontId="45"/>
  </si>
  <si>
    <t>【リンクガチャ】期間限定！リンクガチャから「ハッピー100」が出現！</t>
    <phoneticPr fontId="45"/>
  </si>
  <si>
    <t>gacha476</t>
    <phoneticPr fontId="12"/>
  </si>
  <si>
    <t>ランキング対抗ガチャ&lt;ヒルベルト&gt;</t>
    <phoneticPr fontId="12"/>
  </si>
  <si>
    <t>&lt;font color="#ffab27"&gt;10/28 14:59&lt;/font&gt;まで限定ユニット&lt;font color="#ff2626"&gt;マクローリン&lt;/font&gt;出現中！</t>
    <phoneticPr fontId="12"/>
  </si>
  <si>
    <t>&lt;font color="#ffab27"&gt;11/12 14:59&lt;/font&gt;まで</t>
    <phoneticPr fontId="12"/>
  </si>
  <si>
    <t>ランキングガチャ&lt;杖&gt;</t>
    <phoneticPr fontId="12"/>
  </si>
  <si>
    <t>ランキングピースガチャ&lt;杖&gt;</t>
    <phoneticPr fontId="12"/>
  </si>
  <si>
    <t>このガチャからは杖シリーズのみ排出されます。</t>
    <phoneticPr fontId="12"/>
  </si>
  <si>
    <t>このガチャからは杖シリーズのみ排出されます。</t>
    <phoneticPr fontId="12"/>
  </si>
  <si>
    <t>161125_ranking_stepup_tips01.png</t>
    <phoneticPr fontId="12"/>
  </si>
  <si>
    <t>161125_ranking_stepup_tips02.png</t>
    <phoneticPr fontId="12"/>
  </si>
  <si>
    <t>161125_ranking_stepup_tips03.png</t>
  </si>
  <si>
    <t>161125_ranking_stepup_tips04.png</t>
  </si>
  <si>
    <t>161125_ranking_stepup_tips05.png</t>
  </si>
  <si>
    <t>ticket_ranking161115</t>
  </si>
  <si>
    <t>2016-12-06 15:00:00</t>
    <phoneticPr fontId="15"/>
  </si>
  <si>
    <t>2016-12-12 23:59:59</t>
    <phoneticPr fontId="15"/>
  </si>
  <si>
    <t>gacha480</t>
    <phoneticPr fontId="12"/>
  </si>
  <si>
    <t>&lt;font color="#ffab27"&gt;12/06 23:59&lt;/font&gt;まで</t>
    <phoneticPr fontId="12"/>
  </si>
  <si>
    <t>2016-12-06 23:59:59</t>
    <phoneticPr fontId="15"/>
  </si>
  <si>
    <t>2016-11-30 00:00:00</t>
    <phoneticPr fontId="15"/>
  </si>
  <si>
    <t>全世界700万DL突破記念無料レアガチャ8日目（★5）</t>
    <phoneticPr fontId="12"/>
  </si>
  <si>
    <t>全世界700万DL突破記念無料レアガチャ8日目（★6）</t>
    <phoneticPr fontId="12"/>
  </si>
  <si>
    <t>GachaTop_481.png</t>
    <phoneticPr fontId="12"/>
  </si>
  <si>
    <t>poly_481</t>
    <phoneticPr fontId="12"/>
  </si>
  <si>
    <t>day</t>
    <phoneticPr fontId="12"/>
  </si>
  <si>
    <t>2016-11-30 00:00:00</t>
    <phoneticPr fontId="15"/>
  </si>
  <si>
    <t>2016-11-30 23:59:59</t>
    <phoneticPr fontId="15"/>
  </si>
  <si>
    <t>GachaTop_457.png</t>
    <phoneticPr fontId="12"/>
  </si>
  <si>
    <t>11/30 23:59まで★6覚醒可能ユニット1体確定排出！
リトルハンプティ1体プレゼント！
&lt;font color="#ffab27"&gt;※★6覚醒済みユニットは直接排出されません&lt;/font&gt;</t>
    <phoneticPr fontId="12"/>
  </si>
  <si>
    <t>11/30 23:59まで★5ユニット1体確定排出！
リトルハンプティ1体プレゼント！
&lt;font color="#ffab27"&gt;※★6覚醒済みユニットは直接排出されません&lt;/font&gt;</t>
    <phoneticPr fontId="12"/>
  </si>
  <si>
    <t>2016-11-30 23:59:59</t>
    <phoneticPr fontId="15"/>
  </si>
  <si>
    <t>&lt;font color="#ffab27"&gt;※超覚醒済、限定ユニット及び、11/30（水）以降に&lt;/font&gt;</t>
  </si>
  <si>
    <t>&lt;font color="#ffab27"&gt;※★6覚醒済、限定ユニット及び、11/30（水）以降に&lt;/font&gt;</t>
  </si>
  <si>
    <t>2016-12-04 15:00:00</t>
    <phoneticPr fontId="15"/>
  </si>
  <si>
    <t>確定ステップアップガチャ</t>
    <phoneticPr fontId="12"/>
  </si>
  <si>
    <t>1日1回無料クリスマスガチャ</t>
    <phoneticPr fontId="12"/>
  </si>
  <si>
    <t>クリスマススペシャルガチャSide:A</t>
    <phoneticPr fontId="12"/>
  </si>
  <si>
    <t>クリスマススペシャルガチャSide:B</t>
    <phoneticPr fontId="12"/>
  </si>
  <si>
    <t>フィーバーフェスティバル＜ボーア、シュレディンガー＞</t>
    <phoneticPr fontId="12"/>
  </si>
  <si>
    <t>フィーバーフェスティバル＜ボーア、ハップル＞</t>
    <phoneticPr fontId="12"/>
  </si>
  <si>
    <t>フィーバーフェスティバル＜ボーア、ヘンペル＞</t>
    <phoneticPr fontId="12"/>
  </si>
  <si>
    <t>&lt;font color="#ffab27"&gt;12/14 14:59&lt;/font&gt;まで</t>
  </si>
  <si>
    <t>&lt;font color="#ffab27"&gt;12/16 14:59&lt;/font&gt;まで</t>
    <phoneticPr fontId="12"/>
  </si>
  <si>
    <t>&lt;font color="#ffab27"&gt;12/16 14:59&lt;/font&gt;まで</t>
    <phoneticPr fontId="12"/>
  </si>
  <si>
    <t>&lt;font color="#ffab27"&gt;12/17 14:59&lt;/font&gt;まで</t>
    <phoneticPr fontId="12"/>
  </si>
  <si>
    <t>&lt;font color="#ffab27"&gt;12/18 14:59&lt;/font&gt;まで</t>
    <phoneticPr fontId="12"/>
  </si>
  <si>
    <t>今だけ！黄属性出現率大幅アップ！</t>
    <phoneticPr fontId="12"/>
  </si>
  <si>
    <t>&lt;font color="#ffab27"&gt;12/19 14:59まで毎日1回無料！&lt;/font&gt;</t>
    <phoneticPr fontId="12"/>
  </si>
  <si>
    <t>クリスマス限定ユニット　&lt;font color="#ffe22a"&gt;ラチカ&lt;/font&gt;出現中！</t>
    <phoneticPr fontId="12"/>
  </si>
  <si>
    <t>クリスマス限定ユニット　&lt;font color="#0093ff"&gt;マリア&lt;/font&gt;出現中！</t>
    <phoneticPr fontId="12"/>
  </si>
  <si>
    <t>チョイス1　&lt;font color="#ff2626"&gt;ボーア&lt;/font&gt;、&lt;font color="#ff2626"&gt;シュレディンガー&lt;/font&gt;出現中！</t>
    <phoneticPr fontId="12"/>
  </si>
  <si>
    <t>チョイス3　&lt;font color="#ff2626"&gt;ボーア&lt;/font&gt;、&lt;font color="#0093ff"&gt;ヘンペル&lt;/font&gt;出現中！</t>
    <phoneticPr fontId="12"/>
  </si>
  <si>
    <t>null</t>
    <phoneticPr fontId="12"/>
  </si>
  <si>
    <t>GachaTop_444.png</t>
    <phoneticPr fontId="12"/>
  </si>
  <si>
    <t>null</t>
    <phoneticPr fontId="12"/>
  </si>
  <si>
    <t>poly_484</t>
    <phoneticPr fontId="12"/>
  </si>
  <si>
    <t>2016-12-09 15:00:00</t>
    <phoneticPr fontId="15"/>
  </si>
  <si>
    <t>2016-12-14 14:59:59</t>
    <phoneticPr fontId="15"/>
  </si>
  <si>
    <t>2016-12-11 15:00:00</t>
    <phoneticPr fontId="15"/>
  </si>
  <si>
    <t>2016-12-16 14:59:59</t>
    <phoneticPr fontId="15"/>
  </si>
  <si>
    <t>2016-12-12 15:00:00</t>
    <phoneticPr fontId="15"/>
  </si>
  <si>
    <t>2016-12-19 14:59:59</t>
    <phoneticPr fontId="15"/>
  </si>
  <si>
    <t>2016-12-15 15:00:00</t>
    <phoneticPr fontId="15"/>
  </si>
  <si>
    <t>2016-12-16 14:59:59</t>
    <phoneticPr fontId="15"/>
  </si>
  <si>
    <t>2016-12-16 15:00:00</t>
    <phoneticPr fontId="15"/>
  </si>
  <si>
    <t>2016-12-17 14:59:59</t>
    <phoneticPr fontId="15"/>
  </si>
  <si>
    <t>2016-12-17 15:00:00</t>
    <phoneticPr fontId="15"/>
  </si>
  <si>
    <t>2016-12-18 14:59:59</t>
    <phoneticPr fontId="15"/>
  </si>
  <si>
    <t>gacha482</t>
    <phoneticPr fontId="12"/>
  </si>
  <si>
    <t>gacha483</t>
    <phoneticPr fontId="12"/>
  </si>
  <si>
    <t>gacha484</t>
    <phoneticPr fontId="12"/>
  </si>
  <si>
    <t>gacha485</t>
    <phoneticPr fontId="12"/>
  </si>
  <si>
    <t>gacha486</t>
    <phoneticPr fontId="12"/>
  </si>
  <si>
    <t>gacha487</t>
    <phoneticPr fontId="12"/>
  </si>
  <si>
    <t>gacha488</t>
    <phoneticPr fontId="12"/>
  </si>
  <si>
    <t>gacha489</t>
    <phoneticPr fontId="12"/>
  </si>
  <si>
    <t>今だけ毎日1回無料！クリスマス限定スペシャルユニットが出現中！</t>
    <phoneticPr fontId="45"/>
  </si>
  <si>
    <t>【レアガチャ限定】スペシャルクリスマスガチャ開催中！今だけクリスマス限定スペシャルユニットが出現中！</t>
    <phoneticPr fontId="12"/>
  </si>
  <si>
    <t>2016-12-09 15:00:00</t>
    <phoneticPr fontId="15"/>
  </si>
  <si>
    <t>2016-12-09 15:00:00</t>
    <phoneticPr fontId="15"/>
  </si>
  <si>
    <t>2016-12-12 23:59:59</t>
    <phoneticPr fontId="15"/>
  </si>
  <si>
    <t>ウィンターチケットガチャ</t>
  </si>
  <si>
    <t>ウィンターチケットガチャ10連</t>
  </si>
  <si>
    <t>&lt;font color="#ffab27"&gt;※1回につき3枚のウィンターチケットが必要です&lt;/font&gt;</t>
    <phoneticPr fontId="12"/>
  </si>
  <si>
    <t>&lt;font color="#ffab27"&gt;※1回につき30枚のウィンターチケットが必要です&lt;/font&gt;</t>
    <phoneticPr fontId="12"/>
  </si>
  <si>
    <t>ticket_winter</t>
    <phoneticPr fontId="12"/>
  </si>
  <si>
    <t>★6解放記念ガチャ</t>
    <phoneticPr fontId="12"/>
  </si>
  <si>
    <t>161212_xmas_free_gacha_tips01.png</t>
    <phoneticPr fontId="12"/>
  </si>
  <si>
    <t>gacha444.png</t>
    <phoneticPr fontId="12"/>
  </si>
  <si>
    <t>&lt;font color="#ffab27"&gt;※★6覚醒済、限定ユニット及び、12/15(木)以降に&lt;/font&gt;</t>
    <phoneticPr fontId="12"/>
  </si>
  <si>
    <t>2016-12-15 14:59:59</t>
    <phoneticPr fontId="15"/>
  </si>
  <si>
    <t>ウィンターチケットを集めて豪華報酬をGETしよう！</t>
    <phoneticPr fontId="12"/>
  </si>
  <si>
    <t>&lt;font color="#ffab27"&gt;12/12 23:59&lt;/font&gt;まで</t>
    <phoneticPr fontId="12"/>
  </si>
  <si>
    <t>カラーピック（ラプンツェル、アルフヘイム）</t>
    <phoneticPr fontId="12"/>
  </si>
  <si>
    <t>R6解放ピックアップ&lt;ユミル、ライオン&gt;</t>
    <rPh sb="2" eb="4">
      <t>カイホ</t>
    </rPh>
    <phoneticPr fontId="12"/>
  </si>
  <si>
    <t>2016-12-18 15:00:00</t>
    <phoneticPr fontId="15"/>
  </si>
  <si>
    <t>2016-12-19 15:00:00</t>
    <phoneticPr fontId="15"/>
  </si>
  <si>
    <t>2016-12-21 15:00:00</t>
    <phoneticPr fontId="15"/>
  </si>
  <si>
    <t>2016-12-28 14:59:59</t>
    <phoneticPr fontId="15"/>
  </si>
  <si>
    <t>&lt;font color="#ffe22a"&gt;ラプンツェル&lt;/font&gt;、&lt;font color="#ffe22a"&gt;アラジン&lt;/font&gt;の出現率UP中！</t>
    <phoneticPr fontId="12"/>
  </si>
  <si>
    <t>&lt;font color="#ffe22a"&gt;ラプンツェル&lt;/font&gt;、&lt;font color="#ffe22a"&gt;アルフヘイム&lt;/font&gt;の出現率UP！</t>
    <phoneticPr fontId="12"/>
  </si>
  <si>
    <t>&lt;font color="#ffe22a"&gt;斎藤一&lt;/font&gt;、&lt;font color="#00e075"&gt;土方歳三&lt;/font&gt;出現率大幅アップ！</t>
    <phoneticPr fontId="12"/>
  </si>
  <si>
    <t>&lt;font color="#ffab27"&gt;12/12 23:59&lt;/font&gt;まで限定ユニット&lt;font color="#ffe22a"&gt;ヒルベルト&lt;/font&gt;出現中！</t>
    <phoneticPr fontId="12"/>
  </si>
  <si>
    <t>限定ユニット&lt;font color="#ffe22a"&gt;ニコラ&lt;/font&gt;出現中！</t>
    <phoneticPr fontId="12"/>
  </si>
  <si>
    <t>gacha490</t>
    <phoneticPr fontId="12"/>
  </si>
  <si>
    <t>gacha491</t>
    <phoneticPr fontId="12"/>
  </si>
  <si>
    <t>gacha492</t>
    <phoneticPr fontId="12"/>
  </si>
  <si>
    <t>【レアガチャ限定】今だけ！ピックアップユニットの出現率UPキャンペーン開催中！</t>
    <phoneticPr fontId="12"/>
  </si>
  <si>
    <t>【レアガチャ限定】今だけ！ピックアップユニットの出現率UPキャンペーン開催中！</t>
    <phoneticPr fontId="12"/>
  </si>
  <si>
    <t>【レアガチャ限定】ランキング対抗の黄属性ユニット出現率アップ！さらに限定ユニット出現中！</t>
    <phoneticPr fontId="12"/>
  </si>
  <si>
    <t>【レアガチャ限定】マリアチャレンジに最適な限定ユニット出現中！さらに黄属性出現率UP中！</t>
    <rPh sb="18" eb="20">
      <t>サ</t>
    </rPh>
    <rPh sb="34" eb="35">
      <t>キ</t>
    </rPh>
    <rPh sb="35" eb="37">
      <t>ゾk</t>
    </rPh>
    <rPh sb="37" eb="40">
      <t>sh</t>
    </rPh>
    <rPh sb="42" eb="43">
      <t>チュ</t>
    </rPh>
    <phoneticPr fontId="12"/>
  </si>
  <si>
    <t>【レアガチャ限定】STEP5で★6覚醒可能ユニット一体確定キャンペーン中！</t>
    <phoneticPr fontId="12"/>
  </si>
  <si>
    <t>【レアガチャ限定】今だけ！ピックアップユニットの出現率大幅UPキャンペーン開催中！</t>
    <phoneticPr fontId="12"/>
  </si>
  <si>
    <t>【レアガチャ限定】今だけ！ピックアップユニットの出現率大幅UPキャンペーン開催中！</t>
    <phoneticPr fontId="12"/>
  </si>
  <si>
    <t>クリスマスランキング対抗&lt; ニコラ&gt;</t>
    <rPh sb="10" eb="12">
      <t>タイコ</t>
    </rPh>
    <phoneticPr fontId="12"/>
  </si>
  <si>
    <t>161219_xmas_ranking_stepup_tips03.png</t>
    <phoneticPr fontId="12"/>
  </si>
  <si>
    <t>161219_xmas_ranking_stepup_tips04.png</t>
    <phoneticPr fontId="12"/>
  </si>
  <si>
    <t>161219_xmas_ranking_stepup_tips05.png</t>
    <phoneticPr fontId="12"/>
  </si>
  <si>
    <t>161219_xmas_ranking_stepup_tips06.png</t>
    <phoneticPr fontId="12"/>
  </si>
  <si>
    <t>161219_xmas_ranking_stepup_tips07.png</t>
    <phoneticPr fontId="12"/>
  </si>
  <si>
    <t>161219_xmas_ranking_stepup_tips08.png</t>
    <phoneticPr fontId="12"/>
  </si>
  <si>
    <t>161219_xmas_ranking_stepup_tips09.png</t>
    <phoneticPr fontId="12"/>
  </si>
  <si>
    <t>&lt;font color="#ff2626"&gt;キング・ドライグ&lt;/font&gt;、&lt;font color="#ff2626"&gt;北斎&lt;/font&gt;の出現率UP中！</t>
    <phoneticPr fontId="12"/>
  </si>
  <si>
    <t>ニューフェイスガチャ（戦国2）</t>
    <phoneticPr fontId="12"/>
  </si>
  <si>
    <t>レアガチャ（戦国2in）</t>
    <phoneticPr fontId="12"/>
  </si>
  <si>
    <t>&lt;font color="#ffab27"&gt;12/30 14:59&lt;/font&gt;まで新ユニットの出現率UP中！</t>
    <phoneticPr fontId="12"/>
  </si>
  <si>
    <t>2016-12-24 15:00:00</t>
    <phoneticPr fontId="15"/>
  </si>
  <si>
    <t>2016-12-24 15:00:00</t>
    <phoneticPr fontId="15"/>
  </si>
  <si>
    <t>2016-12-30 14:59:59</t>
    <phoneticPr fontId="15"/>
  </si>
  <si>
    <t>2016-12-24 14:59:59</t>
    <phoneticPr fontId="15"/>
  </si>
  <si>
    <t>2016-12-28 23:59:59</t>
    <phoneticPr fontId="15"/>
  </si>
  <si>
    <t>2016-12-28 23:59:59</t>
    <phoneticPr fontId="15"/>
  </si>
  <si>
    <t>2016-12-28 23:59:59</t>
    <phoneticPr fontId="15"/>
  </si>
  <si>
    <t>gacha493</t>
    <phoneticPr fontId="12"/>
  </si>
  <si>
    <t>gacha494</t>
    <phoneticPr fontId="45"/>
  </si>
  <si>
    <t>2016-12-31 14:59:59</t>
    <phoneticPr fontId="15"/>
  </si>
  <si>
    <t>gacha495</t>
    <phoneticPr fontId="12"/>
  </si>
  <si>
    <t>【レアガチャ限定】今だけ！10連5回目で台湾・香港・マカオ版限定ユニット1体確定！</t>
    <phoneticPr fontId="12"/>
  </si>
  <si>
    <t>【コラボガチャ】今だけ！STEP3でコラボユニット1体確定キャンペーン中！</t>
    <phoneticPr fontId="12"/>
  </si>
  <si>
    <t>GachaTop_330.png</t>
  </si>
  <si>
    <t>gacha330.png</t>
    <phoneticPr fontId="12"/>
  </si>
  <si>
    <t>&lt;font color="#ffab27"&gt;12/28 23:59&lt;/font&gt;まで</t>
    <phoneticPr fontId="12"/>
  </si>
  <si>
    <t>&lt;font color="#ffab27"&gt;12/28 23:59&lt;/font&gt;まで</t>
    <phoneticPr fontId="12"/>
  </si>
  <si>
    <t>&lt;font color="#ffab27"&gt;12/28 23:59&lt;/font&gt;まで</t>
    <phoneticPr fontId="12"/>
  </si>
  <si>
    <t>★6解放記念ガチャ＜アスタロト、フール＞</t>
    <phoneticPr fontId="12"/>
  </si>
  <si>
    <t>&lt;font color="#ffab27"&gt;01/03 14:59&lt;/font&gt;まで</t>
    <phoneticPr fontId="12"/>
  </si>
  <si>
    <t>&lt;font color="#ffe22a"&gt;アスタロト&lt;/font&gt;、&lt;font color="#0093ff"&gt;フール&lt;/font&gt;出現率大幅UP中！</t>
    <phoneticPr fontId="12"/>
  </si>
  <si>
    <t>2016-12-26 15:00:00</t>
    <phoneticPr fontId="15"/>
  </si>
  <si>
    <t>2016-12-28 15:00:00</t>
    <phoneticPr fontId="15"/>
  </si>
  <si>
    <t>2017-01-03 14:59:59</t>
    <phoneticPr fontId="15"/>
  </si>
  <si>
    <t>gacha496</t>
    <phoneticPr fontId="12"/>
  </si>
  <si>
    <t>デュラララガチャ暁&lt;静雄&gt;</t>
    <phoneticPr fontId="12"/>
  </si>
  <si>
    <t>GachaTop_331.png</t>
    <phoneticPr fontId="12"/>
  </si>
  <si>
    <t>2017-01-03 15:00:00</t>
    <phoneticPr fontId="15"/>
  </si>
  <si>
    <t>2017-01-08 14:59:59</t>
    <phoneticPr fontId="15"/>
  </si>
  <si>
    <t>gacha497</t>
    <phoneticPr fontId="12"/>
  </si>
  <si>
    <t>gacha331.png</t>
    <phoneticPr fontId="12"/>
  </si>
  <si>
    <t>GachaTop_7014.png</t>
  </si>
  <si>
    <t>GachaTop_7015.png</t>
  </si>
  <si>
    <t>GachaTop_7016.png</t>
  </si>
  <si>
    <t>GachaTop_7017.png</t>
  </si>
  <si>
    <t>GachaTop_7018.png</t>
  </si>
  <si>
    <t>&lt;font color="#ffab27"&gt;※超覚醒済、限定ユニット及び、12/24（土）以降に&lt;/font&gt;</t>
    <phoneticPr fontId="12"/>
  </si>
  <si>
    <t>&lt;font color="#ffab27"&gt;※★6覚醒済、限定ユニット及び、12/24（土）以降に&lt;/font&gt;</t>
    <phoneticPr fontId="12"/>
  </si>
  <si>
    <t>新初心者パック★6＜戦国2in＞</t>
  </si>
  <si>
    <t>新初心者パック赤＜戦国2in＞</t>
  </si>
  <si>
    <t>新初心者パック青＜戦国2in＞</t>
  </si>
  <si>
    <t>新初心者パック緑＜戦国2in＞</t>
  </si>
  <si>
    <t>新初心者パック黄＜戦国2in＞</t>
  </si>
  <si>
    <t>超お得チケットガチャ&lt;戦国2in&gt;</t>
    <phoneticPr fontId="12"/>
  </si>
  <si>
    <t>2016-12-24 15:00:00</t>
    <phoneticPr fontId="15"/>
  </si>
  <si>
    <t>2016-12-24 14:59:59</t>
    <phoneticPr fontId="15"/>
  </si>
  <si>
    <t>2016-12-24 15:00:00</t>
    <phoneticPr fontId="15"/>
  </si>
  <si>
    <t>&lt;font color="#ffab27"&gt;12/31 14:59&lt;/font&gt;までコラボユニット出現中！</t>
    <phoneticPr fontId="12"/>
  </si>
  <si>
    <t>&lt;font color="#ffab27"&gt;01/08 14:59&lt;/font&gt;までコラボユニット出現中！</t>
    <phoneticPr fontId="12"/>
  </si>
  <si>
    <t>STEP UP完走で竜ヶ峰帝人出現率5倍！</t>
    <phoneticPr fontId="12"/>
  </si>
  <si>
    <t>STEP UP完走で平和島静雄出現率5倍！</t>
    <phoneticPr fontId="12"/>
  </si>
  <si>
    <t>大晦日24時間限定 記念限定ユニット確定ガチャ（仮）</t>
    <phoneticPr fontId="12"/>
  </si>
  <si>
    <t>お正月超フィーバーフェス赤（仮）</t>
    <phoneticPr fontId="12"/>
  </si>
  <si>
    <t>お正月超フィーバーフェス緑（仮）</t>
    <phoneticPr fontId="12"/>
  </si>
  <si>
    <t>お正月超フィーバーフェス青（仮）</t>
    <phoneticPr fontId="12"/>
  </si>
  <si>
    <t>お正月超フィーバーフェス黄（仮）</t>
    <phoneticPr fontId="12"/>
  </si>
  <si>
    <t>&lt;font color="#ffab27"&gt;12/31 23:59&lt;/font&gt;まで</t>
    <phoneticPr fontId="12"/>
  </si>
  <si>
    <t>&lt;font color="#ffab27"&gt;01/03 14:59&lt;/font&gt;まで</t>
    <phoneticPr fontId="12"/>
  </si>
  <si>
    <t>null</t>
    <phoneticPr fontId="12"/>
  </si>
  <si>
    <t>2016-12-31 00:00:00</t>
    <phoneticPr fontId="15"/>
  </si>
  <si>
    <t>2016-12-31 23:59:59</t>
    <phoneticPr fontId="15"/>
  </si>
  <si>
    <t>2017-01-01 00:00:00</t>
    <phoneticPr fontId="15"/>
  </si>
  <si>
    <t>2017-01-03 14:59:59</t>
    <phoneticPr fontId="15"/>
  </si>
  <si>
    <t>gacha498</t>
    <phoneticPr fontId="12"/>
  </si>
  <si>
    <t>gacha499</t>
    <phoneticPr fontId="12"/>
  </si>
  <si>
    <t>gacha500</t>
    <phoneticPr fontId="12"/>
  </si>
  <si>
    <t>gacha501</t>
    <phoneticPr fontId="12"/>
  </si>
  <si>
    <t>gacha502</t>
    <phoneticPr fontId="12"/>
  </si>
  <si>
    <t>【大晦日24時間限定】今だけ！記念限定ユニット5体出現中！</t>
    <phoneticPr fontId="12"/>
  </si>
  <si>
    <t>超フィーバーフェスティバル開催！今だけ赤属性限定ユニット6体が出現中！</t>
    <phoneticPr fontId="12"/>
  </si>
  <si>
    <t>超フィーバーフェスティバル開催！今だけ緑属性限定ユニット4体が出現中！</t>
    <phoneticPr fontId="12"/>
  </si>
  <si>
    <t>超フィーバーフェスティバル開催！今だけ青属性限定ユニット6体が出現中！</t>
    <phoneticPr fontId="12"/>
  </si>
  <si>
    <t>超フィーバーフェスティバル開催！今だけ黄属性限定ユニット5体が出現中！</t>
    <phoneticPr fontId="12"/>
  </si>
  <si>
    <t>&lt;font color="#ffab27"&gt;12/28 14:59&lt;/font&gt;まで</t>
    <phoneticPr fontId="12"/>
  </si>
  <si>
    <t>チョイス2　&lt;font color="#ff2626"&gt;ボーア&lt;/font&gt;、&lt;font color="#ffe22a"&gt;ハップル&lt;/font&gt;出現中！</t>
    <phoneticPr fontId="12"/>
  </si>
  <si>
    <t>&lt;font color="#ff2626"&gt;ユミル&lt;/font&gt;、&lt;font color="#ffe22a"&gt;ブレイブリー・ライオン&lt;/font&gt;出現率大幅アップ！</t>
    <phoneticPr fontId="12"/>
  </si>
  <si>
    <t>チョイス1　&lt;font color="#00e075"&gt;ガロア&lt;/font&gt;、&lt;font color="#0093ff"&gt;ディラック&lt;/font&gt;出現中！</t>
    <phoneticPr fontId="12"/>
  </si>
  <si>
    <t>チョイス3　&lt;font color="#ffe22a"&gt;ケプラー&lt;/font&gt;、&lt;font color="#0093ff"&gt;フィボナッチ&lt;/font&gt;出現中！</t>
    <phoneticPr fontId="12"/>
  </si>
  <si>
    <t>チョイス3　&lt;font color="#0093ff"&gt;ベルヌーイ&lt;/font&gt;、&lt;font color="#ffe22a"&gt;ファラデー&lt;/font&gt;出現中！</t>
    <phoneticPr fontId="12"/>
  </si>
  <si>
    <t>2017-01-01 00:00:00</t>
    <phoneticPr fontId="15"/>
  </si>
  <si>
    <t>2017-01-05 14:59:59</t>
    <phoneticPr fontId="15"/>
  </si>
  <si>
    <t>2017-01-12 14:59:59</t>
    <phoneticPr fontId="15"/>
  </si>
  <si>
    <t>2017-01-08 15:00:00</t>
    <phoneticPr fontId="15"/>
  </si>
  <si>
    <t>&lt;font color="#ffab27"&gt;12/31 14:59&lt;/font&gt;までコラボユニット出現中！
STEP UP完走で竜ヶ峰帝人出現率5倍！
&lt;font color="#ffab27"&gt;※★6覚醒済み、超覚醒済みユニットは直接排出されません&lt;/font&gt;</t>
  </si>
  <si>
    <t>&lt;font color="#ffab27"&gt;01/03 14:59&lt;/font&gt;まで
&lt;font color="#ffe22a"&gt;アスタロト&lt;/font&gt;、&lt;font color="#0093ff"&gt;フール&lt;/font&gt;出現率大幅UP中！
&lt;font color="#ffab27"&gt;※★6覚醒済み、超覚醒済みユニットは直接排出されません&lt;/font&gt;</t>
  </si>
  <si>
    <t>&lt;font color="#ffab27"&gt;01/08 14:59&lt;/font&gt;までコラボユニット出現中！
STEP UP完走で平和島静雄出現率5倍！
&lt;font color="#ffab27"&gt;※★6覚醒済み、超覚醒済みユニットは直接排出されません&lt;/font&gt;</t>
  </si>
  <si>
    <t>&lt;font color="#ffab27"&gt;12/31 23:59&lt;/font&gt;まで
記念限定ユニット5体出現中！
&lt;font color="#ffab27"&gt;※★6覚醒済み、超覚醒済みユニットは直接排出されません&lt;/font&gt;</t>
  </si>
  <si>
    <t>&lt;font color="#ffab27"&gt;01/03 14:59&lt;/font&gt;まで
フェス・超フェス限定の&lt;font color="#00e075"&gt;緑属性ユニット&lt;/font&gt;出現中！
&lt;font color="#ffab27"&gt;※★6覚醒済み、超覚醒済みユニットは直接排出されません&lt;/font&gt;</t>
  </si>
  <si>
    <t>&lt;font color="#ffab27"&gt;01/03 14:59&lt;/font&gt;まで
フェス・超フェス限定の&lt;font color="#0093ff"&gt;青属性ユニット&lt;/font&gt;出現中！
&lt;font color="#ffab27"&gt;※★6覚醒済み、超覚醒済みユニットは直接排出されません&lt;/font&gt;</t>
  </si>
  <si>
    <t>&lt;font color="#ffab27"&gt;01/03 14:59&lt;/font&gt;まで
フェス・超フェス限定の&lt;font color="#ffe22a"&gt;黄属性ユニット&lt;/font&gt;出現中！
&lt;font color="#ffab27"&gt;※★6覚醒済み、超覚醒済みユニットは直接排出されません&lt;/font&gt;</t>
  </si>
  <si>
    <t>&lt;font color="#ffab27"&gt;01/03 14:59&lt;/font&gt;まで
フェス・超フェス限定の&lt;font color="#ff2626"&gt;赤属性ユニット&lt;/font&gt;出現中！
&lt;font color="#ffab27"&gt;※★6覚醒済み、超覚醒済みユニットは直接排出されません&lt;/font&gt;</t>
    <phoneticPr fontId="12"/>
  </si>
  <si>
    <t>&lt;font color="#ffab27"&gt;12/14 14:59&lt;/font&gt;まで
&lt;font color="#ffe22a"&gt;斎藤一&lt;/font&gt;、&lt;font color="#00e075"&gt;土方歳三&lt;/font&gt;出現率大幅アップ！
&lt;font color="#ffab27"&gt;※★6覚醒済みユニットは直接排出されません&lt;/font&gt;</t>
  </si>
  <si>
    <t>&lt;font color="#ffab27"&gt;12/16 14:59&lt;/font&gt;まで
STEP5で★6覚醒可能ユニット一体確定！
&lt;font color="#ffab27"&gt;※★6覚醒済みユニットは直接排出されません&lt;/font&gt;</t>
  </si>
  <si>
    <t xml:space="preserve">
&lt;font color="#ffab27"&gt;12/19 14:59まで毎日1回無料！&lt;/font&gt;
&lt;font color="#ffab27"&gt;※★6覚醒済みユニットは直接排出されません&lt;/font&gt;</t>
  </si>
  <si>
    <t>&lt;font color="#ffab27"&gt;12/28 23:59&lt;/font&gt;まで
クリスマス限定ユニット　&lt;font color="#ffe22a"&gt;ラチカ&lt;/font&gt;出現中！
&lt;font color="#ffab27"&gt;※★6覚醒済みユニットは直接排出されません&lt;/font&gt;</t>
  </si>
  <si>
    <t>&lt;font color="#ffab27"&gt;12/16 14:59&lt;/font&gt;まで
チョイス1　&lt;font color="#ff2626"&gt;ボーア&lt;/font&gt;、&lt;font color="#ff2626"&gt;シュレディンガー&lt;/font&gt;出現中！
&lt;font color="#ffab27"&gt;※★6覚醒済み、超覚醒済みユニットは直接排出されません&lt;/font&gt;</t>
  </si>
  <si>
    <t>&lt;font color="#ffab27"&gt;12/17 14:59&lt;/font&gt;まで
チョイス2　&lt;font color="#ff2626"&gt;ボーア&lt;/font&gt;、&lt;font color="#ffe22a"&gt;ハップル&lt;/font&gt;出現中！
&lt;font color="#ffab27"&gt;※★6覚醒済みユニットは直接排出されません&lt;/font&gt;</t>
  </si>
  <si>
    <t>&lt;font color="#ffab27"&gt;12/18 14:59&lt;/font&gt;まで
チョイス3　&lt;font color="#ff2626"&gt;ボーア&lt;/font&gt;、&lt;font color="#0093ff"&gt;ヘンペル&lt;/font&gt;出現中！
&lt;font color="#ffab27"&gt;※★6覚醒済み、超覚醒済みユニットは直接排出されません&lt;/font&gt;</t>
  </si>
  <si>
    <t>&lt;font color="#ffab27"&gt;12/28 23:59&lt;/font&gt;まで
&lt;font color="#ffe22a"&gt;ラプンツェル&lt;/font&gt;、&lt;font color="#ffe22a"&gt;アルフヘイム&lt;/font&gt;の出現率UP！
&lt;font color="#ffab27"&gt;※★6覚醒済み、超覚醒済みユニットは直接排出されません&lt;/font&gt;</t>
  </si>
  <si>
    <t>限定ユニット&lt;font color="#ffe22a"&gt;ニコラ&lt;/font&gt;出現中！
今だけ！黄属性出現率大幅アップ！
&lt;font color="#ffab27"&gt;※★6覚醒済み、超覚醒済みユニットは直接排出されません&lt;/font&gt;</t>
  </si>
  <si>
    <t>&lt;font color="#ffab27"&gt;12/28 14:59&lt;/font&gt;まで
&lt;font color="#ff2626"&gt;ユミル&lt;/font&gt;、&lt;font color="#ffe22a"&gt;ブレイブリー・ライオン&lt;/font&gt;出現率大幅アップ！
&lt;font color="#ffab27"&gt;※★6覚醒済み、超覚醒済みユニットは直接排出されません&lt;/font&gt;</t>
  </si>
  <si>
    <t>&lt;font color="#ffab27"&gt;12/30 14:59&lt;/font&gt;まで新ユニットの出現率UP中！
10連で新ユニットが1体確定出現！
&lt;font color="#ffab27"&gt;※★6覚醒済みユニットは直接排出されません&lt;/font&gt;</t>
  </si>
  <si>
    <t>ランキング報酬ユニット1体が確定出現!
このガチャからは槍シリーズのみ排出されます。
&lt;font color="#ffab27"&gt;※★6覚醒済みユニットは直接排出されません&lt;/font&gt;</t>
  </si>
  <si>
    <t>ランキング報酬ユニット1体が確定出現!
このガチャからは刀シリーズのみ排出されます。
&lt;font color="#ffab27"&gt;※★6覚醒済みユニットは直接排出されません&lt;/font&gt;</t>
  </si>
  <si>
    <t>ランキング報酬ユニット1体が確定出現!
このガチャからは杖シリーズのみ排出されます。
&lt;font color="#ffab27"&gt;※★6覚醒済みユニットは直接排出されません&lt;/font&gt;</t>
  </si>
  <si>
    <t>tips_498_101.png</t>
    <phoneticPr fontId="12"/>
  </si>
  <si>
    <t>tips_498_102.png</t>
    <phoneticPr fontId="12"/>
  </si>
  <si>
    <t>tips_498_103.png</t>
    <phoneticPr fontId="12"/>
  </si>
  <si>
    <t>tips_498_104.png</t>
    <phoneticPr fontId="12"/>
  </si>
  <si>
    <t>tips_498_105.png</t>
    <phoneticPr fontId="12"/>
  </si>
  <si>
    <t>tips_498_106.png</t>
  </si>
  <si>
    <t>新年特別開催台港澳祭典SIDE:A</t>
    <phoneticPr fontId="12"/>
  </si>
  <si>
    <t>新年特別開催台港澳祭典SIDE:B</t>
    <phoneticPr fontId="12"/>
  </si>
  <si>
    <t>&lt;font color="#ffab27"&gt;01/10 23:59&lt;/font&gt;まで限定ユニット&lt;font color="#ff2626"&gt;マクローリン&lt;/font&gt;出現中！</t>
    <phoneticPr fontId="12"/>
  </si>
  <si>
    <t>&lt;font color="#ffab27"&gt;01/20 14:59&lt;/font&gt;まで</t>
    <phoneticPr fontId="12"/>
  </si>
  <si>
    <t>&lt;font color="#ffab27"&gt;01/20 14:59&lt;/font&gt;まで</t>
    <phoneticPr fontId="12"/>
  </si>
  <si>
    <t>&lt;font color="#ffab27"&gt;01/10 23:59&lt;/font&gt;まで限定ユニット&lt;font color="#ff2626"&gt;マクローリン&lt;/font&gt;出現中！
今だけ！赤属性出現率大幅アップ！
&lt;font color="#ffab27"&gt;※★6覚醒済み、超覚醒済みユニットは直接排出されません&lt;/font&gt;</t>
  </si>
  <si>
    <t>null</t>
    <phoneticPr fontId="12"/>
  </si>
  <si>
    <t>tips_503_100.png</t>
    <phoneticPr fontId="12"/>
  </si>
  <si>
    <t>tips_503_103.png</t>
    <phoneticPr fontId="12"/>
  </si>
  <si>
    <t>tips_503_104.png</t>
    <phoneticPr fontId="12"/>
  </si>
  <si>
    <t>tips_503_105.png</t>
    <phoneticPr fontId="12"/>
  </si>
  <si>
    <t>tips_503_106.png</t>
    <phoneticPr fontId="12"/>
  </si>
  <si>
    <t>tips_503_107.png</t>
    <phoneticPr fontId="12"/>
  </si>
  <si>
    <t>170110_tw_fefes01_tips05.png</t>
  </si>
  <si>
    <t>170110_tw_fefes02_tips05.png</t>
  </si>
  <si>
    <t>2017-01-06 15:00:00</t>
    <phoneticPr fontId="15"/>
  </si>
  <si>
    <t>2017-01-10 23:59:59</t>
    <phoneticPr fontId="15"/>
  </si>
  <si>
    <t>2017-01-10 15:00:00</t>
    <phoneticPr fontId="15"/>
  </si>
  <si>
    <t>2017-01-20 14:59:59</t>
    <phoneticPr fontId="15"/>
  </si>
  <si>
    <t>gacha503</t>
    <phoneticPr fontId="12"/>
  </si>
  <si>
    <t>gacha504</t>
    <phoneticPr fontId="12"/>
  </si>
  <si>
    <t>gacha505</t>
    <phoneticPr fontId="12"/>
  </si>
  <si>
    <t>【レアガチャ限定】今だけ！10連5回目で台湾・香港・マカオ版限定ユニット1体確定！</t>
    <phoneticPr fontId="12"/>
  </si>
  <si>
    <t>【レアガチャ限定】ランキング対抗の赤属性ユニット出現率UP！さらに限定ユニット出現中！</t>
    <phoneticPr fontId="12"/>
  </si>
  <si>
    <t>10連5回目で&lt;font color="#ffe22a"&gt;媽祖&lt;/font&gt;、&lt;font color="#0093ff"&gt;三蔵法師&lt;/font&gt;、どちらか1体確定！</t>
    <phoneticPr fontId="12"/>
  </si>
  <si>
    <t>&lt;font color="#ffab27"&gt;01/20 14:59&lt;/font&gt;まで
10連5回目で&lt;font color="#ffe22a"&gt;媽祖&lt;/font&gt;、&lt;font color="#0093ff"&gt;三蔵法師&lt;/font&gt;、どちらか1体確定！
&lt;font color="#ffab27"&gt;※★6覚醒済み、超覚醒済みユニットは直接排出されません&lt;/font&gt;</t>
    <phoneticPr fontId="12"/>
  </si>
  <si>
    <t>10連5回目で&lt;font color="#ff2626"&gt;閻羅王&lt;/font&gt;、&lt;font color="#00e075"&gt;西王娘娘&lt;/font&gt;、どちらか1体確定！</t>
    <phoneticPr fontId="12"/>
  </si>
  <si>
    <t>&lt;font color="#ffab27"&gt;01/20 14:59&lt;/font&gt;まで
10連5回目で&lt;font color="#ff2626"&gt;閻羅王&lt;/font&gt;、&lt;font color="#00e075"&gt;西王娘娘&lt;/font&gt;、どちらか1体確定！
&lt;font color="#ffab27"&gt;※★6覚醒済み、超覚醒済みユニットは直接排出されません&lt;/font&gt;</t>
    <phoneticPr fontId="12"/>
  </si>
  <si>
    <t>ミクガチャA</t>
    <phoneticPr fontId="12"/>
  </si>
  <si>
    <t>ミクガチャB</t>
    <phoneticPr fontId="12"/>
  </si>
  <si>
    <t>ミクガチャC</t>
    <phoneticPr fontId="12"/>
  </si>
  <si>
    <t>2017-02-02 14:59:59</t>
    <phoneticPr fontId="15"/>
  </si>
  <si>
    <t>gacha512</t>
    <phoneticPr fontId="12"/>
  </si>
  <si>
    <t>gacha513</t>
    <phoneticPr fontId="12"/>
  </si>
  <si>
    <t>gacha518</t>
    <phoneticPr fontId="12"/>
  </si>
  <si>
    <t>tips_512.png</t>
    <phoneticPr fontId="12"/>
  </si>
  <si>
    <t>Miku_GachaTop_512.png</t>
    <phoneticPr fontId="12"/>
  </si>
  <si>
    <t>Miku_GachaTop_513.png</t>
    <phoneticPr fontId="12"/>
  </si>
  <si>
    <t>Miku_GachaTop_518.png</t>
    <phoneticPr fontId="12"/>
  </si>
  <si>
    <t>tips_513.png</t>
    <phoneticPr fontId="12"/>
  </si>
  <si>
    <t>フィーバーフェス（１日目）</t>
    <phoneticPr fontId="12"/>
  </si>
  <si>
    <t>2017-01-13 15:00:00</t>
    <phoneticPr fontId="15"/>
  </si>
  <si>
    <t>2017-01-14 14:59:59</t>
    <phoneticPr fontId="15"/>
  </si>
  <si>
    <t>2017-01-14 15:00:00</t>
    <phoneticPr fontId="15"/>
  </si>
  <si>
    <t>2017-01-15 14:59:59</t>
    <phoneticPr fontId="15"/>
  </si>
  <si>
    <t>2017-01-15 15:00:00</t>
    <phoneticPr fontId="15"/>
  </si>
  <si>
    <t>2017-01-16 14:59:59</t>
    <phoneticPr fontId="15"/>
  </si>
  <si>
    <t>フィーバーフェス（2日目）</t>
    <phoneticPr fontId="12"/>
  </si>
  <si>
    <t>フィーバーフェス（3日目）</t>
    <phoneticPr fontId="12"/>
  </si>
  <si>
    <t>フェス・超フェス限定の&lt;font color="#00e075"&gt;緑属性ユニット&lt;/font&gt;出現中！</t>
    <phoneticPr fontId="12"/>
  </si>
  <si>
    <t>フェス・超フェス限定の&lt;font color="#ffe22a"&gt;黄属性ユニット&lt;/font&gt;出現中！</t>
    <phoneticPr fontId="12"/>
  </si>
  <si>
    <t>フェス・超フェス限定の&lt;font color="#ff2626"&gt;赤属性ユニット&lt;/font&gt;出現中！</t>
    <phoneticPr fontId="12"/>
  </si>
  <si>
    <t>フェス・超フェス限定の&lt;font color="#0093ff"&gt;青属性ユニット&lt;/font&gt;出現中！</t>
    <phoneticPr fontId="12"/>
  </si>
  <si>
    <t>poly_506</t>
    <phoneticPr fontId="12"/>
  </si>
  <si>
    <t>poly_506</t>
    <phoneticPr fontId="12"/>
  </si>
  <si>
    <t>poly_506</t>
    <phoneticPr fontId="12"/>
  </si>
  <si>
    <t>gacha506</t>
    <phoneticPr fontId="12"/>
  </si>
  <si>
    <t>gacha507</t>
    <phoneticPr fontId="12"/>
  </si>
  <si>
    <t>gacha508</t>
    <phoneticPr fontId="12"/>
  </si>
  <si>
    <t>フィーバーフェスティバル開催！《フーリエ》と新限定ユニット《ハレー》が出現中！</t>
    <phoneticPr fontId="12"/>
  </si>
  <si>
    <t>フィーバーフェスティバル開催！《モールス》と新限定ユニット《ハレー》が出現中！</t>
    <phoneticPr fontId="12"/>
  </si>
  <si>
    <t>フィーバーフェスティバル開催！《ノイマン》と新限定ユニット《ハレー》が出現中！</t>
    <phoneticPr fontId="12"/>
  </si>
  <si>
    <t>ニューフェイスガチャ（北欧）</t>
    <rPh sb="11" eb="13">
      <t>ホk</t>
    </rPh>
    <phoneticPr fontId="12"/>
  </si>
  <si>
    <t>2017-01-25 14:59:59</t>
    <phoneticPr fontId="15"/>
  </si>
  <si>
    <t>2017-01-16 15:00:00</t>
    <phoneticPr fontId="15"/>
  </si>
  <si>
    <t>2017-01-18 15:00:00</t>
    <phoneticPr fontId="15"/>
  </si>
  <si>
    <t>2017-01-26 23:59:59</t>
    <phoneticPr fontId="15"/>
  </si>
  <si>
    <t>ランキング対抗（ルメートル）</t>
    <phoneticPr fontId="12"/>
  </si>
  <si>
    <t>2017-01-20 15:00:00</t>
    <phoneticPr fontId="15"/>
  </si>
  <si>
    <t>gacha509</t>
    <phoneticPr fontId="12"/>
  </si>
  <si>
    <t>gacha510</t>
    <phoneticPr fontId="12"/>
  </si>
  <si>
    <t>gacha511</t>
    <phoneticPr fontId="12"/>
  </si>
  <si>
    <t>【レアガチャ限定】ランキング対抗の緑属性ユニット出現率アップ！さらに限定ユニット出現中！</t>
    <rPh sb="17" eb="18">
      <t>ミドr</t>
    </rPh>
    <phoneticPr fontId="12"/>
  </si>
  <si>
    <t>レアガチャ（北欧in）</t>
    <rPh sb="6" eb="8">
      <t>ホk</t>
    </rPh>
    <phoneticPr fontId="12"/>
  </si>
  <si>
    <t>2017-01-16 14:59:59</t>
    <phoneticPr fontId="15"/>
  </si>
  <si>
    <t>gacha514</t>
    <phoneticPr fontId="45"/>
  </si>
  <si>
    <t>&lt;font color="#00e075"&gt;ハーメルン&lt;/font&gt;、&lt;font color="#00e075"&gt;トルストイ&lt;/font&gt;の出現率UP！</t>
    <phoneticPr fontId="12"/>
  </si>
  <si>
    <t>今だけ！赤属性出現率大幅アップ！</t>
    <phoneticPr fontId="12"/>
  </si>
  <si>
    <t>新初心者パック黄＜北欧2in＞</t>
    <rPh sb="9" eb="11">
      <t>ホk</t>
    </rPh>
    <phoneticPr fontId="12"/>
  </si>
  <si>
    <t>超お得チケットガチャ&lt;北欧in&gt;</t>
    <rPh sb="11" eb="13">
      <t>ホk</t>
    </rPh>
    <phoneticPr fontId="12"/>
  </si>
  <si>
    <t>&lt;font color="#ffab27"&gt;※★6覚醒済、限定ユニット及び、1/14(土)以降に&lt;/font&gt;</t>
    <rPh sb="43" eb="44">
      <t>ドヨ</t>
    </rPh>
    <phoneticPr fontId="12"/>
  </si>
  <si>
    <t>2017-01-14 15:00:00</t>
    <phoneticPr fontId="15"/>
  </si>
  <si>
    <t>2017-01-13 14:59:59</t>
    <phoneticPr fontId="15"/>
  </si>
  <si>
    <t>null</t>
    <phoneticPr fontId="12"/>
  </si>
  <si>
    <t>新初心者パック赤＜北欧2in＞</t>
    <rPh sb="7" eb="8">
      <t>アk</t>
    </rPh>
    <rPh sb="9" eb="11">
      <t>ホk</t>
    </rPh>
    <phoneticPr fontId="12"/>
  </si>
  <si>
    <t>新初心者パック青＜北欧2in＞</t>
    <rPh sb="7" eb="8">
      <t>ア</t>
    </rPh>
    <rPh sb="9" eb="11">
      <t>ホk</t>
    </rPh>
    <phoneticPr fontId="12"/>
  </si>
  <si>
    <t>新初心者パック緑＜北欧2in＞</t>
    <rPh sb="7" eb="8">
      <t>ミドr</t>
    </rPh>
    <rPh sb="9" eb="11">
      <t>ホk</t>
    </rPh>
    <phoneticPr fontId="12"/>
  </si>
  <si>
    <t>新初心者パック★6＜北欧2in＞</t>
    <rPh sb="10" eb="12">
      <t>ホk</t>
    </rPh>
    <phoneticPr fontId="12"/>
  </si>
  <si>
    <t>★5赤ユニットのうち1体が確定排出！</t>
    <rPh sb="2" eb="3">
      <t>アk</t>
    </rPh>
    <phoneticPr fontId="12"/>
  </si>
  <si>
    <t>★5青ユニットのうち1体が確定排出！</t>
    <rPh sb="2" eb="3">
      <t>ア</t>
    </rPh>
    <phoneticPr fontId="12"/>
  </si>
  <si>
    <t>★5緑ユニットのうち1体が確定排出！</t>
    <rPh sb="2" eb="3">
      <t>ミドr</t>
    </rPh>
    <phoneticPr fontId="12"/>
  </si>
  <si>
    <t>カラーピックアップ（トルストイ、ハーメルン）</t>
    <phoneticPr fontId="12"/>
  </si>
  <si>
    <t>&lt;font color="#ffab27"&gt;※超覚醒済、限定ユニット及び、1/16（月）以降に&lt;/font&gt;</t>
    <rPh sb="42" eb="43">
      <t>ゲツ</t>
    </rPh>
    <phoneticPr fontId="12"/>
  </si>
  <si>
    <t>&lt;font color="#ffab27"&gt;※★6覚醒済、限定ユニット及び、1/16（月）以降に&lt;/font&gt;</t>
    <rPh sb="43" eb="44">
      <t>ゲツ</t>
    </rPh>
    <phoneticPr fontId="12"/>
  </si>
  <si>
    <t>GachaTop_494.png</t>
    <phoneticPr fontId="12"/>
  </si>
  <si>
    <t>2017-01-16 14:59:59</t>
    <phoneticPr fontId="15"/>
  </si>
  <si>
    <t>2017-01-16 15:00:00</t>
    <phoneticPr fontId="15"/>
  </si>
  <si>
    <t>gacha494.png</t>
    <phoneticPr fontId="12"/>
  </si>
  <si>
    <t>tips_498_106.png</t>
    <phoneticPr fontId="12"/>
  </si>
  <si>
    <t>tips_510_05.png</t>
    <phoneticPr fontId="12"/>
  </si>
  <si>
    <t>今だけ！ステップアップで&lt;font color="#00e075"&gt;ルメートル&lt;/font&gt;の出現率アップ！</t>
    <phoneticPr fontId="12"/>
  </si>
  <si>
    <t>tips_511_100.png</t>
    <phoneticPr fontId="12"/>
  </si>
  <si>
    <t>tips_511_103.png</t>
    <phoneticPr fontId="12"/>
  </si>
  <si>
    <t>tips_511_104.png</t>
    <phoneticPr fontId="12"/>
  </si>
  <si>
    <t>tips_511_105.png</t>
    <phoneticPr fontId="12"/>
  </si>
  <si>
    <t>tips_511_106.png</t>
    <phoneticPr fontId="12"/>
  </si>
  <si>
    <t>tips_511_107.png</t>
    <phoneticPr fontId="12"/>
  </si>
  <si>
    <t>2017-02-02 15:00:00</t>
    <phoneticPr fontId="15"/>
  </si>
  <si>
    <t>【レアガチャ限定】今だけ！10連5回目でV4Xユニット1体確定！</t>
    <phoneticPr fontId="12"/>
  </si>
  <si>
    <t>【レアガチャ限定】今だけ！10連5回目で初音ミクアペンドor鏡音レン1体確定！</t>
    <rPh sb="20" eb="22">
      <t>ハt</t>
    </rPh>
    <rPh sb="30" eb="32">
      <t>カガm</t>
    </rPh>
    <phoneticPr fontId="12"/>
  </si>
  <si>
    <t>【レアガチャ限定】今だけ！10連5回目で初音ミクor鏡音リン1体確定！</t>
    <rPh sb="20" eb="22">
      <t>ハt</t>
    </rPh>
    <rPh sb="26" eb="28">
      <t>カガm</t>
    </rPh>
    <phoneticPr fontId="12"/>
  </si>
  <si>
    <t>tips_518.png</t>
    <phoneticPr fontId="12"/>
  </si>
  <si>
    <t>2017-02-10 23:59:59</t>
    <phoneticPr fontId="15"/>
  </si>
  <si>
    <t>2017-01-26 15:00:00</t>
    <phoneticPr fontId="15"/>
  </si>
  <si>
    <t>&lt;font color="#ffab27"&gt;02/10 23:59&lt;/font&gt;まで
10連5回目で初音ミクアペンドor鏡音レン1体確定！
&lt;font color="#ffab27"&gt;※★6覚醒済み、超覚醒済みユニットは直接排出されません&lt;/font&gt;</t>
    <phoneticPr fontId="12"/>
  </si>
  <si>
    <t>&lt;font color="#ffab27"&gt;02/10 23:59&lt;/font&gt;まで
10連5回目でV4Xユニット1体確定！
&lt;font color="#ffab27"&gt;※★6覚醒済み、超覚醒済みユニットは直接排出されません&lt;/font&gt;</t>
    <phoneticPr fontId="12"/>
  </si>
  <si>
    <t>超フェス&lt;ラプラス、ディラック&gt;</t>
    <rPh sb="0" eb="1">
      <t>チョ</t>
    </rPh>
    <phoneticPr fontId="12"/>
  </si>
  <si>
    <t>超フェス&lt;ラプラス、オイラー&gt;</t>
    <rPh sb="0" eb="1">
      <t>チョ</t>
    </rPh>
    <phoneticPr fontId="12"/>
  </si>
  <si>
    <t>超フェス&lt;ラプラス、ラグランジュ&gt;</t>
    <rPh sb="0" eb="1">
      <t>チョ</t>
    </rPh>
    <phoneticPr fontId="12"/>
  </si>
  <si>
    <t>2017-01-30 15:00:00</t>
    <phoneticPr fontId="15"/>
  </si>
  <si>
    <t>2017-01-31 14:59:59</t>
    <phoneticPr fontId="15"/>
  </si>
  <si>
    <t>2017-01-31 15:00:00</t>
    <phoneticPr fontId="15"/>
  </si>
  <si>
    <t>2017-02-01 14:59:59</t>
    <phoneticPr fontId="15"/>
  </si>
  <si>
    <t>2017-02-01 15:00:00</t>
    <phoneticPr fontId="15"/>
  </si>
  <si>
    <t>gacha515</t>
    <phoneticPr fontId="12"/>
  </si>
  <si>
    <t>gacha516</t>
    <phoneticPr fontId="12"/>
  </si>
  <si>
    <t>gacha517</t>
    <phoneticPr fontId="12"/>
  </si>
  <si>
    <t>超フィーバーフェスティバル開催！《ラグランジュ》と新限定ユニット《ラプラス》が出現中！</t>
    <rPh sb="0" eb="1">
      <t>チョ</t>
    </rPh>
    <phoneticPr fontId="12"/>
  </si>
  <si>
    <t>超フィーバーフェスティバル開催！《ディラック》と新限定ユニット《ラプラス》が出現中！</t>
    <rPh sb="0" eb="1">
      <t>チョ</t>
    </rPh>
    <phoneticPr fontId="12"/>
  </si>
  <si>
    <t>超フィーバーフェスティバル開催！《オイラー》と新限定ユニット《ラプラス》が出現中！</t>
    <rPh sb="0" eb="1">
      <t>チョ</t>
    </rPh>
    <phoneticPr fontId="12"/>
  </si>
  <si>
    <t>チョイス2　&lt;font color="#00e075"&gt;ハレー&lt;/font&gt;、&lt;font color="#ff2626"&gt;モールス&lt;/font&gt;出現中！</t>
    <phoneticPr fontId="12"/>
  </si>
  <si>
    <t>チョイス1　&lt;font color="#00e075"&gt;ハレー&lt;/font&gt;、&lt;font color="#ffe22a"&gt;フーリエ&lt;/font&gt;出現中！</t>
    <phoneticPr fontId="12"/>
  </si>
  <si>
    <t>チョイス1　&lt;font color="#ffe22a"&gt;ラプラス&lt;/font&gt;、&lt;font color="#ff2626"&gt;ラグランジュ&lt;/font&gt;出現中！</t>
    <phoneticPr fontId="12"/>
  </si>
  <si>
    <t>チョイス2　&lt;font color="#ffe22a"&gt;ラプラス&lt;/font&gt;、&lt;font color="#00e075"&gt;オイラー&lt;/font&gt;出現中！</t>
    <phoneticPr fontId="12"/>
  </si>
  <si>
    <t>tips_r5_1.png</t>
    <phoneticPr fontId="12"/>
  </si>
  <si>
    <t>tips_r4_over.png</t>
    <phoneticPr fontId="12"/>
  </si>
  <si>
    <t>タワー攻略応援ガチャ</t>
    <phoneticPr fontId="12"/>
  </si>
  <si>
    <t>2017-01-28 15:00:00</t>
    <phoneticPr fontId="15"/>
  </si>
  <si>
    <t>2017-02-06 14:59:59</t>
    <phoneticPr fontId="15"/>
  </si>
  <si>
    <t>さらに★5ユニット出現確率もUP中！</t>
    <rPh sb="9" eb="13">
      <t>シュツゲn</t>
    </rPh>
    <rPh sb="16" eb="17">
      <t>チュ</t>
    </rPh>
    <phoneticPr fontId="12"/>
  </si>
  <si>
    <t>バレンタインガチャA&lt;トウカ、ヴァニレ&gt;</t>
    <phoneticPr fontId="12"/>
  </si>
  <si>
    <t>バレンタインガチャB&lt;フォンデュ、コルネ&gt;</t>
    <phoneticPr fontId="12"/>
  </si>
  <si>
    <t>2017-02-05 15:00:00</t>
    <phoneticPr fontId="15"/>
  </si>
  <si>
    <t>2017-02-10 14:59:59</t>
    <phoneticPr fontId="15"/>
  </si>
  <si>
    <t>2017-02-07 15:00:00</t>
    <phoneticPr fontId="15"/>
  </si>
  <si>
    <t>2017-02-13 14:59:59</t>
    <phoneticPr fontId="15"/>
  </si>
  <si>
    <t>gacha520</t>
    <phoneticPr fontId="12"/>
  </si>
  <si>
    <t>gacha521</t>
    <phoneticPr fontId="12"/>
  </si>
  <si>
    <t>gacha522</t>
    <phoneticPr fontId="12"/>
  </si>
  <si>
    <t>gacha523</t>
    <phoneticPr fontId="12"/>
  </si>
  <si>
    <t>【バレンタイン限定】今だけ！バレンタイン限定ユニットが出現中！</t>
    <rPh sb="20" eb="22">
      <t>バレンタインゲンテ</t>
    </rPh>
    <phoneticPr fontId="12"/>
  </si>
  <si>
    <t>新クラファーコレクション</t>
    <rPh sb="0" eb="1">
      <t>シン</t>
    </rPh>
    <phoneticPr fontId="12"/>
  </si>
  <si>
    <t>確定ステップアップ</t>
    <rPh sb="0" eb="2">
      <t>カクテ</t>
    </rPh>
    <phoneticPr fontId="12"/>
  </si>
  <si>
    <t>tips_520_01.png</t>
  </si>
  <si>
    <t>tips_520_02.png</t>
  </si>
  <si>
    <t>tips_520_03.png</t>
  </si>
  <si>
    <t>tips_520_04.png</t>
  </si>
  <si>
    <t>tips_520_05.png</t>
  </si>
  <si>
    <t>tips_520_00.png</t>
    <phoneticPr fontId="12"/>
  </si>
  <si>
    <t>521100</t>
  </si>
  <si>
    <t>&lt;font color="#ffab27"&gt;2/13 14:59まで&lt;/font&gt;使用率上位ユニット4体の出現率UP!</t>
    <rPh sb="46" eb="50">
      <t>ゲンセン</t>
    </rPh>
    <rPh sb="51" eb="52">
      <t>タ</t>
    </rPh>
    <phoneticPr fontId="12"/>
  </si>
  <si>
    <t>【レアガチャ限定】クラファーコレクション開催中！使用率上位ユニット4体の出現率UP！</t>
    <phoneticPr fontId="12"/>
  </si>
  <si>
    <t>2017-02-08 15:00:00</t>
    <phoneticPr fontId="15"/>
  </si>
  <si>
    <t>&lt;font color="#ffab27"&gt;02/10 23:59&lt;/font&gt;まで
10連5回目で初音ミクor鏡音リン1体確定！
&lt;font color="#ffab27"&gt;※★6覚醒済み、超覚醒済みユニットは直接排出されません&lt;/font&gt;</t>
    <rPh sb="50" eb="52">
      <t>ハt</t>
    </rPh>
    <rPh sb="56" eb="58">
      <t>カガm</t>
    </rPh>
    <phoneticPr fontId="12"/>
  </si>
  <si>
    <t>2017-02-13 15:00:00</t>
    <phoneticPr fontId="15"/>
  </si>
  <si>
    <t>2017-02-21 14:59:59</t>
    <phoneticPr fontId="15"/>
  </si>
  <si>
    <t>アビリティピックアップ（プロテクトブレイク）</t>
    <phoneticPr fontId="12"/>
  </si>
  <si>
    <t>フィーバーフェス（1日目）</t>
    <phoneticPr fontId="12"/>
  </si>
  <si>
    <t>2017-02-11 15:00:00</t>
    <phoneticPr fontId="15"/>
  </si>
  <si>
    <t>2017-02-17 14:59:59</t>
    <phoneticPr fontId="15"/>
  </si>
  <si>
    <t>gacha524</t>
    <phoneticPr fontId="12"/>
  </si>
  <si>
    <t>gacha525</t>
    <phoneticPr fontId="12"/>
  </si>
  <si>
    <t>gacha526</t>
    <phoneticPr fontId="12"/>
  </si>
  <si>
    <t>gacha527</t>
    <phoneticPr fontId="12"/>
  </si>
  <si>
    <t>フィーバーフェスティバル開催！《チューリング》と新限定ユニット《ユング》が出現中！</t>
    <phoneticPr fontId="12"/>
  </si>
  <si>
    <t>フィーバーフェスティバル開催！《シュレディンガー》と新限定ユニット《ユング》が出現中！</t>
    <phoneticPr fontId="12"/>
  </si>
  <si>
    <t>2017-02-13 15:00:00</t>
    <phoneticPr fontId="15"/>
  </si>
  <si>
    <t>2017-02-17 15:00:00</t>
    <phoneticPr fontId="15"/>
  </si>
  <si>
    <t>2017-02-18 15:00:00</t>
    <phoneticPr fontId="15"/>
  </si>
  <si>
    <t>2017-02-19 15:00:00</t>
    <phoneticPr fontId="15"/>
  </si>
  <si>
    <t>2017-02-18 14:59:59</t>
    <phoneticPr fontId="15"/>
  </si>
  <si>
    <t>2017-02-19 14:59:59</t>
    <phoneticPr fontId="15"/>
  </si>
  <si>
    <t>2017-02-20 14:59:59</t>
    <phoneticPr fontId="15"/>
  </si>
  <si>
    <t>&lt;font color="#ff2626"&gt;ナポレオン&lt;/font&gt;、&lt;font color="#0093ff"&gt;上杉謙信&lt;/font&gt;出現率大幅アップ！</t>
    <rPh sb="57" eb="61">
      <t>ウエスギケンシｎ</t>
    </rPh>
    <phoneticPr fontId="12"/>
  </si>
  <si>
    <t>チョイス2　&lt;font color="#0093ff"&gt;ユング&lt;/font&gt;、&lt;font color="#ff2626"&gt;シュレディンガー&lt;/font&gt;出現中！</t>
    <phoneticPr fontId="12"/>
  </si>
  <si>
    <t>チョイス3　&lt;font color="#ffe22a"&gt;ラプラス&lt;/font&gt;、&lt;font color="#0093ff"&gt;ディラック&lt;/font&gt;出現中！</t>
    <phoneticPr fontId="12"/>
  </si>
  <si>
    <t>&lt;font color="#ffab27"&gt;※ヴァニレ、バレンタインメタトロンは★6で排出されます&lt;/font&gt;</t>
    <rPh sb="43" eb="45">
      <t>ハイシュt</t>
    </rPh>
    <phoneticPr fontId="12"/>
  </si>
  <si>
    <t>&lt;font color="#ffab27"&gt;※フォンデュ、バレンタインフレイヤは★6で排出されます&lt;/font&gt;</t>
    <phoneticPr fontId="12"/>
  </si>
  <si>
    <t>tips_527.png</t>
    <phoneticPr fontId="12"/>
  </si>
  <si>
    <t>tips_522_05.png</t>
    <phoneticPr fontId="12"/>
  </si>
  <si>
    <t>tips_523_05.png</t>
    <phoneticPr fontId="12"/>
  </si>
  <si>
    <t>&lt;font color="#0093ff"&gt;トウカ&lt;/font&gt;、&lt;font color="#0093ff"&gt;ヴァニレ&lt;/font&gt;、&lt;font color="#ffe22a"&gt;バレンタインメタトロン&lt;/font&gt;から1体確定！</t>
    <rPh sb="111" eb="113">
      <t>カクテ</t>
    </rPh>
    <phoneticPr fontId="12"/>
  </si>
  <si>
    <t>&lt;font color="#ff2626"&gt;フォンデュ&lt;/font&gt;、&lt;font color="#ff2626"&gt;コルネ&lt;/font&gt;、&lt;font color="#00e075"&gt;バレンタインフレイヤ&lt;/font&gt;から1体確定！</t>
    <rPh sb="111" eb="113">
      <t>カクテ</t>
    </rPh>
    <phoneticPr fontId="12"/>
  </si>
  <si>
    <t>ニューフェイスピックアップ</t>
    <phoneticPr fontId="12"/>
  </si>
  <si>
    <t>新ユニットが&lt;font color="#ff2626"&gt;バグUP&lt;/font&gt;で出現率大幅アップ！</t>
    <rPh sb="0" eb="1">
      <t>シンユニット</t>
    </rPh>
    <phoneticPr fontId="12"/>
  </si>
  <si>
    <t>2017-02-20 15:00:00</t>
    <phoneticPr fontId="15"/>
  </si>
  <si>
    <t>2017-02-27 14:59:59</t>
    <phoneticPr fontId="15"/>
  </si>
  <si>
    <t>gacha528</t>
    <phoneticPr fontId="12"/>
  </si>
  <si>
    <t>【レアガチャ限定】今だけ！新ユニットの出現率大幅UP＆バグUPキャンペーン開催中！</t>
    <rPh sb="13" eb="14">
      <t>シン</t>
    </rPh>
    <phoneticPr fontId="12"/>
  </si>
  <si>
    <t>tips_528.png</t>
    <phoneticPr fontId="12"/>
  </si>
  <si>
    <t>tit_10ren.png</t>
  </si>
  <si>
    <t>2017-02-22 15:00:00</t>
    <phoneticPr fontId="15"/>
  </si>
  <si>
    <t>2017-02-28 14:59:59</t>
    <phoneticPr fontId="15"/>
  </si>
  <si>
    <t>gacha529</t>
    <phoneticPr fontId="12"/>
  </si>
  <si>
    <t>gacha530</t>
    <phoneticPr fontId="12"/>
  </si>
  <si>
    <t>gacha531</t>
    <phoneticPr fontId="12"/>
  </si>
  <si>
    <t>スペシャルサマーガチャ＋SideA</t>
    <phoneticPr fontId="12"/>
  </si>
  <si>
    <t>スペシャルサマーガチャ＋SideB</t>
    <phoneticPr fontId="12"/>
  </si>
  <si>
    <t>&lt;font color="#ffab27"&gt;※★6で排出されるユニットもございます。&lt;/font&gt;</t>
    <phoneticPr fontId="12"/>
  </si>
  <si>
    <t>【1日1回限定】今だけ！水着限定ユニットが出現中！</t>
    <rPh sb="2" eb="3">
      <t>ニチ</t>
    </rPh>
    <rPh sb="4" eb="5">
      <t>カイ</t>
    </rPh>
    <rPh sb="12" eb="14">
      <t>ミズギ</t>
    </rPh>
    <rPh sb="14" eb="16">
      <t>バレンタインゲンテ</t>
    </rPh>
    <phoneticPr fontId="12"/>
  </si>
  <si>
    <t>【スペシャルサマーガチャ限定】今だけ！水着限定ユニットが出現中！</t>
    <rPh sb="19" eb="21">
      <t>ミズギ</t>
    </rPh>
    <rPh sb="21" eb="23">
      <t>バレンタインゲンテ</t>
    </rPh>
    <phoneticPr fontId="12"/>
  </si>
  <si>
    <t>170214_fefes03_tips05.png</t>
    <phoneticPr fontId="12"/>
  </si>
  <si>
    <t>poly_524</t>
    <phoneticPr fontId="12"/>
  </si>
  <si>
    <t>poly_531</t>
    <phoneticPr fontId="12"/>
  </si>
  <si>
    <t>2017-03-01 14:59:59</t>
    <phoneticPr fontId="15"/>
  </si>
  <si>
    <t>常設レアガチャ（日本神話in)</t>
    <rPh sb="0" eb="2">
      <t>ジョウセツレアガチャ</t>
    </rPh>
    <rPh sb="8" eb="12">
      <t>ニホンシンワ</t>
    </rPh>
    <phoneticPr fontId="12"/>
  </si>
  <si>
    <t>2017-02-20 15:00:00</t>
    <phoneticPr fontId="15"/>
  </si>
  <si>
    <t>2017-02-20 14:59:59</t>
    <phoneticPr fontId="15"/>
  </si>
  <si>
    <t>gacha532</t>
    <phoneticPr fontId="45"/>
  </si>
  <si>
    <t>&lt;font color="#0093ff"&gt;水着フロイト&lt;/font&gt;など、夏仕様ユニット出現中！</t>
    <rPh sb="22" eb="24">
      <t>ミズギ</t>
    </rPh>
    <rPh sb="38" eb="39">
      <t>ナツ</t>
    </rPh>
    <rPh sb="39" eb="41">
      <t>シヨウ</t>
    </rPh>
    <phoneticPr fontId="12"/>
  </si>
  <si>
    <t>1日1回無料！夏仕様ユニットが出現中！</t>
    <rPh sb="4" eb="6">
      <t>ムリョウ</t>
    </rPh>
    <rPh sb="7" eb="8">
      <t>ナツ</t>
    </rPh>
    <rPh sb="8" eb="10">
      <t>シヨウ</t>
    </rPh>
    <phoneticPr fontId="12"/>
  </si>
  <si>
    <t>新初心者パック★6＜日本神話2in＞</t>
    <rPh sb="10" eb="14">
      <t>ニホンシンワ</t>
    </rPh>
    <phoneticPr fontId="12"/>
  </si>
  <si>
    <t>新初心者パック赤＜日本神話2in＞</t>
    <rPh sb="7" eb="8">
      <t>アk</t>
    </rPh>
    <phoneticPr fontId="12"/>
  </si>
  <si>
    <t>新初心者パック青＜日本神話2in＞</t>
    <rPh sb="7" eb="8">
      <t>ア</t>
    </rPh>
    <phoneticPr fontId="12"/>
  </si>
  <si>
    <t>新初心者パック緑＜日本神話2in＞</t>
    <rPh sb="7" eb="8">
      <t>ミドr</t>
    </rPh>
    <phoneticPr fontId="12"/>
  </si>
  <si>
    <t>新初心者パック黄＜日本神話2in＞</t>
    <phoneticPr fontId="12"/>
  </si>
  <si>
    <t>&lt;font color="#ffab27"&gt;※超覚醒済、限定ユニット及び、2/21（火）以降に&lt;/font&gt;</t>
    <rPh sb="42" eb="43">
      <t>hi</t>
    </rPh>
    <phoneticPr fontId="12"/>
  </si>
  <si>
    <t>&lt;font color="#ffab27"&gt;※★6覚醒済、限定ユニット及び、2/21（火）以降に&lt;/font&gt;</t>
    <phoneticPr fontId="12"/>
  </si>
  <si>
    <t>超お得チケットガチャ&lt;日本神話in&gt;</t>
    <rPh sb="11" eb="15">
      <t>ニホンシンワ</t>
    </rPh>
    <phoneticPr fontId="12"/>
  </si>
  <si>
    <t>2017-02-20 15:00:00</t>
    <phoneticPr fontId="15"/>
  </si>
  <si>
    <t>2017-02-20 14:59:00</t>
    <phoneticPr fontId="15"/>
  </si>
  <si>
    <t>GachaTop_532.png</t>
    <phoneticPr fontId="12"/>
  </si>
  <si>
    <t>gacha532.png</t>
    <phoneticPr fontId="12"/>
  </si>
  <si>
    <t>フィーバーフェスティバル開催！《ケプラー》と新限定ユニット《ユング》が出現中！</t>
    <phoneticPr fontId="12"/>
  </si>
  <si>
    <t>&lt;font color="#ffab27"&gt;※★6覚醒済、限定ユニット及び、2/21(火)以降に&lt;/font&gt;</t>
    <rPh sb="43" eb="44">
      <t>hi</t>
    </rPh>
    <phoneticPr fontId="12"/>
  </si>
  <si>
    <t>1日1回無料スペシャルサマーガチャ(22日)</t>
    <rPh sb="1" eb="2">
      <t>ニチ</t>
    </rPh>
    <rPh sb="3" eb="4">
      <t>カイ</t>
    </rPh>
    <rPh sb="4" eb="6">
      <t>ムリョウ</t>
    </rPh>
    <rPh sb="20" eb="21">
      <t>ニチ</t>
    </rPh>
    <phoneticPr fontId="12"/>
  </si>
  <si>
    <t>1日1回無料スペシャルサマーガチャ(23日)</t>
    <rPh sb="1" eb="2">
      <t>ニチ</t>
    </rPh>
    <rPh sb="3" eb="4">
      <t>カイ</t>
    </rPh>
    <rPh sb="4" eb="6">
      <t>ムリョウ</t>
    </rPh>
    <rPh sb="20" eb="21">
      <t>ニチ</t>
    </rPh>
    <phoneticPr fontId="12"/>
  </si>
  <si>
    <t>1日1回無料スペシャルサマーガチャ(24日)</t>
    <rPh sb="1" eb="2">
      <t>ニチ</t>
    </rPh>
    <rPh sb="3" eb="4">
      <t>カイ</t>
    </rPh>
    <rPh sb="4" eb="6">
      <t>ムリョウ</t>
    </rPh>
    <rPh sb="20" eb="21">
      <t>ニチ</t>
    </rPh>
    <phoneticPr fontId="12"/>
  </si>
  <si>
    <t>1日1回無料スペシャルサマーガチャ(25日)</t>
    <rPh sb="1" eb="2">
      <t>ニチ</t>
    </rPh>
    <rPh sb="3" eb="4">
      <t>カイ</t>
    </rPh>
    <rPh sb="4" eb="6">
      <t>ムリョウ</t>
    </rPh>
    <rPh sb="20" eb="21">
      <t>ニチ</t>
    </rPh>
    <phoneticPr fontId="12"/>
  </si>
  <si>
    <t>1日1回無料スペシャルサマーガチャ(26日)</t>
    <rPh sb="1" eb="2">
      <t>ニチ</t>
    </rPh>
    <rPh sb="3" eb="4">
      <t>カイ</t>
    </rPh>
    <rPh sb="4" eb="6">
      <t>ムリョウ</t>
    </rPh>
    <rPh sb="20" eb="21">
      <t>ニチ</t>
    </rPh>
    <phoneticPr fontId="12"/>
  </si>
  <si>
    <t>1日1回無料スペシャルサマーガチャ(27日)</t>
    <rPh sb="1" eb="2">
      <t>ニチ</t>
    </rPh>
    <rPh sb="3" eb="4">
      <t>カイ</t>
    </rPh>
    <rPh sb="4" eb="6">
      <t>ムリョウ</t>
    </rPh>
    <rPh sb="20" eb="21">
      <t>ニチ</t>
    </rPh>
    <phoneticPr fontId="12"/>
  </si>
  <si>
    <t>1日1回無料スペシャルサマーガチャ(28日)</t>
    <rPh sb="1" eb="2">
      <t>ニチ</t>
    </rPh>
    <rPh sb="3" eb="4">
      <t>カイ</t>
    </rPh>
    <rPh sb="4" eb="6">
      <t>ムリョウ</t>
    </rPh>
    <rPh sb="20" eb="21">
      <t>ニチ</t>
    </rPh>
    <phoneticPr fontId="12"/>
  </si>
  <si>
    <t>poly_533</t>
    <phoneticPr fontId="12"/>
  </si>
  <si>
    <t>poly_534</t>
    <phoneticPr fontId="12"/>
  </si>
  <si>
    <t>poly_535</t>
  </si>
  <si>
    <t>poly_536</t>
  </si>
  <si>
    <t>poly_537</t>
  </si>
  <si>
    <t>poly_538</t>
  </si>
  <si>
    <t>2017-02-22 23:59:59</t>
    <phoneticPr fontId="15"/>
  </si>
  <si>
    <t>2017-02-23 00:00:00</t>
    <phoneticPr fontId="15"/>
  </si>
  <si>
    <t>2017-02-23 23:59:59</t>
    <phoneticPr fontId="15"/>
  </si>
  <si>
    <t>2017-02-24 00:00:00</t>
    <phoneticPr fontId="15"/>
  </si>
  <si>
    <t>2017-02-24 23:59:59</t>
    <phoneticPr fontId="15"/>
  </si>
  <si>
    <t>2017-02-25 00:00:00</t>
    <phoneticPr fontId="15"/>
  </si>
  <si>
    <t>2017-02-26 00:00:00</t>
    <phoneticPr fontId="15"/>
  </si>
  <si>
    <t>2017-02-27 00:00:00</t>
    <phoneticPr fontId="15"/>
  </si>
  <si>
    <t>2017-02-28 00:00:00</t>
    <phoneticPr fontId="15"/>
  </si>
  <si>
    <t>2017-02-25 23:59:59</t>
    <phoneticPr fontId="15"/>
  </si>
  <si>
    <t>2017-02-26 23:59:59</t>
    <phoneticPr fontId="15"/>
  </si>
  <si>
    <t>2017-02-27 23:59:59</t>
    <phoneticPr fontId="15"/>
  </si>
  <si>
    <t>2017-02-28 14:59:59</t>
    <phoneticPr fontId="15"/>
  </si>
  <si>
    <t>gacha533</t>
    <phoneticPr fontId="12"/>
  </si>
  <si>
    <t>gacha534</t>
    <phoneticPr fontId="12"/>
  </si>
  <si>
    <t>gacha535</t>
  </si>
  <si>
    <t>gacha536</t>
  </si>
  <si>
    <t>gacha537</t>
  </si>
  <si>
    <t>gacha538</t>
  </si>
  <si>
    <t>tips_0227.png</t>
    <phoneticPr fontId="12"/>
  </si>
  <si>
    <t>tips_0223.png</t>
  </si>
  <si>
    <t>tips_0224.png</t>
  </si>
  <si>
    <t>tips_0225.png</t>
  </si>
  <si>
    <t>tips_0226.png</t>
  </si>
  <si>
    <t>tips_0222.png</t>
    <phoneticPr fontId="12"/>
  </si>
  <si>
    <t>&lt;font color="#ffab27"&gt;02/28 14:59&lt;/font&gt;まで
1日1回無料！夏仕様ユニットが出現中！
&lt;font color="#ffab27"&gt;※★6で排出されるユニットもございます。&lt;/font&gt;</t>
  </si>
  <si>
    <t>&lt;font color="#ffab27"&gt;02/28 14:59&lt;/font&gt;まで</t>
  </si>
  <si>
    <t>tips_529_r5over.png</t>
    <phoneticPr fontId="12"/>
  </si>
  <si>
    <t>tips_0228_02.png</t>
    <phoneticPr fontId="12"/>
  </si>
  <si>
    <t>GachaTop_531_02.png</t>
    <phoneticPr fontId="12"/>
  </si>
  <si>
    <t>gacha531_02.png</t>
    <phoneticPr fontId="12"/>
  </si>
  <si>
    <t>30day_sp_ticket</t>
    <phoneticPr fontId="12"/>
  </si>
  <si>
    <t>2970-07-16 14:59:59</t>
  </si>
  <si>
    <t>2017-02-24 15:00:00</t>
    <phoneticPr fontId="15"/>
  </si>
  <si>
    <t>&lt;font color="#ffab27"&gt;※限定ユニット及び、2/21(火)以降に&lt;/font&gt;</t>
    <rPh sb="37" eb="38">
      <t>hi</t>
    </rPh>
    <phoneticPr fontId="12"/>
  </si>
  <si>
    <t>★6覚醒済み赤属性ユニット1体が確定排出！</t>
    <rPh sb="2" eb="5">
      <t>カクセイズミ</t>
    </rPh>
    <rPh sb="6" eb="7">
      <t>アカ</t>
    </rPh>
    <rPh sb="7" eb="9">
      <t>ゾクセイ</t>
    </rPh>
    <phoneticPr fontId="12"/>
  </si>
  <si>
    <t>★6覚醒済み青属性ユニット1体が確定排出！</t>
    <rPh sb="6" eb="7">
      <t>アオ</t>
    </rPh>
    <phoneticPr fontId="12"/>
  </si>
  <si>
    <t>★6覚醒済み緑属性ユニット1体が確定排出！</t>
    <rPh sb="6" eb="7">
      <t>ミドリ</t>
    </rPh>
    <phoneticPr fontId="12"/>
  </si>
  <si>
    <t>★6覚醒済み黄属性ユニット1体が確定排出！</t>
    <rPh sb="6" eb="7">
      <t>キイロ</t>
    </rPh>
    <phoneticPr fontId="12"/>
  </si>
  <si>
    <t>&lt;font color="#ffab27"&gt;02/28 14:59&lt;/font&gt;まで</t>
    <phoneticPr fontId="12"/>
  </si>
  <si>
    <t>超フェス&lt;パウリ、ベルヌーイ&gt;</t>
    <rPh sb="0" eb="1">
      <t>チョ</t>
    </rPh>
    <phoneticPr fontId="12"/>
  </si>
  <si>
    <t>超フェス&lt;パウリ、セキ&gt;</t>
    <rPh sb="0" eb="1">
      <t>チョ</t>
    </rPh>
    <phoneticPr fontId="12"/>
  </si>
  <si>
    <t>超フェス&lt;パウリ、ファラデー&gt;</t>
    <rPh sb="0" eb="1">
      <t>チョ</t>
    </rPh>
    <phoneticPr fontId="12"/>
  </si>
  <si>
    <t>2017-02-27 15:00:00</t>
    <phoneticPr fontId="15"/>
  </si>
  <si>
    <t>2017-02-28 15:00:00</t>
    <phoneticPr fontId="15"/>
  </si>
  <si>
    <t>2017-03-01 14:59:59</t>
    <phoneticPr fontId="15"/>
  </si>
  <si>
    <t>2017-03-01 15:00:00</t>
    <phoneticPr fontId="15"/>
  </si>
  <si>
    <t>2017-03-02 14:59:59</t>
    <phoneticPr fontId="15"/>
  </si>
  <si>
    <t>ニムダリンクガチャ</t>
  </si>
  <si>
    <t>ニムダリンクガチャ</t>
    <phoneticPr fontId="12"/>
  </si>
  <si>
    <t>ニムダリンクガチャ（2連）</t>
    <rPh sb="11" eb="12">
      <t>レン</t>
    </rPh>
    <phoneticPr fontId="12"/>
  </si>
  <si>
    <t>ニムダリンクガチャ（3連）</t>
    <rPh sb="11" eb="12">
      <t>レン</t>
    </rPh>
    <phoneticPr fontId="12"/>
  </si>
  <si>
    <t>ニムダリンクガチャ（4連）</t>
    <rPh sb="11" eb="12">
      <t>レン</t>
    </rPh>
    <phoneticPr fontId="12"/>
  </si>
  <si>
    <t>ニムダリンクガチャ（5連）</t>
    <rPh sb="11" eb="12">
      <t>レン</t>
    </rPh>
    <phoneticPr fontId="12"/>
  </si>
  <si>
    <t>ニムダリンクガチャ（6連）</t>
    <rPh sb="11" eb="12">
      <t>レン</t>
    </rPh>
    <phoneticPr fontId="12"/>
  </si>
  <si>
    <t>ニムダリンクガチャ（7連）</t>
    <rPh sb="11" eb="12">
      <t>レン</t>
    </rPh>
    <phoneticPr fontId="12"/>
  </si>
  <si>
    <t>ニムダリンクガチャ（8連）</t>
    <rPh sb="11" eb="12">
      <t>レン</t>
    </rPh>
    <phoneticPr fontId="12"/>
  </si>
  <si>
    <t>ニムダリンクガチャ（9連）</t>
    <rPh sb="11" eb="12">
      <t>レン</t>
    </rPh>
    <phoneticPr fontId="12"/>
  </si>
  <si>
    <t>ニムダリンクガチャ（10連）</t>
    <rPh sb="12" eb="13">
      <t>レン</t>
    </rPh>
    <phoneticPr fontId="12"/>
  </si>
  <si>
    <t>gacha214</t>
    <phoneticPr fontId="45"/>
  </si>
  <si>
    <t>【リンクガチャ】期間限定！リンクガチャから「拡散性ニムダ」が出現！</t>
    <rPh sb="22" eb="25">
      <t>カクサンセイ</t>
    </rPh>
    <phoneticPr fontId="45"/>
  </si>
  <si>
    <t>gacha539</t>
  </si>
  <si>
    <t>gacha540</t>
  </si>
  <si>
    <t>gacha541</t>
  </si>
  <si>
    <t>超フィーバーフェスティバル開催！《ベルヌーイ》と新限定ユニット《パウリ》が出現中！</t>
    <rPh sb="0" eb="1">
      <t>チョ</t>
    </rPh>
    <phoneticPr fontId="12"/>
  </si>
  <si>
    <t>超フィーバーフェスティバル開催！《セキ》と新限定ユニット《パウリ》が出現中！</t>
    <rPh sb="0" eb="1">
      <t>チョ</t>
    </rPh>
    <phoneticPr fontId="12"/>
  </si>
  <si>
    <t>超フィーバーフェスティバル開催！《ファラデー》と新限定ユニット《パウリ》が出現中！</t>
    <rPh sb="0" eb="1">
      <t>チョ</t>
    </rPh>
    <phoneticPr fontId="12"/>
  </si>
  <si>
    <t>チョイス1　&lt;font color="#0093ff"&gt;ユング&lt;/font&gt;、&lt;font color="#00e075"&gt;チューリング&lt;/font&gt;出現中！</t>
    <phoneticPr fontId="12"/>
  </si>
  <si>
    <t>30日達成スペシャルチケットガチャ(赤)</t>
    <rPh sb="3" eb="5">
      <t>タッセイ</t>
    </rPh>
    <rPh sb="18" eb="19">
      <t>アカ</t>
    </rPh>
    <phoneticPr fontId="12"/>
  </si>
  <si>
    <t>30日達成スペシャルチケットガチャ(青)</t>
    <rPh sb="18" eb="19">
      <t>アオ</t>
    </rPh>
    <phoneticPr fontId="12"/>
  </si>
  <si>
    <t>30日達成スペシャルチケットガチャ(緑)</t>
    <rPh sb="18" eb="19">
      <t>ミドリ</t>
    </rPh>
    <phoneticPr fontId="12"/>
  </si>
  <si>
    <t>30日達成スペシャルチケットガチャ(黄)</t>
    <rPh sb="18" eb="19">
      <t>キイロ</t>
    </rPh>
    <phoneticPr fontId="12"/>
  </si>
  <si>
    <t>2017-02-25 15:00:00</t>
    <phoneticPr fontId="15"/>
  </si>
  <si>
    <t>ランキング対抗ガチャ&lt;ド・モルガン&gt;</t>
    <phoneticPr fontId="12"/>
  </si>
  <si>
    <t>チョイス1　&lt;font color="#00e075"&gt;パウリ&lt;/font&gt;、&lt;font color="#0093ff"&gt;ベルヌーイ&lt;/font&gt;出現中！</t>
    <phoneticPr fontId="12"/>
  </si>
  <si>
    <t>今だけ！緑属性出現率大幅アップ！</t>
    <rPh sb="4" eb="5">
      <t>ミドｒ</t>
    </rPh>
    <phoneticPr fontId="12"/>
  </si>
  <si>
    <t>&lt;font color="#ffab27"&gt;03/06 23:59&lt;/font&gt;まで限定ユニット&lt;font color="#00e075"&gt;ド・モルガン&lt;/font&gt;出現中！</t>
    <phoneticPr fontId="12"/>
  </si>
  <si>
    <t>2017-03-03 15:00:00</t>
    <phoneticPr fontId="15"/>
  </si>
  <si>
    <t>2017-03-06 23:59:59</t>
    <phoneticPr fontId="15"/>
  </si>
  <si>
    <t>gacha542</t>
    <phoneticPr fontId="12"/>
  </si>
  <si>
    <t>【レアガチャ限定】ランキング対抗の緑属性ユニット出現率UP！さらに限定ユニット出現中！</t>
    <rPh sb="17" eb="18">
      <t>ミドｒ</t>
    </rPh>
    <phoneticPr fontId="12"/>
  </si>
  <si>
    <t>tips_542_100.png</t>
    <phoneticPr fontId="12"/>
  </si>
  <si>
    <t>tips_542_103.png</t>
    <phoneticPr fontId="12"/>
  </si>
  <si>
    <t>tips_542_104.png</t>
    <phoneticPr fontId="12"/>
  </si>
  <si>
    <t>tips_542_105.png</t>
    <phoneticPr fontId="12"/>
  </si>
  <si>
    <t>tips_542_106.png</t>
    <phoneticPr fontId="12"/>
  </si>
  <si>
    <t>tips_542_107.png</t>
    <phoneticPr fontId="12"/>
  </si>
  <si>
    <t>ホワイトデーチケットガチャ</t>
    <phoneticPr fontId="12"/>
  </si>
  <si>
    <t>ホワイトデーチケットガチャ10連</t>
    <phoneticPr fontId="12"/>
  </si>
  <si>
    <t>&lt;font color="#ffab27"&gt;※1回につき3枚のホワイトデーチケットが必要です&lt;/font&gt;</t>
    <phoneticPr fontId="12"/>
  </si>
  <si>
    <t>ホワイトデーガチャ</t>
    <phoneticPr fontId="12"/>
  </si>
  <si>
    <t>tips_544_05.png</t>
  </si>
  <si>
    <t>tips_544_00.png</t>
    <phoneticPr fontId="12"/>
  </si>
  <si>
    <t>tips_544_02.png</t>
  </si>
  <si>
    <t>tips_544_03.png</t>
  </si>
  <si>
    <t>tips_544_04.png</t>
  </si>
  <si>
    <t>tips_545_03.png</t>
    <phoneticPr fontId="12"/>
  </si>
  <si>
    <t>ticket_whiteday</t>
    <phoneticPr fontId="12"/>
  </si>
  <si>
    <t>poly_543</t>
    <phoneticPr fontId="12"/>
  </si>
  <si>
    <t>2017-03-09 15:00:00</t>
    <phoneticPr fontId="15"/>
  </si>
  <si>
    <t>2017-03-06 15:00:00</t>
    <phoneticPr fontId="15"/>
  </si>
  <si>
    <t>gacha543</t>
    <phoneticPr fontId="12"/>
  </si>
  <si>
    <t>gacha544</t>
    <phoneticPr fontId="12"/>
  </si>
  <si>
    <t>gacha545</t>
    <phoneticPr fontId="12"/>
  </si>
  <si>
    <t>【1日1回限定】今だけ！ホワイトデー限定ユニットが出現中！</t>
    <rPh sb="2" eb="3">
      <t>ニチ</t>
    </rPh>
    <rPh sb="4" eb="5">
      <t>カイ</t>
    </rPh>
    <rPh sb="18" eb="20">
      <t>バレンタインゲンテ</t>
    </rPh>
    <phoneticPr fontId="12"/>
  </si>
  <si>
    <t>2017-03-15 14:59:59</t>
    <phoneticPr fontId="15"/>
  </si>
  <si>
    <t>2017-03-12 14:59:59</t>
    <phoneticPr fontId="15"/>
  </si>
  <si>
    <t>チョイス3　&lt;font color="#0093ff"&gt;ユング&lt;/font&gt;、&lt;font color="#ffe22a"&gt;ケプラー&lt;/font&gt;出現中！</t>
    <phoneticPr fontId="12"/>
  </si>
  <si>
    <t>&lt;font color="#ffab27"&gt;12/28 23:59&lt;/font&gt;まで
クリスマス限定ユニット　&lt;font color="#0093ff"&gt;マリア&lt;/font&gt;出現中！
&lt;font color="#ffab27"&gt;※★6覚醒済みユニットは直接排出されません&lt;/font&gt;</t>
    <phoneticPr fontId="12"/>
  </si>
  <si>
    <t>【レアガチャ限定】今だけ！ピックアップユニットの出現率UP＆バグUPキャンペーン開催中！</t>
    <phoneticPr fontId="12"/>
  </si>
  <si>
    <t>ホワイトデー限定ユニット&lt;font color="#00e075"&gt;マシロ&lt;/font&gt;、&lt;font color="#00e075"&gt;レイヴン&lt;/font&gt;が出現中！</t>
    <phoneticPr fontId="12"/>
  </si>
  <si>
    <t>チョイス2　&lt;font color="#00e075"&gt;パウリ&lt;/font&gt;、&lt;font color="#ff2626"&gt;セキ&lt;/font&gt;出現中！</t>
    <phoneticPr fontId="12"/>
  </si>
  <si>
    <t>1日1回無料ホワイトデーガチャ</t>
    <phoneticPr fontId="12"/>
  </si>
  <si>
    <t>ピックアップユニットが&lt;font color="#ff2626"&gt;バグUP&lt;/font&gt;で出現率大幅アップ！</t>
    <rPh sb="48" eb="50">
      <t>オオハｂ</t>
    </rPh>
    <phoneticPr fontId="12"/>
  </si>
  <si>
    <t>ホワイトデーチケットを集めて豪華素材をGETしよう！</t>
    <phoneticPr fontId="12"/>
  </si>
  <si>
    <t>&lt;font color="#ffab27"&gt;03/15 14:59&lt;/font&gt;まで毎日1回無料！</t>
    <phoneticPr fontId="12"/>
  </si>
  <si>
    <t>2017-03-16 14:59:59</t>
    <phoneticPr fontId="15"/>
  </si>
  <si>
    <t>【ホワイトデー限定】今だけ！ホワイトデー限定ユニットが出現中！</t>
    <rPh sb="20" eb="22">
      <t>バレンタインゲンテ</t>
    </rPh>
    <phoneticPr fontId="12"/>
  </si>
  <si>
    <t>&lt;font color="#ffab27"&gt;※1回につき30枚のホワイトデーチケットが必要です&lt;/font&gt;</t>
    <phoneticPr fontId="12"/>
  </si>
  <si>
    <t>バグUPセレクション</t>
    <phoneticPr fontId="12"/>
  </si>
  <si>
    <t>ホワイトデー記念ガチャ男性SP</t>
    <phoneticPr fontId="12"/>
  </si>
  <si>
    <t>アビリティピックアップ（お邪魔ブレイク）</t>
    <phoneticPr fontId="12"/>
  </si>
  <si>
    <t>2017-03-12 15:00:00</t>
    <phoneticPr fontId="15"/>
  </si>
  <si>
    <t>2017-03-19 14:59:59</t>
    <phoneticPr fontId="15"/>
  </si>
  <si>
    <t>2017-03-14 15:00:00</t>
    <phoneticPr fontId="15"/>
  </si>
  <si>
    <t>2017-03-16 15:00:00</t>
    <phoneticPr fontId="15"/>
  </si>
  <si>
    <t>2017-03-17 15:00:00</t>
    <phoneticPr fontId="15"/>
  </si>
  <si>
    <t>2017-03-18 15:00:00</t>
    <phoneticPr fontId="15"/>
  </si>
  <si>
    <t>2017-03-17 14:59:59</t>
    <phoneticPr fontId="15"/>
  </si>
  <si>
    <t>2017-03-18 14:59:59</t>
    <phoneticPr fontId="15"/>
  </si>
  <si>
    <t>ピックアップユニットが出現率大幅アップ！</t>
    <rPh sb="14" eb="16">
      <t>オオハｂ</t>
    </rPh>
    <phoneticPr fontId="12"/>
  </si>
  <si>
    <t>&lt;font color="#ffab27"&gt;※★6ユニットは確定枠からのみ排出されます&lt;/font&gt;</t>
    <phoneticPr fontId="12"/>
  </si>
  <si>
    <t>3回引ける！超厳選★6男性ユニットが1体確定！</t>
    <rPh sb="1" eb="2">
      <t>カイ</t>
    </rPh>
    <rPh sb="6" eb="7">
      <t>チョウ</t>
    </rPh>
    <rPh sb="7" eb="9">
      <t>ゲン</t>
    </rPh>
    <rPh sb="11" eb="13">
      <t>ダンセ</t>
    </rPh>
    <rPh sb="19" eb="20">
      <t>tai</t>
    </rPh>
    <rPh sb="20" eb="22">
      <t>タイカｋ</t>
    </rPh>
    <phoneticPr fontId="12"/>
  </si>
  <si>
    <t>チョイス1　&lt;font color="#ff2626"&gt;ヴォルタ&lt;/font&gt;、&lt;font color="#ffe22a"&gt;ハップル&lt;/font&gt;出現中！</t>
    <phoneticPr fontId="12"/>
  </si>
  <si>
    <t>チョイス3　&lt;font color="#00e075"&gt;パウリ&lt;/font&gt;、&lt;font color="#ffe22a"&gt;ファラデー&lt;/font&gt;出現中！</t>
    <phoneticPr fontId="12"/>
  </si>
  <si>
    <t>チョイス2　&lt;font color="#ff2626"&gt;ヴォルタ&lt;/font&gt;、&lt;font color="#00e075"&gt;ハレー&lt;/font&gt;出現中！</t>
    <phoneticPr fontId="12"/>
  </si>
  <si>
    <t>チョイス3　&lt;font color="#ff2626"&gt;ヴォルタ&lt;/font&gt;、&lt;font color="#ff2626"&gt;ボーア&lt;/font&gt;出現中！</t>
    <phoneticPr fontId="12"/>
  </si>
  <si>
    <t>tips_546_05.png</t>
    <phoneticPr fontId="12"/>
  </si>
  <si>
    <t>poly_547</t>
    <phoneticPr fontId="12"/>
  </si>
  <si>
    <t>gacha546</t>
  </si>
  <si>
    <t>gacha547</t>
  </si>
  <si>
    <t>gacha548</t>
  </si>
  <si>
    <t>gacha549</t>
  </si>
  <si>
    <t>gacha550</t>
  </si>
  <si>
    <t>【ホワイトデー限定】3回引ける！超厳選★6男性ユニットが1体確定！</t>
    <rPh sb="7" eb="9">
      <t>ゲンテ</t>
    </rPh>
    <phoneticPr fontId="12"/>
  </si>
  <si>
    <t>poly_548</t>
    <phoneticPr fontId="12"/>
  </si>
  <si>
    <t>フィーバーフェスティバル開催！《ハップル》と新限定ユニット《ヴォルタ》が出現中！</t>
    <phoneticPr fontId="12"/>
  </si>
  <si>
    <t>フィーバーフェスティバル開催！《ハレー》と新限定ユニット《ヴォルタ》が出現中！</t>
    <phoneticPr fontId="12"/>
  </si>
  <si>
    <t>フィーバーフェスティバル開催！《ボーア》と新限定ユニット《ヴォルタ》が出現中！</t>
    <phoneticPr fontId="12"/>
  </si>
  <si>
    <t>170315リンクガチャ</t>
    <phoneticPr fontId="12"/>
  </si>
  <si>
    <t>170315リンクガチャ（2連）</t>
    <rPh sb="14" eb="15">
      <t>レン</t>
    </rPh>
    <phoneticPr fontId="12"/>
  </si>
  <si>
    <t>170315リンクガチャ（3連）</t>
    <rPh sb="14" eb="15">
      <t>レン</t>
    </rPh>
    <phoneticPr fontId="12"/>
  </si>
  <si>
    <t>170315リンクガチャ（4連）</t>
    <rPh sb="14" eb="15">
      <t>レン</t>
    </rPh>
    <phoneticPr fontId="12"/>
  </si>
  <si>
    <t>170315リンクガチャ（5連）</t>
    <rPh sb="14" eb="15">
      <t>レン</t>
    </rPh>
    <phoneticPr fontId="12"/>
  </si>
  <si>
    <t>170315リンクガチャ（6連）</t>
    <rPh sb="14" eb="15">
      <t>レン</t>
    </rPh>
    <phoneticPr fontId="12"/>
  </si>
  <si>
    <t>170315リンクガチャ（7連）</t>
    <rPh sb="14" eb="15">
      <t>レン</t>
    </rPh>
    <phoneticPr fontId="12"/>
  </si>
  <si>
    <t>170315リンクガチャ（8連）</t>
    <rPh sb="14" eb="15">
      <t>レン</t>
    </rPh>
    <phoneticPr fontId="12"/>
  </si>
  <si>
    <t>170315リンクガチャ（9連）</t>
    <rPh sb="14" eb="15">
      <t>レン</t>
    </rPh>
    <phoneticPr fontId="12"/>
  </si>
  <si>
    <t>170315リンクガチャ（10連）</t>
    <rPh sb="15" eb="16">
      <t>レン</t>
    </rPh>
    <phoneticPr fontId="12"/>
  </si>
  <si>
    <t>GachaTop_215.png</t>
    <phoneticPr fontId="12"/>
  </si>
  <si>
    <t>2017-03-15 01:00:00</t>
    <phoneticPr fontId="15"/>
  </si>
  <si>
    <t>にゃんこガチャA</t>
    <phoneticPr fontId="12"/>
  </si>
  <si>
    <t>にゃんこガチャB</t>
    <phoneticPr fontId="12"/>
  </si>
  <si>
    <t>確定ステップアップガチャ</t>
    <rPh sb="0" eb="2">
      <t>カクテイステップアップガチャ</t>
    </rPh>
    <phoneticPr fontId="12"/>
  </si>
  <si>
    <t>１日１回マスターキーつきガチャ</t>
    <phoneticPr fontId="12"/>
  </si>
  <si>
    <t>にゃんこワクワクチケットガチャ</t>
    <phoneticPr fontId="12"/>
  </si>
  <si>
    <t>にゃんこワクワクチケットガチャ10連</t>
    <rPh sb="17" eb="18">
      <t>レｎ</t>
    </rPh>
    <phoneticPr fontId="12"/>
  </si>
  <si>
    <t>poly_554</t>
    <phoneticPr fontId="12"/>
  </si>
  <si>
    <t>2017-03-21 11:00:00</t>
    <phoneticPr fontId="15"/>
  </si>
  <si>
    <t>2017-04-04 10:59:59</t>
    <phoneticPr fontId="15"/>
  </si>
  <si>
    <t>2017-03-27 15:00:00</t>
    <phoneticPr fontId="15"/>
  </si>
  <si>
    <t>2017-03-28 14:59:59</t>
    <phoneticPr fontId="15"/>
  </si>
  <si>
    <t>2017-03-23 14:59:59</t>
    <phoneticPr fontId="15"/>
  </si>
  <si>
    <t>2017-03-19 15:00:00</t>
    <phoneticPr fontId="15"/>
  </si>
  <si>
    <t>gacha551</t>
    <phoneticPr fontId="12"/>
  </si>
  <si>
    <t>gacha552</t>
    <phoneticPr fontId="12"/>
  </si>
  <si>
    <t>gacha554</t>
    <phoneticPr fontId="12"/>
  </si>
  <si>
    <t>【1日1回限定】今だけ！全部★5のユニットが15ポリゴンで5体出現！</t>
    <rPh sb="2" eb="3">
      <t>ニチ</t>
    </rPh>
    <rPh sb="4" eb="5">
      <t>カイ</t>
    </rPh>
    <rPh sb="8" eb="9">
      <t>イマダケ</t>
    </rPh>
    <rPh sb="12" eb="14">
      <t>ゼンブ</t>
    </rPh>
    <rPh sb="30" eb="31">
      <t>カラダ</t>
    </rPh>
    <rPh sb="31" eb="33">
      <t>シュツゲｎ</t>
    </rPh>
    <phoneticPr fontId="12"/>
  </si>
  <si>
    <t>&lt;font color="#ffab27"&gt;※1回につき1枚のにゃんこワクワクチケットが必要です&lt;/font&gt;</t>
    <phoneticPr fontId="12"/>
  </si>
  <si>
    <t>&lt;font color="#ffab27"&gt;※1回につき10枚のにゃんこワクワクチケットが必要です&lt;/font&gt;</t>
    <phoneticPr fontId="12"/>
  </si>
  <si>
    <t>にゃんこワクワクチケットを集めて豪華素材をGETしよう！</t>
    <phoneticPr fontId="12"/>
  </si>
  <si>
    <t>ticket_nyanko</t>
    <phoneticPr fontId="12"/>
  </si>
  <si>
    <t>STEP5で★6覚醒可能ユニット1体確定！</t>
    <phoneticPr fontId="12"/>
  </si>
  <si>
    <t>STEP5で厳選★6覚醒可能ユニット1体確定！</t>
    <phoneticPr fontId="12"/>
  </si>
  <si>
    <t>【コラボガチャ限定】今だけ！10連5回目で厳選コラボユニット1体確定！</t>
    <phoneticPr fontId="12"/>
  </si>
  <si>
    <t>【レアガチャ限定】STEP5で厳選★6覚醒可能ユニット1体確定！</t>
    <rPh sb="15" eb="17">
      <t>ゲンセｎ</t>
    </rPh>
    <phoneticPr fontId="12"/>
  </si>
  <si>
    <t xml:space="preserve">tips_551_05.png </t>
    <phoneticPr fontId="12"/>
  </si>
  <si>
    <t xml:space="preserve">tips_551_06.png </t>
    <phoneticPr fontId="12"/>
  </si>
  <si>
    <t xml:space="preserve">tips_552_05.png </t>
    <phoneticPr fontId="12"/>
  </si>
  <si>
    <t>tips_554_01.png</t>
    <phoneticPr fontId="12"/>
  </si>
  <si>
    <t>tips_553_01.png</t>
    <phoneticPr fontId="12"/>
  </si>
  <si>
    <t>tips_553_02.png</t>
    <phoneticPr fontId="12"/>
  </si>
  <si>
    <t>tips_553_03.png</t>
  </si>
  <si>
    <t>tips_553_04.png</t>
  </si>
  <si>
    <t>tips_553_05.png</t>
  </si>
  <si>
    <t>tips_553_06.png</t>
    <phoneticPr fontId="12"/>
  </si>
  <si>
    <t xml:space="preserve">tips_551_02.png </t>
    <phoneticPr fontId="12"/>
  </si>
  <si>
    <t>にゃんこ大戦争コラボ限定ユニット出現中！</t>
    <rPh sb="4" eb="7">
      <t>ダイセンソウ</t>
    </rPh>
    <rPh sb="10" eb="12">
      <t>ゲンテイ</t>
    </rPh>
    <rPh sb="16" eb="19">
      <t>シュツゲンチュウ</t>
    </rPh>
    <phoneticPr fontId="12"/>
  </si>
  <si>
    <t>にゃんこ大戦争コラボ限定ユニット出現中！
&lt;font color="#ffab27"&gt;※1〜6回目までを10回引くと、以降は
　50ポリゴンで★4以上確定10連ガチャとなります。&lt;/font&gt;</t>
    <phoneticPr fontId="12"/>
  </si>
  <si>
    <t>１日１回限定！全て★5ユニットが出現！</t>
    <rPh sb="4" eb="6">
      <t>ゲンテイ</t>
    </rPh>
    <rPh sb="16" eb="18">
      <t>シュツゲｎ</t>
    </rPh>
    <phoneticPr fontId="12"/>
  </si>
  <si>
    <t>gacha555</t>
    <phoneticPr fontId="12"/>
  </si>
  <si>
    <t>【レアガチャ限定】今だけ！★5ユニット出現確率UP中！全ユニットレベルMAXで排出！</t>
    <phoneticPr fontId="12"/>
  </si>
  <si>
    <t>2999-12-31 23:59:59</t>
    <phoneticPr fontId="15"/>
  </si>
  <si>
    <t>2017-04-03 14:59:59</t>
    <phoneticPr fontId="15"/>
  </si>
  <si>
    <t>tips_555_1.png</t>
    <phoneticPr fontId="12"/>
  </si>
  <si>
    <t>春の超フィーバーフェス（緑）</t>
    <rPh sb="0" eb="1">
      <t>ハルノ</t>
    </rPh>
    <rPh sb="2" eb="3">
      <t>チョ</t>
    </rPh>
    <rPh sb="12" eb="13">
      <t>ミドｒ</t>
    </rPh>
    <phoneticPr fontId="12"/>
  </si>
  <si>
    <t>春の超フィーバーフェス（赤）</t>
    <rPh sb="0" eb="1">
      <t>ハルノ</t>
    </rPh>
    <rPh sb="2" eb="3">
      <t>チョ</t>
    </rPh>
    <rPh sb="12" eb="13">
      <t>アｋ</t>
    </rPh>
    <phoneticPr fontId="12"/>
  </si>
  <si>
    <t>春の超フィーバーフェス（青）</t>
    <rPh sb="0" eb="1">
      <t>ハルノ</t>
    </rPh>
    <rPh sb="2" eb="3">
      <t>チョ</t>
    </rPh>
    <rPh sb="12" eb="13">
      <t>ア</t>
    </rPh>
    <phoneticPr fontId="12"/>
  </si>
  <si>
    <t>2017-03-24 15:00:00</t>
    <phoneticPr fontId="15"/>
  </si>
  <si>
    <t>2017-03-31 14:59:59</t>
    <phoneticPr fontId="15"/>
  </si>
  <si>
    <t>2017-03-30 15:00:00</t>
    <phoneticPr fontId="15"/>
  </si>
  <si>
    <t>春の超フィーバーフェス（黄）</t>
    <rPh sb="0" eb="1">
      <t>ハルノ</t>
    </rPh>
    <rPh sb="2" eb="3">
      <t>チョ</t>
    </rPh>
    <rPh sb="12" eb="13">
      <t>ki</t>
    </rPh>
    <phoneticPr fontId="12"/>
  </si>
  <si>
    <t>gacha556</t>
  </si>
  <si>
    <t>gacha557</t>
  </si>
  <si>
    <t>gacha558</t>
  </si>
  <si>
    <t>gacha559</t>
  </si>
  <si>
    <t>gacha560</t>
  </si>
  <si>
    <t>gacha553</t>
    <phoneticPr fontId="12"/>
  </si>
  <si>
    <t>超フィーバーフェスティバル開催！今だけ黄属性限定ユニット3体の出現率大幅アップ！</t>
    <rPh sb="33" eb="34">
      <t>リｔ</t>
    </rPh>
    <rPh sb="34" eb="36">
      <t>オオハｂ</t>
    </rPh>
    <phoneticPr fontId="12"/>
  </si>
  <si>
    <t>超フィーバーフェスティバル開催！今だけ緑属性限定ユニット3体の出現率大幅アップ！</t>
    <phoneticPr fontId="12"/>
  </si>
  <si>
    <t>超フィーバーフェスティバル開催！今だけ赤属性限定ユニット3体の出現率大幅アップ！</t>
    <rPh sb="19" eb="20">
      <t>アｋ</t>
    </rPh>
    <phoneticPr fontId="12"/>
  </si>
  <si>
    <t>超フィーバーフェスティバル開催！今だけ青属性限定ユニット3体の出現率大幅アップ！</t>
    <phoneticPr fontId="12"/>
  </si>
  <si>
    <t>新生活応援セール記念ガチャ</t>
    <phoneticPr fontId="12"/>
  </si>
  <si>
    <t>556100</t>
    <phoneticPr fontId="12"/>
  </si>
  <si>
    <t>556104</t>
    <phoneticPr fontId="12"/>
  </si>
  <si>
    <t>556107</t>
    <phoneticPr fontId="12"/>
  </si>
  <si>
    <t>tips_556_1.png</t>
    <phoneticPr fontId="12"/>
  </si>
  <si>
    <t>tips_556_2.png</t>
    <phoneticPr fontId="12"/>
  </si>
  <si>
    <t>tips_556_3.png</t>
  </si>
  <si>
    <t>tips_556_4.png</t>
  </si>
  <si>
    <t>tips_556_5.png</t>
  </si>
  <si>
    <t>tips_556_6.png</t>
  </si>
  <si>
    <t>tips_556_7.png</t>
  </si>
  <si>
    <t>2017-03-27 15:00:00</t>
    <phoneticPr fontId="15"/>
  </si>
  <si>
    <t>2017-04-04 10:59:59</t>
    <phoneticPr fontId="15"/>
  </si>
  <si>
    <t>2017-03-31 15:00:00</t>
    <phoneticPr fontId="15"/>
  </si>
  <si>
    <t>2017-04-01 15:00:00</t>
    <phoneticPr fontId="15"/>
  </si>
  <si>
    <t>2017-04-02 15:00:00</t>
    <phoneticPr fontId="15"/>
  </si>
  <si>
    <t>2017-04-01 14:59:59</t>
    <phoneticPr fontId="15"/>
  </si>
  <si>
    <t>2017-04-02 14:59:59</t>
    <phoneticPr fontId="15"/>
  </si>
  <si>
    <t>フェス限確定ステップアップガチャ開催中！STEP7でフェス限定ユニット1体が確定出現！</t>
    <phoneticPr fontId="12"/>
  </si>
  <si>
    <t>10連でレベル、スキルレベルMAXの★5ユニットが2体確定</t>
    <rPh sb="2" eb="3">
      <t>レｎ</t>
    </rPh>
    <phoneticPr fontId="12"/>
  </si>
  <si>
    <t>【レアガチャ限定】今だけ！10連でレベルMAX、スキルレベルMAXの★5ユニットが2体確定排出！</t>
    <rPh sb="15" eb="16">
      <t>レｎ</t>
    </rPh>
    <phoneticPr fontId="12"/>
  </si>
  <si>
    <t>超フェス限定&lt;font color="#0093ff"&gt;青属性ユニット&lt;/font&gt;3体の出現率大幅アップ！</t>
    <rPh sb="43" eb="44">
      <t>タイ</t>
    </rPh>
    <rPh sb="47" eb="48">
      <t>リｔ</t>
    </rPh>
    <rPh sb="48" eb="50">
      <t>オオハｂ</t>
    </rPh>
    <phoneticPr fontId="12"/>
  </si>
  <si>
    <t>超フェス限定&lt;font color="#ff2626"&gt;赤属性ユニット&lt;/font&gt;3体の出現率大幅アップ！</t>
    <phoneticPr fontId="12"/>
  </si>
  <si>
    <t>超フェス限定&lt;font color="#00e075"&gt;緑属性ユニット&lt;/font&gt;3体の出現率大幅アップ！</t>
    <phoneticPr fontId="12"/>
  </si>
  <si>
    <t>超フェス限定&lt;font color="#ffe22a"&gt;黄属性ユニット&lt;/font&gt;3体の出現率大幅アップ！</t>
    <phoneticPr fontId="12"/>
  </si>
  <si>
    <t>ミニステップアップガチャ</t>
    <phoneticPr fontId="12"/>
  </si>
  <si>
    <t>花見ガチャ&lt;後半&gt;</t>
    <rPh sb="0" eb="2">
      <t>ハナｍ</t>
    </rPh>
    <rPh sb="6" eb="8">
      <t>コウハｎ</t>
    </rPh>
    <phoneticPr fontId="12"/>
  </si>
  <si>
    <t>花見ガチャ&lt;前半&gt;</t>
    <rPh sb="0" eb="2">
      <t>ハナｍ</t>
    </rPh>
    <rPh sb="6" eb="8">
      <t>ゼンハｎ</t>
    </rPh>
    <phoneticPr fontId="12"/>
  </si>
  <si>
    <t>2017-04-03 15:00:00</t>
    <phoneticPr fontId="15"/>
  </si>
  <si>
    <t>2017-04-10 14:59:59</t>
    <phoneticPr fontId="15"/>
  </si>
  <si>
    <t>2017-04-05 15:00:00</t>
    <phoneticPr fontId="15"/>
  </si>
  <si>
    <t>2017-04-07 15:00:00</t>
    <phoneticPr fontId="15"/>
  </si>
  <si>
    <t>2017-04-12 14:59:59</t>
    <phoneticPr fontId="15"/>
  </si>
  <si>
    <t>&lt;font color="#ffe22a"&gt;コノハナサクヤ&lt;/font&gt;、&lt;font color="#0093ff"&gt;花見ドガ&lt;/font&gt;、&lt;font color="#ffe22a"&gt;花見牛若丸&lt;/font&gt;から1体確定!</t>
    <rPh sb="59" eb="61">
      <t>ハナｍ</t>
    </rPh>
    <rPh sb="93" eb="95">
      <t>ハナｍ</t>
    </rPh>
    <rPh sb="95" eb="98">
      <t>ウシワｋ</t>
    </rPh>
    <rPh sb="109" eb="111">
      <t>カクテ</t>
    </rPh>
    <phoneticPr fontId="12"/>
  </si>
  <si>
    <t>&lt;font color="#ffab27"&gt;※花見ドガ、花見牛若丸は★6で排出されます&lt;/font&gt;</t>
    <rPh sb="23" eb="25">
      <t>ハナ</t>
    </rPh>
    <rPh sb="28" eb="30">
      <t>ハナｍ</t>
    </rPh>
    <rPh sb="30" eb="33">
      <t>ウシワｋ</t>
    </rPh>
    <rPh sb="37" eb="39">
      <t>ハイシュt</t>
    </rPh>
    <phoneticPr fontId="12"/>
  </si>
  <si>
    <t>&lt;font color="#ffab27"&gt;※花見沖田総司、花見牛若丸は★6で排出されます&lt;/font&gt;</t>
    <rPh sb="23" eb="25">
      <t>ハナ</t>
    </rPh>
    <rPh sb="25" eb="29">
      <t>オｋ</t>
    </rPh>
    <rPh sb="30" eb="32">
      <t>ハナｍ</t>
    </rPh>
    <rPh sb="32" eb="35">
      <t>ウシワｋ</t>
    </rPh>
    <rPh sb="39" eb="41">
      <t>ハイシュt</t>
    </rPh>
    <phoneticPr fontId="12"/>
  </si>
  <si>
    <t>桜の花びら交換所 10枚</t>
    <rPh sb="0" eb="1">
      <t>サクラ</t>
    </rPh>
    <rPh sb="5" eb="8">
      <t>コウｋ</t>
    </rPh>
    <rPh sb="11" eb="12">
      <t>マ</t>
    </rPh>
    <phoneticPr fontId="12"/>
  </si>
  <si>
    <t>桜の花びら交換所 1枚</t>
    <rPh sb="0" eb="1">
      <t>サクラ</t>
    </rPh>
    <rPh sb="5" eb="8">
      <t>コウｋ</t>
    </rPh>
    <rPh sb="10" eb="11">
      <t>マ</t>
    </rPh>
    <phoneticPr fontId="12"/>
  </si>
  <si>
    <t>2017-04-13 14:59:59</t>
    <phoneticPr fontId="15"/>
  </si>
  <si>
    <t>桜の花びらを集めて豪華素材をGETしよう！</t>
    <rPh sb="0" eb="1">
      <t>サクラノｈ</t>
    </rPh>
    <phoneticPr fontId="12"/>
  </si>
  <si>
    <t>&lt;font color="#ffab27"&gt;※1回につき1枚の桜の花びらが必要です&lt;/font&gt;</t>
    <rPh sb="31" eb="32">
      <t>サクｒ</t>
    </rPh>
    <phoneticPr fontId="12"/>
  </si>
  <si>
    <t>&lt;font color="#ffab27"&gt;※1回につき10枚の桜の花びらが必要です&lt;/font&gt;</t>
    <rPh sb="32" eb="33">
      <t>サクｒ</t>
    </rPh>
    <phoneticPr fontId="12"/>
  </si>
  <si>
    <t>ticket_sakura</t>
    <phoneticPr fontId="12"/>
  </si>
  <si>
    <t>tips_562_05.png</t>
  </si>
  <si>
    <t>tips_563_05.png</t>
  </si>
  <si>
    <t>tips_553_01.png</t>
    <phoneticPr fontId="12"/>
  </si>
  <si>
    <t>tips_553_02.png</t>
    <phoneticPr fontId="12"/>
  </si>
  <si>
    <t>tips_561_03.png</t>
    <phoneticPr fontId="12"/>
  </si>
  <si>
    <t>tips_561_04.png</t>
    <phoneticPr fontId="12"/>
  </si>
  <si>
    <t>tips_561_06.png</t>
    <phoneticPr fontId="12"/>
  </si>
  <si>
    <t>gacha561</t>
    <phoneticPr fontId="12"/>
  </si>
  <si>
    <t>gacha562</t>
    <phoneticPr fontId="12"/>
  </si>
  <si>
    <t>gacha563</t>
    <phoneticPr fontId="12"/>
  </si>
  <si>
    <t>【花見イベント限定】今だけ！花見イベント限定ユニットが出現中！</t>
    <rPh sb="1" eb="3">
      <t>ハｎ</t>
    </rPh>
    <rPh sb="14" eb="16">
      <t>ハナミ</t>
    </rPh>
    <rPh sb="20" eb="22">
      <t>バレンタインゲンテ</t>
    </rPh>
    <phoneticPr fontId="12"/>
  </si>
  <si>
    <t>tips_562_00.png</t>
  </si>
  <si>
    <t>tips_562_00.png</t>
    <phoneticPr fontId="12"/>
  </si>
  <si>
    <t>&lt;font color="#ffe22a"&gt;センコ&lt;/font&gt;、&lt;font color="#00e075"&gt;花見沖田総司&lt;/font&gt;、&lt;font color="#ffe22a"&gt;花見牛若丸&lt;/font&gt;から1体確定!</t>
    <rPh sb="55" eb="57">
      <t>ハナｍ</t>
    </rPh>
    <rPh sb="91" eb="93">
      <t>ハナｍ</t>
    </rPh>
    <rPh sb="93" eb="96">
      <t>ウシワｋ</t>
    </rPh>
    <rPh sb="107" eb="109">
      <t>カクテ</t>
    </rPh>
    <phoneticPr fontId="12"/>
  </si>
  <si>
    <t>高評価選抜黄ユニットのうち1体が確定排出！</t>
    <phoneticPr fontId="12"/>
  </si>
  <si>
    <t>和風ピックアップガチャ</t>
    <phoneticPr fontId="12"/>
  </si>
  <si>
    <t>poly_564</t>
    <phoneticPr fontId="12"/>
  </si>
  <si>
    <t>2017-04-09 15:00:00</t>
    <phoneticPr fontId="15"/>
  </si>
  <si>
    <t>2017-04-12 14:59:59</t>
    <phoneticPr fontId="15"/>
  </si>
  <si>
    <t>gacha564</t>
    <phoneticPr fontId="12"/>
  </si>
  <si>
    <t>tips_564_01.png</t>
    <phoneticPr fontId="12"/>
  </si>
  <si>
    <t>tips_564_02.png</t>
    <phoneticPr fontId="12"/>
  </si>
  <si>
    <t>tips_564_03.png</t>
    <phoneticPr fontId="12"/>
  </si>
  <si>
    <t>2017-04-11 15:00:00</t>
    <phoneticPr fontId="15"/>
  </si>
  <si>
    <t>gacha565</t>
    <phoneticPr fontId="12"/>
  </si>
  <si>
    <t>新ユニットが&lt;font color="#ff2626"&gt;バグUP&lt;/font&gt;で出現率大幅アップ！</t>
    <phoneticPr fontId="12"/>
  </si>
  <si>
    <t>ticket_hanamiPack</t>
    <phoneticPr fontId="45"/>
  </si>
  <si>
    <t>お花見キャンペーン記念★6確定チャンスパック</t>
    <phoneticPr fontId="12"/>
  </si>
  <si>
    <t>10連5回目で台湾・香港・マカオ版限定ユニット1体確定！</t>
    <phoneticPr fontId="12"/>
  </si>
  <si>
    <t>【花見イベント限定】40ポリゴンで3回まで引ける！厳選★6ユニットが1体確定！</t>
    <phoneticPr fontId="12"/>
  </si>
  <si>
    <t>今、新ユニットが手に入るのはこのガチャだけ！！</t>
    <phoneticPr fontId="12"/>
  </si>
  <si>
    <t>tips_565.png</t>
  </si>
  <si>
    <t>tips_565.png</t>
    <phoneticPr fontId="12"/>
  </si>
  <si>
    <t>2017-04-06 00:00:00</t>
    <phoneticPr fontId="15"/>
  </si>
  <si>
    <t>poly_566</t>
    <phoneticPr fontId="12"/>
  </si>
  <si>
    <t>2017-04-15 15:00:00</t>
    <phoneticPr fontId="15"/>
  </si>
  <si>
    <t>2017-04-14 15:00:00</t>
    <phoneticPr fontId="15"/>
  </si>
  <si>
    <t>2017-04-15 14:59:59</t>
    <phoneticPr fontId="15"/>
  </si>
  <si>
    <t>2017-04-16 14:59:59</t>
    <phoneticPr fontId="15"/>
  </si>
  <si>
    <t>2017-04-16 15:00:00</t>
    <phoneticPr fontId="15"/>
  </si>
  <si>
    <t>2017-04-17 14:59:59</t>
    <phoneticPr fontId="15"/>
  </si>
  <si>
    <t>gacha566</t>
    <phoneticPr fontId="12"/>
  </si>
  <si>
    <t>gacha567</t>
    <phoneticPr fontId="12"/>
  </si>
  <si>
    <t>gacha568</t>
    <phoneticPr fontId="12"/>
  </si>
  <si>
    <t>3回引ける！★6厳選ユニットが1体確定！</t>
    <rPh sb="1" eb="3">
      <t>ｋ</t>
    </rPh>
    <rPh sb="8" eb="10">
      <t>ゲｎ</t>
    </rPh>
    <phoneticPr fontId="12"/>
  </si>
  <si>
    <t>厳選★6覚醒済み9ユニットのうち一体が確定排出！</t>
    <rPh sb="0" eb="2">
      <t>ゲンセｎ</t>
    </rPh>
    <phoneticPr fontId="12"/>
  </si>
  <si>
    <t>&lt;font color="#ffab27"&gt;※厳選9ユニット以外のユニットは排出されません&lt;/font&gt;</t>
    <rPh sb="23" eb="25">
      <t>ゲンセｎ</t>
    </rPh>
    <phoneticPr fontId="12"/>
  </si>
  <si>
    <t>フィーバーフェスティバル開催！《モールス》と新限定ユニット《プラトー》が出現中！</t>
    <phoneticPr fontId="12"/>
  </si>
  <si>
    <t>フィーバーフェスティバル開催！《フィボナッチ》と新限定ユニット《プラトー》が出現中！</t>
    <phoneticPr fontId="12"/>
  </si>
  <si>
    <t>フィーバーフェスティバル開催！《ケプラー》と新限定ユニット《プラトー》が出現中！</t>
    <phoneticPr fontId="12"/>
  </si>
  <si>
    <t>グリム攻略応援ガチャ</t>
    <rPh sb="3" eb="7">
      <t>グリムコウリャｋ</t>
    </rPh>
    <phoneticPr fontId="12"/>
  </si>
  <si>
    <t>Gスター攻略応援ガチャ</t>
    <rPh sb="4" eb="8">
      <t>グリムコウリャｋ</t>
    </rPh>
    <phoneticPr fontId="12"/>
  </si>
  <si>
    <t>服部半蔵攻略応援ガチャ</t>
    <rPh sb="0" eb="4">
      <t>ハットｒ</t>
    </rPh>
    <rPh sb="4" eb="6">
      <t>コウリャｋ</t>
    </rPh>
    <rPh sb="6" eb="8">
      <t>グリムコウリャｋ</t>
    </rPh>
    <phoneticPr fontId="12"/>
  </si>
  <si>
    <t>ランキング対抗ガチャ&lt;ヘイウェイ&gt;</t>
    <phoneticPr fontId="12"/>
  </si>
  <si>
    <t>2017-04-17 15:00:00</t>
    <phoneticPr fontId="15"/>
  </si>
  <si>
    <t>2017-04-22 14:59:59</t>
    <phoneticPr fontId="15"/>
  </si>
  <si>
    <t>2017-04-19 15:00:00</t>
    <phoneticPr fontId="15"/>
  </si>
  <si>
    <t>2017-04-24 14:59:59</t>
    <phoneticPr fontId="15"/>
  </si>
  <si>
    <t>2017-04-21 15:00:00</t>
    <phoneticPr fontId="15"/>
  </si>
  <si>
    <t>2017-04-24 23:59:59</t>
    <phoneticPr fontId="15"/>
  </si>
  <si>
    <t>gacha569</t>
  </si>
  <si>
    <t>gacha570</t>
  </si>
  <si>
    <t>gacha571</t>
  </si>
  <si>
    <t>gacha572</t>
  </si>
  <si>
    <t>ランキング対抗の限定ユニット《ヘイウェイ》が出現中！さらに赤属性ユニット出現率UP！</t>
    <rPh sb="29" eb="30">
      <t>アｋ</t>
    </rPh>
    <phoneticPr fontId="12"/>
  </si>
  <si>
    <t>tips_569_01.png</t>
    <phoneticPr fontId="12"/>
  </si>
  <si>
    <t>tips_569_02.png</t>
  </si>
  <si>
    <t>tips_569_03.png</t>
  </si>
  <si>
    <t>tips_570_03.png</t>
    <phoneticPr fontId="12"/>
  </si>
  <si>
    <t>tips_571_03.png</t>
    <phoneticPr fontId="12"/>
  </si>
  <si>
    <t>tips_572_100.png</t>
    <phoneticPr fontId="12"/>
  </si>
  <si>
    <t>tips_572_103.png</t>
    <phoneticPr fontId="12"/>
  </si>
  <si>
    <t>tips_572_104.png</t>
    <phoneticPr fontId="12"/>
  </si>
  <si>
    <t>tips_572_105.png</t>
    <phoneticPr fontId="12"/>
  </si>
  <si>
    <t>tips_572_106.png</t>
    <phoneticPr fontId="12"/>
  </si>
  <si>
    <t>tips_572_107.png</t>
    <phoneticPr fontId="12"/>
  </si>
  <si>
    <t>今だけ！赤属性出現率大幅アップ！</t>
    <rPh sb="4" eb="5">
      <t>アＫ</t>
    </rPh>
    <phoneticPr fontId="12"/>
  </si>
  <si>
    <t>ピックアップユニットが&lt;font color="#ffab27"&gt;★6&lt;/font&gt;、&lt;font color="#ffab27"&gt;レベルMAX&lt;/font&gt;で1体確定！</t>
    <rPh sb="80" eb="81">
      <t>tai</t>
    </rPh>
    <phoneticPr fontId="12"/>
  </si>
  <si>
    <t>今だけ！3回目でレベルMAXの★6ユニットが1体確定排出！</t>
    <rPh sb="5" eb="7">
      <t>カイｍ</t>
    </rPh>
    <phoneticPr fontId="12"/>
  </si>
  <si>
    <t>モリスリンクガチャ</t>
    <phoneticPr fontId="12"/>
  </si>
  <si>
    <t>チョイス3　&lt;font color="#00e075"&gt;ハレー&lt;/font&gt;、&lt;font color="#0093ff"&gt;ノイマン&lt;/font&gt;出現中！</t>
    <phoneticPr fontId="12"/>
  </si>
  <si>
    <t>2017-04-25 15:00:00</t>
    <phoneticPr fontId="15"/>
  </si>
  <si>
    <t>2017-05-02 14:59:59</t>
    <phoneticPr fontId="15"/>
  </si>
  <si>
    <t>モリスリンクガチャ（2連）</t>
    <rPh sb="11" eb="12">
      <t>レン</t>
    </rPh>
    <phoneticPr fontId="12"/>
  </si>
  <si>
    <t>モリスリンクガチャ（3連）</t>
    <rPh sb="11" eb="12">
      <t>レン</t>
    </rPh>
    <phoneticPr fontId="12"/>
  </si>
  <si>
    <t>モリスリンクガチャ（4連）</t>
    <rPh sb="11" eb="12">
      <t>レン</t>
    </rPh>
    <phoneticPr fontId="12"/>
  </si>
  <si>
    <t>モリスリンクガチャ（5連）</t>
    <rPh sb="11" eb="12">
      <t>レン</t>
    </rPh>
    <phoneticPr fontId="12"/>
  </si>
  <si>
    <t>モリスリンクガチャ（6連）</t>
    <rPh sb="11" eb="12">
      <t>レン</t>
    </rPh>
    <phoneticPr fontId="12"/>
  </si>
  <si>
    <t>モリスリンクガチャ（7連）</t>
    <rPh sb="11" eb="12">
      <t>レン</t>
    </rPh>
    <phoneticPr fontId="12"/>
  </si>
  <si>
    <t>モリスリンクガチャ（8連）</t>
    <rPh sb="11" eb="12">
      <t>レン</t>
    </rPh>
    <phoneticPr fontId="12"/>
  </si>
  <si>
    <t>モリスリンクガチャ（9連）</t>
    <rPh sb="11" eb="12">
      <t>レン</t>
    </rPh>
    <phoneticPr fontId="12"/>
  </si>
  <si>
    <t>モリスリンクガチャ（10連）</t>
    <rPh sb="12" eb="13">
      <t>レン</t>
    </rPh>
    <phoneticPr fontId="12"/>
  </si>
  <si>
    <t>poly_579</t>
    <phoneticPr fontId="12"/>
  </si>
  <si>
    <t>poly_580</t>
  </si>
  <si>
    <t>poly_581</t>
  </si>
  <si>
    <t>poly_582</t>
  </si>
  <si>
    <t>2017-04-26 15:00:00</t>
    <phoneticPr fontId="15"/>
  </si>
  <si>
    <t>2017-04-27 15:00:00</t>
    <phoneticPr fontId="15"/>
  </si>
  <si>
    <t>2017-04-28 15:00:00</t>
    <phoneticPr fontId="15"/>
  </si>
  <si>
    <t>2017-04-29 14:59:59</t>
    <phoneticPr fontId="15"/>
  </si>
  <si>
    <t>2017-05-02 15:00:00</t>
    <phoneticPr fontId="15"/>
  </si>
  <si>
    <t>2017-05-08 14:59:59</t>
    <phoneticPr fontId="15"/>
  </si>
  <si>
    <t>チョイス2　&lt;font color="#00e075"&gt;プラトー&lt;/font&gt;、&lt;font color="#0093ff"&gt;フィボナッチ&lt;/font&gt;出現中！</t>
    <phoneticPr fontId="12"/>
  </si>
  <si>
    <t>チョイス1　&lt;font color="#00e075"&gt;プラトー&lt;/font&gt;、&lt;font color="#ff2626"&gt;モールス&lt;/font&gt;出現中！</t>
    <phoneticPr fontId="12"/>
  </si>
  <si>
    <t>記念限定ユニット&lt;font color="#ff2626"&gt;パラケルスス&lt;/font&gt;出現中！</t>
    <phoneticPr fontId="12"/>
  </si>
  <si>
    <t>チョイス3　&lt;font color="#00e075"&gt;プラトー&lt;/font&gt;、&lt;font color="#ffe22a"&gt;ケプラー&lt;/font&gt;出現中！</t>
    <phoneticPr fontId="12"/>
  </si>
  <si>
    <t>記念限定ユニット&lt;font color="#ffe22a"&gt;ハーシェル&lt;/font&gt;、&lt;font color="#ffe22a"&gt;フェルマー&lt;/font&gt;出現中！</t>
    <phoneticPr fontId="12"/>
  </si>
  <si>
    <t>&lt;font color="#ffab27"&gt;※★6覚醒済み、超覚醒済みユニットは直接排出されません&lt;/font&gt;</t>
    <phoneticPr fontId="12"/>
  </si>
  <si>
    <t>★3〜★5のユニットが出現!</t>
    <phoneticPr fontId="12"/>
  </si>
  <si>
    <t>★4〜★5のユニットが出現!</t>
    <phoneticPr fontId="12"/>
  </si>
  <si>
    <t>&lt;font color="#ffab27"&gt;※最高レベルに達すると、スペシャル無料ガチャが解放!&lt;/font&gt;</t>
    <phoneticPr fontId="12"/>
  </si>
  <si>
    <t>全ユーザー様の&lt;font color="#ff2626"&gt;パネル破壊数&lt;/font&gt;に応じて、&lt;font color="#ff2626"&gt;ガチャレベルUP!&lt;/font&gt;</t>
    <phoneticPr fontId="12"/>
  </si>
  <si>
    <t>tips_573_03.png</t>
    <phoneticPr fontId="12"/>
  </si>
  <si>
    <t>tips_573_01.png</t>
  </si>
  <si>
    <t>tips_573_02.png</t>
  </si>
  <si>
    <t>tips_578_03.png</t>
    <phoneticPr fontId="12"/>
  </si>
  <si>
    <t>tips_579_00.png</t>
    <phoneticPr fontId="12"/>
  </si>
  <si>
    <t>532010</t>
  </si>
  <si>
    <t>532100</t>
  </si>
  <si>
    <t>gacha573</t>
    <phoneticPr fontId="12"/>
  </si>
  <si>
    <t>gacha574</t>
    <phoneticPr fontId="12"/>
  </si>
  <si>
    <t>gacha575</t>
    <phoneticPr fontId="12"/>
  </si>
  <si>
    <t>gacha576</t>
    <phoneticPr fontId="12"/>
  </si>
  <si>
    <t>gacha577</t>
    <phoneticPr fontId="12"/>
  </si>
  <si>
    <t>gacha578</t>
    <phoneticPr fontId="12"/>
  </si>
  <si>
    <t>今だけ！海外版限定ユニット《三蔵法師》と《西王娘娘》が出現中！</t>
    <rPh sb="4" eb="9">
      <t>カイガ</t>
    </rPh>
    <phoneticPr fontId="12"/>
  </si>
  <si>
    <t>今だけ！海外版限定ユニット《何仙姑》と《ガルーダ》が出現中！</t>
    <rPh sb="4" eb="9">
      <t>カイガ</t>
    </rPh>
    <phoneticPr fontId="12"/>
  </si>
  <si>
    <t>【1000億BK記念】限定ユニット《パラケルスス》が出現中！</t>
    <rPh sb="5" eb="6">
      <t>オｋ</t>
    </rPh>
    <phoneticPr fontId="45"/>
  </si>
  <si>
    <t>【1000億BK記念】限定ユニット《ハーシェル》と《フェルマー》が出現中！</t>
    <rPh sb="5" eb="6">
      <t>オｋ</t>
    </rPh>
    <phoneticPr fontId="45"/>
  </si>
  <si>
    <t>【1000億BK記念】限定ユニット《ブール》が「バグ10」で出現中！</t>
    <rPh sb="5" eb="6">
      <t>オｋ</t>
    </rPh>
    <phoneticPr fontId="45"/>
  </si>
  <si>
    <t>【1000億BK記念】限定ユニット《パレート》が「バグ10」で出現中！</t>
    <rPh sb="5" eb="6">
      <t>オｋ</t>
    </rPh>
    <phoneticPr fontId="45"/>
  </si>
  <si>
    <t>1000億BK記念_ランクアップ無料ガチャ&lt;ランク1&gt;</t>
    <rPh sb="16" eb="18">
      <t>ムリョ</t>
    </rPh>
    <phoneticPr fontId="12"/>
  </si>
  <si>
    <t>1000億BK記念_ランクアップ無料ガチャ&lt;ランク2&gt;</t>
    <rPh sb="16" eb="18">
      <t>ムリョ</t>
    </rPh>
    <phoneticPr fontId="12"/>
  </si>
  <si>
    <t>1000億BK記念_ランクアップ無料ガチャ&lt;ランク3&gt;</t>
    <rPh sb="16" eb="18">
      <t>ムリョ</t>
    </rPh>
    <phoneticPr fontId="12"/>
  </si>
  <si>
    <t>1000億BK記念_ランクアップ無料ガチャ&lt;スペシャル&gt;</t>
    <rPh sb="16" eb="18">
      <t>ムリョ</t>
    </rPh>
    <phoneticPr fontId="12"/>
  </si>
  <si>
    <t>1000億BK記念_10連無料ガチャ</t>
    <rPh sb="12" eb="13">
      <t>レｎ</t>
    </rPh>
    <rPh sb="13" eb="15">
      <t>ムリョ</t>
    </rPh>
    <phoneticPr fontId="12"/>
  </si>
  <si>
    <t>2017-04-24 15:00:00</t>
    <phoneticPr fontId="15"/>
  </si>
  <si>
    <t>poly_583</t>
    <phoneticPr fontId="12"/>
  </si>
  <si>
    <t>gacha584</t>
    <phoneticPr fontId="12"/>
  </si>
  <si>
    <t>今だけ！STEP5で★6覚醒可能ユニット1体確定！</t>
    <rPh sb="0" eb="1">
      <t>イマ</t>
    </rPh>
    <phoneticPr fontId="12"/>
  </si>
  <si>
    <t>1000億BK記念_海外版限定スペシャルガチャ_前半</t>
    <rPh sb="4" eb="5">
      <t>オｋ</t>
    </rPh>
    <rPh sb="7" eb="9">
      <t>キネ</t>
    </rPh>
    <phoneticPr fontId="12"/>
  </si>
  <si>
    <t>1000億BK記念_海外版限定スペシャルガチャ_後半</t>
    <rPh sb="4" eb="5">
      <t>オｋ</t>
    </rPh>
    <rPh sb="7" eb="9">
      <t>キネ</t>
    </rPh>
    <rPh sb="24" eb="25">
      <t>ウシｒ</t>
    </rPh>
    <phoneticPr fontId="12"/>
  </si>
  <si>
    <t>1000億BK記念_ユニットガチャ&lt;パラケルスス&gt;</t>
    <rPh sb="4" eb="5">
      <t>オｋ</t>
    </rPh>
    <rPh sb="7" eb="9">
      <t>キネ</t>
    </rPh>
    <phoneticPr fontId="12"/>
  </si>
  <si>
    <t>1000億BK記念_ユニットガチャ&lt;ブール&gt;</t>
    <rPh sb="4" eb="5">
      <t>オｋ</t>
    </rPh>
    <rPh sb="7" eb="9">
      <t>キネ</t>
    </rPh>
    <phoneticPr fontId="12"/>
  </si>
  <si>
    <t>1000億BK記念_ユニットガチャ&lt;パレート&gt;</t>
    <rPh sb="4" eb="5">
      <t>オｋ</t>
    </rPh>
    <rPh sb="7" eb="9">
      <t>キネ</t>
    </rPh>
    <phoneticPr fontId="12"/>
  </si>
  <si>
    <t>1000億BK記念_ユニットガチャ&lt;ハーシェル&amp;フェルマー&gt;</t>
    <rPh sb="4" eb="5">
      <t>オｋ</t>
    </rPh>
    <rPh sb="7" eb="9">
      <t>キネ</t>
    </rPh>
    <phoneticPr fontId="12"/>
  </si>
  <si>
    <t>561104</t>
  </si>
  <si>
    <t>561101</t>
  </si>
  <si>
    <t>561102</t>
  </si>
  <si>
    <t>561103</t>
  </si>
  <si>
    <t>561105</t>
  </si>
  <si>
    <t>tips_575_03.png</t>
    <phoneticPr fontId="12"/>
  </si>
  <si>
    <t>tips_575_04.png</t>
  </si>
  <si>
    <t>tips_575_05.png</t>
  </si>
  <si>
    <t>tips_576_03.png</t>
    <phoneticPr fontId="12"/>
  </si>
  <si>
    <t>tips_576_04.png</t>
  </si>
  <si>
    <t>tips_576_05.png</t>
  </si>
  <si>
    <t>tips_575_00.png</t>
    <phoneticPr fontId="12"/>
  </si>
  <si>
    <t>tips_576_00.png</t>
    <phoneticPr fontId="12"/>
  </si>
  <si>
    <t>GachaTop_561.png</t>
  </si>
  <si>
    <t>gacha561.png</t>
  </si>
  <si>
    <t>tips_574_02.png</t>
    <phoneticPr fontId="12"/>
  </si>
  <si>
    <t>tips_574_10.png</t>
    <phoneticPr fontId="12"/>
  </si>
  <si>
    <t>tips_577_03.png</t>
    <phoneticPr fontId="12"/>
  </si>
  <si>
    <t>gacha216</t>
    <phoneticPr fontId="45"/>
  </si>
  <si>
    <t>【リンクガチャ】期間限定！リンクガチャから「増幅型モリス」が出現！</t>
    <phoneticPr fontId="45"/>
  </si>
  <si>
    <t>&lt;font color="#ffab27"&gt;※レベル2に到達すると、レベル1のガチャは引けません&lt;/font&gt;</t>
    <phoneticPr fontId="12"/>
  </si>
  <si>
    <t>&lt;font color="#ffab27"&gt;※レベル3に到達すると、レベル2のガチャは引けません&lt;/font&gt;</t>
    <phoneticPr fontId="12"/>
  </si>
  <si>
    <t>gacha579</t>
  </si>
  <si>
    <t>gacha580</t>
  </si>
  <si>
    <t>gacha581</t>
  </si>
  <si>
    <t>gacha582</t>
  </si>
  <si>
    <t>gacha583</t>
  </si>
  <si>
    <t>【1000億BK記念】1日1回無料！★3〜★5のユニットが1体排出！</t>
    <rPh sb="5" eb="6">
      <t>オｋ</t>
    </rPh>
    <rPh sb="12" eb="13">
      <t>ニｔ</t>
    </rPh>
    <rPh sb="15" eb="17">
      <t>ムリョ</t>
    </rPh>
    <rPh sb="30" eb="31">
      <t>タイ</t>
    </rPh>
    <rPh sb="31" eb="33">
      <t>ハイシュｔ</t>
    </rPh>
    <phoneticPr fontId="45"/>
  </si>
  <si>
    <t>【1000億BK記念】1日1回無料！★4〜★5のユニットが1体排出！</t>
    <rPh sb="5" eb="6">
      <t>オｋ</t>
    </rPh>
    <rPh sb="12" eb="13">
      <t>ニｔ</t>
    </rPh>
    <rPh sb="15" eb="17">
      <t>ムリョ</t>
    </rPh>
    <rPh sb="30" eb="31">
      <t>タイ</t>
    </rPh>
    <rPh sb="31" eb="33">
      <t>ハイシュｔ</t>
    </rPh>
    <phoneticPr fontId="45"/>
  </si>
  <si>
    <t>【1000億BK記念】1日1回無料！★5のユニットが1体排出！</t>
    <rPh sb="5" eb="6">
      <t>オｋ</t>
    </rPh>
    <rPh sb="12" eb="13">
      <t>ニｔ</t>
    </rPh>
    <rPh sb="15" eb="17">
      <t>ムリョ</t>
    </rPh>
    <rPh sb="27" eb="28">
      <t>タイ</t>
    </rPh>
    <rPh sb="28" eb="30">
      <t>ハイシュｔ</t>
    </rPh>
    <phoneticPr fontId="45"/>
  </si>
  <si>
    <t>【1000億BK記念】1回のみ10連が無料で引ける！★4〜★5のユニットが1体排出！</t>
    <rPh sb="5" eb="6">
      <t>オｋ</t>
    </rPh>
    <rPh sb="12" eb="13">
      <t>カ</t>
    </rPh>
    <rPh sb="17" eb="18">
      <t>レｎ</t>
    </rPh>
    <rPh sb="19" eb="21">
      <t>ムリョ</t>
    </rPh>
    <phoneticPr fontId="45"/>
  </si>
  <si>
    <t>【1000億BK記念】1回のみ無料！★6覚醒済みユニットが1体排出！</t>
    <rPh sb="5" eb="6">
      <t>オｋ</t>
    </rPh>
    <rPh sb="12" eb="13">
      <t>カ</t>
    </rPh>
    <rPh sb="15" eb="17">
      <t>ムリョ</t>
    </rPh>
    <rPh sb="20" eb="23">
      <t>カクセ</t>
    </rPh>
    <rPh sb="30" eb="31">
      <t>タイ</t>
    </rPh>
    <rPh sb="31" eb="33">
      <t>ハイシュｔ</t>
    </rPh>
    <phoneticPr fontId="45"/>
  </si>
  <si>
    <t>tips_579_00.png</t>
    <phoneticPr fontId="12"/>
  </si>
  <si>
    <t>tips_583_00.png</t>
    <phoneticPr fontId="12"/>
  </si>
  <si>
    <t>tips_576_06.png</t>
    <phoneticPr fontId="12"/>
  </si>
  <si>
    <t>tips_575_06.png</t>
    <phoneticPr fontId="12"/>
  </si>
  <si>
    <t>2017-04-27 14:59:59</t>
    <phoneticPr fontId="15"/>
  </si>
  <si>
    <t>2017-04-28 14:59:59</t>
    <phoneticPr fontId="15"/>
  </si>
  <si>
    <t>tips_577_03.png</t>
    <phoneticPr fontId="12"/>
  </si>
  <si>
    <t>ハッピーチケットピースガチャ_レベル1</t>
    <phoneticPr fontId="12"/>
  </si>
  <si>
    <t>ハッピーチケットピースガチャ_レベル2</t>
    <phoneticPr fontId="12"/>
  </si>
  <si>
    <t>ハッピーチケットピースガチャ_レベル3</t>
    <phoneticPr fontId="12"/>
  </si>
  <si>
    <t>2017-05-01 00:00:00</t>
    <phoneticPr fontId="15"/>
  </si>
  <si>
    <t>2017-05-09 14:59:59</t>
    <phoneticPr fontId="15"/>
  </si>
  <si>
    <t>ticket_piece_cane</t>
    <phoneticPr fontId="12"/>
  </si>
  <si>
    <t>ticket_piece_happy</t>
    <phoneticPr fontId="12"/>
  </si>
  <si>
    <t>超お得パックと同様</t>
    <rPh sb="0" eb="1">
      <t>チョ</t>
    </rPh>
    <phoneticPr fontId="12"/>
  </si>
  <si>
    <t>2017-05-09 15:00:00</t>
    <phoneticPr fontId="15"/>
  </si>
  <si>
    <t>4月超フェス＜1日目＞</t>
    <rPh sb="1" eb="2">
      <t>ガｔ</t>
    </rPh>
    <rPh sb="2" eb="3">
      <t>チョ</t>
    </rPh>
    <rPh sb="8" eb="10">
      <t>ニｔ</t>
    </rPh>
    <phoneticPr fontId="12"/>
  </si>
  <si>
    <t>超フェス限定ユニット4体が出現中！</t>
    <rPh sb="11" eb="12">
      <t>タイ</t>
    </rPh>
    <rPh sb="15" eb="16">
      <t>チュ</t>
    </rPh>
    <phoneticPr fontId="12"/>
  </si>
  <si>
    <t>4月超フェス＜2日目＞</t>
    <rPh sb="1" eb="2">
      <t>ガｔ</t>
    </rPh>
    <rPh sb="2" eb="3">
      <t>チョ</t>
    </rPh>
    <rPh sb="8" eb="10">
      <t>ニｔ</t>
    </rPh>
    <phoneticPr fontId="12"/>
  </si>
  <si>
    <t>4月超フェス＜3日目＞</t>
    <rPh sb="1" eb="2">
      <t>ガｔ</t>
    </rPh>
    <rPh sb="2" eb="3">
      <t>チョ</t>
    </rPh>
    <rPh sb="8" eb="10">
      <t>ニｔ</t>
    </rPh>
    <phoneticPr fontId="12"/>
  </si>
  <si>
    <t>超フェス限定ユニット5体が出現中！</t>
    <rPh sb="11" eb="12">
      <t>タイ</t>
    </rPh>
    <rPh sb="15" eb="16">
      <t>チュ</t>
    </rPh>
    <phoneticPr fontId="12"/>
  </si>
  <si>
    <t>2017-04-29 15:00:00</t>
    <phoneticPr fontId="15"/>
  </si>
  <si>
    <t>2017-04-30 15:00:00</t>
    <phoneticPr fontId="15"/>
  </si>
  <si>
    <t>2017-05-01 15:00:00</t>
    <phoneticPr fontId="15"/>
  </si>
  <si>
    <t>2017-04-30 14:59:59</t>
    <phoneticPr fontId="15"/>
  </si>
  <si>
    <t>2017-05-01 14:59:59</t>
    <phoneticPr fontId="15"/>
  </si>
  <si>
    <t>2017-05-05 15:00:00</t>
    <phoneticPr fontId="15"/>
  </si>
  <si>
    <t>2017-05-08 23:59:59</t>
    <phoneticPr fontId="15"/>
  </si>
  <si>
    <t>今だけ！黄属性出現率大幅アップ！</t>
    <rPh sb="4" eb="5">
      <t>キ</t>
    </rPh>
    <phoneticPr fontId="12"/>
  </si>
  <si>
    <t>tips_588_100.png</t>
    <phoneticPr fontId="12"/>
  </si>
  <si>
    <t>tips_588_103.png</t>
    <phoneticPr fontId="12"/>
  </si>
  <si>
    <t>tips_588_104.png</t>
    <phoneticPr fontId="12"/>
  </si>
  <si>
    <t>tips_588_105.png</t>
    <phoneticPr fontId="12"/>
  </si>
  <si>
    <t>tips_588_106.png</t>
    <phoneticPr fontId="12"/>
  </si>
  <si>
    <t>tips_588_107.png</t>
    <phoneticPr fontId="12"/>
  </si>
  <si>
    <t>gacha585</t>
  </si>
  <si>
    <t>gacha586</t>
  </si>
  <si>
    <t>gacha587</t>
  </si>
  <si>
    <t>gacha588</t>
  </si>
  <si>
    <t>超フィーバーフェスティバル開催！今だけ超フェス限定ユニット4体が出現中！</t>
    <rPh sb="19" eb="20">
      <t>チョ</t>
    </rPh>
    <phoneticPr fontId="12"/>
  </si>
  <si>
    <t>超フィーバーフェスティバル開催！今だけ超フェス限定ユニット5体が出現中！</t>
    <rPh sb="19" eb="20">
      <t>チョ</t>
    </rPh>
    <phoneticPr fontId="12"/>
  </si>
  <si>
    <t>ランキング対抗の限定ユニット《ヒルベルト》が出現中！さらに黄属性ユニット出現率UP！</t>
    <rPh sb="29" eb="30">
      <t>キ</t>
    </rPh>
    <phoneticPr fontId="12"/>
  </si>
  <si>
    <t>ニューフェイスガチャ（英傑）</t>
    <rPh sb="11" eb="13">
      <t>エイケｔ</t>
    </rPh>
    <phoneticPr fontId="12"/>
  </si>
  <si>
    <t>tips_589_03.png</t>
    <phoneticPr fontId="12"/>
  </si>
  <si>
    <t>ハッピーチケットピースガチャ_レベル1（童話in）</t>
    <rPh sb="20" eb="22">
      <t>ドウワ</t>
    </rPh>
    <phoneticPr fontId="12"/>
  </si>
  <si>
    <t>ハッピーチケットピースガチャ_レベル2（童話in）</t>
    <phoneticPr fontId="12"/>
  </si>
  <si>
    <t>ハッピーチケットピースガチャ_レベル3（童話in）</t>
    <phoneticPr fontId="12"/>
  </si>
  <si>
    <t>gacha589</t>
    <phoneticPr fontId="12"/>
  </si>
  <si>
    <t>今だけ！新ユニットの出現率大幅UP＆バグUPキャンペーン開催中！</t>
    <rPh sb="4" eb="5">
      <t>シン</t>
    </rPh>
    <phoneticPr fontId="12"/>
  </si>
  <si>
    <t>&lt;font color="#ffab27"&gt;02/28 14:59&lt;/font&gt;まで
1日1回無料！夏仕様ユニットが出現中！
&lt;font color="#ffab27"&gt;※★6で排出されるユニットもございます。&lt;/font&gt;</t>
    <phoneticPr fontId="12"/>
  </si>
  <si>
    <t>常設レアガチャ（童話in)</t>
    <rPh sb="0" eb="2">
      <t>ジョウセツレアガチャ</t>
    </rPh>
    <rPh sb="8" eb="10">
      <t>ドウｗ</t>
    </rPh>
    <phoneticPr fontId="12"/>
  </si>
  <si>
    <t>【&lt;font color="#ff2626"&gt;超&lt;/font&gt;&lt;font color="#ffe22a"&gt;激&lt;/font&gt;&lt;font color="#0093ff"&gt;レ&lt;/font&gt;&lt;font color="#00e075"&gt;ア&lt;/font&gt;ユニットをGETしよう！】
限定ユニットを除くすべてのガチャユニットが出現!
&lt;font color="#ffab27"&gt;※★6覚醒済み、超覚醒済みユニットは直接排出されません&lt;/font&gt;</t>
    <phoneticPr fontId="12"/>
  </si>
  <si>
    <t>2017-05-09 15:00:00</t>
    <phoneticPr fontId="15"/>
  </si>
  <si>
    <t>2017-05-09 14:59:59</t>
    <phoneticPr fontId="15"/>
  </si>
  <si>
    <t>2017-04-27 23:59:59</t>
    <phoneticPr fontId="15"/>
  </si>
  <si>
    <t>2017-04-28 00:00:00</t>
    <phoneticPr fontId="15"/>
  </si>
  <si>
    <t>2017-05-01 23:59:59</t>
    <phoneticPr fontId="15"/>
  </si>
  <si>
    <t>2017-05-02 00:00:00</t>
    <phoneticPr fontId="15"/>
  </si>
  <si>
    <t>2017-05-04 00:00:00</t>
    <phoneticPr fontId="15"/>
  </si>
  <si>
    <t>新初心者パック★6＜童話in＞</t>
    <rPh sb="10" eb="12">
      <t>ドウｗ</t>
    </rPh>
    <phoneticPr fontId="12"/>
  </si>
  <si>
    <t>新初心者パック赤＜童話in＞</t>
    <rPh sb="7" eb="8">
      <t>アk</t>
    </rPh>
    <phoneticPr fontId="12"/>
  </si>
  <si>
    <t>新初心者パック青＜童話in＞</t>
    <rPh sb="7" eb="8">
      <t>ア</t>
    </rPh>
    <phoneticPr fontId="12"/>
  </si>
  <si>
    <t>新初心者パック緑＜童話in＞</t>
    <rPh sb="7" eb="8">
      <t>ミドr</t>
    </rPh>
    <phoneticPr fontId="12"/>
  </si>
  <si>
    <t>新初心者パック黄＜童話in＞</t>
    <phoneticPr fontId="12"/>
  </si>
  <si>
    <t>&lt;font color="#ffab27"&gt;※★6覚醒済、限定ユニット及び、4/12(水)以降に&lt;/font&gt;</t>
    <phoneticPr fontId="12"/>
  </si>
  <si>
    <t>&lt;font color="#ffab27"&gt;※超覚醒済、限定ユニット及び、4/12（水）以降に&lt;/font&gt;</t>
    <phoneticPr fontId="12"/>
  </si>
  <si>
    <t>&lt;font color="#ffab27"&gt;※★6覚醒済、限定ユニット及び、4/12（水）以降に&lt;/font&gt;</t>
    <phoneticPr fontId="12"/>
  </si>
  <si>
    <t>超お得チケットガチャ&lt;童話in&gt;</t>
    <rPh sb="11" eb="13">
      <t>ドウワ</t>
    </rPh>
    <phoneticPr fontId="12"/>
  </si>
  <si>
    <t>★6覚醒可能ユニット確定ガチャ（童話in）</t>
    <phoneticPr fontId="12"/>
  </si>
  <si>
    <t>&lt;font color="#ffab27"&gt;※限定ユニット及び、4/12(水)以降に&lt;/font&gt;</t>
    <phoneticPr fontId="12"/>
  </si>
  <si>
    <t>30日達成スペシャルチケットガチャ(赤)（童話in）</t>
    <rPh sb="3" eb="5">
      <t>タッセイ</t>
    </rPh>
    <rPh sb="18" eb="19">
      <t>アカ</t>
    </rPh>
    <phoneticPr fontId="12"/>
  </si>
  <si>
    <t>30日達成スペシャルチケットガチャ(青)（童話in）</t>
    <rPh sb="18" eb="19">
      <t>アオ</t>
    </rPh>
    <phoneticPr fontId="12"/>
  </si>
  <si>
    <t>30日達成スペシャルチケットガチャ(緑)（童話in）</t>
    <rPh sb="18" eb="19">
      <t>ミドリ</t>
    </rPh>
    <phoneticPr fontId="12"/>
  </si>
  <si>
    <t>30日達成スペシャルチケットガチャ(黄)（童話in）</t>
    <rPh sb="18" eb="19">
      <t>キイロ</t>
    </rPh>
    <phoneticPr fontId="12"/>
  </si>
  <si>
    <t>gacha590</t>
    <phoneticPr fontId="45"/>
  </si>
  <si>
    <t>gacha590.png</t>
    <phoneticPr fontId="12"/>
  </si>
  <si>
    <t>赤属性選抜ガチャ＜第二弾＞</t>
    <rPh sb="9" eb="12">
      <t>ダイニ</t>
    </rPh>
    <phoneticPr fontId="12"/>
  </si>
  <si>
    <t>青属性選抜ガチャ＜第二弾＞</t>
    <phoneticPr fontId="12"/>
  </si>
  <si>
    <t>緑属性選抜ガチャ＜第二弾＞</t>
    <phoneticPr fontId="12"/>
  </si>
  <si>
    <t>黄属性選抜ガチャ＜第二弾＞</t>
    <phoneticPr fontId="12"/>
  </si>
  <si>
    <t>ticket_middle_02</t>
    <phoneticPr fontId="12"/>
  </si>
  <si>
    <t>2017-04-29 15:00:00</t>
    <phoneticPr fontId="15"/>
  </si>
  <si>
    <t>&lt;font color="#ffab27"&gt;※チケットピースを10枚集めるとレベル2が解放されます&lt;/font&gt;</t>
    <phoneticPr fontId="12"/>
  </si>
  <si>
    <t>&lt;font color="#ffab27"&gt;※チケットピースを20枚集めるとレベル3が解放されます&lt;/font&gt;</t>
    <phoneticPr fontId="12"/>
  </si>
  <si>
    <t>&lt;font color="#ffab27"&gt;※限定ユニットは排出されません&lt;/font&gt;</t>
    <rPh sb="23" eb="25">
      <t>ゲンテ</t>
    </rPh>
    <rPh sb="30" eb="32">
      <t>ハイシュｔ</t>
    </rPh>
    <phoneticPr fontId="12"/>
  </si>
  <si>
    <t>&lt;font color="#ffab27"&gt;※★6覚醒済ユニット及び、限定ユニットは排出されません&lt;/font&gt;</t>
    <rPh sb="32" eb="33">
      <t>オヨｂ</t>
    </rPh>
    <phoneticPr fontId="12"/>
  </si>
  <si>
    <t>&lt;font color="#ffab27"&gt;※ハッピーチケットピースガチャはレベル3が最大です&lt;/font&gt;</t>
    <rPh sb="43" eb="45">
      <t>サイダ</t>
    </rPh>
    <phoneticPr fontId="12"/>
  </si>
  <si>
    <t>★3〜★5のユニットが1体出現！</t>
    <rPh sb="12" eb="13">
      <t>タ</t>
    </rPh>
    <phoneticPr fontId="12"/>
  </si>
  <si>
    <t>★5のユニットが1体出現！</t>
    <rPh sb="9" eb="10">
      <t>タ</t>
    </rPh>
    <phoneticPr fontId="12"/>
  </si>
  <si>
    <t>★6覚醒可能ユニットが1体出現！</t>
    <rPh sb="2" eb="6">
      <t>カクセ</t>
    </rPh>
    <rPh sb="12" eb="13">
      <t>タイ</t>
    </rPh>
    <phoneticPr fontId="12"/>
  </si>
  <si>
    <t>10連3回目で&lt;font color="#00e075"&gt;西王娘娘&lt;/font&gt;、&lt;font color="#0093ff"&gt;三蔵法師&lt;/font&gt;、どちらか1体確定！</t>
    <phoneticPr fontId="12"/>
  </si>
  <si>
    <t>10連3回目で&lt;font color="#ffe22a"&gt;何仙姑&lt;/font&gt;、&lt;font color="#ff2626"&gt;ガルーダ&lt;/font&gt;、どちらか1体確定！</t>
    <phoneticPr fontId="12"/>
  </si>
  <si>
    <t>2017-06-20 14:59:59</t>
    <phoneticPr fontId="15"/>
  </si>
  <si>
    <t xml:space="preserve"> 5月フィーバーフェス（チョイス1）</t>
    <rPh sb="2" eb="3">
      <t>ガｔ</t>
    </rPh>
    <phoneticPr fontId="12"/>
  </si>
  <si>
    <t xml:space="preserve"> 5月フィーバーフェス（チョイス2）</t>
    <rPh sb="2" eb="3">
      <t>ガｔ</t>
    </rPh>
    <phoneticPr fontId="12"/>
  </si>
  <si>
    <t xml:space="preserve"> 5月フィーバーフェス（チョイス3）</t>
    <rPh sb="2" eb="3">
      <t>ガｔ</t>
    </rPh>
    <phoneticPr fontId="12"/>
  </si>
  <si>
    <t xml:space="preserve"> 5月フィーバーフェス（チョイス4）</t>
    <rPh sb="2" eb="3">
      <t>ガｔ</t>
    </rPh>
    <phoneticPr fontId="12"/>
  </si>
  <si>
    <t>poly_591</t>
    <phoneticPr fontId="12"/>
  </si>
  <si>
    <t>2017-05-12 15:00:00</t>
    <phoneticPr fontId="15"/>
  </si>
  <si>
    <t>2017-05-14 14:59:59</t>
    <phoneticPr fontId="15"/>
  </si>
  <si>
    <t>2017-05-14 15:00:00</t>
    <phoneticPr fontId="15"/>
  </si>
  <si>
    <t>2017-05-16 14:59:59</t>
    <phoneticPr fontId="15"/>
  </si>
  <si>
    <t>gacha591</t>
    <phoneticPr fontId="12"/>
  </si>
  <si>
    <t>gacha592</t>
  </si>
  <si>
    <t>gacha593</t>
  </si>
  <si>
    <t>gacha594</t>
  </si>
  <si>
    <t>フィーバーフェスティバル開催！《モールス》と《ヴォルタ》が出現中！</t>
    <phoneticPr fontId="12"/>
  </si>
  <si>
    <t>フィーバーフェスティバル開催！《ハップル》と《ケプラー》が出現中！</t>
    <phoneticPr fontId="12"/>
  </si>
  <si>
    <t>フィーバーフェスティバル開催！《チューリング》と《ハレー》が出現中！</t>
    <phoneticPr fontId="12"/>
  </si>
  <si>
    <t>フィーバーフェスティバル開催！《ヘンペル》と《フィボナッチ》が出現中！</t>
    <phoneticPr fontId="12"/>
  </si>
  <si>
    <t>チョイス1　&lt;font color="#ff2626"&gt;モールス&lt;/font&gt;、&lt;font color="#ff2626"&gt;ヴォルタ&lt;/font&gt;出現中！</t>
    <phoneticPr fontId="12"/>
  </si>
  <si>
    <t>チョイス2　&lt;font color="#ffe22a"&gt;ハップル&lt;/font&gt;、&lt;font color="#ffe22a"&gt;ケプラー&lt;/font&gt;出現中！</t>
    <phoneticPr fontId="12"/>
  </si>
  <si>
    <t>チョイス3　&lt;font color="#00e075"&gt;チューリング&lt;/font&gt;、&lt;font color="#00e075"&gt;ハレー&lt;/font&gt;出現中！</t>
    <phoneticPr fontId="12"/>
  </si>
  <si>
    <t>must_display</t>
    <phoneticPr fontId="12"/>
  </si>
  <si>
    <t>確定ステップアップガチャ（童話in)</t>
    <rPh sb="0" eb="2">
      <t>カクテ</t>
    </rPh>
    <phoneticPr fontId="12"/>
  </si>
  <si>
    <t>ランキング対抗ガチャ&lt;ライプニッツ&gt;</t>
    <phoneticPr fontId="12"/>
  </si>
  <si>
    <t>2017-05-16 15:00:00</t>
    <phoneticPr fontId="15"/>
  </si>
  <si>
    <t>2017-05-22 14:59:59</t>
    <phoneticPr fontId="15"/>
  </si>
  <si>
    <t>2017-05-17 15:00:00</t>
    <phoneticPr fontId="15"/>
  </si>
  <si>
    <t>2017-05-22 23:59:59</t>
    <phoneticPr fontId="15"/>
  </si>
  <si>
    <t>gacha595</t>
  </si>
  <si>
    <t>gacha596</t>
  </si>
  <si>
    <t>ランキング対抗の限定ユニット《ライプニッツ》が出現中！さらに青属性ユニット出現率UP！</t>
    <rPh sb="30" eb="31">
      <t>ア</t>
    </rPh>
    <phoneticPr fontId="12"/>
  </si>
  <si>
    <t>チョイス4　&lt;font color="#0093ff"&gt;ヘンペル&lt;/font&gt;、&lt;font color="#0093ff"&gt;フィボナッチ&lt;/font&gt;出現中！</t>
    <phoneticPr fontId="12"/>
  </si>
  <si>
    <t>今だけ！青属性出現率大幅アップ！</t>
    <rPh sb="4" eb="5">
      <t>ア</t>
    </rPh>
    <phoneticPr fontId="12"/>
  </si>
  <si>
    <t>&lt;font color="#ffab27"&gt;※★6ユニットはSTEP3、4の確定枠からのみ排出されます&lt;/font&gt;</t>
    <phoneticPr fontId="12"/>
  </si>
  <si>
    <t>tips_596_108.png</t>
    <phoneticPr fontId="12"/>
  </si>
  <si>
    <t>tips_596_103.png</t>
    <phoneticPr fontId="12"/>
  </si>
  <si>
    <t>tips_596_104.png</t>
  </si>
  <si>
    <t>tips_596_105.png</t>
  </si>
  <si>
    <t>tips_596_106.png</t>
  </si>
  <si>
    <t>tips_596_107.png</t>
  </si>
  <si>
    <t>★6確定ガチャ</t>
    <rPh sb="2" eb="4">
      <t>カクテ</t>
    </rPh>
    <phoneticPr fontId="12"/>
  </si>
  <si>
    <t>ハガレンコラボガチャ</t>
    <phoneticPr fontId="12"/>
  </si>
  <si>
    <t>2017-05-20 00:00:00</t>
    <phoneticPr fontId="15"/>
  </si>
  <si>
    <t>2017-05-21 23:59:59</t>
    <phoneticPr fontId="15"/>
  </si>
  <si>
    <t>2017-05-22 15:00:00</t>
    <phoneticPr fontId="15"/>
  </si>
  <si>
    <t>2017-05-25 15:00:00</t>
    <phoneticPr fontId="15"/>
  </si>
  <si>
    <t>2017-05-30 14:59:59</t>
    <phoneticPr fontId="15"/>
  </si>
  <si>
    <t>2017-05-26 15:00:00</t>
    <phoneticPr fontId="15"/>
  </si>
  <si>
    <t>2017-06-02 14:59:59</t>
    <phoneticPr fontId="15"/>
  </si>
  <si>
    <t>gacha597</t>
  </si>
  <si>
    <t>gacha598</t>
  </si>
  <si>
    <t>gacha599</t>
  </si>
  <si>
    <t>gacha600</t>
  </si>
  <si>
    <t>gacha601</t>
  </si>
  <si>
    <t>【48時間限定】40ポリゴンで3回まで引ける！厳選★6ユニットが1体確定！</t>
    <rPh sb="3" eb="5">
      <t>ジカｎ</t>
    </rPh>
    <phoneticPr fontId="12"/>
  </si>
  <si>
    <t>スペシャルクリスマスガチャ開催中！今だけクリスマス限定スペシャルユニットが出現中！</t>
    <phoneticPr fontId="12"/>
  </si>
  <si>
    <t>【コラボガチャ限定】今だけ！10連3回目で厳選コラボユニット1体確定！</t>
    <phoneticPr fontId="12"/>
  </si>
  <si>
    <t>クラファーコレクション開催中！10連3回目でピックアップユニット1体確定！</t>
    <phoneticPr fontId="12"/>
  </si>
  <si>
    <t>ハガレンコラボチケットガチャ（エド）</t>
    <phoneticPr fontId="12"/>
  </si>
  <si>
    <t>ハガレンコラボチケットガチャ（アル）</t>
    <phoneticPr fontId="12"/>
  </si>
  <si>
    <t>ハガレンコラボチケットガチャ（ロイ）</t>
    <phoneticPr fontId="12"/>
  </si>
  <si>
    <t>&lt;font color="#ff2626"&gt;ロイ・マスタング&lt;/font&gt;が1体確定！</t>
    <rPh sb="39" eb="42">
      <t>タイカｋ</t>
    </rPh>
    <phoneticPr fontId="12"/>
  </si>
  <si>
    <t>&lt;font color="#ffe22a"&gt;エドワード・エルリック&lt;/font&gt;が1体確定！</t>
    <rPh sb="42" eb="45">
      <t>タイカｋ</t>
    </rPh>
    <phoneticPr fontId="12"/>
  </si>
  <si>
    <t>&lt;font color="#ffe22a"&gt;アルフォンス・エルリック&lt;/font&gt;が1体確定！</t>
    <rPh sb="43" eb="46">
      <t>タイカｋ</t>
    </rPh>
    <phoneticPr fontId="12"/>
  </si>
  <si>
    <t>tips_598_03.png</t>
    <phoneticPr fontId="12"/>
  </si>
  <si>
    <t>tips_598_06.png</t>
    <phoneticPr fontId="12"/>
  </si>
  <si>
    <t>2017-05-29 15:05:00</t>
    <phoneticPr fontId="15"/>
  </si>
  <si>
    <t>2017-05-29 14:59:59</t>
    <phoneticPr fontId="15"/>
  </si>
  <si>
    <t>ticket_collabo_hagane</t>
    <phoneticPr fontId="12"/>
  </si>
  <si>
    <t>tips_599_03.png</t>
    <phoneticPr fontId="12"/>
  </si>
  <si>
    <t>2017-05-26 15:00:00</t>
    <phoneticPr fontId="15"/>
  </si>
  <si>
    <t>2017-06-03 14:59:59</t>
    <phoneticPr fontId="15"/>
  </si>
  <si>
    <t>tips_598_01.png</t>
    <phoneticPr fontId="12"/>
  </si>
  <si>
    <t>tips_598_02.png</t>
    <phoneticPr fontId="12"/>
  </si>
  <si>
    <t>&lt;font color="#ffab27"&gt;05/29 14:59&lt;/font&gt;まで</t>
    <phoneticPr fontId="12"/>
  </si>
  <si>
    <t>&lt;font color="#ffab27"&gt;10連6回目で入手できるチケットの有効期限は
05/29 14:59までとなりますのでご注意ください&lt;/font&gt;</t>
    <phoneticPr fontId="12"/>
  </si>
  <si>
    <t>poly_597</t>
    <phoneticPr fontId="12"/>
  </si>
  <si>
    <t>tips_599_01.png</t>
    <phoneticPr fontId="12"/>
  </si>
  <si>
    <t>tips_599_02.png</t>
    <phoneticPr fontId="12"/>
  </si>
  <si>
    <t>全世界800万DL突破記念ガチャSideA（セルシウス）</t>
    <phoneticPr fontId="12"/>
  </si>
  <si>
    <t>全世界800万DL突破記念ガチャSideB（ハイゼンベルク）</t>
    <phoneticPr fontId="12"/>
  </si>
  <si>
    <t>全世界800万DL突破記念ガチャSideC（メビウス）</t>
    <phoneticPr fontId="12"/>
  </si>
  <si>
    <t>全世界800万DL突破記念ガチャSideD（コーシー）</t>
    <phoneticPr fontId="12"/>
  </si>
  <si>
    <t>記念限定ユニット&lt;font color="#ff2626"&gt;コーシー&lt;/font&gt;出現中！</t>
    <phoneticPr fontId="12"/>
  </si>
  <si>
    <t>記念限定ユニット&lt;font color="#0093ff"&gt;メビウス&lt;/font&gt;出現中！</t>
    <phoneticPr fontId="12"/>
  </si>
  <si>
    <t>記念限定ユニット&lt;font color="#00e075"&gt;ハイゼンベルク&lt;/font&gt;出現中！</t>
    <phoneticPr fontId="12"/>
  </si>
  <si>
    <t>記念限定ユニット&lt;font color="#0093ff"&gt;セルシウス&lt;/font&gt;が新降臨！</t>
    <phoneticPr fontId="12"/>
  </si>
  <si>
    <t xml:space="preserve"> 5月超フェス（チョイス1）</t>
    <rPh sb="2" eb="3">
      <t>ガｔ</t>
    </rPh>
    <rPh sb="3" eb="4">
      <t>チョ</t>
    </rPh>
    <phoneticPr fontId="12"/>
  </si>
  <si>
    <t xml:space="preserve"> 5月超フェス（チョイス2）</t>
    <rPh sb="2" eb="3">
      <t>ガｔ</t>
    </rPh>
    <rPh sb="3" eb="4">
      <t>チョ</t>
    </rPh>
    <phoneticPr fontId="12"/>
  </si>
  <si>
    <t xml:space="preserve"> 5月超フェス（チョイス3）</t>
    <rPh sb="2" eb="3">
      <t>ガｔ</t>
    </rPh>
    <rPh sb="3" eb="4">
      <t>チョ</t>
    </rPh>
    <phoneticPr fontId="12"/>
  </si>
  <si>
    <t xml:space="preserve"> 5月超フェス（チョイス4）</t>
    <rPh sb="2" eb="3">
      <t>ガｔ</t>
    </rPh>
    <rPh sb="3" eb="4">
      <t>チョ</t>
    </rPh>
    <phoneticPr fontId="12"/>
  </si>
  <si>
    <t>2017-05-30 15:00:00</t>
    <phoneticPr fontId="15"/>
  </si>
  <si>
    <t>2017-06-12 14:59:59</t>
    <phoneticPr fontId="15"/>
  </si>
  <si>
    <t>2017-06-05 14:59:59</t>
    <phoneticPr fontId="15"/>
  </si>
  <si>
    <t>2017-06-02 15:00:00</t>
    <phoneticPr fontId="15"/>
  </si>
  <si>
    <t>2017-06-08 14:59:59</t>
    <phoneticPr fontId="15"/>
  </si>
  <si>
    <t>2017-06-06 15:00:00</t>
    <phoneticPr fontId="15"/>
  </si>
  <si>
    <t>2017-06-01 15:00:00</t>
    <phoneticPr fontId="15"/>
  </si>
  <si>
    <t>2017-06-03 14:59:59</t>
    <phoneticPr fontId="15"/>
  </si>
  <si>
    <t>2017-06-03 15:00:00</t>
    <phoneticPr fontId="15"/>
  </si>
  <si>
    <t>全世界800万DL突破記念_海外版限定スペシャルガチャ（関羽）</t>
    <rPh sb="28" eb="30">
      <t>カン</t>
    </rPh>
    <phoneticPr fontId="12"/>
  </si>
  <si>
    <t>gacha602</t>
  </si>
  <si>
    <t>gacha603</t>
  </si>
  <si>
    <t>gacha604</t>
  </si>
  <si>
    <t>gacha605</t>
  </si>
  <si>
    <t>gacha606</t>
  </si>
  <si>
    <t>gacha607</t>
  </si>
  <si>
    <t>gacha608</t>
  </si>
  <si>
    <t>gacha609</t>
  </si>
  <si>
    <t>gacha610</t>
  </si>
  <si>
    <t>【全世界800万DL突破記念】限定ユニット《セルシウス》が新降臨！</t>
    <rPh sb="1" eb="4">
      <t>ゼンセカ</t>
    </rPh>
    <rPh sb="7" eb="8">
      <t>マｎ</t>
    </rPh>
    <rPh sb="10" eb="14">
      <t>トッパキ</t>
    </rPh>
    <rPh sb="29" eb="32">
      <t>シンコ</t>
    </rPh>
    <phoneticPr fontId="45"/>
  </si>
  <si>
    <t>【全世界800万DL突破記念】限定ユニット《ハイゼンベルク》が出現中！</t>
    <rPh sb="1" eb="4">
      <t>ゼンセカ</t>
    </rPh>
    <rPh sb="7" eb="8">
      <t>マｎ</t>
    </rPh>
    <rPh sb="10" eb="14">
      <t>トッパキ</t>
    </rPh>
    <rPh sb="31" eb="34">
      <t>シュツゲン</t>
    </rPh>
    <phoneticPr fontId="45"/>
  </si>
  <si>
    <t>【全世界800万DL突破記念】限定ユニット《メビウス》が出現中！</t>
    <rPh sb="1" eb="4">
      <t>ゼンセカ</t>
    </rPh>
    <rPh sb="7" eb="8">
      <t>マｎ</t>
    </rPh>
    <rPh sb="10" eb="14">
      <t>トッパキ</t>
    </rPh>
    <rPh sb="28" eb="31">
      <t>シュツゲン</t>
    </rPh>
    <phoneticPr fontId="45"/>
  </si>
  <si>
    <t>【全世界800万DL突破記念】限定ユニット《コーシー》が出現中！</t>
    <rPh sb="1" eb="4">
      <t>ゼンセカ</t>
    </rPh>
    <rPh sb="7" eb="8">
      <t>マｎ</t>
    </rPh>
    <rPh sb="10" eb="14">
      <t>トッパキ</t>
    </rPh>
    <rPh sb="28" eb="31">
      <t>シュツゲン</t>
    </rPh>
    <phoneticPr fontId="45"/>
  </si>
  <si>
    <t>【全世界800万DL突破記念】海外版限定ユニット《関羽》が新降臨！</t>
    <rPh sb="1" eb="4">
      <t>ゼンセカ</t>
    </rPh>
    <rPh sb="7" eb="8">
      <t>マｎ</t>
    </rPh>
    <rPh sb="10" eb="14">
      <t>トッパキ</t>
    </rPh>
    <rPh sb="15" eb="20">
      <t>カイガイ</t>
    </rPh>
    <rPh sb="25" eb="27">
      <t>カｎ</t>
    </rPh>
    <rPh sb="29" eb="32">
      <t>シンコウリｎ</t>
    </rPh>
    <phoneticPr fontId="45"/>
  </si>
  <si>
    <t>チョイス3　&lt;font color="#00e075"&gt;ガロア&lt;/font&gt;、&lt;font color="#00e075"&gt;ポアソン&lt;/font&gt;出現中！</t>
    <phoneticPr fontId="12"/>
  </si>
  <si>
    <t>チョイス4　&lt;font color="#0093ff"&gt;ベルヌーイ&lt;/font&gt;、&lt;font color="#0093ff"&gt;ディラック&lt;/font&gt;出現中！</t>
    <phoneticPr fontId="12"/>
  </si>
  <si>
    <t>10連3回目で海外版限定ユニット3体中1体確定！</t>
    <rPh sb="7" eb="12">
      <t>カイｇ</t>
    </rPh>
    <rPh sb="17" eb="18">
      <t>タイカｒ</t>
    </rPh>
    <rPh sb="18" eb="19">
      <t>チュ</t>
    </rPh>
    <phoneticPr fontId="12"/>
  </si>
  <si>
    <t>メリッサリンクガチャ</t>
    <phoneticPr fontId="12"/>
  </si>
  <si>
    <t>800万DL突破記念_無料チケットガチャ（レベル1）</t>
    <rPh sb="3" eb="4">
      <t>マンン</t>
    </rPh>
    <rPh sb="6" eb="10">
      <t>トッパキ</t>
    </rPh>
    <rPh sb="11" eb="13">
      <t>ムリョ</t>
    </rPh>
    <phoneticPr fontId="12"/>
  </si>
  <si>
    <t>800万DL突破記念_無料チケットガチャ（レベル2）</t>
    <rPh sb="3" eb="4">
      <t>マンン</t>
    </rPh>
    <rPh sb="6" eb="10">
      <t>トッパキ</t>
    </rPh>
    <rPh sb="11" eb="13">
      <t>ムリョ</t>
    </rPh>
    <phoneticPr fontId="12"/>
  </si>
  <si>
    <t>800万DL突破記念_無料チケットガチャ（レベル3）</t>
    <rPh sb="3" eb="4">
      <t>マンン</t>
    </rPh>
    <rPh sb="6" eb="10">
      <t>トッパキ</t>
    </rPh>
    <rPh sb="11" eb="13">
      <t>ムリョ</t>
    </rPh>
    <phoneticPr fontId="12"/>
  </si>
  <si>
    <t>800万DL突破記念_無料チケットガチャ（レベル4）</t>
    <rPh sb="3" eb="4">
      <t>マンン</t>
    </rPh>
    <rPh sb="6" eb="10">
      <t>トッパキ</t>
    </rPh>
    <rPh sb="11" eb="13">
      <t>ムリョ</t>
    </rPh>
    <phoneticPr fontId="12"/>
  </si>
  <si>
    <t>2017-06-13 14:59:59</t>
    <phoneticPr fontId="15"/>
  </si>
  <si>
    <t>★3〜★5のユニットが1体排出！</t>
    <rPh sb="12" eb="13">
      <t>タ</t>
    </rPh>
    <rPh sb="13" eb="15">
      <t>ハイシュｔ</t>
    </rPh>
    <phoneticPr fontId="12"/>
  </si>
  <si>
    <t>★4〜★5のユニットが1体排出！</t>
    <rPh sb="12" eb="15">
      <t>タ</t>
    </rPh>
    <phoneticPr fontId="12"/>
  </si>
  <si>
    <t>★5のユニットが1体排出！</t>
    <rPh sb="9" eb="10">
      <t>タ</t>
    </rPh>
    <rPh sb="10" eb="12">
      <t>ハイシュｔ</t>
    </rPh>
    <phoneticPr fontId="12"/>
  </si>
  <si>
    <t>★6覚醒済みユニット1体排出！</t>
    <rPh sb="12" eb="14">
      <t>ハイシュ</t>
    </rPh>
    <phoneticPr fontId="12"/>
  </si>
  <si>
    <t>&lt;font color="#ffab27"&gt;※上記期間を過ぎると、このガチャは引けません&lt;/font&gt;</t>
    <phoneticPr fontId="12"/>
  </si>
  <si>
    <t>gacha217</t>
    <phoneticPr fontId="45"/>
  </si>
  <si>
    <t>【リンクガチャ】期間限定！リンクガチャから「潜伏型メリッサ」が出現！</t>
    <phoneticPr fontId="45"/>
  </si>
  <si>
    <t>メリッサリンクガチャ（2連）</t>
    <rPh sb="12" eb="13">
      <t>レン</t>
    </rPh>
    <phoneticPr fontId="12"/>
  </si>
  <si>
    <t>メリッサリンクガチャ（3連）</t>
    <rPh sb="12" eb="13">
      <t>レン</t>
    </rPh>
    <phoneticPr fontId="12"/>
  </si>
  <si>
    <t>メリッサリンクガチャ（4連）</t>
    <rPh sb="12" eb="13">
      <t>レン</t>
    </rPh>
    <phoneticPr fontId="12"/>
  </si>
  <si>
    <t>メリッサリンクガチャ（5連）</t>
    <rPh sb="12" eb="13">
      <t>レン</t>
    </rPh>
    <phoneticPr fontId="12"/>
  </si>
  <si>
    <t>メリッサリンクガチャ（6連）</t>
    <rPh sb="12" eb="13">
      <t>レン</t>
    </rPh>
    <phoneticPr fontId="12"/>
  </si>
  <si>
    <t>メリッサリンクガチャ（7連）</t>
    <rPh sb="12" eb="13">
      <t>レン</t>
    </rPh>
    <phoneticPr fontId="12"/>
  </si>
  <si>
    <t>メリッサリンクガチャ（8連）</t>
    <rPh sb="12" eb="13">
      <t>レン</t>
    </rPh>
    <phoneticPr fontId="12"/>
  </si>
  <si>
    <t>メリッサリンクガチャ（9連）</t>
    <rPh sb="12" eb="13">
      <t>レン</t>
    </rPh>
    <phoneticPr fontId="12"/>
  </si>
  <si>
    <t>メリッサリンクガチャ（10連）</t>
    <rPh sb="13" eb="14">
      <t>レン</t>
    </rPh>
    <phoneticPr fontId="12"/>
  </si>
  <si>
    <t>tips_610_03.png</t>
    <phoneticPr fontId="12"/>
  </si>
  <si>
    <t>ticket_8million_level1</t>
    <phoneticPr fontId="45"/>
  </si>
  <si>
    <t>ticket_8million_level2</t>
    <phoneticPr fontId="45"/>
  </si>
  <si>
    <t>ticket_8million_level3</t>
    <phoneticPr fontId="45"/>
  </si>
  <si>
    <t>ticket_8million_sp</t>
    <phoneticPr fontId="45"/>
  </si>
  <si>
    <t>クリスマス限定ユニット&lt;font color="#ffe22a"&gt;ラチカ&lt;/font&gt;出現中！</t>
    <phoneticPr fontId="12"/>
  </si>
  <si>
    <t>クリスマス限定ユニット&lt;font color="#0093ff"&gt;マリア&lt;/font&gt;出現中！</t>
    <phoneticPr fontId="12"/>
  </si>
  <si>
    <t>チョイス1　&lt;font color="#ffe22a"&gt;メルセンヌ&lt;/font&gt;、&lt;font color="#ffe22a"&gt;ラプラス&lt;/font&gt;出現中！</t>
    <phoneticPr fontId="12"/>
  </si>
  <si>
    <t>チョイス2　&lt;font color="#ff2626"&gt;フロイト&lt;/font&gt;、&lt;font color="#ff2626"&gt;セキ&lt;/font&gt;出現中！</t>
    <phoneticPr fontId="12"/>
  </si>
  <si>
    <t>【期間限定】&lt;font color="#ff2626"&gt;潜伏型メリッサ&lt;/font&gt;の出現率大幅UP！
メリッサリンクガチャはリンク100ptで1回引けるよ！
&lt;font color="#ffab27"&gt;※潜伏型メリッサは覚醒済みの状態では直接排出されません&lt;/font&gt;</t>
    <rPh sb="45" eb="48">
      <t>リ</t>
    </rPh>
    <phoneticPr fontId="12"/>
  </si>
  <si>
    <t>【期間限定】&lt;font color="#0093ff"&gt;増幅型モリス&lt;/font&gt;の出現率大幅UP！
モリスリンクガチャはリンク100ptで1回引けるよ！
&lt;font color="#ffab27"&gt;※増幅型モリスは覚醒済みの状態では直接排出されません&lt;/font&gt;</t>
    <phoneticPr fontId="12"/>
  </si>
  <si>
    <t>【期間限定】&lt;font color="#ffe22a"&gt;拡散性ニムダ&lt;/font&gt;の出現率大幅UP！
ニムダリンクガチャはリンク100ptで1回引けるよ！
&lt;font color="#ffab27"&gt;※拡散性ニムダは覚醒済みの状態では直接排出されません&lt;/font&gt;</t>
    <rPh sb="28" eb="31">
      <t>カクサンセイ</t>
    </rPh>
    <rPh sb="101" eb="104">
      <t>カクサンセイ</t>
    </rPh>
    <phoneticPr fontId="12"/>
  </si>
  <si>
    <t>【期間限定】&lt;font color="#00e075"&gt;ハッピー100&lt;/font&gt;の出現率大幅UP！
ハッピーリンクガチャはリンク100ptで1回引けるよ！
&lt;font color="#ffab27"&gt;※ハッピー100は覚醒済みの状態では直接排出されません&lt;/font&gt;</t>
    <rPh sb="1" eb="5">
      <t>キカｎ</t>
    </rPh>
    <phoneticPr fontId="12"/>
  </si>
  <si>
    <t>超フィーバーフェスティバル開催！《メルセンヌ》と《ラプラス》が出現中！</t>
    <rPh sb="0" eb="1">
      <t>チョ</t>
    </rPh>
    <phoneticPr fontId="12"/>
  </si>
  <si>
    <t>超フィーバーフェスティバル開催！《フロイト》と《セキ》が出現中！</t>
    <rPh sb="0" eb="1">
      <t>チョ</t>
    </rPh>
    <phoneticPr fontId="12"/>
  </si>
  <si>
    <t>超フィーバーフェスティバル開催！《ガロア》と《ポアソン》が出現中！</t>
    <rPh sb="0" eb="1">
      <t>チョ</t>
    </rPh>
    <phoneticPr fontId="12"/>
  </si>
  <si>
    <t>超フィーバーフェスティバル開催！《ベルヌーイ》と《ディラック》が出現中！</t>
    <rPh sb="0" eb="1">
      <t>チョ</t>
    </rPh>
    <phoneticPr fontId="12"/>
  </si>
  <si>
    <t>2017-06-05 15:00:00</t>
    <phoneticPr fontId="15"/>
  </si>
  <si>
    <t>ランキング対抗ガチャ&lt;シュヴァルツシルト&gt;</t>
    <phoneticPr fontId="12"/>
  </si>
  <si>
    <t>2017-06-09 15:00:00</t>
    <phoneticPr fontId="15"/>
  </si>
  <si>
    <t>2017-06-12 23:59:59</t>
    <phoneticPr fontId="15"/>
  </si>
  <si>
    <t>2017-06-11 15:00:00</t>
    <phoneticPr fontId="15"/>
  </si>
  <si>
    <t>2017-06-16 14:59:59</t>
    <phoneticPr fontId="15"/>
  </si>
  <si>
    <t>gacha611</t>
  </si>
  <si>
    <t>gacha612</t>
  </si>
  <si>
    <t>ランキング対抗の限定ユニット《シュヴァルツシルト》が出現中！さらに青属性ユニット出現率UP！</t>
    <rPh sb="33" eb="34">
      <t>ア</t>
    </rPh>
    <phoneticPr fontId="12"/>
  </si>
  <si>
    <t>595104</t>
  </si>
  <si>
    <t>595101</t>
  </si>
  <si>
    <t>595105</t>
  </si>
  <si>
    <t>tips_611_108.png</t>
    <phoneticPr fontId="12"/>
  </si>
  <si>
    <t>tips_611_103.png</t>
    <phoneticPr fontId="12"/>
  </si>
  <si>
    <t>tips_611_104.png</t>
    <phoneticPr fontId="12"/>
  </si>
  <si>
    <t>tips_611_105.png</t>
    <phoneticPr fontId="12"/>
  </si>
  <si>
    <t>tips_611_106.png</t>
    <phoneticPr fontId="12"/>
  </si>
  <si>
    <t>tips_611_107.png</t>
    <phoneticPr fontId="12"/>
  </si>
  <si>
    <t>ジューンブライドガチャSideA</t>
    <phoneticPr fontId="12"/>
  </si>
  <si>
    <t>ジューンブライドガチャSideB</t>
    <phoneticPr fontId="12"/>
  </si>
  <si>
    <t>★6のジューンブライドユニット3体中1体確定!</t>
    <rPh sb="16" eb="17">
      <t>タイ</t>
    </rPh>
    <rPh sb="17" eb="18">
      <t>チュ</t>
    </rPh>
    <rPh sb="20" eb="22">
      <t>カクテ</t>
    </rPh>
    <phoneticPr fontId="12"/>
  </si>
  <si>
    <t>2017-06-13 15:00:00</t>
    <phoneticPr fontId="15"/>
  </si>
  <si>
    <t>gacha613</t>
  </si>
  <si>
    <t>gacha614</t>
  </si>
  <si>
    <t>今だけ！ジューンブライド限定ユニットが出現中！</t>
    <rPh sb="12" eb="14">
      <t>バレンタインゲンテ</t>
    </rPh>
    <phoneticPr fontId="12"/>
  </si>
  <si>
    <t>tips_613_05.png</t>
    <phoneticPr fontId="12"/>
  </si>
  <si>
    <t>tips_614_05.png</t>
    <phoneticPr fontId="12"/>
  </si>
  <si>
    <t>ジューンブライドチケットガチャSideA</t>
    <phoneticPr fontId="12"/>
  </si>
  <si>
    <t>ジューンブライドチケットガチャSideB</t>
    <phoneticPr fontId="12"/>
  </si>
  <si>
    <t>2017-06-21 14:59:59</t>
    <phoneticPr fontId="15"/>
  </si>
  <si>
    <t>ジューンブライド限定ユニット出現中！</t>
    <rPh sb="8" eb="10">
      <t>ゲンテ</t>
    </rPh>
    <rPh sb="14" eb="17">
      <t>シュツゲンｔｙ</t>
    </rPh>
    <phoneticPr fontId="12"/>
  </si>
  <si>
    <t>ticket_juneBride</t>
    <phoneticPr fontId="45"/>
  </si>
  <si>
    <t>ジューンブライド_レッドブーケガチャ</t>
    <phoneticPr fontId="12"/>
  </si>
  <si>
    <t>ジューンブライド_レッドブーケガチャ10連</t>
    <rPh sb="20" eb="21">
      <t>レｎ</t>
    </rPh>
    <phoneticPr fontId="12"/>
  </si>
  <si>
    <t>ジューンブライド_グリーンブーケガチャ</t>
    <phoneticPr fontId="12"/>
  </si>
  <si>
    <t>ジューンブライド_グリーンブーケガチャ10連</t>
    <rPh sb="21" eb="22">
      <t>レｎ</t>
    </rPh>
    <phoneticPr fontId="12"/>
  </si>
  <si>
    <t>&lt;font color="#ffab27"&gt;※1回につき1個のグリーンブーケが必要です&lt;/font&gt;</t>
    <rPh sb="29" eb="30">
      <t>ｋ</t>
    </rPh>
    <phoneticPr fontId="12"/>
  </si>
  <si>
    <t>&lt;font color="#ffab27"&gt;※1回につき10個のグリーンブーケが必要です&lt;/font&gt;</t>
    <rPh sb="30" eb="31">
      <t>ｋ</t>
    </rPh>
    <phoneticPr fontId="12"/>
  </si>
  <si>
    <t>&lt;font color="#ffab27"&gt;※1回につき1個のレッドブーケが必要です&lt;/font&gt;</t>
    <rPh sb="29" eb="30">
      <t>ｋ</t>
    </rPh>
    <phoneticPr fontId="12"/>
  </si>
  <si>
    <t>&lt;font color="#ffab27"&gt;※1回につき10個のレッドブーケが必要です&lt;/font&gt;</t>
    <rPh sb="30" eb="31">
      <t>ｋ</t>
    </rPh>
    <phoneticPr fontId="12"/>
  </si>
  <si>
    <t>レッドブーケを集めて豪華素材をGETしよう！</t>
    <phoneticPr fontId="12"/>
  </si>
  <si>
    <t>グリーンブーケを集めて豪華素材をGETしよう！</t>
    <phoneticPr fontId="12"/>
  </si>
  <si>
    <t>ticket_red_bouquet</t>
    <phoneticPr fontId="12"/>
  </si>
  <si>
    <t>ticket_green_bouquet</t>
    <phoneticPr fontId="12"/>
  </si>
  <si>
    <t>614100</t>
  </si>
  <si>
    <t>613100</t>
    <phoneticPr fontId="12"/>
  </si>
  <si>
    <t>&lt;font color="#ffab27"&gt;※ジューンブライドユニット以外のユニットも排出されます&lt;/font&gt;</t>
    <rPh sb="43" eb="45">
      <t>イガイノユ</t>
    </rPh>
    <phoneticPr fontId="12"/>
  </si>
  <si>
    <t>tips_7344_01.png</t>
    <phoneticPr fontId="12"/>
  </si>
  <si>
    <t>tips_7344_02.png</t>
  </si>
  <si>
    <t>tips_7344_03.png</t>
  </si>
  <si>
    <t>tips_7344_04.png</t>
  </si>
  <si>
    <t>tips_7344_05.png</t>
  </si>
  <si>
    <t>tips_7344_06.png</t>
  </si>
  <si>
    <t>tips_7344_07.png</t>
  </si>
  <si>
    <t>tips_7344_08.png</t>
  </si>
  <si>
    <t>tips_7344_09.png</t>
  </si>
  <si>
    <t>tips_7344_10.png</t>
  </si>
  <si>
    <t>tips_529_r5over.png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</si>
</sst>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\-mm\-dd\ hh:mm:ss"/>
    <numFmt numFmtId="177" formatCode="0_);[Red]\(0\)"/>
  </numFmts>
  <fonts count="56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6"/>
      <name val="ＭＳ Ｐゴシック"/>
      <family val="2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11"/>
      <color indexed="81"/>
      <name val="ＭＳ Ｐゴシック"/>
      <family val="3"/>
      <charset val="128"/>
    </font>
    <font>
      <b/>
      <sz val="11"/>
      <color indexed="81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2"/>
      <color rgb="FF000000"/>
      <name val="ＭＳ Ｐゴシック"/>
      <family val="3"/>
      <charset val="128"/>
    </font>
    <font>
      <sz val="13"/>
      <color rgb="FF000000"/>
      <name val="Arial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49998474074526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5244">
    <xf numFmtId="0" fontId="0" fillId="0" borderId="0"/>
    <xf numFmtId="0" fontId="11" fillId="0" borderId="0"/>
    <xf numFmtId="0" fontId="16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0" fillId="0" borderId="0"/>
    <xf numFmtId="0" fontId="22" fillId="7" borderId="2" applyNumberFormat="0" applyAlignment="0" applyProtection="0"/>
    <xf numFmtId="0" fontId="23" fillId="8" borderId="0" applyNumberFormat="0" applyBorder="0" applyAlignment="0" applyProtection="0"/>
    <xf numFmtId="0" fontId="24" fillId="9" borderId="3" applyNumberFormat="0" applyAlignment="0" applyProtection="0"/>
    <xf numFmtId="0" fontId="25" fillId="0" borderId="0" applyNumberFormat="0" applyFill="0" applyBorder="0" applyAlignment="0" applyProtection="0"/>
    <xf numFmtId="0" fontId="26" fillId="10" borderId="0" applyNumberFormat="0" applyBorder="0" applyAlignment="0" applyProtection="0"/>
    <xf numFmtId="0" fontId="27" fillId="11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9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3" borderId="0" applyNumberFormat="0" applyBorder="0" applyAlignment="0" applyProtection="0"/>
    <xf numFmtId="0" fontId="32" fillId="7" borderId="0" applyNumberFormat="0" applyBorder="0" applyAlignment="0" applyProtection="0"/>
    <xf numFmtId="0" fontId="32" fillId="9" borderId="0" applyNumberFormat="0" applyBorder="0" applyAlignment="0" applyProtection="0"/>
    <xf numFmtId="0" fontId="32" fillId="14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5" borderId="0" applyNumberFormat="0" applyBorder="0" applyAlignment="0" applyProtection="0"/>
    <xf numFmtId="0" fontId="32" fillId="8" borderId="0" applyNumberFormat="0" applyBorder="0" applyAlignment="0" applyProtection="0"/>
    <xf numFmtId="0" fontId="33" fillId="16" borderId="0" applyNumberFormat="0" applyBorder="0" applyAlignment="0" applyProtection="0"/>
    <xf numFmtId="0" fontId="33" fillId="14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6" borderId="0" applyNumberFormat="0" applyBorder="0" applyAlignment="0" applyProtection="0"/>
    <xf numFmtId="0" fontId="33" fillId="8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2" borderId="0" applyNumberFormat="0" applyBorder="0" applyAlignment="0" applyProtection="0"/>
    <xf numFmtId="0" fontId="33" fillId="18" borderId="0" applyNumberFormat="0" applyBorder="0" applyAlignment="0" applyProtection="0"/>
    <xf numFmtId="0" fontId="33" fillId="16" borderId="0" applyNumberFormat="0" applyBorder="0" applyAlignment="0" applyProtection="0"/>
    <xf numFmtId="0" fontId="33" fillId="14" borderId="0" applyNumberFormat="0" applyBorder="0" applyAlignment="0" applyProtection="0"/>
    <xf numFmtId="0" fontId="34" fillId="19" borderId="0" applyNumberFormat="0" applyBorder="0" applyAlignment="0" applyProtection="0"/>
    <xf numFmtId="0" fontId="23" fillId="8" borderId="0" applyNumberFormat="0" applyBorder="0" applyAlignment="0" applyProtection="0"/>
    <xf numFmtId="0" fontId="35" fillId="0" borderId="8" applyNumberFormat="0" applyFill="0" applyAlignment="0" applyProtection="0"/>
    <xf numFmtId="0" fontId="36" fillId="9" borderId="9" applyNumberFormat="0" applyAlignment="0" applyProtection="0"/>
    <xf numFmtId="0" fontId="36" fillId="20" borderId="9" applyNumberFormat="0" applyAlignment="0" applyProtection="0"/>
    <xf numFmtId="0" fontId="24" fillId="8" borderId="3" applyNumberFormat="0" applyAlignment="0" applyProtection="0"/>
    <xf numFmtId="0" fontId="37" fillId="0" borderId="10" applyNumberFormat="0" applyFill="0" applyAlignment="0" applyProtection="0"/>
    <xf numFmtId="0" fontId="38" fillId="20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10" fillId="0" borderId="0" applyFont="0" applyFill="0" applyBorder="0" applyAlignment="0" applyProtection="0">
      <alignment vertical="center"/>
    </xf>
    <xf numFmtId="0" fontId="41" fillId="21" borderId="0" applyNumberFormat="0" applyBorder="0" applyAlignment="0" applyProtection="0"/>
    <xf numFmtId="0" fontId="42" fillId="22" borderId="0" applyNumberFormat="0" applyBorder="0" applyAlignment="0" applyProtection="0"/>
    <xf numFmtId="0" fontId="10" fillId="0" borderId="0"/>
    <xf numFmtId="0" fontId="43" fillId="22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6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38" fontId="4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" fillId="0" borderId="0"/>
    <xf numFmtId="0" fontId="22" fillId="0" borderId="0"/>
    <xf numFmtId="0" fontId="53" fillId="0" borderId="0"/>
    <xf numFmtId="0" fontId="1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156">
    <xf numFmtId="0" fontId="0" fillId="0" borderId="0" xfId="0"/>
    <xf numFmtId="0" fontId="17" fillId="0" borderId="0" xfId="2" applyFont="1" applyAlignment="1">
      <alignment vertical="center"/>
    </xf>
    <xf numFmtId="0" fontId="17" fillId="0" borderId="1" xfId="2" applyFont="1" applyBorder="1" applyAlignment="1">
      <alignment vertical="center"/>
    </xf>
    <xf numFmtId="22" fontId="17" fillId="0" borderId="1" xfId="2" quotePrefix="1" applyNumberFormat="1" applyFont="1" applyBorder="1" applyAlignment="1">
      <alignment vertical="center"/>
    </xf>
    <xf numFmtId="0" fontId="17" fillId="3" borderId="1" xfId="2" applyFont="1" applyFill="1" applyBorder="1" applyAlignment="1">
      <alignment horizontal="center" vertical="center"/>
    </xf>
    <xf numFmtId="0" fontId="17" fillId="2" borderId="1" xfId="2" applyFont="1" applyFill="1" applyBorder="1" applyAlignment="1">
      <alignment horizontal="center" vertical="center"/>
    </xf>
    <xf numFmtId="0" fontId="17" fillId="5" borderId="1" xfId="2" applyFont="1" applyFill="1" applyBorder="1" applyAlignment="1">
      <alignment vertical="center"/>
    </xf>
    <xf numFmtId="0" fontId="18" fillId="0" borderId="1" xfId="0" applyFont="1" applyBorder="1" applyAlignment="1">
      <alignment horizontal="right" vertical="center" wrapText="1"/>
    </xf>
    <xf numFmtId="22" fontId="17" fillId="3" borderId="1" xfId="2" quotePrefix="1" applyNumberFormat="1" applyFont="1" applyFill="1" applyBorder="1" applyAlignment="1">
      <alignment vertical="center"/>
    </xf>
    <xf numFmtId="0" fontId="17" fillId="4" borderId="1" xfId="2" applyFont="1" applyFill="1" applyBorder="1" applyAlignment="1">
      <alignment horizontal="center" vertical="center"/>
    </xf>
    <xf numFmtId="0" fontId="21" fillId="6" borderId="0" xfId="2" applyFont="1" applyFill="1" applyAlignment="1">
      <alignment vertical="center"/>
    </xf>
    <xf numFmtId="49" fontId="17" fillId="0" borderId="1" xfId="2" quotePrefix="1" applyNumberFormat="1" applyFont="1" applyBorder="1" applyAlignment="1">
      <alignment vertical="center" wrapText="1"/>
    </xf>
    <xf numFmtId="0" fontId="17" fillId="3" borderId="1" xfId="2" quotePrefix="1" applyNumberFormat="1" applyFont="1" applyFill="1" applyBorder="1" applyAlignment="1">
      <alignment vertical="center"/>
    </xf>
    <xf numFmtId="0" fontId="17" fillId="3" borderId="1" xfId="2" quotePrefix="1" applyNumberFormat="1" applyFont="1" applyFill="1" applyBorder="1" applyAlignment="1">
      <alignment vertical="center" wrapText="1"/>
    </xf>
    <xf numFmtId="0" fontId="18" fillId="5" borderId="1" xfId="0" applyFont="1" applyFill="1" applyBorder="1" applyAlignment="1">
      <alignment horizontal="right" vertical="center" wrapText="1"/>
    </xf>
    <xf numFmtId="0" fontId="17" fillId="23" borderId="1" xfId="2" applyFont="1" applyFill="1" applyBorder="1" applyAlignment="1">
      <alignment vertical="center"/>
    </xf>
    <xf numFmtId="0" fontId="17" fillId="0" borderId="1" xfId="2" quotePrefix="1" applyNumberFormat="1" applyFont="1" applyFill="1" applyBorder="1" applyAlignment="1">
      <alignment vertical="center" wrapText="1"/>
    </xf>
    <xf numFmtId="0" fontId="17" fillId="3" borderId="1" xfId="2" applyFont="1" applyFill="1" applyBorder="1" applyAlignment="1">
      <alignment vertical="center"/>
    </xf>
    <xf numFmtId="0" fontId="17" fillId="0" borderId="1" xfId="2" applyFont="1" applyFill="1" applyBorder="1" applyAlignment="1">
      <alignment vertical="center"/>
    </xf>
    <xf numFmtId="0" fontId="17" fillId="24" borderId="1" xfId="2" applyFont="1" applyFill="1" applyBorder="1" applyAlignment="1">
      <alignment vertical="center"/>
    </xf>
    <xf numFmtId="0" fontId="17" fillId="0" borderId="1" xfId="2" quotePrefix="1" applyNumberFormat="1" applyFont="1" applyFill="1" applyBorder="1" applyAlignment="1">
      <alignment vertical="center"/>
    </xf>
    <xf numFmtId="0" fontId="17" fillId="0" borderId="1" xfId="2" quotePrefix="1" applyNumberFormat="1" applyFont="1" applyBorder="1" applyAlignment="1">
      <alignment vertical="center"/>
    </xf>
    <xf numFmtId="0" fontId="17" fillId="2" borderId="1" xfId="2" applyFont="1" applyFill="1" applyBorder="1" applyAlignment="1">
      <alignment vertical="center"/>
    </xf>
    <xf numFmtId="0" fontId="17" fillId="0" borderId="1" xfId="2" applyFont="1" applyFill="1" applyBorder="1" applyAlignment="1">
      <alignment horizontal="center" vertical="center"/>
    </xf>
    <xf numFmtId="0" fontId="17" fillId="0" borderId="1" xfId="2" applyFont="1" applyFill="1" applyBorder="1" applyAlignment="1">
      <alignment horizontal="right" vertical="center"/>
    </xf>
    <xf numFmtId="0" fontId="21" fillId="6" borderId="0" xfId="2" applyFont="1" applyFill="1" applyAlignment="1">
      <alignment horizontal="right" vertical="center"/>
    </xf>
    <xf numFmtId="0" fontId="17" fillId="0" borderId="1" xfId="2" applyFont="1" applyBorder="1" applyAlignment="1">
      <alignment vertical="center" wrapText="1"/>
    </xf>
    <xf numFmtId="0" fontId="17" fillId="0" borderId="1" xfId="2" quotePrefix="1" applyFont="1" applyBorder="1" applyAlignment="1">
      <alignment vertical="center" wrapText="1"/>
    </xf>
    <xf numFmtId="176" fontId="17" fillId="0" borderId="1" xfId="2" quotePrefix="1" applyNumberFormat="1" applyFont="1" applyFill="1" applyBorder="1" applyAlignment="1">
      <alignment horizontal="center" vertical="center"/>
    </xf>
    <xf numFmtId="0" fontId="17" fillId="25" borderId="1" xfId="2" applyFont="1" applyFill="1" applyBorder="1" applyAlignment="1">
      <alignment horizontal="center" vertical="center"/>
    </xf>
    <xf numFmtId="0" fontId="17" fillId="25" borderId="1" xfId="2" applyFont="1" applyFill="1" applyBorder="1" applyAlignment="1">
      <alignment vertical="center"/>
    </xf>
    <xf numFmtId="0" fontId="44" fillId="26" borderId="1" xfId="3960" applyFont="1" applyFill="1" applyBorder="1"/>
    <xf numFmtId="0" fontId="6" fillId="26" borderId="1" xfId="3960" applyFill="1" applyBorder="1"/>
    <xf numFmtId="0" fontId="6" fillId="0" borderId="0" xfId="3960"/>
    <xf numFmtId="0" fontId="6" fillId="0" borderId="1" xfId="3960" applyBorder="1"/>
    <xf numFmtId="0" fontId="6" fillId="0" borderId="1" xfId="3960" applyFill="1" applyBorder="1"/>
    <xf numFmtId="0" fontId="17" fillId="2" borderId="1" xfId="19" applyFont="1" applyFill="1" applyBorder="1" applyAlignment="1">
      <alignment horizontal="center"/>
    </xf>
    <xf numFmtId="0" fontId="9" fillId="2" borderId="1" xfId="19" applyFont="1" applyFill="1" applyBorder="1"/>
    <xf numFmtId="0" fontId="10" fillId="2" borderId="1" xfId="19" applyFont="1" applyFill="1" applyBorder="1"/>
    <xf numFmtId="0" fontId="7" fillId="2" borderId="1" xfId="19" applyFont="1" applyFill="1" applyBorder="1"/>
    <xf numFmtId="0" fontId="8" fillId="2" borderId="1" xfId="19" applyFont="1" applyFill="1" applyBorder="1"/>
    <xf numFmtId="0" fontId="5" fillId="0" borderId="1" xfId="3960" applyFont="1" applyBorder="1"/>
    <xf numFmtId="49" fontId="17" fillId="0" borderId="1" xfId="2" applyNumberFormat="1" applyFont="1" applyBorder="1" applyAlignment="1">
      <alignment vertical="center"/>
    </xf>
    <xf numFmtId="49" fontId="17" fillId="4" borderId="1" xfId="2" applyNumberFormat="1" applyFont="1" applyFill="1" applyBorder="1" applyAlignment="1">
      <alignment horizontal="center" vertical="center"/>
    </xf>
    <xf numFmtId="49" fontId="17" fillId="0" borderId="0" xfId="2" applyNumberFormat="1" applyFont="1" applyAlignment="1">
      <alignment vertical="center"/>
    </xf>
    <xf numFmtId="0" fontId="44" fillId="26" borderId="1" xfId="0" applyFont="1" applyFill="1" applyBorder="1"/>
    <xf numFmtId="0" fontId="4" fillId="0" borderId="1" xfId="4030" applyFont="1" applyBorder="1"/>
    <xf numFmtId="38" fontId="17" fillId="0" borderId="1" xfId="4047" quotePrefix="1" applyFont="1" applyBorder="1" applyAlignment="1">
      <alignment vertical="center"/>
    </xf>
    <xf numFmtId="0" fontId="17" fillId="27" borderId="1" xfId="2" applyFont="1" applyFill="1" applyBorder="1" applyAlignment="1">
      <alignment horizontal="center" vertical="center"/>
    </xf>
    <xf numFmtId="0" fontId="17" fillId="0" borderId="0" xfId="2" applyFont="1" applyAlignment="1">
      <alignment vertical="center" wrapText="1"/>
    </xf>
    <xf numFmtId="0" fontId="17" fillId="5" borderId="1" xfId="2" applyFont="1" applyFill="1" applyBorder="1" applyAlignment="1">
      <alignment vertical="center" wrapText="1"/>
    </xf>
    <xf numFmtId="0" fontId="17" fillId="0" borderId="0" xfId="2" applyFont="1" applyFill="1" applyAlignment="1">
      <alignment vertical="center"/>
    </xf>
    <xf numFmtId="0" fontId="17" fillId="3" borderId="1" xfId="2" applyFont="1" applyFill="1" applyBorder="1" applyAlignment="1">
      <alignment horizontal="left" vertical="center"/>
    </xf>
    <xf numFmtId="22" fontId="17" fillId="0" borderId="1" xfId="2" quotePrefix="1" applyNumberFormat="1" applyFont="1" applyFill="1" applyBorder="1" applyAlignment="1">
      <alignment vertical="center"/>
    </xf>
    <xf numFmtId="49" fontId="17" fillId="0" borderId="1" xfId="2" applyNumberFormat="1" applyFont="1" applyFill="1" applyBorder="1" applyAlignment="1">
      <alignment vertical="center"/>
    </xf>
    <xf numFmtId="49" fontId="17" fillId="0" borderId="1" xfId="2" quotePrefix="1" applyNumberFormat="1" applyFont="1" applyBorder="1" applyAlignment="1">
      <alignment vertical="center"/>
    </xf>
    <xf numFmtId="0" fontId="17" fillId="0" borderId="1" xfId="2" applyFont="1" applyBorder="1" applyAlignment="1">
      <alignment horizontal="right" vertical="center"/>
    </xf>
    <xf numFmtId="0" fontId="3" fillId="2" borderId="1" xfId="3960" applyFont="1" applyFill="1" applyBorder="1"/>
    <xf numFmtId="0" fontId="48" fillId="0" borderId="1" xfId="0" applyFont="1" applyBorder="1" applyAlignment="1">
      <alignment vertical="center"/>
    </xf>
    <xf numFmtId="0" fontId="49" fillId="0" borderId="1" xfId="0" applyFont="1" applyBorder="1" applyAlignment="1">
      <alignment vertical="center"/>
    </xf>
    <xf numFmtId="0" fontId="17" fillId="5" borderId="1" xfId="2" applyFont="1" applyFill="1" applyBorder="1" applyAlignment="1">
      <alignment horizontal="right" vertical="center"/>
    </xf>
    <xf numFmtId="22" fontId="17" fillId="28" borderId="1" xfId="2" quotePrefix="1" applyNumberFormat="1" applyFont="1" applyFill="1" applyBorder="1" applyAlignment="1">
      <alignment vertical="center"/>
    </xf>
    <xf numFmtId="0" fontId="17" fillId="28" borderId="1" xfId="2" applyFont="1" applyFill="1" applyBorder="1" applyAlignment="1">
      <alignment vertical="center"/>
    </xf>
    <xf numFmtId="49" fontId="17" fillId="28" borderId="1" xfId="2" quotePrefix="1" applyNumberFormat="1" applyFont="1" applyFill="1" applyBorder="1" applyAlignment="1">
      <alignment vertical="center"/>
    </xf>
    <xf numFmtId="0" fontId="48" fillId="0" borderId="1" xfId="0" applyFont="1" applyFill="1" applyBorder="1" applyAlignment="1">
      <alignment horizontal="center" vertical="center"/>
    </xf>
    <xf numFmtId="0" fontId="21" fillId="29" borderId="1" xfId="2" applyFont="1" applyFill="1" applyBorder="1" applyAlignment="1">
      <alignment vertical="center"/>
    </xf>
    <xf numFmtId="0" fontId="17" fillId="5" borderId="1" xfId="2" applyFont="1" applyFill="1" applyBorder="1" applyAlignment="1">
      <alignment horizontal="center" vertical="center"/>
    </xf>
    <xf numFmtId="0" fontId="21" fillId="29" borderId="1" xfId="2" applyFont="1" applyFill="1" applyBorder="1" applyAlignment="1">
      <alignment vertical="center" wrapText="1"/>
    </xf>
    <xf numFmtId="38" fontId="17" fillId="5" borderId="1" xfId="4047" quotePrefix="1" applyFont="1" applyFill="1" applyBorder="1" applyAlignment="1">
      <alignment vertical="center"/>
    </xf>
    <xf numFmtId="0" fontId="17" fillId="5" borderId="1" xfId="2" quotePrefix="1" applyNumberFormat="1" applyFont="1" applyFill="1" applyBorder="1" applyAlignment="1">
      <alignment vertical="center" wrapText="1"/>
    </xf>
    <xf numFmtId="0" fontId="2" fillId="0" borderId="1" xfId="3960" applyFont="1" applyBorder="1"/>
    <xf numFmtId="0" fontId="17" fillId="2" borderId="1" xfId="2" applyFont="1" applyFill="1" applyBorder="1" applyAlignment="1">
      <alignment horizontal="left" vertical="center"/>
    </xf>
    <xf numFmtId="0" fontId="2" fillId="0" borderId="1" xfId="4030" applyFont="1" applyBorder="1"/>
    <xf numFmtId="0" fontId="2" fillId="2" borderId="1" xfId="19" applyFont="1" applyFill="1" applyBorder="1"/>
    <xf numFmtId="0" fontId="17" fillId="28" borderId="1" xfId="2" applyFont="1" applyFill="1" applyBorder="1" applyAlignment="1">
      <alignment horizontal="right" vertical="center"/>
    </xf>
    <xf numFmtId="0" fontId="17" fillId="2" borderId="0" xfId="2" applyFont="1" applyFill="1" applyBorder="1" applyAlignment="1">
      <alignment vertical="center"/>
    </xf>
    <xf numFmtId="38" fontId="17" fillId="0" borderId="1" xfId="4047" quotePrefix="1" applyFont="1" applyFill="1" applyBorder="1" applyAlignment="1">
      <alignment vertical="center"/>
    </xf>
    <xf numFmtId="49" fontId="17" fillId="0" borderId="1" xfId="2" quotePrefix="1" applyNumberFormat="1" applyFont="1" applyFill="1" applyBorder="1" applyAlignment="1">
      <alignment vertical="center"/>
    </xf>
    <xf numFmtId="0" fontId="0" fillId="0" borderId="1" xfId="0" applyBorder="1"/>
    <xf numFmtId="0" fontId="0" fillId="26" borderId="1" xfId="0" applyFill="1" applyBorder="1"/>
    <xf numFmtId="0" fontId="17" fillId="30" borderId="1" xfId="0" applyFont="1" applyFill="1" applyBorder="1" applyAlignment="1">
      <alignment horizontal="center"/>
    </xf>
    <xf numFmtId="0" fontId="0" fillId="30" borderId="1" xfId="0" applyFont="1" applyFill="1" applyBorder="1"/>
    <xf numFmtId="0" fontId="52" fillId="2" borderId="12" xfId="5230" applyFont="1" applyFill="1" applyBorder="1" applyAlignment="1">
      <alignment horizontal="center"/>
    </xf>
    <xf numFmtId="0" fontId="22" fillId="30" borderId="1" xfId="523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54" fillId="30" borderId="1" xfId="5232" applyFont="1" applyFill="1" applyBorder="1" applyAlignment="1">
      <alignment horizontal="center" vertical="center"/>
    </xf>
    <xf numFmtId="0" fontId="22" fillId="31" borderId="12" xfId="5231" applyFill="1" applyBorder="1" applyAlignment="1">
      <alignment horizontal="center" vertical="center"/>
    </xf>
    <xf numFmtId="0" fontId="22" fillId="0" borderId="0" xfId="5231"/>
    <xf numFmtId="0" fontId="0" fillId="0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22" fillId="3" borderId="0" xfId="5231" applyFill="1"/>
    <xf numFmtId="0" fontId="22" fillId="0" borderId="0" xfId="5231" applyFill="1"/>
    <xf numFmtId="0" fontId="52" fillId="2" borderId="0" xfId="5230" applyFont="1" applyFill="1" applyBorder="1" applyAlignment="1">
      <alignment horizontal="left"/>
    </xf>
    <xf numFmtId="0" fontId="0" fillId="30" borderId="1" xfId="0" applyFill="1" applyBorder="1" applyAlignment="1">
      <alignment vertical="center"/>
    </xf>
    <xf numFmtId="0" fontId="0" fillId="5" borderId="1" xfId="0" applyFill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vertical="center"/>
    </xf>
    <xf numFmtId="0" fontId="52" fillId="0" borderId="0" xfId="5230" applyFont="1" applyFill="1"/>
    <xf numFmtId="0" fontId="0" fillId="0" borderId="0" xfId="0" applyAlignment="1">
      <alignment vertical="center"/>
    </xf>
    <xf numFmtId="0" fontId="17" fillId="3" borderId="1" xfId="2" applyFont="1" applyFill="1" applyBorder="1" applyAlignment="1">
      <alignment horizontal="right" vertical="center"/>
    </xf>
    <xf numFmtId="0" fontId="22" fillId="3" borderId="1" xfId="5231" applyFill="1" applyBorder="1"/>
    <xf numFmtId="0" fontId="22" fillId="0" borderId="1" xfId="5231" applyFill="1" applyBorder="1"/>
    <xf numFmtId="0" fontId="22" fillId="5" borderId="1" xfId="5231" applyFill="1" applyBorder="1"/>
    <xf numFmtId="0" fontId="18" fillId="0" borderId="1" xfId="2" applyFont="1" applyFill="1" applyBorder="1" applyAlignment="1">
      <alignment vertical="center"/>
    </xf>
    <xf numFmtId="0" fontId="17" fillId="5" borderId="1" xfId="2" quotePrefix="1" applyFont="1" applyFill="1" applyBorder="1" applyAlignment="1">
      <alignment vertical="center" wrapText="1"/>
    </xf>
    <xf numFmtId="49" fontId="17" fillId="5" borderId="1" xfId="2" quotePrefix="1" applyNumberFormat="1" applyFont="1" applyFill="1" applyBorder="1" applyAlignment="1">
      <alignment vertical="center"/>
    </xf>
    <xf numFmtId="0" fontId="17" fillId="5" borderId="1" xfId="2" quotePrefix="1" applyFont="1" applyFill="1" applyBorder="1" applyAlignment="1">
      <alignment vertical="center"/>
    </xf>
    <xf numFmtId="49" fontId="17" fillId="5" borderId="1" xfId="2" applyNumberFormat="1" applyFont="1" applyFill="1" applyBorder="1" applyAlignment="1">
      <alignment vertical="center"/>
    </xf>
    <xf numFmtId="0" fontId="0" fillId="5" borderId="1" xfId="0" quotePrefix="1" applyFill="1" applyBorder="1" applyAlignment="1">
      <alignment vertical="center"/>
    </xf>
    <xf numFmtId="0" fontId="17" fillId="0" borderId="1" xfId="2" quotePrefix="1" applyFont="1" applyFill="1" applyBorder="1" applyAlignment="1">
      <alignment vertical="center"/>
    </xf>
    <xf numFmtId="0" fontId="17" fillId="0" borderId="1" xfId="2" quotePrefix="1" applyFont="1" applyBorder="1" applyAlignment="1">
      <alignment vertical="center"/>
    </xf>
    <xf numFmtId="0" fontId="17" fillId="0" borderId="1" xfId="2" applyFont="1" applyFill="1" applyBorder="1" applyAlignment="1">
      <alignment vertical="center" wrapText="1"/>
    </xf>
    <xf numFmtId="177" fontId="17" fillId="0" borderId="1" xfId="4047" quotePrefix="1" applyNumberFormat="1" applyFont="1" applyBorder="1" applyAlignment="1">
      <alignment vertical="center"/>
    </xf>
    <xf numFmtId="177" fontId="17" fillId="2" borderId="1" xfId="2" applyNumberFormat="1" applyFont="1" applyFill="1" applyBorder="1" applyAlignment="1">
      <alignment horizontal="center" vertical="center"/>
    </xf>
    <xf numFmtId="177" fontId="17" fillId="0" borderId="1" xfId="2" applyNumberFormat="1" applyFont="1" applyFill="1" applyBorder="1" applyAlignment="1">
      <alignment horizontal="right" vertical="center"/>
    </xf>
    <xf numFmtId="177" fontId="17" fillId="0" borderId="1" xfId="2" quotePrefix="1" applyNumberFormat="1" applyFont="1" applyBorder="1" applyAlignment="1">
      <alignment vertical="center"/>
    </xf>
    <xf numFmtId="177" fontId="17" fillId="0" borderId="1" xfId="2" applyNumberFormat="1" applyFont="1" applyBorder="1" applyAlignment="1">
      <alignment vertical="center"/>
    </xf>
    <xf numFmtId="177" fontId="17" fillId="0" borderId="1" xfId="2" applyNumberFormat="1" applyFont="1" applyBorder="1" applyAlignment="1">
      <alignment horizontal="right" vertical="center"/>
    </xf>
    <xf numFmtId="177" fontId="17" fillId="0" borderId="1" xfId="4047" quotePrefix="1" applyNumberFormat="1" applyFont="1" applyBorder="1" applyAlignment="1">
      <alignment horizontal="right" vertical="center"/>
    </xf>
    <xf numFmtId="177" fontId="17" fillId="5" borderId="1" xfId="2" applyNumberFormat="1" applyFont="1" applyFill="1" applyBorder="1" applyAlignment="1">
      <alignment horizontal="right" vertical="center"/>
    </xf>
    <xf numFmtId="177" fontId="17" fillId="3" borderId="1" xfId="2" applyNumberFormat="1" applyFont="1" applyFill="1" applyBorder="1" applyAlignment="1">
      <alignment vertical="center"/>
    </xf>
    <xf numFmtId="177" fontId="18" fillId="5" borderId="1" xfId="2" applyNumberFormat="1" applyFont="1" applyFill="1" applyBorder="1" applyAlignment="1">
      <alignment vertical="center"/>
    </xf>
    <xf numFmtId="177" fontId="17" fillId="5" borderId="1" xfId="4047" quotePrefix="1" applyNumberFormat="1" applyFont="1" applyFill="1" applyBorder="1" applyAlignment="1">
      <alignment horizontal="right" vertical="center"/>
    </xf>
    <xf numFmtId="177" fontId="21" fillId="29" borderId="1" xfId="2" applyNumberFormat="1" applyFont="1" applyFill="1" applyBorder="1" applyAlignment="1">
      <alignment horizontal="right" vertical="center"/>
    </xf>
    <xf numFmtId="177" fontId="21" fillId="29" borderId="1" xfId="2" applyNumberFormat="1" applyFont="1" applyFill="1" applyBorder="1" applyAlignment="1">
      <alignment vertical="center"/>
    </xf>
    <xf numFmtId="177" fontId="17" fillId="5" borderId="1" xfId="4047" quotePrefix="1" applyNumberFormat="1" applyFont="1" applyFill="1" applyBorder="1" applyAlignment="1">
      <alignment vertical="center"/>
    </xf>
    <xf numFmtId="177" fontId="17" fillId="0" borderId="1" xfId="2" quotePrefix="1" applyNumberFormat="1" applyFont="1" applyFill="1" applyBorder="1" applyAlignment="1">
      <alignment horizontal="right" vertical="center"/>
    </xf>
    <xf numFmtId="177" fontId="17" fillId="5" borderId="1" xfId="2" quotePrefix="1" applyNumberFormat="1" applyFont="1" applyFill="1" applyBorder="1" applyAlignment="1">
      <alignment horizontal="right" vertical="center"/>
    </xf>
    <xf numFmtId="177" fontId="17" fillId="0" borderId="1" xfId="4047" quotePrefix="1" applyNumberFormat="1" applyFont="1" applyFill="1" applyBorder="1" applyAlignment="1">
      <alignment horizontal="right" vertical="center"/>
    </xf>
    <xf numFmtId="177" fontId="17" fillId="23" borderId="1" xfId="2" applyNumberFormat="1" applyFont="1" applyFill="1" applyBorder="1" applyAlignment="1">
      <alignment horizontal="right" vertical="center"/>
    </xf>
    <xf numFmtId="177" fontId="18" fillId="28" borderId="1" xfId="2" applyNumberFormat="1" applyFont="1" applyFill="1" applyBorder="1" applyAlignment="1">
      <alignment horizontal="right" vertical="center"/>
    </xf>
    <xf numFmtId="177" fontId="18" fillId="28" borderId="1" xfId="2" quotePrefix="1" applyNumberFormat="1" applyFont="1" applyFill="1" applyBorder="1" applyAlignment="1">
      <alignment horizontal="right" vertical="center"/>
    </xf>
    <xf numFmtId="177" fontId="18" fillId="5" borderId="1" xfId="2" quotePrefix="1" applyNumberFormat="1" applyFont="1" applyFill="1" applyBorder="1" applyAlignment="1">
      <alignment horizontal="right" vertical="center"/>
    </xf>
    <xf numFmtId="177" fontId="17" fillId="5" borderId="1" xfId="2" applyNumberFormat="1" applyFont="1" applyFill="1" applyBorder="1" applyAlignment="1">
      <alignment vertical="center"/>
    </xf>
    <xf numFmtId="177" fontId="17" fillId="5" borderId="1" xfId="2" quotePrefix="1" applyNumberFormat="1" applyFont="1" applyFill="1" applyBorder="1" applyAlignment="1">
      <alignment vertical="center"/>
    </xf>
    <xf numFmtId="177" fontId="17" fillId="0" borderId="0" xfId="2" applyNumberFormat="1" applyFont="1" applyAlignment="1">
      <alignment vertical="center"/>
    </xf>
    <xf numFmtId="0" fontId="17" fillId="0" borderId="13" xfId="2" applyFont="1" applyFill="1" applyBorder="1" applyAlignment="1">
      <alignment vertical="center" wrapText="1"/>
    </xf>
    <xf numFmtId="0" fontId="48" fillId="0" borderId="14" xfId="0" applyFont="1" applyFill="1" applyBorder="1" applyAlignment="1">
      <alignment horizontal="center" vertical="center"/>
    </xf>
    <xf numFmtId="0" fontId="0" fillId="5" borderId="15" xfId="0" applyFill="1" applyBorder="1" applyAlignment="1">
      <alignment vertical="center"/>
    </xf>
    <xf numFmtId="0" fontId="21" fillId="6" borderId="16" xfId="2" applyFont="1" applyFill="1" applyBorder="1" applyAlignment="1">
      <alignment vertical="center"/>
    </xf>
    <xf numFmtId="0" fontId="49" fillId="0" borderId="12" xfId="0" applyFont="1" applyBorder="1" applyAlignment="1">
      <alignment vertical="center"/>
    </xf>
    <xf numFmtId="177" fontId="49" fillId="0" borderId="1" xfId="0" applyNumberFormat="1" applyFont="1" applyBorder="1" applyAlignment="1">
      <alignment vertical="center"/>
    </xf>
    <xf numFmtId="0" fontId="17" fillId="0" borderId="1" xfId="4047" quotePrefix="1" applyNumberFormat="1" applyFont="1" applyBorder="1" applyAlignment="1">
      <alignment vertical="center"/>
    </xf>
    <xf numFmtId="0" fontId="17" fillId="32" borderId="1" xfId="2" applyFont="1" applyFill="1" applyBorder="1" applyAlignment="1">
      <alignment horizontal="center" vertical="center"/>
    </xf>
    <xf numFmtId="0" fontId="17" fillId="32" borderId="1" xfId="2" applyFont="1" applyFill="1" applyBorder="1" applyAlignment="1">
      <alignment horizontal="left" vertical="center"/>
    </xf>
    <xf numFmtId="49" fontId="17" fillId="32" borderId="1" xfId="2" applyNumberFormat="1" applyFont="1" applyFill="1" applyBorder="1" applyAlignment="1">
      <alignment vertical="center"/>
    </xf>
    <xf numFmtId="0" fontId="17" fillId="32" borderId="1" xfId="2" applyFont="1" applyFill="1" applyBorder="1" applyAlignment="1">
      <alignment horizontal="right" vertical="center"/>
    </xf>
    <xf numFmtId="0" fontId="17" fillId="32" borderId="1" xfId="2" applyFont="1" applyFill="1" applyBorder="1" applyAlignment="1">
      <alignment vertical="center"/>
    </xf>
    <xf numFmtId="0" fontId="55" fillId="0" borderId="0" xfId="0" applyFont="1"/>
    <xf numFmtId="0" fontId="0" fillId="5" borderId="1" xfId="0" applyFill="1" applyBorder="1" applyAlignment="1">
      <alignment horizontal="right" vertical="center"/>
    </xf>
    <xf numFmtId="177" fontId="18" fillId="5" borderId="1" xfId="2" applyNumberFormat="1" applyFont="1" applyFill="1" applyBorder="1" applyAlignment="1">
      <alignment horizontal="right" vertical="center"/>
    </xf>
    <xf numFmtId="0" fontId="0" fillId="0" borderId="1" xfId="0" applyFill="1" applyBorder="1" applyAlignment="1">
      <alignment horizontal="right" vertical="center"/>
    </xf>
    <xf numFmtId="0" fontId="18" fillId="23" borderId="1" xfId="2" applyFont="1" applyFill="1" applyBorder="1" applyAlignment="1">
      <alignment horizontal="right" vertical="center"/>
    </xf>
    <xf numFmtId="0" fontId="17" fillId="5" borderId="1" xfId="4047" quotePrefix="1" applyNumberFormat="1" applyFont="1" applyFill="1" applyBorder="1" applyAlignment="1">
      <alignment vertical="center"/>
    </xf>
    <xf numFmtId="0" fontId="18" fillId="5" borderId="1" xfId="2" applyFont="1" applyFill="1" applyBorder="1" applyAlignment="1">
      <alignment horizontal="right" vertical="center"/>
    </xf>
    <xf numFmtId="0" fontId="17" fillId="0" borderId="1" xfId="4047" quotePrefix="1" applyNumberFormat="1" applyFont="1" applyFill="1" applyBorder="1" applyAlignment="1">
      <alignment vertical="center"/>
    </xf>
  </cellXfs>
  <cellStyles count="524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78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6" builtinId="8" hidden="1"/>
    <cellStyle name="ハイパーリンク" xfId="3038" builtinId="8" hidden="1"/>
    <cellStyle name="ハイパーリンク" xfId="3040" builtinId="8" hidden="1"/>
    <cellStyle name="ハイパーリンク" xfId="3042" builtinId="8" hidden="1"/>
    <cellStyle name="ハイパーリンク" xfId="3044" builtinId="8" hidden="1"/>
    <cellStyle name="ハイパーリンク" xfId="3046" builtinId="8" hidden="1"/>
    <cellStyle name="ハイパーリンク" xfId="3048" builtinId="8" hidden="1"/>
    <cellStyle name="ハイパーリンク" xfId="3050" builtinId="8" hidden="1"/>
    <cellStyle name="ハイパーリンク" xfId="3052" builtinId="8" hidden="1"/>
    <cellStyle name="ハイパーリンク" xfId="3054" builtinId="8" hidden="1"/>
    <cellStyle name="ハイパーリンク" xfId="3056" builtinId="8" hidden="1"/>
    <cellStyle name="ハイパーリンク" xfId="3058" builtinId="8" hidden="1"/>
    <cellStyle name="ハイパーリンク" xfId="3060" builtinId="8" hidden="1"/>
    <cellStyle name="ハイパーリンク" xfId="3062" builtinId="8" hidden="1"/>
    <cellStyle name="ハイパーリンク" xfId="3064" builtinId="8" hidden="1"/>
    <cellStyle name="ハイパーリンク" xfId="3066" builtinId="8" hidden="1"/>
    <cellStyle name="ハイパーリンク" xfId="3068" builtinId="8" hidden="1"/>
    <cellStyle name="ハイパーリンク" xfId="3070" builtinId="8" hidden="1"/>
    <cellStyle name="ハイパーリンク" xfId="3072" builtinId="8" hidden="1"/>
    <cellStyle name="ハイパーリンク" xfId="3074" builtinId="8" hidden="1"/>
    <cellStyle name="ハイパーリンク" xfId="3076" builtinId="8" hidden="1"/>
    <cellStyle name="ハイパーリンク" xfId="3078" builtinId="8" hidden="1"/>
    <cellStyle name="ハイパーリンク" xfId="3080" builtinId="8" hidden="1"/>
    <cellStyle name="ハイパーリンク" xfId="3082" builtinId="8" hidden="1"/>
    <cellStyle name="ハイパーリンク" xfId="3084" builtinId="8" hidden="1"/>
    <cellStyle name="ハイパーリンク" xfId="3086" builtinId="8" hidden="1"/>
    <cellStyle name="ハイパーリンク" xfId="3088" builtinId="8" hidden="1"/>
    <cellStyle name="ハイパーリンク" xfId="3090" builtinId="8" hidden="1"/>
    <cellStyle name="ハイパーリンク" xfId="3092" builtinId="8" hidden="1"/>
    <cellStyle name="ハイパーリンク" xfId="3094" builtinId="8" hidden="1"/>
    <cellStyle name="ハイパーリンク" xfId="3096" builtinId="8" hidden="1"/>
    <cellStyle name="ハイパーリンク" xfId="3098" builtinId="8" hidden="1"/>
    <cellStyle name="ハイパーリンク" xfId="3100" builtinId="8" hidden="1"/>
    <cellStyle name="ハイパーリンク" xfId="3102" builtinId="8" hidden="1"/>
    <cellStyle name="ハイパーリンク" xfId="3104" builtinId="8" hidden="1"/>
    <cellStyle name="ハイパーリンク" xfId="3106" builtinId="8" hidden="1"/>
    <cellStyle name="ハイパーリンク" xfId="3108" builtinId="8" hidden="1"/>
    <cellStyle name="ハイパーリンク" xfId="3110" builtinId="8" hidden="1"/>
    <cellStyle name="ハイパーリンク" xfId="3112" builtinId="8" hidden="1"/>
    <cellStyle name="ハイパーリンク" xfId="3114" builtinId="8" hidden="1"/>
    <cellStyle name="ハイパーリンク" xfId="3116" builtinId="8" hidden="1"/>
    <cellStyle name="ハイパーリンク" xfId="3118" builtinId="8" hidden="1"/>
    <cellStyle name="ハイパーリンク" xfId="3120" builtinId="8" hidden="1"/>
    <cellStyle name="ハイパーリンク" xfId="3122" builtinId="8" hidden="1"/>
    <cellStyle name="ハイパーリンク" xfId="3124" builtinId="8" hidden="1"/>
    <cellStyle name="ハイパーリンク" xfId="3126" builtinId="8" hidden="1"/>
    <cellStyle name="ハイパーリンク" xfId="3128" builtinId="8" hidden="1"/>
    <cellStyle name="ハイパーリンク" xfId="3130" builtinId="8" hidden="1"/>
    <cellStyle name="ハイパーリンク" xfId="3132" builtinId="8" hidden="1"/>
    <cellStyle name="ハイパーリンク" xfId="3134" builtinId="8" hidden="1"/>
    <cellStyle name="ハイパーリンク" xfId="3136" builtinId="8" hidden="1"/>
    <cellStyle name="ハイパーリンク" xfId="3138" builtinId="8" hidden="1"/>
    <cellStyle name="ハイパーリンク" xfId="3140" builtinId="8" hidden="1"/>
    <cellStyle name="ハイパーリンク" xfId="3142" builtinId="8" hidden="1"/>
    <cellStyle name="ハイパーリンク" xfId="3144" builtinId="8" hidden="1"/>
    <cellStyle name="ハイパーリンク" xfId="3146" builtinId="8" hidden="1"/>
    <cellStyle name="ハイパーリンク" xfId="3148" builtinId="8" hidden="1"/>
    <cellStyle name="ハイパーリンク" xfId="3150" builtinId="8" hidden="1"/>
    <cellStyle name="ハイパーリンク" xfId="3152" builtinId="8" hidden="1"/>
    <cellStyle name="ハイパーリンク" xfId="3154" builtinId="8" hidden="1"/>
    <cellStyle name="ハイパーリンク" xfId="3156" builtinId="8" hidden="1"/>
    <cellStyle name="ハイパーリンク" xfId="3158" builtinId="8" hidden="1"/>
    <cellStyle name="ハイパーリンク" xfId="3160" builtinId="8" hidden="1"/>
    <cellStyle name="ハイパーリンク" xfId="3162" builtinId="8" hidden="1"/>
    <cellStyle name="ハイパーリンク" xfId="3164" builtinId="8" hidden="1"/>
    <cellStyle name="ハイパーリンク" xfId="3166" builtinId="8" hidden="1"/>
    <cellStyle name="ハイパーリンク" xfId="3168" builtinId="8" hidden="1"/>
    <cellStyle name="ハイパーリンク" xfId="3170" builtinId="8" hidden="1"/>
    <cellStyle name="ハイパーリンク" xfId="3172" builtinId="8" hidden="1"/>
    <cellStyle name="ハイパーリンク" xfId="3174" builtinId="8" hidden="1"/>
    <cellStyle name="ハイパーリンク" xfId="3176" builtinId="8" hidden="1"/>
    <cellStyle name="ハイパーリンク" xfId="3178" builtinId="8" hidden="1"/>
    <cellStyle name="ハイパーリンク" xfId="3180" builtinId="8" hidden="1"/>
    <cellStyle name="ハイパーリンク" xfId="3182" builtinId="8" hidden="1"/>
    <cellStyle name="ハイパーリンク" xfId="3184" builtinId="8" hidden="1"/>
    <cellStyle name="ハイパーリンク" xfId="3186" builtinId="8" hidden="1"/>
    <cellStyle name="ハイパーリンク" xfId="3188" builtinId="8" hidden="1"/>
    <cellStyle name="ハイパーリンク" xfId="3190" builtinId="8" hidden="1"/>
    <cellStyle name="ハイパーリンク" xfId="3192" builtinId="8" hidden="1"/>
    <cellStyle name="ハイパーリンク" xfId="3194" builtinId="8" hidden="1"/>
    <cellStyle name="ハイパーリンク" xfId="3196" builtinId="8" hidden="1"/>
    <cellStyle name="ハイパーリンク" xfId="3198" builtinId="8" hidden="1"/>
    <cellStyle name="ハイパーリンク" xfId="3200" builtinId="8" hidden="1"/>
    <cellStyle name="ハイパーリンク" xfId="3202" builtinId="8" hidden="1"/>
    <cellStyle name="ハイパーリンク" xfId="3204" builtinId="8" hidden="1"/>
    <cellStyle name="ハイパーリンク" xfId="3206" builtinId="8" hidden="1"/>
    <cellStyle name="ハイパーリンク" xfId="3208" builtinId="8" hidden="1"/>
    <cellStyle name="ハイパーリンク" xfId="3210" builtinId="8" hidden="1"/>
    <cellStyle name="ハイパーリンク" xfId="3212" builtinId="8" hidden="1"/>
    <cellStyle name="ハイパーリンク" xfId="3214" builtinId="8" hidden="1"/>
    <cellStyle name="ハイパーリンク" xfId="3216" builtinId="8" hidden="1"/>
    <cellStyle name="ハイパーリンク" xfId="3218" builtinId="8" hidden="1"/>
    <cellStyle name="ハイパーリンク" xfId="3220" builtinId="8" hidden="1"/>
    <cellStyle name="ハイパーリンク" xfId="3222" builtinId="8" hidden="1"/>
    <cellStyle name="ハイパーリンク" xfId="3224" builtinId="8" hidden="1"/>
    <cellStyle name="ハイパーリンク" xfId="3226" builtinId="8" hidden="1"/>
    <cellStyle name="ハイパーリンク" xfId="3228" builtinId="8" hidden="1"/>
    <cellStyle name="ハイパーリンク" xfId="3230" builtinId="8" hidden="1"/>
    <cellStyle name="ハイパーリンク" xfId="3232" builtinId="8" hidden="1"/>
    <cellStyle name="ハイパーリンク" xfId="3234" builtinId="8" hidden="1"/>
    <cellStyle name="ハイパーリンク" xfId="3236" builtinId="8" hidden="1"/>
    <cellStyle name="ハイパーリンク" xfId="3238" builtinId="8" hidden="1"/>
    <cellStyle name="ハイパーリンク" xfId="3240" builtinId="8" hidden="1"/>
    <cellStyle name="ハイパーリンク" xfId="3242" builtinId="8" hidden="1"/>
    <cellStyle name="ハイパーリンク" xfId="3244" builtinId="8" hidden="1"/>
    <cellStyle name="ハイパーリンク" xfId="3246" builtinId="8" hidden="1"/>
    <cellStyle name="ハイパーリンク" xfId="3248" builtinId="8" hidden="1"/>
    <cellStyle name="ハイパーリンク" xfId="3250" builtinId="8" hidden="1"/>
    <cellStyle name="ハイパーリンク" xfId="3252" builtinId="8" hidden="1"/>
    <cellStyle name="ハイパーリンク" xfId="3254" builtinId="8" hidden="1"/>
    <cellStyle name="ハイパーリンク" xfId="3256" builtinId="8" hidden="1"/>
    <cellStyle name="ハイパーリンク" xfId="3258" builtinId="8" hidden="1"/>
    <cellStyle name="ハイパーリンク" xfId="3260" builtinId="8" hidden="1"/>
    <cellStyle name="ハイパーリンク" xfId="3262" builtinId="8" hidden="1"/>
    <cellStyle name="ハイパーリンク" xfId="3264" builtinId="8" hidden="1"/>
    <cellStyle name="ハイパーリンク" xfId="3266" builtinId="8" hidden="1"/>
    <cellStyle name="ハイパーリンク" xfId="3268" builtinId="8" hidden="1"/>
    <cellStyle name="ハイパーリンク" xfId="3270" builtinId="8" hidden="1"/>
    <cellStyle name="ハイパーリンク" xfId="3272" builtinId="8" hidden="1"/>
    <cellStyle name="ハイパーリンク" xfId="3274" builtinId="8" hidden="1"/>
    <cellStyle name="ハイパーリンク" xfId="3276" builtinId="8" hidden="1"/>
    <cellStyle name="ハイパーリンク" xfId="3278" builtinId="8" hidden="1"/>
    <cellStyle name="ハイパーリンク" xfId="3280" builtinId="8" hidden="1"/>
    <cellStyle name="ハイパーリンク" xfId="3282" builtinId="8" hidden="1"/>
    <cellStyle name="ハイパーリンク" xfId="3284" builtinId="8" hidden="1"/>
    <cellStyle name="ハイパーリンク" xfId="3286" builtinId="8" hidden="1"/>
    <cellStyle name="ハイパーリンク" xfId="3288" builtinId="8" hidden="1"/>
    <cellStyle name="ハイパーリンク" xfId="3290" builtinId="8" hidden="1"/>
    <cellStyle name="ハイパーリンク" xfId="3292" builtinId="8" hidden="1"/>
    <cellStyle name="ハイパーリンク" xfId="3294" builtinId="8" hidden="1"/>
    <cellStyle name="ハイパーリンク" xfId="3296" builtinId="8" hidden="1"/>
    <cellStyle name="ハイパーリンク" xfId="3298" builtinId="8" hidden="1"/>
    <cellStyle name="ハイパーリンク" xfId="3300" builtinId="8" hidden="1"/>
    <cellStyle name="ハイパーリンク" xfId="3302" builtinId="8" hidden="1"/>
    <cellStyle name="ハイパーリンク" xfId="3304" builtinId="8" hidden="1"/>
    <cellStyle name="ハイパーリンク" xfId="3306" builtinId="8" hidden="1"/>
    <cellStyle name="ハイパーリンク" xfId="3308" builtinId="8" hidden="1"/>
    <cellStyle name="ハイパーリンク" xfId="3310" builtinId="8" hidden="1"/>
    <cellStyle name="ハイパーリンク" xfId="3312" builtinId="8" hidden="1"/>
    <cellStyle name="ハイパーリンク" xfId="3314" builtinId="8" hidden="1"/>
    <cellStyle name="ハイパーリンク" xfId="3316" builtinId="8" hidden="1"/>
    <cellStyle name="ハイパーリンク" xfId="3318" builtinId="8" hidden="1"/>
    <cellStyle name="ハイパーリンク" xfId="3320" builtinId="8" hidden="1"/>
    <cellStyle name="ハイパーリンク" xfId="3322" builtinId="8" hidden="1"/>
    <cellStyle name="ハイパーリンク" xfId="3324" builtinId="8" hidden="1"/>
    <cellStyle name="ハイパーリンク" xfId="3326" builtinId="8" hidden="1"/>
    <cellStyle name="ハイパーリンク" xfId="3328" builtinId="8" hidden="1"/>
    <cellStyle name="ハイパーリンク" xfId="3330" builtinId="8" hidden="1"/>
    <cellStyle name="ハイパーリンク" xfId="3332" builtinId="8" hidden="1"/>
    <cellStyle name="ハイパーリンク" xfId="3334" builtinId="8" hidden="1"/>
    <cellStyle name="ハイパーリンク" xfId="3336" builtinId="8" hidden="1"/>
    <cellStyle name="ハイパーリンク" xfId="3338" builtinId="8" hidden="1"/>
    <cellStyle name="ハイパーリンク" xfId="3340" builtinId="8" hidden="1"/>
    <cellStyle name="ハイパーリンク" xfId="3342" builtinId="8" hidden="1"/>
    <cellStyle name="ハイパーリンク" xfId="3344" builtinId="8" hidden="1"/>
    <cellStyle name="ハイパーリンク" xfId="3346" builtinId="8" hidden="1"/>
    <cellStyle name="ハイパーリンク" xfId="3348" builtinId="8" hidden="1"/>
    <cellStyle name="ハイパーリンク" xfId="3350" builtinId="8" hidden="1"/>
    <cellStyle name="ハイパーリンク" xfId="3352" builtinId="8" hidden="1"/>
    <cellStyle name="ハイパーリンク" xfId="3354" builtinId="8" hidden="1"/>
    <cellStyle name="ハイパーリンク" xfId="3356" builtinId="8" hidden="1"/>
    <cellStyle name="ハイパーリンク" xfId="3358" builtinId="8" hidden="1"/>
    <cellStyle name="ハイパーリンク" xfId="3360" builtinId="8" hidden="1"/>
    <cellStyle name="ハイパーリンク" xfId="3362" builtinId="8" hidden="1"/>
    <cellStyle name="ハイパーリンク" xfId="3364" builtinId="8" hidden="1"/>
    <cellStyle name="ハイパーリンク" xfId="3366" builtinId="8" hidden="1"/>
    <cellStyle name="ハイパーリンク" xfId="3368" builtinId="8" hidden="1"/>
    <cellStyle name="ハイパーリンク" xfId="3370" builtinId="8" hidden="1"/>
    <cellStyle name="ハイパーリンク" xfId="3372" builtinId="8" hidden="1"/>
    <cellStyle name="ハイパーリンク" xfId="3374" builtinId="8" hidden="1"/>
    <cellStyle name="ハイパーリンク" xfId="3376" builtinId="8" hidden="1"/>
    <cellStyle name="ハイパーリンク" xfId="3378" builtinId="8" hidden="1"/>
    <cellStyle name="ハイパーリンク" xfId="3380" builtinId="8" hidden="1"/>
    <cellStyle name="ハイパーリンク" xfId="3382" builtinId="8" hidden="1"/>
    <cellStyle name="ハイパーリンク" xfId="3384" builtinId="8" hidden="1"/>
    <cellStyle name="ハイパーリンク" xfId="3386" builtinId="8" hidden="1"/>
    <cellStyle name="ハイパーリンク" xfId="3388" builtinId="8" hidden="1"/>
    <cellStyle name="ハイパーリンク" xfId="3390" builtinId="8" hidden="1"/>
    <cellStyle name="ハイパーリンク" xfId="3392" builtinId="8" hidden="1"/>
    <cellStyle name="ハイパーリンク" xfId="3394" builtinId="8" hidden="1"/>
    <cellStyle name="ハイパーリンク" xfId="3396" builtinId="8" hidden="1"/>
    <cellStyle name="ハイパーリンク" xfId="3398" builtinId="8" hidden="1"/>
    <cellStyle name="ハイパーリンク" xfId="3400" builtinId="8" hidden="1"/>
    <cellStyle name="ハイパーリンク" xfId="3402" builtinId="8" hidden="1"/>
    <cellStyle name="ハイパーリンク" xfId="3404" builtinId="8" hidden="1"/>
    <cellStyle name="ハイパーリンク" xfId="3406" builtinId="8" hidden="1"/>
    <cellStyle name="ハイパーリンク" xfId="3408" builtinId="8" hidden="1"/>
    <cellStyle name="ハイパーリンク" xfId="3410" builtinId="8" hidden="1"/>
    <cellStyle name="ハイパーリンク" xfId="3412" builtinId="8" hidden="1"/>
    <cellStyle name="ハイパーリンク" xfId="3414" builtinId="8" hidden="1"/>
    <cellStyle name="ハイパーリンク" xfId="3416" builtinId="8" hidden="1"/>
    <cellStyle name="ハイパーリンク" xfId="3418" builtinId="8" hidden="1"/>
    <cellStyle name="ハイパーリンク" xfId="3420" builtinId="8" hidden="1"/>
    <cellStyle name="ハイパーリンク" xfId="3422" builtinId="8" hidden="1"/>
    <cellStyle name="ハイパーリンク" xfId="3424" builtinId="8" hidden="1"/>
    <cellStyle name="ハイパーリンク" xfId="3426" builtinId="8" hidden="1"/>
    <cellStyle name="ハイパーリンク" xfId="3428" builtinId="8" hidden="1"/>
    <cellStyle name="ハイパーリンク" xfId="3430" builtinId="8" hidden="1"/>
    <cellStyle name="ハイパーリンク" xfId="3432" builtinId="8" hidden="1"/>
    <cellStyle name="ハイパーリンク" xfId="3434" builtinId="8" hidden="1"/>
    <cellStyle name="ハイパーリンク" xfId="3436" builtinId="8" hidden="1"/>
    <cellStyle name="ハイパーリンク" xfId="3438" builtinId="8" hidden="1"/>
    <cellStyle name="ハイパーリンク" xfId="3440" builtinId="8" hidden="1"/>
    <cellStyle name="ハイパーリンク" xfId="3442" builtinId="8" hidden="1"/>
    <cellStyle name="ハイパーリンク" xfId="3444" builtinId="8" hidden="1"/>
    <cellStyle name="ハイパーリンク" xfId="3446" builtinId="8" hidden="1"/>
    <cellStyle name="ハイパーリンク" xfId="3448" builtinId="8" hidden="1"/>
    <cellStyle name="ハイパーリンク" xfId="3450" builtinId="8" hidden="1"/>
    <cellStyle name="ハイパーリンク" xfId="3452" builtinId="8" hidden="1"/>
    <cellStyle name="ハイパーリンク" xfId="3454" builtinId="8" hidden="1"/>
    <cellStyle name="ハイパーリンク" xfId="3456" builtinId="8" hidden="1"/>
    <cellStyle name="ハイパーリンク" xfId="3458" builtinId="8" hidden="1"/>
    <cellStyle name="ハイパーリンク" xfId="3460" builtinId="8" hidden="1"/>
    <cellStyle name="ハイパーリンク" xfId="3462" builtinId="8" hidden="1"/>
    <cellStyle name="ハイパーリンク" xfId="3464" builtinId="8" hidden="1"/>
    <cellStyle name="ハイパーリンク" xfId="3466" builtinId="8" hidden="1"/>
    <cellStyle name="ハイパーリンク" xfId="3468" builtinId="8" hidden="1"/>
    <cellStyle name="ハイパーリンク" xfId="3470" builtinId="8" hidden="1"/>
    <cellStyle name="ハイパーリンク" xfId="3472" builtinId="8" hidden="1"/>
    <cellStyle name="ハイパーリンク" xfId="3474" builtinId="8" hidden="1"/>
    <cellStyle name="ハイパーリンク" xfId="3476" builtinId="8" hidden="1"/>
    <cellStyle name="ハイパーリンク" xfId="3478" builtinId="8" hidden="1"/>
    <cellStyle name="ハイパーリンク" xfId="3480" builtinId="8" hidden="1"/>
    <cellStyle name="ハイパーリンク" xfId="3482" builtinId="8" hidden="1"/>
    <cellStyle name="ハイパーリンク" xfId="3484" builtinId="8" hidden="1"/>
    <cellStyle name="ハイパーリンク" xfId="3486" builtinId="8" hidden="1"/>
    <cellStyle name="ハイパーリンク" xfId="3488" builtinId="8" hidden="1"/>
    <cellStyle name="ハイパーリンク" xfId="3490" builtinId="8" hidden="1"/>
    <cellStyle name="ハイパーリンク" xfId="3492" builtinId="8" hidden="1"/>
    <cellStyle name="ハイパーリンク" xfId="3494" builtinId="8" hidden="1"/>
    <cellStyle name="ハイパーリンク" xfId="3496" builtinId="8" hidden="1"/>
    <cellStyle name="ハイパーリンク" xfId="3498" builtinId="8" hidden="1"/>
    <cellStyle name="ハイパーリンク" xfId="3500" builtinId="8" hidden="1"/>
    <cellStyle name="ハイパーリンク" xfId="3502" builtinId="8" hidden="1"/>
    <cellStyle name="ハイパーリンク" xfId="3504" builtinId="8" hidden="1"/>
    <cellStyle name="ハイパーリンク" xfId="3506" builtinId="8" hidden="1"/>
    <cellStyle name="ハイパーリンク" xfId="3508" builtinId="8" hidden="1"/>
    <cellStyle name="ハイパーリンク" xfId="3510" builtinId="8" hidden="1"/>
    <cellStyle name="ハイパーリンク" xfId="3512" builtinId="8" hidden="1"/>
    <cellStyle name="ハイパーリンク" xfId="3514" builtinId="8" hidden="1"/>
    <cellStyle name="ハイパーリンク" xfId="3516" builtinId="8" hidden="1"/>
    <cellStyle name="ハイパーリンク" xfId="3518" builtinId="8" hidden="1"/>
    <cellStyle name="ハイパーリンク" xfId="3520" builtinId="8" hidden="1"/>
    <cellStyle name="ハイパーリンク" xfId="3522" builtinId="8" hidden="1"/>
    <cellStyle name="ハイパーリンク" xfId="3524" builtinId="8" hidden="1"/>
    <cellStyle name="ハイパーリンク" xfId="3526" builtinId="8" hidden="1"/>
    <cellStyle name="ハイパーリンク" xfId="3528" builtinId="8" hidden="1"/>
    <cellStyle name="ハイパーリンク" xfId="3530" builtinId="8" hidden="1"/>
    <cellStyle name="ハイパーリンク" xfId="3532" builtinId="8" hidden="1"/>
    <cellStyle name="ハイパーリンク" xfId="3534" builtinId="8" hidden="1"/>
    <cellStyle name="ハイパーリンク" xfId="3536" builtinId="8" hidden="1"/>
    <cellStyle name="ハイパーリンク" xfId="3538" builtinId="8" hidden="1"/>
    <cellStyle name="ハイパーリンク" xfId="3540" builtinId="8" hidden="1"/>
    <cellStyle name="ハイパーリンク" xfId="3542" builtinId="8" hidden="1"/>
    <cellStyle name="ハイパーリンク" xfId="3544" builtinId="8" hidden="1"/>
    <cellStyle name="ハイパーリンク" xfId="3546" builtinId="8" hidden="1"/>
    <cellStyle name="ハイパーリンク" xfId="3548" builtinId="8" hidden="1"/>
    <cellStyle name="ハイパーリンク" xfId="3550" builtinId="8" hidden="1"/>
    <cellStyle name="ハイパーリンク" xfId="3552" builtinId="8" hidden="1"/>
    <cellStyle name="ハイパーリンク" xfId="3554" builtinId="8" hidden="1"/>
    <cellStyle name="ハイパーリンク" xfId="3556" builtinId="8" hidden="1"/>
    <cellStyle name="ハイパーリンク" xfId="3558" builtinId="8" hidden="1"/>
    <cellStyle name="ハイパーリンク" xfId="3560" builtinId="8" hidden="1"/>
    <cellStyle name="ハイパーリンク" xfId="3562" builtinId="8" hidden="1"/>
    <cellStyle name="ハイパーリンク" xfId="3564" builtinId="8" hidden="1"/>
    <cellStyle name="ハイパーリンク" xfId="3566" builtinId="8" hidden="1"/>
    <cellStyle name="ハイパーリンク" xfId="3568" builtinId="8" hidden="1"/>
    <cellStyle name="ハイパーリンク" xfId="3570" builtinId="8" hidden="1"/>
    <cellStyle name="ハイパーリンク" xfId="3572" builtinId="8" hidden="1"/>
    <cellStyle name="ハイパーリンク" xfId="3574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2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ハイパーリンク" xfId="3670" builtinId="8" hidden="1"/>
    <cellStyle name="ハイパーリンク" xfId="3672" builtinId="8" hidden="1"/>
    <cellStyle name="ハイパーリンク" xfId="3674" builtinId="8" hidden="1"/>
    <cellStyle name="ハイパーリンク" xfId="3676" builtinId="8" hidden="1"/>
    <cellStyle name="ハイパーリンク" xfId="3678" builtinId="8" hidden="1"/>
    <cellStyle name="ハイパーリンク" xfId="3680" builtinId="8" hidden="1"/>
    <cellStyle name="ハイパーリンク" xfId="3682" builtinId="8" hidden="1"/>
    <cellStyle name="ハイパーリンク" xfId="3684" builtinId="8" hidden="1"/>
    <cellStyle name="ハイパーリンク" xfId="3686" builtinId="8" hidden="1"/>
    <cellStyle name="ハイパーリンク" xfId="3688" builtinId="8" hidden="1"/>
    <cellStyle name="ハイパーリンク" xfId="3690" builtinId="8" hidden="1"/>
    <cellStyle name="ハイパーリンク" xfId="3692" builtinId="8" hidden="1"/>
    <cellStyle name="ハイパーリンク" xfId="3694" builtinId="8" hidden="1"/>
    <cellStyle name="ハイパーリンク" xfId="3696" builtinId="8" hidden="1"/>
    <cellStyle name="ハイパーリンク" xfId="3698" builtinId="8" hidden="1"/>
    <cellStyle name="ハイパーリンク" xfId="3700" builtinId="8" hidden="1"/>
    <cellStyle name="ハイパーリンク" xfId="3702" builtinId="8" hidden="1"/>
    <cellStyle name="ハイパーリンク" xfId="3704" builtinId="8" hidden="1"/>
    <cellStyle name="ハイパーリンク" xfId="3706" builtinId="8" hidden="1"/>
    <cellStyle name="ハイパーリンク" xfId="3708" builtinId="8" hidden="1"/>
    <cellStyle name="ハイパーリンク" xfId="3710" builtinId="8" hidden="1"/>
    <cellStyle name="ハイパーリンク" xfId="3712" builtinId="8" hidden="1"/>
    <cellStyle name="ハイパーリンク" xfId="3714" builtinId="8" hidden="1"/>
    <cellStyle name="ハイパーリンク" xfId="3716" builtinId="8" hidden="1"/>
    <cellStyle name="ハイパーリンク" xfId="3718" builtinId="8" hidden="1"/>
    <cellStyle name="ハイパーリンク" xfId="3720" builtinId="8" hidden="1"/>
    <cellStyle name="ハイパーリンク" xfId="3722" builtinId="8" hidden="1"/>
    <cellStyle name="ハイパーリンク" xfId="3724" builtinId="8" hidden="1"/>
    <cellStyle name="ハイパーリンク" xfId="3726" builtinId="8" hidden="1"/>
    <cellStyle name="ハイパーリンク" xfId="3728" builtinId="8" hidden="1"/>
    <cellStyle name="ハイパーリンク" xfId="3730" builtinId="8" hidden="1"/>
    <cellStyle name="ハイパーリンク" xfId="3732" builtinId="8" hidden="1"/>
    <cellStyle name="ハイパーリンク" xfId="3734" builtinId="8" hidden="1"/>
    <cellStyle name="ハイパーリンク" xfId="3736" builtinId="8" hidden="1"/>
    <cellStyle name="ハイパーリンク" xfId="3738" builtinId="8" hidden="1"/>
    <cellStyle name="ハイパーリンク" xfId="3740" builtinId="8" hidden="1"/>
    <cellStyle name="ハイパーリンク" xfId="3742" builtinId="8" hidden="1"/>
    <cellStyle name="ハイパーリンク" xfId="3744" builtinId="8" hidden="1"/>
    <cellStyle name="ハイパーリンク" xfId="3746" builtinId="8" hidden="1"/>
    <cellStyle name="ハイパーリンク" xfId="3748" builtinId="8" hidden="1"/>
    <cellStyle name="ハイパーリンク" xfId="3750" builtinId="8" hidden="1"/>
    <cellStyle name="ハイパーリンク" xfId="3752" builtinId="8" hidden="1"/>
    <cellStyle name="ハイパーリンク" xfId="3754" builtinId="8" hidden="1"/>
    <cellStyle name="ハイパーリンク" xfId="3756" builtinId="8" hidden="1"/>
    <cellStyle name="ハイパーリンク" xfId="3758" builtinId="8" hidden="1"/>
    <cellStyle name="ハイパーリンク" xfId="3760" builtinId="8" hidden="1"/>
    <cellStyle name="ハイパーリンク" xfId="3762" builtinId="8" hidden="1"/>
    <cellStyle name="ハイパーリンク" xfId="3764" builtinId="8" hidden="1"/>
    <cellStyle name="ハイパーリンク" xfId="3766" builtinId="8" hidden="1"/>
    <cellStyle name="ハイパーリンク" xfId="3768" builtinId="8" hidden="1"/>
    <cellStyle name="ハイパーリンク" xfId="3770" builtinId="8" hidden="1"/>
    <cellStyle name="ハイパーリンク" xfId="3772" builtinId="8" hidden="1"/>
    <cellStyle name="ハイパーリンク" xfId="3774" builtinId="8" hidden="1"/>
    <cellStyle name="ハイパーリンク" xfId="3776" builtinId="8" hidden="1"/>
    <cellStyle name="ハイパーリンク" xfId="3778" builtinId="8" hidden="1"/>
    <cellStyle name="ハイパーリンク" xfId="3780" builtinId="8" hidden="1"/>
    <cellStyle name="ハイパーリンク" xfId="3782" builtinId="8" hidden="1"/>
    <cellStyle name="ハイパーリンク" xfId="3784" builtinId="8" hidden="1"/>
    <cellStyle name="ハイパーリンク" xfId="3786" builtinId="8" hidden="1"/>
    <cellStyle name="ハイパーリンク" xfId="3788" builtinId="8" hidden="1"/>
    <cellStyle name="ハイパーリンク" xfId="3790" builtinId="8" hidden="1"/>
    <cellStyle name="ハイパーリンク" xfId="3792" builtinId="8" hidden="1"/>
    <cellStyle name="ハイパーリンク" xfId="3794" builtinId="8" hidden="1"/>
    <cellStyle name="ハイパーリンク" xfId="3796" builtinId="8" hidden="1"/>
    <cellStyle name="ハイパーリンク" xfId="3798" builtinId="8" hidden="1"/>
    <cellStyle name="ハイパーリンク" xfId="3800" builtinId="8" hidden="1"/>
    <cellStyle name="ハイパーリンク" xfId="3802" builtinId="8" hidden="1"/>
    <cellStyle name="ハイパーリンク" xfId="3804" builtinId="8" hidden="1"/>
    <cellStyle name="ハイパーリンク" xfId="3806" builtinId="8" hidden="1"/>
    <cellStyle name="ハイパーリンク" xfId="3808" builtinId="8" hidden="1"/>
    <cellStyle name="ハイパーリンク" xfId="3810" builtinId="8" hidden="1"/>
    <cellStyle name="ハイパーリンク" xfId="3812" builtinId="8" hidden="1"/>
    <cellStyle name="ハイパーリンク" xfId="3814" builtinId="8" hidden="1"/>
    <cellStyle name="ハイパーリンク" xfId="3816" builtinId="8" hidden="1"/>
    <cellStyle name="ハイパーリンク" xfId="3818" builtinId="8" hidden="1"/>
    <cellStyle name="ハイパーリンク" xfId="3820" builtinId="8" hidden="1"/>
    <cellStyle name="ハイパーリンク" xfId="3822" builtinId="8" hidden="1"/>
    <cellStyle name="ハイパーリンク" xfId="3824" builtinId="8" hidden="1"/>
    <cellStyle name="ハイパーリンク" xfId="3826" builtinId="8" hidden="1"/>
    <cellStyle name="ハイパーリンク" xfId="3828" builtinId="8" hidden="1"/>
    <cellStyle name="ハイパーリンク" xfId="3830" builtinId="8" hidden="1"/>
    <cellStyle name="ハイパーリンク" xfId="3832" builtinId="8" hidden="1"/>
    <cellStyle name="ハイパーリンク" xfId="3834" builtinId="8" hidden="1"/>
    <cellStyle name="ハイパーリンク" xfId="3836" builtinId="8" hidden="1"/>
    <cellStyle name="ハイパーリンク" xfId="3838" builtinId="8" hidden="1"/>
    <cellStyle name="ハイパーリンク" xfId="3840" builtinId="8" hidden="1"/>
    <cellStyle name="ハイパーリンク" xfId="3842" builtinId="8" hidden="1"/>
    <cellStyle name="ハイパーリンク" xfId="3844" builtinId="8" hidden="1"/>
    <cellStyle name="ハイパーリンク" xfId="3846" builtinId="8" hidden="1"/>
    <cellStyle name="ハイパーリンク" xfId="3848" builtinId="8" hidden="1"/>
    <cellStyle name="ハイパーリンク" xfId="3850" builtinId="8" hidden="1"/>
    <cellStyle name="ハイパーリンク" xfId="3852" builtinId="8" hidden="1"/>
    <cellStyle name="ハイパーリンク" xfId="3854" builtinId="8" hidden="1"/>
    <cellStyle name="ハイパーリンク" xfId="3856" builtinId="8" hidden="1"/>
    <cellStyle name="ハイパーリンク" xfId="3858" builtinId="8" hidden="1"/>
    <cellStyle name="ハイパーリンク" xfId="3860" builtinId="8" hidden="1"/>
    <cellStyle name="ハイパーリンク" xfId="3862" builtinId="8" hidden="1"/>
    <cellStyle name="ハイパーリンク" xfId="3864" builtinId="8" hidden="1"/>
    <cellStyle name="ハイパーリンク" xfId="3866" builtinId="8" hidden="1"/>
    <cellStyle name="ハイパーリンク" xfId="3868" builtinId="8" hidden="1"/>
    <cellStyle name="ハイパーリンク" xfId="3870" builtinId="8" hidden="1"/>
    <cellStyle name="ハイパーリンク" xfId="3872" builtinId="8" hidden="1"/>
    <cellStyle name="ハイパーリンク" xfId="3874" builtinId="8" hidden="1"/>
    <cellStyle name="ハイパーリンク" xfId="3876" builtinId="8" hidden="1"/>
    <cellStyle name="ハイパーリンク" xfId="3878" builtinId="8" hidden="1"/>
    <cellStyle name="ハイパーリンク" xfId="3880" builtinId="8" hidden="1"/>
    <cellStyle name="ハイパーリンク" xfId="3882" builtinId="8" hidden="1"/>
    <cellStyle name="ハイパーリンク" xfId="3884" builtinId="8" hidden="1"/>
    <cellStyle name="ハイパーリンク" xfId="3886" builtinId="8" hidden="1"/>
    <cellStyle name="ハイパーリンク" xfId="3888" builtinId="8" hidden="1"/>
    <cellStyle name="ハイパーリンク" xfId="3890" builtinId="8" hidden="1"/>
    <cellStyle name="ハイパーリンク" xfId="3892" builtinId="8" hidden="1"/>
    <cellStyle name="ハイパーリンク" xfId="3894" builtinId="8" hidden="1"/>
    <cellStyle name="ハイパーリンク" xfId="3896" builtinId="8" hidden="1"/>
    <cellStyle name="ハイパーリンク" xfId="3898" builtinId="8" hidden="1"/>
    <cellStyle name="ハイパーリンク" xfId="3900" builtinId="8" hidden="1"/>
    <cellStyle name="ハイパーリンク" xfId="3902" builtinId="8" hidden="1"/>
    <cellStyle name="ハイパーリンク" xfId="3904" builtinId="8" hidden="1"/>
    <cellStyle name="ハイパーリンク" xfId="3906" builtinId="8" hidden="1"/>
    <cellStyle name="ハイパーリンク" xfId="3908" builtinId="8" hidden="1"/>
    <cellStyle name="ハイパーリンク" xfId="3910" builtinId="8" hidden="1"/>
    <cellStyle name="ハイパーリンク" xfId="3912" builtinId="8" hidden="1"/>
    <cellStyle name="ハイパーリンク" xfId="3914" builtinId="8" hidden="1"/>
    <cellStyle name="ハイパーリンク" xfId="3916" builtinId="8" hidden="1"/>
    <cellStyle name="ハイパーリンク" xfId="3918" builtinId="8" hidden="1"/>
    <cellStyle name="ハイパーリンク" xfId="3920" builtinId="8" hidden="1"/>
    <cellStyle name="ハイパーリンク" xfId="3922" builtinId="8" hidden="1"/>
    <cellStyle name="ハイパーリンク" xfId="3924" builtinId="8" hidden="1"/>
    <cellStyle name="ハイパーリンク" xfId="3926" builtinId="8" hidden="1"/>
    <cellStyle name="ハイパーリンク" xfId="3928" builtinId="8" hidden="1"/>
    <cellStyle name="ハイパーリンク" xfId="3930" builtinId="8" hidden="1"/>
    <cellStyle name="ハイパーリンク" xfId="3932" builtinId="8" hidden="1"/>
    <cellStyle name="ハイパーリンク" xfId="3934" builtinId="8" hidden="1"/>
    <cellStyle name="ハイパーリンク" xfId="3936" builtinId="8" hidden="1"/>
    <cellStyle name="ハイパーリンク" xfId="3938" builtinId="8" hidden="1"/>
    <cellStyle name="ハイパーリンク" xfId="3940" builtinId="8" hidden="1"/>
    <cellStyle name="ハイパーリンク" xfId="3942" builtinId="8" hidden="1"/>
    <cellStyle name="ハイパーリンク" xfId="3944" builtinId="8" hidden="1"/>
    <cellStyle name="ハイパーリンク" xfId="3946" builtinId="8" hidden="1"/>
    <cellStyle name="ハイパーリンク" xfId="3948" builtinId="8" hidden="1"/>
    <cellStyle name="ハイパーリンク" xfId="3950" builtinId="8" hidden="1"/>
    <cellStyle name="ハイパーリンク" xfId="3952" builtinId="8" hidden="1"/>
    <cellStyle name="ハイパーリンク" xfId="3954" builtinId="8" hidden="1"/>
    <cellStyle name="ハイパーリンク" xfId="3956" builtinId="8" hidden="1"/>
    <cellStyle name="ハイパーリンク" xfId="3958" builtinId="8" hidden="1"/>
    <cellStyle name="ハイパーリンク" xfId="3962" builtinId="8" hidden="1"/>
    <cellStyle name="ハイパーリンク" xfId="3964" builtinId="8" hidden="1"/>
    <cellStyle name="ハイパーリンク" xfId="3966" builtinId="8" hidden="1"/>
    <cellStyle name="ハイパーリンク" xfId="3968" builtinId="8" hidden="1"/>
    <cellStyle name="ハイパーリンク" xfId="3970" builtinId="8" hidden="1"/>
    <cellStyle name="ハイパーリンク" xfId="3972" builtinId="8" hidden="1"/>
    <cellStyle name="ハイパーリンク" xfId="3974" builtinId="8" hidden="1"/>
    <cellStyle name="ハイパーリンク" xfId="3976" builtinId="8" hidden="1"/>
    <cellStyle name="ハイパーリンク" xfId="3978" builtinId="8" hidden="1"/>
    <cellStyle name="ハイパーリンク" xfId="3980" builtinId="8" hidden="1"/>
    <cellStyle name="ハイパーリンク" xfId="3982" builtinId="8" hidden="1"/>
    <cellStyle name="ハイパーリンク" xfId="3984" builtinId="8" hidden="1"/>
    <cellStyle name="ハイパーリンク" xfId="3986" builtinId="8" hidden="1"/>
    <cellStyle name="ハイパーリンク" xfId="3988" builtinId="8" hidden="1"/>
    <cellStyle name="ハイパーリンク" xfId="3990" builtinId="8" hidden="1"/>
    <cellStyle name="ハイパーリンク" xfId="3992" builtinId="8" hidden="1"/>
    <cellStyle name="ハイパーリンク" xfId="3994" builtinId="8" hidden="1"/>
    <cellStyle name="ハイパーリンク" xfId="3996" builtinId="8" hidden="1"/>
    <cellStyle name="ハイパーリンク" xfId="3998" builtinId="8" hidden="1"/>
    <cellStyle name="ハイパーリンク" xfId="4000" builtinId="8" hidden="1"/>
    <cellStyle name="ハイパーリンク" xfId="4002" builtinId="8" hidden="1"/>
    <cellStyle name="ハイパーリンク" xfId="4004" builtinId="8" hidden="1"/>
    <cellStyle name="ハイパーリンク" xfId="4006" builtinId="8" hidden="1"/>
    <cellStyle name="ハイパーリンク" xfId="4008" builtinId="8" hidden="1"/>
    <cellStyle name="ハイパーリンク" xfId="4010" builtinId="8" hidden="1"/>
    <cellStyle name="ハイパーリンク" xfId="4012" builtinId="8" hidden="1"/>
    <cellStyle name="ハイパーリンク" xfId="4014" builtinId="8" hidden="1"/>
    <cellStyle name="ハイパーリンク" xfId="4016" builtinId="8" hidden="1"/>
    <cellStyle name="ハイパーリンク" xfId="4018" builtinId="8" hidden="1"/>
    <cellStyle name="ハイパーリンク" xfId="4020" builtinId="8" hidden="1"/>
    <cellStyle name="ハイパーリンク" xfId="4022" builtinId="8" hidden="1"/>
    <cellStyle name="ハイパーリンク" xfId="4024" builtinId="8" hidden="1"/>
    <cellStyle name="ハイパーリンク" xfId="4026" builtinId="8" hidden="1"/>
    <cellStyle name="ハイパーリンク" xfId="4028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8" builtinId="8" hidden="1"/>
    <cellStyle name="ハイパーリンク" xfId="4050" builtinId="8" hidden="1"/>
    <cellStyle name="ハイパーリンク" xfId="4052" builtinId="8" hidden="1"/>
    <cellStyle name="ハイパーリンク" xfId="4054" builtinId="8" hidden="1"/>
    <cellStyle name="ハイパーリンク" xfId="4056" builtinId="8" hidden="1"/>
    <cellStyle name="ハイパーリンク" xfId="4058" builtinId="8" hidden="1"/>
    <cellStyle name="ハイパーリンク" xfId="4060" builtinId="8" hidden="1"/>
    <cellStyle name="ハイパーリンク" xfId="4062" builtinId="8" hidden="1"/>
    <cellStyle name="ハイパーリンク" xfId="4064" builtinId="8" hidden="1"/>
    <cellStyle name="ハイパーリンク" xfId="4066" builtinId="8" hidden="1"/>
    <cellStyle name="ハイパーリンク" xfId="4068" builtinId="8" hidden="1"/>
    <cellStyle name="ハイパーリンク" xfId="4070" builtinId="8" hidden="1"/>
    <cellStyle name="ハイパーリンク" xfId="4072" builtinId="8" hidden="1"/>
    <cellStyle name="ハイパーリンク" xfId="4074" builtinId="8" hidden="1"/>
    <cellStyle name="ハイパーリンク" xfId="4076" builtinId="8" hidden="1"/>
    <cellStyle name="ハイパーリンク" xfId="4078" builtinId="8" hidden="1"/>
    <cellStyle name="ハイパーリンク" xfId="4080" builtinId="8" hidden="1"/>
    <cellStyle name="ハイパーリンク" xfId="4082" builtinId="8" hidden="1"/>
    <cellStyle name="ハイパーリンク" xfId="4084" builtinId="8" hidden="1"/>
    <cellStyle name="ハイパーリンク" xfId="4086" builtinId="8" hidden="1"/>
    <cellStyle name="ハイパーリンク" xfId="4088" builtinId="8" hidden="1"/>
    <cellStyle name="ハイパーリンク" xfId="4090" builtinId="8" hidden="1"/>
    <cellStyle name="ハイパーリンク" xfId="4092" builtinId="8" hidden="1"/>
    <cellStyle name="ハイパーリンク" xfId="4094" builtinId="8" hidden="1"/>
    <cellStyle name="ハイパーリンク" xfId="4096" builtinId="8" hidden="1"/>
    <cellStyle name="ハイパーリンク" xfId="4098" builtinId="8" hidden="1"/>
    <cellStyle name="ハイパーリンク" xfId="4100" builtinId="8" hidden="1"/>
    <cellStyle name="ハイパーリンク" xfId="4102" builtinId="8" hidden="1"/>
    <cellStyle name="ハイパーリンク" xfId="4104" builtinId="8" hidden="1"/>
    <cellStyle name="ハイパーリンク" xfId="4106" builtinId="8" hidden="1"/>
    <cellStyle name="ハイパーリンク" xfId="4108" builtinId="8" hidden="1"/>
    <cellStyle name="ハイパーリンク" xfId="4110" builtinId="8" hidden="1"/>
    <cellStyle name="ハイパーリンク" xfId="4112" builtinId="8" hidden="1"/>
    <cellStyle name="ハイパーリンク" xfId="4114" builtinId="8" hidden="1"/>
    <cellStyle name="ハイパーリンク" xfId="4116" builtinId="8" hidden="1"/>
    <cellStyle name="ハイパーリンク" xfId="4118" builtinId="8" hidden="1"/>
    <cellStyle name="ハイパーリンク" xfId="4120" builtinId="8" hidden="1"/>
    <cellStyle name="ハイパーリンク" xfId="4122" builtinId="8" hidden="1"/>
    <cellStyle name="ハイパーリンク" xfId="4124" builtinId="8" hidden="1"/>
    <cellStyle name="ハイパーリンク" xfId="4126" builtinId="8" hidden="1"/>
    <cellStyle name="ハイパーリンク" xfId="4128" builtinId="8" hidden="1"/>
    <cellStyle name="ハイパーリンク" xfId="4130" builtinId="8" hidden="1"/>
    <cellStyle name="ハイパーリンク" xfId="4132" builtinId="8" hidden="1"/>
    <cellStyle name="ハイパーリンク" xfId="4134" builtinId="8" hidden="1"/>
    <cellStyle name="ハイパーリンク" xfId="4136" builtinId="8" hidden="1"/>
    <cellStyle name="ハイパーリンク" xfId="4138" builtinId="8" hidden="1"/>
    <cellStyle name="ハイパーリンク" xfId="4140" builtinId="8" hidden="1"/>
    <cellStyle name="ハイパーリンク" xfId="4142" builtinId="8" hidden="1"/>
    <cellStyle name="ハイパーリンク" xfId="4144" builtinId="8" hidden="1"/>
    <cellStyle name="ハイパーリンク" xfId="4146" builtinId="8" hidden="1"/>
    <cellStyle name="ハイパーリンク" xfId="4148" builtinId="8" hidden="1"/>
    <cellStyle name="ハイパーリンク" xfId="4150" builtinId="8" hidden="1"/>
    <cellStyle name="ハイパーリンク" xfId="4152" builtinId="8" hidden="1"/>
    <cellStyle name="ハイパーリンク" xfId="4154" builtinId="8" hidden="1"/>
    <cellStyle name="ハイパーリンク" xfId="4156" builtinId="8" hidden="1"/>
    <cellStyle name="ハイパーリンク" xfId="4158" builtinId="8" hidden="1"/>
    <cellStyle name="ハイパーリンク" xfId="4160" builtinId="8" hidden="1"/>
    <cellStyle name="ハイパーリンク" xfId="4162" builtinId="8" hidden="1"/>
    <cellStyle name="ハイパーリンク" xfId="4164" builtinId="8" hidden="1"/>
    <cellStyle name="ハイパーリンク" xfId="4166" builtinId="8" hidden="1"/>
    <cellStyle name="ハイパーリンク" xfId="4168" builtinId="8" hidden="1"/>
    <cellStyle name="ハイパーリンク" xfId="4170" builtinId="8" hidden="1"/>
    <cellStyle name="ハイパーリンク" xfId="4172" builtinId="8" hidden="1"/>
    <cellStyle name="ハイパーリンク" xfId="4174" builtinId="8" hidden="1"/>
    <cellStyle name="ハイパーリンク" xfId="4176" builtinId="8" hidden="1"/>
    <cellStyle name="ハイパーリンク" xfId="4178" builtinId="8" hidden="1"/>
    <cellStyle name="ハイパーリンク" xfId="4180" builtinId="8" hidden="1"/>
    <cellStyle name="ハイパーリンク" xfId="4182" builtinId="8" hidden="1"/>
    <cellStyle name="ハイパーリンク" xfId="4184" builtinId="8" hidden="1"/>
    <cellStyle name="ハイパーリンク" xfId="4186" builtinId="8" hidden="1"/>
    <cellStyle name="ハイパーリンク" xfId="4188" builtinId="8" hidden="1"/>
    <cellStyle name="ハイパーリンク" xfId="4190" builtinId="8" hidden="1"/>
    <cellStyle name="ハイパーリンク" xfId="4192" builtinId="8" hidden="1"/>
    <cellStyle name="ハイパーリンク" xfId="4194" builtinId="8" hidden="1"/>
    <cellStyle name="ハイパーリンク" xfId="4196" builtinId="8" hidden="1"/>
    <cellStyle name="ハイパーリンク" xfId="4198" builtinId="8" hidden="1"/>
    <cellStyle name="ハイパーリンク" xfId="4200" builtinId="8" hidden="1"/>
    <cellStyle name="ハイパーリンク" xfId="4202" builtinId="8" hidden="1"/>
    <cellStyle name="ハイパーリンク" xfId="4204" builtinId="8" hidden="1"/>
    <cellStyle name="ハイパーリンク" xfId="4206" builtinId="8" hidden="1"/>
    <cellStyle name="ハイパーリンク" xfId="4208" builtinId="8" hidden="1"/>
    <cellStyle name="ハイパーリンク" xfId="4210" builtinId="8" hidden="1"/>
    <cellStyle name="ハイパーリンク" xfId="4212" builtinId="8" hidden="1"/>
    <cellStyle name="ハイパーリンク" xfId="4214" builtinId="8" hidden="1"/>
    <cellStyle name="ハイパーリンク" xfId="4216" builtinId="8" hidden="1"/>
    <cellStyle name="ハイパーリンク" xfId="4218" builtinId="8" hidden="1"/>
    <cellStyle name="ハイパーリンク" xfId="4220" builtinId="8" hidden="1"/>
    <cellStyle name="ハイパーリンク" xfId="4222" builtinId="8" hidden="1"/>
    <cellStyle name="ハイパーリンク" xfId="4224" builtinId="8" hidden="1"/>
    <cellStyle name="ハイパーリンク" xfId="4226" builtinId="8" hidden="1"/>
    <cellStyle name="ハイパーリンク" xfId="4228" builtinId="8" hidden="1"/>
    <cellStyle name="ハイパーリンク" xfId="4230" builtinId="8" hidden="1"/>
    <cellStyle name="ハイパーリンク" xfId="4232" builtinId="8" hidden="1"/>
    <cellStyle name="ハイパーリンク" xfId="4234" builtinId="8" hidden="1"/>
    <cellStyle name="ハイパーリンク" xfId="4236" builtinId="8" hidden="1"/>
    <cellStyle name="ハイパーリンク" xfId="4238" builtinId="8" hidden="1"/>
    <cellStyle name="ハイパーリンク" xfId="4240" builtinId="8" hidden="1"/>
    <cellStyle name="ハイパーリンク" xfId="4242" builtinId="8" hidden="1"/>
    <cellStyle name="ハイパーリンク" xfId="4244" builtinId="8" hidden="1"/>
    <cellStyle name="ハイパーリンク" xfId="4246" builtinId="8" hidden="1"/>
    <cellStyle name="ハイパーリンク" xfId="4248" builtinId="8" hidden="1"/>
    <cellStyle name="ハイパーリンク" xfId="4250" builtinId="8" hidden="1"/>
    <cellStyle name="ハイパーリンク" xfId="4252" builtinId="8" hidden="1"/>
    <cellStyle name="ハイパーリンク" xfId="4254" builtinId="8" hidden="1"/>
    <cellStyle name="ハイパーリンク" xfId="4256" builtinId="8" hidden="1"/>
    <cellStyle name="ハイパーリンク" xfId="4258" builtinId="8" hidden="1"/>
    <cellStyle name="ハイパーリンク" xfId="4260" builtinId="8" hidden="1"/>
    <cellStyle name="ハイパーリンク" xfId="4262" builtinId="8" hidden="1"/>
    <cellStyle name="ハイパーリンク" xfId="4264" builtinId="8" hidden="1"/>
    <cellStyle name="ハイパーリンク" xfId="4266" builtinId="8" hidden="1"/>
    <cellStyle name="ハイパーリンク" xfId="4268" builtinId="8" hidden="1"/>
    <cellStyle name="ハイパーリンク" xfId="4270" builtinId="8" hidden="1"/>
    <cellStyle name="ハイパーリンク" xfId="4272" builtinId="8" hidden="1"/>
    <cellStyle name="ハイパーリンク" xfId="4274" builtinId="8" hidden="1"/>
    <cellStyle name="ハイパーリンク" xfId="4276" builtinId="8" hidden="1"/>
    <cellStyle name="ハイパーリンク" xfId="4278" builtinId="8" hidden="1"/>
    <cellStyle name="ハイパーリンク" xfId="4280" builtinId="8" hidden="1"/>
    <cellStyle name="ハイパーリンク" xfId="4282" builtinId="8" hidden="1"/>
    <cellStyle name="ハイパーリンク" xfId="4284" builtinId="8" hidden="1"/>
    <cellStyle name="ハイパーリンク" xfId="4286" builtinId="8" hidden="1"/>
    <cellStyle name="ハイパーリンク" xfId="4288" builtinId="8" hidden="1"/>
    <cellStyle name="ハイパーリンク" xfId="4290" builtinId="8" hidden="1"/>
    <cellStyle name="ハイパーリンク" xfId="4292" builtinId="8" hidden="1"/>
    <cellStyle name="ハイパーリンク" xfId="4294" builtinId="8" hidden="1"/>
    <cellStyle name="ハイパーリンク" xfId="4296" builtinId="8" hidden="1"/>
    <cellStyle name="ハイパーリンク" xfId="4298" builtinId="8" hidden="1"/>
    <cellStyle name="ハイパーリンク" xfId="4300" builtinId="8" hidden="1"/>
    <cellStyle name="ハイパーリンク" xfId="4302" builtinId="8" hidden="1"/>
    <cellStyle name="ハイパーリンク" xfId="4304" builtinId="8" hidden="1"/>
    <cellStyle name="ハイパーリンク" xfId="4306" builtinId="8" hidden="1"/>
    <cellStyle name="ハイパーリンク" xfId="4308" builtinId="8" hidden="1"/>
    <cellStyle name="ハイパーリンク" xfId="4310" builtinId="8" hidden="1"/>
    <cellStyle name="ハイパーリンク" xfId="4312" builtinId="8" hidden="1"/>
    <cellStyle name="ハイパーリンク" xfId="4314" builtinId="8" hidden="1"/>
    <cellStyle name="ハイパーリンク" xfId="4316" builtinId="8" hidden="1"/>
    <cellStyle name="ハイパーリンク" xfId="4318" builtinId="8" hidden="1"/>
    <cellStyle name="ハイパーリンク" xfId="4320" builtinId="8" hidden="1"/>
    <cellStyle name="ハイパーリンク" xfId="4322" builtinId="8" hidden="1"/>
    <cellStyle name="ハイパーリンク" xfId="4324" builtinId="8" hidden="1"/>
    <cellStyle name="ハイパーリンク" xfId="4326" builtinId="8" hidden="1"/>
    <cellStyle name="ハイパーリンク" xfId="4328" builtinId="8" hidden="1"/>
    <cellStyle name="ハイパーリンク" xfId="4330" builtinId="8" hidden="1"/>
    <cellStyle name="ハイパーリンク" xfId="4332" builtinId="8" hidden="1"/>
    <cellStyle name="ハイパーリンク" xfId="4334" builtinId="8" hidden="1"/>
    <cellStyle name="ハイパーリンク" xfId="4336" builtinId="8" hidden="1"/>
    <cellStyle name="ハイパーリンク" xfId="4338" builtinId="8" hidden="1"/>
    <cellStyle name="ハイパーリンク" xfId="4340" builtinId="8" hidden="1"/>
    <cellStyle name="ハイパーリンク" xfId="4342" builtinId="8" hidden="1"/>
    <cellStyle name="ハイパーリンク" xfId="4344" builtinId="8" hidden="1"/>
    <cellStyle name="ハイパーリンク" xfId="4346" builtinId="8" hidden="1"/>
    <cellStyle name="ハイパーリンク" xfId="4348" builtinId="8" hidden="1"/>
    <cellStyle name="ハイパーリンク" xfId="4350" builtinId="8" hidden="1"/>
    <cellStyle name="ハイパーリンク" xfId="4352" builtinId="8" hidden="1"/>
    <cellStyle name="ハイパーリンク" xfId="4354" builtinId="8" hidden="1"/>
    <cellStyle name="ハイパーリンク" xfId="4356" builtinId="8" hidden="1"/>
    <cellStyle name="ハイパーリンク" xfId="4358" builtinId="8" hidden="1"/>
    <cellStyle name="ハイパーリンク" xfId="4360" builtinId="8" hidden="1"/>
    <cellStyle name="ハイパーリンク" xfId="4362" builtinId="8" hidden="1"/>
    <cellStyle name="ハイパーリンク" xfId="4364" builtinId="8" hidden="1"/>
    <cellStyle name="ハイパーリンク" xfId="4366" builtinId="8" hidden="1"/>
    <cellStyle name="ハイパーリンク" xfId="4368" builtinId="8" hidden="1"/>
    <cellStyle name="ハイパーリンク" xfId="4370" builtinId="8" hidden="1"/>
    <cellStyle name="ハイパーリンク" xfId="4372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ハイパーリンク" xfId="4588" builtinId="8" hidden="1"/>
    <cellStyle name="ハイパーリンク" xfId="4590" builtinId="8" hidden="1"/>
    <cellStyle name="ハイパーリンク" xfId="4592" builtinId="8" hidden="1"/>
    <cellStyle name="ハイパーリンク" xfId="4594" builtinId="8" hidden="1"/>
    <cellStyle name="ハイパーリンク" xfId="4596" builtinId="8" hidden="1"/>
    <cellStyle name="ハイパーリンク" xfId="4598" builtinId="8" hidden="1"/>
    <cellStyle name="ハイパーリンク" xfId="4600" builtinId="8" hidden="1"/>
    <cellStyle name="ハイパーリンク" xfId="4602" builtinId="8" hidden="1"/>
    <cellStyle name="ハイパーリンク" xfId="4604" builtinId="8" hidden="1"/>
    <cellStyle name="ハイパーリンク" xfId="4606" builtinId="8" hidden="1"/>
    <cellStyle name="ハイパーリンク" xfId="4608" builtinId="8" hidden="1"/>
    <cellStyle name="ハイパーリンク" xfId="4610" builtinId="8" hidden="1"/>
    <cellStyle name="ハイパーリンク" xfId="4612" builtinId="8" hidden="1"/>
    <cellStyle name="ハイパーリンク" xfId="4614" builtinId="8" hidden="1"/>
    <cellStyle name="ハイパーリンク" xfId="4616" builtinId="8" hidden="1"/>
    <cellStyle name="ハイパーリンク" xfId="4618" builtinId="8" hidden="1"/>
    <cellStyle name="ハイパーリンク" xfId="4620" builtinId="8" hidden="1"/>
    <cellStyle name="ハイパーリンク" xfId="4622" builtinId="8" hidden="1"/>
    <cellStyle name="ハイパーリンク" xfId="4624" builtinId="8" hidden="1"/>
    <cellStyle name="ハイパーリンク" xfId="4626" builtinId="8" hidden="1"/>
    <cellStyle name="ハイパーリンク" xfId="4628" builtinId="8" hidden="1"/>
    <cellStyle name="ハイパーリンク" xfId="4630" builtinId="8" hidden="1"/>
    <cellStyle name="ハイパーリンク" xfId="4632" builtinId="8" hidden="1"/>
    <cellStyle name="ハイパーリンク" xfId="4634" builtinId="8" hidden="1"/>
    <cellStyle name="ハイパーリンク" xfId="4636" builtinId="8" hidden="1"/>
    <cellStyle name="ハイパーリンク" xfId="4638" builtinId="8" hidden="1"/>
    <cellStyle name="ハイパーリンク" xfId="4640" builtinId="8" hidden="1"/>
    <cellStyle name="ハイパーリンク" xfId="4642" builtinId="8" hidden="1"/>
    <cellStyle name="ハイパーリンク" xfId="4644" builtinId="8" hidden="1"/>
    <cellStyle name="ハイパーリンク" xfId="4646" builtinId="8" hidden="1"/>
    <cellStyle name="ハイパーリンク" xfId="4648" builtinId="8" hidden="1"/>
    <cellStyle name="ハイパーリンク" xfId="4650" builtinId="8" hidden="1"/>
    <cellStyle name="ハイパーリンク" xfId="4652" builtinId="8" hidden="1"/>
    <cellStyle name="ハイパーリンク" xfId="4654" builtinId="8" hidden="1"/>
    <cellStyle name="ハイパーリンク" xfId="4656" builtinId="8" hidden="1"/>
    <cellStyle name="ハイパーリンク" xfId="4658" builtinId="8" hidden="1"/>
    <cellStyle name="ハイパーリンク" xfId="4660" builtinId="8" hidden="1"/>
    <cellStyle name="ハイパーリンク" xfId="4662" builtinId="8" hidden="1"/>
    <cellStyle name="ハイパーリンク" xfId="4664" builtinId="8" hidden="1"/>
    <cellStyle name="ハイパーリンク" xfId="4666" builtinId="8" hidden="1"/>
    <cellStyle name="ハイパーリンク" xfId="4668" builtinId="8" hidden="1"/>
    <cellStyle name="ハイパーリンク" xfId="4670" builtinId="8" hidden="1"/>
    <cellStyle name="ハイパーリンク" xfId="4672" builtinId="8" hidden="1"/>
    <cellStyle name="ハイパーリンク" xfId="4674" builtinId="8" hidden="1"/>
    <cellStyle name="ハイパーリンク" xfId="4676" builtinId="8" hidden="1"/>
    <cellStyle name="ハイパーリンク" xfId="4678" builtinId="8" hidden="1"/>
    <cellStyle name="ハイパーリンク" xfId="4680" builtinId="8" hidden="1"/>
    <cellStyle name="ハイパーリンク" xfId="4682" builtinId="8" hidden="1"/>
    <cellStyle name="ハイパーリンク" xfId="4684" builtinId="8" hidden="1"/>
    <cellStyle name="ハイパーリンク" xfId="4686" builtinId="8" hidden="1"/>
    <cellStyle name="ハイパーリンク" xfId="4688" builtinId="8" hidden="1"/>
    <cellStyle name="ハイパーリンク" xfId="4690" builtinId="8" hidden="1"/>
    <cellStyle name="ハイパーリンク" xfId="4692" builtinId="8" hidden="1"/>
    <cellStyle name="ハイパーリンク" xfId="4694" builtinId="8" hidden="1"/>
    <cellStyle name="ハイパーリンク" xfId="4696" builtinId="8" hidden="1"/>
    <cellStyle name="ハイパーリンク" xfId="4698" builtinId="8" hidden="1"/>
    <cellStyle name="ハイパーリンク" xfId="4700" builtinId="8" hidden="1"/>
    <cellStyle name="ハイパーリンク" xfId="4702" builtinId="8" hidden="1"/>
    <cellStyle name="ハイパーリンク" xfId="4704" builtinId="8" hidden="1"/>
    <cellStyle name="ハイパーリンク" xfId="4706" builtinId="8" hidden="1"/>
    <cellStyle name="ハイパーリンク" xfId="4708" builtinId="8" hidden="1"/>
    <cellStyle name="ハイパーリンク" xfId="4710" builtinId="8" hidden="1"/>
    <cellStyle name="ハイパーリンク" xfId="4712" builtinId="8" hidden="1"/>
    <cellStyle name="ハイパーリンク" xfId="4714" builtinId="8" hidden="1"/>
    <cellStyle name="ハイパーリンク" xfId="4716" builtinId="8" hidden="1"/>
    <cellStyle name="ハイパーリンク" xfId="4718" builtinId="8" hidden="1"/>
    <cellStyle name="ハイパーリンク" xfId="4720" builtinId="8" hidden="1"/>
    <cellStyle name="ハイパーリンク" xfId="4722" builtinId="8" hidden="1"/>
    <cellStyle name="ハイパーリンク" xfId="4724" builtinId="8" hidden="1"/>
    <cellStyle name="ハイパーリンク" xfId="4726" builtinId="8" hidden="1"/>
    <cellStyle name="ハイパーリンク" xfId="4728" builtinId="8" hidden="1"/>
    <cellStyle name="ハイパーリンク" xfId="4730" builtinId="8" hidden="1"/>
    <cellStyle name="ハイパーリンク" xfId="4732" builtinId="8" hidden="1"/>
    <cellStyle name="ハイパーリンク" xfId="4734" builtinId="8" hidden="1"/>
    <cellStyle name="ハイパーリンク" xfId="4736" builtinId="8" hidden="1"/>
    <cellStyle name="ハイパーリンク" xfId="4738" builtinId="8" hidden="1"/>
    <cellStyle name="ハイパーリンク" xfId="4740" builtinId="8" hidden="1"/>
    <cellStyle name="ハイパーリンク" xfId="4742" builtinId="8" hidden="1"/>
    <cellStyle name="ハイパーリンク" xfId="4744" builtinId="8" hidden="1"/>
    <cellStyle name="ハイパーリンク" xfId="4746" builtinId="8" hidden="1"/>
    <cellStyle name="ハイパーリンク" xfId="4748" builtinId="8" hidden="1"/>
    <cellStyle name="ハイパーリンク" xfId="4750" builtinId="8" hidden="1"/>
    <cellStyle name="ハイパーリンク" xfId="4752" builtinId="8" hidden="1"/>
    <cellStyle name="ハイパーリンク" xfId="4754" builtinId="8" hidden="1"/>
    <cellStyle name="ハイパーリンク" xfId="4756" builtinId="8" hidden="1"/>
    <cellStyle name="ハイパーリンク" xfId="4758" builtinId="8" hidden="1"/>
    <cellStyle name="ハイパーリンク" xfId="4760" builtinId="8" hidden="1"/>
    <cellStyle name="ハイパーリンク" xfId="4762" builtinId="8" hidden="1"/>
    <cellStyle name="ハイパーリンク" xfId="4764" builtinId="8" hidden="1"/>
    <cellStyle name="ハイパーリンク" xfId="4766" builtinId="8" hidden="1"/>
    <cellStyle name="ハイパーリンク" xfId="4768" builtinId="8" hidden="1"/>
    <cellStyle name="ハイパーリンク" xfId="4770" builtinId="8" hidden="1"/>
    <cellStyle name="ハイパーリンク" xfId="4772" builtinId="8" hidden="1"/>
    <cellStyle name="ハイパーリンク" xfId="4774" builtinId="8" hidden="1"/>
    <cellStyle name="ハイパーリンク" xfId="4776" builtinId="8" hidden="1"/>
    <cellStyle name="ハイパーリンク" xfId="4778" builtinId="8" hidden="1"/>
    <cellStyle name="ハイパーリンク" xfId="4780" builtinId="8" hidden="1"/>
    <cellStyle name="ハイパーリンク" xfId="4782" builtinId="8" hidden="1"/>
    <cellStyle name="ハイパーリンク" xfId="4784" builtinId="8" hidden="1"/>
    <cellStyle name="ハイパーリンク" xfId="4786" builtinId="8" hidden="1"/>
    <cellStyle name="ハイパーリンク" xfId="4788" builtinId="8" hidden="1"/>
    <cellStyle name="ハイパーリンク" xfId="4790" builtinId="8" hidden="1"/>
    <cellStyle name="ハイパーリンク" xfId="4792" builtinId="8" hidden="1"/>
    <cellStyle name="ハイパーリンク" xfId="4794" builtinId="8" hidden="1"/>
    <cellStyle name="ハイパーリンク" xfId="4796" builtinId="8" hidden="1"/>
    <cellStyle name="ハイパーリンク" xfId="4798" builtinId="8" hidden="1"/>
    <cellStyle name="ハイパーリンク" xfId="4800" builtinId="8" hidden="1"/>
    <cellStyle name="ハイパーリンク" xfId="4802" builtinId="8" hidden="1"/>
    <cellStyle name="ハイパーリンク" xfId="4804" builtinId="8" hidden="1"/>
    <cellStyle name="ハイパーリンク" xfId="4806" builtinId="8" hidden="1"/>
    <cellStyle name="ハイパーリンク" xfId="4808" builtinId="8" hidden="1"/>
    <cellStyle name="ハイパーリンク" xfId="4810" builtinId="8" hidden="1"/>
    <cellStyle name="ハイパーリンク" xfId="4812" builtinId="8" hidden="1"/>
    <cellStyle name="ハイパーリンク" xfId="4814" builtinId="8" hidden="1"/>
    <cellStyle name="ハイパーリンク" xfId="4816" builtinId="8" hidden="1"/>
    <cellStyle name="ハイパーリンク" xfId="4818" builtinId="8" hidden="1"/>
    <cellStyle name="ハイパーリンク" xfId="4820" builtinId="8" hidden="1"/>
    <cellStyle name="ハイパーリンク" xfId="4822" builtinId="8" hidden="1"/>
    <cellStyle name="ハイパーリンク" xfId="4824" builtinId="8" hidden="1"/>
    <cellStyle name="ハイパーリンク" xfId="4826" builtinId="8" hidden="1"/>
    <cellStyle name="ハイパーリンク" xfId="4828" builtinId="8" hidden="1"/>
    <cellStyle name="ハイパーリンク" xfId="4830" builtinId="8" hidden="1"/>
    <cellStyle name="ハイパーリンク" xfId="4832" builtinId="8" hidden="1"/>
    <cellStyle name="ハイパーリンク" xfId="4834" builtinId="8" hidden="1"/>
    <cellStyle name="ハイパーリンク" xfId="4836" builtinId="8" hidden="1"/>
    <cellStyle name="ハイパーリンク" xfId="4838" builtinId="8" hidden="1"/>
    <cellStyle name="ハイパーリンク" xfId="4840" builtinId="8" hidden="1"/>
    <cellStyle name="ハイパーリンク" xfId="4842" builtinId="8" hidden="1"/>
    <cellStyle name="ハイパーリンク" xfId="4844" builtinId="8" hidden="1"/>
    <cellStyle name="ハイパーリンク" xfId="4846" builtinId="8" hidden="1"/>
    <cellStyle name="ハイパーリンク" xfId="4848" builtinId="8" hidden="1"/>
    <cellStyle name="ハイパーリンク" xfId="4850" builtinId="8" hidden="1"/>
    <cellStyle name="ハイパーリンク" xfId="4852" builtinId="8" hidden="1"/>
    <cellStyle name="ハイパーリンク" xfId="4854" builtinId="8" hidden="1"/>
    <cellStyle name="ハイパーリンク" xfId="4856" builtinId="8" hidden="1"/>
    <cellStyle name="ハイパーリンク" xfId="4858" builtinId="8" hidden="1"/>
    <cellStyle name="ハイパーリンク" xfId="4860" builtinId="8" hidden="1"/>
    <cellStyle name="ハイパーリンク" xfId="4862" builtinId="8" hidden="1"/>
    <cellStyle name="ハイパーリンク" xfId="4864" builtinId="8" hidden="1"/>
    <cellStyle name="ハイパーリンク" xfId="4866" builtinId="8" hidden="1"/>
    <cellStyle name="ハイパーリンク" xfId="4868" builtinId="8" hidden="1"/>
    <cellStyle name="ハイパーリンク" xfId="4870" builtinId="8" hidden="1"/>
    <cellStyle name="ハイパーリンク" xfId="4872" builtinId="8" hidden="1"/>
    <cellStyle name="ハイパーリンク" xfId="4874" builtinId="8" hidden="1"/>
    <cellStyle name="ハイパーリンク" xfId="4876" builtinId="8" hidden="1"/>
    <cellStyle name="ハイパーリンク" xfId="4878" builtinId="8" hidden="1"/>
    <cellStyle name="ハイパーリンク" xfId="4880" builtinId="8" hidden="1"/>
    <cellStyle name="ハイパーリンク" xfId="4882" builtinId="8" hidden="1"/>
    <cellStyle name="ハイパーリンク" xfId="4884" builtinId="8" hidden="1"/>
    <cellStyle name="ハイパーリンク" xfId="4886" builtinId="8" hidden="1"/>
    <cellStyle name="ハイパーリンク" xfId="4888" builtinId="8" hidden="1"/>
    <cellStyle name="ハイパーリンク" xfId="4890" builtinId="8" hidden="1"/>
    <cellStyle name="ハイパーリンク" xfId="4892" builtinId="8" hidden="1"/>
    <cellStyle name="ハイパーリンク" xfId="4894" builtinId="8" hidden="1"/>
    <cellStyle name="ハイパーリンク" xfId="4896" builtinId="8" hidden="1"/>
    <cellStyle name="ハイパーリンク" xfId="4898" builtinId="8" hidden="1"/>
    <cellStyle name="ハイパーリンク" xfId="4900" builtinId="8" hidden="1"/>
    <cellStyle name="ハイパーリンク" xfId="4902" builtinId="8" hidden="1"/>
    <cellStyle name="ハイパーリンク" xfId="4904" builtinId="8" hidden="1"/>
    <cellStyle name="ハイパーリンク" xfId="4906" builtinId="8" hidden="1"/>
    <cellStyle name="ハイパーリンク" xfId="4908" builtinId="8" hidden="1"/>
    <cellStyle name="ハイパーリンク" xfId="4910" builtinId="8" hidden="1"/>
    <cellStyle name="ハイパーリンク" xfId="4912" builtinId="8" hidden="1"/>
    <cellStyle name="ハイパーリンク" xfId="4914" builtinId="8" hidden="1"/>
    <cellStyle name="ハイパーリンク" xfId="4916" builtinId="8" hidden="1"/>
    <cellStyle name="ハイパーリンク" xfId="4918" builtinId="8" hidden="1"/>
    <cellStyle name="ハイパーリンク" xfId="4920" builtinId="8" hidden="1"/>
    <cellStyle name="ハイパーリンク" xfId="4922" builtinId="8" hidden="1"/>
    <cellStyle name="ハイパーリンク" xfId="4924" builtinId="8" hidden="1"/>
    <cellStyle name="ハイパーリンク" xfId="4926" builtinId="8" hidden="1"/>
    <cellStyle name="ハイパーリンク" xfId="4928" builtinId="8" hidden="1"/>
    <cellStyle name="ハイパーリンク" xfId="4930" builtinId="8" hidden="1"/>
    <cellStyle name="ハイパーリンク" xfId="4932" builtinId="8" hidden="1"/>
    <cellStyle name="ハイパーリンク" xfId="4934" builtinId="8" hidden="1"/>
    <cellStyle name="ハイパーリンク" xfId="4936" builtinId="8" hidden="1"/>
    <cellStyle name="ハイパーリンク" xfId="4938" builtinId="8" hidden="1"/>
    <cellStyle name="ハイパーリンク" xfId="4940" builtinId="8" hidden="1"/>
    <cellStyle name="ハイパーリンク" xfId="4942" builtinId="8" hidden="1"/>
    <cellStyle name="ハイパーリンク" xfId="4944" builtinId="8" hidden="1"/>
    <cellStyle name="ハイパーリンク" xfId="4946" builtinId="8" hidden="1"/>
    <cellStyle name="ハイパーリンク" xfId="4948" builtinId="8" hidden="1"/>
    <cellStyle name="ハイパーリンク" xfId="4950" builtinId="8" hidden="1"/>
    <cellStyle name="ハイパーリンク" xfId="4952" builtinId="8" hidden="1"/>
    <cellStyle name="ハイパーリンク" xfId="4954" builtinId="8" hidden="1"/>
    <cellStyle name="ハイパーリンク" xfId="4956" builtinId="8" hidden="1"/>
    <cellStyle name="ハイパーリンク" xfId="4958" builtinId="8" hidden="1"/>
    <cellStyle name="ハイパーリンク" xfId="4960" builtinId="8" hidden="1"/>
    <cellStyle name="ハイパーリンク" xfId="4962" builtinId="8" hidden="1"/>
    <cellStyle name="ハイパーリンク" xfId="4964" builtinId="8" hidden="1"/>
    <cellStyle name="ハイパーリンク" xfId="4966" builtinId="8" hidden="1"/>
    <cellStyle name="ハイパーリンク" xfId="4968" builtinId="8" hidden="1"/>
    <cellStyle name="ハイパーリンク" xfId="4970" builtinId="8" hidden="1"/>
    <cellStyle name="ハイパーリンク" xfId="4972" builtinId="8" hidden="1"/>
    <cellStyle name="ハイパーリンク" xfId="4974" builtinId="8" hidden="1"/>
    <cellStyle name="ハイパーリンク" xfId="4976" builtinId="8" hidden="1"/>
    <cellStyle name="ハイパーリンク" xfId="4978" builtinId="8" hidden="1"/>
    <cellStyle name="ハイパーリンク" xfId="4980" builtinId="8" hidden="1"/>
    <cellStyle name="ハイパーリンク" xfId="4982" builtinId="8" hidden="1"/>
    <cellStyle name="ハイパーリンク" xfId="4984" builtinId="8" hidden="1"/>
    <cellStyle name="ハイパーリンク" xfId="4986" builtinId="8" hidden="1"/>
    <cellStyle name="ハイパーリンク" xfId="4988" builtinId="8" hidden="1"/>
    <cellStyle name="ハイパーリンク" xfId="4990" builtinId="8" hidden="1"/>
    <cellStyle name="ハイパーリンク" xfId="4992" builtinId="8" hidden="1"/>
    <cellStyle name="ハイパーリンク" xfId="4994" builtinId="8" hidden="1"/>
    <cellStyle name="ハイパーリンク" xfId="4996" builtinId="8" hidden="1"/>
    <cellStyle name="ハイパーリンク" xfId="4998" builtinId="8" hidden="1"/>
    <cellStyle name="ハイパーリンク" xfId="5000" builtinId="8" hidden="1"/>
    <cellStyle name="ハイパーリンク" xfId="5002" builtinId="8" hidden="1"/>
    <cellStyle name="ハイパーリンク" xfId="5004" builtinId="8" hidden="1"/>
    <cellStyle name="ハイパーリンク" xfId="5006" builtinId="8" hidden="1"/>
    <cellStyle name="ハイパーリンク" xfId="5008" builtinId="8" hidden="1"/>
    <cellStyle name="ハイパーリンク" xfId="5010" builtinId="8" hidden="1"/>
    <cellStyle name="ハイパーリンク" xfId="5012" builtinId="8" hidden="1"/>
    <cellStyle name="ハイパーリンク" xfId="5014" builtinId="8" hidden="1"/>
    <cellStyle name="ハイパーリンク" xfId="5016" builtinId="8" hidden="1"/>
    <cellStyle name="ハイパーリンク" xfId="5018" builtinId="8" hidden="1"/>
    <cellStyle name="ハイパーリンク" xfId="5020" builtinId="8" hidden="1"/>
    <cellStyle name="ハイパーリンク" xfId="5022" builtinId="8" hidden="1"/>
    <cellStyle name="ハイパーリンク" xfId="5024" builtinId="8" hidden="1"/>
    <cellStyle name="ハイパーリンク" xfId="5026" builtinId="8" hidden="1"/>
    <cellStyle name="ハイパーリンク" xfId="5028" builtinId="8" hidden="1"/>
    <cellStyle name="ハイパーリンク" xfId="5030" builtinId="8" hidden="1"/>
    <cellStyle name="ハイパーリンク" xfId="5032" builtinId="8" hidden="1"/>
    <cellStyle name="ハイパーリンク" xfId="5034" builtinId="8" hidden="1"/>
    <cellStyle name="ハイパーリンク" xfId="5036" builtinId="8" hidden="1"/>
    <cellStyle name="ハイパーリンク" xfId="5038" builtinId="8" hidden="1"/>
    <cellStyle name="ハイパーリンク" xfId="5040" builtinId="8" hidden="1"/>
    <cellStyle name="ハイパーリンク" xfId="5042" builtinId="8" hidden="1"/>
    <cellStyle name="ハイパーリンク" xfId="5044" builtinId="8" hidden="1"/>
    <cellStyle name="ハイパーリンク" xfId="5046" builtinId="8" hidden="1"/>
    <cellStyle name="ハイパーリンク" xfId="5048" builtinId="8" hidden="1"/>
    <cellStyle name="ハイパーリンク" xfId="5050" builtinId="8" hidden="1"/>
    <cellStyle name="ハイパーリンク" xfId="5052" builtinId="8" hidden="1"/>
    <cellStyle name="ハイパーリンク" xfId="5054" builtinId="8" hidden="1"/>
    <cellStyle name="ハイパーリンク" xfId="5056" builtinId="8" hidden="1"/>
    <cellStyle name="ハイパーリンク" xfId="5058" builtinId="8" hidden="1"/>
    <cellStyle name="ハイパーリンク" xfId="5060" builtinId="8" hidden="1"/>
    <cellStyle name="ハイパーリンク" xfId="5062" builtinId="8" hidden="1"/>
    <cellStyle name="ハイパーリンク" xfId="5064" builtinId="8" hidden="1"/>
    <cellStyle name="ハイパーリンク" xfId="5066" builtinId="8" hidden="1"/>
    <cellStyle name="ハイパーリンク" xfId="5068" builtinId="8" hidden="1"/>
    <cellStyle name="ハイパーリンク" xfId="5070" builtinId="8" hidden="1"/>
    <cellStyle name="ハイパーリンク" xfId="5072" builtinId="8" hidden="1"/>
    <cellStyle name="ハイパーリンク" xfId="5074" builtinId="8" hidden="1"/>
    <cellStyle name="ハイパーリンク" xfId="5076" builtinId="8" hidden="1"/>
    <cellStyle name="ハイパーリンク" xfId="5078" builtinId="8" hidden="1"/>
    <cellStyle name="ハイパーリンク" xfId="5080" builtinId="8" hidden="1"/>
    <cellStyle name="ハイパーリンク" xfId="5082" builtinId="8" hidden="1"/>
    <cellStyle name="ハイパーリンク" xfId="5084" builtinId="8" hidden="1"/>
    <cellStyle name="ハイパーリンク" xfId="5086" builtinId="8" hidden="1"/>
    <cellStyle name="ハイパーリンク" xfId="5088" builtinId="8" hidden="1"/>
    <cellStyle name="ハイパーリンク" xfId="5090" builtinId="8" hidden="1"/>
    <cellStyle name="ハイパーリンク" xfId="5092" builtinId="8" hidden="1"/>
    <cellStyle name="ハイパーリンク" xfId="5094" builtinId="8" hidden="1"/>
    <cellStyle name="ハイパーリンク" xfId="5096" builtinId="8" hidden="1"/>
    <cellStyle name="ハイパーリンク" xfId="5098" builtinId="8" hidden="1"/>
    <cellStyle name="ハイパーリンク" xfId="5100" builtinId="8" hidden="1"/>
    <cellStyle name="ハイパーリンク" xfId="5102" builtinId="8" hidden="1"/>
    <cellStyle name="ハイパーリンク" xfId="5104" builtinId="8" hidden="1"/>
    <cellStyle name="ハイパーリンク" xfId="5106" builtinId="8" hidden="1"/>
    <cellStyle name="ハイパーリンク" xfId="5108" builtinId="8" hidden="1"/>
    <cellStyle name="ハイパーリンク" xfId="5110" builtinId="8" hidden="1"/>
    <cellStyle name="ハイパーリンク" xfId="5112" builtinId="8" hidden="1"/>
    <cellStyle name="ハイパーリンク" xfId="5114" builtinId="8" hidden="1"/>
    <cellStyle name="ハイパーリンク" xfId="5116" builtinId="8" hidden="1"/>
    <cellStyle name="ハイパーリンク" xfId="5118" builtinId="8" hidden="1"/>
    <cellStyle name="ハイパーリンク" xfId="5120" builtinId="8" hidden="1"/>
    <cellStyle name="ハイパーリンク" xfId="5122" builtinId="8" hidden="1"/>
    <cellStyle name="ハイパーリンク" xfId="5124" builtinId="8" hidden="1"/>
    <cellStyle name="ハイパーリンク" xfId="5126" builtinId="8" hidden="1"/>
    <cellStyle name="ハイパーリンク" xfId="5128" builtinId="8" hidden="1"/>
    <cellStyle name="ハイパーリンク" xfId="5130" builtinId="8" hidden="1"/>
    <cellStyle name="ハイパーリンク" xfId="5132" builtinId="8" hidden="1"/>
    <cellStyle name="ハイパーリンク" xfId="5134" builtinId="8" hidden="1"/>
    <cellStyle name="ハイパーリンク" xfId="5136" builtinId="8" hidden="1"/>
    <cellStyle name="ハイパーリンク" xfId="5138" builtinId="8" hidden="1"/>
    <cellStyle name="ハイパーリンク" xfId="5140" builtinId="8" hidden="1"/>
    <cellStyle name="ハイパーリンク" xfId="5142" builtinId="8" hidden="1"/>
    <cellStyle name="ハイパーリンク" xfId="5144" builtinId="8" hidden="1"/>
    <cellStyle name="ハイパーリンク" xfId="5146" builtinId="8" hidden="1"/>
    <cellStyle name="ハイパーリンク" xfId="5148" builtinId="8" hidden="1"/>
    <cellStyle name="ハイパーリンク" xfId="5150" builtinId="8" hidden="1"/>
    <cellStyle name="ハイパーリンク" xfId="5152" builtinId="8" hidden="1"/>
    <cellStyle name="ハイパーリンク" xfId="5154" builtinId="8" hidden="1"/>
    <cellStyle name="ハイパーリンク" xfId="5156" builtinId="8" hidden="1"/>
    <cellStyle name="ハイパーリンク" xfId="5158" builtinId="8" hidden="1"/>
    <cellStyle name="ハイパーリンク" xfId="5160" builtinId="8" hidden="1"/>
    <cellStyle name="ハイパーリンク" xfId="5162" builtinId="8" hidden="1"/>
    <cellStyle name="ハイパーリンク" xfId="5164" builtinId="8" hidden="1"/>
    <cellStyle name="ハイパーリンク" xfId="5166" builtinId="8" hidden="1"/>
    <cellStyle name="ハイパーリンク" xfId="5168" builtinId="8" hidden="1"/>
    <cellStyle name="ハイパーリンク" xfId="5170" builtinId="8" hidden="1"/>
    <cellStyle name="ハイパーリンク" xfId="5172" builtinId="8" hidden="1"/>
    <cellStyle name="ハイパーリンク" xfId="5174" builtinId="8" hidden="1"/>
    <cellStyle name="ハイパーリンク" xfId="5176" builtinId="8" hidden="1"/>
    <cellStyle name="ハイパーリンク" xfId="5178" builtinId="8" hidden="1"/>
    <cellStyle name="ハイパーリンク" xfId="5180" builtinId="8" hidden="1"/>
    <cellStyle name="ハイパーリンク" xfId="5182" builtinId="8" hidden="1"/>
    <cellStyle name="ハイパーリンク" xfId="5184" builtinId="8" hidden="1"/>
    <cellStyle name="ハイパーリンク" xfId="5186" builtinId="8" hidden="1"/>
    <cellStyle name="ハイパーリンク" xfId="5188" builtinId="8" hidden="1"/>
    <cellStyle name="ハイパーリンク" xfId="5190" builtinId="8" hidden="1"/>
    <cellStyle name="ハイパーリンク" xfId="5192" builtinId="8" hidden="1"/>
    <cellStyle name="ハイパーリンク" xfId="5194" builtinId="8" hidden="1"/>
    <cellStyle name="ハイパーリンク" xfId="5196" builtinId="8" hidden="1"/>
    <cellStyle name="ハイパーリンク" xfId="5198" builtinId="8" hidden="1"/>
    <cellStyle name="ハイパーリンク" xfId="5200" builtinId="8" hidden="1"/>
    <cellStyle name="ハイパーリンク" xfId="5202" builtinId="8" hidden="1"/>
    <cellStyle name="ハイパーリンク" xfId="5204" builtinId="8" hidden="1"/>
    <cellStyle name="ハイパーリンク" xfId="5206" builtinId="8" hidden="1"/>
    <cellStyle name="ハイパーリンク" xfId="5208" builtinId="8" hidden="1"/>
    <cellStyle name="ハイパーリンク" xfId="5210" builtinId="8" hidden="1"/>
    <cellStyle name="ハイパーリンク" xfId="5212" builtinId="8" hidden="1"/>
    <cellStyle name="ハイパーリンク" xfId="5214" builtinId="8" hidden="1"/>
    <cellStyle name="ハイパーリンク" xfId="5216" builtinId="8" hidden="1"/>
    <cellStyle name="ハイパーリンク" xfId="5218" builtinId="8" hidden="1"/>
    <cellStyle name="ハイパーリンク" xfId="5220" builtinId="8" hidden="1"/>
    <cellStyle name="ハイパーリンク" xfId="5222" builtinId="8" hidden="1"/>
    <cellStyle name="ハイパーリンク" xfId="5224" builtinId="8" hidden="1"/>
    <cellStyle name="ハイパーリンク" xfId="5226" builtinId="8" hidden="1"/>
    <cellStyle name="ハイパーリンク" xfId="5228" builtinId="8" hidden="1"/>
    <cellStyle name="ハイパーリンク" xfId="5234" builtinId="8" hidden="1"/>
    <cellStyle name="ハイパーリンク" xfId="5236" builtinId="8" hidden="1"/>
    <cellStyle name="ハイパーリンク" xfId="5238" builtinId="8" hidden="1"/>
    <cellStyle name="ハイパーリンク" xfId="5240" builtinId="8" hidden="1"/>
    <cellStyle name="ハイパーリンク" xfId="5242" builtinId="8" hidden="1"/>
    <cellStyle name="桁区切り 2" xfId="67"/>
    <cellStyle name="桁区切り [0]" xfId="4047" builtinId="6"/>
    <cellStyle name="標準" xfId="0" builtinId="0"/>
    <cellStyle name="標準 2" xfId="2"/>
    <cellStyle name="標準 2 2" xfId="3961"/>
    <cellStyle name="標準 3" xfId="19"/>
    <cellStyle name="標準 3 2" xfId="5232"/>
    <cellStyle name="標準 4" xfId="70"/>
    <cellStyle name="標準 4 2" xfId="5233"/>
    <cellStyle name="標準 5" xfId="3960"/>
    <cellStyle name="標準 5 2" xfId="5230"/>
    <cellStyle name="標準 6" xfId="4030"/>
    <cellStyle name="標準 7" xfId="5231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79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7" builtinId="9" hidden="1"/>
    <cellStyle name="表示済みのハイパーリンク" xfId="3039" builtinId="9" hidden="1"/>
    <cellStyle name="表示済みのハイパーリンク" xfId="3041" builtinId="9" hidden="1"/>
    <cellStyle name="表示済みのハイパーリンク" xfId="3043" builtinId="9" hidden="1"/>
    <cellStyle name="表示済みのハイパーリンク" xfId="3045" builtinId="9" hidden="1"/>
    <cellStyle name="表示済みのハイパーリンク" xfId="3047" builtinId="9" hidden="1"/>
    <cellStyle name="表示済みのハイパーリンク" xfId="3049" builtinId="9" hidden="1"/>
    <cellStyle name="表示済みのハイパーリンク" xfId="3051" builtinId="9" hidden="1"/>
    <cellStyle name="表示済みのハイパーリンク" xfId="3053" builtinId="9" hidden="1"/>
    <cellStyle name="表示済みのハイパーリンク" xfId="3055" builtinId="9" hidden="1"/>
    <cellStyle name="表示済みのハイパーリンク" xfId="3057" builtinId="9" hidden="1"/>
    <cellStyle name="表示済みのハイパーリンク" xfId="3059" builtinId="9" hidden="1"/>
    <cellStyle name="表示済みのハイパーリンク" xfId="3061" builtinId="9" hidden="1"/>
    <cellStyle name="表示済みのハイパーリンク" xfId="3063" builtinId="9" hidden="1"/>
    <cellStyle name="表示済みのハイパーリンク" xfId="3065" builtinId="9" hidden="1"/>
    <cellStyle name="表示済みのハイパーリンク" xfId="3067" builtinId="9" hidden="1"/>
    <cellStyle name="表示済みのハイパーリンク" xfId="3069" builtinId="9" hidden="1"/>
    <cellStyle name="表示済みのハイパーリンク" xfId="3071" builtinId="9" hidden="1"/>
    <cellStyle name="表示済みのハイパーリンク" xfId="3073" builtinId="9" hidden="1"/>
    <cellStyle name="表示済みのハイパーリンク" xfId="3075" builtinId="9" hidden="1"/>
    <cellStyle name="表示済みのハイパーリンク" xfId="3077" builtinId="9" hidden="1"/>
    <cellStyle name="表示済みのハイパーリンク" xfId="3079" builtinId="9" hidden="1"/>
    <cellStyle name="表示済みのハイパーリンク" xfId="3081" builtinId="9" hidden="1"/>
    <cellStyle name="表示済みのハイパーリンク" xfId="3083" builtinId="9" hidden="1"/>
    <cellStyle name="表示済みのハイパーリンク" xfId="3085" builtinId="9" hidden="1"/>
    <cellStyle name="表示済みのハイパーリンク" xfId="3087" builtinId="9" hidden="1"/>
    <cellStyle name="表示済みのハイパーリンク" xfId="3089" builtinId="9" hidden="1"/>
    <cellStyle name="表示済みのハイパーリンク" xfId="3091" builtinId="9" hidden="1"/>
    <cellStyle name="表示済みのハイパーリンク" xfId="3093" builtinId="9" hidden="1"/>
    <cellStyle name="表示済みのハイパーリンク" xfId="3095" builtinId="9" hidden="1"/>
    <cellStyle name="表示済みのハイパーリンク" xfId="3097" builtinId="9" hidden="1"/>
    <cellStyle name="表示済みのハイパーリンク" xfId="3099" builtinId="9" hidden="1"/>
    <cellStyle name="表示済みのハイパーリンク" xfId="3101" builtinId="9" hidden="1"/>
    <cellStyle name="表示済みのハイパーリンク" xfId="3103" builtinId="9" hidden="1"/>
    <cellStyle name="表示済みのハイパーリンク" xfId="3105" builtinId="9" hidden="1"/>
    <cellStyle name="表示済みのハイパーリンク" xfId="3107" builtinId="9" hidden="1"/>
    <cellStyle name="表示済みのハイパーリンク" xfId="3109" builtinId="9" hidden="1"/>
    <cellStyle name="表示済みのハイパーリンク" xfId="3111" builtinId="9" hidden="1"/>
    <cellStyle name="表示済みのハイパーリンク" xfId="3113" builtinId="9" hidden="1"/>
    <cellStyle name="表示済みのハイパーリンク" xfId="3115" builtinId="9" hidden="1"/>
    <cellStyle name="表示済みのハイパーリンク" xfId="3117" builtinId="9" hidden="1"/>
    <cellStyle name="表示済みのハイパーリンク" xfId="3119" builtinId="9" hidden="1"/>
    <cellStyle name="表示済みのハイパーリンク" xfId="3121" builtinId="9" hidden="1"/>
    <cellStyle name="表示済みのハイパーリンク" xfId="3123" builtinId="9" hidden="1"/>
    <cellStyle name="表示済みのハイパーリンク" xfId="3125" builtinId="9" hidden="1"/>
    <cellStyle name="表示済みのハイパーリンク" xfId="3127" builtinId="9" hidden="1"/>
    <cellStyle name="表示済みのハイパーリンク" xfId="3129" builtinId="9" hidden="1"/>
    <cellStyle name="表示済みのハイパーリンク" xfId="3131" builtinId="9" hidden="1"/>
    <cellStyle name="表示済みのハイパーリンク" xfId="3133" builtinId="9" hidden="1"/>
    <cellStyle name="表示済みのハイパーリンク" xfId="3135" builtinId="9" hidden="1"/>
    <cellStyle name="表示済みのハイパーリンク" xfId="3137" builtinId="9" hidden="1"/>
    <cellStyle name="表示済みのハイパーリンク" xfId="3139" builtinId="9" hidden="1"/>
    <cellStyle name="表示済みのハイパーリンク" xfId="3141" builtinId="9" hidden="1"/>
    <cellStyle name="表示済みのハイパーリンク" xfId="3143" builtinId="9" hidden="1"/>
    <cellStyle name="表示済みのハイパーリンク" xfId="3145" builtinId="9" hidden="1"/>
    <cellStyle name="表示済みのハイパーリンク" xfId="3147" builtinId="9" hidden="1"/>
    <cellStyle name="表示済みのハイパーリンク" xfId="3149" builtinId="9" hidden="1"/>
    <cellStyle name="表示済みのハイパーリンク" xfId="3151" builtinId="9" hidden="1"/>
    <cellStyle name="表示済みのハイパーリンク" xfId="3153" builtinId="9" hidden="1"/>
    <cellStyle name="表示済みのハイパーリンク" xfId="3155" builtinId="9" hidden="1"/>
    <cellStyle name="表示済みのハイパーリンク" xfId="3157" builtinId="9" hidden="1"/>
    <cellStyle name="表示済みのハイパーリンク" xfId="3159" builtinId="9" hidden="1"/>
    <cellStyle name="表示済みのハイパーリンク" xfId="3161" builtinId="9" hidden="1"/>
    <cellStyle name="表示済みのハイパーリンク" xfId="3163" builtinId="9" hidden="1"/>
    <cellStyle name="表示済みのハイパーリンク" xfId="3165" builtinId="9" hidden="1"/>
    <cellStyle name="表示済みのハイパーリンク" xfId="3167" builtinId="9" hidden="1"/>
    <cellStyle name="表示済みのハイパーリンク" xfId="3169" builtinId="9" hidden="1"/>
    <cellStyle name="表示済みのハイパーリンク" xfId="3171" builtinId="9" hidden="1"/>
    <cellStyle name="表示済みのハイパーリンク" xfId="3173" builtinId="9" hidden="1"/>
    <cellStyle name="表示済みのハイパーリンク" xfId="3175" builtinId="9" hidden="1"/>
    <cellStyle name="表示済みのハイパーリンク" xfId="3177" builtinId="9" hidden="1"/>
    <cellStyle name="表示済みのハイパーリンク" xfId="3179" builtinId="9" hidden="1"/>
    <cellStyle name="表示済みのハイパーリンク" xfId="3181" builtinId="9" hidden="1"/>
    <cellStyle name="表示済みのハイパーリンク" xfId="3183" builtinId="9" hidden="1"/>
    <cellStyle name="表示済みのハイパーリンク" xfId="3185" builtinId="9" hidden="1"/>
    <cellStyle name="表示済みのハイパーリンク" xfId="3187" builtinId="9" hidden="1"/>
    <cellStyle name="表示済みのハイパーリンク" xfId="3189" builtinId="9" hidden="1"/>
    <cellStyle name="表示済みのハイパーリンク" xfId="3191" builtinId="9" hidden="1"/>
    <cellStyle name="表示済みのハイパーリンク" xfId="3193" builtinId="9" hidden="1"/>
    <cellStyle name="表示済みのハイパーリンク" xfId="3195" builtinId="9" hidden="1"/>
    <cellStyle name="表示済みのハイパーリンク" xfId="3197" builtinId="9" hidden="1"/>
    <cellStyle name="表示済みのハイパーリンク" xfId="3199" builtinId="9" hidden="1"/>
    <cellStyle name="表示済みのハイパーリンク" xfId="3201" builtinId="9" hidden="1"/>
    <cellStyle name="表示済みのハイパーリンク" xfId="3203" builtinId="9" hidden="1"/>
    <cellStyle name="表示済みのハイパーリンク" xfId="3205" builtinId="9" hidden="1"/>
    <cellStyle name="表示済みのハイパーリンク" xfId="3207" builtinId="9" hidden="1"/>
    <cellStyle name="表示済みのハイパーリンク" xfId="3209" builtinId="9" hidden="1"/>
    <cellStyle name="表示済みのハイパーリンク" xfId="3211" builtinId="9" hidden="1"/>
    <cellStyle name="表示済みのハイパーリンク" xfId="3213" builtinId="9" hidden="1"/>
    <cellStyle name="表示済みのハイパーリンク" xfId="3215" builtinId="9" hidden="1"/>
    <cellStyle name="表示済みのハイパーリンク" xfId="3217" builtinId="9" hidden="1"/>
    <cellStyle name="表示済みのハイパーリンク" xfId="3219" builtinId="9" hidden="1"/>
    <cellStyle name="表示済みのハイパーリンク" xfId="3221" builtinId="9" hidden="1"/>
    <cellStyle name="表示済みのハイパーリンク" xfId="3223" builtinId="9" hidden="1"/>
    <cellStyle name="表示済みのハイパーリンク" xfId="3225" builtinId="9" hidden="1"/>
    <cellStyle name="表示済みのハイパーリンク" xfId="3227" builtinId="9" hidden="1"/>
    <cellStyle name="表示済みのハイパーリンク" xfId="3229" builtinId="9" hidden="1"/>
    <cellStyle name="表示済みのハイパーリンク" xfId="3231" builtinId="9" hidden="1"/>
    <cellStyle name="表示済みのハイパーリンク" xfId="3233" builtinId="9" hidden="1"/>
    <cellStyle name="表示済みのハイパーリンク" xfId="3235" builtinId="9" hidden="1"/>
    <cellStyle name="表示済みのハイパーリンク" xfId="3237" builtinId="9" hidden="1"/>
    <cellStyle name="表示済みのハイパーリンク" xfId="3239" builtinId="9" hidden="1"/>
    <cellStyle name="表示済みのハイパーリンク" xfId="3241" builtinId="9" hidden="1"/>
    <cellStyle name="表示済みのハイパーリンク" xfId="3243" builtinId="9" hidden="1"/>
    <cellStyle name="表示済みのハイパーリンク" xfId="3245" builtinId="9" hidden="1"/>
    <cellStyle name="表示済みのハイパーリンク" xfId="3247" builtinId="9" hidden="1"/>
    <cellStyle name="表示済みのハイパーリンク" xfId="3249" builtinId="9" hidden="1"/>
    <cellStyle name="表示済みのハイパーリンク" xfId="3251" builtinId="9" hidden="1"/>
    <cellStyle name="表示済みのハイパーリンク" xfId="3253" builtinId="9" hidden="1"/>
    <cellStyle name="表示済みのハイパーリンク" xfId="3255" builtinId="9" hidden="1"/>
    <cellStyle name="表示済みのハイパーリンク" xfId="3257" builtinId="9" hidden="1"/>
    <cellStyle name="表示済みのハイパーリンク" xfId="3259" builtinId="9" hidden="1"/>
    <cellStyle name="表示済みのハイパーリンク" xfId="3261" builtinId="9" hidden="1"/>
    <cellStyle name="表示済みのハイパーリンク" xfId="3263" builtinId="9" hidden="1"/>
    <cellStyle name="表示済みのハイパーリンク" xfId="3265" builtinId="9" hidden="1"/>
    <cellStyle name="表示済みのハイパーリンク" xfId="3267" builtinId="9" hidden="1"/>
    <cellStyle name="表示済みのハイパーリンク" xfId="3269" builtinId="9" hidden="1"/>
    <cellStyle name="表示済みのハイパーリンク" xfId="3271" builtinId="9" hidden="1"/>
    <cellStyle name="表示済みのハイパーリンク" xfId="3273" builtinId="9" hidden="1"/>
    <cellStyle name="表示済みのハイパーリンク" xfId="3275" builtinId="9" hidden="1"/>
    <cellStyle name="表示済みのハイパーリンク" xfId="3277" builtinId="9" hidden="1"/>
    <cellStyle name="表示済みのハイパーリンク" xfId="3279" builtinId="9" hidden="1"/>
    <cellStyle name="表示済みのハイパーリンク" xfId="3281" builtinId="9" hidden="1"/>
    <cellStyle name="表示済みのハイパーリンク" xfId="3283" builtinId="9" hidden="1"/>
    <cellStyle name="表示済みのハイパーリンク" xfId="3285" builtinId="9" hidden="1"/>
    <cellStyle name="表示済みのハイパーリンク" xfId="3287" builtinId="9" hidden="1"/>
    <cellStyle name="表示済みのハイパーリンク" xfId="3289" builtinId="9" hidden="1"/>
    <cellStyle name="表示済みのハイパーリンク" xfId="3291" builtinId="9" hidden="1"/>
    <cellStyle name="表示済みのハイパーリンク" xfId="3293" builtinId="9" hidden="1"/>
    <cellStyle name="表示済みのハイパーリンク" xfId="3295" builtinId="9" hidden="1"/>
    <cellStyle name="表示済みのハイパーリンク" xfId="3297" builtinId="9" hidden="1"/>
    <cellStyle name="表示済みのハイパーリンク" xfId="3299" builtinId="9" hidden="1"/>
    <cellStyle name="表示済みのハイパーリンク" xfId="3301" builtinId="9" hidden="1"/>
    <cellStyle name="表示済みのハイパーリンク" xfId="3303" builtinId="9" hidden="1"/>
    <cellStyle name="表示済みのハイパーリンク" xfId="3305" builtinId="9" hidden="1"/>
    <cellStyle name="表示済みのハイパーリンク" xfId="3307" builtinId="9" hidden="1"/>
    <cellStyle name="表示済みのハイパーリンク" xfId="3309" builtinId="9" hidden="1"/>
    <cellStyle name="表示済みのハイパーリンク" xfId="3311" builtinId="9" hidden="1"/>
    <cellStyle name="表示済みのハイパーリンク" xfId="3313" builtinId="9" hidden="1"/>
    <cellStyle name="表示済みのハイパーリンク" xfId="3315" builtinId="9" hidden="1"/>
    <cellStyle name="表示済みのハイパーリンク" xfId="3317" builtinId="9" hidden="1"/>
    <cellStyle name="表示済みのハイパーリンク" xfId="3319" builtinId="9" hidden="1"/>
    <cellStyle name="表示済みのハイパーリンク" xfId="3321" builtinId="9" hidden="1"/>
    <cellStyle name="表示済みのハイパーリンク" xfId="3323" builtinId="9" hidden="1"/>
    <cellStyle name="表示済みのハイパーリンク" xfId="3325" builtinId="9" hidden="1"/>
    <cellStyle name="表示済みのハイパーリンク" xfId="3327" builtinId="9" hidden="1"/>
    <cellStyle name="表示済みのハイパーリンク" xfId="3329" builtinId="9" hidden="1"/>
    <cellStyle name="表示済みのハイパーリンク" xfId="3331" builtinId="9" hidden="1"/>
    <cellStyle name="表示済みのハイパーリンク" xfId="3333" builtinId="9" hidden="1"/>
    <cellStyle name="表示済みのハイパーリンク" xfId="3335" builtinId="9" hidden="1"/>
    <cellStyle name="表示済みのハイパーリンク" xfId="3337" builtinId="9" hidden="1"/>
    <cellStyle name="表示済みのハイパーリンク" xfId="3339" builtinId="9" hidden="1"/>
    <cellStyle name="表示済みのハイパーリンク" xfId="3341" builtinId="9" hidden="1"/>
    <cellStyle name="表示済みのハイパーリンク" xfId="3343" builtinId="9" hidden="1"/>
    <cellStyle name="表示済みのハイパーリンク" xfId="3345" builtinId="9" hidden="1"/>
    <cellStyle name="表示済みのハイパーリンク" xfId="3347" builtinId="9" hidden="1"/>
    <cellStyle name="表示済みのハイパーリンク" xfId="3349" builtinId="9" hidden="1"/>
    <cellStyle name="表示済みのハイパーリンク" xfId="3351" builtinId="9" hidden="1"/>
    <cellStyle name="表示済みのハイパーリンク" xfId="3353" builtinId="9" hidden="1"/>
    <cellStyle name="表示済みのハイパーリンク" xfId="3355" builtinId="9" hidden="1"/>
    <cellStyle name="表示済みのハイパーリンク" xfId="3357" builtinId="9" hidden="1"/>
    <cellStyle name="表示済みのハイパーリンク" xfId="3359" builtinId="9" hidden="1"/>
    <cellStyle name="表示済みのハイパーリンク" xfId="3361" builtinId="9" hidden="1"/>
    <cellStyle name="表示済みのハイパーリンク" xfId="3363" builtinId="9" hidden="1"/>
    <cellStyle name="表示済みのハイパーリンク" xfId="3365" builtinId="9" hidden="1"/>
    <cellStyle name="表示済みのハイパーリンク" xfId="3367" builtinId="9" hidden="1"/>
    <cellStyle name="表示済みのハイパーリンク" xfId="3369" builtinId="9" hidden="1"/>
    <cellStyle name="表示済みのハイパーリンク" xfId="3371" builtinId="9" hidden="1"/>
    <cellStyle name="表示済みのハイパーリンク" xfId="3373" builtinId="9" hidden="1"/>
    <cellStyle name="表示済みのハイパーリンク" xfId="3375" builtinId="9" hidden="1"/>
    <cellStyle name="表示済みのハイパーリンク" xfId="3377" builtinId="9" hidden="1"/>
    <cellStyle name="表示済みのハイパーリンク" xfId="3379" builtinId="9" hidden="1"/>
    <cellStyle name="表示済みのハイパーリンク" xfId="3381" builtinId="9" hidden="1"/>
    <cellStyle name="表示済みのハイパーリンク" xfId="3383" builtinId="9" hidden="1"/>
    <cellStyle name="表示済みのハイパーリンク" xfId="3385" builtinId="9" hidden="1"/>
    <cellStyle name="表示済みのハイパーリンク" xfId="3387" builtinId="9" hidden="1"/>
    <cellStyle name="表示済みのハイパーリンク" xfId="3389" builtinId="9" hidden="1"/>
    <cellStyle name="表示済みのハイパーリンク" xfId="3391" builtinId="9" hidden="1"/>
    <cellStyle name="表示済みのハイパーリンク" xfId="3393" builtinId="9" hidden="1"/>
    <cellStyle name="表示済みのハイパーリンク" xfId="3395" builtinId="9" hidden="1"/>
    <cellStyle name="表示済みのハイパーリンク" xfId="3397" builtinId="9" hidden="1"/>
    <cellStyle name="表示済みのハイパーリンク" xfId="3399" builtinId="9" hidden="1"/>
    <cellStyle name="表示済みのハイパーリンク" xfId="3401" builtinId="9" hidden="1"/>
    <cellStyle name="表示済みのハイパーリンク" xfId="3403" builtinId="9" hidden="1"/>
    <cellStyle name="表示済みのハイパーリンク" xfId="3405" builtinId="9" hidden="1"/>
    <cellStyle name="表示済みのハイパーリンク" xfId="3407" builtinId="9" hidden="1"/>
    <cellStyle name="表示済みのハイパーリンク" xfId="3409" builtinId="9" hidden="1"/>
    <cellStyle name="表示済みのハイパーリンク" xfId="3411" builtinId="9" hidden="1"/>
    <cellStyle name="表示済みのハイパーリンク" xfId="3413" builtinId="9" hidden="1"/>
    <cellStyle name="表示済みのハイパーリンク" xfId="3415" builtinId="9" hidden="1"/>
    <cellStyle name="表示済みのハイパーリンク" xfId="3417" builtinId="9" hidden="1"/>
    <cellStyle name="表示済みのハイパーリンク" xfId="3419" builtinId="9" hidden="1"/>
    <cellStyle name="表示済みのハイパーリンク" xfId="3421" builtinId="9" hidden="1"/>
    <cellStyle name="表示済みのハイパーリンク" xfId="3423" builtinId="9" hidden="1"/>
    <cellStyle name="表示済みのハイパーリンク" xfId="3425" builtinId="9" hidden="1"/>
    <cellStyle name="表示済みのハイパーリンク" xfId="3427" builtinId="9" hidden="1"/>
    <cellStyle name="表示済みのハイパーリンク" xfId="3429" builtinId="9" hidden="1"/>
    <cellStyle name="表示済みのハイパーリンク" xfId="3431" builtinId="9" hidden="1"/>
    <cellStyle name="表示済みのハイパーリンク" xfId="3433" builtinId="9" hidden="1"/>
    <cellStyle name="表示済みのハイパーリンク" xfId="3435" builtinId="9" hidden="1"/>
    <cellStyle name="表示済みのハイパーリンク" xfId="3437" builtinId="9" hidden="1"/>
    <cellStyle name="表示済みのハイパーリンク" xfId="3439" builtinId="9" hidden="1"/>
    <cellStyle name="表示済みのハイパーリンク" xfId="3441" builtinId="9" hidden="1"/>
    <cellStyle name="表示済みのハイパーリンク" xfId="3443" builtinId="9" hidden="1"/>
    <cellStyle name="表示済みのハイパーリンク" xfId="3445" builtinId="9" hidden="1"/>
    <cellStyle name="表示済みのハイパーリンク" xfId="3447" builtinId="9" hidden="1"/>
    <cellStyle name="表示済みのハイパーリンク" xfId="3449" builtinId="9" hidden="1"/>
    <cellStyle name="表示済みのハイパーリンク" xfId="3451" builtinId="9" hidden="1"/>
    <cellStyle name="表示済みのハイパーリンク" xfId="3453" builtinId="9" hidden="1"/>
    <cellStyle name="表示済みのハイパーリンク" xfId="3455" builtinId="9" hidden="1"/>
    <cellStyle name="表示済みのハイパーリンク" xfId="3457" builtinId="9" hidden="1"/>
    <cellStyle name="表示済みのハイパーリンク" xfId="3459" builtinId="9" hidden="1"/>
    <cellStyle name="表示済みのハイパーリンク" xfId="3461" builtinId="9" hidden="1"/>
    <cellStyle name="表示済みのハイパーリンク" xfId="3463" builtinId="9" hidden="1"/>
    <cellStyle name="表示済みのハイパーリンク" xfId="3465" builtinId="9" hidden="1"/>
    <cellStyle name="表示済みのハイパーリンク" xfId="3467" builtinId="9" hidden="1"/>
    <cellStyle name="表示済みのハイパーリンク" xfId="3469" builtinId="9" hidden="1"/>
    <cellStyle name="表示済みのハイパーリンク" xfId="3471" builtinId="9" hidden="1"/>
    <cellStyle name="表示済みのハイパーリンク" xfId="3473" builtinId="9" hidden="1"/>
    <cellStyle name="表示済みのハイパーリンク" xfId="3475" builtinId="9" hidden="1"/>
    <cellStyle name="表示済みのハイパーリンク" xfId="3477" builtinId="9" hidden="1"/>
    <cellStyle name="表示済みのハイパーリンク" xfId="3479" builtinId="9" hidden="1"/>
    <cellStyle name="表示済みのハイパーリンク" xfId="3481" builtinId="9" hidden="1"/>
    <cellStyle name="表示済みのハイパーリンク" xfId="3483" builtinId="9" hidden="1"/>
    <cellStyle name="表示済みのハイパーリンク" xfId="3485" builtinId="9" hidden="1"/>
    <cellStyle name="表示済みのハイパーリンク" xfId="3487" builtinId="9" hidden="1"/>
    <cellStyle name="表示済みのハイパーリンク" xfId="3489" builtinId="9" hidden="1"/>
    <cellStyle name="表示済みのハイパーリンク" xfId="3491" builtinId="9" hidden="1"/>
    <cellStyle name="表示済みのハイパーリンク" xfId="3493" builtinId="9" hidden="1"/>
    <cellStyle name="表示済みのハイパーリンク" xfId="3495" builtinId="9" hidden="1"/>
    <cellStyle name="表示済みのハイパーリンク" xfId="3497" builtinId="9" hidden="1"/>
    <cellStyle name="表示済みのハイパーリンク" xfId="3499" builtinId="9" hidden="1"/>
    <cellStyle name="表示済みのハイパーリンク" xfId="3501" builtinId="9" hidden="1"/>
    <cellStyle name="表示済みのハイパーリンク" xfId="3503" builtinId="9" hidden="1"/>
    <cellStyle name="表示済みのハイパーリンク" xfId="3505" builtinId="9" hidden="1"/>
    <cellStyle name="表示済みのハイパーリンク" xfId="3507" builtinId="9" hidden="1"/>
    <cellStyle name="表示済みのハイパーリンク" xfId="3509" builtinId="9" hidden="1"/>
    <cellStyle name="表示済みのハイパーリンク" xfId="3511" builtinId="9" hidden="1"/>
    <cellStyle name="表示済みのハイパーリンク" xfId="3513" builtinId="9" hidden="1"/>
    <cellStyle name="表示済みのハイパーリンク" xfId="3515" builtinId="9" hidden="1"/>
    <cellStyle name="表示済みのハイパーリンク" xfId="3517" builtinId="9" hidden="1"/>
    <cellStyle name="表示済みのハイパーリンク" xfId="3519" builtinId="9" hidden="1"/>
    <cellStyle name="表示済みのハイパーリンク" xfId="3521" builtinId="9" hidden="1"/>
    <cellStyle name="表示済みのハイパーリンク" xfId="3523" builtinId="9" hidden="1"/>
    <cellStyle name="表示済みのハイパーリンク" xfId="3525" builtinId="9" hidden="1"/>
    <cellStyle name="表示済みのハイパーリンク" xfId="3527" builtinId="9" hidden="1"/>
    <cellStyle name="表示済みのハイパーリンク" xfId="3529" builtinId="9" hidden="1"/>
    <cellStyle name="表示済みのハイパーリンク" xfId="3531" builtinId="9" hidden="1"/>
    <cellStyle name="表示済みのハイパーリンク" xfId="3533" builtinId="9" hidden="1"/>
    <cellStyle name="表示済みのハイパーリンク" xfId="3535" builtinId="9" hidden="1"/>
    <cellStyle name="表示済みのハイパーリンク" xfId="3537" builtinId="9" hidden="1"/>
    <cellStyle name="表示済みのハイパーリンク" xfId="3539" builtinId="9" hidden="1"/>
    <cellStyle name="表示済みのハイパーリンク" xfId="3541" builtinId="9" hidden="1"/>
    <cellStyle name="表示済みのハイパーリンク" xfId="3543" builtinId="9" hidden="1"/>
    <cellStyle name="表示済みのハイパーリンク" xfId="3545" builtinId="9" hidden="1"/>
    <cellStyle name="表示済みのハイパーリンク" xfId="3547" builtinId="9" hidden="1"/>
    <cellStyle name="表示済みのハイパーリンク" xfId="3549" builtinId="9" hidden="1"/>
    <cellStyle name="表示済みのハイパーリンク" xfId="3551" builtinId="9" hidden="1"/>
    <cellStyle name="表示済みのハイパーリンク" xfId="3553" builtinId="9" hidden="1"/>
    <cellStyle name="表示済みのハイパーリンク" xfId="3555" builtinId="9" hidden="1"/>
    <cellStyle name="表示済みのハイパーリンク" xfId="3557" builtinId="9" hidden="1"/>
    <cellStyle name="表示済みのハイパーリンク" xfId="3559" builtinId="9" hidden="1"/>
    <cellStyle name="表示済みのハイパーリンク" xfId="3561" builtinId="9" hidden="1"/>
    <cellStyle name="表示済みのハイパーリンク" xfId="3563" builtinId="9" hidden="1"/>
    <cellStyle name="表示済みのハイパーリンク" xfId="3565" builtinId="9" hidden="1"/>
    <cellStyle name="表示済みのハイパーリンク" xfId="3567" builtinId="9" hidden="1"/>
    <cellStyle name="表示済みのハイパーリンク" xfId="3569" builtinId="9" hidden="1"/>
    <cellStyle name="表示済みのハイパーリンク" xfId="3571" builtinId="9" hidden="1"/>
    <cellStyle name="表示済みのハイパーリンク" xfId="3573" builtinId="9" hidden="1"/>
    <cellStyle name="表示済みのハイパーリンク" xfId="3575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3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表示済みのハイパーリンク" xfId="3671" builtinId="9" hidden="1"/>
    <cellStyle name="表示済みのハイパーリンク" xfId="3673" builtinId="9" hidden="1"/>
    <cellStyle name="表示済みのハイパーリンク" xfId="3675" builtinId="9" hidden="1"/>
    <cellStyle name="表示済みのハイパーリンク" xfId="3677" builtinId="9" hidden="1"/>
    <cellStyle name="表示済みのハイパーリンク" xfId="3679" builtinId="9" hidden="1"/>
    <cellStyle name="表示済みのハイパーリンク" xfId="3681" builtinId="9" hidden="1"/>
    <cellStyle name="表示済みのハイパーリンク" xfId="3683" builtinId="9" hidden="1"/>
    <cellStyle name="表示済みのハイパーリンク" xfId="3685" builtinId="9" hidden="1"/>
    <cellStyle name="表示済みのハイパーリンク" xfId="3687" builtinId="9" hidden="1"/>
    <cellStyle name="表示済みのハイパーリンク" xfId="3689" builtinId="9" hidden="1"/>
    <cellStyle name="表示済みのハイパーリンク" xfId="3691" builtinId="9" hidden="1"/>
    <cellStyle name="表示済みのハイパーリンク" xfId="3693" builtinId="9" hidden="1"/>
    <cellStyle name="表示済みのハイパーリンク" xfId="3695" builtinId="9" hidden="1"/>
    <cellStyle name="表示済みのハイパーリンク" xfId="3697" builtinId="9" hidden="1"/>
    <cellStyle name="表示済みのハイパーリンク" xfId="3699" builtinId="9" hidden="1"/>
    <cellStyle name="表示済みのハイパーリンク" xfId="3701" builtinId="9" hidden="1"/>
    <cellStyle name="表示済みのハイパーリンク" xfId="3703" builtinId="9" hidden="1"/>
    <cellStyle name="表示済みのハイパーリンク" xfId="3705" builtinId="9" hidden="1"/>
    <cellStyle name="表示済みのハイパーリンク" xfId="3707" builtinId="9" hidden="1"/>
    <cellStyle name="表示済みのハイパーリンク" xfId="3709" builtinId="9" hidden="1"/>
    <cellStyle name="表示済みのハイパーリンク" xfId="3711" builtinId="9" hidden="1"/>
    <cellStyle name="表示済みのハイパーリンク" xfId="3713" builtinId="9" hidden="1"/>
    <cellStyle name="表示済みのハイパーリンク" xfId="3715" builtinId="9" hidden="1"/>
    <cellStyle name="表示済みのハイパーリンク" xfId="3717" builtinId="9" hidden="1"/>
    <cellStyle name="表示済みのハイパーリンク" xfId="3719" builtinId="9" hidden="1"/>
    <cellStyle name="表示済みのハイパーリンク" xfId="3721" builtinId="9" hidden="1"/>
    <cellStyle name="表示済みのハイパーリンク" xfId="3723" builtinId="9" hidden="1"/>
    <cellStyle name="表示済みのハイパーリンク" xfId="3725" builtinId="9" hidden="1"/>
    <cellStyle name="表示済みのハイパーリンク" xfId="3727" builtinId="9" hidden="1"/>
    <cellStyle name="表示済みのハイパーリンク" xfId="3729" builtinId="9" hidden="1"/>
    <cellStyle name="表示済みのハイパーリンク" xfId="3731" builtinId="9" hidden="1"/>
    <cellStyle name="表示済みのハイパーリンク" xfId="3733" builtinId="9" hidden="1"/>
    <cellStyle name="表示済みのハイパーリンク" xfId="3735" builtinId="9" hidden="1"/>
    <cellStyle name="表示済みのハイパーリンク" xfId="3737" builtinId="9" hidden="1"/>
    <cellStyle name="表示済みのハイパーリンク" xfId="3739" builtinId="9" hidden="1"/>
    <cellStyle name="表示済みのハイパーリンク" xfId="3741" builtinId="9" hidden="1"/>
    <cellStyle name="表示済みのハイパーリンク" xfId="3743" builtinId="9" hidden="1"/>
    <cellStyle name="表示済みのハイパーリンク" xfId="3745" builtinId="9" hidden="1"/>
    <cellStyle name="表示済みのハイパーリンク" xfId="3747" builtinId="9" hidden="1"/>
    <cellStyle name="表示済みのハイパーリンク" xfId="3749" builtinId="9" hidden="1"/>
    <cellStyle name="表示済みのハイパーリンク" xfId="3751" builtinId="9" hidden="1"/>
    <cellStyle name="表示済みのハイパーリンク" xfId="3753" builtinId="9" hidden="1"/>
    <cellStyle name="表示済みのハイパーリンク" xfId="3755" builtinId="9" hidden="1"/>
    <cellStyle name="表示済みのハイパーリンク" xfId="3757" builtinId="9" hidden="1"/>
    <cellStyle name="表示済みのハイパーリンク" xfId="3759" builtinId="9" hidden="1"/>
    <cellStyle name="表示済みのハイパーリンク" xfId="3761" builtinId="9" hidden="1"/>
    <cellStyle name="表示済みのハイパーリンク" xfId="3763" builtinId="9" hidden="1"/>
    <cellStyle name="表示済みのハイパーリンク" xfId="3765" builtinId="9" hidden="1"/>
    <cellStyle name="表示済みのハイパーリンク" xfId="3767" builtinId="9" hidden="1"/>
    <cellStyle name="表示済みのハイパーリンク" xfId="3769" builtinId="9" hidden="1"/>
    <cellStyle name="表示済みのハイパーリンク" xfId="3771" builtinId="9" hidden="1"/>
    <cellStyle name="表示済みのハイパーリンク" xfId="3773" builtinId="9" hidden="1"/>
    <cellStyle name="表示済みのハイパーリンク" xfId="3775" builtinId="9" hidden="1"/>
    <cellStyle name="表示済みのハイパーリンク" xfId="3777" builtinId="9" hidden="1"/>
    <cellStyle name="表示済みのハイパーリンク" xfId="3779" builtinId="9" hidden="1"/>
    <cellStyle name="表示済みのハイパーリンク" xfId="3781" builtinId="9" hidden="1"/>
    <cellStyle name="表示済みのハイパーリンク" xfId="3783" builtinId="9" hidden="1"/>
    <cellStyle name="表示済みのハイパーリンク" xfId="3785" builtinId="9" hidden="1"/>
    <cellStyle name="表示済みのハイパーリンク" xfId="3787" builtinId="9" hidden="1"/>
    <cellStyle name="表示済みのハイパーリンク" xfId="3789" builtinId="9" hidden="1"/>
    <cellStyle name="表示済みのハイパーリンク" xfId="3791" builtinId="9" hidden="1"/>
    <cellStyle name="表示済みのハイパーリンク" xfId="3793" builtinId="9" hidden="1"/>
    <cellStyle name="表示済みのハイパーリンク" xfId="3795" builtinId="9" hidden="1"/>
    <cellStyle name="表示済みのハイパーリンク" xfId="3797" builtinId="9" hidden="1"/>
    <cellStyle name="表示済みのハイパーリンク" xfId="3799" builtinId="9" hidden="1"/>
    <cellStyle name="表示済みのハイパーリンク" xfId="3801" builtinId="9" hidden="1"/>
    <cellStyle name="表示済みのハイパーリンク" xfId="3803" builtinId="9" hidden="1"/>
    <cellStyle name="表示済みのハイパーリンク" xfId="3805" builtinId="9" hidden="1"/>
    <cellStyle name="表示済みのハイパーリンク" xfId="3807" builtinId="9" hidden="1"/>
    <cellStyle name="表示済みのハイパーリンク" xfId="3809" builtinId="9" hidden="1"/>
    <cellStyle name="表示済みのハイパーリンク" xfId="3811" builtinId="9" hidden="1"/>
    <cellStyle name="表示済みのハイパーリンク" xfId="3813" builtinId="9" hidden="1"/>
    <cellStyle name="表示済みのハイパーリンク" xfId="3815" builtinId="9" hidden="1"/>
    <cellStyle name="表示済みのハイパーリンク" xfId="3817" builtinId="9" hidden="1"/>
    <cellStyle name="表示済みのハイパーリンク" xfId="3819" builtinId="9" hidden="1"/>
    <cellStyle name="表示済みのハイパーリンク" xfId="3821" builtinId="9" hidden="1"/>
    <cellStyle name="表示済みのハイパーリンク" xfId="3823" builtinId="9" hidden="1"/>
    <cellStyle name="表示済みのハイパーリンク" xfId="3825" builtinId="9" hidden="1"/>
    <cellStyle name="表示済みのハイパーリンク" xfId="3827" builtinId="9" hidden="1"/>
    <cellStyle name="表示済みのハイパーリンク" xfId="3829" builtinId="9" hidden="1"/>
    <cellStyle name="表示済みのハイパーリンク" xfId="3831" builtinId="9" hidden="1"/>
    <cellStyle name="表示済みのハイパーリンク" xfId="3833" builtinId="9" hidden="1"/>
    <cellStyle name="表示済みのハイパーリンク" xfId="3835" builtinId="9" hidden="1"/>
    <cellStyle name="表示済みのハイパーリンク" xfId="3837" builtinId="9" hidden="1"/>
    <cellStyle name="表示済みのハイパーリンク" xfId="3839" builtinId="9" hidden="1"/>
    <cellStyle name="表示済みのハイパーリンク" xfId="3841" builtinId="9" hidden="1"/>
    <cellStyle name="表示済みのハイパーリンク" xfId="3843" builtinId="9" hidden="1"/>
    <cellStyle name="表示済みのハイパーリンク" xfId="3845" builtinId="9" hidden="1"/>
    <cellStyle name="表示済みのハイパーリンク" xfId="3847" builtinId="9" hidden="1"/>
    <cellStyle name="表示済みのハイパーリンク" xfId="3849" builtinId="9" hidden="1"/>
    <cellStyle name="表示済みのハイパーリンク" xfId="3851" builtinId="9" hidden="1"/>
    <cellStyle name="表示済みのハイパーリンク" xfId="3853" builtinId="9" hidden="1"/>
    <cellStyle name="表示済みのハイパーリンク" xfId="3855" builtinId="9" hidden="1"/>
    <cellStyle name="表示済みのハイパーリンク" xfId="3857" builtinId="9" hidden="1"/>
    <cellStyle name="表示済みのハイパーリンク" xfId="3859" builtinId="9" hidden="1"/>
    <cellStyle name="表示済みのハイパーリンク" xfId="3861" builtinId="9" hidden="1"/>
    <cellStyle name="表示済みのハイパーリンク" xfId="3863" builtinId="9" hidden="1"/>
    <cellStyle name="表示済みのハイパーリンク" xfId="3865" builtinId="9" hidden="1"/>
    <cellStyle name="表示済みのハイパーリンク" xfId="3867" builtinId="9" hidden="1"/>
    <cellStyle name="表示済みのハイパーリンク" xfId="3869" builtinId="9" hidden="1"/>
    <cellStyle name="表示済みのハイパーリンク" xfId="3871" builtinId="9" hidden="1"/>
    <cellStyle name="表示済みのハイパーリンク" xfId="3873" builtinId="9" hidden="1"/>
    <cellStyle name="表示済みのハイパーリンク" xfId="3875" builtinId="9" hidden="1"/>
    <cellStyle name="表示済みのハイパーリンク" xfId="3877" builtinId="9" hidden="1"/>
    <cellStyle name="表示済みのハイパーリンク" xfId="3879" builtinId="9" hidden="1"/>
    <cellStyle name="表示済みのハイパーリンク" xfId="3881" builtinId="9" hidden="1"/>
    <cellStyle name="表示済みのハイパーリンク" xfId="3883" builtinId="9" hidden="1"/>
    <cellStyle name="表示済みのハイパーリンク" xfId="3885" builtinId="9" hidden="1"/>
    <cellStyle name="表示済みのハイパーリンク" xfId="3887" builtinId="9" hidden="1"/>
    <cellStyle name="表示済みのハイパーリンク" xfId="3889" builtinId="9" hidden="1"/>
    <cellStyle name="表示済みのハイパーリンク" xfId="3891" builtinId="9" hidden="1"/>
    <cellStyle name="表示済みのハイパーリンク" xfId="3893" builtinId="9" hidden="1"/>
    <cellStyle name="表示済みのハイパーリンク" xfId="3895" builtinId="9" hidden="1"/>
    <cellStyle name="表示済みのハイパーリンク" xfId="3897" builtinId="9" hidden="1"/>
    <cellStyle name="表示済みのハイパーリンク" xfId="3899" builtinId="9" hidden="1"/>
    <cellStyle name="表示済みのハイパーリンク" xfId="3901" builtinId="9" hidden="1"/>
    <cellStyle name="表示済みのハイパーリンク" xfId="3903" builtinId="9" hidden="1"/>
    <cellStyle name="表示済みのハイパーリンク" xfId="3905" builtinId="9" hidden="1"/>
    <cellStyle name="表示済みのハイパーリンク" xfId="3907" builtinId="9" hidden="1"/>
    <cellStyle name="表示済みのハイパーリンク" xfId="3909" builtinId="9" hidden="1"/>
    <cellStyle name="表示済みのハイパーリンク" xfId="3911" builtinId="9" hidden="1"/>
    <cellStyle name="表示済みのハイパーリンク" xfId="3913" builtinId="9" hidden="1"/>
    <cellStyle name="表示済みのハイパーリンク" xfId="3915" builtinId="9" hidden="1"/>
    <cellStyle name="表示済みのハイパーリンク" xfId="3917" builtinId="9" hidden="1"/>
    <cellStyle name="表示済みのハイパーリンク" xfId="3919" builtinId="9" hidden="1"/>
    <cellStyle name="表示済みのハイパーリンク" xfId="3921" builtinId="9" hidden="1"/>
    <cellStyle name="表示済みのハイパーリンク" xfId="3923" builtinId="9" hidden="1"/>
    <cellStyle name="表示済みのハイパーリンク" xfId="3925" builtinId="9" hidden="1"/>
    <cellStyle name="表示済みのハイパーリンク" xfId="3927" builtinId="9" hidden="1"/>
    <cellStyle name="表示済みのハイパーリンク" xfId="3929" builtinId="9" hidden="1"/>
    <cellStyle name="表示済みのハイパーリンク" xfId="3931" builtinId="9" hidden="1"/>
    <cellStyle name="表示済みのハイパーリンク" xfId="3933" builtinId="9" hidden="1"/>
    <cellStyle name="表示済みのハイパーリンク" xfId="3935" builtinId="9" hidden="1"/>
    <cellStyle name="表示済みのハイパーリンク" xfId="3937" builtinId="9" hidden="1"/>
    <cellStyle name="表示済みのハイパーリンク" xfId="3939" builtinId="9" hidden="1"/>
    <cellStyle name="表示済みのハイパーリンク" xfId="3941" builtinId="9" hidden="1"/>
    <cellStyle name="表示済みのハイパーリンク" xfId="3943" builtinId="9" hidden="1"/>
    <cellStyle name="表示済みのハイパーリンク" xfId="3945" builtinId="9" hidden="1"/>
    <cellStyle name="表示済みのハイパーリンク" xfId="3947" builtinId="9" hidden="1"/>
    <cellStyle name="表示済みのハイパーリンク" xfId="3949" builtinId="9" hidden="1"/>
    <cellStyle name="表示済みのハイパーリンク" xfId="3951" builtinId="9" hidden="1"/>
    <cellStyle name="表示済みのハイパーリンク" xfId="3953" builtinId="9" hidden="1"/>
    <cellStyle name="表示済みのハイパーリンク" xfId="3955" builtinId="9" hidden="1"/>
    <cellStyle name="表示済みのハイパーリンク" xfId="3957" builtinId="9" hidden="1"/>
    <cellStyle name="表示済みのハイパーリンク" xfId="3959" builtinId="9" hidden="1"/>
    <cellStyle name="表示済みのハイパーリンク" xfId="3963" builtinId="9" hidden="1"/>
    <cellStyle name="表示済みのハイパーリンク" xfId="3965" builtinId="9" hidden="1"/>
    <cellStyle name="表示済みのハイパーリンク" xfId="3967" builtinId="9" hidden="1"/>
    <cellStyle name="表示済みのハイパーリンク" xfId="3969" builtinId="9" hidden="1"/>
    <cellStyle name="表示済みのハイパーリンク" xfId="3971" builtinId="9" hidden="1"/>
    <cellStyle name="表示済みのハイパーリンク" xfId="3973" builtinId="9" hidden="1"/>
    <cellStyle name="表示済みのハイパーリンク" xfId="3975" builtinId="9" hidden="1"/>
    <cellStyle name="表示済みのハイパーリンク" xfId="3977" builtinId="9" hidden="1"/>
    <cellStyle name="表示済みのハイパーリンク" xfId="3979" builtinId="9" hidden="1"/>
    <cellStyle name="表示済みのハイパーリンク" xfId="3981" builtinId="9" hidden="1"/>
    <cellStyle name="表示済みのハイパーリンク" xfId="3983" builtinId="9" hidden="1"/>
    <cellStyle name="表示済みのハイパーリンク" xfId="3985" builtinId="9" hidden="1"/>
    <cellStyle name="表示済みのハイパーリンク" xfId="3987" builtinId="9" hidden="1"/>
    <cellStyle name="表示済みのハイパーリンク" xfId="3989" builtinId="9" hidden="1"/>
    <cellStyle name="表示済みのハイパーリンク" xfId="3991" builtinId="9" hidden="1"/>
    <cellStyle name="表示済みのハイパーリンク" xfId="3993" builtinId="9" hidden="1"/>
    <cellStyle name="表示済みのハイパーリンク" xfId="3995" builtinId="9" hidden="1"/>
    <cellStyle name="表示済みのハイパーリンク" xfId="3997" builtinId="9" hidden="1"/>
    <cellStyle name="表示済みのハイパーリンク" xfId="3999" builtinId="9" hidden="1"/>
    <cellStyle name="表示済みのハイパーリンク" xfId="4001" builtinId="9" hidden="1"/>
    <cellStyle name="表示済みのハイパーリンク" xfId="4003" builtinId="9" hidden="1"/>
    <cellStyle name="表示済みのハイパーリンク" xfId="4005" builtinId="9" hidden="1"/>
    <cellStyle name="表示済みのハイパーリンク" xfId="4007" builtinId="9" hidden="1"/>
    <cellStyle name="表示済みのハイパーリンク" xfId="4009" builtinId="9" hidden="1"/>
    <cellStyle name="表示済みのハイパーリンク" xfId="4011" builtinId="9" hidden="1"/>
    <cellStyle name="表示済みのハイパーリンク" xfId="4013" builtinId="9" hidden="1"/>
    <cellStyle name="表示済みのハイパーリンク" xfId="4015" builtinId="9" hidden="1"/>
    <cellStyle name="表示済みのハイパーリンク" xfId="4017" builtinId="9" hidden="1"/>
    <cellStyle name="表示済みのハイパーリンク" xfId="4019" builtinId="9" hidden="1"/>
    <cellStyle name="表示済みのハイパーリンク" xfId="4021" builtinId="9" hidden="1"/>
    <cellStyle name="表示済みのハイパーリンク" xfId="4023" builtinId="9" hidden="1"/>
    <cellStyle name="表示済みのハイパーリンク" xfId="4025" builtinId="9" hidden="1"/>
    <cellStyle name="表示済みのハイパーリンク" xfId="4027" builtinId="9" hidden="1"/>
    <cellStyle name="表示済みのハイパーリンク" xfId="4029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9" builtinId="9" hidden="1"/>
    <cellStyle name="表示済みのハイパーリンク" xfId="4051" builtinId="9" hidden="1"/>
    <cellStyle name="表示済みのハイパーリンク" xfId="4053" builtinId="9" hidden="1"/>
    <cellStyle name="表示済みのハイパーリンク" xfId="4055" builtinId="9" hidden="1"/>
    <cellStyle name="表示済みのハイパーリンク" xfId="4057" builtinId="9" hidden="1"/>
    <cellStyle name="表示済みのハイパーリンク" xfId="4059" builtinId="9" hidden="1"/>
    <cellStyle name="表示済みのハイパーリンク" xfId="4061" builtinId="9" hidden="1"/>
    <cellStyle name="表示済みのハイパーリンク" xfId="4063" builtinId="9" hidden="1"/>
    <cellStyle name="表示済みのハイパーリンク" xfId="4065" builtinId="9" hidden="1"/>
    <cellStyle name="表示済みのハイパーリンク" xfId="4067" builtinId="9" hidden="1"/>
    <cellStyle name="表示済みのハイパーリンク" xfId="4069" builtinId="9" hidden="1"/>
    <cellStyle name="表示済みのハイパーリンク" xfId="4071" builtinId="9" hidden="1"/>
    <cellStyle name="表示済みのハイパーリンク" xfId="4073" builtinId="9" hidden="1"/>
    <cellStyle name="表示済みのハイパーリンク" xfId="4075" builtinId="9" hidden="1"/>
    <cellStyle name="表示済みのハイパーリンク" xfId="4077" builtinId="9" hidden="1"/>
    <cellStyle name="表示済みのハイパーリンク" xfId="4079" builtinId="9" hidden="1"/>
    <cellStyle name="表示済みのハイパーリンク" xfId="4081" builtinId="9" hidden="1"/>
    <cellStyle name="表示済みのハイパーリンク" xfId="4083" builtinId="9" hidden="1"/>
    <cellStyle name="表示済みのハイパーリンク" xfId="4085" builtinId="9" hidden="1"/>
    <cellStyle name="表示済みのハイパーリンク" xfId="4087" builtinId="9" hidden="1"/>
    <cellStyle name="表示済みのハイパーリンク" xfId="4089" builtinId="9" hidden="1"/>
    <cellStyle name="表示済みのハイパーリンク" xfId="4091" builtinId="9" hidden="1"/>
    <cellStyle name="表示済みのハイパーリンク" xfId="4093" builtinId="9" hidden="1"/>
    <cellStyle name="表示済みのハイパーリンク" xfId="4095" builtinId="9" hidden="1"/>
    <cellStyle name="表示済みのハイパーリンク" xfId="4097" builtinId="9" hidden="1"/>
    <cellStyle name="表示済みのハイパーリンク" xfId="4099" builtinId="9" hidden="1"/>
    <cellStyle name="表示済みのハイパーリンク" xfId="4101" builtinId="9" hidden="1"/>
    <cellStyle name="表示済みのハイパーリンク" xfId="4103" builtinId="9" hidden="1"/>
    <cellStyle name="表示済みのハイパーリンク" xfId="4105" builtinId="9" hidden="1"/>
    <cellStyle name="表示済みのハイパーリンク" xfId="4107" builtinId="9" hidden="1"/>
    <cellStyle name="表示済みのハイパーリンク" xfId="4109" builtinId="9" hidden="1"/>
    <cellStyle name="表示済みのハイパーリンク" xfId="4111" builtinId="9" hidden="1"/>
    <cellStyle name="表示済みのハイパーリンク" xfId="4113" builtinId="9" hidden="1"/>
    <cellStyle name="表示済みのハイパーリンク" xfId="4115" builtinId="9" hidden="1"/>
    <cellStyle name="表示済みのハイパーリンク" xfId="4117" builtinId="9" hidden="1"/>
    <cellStyle name="表示済みのハイパーリンク" xfId="4119" builtinId="9" hidden="1"/>
    <cellStyle name="表示済みのハイパーリンク" xfId="4121" builtinId="9" hidden="1"/>
    <cellStyle name="表示済みのハイパーリンク" xfId="4123" builtinId="9" hidden="1"/>
    <cellStyle name="表示済みのハイパーリンク" xfId="4125" builtinId="9" hidden="1"/>
    <cellStyle name="表示済みのハイパーリンク" xfId="4127" builtinId="9" hidden="1"/>
    <cellStyle name="表示済みのハイパーリンク" xfId="4129" builtinId="9" hidden="1"/>
    <cellStyle name="表示済みのハイパーリンク" xfId="4131" builtinId="9" hidden="1"/>
    <cellStyle name="表示済みのハイパーリンク" xfId="4133" builtinId="9" hidden="1"/>
    <cellStyle name="表示済みのハイパーリンク" xfId="4135" builtinId="9" hidden="1"/>
    <cellStyle name="表示済みのハイパーリンク" xfId="4137" builtinId="9" hidden="1"/>
    <cellStyle name="表示済みのハイパーリンク" xfId="4139" builtinId="9" hidden="1"/>
    <cellStyle name="表示済みのハイパーリンク" xfId="4141" builtinId="9" hidden="1"/>
    <cellStyle name="表示済みのハイパーリンク" xfId="4143" builtinId="9" hidden="1"/>
    <cellStyle name="表示済みのハイパーリンク" xfId="4145" builtinId="9" hidden="1"/>
    <cellStyle name="表示済みのハイパーリンク" xfId="4147" builtinId="9" hidden="1"/>
    <cellStyle name="表示済みのハイパーリンク" xfId="4149" builtinId="9" hidden="1"/>
    <cellStyle name="表示済みのハイパーリンク" xfId="4151" builtinId="9" hidden="1"/>
    <cellStyle name="表示済みのハイパーリンク" xfId="4153" builtinId="9" hidden="1"/>
    <cellStyle name="表示済みのハイパーリンク" xfId="4155" builtinId="9" hidden="1"/>
    <cellStyle name="表示済みのハイパーリンク" xfId="4157" builtinId="9" hidden="1"/>
    <cellStyle name="表示済みのハイパーリンク" xfId="4159" builtinId="9" hidden="1"/>
    <cellStyle name="表示済みのハイパーリンク" xfId="4161" builtinId="9" hidden="1"/>
    <cellStyle name="表示済みのハイパーリンク" xfId="4163" builtinId="9" hidden="1"/>
    <cellStyle name="表示済みのハイパーリンク" xfId="4165" builtinId="9" hidden="1"/>
    <cellStyle name="表示済みのハイパーリンク" xfId="4167" builtinId="9" hidden="1"/>
    <cellStyle name="表示済みのハイパーリンク" xfId="4169" builtinId="9" hidden="1"/>
    <cellStyle name="表示済みのハイパーリンク" xfId="4171" builtinId="9" hidden="1"/>
    <cellStyle name="表示済みのハイパーリンク" xfId="4173" builtinId="9" hidden="1"/>
    <cellStyle name="表示済みのハイパーリンク" xfId="4175" builtinId="9" hidden="1"/>
    <cellStyle name="表示済みのハイパーリンク" xfId="4177" builtinId="9" hidden="1"/>
    <cellStyle name="表示済みのハイパーリンク" xfId="4179" builtinId="9" hidden="1"/>
    <cellStyle name="表示済みのハイパーリンク" xfId="4181" builtinId="9" hidden="1"/>
    <cellStyle name="表示済みのハイパーリンク" xfId="4183" builtinId="9" hidden="1"/>
    <cellStyle name="表示済みのハイパーリンク" xfId="4185" builtinId="9" hidden="1"/>
    <cellStyle name="表示済みのハイパーリンク" xfId="4187" builtinId="9" hidden="1"/>
    <cellStyle name="表示済みのハイパーリンク" xfId="4189" builtinId="9" hidden="1"/>
    <cellStyle name="表示済みのハイパーリンク" xfId="4191" builtinId="9" hidden="1"/>
    <cellStyle name="表示済みのハイパーリンク" xfId="4193" builtinId="9" hidden="1"/>
    <cellStyle name="表示済みのハイパーリンク" xfId="4195" builtinId="9" hidden="1"/>
    <cellStyle name="表示済みのハイパーリンク" xfId="4197" builtinId="9" hidden="1"/>
    <cellStyle name="表示済みのハイパーリンク" xfId="4199" builtinId="9" hidden="1"/>
    <cellStyle name="表示済みのハイパーリンク" xfId="4201" builtinId="9" hidden="1"/>
    <cellStyle name="表示済みのハイパーリンク" xfId="4203" builtinId="9" hidden="1"/>
    <cellStyle name="表示済みのハイパーリンク" xfId="4205" builtinId="9" hidden="1"/>
    <cellStyle name="表示済みのハイパーリンク" xfId="4207" builtinId="9" hidden="1"/>
    <cellStyle name="表示済みのハイパーリンク" xfId="4209" builtinId="9" hidden="1"/>
    <cellStyle name="表示済みのハイパーリンク" xfId="4211" builtinId="9" hidden="1"/>
    <cellStyle name="表示済みのハイパーリンク" xfId="4213" builtinId="9" hidden="1"/>
    <cellStyle name="表示済みのハイパーリンク" xfId="4215" builtinId="9" hidden="1"/>
    <cellStyle name="表示済みのハイパーリンク" xfId="4217" builtinId="9" hidden="1"/>
    <cellStyle name="表示済みのハイパーリンク" xfId="4219" builtinId="9" hidden="1"/>
    <cellStyle name="表示済みのハイパーリンク" xfId="4221" builtinId="9" hidden="1"/>
    <cellStyle name="表示済みのハイパーリンク" xfId="4223" builtinId="9" hidden="1"/>
    <cellStyle name="表示済みのハイパーリンク" xfId="4225" builtinId="9" hidden="1"/>
    <cellStyle name="表示済みのハイパーリンク" xfId="4227" builtinId="9" hidden="1"/>
    <cellStyle name="表示済みのハイパーリンク" xfId="4229" builtinId="9" hidden="1"/>
    <cellStyle name="表示済みのハイパーリンク" xfId="4231" builtinId="9" hidden="1"/>
    <cellStyle name="表示済みのハイパーリンク" xfId="4233" builtinId="9" hidden="1"/>
    <cellStyle name="表示済みのハイパーリンク" xfId="4235" builtinId="9" hidden="1"/>
    <cellStyle name="表示済みのハイパーリンク" xfId="4237" builtinId="9" hidden="1"/>
    <cellStyle name="表示済みのハイパーリンク" xfId="4239" builtinId="9" hidden="1"/>
    <cellStyle name="表示済みのハイパーリンク" xfId="4241" builtinId="9" hidden="1"/>
    <cellStyle name="表示済みのハイパーリンク" xfId="4243" builtinId="9" hidden="1"/>
    <cellStyle name="表示済みのハイパーリンク" xfId="4245" builtinId="9" hidden="1"/>
    <cellStyle name="表示済みのハイパーリンク" xfId="4247" builtinId="9" hidden="1"/>
    <cellStyle name="表示済みのハイパーリンク" xfId="4249" builtinId="9" hidden="1"/>
    <cellStyle name="表示済みのハイパーリンク" xfId="4251" builtinId="9" hidden="1"/>
    <cellStyle name="表示済みのハイパーリンク" xfId="4253" builtinId="9" hidden="1"/>
    <cellStyle name="表示済みのハイパーリンク" xfId="4255" builtinId="9" hidden="1"/>
    <cellStyle name="表示済みのハイパーリンク" xfId="4257" builtinId="9" hidden="1"/>
    <cellStyle name="表示済みのハイパーリンク" xfId="4259" builtinId="9" hidden="1"/>
    <cellStyle name="表示済みのハイパーリンク" xfId="4261" builtinId="9" hidden="1"/>
    <cellStyle name="表示済みのハイパーリンク" xfId="4263" builtinId="9" hidden="1"/>
    <cellStyle name="表示済みのハイパーリンク" xfId="4265" builtinId="9" hidden="1"/>
    <cellStyle name="表示済みのハイパーリンク" xfId="4267" builtinId="9" hidden="1"/>
    <cellStyle name="表示済みのハイパーリンク" xfId="4269" builtinId="9" hidden="1"/>
    <cellStyle name="表示済みのハイパーリンク" xfId="4271" builtinId="9" hidden="1"/>
    <cellStyle name="表示済みのハイパーリンク" xfId="4273" builtinId="9" hidden="1"/>
    <cellStyle name="表示済みのハイパーリンク" xfId="4275" builtinId="9" hidden="1"/>
    <cellStyle name="表示済みのハイパーリンク" xfId="4277" builtinId="9" hidden="1"/>
    <cellStyle name="表示済みのハイパーリンク" xfId="4279" builtinId="9" hidden="1"/>
    <cellStyle name="表示済みのハイパーリンク" xfId="4281" builtinId="9" hidden="1"/>
    <cellStyle name="表示済みのハイパーリンク" xfId="4283" builtinId="9" hidden="1"/>
    <cellStyle name="表示済みのハイパーリンク" xfId="4285" builtinId="9" hidden="1"/>
    <cellStyle name="表示済みのハイパーリンク" xfId="4287" builtinId="9" hidden="1"/>
    <cellStyle name="表示済みのハイパーリンク" xfId="4289" builtinId="9" hidden="1"/>
    <cellStyle name="表示済みのハイパーリンク" xfId="4291" builtinId="9" hidden="1"/>
    <cellStyle name="表示済みのハイパーリンク" xfId="4293" builtinId="9" hidden="1"/>
    <cellStyle name="表示済みのハイパーリンク" xfId="4295" builtinId="9" hidden="1"/>
    <cellStyle name="表示済みのハイパーリンク" xfId="4297" builtinId="9" hidden="1"/>
    <cellStyle name="表示済みのハイパーリンク" xfId="4299" builtinId="9" hidden="1"/>
    <cellStyle name="表示済みのハイパーリンク" xfId="4301" builtinId="9" hidden="1"/>
    <cellStyle name="表示済みのハイパーリンク" xfId="4303" builtinId="9" hidden="1"/>
    <cellStyle name="表示済みのハイパーリンク" xfId="4305" builtinId="9" hidden="1"/>
    <cellStyle name="表示済みのハイパーリンク" xfId="4307" builtinId="9" hidden="1"/>
    <cellStyle name="表示済みのハイパーリンク" xfId="4309" builtinId="9" hidden="1"/>
    <cellStyle name="表示済みのハイパーリンク" xfId="4311" builtinId="9" hidden="1"/>
    <cellStyle name="表示済みのハイパーリンク" xfId="4313" builtinId="9" hidden="1"/>
    <cellStyle name="表示済みのハイパーリンク" xfId="4315" builtinId="9" hidden="1"/>
    <cellStyle name="表示済みのハイパーリンク" xfId="4317" builtinId="9" hidden="1"/>
    <cellStyle name="表示済みのハイパーリンク" xfId="4319" builtinId="9" hidden="1"/>
    <cellStyle name="表示済みのハイパーリンク" xfId="4321" builtinId="9" hidden="1"/>
    <cellStyle name="表示済みのハイパーリンク" xfId="4323" builtinId="9" hidden="1"/>
    <cellStyle name="表示済みのハイパーリンク" xfId="4325" builtinId="9" hidden="1"/>
    <cellStyle name="表示済みのハイパーリンク" xfId="4327" builtinId="9" hidden="1"/>
    <cellStyle name="表示済みのハイパーリンク" xfId="4329" builtinId="9" hidden="1"/>
    <cellStyle name="表示済みのハイパーリンク" xfId="4331" builtinId="9" hidden="1"/>
    <cellStyle name="表示済みのハイパーリンク" xfId="4333" builtinId="9" hidden="1"/>
    <cellStyle name="表示済みのハイパーリンク" xfId="4335" builtinId="9" hidden="1"/>
    <cellStyle name="表示済みのハイパーリンク" xfId="4337" builtinId="9" hidden="1"/>
    <cellStyle name="表示済みのハイパーリンク" xfId="4339" builtinId="9" hidden="1"/>
    <cellStyle name="表示済みのハイパーリンク" xfId="4341" builtinId="9" hidden="1"/>
    <cellStyle name="表示済みのハイパーリンク" xfId="4343" builtinId="9" hidden="1"/>
    <cellStyle name="表示済みのハイパーリンク" xfId="4345" builtinId="9" hidden="1"/>
    <cellStyle name="表示済みのハイパーリンク" xfId="4347" builtinId="9" hidden="1"/>
    <cellStyle name="表示済みのハイパーリンク" xfId="4349" builtinId="9" hidden="1"/>
    <cellStyle name="表示済みのハイパーリンク" xfId="4351" builtinId="9" hidden="1"/>
    <cellStyle name="表示済みのハイパーリンク" xfId="4353" builtinId="9" hidden="1"/>
    <cellStyle name="表示済みのハイパーリンク" xfId="4355" builtinId="9" hidden="1"/>
    <cellStyle name="表示済みのハイパーリンク" xfId="4357" builtinId="9" hidden="1"/>
    <cellStyle name="表示済みのハイパーリンク" xfId="4359" builtinId="9" hidden="1"/>
    <cellStyle name="表示済みのハイパーリンク" xfId="4361" builtinId="9" hidden="1"/>
    <cellStyle name="表示済みのハイパーリンク" xfId="4363" builtinId="9" hidden="1"/>
    <cellStyle name="表示済みのハイパーリンク" xfId="4365" builtinId="9" hidden="1"/>
    <cellStyle name="表示済みのハイパーリンク" xfId="4367" builtinId="9" hidden="1"/>
    <cellStyle name="表示済みのハイパーリンク" xfId="4369" builtinId="9" hidden="1"/>
    <cellStyle name="表示済みのハイパーリンク" xfId="4371" builtinId="9" hidden="1"/>
    <cellStyle name="表示済みのハイパーリンク" xfId="4373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表示済みのハイパーリンク" xfId="4589" builtinId="9" hidden="1"/>
    <cellStyle name="表示済みのハイパーリンク" xfId="4591" builtinId="9" hidden="1"/>
    <cellStyle name="表示済みのハイパーリンク" xfId="4593" builtinId="9" hidden="1"/>
    <cellStyle name="表示済みのハイパーリンク" xfId="4595" builtinId="9" hidden="1"/>
    <cellStyle name="表示済みのハイパーリンク" xfId="4597" builtinId="9" hidden="1"/>
    <cellStyle name="表示済みのハイパーリンク" xfId="4599" builtinId="9" hidden="1"/>
    <cellStyle name="表示済みのハイパーリンク" xfId="4601" builtinId="9" hidden="1"/>
    <cellStyle name="表示済みのハイパーリンク" xfId="4603" builtinId="9" hidden="1"/>
    <cellStyle name="表示済みのハイパーリンク" xfId="4605" builtinId="9" hidden="1"/>
    <cellStyle name="表示済みのハイパーリンク" xfId="4607" builtinId="9" hidden="1"/>
    <cellStyle name="表示済みのハイパーリンク" xfId="4609" builtinId="9" hidden="1"/>
    <cellStyle name="表示済みのハイパーリンク" xfId="4611" builtinId="9" hidden="1"/>
    <cellStyle name="表示済みのハイパーリンク" xfId="4613" builtinId="9" hidden="1"/>
    <cellStyle name="表示済みのハイパーリンク" xfId="4615" builtinId="9" hidden="1"/>
    <cellStyle name="表示済みのハイパーリンク" xfId="4617" builtinId="9" hidden="1"/>
    <cellStyle name="表示済みのハイパーリンク" xfId="4619" builtinId="9" hidden="1"/>
    <cellStyle name="表示済みのハイパーリンク" xfId="4621" builtinId="9" hidden="1"/>
    <cellStyle name="表示済みのハイパーリンク" xfId="4623" builtinId="9" hidden="1"/>
    <cellStyle name="表示済みのハイパーリンク" xfId="4625" builtinId="9" hidden="1"/>
    <cellStyle name="表示済みのハイパーリンク" xfId="4627" builtinId="9" hidden="1"/>
    <cellStyle name="表示済みのハイパーリンク" xfId="4629" builtinId="9" hidden="1"/>
    <cellStyle name="表示済みのハイパーリンク" xfId="4631" builtinId="9" hidden="1"/>
    <cellStyle name="表示済みのハイパーリンク" xfId="4633" builtinId="9" hidden="1"/>
    <cellStyle name="表示済みのハイパーリンク" xfId="4635" builtinId="9" hidden="1"/>
    <cellStyle name="表示済みのハイパーリンク" xfId="4637" builtinId="9" hidden="1"/>
    <cellStyle name="表示済みのハイパーリンク" xfId="4639" builtinId="9" hidden="1"/>
    <cellStyle name="表示済みのハイパーリンク" xfId="4641" builtinId="9" hidden="1"/>
    <cellStyle name="表示済みのハイパーリンク" xfId="4643" builtinId="9" hidden="1"/>
    <cellStyle name="表示済みのハイパーリンク" xfId="4645" builtinId="9" hidden="1"/>
    <cellStyle name="表示済みのハイパーリンク" xfId="4647" builtinId="9" hidden="1"/>
    <cellStyle name="表示済みのハイパーリンク" xfId="4649" builtinId="9" hidden="1"/>
    <cellStyle name="表示済みのハイパーリンク" xfId="4651" builtinId="9" hidden="1"/>
    <cellStyle name="表示済みのハイパーリンク" xfId="4653" builtinId="9" hidden="1"/>
    <cellStyle name="表示済みのハイパーリンク" xfId="4655" builtinId="9" hidden="1"/>
    <cellStyle name="表示済みのハイパーリンク" xfId="4657" builtinId="9" hidden="1"/>
    <cellStyle name="表示済みのハイパーリンク" xfId="4659" builtinId="9" hidden="1"/>
    <cellStyle name="表示済みのハイパーリンク" xfId="4661" builtinId="9" hidden="1"/>
    <cellStyle name="表示済みのハイパーリンク" xfId="4663" builtinId="9" hidden="1"/>
    <cellStyle name="表示済みのハイパーリンク" xfId="4665" builtinId="9" hidden="1"/>
    <cellStyle name="表示済みのハイパーリンク" xfId="4667" builtinId="9" hidden="1"/>
    <cellStyle name="表示済みのハイパーリンク" xfId="4669" builtinId="9" hidden="1"/>
    <cellStyle name="表示済みのハイパーリンク" xfId="4671" builtinId="9" hidden="1"/>
    <cellStyle name="表示済みのハイパーリンク" xfId="4673" builtinId="9" hidden="1"/>
    <cellStyle name="表示済みのハイパーリンク" xfId="4675" builtinId="9" hidden="1"/>
    <cellStyle name="表示済みのハイパーリンク" xfId="4677" builtinId="9" hidden="1"/>
    <cellStyle name="表示済みのハイパーリンク" xfId="4679" builtinId="9" hidden="1"/>
    <cellStyle name="表示済みのハイパーリンク" xfId="4681" builtinId="9" hidden="1"/>
    <cellStyle name="表示済みのハイパーリンク" xfId="4683" builtinId="9" hidden="1"/>
    <cellStyle name="表示済みのハイパーリンク" xfId="4685" builtinId="9" hidden="1"/>
    <cellStyle name="表示済みのハイパーリンク" xfId="4687" builtinId="9" hidden="1"/>
    <cellStyle name="表示済みのハイパーリンク" xfId="4689" builtinId="9" hidden="1"/>
    <cellStyle name="表示済みのハイパーリンク" xfId="4691" builtinId="9" hidden="1"/>
    <cellStyle name="表示済みのハイパーリンク" xfId="4693" builtinId="9" hidden="1"/>
    <cellStyle name="表示済みのハイパーリンク" xfId="4695" builtinId="9" hidden="1"/>
    <cellStyle name="表示済みのハイパーリンク" xfId="4697" builtinId="9" hidden="1"/>
    <cellStyle name="表示済みのハイパーリンク" xfId="4699" builtinId="9" hidden="1"/>
    <cellStyle name="表示済みのハイパーリンク" xfId="4701" builtinId="9" hidden="1"/>
    <cellStyle name="表示済みのハイパーリンク" xfId="4703" builtinId="9" hidden="1"/>
    <cellStyle name="表示済みのハイパーリンク" xfId="4705" builtinId="9" hidden="1"/>
    <cellStyle name="表示済みのハイパーリンク" xfId="4707" builtinId="9" hidden="1"/>
    <cellStyle name="表示済みのハイパーリンク" xfId="4709" builtinId="9" hidden="1"/>
    <cellStyle name="表示済みのハイパーリンク" xfId="4711" builtinId="9" hidden="1"/>
    <cellStyle name="表示済みのハイパーリンク" xfId="4713" builtinId="9" hidden="1"/>
    <cellStyle name="表示済みのハイパーリンク" xfId="4715" builtinId="9" hidden="1"/>
    <cellStyle name="表示済みのハイパーリンク" xfId="4717" builtinId="9" hidden="1"/>
    <cellStyle name="表示済みのハイパーリンク" xfId="4719" builtinId="9" hidden="1"/>
    <cellStyle name="表示済みのハイパーリンク" xfId="4721" builtinId="9" hidden="1"/>
    <cellStyle name="表示済みのハイパーリンク" xfId="4723" builtinId="9" hidden="1"/>
    <cellStyle name="表示済みのハイパーリンク" xfId="4725" builtinId="9" hidden="1"/>
    <cellStyle name="表示済みのハイパーリンク" xfId="4727" builtinId="9" hidden="1"/>
    <cellStyle name="表示済みのハイパーリンク" xfId="4729" builtinId="9" hidden="1"/>
    <cellStyle name="表示済みのハイパーリンク" xfId="4731" builtinId="9" hidden="1"/>
    <cellStyle name="表示済みのハイパーリンク" xfId="4733" builtinId="9" hidden="1"/>
    <cellStyle name="表示済みのハイパーリンク" xfId="4735" builtinId="9" hidden="1"/>
    <cellStyle name="表示済みのハイパーリンク" xfId="4737" builtinId="9" hidden="1"/>
    <cellStyle name="表示済みのハイパーリンク" xfId="4739" builtinId="9" hidden="1"/>
    <cellStyle name="表示済みのハイパーリンク" xfId="4741" builtinId="9" hidden="1"/>
    <cellStyle name="表示済みのハイパーリンク" xfId="4743" builtinId="9" hidden="1"/>
    <cellStyle name="表示済みのハイパーリンク" xfId="4745" builtinId="9" hidden="1"/>
    <cellStyle name="表示済みのハイパーリンク" xfId="4747" builtinId="9" hidden="1"/>
    <cellStyle name="表示済みのハイパーリンク" xfId="4749" builtinId="9" hidden="1"/>
    <cellStyle name="表示済みのハイパーリンク" xfId="4751" builtinId="9" hidden="1"/>
    <cellStyle name="表示済みのハイパーリンク" xfId="4753" builtinId="9" hidden="1"/>
    <cellStyle name="表示済みのハイパーリンク" xfId="4755" builtinId="9" hidden="1"/>
    <cellStyle name="表示済みのハイパーリンク" xfId="4757" builtinId="9" hidden="1"/>
    <cellStyle name="表示済みのハイパーリンク" xfId="4759" builtinId="9" hidden="1"/>
    <cellStyle name="表示済みのハイパーリンク" xfId="4761" builtinId="9" hidden="1"/>
    <cellStyle name="表示済みのハイパーリンク" xfId="4763" builtinId="9" hidden="1"/>
    <cellStyle name="表示済みのハイパーリンク" xfId="4765" builtinId="9" hidden="1"/>
    <cellStyle name="表示済みのハイパーリンク" xfId="4767" builtinId="9" hidden="1"/>
    <cellStyle name="表示済みのハイパーリンク" xfId="4769" builtinId="9" hidden="1"/>
    <cellStyle name="表示済みのハイパーリンク" xfId="4771" builtinId="9" hidden="1"/>
    <cellStyle name="表示済みのハイパーリンク" xfId="4773" builtinId="9" hidden="1"/>
    <cellStyle name="表示済みのハイパーリンク" xfId="4775" builtinId="9" hidden="1"/>
    <cellStyle name="表示済みのハイパーリンク" xfId="4777" builtinId="9" hidden="1"/>
    <cellStyle name="表示済みのハイパーリンク" xfId="4779" builtinId="9" hidden="1"/>
    <cellStyle name="表示済みのハイパーリンク" xfId="4781" builtinId="9" hidden="1"/>
    <cellStyle name="表示済みのハイパーリンク" xfId="4783" builtinId="9" hidden="1"/>
    <cellStyle name="表示済みのハイパーリンク" xfId="4785" builtinId="9" hidden="1"/>
    <cellStyle name="表示済みのハイパーリンク" xfId="4787" builtinId="9" hidden="1"/>
    <cellStyle name="表示済みのハイパーリンク" xfId="4789" builtinId="9" hidden="1"/>
    <cellStyle name="表示済みのハイパーリンク" xfId="4791" builtinId="9" hidden="1"/>
    <cellStyle name="表示済みのハイパーリンク" xfId="4793" builtinId="9" hidden="1"/>
    <cellStyle name="表示済みのハイパーリンク" xfId="4795" builtinId="9" hidden="1"/>
    <cellStyle name="表示済みのハイパーリンク" xfId="4797" builtinId="9" hidden="1"/>
    <cellStyle name="表示済みのハイパーリンク" xfId="4799" builtinId="9" hidden="1"/>
    <cellStyle name="表示済みのハイパーリンク" xfId="4801" builtinId="9" hidden="1"/>
    <cellStyle name="表示済みのハイパーリンク" xfId="4803" builtinId="9" hidden="1"/>
    <cellStyle name="表示済みのハイパーリンク" xfId="4805" builtinId="9" hidden="1"/>
    <cellStyle name="表示済みのハイパーリンク" xfId="4807" builtinId="9" hidden="1"/>
    <cellStyle name="表示済みのハイパーリンク" xfId="4809" builtinId="9" hidden="1"/>
    <cellStyle name="表示済みのハイパーリンク" xfId="4811" builtinId="9" hidden="1"/>
    <cellStyle name="表示済みのハイパーリンク" xfId="4813" builtinId="9" hidden="1"/>
    <cellStyle name="表示済みのハイパーリンク" xfId="4815" builtinId="9" hidden="1"/>
    <cellStyle name="表示済みのハイパーリンク" xfId="4817" builtinId="9" hidden="1"/>
    <cellStyle name="表示済みのハイパーリンク" xfId="4819" builtinId="9" hidden="1"/>
    <cellStyle name="表示済みのハイパーリンク" xfId="4821" builtinId="9" hidden="1"/>
    <cellStyle name="表示済みのハイパーリンク" xfId="4823" builtinId="9" hidden="1"/>
    <cellStyle name="表示済みのハイパーリンク" xfId="4825" builtinId="9" hidden="1"/>
    <cellStyle name="表示済みのハイパーリンク" xfId="4827" builtinId="9" hidden="1"/>
    <cellStyle name="表示済みのハイパーリンク" xfId="4829" builtinId="9" hidden="1"/>
    <cellStyle name="表示済みのハイパーリンク" xfId="4831" builtinId="9" hidden="1"/>
    <cellStyle name="表示済みのハイパーリンク" xfId="4833" builtinId="9" hidden="1"/>
    <cellStyle name="表示済みのハイパーリンク" xfId="4835" builtinId="9" hidden="1"/>
    <cellStyle name="表示済みのハイパーリンク" xfId="4837" builtinId="9" hidden="1"/>
    <cellStyle name="表示済みのハイパーリンク" xfId="4839" builtinId="9" hidden="1"/>
    <cellStyle name="表示済みのハイパーリンク" xfId="4841" builtinId="9" hidden="1"/>
    <cellStyle name="表示済みのハイパーリンク" xfId="4843" builtinId="9" hidden="1"/>
    <cellStyle name="表示済みのハイパーリンク" xfId="4845" builtinId="9" hidden="1"/>
    <cellStyle name="表示済みのハイパーリンク" xfId="4847" builtinId="9" hidden="1"/>
    <cellStyle name="表示済みのハイパーリンク" xfId="4849" builtinId="9" hidden="1"/>
    <cellStyle name="表示済みのハイパーリンク" xfId="4851" builtinId="9" hidden="1"/>
    <cellStyle name="表示済みのハイパーリンク" xfId="4853" builtinId="9" hidden="1"/>
    <cellStyle name="表示済みのハイパーリンク" xfId="4855" builtinId="9" hidden="1"/>
    <cellStyle name="表示済みのハイパーリンク" xfId="4857" builtinId="9" hidden="1"/>
    <cellStyle name="表示済みのハイパーリンク" xfId="4859" builtinId="9" hidden="1"/>
    <cellStyle name="表示済みのハイパーリンク" xfId="4861" builtinId="9" hidden="1"/>
    <cellStyle name="表示済みのハイパーリンク" xfId="4863" builtinId="9" hidden="1"/>
    <cellStyle name="表示済みのハイパーリンク" xfId="4865" builtinId="9" hidden="1"/>
    <cellStyle name="表示済みのハイパーリンク" xfId="4867" builtinId="9" hidden="1"/>
    <cellStyle name="表示済みのハイパーリンク" xfId="4869" builtinId="9" hidden="1"/>
    <cellStyle name="表示済みのハイパーリンク" xfId="4871" builtinId="9" hidden="1"/>
    <cellStyle name="表示済みのハイパーリンク" xfId="4873" builtinId="9" hidden="1"/>
    <cellStyle name="表示済みのハイパーリンク" xfId="4875" builtinId="9" hidden="1"/>
    <cellStyle name="表示済みのハイパーリンク" xfId="4877" builtinId="9" hidden="1"/>
    <cellStyle name="表示済みのハイパーリンク" xfId="4879" builtinId="9" hidden="1"/>
    <cellStyle name="表示済みのハイパーリンク" xfId="4881" builtinId="9" hidden="1"/>
    <cellStyle name="表示済みのハイパーリンク" xfId="4883" builtinId="9" hidden="1"/>
    <cellStyle name="表示済みのハイパーリンク" xfId="4885" builtinId="9" hidden="1"/>
    <cellStyle name="表示済みのハイパーリンク" xfId="4887" builtinId="9" hidden="1"/>
    <cellStyle name="表示済みのハイパーリンク" xfId="4889" builtinId="9" hidden="1"/>
    <cellStyle name="表示済みのハイパーリンク" xfId="4891" builtinId="9" hidden="1"/>
    <cellStyle name="表示済みのハイパーリンク" xfId="4893" builtinId="9" hidden="1"/>
    <cellStyle name="表示済みのハイパーリンク" xfId="4895" builtinId="9" hidden="1"/>
    <cellStyle name="表示済みのハイパーリンク" xfId="4897" builtinId="9" hidden="1"/>
    <cellStyle name="表示済みのハイパーリンク" xfId="4899" builtinId="9" hidden="1"/>
    <cellStyle name="表示済みのハイパーリンク" xfId="4901" builtinId="9" hidden="1"/>
    <cellStyle name="表示済みのハイパーリンク" xfId="4903" builtinId="9" hidden="1"/>
    <cellStyle name="表示済みのハイパーリンク" xfId="4905" builtinId="9" hidden="1"/>
    <cellStyle name="表示済みのハイパーリンク" xfId="4907" builtinId="9" hidden="1"/>
    <cellStyle name="表示済みのハイパーリンク" xfId="4909" builtinId="9" hidden="1"/>
    <cellStyle name="表示済みのハイパーリンク" xfId="4911" builtinId="9" hidden="1"/>
    <cellStyle name="表示済みのハイパーリンク" xfId="4913" builtinId="9" hidden="1"/>
    <cellStyle name="表示済みのハイパーリンク" xfId="4915" builtinId="9" hidden="1"/>
    <cellStyle name="表示済みのハイパーリンク" xfId="4917" builtinId="9" hidden="1"/>
    <cellStyle name="表示済みのハイパーリンク" xfId="4919" builtinId="9" hidden="1"/>
    <cellStyle name="表示済みのハイパーリンク" xfId="4921" builtinId="9" hidden="1"/>
    <cellStyle name="表示済みのハイパーリンク" xfId="4923" builtinId="9" hidden="1"/>
    <cellStyle name="表示済みのハイパーリンク" xfId="4925" builtinId="9" hidden="1"/>
    <cellStyle name="表示済みのハイパーリンク" xfId="4927" builtinId="9" hidden="1"/>
    <cellStyle name="表示済みのハイパーリンク" xfId="4929" builtinId="9" hidden="1"/>
    <cellStyle name="表示済みのハイパーリンク" xfId="4931" builtinId="9" hidden="1"/>
    <cellStyle name="表示済みのハイパーリンク" xfId="4933" builtinId="9" hidden="1"/>
    <cellStyle name="表示済みのハイパーリンク" xfId="4935" builtinId="9" hidden="1"/>
    <cellStyle name="表示済みのハイパーリンク" xfId="4937" builtinId="9" hidden="1"/>
    <cellStyle name="表示済みのハイパーリンク" xfId="4939" builtinId="9" hidden="1"/>
    <cellStyle name="表示済みのハイパーリンク" xfId="4941" builtinId="9" hidden="1"/>
    <cellStyle name="表示済みのハイパーリンク" xfId="4943" builtinId="9" hidden="1"/>
    <cellStyle name="表示済みのハイパーリンク" xfId="4945" builtinId="9" hidden="1"/>
    <cellStyle name="表示済みのハイパーリンク" xfId="4947" builtinId="9" hidden="1"/>
    <cellStyle name="表示済みのハイパーリンク" xfId="4949" builtinId="9" hidden="1"/>
    <cellStyle name="表示済みのハイパーリンク" xfId="4951" builtinId="9" hidden="1"/>
    <cellStyle name="表示済みのハイパーリンク" xfId="4953" builtinId="9" hidden="1"/>
    <cellStyle name="表示済みのハイパーリンク" xfId="4955" builtinId="9" hidden="1"/>
    <cellStyle name="表示済みのハイパーリンク" xfId="4957" builtinId="9" hidden="1"/>
    <cellStyle name="表示済みのハイパーリンク" xfId="4959" builtinId="9" hidden="1"/>
    <cellStyle name="表示済みのハイパーリンク" xfId="4961" builtinId="9" hidden="1"/>
    <cellStyle name="表示済みのハイパーリンク" xfId="4963" builtinId="9" hidden="1"/>
    <cellStyle name="表示済みのハイパーリンク" xfId="4965" builtinId="9" hidden="1"/>
    <cellStyle name="表示済みのハイパーリンク" xfId="4967" builtinId="9" hidden="1"/>
    <cellStyle name="表示済みのハイパーリンク" xfId="4969" builtinId="9" hidden="1"/>
    <cellStyle name="表示済みのハイパーリンク" xfId="4971" builtinId="9" hidden="1"/>
    <cellStyle name="表示済みのハイパーリンク" xfId="4973" builtinId="9" hidden="1"/>
    <cellStyle name="表示済みのハイパーリンク" xfId="4975" builtinId="9" hidden="1"/>
    <cellStyle name="表示済みのハイパーリンク" xfId="4977" builtinId="9" hidden="1"/>
    <cellStyle name="表示済みのハイパーリンク" xfId="4979" builtinId="9" hidden="1"/>
    <cellStyle name="表示済みのハイパーリンク" xfId="4981" builtinId="9" hidden="1"/>
    <cellStyle name="表示済みのハイパーリンク" xfId="4983" builtinId="9" hidden="1"/>
    <cellStyle name="表示済みのハイパーリンク" xfId="4985" builtinId="9" hidden="1"/>
    <cellStyle name="表示済みのハイパーリンク" xfId="4987" builtinId="9" hidden="1"/>
    <cellStyle name="表示済みのハイパーリンク" xfId="4989" builtinId="9" hidden="1"/>
    <cellStyle name="表示済みのハイパーリンク" xfId="4991" builtinId="9" hidden="1"/>
    <cellStyle name="表示済みのハイパーリンク" xfId="4993" builtinId="9" hidden="1"/>
    <cellStyle name="表示済みのハイパーリンク" xfId="4995" builtinId="9" hidden="1"/>
    <cellStyle name="表示済みのハイパーリンク" xfId="4997" builtinId="9" hidden="1"/>
    <cellStyle name="表示済みのハイパーリンク" xfId="4999" builtinId="9" hidden="1"/>
    <cellStyle name="表示済みのハイパーリンク" xfId="5001" builtinId="9" hidden="1"/>
    <cellStyle name="表示済みのハイパーリンク" xfId="5003" builtinId="9" hidden="1"/>
    <cellStyle name="表示済みのハイパーリンク" xfId="5005" builtinId="9" hidden="1"/>
    <cellStyle name="表示済みのハイパーリンク" xfId="5007" builtinId="9" hidden="1"/>
    <cellStyle name="表示済みのハイパーリンク" xfId="5009" builtinId="9" hidden="1"/>
    <cellStyle name="表示済みのハイパーリンク" xfId="5011" builtinId="9" hidden="1"/>
    <cellStyle name="表示済みのハイパーリンク" xfId="5013" builtinId="9" hidden="1"/>
    <cellStyle name="表示済みのハイパーリンク" xfId="5015" builtinId="9" hidden="1"/>
    <cellStyle name="表示済みのハイパーリンク" xfId="5017" builtinId="9" hidden="1"/>
    <cellStyle name="表示済みのハイパーリンク" xfId="5019" builtinId="9" hidden="1"/>
    <cellStyle name="表示済みのハイパーリンク" xfId="5021" builtinId="9" hidden="1"/>
    <cellStyle name="表示済みのハイパーリンク" xfId="5023" builtinId="9" hidden="1"/>
    <cellStyle name="表示済みのハイパーリンク" xfId="5025" builtinId="9" hidden="1"/>
    <cellStyle name="表示済みのハイパーリンク" xfId="5027" builtinId="9" hidden="1"/>
    <cellStyle name="表示済みのハイパーリンク" xfId="5029" builtinId="9" hidden="1"/>
    <cellStyle name="表示済みのハイパーリンク" xfId="5031" builtinId="9" hidden="1"/>
    <cellStyle name="表示済みのハイパーリンク" xfId="5033" builtinId="9" hidden="1"/>
    <cellStyle name="表示済みのハイパーリンク" xfId="5035" builtinId="9" hidden="1"/>
    <cellStyle name="表示済みのハイパーリンク" xfId="5037" builtinId="9" hidden="1"/>
    <cellStyle name="表示済みのハイパーリンク" xfId="5039" builtinId="9" hidden="1"/>
    <cellStyle name="表示済みのハイパーリンク" xfId="5041" builtinId="9" hidden="1"/>
    <cellStyle name="表示済みのハイパーリンク" xfId="5043" builtinId="9" hidden="1"/>
    <cellStyle name="表示済みのハイパーリンク" xfId="5045" builtinId="9" hidden="1"/>
    <cellStyle name="表示済みのハイパーリンク" xfId="5047" builtinId="9" hidden="1"/>
    <cellStyle name="表示済みのハイパーリンク" xfId="5049" builtinId="9" hidden="1"/>
    <cellStyle name="表示済みのハイパーリンク" xfId="5051" builtinId="9" hidden="1"/>
    <cellStyle name="表示済みのハイパーリンク" xfId="5053" builtinId="9" hidden="1"/>
    <cellStyle name="表示済みのハイパーリンク" xfId="5055" builtinId="9" hidden="1"/>
    <cellStyle name="表示済みのハイパーリンク" xfId="5057" builtinId="9" hidden="1"/>
    <cellStyle name="表示済みのハイパーリンク" xfId="5059" builtinId="9" hidden="1"/>
    <cellStyle name="表示済みのハイパーリンク" xfId="5061" builtinId="9" hidden="1"/>
    <cellStyle name="表示済みのハイパーリンク" xfId="5063" builtinId="9" hidden="1"/>
    <cellStyle name="表示済みのハイパーリンク" xfId="5065" builtinId="9" hidden="1"/>
    <cellStyle name="表示済みのハイパーリンク" xfId="5067" builtinId="9" hidden="1"/>
    <cellStyle name="表示済みのハイパーリンク" xfId="5069" builtinId="9" hidden="1"/>
    <cellStyle name="表示済みのハイパーリンク" xfId="5071" builtinId="9" hidden="1"/>
    <cellStyle name="表示済みのハイパーリンク" xfId="5073" builtinId="9" hidden="1"/>
    <cellStyle name="表示済みのハイパーリンク" xfId="5075" builtinId="9" hidden="1"/>
    <cellStyle name="表示済みのハイパーリンク" xfId="5077" builtinId="9" hidden="1"/>
    <cellStyle name="表示済みのハイパーリンク" xfId="5079" builtinId="9" hidden="1"/>
    <cellStyle name="表示済みのハイパーリンク" xfId="5081" builtinId="9" hidden="1"/>
    <cellStyle name="表示済みのハイパーリンク" xfId="5083" builtinId="9" hidden="1"/>
    <cellStyle name="表示済みのハイパーリンク" xfId="5085" builtinId="9" hidden="1"/>
    <cellStyle name="表示済みのハイパーリンク" xfId="5087" builtinId="9" hidden="1"/>
    <cellStyle name="表示済みのハイパーリンク" xfId="5089" builtinId="9" hidden="1"/>
    <cellStyle name="表示済みのハイパーリンク" xfId="5091" builtinId="9" hidden="1"/>
    <cellStyle name="表示済みのハイパーリンク" xfId="5093" builtinId="9" hidden="1"/>
    <cellStyle name="表示済みのハイパーリンク" xfId="5095" builtinId="9" hidden="1"/>
    <cellStyle name="表示済みのハイパーリンク" xfId="5097" builtinId="9" hidden="1"/>
    <cellStyle name="表示済みのハイパーリンク" xfId="5099" builtinId="9" hidden="1"/>
    <cellStyle name="表示済みのハイパーリンク" xfId="5101" builtinId="9" hidden="1"/>
    <cellStyle name="表示済みのハイパーリンク" xfId="5103" builtinId="9" hidden="1"/>
    <cellStyle name="表示済みのハイパーリンク" xfId="5105" builtinId="9" hidden="1"/>
    <cellStyle name="表示済みのハイパーリンク" xfId="5107" builtinId="9" hidden="1"/>
    <cellStyle name="表示済みのハイパーリンク" xfId="5109" builtinId="9" hidden="1"/>
    <cellStyle name="表示済みのハイパーリンク" xfId="5111" builtinId="9" hidden="1"/>
    <cellStyle name="表示済みのハイパーリンク" xfId="5113" builtinId="9" hidden="1"/>
    <cellStyle name="表示済みのハイパーリンク" xfId="5115" builtinId="9" hidden="1"/>
    <cellStyle name="表示済みのハイパーリンク" xfId="5117" builtinId="9" hidden="1"/>
    <cellStyle name="表示済みのハイパーリンク" xfId="5119" builtinId="9" hidden="1"/>
    <cellStyle name="表示済みのハイパーリンク" xfId="5121" builtinId="9" hidden="1"/>
    <cellStyle name="表示済みのハイパーリンク" xfId="5123" builtinId="9" hidden="1"/>
    <cellStyle name="表示済みのハイパーリンク" xfId="5125" builtinId="9" hidden="1"/>
    <cellStyle name="表示済みのハイパーリンク" xfId="5127" builtinId="9" hidden="1"/>
    <cellStyle name="表示済みのハイパーリンク" xfId="5129" builtinId="9" hidden="1"/>
    <cellStyle name="表示済みのハイパーリンク" xfId="5131" builtinId="9" hidden="1"/>
    <cellStyle name="表示済みのハイパーリンク" xfId="5133" builtinId="9" hidden="1"/>
    <cellStyle name="表示済みのハイパーリンク" xfId="5135" builtinId="9" hidden="1"/>
    <cellStyle name="表示済みのハイパーリンク" xfId="5137" builtinId="9" hidden="1"/>
    <cellStyle name="表示済みのハイパーリンク" xfId="5139" builtinId="9" hidden="1"/>
    <cellStyle name="表示済みのハイパーリンク" xfId="5141" builtinId="9" hidden="1"/>
    <cellStyle name="表示済みのハイパーリンク" xfId="5143" builtinId="9" hidden="1"/>
    <cellStyle name="表示済みのハイパーリンク" xfId="5145" builtinId="9" hidden="1"/>
    <cellStyle name="表示済みのハイパーリンク" xfId="5147" builtinId="9" hidden="1"/>
    <cellStyle name="表示済みのハイパーリンク" xfId="5149" builtinId="9" hidden="1"/>
    <cellStyle name="表示済みのハイパーリンク" xfId="5151" builtinId="9" hidden="1"/>
    <cellStyle name="表示済みのハイパーリンク" xfId="5153" builtinId="9" hidden="1"/>
    <cellStyle name="表示済みのハイパーリンク" xfId="5155" builtinId="9" hidden="1"/>
    <cellStyle name="表示済みのハイパーリンク" xfId="5157" builtinId="9" hidden="1"/>
    <cellStyle name="表示済みのハイパーリンク" xfId="5159" builtinId="9" hidden="1"/>
    <cellStyle name="表示済みのハイパーリンク" xfId="5161" builtinId="9" hidden="1"/>
    <cellStyle name="表示済みのハイパーリンク" xfId="5163" builtinId="9" hidden="1"/>
    <cellStyle name="表示済みのハイパーリンク" xfId="5165" builtinId="9" hidden="1"/>
    <cellStyle name="表示済みのハイパーリンク" xfId="5167" builtinId="9" hidden="1"/>
    <cellStyle name="表示済みのハイパーリンク" xfId="5169" builtinId="9" hidden="1"/>
    <cellStyle name="表示済みのハイパーリンク" xfId="5171" builtinId="9" hidden="1"/>
    <cellStyle name="表示済みのハイパーリンク" xfId="5173" builtinId="9" hidden="1"/>
    <cellStyle name="表示済みのハイパーリンク" xfId="5175" builtinId="9" hidden="1"/>
    <cellStyle name="表示済みのハイパーリンク" xfId="5177" builtinId="9" hidden="1"/>
    <cellStyle name="表示済みのハイパーリンク" xfId="5179" builtinId="9" hidden="1"/>
    <cellStyle name="表示済みのハイパーリンク" xfId="5181" builtinId="9" hidden="1"/>
    <cellStyle name="表示済みのハイパーリンク" xfId="5183" builtinId="9" hidden="1"/>
    <cellStyle name="表示済みのハイパーリンク" xfId="5185" builtinId="9" hidden="1"/>
    <cellStyle name="表示済みのハイパーリンク" xfId="5187" builtinId="9" hidden="1"/>
    <cellStyle name="表示済みのハイパーリンク" xfId="5189" builtinId="9" hidden="1"/>
    <cellStyle name="表示済みのハイパーリンク" xfId="5191" builtinId="9" hidden="1"/>
    <cellStyle name="表示済みのハイパーリンク" xfId="5193" builtinId="9" hidden="1"/>
    <cellStyle name="表示済みのハイパーリンク" xfId="5195" builtinId="9" hidden="1"/>
    <cellStyle name="表示済みのハイパーリンク" xfId="5197" builtinId="9" hidden="1"/>
    <cellStyle name="表示済みのハイパーリンク" xfId="5199" builtinId="9" hidden="1"/>
    <cellStyle name="表示済みのハイパーリンク" xfId="5201" builtinId="9" hidden="1"/>
    <cellStyle name="表示済みのハイパーリンク" xfId="5203" builtinId="9" hidden="1"/>
    <cellStyle name="表示済みのハイパーリンク" xfId="5205" builtinId="9" hidden="1"/>
    <cellStyle name="表示済みのハイパーリンク" xfId="5207" builtinId="9" hidden="1"/>
    <cellStyle name="表示済みのハイパーリンク" xfId="5209" builtinId="9" hidden="1"/>
    <cellStyle name="表示済みのハイパーリンク" xfId="5211" builtinId="9" hidden="1"/>
    <cellStyle name="表示済みのハイパーリンク" xfId="5213" builtinId="9" hidden="1"/>
    <cellStyle name="表示済みのハイパーリンク" xfId="5215" builtinId="9" hidden="1"/>
    <cellStyle name="表示済みのハイパーリンク" xfId="5217" builtinId="9" hidden="1"/>
    <cellStyle name="表示済みのハイパーリンク" xfId="5219" builtinId="9" hidden="1"/>
    <cellStyle name="表示済みのハイパーリンク" xfId="5221" builtinId="9" hidden="1"/>
    <cellStyle name="表示済みのハイパーリンク" xfId="5223" builtinId="9" hidden="1"/>
    <cellStyle name="表示済みのハイパーリンク" xfId="5225" builtinId="9" hidden="1"/>
    <cellStyle name="表示済みのハイパーリンク" xfId="5227" builtinId="9" hidden="1"/>
    <cellStyle name="表示済みのハイパーリンク" xfId="5229" builtinId="9" hidden="1"/>
    <cellStyle name="表示済みのハイパーリンク" xfId="5235" builtinId="9" hidden="1"/>
    <cellStyle name="表示済みのハイパーリンク" xfId="5237" builtinId="9" hidden="1"/>
    <cellStyle name="表示済みのハイパーリンク" xfId="5239" builtinId="9" hidden="1"/>
    <cellStyle name="表示済みのハイパーリンク" xfId="5241" builtinId="9" hidden="1"/>
    <cellStyle name="表示済みのハイパーリンク" xfId="5243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441739</xdr:colOff>
      <xdr:row>2</xdr:row>
      <xdr:rowOff>179457</xdr:rowOff>
    </xdr:from>
    <xdr:to>
      <xdr:col>6</xdr:col>
      <xdr:colOff>717826</xdr:colOff>
      <xdr:row>7</xdr:row>
      <xdr:rowOff>165652</xdr:rowOff>
    </xdr:to>
    <xdr:sp macro="" textlink="">
      <xdr:nvSpPr>
        <xdr:cNvPr id="2" name="テキスト ボックス 1"/>
        <xdr:cNvSpPr txBox="1"/>
      </xdr:nvSpPr>
      <xdr:spPr>
        <a:xfrm>
          <a:off x="1270000" y="704022"/>
          <a:ext cx="5811630" cy="12976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ver1.5.0</a:t>
          </a:r>
          <a:r>
            <a:rPr kumimoji="1" lang="ja-JP" altLang="en-US" sz="1100"/>
            <a:t>で廃止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 enableFormatConditionsCalculation="0"/>
  <dimension ref="A1:AC15"/>
  <sheetViews>
    <sheetView workbookViewId="0">
      <selection activeCell="H9" sqref="H9"/>
    </sheetView>
  </sheetViews>
  <sheetFormatPr baseColWidth="12" defaultRowHeight="15" x14ac:dyDescent="0.15"/>
  <cols>
    <col min="1" max="1" width="13" style="33"/>
    <col min="2" max="2" width="14.796875" style="33" bestFit="1" customWidth="1"/>
    <col min="3" max="4" width="13" style="33"/>
    <col min="5" max="5" width="17.59765625" style="33" bestFit="1" customWidth="1"/>
    <col min="6" max="6" width="22.19921875" style="33" bestFit="1" customWidth="1"/>
    <col min="7" max="16384" width="13" style="33"/>
  </cols>
  <sheetData>
    <row r="1" spans="1:29" x14ac:dyDescent="0.15">
      <c r="A1" s="45" t="s">
        <v>239</v>
      </c>
      <c r="B1" s="31" t="s">
        <v>144</v>
      </c>
      <c r="C1" s="31" t="s">
        <v>145</v>
      </c>
      <c r="D1" s="31" t="s">
        <v>146</v>
      </c>
      <c r="E1" s="31" t="s">
        <v>147</v>
      </c>
      <c r="F1" s="31" t="s">
        <v>148</v>
      </c>
      <c r="G1" s="31" t="s">
        <v>149</v>
      </c>
      <c r="H1" s="31"/>
      <c r="I1" s="31"/>
      <c r="J1" s="31"/>
      <c r="K1" s="31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</row>
    <row r="2" spans="1:29" x14ac:dyDescent="0.15">
      <c r="A2" s="46" t="s">
        <v>240</v>
      </c>
      <c r="B2" s="34" t="s">
        <v>150</v>
      </c>
      <c r="C2" s="34"/>
      <c r="D2" s="34" t="s">
        <v>151</v>
      </c>
      <c r="E2" s="32" t="str">
        <f t="shared" ref="E2:E7" si="0">B2&amp;C2&amp;D2</f>
        <v>gachas.csv</v>
      </c>
      <c r="F2" s="34" t="s">
        <v>150</v>
      </c>
      <c r="G2" s="36" t="s">
        <v>16</v>
      </c>
      <c r="H2" s="36" t="s">
        <v>32</v>
      </c>
      <c r="I2" s="36" t="s">
        <v>30</v>
      </c>
      <c r="J2" s="36" t="s">
        <v>58</v>
      </c>
      <c r="K2" s="5" t="s">
        <v>589</v>
      </c>
      <c r="L2" s="5" t="s">
        <v>590</v>
      </c>
      <c r="M2" s="5" t="s">
        <v>591</v>
      </c>
      <c r="N2" s="5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</row>
    <row r="3" spans="1:29" x14ac:dyDescent="0.15">
      <c r="A3" s="46" t="s">
        <v>241</v>
      </c>
      <c r="B3" s="34" t="s">
        <v>152</v>
      </c>
      <c r="C3" s="34"/>
      <c r="D3" s="34" t="s">
        <v>151</v>
      </c>
      <c r="E3" s="32" t="str">
        <f t="shared" si="0"/>
        <v>gachas_i18n.csv</v>
      </c>
      <c r="F3" s="34" t="s">
        <v>150</v>
      </c>
      <c r="G3" s="36" t="s">
        <v>16</v>
      </c>
      <c r="H3" s="36" t="s">
        <v>27</v>
      </c>
      <c r="I3" s="36" t="s">
        <v>18</v>
      </c>
      <c r="J3" s="37" t="s">
        <v>2</v>
      </c>
      <c r="K3" s="37" t="s">
        <v>61</v>
      </c>
      <c r="L3" s="37" t="s">
        <v>62</v>
      </c>
      <c r="M3" s="57" t="s">
        <v>481</v>
      </c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1:29" x14ac:dyDescent="0.15">
      <c r="A4" s="46" t="s">
        <v>241</v>
      </c>
      <c r="B4" s="34" t="s">
        <v>153</v>
      </c>
      <c r="C4" s="34"/>
      <c r="D4" s="34" t="s">
        <v>151</v>
      </c>
      <c r="E4" s="32" t="str">
        <f t="shared" si="0"/>
        <v>gacha_elements.csv</v>
      </c>
      <c r="F4" s="34" t="s">
        <v>153</v>
      </c>
      <c r="G4" s="36" t="s">
        <v>57</v>
      </c>
      <c r="H4" s="36" t="s">
        <v>64</v>
      </c>
      <c r="I4" s="38" t="s">
        <v>66</v>
      </c>
      <c r="J4" s="38" t="s">
        <v>80</v>
      </c>
      <c r="K4" s="38" t="s">
        <v>23</v>
      </c>
      <c r="L4" s="38" t="s">
        <v>25</v>
      </c>
      <c r="M4" s="38" t="s">
        <v>68</v>
      </c>
      <c r="N4" s="38" t="s">
        <v>70</v>
      </c>
      <c r="O4" s="38" t="s">
        <v>72</v>
      </c>
      <c r="P4" s="38" t="s">
        <v>74</v>
      </c>
      <c r="Q4" s="38" t="s">
        <v>76</v>
      </c>
      <c r="R4" s="38" t="s">
        <v>78</v>
      </c>
      <c r="S4" s="39" t="s">
        <v>135</v>
      </c>
      <c r="T4" s="34"/>
      <c r="U4" s="34"/>
      <c r="V4" s="34"/>
      <c r="W4" s="34"/>
      <c r="X4" s="34"/>
      <c r="Y4" s="34"/>
      <c r="Z4" s="34"/>
      <c r="AA4" s="34"/>
      <c r="AB4" s="34"/>
      <c r="AC4" s="34"/>
    </row>
    <row r="5" spans="1:29" x14ac:dyDescent="0.15">
      <c r="A5" s="72" t="s">
        <v>840</v>
      </c>
      <c r="B5" s="70" t="s">
        <v>839</v>
      </c>
      <c r="C5" s="34"/>
      <c r="D5" s="34" t="s">
        <v>151</v>
      </c>
      <c r="E5" s="32" t="str">
        <f t="shared" si="0"/>
        <v>gacha_elements_i18n.csv</v>
      </c>
      <c r="F5" s="34" t="s">
        <v>153</v>
      </c>
      <c r="G5" s="36" t="s">
        <v>57</v>
      </c>
      <c r="H5" s="36" t="s">
        <v>64</v>
      </c>
      <c r="I5" s="38" t="s">
        <v>66</v>
      </c>
      <c r="J5" s="73" t="s">
        <v>27</v>
      </c>
      <c r="K5" s="39" t="s">
        <v>134</v>
      </c>
      <c r="L5" s="38"/>
      <c r="M5" s="38"/>
      <c r="N5" s="38"/>
      <c r="O5" s="38"/>
      <c r="P5" s="38"/>
      <c r="Q5" s="38"/>
      <c r="R5" s="38"/>
      <c r="S5" s="39"/>
      <c r="T5" s="34"/>
      <c r="U5" s="34"/>
      <c r="V5" s="34"/>
      <c r="W5" s="34"/>
      <c r="X5" s="34"/>
      <c r="Y5" s="34"/>
      <c r="Z5" s="34"/>
      <c r="AA5" s="34"/>
      <c r="AB5" s="34"/>
      <c r="AC5" s="34"/>
    </row>
    <row r="6" spans="1:29" x14ac:dyDescent="0.15">
      <c r="A6" s="46" t="s">
        <v>241</v>
      </c>
      <c r="B6" s="34" t="s">
        <v>154</v>
      </c>
      <c r="C6" s="34"/>
      <c r="D6" s="34" t="s">
        <v>151</v>
      </c>
      <c r="E6" s="32" t="str">
        <f t="shared" si="0"/>
        <v>gacha_groups.csv</v>
      </c>
      <c r="F6" s="34" t="s">
        <v>154</v>
      </c>
      <c r="G6" s="5" t="s">
        <v>105</v>
      </c>
      <c r="H6" s="5" t="s">
        <v>9</v>
      </c>
      <c r="I6" s="36" t="s">
        <v>106</v>
      </c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</row>
    <row r="7" spans="1:29" x14ac:dyDescent="0.15">
      <c r="A7" s="46" t="s">
        <v>240</v>
      </c>
      <c r="B7" s="70" t="s">
        <v>837</v>
      </c>
      <c r="C7" s="34"/>
      <c r="D7" s="34" t="s">
        <v>151</v>
      </c>
      <c r="E7" s="32" t="str">
        <f t="shared" si="0"/>
        <v>gacha_patterns.csv</v>
      </c>
      <c r="F7" s="70" t="s">
        <v>838</v>
      </c>
      <c r="G7" s="71" t="s">
        <v>100</v>
      </c>
      <c r="H7" s="71" t="s">
        <v>106</v>
      </c>
      <c r="I7" s="71" t="s">
        <v>832</v>
      </c>
      <c r="J7" s="22" t="s">
        <v>834</v>
      </c>
      <c r="K7" s="22" t="s">
        <v>835</v>
      </c>
      <c r="L7" s="5" t="s">
        <v>833</v>
      </c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</row>
    <row r="8" spans="1:29" x14ac:dyDescent="0.15">
      <c r="A8" s="46" t="s">
        <v>241</v>
      </c>
      <c r="B8" s="34" t="s">
        <v>155</v>
      </c>
      <c r="C8" s="34"/>
      <c r="D8" s="34" t="s">
        <v>151</v>
      </c>
      <c r="E8" s="32" t="str">
        <f t="shared" ref="E8:E15" si="1">B8&amp;C8&amp;D8</f>
        <v>gacha_schedules.csv</v>
      </c>
      <c r="F8" s="34" t="s">
        <v>156</v>
      </c>
      <c r="G8" s="36" t="s">
        <v>29</v>
      </c>
      <c r="H8" s="36" t="s">
        <v>3</v>
      </c>
      <c r="I8" s="36" t="s">
        <v>1</v>
      </c>
      <c r="J8" s="36" t="s">
        <v>2</v>
      </c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</row>
    <row r="9" spans="1:29" x14ac:dyDescent="0.15">
      <c r="A9" s="46" t="s">
        <v>241</v>
      </c>
      <c r="B9" s="34" t="s">
        <v>157</v>
      </c>
      <c r="C9" s="34"/>
      <c r="D9" s="34" t="s">
        <v>151</v>
      </c>
      <c r="E9" s="32" t="str">
        <f>B9&amp;C9&amp;D9</f>
        <v>gacha_layouts.csv</v>
      </c>
      <c r="F9" s="34" t="s">
        <v>156</v>
      </c>
      <c r="G9" s="36" t="s">
        <v>29</v>
      </c>
      <c r="H9" s="36" t="s">
        <v>16</v>
      </c>
      <c r="I9" s="36" t="s">
        <v>28</v>
      </c>
      <c r="J9" s="5" t="s">
        <v>3</v>
      </c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</row>
    <row r="10" spans="1:29" x14ac:dyDescent="0.15">
      <c r="A10" s="46" t="s">
        <v>241</v>
      </c>
      <c r="B10" s="34" t="s">
        <v>158</v>
      </c>
      <c r="C10" s="34"/>
      <c r="D10" s="34" t="s">
        <v>151</v>
      </c>
      <c r="E10" s="32" t="str">
        <f t="shared" si="1"/>
        <v>gacha_types.csv</v>
      </c>
      <c r="F10" s="34" t="s">
        <v>158</v>
      </c>
      <c r="G10" s="36" t="s">
        <v>20</v>
      </c>
      <c r="H10" s="36" t="s">
        <v>23</v>
      </c>
      <c r="I10" s="36" t="s">
        <v>25</v>
      </c>
      <c r="J10" s="35"/>
      <c r="K10" s="35"/>
      <c r="L10" s="35"/>
      <c r="M10" s="35"/>
      <c r="N10" s="35"/>
      <c r="O10" s="35"/>
      <c r="P10" s="35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</row>
    <row r="11" spans="1:29" x14ac:dyDescent="0.15">
      <c r="A11" s="46" t="s">
        <v>241</v>
      </c>
      <c r="B11" s="34" t="s">
        <v>159</v>
      </c>
      <c r="C11" s="34"/>
      <c r="D11" s="34" t="s">
        <v>151</v>
      </c>
      <c r="E11" s="32" t="str">
        <f t="shared" si="1"/>
        <v>gacha_rarity_bump.csv</v>
      </c>
      <c r="F11" s="41" t="s">
        <v>160</v>
      </c>
      <c r="G11" s="36" t="s">
        <v>0</v>
      </c>
      <c r="H11" s="36" t="s">
        <v>17</v>
      </c>
      <c r="I11" s="36" t="s">
        <v>15</v>
      </c>
      <c r="J11" s="40" t="s">
        <v>103</v>
      </c>
      <c r="K11" s="40" t="s">
        <v>104</v>
      </c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</row>
    <row r="12" spans="1:29" customFormat="1" x14ac:dyDescent="0.15">
      <c r="A12" s="46" t="s">
        <v>241</v>
      </c>
      <c r="B12" s="78" t="s">
        <v>964</v>
      </c>
      <c r="C12" s="78" t="s">
        <v>921</v>
      </c>
      <c r="D12" s="78" t="s">
        <v>922</v>
      </c>
      <c r="E12" s="79" t="str">
        <f t="shared" si="1"/>
        <v>mypage_banners_data_gacha.tmp</v>
      </c>
      <c r="F12" s="78" t="s">
        <v>923</v>
      </c>
      <c r="G12" s="80" t="s">
        <v>924</v>
      </c>
      <c r="H12" s="81" t="s">
        <v>925</v>
      </c>
      <c r="I12" s="81" t="s">
        <v>926</v>
      </c>
      <c r="J12" s="81" t="s">
        <v>927</v>
      </c>
      <c r="K12" s="81" t="s">
        <v>928</v>
      </c>
      <c r="L12" s="78"/>
      <c r="M12" s="78"/>
      <c r="N12" s="78"/>
    </row>
    <row r="13" spans="1:29" customFormat="1" x14ac:dyDescent="0.15">
      <c r="A13" s="46" t="s">
        <v>241</v>
      </c>
      <c r="B13" s="78" t="s">
        <v>929</v>
      </c>
      <c r="C13" s="78" t="s">
        <v>930</v>
      </c>
      <c r="D13" s="78" t="s">
        <v>931</v>
      </c>
      <c r="E13" s="79" t="str">
        <f t="shared" si="1"/>
        <v>mypage_banners_i18n_gacha.tmp</v>
      </c>
      <c r="F13" s="78" t="s">
        <v>923</v>
      </c>
      <c r="G13" s="80" t="s">
        <v>924</v>
      </c>
      <c r="H13" s="81" t="s">
        <v>932</v>
      </c>
      <c r="I13" s="81" t="s">
        <v>933</v>
      </c>
      <c r="J13" s="81"/>
      <c r="K13" s="81"/>
      <c r="L13" s="81"/>
      <c r="M13" s="78"/>
      <c r="N13" s="78"/>
    </row>
    <row r="14" spans="1:29" customFormat="1" x14ac:dyDescent="0.15">
      <c r="A14" s="46" t="s">
        <v>241</v>
      </c>
      <c r="B14" s="78" t="s">
        <v>965</v>
      </c>
      <c r="C14" s="78" t="s">
        <v>930</v>
      </c>
      <c r="D14" s="78" t="s">
        <v>931</v>
      </c>
      <c r="E14" s="79" t="str">
        <f t="shared" si="1"/>
        <v>mypage_tips_data_gacha.tmp</v>
      </c>
      <c r="F14" s="78" t="s">
        <v>923</v>
      </c>
      <c r="G14" s="80" t="s">
        <v>924</v>
      </c>
      <c r="H14" s="81" t="s">
        <v>934</v>
      </c>
      <c r="I14" s="81" t="s">
        <v>935</v>
      </c>
      <c r="J14" s="81" t="s">
        <v>936</v>
      </c>
      <c r="K14" s="78"/>
      <c r="L14" s="78"/>
      <c r="M14" s="78"/>
      <c r="N14" s="78"/>
    </row>
    <row r="15" spans="1:29" customFormat="1" x14ac:dyDescent="0.15">
      <c r="A15" s="46" t="s">
        <v>241</v>
      </c>
      <c r="B15" s="78" t="s">
        <v>937</v>
      </c>
      <c r="C15" s="78" t="s">
        <v>930</v>
      </c>
      <c r="D15" s="78" t="s">
        <v>931</v>
      </c>
      <c r="E15" s="79" t="str">
        <f t="shared" si="1"/>
        <v>mypage_tips_i18n_gacha.tmp</v>
      </c>
      <c r="F15" s="78" t="s">
        <v>923</v>
      </c>
      <c r="G15" s="80" t="s">
        <v>924</v>
      </c>
      <c r="H15" s="81" t="s">
        <v>932</v>
      </c>
      <c r="I15" s="81" t="s">
        <v>938</v>
      </c>
      <c r="J15" s="78"/>
      <c r="K15" s="78"/>
      <c r="L15" s="78"/>
      <c r="M15" s="78"/>
      <c r="N15" s="78"/>
    </row>
  </sheetData>
  <phoneticPr fontId="12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S577"/>
  <sheetViews>
    <sheetView showGridLines="0" zoomScale="85" workbookViewId="0">
      <pane ySplit="1" topLeftCell="A560" activePane="bottomLeft" state="frozen"/>
      <selection pane="bottomLeft" activeCell="O418" sqref="O418"/>
    </sheetView>
  </sheetViews>
  <sheetFormatPr baseColWidth="12" defaultRowHeight="21" customHeight="1" outlineLevelCol="1" x14ac:dyDescent="0.15"/>
  <cols>
    <col min="1" max="1" width="8.796875" style="1" bestFit="1" customWidth="1"/>
    <col min="2" max="2" width="6.796875" style="1" bestFit="1" customWidth="1"/>
    <col min="3" max="3" width="60" style="1" bestFit="1" customWidth="1"/>
    <col min="4" max="4" width="10.796875" style="1" bestFit="1" customWidth="1"/>
    <col min="5" max="5" width="7.3984375" style="1" bestFit="1" customWidth="1" outlineLevel="1"/>
    <col min="6" max="6" width="8.3984375" style="1" bestFit="1" customWidth="1" outlineLevel="1"/>
    <col min="7" max="7" width="13.3984375" style="1" bestFit="1" customWidth="1"/>
    <col min="8" max="8" width="17" style="1" bestFit="1" customWidth="1"/>
    <col min="9" max="11" width="15.796875" style="1" customWidth="1"/>
    <col min="12" max="12" width="17.19921875" style="44" customWidth="1"/>
    <col min="13" max="13" width="16.3984375" style="44" customWidth="1"/>
    <col min="14" max="14" width="7.59765625" style="1" bestFit="1" customWidth="1"/>
    <col min="15" max="15" width="61" style="1" customWidth="1"/>
    <col min="16" max="16" width="45.19921875" style="1" customWidth="1"/>
    <col min="17" max="17" width="136.796875" style="1" customWidth="1"/>
    <col min="18" max="18" width="82.796875" style="1" customWidth="1"/>
    <col min="19" max="16384" width="13" style="1"/>
  </cols>
  <sheetData>
    <row r="1" spans="1:17" ht="21" customHeight="1" x14ac:dyDescent="0.15">
      <c r="A1" s="5" t="s">
        <v>9</v>
      </c>
      <c r="B1" s="5" t="s">
        <v>30</v>
      </c>
      <c r="C1" s="9" t="s">
        <v>482</v>
      </c>
      <c r="D1" s="5" t="s">
        <v>4</v>
      </c>
      <c r="E1" s="4" t="s">
        <v>24</v>
      </c>
      <c r="F1" s="4" t="s">
        <v>26</v>
      </c>
      <c r="G1" s="5" t="s">
        <v>58</v>
      </c>
      <c r="H1" s="5" t="s">
        <v>32</v>
      </c>
      <c r="I1" s="5" t="s">
        <v>3241</v>
      </c>
      <c r="J1" s="5" t="s">
        <v>590</v>
      </c>
      <c r="K1" s="5" t="s">
        <v>591</v>
      </c>
      <c r="L1" s="43" t="s">
        <v>59</v>
      </c>
      <c r="M1" s="43" t="s">
        <v>60</v>
      </c>
      <c r="N1" s="9" t="s">
        <v>27</v>
      </c>
      <c r="O1" s="48" t="s">
        <v>245</v>
      </c>
      <c r="P1" s="48" t="s">
        <v>247</v>
      </c>
      <c r="Q1" s="9" t="s">
        <v>18</v>
      </c>
    </row>
    <row r="2" spans="1:17" ht="28" x14ac:dyDescent="0.15">
      <c r="A2" s="24">
        <v>100</v>
      </c>
      <c r="B2" s="24">
        <v>1</v>
      </c>
      <c r="C2" s="23" t="s">
        <v>110</v>
      </c>
      <c r="D2" s="24">
        <v>100</v>
      </c>
      <c r="E2" s="17" t="str">
        <f>VLOOKUP($D2,gacha_types!$A:$D,2,FALSE)</f>
        <v>polygon</v>
      </c>
      <c r="F2" s="17">
        <f>VLOOKUP($D2,gacha_types!$A:$D,3,FALSE)</f>
        <v>5</v>
      </c>
      <c r="G2" s="17">
        <f>A2</f>
        <v>100</v>
      </c>
      <c r="H2" s="13" t="str">
        <f>"GachaTop_"&amp;A2&amp;".png"</f>
        <v>GachaTop_100.png</v>
      </c>
      <c r="I2" s="23">
        <v>1</v>
      </c>
      <c r="J2" s="23">
        <f t="shared" ref="J2:J60" si="0">A2</f>
        <v>100</v>
      </c>
      <c r="K2" s="23">
        <v>1</v>
      </c>
      <c r="L2" s="55" t="s">
        <v>813</v>
      </c>
      <c r="M2" s="55" t="s">
        <v>814</v>
      </c>
      <c r="N2" s="2" t="s">
        <v>118</v>
      </c>
      <c r="O2" s="2"/>
      <c r="P2" s="2"/>
      <c r="Q2" s="26" t="s">
        <v>2142</v>
      </c>
    </row>
    <row r="3" spans="1:17" ht="28" x14ac:dyDescent="0.15">
      <c r="A3" s="2">
        <v>102</v>
      </c>
      <c r="B3" s="2">
        <v>3</v>
      </c>
      <c r="C3" s="2" t="s">
        <v>33</v>
      </c>
      <c r="D3" s="2">
        <v>100</v>
      </c>
      <c r="E3" s="17" t="str">
        <f>VLOOKUP($D3,gacha_types!$A:$D,2,FALSE)</f>
        <v>polygon</v>
      </c>
      <c r="F3" s="17">
        <f>VLOOKUP($D3,gacha_types!$A:$D,3,FALSE)</f>
        <v>5</v>
      </c>
      <c r="G3" s="17">
        <f>A3</f>
        <v>102</v>
      </c>
      <c r="H3" s="13" t="str">
        <f t="shared" ref="H3:H89" si="1">"GachaTop_"&amp;A3&amp;".png"</f>
        <v>GachaTop_102.png</v>
      </c>
      <c r="I3" s="23">
        <v>1</v>
      </c>
      <c r="J3" s="23">
        <f t="shared" si="0"/>
        <v>102</v>
      </c>
      <c r="K3" s="23">
        <v>1</v>
      </c>
      <c r="L3" s="55" t="s">
        <v>813</v>
      </c>
      <c r="M3" s="55" t="s">
        <v>814</v>
      </c>
      <c r="N3" s="2" t="s">
        <v>118</v>
      </c>
      <c r="O3" s="2"/>
      <c r="P3" s="2"/>
      <c r="Q3" s="26" t="s">
        <v>166</v>
      </c>
    </row>
    <row r="4" spans="1:17" ht="28" x14ac:dyDescent="0.15">
      <c r="A4" s="15">
        <v>103</v>
      </c>
      <c r="B4" s="2">
        <v>3</v>
      </c>
      <c r="C4" s="2" t="s">
        <v>44</v>
      </c>
      <c r="D4" s="2">
        <v>100</v>
      </c>
      <c r="E4" s="17" t="str">
        <f>VLOOKUP($D4,gacha_types!$A:$D,2,FALSE)</f>
        <v>polygon</v>
      </c>
      <c r="F4" s="17">
        <f>VLOOKUP($D4,gacha_types!$A:$D,3,FALSE)</f>
        <v>5</v>
      </c>
      <c r="G4" s="17">
        <f t="shared" ref="G4:G90" si="2">A4</f>
        <v>103</v>
      </c>
      <c r="H4" s="13" t="str">
        <f t="shared" si="1"/>
        <v>GachaTop_103.png</v>
      </c>
      <c r="I4" s="23">
        <v>1</v>
      </c>
      <c r="J4" s="23">
        <f t="shared" si="0"/>
        <v>103</v>
      </c>
      <c r="K4" s="23">
        <v>1</v>
      </c>
      <c r="L4" s="55" t="s">
        <v>813</v>
      </c>
      <c r="M4" s="55" t="s">
        <v>814</v>
      </c>
      <c r="N4" s="2" t="s">
        <v>118</v>
      </c>
      <c r="O4" s="2"/>
      <c r="P4" s="2"/>
      <c r="Q4" s="26" t="s">
        <v>167</v>
      </c>
    </row>
    <row r="5" spans="1:17" ht="42" x14ac:dyDescent="0.15">
      <c r="A5" s="6">
        <v>104</v>
      </c>
      <c r="B5" s="2">
        <v>3</v>
      </c>
      <c r="C5" s="2" t="s">
        <v>34</v>
      </c>
      <c r="D5" s="2">
        <v>100</v>
      </c>
      <c r="E5" s="17" t="str">
        <f>VLOOKUP($D5,gacha_types!$A:$D,2,FALSE)</f>
        <v>polygon</v>
      </c>
      <c r="F5" s="17">
        <f>VLOOKUP($D5,gacha_types!$A:$D,3,FALSE)</f>
        <v>5</v>
      </c>
      <c r="G5" s="17">
        <f t="shared" si="2"/>
        <v>104</v>
      </c>
      <c r="H5" s="13" t="str">
        <f t="shared" ref="H5:H6" si="3">"GachaTop_"&amp;A5&amp;".png"</f>
        <v>GachaTop_104.png</v>
      </c>
      <c r="I5" s="23">
        <v>1</v>
      </c>
      <c r="J5" s="23">
        <f t="shared" si="0"/>
        <v>104</v>
      </c>
      <c r="K5" s="23">
        <v>1</v>
      </c>
      <c r="L5" s="55" t="s">
        <v>813</v>
      </c>
      <c r="M5" s="55" t="s">
        <v>814</v>
      </c>
      <c r="N5" s="2" t="s">
        <v>118</v>
      </c>
      <c r="O5" s="2"/>
      <c r="P5" s="2"/>
      <c r="Q5" s="26" t="s">
        <v>168</v>
      </c>
    </row>
    <row r="6" spans="1:17" ht="42" x14ac:dyDescent="0.15">
      <c r="A6" s="6">
        <v>105</v>
      </c>
      <c r="B6" s="2">
        <v>3</v>
      </c>
      <c r="C6" s="2" t="s">
        <v>35</v>
      </c>
      <c r="D6" s="2">
        <v>100</v>
      </c>
      <c r="E6" s="17" t="str">
        <f>VLOOKUP($D6,gacha_types!$A:$D,2,FALSE)</f>
        <v>polygon</v>
      </c>
      <c r="F6" s="17">
        <f>VLOOKUP($D6,gacha_types!$A:$D,3,FALSE)</f>
        <v>5</v>
      </c>
      <c r="G6" s="17">
        <f t="shared" si="2"/>
        <v>105</v>
      </c>
      <c r="H6" s="13" t="str">
        <f t="shared" si="3"/>
        <v>GachaTop_105.png</v>
      </c>
      <c r="I6" s="23">
        <v>1</v>
      </c>
      <c r="J6" s="23">
        <f t="shared" si="0"/>
        <v>105</v>
      </c>
      <c r="K6" s="23">
        <v>1</v>
      </c>
      <c r="L6" s="55" t="s">
        <v>813</v>
      </c>
      <c r="M6" s="55" t="s">
        <v>814</v>
      </c>
      <c r="N6" s="2" t="s">
        <v>118</v>
      </c>
      <c r="O6" s="2"/>
      <c r="P6" s="2"/>
      <c r="Q6" s="26" t="s">
        <v>168</v>
      </c>
    </row>
    <row r="7" spans="1:17" ht="42" x14ac:dyDescent="0.15">
      <c r="A7" s="6">
        <v>106</v>
      </c>
      <c r="B7" s="2">
        <v>3</v>
      </c>
      <c r="C7" s="2" t="s">
        <v>36</v>
      </c>
      <c r="D7" s="2">
        <v>100</v>
      </c>
      <c r="E7" s="17" t="str">
        <f>VLOOKUP($D7,gacha_types!$A:$D,2,FALSE)</f>
        <v>polygon</v>
      </c>
      <c r="F7" s="17">
        <f>VLOOKUP($D7,gacha_types!$A:$D,3,FALSE)</f>
        <v>5</v>
      </c>
      <c r="G7" s="17">
        <f t="shared" si="2"/>
        <v>106</v>
      </c>
      <c r="H7" s="13" t="str">
        <f t="shared" ref="H7" si="4">"GachaTop_"&amp;A7&amp;".png"</f>
        <v>GachaTop_106.png</v>
      </c>
      <c r="I7" s="23">
        <v>1</v>
      </c>
      <c r="J7" s="23">
        <f t="shared" si="0"/>
        <v>106</v>
      </c>
      <c r="K7" s="23">
        <v>1</v>
      </c>
      <c r="L7" s="55" t="s">
        <v>813</v>
      </c>
      <c r="M7" s="55" t="s">
        <v>814</v>
      </c>
      <c r="N7" s="2" t="s">
        <v>118</v>
      </c>
      <c r="O7" s="2"/>
      <c r="P7" s="2"/>
      <c r="Q7" s="26" t="s">
        <v>168</v>
      </c>
    </row>
    <row r="8" spans="1:17" ht="28" x14ac:dyDescent="0.15">
      <c r="A8" s="6">
        <v>107</v>
      </c>
      <c r="B8" s="2">
        <v>3</v>
      </c>
      <c r="C8" s="2" t="s">
        <v>43</v>
      </c>
      <c r="D8" s="2">
        <v>100</v>
      </c>
      <c r="E8" s="17" t="str">
        <f>VLOOKUP($D8,gacha_types!$A:$D,2,FALSE)</f>
        <v>polygon</v>
      </c>
      <c r="F8" s="17">
        <f>VLOOKUP($D8,gacha_types!$A:$D,3,FALSE)</f>
        <v>5</v>
      </c>
      <c r="G8" s="17">
        <f t="shared" si="2"/>
        <v>107</v>
      </c>
      <c r="H8" s="13" t="str">
        <f t="shared" ref="H8:H9" si="5">"GachaTop_"&amp;A8&amp;".png"</f>
        <v>GachaTop_107.png</v>
      </c>
      <c r="I8" s="23">
        <v>1</v>
      </c>
      <c r="J8" s="23">
        <f t="shared" si="0"/>
        <v>107</v>
      </c>
      <c r="K8" s="23">
        <v>1</v>
      </c>
      <c r="L8" s="55" t="s">
        <v>813</v>
      </c>
      <c r="M8" s="55" t="s">
        <v>814</v>
      </c>
      <c r="N8" s="2" t="s">
        <v>118</v>
      </c>
      <c r="O8" s="2"/>
      <c r="P8" s="2"/>
      <c r="Q8" s="26" t="s">
        <v>167</v>
      </c>
    </row>
    <row r="9" spans="1:17" ht="28" x14ac:dyDescent="0.15">
      <c r="A9" s="6">
        <v>108</v>
      </c>
      <c r="B9" s="2">
        <v>3</v>
      </c>
      <c r="C9" s="2" t="s">
        <v>37</v>
      </c>
      <c r="D9" s="2">
        <v>100</v>
      </c>
      <c r="E9" s="17" t="str">
        <f>VLOOKUP($D9,gacha_types!$A:$D,2,FALSE)</f>
        <v>polygon</v>
      </c>
      <c r="F9" s="17">
        <f>VLOOKUP($D9,gacha_types!$A:$D,3,FALSE)</f>
        <v>5</v>
      </c>
      <c r="G9" s="17">
        <f t="shared" si="2"/>
        <v>108</v>
      </c>
      <c r="H9" s="13" t="str">
        <f t="shared" si="5"/>
        <v>GachaTop_108.png</v>
      </c>
      <c r="I9" s="23">
        <v>1</v>
      </c>
      <c r="J9" s="23">
        <f t="shared" si="0"/>
        <v>108</v>
      </c>
      <c r="K9" s="23">
        <v>1</v>
      </c>
      <c r="L9" s="55" t="s">
        <v>813</v>
      </c>
      <c r="M9" s="55" t="s">
        <v>814</v>
      </c>
      <c r="N9" s="2" t="s">
        <v>118</v>
      </c>
      <c r="O9" s="2"/>
      <c r="P9" s="2"/>
      <c r="Q9" s="26" t="s">
        <v>169</v>
      </c>
    </row>
    <row r="10" spans="1:17" ht="28" x14ac:dyDescent="0.15">
      <c r="A10" s="6">
        <v>109</v>
      </c>
      <c r="B10" s="2">
        <v>3</v>
      </c>
      <c r="C10" s="2" t="s">
        <v>46</v>
      </c>
      <c r="D10" s="2">
        <v>100</v>
      </c>
      <c r="E10" s="17" t="str">
        <f>VLOOKUP($D10,gacha_types!$A:$D,2,FALSE)</f>
        <v>polygon</v>
      </c>
      <c r="F10" s="17">
        <f>VLOOKUP($D10,gacha_types!$A:$D,3,FALSE)</f>
        <v>5</v>
      </c>
      <c r="G10" s="17">
        <f t="shared" si="2"/>
        <v>109</v>
      </c>
      <c r="H10" s="13" t="str">
        <f t="shared" ref="H10" si="6">"GachaTop_"&amp;A10&amp;".png"</f>
        <v>GachaTop_109.png</v>
      </c>
      <c r="I10" s="23">
        <v>1</v>
      </c>
      <c r="J10" s="23">
        <f t="shared" si="0"/>
        <v>109</v>
      </c>
      <c r="K10" s="23">
        <v>1</v>
      </c>
      <c r="L10" s="55" t="s">
        <v>813</v>
      </c>
      <c r="M10" s="55" t="s">
        <v>814</v>
      </c>
      <c r="N10" s="2" t="s">
        <v>118</v>
      </c>
      <c r="O10" s="2"/>
      <c r="P10" s="2"/>
      <c r="Q10" s="26" t="s">
        <v>169</v>
      </c>
    </row>
    <row r="11" spans="1:17" ht="28" x14ac:dyDescent="0.15">
      <c r="A11" s="6">
        <v>110</v>
      </c>
      <c r="B11" s="2">
        <v>3</v>
      </c>
      <c r="C11" s="2" t="s">
        <v>47</v>
      </c>
      <c r="D11" s="2">
        <v>100</v>
      </c>
      <c r="E11" s="17" t="str">
        <f>VLOOKUP($D11,gacha_types!$A:$D,2,FALSE)</f>
        <v>polygon</v>
      </c>
      <c r="F11" s="17">
        <f>VLOOKUP($D11,gacha_types!$A:$D,3,FALSE)</f>
        <v>5</v>
      </c>
      <c r="G11" s="17">
        <f t="shared" si="2"/>
        <v>110</v>
      </c>
      <c r="H11" s="13" t="str">
        <f>"GachaTop_"&amp;A11&amp;".png"</f>
        <v>GachaTop_110.png</v>
      </c>
      <c r="I11" s="23">
        <v>1</v>
      </c>
      <c r="J11" s="23">
        <f t="shared" si="0"/>
        <v>110</v>
      </c>
      <c r="K11" s="23">
        <v>1</v>
      </c>
      <c r="L11" s="55" t="s">
        <v>813</v>
      </c>
      <c r="M11" s="55" t="s">
        <v>814</v>
      </c>
      <c r="N11" s="2" t="s">
        <v>118</v>
      </c>
      <c r="O11" s="2"/>
      <c r="P11" s="2"/>
      <c r="Q11" s="26" t="s">
        <v>169</v>
      </c>
    </row>
    <row r="12" spans="1:17" ht="28" x14ac:dyDescent="0.15">
      <c r="A12" s="6">
        <v>111</v>
      </c>
      <c r="B12" s="2">
        <v>3</v>
      </c>
      <c r="C12" s="2" t="s">
        <v>40</v>
      </c>
      <c r="D12" s="2">
        <v>100</v>
      </c>
      <c r="E12" s="17" t="str">
        <f>VLOOKUP($D12,gacha_types!$A:$D,2,FALSE)</f>
        <v>polygon</v>
      </c>
      <c r="F12" s="17">
        <f>VLOOKUP($D12,gacha_types!$A:$D,3,FALSE)</f>
        <v>5</v>
      </c>
      <c r="G12" s="17">
        <f t="shared" si="2"/>
        <v>111</v>
      </c>
      <c r="H12" s="13" t="str">
        <f>"GachaTop_"&amp;A12&amp;"_2.png"</f>
        <v>GachaTop_111_2.png</v>
      </c>
      <c r="I12" s="23">
        <v>1</v>
      </c>
      <c r="J12" s="23">
        <f t="shared" si="0"/>
        <v>111</v>
      </c>
      <c r="K12" s="23">
        <v>1</v>
      </c>
      <c r="L12" s="55" t="s">
        <v>813</v>
      </c>
      <c r="M12" s="55" t="s">
        <v>814</v>
      </c>
      <c r="N12" s="2" t="s">
        <v>118</v>
      </c>
      <c r="O12" s="2"/>
      <c r="P12" s="2"/>
      <c r="Q12" s="26" t="s">
        <v>170</v>
      </c>
    </row>
    <row r="13" spans="1:17" ht="28" x14ac:dyDescent="0.15">
      <c r="A13" s="6">
        <v>112</v>
      </c>
      <c r="B13" s="2">
        <v>3</v>
      </c>
      <c r="C13" s="2" t="s">
        <v>41</v>
      </c>
      <c r="D13" s="2">
        <v>100</v>
      </c>
      <c r="E13" s="17" t="str">
        <f>VLOOKUP($D13,gacha_types!$A:$D,2,FALSE)</f>
        <v>polygon</v>
      </c>
      <c r="F13" s="17">
        <f>VLOOKUP($D13,gacha_types!$A:$D,3,FALSE)</f>
        <v>5</v>
      </c>
      <c r="G13" s="17">
        <f t="shared" si="2"/>
        <v>112</v>
      </c>
      <c r="H13" s="13" t="str">
        <f>"GachaTop_"&amp;A13&amp;"_2.png"</f>
        <v>GachaTop_112_2.png</v>
      </c>
      <c r="I13" s="23">
        <v>1</v>
      </c>
      <c r="J13" s="23">
        <f t="shared" si="0"/>
        <v>112</v>
      </c>
      <c r="K13" s="23">
        <v>1</v>
      </c>
      <c r="L13" s="55" t="s">
        <v>813</v>
      </c>
      <c r="M13" s="55" t="s">
        <v>814</v>
      </c>
      <c r="N13" s="2" t="s">
        <v>118</v>
      </c>
      <c r="O13" s="2"/>
      <c r="P13" s="2"/>
      <c r="Q13" s="26" t="s">
        <v>170</v>
      </c>
    </row>
    <row r="14" spans="1:17" ht="28" x14ac:dyDescent="0.15">
      <c r="A14" s="6">
        <v>113</v>
      </c>
      <c r="B14" s="2">
        <v>3</v>
      </c>
      <c r="C14" s="2" t="s">
        <v>42</v>
      </c>
      <c r="D14" s="2">
        <v>100</v>
      </c>
      <c r="E14" s="17" t="str">
        <f>VLOOKUP($D14,gacha_types!$A:$D,2,FALSE)</f>
        <v>polygon</v>
      </c>
      <c r="F14" s="17">
        <f>VLOOKUP($D14,gacha_types!$A:$D,3,FALSE)</f>
        <v>5</v>
      </c>
      <c r="G14" s="17">
        <f t="shared" si="2"/>
        <v>113</v>
      </c>
      <c r="H14" s="13" t="str">
        <f>"GachaTop_"&amp;A14&amp;"_2.png"</f>
        <v>GachaTop_113_2.png</v>
      </c>
      <c r="I14" s="23">
        <v>1</v>
      </c>
      <c r="J14" s="23">
        <f t="shared" si="0"/>
        <v>113</v>
      </c>
      <c r="K14" s="23">
        <v>1</v>
      </c>
      <c r="L14" s="55" t="s">
        <v>813</v>
      </c>
      <c r="M14" s="55" t="s">
        <v>814</v>
      </c>
      <c r="N14" s="2" t="s">
        <v>118</v>
      </c>
      <c r="O14" s="2"/>
      <c r="P14" s="2"/>
      <c r="Q14" s="26" t="s">
        <v>170</v>
      </c>
    </row>
    <row r="15" spans="1:17" ht="28" x14ac:dyDescent="0.15">
      <c r="A15" s="6">
        <v>114</v>
      </c>
      <c r="B15" s="2">
        <v>3</v>
      </c>
      <c r="C15" s="2" t="s">
        <v>56</v>
      </c>
      <c r="D15" s="2">
        <v>100</v>
      </c>
      <c r="E15" s="17" t="str">
        <f>VLOOKUP($D15,gacha_types!$A:$D,2,FALSE)</f>
        <v>polygon</v>
      </c>
      <c r="F15" s="17">
        <f>VLOOKUP($D15,gacha_types!$A:$D,3,FALSE)</f>
        <v>5</v>
      </c>
      <c r="G15" s="17">
        <f t="shared" si="2"/>
        <v>114</v>
      </c>
      <c r="H15" s="13" t="str">
        <f>"GachaTop_"&amp;A15&amp;".png"</f>
        <v>GachaTop_114.png</v>
      </c>
      <c r="I15" s="23">
        <v>1</v>
      </c>
      <c r="J15" s="23">
        <f t="shared" si="0"/>
        <v>114</v>
      </c>
      <c r="K15" s="23">
        <v>1</v>
      </c>
      <c r="L15" s="55" t="s">
        <v>813</v>
      </c>
      <c r="M15" s="55" t="s">
        <v>814</v>
      </c>
      <c r="N15" s="2" t="s">
        <v>118</v>
      </c>
      <c r="O15" s="2"/>
      <c r="P15" s="2"/>
      <c r="Q15" s="26" t="s">
        <v>171</v>
      </c>
    </row>
    <row r="16" spans="1:17" ht="28" x14ac:dyDescent="0.15">
      <c r="A16" s="6">
        <v>115</v>
      </c>
      <c r="B16" s="2">
        <v>3</v>
      </c>
      <c r="C16" s="2" t="s">
        <v>45</v>
      </c>
      <c r="D16" s="2">
        <v>100</v>
      </c>
      <c r="E16" s="17" t="str">
        <f>VLOOKUP($D16,gacha_types!$A:$D,2,FALSE)</f>
        <v>polygon</v>
      </c>
      <c r="F16" s="17">
        <f>VLOOKUP($D16,gacha_types!$A:$D,3,FALSE)</f>
        <v>5</v>
      </c>
      <c r="G16" s="17">
        <f t="shared" si="2"/>
        <v>115</v>
      </c>
      <c r="H16" s="13" t="str">
        <f t="shared" ref="H16:H20" si="7">"GachaTop_"&amp;A16&amp;".png"</f>
        <v>GachaTop_115.png</v>
      </c>
      <c r="I16" s="23">
        <v>1</v>
      </c>
      <c r="J16" s="23">
        <f t="shared" si="0"/>
        <v>115</v>
      </c>
      <c r="K16" s="23">
        <v>1</v>
      </c>
      <c r="L16" s="55" t="s">
        <v>813</v>
      </c>
      <c r="M16" s="55" t="s">
        <v>814</v>
      </c>
      <c r="N16" s="2" t="s">
        <v>118</v>
      </c>
      <c r="O16" s="2"/>
      <c r="P16" s="2"/>
      <c r="Q16" s="26" t="s">
        <v>172</v>
      </c>
    </row>
    <row r="17" spans="1:17" ht="28" x14ac:dyDescent="0.15">
      <c r="A17" s="6">
        <v>116</v>
      </c>
      <c r="B17" s="2">
        <v>3</v>
      </c>
      <c r="C17" s="2" t="s">
        <v>48</v>
      </c>
      <c r="D17" s="2">
        <v>100</v>
      </c>
      <c r="E17" s="17" t="str">
        <f>VLOOKUP($D17,gacha_types!$A:$D,2,FALSE)</f>
        <v>polygon</v>
      </c>
      <c r="F17" s="17">
        <f>VLOOKUP($D17,gacha_types!$A:$D,3,FALSE)</f>
        <v>5</v>
      </c>
      <c r="G17" s="17">
        <f t="shared" si="2"/>
        <v>116</v>
      </c>
      <c r="H17" s="13" t="str">
        <f t="shared" si="7"/>
        <v>GachaTop_116.png</v>
      </c>
      <c r="I17" s="23">
        <v>1</v>
      </c>
      <c r="J17" s="23">
        <f t="shared" si="0"/>
        <v>116</v>
      </c>
      <c r="K17" s="23">
        <v>1</v>
      </c>
      <c r="L17" s="55" t="s">
        <v>813</v>
      </c>
      <c r="M17" s="55" t="s">
        <v>814</v>
      </c>
      <c r="N17" s="2" t="s">
        <v>118</v>
      </c>
      <c r="O17" s="2"/>
      <c r="P17" s="2"/>
      <c r="Q17" s="26" t="s">
        <v>172</v>
      </c>
    </row>
    <row r="18" spans="1:17" ht="28" x14ac:dyDescent="0.15">
      <c r="A18" s="6">
        <v>117</v>
      </c>
      <c r="B18" s="2">
        <v>3</v>
      </c>
      <c r="C18" s="2" t="s">
        <v>49</v>
      </c>
      <c r="D18" s="2">
        <v>100</v>
      </c>
      <c r="E18" s="17" t="str">
        <f>VLOOKUP($D18,gacha_types!$A:$D,2,FALSE)</f>
        <v>polygon</v>
      </c>
      <c r="F18" s="17">
        <f>VLOOKUP($D18,gacha_types!$A:$D,3,FALSE)</f>
        <v>5</v>
      </c>
      <c r="G18" s="17">
        <f t="shared" si="2"/>
        <v>117</v>
      </c>
      <c r="H18" s="13" t="str">
        <f>"GachaTop_"&amp;A18&amp;".png"</f>
        <v>GachaTop_117.png</v>
      </c>
      <c r="I18" s="23">
        <v>1</v>
      </c>
      <c r="J18" s="23">
        <f t="shared" si="0"/>
        <v>117</v>
      </c>
      <c r="K18" s="23">
        <v>1</v>
      </c>
      <c r="L18" s="55" t="s">
        <v>813</v>
      </c>
      <c r="M18" s="55" t="s">
        <v>814</v>
      </c>
      <c r="N18" s="2" t="s">
        <v>118</v>
      </c>
      <c r="O18" s="2"/>
      <c r="P18" s="2"/>
      <c r="Q18" s="26" t="s">
        <v>172</v>
      </c>
    </row>
    <row r="19" spans="1:17" ht="28" x14ac:dyDescent="0.15">
      <c r="A19" s="6">
        <v>118</v>
      </c>
      <c r="B19" s="2">
        <v>3</v>
      </c>
      <c r="C19" s="2" t="s">
        <v>50</v>
      </c>
      <c r="D19" s="2">
        <v>100</v>
      </c>
      <c r="E19" s="17" t="str">
        <f>VLOOKUP($D19,gacha_types!$A:$D,2,FALSE)</f>
        <v>polygon</v>
      </c>
      <c r="F19" s="17">
        <f>VLOOKUP($D19,gacha_types!$A:$D,3,FALSE)</f>
        <v>5</v>
      </c>
      <c r="G19" s="17">
        <f t="shared" si="2"/>
        <v>118</v>
      </c>
      <c r="H19" s="13" t="str">
        <f t="shared" si="7"/>
        <v>GachaTop_118.png</v>
      </c>
      <c r="I19" s="23">
        <v>1</v>
      </c>
      <c r="J19" s="23">
        <f t="shared" si="0"/>
        <v>118</v>
      </c>
      <c r="K19" s="23">
        <v>1</v>
      </c>
      <c r="L19" s="55" t="s">
        <v>813</v>
      </c>
      <c r="M19" s="55" t="s">
        <v>814</v>
      </c>
      <c r="N19" s="2" t="s">
        <v>118</v>
      </c>
      <c r="O19" s="2"/>
      <c r="P19" s="2"/>
      <c r="Q19" s="26" t="s">
        <v>173</v>
      </c>
    </row>
    <row r="20" spans="1:17" ht="28" x14ac:dyDescent="0.15">
      <c r="A20" s="6">
        <v>119</v>
      </c>
      <c r="B20" s="2">
        <v>3</v>
      </c>
      <c r="C20" s="2" t="s">
        <v>51</v>
      </c>
      <c r="D20" s="2">
        <v>100</v>
      </c>
      <c r="E20" s="17" t="str">
        <f>VLOOKUP($D20,gacha_types!$A:$D,2,FALSE)</f>
        <v>polygon</v>
      </c>
      <c r="F20" s="17">
        <f>VLOOKUP($D20,gacha_types!$A:$D,3,FALSE)</f>
        <v>5</v>
      </c>
      <c r="G20" s="17">
        <f t="shared" si="2"/>
        <v>119</v>
      </c>
      <c r="H20" s="13" t="str">
        <f t="shared" si="7"/>
        <v>GachaTop_119.png</v>
      </c>
      <c r="I20" s="23">
        <v>1</v>
      </c>
      <c r="J20" s="23">
        <f t="shared" si="0"/>
        <v>119</v>
      </c>
      <c r="K20" s="23">
        <v>1</v>
      </c>
      <c r="L20" s="55" t="s">
        <v>813</v>
      </c>
      <c r="M20" s="55" t="s">
        <v>814</v>
      </c>
      <c r="N20" s="2" t="s">
        <v>118</v>
      </c>
      <c r="O20" s="2"/>
      <c r="P20" s="2"/>
      <c r="Q20" s="26" t="s">
        <v>173</v>
      </c>
    </row>
    <row r="21" spans="1:17" ht="28" x14ac:dyDescent="0.15">
      <c r="A21" s="6">
        <v>120</v>
      </c>
      <c r="B21" s="2">
        <v>3</v>
      </c>
      <c r="C21" s="2" t="s">
        <v>52</v>
      </c>
      <c r="D21" s="2">
        <v>100</v>
      </c>
      <c r="E21" s="17" t="str">
        <f>VLOOKUP($D21,gacha_types!$A:$D,2,FALSE)</f>
        <v>polygon</v>
      </c>
      <c r="F21" s="17">
        <f>VLOOKUP($D21,gacha_types!$A:$D,3,FALSE)</f>
        <v>5</v>
      </c>
      <c r="G21" s="17">
        <f t="shared" si="2"/>
        <v>120</v>
      </c>
      <c r="H21" s="13" t="str">
        <f>"GachaTop_"&amp;A21&amp;".png"</f>
        <v>GachaTop_120.png</v>
      </c>
      <c r="I21" s="23">
        <v>1</v>
      </c>
      <c r="J21" s="23">
        <f t="shared" si="0"/>
        <v>120</v>
      </c>
      <c r="K21" s="23">
        <v>1</v>
      </c>
      <c r="L21" s="55" t="s">
        <v>813</v>
      </c>
      <c r="M21" s="55" t="s">
        <v>814</v>
      </c>
      <c r="N21" s="2" t="s">
        <v>118</v>
      </c>
      <c r="O21" s="2"/>
      <c r="P21" s="2"/>
      <c r="Q21" s="26" t="s">
        <v>173</v>
      </c>
    </row>
    <row r="22" spans="1:17" ht="28" x14ac:dyDescent="0.15">
      <c r="A22" s="6">
        <v>121</v>
      </c>
      <c r="B22" s="2">
        <v>3</v>
      </c>
      <c r="C22" s="2" t="s">
        <v>133</v>
      </c>
      <c r="D22" s="2">
        <v>100</v>
      </c>
      <c r="E22" s="17" t="str">
        <f>VLOOKUP($D22,gacha_types!$A:$D,2,FALSE)</f>
        <v>polygon</v>
      </c>
      <c r="F22" s="17">
        <f>VLOOKUP($D22,gacha_types!$A:$D,3,FALSE)</f>
        <v>5</v>
      </c>
      <c r="G22" s="17">
        <f t="shared" si="2"/>
        <v>121</v>
      </c>
      <c r="H22" s="13" t="str">
        <f t="shared" ref="H22" si="8">"GachaTop_"&amp;A22&amp;".png"</f>
        <v>GachaTop_121.png</v>
      </c>
      <c r="I22" s="23">
        <v>1</v>
      </c>
      <c r="J22" s="23">
        <f t="shared" si="0"/>
        <v>121</v>
      </c>
      <c r="K22" s="23">
        <v>1</v>
      </c>
      <c r="L22" s="55" t="s">
        <v>813</v>
      </c>
      <c r="M22" s="55" t="s">
        <v>814</v>
      </c>
      <c r="N22" s="2" t="s">
        <v>118</v>
      </c>
      <c r="O22" s="2"/>
      <c r="P22" s="2"/>
      <c r="Q22" s="26" t="s">
        <v>175</v>
      </c>
    </row>
    <row r="23" spans="1:17" ht="28" x14ac:dyDescent="0.15">
      <c r="A23" s="6">
        <v>122</v>
      </c>
      <c r="B23" s="2">
        <v>3</v>
      </c>
      <c r="C23" s="2" t="s">
        <v>53</v>
      </c>
      <c r="D23" s="2">
        <v>100</v>
      </c>
      <c r="E23" s="17" t="str">
        <f>VLOOKUP($D23,gacha_types!$A:$D,2,FALSE)</f>
        <v>polygon</v>
      </c>
      <c r="F23" s="17">
        <f>VLOOKUP($D23,gacha_types!$A:$D,3,FALSE)</f>
        <v>5</v>
      </c>
      <c r="G23" s="17">
        <f t="shared" si="2"/>
        <v>122</v>
      </c>
      <c r="H23" s="13" t="str">
        <f>"GachaTop_"&amp;A23&amp;".png"</f>
        <v>GachaTop_122.png</v>
      </c>
      <c r="I23" s="23">
        <v>1</v>
      </c>
      <c r="J23" s="23">
        <f t="shared" si="0"/>
        <v>122</v>
      </c>
      <c r="K23" s="23">
        <v>1</v>
      </c>
      <c r="L23" s="55" t="s">
        <v>813</v>
      </c>
      <c r="M23" s="55" t="s">
        <v>814</v>
      </c>
      <c r="N23" s="2" t="s">
        <v>118</v>
      </c>
      <c r="O23" s="2"/>
      <c r="P23" s="2"/>
      <c r="Q23" s="26" t="s">
        <v>171</v>
      </c>
    </row>
    <row r="24" spans="1:17" ht="28" x14ac:dyDescent="0.15">
      <c r="A24" s="6">
        <v>123</v>
      </c>
      <c r="B24" s="2">
        <v>3</v>
      </c>
      <c r="C24" s="2" t="s">
        <v>54</v>
      </c>
      <c r="D24" s="2">
        <v>100</v>
      </c>
      <c r="E24" s="17" t="str">
        <f>VLOOKUP($D24,gacha_types!$A:$D,2,FALSE)</f>
        <v>polygon</v>
      </c>
      <c r="F24" s="17">
        <f>VLOOKUP($D24,gacha_types!$A:$D,3,FALSE)</f>
        <v>5</v>
      </c>
      <c r="G24" s="17">
        <f t="shared" si="2"/>
        <v>123</v>
      </c>
      <c r="H24" s="13" t="str">
        <f>"GachaTop_"&amp;A24&amp;".png"</f>
        <v>GachaTop_123.png</v>
      </c>
      <c r="I24" s="23">
        <v>1</v>
      </c>
      <c r="J24" s="23">
        <f t="shared" si="0"/>
        <v>123</v>
      </c>
      <c r="K24" s="23">
        <v>1</v>
      </c>
      <c r="L24" s="55" t="s">
        <v>813</v>
      </c>
      <c r="M24" s="55" t="s">
        <v>814</v>
      </c>
      <c r="N24" s="2" t="s">
        <v>118</v>
      </c>
      <c r="O24" s="2"/>
      <c r="P24" s="2"/>
      <c r="Q24" s="26" t="s">
        <v>171</v>
      </c>
    </row>
    <row r="25" spans="1:17" ht="28" x14ac:dyDescent="0.15">
      <c r="A25" s="6">
        <v>124</v>
      </c>
      <c r="B25" s="2">
        <v>3</v>
      </c>
      <c r="C25" s="2" t="s">
        <v>55</v>
      </c>
      <c r="D25" s="2">
        <v>100</v>
      </c>
      <c r="E25" s="17" t="str">
        <f>VLOOKUP($D25,gacha_types!$A:$D,2,FALSE)</f>
        <v>polygon</v>
      </c>
      <c r="F25" s="17">
        <f>VLOOKUP($D25,gacha_types!$A:$D,3,FALSE)</f>
        <v>5</v>
      </c>
      <c r="G25" s="17">
        <f t="shared" si="2"/>
        <v>124</v>
      </c>
      <c r="H25" s="13" t="str">
        <f t="shared" ref="H25:H27" si="9">"GachaTop_"&amp;A25&amp;".png"</f>
        <v>GachaTop_124.png</v>
      </c>
      <c r="I25" s="23">
        <v>1</v>
      </c>
      <c r="J25" s="23">
        <f t="shared" si="0"/>
        <v>124</v>
      </c>
      <c r="K25" s="23">
        <v>1</v>
      </c>
      <c r="L25" s="55" t="s">
        <v>813</v>
      </c>
      <c r="M25" s="55" t="s">
        <v>814</v>
      </c>
      <c r="N25" s="2" t="s">
        <v>118</v>
      </c>
      <c r="O25" s="2"/>
      <c r="P25" s="2"/>
      <c r="Q25" s="26" t="s">
        <v>167</v>
      </c>
    </row>
    <row r="26" spans="1:17" ht="28" x14ac:dyDescent="0.15">
      <c r="A26" s="6">
        <v>125</v>
      </c>
      <c r="B26" s="2">
        <v>3</v>
      </c>
      <c r="C26" s="2" t="s">
        <v>119</v>
      </c>
      <c r="D26" s="2">
        <v>100</v>
      </c>
      <c r="E26" s="17" t="str">
        <f>VLOOKUP($D26,gacha_types!$A:$D,2,FALSE)</f>
        <v>polygon</v>
      </c>
      <c r="F26" s="17">
        <f>VLOOKUP($D26,gacha_types!$A:$D,3,FALSE)</f>
        <v>5</v>
      </c>
      <c r="G26" s="17">
        <f t="shared" ref="G26:G27" si="10">A26</f>
        <v>125</v>
      </c>
      <c r="H26" s="13" t="str">
        <f t="shared" si="9"/>
        <v>GachaTop_125.png</v>
      </c>
      <c r="I26" s="23">
        <v>1</v>
      </c>
      <c r="J26" s="23">
        <f t="shared" si="0"/>
        <v>125</v>
      </c>
      <c r="K26" s="23">
        <v>1</v>
      </c>
      <c r="L26" s="55" t="s">
        <v>813</v>
      </c>
      <c r="M26" s="55" t="s">
        <v>814</v>
      </c>
      <c r="N26" s="2" t="s">
        <v>118</v>
      </c>
      <c r="O26" s="2"/>
      <c r="P26" s="2"/>
      <c r="Q26" s="27" t="s">
        <v>174</v>
      </c>
    </row>
    <row r="27" spans="1:17" ht="28" x14ac:dyDescent="0.15">
      <c r="A27" s="6">
        <v>126</v>
      </c>
      <c r="B27" s="2">
        <v>3</v>
      </c>
      <c r="C27" s="2" t="s">
        <v>120</v>
      </c>
      <c r="D27" s="2">
        <v>100</v>
      </c>
      <c r="E27" s="17" t="str">
        <f>VLOOKUP($D27,gacha_types!$A:$D,2,FALSE)</f>
        <v>polygon</v>
      </c>
      <c r="F27" s="17">
        <f>VLOOKUP($D27,gacha_types!$A:$D,3,FALSE)</f>
        <v>5</v>
      </c>
      <c r="G27" s="17">
        <f t="shared" si="10"/>
        <v>126</v>
      </c>
      <c r="H27" s="13" t="str">
        <f t="shared" si="9"/>
        <v>GachaTop_126.png</v>
      </c>
      <c r="I27" s="23">
        <v>1</v>
      </c>
      <c r="J27" s="23">
        <f t="shared" si="0"/>
        <v>126</v>
      </c>
      <c r="K27" s="23">
        <v>1</v>
      </c>
      <c r="L27" s="55" t="s">
        <v>813</v>
      </c>
      <c r="M27" s="55" t="s">
        <v>814</v>
      </c>
      <c r="N27" s="2" t="s">
        <v>118</v>
      </c>
      <c r="O27" s="2"/>
      <c r="P27" s="2"/>
      <c r="Q27" s="27" t="s">
        <v>176</v>
      </c>
    </row>
    <row r="28" spans="1:17" ht="28" x14ac:dyDescent="0.15">
      <c r="A28" s="6">
        <v>127</v>
      </c>
      <c r="B28" s="2">
        <v>3</v>
      </c>
      <c r="C28" s="2" t="s">
        <v>121</v>
      </c>
      <c r="D28" s="2">
        <v>100</v>
      </c>
      <c r="E28" s="17" t="str">
        <f>VLOOKUP($D28,gacha_types!$A:$D,2,FALSE)</f>
        <v>polygon</v>
      </c>
      <c r="F28" s="17">
        <f>VLOOKUP($D28,gacha_types!$A:$D,3,FALSE)</f>
        <v>5</v>
      </c>
      <c r="G28" s="17">
        <f t="shared" ref="G28:G33" si="11">A28</f>
        <v>127</v>
      </c>
      <c r="H28" s="13" t="str">
        <f t="shared" ref="H28:H33" si="12">"GachaTop_"&amp;A28&amp;".png"</f>
        <v>GachaTop_127.png</v>
      </c>
      <c r="I28" s="23">
        <v>1</v>
      </c>
      <c r="J28" s="23">
        <f t="shared" si="0"/>
        <v>127</v>
      </c>
      <c r="K28" s="23">
        <v>1</v>
      </c>
      <c r="L28" s="55" t="s">
        <v>813</v>
      </c>
      <c r="M28" s="55" t="s">
        <v>814</v>
      </c>
      <c r="N28" s="2" t="s">
        <v>118</v>
      </c>
      <c r="O28" s="2"/>
      <c r="P28" s="2"/>
      <c r="Q28" s="11" t="s">
        <v>177</v>
      </c>
    </row>
    <row r="29" spans="1:17" ht="28" x14ac:dyDescent="0.15">
      <c r="A29" s="6">
        <v>128</v>
      </c>
      <c r="B29" s="2">
        <v>3</v>
      </c>
      <c r="C29" s="2" t="s">
        <v>122</v>
      </c>
      <c r="D29" s="2">
        <v>100</v>
      </c>
      <c r="E29" s="17" t="str">
        <f>VLOOKUP($D29,gacha_types!$A:$D,2,FALSE)</f>
        <v>polygon</v>
      </c>
      <c r="F29" s="17">
        <f>VLOOKUP($D29,gacha_types!$A:$D,3,FALSE)</f>
        <v>5</v>
      </c>
      <c r="G29" s="17">
        <f t="shared" si="11"/>
        <v>128</v>
      </c>
      <c r="H29" s="13" t="str">
        <f t="shared" si="12"/>
        <v>GachaTop_128.png</v>
      </c>
      <c r="I29" s="23">
        <v>1</v>
      </c>
      <c r="J29" s="23">
        <f t="shared" si="0"/>
        <v>128</v>
      </c>
      <c r="K29" s="23">
        <v>1</v>
      </c>
      <c r="L29" s="55" t="s">
        <v>813</v>
      </c>
      <c r="M29" s="55" t="s">
        <v>814</v>
      </c>
      <c r="N29" s="2" t="s">
        <v>118</v>
      </c>
      <c r="O29" s="2"/>
      <c r="P29" s="2"/>
      <c r="Q29" s="11" t="s">
        <v>177</v>
      </c>
    </row>
    <row r="30" spans="1:17" ht="28" x14ac:dyDescent="0.15">
      <c r="A30" s="6">
        <v>129</v>
      </c>
      <c r="B30" s="2">
        <v>3</v>
      </c>
      <c r="C30" s="2" t="s">
        <v>123</v>
      </c>
      <c r="D30" s="2">
        <v>100</v>
      </c>
      <c r="E30" s="17" t="str">
        <f>VLOOKUP($D30,gacha_types!$A:$D,2,FALSE)</f>
        <v>polygon</v>
      </c>
      <c r="F30" s="17">
        <f>VLOOKUP($D30,gacha_types!$A:$D,3,FALSE)</f>
        <v>5</v>
      </c>
      <c r="G30" s="17">
        <f t="shared" si="11"/>
        <v>129</v>
      </c>
      <c r="H30" s="13" t="str">
        <f t="shared" si="12"/>
        <v>GachaTop_129.png</v>
      </c>
      <c r="I30" s="23">
        <v>1</v>
      </c>
      <c r="J30" s="23">
        <f t="shared" si="0"/>
        <v>129</v>
      </c>
      <c r="K30" s="23">
        <v>1</v>
      </c>
      <c r="L30" s="55" t="s">
        <v>813</v>
      </c>
      <c r="M30" s="55" t="s">
        <v>814</v>
      </c>
      <c r="N30" s="2" t="s">
        <v>118</v>
      </c>
      <c r="O30" s="2"/>
      <c r="P30" s="2"/>
      <c r="Q30" s="11" t="s">
        <v>177</v>
      </c>
    </row>
    <row r="31" spans="1:17" ht="28" x14ac:dyDescent="0.15">
      <c r="A31" s="6">
        <v>130</v>
      </c>
      <c r="B31" s="2">
        <v>3</v>
      </c>
      <c r="C31" s="2" t="s">
        <v>136</v>
      </c>
      <c r="D31" s="2">
        <v>100</v>
      </c>
      <c r="E31" s="17" t="str">
        <f>VLOOKUP($D31,gacha_types!$A:$D,2,FALSE)</f>
        <v>polygon</v>
      </c>
      <c r="F31" s="17">
        <f>VLOOKUP($D31,gacha_types!$A:$D,3,FALSE)</f>
        <v>5</v>
      </c>
      <c r="G31" s="17">
        <f t="shared" si="11"/>
        <v>130</v>
      </c>
      <c r="H31" s="13" t="str">
        <f t="shared" si="12"/>
        <v>GachaTop_130.png</v>
      </c>
      <c r="I31" s="23">
        <v>1</v>
      </c>
      <c r="J31" s="23">
        <f t="shared" si="0"/>
        <v>130</v>
      </c>
      <c r="K31" s="23">
        <v>1</v>
      </c>
      <c r="L31" s="55" t="s">
        <v>813</v>
      </c>
      <c r="M31" s="55" t="s">
        <v>814</v>
      </c>
      <c r="N31" s="2" t="s">
        <v>118</v>
      </c>
      <c r="O31" s="2"/>
      <c r="P31" s="2"/>
      <c r="Q31" s="11" t="s">
        <v>178</v>
      </c>
    </row>
    <row r="32" spans="1:17" ht="28" x14ac:dyDescent="0.15">
      <c r="A32" s="6">
        <v>131</v>
      </c>
      <c r="B32" s="2">
        <v>3</v>
      </c>
      <c r="C32" s="2" t="s">
        <v>137</v>
      </c>
      <c r="D32" s="2">
        <v>100</v>
      </c>
      <c r="E32" s="17" t="str">
        <f>VLOOKUP($D32,gacha_types!$A:$D,2,FALSE)</f>
        <v>polygon</v>
      </c>
      <c r="F32" s="17">
        <f>VLOOKUP($D32,gacha_types!$A:$D,3,FALSE)</f>
        <v>5</v>
      </c>
      <c r="G32" s="17">
        <f t="shared" si="11"/>
        <v>131</v>
      </c>
      <c r="H32" s="13" t="str">
        <f t="shared" si="12"/>
        <v>GachaTop_131.png</v>
      </c>
      <c r="I32" s="23">
        <v>1</v>
      </c>
      <c r="J32" s="23">
        <f t="shared" si="0"/>
        <v>131</v>
      </c>
      <c r="K32" s="23">
        <v>1</v>
      </c>
      <c r="L32" s="55" t="s">
        <v>813</v>
      </c>
      <c r="M32" s="55" t="s">
        <v>814</v>
      </c>
      <c r="N32" s="2" t="s">
        <v>118</v>
      </c>
      <c r="O32" s="2"/>
      <c r="P32" s="2"/>
      <c r="Q32" s="11" t="s">
        <v>179</v>
      </c>
    </row>
    <row r="33" spans="1:18" ht="28" x14ac:dyDescent="0.15">
      <c r="A33" s="6">
        <v>132</v>
      </c>
      <c r="B33" s="2">
        <v>3</v>
      </c>
      <c r="C33" s="2" t="s">
        <v>138</v>
      </c>
      <c r="D33" s="2">
        <v>100</v>
      </c>
      <c r="E33" s="17" t="str">
        <f>VLOOKUP($D33,gacha_types!$A:$D,2,FALSE)</f>
        <v>polygon</v>
      </c>
      <c r="F33" s="17">
        <f>VLOOKUP($D33,gacha_types!$A:$D,3,FALSE)</f>
        <v>5</v>
      </c>
      <c r="G33" s="17">
        <f t="shared" si="11"/>
        <v>132</v>
      </c>
      <c r="H33" s="13" t="str">
        <f t="shared" si="12"/>
        <v>GachaTop_132.png</v>
      </c>
      <c r="I33" s="23">
        <v>1</v>
      </c>
      <c r="J33" s="23">
        <f t="shared" si="0"/>
        <v>132</v>
      </c>
      <c r="K33" s="23">
        <v>1</v>
      </c>
      <c r="L33" s="55" t="s">
        <v>813</v>
      </c>
      <c r="M33" s="55" t="s">
        <v>814</v>
      </c>
      <c r="N33" s="2" t="s">
        <v>118</v>
      </c>
      <c r="O33" s="2"/>
      <c r="P33" s="2"/>
      <c r="Q33" s="11" t="s">
        <v>179</v>
      </c>
    </row>
    <row r="34" spans="1:18" ht="42" x14ac:dyDescent="0.15">
      <c r="A34" s="6">
        <v>133</v>
      </c>
      <c r="B34" s="2">
        <v>3</v>
      </c>
      <c r="C34" s="2" t="s">
        <v>139</v>
      </c>
      <c r="D34" s="2">
        <v>100</v>
      </c>
      <c r="E34" s="17" t="str">
        <f>VLOOKUP($D34,gacha_types!$A:$D,2,FALSE)</f>
        <v>polygon</v>
      </c>
      <c r="F34" s="17">
        <f>VLOOKUP($D34,gacha_types!$A:$D,3,FALSE)</f>
        <v>5</v>
      </c>
      <c r="G34" s="17">
        <f t="shared" ref="G34:G37" si="13">A34</f>
        <v>133</v>
      </c>
      <c r="H34" s="13" t="str">
        <f t="shared" ref="H34:H37" si="14">"GachaTop_"&amp;A34&amp;".png"</f>
        <v>GachaTop_133.png</v>
      </c>
      <c r="I34" s="23">
        <v>1</v>
      </c>
      <c r="J34" s="23">
        <f t="shared" si="0"/>
        <v>133</v>
      </c>
      <c r="K34" s="23">
        <v>1</v>
      </c>
      <c r="L34" s="55" t="s">
        <v>813</v>
      </c>
      <c r="M34" s="55" t="s">
        <v>814</v>
      </c>
      <c r="N34" s="2" t="s">
        <v>118</v>
      </c>
      <c r="O34" s="2"/>
      <c r="P34" s="2"/>
      <c r="Q34" s="26" t="s">
        <v>180</v>
      </c>
    </row>
    <row r="35" spans="1:18" ht="42" x14ac:dyDescent="0.15">
      <c r="A35" s="6">
        <v>134</v>
      </c>
      <c r="B35" s="2">
        <v>3</v>
      </c>
      <c r="C35" s="2" t="s">
        <v>140</v>
      </c>
      <c r="D35" s="2">
        <v>100</v>
      </c>
      <c r="E35" s="17" t="str">
        <f>VLOOKUP($D35,gacha_types!$A:$D,2,FALSE)</f>
        <v>polygon</v>
      </c>
      <c r="F35" s="17">
        <f>VLOOKUP($D35,gacha_types!$A:$D,3,FALSE)</f>
        <v>5</v>
      </c>
      <c r="G35" s="17">
        <f t="shared" si="13"/>
        <v>134</v>
      </c>
      <c r="H35" s="13" t="str">
        <f t="shared" si="14"/>
        <v>GachaTop_134.png</v>
      </c>
      <c r="I35" s="23">
        <v>1</v>
      </c>
      <c r="J35" s="23">
        <f t="shared" si="0"/>
        <v>134</v>
      </c>
      <c r="K35" s="23">
        <v>1</v>
      </c>
      <c r="L35" s="55" t="s">
        <v>813</v>
      </c>
      <c r="M35" s="55" t="s">
        <v>814</v>
      </c>
      <c r="N35" s="2" t="s">
        <v>118</v>
      </c>
      <c r="O35" s="2"/>
      <c r="P35" s="2"/>
      <c r="Q35" s="26" t="s">
        <v>180</v>
      </c>
    </row>
    <row r="36" spans="1:18" ht="42" x14ac:dyDescent="0.15">
      <c r="A36" s="6">
        <v>135</v>
      </c>
      <c r="B36" s="2">
        <v>3</v>
      </c>
      <c r="C36" s="2" t="s">
        <v>141</v>
      </c>
      <c r="D36" s="2">
        <v>100</v>
      </c>
      <c r="E36" s="17" t="str">
        <f>VLOOKUP($D36,gacha_types!$A:$D,2,FALSE)</f>
        <v>polygon</v>
      </c>
      <c r="F36" s="17">
        <f>VLOOKUP($D36,gacha_types!$A:$D,3,FALSE)</f>
        <v>5</v>
      </c>
      <c r="G36" s="17">
        <f t="shared" si="13"/>
        <v>135</v>
      </c>
      <c r="H36" s="13" t="str">
        <f t="shared" si="14"/>
        <v>GachaTop_135.png</v>
      </c>
      <c r="I36" s="23">
        <v>1</v>
      </c>
      <c r="J36" s="23">
        <f t="shared" si="0"/>
        <v>135</v>
      </c>
      <c r="K36" s="23">
        <v>1</v>
      </c>
      <c r="L36" s="55" t="s">
        <v>813</v>
      </c>
      <c r="M36" s="55" t="s">
        <v>814</v>
      </c>
      <c r="N36" s="2" t="s">
        <v>118</v>
      </c>
      <c r="O36" s="2"/>
      <c r="P36" s="2"/>
      <c r="Q36" s="26" t="s">
        <v>180</v>
      </c>
    </row>
    <row r="37" spans="1:18" ht="28" x14ac:dyDescent="0.15">
      <c r="A37" s="6">
        <v>136</v>
      </c>
      <c r="B37" s="2">
        <v>3</v>
      </c>
      <c r="C37" s="2" t="s">
        <v>162</v>
      </c>
      <c r="D37" s="2">
        <v>100</v>
      </c>
      <c r="E37" s="17" t="str">
        <f>VLOOKUP($D37,gacha_types!$A:$D,2,FALSE)</f>
        <v>polygon</v>
      </c>
      <c r="F37" s="17">
        <f>VLOOKUP($D37,gacha_types!$A:$D,3,FALSE)</f>
        <v>5</v>
      </c>
      <c r="G37" s="17">
        <f t="shared" si="13"/>
        <v>136</v>
      </c>
      <c r="H37" s="13" t="str">
        <f t="shared" si="14"/>
        <v>GachaTop_136.png</v>
      </c>
      <c r="I37" s="23">
        <v>1</v>
      </c>
      <c r="J37" s="23">
        <f t="shared" si="0"/>
        <v>136</v>
      </c>
      <c r="K37" s="23">
        <v>1</v>
      </c>
      <c r="L37" s="55" t="s">
        <v>813</v>
      </c>
      <c r="M37" s="55" t="s">
        <v>814</v>
      </c>
      <c r="N37" s="2" t="s">
        <v>118</v>
      </c>
      <c r="O37" s="2"/>
      <c r="P37" s="2"/>
      <c r="Q37" s="11" t="s">
        <v>181</v>
      </c>
    </row>
    <row r="38" spans="1:18" ht="42" x14ac:dyDescent="0.15">
      <c r="A38" s="6">
        <v>138</v>
      </c>
      <c r="B38" s="2">
        <v>3</v>
      </c>
      <c r="C38" s="2" t="s">
        <v>163</v>
      </c>
      <c r="D38" s="2">
        <v>100</v>
      </c>
      <c r="E38" s="17" t="str">
        <f>VLOOKUP($D38,gacha_types!$A:$D,2,FALSE)</f>
        <v>polygon</v>
      </c>
      <c r="F38" s="17">
        <f>VLOOKUP($D38,gacha_types!$A:$D,3,FALSE)</f>
        <v>5</v>
      </c>
      <c r="G38" s="17">
        <f t="shared" ref="G38:G40" si="15">A38</f>
        <v>138</v>
      </c>
      <c r="H38" s="13" t="str">
        <f t="shared" ref="H38:H40" si="16">"GachaTop_"&amp;A38&amp;".png"</f>
        <v>GachaTop_138.png</v>
      </c>
      <c r="I38" s="23">
        <v>1</v>
      </c>
      <c r="J38" s="23">
        <f t="shared" si="0"/>
        <v>138</v>
      </c>
      <c r="K38" s="23">
        <v>1</v>
      </c>
      <c r="L38" s="55" t="s">
        <v>813</v>
      </c>
      <c r="M38" s="55" t="s">
        <v>814</v>
      </c>
      <c r="N38" s="2" t="s">
        <v>118</v>
      </c>
      <c r="O38" s="2"/>
      <c r="P38" s="2"/>
      <c r="Q38" s="26" t="s">
        <v>182</v>
      </c>
    </row>
    <row r="39" spans="1:18" ht="42" x14ac:dyDescent="0.15">
      <c r="A39" s="6">
        <v>140</v>
      </c>
      <c r="B39" s="2">
        <v>3</v>
      </c>
      <c r="C39" s="2" t="s">
        <v>164</v>
      </c>
      <c r="D39" s="2">
        <v>100</v>
      </c>
      <c r="E39" s="17" t="str">
        <f>VLOOKUP($D39,gacha_types!$A:$D,2,FALSE)</f>
        <v>polygon</v>
      </c>
      <c r="F39" s="17">
        <f>VLOOKUP($D39,gacha_types!$A:$D,3,FALSE)</f>
        <v>5</v>
      </c>
      <c r="G39" s="17">
        <f t="shared" si="15"/>
        <v>140</v>
      </c>
      <c r="H39" s="13" t="str">
        <f t="shared" si="16"/>
        <v>GachaTop_140.png</v>
      </c>
      <c r="I39" s="23">
        <v>1</v>
      </c>
      <c r="J39" s="23">
        <f t="shared" si="0"/>
        <v>140</v>
      </c>
      <c r="K39" s="23">
        <v>1</v>
      </c>
      <c r="L39" s="55" t="s">
        <v>813</v>
      </c>
      <c r="M39" s="55" t="s">
        <v>814</v>
      </c>
      <c r="N39" s="2" t="s">
        <v>118</v>
      </c>
      <c r="O39" s="2"/>
      <c r="P39" s="2"/>
      <c r="Q39" s="26" t="s">
        <v>183</v>
      </c>
    </row>
    <row r="40" spans="1:18" ht="42" x14ac:dyDescent="0.15">
      <c r="A40" s="6">
        <v>142</v>
      </c>
      <c r="B40" s="2">
        <v>3</v>
      </c>
      <c r="C40" s="2" t="s">
        <v>165</v>
      </c>
      <c r="D40" s="2">
        <v>100</v>
      </c>
      <c r="E40" s="17" t="str">
        <f>VLOOKUP($D40,gacha_types!$A:$D,2,FALSE)</f>
        <v>polygon</v>
      </c>
      <c r="F40" s="17">
        <f>VLOOKUP($D40,gacha_types!$A:$D,3,FALSE)</f>
        <v>5</v>
      </c>
      <c r="G40" s="17">
        <f t="shared" si="15"/>
        <v>142</v>
      </c>
      <c r="H40" s="13" t="str">
        <f t="shared" si="16"/>
        <v>GachaTop_142.png</v>
      </c>
      <c r="I40" s="23">
        <v>1</v>
      </c>
      <c r="J40" s="23">
        <f t="shared" si="0"/>
        <v>142</v>
      </c>
      <c r="K40" s="23">
        <v>1</v>
      </c>
      <c r="L40" s="55" t="s">
        <v>813</v>
      </c>
      <c r="M40" s="55" t="s">
        <v>814</v>
      </c>
      <c r="N40" s="2" t="s">
        <v>118</v>
      </c>
      <c r="O40" s="26" t="s">
        <v>278</v>
      </c>
      <c r="P40" s="26" t="s">
        <v>246</v>
      </c>
      <c r="Q40" s="26" t="str">
        <f t="shared" ref="Q40:Q41" si="17">CONCATENATE(O40, "
","&lt;font color=""#ffab27""&gt;",RIGHT(LEFT(M40,7),2)&amp;"/"&amp;RIGHT(LEFT(M40,10),2)&amp;" "&amp;LEFT(RIGHT(M40,8),5)&amp;"&lt;/font&gt;まで",P40)</f>
        <v>【&lt;font color="#ff2626"&gt;超&lt;/font&gt;&lt;font color="#ffe22a"&gt;激&lt;/font&gt;&lt;font color="#0093ff"&gt;レ&lt;/font&gt;&lt;font color="#00e074"&gt;ア&lt;/font&gt;ユニットをGETしよう！】
&lt;font color="#ffab27"&gt;01/01 14:59&lt;/font&gt;まで&lt;font color="#ffe22a"&gt;アスタロト&lt;/font&gt;・&lt;font color="#0093ff"&gt;エキドナ&lt;/font&gt;の出現率UP!</v>
      </c>
      <c r="R40" s="49"/>
    </row>
    <row r="41" spans="1:18" ht="42" x14ac:dyDescent="0.15">
      <c r="A41" s="6">
        <v>144</v>
      </c>
      <c r="B41" s="2">
        <v>3</v>
      </c>
      <c r="C41" s="2" t="s">
        <v>235</v>
      </c>
      <c r="D41" s="2">
        <v>100</v>
      </c>
      <c r="E41" s="17" t="str">
        <f>VLOOKUP($D41,gacha_types!$A:$D,2,FALSE)</f>
        <v>polygon</v>
      </c>
      <c r="F41" s="17">
        <f>VLOOKUP($D41,gacha_types!$A:$D,3,FALSE)</f>
        <v>5</v>
      </c>
      <c r="G41" s="17">
        <f t="shared" ref="G41:G42" si="18">A41</f>
        <v>144</v>
      </c>
      <c r="H41" s="13" t="str">
        <f t="shared" ref="H41:H42" si="19">"GachaTop_"&amp;A41&amp;".png"</f>
        <v>GachaTop_144.png</v>
      </c>
      <c r="I41" s="23">
        <v>1</v>
      </c>
      <c r="J41" s="23">
        <f t="shared" si="0"/>
        <v>144</v>
      </c>
      <c r="K41" s="23">
        <v>1</v>
      </c>
      <c r="L41" s="55" t="s">
        <v>813</v>
      </c>
      <c r="M41" s="55" t="s">
        <v>814</v>
      </c>
      <c r="N41" s="2" t="s">
        <v>118</v>
      </c>
      <c r="O41" s="26" t="s">
        <v>248</v>
      </c>
      <c r="P41" s="2" t="s">
        <v>249</v>
      </c>
      <c r="Q41" s="26" t="str">
        <f t="shared" si="17"/>
        <v>【&lt;font color="#ff2626"&gt;超&lt;/font&gt;&lt;font color="#ffe22a"&gt;激&lt;/font&gt;&lt;font color="#0093ff"&gt;レ&lt;/font&gt;&lt;font color="#00e075"&gt;ア&lt;/font&gt;ユニットをGETしよう！】
&lt;font color="#ffab27"&gt;01/01 14:59&lt;/font&gt;まで&lt;font color="#ff2626"&gt;★4,★5&lt;/font&gt;の出現率UP!</v>
      </c>
    </row>
    <row r="42" spans="1:18" ht="42" x14ac:dyDescent="0.15">
      <c r="A42" s="6">
        <v>146</v>
      </c>
      <c r="B42" s="2">
        <v>3</v>
      </c>
      <c r="C42" s="2" t="s">
        <v>238</v>
      </c>
      <c r="D42" s="2">
        <v>100</v>
      </c>
      <c r="E42" s="17" t="str">
        <f>VLOOKUP($D42,gacha_types!$A:$D,2,FALSE)</f>
        <v>polygon</v>
      </c>
      <c r="F42" s="17">
        <f>VLOOKUP($D42,gacha_types!$A:$D,3,FALSE)</f>
        <v>5</v>
      </c>
      <c r="G42" s="17">
        <f t="shared" si="18"/>
        <v>146</v>
      </c>
      <c r="H42" s="13" t="str">
        <f t="shared" si="19"/>
        <v>GachaTop_146.png</v>
      </c>
      <c r="I42" s="23">
        <v>1</v>
      </c>
      <c r="J42" s="23">
        <f t="shared" si="0"/>
        <v>146</v>
      </c>
      <c r="K42" s="23">
        <v>1</v>
      </c>
      <c r="L42" s="55" t="s">
        <v>813</v>
      </c>
      <c r="M42" s="55" t="s">
        <v>814</v>
      </c>
      <c r="N42" s="2" t="s">
        <v>118</v>
      </c>
      <c r="O42" s="50" t="s">
        <v>250</v>
      </c>
      <c r="P42" s="6" t="s">
        <v>252</v>
      </c>
      <c r="Q42" s="50" t="s">
        <v>251</v>
      </c>
    </row>
    <row r="43" spans="1:18" ht="28" x14ac:dyDescent="0.15">
      <c r="A43" s="6">
        <v>148</v>
      </c>
      <c r="B43" s="2">
        <v>3</v>
      </c>
      <c r="C43" s="2" t="s">
        <v>244</v>
      </c>
      <c r="D43" s="2">
        <v>100</v>
      </c>
      <c r="E43" s="17" t="str">
        <f>VLOOKUP($D43,gacha_types!$A:$D,2,FALSE)</f>
        <v>polygon</v>
      </c>
      <c r="F43" s="17">
        <f>VLOOKUP($D43,gacha_types!$A:$D,3,FALSE)</f>
        <v>5</v>
      </c>
      <c r="G43" s="17">
        <f t="shared" ref="G43" si="20">A43</f>
        <v>148</v>
      </c>
      <c r="H43" s="13" t="str">
        <f t="shared" ref="H43" si="21">"GachaTop_"&amp;A43&amp;".png"</f>
        <v>GachaTop_148.png</v>
      </c>
      <c r="I43" s="23">
        <v>1</v>
      </c>
      <c r="J43" s="23">
        <f t="shared" si="0"/>
        <v>148</v>
      </c>
      <c r="K43" s="23">
        <v>1</v>
      </c>
      <c r="L43" s="55" t="s">
        <v>813</v>
      </c>
      <c r="M43" s="55" t="s">
        <v>814</v>
      </c>
      <c r="N43" s="2" t="s">
        <v>118</v>
      </c>
      <c r="O43" s="2" t="s">
        <v>253</v>
      </c>
      <c r="P43" s="2" t="s">
        <v>254</v>
      </c>
      <c r="Q43" s="26" t="str">
        <f t="shared" ref="Q43:Q66" si="22">CONCATENATE(O43, "
","&lt;font color=""#ffab27""&gt;",RIGHT(LEFT(M43,7),2)&amp;"/"&amp;RIGHT(LEFT(M43,10),2)&amp;" "&amp;LEFT(RIGHT(M43,8),5)&amp;"&lt;/font&gt;まで",P43)</f>
        <v>【&lt;font color="red"&gt;親指姫&lt;/font&gt;、&lt;font color="yellow"&gt;スフィンクス&lt;/font&gt;、&lt;font color="blue"&gt;乙姫&lt;/font&gt;をGETしよう！】
&lt;font color="#ffab27"&gt;01/01 14:59&lt;/font&gt;までこの3体の出現率UP!</v>
      </c>
    </row>
    <row r="44" spans="1:18" ht="42" x14ac:dyDescent="0.15">
      <c r="A44" s="6">
        <v>149</v>
      </c>
      <c r="B44" s="2">
        <v>3</v>
      </c>
      <c r="C44" s="2" t="s">
        <v>255</v>
      </c>
      <c r="D44" s="2">
        <v>100</v>
      </c>
      <c r="E44" s="17" t="str">
        <f>VLOOKUP($D44,gacha_types!$A:$D,2,FALSE)</f>
        <v>polygon</v>
      </c>
      <c r="F44" s="17">
        <f>VLOOKUP($D44,gacha_types!$A:$D,3,FALSE)</f>
        <v>5</v>
      </c>
      <c r="G44" s="17">
        <f t="shared" ref="G44" si="23">A44</f>
        <v>149</v>
      </c>
      <c r="H44" s="13" t="str">
        <f t="shared" ref="H44" si="24">"GachaTop_"&amp;A44&amp;".png"</f>
        <v>GachaTop_149.png</v>
      </c>
      <c r="I44" s="23">
        <v>1</v>
      </c>
      <c r="J44" s="23">
        <f t="shared" si="0"/>
        <v>149</v>
      </c>
      <c r="K44" s="23">
        <v>1</v>
      </c>
      <c r="L44" s="55" t="s">
        <v>813</v>
      </c>
      <c r="M44" s="55" t="s">
        <v>814</v>
      </c>
      <c r="N44" s="2" t="s">
        <v>118</v>
      </c>
      <c r="O44" s="2" t="s">
        <v>669</v>
      </c>
      <c r="P44" s="2" t="s">
        <v>256</v>
      </c>
      <c r="Q44" s="26" t="str">
        <f>CONCATENATE(O44, "
","&lt;font color=""#ffab27""&gt;",RIGHT(LEFT(M44,7),2)&amp;"/"&amp;RIGHT(LEFT(M44,10),2)&amp;" "&amp;LEFT(RIGHT(M44,8),5)&amp;"&lt;/font&gt;まで",P44)</f>
        <v>【&lt;font color="green"&gt;ヤマタノオロチ&lt;/font&gt;、&lt;font color="red"&gt;ウリエル&lt;/font&gt;、&lt;font color="blue"&gt;ラファエル&lt;/font&gt;、&lt;font color="yellow"&gt;ホルス&lt;/font&gt;をGETしよう！】_x000D_&lt;font color="#ffab27"&gt;01/01 14:59&lt;/font&gt;までこの4体の出現率UP!</v>
      </c>
    </row>
    <row r="45" spans="1:18" ht="28" x14ac:dyDescent="0.15">
      <c r="A45" s="6">
        <v>150</v>
      </c>
      <c r="B45" s="2">
        <v>3</v>
      </c>
      <c r="C45" s="2" t="s">
        <v>260</v>
      </c>
      <c r="D45" s="2">
        <v>100</v>
      </c>
      <c r="E45" s="17" t="str">
        <f>VLOOKUP($D45,gacha_types!$A:$D,2,FALSE)</f>
        <v>polygon</v>
      </c>
      <c r="F45" s="17">
        <f>VLOOKUP($D45,gacha_types!$A:$D,3,FALSE)</f>
        <v>5</v>
      </c>
      <c r="G45" s="17">
        <f t="shared" ref="G45:G46" si="25">A45</f>
        <v>150</v>
      </c>
      <c r="H45" s="13" t="str">
        <f>"GachaTop_"&amp;A45&amp;"_2"&amp;".png"</f>
        <v>GachaTop_150_2.png</v>
      </c>
      <c r="I45" s="23">
        <v>1</v>
      </c>
      <c r="J45" s="23">
        <f t="shared" si="0"/>
        <v>150</v>
      </c>
      <c r="K45" s="23">
        <v>1</v>
      </c>
      <c r="L45" s="55" t="s">
        <v>813</v>
      </c>
      <c r="M45" s="55" t="s">
        <v>814</v>
      </c>
      <c r="N45" s="2" t="s">
        <v>118</v>
      </c>
      <c r="O45" s="2" t="s">
        <v>271</v>
      </c>
      <c r="P45" s="2" t="s">
        <v>272</v>
      </c>
      <c r="Q45" s="26" t="str">
        <f t="shared" si="22"/>
        <v>【&lt;font color="red"&gt;☆５&lt;/font&gt;&lt;font color="yellow"&gt;超&lt;/font&gt;&lt;font color="blue"&gt;強&lt;/font&gt;&lt;font color="green"&gt;力&lt;/font&gt;ユニットをプレゼント！】
&lt;font color="#ffab27"&gt;01/01 14:59&lt;/font&gt;まで10連限定で☆５ユニットを１体プレゼント！</v>
      </c>
    </row>
    <row r="46" spans="1:18" ht="28" x14ac:dyDescent="0.15">
      <c r="A46" s="6">
        <v>151</v>
      </c>
      <c r="B46" s="2">
        <v>3</v>
      </c>
      <c r="C46" s="2" t="s">
        <v>275</v>
      </c>
      <c r="D46" s="2">
        <v>100</v>
      </c>
      <c r="E46" s="17" t="str">
        <f>VLOOKUP($D46,gacha_types!$A:$D,2,FALSE)</f>
        <v>polygon</v>
      </c>
      <c r="F46" s="17">
        <f>VLOOKUP($D46,gacha_types!$A:$D,3,FALSE)</f>
        <v>5</v>
      </c>
      <c r="G46" s="17">
        <f t="shared" si="25"/>
        <v>151</v>
      </c>
      <c r="H46" s="13" t="str">
        <f t="shared" ref="H46" si="26">"GachaTop_"&amp;A46&amp;".png"</f>
        <v>GachaTop_151.png</v>
      </c>
      <c r="I46" s="23">
        <v>1</v>
      </c>
      <c r="J46" s="23">
        <f t="shared" si="0"/>
        <v>151</v>
      </c>
      <c r="K46" s="23">
        <v>1</v>
      </c>
      <c r="L46" s="55" t="s">
        <v>813</v>
      </c>
      <c r="M46" s="55" t="s">
        <v>814</v>
      </c>
      <c r="N46" s="2" t="s">
        <v>118</v>
      </c>
      <c r="O46" s="2" t="s">
        <v>278</v>
      </c>
      <c r="P46" s="2" t="s">
        <v>279</v>
      </c>
      <c r="Q46" s="26" t="str">
        <f t="shared" si="22"/>
        <v>【&lt;font color="#ff2626"&gt;超&lt;/font&gt;&lt;font color="#ffe22a"&gt;激&lt;/font&gt;&lt;font color="#0093ff"&gt;レ&lt;/font&gt;&lt;font color="#00e074"&gt;ア&lt;/font&gt;ユニットをGETしよう！】
&lt;font color="#ffab27"&gt;01/01 14:59&lt;/font&gt;まで新ユニットの出現率UP！</v>
      </c>
    </row>
    <row r="47" spans="1:18" ht="28" x14ac:dyDescent="0.15">
      <c r="A47" s="6">
        <v>152</v>
      </c>
      <c r="B47" s="2">
        <v>3</v>
      </c>
      <c r="C47" s="2" t="s">
        <v>276</v>
      </c>
      <c r="D47" s="2">
        <v>100</v>
      </c>
      <c r="E47" s="17" t="str">
        <f>VLOOKUP($D47,gacha_types!$A:$D,2,FALSE)</f>
        <v>polygon</v>
      </c>
      <c r="F47" s="17">
        <f>VLOOKUP($D47,gacha_types!$A:$D,3,FALSE)</f>
        <v>5</v>
      </c>
      <c r="G47" s="17">
        <f t="shared" ref="G47:G49" si="27">A47</f>
        <v>152</v>
      </c>
      <c r="H47" s="13" t="str">
        <f t="shared" ref="H47:H49" si="28">"GachaTop_"&amp;A47&amp;".png"</f>
        <v>GachaTop_152.png</v>
      </c>
      <c r="I47" s="23">
        <v>1</v>
      </c>
      <c r="J47" s="23">
        <f t="shared" si="0"/>
        <v>152</v>
      </c>
      <c r="K47" s="23">
        <v>1</v>
      </c>
      <c r="L47" s="55" t="s">
        <v>813</v>
      </c>
      <c r="M47" s="55" t="s">
        <v>814</v>
      </c>
      <c r="N47" s="2" t="s">
        <v>118</v>
      </c>
      <c r="O47" s="2" t="s">
        <v>336</v>
      </c>
      <c r="P47" s="2" t="s">
        <v>280</v>
      </c>
      <c r="Q47" s="26" t="str">
        <f t="shared" si="22"/>
        <v>【&lt;font color="#ff2626"&gt;100万&lt;/font&gt;&lt;font color="#ffe22a"&gt;DL&lt;/font&gt;&lt;font color="#0093ff"&gt;記念&lt;/font&gt;&lt;font color="#00e074"&gt;キャンペーン&lt;/font&gt;】_x000D_
&lt;font color="#ffab27"&gt;01/01 14:59&lt;/font&gt;までウィザード対抗ユニットの出現率UP！</v>
      </c>
    </row>
    <row r="48" spans="1:18" ht="42" x14ac:dyDescent="0.15">
      <c r="A48" s="6">
        <v>153</v>
      </c>
      <c r="B48" s="2">
        <v>3</v>
      </c>
      <c r="C48" s="2" t="s">
        <v>295</v>
      </c>
      <c r="D48" s="2">
        <v>100</v>
      </c>
      <c r="E48" s="17" t="str">
        <f>VLOOKUP($D48,gacha_types!$A:$D,2,FALSE)</f>
        <v>polygon</v>
      </c>
      <c r="F48" s="17">
        <f>VLOOKUP($D48,gacha_types!$A:$D,3,FALSE)</f>
        <v>5</v>
      </c>
      <c r="G48" s="17">
        <f t="shared" si="27"/>
        <v>153</v>
      </c>
      <c r="H48" s="13" t="str">
        <f t="shared" si="28"/>
        <v>GachaTop_153.png</v>
      </c>
      <c r="I48" s="23">
        <v>1</v>
      </c>
      <c r="J48" s="23">
        <f t="shared" si="0"/>
        <v>153</v>
      </c>
      <c r="K48" s="23">
        <v>1</v>
      </c>
      <c r="L48" s="55" t="s">
        <v>813</v>
      </c>
      <c r="M48" s="55" t="s">
        <v>814</v>
      </c>
      <c r="N48" s="2" t="s">
        <v>118</v>
      </c>
      <c r="O48" s="26" t="s">
        <v>338</v>
      </c>
      <c r="P48" s="2" t="s">
        <v>249</v>
      </c>
      <c r="Q48" s="26" t="str">
        <f t="shared" si="22"/>
        <v>【&lt;font color="#ff2626"&gt;超&lt;/font&gt;&lt;font color="#ffe22a"&gt;激&lt;/font&gt;&lt;font color="#0093ff"&gt;レ&lt;/font&gt;&lt;font color="#00e075"&gt;ア&lt;/font&gt;ユニットをGETしよう！】
&lt;font color="#ffab27"&gt;01/01 14:59&lt;/font&gt;まで&lt;font color="#ff2626"&gt;★4,★5&lt;/font&gt;の出現率UP!</v>
      </c>
    </row>
    <row r="49" spans="1:17" ht="42" x14ac:dyDescent="0.15">
      <c r="A49" s="6">
        <v>154</v>
      </c>
      <c r="B49" s="2">
        <v>3</v>
      </c>
      <c r="C49" s="2" t="s">
        <v>301</v>
      </c>
      <c r="D49" s="2">
        <v>100</v>
      </c>
      <c r="E49" s="17" t="str">
        <f>VLOOKUP($D49,gacha_types!$A:$D,2,FALSE)</f>
        <v>polygon</v>
      </c>
      <c r="F49" s="17">
        <f>VLOOKUP($D49,gacha_types!$A:$D,3,FALSE)</f>
        <v>5</v>
      </c>
      <c r="G49" s="17">
        <f t="shared" si="27"/>
        <v>154</v>
      </c>
      <c r="H49" s="13" t="str">
        <f t="shared" si="28"/>
        <v>GachaTop_154.png</v>
      </c>
      <c r="I49" s="23">
        <v>1</v>
      </c>
      <c r="J49" s="23">
        <f t="shared" si="0"/>
        <v>154</v>
      </c>
      <c r="K49" s="23">
        <v>1</v>
      </c>
      <c r="L49" s="55" t="s">
        <v>813</v>
      </c>
      <c r="M49" s="55" t="s">
        <v>814</v>
      </c>
      <c r="N49" s="2" t="s">
        <v>118</v>
      </c>
      <c r="O49" s="26" t="s">
        <v>337</v>
      </c>
      <c r="P49" s="2" t="s">
        <v>306</v>
      </c>
      <c r="Q49" s="26" t="str">
        <f t="shared" si="22"/>
        <v>【&lt;font color="#ff2626"&gt;超&lt;/font&gt;&lt;font color="#ffe22a"&gt;激&lt;/font&gt;&lt;font color="#0093ff"&gt;レ&lt;/font&gt;&lt;font color="#00e075"&gt;ア&lt;/font&gt;ユニットをGETしよう！】
&lt;font color="#ffab27"&gt;01/01 14:59&lt;/font&gt;まで新ユニットの出現率UP!</v>
      </c>
    </row>
    <row r="50" spans="1:17" ht="42" x14ac:dyDescent="0.15">
      <c r="A50" s="6">
        <v>155</v>
      </c>
      <c r="B50" s="2">
        <v>3</v>
      </c>
      <c r="C50" s="2" t="s">
        <v>303</v>
      </c>
      <c r="D50" s="2">
        <v>100</v>
      </c>
      <c r="E50" s="17" t="str">
        <f>VLOOKUP($D50,gacha_types!$A:$D,2,FALSE)</f>
        <v>polygon</v>
      </c>
      <c r="F50" s="17">
        <f>VLOOKUP($D50,gacha_types!$A:$D,3,FALSE)</f>
        <v>5</v>
      </c>
      <c r="G50" s="17">
        <f t="shared" ref="G50:G89" si="29">A50</f>
        <v>155</v>
      </c>
      <c r="H50" s="13" t="str">
        <f t="shared" ref="H50:H55" si="30">"GachaTop_"&amp;A50&amp;".png"</f>
        <v>GachaTop_155.png</v>
      </c>
      <c r="I50" s="23">
        <v>1</v>
      </c>
      <c r="J50" s="23">
        <f t="shared" si="0"/>
        <v>155</v>
      </c>
      <c r="K50" s="23">
        <v>1</v>
      </c>
      <c r="L50" s="55" t="s">
        <v>813</v>
      </c>
      <c r="M50" s="55" t="s">
        <v>814</v>
      </c>
      <c r="N50" s="2" t="s">
        <v>118</v>
      </c>
      <c r="O50" s="26" t="s">
        <v>337</v>
      </c>
      <c r="P50" s="2" t="s">
        <v>305</v>
      </c>
      <c r="Q50" s="26" t="str">
        <f t="shared" si="22"/>
        <v>【&lt;font color="#ff2626"&gt;超&lt;/font&gt;&lt;font color="#ffe22a"&gt;激&lt;/font&gt;&lt;font color="#0093ff"&gt;レ&lt;/font&gt;&lt;font color="#00e075"&gt;ア&lt;/font&gt;ユニットをGETしよう！】
&lt;font color="#ffab27"&gt;01/01 14:59&lt;/font&gt;まで緑属性ユニットの出現率UP!</v>
      </c>
    </row>
    <row r="51" spans="1:17" ht="42" x14ac:dyDescent="0.15">
      <c r="A51" s="6">
        <v>156</v>
      </c>
      <c r="B51" s="2">
        <v>3</v>
      </c>
      <c r="C51" s="2" t="s">
        <v>309</v>
      </c>
      <c r="D51" s="2">
        <v>100</v>
      </c>
      <c r="E51" s="17" t="str">
        <f>VLOOKUP($D51,gacha_types!$A:$D,2,FALSE)</f>
        <v>polygon</v>
      </c>
      <c r="F51" s="17">
        <f>VLOOKUP($D51,gacha_types!$A:$D,3,FALSE)</f>
        <v>5</v>
      </c>
      <c r="G51" s="17">
        <f t="shared" si="29"/>
        <v>156</v>
      </c>
      <c r="H51" s="13" t="str">
        <f t="shared" si="30"/>
        <v>GachaTop_156.png</v>
      </c>
      <c r="I51" s="23">
        <v>1</v>
      </c>
      <c r="J51" s="23">
        <f t="shared" si="0"/>
        <v>156</v>
      </c>
      <c r="K51" s="23">
        <v>1</v>
      </c>
      <c r="L51" s="55" t="s">
        <v>813</v>
      </c>
      <c r="M51" s="55" t="s">
        <v>814</v>
      </c>
      <c r="N51" s="2" t="s">
        <v>118</v>
      </c>
      <c r="O51" s="26" t="s">
        <v>337</v>
      </c>
      <c r="P51" s="2" t="s">
        <v>312</v>
      </c>
      <c r="Q51" s="26" t="str">
        <f t="shared" si="22"/>
        <v>【&lt;font color="#ff2626"&gt;超&lt;/font&gt;&lt;font color="#ffe22a"&gt;激&lt;/font&gt;&lt;font color="#0093ff"&gt;レ&lt;/font&gt;&lt;font color="#00e075"&gt;ア&lt;/font&gt;ユニットをGETしよう！】
&lt;font color="#ffab27"&gt;01/01 14:59&lt;/font&gt;までクラファー人気ユニットの出現率UP!</v>
      </c>
    </row>
    <row r="52" spans="1:17" ht="42" x14ac:dyDescent="0.15">
      <c r="A52" s="6">
        <v>157</v>
      </c>
      <c r="B52" s="2">
        <v>3</v>
      </c>
      <c r="C52" s="2" t="s">
        <v>315</v>
      </c>
      <c r="D52" s="2">
        <v>100</v>
      </c>
      <c r="E52" s="17" t="str">
        <f>VLOOKUP($D52,gacha_types!$A:$D,2,FALSE)</f>
        <v>polygon</v>
      </c>
      <c r="F52" s="17">
        <f>VLOOKUP($D52,gacha_types!$A:$D,3,FALSE)</f>
        <v>5</v>
      </c>
      <c r="G52" s="17">
        <f t="shared" si="29"/>
        <v>157</v>
      </c>
      <c r="H52" s="13" t="str">
        <f t="shared" si="30"/>
        <v>GachaTop_157.png</v>
      </c>
      <c r="I52" s="23">
        <v>1</v>
      </c>
      <c r="J52" s="23">
        <f t="shared" si="0"/>
        <v>157</v>
      </c>
      <c r="K52" s="23">
        <v>1</v>
      </c>
      <c r="L52" s="55" t="s">
        <v>813</v>
      </c>
      <c r="M52" s="55" t="s">
        <v>814</v>
      </c>
      <c r="N52" s="2" t="s">
        <v>118</v>
      </c>
      <c r="O52" s="26" t="s">
        <v>337</v>
      </c>
      <c r="P52" s="2" t="s">
        <v>316</v>
      </c>
      <c r="Q52" s="26" t="str">
        <f t="shared" si="22"/>
        <v>【&lt;font color="#ff2626"&gt;超&lt;/font&gt;&lt;font color="#ffe22a"&gt;激&lt;/font&gt;&lt;font color="#0093ff"&gt;レ&lt;/font&gt;&lt;font color="#00e075"&gt;ア&lt;/font&gt;ユニットをGETしよう！】
&lt;font color="#ffab27"&gt;01/01 14:59&lt;/font&gt;まで体力タイプユニットの出現率UP!</v>
      </c>
    </row>
    <row r="53" spans="1:17" ht="42" x14ac:dyDescent="0.15">
      <c r="A53" s="6">
        <v>158</v>
      </c>
      <c r="B53" s="2">
        <v>3</v>
      </c>
      <c r="C53" s="2" t="s">
        <v>320</v>
      </c>
      <c r="D53" s="2">
        <v>100</v>
      </c>
      <c r="E53" s="17" t="str">
        <f>VLOOKUP($D53,gacha_types!$A:$D,2,FALSE)</f>
        <v>polygon</v>
      </c>
      <c r="F53" s="17">
        <f>VLOOKUP($D53,gacha_types!$A:$D,3,FALSE)</f>
        <v>5</v>
      </c>
      <c r="G53" s="17">
        <f t="shared" ref="G53" si="31">A53</f>
        <v>158</v>
      </c>
      <c r="H53" s="13" t="str">
        <f t="shared" ref="H53" si="32">"GachaTop_"&amp;A53&amp;".png"</f>
        <v>GachaTop_158.png</v>
      </c>
      <c r="I53" s="23">
        <v>1</v>
      </c>
      <c r="J53" s="23">
        <f t="shared" si="0"/>
        <v>158</v>
      </c>
      <c r="K53" s="23">
        <v>1</v>
      </c>
      <c r="L53" s="55" t="s">
        <v>813</v>
      </c>
      <c r="M53" s="55" t="s">
        <v>814</v>
      </c>
      <c r="N53" s="2" t="s">
        <v>118</v>
      </c>
      <c r="O53" s="26" t="s">
        <v>337</v>
      </c>
      <c r="P53" s="2" t="s">
        <v>321</v>
      </c>
      <c r="Q53" s="26" t="str">
        <f t="shared" si="22"/>
        <v>【&lt;font color="#ff2626"&gt;超&lt;/font&gt;&lt;font color="#ffe22a"&gt;激&lt;/font&gt;&lt;font color="#0093ff"&gt;レ&lt;/font&gt;&lt;font color="#00e075"&gt;ア&lt;/font&gt;ユニットをGETしよう！】
&lt;font color="#ffab27"&gt;01/01 14:59&lt;/font&gt;まで青属性ユニットの出現率UP!</v>
      </c>
    </row>
    <row r="54" spans="1:17" ht="42" x14ac:dyDescent="0.15">
      <c r="A54" s="6">
        <v>159</v>
      </c>
      <c r="B54" s="2">
        <v>3</v>
      </c>
      <c r="C54" s="2" t="s">
        <v>327</v>
      </c>
      <c r="D54" s="2">
        <v>100</v>
      </c>
      <c r="E54" s="17" t="str">
        <f>VLOOKUP($D54,gacha_types!$A:$D,2,FALSE)</f>
        <v>polygon</v>
      </c>
      <c r="F54" s="17">
        <f>VLOOKUP($D54,gacha_types!$A:$D,3,FALSE)</f>
        <v>5</v>
      </c>
      <c r="G54" s="17">
        <f t="shared" si="29"/>
        <v>159</v>
      </c>
      <c r="H54" s="13" t="str">
        <f t="shared" si="30"/>
        <v>GachaTop_159.png</v>
      </c>
      <c r="I54" s="23">
        <v>1</v>
      </c>
      <c r="J54" s="23">
        <f t="shared" si="0"/>
        <v>159</v>
      </c>
      <c r="K54" s="23">
        <v>1</v>
      </c>
      <c r="L54" s="55" t="s">
        <v>813</v>
      </c>
      <c r="M54" s="55" t="s">
        <v>814</v>
      </c>
      <c r="N54" s="2" t="s">
        <v>118</v>
      </c>
      <c r="O54" s="26" t="s">
        <v>335</v>
      </c>
      <c r="P54" s="2" t="s">
        <v>344</v>
      </c>
      <c r="Q54" s="26" t="str">
        <f t="shared" si="22"/>
        <v>【&lt;font color="red"&gt;D.R.T.H.&lt;/font&gt;、&lt;font color="green"&gt;ピーターパン&lt;/font&gt;、&lt;font color="blue"&gt;エキドナ&lt;/font&gt;、&lt;font color="red"&gt;親指姫&lt;/font&gt;をGET！】
&lt;font color="#ffab27"&gt;01/01 14:59&lt;/font&gt;までこの4体の出現率UP!</v>
      </c>
    </row>
    <row r="55" spans="1:17" ht="42" x14ac:dyDescent="0.15">
      <c r="A55" s="6">
        <v>160</v>
      </c>
      <c r="B55" s="2">
        <v>3</v>
      </c>
      <c r="C55" s="2" t="s">
        <v>322</v>
      </c>
      <c r="D55" s="2">
        <v>100</v>
      </c>
      <c r="E55" s="17" t="str">
        <f>VLOOKUP($D55,gacha_types!$A:$D,2,FALSE)</f>
        <v>polygon</v>
      </c>
      <c r="F55" s="17">
        <f>VLOOKUP($D55,gacha_types!$A:$D,3,FALSE)</f>
        <v>5</v>
      </c>
      <c r="G55" s="17">
        <f t="shared" ref="G55" si="33">A55</f>
        <v>160</v>
      </c>
      <c r="H55" s="13" t="str">
        <f t="shared" si="30"/>
        <v>GachaTop_160.png</v>
      </c>
      <c r="I55" s="23">
        <v>1</v>
      </c>
      <c r="J55" s="23">
        <f t="shared" si="0"/>
        <v>160</v>
      </c>
      <c r="K55" s="23">
        <v>1</v>
      </c>
      <c r="L55" s="55" t="s">
        <v>813</v>
      </c>
      <c r="M55" s="55" t="s">
        <v>814</v>
      </c>
      <c r="N55" s="2" t="s">
        <v>118</v>
      </c>
      <c r="O55" s="26" t="s">
        <v>337</v>
      </c>
      <c r="P55" s="2" t="s">
        <v>333</v>
      </c>
      <c r="Q55" s="26" t="str">
        <f t="shared" si="22"/>
        <v>【&lt;font color="#ff2626"&gt;超&lt;/font&gt;&lt;font color="#ffe22a"&gt;激&lt;/font&gt;&lt;font color="#0093ff"&gt;レ&lt;/font&gt;&lt;font color="#00e075"&gt;ア&lt;/font&gt;ユニットをGETしよう！】
&lt;font color="#ffab27"&gt;01/01 14:59&lt;/font&gt;までクリスマス特別ユニットの出現率UP!</v>
      </c>
    </row>
    <row r="56" spans="1:17" ht="42" x14ac:dyDescent="0.15">
      <c r="A56" s="6">
        <v>161</v>
      </c>
      <c r="B56" s="2">
        <v>3</v>
      </c>
      <c r="C56" s="2" t="s">
        <v>339</v>
      </c>
      <c r="D56" s="2">
        <v>100</v>
      </c>
      <c r="E56" s="17" t="str">
        <f>VLOOKUP($D56,gacha_types!$A:$D,2,FALSE)</f>
        <v>polygon</v>
      </c>
      <c r="F56" s="17">
        <f>VLOOKUP($D56,gacha_types!$A:$D,3,FALSE)</f>
        <v>5</v>
      </c>
      <c r="G56" s="17">
        <f t="shared" si="29"/>
        <v>161</v>
      </c>
      <c r="H56" s="13" t="str">
        <f t="shared" ref="H56" si="34">"GachaTop_"&amp;A56&amp;".png"</f>
        <v>GachaTop_161.png</v>
      </c>
      <c r="I56" s="23">
        <v>1</v>
      </c>
      <c r="J56" s="23">
        <f t="shared" si="0"/>
        <v>161</v>
      </c>
      <c r="K56" s="23">
        <v>1</v>
      </c>
      <c r="L56" s="55" t="s">
        <v>813</v>
      </c>
      <c r="M56" s="55" t="s">
        <v>814</v>
      </c>
      <c r="N56" s="2" t="s">
        <v>118</v>
      </c>
      <c r="O56" s="26" t="s">
        <v>337</v>
      </c>
      <c r="P56" s="2" t="s">
        <v>340</v>
      </c>
      <c r="Q56" s="26" t="str">
        <f t="shared" si="22"/>
        <v>【&lt;font color="#ff2626"&gt;超&lt;/font&gt;&lt;font color="#ffe22a"&gt;激&lt;/font&gt;&lt;font color="#0093ff"&gt;レ&lt;/font&gt;&lt;font color="#00e075"&gt;ア&lt;/font&gt;ユニットをGETしよう！】
&lt;font color="#ffab27"&gt;01/01 14:59&lt;/font&gt;まで赤属性ユニットの出現率UP!</v>
      </c>
    </row>
    <row r="57" spans="1:17" ht="42" x14ac:dyDescent="0.15">
      <c r="A57" s="6">
        <v>162</v>
      </c>
      <c r="B57" s="2">
        <v>3</v>
      </c>
      <c r="C57" s="2" t="s">
        <v>343</v>
      </c>
      <c r="D57" s="2">
        <v>100</v>
      </c>
      <c r="E57" s="17" t="str">
        <f>VLOOKUP($D57,gacha_types!$A:$D,2,FALSE)</f>
        <v>polygon</v>
      </c>
      <c r="F57" s="17">
        <f>VLOOKUP($D57,gacha_types!$A:$D,3,FALSE)</f>
        <v>5</v>
      </c>
      <c r="G57" s="17">
        <f t="shared" ref="G57" si="35">A57</f>
        <v>162</v>
      </c>
      <c r="H57" s="13" t="str">
        <f t="shared" ref="H57" si="36">"GachaTop_"&amp;A57&amp;".png"</f>
        <v>GachaTop_162.png</v>
      </c>
      <c r="I57" s="23">
        <v>1</v>
      </c>
      <c r="J57" s="23">
        <f t="shared" si="0"/>
        <v>162</v>
      </c>
      <c r="K57" s="23">
        <v>1</v>
      </c>
      <c r="L57" s="55" t="s">
        <v>813</v>
      </c>
      <c r="M57" s="55" t="s">
        <v>814</v>
      </c>
      <c r="N57" s="2" t="s">
        <v>118</v>
      </c>
      <c r="O57" s="26" t="s">
        <v>278</v>
      </c>
      <c r="P57" s="2" t="s">
        <v>348</v>
      </c>
      <c r="Q57" s="26" t="str">
        <f t="shared" si="22"/>
        <v>【&lt;font color="#ff2626"&gt;超&lt;/font&gt;&lt;font color="#ffe22a"&gt;激&lt;/font&gt;&lt;font color="#0093ff"&gt;レ&lt;/font&gt;&lt;font color="#00e074"&gt;ア&lt;/font&gt;ユニットをGETしよう！】
&lt;font color="#ffab27"&gt;01/01 14:59&lt;/font&gt;までピックアップユニット4体の出現率UP</v>
      </c>
    </row>
    <row r="58" spans="1:17" ht="42" x14ac:dyDescent="0.15">
      <c r="A58" s="6">
        <v>163</v>
      </c>
      <c r="B58" s="2">
        <v>3</v>
      </c>
      <c r="C58" s="2" t="s">
        <v>353</v>
      </c>
      <c r="D58" s="2">
        <v>100</v>
      </c>
      <c r="E58" s="17" t="str">
        <f>VLOOKUP($D58,gacha_types!$A:$D,2,FALSE)</f>
        <v>polygon</v>
      </c>
      <c r="F58" s="17">
        <f>VLOOKUP($D58,gacha_types!$A:$D,3,FALSE)</f>
        <v>5</v>
      </c>
      <c r="G58" s="17">
        <f t="shared" ref="G58" si="37">A58</f>
        <v>163</v>
      </c>
      <c r="H58" s="13" t="str">
        <f t="shared" ref="H58" si="38">"GachaTop_"&amp;A58&amp;".png"</f>
        <v>GachaTop_163.png</v>
      </c>
      <c r="I58" s="23">
        <v>1</v>
      </c>
      <c r="J58" s="23">
        <f t="shared" si="0"/>
        <v>163</v>
      </c>
      <c r="K58" s="23">
        <v>1</v>
      </c>
      <c r="L58" s="55" t="s">
        <v>813</v>
      </c>
      <c r="M58" s="55" t="s">
        <v>814</v>
      </c>
      <c r="N58" s="2" t="s">
        <v>118</v>
      </c>
      <c r="O58" s="26" t="s">
        <v>337</v>
      </c>
      <c r="P58" s="2" t="s">
        <v>306</v>
      </c>
      <c r="Q58" s="26" t="str">
        <f t="shared" si="22"/>
        <v>【&lt;font color="#ff2626"&gt;超&lt;/font&gt;&lt;font color="#ffe22a"&gt;激&lt;/font&gt;&lt;font color="#0093ff"&gt;レ&lt;/font&gt;&lt;font color="#00e075"&gt;ア&lt;/font&gt;ユニットをGETしよう！】
&lt;font color="#ffab27"&gt;01/01 14:59&lt;/font&gt;まで新ユニットの出現率UP!</v>
      </c>
    </row>
    <row r="59" spans="1:17" ht="42" x14ac:dyDescent="0.15">
      <c r="A59" s="6">
        <v>164</v>
      </c>
      <c r="B59" s="2">
        <v>3</v>
      </c>
      <c r="C59" s="2" t="s">
        <v>356</v>
      </c>
      <c r="D59" s="2">
        <v>100</v>
      </c>
      <c r="E59" s="17" t="str">
        <f>VLOOKUP($D59,gacha_types!$A:$D,2,FALSE)</f>
        <v>polygon</v>
      </c>
      <c r="F59" s="17">
        <f>VLOOKUP($D59,gacha_types!$A:$D,3,FALSE)</f>
        <v>5</v>
      </c>
      <c r="G59" s="17">
        <f t="shared" ref="G59" si="39">A59</f>
        <v>164</v>
      </c>
      <c r="H59" s="13" t="str">
        <f t="shared" ref="H59" si="40">"GachaTop_"&amp;A59&amp;".png"</f>
        <v>GachaTop_164.png</v>
      </c>
      <c r="I59" s="23">
        <v>1</v>
      </c>
      <c r="J59" s="23">
        <f t="shared" si="0"/>
        <v>164</v>
      </c>
      <c r="K59" s="23">
        <v>1</v>
      </c>
      <c r="L59" s="55" t="s">
        <v>813</v>
      </c>
      <c r="M59" s="55" t="s">
        <v>814</v>
      </c>
      <c r="N59" s="2" t="s">
        <v>118</v>
      </c>
      <c r="O59" s="26" t="s">
        <v>337</v>
      </c>
      <c r="P59" s="2" t="s">
        <v>358</v>
      </c>
      <c r="Q59" s="26" t="str">
        <f t="shared" si="22"/>
        <v>【&lt;font color="#ff2626"&gt;超&lt;/font&gt;&lt;font color="#ffe22a"&gt;激&lt;/font&gt;&lt;font color="#0093ff"&gt;レ&lt;/font&gt;&lt;font color="#00e075"&gt;ア&lt;/font&gt;ユニットをGETしよう！】
&lt;font color="#ffab27"&gt;01/01 14:59&lt;/font&gt;までドラゴンユニットの出現率UP!</v>
      </c>
    </row>
    <row r="60" spans="1:17" ht="42" x14ac:dyDescent="0.15">
      <c r="A60" s="6">
        <v>165</v>
      </c>
      <c r="B60" s="2">
        <v>3</v>
      </c>
      <c r="C60" s="2" t="s">
        <v>359</v>
      </c>
      <c r="D60" s="2">
        <v>100</v>
      </c>
      <c r="E60" s="17" t="str">
        <f>VLOOKUP($D60,gacha_types!$A:$D,2,FALSE)</f>
        <v>polygon</v>
      </c>
      <c r="F60" s="17">
        <f>VLOOKUP($D60,gacha_types!$A:$D,3,FALSE)</f>
        <v>5</v>
      </c>
      <c r="G60" s="17">
        <f t="shared" ref="G60" si="41">A60</f>
        <v>165</v>
      </c>
      <c r="H60" s="13" t="str">
        <f t="shared" ref="H60" si="42">"GachaTop_"&amp;A60&amp;".png"</f>
        <v>GachaTop_165.png</v>
      </c>
      <c r="I60" s="23">
        <v>1</v>
      </c>
      <c r="J60" s="23">
        <f t="shared" si="0"/>
        <v>165</v>
      </c>
      <c r="K60" s="23">
        <v>1</v>
      </c>
      <c r="L60" s="55" t="s">
        <v>813</v>
      </c>
      <c r="M60" s="55" t="s">
        <v>814</v>
      </c>
      <c r="N60" s="2" t="s">
        <v>118</v>
      </c>
      <c r="O60" s="26" t="s">
        <v>337</v>
      </c>
      <c r="P60" s="2" t="s">
        <v>372</v>
      </c>
      <c r="Q60" s="26" t="str">
        <f t="shared" si="22"/>
        <v>【&lt;font color="#ff2626"&gt;超&lt;/font&gt;&lt;font color="#ffe22a"&gt;激&lt;/font&gt;&lt;font color="#0093ff"&gt;レ&lt;/font&gt;&lt;font color="#00e075"&gt;ア&lt;/font&gt;ユニットをGETしよう！】
&lt;font color="#ffab27"&gt;01/01 14:59&lt;/font&gt;までフェス限定ユニットが出現中!</v>
      </c>
    </row>
    <row r="61" spans="1:17" ht="42" x14ac:dyDescent="0.15">
      <c r="A61" s="6">
        <v>166</v>
      </c>
      <c r="B61" s="2">
        <v>3</v>
      </c>
      <c r="C61" s="2" t="s">
        <v>364</v>
      </c>
      <c r="D61" s="2">
        <v>100</v>
      </c>
      <c r="E61" s="17" t="str">
        <f>VLOOKUP($D61,gacha_types!$A:$D,2,FALSE)</f>
        <v>polygon</v>
      </c>
      <c r="F61" s="17">
        <f>VLOOKUP($D61,gacha_types!$A:$D,3,FALSE)</f>
        <v>5</v>
      </c>
      <c r="G61" s="17">
        <f t="shared" ref="G61" si="43">A61</f>
        <v>166</v>
      </c>
      <c r="H61" s="13" t="str">
        <f t="shared" ref="H61" si="44">"GachaTop_"&amp;A61&amp;".png"</f>
        <v>GachaTop_166.png</v>
      </c>
      <c r="I61" s="23">
        <v>1</v>
      </c>
      <c r="J61" s="23">
        <f t="shared" ref="J61:J107" si="45">A61</f>
        <v>166</v>
      </c>
      <c r="K61" s="23">
        <v>1</v>
      </c>
      <c r="L61" s="55" t="s">
        <v>813</v>
      </c>
      <c r="M61" s="55" t="s">
        <v>814</v>
      </c>
      <c r="N61" s="2" t="s">
        <v>118</v>
      </c>
      <c r="O61" s="26" t="s">
        <v>337</v>
      </c>
      <c r="P61" s="2" t="s">
        <v>386</v>
      </c>
      <c r="Q61" s="26" t="str">
        <f t="shared" si="22"/>
        <v>【&lt;font color="#ff2626"&gt;超&lt;/font&gt;&lt;font color="#ffe22a"&gt;激&lt;/font&gt;&lt;font color="#0093ff"&gt;レ&lt;/font&gt;&lt;font color="#00e075"&gt;ア&lt;/font&gt;ユニットをGETしよう！】
&lt;font color="#ffab27"&gt;01/01 14:59&lt;/font&gt;まで最強クラスユニットの出現率UP!</v>
      </c>
    </row>
    <row r="62" spans="1:17" ht="42" x14ac:dyDescent="0.15">
      <c r="A62" s="6">
        <v>167</v>
      </c>
      <c r="B62" s="2">
        <v>3</v>
      </c>
      <c r="C62" s="2" t="s">
        <v>373</v>
      </c>
      <c r="D62" s="2">
        <v>100</v>
      </c>
      <c r="E62" s="17" t="str">
        <f>VLOOKUP($D62,gacha_types!$A:$D,2,FALSE)</f>
        <v>polygon</v>
      </c>
      <c r="F62" s="17">
        <f>VLOOKUP($D62,gacha_types!$A:$D,3,FALSE)</f>
        <v>5</v>
      </c>
      <c r="G62" s="17">
        <f t="shared" ref="G62:G63" si="46">A62</f>
        <v>167</v>
      </c>
      <c r="H62" s="13" t="str">
        <f t="shared" ref="H62" si="47">"GachaTop_"&amp;A62&amp;".png"</f>
        <v>GachaTop_167.png</v>
      </c>
      <c r="I62" s="23">
        <v>1</v>
      </c>
      <c r="J62" s="23">
        <f t="shared" si="45"/>
        <v>167</v>
      </c>
      <c r="K62" s="23">
        <v>1</v>
      </c>
      <c r="L62" s="55" t="s">
        <v>813</v>
      </c>
      <c r="M62" s="55" t="s">
        <v>814</v>
      </c>
      <c r="N62" s="2" t="s">
        <v>118</v>
      </c>
      <c r="O62" s="26" t="s">
        <v>337</v>
      </c>
      <c r="P62" s="2" t="s">
        <v>374</v>
      </c>
      <c r="Q62" s="26" t="str">
        <f t="shared" si="22"/>
        <v>【&lt;font color="#ff2626"&gt;超&lt;/font&gt;&lt;font color="#ffe22a"&gt;激&lt;/font&gt;&lt;font color="#0093ff"&gt;レ&lt;/font&gt;&lt;font color="#00e075"&gt;ア&lt;/font&gt;ユニットをGETしよう！】
&lt;font color="#ffab27"&gt;01/01 14:59&lt;/font&gt;まで★5ユニットの出現率UP!</v>
      </c>
    </row>
    <row r="63" spans="1:17" ht="42" x14ac:dyDescent="0.15">
      <c r="A63" s="6">
        <v>168</v>
      </c>
      <c r="B63" s="2">
        <v>3</v>
      </c>
      <c r="C63" s="2" t="s">
        <v>398</v>
      </c>
      <c r="D63" s="2">
        <v>100</v>
      </c>
      <c r="E63" s="17" t="str">
        <f>VLOOKUP($D63,gacha_types!$A:$D,2,FALSE)</f>
        <v>polygon</v>
      </c>
      <c r="F63" s="17">
        <f>VLOOKUP($D63,gacha_types!$A:$D,3,FALSE)</f>
        <v>5</v>
      </c>
      <c r="G63" s="17">
        <f t="shared" si="46"/>
        <v>168</v>
      </c>
      <c r="H63" s="13" t="str">
        <f>"GachaTop_"&amp;A63&amp;".png"</f>
        <v>GachaTop_168.png</v>
      </c>
      <c r="I63" s="23">
        <v>1</v>
      </c>
      <c r="J63" s="23">
        <f t="shared" si="45"/>
        <v>168</v>
      </c>
      <c r="K63" s="23">
        <v>1</v>
      </c>
      <c r="L63" s="55" t="s">
        <v>813</v>
      </c>
      <c r="M63" s="55" t="s">
        <v>814</v>
      </c>
      <c r="N63" s="2" t="s">
        <v>118</v>
      </c>
      <c r="O63" s="26" t="s">
        <v>337</v>
      </c>
      <c r="P63" s="2" t="s">
        <v>306</v>
      </c>
      <c r="Q63" s="26" t="str">
        <f t="shared" si="22"/>
        <v>【&lt;font color="#ff2626"&gt;超&lt;/font&gt;&lt;font color="#ffe22a"&gt;激&lt;/font&gt;&lt;font color="#0093ff"&gt;レ&lt;/font&gt;&lt;font color="#00e075"&gt;ア&lt;/font&gt;ユニットをGETしよう！】
&lt;font color="#ffab27"&gt;01/01 14:59&lt;/font&gt;まで新ユニットの出現率UP!</v>
      </c>
    </row>
    <row r="64" spans="1:17" ht="42" x14ac:dyDescent="0.15">
      <c r="A64" s="6">
        <v>169</v>
      </c>
      <c r="B64" s="2">
        <v>3</v>
      </c>
      <c r="C64" s="2" t="s">
        <v>399</v>
      </c>
      <c r="D64" s="2">
        <v>100</v>
      </c>
      <c r="E64" s="17" t="str">
        <f>VLOOKUP($D64,gacha_types!$A:$D,2,FALSE)</f>
        <v>polygon</v>
      </c>
      <c r="F64" s="17">
        <f>VLOOKUP($D64,gacha_types!$A:$D,3,FALSE)</f>
        <v>5</v>
      </c>
      <c r="G64" s="17">
        <f t="shared" ref="G64:G66" si="48">A64</f>
        <v>169</v>
      </c>
      <c r="H64" s="13" t="str">
        <f t="shared" ref="H64" si="49">"GachaTop_"&amp;A64&amp;".png"</f>
        <v>GachaTop_169.png</v>
      </c>
      <c r="I64" s="23">
        <v>1</v>
      </c>
      <c r="J64" s="23">
        <f t="shared" si="45"/>
        <v>169</v>
      </c>
      <c r="K64" s="23">
        <v>1</v>
      </c>
      <c r="L64" s="55" t="s">
        <v>813</v>
      </c>
      <c r="M64" s="55" t="s">
        <v>814</v>
      </c>
      <c r="N64" s="2" t="s">
        <v>118</v>
      </c>
      <c r="O64" s="26" t="s">
        <v>337</v>
      </c>
      <c r="P64" s="2" t="s">
        <v>306</v>
      </c>
      <c r="Q64" s="26" t="str">
        <f t="shared" si="22"/>
        <v>【&lt;font color="#ff2626"&gt;超&lt;/font&gt;&lt;font color="#ffe22a"&gt;激&lt;/font&gt;&lt;font color="#0093ff"&gt;レ&lt;/font&gt;&lt;font color="#00e075"&gt;ア&lt;/font&gt;ユニットをGETしよう！】
&lt;font color="#ffab27"&gt;01/01 14:59&lt;/font&gt;まで新ユニットの出現率UP!</v>
      </c>
    </row>
    <row r="65" spans="1:17" ht="42" x14ac:dyDescent="0.15">
      <c r="A65" s="6">
        <v>170</v>
      </c>
      <c r="B65" s="2">
        <v>3</v>
      </c>
      <c r="C65" s="2" t="s">
        <v>320</v>
      </c>
      <c r="D65" s="2">
        <v>100</v>
      </c>
      <c r="E65" s="17" t="str">
        <f>VLOOKUP($D65,gacha_types!$A:$D,2,FALSE)</f>
        <v>polygon</v>
      </c>
      <c r="F65" s="17">
        <f>VLOOKUP($D65,gacha_types!$A:$D,3,FALSE)</f>
        <v>5</v>
      </c>
      <c r="G65" s="17">
        <f t="shared" si="48"/>
        <v>170</v>
      </c>
      <c r="H65" s="13" t="str">
        <f t="shared" ref="H65:H70" si="50">"GachaTop_"&amp;A65&amp;".png"</f>
        <v>GachaTop_170.png</v>
      </c>
      <c r="I65" s="23">
        <v>1</v>
      </c>
      <c r="J65" s="23">
        <f t="shared" si="45"/>
        <v>170</v>
      </c>
      <c r="K65" s="23">
        <v>1</v>
      </c>
      <c r="L65" s="55" t="s">
        <v>813</v>
      </c>
      <c r="M65" s="55" t="s">
        <v>814</v>
      </c>
      <c r="N65" s="2" t="s">
        <v>118</v>
      </c>
      <c r="O65" s="26" t="s">
        <v>337</v>
      </c>
      <c r="P65" s="2" t="s">
        <v>321</v>
      </c>
      <c r="Q65" s="26" t="str">
        <f t="shared" si="22"/>
        <v>【&lt;font color="#ff2626"&gt;超&lt;/font&gt;&lt;font color="#ffe22a"&gt;激&lt;/font&gt;&lt;font color="#0093ff"&gt;レ&lt;/font&gt;&lt;font color="#00e075"&gt;ア&lt;/font&gt;ユニットをGETしよう！】
&lt;font color="#ffab27"&gt;01/01 14:59&lt;/font&gt;まで青属性ユニットの出現率UP!</v>
      </c>
    </row>
    <row r="66" spans="1:17" ht="42" x14ac:dyDescent="0.15">
      <c r="A66" s="6">
        <v>171</v>
      </c>
      <c r="B66" s="2">
        <v>3</v>
      </c>
      <c r="C66" s="2" t="s">
        <v>402</v>
      </c>
      <c r="D66" s="2">
        <v>100</v>
      </c>
      <c r="E66" s="17" t="str">
        <f>VLOOKUP($D66,gacha_types!$A:$D,2,FALSE)</f>
        <v>polygon</v>
      </c>
      <c r="F66" s="17">
        <f>VLOOKUP($D66,gacha_types!$A:$D,3,FALSE)</f>
        <v>5</v>
      </c>
      <c r="G66" s="17">
        <f t="shared" si="48"/>
        <v>171</v>
      </c>
      <c r="H66" s="13" t="str">
        <f t="shared" si="50"/>
        <v>GachaTop_171.png</v>
      </c>
      <c r="I66" s="23">
        <v>1</v>
      </c>
      <c r="J66" s="23">
        <f t="shared" si="45"/>
        <v>171</v>
      </c>
      <c r="K66" s="23">
        <v>1</v>
      </c>
      <c r="L66" s="55" t="s">
        <v>813</v>
      </c>
      <c r="M66" s="55" t="s">
        <v>814</v>
      </c>
      <c r="N66" s="2" t="s">
        <v>118</v>
      </c>
      <c r="O66" s="26" t="s">
        <v>337</v>
      </c>
      <c r="P66" s="2" t="s">
        <v>411</v>
      </c>
      <c r="Q66" s="26" t="str">
        <f t="shared" si="22"/>
        <v>【&lt;font color="#ff2626"&gt;超&lt;/font&gt;&lt;font color="#ffe22a"&gt;激&lt;/font&gt;&lt;font color="#0093ff"&gt;レ&lt;/font&gt;&lt;font color="#00e075"&gt;ア&lt;/font&gt;ユニットをGETしよう！】
&lt;font color="#ffab27"&gt;01/01 14:59&lt;/font&gt;まで10連で★５ユニットを追加プレゼント!</v>
      </c>
    </row>
    <row r="67" spans="1:17" ht="42" x14ac:dyDescent="0.15">
      <c r="A67" s="6">
        <v>172</v>
      </c>
      <c r="B67" s="2">
        <v>3</v>
      </c>
      <c r="C67" s="2" t="s">
        <v>403</v>
      </c>
      <c r="D67" s="2">
        <v>100</v>
      </c>
      <c r="E67" s="17" t="str">
        <f>VLOOKUP($D67,gacha_types!$A:$D,2,FALSE)</f>
        <v>polygon</v>
      </c>
      <c r="F67" s="17">
        <f>VLOOKUP($D67,gacha_types!$A:$D,3,FALSE)</f>
        <v>5</v>
      </c>
      <c r="G67" s="17">
        <f t="shared" ref="G67" si="51">A67</f>
        <v>172</v>
      </c>
      <c r="H67" s="13" t="str">
        <f t="shared" si="50"/>
        <v>GachaTop_172.png</v>
      </c>
      <c r="I67" s="23">
        <v>1</v>
      </c>
      <c r="J67" s="23">
        <f t="shared" si="45"/>
        <v>172</v>
      </c>
      <c r="K67" s="23">
        <v>1</v>
      </c>
      <c r="L67" s="55" t="s">
        <v>813</v>
      </c>
      <c r="M67" s="55" t="s">
        <v>814</v>
      </c>
      <c r="N67" s="2" t="s">
        <v>118</v>
      </c>
      <c r="O67" s="26" t="s">
        <v>337</v>
      </c>
      <c r="P67" s="2" t="s">
        <v>495</v>
      </c>
      <c r="Q67" s="26" t="str">
        <f t="shared" ref="Q67:Q73" si="52">CONCATENATE(O67, "
","&lt;font color=""#ffab27""&gt;",RIGHT(LEFT(M67,7),2)&amp;"/"&amp;RIGHT(LEFT(M67,10),2)&amp;" "&amp;LEFT(RIGHT(M67,8),5)&amp;"&lt;/font&gt;まで",P67)</f>
        <v>【&lt;font color="#ff2626"&gt;超&lt;/font&gt;&lt;font color="#ffe22a"&gt;激&lt;/font&gt;&lt;font color="#0093ff"&gt;レ&lt;/font&gt;&lt;font color="#00e075"&gt;ア&lt;/font&gt;ユニットをGETしよう！】
&lt;font color="#ffab27"&gt;01/01 14:59&lt;/font&gt;までピックアップユニット4体の出現率UP!</v>
      </c>
    </row>
    <row r="68" spans="1:17" ht="42" x14ac:dyDescent="0.15">
      <c r="A68" s="6">
        <v>173</v>
      </c>
      <c r="B68" s="2">
        <v>3</v>
      </c>
      <c r="C68" s="2" t="s">
        <v>430</v>
      </c>
      <c r="D68" s="2">
        <v>100</v>
      </c>
      <c r="E68" s="17" t="str">
        <f>VLOOKUP($D68,gacha_types!$A:$D,2,FALSE)</f>
        <v>polygon</v>
      </c>
      <c r="F68" s="17">
        <f>VLOOKUP($D68,gacha_types!$A:$D,3,FALSE)</f>
        <v>5</v>
      </c>
      <c r="G68" s="17">
        <f t="shared" ref="G68" si="53">A68</f>
        <v>173</v>
      </c>
      <c r="H68" s="13" t="str">
        <f t="shared" si="50"/>
        <v>GachaTop_173.png</v>
      </c>
      <c r="I68" s="23">
        <v>1</v>
      </c>
      <c r="J68" s="23">
        <f t="shared" si="45"/>
        <v>173</v>
      </c>
      <c r="K68" s="23">
        <v>1</v>
      </c>
      <c r="L68" s="55" t="s">
        <v>813</v>
      </c>
      <c r="M68" s="55" t="s">
        <v>814</v>
      </c>
      <c r="N68" s="2" t="s">
        <v>118</v>
      </c>
      <c r="O68" s="26" t="s">
        <v>337</v>
      </c>
      <c r="P68" s="2" t="s">
        <v>443</v>
      </c>
      <c r="Q68" s="26" t="str">
        <f t="shared" si="52"/>
        <v>【&lt;font color="#ff2626"&gt;超&lt;/font&gt;&lt;font color="#ffe22a"&gt;激&lt;/font&gt;&lt;font color="#0093ff"&gt;レ&lt;/font&gt;&lt;font color="#00e075"&gt;ア&lt;/font&gt;ユニットをGETしよう！】
&lt;font color="#ffab27"&gt;01/01 14:59&lt;/font&gt;まで新ユニットの出現率UP!</v>
      </c>
    </row>
    <row r="69" spans="1:17" ht="42" x14ac:dyDescent="0.15">
      <c r="A69" s="6">
        <v>174</v>
      </c>
      <c r="B69" s="2">
        <v>3</v>
      </c>
      <c r="C69" s="2" t="s">
        <v>431</v>
      </c>
      <c r="D69" s="2">
        <v>100</v>
      </c>
      <c r="E69" s="17" t="str">
        <f>VLOOKUP($D69,gacha_types!$A:$D,2,FALSE)</f>
        <v>polygon</v>
      </c>
      <c r="F69" s="17">
        <f>VLOOKUP($D69,gacha_types!$A:$D,3,FALSE)</f>
        <v>5</v>
      </c>
      <c r="G69" s="17">
        <f t="shared" ref="G69:G70" si="54">A69</f>
        <v>174</v>
      </c>
      <c r="H69" s="13" t="str">
        <f t="shared" si="50"/>
        <v>GachaTop_174.png</v>
      </c>
      <c r="I69" s="23">
        <v>1</v>
      </c>
      <c r="J69" s="23">
        <f t="shared" si="45"/>
        <v>174</v>
      </c>
      <c r="K69" s="23">
        <v>1</v>
      </c>
      <c r="L69" s="55" t="s">
        <v>813</v>
      </c>
      <c r="M69" s="55" t="s">
        <v>814</v>
      </c>
      <c r="N69" s="2" t="s">
        <v>118</v>
      </c>
      <c r="O69" s="26" t="s">
        <v>337</v>
      </c>
      <c r="P69" s="2" t="s">
        <v>444</v>
      </c>
      <c r="Q69" s="26" t="str">
        <f t="shared" si="52"/>
        <v>【&lt;font color="#ff2626"&gt;超&lt;/font&gt;&lt;font color="#ffe22a"&gt;激&lt;/font&gt;&lt;font color="#0093ff"&gt;レ&lt;/font&gt;&lt;font color="#00e075"&gt;ア&lt;/font&gt;ユニットをGETしよう！】
&lt;font color="#ffab27"&gt;01/01 14:59&lt;/font&gt;まで赤属性ユニットの出現率UP!</v>
      </c>
    </row>
    <row r="70" spans="1:17" ht="14" x14ac:dyDescent="0.15">
      <c r="A70" s="6">
        <v>175</v>
      </c>
      <c r="B70" s="2">
        <v>3</v>
      </c>
      <c r="C70" s="2" t="s">
        <v>432</v>
      </c>
      <c r="D70" s="2">
        <v>100</v>
      </c>
      <c r="E70" s="17" t="str">
        <f>VLOOKUP($D70,gacha_types!$A:$D,2,FALSE)</f>
        <v>polygon</v>
      </c>
      <c r="F70" s="17">
        <f>VLOOKUP($D70,gacha_types!$A:$D,3,FALSE)</f>
        <v>5</v>
      </c>
      <c r="G70" s="17">
        <f t="shared" si="54"/>
        <v>175</v>
      </c>
      <c r="H70" s="13" t="str">
        <f t="shared" si="50"/>
        <v>GachaTop_175.png</v>
      </c>
      <c r="I70" s="23">
        <v>1</v>
      </c>
      <c r="J70" s="23">
        <f t="shared" si="45"/>
        <v>175</v>
      </c>
      <c r="K70" s="23">
        <v>1</v>
      </c>
      <c r="L70" s="55" t="s">
        <v>813</v>
      </c>
      <c r="M70" s="55" t="s">
        <v>814</v>
      </c>
      <c r="N70" s="2" t="s">
        <v>118</v>
      </c>
      <c r="O70" s="26" t="s">
        <v>457</v>
      </c>
      <c r="P70" s="2" t="s">
        <v>441</v>
      </c>
      <c r="Q70" s="26" t="str">
        <f t="shared" si="52"/>
        <v>6STEPで1セット! 5セットまで特典付き!
&lt;font color="#ffab27"&gt;01/01 14:59&lt;/font&gt;までステップアップで厳選ユニット1体確定!</v>
      </c>
    </row>
    <row r="71" spans="1:17" ht="42" x14ac:dyDescent="0.15">
      <c r="A71" s="6">
        <v>176</v>
      </c>
      <c r="B71" s="2">
        <v>3</v>
      </c>
      <c r="C71" s="2" t="s">
        <v>433</v>
      </c>
      <c r="D71" s="2">
        <v>100</v>
      </c>
      <c r="E71" s="17" t="str">
        <f>VLOOKUP($D71,gacha_types!$A:$D,2,FALSE)</f>
        <v>polygon</v>
      </c>
      <c r="F71" s="17">
        <f>VLOOKUP($D71,gacha_types!$A:$D,3,FALSE)</f>
        <v>5</v>
      </c>
      <c r="G71" s="17">
        <f t="shared" ref="G71" si="55">A71</f>
        <v>176</v>
      </c>
      <c r="H71" s="13" t="str">
        <f>"GachaTop_"&amp;164&amp;".png"</f>
        <v>GachaTop_164.png</v>
      </c>
      <c r="I71" s="23">
        <v>1</v>
      </c>
      <c r="J71" s="23">
        <f t="shared" si="45"/>
        <v>176</v>
      </c>
      <c r="K71" s="23">
        <v>1</v>
      </c>
      <c r="L71" s="55" t="s">
        <v>813</v>
      </c>
      <c r="M71" s="55" t="s">
        <v>814</v>
      </c>
      <c r="N71" s="2" t="s">
        <v>118</v>
      </c>
      <c r="O71" s="26" t="s">
        <v>337</v>
      </c>
      <c r="P71" s="2" t="s">
        <v>445</v>
      </c>
      <c r="Q71" s="26" t="str">
        <f t="shared" si="52"/>
        <v>【&lt;font color="#ff2626"&gt;超&lt;/font&gt;&lt;font color="#ffe22a"&gt;激&lt;/font&gt;&lt;font color="#0093ff"&gt;レ&lt;/font&gt;&lt;font color="#00e075"&gt;ア&lt;/font&gt;ユニットをGETしよう！】
&lt;font color="#ffab27"&gt;01/01 14:59&lt;/font&gt;までドラゴンユニットの出現率UP!</v>
      </c>
    </row>
    <row r="72" spans="1:17" ht="42" x14ac:dyDescent="0.15">
      <c r="A72" s="6">
        <v>177</v>
      </c>
      <c r="B72" s="2">
        <v>3</v>
      </c>
      <c r="C72" s="2" t="s">
        <v>459</v>
      </c>
      <c r="D72" s="2">
        <v>100</v>
      </c>
      <c r="E72" s="17" t="str">
        <f>VLOOKUP($D72,gacha_types!$A:$D,2,FALSE)</f>
        <v>polygon</v>
      </c>
      <c r="F72" s="17">
        <f>VLOOKUP($D72,gacha_types!$A:$D,3,FALSE)</f>
        <v>5</v>
      </c>
      <c r="G72" s="17">
        <f t="shared" ref="G72" si="56">A72</f>
        <v>177</v>
      </c>
      <c r="H72" s="13" t="str">
        <f>"GachaTop_"&amp;A72&amp;".png"</f>
        <v>GachaTop_177.png</v>
      </c>
      <c r="I72" s="23">
        <v>1</v>
      </c>
      <c r="J72" s="23">
        <f t="shared" si="45"/>
        <v>177</v>
      </c>
      <c r="K72" s="23">
        <v>1</v>
      </c>
      <c r="L72" s="55" t="s">
        <v>813</v>
      </c>
      <c r="M72" s="55" t="s">
        <v>814</v>
      </c>
      <c r="N72" s="2" t="s">
        <v>118</v>
      </c>
      <c r="O72" s="26" t="s">
        <v>337</v>
      </c>
      <c r="P72" s="2" t="s">
        <v>488</v>
      </c>
      <c r="Q72" s="26" t="str">
        <f t="shared" si="52"/>
        <v>【&lt;font color="#ff2626"&gt;超&lt;/font&gt;&lt;font color="#ffe22a"&gt;激&lt;/font&gt;&lt;font color="#0093ff"&gt;レ&lt;/font&gt;&lt;font color="#00e075"&gt;ア&lt;/font&gt;ユニットをGETしよう！】
&lt;font color="#ffab27"&gt;01/01 14:59&lt;/font&gt;までクラファー人気ユニットの出現率UP!</v>
      </c>
    </row>
    <row r="73" spans="1:17" ht="42" x14ac:dyDescent="0.15">
      <c r="A73" s="6">
        <v>178</v>
      </c>
      <c r="B73" s="2">
        <v>3</v>
      </c>
      <c r="C73" s="2" t="s">
        <v>460</v>
      </c>
      <c r="D73" s="2">
        <v>100</v>
      </c>
      <c r="E73" s="17" t="str">
        <f>VLOOKUP($D73,gacha_types!$A:$D,2,FALSE)</f>
        <v>polygon</v>
      </c>
      <c r="F73" s="17">
        <f>VLOOKUP($D73,gacha_types!$A:$D,3,FALSE)</f>
        <v>5</v>
      </c>
      <c r="G73" s="17">
        <f t="shared" ref="G73:G74" si="57">A73</f>
        <v>178</v>
      </c>
      <c r="H73" s="13" t="str">
        <f t="shared" ref="H73:H79" si="58">"GachaTop_"&amp;A73&amp;".png"</f>
        <v>GachaTop_178.png</v>
      </c>
      <c r="I73" s="23">
        <v>1</v>
      </c>
      <c r="J73" s="23">
        <f t="shared" si="45"/>
        <v>178</v>
      </c>
      <c r="K73" s="23">
        <v>1</v>
      </c>
      <c r="L73" s="55" t="s">
        <v>813</v>
      </c>
      <c r="M73" s="55" t="s">
        <v>814</v>
      </c>
      <c r="N73" s="2" t="s">
        <v>118</v>
      </c>
      <c r="O73" s="26" t="s">
        <v>337</v>
      </c>
      <c r="P73" s="2" t="s">
        <v>489</v>
      </c>
      <c r="Q73" s="26" t="str">
        <f t="shared" si="52"/>
        <v>【&lt;font color="#ff2626"&gt;超&lt;/font&gt;&lt;font color="#ffe22a"&gt;激&lt;/font&gt;&lt;font color="#0093ff"&gt;レ&lt;/font&gt;&lt;font color="#00e075"&gt;ア&lt;/font&gt;ユニットをGETしよう！】
&lt;font color="#ffab27"&gt;01/01 14:59&lt;/font&gt;まで初音ミクコラボ限定ユニットが出現中！</v>
      </c>
    </row>
    <row r="74" spans="1:17" ht="42" x14ac:dyDescent="0.15">
      <c r="A74" s="6">
        <v>179</v>
      </c>
      <c r="B74" s="2">
        <v>3</v>
      </c>
      <c r="C74" s="2" t="s">
        <v>461</v>
      </c>
      <c r="D74" s="2">
        <v>100</v>
      </c>
      <c r="E74" s="17" t="str">
        <f>VLOOKUP($D74,gacha_types!$A:$D,2,FALSE)</f>
        <v>polygon</v>
      </c>
      <c r="F74" s="17">
        <f>VLOOKUP($D74,gacha_types!$A:$D,3,FALSE)</f>
        <v>5</v>
      </c>
      <c r="G74" s="17">
        <f t="shared" si="57"/>
        <v>179</v>
      </c>
      <c r="H74" s="13" t="str">
        <f>"GachaTop_"&amp;"183"&amp;".png"</f>
        <v>GachaTop_183.png</v>
      </c>
      <c r="I74" s="23">
        <v>1</v>
      </c>
      <c r="J74" s="23">
        <f t="shared" si="45"/>
        <v>179</v>
      </c>
      <c r="K74" s="23">
        <v>1</v>
      </c>
      <c r="L74" s="55" t="s">
        <v>813</v>
      </c>
      <c r="M74" s="55" t="s">
        <v>814</v>
      </c>
      <c r="N74" s="2" t="s">
        <v>118</v>
      </c>
      <c r="O74" s="26" t="s">
        <v>509</v>
      </c>
      <c r="P74" s="2" t="s">
        <v>489</v>
      </c>
      <c r="Q74" s="50" t="s">
        <v>510</v>
      </c>
    </row>
    <row r="75" spans="1:17" ht="42" x14ac:dyDescent="0.15">
      <c r="A75" s="6">
        <v>180</v>
      </c>
      <c r="B75" s="2">
        <v>3</v>
      </c>
      <c r="C75" s="2" t="s">
        <v>235</v>
      </c>
      <c r="D75" s="2">
        <v>100</v>
      </c>
      <c r="E75" s="17" t="str">
        <f>VLOOKUP($D75,gacha_types!$A:$D,2,FALSE)</f>
        <v>polygon</v>
      </c>
      <c r="F75" s="17">
        <f>VLOOKUP($D75,gacha_types!$A:$D,3,FALSE)</f>
        <v>5</v>
      </c>
      <c r="G75" s="17">
        <f t="shared" ref="G75:G82" si="59">A75</f>
        <v>180</v>
      </c>
      <c r="H75" s="13" t="str">
        <f t="shared" si="58"/>
        <v>GachaTop_180.png</v>
      </c>
      <c r="I75" s="23">
        <v>1</v>
      </c>
      <c r="J75" s="23">
        <f t="shared" si="45"/>
        <v>180</v>
      </c>
      <c r="K75" s="23">
        <v>1</v>
      </c>
      <c r="L75" s="55" t="s">
        <v>813</v>
      </c>
      <c r="M75" s="55" t="s">
        <v>814</v>
      </c>
      <c r="N75" s="2" t="s">
        <v>118</v>
      </c>
      <c r="O75" s="26" t="s">
        <v>337</v>
      </c>
      <c r="P75" s="2" t="s">
        <v>372</v>
      </c>
      <c r="Q75" s="26" t="str">
        <f t="shared" ref="Q75:Q81" si="60">CONCATENATE(O75, "
","&lt;font color=""#ffab27""&gt;",RIGHT(LEFT(M75,7),2)&amp;"/"&amp;RIGHT(LEFT(M75,10),2)&amp;" "&amp;LEFT(RIGHT(M75,8),5)&amp;"&lt;/font&gt;まで",P75)</f>
        <v>【&lt;font color="#ff2626"&gt;超&lt;/font&gt;&lt;font color="#ffe22a"&gt;激&lt;/font&gt;&lt;font color="#0093ff"&gt;レ&lt;/font&gt;&lt;font color="#00e075"&gt;ア&lt;/font&gt;ユニットをGETしよう！】
&lt;font color="#ffab27"&gt;01/01 14:59&lt;/font&gt;までフェス限定ユニットが出現中!</v>
      </c>
    </row>
    <row r="76" spans="1:17" ht="42" x14ac:dyDescent="0.15">
      <c r="A76" s="6">
        <v>181</v>
      </c>
      <c r="B76" s="2">
        <v>3</v>
      </c>
      <c r="C76" s="2" t="s">
        <v>492</v>
      </c>
      <c r="D76" s="2">
        <v>100</v>
      </c>
      <c r="E76" s="17" t="str">
        <f>VLOOKUP($D76,gacha_types!$A:$D,2,FALSE)</f>
        <v>polygon</v>
      </c>
      <c r="F76" s="17">
        <f>VLOOKUP($D76,gacha_types!$A:$D,3,FALSE)</f>
        <v>5</v>
      </c>
      <c r="G76" s="17">
        <f t="shared" ref="G76:G77" si="61">A76</f>
        <v>181</v>
      </c>
      <c r="H76" s="13" t="str">
        <f t="shared" ref="H76:H77" si="62">"GachaTop_"&amp;A76&amp;".png"</f>
        <v>GachaTop_181.png</v>
      </c>
      <c r="I76" s="23">
        <v>1</v>
      </c>
      <c r="J76" s="23">
        <f t="shared" si="45"/>
        <v>181</v>
      </c>
      <c r="K76" s="23">
        <v>1</v>
      </c>
      <c r="L76" s="55" t="s">
        <v>813</v>
      </c>
      <c r="M76" s="55" t="s">
        <v>814</v>
      </c>
      <c r="N76" s="2" t="s">
        <v>118</v>
      </c>
      <c r="O76" s="26" t="s">
        <v>337</v>
      </c>
      <c r="P76" s="2" t="s">
        <v>601</v>
      </c>
      <c r="Q76" s="26" t="str">
        <f t="shared" si="60"/>
        <v>【&lt;font color="#ff2626"&gt;超&lt;/font&gt;&lt;font color="#ffe22a"&gt;激&lt;/font&gt;&lt;font color="#0093ff"&gt;レ&lt;/font&gt;&lt;font color="#00e075"&gt;ア&lt;/font&gt;ユニットをGETしよう！】
&lt;font color="#ffab27"&gt;01/01 14:59&lt;/font&gt;までピックアップユニット4体の出現率UP!</v>
      </c>
    </row>
    <row r="77" spans="1:17" ht="42" x14ac:dyDescent="0.15">
      <c r="A77" s="6">
        <v>182</v>
      </c>
      <c r="B77" s="2">
        <v>3</v>
      </c>
      <c r="C77" s="2" t="s">
        <v>493</v>
      </c>
      <c r="D77" s="2">
        <v>100</v>
      </c>
      <c r="E77" s="17" t="str">
        <f>VLOOKUP($D77,gacha_types!$A:$D,2,FALSE)</f>
        <v>polygon</v>
      </c>
      <c r="F77" s="17">
        <f>VLOOKUP($D77,gacha_types!$A:$D,3,FALSE)</f>
        <v>5</v>
      </c>
      <c r="G77" s="17">
        <f t="shared" si="61"/>
        <v>182</v>
      </c>
      <c r="H77" s="13" t="str">
        <f t="shared" si="62"/>
        <v>GachaTop_182.png</v>
      </c>
      <c r="I77" s="23">
        <v>1</v>
      </c>
      <c r="J77" s="23">
        <f t="shared" si="45"/>
        <v>182</v>
      </c>
      <c r="K77" s="23">
        <v>1</v>
      </c>
      <c r="L77" s="55" t="s">
        <v>813</v>
      </c>
      <c r="M77" s="55" t="s">
        <v>814</v>
      </c>
      <c r="N77" s="2" t="s">
        <v>118</v>
      </c>
      <c r="O77" s="26" t="s">
        <v>337</v>
      </c>
      <c r="P77" s="2" t="s">
        <v>443</v>
      </c>
      <c r="Q77" s="26" t="str">
        <f t="shared" si="60"/>
        <v>【&lt;font color="#ff2626"&gt;超&lt;/font&gt;&lt;font color="#ffe22a"&gt;激&lt;/font&gt;&lt;font color="#0093ff"&gt;レ&lt;/font&gt;&lt;font color="#00e075"&gt;ア&lt;/font&gt;ユニットをGETしよう！】
&lt;font color="#ffab27"&gt;01/01 14:59&lt;/font&gt;まで新ユニットの出現率UP!</v>
      </c>
    </row>
    <row r="78" spans="1:17" ht="42" x14ac:dyDescent="0.15">
      <c r="A78" s="6">
        <v>184</v>
      </c>
      <c r="B78" s="2">
        <v>3</v>
      </c>
      <c r="C78" s="2" t="s">
        <v>511</v>
      </c>
      <c r="D78" s="2">
        <v>100</v>
      </c>
      <c r="E78" s="17" t="str">
        <f>VLOOKUP($D78,gacha_types!$A:$D,2,FALSE)</f>
        <v>polygon</v>
      </c>
      <c r="F78" s="17">
        <f>VLOOKUP($D78,gacha_types!$A:$D,3,FALSE)</f>
        <v>5</v>
      </c>
      <c r="G78" s="17">
        <f t="shared" si="59"/>
        <v>184</v>
      </c>
      <c r="H78" s="13" t="str">
        <f t="shared" si="58"/>
        <v>GachaTop_184.png</v>
      </c>
      <c r="I78" s="23">
        <v>1</v>
      </c>
      <c r="J78" s="23">
        <f t="shared" si="45"/>
        <v>184</v>
      </c>
      <c r="K78" s="23">
        <v>1</v>
      </c>
      <c r="L78" s="55" t="s">
        <v>813</v>
      </c>
      <c r="M78" s="55" t="s">
        <v>814</v>
      </c>
      <c r="N78" s="2" t="s">
        <v>118</v>
      </c>
      <c r="O78" s="26" t="s">
        <v>337</v>
      </c>
      <c r="P78" s="2" t="s">
        <v>518</v>
      </c>
      <c r="Q78" s="26" t="str">
        <f t="shared" si="60"/>
        <v>【&lt;font color="#ff2626"&gt;超&lt;/font&gt;&lt;font color="#ffe22a"&gt;激&lt;/font&gt;&lt;font color="#0093ff"&gt;レ&lt;/font&gt;&lt;font color="#00e075"&gt;ア&lt;/font&gt;ユニットをGETしよう！】
&lt;font color="#ffab27"&gt;01/01 14:59&lt;/font&gt;まで黄属性ユニットの出現率UP!</v>
      </c>
    </row>
    <row r="79" spans="1:17" ht="42" x14ac:dyDescent="0.15">
      <c r="A79" s="6">
        <v>185</v>
      </c>
      <c r="B79" s="2">
        <v>3</v>
      </c>
      <c r="C79" s="2" t="s">
        <v>512</v>
      </c>
      <c r="D79" s="2">
        <v>100</v>
      </c>
      <c r="E79" s="17" t="str">
        <f>VLOOKUP($D79,gacha_types!$A:$D,2,FALSE)</f>
        <v>polygon</v>
      </c>
      <c r="F79" s="17">
        <f>VLOOKUP($D79,gacha_types!$A:$D,3,FALSE)</f>
        <v>5</v>
      </c>
      <c r="G79" s="17">
        <f t="shared" si="59"/>
        <v>185</v>
      </c>
      <c r="H79" s="13" t="str">
        <f t="shared" si="58"/>
        <v>GachaTop_185.png</v>
      </c>
      <c r="I79" s="23">
        <v>1</v>
      </c>
      <c r="J79" s="23">
        <f t="shared" si="45"/>
        <v>185</v>
      </c>
      <c r="K79" s="23">
        <v>1</v>
      </c>
      <c r="L79" s="55" t="s">
        <v>813</v>
      </c>
      <c r="M79" s="55" t="s">
        <v>814</v>
      </c>
      <c r="N79" s="2" t="s">
        <v>118</v>
      </c>
      <c r="O79" s="26" t="s">
        <v>337</v>
      </c>
      <c r="P79" s="2" t="s">
        <v>495</v>
      </c>
      <c r="Q79" s="26" t="str">
        <f t="shared" si="60"/>
        <v>【&lt;font color="#ff2626"&gt;超&lt;/font&gt;&lt;font color="#ffe22a"&gt;激&lt;/font&gt;&lt;font color="#0093ff"&gt;レ&lt;/font&gt;&lt;font color="#00e075"&gt;ア&lt;/font&gt;ユニットをGETしよう！】
&lt;font color="#ffab27"&gt;01/01 14:59&lt;/font&gt;までピックアップユニット4体の出現率UP!</v>
      </c>
    </row>
    <row r="80" spans="1:17" ht="14" x14ac:dyDescent="0.15">
      <c r="A80" s="6">
        <v>186</v>
      </c>
      <c r="B80" s="2">
        <v>3</v>
      </c>
      <c r="C80" s="2" t="s">
        <v>522</v>
      </c>
      <c r="D80" s="2">
        <v>100</v>
      </c>
      <c r="E80" s="17" t="str">
        <f>VLOOKUP($D80,gacha_types!$A:$D,2,FALSE)</f>
        <v>polygon</v>
      </c>
      <c r="F80" s="17">
        <f>VLOOKUP($D80,gacha_types!$A:$D,3,FALSE)</f>
        <v>5</v>
      </c>
      <c r="G80" s="17">
        <f t="shared" ref="G80:G81" si="63">A80</f>
        <v>186</v>
      </c>
      <c r="H80" s="13" t="str">
        <f t="shared" ref="H80:H82" si="64">"GachaTop_"&amp;A80&amp;".png"</f>
        <v>GachaTop_186.png</v>
      </c>
      <c r="I80" s="23">
        <v>1</v>
      </c>
      <c r="J80" s="23">
        <f t="shared" si="45"/>
        <v>186</v>
      </c>
      <c r="K80" s="23">
        <v>1</v>
      </c>
      <c r="L80" s="55" t="s">
        <v>813</v>
      </c>
      <c r="M80" s="55" t="s">
        <v>814</v>
      </c>
      <c r="N80" s="2" t="s">
        <v>118</v>
      </c>
      <c r="O80" s="26" t="s">
        <v>457</v>
      </c>
      <c r="P80" s="2" t="s">
        <v>441</v>
      </c>
      <c r="Q80" s="26" t="str">
        <f t="shared" si="60"/>
        <v>6STEPで1セット! 5セットまで特典付き!
&lt;font color="#ffab27"&gt;01/01 14:59&lt;/font&gt;までステップアップで厳選ユニット1体確定!</v>
      </c>
    </row>
    <row r="81" spans="1:17" ht="42" x14ac:dyDescent="0.15">
      <c r="A81" s="6">
        <v>187</v>
      </c>
      <c r="B81" s="2">
        <v>3</v>
      </c>
      <c r="C81" s="2" t="s">
        <v>520</v>
      </c>
      <c r="D81" s="2">
        <v>100</v>
      </c>
      <c r="E81" s="17" t="str">
        <f>VLOOKUP($D81,gacha_types!$A:$D,2,FALSE)</f>
        <v>polygon</v>
      </c>
      <c r="F81" s="17">
        <f>VLOOKUP($D81,gacha_types!$A:$D,3,FALSE)</f>
        <v>5</v>
      </c>
      <c r="G81" s="17">
        <f t="shared" si="63"/>
        <v>187</v>
      </c>
      <c r="H81" s="13" t="str">
        <f t="shared" si="64"/>
        <v>GachaTop_187.png</v>
      </c>
      <c r="I81" s="23">
        <v>1</v>
      </c>
      <c r="J81" s="23">
        <f t="shared" si="45"/>
        <v>187</v>
      </c>
      <c r="K81" s="23">
        <v>1</v>
      </c>
      <c r="L81" s="55" t="s">
        <v>813</v>
      </c>
      <c r="M81" s="55" t="s">
        <v>814</v>
      </c>
      <c r="N81" s="2" t="s">
        <v>118</v>
      </c>
      <c r="O81" s="26" t="s">
        <v>337</v>
      </c>
      <c r="P81" s="2" t="s">
        <v>532</v>
      </c>
      <c r="Q81" s="26" t="str">
        <f t="shared" si="60"/>
        <v>【&lt;font color="#ff2626"&gt;超&lt;/font&gt;&lt;font color="#ffe22a"&gt;激&lt;/font&gt;&lt;font color="#0093ff"&gt;レ&lt;/font&gt;&lt;font color="#00e075"&gt;ア&lt;/font&gt;ユニットをGETしよう！】
&lt;font color="#ffab27"&gt;01/01 14:59&lt;/font&gt;までマシンユニットの出現率UP!</v>
      </c>
    </row>
    <row r="82" spans="1:17" ht="98" x14ac:dyDescent="0.15">
      <c r="A82" s="6">
        <v>188</v>
      </c>
      <c r="B82" s="2">
        <v>3</v>
      </c>
      <c r="C82" s="2" t="s">
        <v>553</v>
      </c>
      <c r="D82" s="2">
        <v>100</v>
      </c>
      <c r="E82" s="17" t="str">
        <f>VLOOKUP($D82,gacha_types!$A:$D,2,FALSE)</f>
        <v>polygon</v>
      </c>
      <c r="F82" s="17">
        <f>VLOOKUP($D82,gacha_types!$A:$D,3,FALSE)</f>
        <v>5</v>
      </c>
      <c r="G82" s="17">
        <f t="shared" si="59"/>
        <v>188</v>
      </c>
      <c r="H82" s="13" t="str">
        <f t="shared" si="64"/>
        <v>GachaTop_188.png</v>
      </c>
      <c r="I82" s="23">
        <v>1</v>
      </c>
      <c r="J82" s="23">
        <f t="shared" si="45"/>
        <v>188</v>
      </c>
      <c r="K82" s="23">
        <v>1</v>
      </c>
      <c r="L82" s="55" t="s">
        <v>813</v>
      </c>
      <c r="M82" s="55" t="s">
        <v>814</v>
      </c>
      <c r="N82" s="2" t="s">
        <v>118</v>
      </c>
      <c r="O82" s="26" t="s">
        <v>337</v>
      </c>
      <c r="P82" s="2" t="s">
        <v>558</v>
      </c>
      <c r="Q82" s="50" t="s">
        <v>559</v>
      </c>
    </row>
    <row r="83" spans="1:17" ht="70" x14ac:dyDescent="0.15">
      <c r="A83" s="6">
        <v>189</v>
      </c>
      <c r="B83" s="2">
        <v>3</v>
      </c>
      <c r="C83" s="2" t="s">
        <v>521</v>
      </c>
      <c r="D83" s="2">
        <v>100</v>
      </c>
      <c r="E83" s="17" t="str">
        <f>VLOOKUP($D83,gacha_types!$A:$D,2,FALSE)</f>
        <v>polygon</v>
      </c>
      <c r="F83" s="17">
        <f>VLOOKUP($D83,gacha_types!$A:$D,3,FALSE)</f>
        <v>5</v>
      </c>
      <c r="G83" s="17">
        <f t="shared" ref="G83:G88" si="65">A83</f>
        <v>189</v>
      </c>
      <c r="H83" s="13" t="str">
        <f>"GachaTop_"&amp;"177"&amp;".png"</f>
        <v>GachaTop_177.png</v>
      </c>
      <c r="I83" s="23">
        <v>1</v>
      </c>
      <c r="J83" s="23">
        <f t="shared" si="45"/>
        <v>189</v>
      </c>
      <c r="K83" s="23">
        <v>1</v>
      </c>
      <c r="L83" s="55" t="s">
        <v>813</v>
      </c>
      <c r="M83" s="55" t="s">
        <v>814</v>
      </c>
      <c r="N83" s="2" t="s">
        <v>118</v>
      </c>
      <c r="O83" s="26" t="s">
        <v>337</v>
      </c>
      <c r="P83" s="2" t="s">
        <v>544</v>
      </c>
      <c r="Q83" s="26" t="str">
        <f>CONCATENATE(O83, "
","&lt;font color=""#ffab27""&gt;",RIGHT(LEFT(M83,7),2)&amp;"/"&amp;RIGHT(LEFT(M83,10),2)&amp;" "&amp;LEFT(RIGHT(M83,8),5)&amp;"&lt;/font&gt;まで",P83)</f>
        <v>【&lt;font color="#ff2626"&gt;超&lt;/font&gt;&lt;font color="#ffe22a"&gt;激&lt;/font&gt;&lt;font color="#0093ff"&gt;レ&lt;/font&gt;&lt;font color="#00e075"&gt;ア&lt;/font&gt;ユニットをGETしよう！】_x000D_&lt;font color="#ffab27"&gt;01/01 14:59&lt;/font&gt;までピックアップユニットの出現率UP!</v>
      </c>
    </row>
    <row r="84" spans="1:17" ht="70" x14ac:dyDescent="0.15">
      <c r="A84" s="6">
        <v>190</v>
      </c>
      <c r="B84" s="2">
        <v>3</v>
      </c>
      <c r="C84" s="2" t="s">
        <v>552</v>
      </c>
      <c r="D84" s="2">
        <v>100</v>
      </c>
      <c r="E84" s="17" t="str">
        <f>VLOOKUP($D84,gacha_types!$A:$D,2,FALSE)</f>
        <v>polygon</v>
      </c>
      <c r="F84" s="17">
        <f>VLOOKUP($D84,gacha_types!$A:$D,3,FALSE)</f>
        <v>5</v>
      </c>
      <c r="G84" s="17">
        <f t="shared" ref="G84:G86" si="66">A84</f>
        <v>190</v>
      </c>
      <c r="H84" s="13" t="str">
        <f t="shared" ref="H84" si="67">"GachaTop_"&amp;A84&amp;".png"</f>
        <v>GachaTop_190.png</v>
      </c>
      <c r="I84" s="23">
        <v>1</v>
      </c>
      <c r="J84" s="23">
        <f t="shared" si="45"/>
        <v>190</v>
      </c>
      <c r="K84" s="23">
        <v>1</v>
      </c>
      <c r="L84" s="55" t="s">
        <v>813</v>
      </c>
      <c r="M84" s="55" t="s">
        <v>814</v>
      </c>
      <c r="N84" s="2" t="s">
        <v>118</v>
      </c>
      <c r="O84" s="26" t="s">
        <v>337</v>
      </c>
      <c r="P84" s="2" t="s">
        <v>374</v>
      </c>
      <c r="Q84" s="26" t="str">
        <f>CONCATENATE(O84, "
","&lt;font color=""#ffab27""&gt;",RIGHT(LEFT(M84,7),2)&amp;"/"&amp;RIGHT(LEFT(M84,10),2)&amp;" "&amp;LEFT(RIGHT(M84,8),5)&amp;"&lt;/font&gt;まで",P84)</f>
        <v>【&lt;font color="#ff2626"&gt;超&lt;/font&gt;&lt;font color="#ffe22a"&gt;激&lt;/font&gt;&lt;font color="#0093ff"&gt;レ&lt;/font&gt;&lt;font color="#00e075"&gt;ア&lt;/font&gt;ユニットをGETしよう！】_x000D_&lt;font color="#ffab27"&gt;01/01 14:59&lt;/font&gt;まで★5ユニットの出現率UP!</v>
      </c>
    </row>
    <row r="85" spans="1:17" ht="42" x14ac:dyDescent="0.15">
      <c r="A85" s="6">
        <v>196</v>
      </c>
      <c r="B85" s="2">
        <v>3</v>
      </c>
      <c r="C85" s="2" t="s">
        <v>560</v>
      </c>
      <c r="D85" s="2">
        <v>100</v>
      </c>
      <c r="E85" s="17" t="str">
        <f>VLOOKUP($D85,gacha_types!$A:$D,2,FALSE)</f>
        <v>polygon</v>
      </c>
      <c r="F85" s="17">
        <f>VLOOKUP($D85,gacha_types!$A:$D,3,FALSE)</f>
        <v>5</v>
      </c>
      <c r="G85" s="17">
        <f t="shared" si="66"/>
        <v>196</v>
      </c>
      <c r="H85" s="13" t="str">
        <f>"GachaTop_"&amp;A85&amp;".png"</f>
        <v>GachaTop_196.png</v>
      </c>
      <c r="I85" s="23">
        <v>1</v>
      </c>
      <c r="J85" s="23">
        <f t="shared" si="45"/>
        <v>196</v>
      </c>
      <c r="K85" s="23">
        <v>1</v>
      </c>
      <c r="L85" s="55" t="s">
        <v>813</v>
      </c>
      <c r="M85" s="55" t="s">
        <v>814</v>
      </c>
      <c r="N85" s="2" t="s">
        <v>118</v>
      </c>
      <c r="O85" s="26" t="s">
        <v>337</v>
      </c>
      <c r="P85" s="2" t="s">
        <v>372</v>
      </c>
      <c r="Q85" s="50" t="s">
        <v>586</v>
      </c>
    </row>
    <row r="86" spans="1:17" ht="42" x14ac:dyDescent="0.15">
      <c r="A86" s="6">
        <v>197</v>
      </c>
      <c r="B86" s="2">
        <v>3</v>
      </c>
      <c r="C86" s="2" t="s">
        <v>561</v>
      </c>
      <c r="D86" s="2">
        <v>100</v>
      </c>
      <c r="E86" s="17" t="str">
        <f>VLOOKUP($D86,gacha_types!$A:$D,2,FALSE)</f>
        <v>polygon</v>
      </c>
      <c r="F86" s="17">
        <f>VLOOKUP($D86,gacha_types!$A:$D,3,FALSE)</f>
        <v>5</v>
      </c>
      <c r="G86" s="17">
        <f t="shared" si="66"/>
        <v>197</v>
      </c>
      <c r="H86" s="13" t="str">
        <f>"GachaTop_"&amp;A86&amp;".png"</f>
        <v>GachaTop_197.png</v>
      </c>
      <c r="I86" s="23">
        <v>1</v>
      </c>
      <c r="J86" s="23">
        <f t="shared" si="45"/>
        <v>197</v>
      </c>
      <c r="K86" s="23">
        <v>1</v>
      </c>
      <c r="L86" s="55" t="s">
        <v>813</v>
      </c>
      <c r="M86" s="55" t="s">
        <v>814</v>
      </c>
      <c r="N86" s="2" t="s">
        <v>118</v>
      </c>
      <c r="O86" s="26" t="s">
        <v>337</v>
      </c>
      <c r="P86" s="2" t="s">
        <v>372</v>
      </c>
      <c r="Q86" s="26" t="str">
        <f>CONCATENATE(O86, "
","&lt;font color=""#ffab27""&gt;",RIGHT(LEFT(M86,7),2)&amp;"/"&amp;RIGHT(LEFT(M86,10),2)&amp;" "&amp;LEFT(RIGHT(M86,8),5)&amp;"&lt;/font&gt;まで",P86)</f>
        <v>【&lt;font color="#ff2626"&gt;超&lt;/font&gt;&lt;font color="#ffe22a"&gt;激&lt;/font&gt;&lt;font color="#0093ff"&gt;レ&lt;/font&gt;&lt;font color="#00e075"&gt;ア&lt;/font&gt;ユニットをGETしよう！】_x000D_&lt;font color="#ffab27"&gt;01/01 14:59&lt;/font&gt;までフェス限定ユニットが出現中!</v>
      </c>
    </row>
    <row r="87" spans="1:17" ht="42" x14ac:dyDescent="0.15">
      <c r="A87" s="6">
        <v>198</v>
      </c>
      <c r="B87" s="2">
        <v>3</v>
      </c>
      <c r="C87" s="2" t="s">
        <v>562</v>
      </c>
      <c r="D87" s="2">
        <v>100</v>
      </c>
      <c r="E87" s="17" t="str">
        <f>VLOOKUP($D87,gacha_types!$A:$D,2,FALSE)</f>
        <v>polygon</v>
      </c>
      <c r="F87" s="17">
        <f>VLOOKUP($D87,gacha_types!$A:$D,3,FALSE)</f>
        <v>5</v>
      </c>
      <c r="G87" s="17">
        <f t="shared" si="65"/>
        <v>198</v>
      </c>
      <c r="H87" s="13" t="str">
        <f>"GachaTop_"&amp;A87&amp;".png"</f>
        <v>GachaTop_198.png</v>
      </c>
      <c r="I87" s="23">
        <v>1</v>
      </c>
      <c r="J87" s="23">
        <f t="shared" si="45"/>
        <v>198</v>
      </c>
      <c r="K87" s="23">
        <v>1</v>
      </c>
      <c r="L87" s="55" t="s">
        <v>813</v>
      </c>
      <c r="M87" s="55" t="s">
        <v>814</v>
      </c>
      <c r="N87" s="2" t="s">
        <v>118</v>
      </c>
      <c r="O87" s="26" t="s">
        <v>583</v>
      </c>
      <c r="P87" s="2" t="s">
        <v>582</v>
      </c>
      <c r="Q87" s="50" t="s">
        <v>588</v>
      </c>
    </row>
    <row r="88" spans="1:17" ht="42" x14ac:dyDescent="0.15">
      <c r="A88" s="6">
        <v>199</v>
      </c>
      <c r="B88" s="2">
        <v>3</v>
      </c>
      <c r="C88" s="2" t="s">
        <v>584</v>
      </c>
      <c r="D88" s="2">
        <v>100</v>
      </c>
      <c r="E88" s="17" t="str">
        <f>VLOOKUP($D88,gacha_types!$A:$D,2,FALSE)</f>
        <v>polygon</v>
      </c>
      <c r="F88" s="17">
        <f>VLOOKUP($D88,gacha_types!$A:$D,3,FALSE)</f>
        <v>5</v>
      </c>
      <c r="G88" s="17">
        <f t="shared" si="65"/>
        <v>199</v>
      </c>
      <c r="H88" s="13" t="str">
        <f>"GachaTop_"&amp;A88&amp;".png"</f>
        <v>GachaTop_199.png</v>
      </c>
      <c r="I88" s="23">
        <v>1</v>
      </c>
      <c r="J88" s="23">
        <f t="shared" si="45"/>
        <v>199</v>
      </c>
      <c r="K88" s="23">
        <v>1</v>
      </c>
      <c r="L88" s="55" t="s">
        <v>813</v>
      </c>
      <c r="M88" s="55" t="s">
        <v>814</v>
      </c>
      <c r="N88" s="2" t="s">
        <v>118</v>
      </c>
      <c r="O88" s="26" t="s">
        <v>337</v>
      </c>
      <c r="P88" s="2" t="s">
        <v>609</v>
      </c>
      <c r="Q88" s="26" t="str">
        <f>CONCATENATE(O88, "
","&lt;font color=""#ffab27""&gt;",RIGHT(LEFT(M88,7),2)&amp;"/"&amp;RIGHT(LEFT(M88,10),2)&amp;" "&amp;LEFT(RIGHT(M88,8),5)&amp;"&lt;/font&gt;まで",P88)</f>
        <v>【&lt;font color="#ff2626"&gt;超&lt;/font&gt;&lt;font color="#ffe22a"&gt;激&lt;/font&gt;&lt;font color="#0093ff"&gt;レ&lt;/font&gt;&lt;font color="#00e075"&gt;ア&lt;/font&gt;ユニットをGETしよう！】_x000D_&lt;font color="#ffab27"&gt;01/01 14:59&lt;/font&gt;まで新ユニットが１体確定出現!</v>
      </c>
    </row>
    <row r="89" spans="1:17" ht="42" x14ac:dyDescent="0.15">
      <c r="A89" s="2">
        <v>200</v>
      </c>
      <c r="B89" s="2">
        <v>0</v>
      </c>
      <c r="C89" s="2" t="s">
        <v>31</v>
      </c>
      <c r="D89" s="2">
        <v>200</v>
      </c>
      <c r="E89" s="17" t="str">
        <f>VLOOKUP($D89,gacha_types!$A:$D,2,FALSE)</f>
        <v>link</v>
      </c>
      <c r="F89" s="17">
        <f>VLOOKUP($D89,gacha_types!$A:$D,3,FALSE)</f>
        <v>100</v>
      </c>
      <c r="G89" s="17">
        <f t="shared" si="29"/>
        <v>200</v>
      </c>
      <c r="H89" s="13" t="str">
        <f t="shared" si="1"/>
        <v>GachaTop_200.png</v>
      </c>
      <c r="I89" s="23">
        <v>1</v>
      </c>
      <c r="J89" s="23">
        <f t="shared" si="45"/>
        <v>200</v>
      </c>
      <c r="K89" s="23">
        <v>1</v>
      </c>
      <c r="L89" s="55" t="s">
        <v>813</v>
      </c>
      <c r="M89" s="55" t="s">
        <v>814</v>
      </c>
      <c r="N89" s="2" t="s">
        <v>118</v>
      </c>
      <c r="O89" s="2"/>
      <c r="P89" s="2"/>
      <c r="Q89" s="50" t="s">
        <v>184</v>
      </c>
    </row>
    <row r="90" spans="1:17" ht="42" x14ac:dyDescent="0.15">
      <c r="A90" s="2">
        <v>201</v>
      </c>
      <c r="B90" s="2">
        <v>0</v>
      </c>
      <c r="C90" s="2" t="s">
        <v>39</v>
      </c>
      <c r="D90" s="2">
        <v>200</v>
      </c>
      <c r="E90" s="17" t="str">
        <f>VLOOKUP($D90,gacha_types!$A:$D,2,FALSE)</f>
        <v>link</v>
      </c>
      <c r="F90" s="17">
        <f>VLOOKUP($D90,gacha_types!$A:$D,3,FALSE)</f>
        <v>100</v>
      </c>
      <c r="G90" s="17">
        <f t="shared" si="2"/>
        <v>201</v>
      </c>
      <c r="H90" s="16" t="s">
        <v>161</v>
      </c>
      <c r="I90" s="23">
        <v>1</v>
      </c>
      <c r="J90" s="23">
        <f t="shared" si="45"/>
        <v>201</v>
      </c>
      <c r="K90" s="23">
        <v>1</v>
      </c>
      <c r="L90" s="55" t="s">
        <v>813</v>
      </c>
      <c r="M90" s="55" t="s">
        <v>814</v>
      </c>
      <c r="N90" s="2" t="s">
        <v>118</v>
      </c>
      <c r="O90" s="2"/>
      <c r="P90" s="2"/>
      <c r="Q90" s="50" t="s">
        <v>184</v>
      </c>
    </row>
    <row r="91" spans="1:17" ht="42" x14ac:dyDescent="0.15">
      <c r="A91" s="19">
        <v>202</v>
      </c>
      <c r="B91" s="2">
        <v>3</v>
      </c>
      <c r="C91" s="2" t="s">
        <v>39</v>
      </c>
      <c r="D91" s="2">
        <v>200</v>
      </c>
      <c r="E91" s="17" t="str">
        <f>VLOOKUP($D91,gacha_types!$A:$D,2,FALSE)</f>
        <v>link</v>
      </c>
      <c r="F91" s="17">
        <f>VLOOKUP($D91,gacha_types!$A:$D,3,FALSE)</f>
        <v>100</v>
      </c>
      <c r="G91" s="18">
        <v>202</v>
      </c>
      <c r="H91" s="16" t="s">
        <v>334</v>
      </c>
      <c r="I91" s="23">
        <v>1</v>
      </c>
      <c r="J91" s="23">
        <f t="shared" si="45"/>
        <v>202</v>
      </c>
      <c r="K91" s="23">
        <v>1</v>
      </c>
      <c r="L91" s="55" t="s">
        <v>813</v>
      </c>
      <c r="M91" s="55" t="s">
        <v>814</v>
      </c>
      <c r="N91" s="2" t="s">
        <v>118</v>
      </c>
      <c r="O91" s="2"/>
      <c r="P91" s="2"/>
      <c r="Q91" s="50" t="s">
        <v>1558</v>
      </c>
    </row>
    <row r="92" spans="1:17" ht="42" x14ac:dyDescent="0.15">
      <c r="A92" s="19">
        <v>203</v>
      </c>
      <c r="B92" s="2">
        <v>3</v>
      </c>
      <c r="C92" s="2" t="s">
        <v>855</v>
      </c>
      <c r="D92" s="2">
        <v>201</v>
      </c>
      <c r="E92" s="17" t="str">
        <f>VLOOKUP($D92,gacha_types!$A:$D,2,FALSE)</f>
        <v>link</v>
      </c>
      <c r="F92" s="17">
        <f>VLOOKUP($D92,gacha_types!$A:$D,3,FALSE)</f>
        <v>100</v>
      </c>
      <c r="G92" s="18">
        <v>203</v>
      </c>
      <c r="H92" s="16" t="s">
        <v>290</v>
      </c>
      <c r="I92" s="23">
        <v>1</v>
      </c>
      <c r="J92" s="23">
        <f t="shared" si="45"/>
        <v>203</v>
      </c>
      <c r="K92" s="23">
        <v>1</v>
      </c>
      <c r="L92" s="55" t="s">
        <v>813</v>
      </c>
      <c r="M92" s="55" t="s">
        <v>814</v>
      </c>
      <c r="N92" s="2" t="s">
        <v>118</v>
      </c>
      <c r="O92" s="2" t="s">
        <v>266</v>
      </c>
      <c r="P92" s="2" t="s">
        <v>266</v>
      </c>
      <c r="Q92" s="50" t="s">
        <v>1225</v>
      </c>
    </row>
    <row r="93" spans="1:17" ht="42" x14ac:dyDescent="0.15">
      <c r="A93" s="19">
        <v>204</v>
      </c>
      <c r="B93" s="2">
        <v>3</v>
      </c>
      <c r="C93" s="2" t="s">
        <v>350</v>
      </c>
      <c r="D93" s="2">
        <v>200</v>
      </c>
      <c r="E93" s="17" t="str">
        <f>VLOOKUP($D93,gacha_types!$A:$D,2,FALSE)</f>
        <v>link</v>
      </c>
      <c r="F93" s="17">
        <f>VLOOKUP($D93,gacha_types!$A:$D,3,FALSE)</f>
        <v>100</v>
      </c>
      <c r="G93" s="18">
        <v>204</v>
      </c>
      <c r="H93" s="16" t="s">
        <v>349</v>
      </c>
      <c r="I93" s="23">
        <v>1</v>
      </c>
      <c r="J93" s="23">
        <f t="shared" si="45"/>
        <v>204</v>
      </c>
      <c r="K93" s="23">
        <v>1</v>
      </c>
      <c r="L93" s="55" t="s">
        <v>813</v>
      </c>
      <c r="M93" s="55" t="s">
        <v>814</v>
      </c>
      <c r="N93" s="2" t="s">
        <v>118</v>
      </c>
      <c r="O93" s="2"/>
      <c r="P93" s="2"/>
      <c r="Q93" s="50" t="s">
        <v>184</v>
      </c>
    </row>
    <row r="94" spans="1:17" ht="42" x14ac:dyDescent="0.15">
      <c r="A94" s="19">
        <v>205</v>
      </c>
      <c r="B94" s="2">
        <v>3</v>
      </c>
      <c r="C94" s="2" t="s">
        <v>383</v>
      </c>
      <c r="D94" s="2">
        <v>200</v>
      </c>
      <c r="E94" s="17" t="str">
        <f>VLOOKUP($D94,gacha_types!$A:$D,2,FALSE)</f>
        <v>link</v>
      </c>
      <c r="F94" s="17">
        <f>VLOOKUP($D94,gacha_types!$A:$D,3,FALSE)</f>
        <v>100</v>
      </c>
      <c r="G94" s="18">
        <v>205</v>
      </c>
      <c r="H94" s="16" t="s">
        <v>380</v>
      </c>
      <c r="I94" s="23">
        <v>1</v>
      </c>
      <c r="J94" s="23">
        <f t="shared" si="45"/>
        <v>205</v>
      </c>
      <c r="K94" s="23">
        <v>1</v>
      </c>
      <c r="L94" s="55" t="s">
        <v>813</v>
      </c>
      <c r="M94" s="55" t="s">
        <v>814</v>
      </c>
      <c r="N94" s="2" t="s">
        <v>118</v>
      </c>
      <c r="O94" s="2"/>
      <c r="P94" s="2"/>
      <c r="Q94" s="50" t="s">
        <v>184</v>
      </c>
    </row>
    <row r="95" spans="1:17" ht="42" x14ac:dyDescent="0.15">
      <c r="A95" s="19">
        <v>206</v>
      </c>
      <c r="B95" s="2">
        <v>3</v>
      </c>
      <c r="C95" s="2" t="s">
        <v>463</v>
      </c>
      <c r="D95" s="2">
        <v>200</v>
      </c>
      <c r="E95" s="17" t="str">
        <f>VLOOKUP($D95,gacha_types!$A:$D,2,FALSE)</f>
        <v>link</v>
      </c>
      <c r="F95" s="17">
        <f>VLOOKUP($D95,gacha_types!$A:$D,3,FALSE)</f>
        <v>100</v>
      </c>
      <c r="G95" s="18">
        <v>206</v>
      </c>
      <c r="H95" s="16" t="s">
        <v>464</v>
      </c>
      <c r="I95" s="23">
        <v>1</v>
      </c>
      <c r="J95" s="23">
        <f t="shared" si="45"/>
        <v>206</v>
      </c>
      <c r="K95" s="23">
        <v>1</v>
      </c>
      <c r="L95" s="55" t="s">
        <v>813</v>
      </c>
      <c r="M95" s="55" t="s">
        <v>814</v>
      </c>
      <c r="N95" s="2" t="s">
        <v>118</v>
      </c>
      <c r="O95" s="2"/>
      <c r="P95" s="2"/>
      <c r="Q95" s="50" t="s">
        <v>184</v>
      </c>
    </row>
    <row r="96" spans="1:17" ht="42" x14ac:dyDescent="0.15">
      <c r="A96" s="19">
        <v>207</v>
      </c>
      <c r="B96" s="2">
        <v>3</v>
      </c>
      <c r="C96" s="2" t="s">
        <v>540</v>
      </c>
      <c r="D96" s="2">
        <v>200</v>
      </c>
      <c r="E96" s="17" t="str">
        <f>VLOOKUP($D96,gacha_types!$A:$D,2,FALSE)</f>
        <v>link</v>
      </c>
      <c r="F96" s="17">
        <f>VLOOKUP($D96,gacha_types!$A:$D,3,FALSE)</f>
        <v>100</v>
      </c>
      <c r="G96" s="18">
        <f>A96</f>
        <v>207</v>
      </c>
      <c r="H96" s="16" t="s">
        <v>549</v>
      </c>
      <c r="I96" s="23">
        <v>1</v>
      </c>
      <c r="J96" s="23">
        <f t="shared" si="45"/>
        <v>207</v>
      </c>
      <c r="K96" s="23">
        <v>1</v>
      </c>
      <c r="L96" s="55" t="s">
        <v>813</v>
      </c>
      <c r="M96" s="55" t="s">
        <v>814</v>
      </c>
      <c r="N96" s="2" t="s">
        <v>118</v>
      </c>
      <c r="O96" s="2"/>
      <c r="P96" s="2"/>
      <c r="Q96" s="50" t="s">
        <v>184</v>
      </c>
    </row>
    <row r="97" spans="1:17" ht="42" x14ac:dyDescent="0.15">
      <c r="A97" s="19">
        <v>208</v>
      </c>
      <c r="B97" s="2">
        <v>3</v>
      </c>
      <c r="C97" s="2" t="s">
        <v>854</v>
      </c>
      <c r="D97" s="2">
        <v>200</v>
      </c>
      <c r="E97" s="17" t="str">
        <f>VLOOKUP($D97,gacha_types!$A:$D,2,FALSE)</f>
        <v>link</v>
      </c>
      <c r="F97" s="17">
        <f>VLOOKUP($D97,gacha_types!$A:$D,3,FALSE)</f>
        <v>100</v>
      </c>
      <c r="G97" s="18">
        <f>A97</f>
        <v>208</v>
      </c>
      <c r="H97" s="16" t="s">
        <v>856</v>
      </c>
      <c r="I97" s="23">
        <v>1</v>
      </c>
      <c r="J97" s="23">
        <f t="shared" si="45"/>
        <v>208</v>
      </c>
      <c r="K97" s="23">
        <v>1</v>
      </c>
      <c r="L97" s="55" t="s">
        <v>813</v>
      </c>
      <c r="M97" s="55" t="s">
        <v>814</v>
      </c>
      <c r="N97" s="2" t="s">
        <v>118</v>
      </c>
      <c r="O97" s="2"/>
      <c r="P97" s="2"/>
      <c r="Q97" s="50" t="s">
        <v>1224</v>
      </c>
    </row>
    <row r="98" spans="1:17" ht="42" x14ac:dyDescent="0.15">
      <c r="A98" s="19">
        <v>209</v>
      </c>
      <c r="B98" s="2">
        <v>3</v>
      </c>
      <c r="C98" s="2" t="s">
        <v>1003</v>
      </c>
      <c r="D98" s="2">
        <v>200</v>
      </c>
      <c r="E98" s="17" t="str">
        <f>VLOOKUP($D98,gacha_types!$A:$D,2,FALSE)</f>
        <v>link</v>
      </c>
      <c r="F98" s="17">
        <f>VLOOKUP($D98,gacha_types!$A:$D,3,FALSE)</f>
        <v>100</v>
      </c>
      <c r="G98" s="17">
        <f t="shared" ref="G98:G107" si="68">A98</f>
        <v>209</v>
      </c>
      <c r="H98" s="13" t="str">
        <f t="shared" ref="H98:H111" si="69">"GachaTop_"&amp;A98&amp;".png"</f>
        <v>GachaTop_209.png</v>
      </c>
      <c r="I98" s="23">
        <v>1</v>
      </c>
      <c r="J98" s="23">
        <f t="shared" ref="J98:J99" si="70">A98</f>
        <v>209</v>
      </c>
      <c r="K98" s="23">
        <v>1</v>
      </c>
      <c r="L98" s="55" t="s">
        <v>813</v>
      </c>
      <c r="M98" s="55" t="s">
        <v>814</v>
      </c>
      <c r="N98" s="2" t="s">
        <v>118</v>
      </c>
      <c r="O98" s="2"/>
      <c r="P98" s="2"/>
      <c r="Q98" s="50" t="s">
        <v>1224</v>
      </c>
    </row>
    <row r="99" spans="1:17" ht="42" x14ac:dyDescent="0.15">
      <c r="A99" s="19">
        <v>210</v>
      </c>
      <c r="B99" s="18">
        <v>3</v>
      </c>
      <c r="C99" s="2" t="s">
        <v>1037</v>
      </c>
      <c r="D99" s="2">
        <v>200</v>
      </c>
      <c r="E99" s="17" t="str">
        <f>VLOOKUP($D99,gacha_types!$A:$D,2,FALSE)</f>
        <v>link</v>
      </c>
      <c r="F99" s="17">
        <f>VLOOKUP($D99,gacha_types!$A:$D,3,FALSE)</f>
        <v>100</v>
      </c>
      <c r="G99" s="17">
        <f t="shared" ref="G99" si="71">A99</f>
        <v>210</v>
      </c>
      <c r="H99" s="13" t="str">
        <f t="shared" ref="H99" si="72">"GachaTop_"&amp;A99&amp;".png"</f>
        <v>GachaTop_210.png</v>
      </c>
      <c r="I99" s="23">
        <v>1</v>
      </c>
      <c r="J99" s="23">
        <f t="shared" si="70"/>
        <v>210</v>
      </c>
      <c r="K99" s="23">
        <v>1</v>
      </c>
      <c r="L99" s="55" t="s">
        <v>813</v>
      </c>
      <c r="M99" s="55" t="s">
        <v>814</v>
      </c>
      <c r="N99" s="2" t="s">
        <v>118</v>
      </c>
      <c r="O99" s="2"/>
      <c r="P99" s="2"/>
      <c r="Q99" s="50" t="s">
        <v>184</v>
      </c>
    </row>
    <row r="100" spans="1:17" ht="42" x14ac:dyDescent="0.15">
      <c r="A100" s="19">
        <v>211</v>
      </c>
      <c r="B100" s="18">
        <v>3</v>
      </c>
      <c r="C100" s="2" t="s">
        <v>1540</v>
      </c>
      <c r="D100" s="2">
        <v>200</v>
      </c>
      <c r="E100" s="17" t="str">
        <f>VLOOKUP($D100,gacha_types!$A:$D,2,FALSE)</f>
        <v>link</v>
      </c>
      <c r="F100" s="17">
        <f>VLOOKUP($D100,gacha_types!$A:$D,3,FALSE)</f>
        <v>100</v>
      </c>
      <c r="G100" s="17">
        <f t="shared" ref="G100" si="73">A100</f>
        <v>211</v>
      </c>
      <c r="H100" s="13" t="str">
        <f t="shared" ref="H100:H102" si="74">"GachaTop_"&amp;A100&amp;".png"</f>
        <v>GachaTop_211.png</v>
      </c>
      <c r="I100" s="23">
        <v>1</v>
      </c>
      <c r="J100" s="23">
        <f t="shared" ref="J100" si="75">A100</f>
        <v>211</v>
      </c>
      <c r="K100" s="23">
        <v>1</v>
      </c>
      <c r="L100" s="55" t="s">
        <v>813</v>
      </c>
      <c r="M100" s="55" t="s">
        <v>814</v>
      </c>
      <c r="N100" s="2" t="s">
        <v>118</v>
      </c>
      <c r="O100" s="2"/>
      <c r="P100" s="2"/>
      <c r="Q100" s="50" t="s">
        <v>1557</v>
      </c>
    </row>
    <row r="101" spans="1:17" ht="42" x14ac:dyDescent="0.15">
      <c r="A101" s="19">
        <v>212</v>
      </c>
      <c r="B101" s="18">
        <v>3</v>
      </c>
      <c r="C101" s="2" t="s">
        <v>39</v>
      </c>
      <c r="D101" s="2">
        <v>200</v>
      </c>
      <c r="E101" s="17" t="str">
        <f>VLOOKUP($D101,gacha_types!$A:$D,2,FALSE)</f>
        <v>link</v>
      </c>
      <c r="F101" s="17">
        <f>VLOOKUP($D101,gacha_types!$A:$D,3,FALSE)</f>
        <v>100</v>
      </c>
      <c r="G101" s="17">
        <f t="shared" ref="G101" si="76">A101</f>
        <v>212</v>
      </c>
      <c r="H101" s="16" t="s">
        <v>334</v>
      </c>
      <c r="I101" s="23">
        <v>1</v>
      </c>
      <c r="J101" s="66">
        <v>202</v>
      </c>
      <c r="K101" s="23">
        <v>1</v>
      </c>
      <c r="L101" s="55" t="s">
        <v>813</v>
      </c>
      <c r="M101" s="55" t="s">
        <v>814</v>
      </c>
      <c r="N101" s="2" t="s">
        <v>118</v>
      </c>
      <c r="O101" s="2"/>
      <c r="P101" s="2"/>
      <c r="Q101" s="50" t="s">
        <v>184</v>
      </c>
    </row>
    <row r="102" spans="1:17" ht="42" x14ac:dyDescent="0.15">
      <c r="A102" s="19">
        <v>213</v>
      </c>
      <c r="B102" s="18">
        <v>3</v>
      </c>
      <c r="C102" s="2" t="s">
        <v>2165</v>
      </c>
      <c r="D102" s="2">
        <v>200</v>
      </c>
      <c r="E102" s="17" t="str">
        <f>VLOOKUP($D102,gacha_types!$A:$D,2,FALSE)</f>
        <v>link</v>
      </c>
      <c r="F102" s="17">
        <f>VLOOKUP($D102,gacha_types!$A:$D,3,FALSE)</f>
        <v>100</v>
      </c>
      <c r="G102" s="17">
        <f t="shared" ref="G102" si="77">A102</f>
        <v>213</v>
      </c>
      <c r="H102" s="13" t="str">
        <f t="shared" si="74"/>
        <v>GachaTop_213.png</v>
      </c>
      <c r="I102" s="23">
        <v>1</v>
      </c>
      <c r="J102" s="23">
        <f>A102</f>
        <v>213</v>
      </c>
      <c r="K102" s="23">
        <v>1</v>
      </c>
      <c r="L102" s="55" t="s">
        <v>813</v>
      </c>
      <c r="M102" s="55" t="s">
        <v>814</v>
      </c>
      <c r="N102" s="2" t="s">
        <v>118</v>
      </c>
      <c r="O102" s="2"/>
      <c r="P102" s="2"/>
      <c r="Q102" s="50" t="s">
        <v>3372</v>
      </c>
    </row>
    <row r="103" spans="1:17" ht="42" x14ac:dyDescent="0.15">
      <c r="A103" s="19">
        <v>214</v>
      </c>
      <c r="B103" s="18">
        <v>3</v>
      </c>
      <c r="C103" s="2" t="s">
        <v>2734</v>
      </c>
      <c r="D103" s="2">
        <v>200</v>
      </c>
      <c r="E103" s="17" t="str">
        <f>VLOOKUP($D103,gacha_types!$A:$D,2,FALSE)</f>
        <v>link</v>
      </c>
      <c r="F103" s="17">
        <f>VLOOKUP($D103,gacha_types!$A:$D,3,FALSE)</f>
        <v>100</v>
      </c>
      <c r="G103" s="17">
        <f t="shared" ref="G103:G104" si="78">A103</f>
        <v>214</v>
      </c>
      <c r="H103" s="13" t="str">
        <f t="shared" ref="H103" si="79">"GachaTop_"&amp;A103&amp;".png"</f>
        <v>GachaTop_214.png</v>
      </c>
      <c r="I103" s="23">
        <v>1</v>
      </c>
      <c r="J103" s="23">
        <f>A103</f>
        <v>214</v>
      </c>
      <c r="K103" s="23">
        <v>1</v>
      </c>
      <c r="L103" s="55" t="s">
        <v>813</v>
      </c>
      <c r="M103" s="55" t="s">
        <v>814</v>
      </c>
      <c r="N103" s="2" t="s">
        <v>118</v>
      </c>
      <c r="O103" s="2"/>
      <c r="P103" s="2"/>
      <c r="Q103" s="50" t="s">
        <v>3371</v>
      </c>
    </row>
    <row r="104" spans="1:17" ht="42" x14ac:dyDescent="0.15">
      <c r="A104" s="19">
        <v>215</v>
      </c>
      <c r="B104" s="18">
        <v>3</v>
      </c>
      <c r="C104" s="2" t="s">
        <v>2834</v>
      </c>
      <c r="D104" s="2">
        <v>200</v>
      </c>
      <c r="E104" s="17" t="str">
        <f>VLOOKUP($D104,gacha_types!$A:$D,2,FALSE)</f>
        <v>link</v>
      </c>
      <c r="F104" s="17">
        <f>VLOOKUP($D104,gacha_types!$A:$D,3,FALSE)</f>
        <v>100</v>
      </c>
      <c r="G104" s="17">
        <f t="shared" si="78"/>
        <v>215</v>
      </c>
      <c r="H104" s="16" t="s">
        <v>2844</v>
      </c>
      <c r="I104" s="23">
        <v>1</v>
      </c>
      <c r="J104" s="23">
        <f>A104</f>
        <v>215</v>
      </c>
      <c r="K104" s="23">
        <v>1</v>
      </c>
      <c r="L104" s="55" t="s">
        <v>813</v>
      </c>
      <c r="M104" s="55" t="s">
        <v>814</v>
      </c>
      <c r="N104" s="2" t="s">
        <v>118</v>
      </c>
      <c r="O104" s="2"/>
      <c r="P104" s="2"/>
      <c r="Q104" s="50" t="s">
        <v>184</v>
      </c>
    </row>
    <row r="105" spans="1:17" ht="42" x14ac:dyDescent="0.15">
      <c r="A105" s="19">
        <v>216</v>
      </c>
      <c r="B105" s="18">
        <v>3</v>
      </c>
      <c r="C105" s="2" t="s">
        <v>3029</v>
      </c>
      <c r="D105" s="2">
        <v>200</v>
      </c>
      <c r="E105" s="17" t="str">
        <f>VLOOKUP($D105,gacha_types!$A:$D,2,FALSE)</f>
        <v>link</v>
      </c>
      <c r="F105" s="17">
        <f>VLOOKUP($D105,gacha_types!$A:$D,3,FALSE)</f>
        <v>100</v>
      </c>
      <c r="G105" s="17">
        <f t="shared" ref="G105" si="80">A105</f>
        <v>216</v>
      </c>
      <c r="H105" s="13" t="str">
        <f t="shared" ref="H105" si="81">"GachaTop_"&amp;A105&amp;".png"</f>
        <v>GachaTop_216.png</v>
      </c>
      <c r="I105" s="23">
        <v>1</v>
      </c>
      <c r="J105" s="23">
        <f>A105</f>
        <v>216</v>
      </c>
      <c r="K105" s="23">
        <v>1</v>
      </c>
      <c r="L105" s="55" t="s">
        <v>813</v>
      </c>
      <c r="M105" s="55" t="s">
        <v>814</v>
      </c>
      <c r="N105" s="2" t="s">
        <v>118</v>
      </c>
      <c r="O105" s="2"/>
      <c r="P105" s="2"/>
      <c r="Q105" s="50" t="s">
        <v>3370</v>
      </c>
    </row>
    <row r="106" spans="1:17" ht="42" x14ac:dyDescent="0.15">
      <c r="A106" s="19">
        <v>217</v>
      </c>
      <c r="B106" s="18">
        <v>3</v>
      </c>
      <c r="C106" s="2" t="s">
        <v>3338</v>
      </c>
      <c r="D106" s="2">
        <v>200</v>
      </c>
      <c r="E106" s="17" t="str">
        <f>VLOOKUP($D106,gacha_types!$A:$D,2,FALSE)</f>
        <v>link</v>
      </c>
      <c r="F106" s="17">
        <f>VLOOKUP($D106,gacha_types!$A:$D,3,FALSE)</f>
        <v>100</v>
      </c>
      <c r="G106" s="17">
        <f t="shared" ref="G106" si="82">A106</f>
        <v>217</v>
      </c>
      <c r="H106" s="13" t="str">
        <f t="shared" ref="H106" si="83">"GachaTop_"&amp;A106&amp;".png"</f>
        <v>GachaTop_217.png</v>
      </c>
      <c r="I106" s="23">
        <v>1</v>
      </c>
      <c r="J106" s="23">
        <f>A106</f>
        <v>217</v>
      </c>
      <c r="K106" s="23">
        <v>1</v>
      </c>
      <c r="L106" s="55" t="s">
        <v>813</v>
      </c>
      <c r="M106" s="55" t="s">
        <v>814</v>
      </c>
      <c r="N106" s="2" t="s">
        <v>118</v>
      </c>
      <c r="O106" s="2"/>
      <c r="P106" s="2"/>
      <c r="Q106" s="50" t="s">
        <v>3369</v>
      </c>
    </row>
    <row r="107" spans="1:17" ht="42" x14ac:dyDescent="0.15">
      <c r="A107" s="6">
        <v>300</v>
      </c>
      <c r="B107" s="2">
        <v>3</v>
      </c>
      <c r="C107" s="2" t="s">
        <v>585</v>
      </c>
      <c r="D107" s="2">
        <v>100</v>
      </c>
      <c r="E107" s="17" t="str">
        <f>VLOOKUP($D107,gacha_types!$A:$D,2,FALSE)</f>
        <v>polygon</v>
      </c>
      <c r="F107" s="17">
        <f>VLOOKUP($D107,gacha_types!$A:$D,3,FALSE)</f>
        <v>5</v>
      </c>
      <c r="G107" s="17">
        <f t="shared" si="68"/>
        <v>300</v>
      </c>
      <c r="H107" s="13" t="str">
        <f t="shared" si="69"/>
        <v>GachaTop_300.png</v>
      </c>
      <c r="I107" s="23">
        <v>1</v>
      </c>
      <c r="J107" s="23">
        <f t="shared" si="45"/>
        <v>300</v>
      </c>
      <c r="K107" s="23">
        <v>1</v>
      </c>
      <c r="L107" s="55" t="s">
        <v>813</v>
      </c>
      <c r="M107" s="55" t="s">
        <v>814</v>
      </c>
      <c r="N107" s="2" t="s">
        <v>118</v>
      </c>
      <c r="O107" s="26" t="s">
        <v>337</v>
      </c>
      <c r="P107" s="2" t="s">
        <v>613</v>
      </c>
      <c r="Q107" s="50" t="s">
        <v>612</v>
      </c>
    </row>
    <row r="108" spans="1:17" ht="42" x14ac:dyDescent="0.15">
      <c r="A108" s="6">
        <v>301</v>
      </c>
      <c r="B108" s="2">
        <v>3</v>
      </c>
      <c r="C108" s="2" t="s">
        <v>600</v>
      </c>
      <c r="D108" s="2">
        <v>100</v>
      </c>
      <c r="E108" s="17" t="str">
        <f>VLOOKUP($D108,gacha_types!$A:$D,2,FALSE)</f>
        <v>polygon</v>
      </c>
      <c r="F108" s="17">
        <f>VLOOKUP($D108,gacha_types!$A:$D,3,FALSE)</f>
        <v>5</v>
      </c>
      <c r="G108" s="17">
        <f t="shared" ref="G108" si="84">A108</f>
        <v>301</v>
      </c>
      <c r="H108" s="13" t="str">
        <f t="shared" si="69"/>
        <v>GachaTop_301.png</v>
      </c>
      <c r="I108" s="23">
        <v>1</v>
      </c>
      <c r="J108" s="23">
        <f t="shared" ref="J108" si="85">A108</f>
        <v>301</v>
      </c>
      <c r="K108" s="23">
        <v>1</v>
      </c>
      <c r="L108" s="55" t="s">
        <v>813</v>
      </c>
      <c r="M108" s="55" t="s">
        <v>814</v>
      </c>
      <c r="N108" s="2" t="s">
        <v>118</v>
      </c>
      <c r="O108" s="26" t="s">
        <v>337</v>
      </c>
      <c r="P108" s="2" t="s">
        <v>601</v>
      </c>
      <c r="Q108" s="26" t="str">
        <f t="shared" ref="Q108:Q112" si="86">CONCATENATE(O108, "
","&lt;font color=""#ffab27""&gt;",RIGHT(LEFT(M108,7),2)&amp;"/"&amp;RIGHT(LEFT(M108,10),2)&amp;" "&amp;LEFT(RIGHT(M108,8),5)&amp;"&lt;/font&gt;まで",P108)</f>
        <v>【&lt;font color="#ff2626"&gt;超&lt;/font&gt;&lt;font color="#ffe22a"&gt;激&lt;/font&gt;&lt;font color="#0093ff"&gt;レ&lt;/font&gt;&lt;font color="#00e075"&gt;ア&lt;/font&gt;ユニットをGETしよう！】
&lt;font color="#ffab27"&gt;01/01 14:59&lt;/font&gt;までピックアップユニット4体の出現率UP!</v>
      </c>
    </row>
    <row r="109" spans="1:17" ht="14" x14ac:dyDescent="0.15">
      <c r="A109" s="6">
        <v>302</v>
      </c>
      <c r="B109" s="2">
        <v>3</v>
      </c>
      <c r="C109" s="2" t="s">
        <v>611</v>
      </c>
      <c r="D109" s="2">
        <v>100</v>
      </c>
      <c r="E109" s="17" t="str">
        <f>VLOOKUP($D109,gacha_types!$A:$D,2,FALSE)</f>
        <v>polygon</v>
      </c>
      <c r="F109" s="17">
        <f>VLOOKUP($D109,gacha_types!$A:$D,3,FALSE)</f>
        <v>5</v>
      </c>
      <c r="G109" s="17">
        <f t="shared" ref="G109" si="87">A109</f>
        <v>302</v>
      </c>
      <c r="H109" s="13" t="str">
        <f t="shared" si="69"/>
        <v>GachaTop_302.png</v>
      </c>
      <c r="I109" s="23">
        <v>1</v>
      </c>
      <c r="J109" s="23">
        <f t="shared" ref="J109" si="88">A109</f>
        <v>302</v>
      </c>
      <c r="K109" s="23">
        <v>1</v>
      </c>
      <c r="L109" s="55" t="s">
        <v>813</v>
      </c>
      <c r="M109" s="55" t="s">
        <v>814</v>
      </c>
      <c r="N109" s="2" t="s">
        <v>118</v>
      </c>
      <c r="O109" s="26" t="s">
        <v>457</v>
      </c>
      <c r="P109" s="2" t="s">
        <v>441</v>
      </c>
      <c r="Q109" s="26" t="str">
        <f t="shared" si="86"/>
        <v>6STEPで1セット! 5セットまで特典付き!
&lt;font color="#ffab27"&gt;01/01 14:59&lt;/font&gt;までステップアップで厳選ユニット1体確定!</v>
      </c>
    </row>
    <row r="110" spans="1:17" ht="42" x14ac:dyDescent="0.15">
      <c r="A110" s="6">
        <v>303</v>
      </c>
      <c r="B110" s="2">
        <v>3</v>
      </c>
      <c r="C110" s="2" t="s">
        <v>615</v>
      </c>
      <c r="D110" s="2">
        <v>100</v>
      </c>
      <c r="E110" s="17" t="str">
        <f>VLOOKUP($D110,gacha_types!$A:$D,2,FALSE)</f>
        <v>polygon</v>
      </c>
      <c r="F110" s="17">
        <f>VLOOKUP($D110,gacha_types!$A:$D,3,FALSE)</f>
        <v>5</v>
      </c>
      <c r="G110" s="17">
        <v>303</v>
      </c>
      <c r="H110" s="13" t="str">
        <f t="shared" si="69"/>
        <v>GachaTop_303.png</v>
      </c>
      <c r="I110" s="23">
        <v>1</v>
      </c>
      <c r="J110" s="23">
        <v>303</v>
      </c>
      <c r="K110" s="23">
        <v>1</v>
      </c>
      <c r="L110" s="55" t="s">
        <v>813</v>
      </c>
      <c r="M110" s="55" t="s">
        <v>814</v>
      </c>
      <c r="N110" s="2" t="s">
        <v>118</v>
      </c>
      <c r="O110" s="26" t="s">
        <v>337</v>
      </c>
      <c r="P110" s="2" t="s">
        <v>618</v>
      </c>
      <c r="Q110" s="26" t="str">
        <f t="shared" si="86"/>
        <v>【&lt;font color="#ff2626"&gt;超&lt;/font&gt;&lt;font color="#ffe22a"&gt;激&lt;/font&gt;&lt;font color="#0093ff"&gt;レ&lt;/font&gt;&lt;font color="#00e075"&gt;ア&lt;/font&gt;ユニットをGETしよう！】
&lt;font color="#ffab27"&gt;01/01 14:59&lt;/font&gt;まで緑属性ユニットの出現率UP!</v>
      </c>
    </row>
    <row r="111" spans="1:17" ht="42" x14ac:dyDescent="0.15">
      <c r="A111" s="6">
        <v>304</v>
      </c>
      <c r="B111" s="2">
        <v>3</v>
      </c>
      <c r="C111" s="2" t="s">
        <v>638</v>
      </c>
      <c r="D111" s="2">
        <v>100</v>
      </c>
      <c r="E111" s="17" t="str">
        <f>VLOOKUP($D111,gacha_types!$A:$D,2,FALSE)</f>
        <v>polygon</v>
      </c>
      <c r="F111" s="17">
        <f>VLOOKUP($D111,gacha_types!$A:$D,3,FALSE)</f>
        <v>5</v>
      </c>
      <c r="G111" s="17">
        <f t="shared" ref="G111:G112" si="89">A111</f>
        <v>304</v>
      </c>
      <c r="H111" s="13" t="str">
        <f t="shared" si="69"/>
        <v>GachaTop_304.png</v>
      </c>
      <c r="I111" s="23">
        <v>1</v>
      </c>
      <c r="J111" s="23">
        <f t="shared" ref="J111:J113" si="90">A111</f>
        <v>304</v>
      </c>
      <c r="K111" s="23">
        <v>1</v>
      </c>
      <c r="L111" s="55" t="s">
        <v>813</v>
      </c>
      <c r="M111" s="55" t="s">
        <v>814</v>
      </c>
      <c r="N111" s="2" t="s">
        <v>118</v>
      </c>
      <c r="O111" s="26" t="s">
        <v>337</v>
      </c>
      <c r="P111" s="2" t="s">
        <v>601</v>
      </c>
      <c r="Q111" s="26" t="str">
        <f t="shared" si="86"/>
        <v>【&lt;font color="#ff2626"&gt;超&lt;/font&gt;&lt;font color="#ffe22a"&gt;激&lt;/font&gt;&lt;font color="#0093ff"&gt;レ&lt;/font&gt;&lt;font color="#00e075"&gt;ア&lt;/font&gt;ユニットをGETしよう！】
&lt;font color="#ffab27"&gt;01/01 14:59&lt;/font&gt;までピックアップユニット4体の出現率UP!</v>
      </c>
    </row>
    <row r="112" spans="1:17" ht="42" x14ac:dyDescent="0.15">
      <c r="A112" s="6">
        <v>305</v>
      </c>
      <c r="B112" s="2">
        <v>3</v>
      </c>
      <c r="C112" s="2" t="s">
        <v>625</v>
      </c>
      <c r="D112" s="2">
        <v>100</v>
      </c>
      <c r="E112" s="17" t="str">
        <f>VLOOKUP($D112,gacha_types!$A:$D,2,FALSE)</f>
        <v>polygon</v>
      </c>
      <c r="F112" s="17">
        <f>VLOOKUP($D112,gacha_types!$A:$D,3,FALSE)</f>
        <v>5</v>
      </c>
      <c r="G112" s="17">
        <f t="shared" si="89"/>
        <v>305</v>
      </c>
      <c r="H112" s="13" t="str">
        <f t="shared" ref="H112" si="91">"GachaTop_"&amp;A112&amp;".png"</f>
        <v>GachaTop_305.png</v>
      </c>
      <c r="I112" s="23">
        <v>1</v>
      </c>
      <c r="J112" s="23">
        <f t="shared" si="90"/>
        <v>305</v>
      </c>
      <c r="K112" s="23">
        <v>1</v>
      </c>
      <c r="L112" s="55" t="s">
        <v>813</v>
      </c>
      <c r="M112" s="55" t="s">
        <v>814</v>
      </c>
      <c r="N112" s="2" t="s">
        <v>118</v>
      </c>
      <c r="O112" s="26" t="s">
        <v>337</v>
      </c>
      <c r="P112" s="2" t="s">
        <v>630</v>
      </c>
      <c r="Q112" s="26" t="str">
        <f t="shared" si="86"/>
        <v>【&lt;font color="#ff2626"&gt;超&lt;/font&gt;&lt;font color="#ffe22a"&gt;激&lt;/font&gt;&lt;font color="#0093ff"&gt;レ&lt;/font&gt;&lt;font color="#00e075"&gt;ア&lt;/font&gt;ユニットをGETしよう！】
&lt;font color="#ffab27"&gt;01/01 14:59&lt;/font&gt;までホワイトデー記念ユニットが出現中！</v>
      </c>
    </row>
    <row r="113" spans="1:17" ht="42" x14ac:dyDescent="0.15">
      <c r="A113" s="6">
        <v>306</v>
      </c>
      <c r="B113" s="2">
        <v>3</v>
      </c>
      <c r="C113" s="2" t="s">
        <v>636</v>
      </c>
      <c r="D113" s="2">
        <v>100</v>
      </c>
      <c r="E113" s="17" t="str">
        <f>VLOOKUP($D113,gacha_types!$A:$D,2,FALSE)</f>
        <v>polygon</v>
      </c>
      <c r="F113" s="17">
        <f>VLOOKUP($D113,gacha_types!$A:$D,3,FALSE)</f>
        <v>5</v>
      </c>
      <c r="G113" s="17">
        <v>306</v>
      </c>
      <c r="H113" s="13" t="str">
        <f>"GachaTop_"&amp;A113&amp;".png"</f>
        <v>GachaTop_306.png</v>
      </c>
      <c r="I113" s="23">
        <v>1</v>
      </c>
      <c r="J113" s="23">
        <f t="shared" si="90"/>
        <v>306</v>
      </c>
      <c r="K113" s="23">
        <v>1</v>
      </c>
      <c r="L113" s="55" t="s">
        <v>813</v>
      </c>
      <c r="M113" s="55" t="s">
        <v>814</v>
      </c>
      <c r="N113" s="2" t="s">
        <v>118</v>
      </c>
      <c r="O113" s="26" t="s">
        <v>337</v>
      </c>
      <c r="P113" s="2" t="s">
        <v>640</v>
      </c>
      <c r="Q113" s="50" t="s">
        <v>642</v>
      </c>
    </row>
    <row r="114" spans="1:17" ht="42" x14ac:dyDescent="0.15">
      <c r="A114" s="6">
        <v>307</v>
      </c>
      <c r="B114" s="2">
        <v>3</v>
      </c>
      <c r="C114" s="2" t="s">
        <v>637</v>
      </c>
      <c r="D114" s="2">
        <v>100</v>
      </c>
      <c r="E114" s="17" t="str">
        <f>VLOOKUP($D114,gacha_types!$A:$D,2,FALSE)</f>
        <v>polygon</v>
      </c>
      <c r="F114" s="17">
        <f>VLOOKUP($D114,gacha_types!$A:$D,3,FALSE)</f>
        <v>5</v>
      </c>
      <c r="G114" s="17">
        <v>307</v>
      </c>
      <c r="H114" s="13" t="str">
        <f>"GachaTop_"&amp;A114&amp;".png"</f>
        <v>GachaTop_307.png</v>
      </c>
      <c r="I114" s="23">
        <v>1</v>
      </c>
      <c r="J114" s="23">
        <f t="shared" ref="J114:J116" si="92">A114</f>
        <v>307</v>
      </c>
      <c r="K114" s="23">
        <v>1</v>
      </c>
      <c r="L114" s="55" t="s">
        <v>813</v>
      </c>
      <c r="M114" s="55" t="s">
        <v>814</v>
      </c>
      <c r="N114" s="2" t="s">
        <v>118</v>
      </c>
      <c r="O114" s="26" t="s">
        <v>337</v>
      </c>
      <c r="P114" s="2" t="s">
        <v>641</v>
      </c>
      <c r="Q114" s="50" t="s">
        <v>643</v>
      </c>
    </row>
    <row r="115" spans="1:17" ht="42" x14ac:dyDescent="0.15">
      <c r="A115" s="6">
        <v>308</v>
      </c>
      <c r="B115" s="2">
        <v>3</v>
      </c>
      <c r="C115" s="2" t="s">
        <v>320</v>
      </c>
      <c r="D115" s="2">
        <v>100</v>
      </c>
      <c r="E115" s="17" t="str">
        <f>VLOOKUP($D115,gacha_types!$A:$D,2,FALSE)</f>
        <v>polygon</v>
      </c>
      <c r="F115" s="17">
        <f>VLOOKUP($D115,gacha_types!$A:$D,3,FALSE)</f>
        <v>5</v>
      </c>
      <c r="G115" s="17">
        <f t="shared" ref="G115" si="93">A115</f>
        <v>308</v>
      </c>
      <c r="H115" s="13" t="str">
        <f t="shared" ref="H115" si="94">"GachaTop_"&amp;A115&amp;".png"</f>
        <v>GachaTop_308.png</v>
      </c>
      <c r="I115" s="23">
        <v>1</v>
      </c>
      <c r="J115" s="23">
        <f t="shared" si="92"/>
        <v>308</v>
      </c>
      <c r="K115" s="23">
        <v>1</v>
      </c>
      <c r="L115" s="55" t="s">
        <v>813</v>
      </c>
      <c r="M115" s="55" t="s">
        <v>814</v>
      </c>
      <c r="N115" s="2" t="s">
        <v>118</v>
      </c>
      <c r="O115" s="26" t="s">
        <v>337</v>
      </c>
      <c r="P115" s="2" t="s">
        <v>648</v>
      </c>
      <c r="Q115" s="50" t="s">
        <v>663</v>
      </c>
    </row>
    <row r="116" spans="1:17" ht="42" x14ac:dyDescent="0.15">
      <c r="A116" s="6">
        <v>309</v>
      </c>
      <c r="B116" s="2">
        <v>3</v>
      </c>
      <c r="C116" s="2" t="s">
        <v>644</v>
      </c>
      <c r="D116" s="2">
        <v>100</v>
      </c>
      <c r="E116" s="17" t="str">
        <f>VLOOKUP($D116,gacha_types!$A:$D,2,FALSE)</f>
        <v>polygon</v>
      </c>
      <c r="F116" s="17">
        <f>VLOOKUP($D116,gacha_types!$A:$D,3,FALSE)</f>
        <v>5</v>
      </c>
      <c r="G116" s="17">
        <v>309</v>
      </c>
      <c r="H116" s="13" t="str">
        <f>"GachaTop_"&amp;A116&amp;".png"</f>
        <v>GachaTop_309.png</v>
      </c>
      <c r="I116" s="23">
        <v>1</v>
      </c>
      <c r="J116" s="23">
        <f t="shared" si="92"/>
        <v>309</v>
      </c>
      <c r="K116" s="23">
        <v>1</v>
      </c>
      <c r="L116" s="55" t="s">
        <v>813</v>
      </c>
      <c r="M116" s="55" t="s">
        <v>814</v>
      </c>
      <c r="N116" s="2" t="s">
        <v>118</v>
      </c>
      <c r="O116" s="26" t="s">
        <v>337</v>
      </c>
      <c r="P116" s="2" t="s">
        <v>609</v>
      </c>
      <c r="Q116" s="26" t="str">
        <f>CONCATENATE(O116, "
","&lt;font color=""#ffab27""&gt;",RIGHT(LEFT(M116,7),2)&amp;"/"&amp;RIGHT(LEFT(M116,10),2)&amp;" "&amp;LEFT(RIGHT(M116,8),5)&amp;"&lt;/font&gt;まで",P116)</f>
        <v>【&lt;font color="#ff2626"&gt;超&lt;/font&gt;&lt;font color="#ffe22a"&gt;激&lt;/font&gt;&lt;font color="#0093ff"&gt;レ&lt;/font&gt;&lt;font color="#00e075"&gt;ア&lt;/font&gt;ユニットをGETしよう！】_x000D_&lt;font color="#ffab27"&gt;01/01 14:59&lt;/font&gt;まで新ユニットが１体確定出現!</v>
      </c>
    </row>
    <row r="117" spans="1:17" ht="42" x14ac:dyDescent="0.15">
      <c r="A117" s="6">
        <v>310</v>
      </c>
      <c r="B117" s="2">
        <v>3</v>
      </c>
      <c r="C117" s="2" t="s">
        <v>645</v>
      </c>
      <c r="D117" s="2">
        <v>100</v>
      </c>
      <c r="E117" s="17" t="str">
        <f>VLOOKUP($D117,gacha_types!$A:$D,2,FALSE)</f>
        <v>polygon</v>
      </c>
      <c r="F117" s="17">
        <f>VLOOKUP($D117,gacha_types!$A:$D,3,FALSE)</f>
        <v>5</v>
      </c>
      <c r="G117" s="17">
        <v>310</v>
      </c>
      <c r="H117" s="13" t="str">
        <f>"GachaTop_"&amp;A117&amp;".png"</f>
        <v>GachaTop_310.png</v>
      </c>
      <c r="I117" s="23">
        <v>1</v>
      </c>
      <c r="J117" s="23">
        <f t="shared" ref="J117:J119" si="95">A117</f>
        <v>310</v>
      </c>
      <c r="K117" s="23">
        <v>1</v>
      </c>
      <c r="L117" s="55" t="s">
        <v>813</v>
      </c>
      <c r="M117" s="55" t="s">
        <v>814</v>
      </c>
      <c r="N117" s="2" t="s">
        <v>118</v>
      </c>
      <c r="O117" s="26" t="s">
        <v>337</v>
      </c>
      <c r="P117" s="2" t="s">
        <v>613</v>
      </c>
      <c r="Q117" s="50" t="s">
        <v>612</v>
      </c>
    </row>
    <row r="118" spans="1:17" ht="42" x14ac:dyDescent="0.15">
      <c r="A118" s="6">
        <v>311</v>
      </c>
      <c r="B118" s="2">
        <v>3</v>
      </c>
      <c r="C118" s="2" t="s">
        <v>657</v>
      </c>
      <c r="D118" s="2">
        <v>100</v>
      </c>
      <c r="E118" s="17" t="str">
        <f>VLOOKUP($D118,gacha_types!$A:$D,2,FALSE)</f>
        <v>polygon</v>
      </c>
      <c r="F118" s="17">
        <f>VLOOKUP($D118,gacha_types!$A:$D,3,FALSE)</f>
        <v>5</v>
      </c>
      <c r="G118" s="17">
        <f t="shared" ref="G118:G119" si="96">A118</f>
        <v>311</v>
      </c>
      <c r="H118" s="13" t="str">
        <f>"GachaTop_"&amp;A118&amp;".png"</f>
        <v>GachaTop_311.png</v>
      </c>
      <c r="I118" s="23">
        <v>1</v>
      </c>
      <c r="J118" s="23">
        <f t="shared" si="95"/>
        <v>311</v>
      </c>
      <c r="K118" s="23">
        <v>1</v>
      </c>
      <c r="L118" s="55" t="s">
        <v>813</v>
      </c>
      <c r="M118" s="55" t="s">
        <v>814</v>
      </c>
      <c r="N118" s="2" t="s">
        <v>118</v>
      </c>
      <c r="O118" s="26" t="s">
        <v>337</v>
      </c>
      <c r="P118" s="2" t="s">
        <v>495</v>
      </c>
      <c r="Q118" s="26" t="str">
        <f t="shared" ref="Q118:Q119" si="97">CONCATENATE(O118, "
","&lt;font color=""#ffab27""&gt;",RIGHT(LEFT(M118,7),2)&amp;"/"&amp;RIGHT(LEFT(M118,10),2)&amp;" "&amp;LEFT(RIGHT(M118,8),5)&amp;"&lt;/font&gt;まで",P118)</f>
        <v>【&lt;font color="#ff2626"&gt;超&lt;/font&gt;&lt;font color="#ffe22a"&gt;激&lt;/font&gt;&lt;font color="#0093ff"&gt;レ&lt;/font&gt;&lt;font color="#00e075"&gt;ア&lt;/font&gt;ユニットをGETしよう！】
&lt;font color="#ffab27"&gt;01/01 14:59&lt;/font&gt;までピックアップユニット4体の出現率UP!</v>
      </c>
    </row>
    <row r="119" spans="1:17" ht="14" x14ac:dyDescent="0.15">
      <c r="A119" s="6">
        <v>312</v>
      </c>
      <c r="B119" s="2">
        <v>3</v>
      </c>
      <c r="C119" s="2" t="s">
        <v>611</v>
      </c>
      <c r="D119" s="2">
        <v>100</v>
      </c>
      <c r="E119" s="17" t="str">
        <f>VLOOKUP($D119,gacha_types!$A:$D,2,FALSE)</f>
        <v>polygon</v>
      </c>
      <c r="F119" s="17">
        <f>VLOOKUP($D119,gacha_types!$A:$D,3,FALSE)</f>
        <v>5</v>
      </c>
      <c r="G119" s="17">
        <f t="shared" si="96"/>
        <v>312</v>
      </c>
      <c r="H119" s="13" t="str">
        <f>"GachaTop_"&amp;A119&amp;".png"</f>
        <v>GachaTop_312.png</v>
      </c>
      <c r="I119" s="23">
        <v>1</v>
      </c>
      <c r="J119" s="23">
        <f t="shared" si="95"/>
        <v>312</v>
      </c>
      <c r="K119" s="23">
        <v>1</v>
      </c>
      <c r="L119" s="55" t="s">
        <v>813</v>
      </c>
      <c r="M119" s="55" t="s">
        <v>814</v>
      </c>
      <c r="N119" s="2" t="s">
        <v>118</v>
      </c>
      <c r="O119" s="26" t="s">
        <v>457</v>
      </c>
      <c r="P119" s="2" t="s">
        <v>441</v>
      </c>
      <c r="Q119" s="26" t="str">
        <f t="shared" si="97"/>
        <v>6STEPで1セット! 5セットまで特典付き!
&lt;font color="#ffab27"&gt;01/01 14:59&lt;/font&gt;までステップアップで厳選ユニット1体確定!</v>
      </c>
    </row>
    <row r="120" spans="1:17" ht="21" customHeight="1" x14ac:dyDescent="0.15">
      <c r="A120" s="6">
        <v>313</v>
      </c>
      <c r="B120" s="2">
        <v>3</v>
      </c>
      <c r="C120" s="2" t="s">
        <v>664</v>
      </c>
      <c r="D120" s="2">
        <v>100</v>
      </c>
      <c r="E120" s="17" t="str">
        <f>VLOOKUP($D120,gacha_types!$A:$D,2,FALSE)</f>
        <v>polygon</v>
      </c>
      <c r="F120" s="17">
        <f>VLOOKUP($D120,gacha_types!$A:$D,3,FALSE)</f>
        <v>5</v>
      </c>
      <c r="G120" s="17">
        <f t="shared" ref="G120:G123" si="98">A120</f>
        <v>313</v>
      </c>
      <c r="H120" s="13" t="str">
        <f t="shared" ref="H120:H123" si="99">"GachaTop_"&amp;A120&amp;".png"</f>
        <v>GachaTop_313.png</v>
      </c>
      <c r="I120" s="23">
        <v>1</v>
      </c>
      <c r="J120" s="23">
        <f t="shared" ref="J120:J123" si="100">A120</f>
        <v>313</v>
      </c>
      <c r="K120" s="23">
        <v>1</v>
      </c>
      <c r="L120" s="55" t="s">
        <v>813</v>
      </c>
      <c r="M120" s="55" t="s">
        <v>814</v>
      </c>
      <c r="N120" s="2" t="s">
        <v>118</v>
      </c>
      <c r="O120" s="26" t="s">
        <v>337</v>
      </c>
      <c r="P120" s="2" t="s">
        <v>670</v>
      </c>
      <c r="Q120" s="50" t="s">
        <v>688</v>
      </c>
    </row>
    <row r="121" spans="1:17" ht="21" customHeight="1" x14ac:dyDescent="0.15">
      <c r="A121" s="6">
        <v>314</v>
      </c>
      <c r="B121" s="2">
        <v>3</v>
      </c>
      <c r="C121" s="2" t="s">
        <v>665</v>
      </c>
      <c r="D121" s="2">
        <v>100</v>
      </c>
      <c r="E121" s="17" t="str">
        <f>VLOOKUP($D121,gacha_types!$A:$D,2,FALSE)</f>
        <v>polygon</v>
      </c>
      <c r="F121" s="17">
        <f>VLOOKUP($D121,gacha_types!$A:$D,3,FALSE)</f>
        <v>5</v>
      </c>
      <c r="G121" s="17">
        <f t="shared" ref="G121" si="101">A121</f>
        <v>314</v>
      </c>
      <c r="H121" s="13" t="str">
        <f t="shared" ref="H121" si="102">"GachaTop_"&amp;A121&amp;".png"</f>
        <v>GachaTop_314.png</v>
      </c>
      <c r="I121" s="23">
        <v>1</v>
      </c>
      <c r="J121" s="23">
        <f t="shared" ref="J121" si="103">A121</f>
        <v>314</v>
      </c>
      <c r="K121" s="23">
        <v>1</v>
      </c>
      <c r="L121" s="55" t="s">
        <v>813</v>
      </c>
      <c r="M121" s="55" t="s">
        <v>814</v>
      </c>
      <c r="N121" s="2" t="s">
        <v>118</v>
      </c>
      <c r="O121" s="26" t="s">
        <v>337</v>
      </c>
      <c r="P121" s="2" t="s">
        <v>671</v>
      </c>
      <c r="Q121" s="50" t="s">
        <v>689</v>
      </c>
    </row>
    <row r="122" spans="1:17" ht="21" customHeight="1" x14ac:dyDescent="0.15">
      <c r="A122" s="6">
        <v>315</v>
      </c>
      <c r="B122" s="2">
        <v>3</v>
      </c>
      <c r="C122" s="2" t="s">
        <v>676</v>
      </c>
      <c r="D122" s="2">
        <v>100</v>
      </c>
      <c r="E122" s="17" t="str">
        <f>VLOOKUP($D122,gacha_types!$A:$D,2,FALSE)</f>
        <v>polygon</v>
      </c>
      <c r="F122" s="17">
        <f>VLOOKUP($D122,gacha_types!$A:$D,3,FALSE)</f>
        <v>5</v>
      </c>
      <c r="G122" s="17">
        <f t="shared" si="98"/>
        <v>315</v>
      </c>
      <c r="H122" s="13" t="str">
        <f t="shared" si="99"/>
        <v>GachaTop_315.png</v>
      </c>
      <c r="I122" s="23">
        <v>1</v>
      </c>
      <c r="J122" s="23">
        <f t="shared" si="100"/>
        <v>315</v>
      </c>
      <c r="K122" s="23">
        <v>1</v>
      </c>
      <c r="L122" s="55" t="s">
        <v>813</v>
      </c>
      <c r="M122" s="55" t="s">
        <v>814</v>
      </c>
      <c r="N122" s="2" t="s">
        <v>118</v>
      </c>
      <c r="O122" s="26" t="s">
        <v>337</v>
      </c>
      <c r="P122" s="2" t="s">
        <v>495</v>
      </c>
      <c r="Q122" s="26" t="str">
        <f>CONCATENATE(O122, "
","&lt;font color=""#ffab27""&gt;",RIGHT(LEFT(M122,7),2)&amp;"/"&amp;RIGHT(LEFT(M122,10),2)&amp;" "&amp;LEFT(RIGHT(M122,8),5)&amp;"&lt;/font&gt;まで",P122)</f>
        <v>【&lt;font color="#ff2626"&gt;超&lt;/font&gt;&lt;font color="#ffe22a"&gt;激&lt;/font&gt;&lt;font color="#0093ff"&gt;レ&lt;/font&gt;&lt;font color="#00e075"&gt;ア&lt;/font&gt;ユニットをGETしよう！】_x000D_&lt;font color="#ffab27"&gt;01/01 14:59&lt;/font&gt;までピックアップユニット4体の出現率UP!</v>
      </c>
    </row>
    <row r="123" spans="1:17" ht="21" customHeight="1" x14ac:dyDescent="0.15">
      <c r="A123" s="6">
        <v>316</v>
      </c>
      <c r="B123" s="2">
        <v>3</v>
      </c>
      <c r="C123" s="2" t="s">
        <v>680</v>
      </c>
      <c r="D123" s="2">
        <v>100</v>
      </c>
      <c r="E123" s="17" t="str">
        <f>VLOOKUP($D123,gacha_types!$A:$D,2,FALSE)</f>
        <v>polygon</v>
      </c>
      <c r="F123" s="17">
        <f>VLOOKUP($D123,gacha_types!$A:$D,3,FALSE)</f>
        <v>5</v>
      </c>
      <c r="G123" s="17">
        <f t="shared" si="98"/>
        <v>316</v>
      </c>
      <c r="H123" s="13" t="str">
        <f t="shared" si="99"/>
        <v>GachaTop_316.png</v>
      </c>
      <c r="I123" s="23">
        <v>1</v>
      </c>
      <c r="J123" s="23">
        <f t="shared" si="100"/>
        <v>316</v>
      </c>
      <c r="K123" s="23">
        <v>1</v>
      </c>
      <c r="L123" s="55" t="s">
        <v>813</v>
      </c>
      <c r="M123" s="55" t="s">
        <v>814</v>
      </c>
      <c r="N123" s="2" t="s">
        <v>118</v>
      </c>
      <c r="O123" s="26" t="s">
        <v>337</v>
      </c>
      <c r="P123" s="2" t="s">
        <v>372</v>
      </c>
      <c r="Q123" s="26" t="str">
        <f>Q124</f>
        <v>【&lt;font color="#ff2626"&gt;超&lt;/font&gt;&lt;font color="#ffe22a"&gt;激&lt;/font&gt;&lt;font color="#0093ff"&gt;レ&lt;/font&gt;&lt;font color="#00e075"&gt;ア&lt;/font&gt;ユニットをGETしよう！】_x000D_&lt;font color="#ffab27"&gt;01/01 14:59&lt;/font&gt;までフェス限定ユニットが出現中!</v>
      </c>
    </row>
    <row r="124" spans="1:17" ht="21" customHeight="1" x14ac:dyDescent="0.15">
      <c r="A124" s="6">
        <v>317</v>
      </c>
      <c r="B124" s="2">
        <v>3</v>
      </c>
      <c r="C124" s="2" t="s">
        <v>681</v>
      </c>
      <c r="D124" s="2">
        <v>100</v>
      </c>
      <c r="E124" s="17" t="str">
        <f>VLOOKUP($D124,gacha_types!$A:$D,2,FALSE)</f>
        <v>polygon</v>
      </c>
      <c r="F124" s="17">
        <f>VLOOKUP($D124,gacha_types!$A:$D,3,FALSE)</f>
        <v>5</v>
      </c>
      <c r="G124" s="17">
        <f t="shared" ref="G124" si="104">A124</f>
        <v>317</v>
      </c>
      <c r="H124" s="13" t="str">
        <f t="shared" ref="H124" si="105">"GachaTop_"&amp;A124&amp;".png"</f>
        <v>GachaTop_317.png</v>
      </c>
      <c r="I124" s="23">
        <v>1</v>
      </c>
      <c r="J124" s="23">
        <f t="shared" ref="J124" si="106">A124</f>
        <v>317</v>
      </c>
      <c r="K124" s="23">
        <v>1</v>
      </c>
      <c r="L124" s="55" t="s">
        <v>813</v>
      </c>
      <c r="M124" s="55" t="s">
        <v>814</v>
      </c>
      <c r="N124" s="2" t="s">
        <v>118</v>
      </c>
      <c r="O124" s="26" t="s">
        <v>337</v>
      </c>
      <c r="P124" s="2" t="s">
        <v>372</v>
      </c>
      <c r="Q124" s="26" t="str">
        <f>CONCATENATE(O124, "
","&lt;font color=""#ffab27""&gt;",RIGHT(LEFT(M124,7),2)&amp;"/"&amp;RIGHT(LEFT(M124,10),2)&amp;" "&amp;LEFT(RIGHT(M124,8),5)&amp;"&lt;/font&gt;まで",P124)</f>
        <v>【&lt;font color="#ff2626"&gt;超&lt;/font&gt;&lt;font color="#ffe22a"&gt;激&lt;/font&gt;&lt;font color="#0093ff"&gt;レ&lt;/font&gt;&lt;font color="#00e075"&gt;ア&lt;/font&gt;ユニットをGETしよう！】_x000D_&lt;font color="#ffab27"&gt;01/01 14:59&lt;/font&gt;までフェス限定ユニットが出現中!</v>
      </c>
    </row>
    <row r="125" spans="1:17" ht="21" customHeight="1" x14ac:dyDescent="0.15">
      <c r="A125" s="6">
        <v>318</v>
      </c>
      <c r="B125" s="2">
        <v>3</v>
      </c>
      <c r="C125" s="2" t="s">
        <v>692</v>
      </c>
      <c r="D125" s="2">
        <v>100</v>
      </c>
      <c r="E125" s="17" t="str">
        <f>VLOOKUP($D125,gacha_types!$A:$D,2,FALSE)</f>
        <v>polygon</v>
      </c>
      <c r="F125" s="17">
        <f>VLOOKUP($D125,gacha_types!$A:$D,3,FALSE)</f>
        <v>5</v>
      </c>
      <c r="G125" s="17">
        <f t="shared" ref="G125:G128" si="107">A125</f>
        <v>318</v>
      </c>
      <c r="H125" s="13" t="str">
        <f t="shared" ref="H125:H128" si="108">"GachaTop_"&amp;A125&amp;".png"</f>
        <v>GachaTop_318.png</v>
      </c>
      <c r="I125" s="23">
        <v>1</v>
      </c>
      <c r="J125" s="23">
        <f t="shared" ref="J125:J128" si="109">A125</f>
        <v>318</v>
      </c>
      <c r="K125" s="23">
        <v>1</v>
      </c>
      <c r="L125" s="55" t="s">
        <v>813</v>
      </c>
      <c r="M125" s="55" t="s">
        <v>814</v>
      </c>
      <c r="N125" s="2" t="s">
        <v>118</v>
      </c>
      <c r="O125" s="26" t="s">
        <v>337</v>
      </c>
      <c r="P125" s="2" t="s">
        <v>495</v>
      </c>
      <c r="Q125" s="26" t="str">
        <f>CONCATENATE(O125, "
","&lt;font color=""#ffab27""&gt;",RIGHT(LEFT(M125,7),2)&amp;"/"&amp;RIGHT(LEFT(M125,10),2)&amp;" "&amp;LEFT(RIGHT(M125,8),5)&amp;"&lt;/font&gt;まで",P125)</f>
        <v>【&lt;font color="#ff2626"&gt;超&lt;/font&gt;&lt;font color="#ffe22a"&gt;激&lt;/font&gt;&lt;font color="#0093ff"&gt;レ&lt;/font&gt;&lt;font color="#00e075"&gt;ア&lt;/font&gt;ユニットをGETしよう！】_x000D_&lt;font color="#ffab27"&gt;01/01 14:59&lt;/font&gt;までピックアップユニット4体の出現率UP!</v>
      </c>
    </row>
    <row r="126" spans="1:17" ht="21" customHeight="1" x14ac:dyDescent="0.15">
      <c r="A126" s="6">
        <v>319</v>
      </c>
      <c r="B126" s="2">
        <v>3</v>
      </c>
      <c r="C126" s="2" t="s">
        <v>690</v>
      </c>
      <c r="D126" s="2">
        <v>100</v>
      </c>
      <c r="E126" s="17" t="str">
        <f>VLOOKUP($D126,gacha_types!$A:$D,2,FALSE)</f>
        <v>polygon</v>
      </c>
      <c r="F126" s="17">
        <f>VLOOKUP($D126,gacha_types!$A:$D,3,FALSE)</f>
        <v>5</v>
      </c>
      <c r="G126" s="17">
        <f t="shared" si="107"/>
        <v>319</v>
      </c>
      <c r="H126" s="13" t="str">
        <f t="shared" si="108"/>
        <v>GachaTop_319.png</v>
      </c>
      <c r="I126" s="23">
        <v>1</v>
      </c>
      <c r="J126" s="23">
        <f t="shared" si="109"/>
        <v>319</v>
      </c>
      <c r="K126" s="23">
        <v>1</v>
      </c>
      <c r="L126" s="55" t="s">
        <v>813</v>
      </c>
      <c r="M126" s="55" t="s">
        <v>814</v>
      </c>
      <c r="N126" s="2" t="s">
        <v>118</v>
      </c>
      <c r="O126" s="26" t="s">
        <v>337</v>
      </c>
      <c r="P126" s="2" t="s">
        <v>694</v>
      </c>
      <c r="Q126" s="26" t="str">
        <f>CONCATENATE(O126, "
","&lt;font color=""#ffab27""&gt;",RIGHT(LEFT(M126,7),2)&amp;"/"&amp;RIGHT(LEFT(M126,10),2)&amp;" "&amp;LEFT(RIGHT(M126,8),5)&amp;"&lt;/font&gt;まで",P126)</f>
        <v>【&lt;font color="#ff2626"&gt;超&lt;/font&gt;&lt;font color="#ffe22a"&gt;激&lt;/font&gt;&lt;font color="#0093ff"&gt;レ&lt;/font&gt;&lt;font color="#00e075"&gt;ア&lt;/font&gt;ユニットをGETしよう！】_x000D_&lt;font color="#ffab27"&gt;01/01 14:59&lt;/font&gt;まで2回目以降新ユニットが2体確定出現!</v>
      </c>
    </row>
    <row r="127" spans="1:17" ht="21" customHeight="1" x14ac:dyDescent="0.15">
      <c r="A127" s="6">
        <v>320</v>
      </c>
      <c r="B127" s="2">
        <v>3</v>
      </c>
      <c r="C127" s="2" t="s">
        <v>693</v>
      </c>
      <c r="D127" s="2">
        <v>100</v>
      </c>
      <c r="E127" s="17" t="str">
        <f>VLOOKUP($D127,gacha_types!$A:$D,2,FALSE)</f>
        <v>polygon</v>
      </c>
      <c r="F127" s="17">
        <f>VLOOKUP($D127,gacha_types!$A:$D,3,FALSE)</f>
        <v>5</v>
      </c>
      <c r="G127" s="17">
        <f t="shared" si="107"/>
        <v>320</v>
      </c>
      <c r="H127" s="13" t="str">
        <f t="shared" si="108"/>
        <v>GachaTop_320.png</v>
      </c>
      <c r="I127" s="23">
        <v>1</v>
      </c>
      <c r="J127" s="23">
        <f t="shared" si="109"/>
        <v>320</v>
      </c>
      <c r="K127" s="23">
        <v>1</v>
      </c>
      <c r="L127" s="55" t="s">
        <v>813</v>
      </c>
      <c r="M127" s="55" t="s">
        <v>814</v>
      </c>
      <c r="N127" s="2" t="s">
        <v>118</v>
      </c>
      <c r="O127" s="26" t="s">
        <v>337</v>
      </c>
      <c r="P127" s="2" t="s">
        <v>613</v>
      </c>
      <c r="Q127" s="50" t="s">
        <v>612</v>
      </c>
    </row>
    <row r="128" spans="1:17" ht="21" customHeight="1" x14ac:dyDescent="0.15">
      <c r="A128" s="6">
        <v>321</v>
      </c>
      <c r="B128" s="2">
        <v>3</v>
      </c>
      <c r="C128" s="2" t="s">
        <v>704</v>
      </c>
      <c r="D128" s="2">
        <v>100</v>
      </c>
      <c r="E128" s="17" t="str">
        <f>VLOOKUP($D128,gacha_types!$A:$D,2,FALSE)</f>
        <v>polygon</v>
      </c>
      <c r="F128" s="17">
        <f>VLOOKUP($D128,gacha_types!$A:$D,3,FALSE)</f>
        <v>5</v>
      </c>
      <c r="G128" s="17">
        <f t="shared" si="107"/>
        <v>321</v>
      </c>
      <c r="H128" s="13" t="str">
        <f t="shared" si="108"/>
        <v>GachaTop_321.png</v>
      </c>
      <c r="I128" s="23">
        <v>1</v>
      </c>
      <c r="J128" s="23">
        <f t="shared" si="109"/>
        <v>321</v>
      </c>
      <c r="K128" s="23">
        <v>1</v>
      </c>
      <c r="L128" s="55" t="s">
        <v>813</v>
      </c>
      <c r="M128" s="55" t="s">
        <v>814</v>
      </c>
      <c r="N128" s="2" t="s">
        <v>118</v>
      </c>
      <c r="O128" s="26" t="s">
        <v>714</v>
      </c>
      <c r="P128" s="26" t="s">
        <v>715</v>
      </c>
      <c r="Q128" s="26" t="str">
        <f>CONCATENATE(O128, "
","&lt;font color=""#ffab27""&gt;",RIGHT(LEFT(M128,7),2)&amp;"/"&amp;RIGHT(LEFT(M128,10),2)&amp;" "&amp;LEFT(RIGHT(M128,8),5)&amp;"&lt;/font&gt;まで",P128)</f>
        <v>5STEPで1セット！3セットまで特典付き！_x000D_&lt;font color="#ffab27"&gt;01/01 14:59&lt;/font&gt;までSTEP5で最強厳選ユニット1体確定！_x000D_※4セット目からは★4以上確定10連ガチャとなります</v>
      </c>
    </row>
    <row r="129" spans="1:17" ht="21" customHeight="1" x14ac:dyDescent="0.15">
      <c r="A129" s="6">
        <v>322</v>
      </c>
      <c r="B129" s="2">
        <v>3</v>
      </c>
      <c r="C129" s="2" t="s">
        <v>716</v>
      </c>
      <c r="D129" s="2">
        <v>100</v>
      </c>
      <c r="E129" s="17" t="str">
        <f>VLOOKUP($D129,gacha_types!$A:$D,2,FALSE)</f>
        <v>polygon</v>
      </c>
      <c r="F129" s="17">
        <f>VLOOKUP($D129,gacha_types!$A:$D,3,FALSE)</f>
        <v>5</v>
      </c>
      <c r="G129" s="17">
        <f t="shared" ref="G129:G130" si="110">A129</f>
        <v>322</v>
      </c>
      <c r="H129" s="13" t="str">
        <f t="shared" ref="H129:H130" si="111">"GachaTop_"&amp;A129&amp;".png"</f>
        <v>GachaTop_322.png</v>
      </c>
      <c r="I129" s="23">
        <v>1</v>
      </c>
      <c r="J129" s="23">
        <f t="shared" ref="J129:J130" si="112">A129</f>
        <v>322</v>
      </c>
      <c r="K129" s="23">
        <v>1</v>
      </c>
      <c r="L129" s="55" t="s">
        <v>813</v>
      </c>
      <c r="M129" s="55" t="s">
        <v>814</v>
      </c>
      <c r="N129" s="2" t="s">
        <v>118</v>
      </c>
      <c r="O129" s="26" t="s">
        <v>337</v>
      </c>
      <c r="P129" s="2" t="s">
        <v>495</v>
      </c>
      <c r="Q129" s="26" t="str">
        <f>CONCATENATE(O129, "
","&lt;font color=""#ffab27""&gt;",RIGHT(LEFT(M129,7),2)&amp;"/"&amp;RIGHT(LEFT(M129,10),2)&amp;" "&amp;LEFT(RIGHT(M129,8),5)&amp;"&lt;/font&gt;まで",P129)</f>
        <v>【&lt;font color="#ff2626"&gt;超&lt;/font&gt;&lt;font color="#ffe22a"&gt;激&lt;/font&gt;&lt;font color="#0093ff"&gt;レ&lt;/font&gt;&lt;font color="#00e075"&gt;ア&lt;/font&gt;ユニットをGETしよう！】_x000D_&lt;font color="#ffab27"&gt;01/01 14:59&lt;/font&gt;までピックアップユニット4体の出現率UP!</v>
      </c>
    </row>
    <row r="130" spans="1:17" ht="21" customHeight="1" x14ac:dyDescent="0.15">
      <c r="A130" s="6">
        <v>323</v>
      </c>
      <c r="B130" s="2">
        <v>3</v>
      </c>
      <c r="C130" s="2" t="s">
        <v>717</v>
      </c>
      <c r="D130" s="2">
        <v>100</v>
      </c>
      <c r="E130" s="17" t="str">
        <f>VLOOKUP($D130,gacha_types!$A:$D,2,FALSE)</f>
        <v>polygon</v>
      </c>
      <c r="F130" s="17">
        <f>VLOOKUP($D130,gacha_types!$A:$D,3,FALSE)</f>
        <v>5</v>
      </c>
      <c r="G130" s="17">
        <f t="shared" si="110"/>
        <v>323</v>
      </c>
      <c r="H130" s="13" t="str">
        <f t="shared" si="111"/>
        <v>GachaTop_323.png</v>
      </c>
      <c r="I130" s="23">
        <v>1</v>
      </c>
      <c r="J130" s="23">
        <f t="shared" si="112"/>
        <v>323</v>
      </c>
      <c r="K130" s="23">
        <v>1</v>
      </c>
      <c r="L130" s="55" t="s">
        <v>813</v>
      </c>
      <c r="M130" s="55" t="s">
        <v>814</v>
      </c>
      <c r="N130" s="2" t="s">
        <v>118</v>
      </c>
      <c r="O130" s="26" t="s">
        <v>337</v>
      </c>
      <c r="P130" s="2" t="s">
        <v>372</v>
      </c>
      <c r="Q130" s="26" t="str">
        <f t="shared" ref="Q130:Q133" si="113">CONCATENATE(O130, "
","&lt;font color=""#ffab27""&gt;",RIGHT(LEFT(M130,7),2)&amp;"/"&amp;RIGHT(LEFT(M130,10),2)&amp;" "&amp;LEFT(RIGHT(M130,8),5)&amp;"&lt;/font&gt;まで",P130)</f>
        <v>【&lt;font color="#ff2626"&gt;超&lt;/font&gt;&lt;font color="#ffe22a"&gt;激&lt;/font&gt;&lt;font color="#0093ff"&gt;レ&lt;/font&gt;&lt;font color="#00e075"&gt;ア&lt;/font&gt;ユニットをGETしよう！】
&lt;font color="#ffab27"&gt;01/01 14:59&lt;/font&gt;までフェス限定ユニットが出現中!</v>
      </c>
    </row>
    <row r="131" spans="1:17" ht="21" customHeight="1" x14ac:dyDescent="0.15">
      <c r="A131" s="6">
        <v>324</v>
      </c>
      <c r="B131" s="2">
        <v>3</v>
      </c>
      <c r="C131" s="2" t="s">
        <v>722</v>
      </c>
      <c r="D131" s="2">
        <v>100</v>
      </c>
      <c r="E131" s="17" t="str">
        <f>VLOOKUP($D131,gacha_types!$A:$D,2,FALSE)</f>
        <v>polygon</v>
      </c>
      <c r="F131" s="17">
        <f>VLOOKUP($D131,gacha_types!$A:$D,3,FALSE)</f>
        <v>5</v>
      </c>
      <c r="G131" s="17">
        <f t="shared" ref="G131:G134" si="114">A131</f>
        <v>324</v>
      </c>
      <c r="H131" s="13" t="str">
        <f t="shared" ref="H131:H134" si="115">"GachaTop_"&amp;A131&amp;".png"</f>
        <v>GachaTop_324.png</v>
      </c>
      <c r="I131" s="23">
        <v>1</v>
      </c>
      <c r="J131" s="23">
        <f t="shared" ref="J131:J134" si="116">A131</f>
        <v>324</v>
      </c>
      <c r="K131" s="23">
        <v>1</v>
      </c>
      <c r="L131" s="55" t="s">
        <v>813</v>
      </c>
      <c r="M131" s="55" t="s">
        <v>814</v>
      </c>
      <c r="N131" s="2" t="s">
        <v>118</v>
      </c>
      <c r="O131" s="26" t="s">
        <v>741</v>
      </c>
      <c r="P131" s="26" t="s">
        <v>742</v>
      </c>
      <c r="Q131" s="26" t="str">
        <f>CONCATENATE(O131, "
","&lt;font color=""#ffab27""&gt;",RIGHT(LEFT(M131,7),2)&amp;"/"&amp;RIGHT(LEFT(M131,10),2)&amp;" "&amp;LEFT(RIGHT(M131,8),5)&amp;"&lt;/font&gt;まで",P131)</f>
        <v>【&lt;font color="#ff2626"&gt;超&lt;/font&gt;&lt;font color="#ffe22a"&gt;激&lt;/font&gt;&lt;font color="#0093ff"&gt;レ&lt;/font&gt;&lt;font color="#00e075"&gt;ア&lt;/font&gt;ユニットをGETしよう！】_x000D_&lt;font color="#ffab27"&gt;01/01 14:59&lt;/font&gt;までピックアップユニット4体の出現率UP!_x000D_&lt;font color=""#ffab27""&gt;※直接★６ユニットは排出されません&lt;/font&gt;</v>
      </c>
    </row>
    <row r="132" spans="1:17" ht="21" customHeight="1" x14ac:dyDescent="0.15">
      <c r="A132" s="6">
        <v>325</v>
      </c>
      <c r="B132" s="2">
        <v>3</v>
      </c>
      <c r="C132" s="2" t="s">
        <v>725</v>
      </c>
      <c r="D132" s="2">
        <v>100</v>
      </c>
      <c r="E132" s="17" t="str">
        <f>VLOOKUP($D132,gacha_types!$A:$D,2,FALSE)</f>
        <v>polygon</v>
      </c>
      <c r="F132" s="17">
        <f>VLOOKUP($D132,gacha_types!$A:$D,3,FALSE)</f>
        <v>5</v>
      </c>
      <c r="G132" s="17">
        <f t="shared" si="114"/>
        <v>325</v>
      </c>
      <c r="H132" s="13" t="str">
        <f t="shared" si="115"/>
        <v>GachaTop_325.png</v>
      </c>
      <c r="I132" s="23">
        <v>1</v>
      </c>
      <c r="J132" s="23">
        <f t="shared" si="116"/>
        <v>325</v>
      </c>
      <c r="K132" s="23">
        <v>1</v>
      </c>
      <c r="L132" s="55" t="s">
        <v>813</v>
      </c>
      <c r="M132" s="55" t="s">
        <v>814</v>
      </c>
      <c r="N132" s="2" t="s">
        <v>118</v>
      </c>
      <c r="O132" s="26" t="s">
        <v>337</v>
      </c>
      <c r="P132" s="26" t="s">
        <v>740</v>
      </c>
      <c r="Q132" s="26" t="str">
        <f>CONCATENATE(O132, "
","&lt;font color=""#ffab27""&gt;",RIGHT(LEFT(M132,7),2)&amp;"/"&amp;RIGHT(LEFT(M132,10),2)&amp;" "&amp;LEFT(RIGHT(M132,8),5)&amp;"&lt;/font&gt;まで",P132)</f>
        <v>【&lt;font color="#ff2626"&gt;超&lt;/font&gt;&lt;font color="#ffe22a"&gt;激&lt;/font&gt;&lt;font color="#0093ff"&gt;レ&lt;/font&gt;&lt;font color="#00e075"&gt;ア&lt;/font&gt;ユニットをGETしよう！】_x000D_&lt;font color="#ffab27"&gt;01/01 14:59&lt;/font&gt;までランキング対抗の赤属性出現率アップ！_x000D_限定ユニットも出現中!</v>
      </c>
    </row>
    <row r="133" spans="1:17" ht="21" customHeight="1" x14ac:dyDescent="0.15">
      <c r="A133" s="6">
        <v>326</v>
      </c>
      <c r="B133" s="2">
        <v>3</v>
      </c>
      <c r="C133" s="2" t="s">
        <v>726</v>
      </c>
      <c r="D133" s="2">
        <v>100</v>
      </c>
      <c r="E133" s="17" t="str">
        <f>VLOOKUP($D133,gacha_types!$A:$D,2,FALSE)</f>
        <v>polygon</v>
      </c>
      <c r="F133" s="17">
        <f>VLOOKUP($D133,gacha_types!$A:$D,3,FALSE)</f>
        <v>5</v>
      </c>
      <c r="G133" s="17">
        <f t="shared" si="114"/>
        <v>326</v>
      </c>
      <c r="H133" s="13" t="str">
        <f t="shared" si="115"/>
        <v>GachaTop_326.png</v>
      </c>
      <c r="I133" s="23">
        <v>1</v>
      </c>
      <c r="J133" s="23">
        <f t="shared" si="116"/>
        <v>326</v>
      </c>
      <c r="K133" s="23">
        <v>1</v>
      </c>
      <c r="L133" s="55" t="s">
        <v>813</v>
      </c>
      <c r="M133" s="55" t="s">
        <v>814</v>
      </c>
      <c r="N133" s="2" t="s">
        <v>118</v>
      </c>
      <c r="O133" s="26" t="s">
        <v>337</v>
      </c>
      <c r="P133" s="2" t="s">
        <v>609</v>
      </c>
      <c r="Q133" s="26" t="str">
        <f t="shared" si="113"/>
        <v>【&lt;font color="#ff2626"&gt;超&lt;/font&gt;&lt;font color="#ffe22a"&gt;激&lt;/font&gt;&lt;font color="#0093ff"&gt;レ&lt;/font&gt;&lt;font color="#00e075"&gt;ア&lt;/font&gt;ユニットをGETしよう！】
&lt;font color="#ffab27"&gt;01/01 14:59&lt;/font&gt;まで新ユニットが１体確定出現!</v>
      </c>
    </row>
    <row r="134" spans="1:17" ht="22" customHeight="1" x14ac:dyDescent="0.15">
      <c r="A134" s="6">
        <v>327</v>
      </c>
      <c r="B134" s="2">
        <v>3</v>
      </c>
      <c r="C134" s="2" t="s">
        <v>727</v>
      </c>
      <c r="D134" s="2">
        <v>100</v>
      </c>
      <c r="E134" s="17" t="str">
        <f>VLOOKUP($D134,gacha_types!$A:$D,2,FALSE)</f>
        <v>polygon</v>
      </c>
      <c r="F134" s="17">
        <f>VLOOKUP($D134,gacha_types!$A:$D,3,FALSE)</f>
        <v>5</v>
      </c>
      <c r="G134" s="17">
        <f t="shared" si="114"/>
        <v>327</v>
      </c>
      <c r="H134" s="13" t="str">
        <f t="shared" si="115"/>
        <v>GachaTop_327.png</v>
      </c>
      <c r="I134" s="23">
        <v>1</v>
      </c>
      <c r="J134" s="23">
        <f t="shared" si="116"/>
        <v>327</v>
      </c>
      <c r="K134" s="23">
        <v>1</v>
      </c>
      <c r="L134" s="55" t="s">
        <v>813</v>
      </c>
      <c r="M134" s="55" t="s">
        <v>814</v>
      </c>
      <c r="N134" s="2" t="s">
        <v>118</v>
      </c>
      <c r="O134" s="26" t="s">
        <v>337</v>
      </c>
      <c r="P134" s="2" t="s">
        <v>613</v>
      </c>
      <c r="Q134" s="50" t="s">
        <v>612</v>
      </c>
    </row>
    <row r="135" spans="1:17" ht="21" customHeight="1" x14ac:dyDescent="0.15">
      <c r="A135" s="6">
        <v>328</v>
      </c>
      <c r="B135" s="2">
        <v>3</v>
      </c>
      <c r="C135" s="2" t="s">
        <v>728</v>
      </c>
      <c r="D135" s="2">
        <v>100</v>
      </c>
      <c r="E135" s="17" t="str">
        <f>VLOOKUP($D135,gacha_types!$A:$D,2,FALSE)</f>
        <v>polygon</v>
      </c>
      <c r="F135" s="17">
        <f>VLOOKUP($D135,gacha_types!$A:$D,3,FALSE)</f>
        <v>5</v>
      </c>
      <c r="G135" s="17">
        <f t="shared" ref="G135" si="117">A135</f>
        <v>328</v>
      </c>
      <c r="H135" s="13" t="str">
        <f t="shared" ref="H135" si="118">"GachaTop_"&amp;A135&amp;".png"</f>
        <v>GachaTop_328.png</v>
      </c>
      <c r="I135" s="23">
        <v>1</v>
      </c>
      <c r="J135" s="23">
        <f t="shared" ref="J135" si="119">A135</f>
        <v>328</v>
      </c>
      <c r="K135" s="23">
        <v>1</v>
      </c>
      <c r="L135" s="55" t="s">
        <v>813</v>
      </c>
      <c r="M135" s="55" t="s">
        <v>814</v>
      </c>
      <c r="N135" s="2" t="s">
        <v>118</v>
      </c>
      <c r="O135" s="26" t="s">
        <v>337</v>
      </c>
      <c r="P135" s="2" t="s">
        <v>372</v>
      </c>
      <c r="Q135" s="26" t="str">
        <f>CONCATENATE(O135, "
","&lt;font color=""#ffab27""&gt;",RIGHT(LEFT(M135,7),2)&amp;"/"&amp;RIGHT(LEFT(M135,10),2)&amp;" "&amp;LEFT(RIGHT(M135,8),5)&amp;"&lt;/font&gt;まで",P135)</f>
        <v>【&lt;font color="#ff2626"&gt;超&lt;/font&gt;&lt;font color="#ffe22a"&gt;激&lt;/font&gt;&lt;font color="#0093ff"&gt;レ&lt;/font&gt;&lt;font color="#00e075"&gt;ア&lt;/font&gt;ユニットをGETしよう！】_x000D_&lt;font color="#ffab27"&gt;01/01 14:59&lt;/font&gt;までフェス限定ユニットが出現中!</v>
      </c>
    </row>
    <row r="136" spans="1:17" ht="21" customHeight="1" x14ac:dyDescent="0.15">
      <c r="A136" s="6">
        <v>329</v>
      </c>
      <c r="B136" s="2">
        <v>3</v>
      </c>
      <c r="C136" s="2" t="s">
        <v>752</v>
      </c>
      <c r="D136" s="2">
        <v>100</v>
      </c>
      <c r="E136" s="17" t="str">
        <f>VLOOKUP($D136,gacha_types!$A:$D,2,FALSE)</f>
        <v>polygon</v>
      </c>
      <c r="F136" s="17">
        <f>VLOOKUP($D136,gacha_types!$A:$D,3,FALSE)</f>
        <v>5</v>
      </c>
      <c r="G136" s="17">
        <f t="shared" ref="G136" si="120">A136</f>
        <v>329</v>
      </c>
      <c r="H136" s="13" t="str">
        <f t="shared" ref="H136" si="121">"GachaTop_"&amp;A136&amp;".png"</f>
        <v>GachaTop_329.png</v>
      </c>
      <c r="I136" s="23">
        <v>1</v>
      </c>
      <c r="J136" s="23">
        <f t="shared" ref="J136" si="122">A136</f>
        <v>329</v>
      </c>
      <c r="K136" s="23">
        <v>1</v>
      </c>
      <c r="L136" s="55" t="s">
        <v>813</v>
      </c>
      <c r="M136" s="55" t="s">
        <v>814</v>
      </c>
      <c r="N136" s="2" t="s">
        <v>118</v>
      </c>
      <c r="O136" s="26" t="s">
        <v>337</v>
      </c>
      <c r="P136" s="26" t="s">
        <v>755</v>
      </c>
      <c r="Q136" s="26" t="str">
        <f>CONCATENATE(O136, "
","&lt;font color=""#ffab27""&gt;",RIGHT(LEFT(M136,7),2)&amp;"/"&amp;RIGHT(LEFT(M136,10),2)&amp;" "&amp;LEFT(RIGHT(M136,8),5)&amp;"&lt;/font&gt;まで",P136)</f>
        <v>【&lt;font color="#ff2626"&gt;超&lt;/font&gt;&lt;font color="#ffe22a"&gt;激&lt;/font&gt;&lt;font color="#0093ff"&gt;レ&lt;/font&gt;&lt;font color="#00e075"&gt;ア&lt;/font&gt;ユニットをGETしよう！】_x000D_&lt;font color="#ffab27"&gt;01/01 14:59&lt;/font&gt;までピックアップユニットの出現率UP!_x000D_&lt;font color=""#ffab27""&gt;※直接★６ユニットは排出されません&lt;/font&gt;</v>
      </c>
    </row>
    <row r="137" spans="1:17" ht="21" customHeight="1" x14ac:dyDescent="0.15">
      <c r="A137" s="6">
        <v>330</v>
      </c>
      <c r="B137" s="2">
        <v>3</v>
      </c>
      <c r="C137" s="2" t="s">
        <v>756</v>
      </c>
      <c r="D137" s="2">
        <v>100</v>
      </c>
      <c r="E137" s="17" t="str">
        <f>VLOOKUP($D137,gacha_types!$A:$D,2,FALSE)</f>
        <v>polygon</v>
      </c>
      <c r="F137" s="17">
        <f>VLOOKUP($D137,gacha_types!$A:$D,3,FALSE)</f>
        <v>5</v>
      </c>
      <c r="G137" s="17">
        <f t="shared" ref="G137" si="123">A137</f>
        <v>330</v>
      </c>
      <c r="H137" s="13" t="str">
        <f t="shared" ref="H137" si="124">"GachaTop_"&amp;A137&amp;".png"</f>
        <v>GachaTop_330.png</v>
      </c>
      <c r="I137" s="23">
        <v>1</v>
      </c>
      <c r="J137" s="23">
        <f t="shared" ref="J137" si="125">A137</f>
        <v>330</v>
      </c>
      <c r="K137" s="23">
        <v>1</v>
      </c>
      <c r="L137" s="55" t="s">
        <v>813</v>
      </c>
      <c r="M137" s="55" t="s">
        <v>814</v>
      </c>
      <c r="N137" s="2" t="s">
        <v>118</v>
      </c>
      <c r="O137" s="26" t="s">
        <v>337</v>
      </c>
      <c r="P137" s="26" t="s">
        <v>759</v>
      </c>
      <c r="Q137" s="50" t="s">
        <v>783</v>
      </c>
    </row>
    <row r="138" spans="1:17" ht="21" customHeight="1" x14ac:dyDescent="0.15">
      <c r="A138" s="6">
        <v>331</v>
      </c>
      <c r="B138" s="2">
        <v>3</v>
      </c>
      <c r="C138" s="2" t="s">
        <v>757</v>
      </c>
      <c r="D138" s="2">
        <v>100</v>
      </c>
      <c r="E138" s="17" t="str">
        <f>VLOOKUP($D138,gacha_types!$A:$D,2,FALSE)</f>
        <v>polygon</v>
      </c>
      <c r="F138" s="17">
        <f>VLOOKUP($D138,gacha_types!$A:$D,3,FALSE)</f>
        <v>5</v>
      </c>
      <c r="G138" s="17">
        <f t="shared" ref="G138:G422" si="126">A138</f>
        <v>331</v>
      </c>
      <c r="H138" s="13" t="str">
        <f t="shared" ref="H138:H422" si="127">"GachaTop_"&amp;A138&amp;".png"</f>
        <v>GachaTop_331.png</v>
      </c>
      <c r="I138" s="23">
        <v>1</v>
      </c>
      <c r="J138" s="23">
        <f t="shared" ref="J138:J422" si="128">A138</f>
        <v>331</v>
      </c>
      <c r="K138" s="23">
        <v>1</v>
      </c>
      <c r="L138" s="55" t="s">
        <v>813</v>
      </c>
      <c r="M138" s="55" t="s">
        <v>814</v>
      </c>
      <c r="N138" s="2" t="s">
        <v>118</v>
      </c>
      <c r="O138" s="26" t="s">
        <v>337</v>
      </c>
      <c r="P138" s="26" t="s">
        <v>758</v>
      </c>
      <c r="Q138" s="50" t="s">
        <v>784</v>
      </c>
    </row>
    <row r="139" spans="1:17" ht="21" customHeight="1" x14ac:dyDescent="0.15">
      <c r="A139" s="6">
        <v>332</v>
      </c>
      <c r="B139" s="2">
        <v>3</v>
      </c>
      <c r="C139" s="2" t="s">
        <v>794</v>
      </c>
      <c r="D139" s="2">
        <v>100</v>
      </c>
      <c r="E139" s="17" t="str">
        <f>VLOOKUP($D139,gacha_types!$A:$D,2,FALSE)</f>
        <v>polygon</v>
      </c>
      <c r="F139" s="17">
        <f>VLOOKUP($D139,gacha_types!$A:$D,3,FALSE)</f>
        <v>5</v>
      </c>
      <c r="G139" s="17">
        <f t="shared" si="126"/>
        <v>332</v>
      </c>
      <c r="H139" s="13" t="str">
        <f t="shared" si="127"/>
        <v>GachaTop_332.png</v>
      </c>
      <c r="I139" s="23">
        <v>1</v>
      </c>
      <c r="J139" s="23">
        <f t="shared" si="128"/>
        <v>332</v>
      </c>
      <c r="K139" s="23">
        <v>1</v>
      </c>
      <c r="L139" s="55" t="s">
        <v>813</v>
      </c>
      <c r="M139" s="55" t="s">
        <v>814</v>
      </c>
      <c r="N139" s="2" t="s">
        <v>118</v>
      </c>
      <c r="O139" s="26" t="s">
        <v>337</v>
      </c>
      <c r="P139" s="2" t="s">
        <v>372</v>
      </c>
      <c r="Q139" s="26" t="str">
        <f>CONCATENATE(O139, "
","&lt;font color=""#ffab27""&gt;",RIGHT(LEFT(M139,7),2)&amp;"/"&amp;RIGHT(LEFT(M139,10),2)&amp;" "&amp;LEFT(RIGHT(M139,8),5)&amp;"&lt;/font&gt;まで",P139)</f>
        <v>【&lt;font color="#ff2626"&gt;超&lt;/font&gt;&lt;font color="#ffe22a"&gt;激&lt;/font&gt;&lt;font color="#0093ff"&gt;レ&lt;/font&gt;&lt;font color="#00e075"&gt;ア&lt;/font&gt;ユニットをGETしよう！】_x000D_&lt;font color="#ffab27"&gt;01/01 14:59&lt;/font&gt;までフェス限定ユニットが出現中!</v>
      </c>
    </row>
    <row r="140" spans="1:17" ht="21" customHeight="1" x14ac:dyDescent="0.15">
      <c r="A140" s="6">
        <v>333</v>
      </c>
      <c r="B140" s="2">
        <v>3</v>
      </c>
      <c r="C140" s="2" t="s">
        <v>795</v>
      </c>
      <c r="D140" s="2">
        <v>100</v>
      </c>
      <c r="E140" s="17" t="str">
        <f>VLOOKUP($D140,gacha_types!$A:$D,2,FALSE)</f>
        <v>polygon</v>
      </c>
      <c r="F140" s="17">
        <f>VLOOKUP($D140,gacha_types!$A:$D,3,FALSE)</f>
        <v>5</v>
      </c>
      <c r="G140" s="17">
        <f t="shared" si="126"/>
        <v>333</v>
      </c>
      <c r="H140" s="13" t="str">
        <f t="shared" si="127"/>
        <v>GachaTop_333.png</v>
      </c>
      <c r="I140" s="23">
        <v>1</v>
      </c>
      <c r="J140" s="23">
        <f t="shared" si="128"/>
        <v>333</v>
      </c>
      <c r="K140" s="23">
        <v>1</v>
      </c>
      <c r="L140" s="55" t="s">
        <v>813</v>
      </c>
      <c r="M140" s="55" t="s">
        <v>814</v>
      </c>
      <c r="N140" s="2" t="s">
        <v>118</v>
      </c>
      <c r="O140" s="26" t="s">
        <v>337</v>
      </c>
      <c r="P140" s="2" t="s">
        <v>372</v>
      </c>
      <c r="Q140" s="26" t="str">
        <f>CONCATENATE(O140, "
","&lt;font color=""#ffab27""&gt;",RIGHT(LEFT(M140,7),2)&amp;"/"&amp;RIGHT(LEFT(M140,10),2)&amp;" "&amp;LEFT(RIGHT(M140,8),5)&amp;"&lt;/font&gt;まで",P140)</f>
        <v>【&lt;font color="#ff2626"&gt;超&lt;/font&gt;&lt;font color="#ffe22a"&gt;激&lt;/font&gt;&lt;font color="#0093ff"&gt;レ&lt;/font&gt;&lt;font color="#00e075"&gt;ア&lt;/font&gt;ユニットをGETしよう！】_x000D_&lt;font color="#ffab27"&gt;01/01 14:59&lt;/font&gt;までフェス限定ユニットが出現中!</v>
      </c>
    </row>
    <row r="141" spans="1:17" ht="21" customHeight="1" x14ac:dyDescent="0.15">
      <c r="A141" s="6">
        <v>334</v>
      </c>
      <c r="B141" s="2">
        <v>3</v>
      </c>
      <c r="C141" s="2" t="s">
        <v>786</v>
      </c>
      <c r="D141" s="2">
        <v>100</v>
      </c>
      <c r="E141" s="17" t="str">
        <f>VLOOKUP($D141,gacha_types!$A:$D,2,FALSE)</f>
        <v>polygon</v>
      </c>
      <c r="F141" s="17">
        <f>VLOOKUP($D141,gacha_types!$A:$D,3,FALSE)</f>
        <v>5</v>
      </c>
      <c r="G141" s="17">
        <f t="shared" si="126"/>
        <v>334</v>
      </c>
      <c r="H141" s="13" t="str">
        <f t="shared" si="127"/>
        <v>GachaTop_334.png</v>
      </c>
      <c r="I141" s="23">
        <v>1</v>
      </c>
      <c r="J141" s="23">
        <f t="shared" si="128"/>
        <v>334</v>
      </c>
      <c r="K141" s="23">
        <v>1</v>
      </c>
      <c r="L141" s="55" t="s">
        <v>813</v>
      </c>
      <c r="M141" s="55" t="s">
        <v>814</v>
      </c>
      <c r="N141" s="2" t="s">
        <v>118</v>
      </c>
      <c r="O141" s="26" t="s">
        <v>337</v>
      </c>
      <c r="P141" s="2" t="s">
        <v>787</v>
      </c>
      <c r="Q141" s="50" t="s">
        <v>821</v>
      </c>
    </row>
    <row r="142" spans="1:17" ht="21" customHeight="1" x14ac:dyDescent="0.15">
      <c r="A142" s="6">
        <v>335</v>
      </c>
      <c r="B142" s="2">
        <v>3</v>
      </c>
      <c r="C142" s="2" t="s">
        <v>800</v>
      </c>
      <c r="D142" s="2">
        <v>100</v>
      </c>
      <c r="E142" s="17" t="str">
        <f>VLOOKUP($D142,gacha_types!$A:$D,2,FALSE)</f>
        <v>polygon</v>
      </c>
      <c r="F142" s="17">
        <f>VLOOKUP($D142,gacha_types!$A:$D,3,FALSE)</f>
        <v>5</v>
      </c>
      <c r="G142" s="17">
        <f t="shared" si="126"/>
        <v>335</v>
      </c>
      <c r="H142" s="69" t="s">
        <v>830</v>
      </c>
      <c r="I142" s="23">
        <v>1</v>
      </c>
      <c r="J142" s="23">
        <f t="shared" si="128"/>
        <v>335</v>
      </c>
      <c r="K142" s="23">
        <v>1</v>
      </c>
      <c r="L142" s="55" t="s">
        <v>813</v>
      </c>
      <c r="M142" s="55" t="s">
        <v>814</v>
      </c>
      <c r="N142" s="2" t="s">
        <v>118</v>
      </c>
      <c r="O142" s="26" t="s">
        <v>337</v>
      </c>
      <c r="P142" s="2" t="s">
        <v>798</v>
      </c>
      <c r="Q142" s="67" t="s">
        <v>815</v>
      </c>
    </row>
    <row r="143" spans="1:17" ht="21" customHeight="1" x14ac:dyDescent="0.15">
      <c r="A143" s="6">
        <v>336</v>
      </c>
      <c r="B143" s="2">
        <v>3</v>
      </c>
      <c r="C143" s="2" t="s">
        <v>799</v>
      </c>
      <c r="D143" s="2">
        <v>100</v>
      </c>
      <c r="E143" s="17" t="str">
        <f>VLOOKUP($D143,gacha_types!$A:$D,2,FALSE)</f>
        <v>polygon</v>
      </c>
      <c r="F143" s="17">
        <f>VLOOKUP($D143,gacha_types!$A:$D,3,FALSE)</f>
        <v>5</v>
      </c>
      <c r="G143" s="17">
        <f t="shared" si="126"/>
        <v>336</v>
      </c>
      <c r="H143" s="13" t="str">
        <f t="shared" si="127"/>
        <v>GachaTop_336.png</v>
      </c>
      <c r="I143" s="23">
        <v>1</v>
      </c>
      <c r="J143" s="23">
        <f t="shared" si="128"/>
        <v>336</v>
      </c>
      <c r="K143" s="23">
        <v>1</v>
      </c>
      <c r="L143" s="55" t="s">
        <v>813</v>
      </c>
      <c r="M143" s="55" t="s">
        <v>814</v>
      </c>
      <c r="N143" s="2" t="s">
        <v>118</v>
      </c>
      <c r="O143" s="26" t="s">
        <v>337</v>
      </c>
      <c r="P143" s="2" t="s">
        <v>897</v>
      </c>
      <c r="Q143" s="26" t="str">
        <f>CONCATENATE(O143, "
",P143)</f>
        <v>【&lt;font color="#ff2626"&gt;超&lt;/font&gt;&lt;font color="#ffe22a"&gt;激&lt;/font&gt;&lt;font color="#0093ff"&gt;レ&lt;/font&gt;&lt;font color="#00e075"&gt;ア&lt;/font&gt;ユニットをGETしよう！】_x000D_&lt;font color="#ffab27"&gt;05/19 14:59&lt;/font&gt;まで新ユニットが１体確定出現!</v>
      </c>
    </row>
    <row r="144" spans="1:17" ht="21" customHeight="1" x14ac:dyDescent="0.15">
      <c r="A144" s="6">
        <v>337</v>
      </c>
      <c r="B144" s="2">
        <v>3</v>
      </c>
      <c r="C144" s="2" t="s">
        <v>807</v>
      </c>
      <c r="D144" s="2">
        <v>100</v>
      </c>
      <c r="E144" s="17" t="str">
        <f>VLOOKUP($D144,gacha_types!$A:$D,2,FALSE)</f>
        <v>polygon</v>
      </c>
      <c r="F144" s="17">
        <f>VLOOKUP($D144,gacha_types!$A:$D,3,FALSE)</f>
        <v>5</v>
      </c>
      <c r="G144" s="17">
        <f t="shared" si="126"/>
        <v>337</v>
      </c>
      <c r="H144" s="13" t="str">
        <f t="shared" si="127"/>
        <v>GachaTop_337.png</v>
      </c>
      <c r="I144" s="23">
        <v>1</v>
      </c>
      <c r="J144" s="23">
        <f t="shared" si="128"/>
        <v>337</v>
      </c>
      <c r="K144" s="23">
        <v>1</v>
      </c>
      <c r="L144" s="55" t="s">
        <v>813</v>
      </c>
      <c r="M144" s="55" t="s">
        <v>814</v>
      </c>
      <c r="N144" s="2" t="s">
        <v>118</v>
      </c>
      <c r="O144" s="26" t="s">
        <v>337</v>
      </c>
      <c r="P144" s="2" t="s">
        <v>613</v>
      </c>
      <c r="Q144" s="50" t="s">
        <v>612</v>
      </c>
    </row>
    <row r="145" spans="1:18" ht="21" customHeight="1" x14ac:dyDescent="0.15">
      <c r="A145" s="6">
        <v>338</v>
      </c>
      <c r="B145" s="2">
        <v>3</v>
      </c>
      <c r="C145" s="2" t="s">
        <v>849</v>
      </c>
      <c r="D145" s="2">
        <v>100</v>
      </c>
      <c r="E145" s="17" t="str">
        <f>VLOOKUP($D145,gacha_types!$A:$D,2,FALSE)</f>
        <v>polygon</v>
      </c>
      <c r="F145" s="17">
        <f>VLOOKUP($D145,gacha_types!$A:$D,3,FALSE)</f>
        <v>5</v>
      </c>
      <c r="G145" s="17">
        <f t="shared" si="126"/>
        <v>338</v>
      </c>
      <c r="H145" s="13" t="str">
        <f t="shared" si="127"/>
        <v>GachaTop_338.png</v>
      </c>
      <c r="I145" s="23">
        <v>1</v>
      </c>
      <c r="J145" s="23">
        <f t="shared" si="128"/>
        <v>338</v>
      </c>
      <c r="K145" s="23">
        <v>1</v>
      </c>
      <c r="L145" s="55" t="s">
        <v>813</v>
      </c>
      <c r="M145" s="55" t="s">
        <v>814</v>
      </c>
      <c r="N145" s="2" t="s">
        <v>118</v>
      </c>
      <c r="O145" s="26" t="s">
        <v>337</v>
      </c>
      <c r="P145" s="2" t="s">
        <v>613</v>
      </c>
      <c r="Q145" s="50" t="s">
        <v>871</v>
      </c>
    </row>
    <row r="146" spans="1:18" ht="50" customHeight="1" x14ac:dyDescent="0.15">
      <c r="A146" s="6">
        <v>339</v>
      </c>
      <c r="B146" s="2">
        <v>3</v>
      </c>
      <c r="C146" s="2" t="s">
        <v>850</v>
      </c>
      <c r="D146" s="2">
        <v>100</v>
      </c>
      <c r="E146" s="17" t="str">
        <f>VLOOKUP($D146,gacha_types!$A:$D,2,FALSE)</f>
        <v>polygon</v>
      </c>
      <c r="F146" s="17">
        <f>VLOOKUP($D146,gacha_types!$A:$D,3,FALSE)</f>
        <v>5</v>
      </c>
      <c r="G146" s="17">
        <f t="shared" ref="G146:G149" si="129">A146</f>
        <v>339</v>
      </c>
      <c r="H146" s="13" t="str">
        <f t="shared" ref="H146:H149" si="130">"GachaTop_"&amp;A146&amp;".png"</f>
        <v>GachaTop_339.png</v>
      </c>
      <c r="I146" s="23">
        <v>1</v>
      </c>
      <c r="J146" s="23">
        <f t="shared" ref="J146:J149" si="131">A146</f>
        <v>339</v>
      </c>
      <c r="K146" s="23">
        <v>1</v>
      </c>
      <c r="L146" s="55" t="s">
        <v>813</v>
      </c>
      <c r="M146" s="55" t="s">
        <v>814</v>
      </c>
      <c r="N146" s="2" t="s">
        <v>118</v>
      </c>
      <c r="O146" s="26" t="s">
        <v>337</v>
      </c>
      <c r="P146" s="26" t="s">
        <v>891</v>
      </c>
      <c r="Q146" s="50" t="s">
        <v>898</v>
      </c>
    </row>
    <row r="147" spans="1:18" ht="50" customHeight="1" x14ac:dyDescent="0.15">
      <c r="A147" s="6">
        <v>340</v>
      </c>
      <c r="B147" s="2">
        <v>3</v>
      </c>
      <c r="C147" s="2" t="s">
        <v>873</v>
      </c>
      <c r="D147" s="2">
        <v>100</v>
      </c>
      <c r="E147" s="17" t="str">
        <f>VLOOKUP($D147,gacha_types!$A:$D,2,FALSE)</f>
        <v>polygon</v>
      </c>
      <c r="F147" s="17">
        <f>VLOOKUP($D147,gacha_types!$A:$D,3,FALSE)</f>
        <v>5</v>
      </c>
      <c r="G147" s="17">
        <f t="shared" si="129"/>
        <v>340</v>
      </c>
      <c r="H147" s="13" t="str">
        <f t="shared" si="130"/>
        <v>GachaTop_340.png</v>
      </c>
      <c r="I147" s="23">
        <v>1</v>
      </c>
      <c r="J147" s="23">
        <f t="shared" si="131"/>
        <v>340</v>
      </c>
      <c r="K147" s="23">
        <v>1</v>
      </c>
      <c r="L147" s="55" t="s">
        <v>813</v>
      </c>
      <c r="M147" s="55" t="s">
        <v>814</v>
      </c>
      <c r="N147" s="2" t="s">
        <v>118</v>
      </c>
      <c r="O147" s="26" t="s">
        <v>337</v>
      </c>
      <c r="P147" s="26" t="s">
        <v>895</v>
      </c>
      <c r="Q147" s="50" t="s">
        <v>902</v>
      </c>
    </row>
    <row r="148" spans="1:18" ht="50" customHeight="1" x14ac:dyDescent="0.15">
      <c r="A148" s="6">
        <v>341</v>
      </c>
      <c r="B148" s="2">
        <v>3</v>
      </c>
      <c r="C148" s="2" t="s">
        <v>874</v>
      </c>
      <c r="D148" s="2">
        <v>100</v>
      </c>
      <c r="E148" s="17" t="str">
        <f>VLOOKUP($D148,gacha_types!$A:$D,2,FALSE)</f>
        <v>polygon</v>
      </c>
      <c r="F148" s="17">
        <f>VLOOKUP($D148,gacha_types!$A:$D,3,FALSE)</f>
        <v>5</v>
      </c>
      <c r="G148" s="17">
        <f t="shared" si="129"/>
        <v>341</v>
      </c>
      <c r="H148" s="13" t="str">
        <f t="shared" si="130"/>
        <v>GachaTop_341.png</v>
      </c>
      <c r="I148" s="23">
        <v>1</v>
      </c>
      <c r="J148" s="23">
        <f t="shared" si="131"/>
        <v>341</v>
      </c>
      <c r="K148" s="23">
        <v>1</v>
      </c>
      <c r="L148" s="55" t="s">
        <v>813</v>
      </c>
      <c r="M148" s="55" t="s">
        <v>814</v>
      </c>
      <c r="N148" s="2" t="s">
        <v>118</v>
      </c>
      <c r="O148" s="26" t="s">
        <v>337</v>
      </c>
      <c r="P148" s="26" t="s">
        <v>895</v>
      </c>
      <c r="Q148" s="50" t="s">
        <v>1026</v>
      </c>
    </row>
    <row r="149" spans="1:18" ht="50" customHeight="1" x14ac:dyDescent="0.15">
      <c r="A149" s="6">
        <v>342</v>
      </c>
      <c r="B149" s="2">
        <v>3</v>
      </c>
      <c r="C149" s="2" t="s">
        <v>875</v>
      </c>
      <c r="D149" s="2">
        <v>100</v>
      </c>
      <c r="E149" s="17" t="str">
        <f>VLOOKUP($D149,gacha_types!$A:$D,2,FALSE)</f>
        <v>polygon</v>
      </c>
      <c r="F149" s="17">
        <f>VLOOKUP($D149,gacha_types!$A:$D,3,FALSE)</f>
        <v>5</v>
      </c>
      <c r="G149" s="17">
        <f t="shared" si="129"/>
        <v>342</v>
      </c>
      <c r="H149" s="13" t="str">
        <f t="shared" si="130"/>
        <v>GachaTop_342.png</v>
      </c>
      <c r="I149" s="23">
        <v>1</v>
      </c>
      <c r="J149" s="23">
        <f t="shared" si="131"/>
        <v>342</v>
      </c>
      <c r="K149" s="23">
        <v>1</v>
      </c>
      <c r="L149" s="55" t="s">
        <v>813</v>
      </c>
      <c r="M149" s="55" t="s">
        <v>814</v>
      </c>
      <c r="N149" s="2" t="s">
        <v>118</v>
      </c>
      <c r="O149" s="26" t="s">
        <v>337</v>
      </c>
      <c r="P149" s="26" t="s">
        <v>892</v>
      </c>
      <c r="Q149" s="26" t="s">
        <v>901</v>
      </c>
    </row>
    <row r="150" spans="1:18" ht="50" customHeight="1" x14ac:dyDescent="0.15">
      <c r="A150" s="6">
        <v>343</v>
      </c>
      <c r="B150" s="2">
        <v>3</v>
      </c>
      <c r="C150" s="2" t="s">
        <v>876</v>
      </c>
      <c r="D150" s="2">
        <v>100</v>
      </c>
      <c r="E150" s="17" t="str">
        <f>VLOOKUP($D150,gacha_types!$A:$D,2,FALSE)</f>
        <v>polygon</v>
      </c>
      <c r="F150" s="17">
        <f>VLOOKUP($D150,gacha_types!$A:$D,3,FALSE)</f>
        <v>5</v>
      </c>
      <c r="G150" s="17">
        <f t="shared" ref="G150:G151" si="132">A150</f>
        <v>343</v>
      </c>
      <c r="H150" s="13" t="str">
        <f t="shared" ref="H150:H151" si="133">"GachaTop_"&amp;A150&amp;".png"</f>
        <v>GachaTop_343.png</v>
      </c>
      <c r="I150" s="23">
        <v>1</v>
      </c>
      <c r="J150" s="23">
        <f t="shared" ref="J150:J151" si="134">A150</f>
        <v>343</v>
      </c>
      <c r="K150" s="23">
        <v>1</v>
      </c>
      <c r="L150" s="55" t="s">
        <v>813</v>
      </c>
      <c r="M150" s="55" t="s">
        <v>814</v>
      </c>
      <c r="N150" s="2" t="s">
        <v>118</v>
      </c>
      <c r="O150" s="26" t="s">
        <v>337</v>
      </c>
      <c r="P150" s="26" t="s">
        <v>892</v>
      </c>
      <c r="Q150" s="26" t="s">
        <v>900</v>
      </c>
    </row>
    <row r="151" spans="1:18" ht="50" customHeight="1" x14ac:dyDescent="0.15">
      <c r="A151" s="6">
        <v>344</v>
      </c>
      <c r="B151" s="2">
        <v>3</v>
      </c>
      <c r="C151" s="2" t="s">
        <v>877</v>
      </c>
      <c r="D151" s="2">
        <v>100</v>
      </c>
      <c r="E151" s="17" t="str">
        <f>VLOOKUP($D151,gacha_types!$A:$D,2,FALSE)</f>
        <v>polygon</v>
      </c>
      <c r="F151" s="17">
        <f>VLOOKUP($D151,gacha_types!$A:$D,3,FALSE)</f>
        <v>5</v>
      </c>
      <c r="G151" s="17">
        <f t="shared" si="132"/>
        <v>344</v>
      </c>
      <c r="H151" s="13" t="str">
        <f t="shared" si="133"/>
        <v>GachaTop_344.png</v>
      </c>
      <c r="I151" s="23">
        <v>1</v>
      </c>
      <c r="J151" s="23">
        <f t="shared" si="134"/>
        <v>344</v>
      </c>
      <c r="K151" s="23">
        <v>1</v>
      </c>
      <c r="L151" s="55" t="s">
        <v>813</v>
      </c>
      <c r="M151" s="55" t="s">
        <v>814</v>
      </c>
      <c r="N151" s="2" t="s">
        <v>118</v>
      </c>
      <c r="O151" s="26" t="s">
        <v>337</v>
      </c>
      <c r="P151" s="26" t="s">
        <v>892</v>
      </c>
      <c r="Q151" s="26" t="s">
        <v>900</v>
      </c>
    </row>
    <row r="152" spans="1:18" ht="50" customHeight="1" x14ac:dyDescent="0.15">
      <c r="A152" s="6">
        <v>345</v>
      </c>
      <c r="B152" s="2">
        <v>3</v>
      </c>
      <c r="C152" s="2" t="s">
        <v>878</v>
      </c>
      <c r="D152" s="2">
        <v>100</v>
      </c>
      <c r="E152" s="17" t="str">
        <f>VLOOKUP($D152,gacha_types!$A:$D,2,FALSE)</f>
        <v>polygon</v>
      </c>
      <c r="F152" s="17">
        <f>VLOOKUP($D152,gacha_types!$A:$D,3,FALSE)</f>
        <v>5</v>
      </c>
      <c r="G152" s="17">
        <f t="shared" ref="G152" si="135">A152</f>
        <v>345</v>
      </c>
      <c r="H152" s="13" t="str">
        <f t="shared" ref="H152" si="136">"GachaTop_"&amp;A152&amp;".png"</f>
        <v>GachaTop_345.png</v>
      </c>
      <c r="I152" s="23">
        <v>1</v>
      </c>
      <c r="J152" s="23">
        <f t="shared" ref="J152" si="137">A152</f>
        <v>345</v>
      </c>
      <c r="K152" s="23">
        <v>1</v>
      </c>
      <c r="L152" s="55" t="s">
        <v>813</v>
      </c>
      <c r="M152" s="55" t="s">
        <v>814</v>
      </c>
      <c r="N152" s="2" t="s">
        <v>118</v>
      </c>
      <c r="O152" s="26" t="s">
        <v>337</v>
      </c>
      <c r="P152" s="26" t="s">
        <v>892</v>
      </c>
      <c r="Q152" s="26" t="s">
        <v>900</v>
      </c>
    </row>
    <row r="153" spans="1:18" ht="50" customHeight="1" x14ac:dyDescent="0.15">
      <c r="A153" s="6">
        <v>346</v>
      </c>
      <c r="B153" s="2">
        <v>3</v>
      </c>
      <c r="C153" s="2" t="s">
        <v>879</v>
      </c>
      <c r="D153" s="2">
        <v>100</v>
      </c>
      <c r="E153" s="17" t="str">
        <f>VLOOKUP($D153,gacha_types!$A:$D,2,FALSE)</f>
        <v>polygon</v>
      </c>
      <c r="F153" s="17">
        <f>VLOOKUP($D153,gacha_types!$A:$D,3,FALSE)</f>
        <v>5</v>
      </c>
      <c r="G153" s="17">
        <f t="shared" ref="G153:G154" si="138">A153</f>
        <v>346</v>
      </c>
      <c r="H153" s="13" t="str">
        <f t="shared" ref="H153:H154" si="139">"GachaTop_"&amp;A153&amp;".png"</f>
        <v>GachaTop_346.png</v>
      </c>
      <c r="I153" s="23">
        <v>1</v>
      </c>
      <c r="J153" s="23">
        <f t="shared" ref="J153:J154" si="140">A153</f>
        <v>346</v>
      </c>
      <c r="K153" s="23">
        <v>1</v>
      </c>
      <c r="L153" s="55" t="s">
        <v>813</v>
      </c>
      <c r="M153" s="55" t="s">
        <v>814</v>
      </c>
      <c r="N153" s="2" t="s">
        <v>118</v>
      </c>
      <c r="O153" s="26" t="s">
        <v>337</v>
      </c>
      <c r="P153" s="2" t="s">
        <v>896</v>
      </c>
      <c r="Q153" s="26" t="str">
        <f>CONCATENATE(O153, "
",P153)</f>
        <v>【&lt;font color="#ff2626"&gt;超&lt;/font&gt;&lt;font color="#ffe22a"&gt;激&lt;/font&gt;&lt;font color="#0093ff"&gt;レ&lt;/font&gt;&lt;font color="#00e075"&gt;ア&lt;/font&gt;ユニットをGETしよう！】_x000D_&lt;font color="#ffab27"&gt;05/31 23:59&lt;/font&gt;まで新ユニットが１体確定出現!</v>
      </c>
      <c r="R153" s="49"/>
    </row>
    <row r="154" spans="1:18" ht="21" customHeight="1" x14ac:dyDescent="0.15">
      <c r="A154" s="6">
        <v>347</v>
      </c>
      <c r="B154" s="2">
        <v>3</v>
      </c>
      <c r="C154" s="2" t="s">
        <v>887</v>
      </c>
      <c r="D154" s="2">
        <v>100</v>
      </c>
      <c r="E154" s="17" t="str">
        <f>VLOOKUP($D154,gacha_types!$A:$D,2,FALSE)</f>
        <v>polygon</v>
      </c>
      <c r="F154" s="17">
        <f>VLOOKUP($D154,gacha_types!$A:$D,3,FALSE)</f>
        <v>5</v>
      </c>
      <c r="G154" s="17">
        <f t="shared" si="138"/>
        <v>347</v>
      </c>
      <c r="H154" s="13" t="str">
        <f t="shared" si="139"/>
        <v>GachaTop_347.png</v>
      </c>
      <c r="I154" s="23">
        <v>1</v>
      </c>
      <c r="J154" s="23">
        <f t="shared" si="140"/>
        <v>347</v>
      </c>
      <c r="K154" s="23">
        <v>1</v>
      </c>
      <c r="L154" s="55" t="s">
        <v>813</v>
      </c>
      <c r="M154" s="55" t="s">
        <v>814</v>
      </c>
      <c r="N154" s="2" t="s">
        <v>118</v>
      </c>
      <c r="O154" s="26" t="s">
        <v>1073</v>
      </c>
      <c r="P154" s="2" t="s">
        <v>613</v>
      </c>
      <c r="Q154" s="50" t="s">
        <v>612</v>
      </c>
    </row>
    <row r="155" spans="1:18" ht="50" customHeight="1" x14ac:dyDescent="0.15">
      <c r="A155" s="6">
        <v>348</v>
      </c>
      <c r="B155" s="2">
        <v>3</v>
      </c>
      <c r="C155" s="2" t="s">
        <v>903</v>
      </c>
      <c r="D155" s="2">
        <v>100</v>
      </c>
      <c r="E155" s="17" t="str">
        <f>VLOOKUP($D155,gacha_types!$A:$D,2,FALSE)</f>
        <v>polygon</v>
      </c>
      <c r="F155" s="17">
        <f>VLOOKUP($D155,gacha_types!$A:$D,3,FALSE)</f>
        <v>5</v>
      </c>
      <c r="G155" s="17">
        <f t="shared" ref="G155" si="141">A155</f>
        <v>348</v>
      </c>
      <c r="H155" s="13" t="str">
        <f t="shared" ref="H155" si="142">"GachaTop_"&amp;A155&amp;".png"</f>
        <v>GachaTop_348.png</v>
      </c>
      <c r="I155" s="23">
        <v>1</v>
      </c>
      <c r="J155" s="23">
        <f t="shared" ref="J155" si="143">A155</f>
        <v>348</v>
      </c>
      <c r="K155" s="23">
        <v>1</v>
      </c>
      <c r="L155" s="55" t="s">
        <v>813</v>
      </c>
      <c r="M155" s="55" t="s">
        <v>814</v>
      </c>
      <c r="N155" s="2" t="s">
        <v>118</v>
      </c>
      <c r="O155" s="26" t="s">
        <v>337</v>
      </c>
      <c r="P155" s="2" t="s">
        <v>896</v>
      </c>
      <c r="Q155" s="50" t="s">
        <v>1010</v>
      </c>
      <c r="R155" s="49"/>
    </row>
    <row r="156" spans="1:18" ht="50" customHeight="1" x14ac:dyDescent="0.15">
      <c r="A156" s="6">
        <v>349</v>
      </c>
      <c r="B156" s="2">
        <v>3</v>
      </c>
      <c r="C156" s="2" t="s">
        <v>904</v>
      </c>
      <c r="D156" s="2">
        <v>100</v>
      </c>
      <c r="E156" s="17" t="str">
        <f>VLOOKUP($D156,gacha_types!$A:$D,2,FALSE)</f>
        <v>polygon</v>
      </c>
      <c r="F156" s="17">
        <f>VLOOKUP($D156,gacha_types!$A:$D,3,FALSE)</f>
        <v>5</v>
      </c>
      <c r="G156" s="17">
        <f t="shared" ref="G156" si="144">A156</f>
        <v>349</v>
      </c>
      <c r="H156" s="13" t="str">
        <f t="shared" ref="H156" si="145">"GachaTop_"&amp;A156&amp;".png"</f>
        <v>GachaTop_349.png</v>
      </c>
      <c r="I156" s="23">
        <v>1</v>
      </c>
      <c r="J156" s="23">
        <f t="shared" ref="J156" si="146">A156</f>
        <v>349</v>
      </c>
      <c r="K156" s="23">
        <v>1</v>
      </c>
      <c r="L156" s="55" t="s">
        <v>813</v>
      </c>
      <c r="M156" s="55" t="s">
        <v>814</v>
      </c>
      <c r="N156" s="2" t="s">
        <v>118</v>
      </c>
      <c r="O156" s="26" t="s">
        <v>337</v>
      </c>
      <c r="P156" s="2" t="s">
        <v>1085</v>
      </c>
      <c r="Q156" s="50" t="s">
        <v>1119</v>
      </c>
      <c r="R156" s="49"/>
    </row>
    <row r="157" spans="1:18" ht="50" customHeight="1" x14ac:dyDescent="0.15">
      <c r="A157" s="6">
        <v>350</v>
      </c>
      <c r="B157" s="2">
        <v>3</v>
      </c>
      <c r="C157" s="2" t="s">
        <v>918</v>
      </c>
      <c r="D157" s="2">
        <v>100</v>
      </c>
      <c r="E157" s="17" t="str">
        <f>VLOOKUP($D157,gacha_types!$A:$D,2,FALSE)</f>
        <v>polygon</v>
      </c>
      <c r="F157" s="17">
        <f>VLOOKUP($D157,gacha_types!$A:$D,3,FALSE)</f>
        <v>5</v>
      </c>
      <c r="G157" s="17">
        <f t="shared" ref="G157:G163" si="147">A157</f>
        <v>350</v>
      </c>
      <c r="H157" s="13" t="str">
        <f t="shared" ref="H157:H163" si="148">"GachaTop_"&amp;A157&amp;".png"</f>
        <v>GachaTop_350.png</v>
      </c>
      <c r="I157" s="23">
        <v>1</v>
      </c>
      <c r="J157" s="23">
        <f t="shared" ref="J157:J163" si="149">A157</f>
        <v>350</v>
      </c>
      <c r="K157" s="23">
        <v>1</v>
      </c>
      <c r="L157" s="55" t="s">
        <v>813</v>
      </c>
      <c r="M157" s="55" t="s">
        <v>814</v>
      </c>
      <c r="N157" s="2" t="s">
        <v>118</v>
      </c>
      <c r="O157" s="26" t="s">
        <v>337</v>
      </c>
      <c r="P157" s="2" t="s">
        <v>372</v>
      </c>
      <c r="Q157" s="50" t="s">
        <v>970</v>
      </c>
      <c r="R157" s="49"/>
    </row>
    <row r="158" spans="1:18" ht="50" customHeight="1" x14ac:dyDescent="0.15">
      <c r="A158" s="6">
        <v>351</v>
      </c>
      <c r="B158" s="2">
        <v>3</v>
      </c>
      <c r="C158" s="2" t="s">
        <v>968</v>
      </c>
      <c r="D158" s="2">
        <v>100</v>
      </c>
      <c r="E158" s="17" t="str">
        <f>VLOOKUP($D158,gacha_types!$A:$D,2,FALSE)</f>
        <v>polygon</v>
      </c>
      <c r="F158" s="17">
        <f>VLOOKUP($D158,gacha_types!$A:$D,3,FALSE)</f>
        <v>5</v>
      </c>
      <c r="G158" s="17">
        <f t="shared" si="147"/>
        <v>351</v>
      </c>
      <c r="H158" s="13" t="str">
        <f t="shared" si="148"/>
        <v>GachaTop_351.png</v>
      </c>
      <c r="I158" s="23">
        <v>1</v>
      </c>
      <c r="J158" s="23">
        <f t="shared" si="149"/>
        <v>351</v>
      </c>
      <c r="K158" s="23">
        <v>1</v>
      </c>
      <c r="L158" s="55" t="s">
        <v>813</v>
      </c>
      <c r="M158" s="55" t="s">
        <v>814</v>
      </c>
      <c r="N158" s="2" t="s">
        <v>118</v>
      </c>
      <c r="O158" s="26" t="s">
        <v>337</v>
      </c>
      <c r="P158" s="2" t="s">
        <v>372</v>
      </c>
      <c r="Q158" s="50" t="s">
        <v>1142</v>
      </c>
      <c r="R158" s="49"/>
    </row>
    <row r="159" spans="1:18" ht="50" customHeight="1" x14ac:dyDescent="0.15">
      <c r="A159" s="6">
        <v>352</v>
      </c>
      <c r="B159" s="2">
        <v>3</v>
      </c>
      <c r="C159" s="2" t="s">
        <v>969</v>
      </c>
      <c r="D159" s="2">
        <v>100</v>
      </c>
      <c r="E159" s="17" t="str">
        <f>VLOOKUP($D159,gacha_types!$A:$D,2,FALSE)</f>
        <v>polygon</v>
      </c>
      <c r="F159" s="17">
        <f>VLOOKUP($D159,gacha_types!$A:$D,3,FALSE)</f>
        <v>5</v>
      </c>
      <c r="G159" s="17">
        <f t="shared" si="147"/>
        <v>352</v>
      </c>
      <c r="H159" s="13" t="str">
        <f t="shared" si="148"/>
        <v>GachaTop_352.png</v>
      </c>
      <c r="I159" s="23">
        <v>1</v>
      </c>
      <c r="J159" s="23">
        <f t="shared" si="149"/>
        <v>352</v>
      </c>
      <c r="K159" s="23">
        <v>1</v>
      </c>
      <c r="L159" s="55" t="s">
        <v>813</v>
      </c>
      <c r="M159" s="55" t="s">
        <v>814</v>
      </c>
      <c r="N159" s="2" t="s">
        <v>118</v>
      </c>
      <c r="O159" s="26" t="s">
        <v>1075</v>
      </c>
      <c r="P159" s="26" t="s">
        <v>971</v>
      </c>
      <c r="Q159" s="50" t="s">
        <v>1009</v>
      </c>
      <c r="R159" s="49"/>
    </row>
    <row r="160" spans="1:18" ht="50" customHeight="1" x14ac:dyDescent="0.15">
      <c r="A160" s="6">
        <v>353</v>
      </c>
      <c r="B160" s="18">
        <v>3</v>
      </c>
      <c r="C160" s="2" t="s">
        <v>972</v>
      </c>
      <c r="D160" s="2">
        <v>100</v>
      </c>
      <c r="E160" s="17" t="str">
        <f>VLOOKUP($D160,gacha_types!$A:$D,2,FALSE)</f>
        <v>polygon</v>
      </c>
      <c r="F160" s="17">
        <f>VLOOKUP($D160,gacha_types!$A:$D,3,FALSE)</f>
        <v>5</v>
      </c>
      <c r="G160" s="17">
        <f t="shared" si="147"/>
        <v>353</v>
      </c>
      <c r="H160" s="13" t="str">
        <f t="shared" si="148"/>
        <v>GachaTop_353.png</v>
      </c>
      <c r="I160" s="23">
        <v>1</v>
      </c>
      <c r="J160" s="23">
        <f t="shared" si="149"/>
        <v>353</v>
      </c>
      <c r="K160" s="23">
        <v>1</v>
      </c>
      <c r="L160" s="55" t="s">
        <v>813</v>
      </c>
      <c r="M160" s="55" t="s">
        <v>814</v>
      </c>
      <c r="N160" s="2" t="s">
        <v>118</v>
      </c>
      <c r="O160" s="26" t="s">
        <v>337</v>
      </c>
      <c r="P160" s="26" t="s">
        <v>971</v>
      </c>
      <c r="Q160" s="50" t="s">
        <v>1063</v>
      </c>
      <c r="R160" s="49"/>
    </row>
    <row r="161" spans="1:18" ht="50" customHeight="1" x14ac:dyDescent="0.15">
      <c r="A161" s="6">
        <v>354</v>
      </c>
      <c r="B161" s="18">
        <v>3</v>
      </c>
      <c r="C161" s="2" t="s">
        <v>1011</v>
      </c>
      <c r="D161" s="2">
        <v>100</v>
      </c>
      <c r="E161" s="17" t="str">
        <f>VLOOKUP($D161,gacha_types!$A:$D,2,FALSE)</f>
        <v>polygon</v>
      </c>
      <c r="F161" s="17">
        <f>VLOOKUP($D161,gacha_types!$A:$D,3,FALSE)</f>
        <v>5</v>
      </c>
      <c r="G161" s="17">
        <f t="shared" si="147"/>
        <v>354</v>
      </c>
      <c r="H161" s="13" t="str">
        <f t="shared" si="148"/>
        <v>GachaTop_354.png</v>
      </c>
      <c r="I161" s="23">
        <v>1</v>
      </c>
      <c r="J161" s="23">
        <f t="shared" si="149"/>
        <v>354</v>
      </c>
      <c r="K161" s="23">
        <v>1</v>
      </c>
      <c r="L161" s="55" t="s">
        <v>813</v>
      </c>
      <c r="M161" s="55" t="s">
        <v>814</v>
      </c>
      <c r="N161" s="2" t="s">
        <v>118</v>
      </c>
      <c r="O161" s="26" t="s">
        <v>337</v>
      </c>
      <c r="P161" s="2" t="s">
        <v>1051</v>
      </c>
      <c r="Q161" s="50" t="s">
        <v>1050</v>
      </c>
      <c r="R161" s="49"/>
    </row>
    <row r="162" spans="1:18" ht="50" customHeight="1" x14ac:dyDescent="0.15">
      <c r="A162" s="6">
        <v>355</v>
      </c>
      <c r="B162" s="18">
        <v>3</v>
      </c>
      <c r="C162" s="2" t="s">
        <v>1012</v>
      </c>
      <c r="D162" s="2">
        <v>100</v>
      </c>
      <c r="E162" s="17" t="str">
        <f>VLOOKUP($D162,gacha_types!$A:$D,2,FALSE)</f>
        <v>polygon</v>
      </c>
      <c r="F162" s="17">
        <f>VLOOKUP($D162,gacha_types!$A:$D,3,FALSE)</f>
        <v>5</v>
      </c>
      <c r="G162" s="17">
        <f t="shared" si="147"/>
        <v>355</v>
      </c>
      <c r="H162" s="13" t="str">
        <f t="shared" si="148"/>
        <v>GachaTop_355.png</v>
      </c>
      <c r="I162" s="23">
        <v>1</v>
      </c>
      <c r="J162" s="23">
        <f t="shared" si="149"/>
        <v>355</v>
      </c>
      <c r="K162" s="23">
        <v>1</v>
      </c>
      <c r="L162" s="55" t="s">
        <v>813</v>
      </c>
      <c r="M162" s="55" t="s">
        <v>814</v>
      </c>
      <c r="N162" s="2" t="s">
        <v>118</v>
      </c>
      <c r="O162" s="26" t="s">
        <v>1076</v>
      </c>
      <c r="P162" s="2" t="s">
        <v>1074</v>
      </c>
      <c r="Q162" s="26" t="str">
        <f>CONCATENATE(O162, "
","&lt;font color=""#ffab27""&gt;",TEXT(VLOOKUP(A162,gacha_schedules!C:F,4,FALSE),"mm/dd hh:mm"),"&lt;/font&gt;","まで",P162,"
",R162)</f>
        <v>【限定コラボユニットをGETしよう!】_x000D_&lt;font color="#ffab27"&gt;06/19 23:59&lt;/font&gt;までコラボユニットが出現!_x000D_&lt;font color="#ffab27"&gt;※★6覚醒済みユニットは直接排出されません&lt;/font&gt;</v>
      </c>
      <c r="R162" s="49" t="s">
        <v>1068</v>
      </c>
    </row>
    <row r="163" spans="1:18" ht="50" customHeight="1" x14ac:dyDescent="0.15">
      <c r="A163" s="6">
        <v>356</v>
      </c>
      <c r="B163" s="18">
        <v>3</v>
      </c>
      <c r="C163" s="2" t="s">
        <v>1013</v>
      </c>
      <c r="D163" s="2">
        <v>100</v>
      </c>
      <c r="E163" s="17" t="str">
        <f>VLOOKUP($D163,gacha_types!$A:$D,2,FALSE)</f>
        <v>polygon</v>
      </c>
      <c r="F163" s="17">
        <f>VLOOKUP($D163,gacha_types!$A:$D,3,FALSE)</f>
        <v>5</v>
      </c>
      <c r="G163" s="17">
        <f t="shared" si="147"/>
        <v>356</v>
      </c>
      <c r="H163" s="13" t="str">
        <f t="shared" si="148"/>
        <v>GachaTop_356.png</v>
      </c>
      <c r="I163" s="23">
        <v>1</v>
      </c>
      <c r="J163" s="23">
        <f t="shared" si="149"/>
        <v>356</v>
      </c>
      <c r="K163" s="23">
        <v>1</v>
      </c>
      <c r="L163" s="55" t="s">
        <v>813</v>
      </c>
      <c r="M163" s="55" t="s">
        <v>814</v>
      </c>
      <c r="N163" s="2" t="s">
        <v>118</v>
      </c>
      <c r="O163" s="26" t="s">
        <v>337</v>
      </c>
      <c r="P163" s="2" t="s">
        <v>1058</v>
      </c>
      <c r="Q163" s="26" t="str">
        <f>CONCATENATE(O163, "
",P163,"
",R163)</f>
        <v>【&lt;font color="#ff2626"&gt;超&lt;/font&gt;&lt;font color="#ffe22a"&gt;激&lt;/font&gt;&lt;font color="#0093ff"&gt;レ&lt;/font&gt;&lt;font color="#00e075"&gt;ア&lt;/font&gt;ユニットをGETしよう！】_x000D_&lt;font color="#ffab27"&gt;06/18 14:59&lt;/font&gt;までカラーフェス限定ユニットが出現中!_x000D_&lt;font color="#ffab27"&gt;※★６覚醒済みユニットは直接排出されません&lt;/font&gt;</v>
      </c>
      <c r="R163" s="49" t="s">
        <v>1069</v>
      </c>
    </row>
    <row r="164" spans="1:18" ht="50" customHeight="1" x14ac:dyDescent="0.15">
      <c r="A164" s="6">
        <v>357</v>
      </c>
      <c r="B164" s="18">
        <v>3</v>
      </c>
      <c r="C164" s="2" t="s">
        <v>1062</v>
      </c>
      <c r="D164" s="2">
        <v>100</v>
      </c>
      <c r="E164" s="17" t="str">
        <f>VLOOKUP($D164,gacha_types!$A:$D,2,FALSE)</f>
        <v>polygon</v>
      </c>
      <c r="F164" s="17">
        <f>VLOOKUP($D164,gacha_types!$A:$D,3,FALSE)</f>
        <v>5</v>
      </c>
      <c r="G164" s="17">
        <f t="shared" ref="G164" si="150">A164</f>
        <v>357</v>
      </c>
      <c r="H164" s="13" t="str">
        <f t="shared" ref="H164" si="151">"GachaTop_"&amp;A164&amp;".png"</f>
        <v>GachaTop_357.png</v>
      </c>
      <c r="I164" s="23">
        <v>1</v>
      </c>
      <c r="J164" s="23">
        <f t="shared" ref="J164" si="152">A164</f>
        <v>357</v>
      </c>
      <c r="K164" s="23">
        <v>1</v>
      </c>
      <c r="L164" s="55" t="s">
        <v>813</v>
      </c>
      <c r="M164" s="55" t="s">
        <v>814</v>
      </c>
      <c r="N164" s="2" t="s">
        <v>118</v>
      </c>
      <c r="O164" s="26" t="s">
        <v>1076</v>
      </c>
      <c r="P164" s="2" t="s">
        <v>1074</v>
      </c>
      <c r="Q164" s="26" t="str">
        <f>CONCATENATE(O164, "
","&lt;font color=""#ffab27""&gt;",TEXT(VLOOKUP(A164,gacha_schedules!C:F,4,FALSE),"mm/dd hh:mm"),"&lt;/font&gt;","まで",P164,"
",R164)</f>
        <v>【限定コラボユニットをGETしよう!】_x000D_&lt;font color="#ffab27"&gt;06/26 23:59&lt;/font&gt;までコラボユニットが出現!_x000D_&lt;font color="#ffab27"&gt;※★6覚醒済みユニットは直接排出されません&lt;/font&gt;</v>
      </c>
      <c r="R164" s="49" t="s">
        <v>1068</v>
      </c>
    </row>
    <row r="165" spans="1:18" ht="50" customHeight="1" x14ac:dyDescent="0.15">
      <c r="A165" s="6">
        <v>358</v>
      </c>
      <c r="B165" s="18">
        <v>3</v>
      </c>
      <c r="C165" s="2" t="s">
        <v>1066</v>
      </c>
      <c r="D165" s="2">
        <v>100</v>
      </c>
      <c r="E165" s="17" t="str">
        <f>VLOOKUP($D165,gacha_types!$A:$D,2,FALSE)</f>
        <v>polygon</v>
      </c>
      <c r="F165" s="17">
        <f>VLOOKUP($D165,gacha_types!$A:$D,3,FALSE)</f>
        <v>5</v>
      </c>
      <c r="G165" s="17">
        <f t="shared" ref="G165" si="153">A165</f>
        <v>358</v>
      </c>
      <c r="H165" s="13" t="str">
        <f t="shared" ref="H165" si="154">"GachaTop_"&amp;A165&amp;".png"</f>
        <v>GachaTop_358.png</v>
      </c>
      <c r="I165" s="23">
        <v>1</v>
      </c>
      <c r="J165" s="23">
        <f t="shared" ref="J165" si="155">A165</f>
        <v>358</v>
      </c>
      <c r="K165" s="23">
        <v>1</v>
      </c>
      <c r="L165" s="55" t="s">
        <v>1113</v>
      </c>
      <c r="M165" s="55" t="s">
        <v>814</v>
      </c>
      <c r="N165" s="2" t="s">
        <v>118</v>
      </c>
      <c r="O165" s="26" t="s">
        <v>1079</v>
      </c>
      <c r="P165" s="2" t="s">
        <v>1108</v>
      </c>
      <c r="Q165" s="26" t="str">
        <f>CONCATENATE(O165, "
","&lt;font color=""#ffab27""&gt;",TEXT(VLOOKUP(A165,gacha_schedules!C:F,4,FALSE),"mm/dd hh:mm"),"&lt;/font&gt;","まで",P165,"
",R165)</f>
        <v>【&lt;font color="#ff2626"&gt;超&lt;/font&gt;&lt;font color="#ffe22a"&gt;激&lt;/font&gt;&lt;font color="#0093ff"&gt;レ&lt;/font&gt;&lt;font color="#00e075"&gt;ア&lt;/font&gt;ユニットをGETしよう！】_x000D_&lt;font color="#ffab27"&gt;06/30 23:59&lt;/font&gt;まで&lt;font color="#ffe22a"&gt;フェルマー&lt;/font&gt;と&lt;font color="#0093ff"&gt;メビウス&lt;/font&gt;が出現!_x000D_&lt;font color="#ffab27"&gt;※★6覚醒済みユニットは直接排出されません&lt;/font&gt;</v>
      </c>
      <c r="R165" s="49" t="s">
        <v>1067</v>
      </c>
    </row>
    <row r="166" spans="1:18" ht="50" customHeight="1" x14ac:dyDescent="0.15">
      <c r="A166" s="6">
        <v>359</v>
      </c>
      <c r="B166" s="18">
        <v>3</v>
      </c>
      <c r="C166" s="2" t="s">
        <v>1081</v>
      </c>
      <c r="D166" s="2">
        <v>100</v>
      </c>
      <c r="E166" s="17" t="str">
        <f>VLOOKUP($D166,gacha_types!$A:$D,2,FALSE)</f>
        <v>polygon</v>
      </c>
      <c r="F166" s="17">
        <f>VLOOKUP($D166,gacha_types!$A:$D,3,FALSE)</f>
        <v>5</v>
      </c>
      <c r="G166" s="17">
        <f t="shared" ref="G166" si="156">A166</f>
        <v>359</v>
      </c>
      <c r="H166" s="13" t="str">
        <f t="shared" ref="H166" si="157">"GachaTop_"&amp;A166&amp;".png"</f>
        <v>GachaTop_359.png</v>
      </c>
      <c r="I166" s="23">
        <v>1</v>
      </c>
      <c r="J166" s="23">
        <f t="shared" ref="J166" si="158">A166</f>
        <v>359</v>
      </c>
      <c r="K166" s="23">
        <v>1</v>
      </c>
      <c r="L166" s="55" t="s">
        <v>813</v>
      </c>
      <c r="M166" s="55" t="s">
        <v>814</v>
      </c>
      <c r="N166" s="2" t="s">
        <v>118</v>
      </c>
      <c r="O166" s="26" t="s">
        <v>741</v>
      </c>
      <c r="P166" s="2" t="s">
        <v>1082</v>
      </c>
      <c r="Q166" s="26" t="str">
        <f>CONCATENATE(O166, "
","&lt;font color=""#ffab27""&gt;",TEXT(VLOOKUP(A166,gacha_schedules!C:F,4,FALSE),"mm/dd hh:mm"),"&lt;/font&gt;","まで",P166,"
",R166)</f>
        <v>【&lt;font color="#ff2626"&gt;超&lt;/font&gt;&lt;font color="#ffe22a"&gt;激&lt;/font&gt;&lt;font color="#0093ff"&gt;レ&lt;/font&gt;&lt;font color="#00e075"&gt;ア&lt;/font&gt;ユニットをGETしよう！】_x000D_&lt;font color="#ffab27"&gt;06/27 14:59&lt;/font&gt;までカラーフェス限定ユニットが出現中!_x000D_&lt;font color="#ffab27"&gt;※★6覚醒済みユニットは直接排出されません&lt;/font&gt;</v>
      </c>
      <c r="R166" s="49" t="s">
        <v>1067</v>
      </c>
    </row>
    <row r="167" spans="1:18" ht="50" customHeight="1" x14ac:dyDescent="0.15">
      <c r="A167" s="6">
        <v>360</v>
      </c>
      <c r="B167" s="18">
        <v>3</v>
      </c>
      <c r="C167" s="2" t="s">
        <v>1083</v>
      </c>
      <c r="D167" s="2">
        <v>100</v>
      </c>
      <c r="E167" s="17" t="str">
        <f>VLOOKUP($D167,gacha_types!$A:$D,2,FALSE)</f>
        <v>polygon</v>
      </c>
      <c r="F167" s="17">
        <f>VLOOKUP($D167,gacha_types!$A:$D,3,FALSE)</f>
        <v>5</v>
      </c>
      <c r="G167" s="17">
        <f t="shared" ref="G167:G168" si="159">A167</f>
        <v>360</v>
      </c>
      <c r="H167" s="13" t="str">
        <f t="shared" ref="H167:H168" si="160">"GachaTop_"&amp;A167&amp;".png"</f>
        <v>GachaTop_360.png</v>
      </c>
      <c r="I167" s="23">
        <v>1</v>
      </c>
      <c r="J167" s="23">
        <f t="shared" ref="J167:J168" si="161">A167</f>
        <v>360</v>
      </c>
      <c r="K167" s="23">
        <v>1</v>
      </c>
      <c r="L167" s="55" t="s">
        <v>813</v>
      </c>
      <c r="M167" s="55" t="s">
        <v>814</v>
      </c>
      <c r="N167" s="2" t="s">
        <v>118</v>
      </c>
      <c r="O167" s="26" t="s">
        <v>741</v>
      </c>
      <c r="P167" s="2" t="s">
        <v>1112</v>
      </c>
      <c r="Q167" s="26" t="str">
        <f>CONCATENATE(O167, "
","&lt;font color=""#ffab27""&gt;",TEXT(VLOOKUP(A167,gacha_schedules!C:F,4,FALSE),"mm/dd hh:mm"),"&lt;/font&gt;","まで",P167,"
",R167)</f>
        <v>【&lt;font color="#ff2626"&gt;超&lt;/font&gt;&lt;font color="#ffe22a"&gt;激&lt;/font&gt;&lt;font color="#0093ff"&gt;レ&lt;/font&gt;&lt;font color="#00e075"&gt;ア&lt;/font&gt;ユニットをGETしよう！】_x000D_&lt;font color="#ffab27"&gt;07/04 14:59&lt;/font&gt;まで新ユニットが1体確定出現!_x000D_&lt;font color="#ffab27"&gt;※★6覚醒済みユニットは直接排出されません&lt;/font&gt;</v>
      </c>
      <c r="R167" s="49" t="s">
        <v>1067</v>
      </c>
    </row>
    <row r="168" spans="1:18" ht="50" customHeight="1" x14ac:dyDescent="0.15">
      <c r="A168" s="6">
        <v>361</v>
      </c>
      <c r="B168" s="18">
        <v>3</v>
      </c>
      <c r="C168" s="2" t="s">
        <v>1084</v>
      </c>
      <c r="D168" s="2">
        <v>100</v>
      </c>
      <c r="E168" s="17" t="str">
        <f>VLOOKUP($D168,gacha_types!$A:$D,2,FALSE)</f>
        <v>polygon</v>
      </c>
      <c r="F168" s="17">
        <f>VLOOKUP($D168,gacha_types!$A:$D,3,FALSE)</f>
        <v>5</v>
      </c>
      <c r="G168" s="17">
        <f t="shared" si="159"/>
        <v>361</v>
      </c>
      <c r="H168" s="13" t="str">
        <f t="shared" si="160"/>
        <v>GachaTop_361.png</v>
      </c>
      <c r="I168" s="23">
        <v>1</v>
      </c>
      <c r="J168" s="23">
        <f t="shared" si="161"/>
        <v>361</v>
      </c>
      <c r="K168" s="23">
        <v>1</v>
      </c>
      <c r="L168" s="55" t="s">
        <v>813</v>
      </c>
      <c r="M168" s="55" t="s">
        <v>814</v>
      </c>
      <c r="N168" s="2" t="s">
        <v>118</v>
      </c>
      <c r="O168" s="26"/>
      <c r="P168" s="2"/>
      <c r="Q168" s="50" t="s">
        <v>1086</v>
      </c>
      <c r="R168" s="49"/>
    </row>
    <row r="169" spans="1:18" ht="50" customHeight="1" x14ac:dyDescent="0.15">
      <c r="A169" s="6">
        <v>362</v>
      </c>
      <c r="B169" s="18">
        <v>3</v>
      </c>
      <c r="C169" s="2" t="s">
        <v>1164</v>
      </c>
      <c r="D169" s="2">
        <v>100</v>
      </c>
      <c r="E169" s="17" t="str">
        <f>VLOOKUP($D169,gacha_types!$A:$D,2,FALSE)</f>
        <v>polygon</v>
      </c>
      <c r="F169" s="17">
        <f>VLOOKUP($D169,gacha_types!$A:$D,3,FALSE)</f>
        <v>5</v>
      </c>
      <c r="G169" s="17">
        <f t="shared" ref="G169" si="162">A169</f>
        <v>362</v>
      </c>
      <c r="H169" s="13" t="str">
        <f t="shared" ref="H169" si="163">"GachaTop_"&amp;A169&amp;".png"</f>
        <v>GachaTop_362.png</v>
      </c>
      <c r="I169" s="23">
        <v>1</v>
      </c>
      <c r="J169" s="23">
        <f t="shared" ref="J169" si="164">A169</f>
        <v>362</v>
      </c>
      <c r="K169" s="23">
        <v>1</v>
      </c>
      <c r="L169" s="55" t="s">
        <v>813</v>
      </c>
      <c r="M169" s="55" t="s">
        <v>814</v>
      </c>
      <c r="N169" s="2" t="s">
        <v>118</v>
      </c>
      <c r="O169" s="26" t="s">
        <v>741</v>
      </c>
      <c r="P169" s="2" t="s">
        <v>372</v>
      </c>
      <c r="Q169" s="26" t="str">
        <f>CONCATENATE(O169, "
","&lt;font color=""#ffab27""&gt;",TEXT(VLOOKUP(A169,gacha_schedules!C:F,4,FALSE),"mm/dd hh:mm"),"&lt;/font&gt;","まで",P169,"
",R169)</f>
        <v>【&lt;font color="#ff2626"&gt;超&lt;/font&gt;&lt;font color="#ffe22a"&gt;激&lt;/font&gt;&lt;font color="#0093ff"&gt;レ&lt;/font&gt;&lt;font color="#00e075"&gt;ア&lt;/font&gt;ユニットをGETしよう！】_x000D_&lt;font color="#ffab27"&gt;07/02 23:59&lt;/font&gt;までフェス限定ユニットが出現中!_x000D_&lt;font color="#ffab27"&gt;※★6覚醒済みユニットは直接排出されません&lt;/font&gt;</v>
      </c>
      <c r="R169" s="49" t="s">
        <v>1067</v>
      </c>
    </row>
    <row r="170" spans="1:18" ht="50" customHeight="1" x14ac:dyDescent="0.15">
      <c r="A170" s="6">
        <v>363</v>
      </c>
      <c r="B170" s="18">
        <v>3</v>
      </c>
      <c r="C170" s="2" t="s">
        <v>1116</v>
      </c>
      <c r="D170" s="2">
        <v>100</v>
      </c>
      <c r="E170" s="17" t="str">
        <f>VLOOKUP($D170,gacha_types!$A:$D,2,FALSE)</f>
        <v>polygon</v>
      </c>
      <c r="F170" s="17">
        <f>VLOOKUP($D170,gacha_types!$A:$D,3,FALSE)</f>
        <v>5</v>
      </c>
      <c r="G170" s="17">
        <f t="shared" ref="G170" si="165">A170</f>
        <v>363</v>
      </c>
      <c r="H170" s="13" t="str">
        <f t="shared" ref="H170" si="166">"GachaTop_"&amp;A170&amp;".png"</f>
        <v>GachaTop_363.png</v>
      </c>
      <c r="I170" s="23">
        <v>1</v>
      </c>
      <c r="J170" s="23">
        <f t="shared" ref="J170" si="167">A170</f>
        <v>363</v>
      </c>
      <c r="K170" s="23">
        <v>1</v>
      </c>
      <c r="L170" s="55" t="s">
        <v>813</v>
      </c>
      <c r="M170" s="55" t="s">
        <v>814</v>
      </c>
      <c r="N170" s="2" t="s">
        <v>118</v>
      </c>
      <c r="O170" s="26" t="s">
        <v>1180</v>
      </c>
      <c r="P170" s="2" t="s">
        <v>1163</v>
      </c>
      <c r="Q170" s="26" t="str">
        <f>CONCATENATE(O170, "
","&lt;font color=""#ffab27""&gt;",TEXT(VLOOKUP(A170,gacha_schedules!C:F,4,FALSE),"mm/dd hh:mm"),"&lt;/font&gt;","まで",P170,"
",R170)</f>
        <v>【&lt;font color="#ff2626"&gt;超&lt;/font&gt;&lt;font color="#ffe22a"&gt;激&lt;/font&gt;&lt;font color="#0093ff"&gt;レ&lt;/font&gt;&lt;font color="#00e075"&gt;ア&lt;/font&gt;ユニットをGETしよう！】_x000D_&lt;font color="#ffab27"&gt;07/10 14:59&lt;/font&gt;まで10連で新ユニットが1体確定出現!_x000D_&lt;font color="#ffab27"&gt;※★6覚醒済みユニットは直接排出されません&lt;/font&gt;</v>
      </c>
      <c r="R170" s="49" t="s">
        <v>1067</v>
      </c>
    </row>
    <row r="171" spans="1:18" ht="50" customHeight="1" x14ac:dyDescent="0.15">
      <c r="A171" s="6">
        <v>364</v>
      </c>
      <c r="B171" s="18">
        <v>3</v>
      </c>
      <c r="C171" s="2" t="s">
        <v>1122</v>
      </c>
      <c r="D171" s="2">
        <v>100</v>
      </c>
      <c r="E171" s="17" t="str">
        <f>VLOOKUP($D171,gacha_types!$A:$D,2,FALSE)</f>
        <v>polygon</v>
      </c>
      <c r="F171" s="17">
        <f>VLOOKUP($D171,gacha_types!$A:$D,3,FALSE)</f>
        <v>5</v>
      </c>
      <c r="G171" s="17">
        <f t="shared" ref="G171" si="168">A171</f>
        <v>364</v>
      </c>
      <c r="H171" s="13" t="str">
        <f t="shared" ref="H171" si="169">"GachaTop_"&amp;A171&amp;".png"</f>
        <v>GachaTop_364.png</v>
      </c>
      <c r="I171" s="23">
        <v>1</v>
      </c>
      <c r="J171" s="23">
        <f t="shared" ref="J171" si="170">A171</f>
        <v>364</v>
      </c>
      <c r="K171" s="23">
        <v>1</v>
      </c>
      <c r="L171" s="55" t="s">
        <v>813</v>
      </c>
      <c r="M171" s="55" t="s">
        <v>814</v>
      </c>
      <c r="N171" s="2" t="s">
        <v>118</v>
      </c>
      <c r="O171" s="26"/>
      <c r="P171" s="2"/>
      <c r="Q171" s="50" t="s">
        <v>1086</v>
      </c>
      <c r="R171" s="49"/>
    </row>
    <row r="172" spans="1:18" ht="50" customHeight="1" x14ac:dyDescent="0.15">
      <c r="A172" s="6">
        <v>365</v>
      </c>
      <c r="B172" s="18">
        <v>3</v>
      </c>
      <c r="C172" s="2" t="s">
        <v>1118</v>
      </c>
      <c r="D172" s="2">
        <v>100</v>
      </c>
      <c r="E172" s="17" t="str">
        <f>VLOOKUP($D172,gacha_types!$A:$D,2,FALSE)</f>
        <v>polygon</v>
      </c>
      <c r="F172" s="17">
        <f>VLOOKUP($D172,gacha_types!$A:$D,3,FALSE)</f>
        <v>5</v>
      </c>
      <c r="G172" s="17">
        <f t="shared" ref="G172" si="171">A172</f>
        <v>365</v>
      </c>
      <c r="H172" s="13" t="str">
        <f t="shared" ref="H172" si="172">"GachaTop_"&amp;A172&amp;".png"</f>
        <v>GachaTop_365.png</v>
      </c>
      <c r="I172" s="23">
        <v>1</v>
      </c>
      <c r="J172" s="23">
        <f t="shared" ref="J172" si="173">A172</f>
        <v>365</v>
      </c>
      <c r="K172" s="23">
        <v>1</v>
      </c>
      <c r="L172" s="55" t="s">
        <v>813</v>
      </c>
      <c r="M172" s="55" t="s">
        <v>814</v>
      </c>
      <c r="N172" s="2" t="s">
        <v>118</v>
      </c>
      <c r="O172" s="26"/>
      <c r="P172" s="2"/>
      <c r="Q172" s="50" t="s">
        <v>1144</v>
      </c>
      <c r="R172" s="49"/>
    </row>
    <row r="173" spans="1:18" ht="50" customHeight="1" x14ac:dyDescent="0.15">
      <c r="A173" s="6">
        <v>366</v>
      </c>
      <c r="B173" s="18">
        <v>3</v>
      </c>
      <c r="C173" s="2" t="s">
        <v>1140</v>
      </c>
      <c r="D173" s="2">
        <v>100</v>
      </c>
      <c r="E173" s="17" t="str">
        <f>VLOOKUP($D173,gacha_types!$A:$D,2,FALSE)</f>
        <v>polygon</v>
      </c>
      <c r="F173" s="17">
        <f>VLOOKUP($D173,gacha_types!$A:$D,3,FALSE)</f>
        <v>5</v>
      </c>
      <c r="G173" s="17">
        <f t="shared" ref="G173" si="174">A173</f>
        <v>366</v>
      </c>
      <c r="H173" s="13" t="str">
        <f t="shared" ref="H173" si="175">"GachaTop_"&amp;A173&amp;".png"</f>
        <v>GachaTop_366.png</v>
      </c>
      <c r="I173" s="23">
        <v>1</v>
      </c>
      <c r="J173" s="23">
        <f t="shared" ref="J173" si="176">A173</f>
        <v>366</v>
      </c>
      <c r="K173" s="23">
        <v>1</v>
      </c>
      <c r="L173" s="55" t="s">
        <v>813</v>
      </c>
      <c r="M173" s="55" t="s">
        <v>814</v>
      </c>
      <c r="N173" s="2" t="s">
        <v>118</v>
      </c>
      <c r="O173" s="26" t="s">
        <v>1141</v>
      </c>
      <c r="P173" s="2" t="s">
        <v>1168</v>
      </c>
      <c r="Q173" s="26" t="str">
        <f>CONCATENATE(O173, "
","&lt;font color=""#ffab27""&gt;",TEXT(VLOOKUP(A173,gacha_schedules!C:F,4,FALSE),"mm/dd hh:mm"),"&lt;/font&gt;","まで",P173,"
",R173)</f>
        <v>5STEPで1セット! 3セットまで特典付き!_x000D_&lt;font color="#ffab27"&gt;07/08 14:59&lt;/font&gt;までSTEP5で★6覚醒可能ユニット1体確定!_x000D_&lt;font color="#ffab27"&gt;※★6覚醒済みユニットは直接排出されません&lt;/font&gt;</v>
      </c>
      <c r="R173" s="49" t="s">
        <v>1143</v>
      </c>
    </row>
    <row r="174" spans="1:18" ht="50" customHeight="1" x14ac:dyDescent="0.15">
      <c r="A174" s="6">
        <v>367</v>
      </c>
      <c r="B174" s="18">
        <v>3</v>
      </c>
      <c r="C174" s="2" t="s">
        <v>1174</v>
      </c>
      <c r="D174" s="2">
        <v>100</v>
      </c>
      <c r="E174" s="17" t="str">
        <f>VLOOKUP($D174,gacha_types!$A:$D,2,FALSE)</f>
        <v>polygon</v>
      </c>
      <c r="F174" s="17">
        <f>VLOOKUP($D174,gacha_types!$A:$D,3,FALSE)</f>
        <v>5</v>
      </c>
      <c r="G174" s="17">
        <f t="shared" ref="G174" si="177">A174</f>
        <v>367</v>
      </c>
      <c r="H174" s="13" t="str">
        <f t="shared" ref="H174" si="178">"GachaTop_"&amp;A174&amp;".png"</f>
        <v>GachaTop_367.png</v>
      </c>
      <c r="I174" s="23">
        <v>1</v>
      </c>
      <c r="J174" s="23">
        <f t="shared" ref="J174" si="179">A174</f>
        <v>367</v>
      </c>
      <c r="K174" s="23">
        <v>1</v>
      </c>
      <c r="L174" s="55" t="s">
        <v>813</v>
      </c>
      <c r="M174" s="55" t="s">
        <v>814</v>
      </c>
      <c r="N174" s="2" t="s">
        <v>118</v>
      </c>
      <c r="O174" s="26" t="s">
        <v>337</v>
      </c>
      <c r="P174" s="26" t="s">
        <v>1185</v>
      </c>
      <c r="Q174" s="26" t="str">
        <f>CONCATENATE(O174, "
","&lt;font color=""#ffab27""&gt;",TEXT(VLOOKUP(A174,gacha_schedules!C:F,4,FALSE),"mm/dd hh:mm"),"&lt;/font&gt;","まで",P174,"
",R174)</f>
        <v>【&lt;font color="#ff2626"&gt;超&lt;/font&gt;&lt;font color="#ffe22a"&gt;激&lt;/font&gt;&lt;font color="#0093ff"&gt;レ&lt;/font&gt;&lt;font color="#00e075"&gt;ア&lt;/font&gt;ユニットをGETしよう！】_x000D_&lt;font color="#ffab27"&gt;07/18 23:59&lt;/font&gt;まで黄属性出現率アップ&amp;限定ユニット出現！_x000D_&lt;font color="#ffab27"&gt;※★6覚醒済みユニットは直接排出されません&lt;/font&gt;</v>
      </c>
      <c r="R174" s="49" t="s">
        <v>1067</v>
      </c>
    </row>
    <row r="175" spans="1:18" ht="50" customHeight="1" x14ac:dyDescent="0.15">
      <c r="A175" s="6">
        <v>368</v>
      </c>
      <c r="B175" s="18">
        <v>3</v>
      </c>
      <c r="C175" s="2" t="s">
        <v>1182</v>
      </c>
      <c r="D175" s="2">
        <v>100</v>
      </c>
      <c r="E175" s="17" t="str">
        <f>VLOOKUP($D175,gacha_types!$A:$D,2,FALSE)</f>
        <v>polygon</v>
      </c>
      <c r="F175" s="17">
        <f>VLOOKUP($D175,gacha_types!$A:$D,3,FALSE)</f>
        <v>5</v>
      </c>
      <c r="G175" s="17">
        <f t="shared" ref="G175" si="180">A175</f>
        <v>368</v>
      </c>
      <c r="H175" s="13" t="str">
        <f t="shared" ref="H175" si="181">"GachaTop_"&amp;A175&amp;".png"</f>
        <v>GachaTop_368.png</v>
      </c>
      <c r="I175" s="23">
        <v>1</v>
      </c>
      <c r="J175" s="23">
        <f t="shared" ref="J175" si="182">A175</f>
        <v>368</v>
      </c>
      <c r="K175" s="23">
        <v>1</v>
      </c>
      <c r="L175" s="55" t="s">
        <v>813</v>
      </c>
      <c r="M175" s="55" t="s">
        <v>814</v>
      </c>
      <c r="N175" s="2" t="s">
        <v>118</v>
      </c>
      <c r="O175" s="26" t="s">
        <v>1141</v>
      </c>
      <c r="P175" s="2" t="s">
        <v>1168</v>
      </c>
      <c r="Q175" s="50" t="s">
        <v>1183</v>
      </c>
      <c r="R175" s="49" t="s">
        <v>1067</v>
      </c>
    </row>
    <row r="176" spans="1:18" ht="50" customHeight="1" x14ac:dyDescent="0.15">
      <c r="A176" s="6">
        <v>369</v>
      </c>
      <c r="B176" s="18">
        <v>3</v>
      </c>
      <c r="C176" s="2" t="s">
        <v>1199</v>
      </c>
      <c r="D176" s="2">
        <v>100</v>
      </c>
      <c r="E176" s="17" t="str">
        <f>VLOOKUP($D176,gacha_types!$A:$D,2,FALSE)</f>
        <v>polygon</v>
      </c>
      <c r="F176" s="17">
        <f>VLOOKUP($D176,gacha_types!$A:$D,3,FALSE)</f>
        <v>5</v>
      </c>
      <c r="G176" s="17">
        <f t="shared" ref="G176" si="183">A176</f>
        <v>369</v>
      </c>
      <c r="H176" s="13" t="s">
        <v>1232</v>
      </c>
      <c r="I176" s="23">
        <v>1</v>
      </c>
      <c r="J176" s="23">
        <f t="shared" ref="J176" si="184">A176</f>
        <v>369</v>
      </c>
      <c r="K176" s="23">
        <v>1</v>
      </c>
      <c r="L176" s="55" t="s">
        <v>813</v>
      </c>
      <c r="M176" s="55" t="s">
        <v>814</v>
      </c>
      <c r="N176" s="2" t="s">
        <v>118</v>
      </c>
      <c r="O176" s="26" t="s">
        <v>337</v>
      </c>
      <c r="P176" s="2" t="s">
        <v>1198</v>
      </c>
      <c r="Q176" s="26" t="str">
        <f>CONCATENATE(O176, "
","&lt;font color=""#ffab27""&gt;",TEXT(VLOOKUP(A176,gacha_schedules!C:F,4,FALSE),"mm/dd hh:mm"),"&lt;/font&gt;","まで",P176,"
",R176)</f>
        <v>【&lt;font color="#ff2626"&gt;超&lt;/font&gt;&lt;font color="#ffe22a"&gt;激&lt;/font&gt;&lt;font color="#0093ff"&gt;レ&lt;/font&gt;&lt;font color="#00e075"&gt;ア&lt;/font&gt;ユニットをGETしよう！】_x000D_&lt;font color="#ffab27"&gt;07/22 14:59&lt;/font&gt;まで10連で超覚醒可能ユニット1体確定!_x000D_&lt;font color="#ffab27"&gt;※★6覚醒済みユニットは直接排出されません&lt;/font&gt;</v>
      </c>
      <c r="R176" s="49" t="s">
        <v>1067</v>
      </c>
    </row>
    <row r="177" spans="1:18" ht="50" customHeight="1" x14ac:dyDescent="0.15">
      <c r="A177" s="6">
        <v>370</v>
      </c>
      <c r="B177" s="18">
        <v>3</v>
      </c>
      <c r="C177" s="2" t="s">
        <v>1200</v>
      </c>
      <c r="D177" s="2">
        <v>100</v>
      </c>
      <c r="E177" s="17" t="str">
        <f>VLOOKUP($D177,gacha_types!$A:$D,2,FALSE)</f>
        <v>polygon</v>
      </c>
      <c r="F177" s="17">
        <f>VLOOKUP($D177,gacha_types!$A:$D,3,FALSE)</f>
        <v>5</v>
      </c>
      <c r="G177" s="17">
        <f t="shared" ref="G177" si="185">A177</f>
        <v>370</v>
      </c>
      <c r="H177" s="13" t="str">
        <f t="shared" ref="H177" si="186">"GachaTop_"&amp;A177&amp;".png"</f>
        <v>GachaTop_370.png</v>
      </c>
      <c r="I177" s="23">
        <v>1</v>
      </c>
      <c r="J177" s="23">
        <f t="shared" ref="J177" si="187">A177</f>
        <v>370</v>
      </c>
      <c r="K177" s="23">
        <v>1</v>
      </c>
      <c r="L177" s="55" t="s">
        <v>813</v>
      </c>
      <c r="M177" s="55" t="s">
        <v>814</v>
      </c>
      <c r="N177" s="2" t="s">
        <v>118</v>
      </c>
      <c r="O177" s="26" t="s">
        <v>337</v>
      </c>
      <c r="P177" s="2" t="s">
        <v>1197</v>
      </c>
      <c r="Q177" s="26" t="str">
        <f>CONCATENATE(O177, "
","&lt;font color=""#ffab27""&gt;",TEXT(VLOOKUP(A177,gacha_schedules!C:F,4,FALSE),"mm/dd hh:mm"),"&lt;/font&gt;","まで",P177,"
",R177)</f>
        <v>【&lt;font color="#ff2626"&gt;超&lt;/font&gt;&lt;font color="#ffe22a"&gt;激&lt;/font&gt;&lt;font color="#0093ff"&gt;レ&lt;/font&gt;&lt;font color="#00e075"&gt;ア&lt;/font&gt;ユニットをGETしよう！】_x000D_&lt;font color="#ffab27"&gt;07/19 14:59&lt;/font&gt;まで使用率上位ユニット4体の出現率UP!_x000D_&lt;font color="#ffab27"&gt;※★6覚醒済みユニットは直接排出されません&lt;/font&gt;</v>
      </c>
      <c r="R177" s="49" t="s">
        <v>1067</v>
      </c>
    </row>
    <row r="178" spans="1:18" ht="50" customHeight="1" x14ac:dyDescent="0.15">
      <c r="A178" s="6">
        <v>371</v>
      </c>
      <c r="B178" s="18">
        <v>3</v>
      </c>
      <c r="C178" s="2" t="s">
        <v>1220</v>
      </c>
      <c r="D178" s="2">
        <v>100</v>
      </c>
      <c r="E178" s="17" t="str">
        <f>VLOOKUP($D178,gacha_types!$A:$D,2,FALSE)</f>
        <v>polygon</v>
      </c>
      <c r="F178" s="17">
        <f>VLOOKUP($D178,gacha_types!$A:$D,3,FALSE)</f>
        <v>5</v>
      </c>
      <c r="G178" s="17">
        <f t="shared" ref="G178" si="188">A178</f>
        <v>371</v>
      </c>
      <c r="H178" s="69" t="s">
        <v>1238</v>
      </c>
      <c r="I178" s="23">
        <v>1</v>
      </c>
      <c r="J178" s="23">
        <f t="shared" ref="J178" si="189">A178</f>
        <v>371</v>
      </c>
      <c r="K178" s="23">
        <v>1</v>
      </c>
      <c r="L178" s="55" t="s">
        <v>813</v>
      </c>
      <c r="M178" s="55" t="s">
        <v>814</v>
      </c>
      <c r="N178" s="2" t="s">
        <v>118</v>
      </c>
      <c r="O178" s="26" t="s">
        <v>337</v>
      </c>
      <c r="P178" s="2" t="s">
        <v>1226</v>
      </c>
      <c r="Q178" s="50" t="s">
        <v>1842</v>
      </c>
      <c r="R178" s="49" t="s">
        <v>1067</v>
      </c>
    </row>
    <row r="179" spans="1:18" ht="50" customHeight="1" x14ac:dyDescent="0.15">
      <c r="A179" s="6">
        <v>372</v>
      </c>
      <c r="B179" s="18">
        <v>3</v>
      </c>
      <c r="C179" s="2" t="s">
        <v>1206</v>
      </c>
      <c r="D179" s="2">
        <v>100</v>
      </c>
      <c r="E179" s="17" t="str">
        <f>VLOOKUP($D179,gacha_types!$A:$D,2,FALSE)</f>
        <v>polygon</v>
      </c>
      <c r="F179" s="17">
        <f>VLOOKUP($D179,gacha_types!$A:$D,3,FALSE)</f>
        <v>5</v>
      </c>
      <c r="G179" s="17">
        <f t="shared" ref="G179" si="190">A179</f>
        <v>372</v>
      </c>
      <c r="H179" s="69" t="s">
        <v>1239</v>
      </c>
      <c r="I179" s="23">
        <v>1</v>
      </c>
      <c r="J179" s="23">
        <f t="shared" ref="J179" si="191">A179</f>
        <v>372</v>
      </c>
      <c r="K179" s="23">
        <v>1</v>
      </c>
      <c r="L179" s="55" t="s">
        <v>813</v>
      </c>
      <c r="M179" s="55" t="s">
        <v>814</v>
      </c>
      <c r="N179" s="2" t="s">
        <v>118</v>
      </c>
      <c r="O179" s="26"/>
      <c r="P179" s="2" t="s">
        <v>1209</v>
      </c>
      <c r="Q179" s="50" t="s">
        <v>1230</v>
      </c>
      <c r="R179" s="49" t="s">
        <v>1067</v>
      </c>
    </row>
    <row r="180" spans="1:18" ht="50" customHeight="1" x14ac:dyDescent="0.15">
      <c r="A180" s="6">
        <v>373</v>
      </c>
      <c r="B180" s="18">
        <v>3</v>
      </c>
      <c r="C180" s="2" t="s">
        <v>1242</v>
      </c>
      <c r="D180" s="2">
        <v>100</v>
      </c>
      <c r="E180" s="17" t="str">
        <f>VLOOKUP($D180,gacha_types!$A:$D,2,FALSE)</f>
        <v>polygon</v>
      </c>
      <c r="F180" s="17">
        <f>VLOOKUP($D180,gacha_types!$A:$D,3,FALSE)</f>
        <v>5</v>
      </c>
      <c r="G180" s="17">
        <f t="shared" ref="G180:G188" si="192">A180</f>
        <v>373</v>
      </c>
      <c r="H180" s="69" t="s">
        <v>1270</v>
      </c>
      <c r="I180" s="23">
        <v>1</v>
      </c>
      <c r="J180" s="23">
        <f t="shared" ref="J180:J188" si="193">A180</f>
        <v>373</v>
      </c>
      <c r="K180" s="23">
        <v>1</v>
      </c>
      <c r="L180" s="55" t="s">
        <v>813</v>
      </c>
      <c r="M180" s="55" t="s">
        <v>814</v>
      </c>
      <c r="N180" s="2" t="s">
        <v>118</v>
      </c>
      <c r="O180" s="26" t="s">
        <v>337</v>
      </c>
      <c r="P180" s="2" t="s">
        <v>1259</v>
      </c>
      <c r="Q180" s="26" t="str">
        <f>CONCATENATE(O180, "
","&lt;font color=""#ffab27""&gt;",TEXT(VLOOKUP(A180,gacha_schedules!C:F,4,FALSE),"mm/dd hh:mm"),"&lt;/font&gt;","まで",P180,"
",R180)</f>
        <v>【&lt;font color="#ff2626"&gt;超&lt;/font&gt;&lt;font color="#ffe22a"&gt;激&lt;/font&gt;&lt;font color="#0093ff"&gt;レ&lt;/font&gt;&lt;font color="#00e075"&gt;ア&lt;/font&gt;ユニットをGETしよう！】_x000D_&lt;font color="#ffab27"&gt;07/24 14:59&lt;/font&gt;までピックアップユニットの出現率UP!_x000D_&lt;font color="#ffab27"&gt;※★6覚醒済みユニットは直接排出されません&lt;/font&gt;</v>
      </c>
      <c r="R180" s="49" t="s">
        <v>1067</v>
      </c>
    </row>
    <row r="181" spans="1:18" ht="50" customHeight="1" x14ac:dyDescent="0.15">
      <c r="A181" s="6">
        <v>374</v>
      </c>
      <c r="B181" s="18">
        <v>3</v>
      </c>
      <c r="C181" s="2" t="s">
        <v>1243</v>
      </c>
      <c r="D181" s="2">
        <v>100</v>
      </c>
      <c r="E181" s="17" t="str">
        <f>VLOOKUP($D181,gacha_types!$A:$D,2,FALSE)</f>
        <v>polygon</v>
      </c>
      <c r="F181" s="17">
        <f>VLOOKUP($D181,gacha_types!$A:$D,3,FALSE)</f>
        <v>5</v>
      </c>
      <c r="G181" s="17">
        <f t="shared" si="192"/>
        <v>374</v>
      </c>
      <c r="H181" s="69" t="s">
        <v>1271</v>
      </c>
      <c r="I181" s="23">
        <v>1</v>
      </c>
      <c r="J181" s="23">
        <f t="shared" si="193"/>
        <v>374</v>
      </c>
      <c r="K181" s="23">
        <v>1</v>
      </c>
      <c r="L181" s="55" t="s">
        <v>813</v>
      </c>
      <c r="M181" s="55" t="s">
        <v>814</v>
      </c>
      <c r="N181" s="2" t="s">
        <v>118</v>
      </c>
      <c r="O181" s="26" t="s">
        <v>1246</v>
      </c>
      <c r="P181" s="2" t="s">
        <v>1259</v>
      </c>
      <c r="Q181" s="26" t="str">
        <f>CONCATENATE(O181, "
","&lt;font color=""#ffab27""&gt;",TEXT(VLOOKUP(A181,gacha_schedules!C:F,4,FALSE),"mm/dd hh:mm"),"&lt;/font&gt;","まで",P181,"
",R181)</f>
        <v>【&lt;font color="#ff2626"&gt;超&lt;/font&gt;&lt;font color="#ffe22a"&gt;激&lt;/font&gt;&lt;font color="#0093ff"&gt;レ&lt;/font&gt;&lt;font color="#00e076"&gt;ア&lt;/font&gt;ユニットをGETしよう！】_x000D_&lt;font color="#ffab27"&gt;07/26 14:59&lt;/font&gt;までピックアップユニットの出現率UP!_x000D_&lt;font color="#ffab27"&gt;※★6覚醒済みユニットは直接排出されません&lt;/font&gt;</v>
      </c>
      <c r="R181" s="49" t="s">
        <v>1067</v>
      </c>
    </row>
    <row r="182" spans="1:18" ht="50" customHeight="1" x14ac:dyDescent="0.15">
      <c r="A182" s="6">
        <v>375</v>
      </c>
      <c r="B182" s="18">
        <v>3</v>
      </c>
      <c r="C182" s="2" t="s">
        <v>1244</v>
      </c>
      <c r="D182" s="2">
        <v>100</v>
      </c>
      <c r="E182" s="17" t="str">
        <f>VLOOKUP($D182,gacha_types!$A:$D,2,FALSE)</f>
        <v>polygon</v>
      </c>
      <c r="F182" s="17">
        <f>VLOOKUP($D182,gacha_types!$A:$D,3,FALSE)</f>
        <v>5</v>
      </c>
      <c r="G182" s="17">
        <f t="shared" si="192"/>
        <v>375</v>
      </c>
      <c r="H182" s="69" t="s">
        <v>1272</v>
      </c>
      <c r="I182" s="23">
        <v>1</v>
      </c>
      <c r="J182" s="23">
        <f t="shared" si="193"/>
        <v>375</v>
      </c>
      <c r="K182" s="23">
        <v>1</v>
      </c>
      <c r="L182" s="55" t="s">
        <v>813</v>
      </c>
      <c r="M182" s="55" t="s">
        <v>814</v>
      </c>
      <c r="N182" s="2" t="s">
        <v>118</v>
      </c>
      <c r="O182" s="26" t="s">
        <v>1247</v>
      </c>
      <c r="P182" s="2" t="s">
        <v>1259</v>
      </c>
      <c r="Q182" s="26" t="str">
        <f>CONCATENATE(O182, "
","&lt;font color=""#ffab27""&gt;",TEXT(VLOOKUP(A182,gacha_schedules!C:F,4,FALSE),"mm/dd hh:mm"),"&lt;/font&gt;","まで",P182,"
",R182)</f>
        <v>【&lt;font color="#ff2626"&gt;超&lt;/font&gt;&lt;font color="#ffe22a"&gt;激&lt;/font&gt;&lt;font color="#0093ff"&gt;レ&lt;/font&gt;&lt;font color="#00e077"&gt;ア&lt;/font&gt;ユニットをGETしよう！】_x000D_&lt;font color="#ffab27"&gt;07/28 14:59&lt;/font&gt;までピックアップユニットの出現率UP!_x000D_&lt;font color="#ffab27"&gt;※★6覚醒済みユニットは直接排出されません&lt;/font&gt;</v>
      </c>
      <c r="R182" s="49" t="s">
        <v>1067</v>
      </c>
    </row>
    <row r="183" spans="1:18" ht="50" customHeight="1" x14ac:dyDescent="0.15">
      <c r="A183" s="6">
        <v>376</v>
      </c>
      <c r="B183" s="18">
        <v>3</v>
      </c>
      <c r="C183" s="2" t="s">
        <v>1245</v>
      </c>
      <c r="D183" s="2">
        <v>100</v>
      </c>
      <c r="E183" s="17" t="str">
        <f>VLOOKUP($D183,gacha_types!$A:$D,2,FALSE)</f>
        <v>polygon</v>
      </c>
      <c r="F183" s="17">
        <f>VLOOKUP($D183,gacha_types!$A:$D,3,FALSE)</f>
        <v>5</v>
      </c>
      <c r="G183" s="17">
        <f t="shared" si="192"/>
        <v>376</v>
      </c>
      <c r="H183" s="13" t="str">
        <f t="shared" ref="H183:H188" si="194">"GachaTop_"&amp;A183&amp;".png"</f>
        <v>GachaTop_376.png</v>
      </c>
      <c r="I183" s="23">
        <v>1</v>
      </c>
      <c r="J183" s="23">
        <f t="shared" si="193"/>
        <v>376</v>
      </c>
      <c r="K183" s="23">
        <v>1</v>
      </c>
      <c r="L183" s="55" t="s">
        <v>813</v>
      </c>
      <c r="M183" s="55" t="s">
        <v>814</v>
      </c>
      <c r="N183" s="2" t="s">
        <v>118</v>
      </c>
      <c r="O183" s="26" t="s">
        <v>1248</v>
      </c>
      <c r="P183" s="2" t="s">
        <v>1259</v>
      </c>
      <c r="Q183" s="26" t="str">
        <f>CONCATENATE(O183, "
","&lt;font color=""#ffab27""&gt;",TEXT(VLOOKUP(A183,gacha_schedules!C:F,4,FALSE),"mm/dd hh:mm"),"&lt;/font&gt;","まで",P183,"
",R183)</f>
        <v>【&lt;font color="#ff2626"&gt;超&lt;/font&gt;&lt;font color="#ffe22a"&gt;激&lt;/font&gt;&lt;font color="#0093ff"&gt;レ&lt;/font&gt;&lt;font color="#00e078"&gt;ア&lt;/font&gt;ユニットをGETしよう！】_x000D_&lt;font color="#ffab27"&gt;07/31 14:59&lt;/font&gt;までピックアップユニットの出現率UP!_x000D_&lt;font color="#ffab27"&gt;※★6覚醒済みユニットは直接排出されません&lt;/font&gt;</v>
      </c>
      <c r="R183" s="49" t="s">
        <v>1067</v>
      </c>
    </row>
    <row r="184" spans="1:18" ht="50" customHeight="1" x14ac:dyDescent="0.15">
      <c r="A184" s="6">
        <v>377</v>
      </c>
      <c r="B184" s="18">
        <v>3</v>
      </c>
      <c r="C184" s="2" t="s">
        <v>725</v>
      </c>
      <c r="D184" s="2">
        <v>100</v>
      </c>
      <c r="E184" s="17" t="str">
        <f>VLOOKUP($D184,gacha_types!$A:$D,2,FALSE)</f>
        <v>polygon</v>
      </c>
      <c r="F184" s="17">
        <f>VLOOKUP($D184,gacha_types!$A:$D,3,FALSE)</f>
        <v>5</v>
      </c>
      <c r="G184" s="17">
        <f t="shared" ref="G184:G187" si="195">A184</f>
        <v>377</v>
      </c>
      <c r="H184" s="13" t="str">
        <f t="shared" ref="H184:H187" si="196">"GachaTop_"&amp;A184&amp;".png"</f>
        <v>GachaTop_377.png</v>
      </c>
      <c r="I184" s="23">
        <v>1</v>
      </c>
      <c r="J184" s="23">
        <f t="shared" ref="J184:J187" si="197">A184</f>
        <v>377</v>
      </c>
      <c r="K184" s="23">
        <v>1</v>
      </c>
      <c r="L184" s="55" t="s">
        <v>813</v>
      </c>
      <c r="M184" s="55" t="s">
        <v>814</v>
      </c>
      <c r="N184" s="2" t="s">
        <v>118</v>
      </c>
      <c r="O184" s="26" t="s">
        <v>1249</v>
      </c>
      <c r="P184" s="26" t="s">
        <v>1260</v>
      </c>
      <c r="Q184" s="26" t="str">
        <f>CONCATENATE(O184, "
","&lt;font color=""#ffab27""&gt;",TEXT(VLOOKUP(A184,gacha_schedules!C:F,4,FALSE),"mm/dd hh:mm"),"&lt;/font&gt;","まで",P184,"
",R184)</f>
        <v>【&lt;font color="#ff2626"&gt;超&lt;/font&gt;&lt;font color="#ffe22a"&gt;激&lt;/font&gt;&lt;font color="#0093ff"&gt;レ&lt;/font&gt;&lt;font color="#00e079"&gt;ア&lt;/font&gt;ユニットをGETしよう！】_x000D_&lt;font color="#ffab27"&gt;07/31 23:59&lt;/font&gt;まで赤属性出現率アップ&amp;限定ユニット出現！_x000D_&lt;font color="#ffab27"&gt;※★6覚醒済みユニットは直接排出されません&lt;/font&gt;</v>
      </c>
      <c r="R184" s="49" t="s">
        <v>1067</v>
      </c>
    </row>
    <row r="185" spans="1:18" ht="50" customHeight="1" x14ac:dyDescent="0.15">
      <c r="A185" s="6">
        <v>378</v>
      </c>
      <c r="B185" s="18">
        <v>3</v>
      </c>
      <c r="C185" s="2" t="s">
        <v>1285</v>
      </c>
      <c r="D185" s="2">
        <v>100</v>
      </c>
      <c r="E185" s="17" t="str">
        <f>VLOOKUP($D185,gacha_types!$A:$D,2,FALSE)</f>
        <v>polygon</v>
      </c>
      <c r="F185" s="17">
        <f>VLOOKUP($D185,gacha_types!$A:$D,3,FALSE)</f>
        <v>5</v>
      </c>
      <c r="G185" s="17">
        <f t="shared" si="195"/>
        <v>378</v>
      </c>
      <c r="H185" s="13" t="str">
        <f t="shared" si="196"/>
        <v>GachaTop_378.png</v>
      </c>
      <c r="I185" s="23">
        <v>1</v>
      </c>
      <c r="J185" s="23">
        <f t="shared" si="197"/>
        <v>378</v>
      </c>
      <c r="K185" s="23">
        <v>1</v>
      </c>
      <c r="L185" s="55" t="s">
        <v>813</v>
      </c>
      <c r="M185" s="55" t="s">
        <v>814</v>
      </c>
      <c r="N185" s="2" t="s">
        <v>118</v>
      </c>
      <c r="O185" s="26" t="s">
        <v>1249</v>
      </c>
      <c r="P185" s="2" t="s">
        <v>372</v>
      </c>
      <c r="Q185" s="26" t="str">
        <f>CONCATENATE(O185, "
","&lt;font color=""#ffab27""&gt;",TEXT(VLOOKUP(A185,gacha_schedules!C:F,4,FALSE),"mm/dd hh:mm"),"&lt;/font&gt;","まで",P185,"
",R185)</f>
        <v>【&lt;font color="#ff2626"&gt;超&lt;/font&gt;&lt;font color="#ffe22a"&gt;激&lt;/font&gt;&lt;font color="#0093ff"&gt;レ&lt;/font&gt;&lt;font color="#00e079"&gt;ア&lt;/font&gt;ユニットをGETしよう！】_x000D_&lt;font color="#ffab27"&gt;08/02 23:59&lt;/font&gt;までフェス限定ユニットが出現中!_x000D_&lt;font color="#ffab27"&gt;※★6覚醒済みユニットは直接排出されません&lt;/font&gt;</v>
      </c>
      <c r="R185" s="49" t="s">
        <v>1067</v>
      </c>
    </row>
    <row r="186" spans="1:18" ht="50" customHeight="1" x14ac:dyDescent="0.15">
      <c r="A186" s="6">
        <v>379</v>
      </c>
      <c r="B186" s="18">
        <v>3</v>
      </c>
      <c r="C186" s="2" t="s">
        <v>1286</v>
      </c>
      <c r="D186" s="2">
        <v>100</v>
      </c>
      <c r="E186" s="17" t="str">
        <f>VLOOKUP($D186,gacha_types!$A:$D,2,FALSE)</f>
        <v>polygon</v>
      </c>
      <c r="F186" s="17">
        <f>VLOOKUP($D186,gacha_types!$A:$D,3,FALSE)</f>
        <v>5</v>
      </c>
      <c r="G186" s="17">
        <f t="shared" si="195"/>
        <v>379</v>
      </c>
      <c r="H186" s="13" t="str">
        <f t="shared" si="196"/>
        <v>GachaTop_379.png</v>
      </c>
      <c r="I186" s="23">
        <v>1</v>
      </c>
      <c r="J186" s="23">
        <f t="shared" si="197"/>
        <v>379</v>
      </c>
      <c r="K186" s="23">
        <v>1</v>
      </c>
      <c r="L186" s="55" t="s">
        <v>813</v>
      </c>
      <c r="M186" s="55" t="s">
        <v>814</v>
      </c>
      <c r="N186" s="2" t="s">
        <v>118</v>
      </c>
      <c r="O186" s="26" t="s">
        <v>1249</v>
      </c>
      <c r="P186" s="2" t="s">
        <v>1163</v>
      </c>
      <c r="Q186" s="26" t="str">
        <f>CONCATENATE(O186, "
","&lt;font color=""#ffab27""&gt;",TEXT(VLOOKUP(A186,gacha_schedules!C:F,4,FALSE),"mm/dd hh:mm"),"&lt;/font&gt;","まで",P186,"
",R186)</f>
        <v>【&lt;font color="#ff2626"&gt;超&lt;/font&gt;&lt;font color="#ffe22a"&gt;激&lt;/font&gt;&lt;font color="#0093ff"&gt;レ&lt;/font&gt;&lt;font color="#00e079"&gt;ア&lt;/font&gt;ユニットをGETしよう！】_x000D_&lt;font color="#ffab27"&gt;08/08 14:59&lt;/font&gt;まで10連で新ユニットが1体確定出現!_x000D_&lt;font color="#ffab27"&gt;※★6覚醒済みユニットは直接排出されません&lt;/font&gt;</v>
      </c>
      <c r="R186" s="49" t="s">
        <v>1067</v>
      </c>
    </row>
    <row r="187" spans="1:18" ht="50" customHeight="1" x14ac:dyDescent="0.15">
      <c r="A187" s="6">
        <v>380</v>
      </c>
      <c r="B187" s="18">
        <v>3</v>
      </c>
      <c r="C187" s="2" t="s">
        <v>1287</v>
      </c>
      <c r="D187" s="2">
        <v>100</v>
      </c>
      <c r="E187" s="17" t="str">
        <f>VLOOKUP($D187,gacha_types!$A:$D,2,FALSE)</f>
        <v>polygon</v>
      </c>
      <c r="F187" s="17">
        <f>VLOOKUP($D187,gacha_types!$A:$D,3,FALSE)</f>
        <v>5</v>
      </c>
      <c r="G187" s="17">
        <f t="shared" si="195"/>
        <v>380</v>
      </c>
      <c r="H187" s="13" t="str">
        <f t="shared" si="196"/>
        <v>GachaTop_380.png</v>
      </c>
      <c r="I187" s="23">
        <v>1</v>
      </c>
      <c r="J187" s="23">
        <f t="shared" si="197"/>
        <v>380</v>
      </c>
      <c r="K187" s="23">
        <v>1</v>
      </c>
      <c r="L187" s="55" t="s">
        <v>813</v>
      </c>
      <c r="M187" s="55" t="s">
        <v>814</v>
      </c>
      <c r="N187" s="2" t="s">
        <v>118</v>
      </c>
      <c r="O187" s="26"/>
      <c r="P187" s="26"/>
      <c r="Q187" s="50" t="s">
        <v>1086</v>
      </c>
      <c r="R187" s="49" t="s">
        <v>1067</v>
      </c>
    </row>
    <row r="188" spans="1:18" ht="50" customHeight="1" x14ac:dyDescent="0.15">
      <c r="A188" s="6">
        <v>381</v>
      </c>
      <c r="B188" s="18">
        <v>3</v>
      </c>
      <c r="C188" s="2" t="s">
        <v>1284</v>
      </c>
      <c r="D188" s="2">
        <v>100</v>
      </c>
      <c r="E188" s="17" t="str">
        <f>VLOOKUP($D188,gacha_types!$A:$D,2,FALSE)</f>
        <v>polygon</v>
      </c>
      <c r="F188" s="17">
        <f>VLOOKUP($D188,gacha_types!$A:$D,3,FALSE)</f>
        <v>5</v>
      </c>
      <c r="G188" s="17">
        <f t="shared" si="192"/>
        <v>381</v>
      </c>
      <c r="H188" s="13" t="str">
        <f t="shared" si="194"/>
        <v>GachaTop_381.png</v>
      </c>
      <c r="I188" s="23">
        <v>1</v>
      </c>
      <c r="J188" s="23">
        <f t="shared" si="193"/>
        <v>381</v>
      </c>
      <c r="K188" s="23">
        <v>1</v>
      </c>
      <c r="L188" s="55" t="s">
        <v>813</v>
      </c>
      <c r="M188" s="55" t="s">
        <v>814</v>
      </c>
      <c r="N188" s="2" t="s">
        <v>118</v>
      </c>
      <c r="O188" s="26" t="s">
        <v>1249</v>
      </c>
      <c r="P188" s="2" t="s">
        <v>1259</v>
      </c>
      <c r="Q188" s="26" t="str">
        <f>CONCATENATE(O188, "
","&lt;font color=""#ffab27""&gt;",TEXT(VLOOKUP(A188,gacha_schedules!C:F,4,FALSE),"mm/dd hh:mm"),"&lt;/font&gt;","まで",P188,"
",R188)</f>
        <v>【&lt;font color="#ff2626"&gt;超&lt;/font&gt;&lt;font color="#ffe22a"&gt;激&lt;/font&gt;&lt;font color="#0093ff"&gt;レ&lt;/font&gt;&lt;font color="#00e079"&gt;ア&lt;/font&gt;ユニットをGETしよう！】_x000D_&lt;font color="#ffab27"&gt;08/09 14:59&lt;/font&gt;までピックアップユニットの出現率UP!_x000D_&lt;font color="#ffab27"&gt;※★6覚醒済みユニットは直接排出されません&lt;/font&gt;</v>
      </c>
      <c r="R188" s="49" t="s">
        <v>1067</v>
      </c>
    </row>
    <row r="189" spans="1:18" ht="50" customHeight="1" x14ac:dyDescent="0.15">
      <c r="A189" s="6">
        <v>382</v>
      </c>
      <c r="B189" s="18">
        <v>3</v>
      </c>
      <c r="C189" s="2" t="s">
        <v>1320</v>
      </c>
      <c r="D189" s="2">
        <v>100</v>
      </c>
      <c r="E189" s="17" t="str">
        <f>VLOOKUP($D189,gacha_types!$A:$D,2,FALSE)</f>
        <v>polygon</v>
      </c>
      <c r="F189" s="17">
        <f>VLOOKUP($D189,gacha_types!$A:$D,3,FALSE)</f>
        <v>5</v>
      </c>
      <c r="G189" s="17">
        <f t="shared" ref="G189" si="198">A189</f>
        <v>382</v>
      </c>
      <c r="H189" s="13" t="str">
        <f t="shared" ref="H189" si="199">"GachaTop_"&amp;A189&amp;".png"</f>
        <v>GachaTop_382.png</v>
      </c>
      <c r="I189" s="23">
        <v>1</v>
      </c>
      <c r="J189" s="23">
        <f t="shared" ref="J189" si="200">A189</f>
        <v>382</v>
      </c>
      <c r="K189" s="23">
        <v>1</v>
      </c>
      <c r="L189" s="55" t="s">
        <v>813</v>
      </c>
      <c r="M189" s="55" t="s">
        <v>814</v>
      </c>
      <c r="N189" s="2" t="s">
        <v>118</v>
      </c>
      <c r="O189" s="26"/>
      <c r="P189" s="2"/>
      <c r="Q189" s="50" t="s">
        <v>1364</v>
      </c>
      <c r="R189" s="49" t="s">
        <v>1067</v>
      </c>
    </row>
    <row r="190" spans="1:18" ht="50" customHeight="1" x14ac:dyDescent="0.15">
      <c r="A190" s="6">
        <v>383</v>
      </c>
      <c r="B190" s="18">
        <v>3</v>
      </c>
      <c r="C190" s="2" t="s">
        <v>1321</v>
      </c>
      <c r="D190" s="2">
        <v>100</v>
      </c>
      <c r="E190" s="17" t="str">
        <f>VLOOKUP($D190,gacha_types!$A:$D,2,FALSE)</f>
        <v>polygon</v>
      </c>
      <c r="F190" s="17">
        <f>VLOOKUP($D190,gacha_types!$A:$D,3,FALSE)</f>
        <v>5</v>
      </c>
      <c r="G190" s="17">
        <f t="shared" ref="G190" si="201">A190</f>
        <v>383</v>
      </c>
      <c r="H190" s="13" t="str">
        <f t="shared" ref="H190" si="202">"GachaTop_"&amp;A190&amp;".png"</f>
        <v>GachaTop_383.png</v>
      </c>
      <c r="I190" s="23">
        <v>1</v>
      </c>
      <c r="J190" s="23">
        <f t="shared" ref="J190" si="203">A190</f>
        <v>383</v>
      </c>
      <c r="K190" s="23">
        <v>1</v>
      </c>
      <c r="L190" s="55" t="s">
        <v>813</v>
      </c>
      <c r="M190" s="55" t="s">
        <v>814</v>
      </c>
      <c r="N190" s="2" t="s">
        <v>118</v>
      </c>
      <c r="O190" s="26" t="s">
        <v>1249</v>
      </c>
      <c r="P190" s="2" t="s">
        <v>544</v>
      </c>
      <c r="Q190" s="26" t="str">
        <f>CONCATENATE(O190, "
","&lt;font color=""#ffab27""&gt;",TEXT(VLOOKUP(A190,gacha_schedules!C:F,4,FALSE),"mm/dd hh:mm"),"&lt;/font&gt;","まで",P190,"
",R190)</f>
        <v>【&lt;font color="#ff2626"&gt;超&lt;/font&gt;&lt;font color="#ffe22a"&gt;激&lt;/font&gt;&lt;font color="#0093ff"&gt;レ&lt;/font&gt;&lt;font color="#00e079"&gt;ア&lt;/font&gt;ユニットをGETしよう！】_x000D_&lt;font color="#ffab27"&gt;08/14 14:59&lt;/font&gt;までピックアップユニットの出現率UP!_x000D_&lt;font color="#ffab27"&gt;※★6覚醒済みユニットは直接排出されません&lt;/font&gt;</v>
      </c>
      <c r="R190" s="49" t="s">
        <v>1067</v>
      </c>
    </row>
    <row r="191" spans="1:18" ht="50" customHeight="1" x14ac:dyDescent="0.15">
      <c r="A191" s="6">
        <v>384</v>
      </c>
      <c r="B191" s="18">
        <v>3</v>
      </c>
      <c r="C191" s="2" t="s">
        <v>1322</v>
      </c>
      <c r="D191" s="2">
        <v>100</v>
      </c>
      <c r="E191" s="17" t="str">
        <f>VLOOKUP($D191,gacha_types!$A:$D,2,FALSE)</f>
        <v>polygon</v>
      </c>
      <c r="F191" s="17">
        <f>VLOOKUP($D191,gacha_types!$A:$D,3,FALSE)</f>
        <v>5</v>
      </c>
      <c r="G191" s="17">
        <f t="shared" ref="G191" si="204">A191</f>
        <v>384</v>
      </c>
      <c r="H191" s="13" t="str">
        <f t="shared" ref="H191" si="205">"GachaTop_"&amp;A191&amp;".png"</f>
        <v>GachaTop_384.png</v>
      </c>
      <c r="I191" s="23">
        <v>1</v>
      </c>
      <c r="J191" s="23">
        <f t="shared" ref="J191" si="206">A191</f>
        <v>384</v>
      </c>
      <c r="K191" s="23">
        <v>1</v>
      </c>
      <c r="L191" s="55" t="s">
        <v>813</v>
      </c>
      <c r="M191" s="55" t="s">
        <v>814</v>
      </c>
      <c r="N191" s="2" t="s">
        <v>118</v>
      </c>
      <c r="O191" s="26" t="s">
        <v>1249</v>
      </c>
      <c r="P191" s="2" t="s">
        <v>1354</v>
      </c>
      <c r="Q191" s="26" t="str">
        <f>CONCATENATE(O191, "
","&lt;font color=""#ffab27""&gt;",TEXT(VLOOKUP(A191,gacha_schedules!C:F,4,FALSE),"mm/dd hh:mm"),"&lt;/font&gt;","まで",P191,"
",R191)</f>
        <v>【&lt;font color="#ff2626"&gt;超&lt;/font&gt;&lt;font color="#ffe22a"&gt;激&lt;/font&gt;&lt;font color="#0093ff"&gt;レ&lt;/font&gt;&lt;font color="#00e079"&gt;ア&lt;/font&gt;ユニットをGETしよう！】_x000D_&lt;font color="#ffab27"&gt;08/20 14:59&lt;/font&gt;までSTEP7でフェス限定ユニット1体確定!_x000D_&lt;font color="#ffab27"&gt;※★6覚醒済みユニットは直接排出されません&lt;/font&gt;</v>
      </c>
      <c r="R191" s="49" t="s">
        <v>1067</v>
      </c>
    </row>
    <row r="192" spans="1:18" ht="50" customHeight="1" x14ac:dyDescent="0.15">
      <c r="A192" s="6">
        <v>385</v>
      </c>
      <c r="B192" s="18">
        <v>3</v>
      </c>
      <c r="C192" s="2" t="s">
        <v>1323</v>
      </c>
      <c r="D192" s="2">
        <v>100</v>
      </c>
      <c r="E192" s="17" t="str">
        <f>VLOOKUP($D192,gacha_types!$A:$D,2,FALSE)</f>
        <v>polygon</v>
      </c>
      <c r="F192" s="17">
        <f>VLOOKUP($D192,gacha_types!$A:$D,3,FALSE)</f>
        <v>5</v>
      </c>
      <c r="G192" s="17">
        <f t="shared" ref="G192" si="207">A192</f>
        <v>385</v>
      </c>
      <c r="H192" s="13" t="str">
        <f t="shared" ref="H192" si="208">"GachaTop_"&amp;A192&amp;".png"</f>
        <v>GachaTop_385.png</v>
      </c>
      <c r="I192" s="23">
        <v>1</v>
      </c>
      <c r="J192" s="23">
        <f t="shared" ref="J192" si="209">A192</f>
        <v>385</v>
      </c>
      <c r="K192" s="23">
        <v>1</v>
      </c>
      <c r="L192" s="55" t="s">
        <v>813</v>
      </c>
      <c r="M192" s="55" t="s">
        <v>814</v>
      </c>
      <c r="N192" s="2" t="s">
        <v>118</v>
      </c>
      <c r="O192" s="26" t="s">
        <v>1372</v>
      </c>
      <c r="P192" s="2" t="s">
        <v>1355</v>
      </c>
      <c r="Q192" s="26" t="str">
        <f>CONCATENATE(O192, "
","&lt;font color=""#ffab27""&gt;",TEXT(VLOOKUP(A192,gacha_schedules!C:F,4,FALSE),"mm/dd hh:mm"),"&lt;/font&gt;","まで",P192,"
",R192)</f>
        <v>【限定コラボユニットをGETしよう!】_x000D_&lt;font color="#ffab27"&gt;08/16 23:59&lt;/font&gt;までコラボユニットが出現中!_x000D_&lt;font color="#ffab27"&gt;※★6覚醒済みユニットは直接排出されません&lt;/font&gt;</v>
      </c>
      <c r="R192" s="49" t="s">
        <v>1067</v>
      </c>
    </row>
    <row r="193" spans="1:18" ht="50" customHeight="1" x14ac:dyDescent="0.15">
      <c r="A193" s="6">
        <v>386</v>
      </c>
      <c r="B193" s="18">
        <v>3</v>
      </c>
      <c r="C193" s="2" t="s">
        <v>1324</v>
      </c>
      <c r="D193" s="2">
        <v>100</v>
      </c>
      <c r="E193" s="17" t="str">
        <f>VLOOKUP($D193,gacha_types!$A:$D,2,FALSE)</f>
        <v>polygon</v>
      </c>
      <c r="F193" s="17">
        <f>VLOOKUP($D193,gacha_types!$A:$D,3,FALSE)</f>
        <v>5</v>
      </c>
      <c r="G193" s="17">
        <f t="shared" ref="G193" si="210">A193</f>
        <v>386</v>
      </c>
      <c r="H193" s="13" t="str">
        <f t="shared" ref="H193" si="211">"GachaTop_"&amp;A193&amp;".png"</f>
        <v>GachaTop_386.png</v>
      </c>
      <c r="I193" s="23">
        <v>1</v>
      </c>
      <c r="J193" s="23">
        <f t="shared" ref="J193" si="212">A193</f>
        <v>386</v>
      </c>
      <c r="K193" s="23">
        <v>1</v>
      </c>
      <c r="L193" s="55" t="s">
        <v>813</v>
      </c>
      <c r="M193" s="55" t="s">
        <v>814</v>
      </c>
      <c r="N193" s="2" t="s">
        <v>118</v>
      </c>
      <c r="O193" s="26" t="s">
        <v>1372</v>
      </c>
      <c r="P193" s="2" t="s">
        <v>1355</v>
      </c>
      <c r="Q193" s="26" t="str">
        <f>CONCATENATE(O193, "
","&lt;font color=""#ffab27""&gt;",TEXT(VLOOKUP(A193,gacha_schedules!C:F,4,FALSE),"mm/dd hh:mm"),"&lt;/font&gt;","まで",P193,"
",R193)</f>
        <v>【限定コラボユニットをGETしよう!】_x000D_&lt;font color="#ffab27"&gt;08/24 23:59&lt;/font&gt;までコラボユニットが出現中!_x000D_&lt;font color="#ffab27"&gt;※★6覚醒済みユニットは直接排出されません&lt;/font&gt;</v>
      </c>
      <c r="R193" s="49" t="s">
        <v>1067</v>
      </c>
    </row>
    <row r="194" spans="1:18" ht="50" customHeight="1" x14ac:dyDescent="0.15">
      <c r="A194" s="6">
        <v>387</v>
      </c>
      <c r="B194" s="18">
        <v>3</v>
      </c>
      <c r="C194" s="2" t="s">
        <v>1493</v>
      </c>
      <c r="D194" s="2">
        <v>100</v>
      </c>
      <c r="E194" s="17" t="str">
        <f>VLOOKUP($D194,gacha_types!$A:$D,2,FALSE)</f>
        <v>polygon</v>
      </c>
      <c r="F194" s="17">
        <f>VLOOKUP($D194,gacha_types!$A:$D,3,FALSE)</f>
        <v>5</v>
      </c>
      <c r="G194" s="17">
        <f>A194</f>
        <v>387</v>
      </c>
      <c r="H194" s="13" t="str">
        <f t="shared" ref="H194:H199" si="213">"GachaTop_"&amp;A194&amp;".png"</f>
        <v>GachaTop_387.png</v>
      </c>
      <c r="I194" s="23">
        <v>1</v>
      </c>
      <c r="J194" s="23">
        <f>A194</f>
        <v>387</v>
      </c>
      <c r="K194" s="23">
        <v>1</v>
      </c>
      <c r="L194" s="55" t="s">
        <v>813</v>
      </c>
      <c r="M194" s="55" t="s">
        <v>814</v>
      </c>
      <c r="N194" s="2" t="s">
        <v>118</v>
      </c>
      <c r="O194" s="26" t="s">
        <v>1249</v>
      </c>
      <c r="P194" s="2" t="s">
        <v>544</v>
      </c>
      <c r="Q194" s="26" t="str">
        <f>CONCATENATE(O194, "
","&lt;font color=""#ffab27""&gt;",TEXT(VLOOKUP(A194,gacha_schedules!C:F,4,FALSE),"mm/dd hh:mm"),"&lt;/font&gt;","まで",P194,"
",R194)</f>
        <v>【&lt;font color="#ff2626"&gt;超&lt;/font&gt;&lt;font color="#ffe22a"&gt;激&lt;/font&gt;&lt;font color="#0093ff"&gt;レ&lt;/font&gt;&lt;font color="#00e079"&gt;ア&lt;/font&gt;ユニットをGETしよう！】_x000D_&lt;font color="#ffab27"&gt;08/19 14:59&lt;/font&gt;までピックアップユニットの出現率UP!_x000D_&lt;font color="#ffab27"&gt;※★6覚醒済みユニットは直接排出されません&lt;/font&gt;</v>
      </c>
      <c r="R194" s="49" t="s">
        <v>1067</v>
      </c>
    </row>
    <row r="195" spans="1:18" ht="50" customHeight="1" x14ac:dyDescent="0.15">
      <c r="A195" s="6">
        <v>388</v>
      </c>
      <c r="B195" s="18">
        <v>3</v>
      </c>
      <c r="C195" s="2" t="s">
        <v>1384</v>
      </c>
      <c r="D195" s="2">
        <v>100</v>
      </c>
      <c r="E195" s="17" t="str">
        <f>VLOOKUP($D195,gacha_types!$A:$D,2,FALSE)</f>
        <v>polygon</v>
      </c>
      <c r="F195" s="17">
        <f>VLOOKUP($D195,gacha_types!$A:$D,3,FALSE)</f>
        <v>5</v>
      </c>
      <c r="G195" s="17">
        <f>A195</f>
        <v>388</v>
      </c>
      <c r="H195" s="13" t="str">
        <f t="shared" si="213"/>
        <v>GachaTop_388.png</v>
      </c>
      <c r="I195" s="23">
        <v>1</v>
      </c>
      <c r="J195" s="23">
        <f>A195</f>
        <v>388</v>
      </c>
      <c r="K195" s="23">
        <v>1</v>
      </c>
      <c r="L195" s="55" t="s">
        <v>813</v>
      </c>
      <c r="M195" s="55" t="s">
        <v>814</v>
      </c>
      <c r="N195" s="2" t="s">
        <v>118</v>
      </c>
      <c r="O195" s="26" t="s">
        <v>1249</v>
      </c>
      <c r="P195" s="26" t="s">
        <v>1385</v>
      </c>
      <c r="Q195" s="26" t="str">
        <f>CONCATENATE(O195, "
","&lt;font color=""#ffab27""&gt;",TEXT(VLOOKUP(A195,gacha_schedules!C:F,4,FALSE),"mm/dd hh:mm"),"&lt;/font&gt;","まで",P195,"
",R195)</f>
        <v>【&lt;font color="#ff2626"&gt;超&lt;/font&gt;&lt;font color="#ffe22a"&gt;激&lt;/font&gt;&lt;font color="#0093ff"&gt;レ&lt;/font&gt;&lt;font color="#00e079"&gt;ア&lt;/font&gt;ユニットをGETしよう！】_x000D_&lt;font color="#ffab27"&gt;08/21 23:59&lt;/font&gt;まで緑属性出現率アップ&amp;限定ユニット出現！_x000D_&lt;font color="#ffab27"&gt;※★6覚醒済みユニットは直接排出されません&lt;/font&gt;</v>
      </c>
      <c r="R195" s="49" t="s">
        <v>1067</v>
      </c>
    </row>
    <row r="196" spans="1:18" ht="50" customHeight="1" x14ac:dyDescent="0.15">
      <c r="A196" s="6">
        <v>389</v>
      </c>
      <c r="B196" s="18">
        <v>3</v>
      </c>
      <c r="C196" s="2" t="s">
        <v>1081</v>
      </c>
      <c r="D196" s="2">
        <v>100</v>
      </c>
      <c r="E196" s="17" t="str">
        <f>VLOOKUP($D196,gacha_types!$A:$D,2,FALSE)</f>
        <v>polygon</v>
      </c>
      <c r="F196" s="17">
        <f>VLOOKUP($D196,gacha_types!$A:$D,3,FALSE)</f>
        <v>5</v>
      </c>
      <c r="G196" s="17">
        <f>A196</f>
        <v>389</v>
      </c>
      <c r="H196" s="13" t="str">
        <f t="shared" si="213"/>
        <v>GachaTop_389.png</v>
      </c>
      <c r="I196" s="23">
        <v>1</v>
      </c>
      <c r="J196" s="23">
        <f>A196</f>
        <v>389</v>
      </c>
      <c r="K196" s="23">
        <v>1</v>
      </c>
      <c r="L196" s="55" t="s">
        <v>1397</v>
      </c>
      <c r="M196" s="55" t="s">
        <v>1398</v>
      </c>
      <c r="N196" s="2" t="s">
        <v>118</v>
      </c>
      <c r="O196" s="26" t="s">
        <v>1399</v>
      </c>
      <c r="P196" s="2" t="s">
        <v>1400</v>
      </c>
      <c r="Q196" s="26" t="str">
        <f>CONCATENATE(O196, "
","&lt;font color=""#ffab27""&gt;",TEXT(VLOOKUP(A196,gacha_schedules!C:F,4,FALSE),"mm/dd hh:mm"),"&lt;/font&gt;","まで",P196,"
",R196)</f>
        <v>【&lt;font color="#ff2626"&gt;超&lt;/font&gt;&lt;font color="#ffe22a"&gt;激&lt;/font&gt;&lt;font color="#0093ff"&gt;レ&lt;/font&gt;&lt;font color="#00e075"&gt;ア&lt;/font&gt;ユニットをGETしよう！】_x000D_&lt;font color="#ffab27"&gt;08/23 14:59&lt;/font&gt;までカラーフェス限定ユニットが出現中!_x000D_&lt;font color="#ffab27"&gt;※★6覚醒済みユニットは直接排出されません&lt;/font&gt;</v>
      </c>
      <c r="R196" s="49" t="s">
        <v>1067</v>
      </c>
    </row>
    <row r="197" spans="1:18" ht="50" customHeight="1" x14ac:dyDescent="0.15">
      <c r="A197" s="6">
        <v>390</v>
      </c>
      <c r="B197" s="18">
        <v>3</v>
      </c>
      <c r="C197" s="2" t="s">
        <v>1405</v>
      </c>
      <c r="D197" s="2">
        <v>100</v>
      </c>
      <c r="E197" s="17" t="str">
        <f>VLOOKUP($D197,gacha_types!$A:$D,2,FALSE)</f>
        <v>polygon</v>
      </c>
      <c r="F197" s="17">
        <f>VLOOKUP($D197,gacha_types!$A:$D,3,FALSE)</f>
        <v>5</v>
      </c>
      <c r="G197" s="17">
        <f>A197</f>
        <v>390</v>
      </c>
      <c r="H197" s="13" t="str">
        <f t="shared" si="213"/>
        <v>GachaTop_390.png</v>
      </c>
      <c r="I197" s="23">
        <v>1</v>
      </c>
      <c r="J197" s="23">
        <f>A197</f>
        <v>390</v>
      </c>
      <c r="K197" s="23">
        <v>1</v>
      </c>
      <c r="L197" s="55" t="s">
        <v>1397</v>
      </c>
      <c r="M197" s="55" t="s">
        <v>1398</v>
      </c>
      <c r="N197" s="2" t="s">
        <v>118</v>
      </c>
      <c r="O197" s="26" t="s">
        <v>1399</v>
      </c>
      <c r="P197" s="2" t="s">
        <v>1112</v>
      </c>
      <c r="Q197" s="26" t="str">
        <f>CONCATENATE(O197, "
","&lt;font color=""#ffab27""&gt;",TEXT(VLOOKUP(A197,gacha_schedules!C:F,4,FALSE),"mm/dd hh:mm"),"&lt;/font&gt;","まで",P197,"
",R197)</f>
        <v>【&lt;font color="#ff2626"&gt;超&lt;/font&gt;&lt;font color="#ffe22a"&gt;激&lt;/font&gt;&lt;font color="#0093ff"&gt;レ&lt;/font&gt;&lt;font color="#00e075"&gt;ア&lt;/font&gt;ユニットをGETしよう！】_x000D_&lt;font color="#ffab27"&gt;08/29 14:59&lt;/font&gt;まで新ユニットが1体確定出現!_x000D_&lt;font color="#ffab27"&gt;※★6覚醒済みユニットは直接排出されません&lt;/font&gt;</v>
      </c>
      <c r="R197" s="49" t="s">
        <v>1067</v>
      </c>
    </row>
    <row r="198" spans="1:18" ht="50" customHeight="1" x14ac:dyDescent="0.15">
      <c r="A198" s="6">
        <v>391</v>
      </c>
      <c r="B198" s="18">
        <v>3</v>
      </c>
      <c r="C198" s="2" t="s">
        <v>1414</v>
      </c>
      <c r="D198" s="2">
        <v>100</v>
      </c>
      <c r="E198" s="17" t="str">
        <f>VLOOKUP($D198,gacha_types!$A:$D,2,FALSE)</f>
        <v>polygon</v>
      </c>
      <c r="F198" s="17">
        <f>VLOOKUP($D198,gacha_types!$A:$D,3,FALSE)</f>
        <v>5</v>
      </c>
      <c r="G198" s="17">
        <f>A198</f>
        <v>391</v>
      </c>
      <c r="H198" s="13" t="str">
        <f t="shared" si="213"/>
        <v>GachaTop_391.png</v>
      </c>
      <c r="I198" s="23">
        <v>1</v>
      </c>
      <c r="J198" s="23">
        <f>A198</f>
        <v>391</v>
      </c>
      <c r="K198" s="23">
        <v>1</v>
      </c>
      <c r="L198" s="55" t="s">
        <v>1397</v>
      </c>
      <c r="M198" s="55" t="s">
        <v>1398</v>
      </c>
      <c r="N198" s="2" t="s">
        <v>118</v>
      </c>
      <c r="O198" s="26"/>
      <c r="P198" s="26"/>
      <c r="Q198" s="50" t="s">
        <v>1086</v>
      </c>
      <c r="R198" s="49" t="s">
        <v>1067</v>
      </c>
    </row>
    <row r="199" spans="1:18" ht="50" customHeight="1" x14ac:dyDescent="0.15">
      <c r="A199" s="6">
        <v>392</v>
      </c>
      <c r="B199" s="18">
        <v>3</v>
      </c>
      <c r="C199" s="2" t="s">
        <v>1427</v>
      </c>
      <c r="D199" s="2">
        <v>100</v>
      </c>
      <c r="E199" s="17" t="str">
        <f>VLOOKUP($D199,gacha_types!$A:$D,2,FALSE)</f>
        <v>polygon</v>
      </c>
      <c r="F199" s="17">
        <f>VLOOKUP($D199,gacha_types!$A:$D,3,FALSE)</f>
        <v>5</v>
      </c>
      <c r="G199" s="17">
        <f t="shared" ref="G199" si="214">A199</f>
        <v>392</v>
      </c>
      <c r="H199" s="13" t="str">
        <f t="shared" si="213"/>
        <v>GachaTop_392.png</v>
      </c>
      <c r="I199" s="23">
        <v>1</v>
      </c>
      <c r="J199" s="23">
        <f t="shared" ref="J199" si="215">A199</f>
        <v>392</v>
      </c>
      <c r="K199" s="23">
        <v>1</v>
      </c>
      <c r="L199" s="55" t="s">
        <v>813</v>
      </c>
      <c r="M199" s="55" t="s">
        <v>814</v>
      </c>
      <c r="N199" s="2" t="s">
        <v>118</v>
      </c>
      <c r="O199" s="26" t="s">
        <v>337</v>
      </c>
      <c r="P199" s="2" t="s">
        <v>1463</v>
      </c>
      <c r="Q199" s="26" t="str">
        <f>CONCATENATE(O199, "
","&lt;font color=""#ffab27""&gt;",TEXT(VLOOKUP(A199,gacha_schedules!C:F,4,FALSE),"mm/dd hh:mm"),"&lt;/font&gt;","まで",P199,"
",R199)</f>
        <v>【&lt;font color="#ff2626"&gt;超&lt;/font&gt;&lt;font color="#ffe22a"&gt;激&lt;/font&gt;&lt;font color="#0093ff"&gt;レ&lt;/font&gt;&lt;font color="#00e075"&gt;ア&lt;/font&gt;ユニットをGETしよう！】_x000D_&lt;font color="#ffab27"&gt;09/03 14:59&lt;/font&gt;まで10連限定で出現率UPユニットが1体確定!_x000D_&lt;font color="#ffab27"&gt;※★6覚醒済みユニットは直接排出されません&lt;/font&gt;</v>
      </c>
      <c r="R199" s="49" t="s">
        <v>1067</v>
      </c>
    </row>
    <row r="200" spans="1:18" ht="50" customHeight="1" x14ac:dyDescent="0.15">
      <c r="A200" s="6">
        <v>393</v>
      </c>
      <c r="B200" s="18">
        <v>3</v>
      </c>
      <c r="C200" s="2" t="s">
        <v>1419</v>
      </c>
      <c r="D200" s="2">
        <v>100</v>
      </c>
      <c r="E200" s="17" t="str">
        <f>VLOOKUP($D200,gacha_types!$A:$D,2,FALSE)</f>
        <v>polygon</v>
      </c>
      <c r="F200" s="17">
        <f>VLOOKUP($D200,gacha_types!$A:$D,3,FALSE)</f>
        <v>5</v>
      </c>
      <c r="G200" s="17">
        <f t="shared" ref="G200" si="216">A200</f>
        <v>393</v>
      </c>
      <c r="H200" s="13" t="str">
        <f t="shared" ref="H200" si="217">"GachaTop_"&amp;A200&amp;".png"</f>
        <v>GachaTop_393.png</v>
      </c>
      <c r="I200" s="23">
        <v>1</v>
      </c>
      <c r="J200" s="23">
        <f t="shared" ref="J200" si="218">A200</f>
        <v>393</v>
      </c>
      <c r="K200" s="23">
        <v>1</v>
      </c>
      <c r="L200" s="55" t="s">
        <v>813</v>
      </c>
      <c r="M200" s="55" t="s">
        <v>814</v>
      </c>
      <c r="N200" s="2" t="s">
        <v>118</v>
      </c>
      <c r="O200" s="26" t="s">
        <v>1420</v>
      </c>
      <c r="P200" s="2" t="s">
        <v>372</v>
      </c>
      <c r="Q200" s="26" t="str">
        <f>CONCATENATE(O200, "
","&lt;font color=""#ffab27""&gt;",TEXT(VLOOKUP(A200,gacha_schedules!C:F,4,FALSE),"mm/dd hh:mm"),"&lt;/font&gt;","まで",P200,"
",R200)</f>
        <v>【&lt;font color="#ff2626"&gt;超&lt;/font&gt;&lt;font color="#ffe22a"&gt;激&lt;/font&gt;&lt;font color="#0093ff"&gt;レ&lt;/font&gt;&lt;font color="#00e079"&gt;ア&lt;/font&gt;ユニットをGETしよう！】_x000D_&lt;font color="#ffab27"&gt;09/02 14:59&lt;/font&gt;までフェス限定ユニットが出現中!_x000D_&lt;font color="#ffab27"&gt;※★6覚醒済みユニットは直接排出されません&lt;/font&gt;</v>
      </c>
      <c r="R200" s="49" t="s">
        <v>1067</v>
      </c>
    </row>
    <row r="201" spans="1:18" ht="50" customHeight="1" x14ac:dyDescent="0.15">
      <c r="A201" s="6">
        <v>394</v>
      </c>
      <c r="B201" s="18">
        <v>3</v>
      </c>
      <c r="C201" s="2" t="s">
        <v>1421</v>
      </c>
      <c r="D201" s="2">
        <v>100</v>
      </c>
      <c r="E201" s="17" t="str">
        <f>VLOOKUP($D201,gacha_types!$A:$D,2,FALSE)</f>
        <v>polygon</v>
      </c>
      <c r="F201" s="17">
        <f>VLOOKUP($D201,gacha_types!$A:$D,3,FALSE)</f>
        <v>5</v>
      </c>
      <c r="G201" s="17">
        <f>A201</f>
        <v>394</v>
      </c>
      <c r="H201" s="13" t="str">
        <f>"GachaTop_"&amp;A201&amp;".png"</f>
        <v>GachaTop_394.png</v>
      </c>
      <c r="I201" s="23">
        <v>1</v>
      </c>
      <c r="J201" s="23">
        <f>A201</f>
        <v>394</v>
      </c>
      <c r="K201" s="23">
        <v>1</v>
      </c>
      <c r="L201" s="55" t="s">
        <v>813</v>
      </c>
      <c r="M201" s="55" t="s">
        <v>814</v>
      </c>
      <c r="N201" s="2" t="s">
        <v>118</v>
      </c>
      <c r="O201" s="26" t="s">
        <v>1249</v>
      </c>
      <c r="P201" s="26" t="s">
        <v>1422</v>
      </c>
      <c r="Q201" s="26" t="str">
        <f>CONCATENATE(O201, "
","&lt;font color=""#ffab27""&gt;",TEXT(VLOOKUP(A201,gacha_schedules!C:F,4,FALSE),"mm/dd hh:mm"),"&lt;/font&gt;","まで",P201,"
",R201)</f>
        <v>【&lt;font color="#ff2626"&gt;超&lt;/font&gt;&lt;font color="#ffe22a"&gt;激&lt;/font&gt;&lt;font color="#0093ff"&gt;レ&lt;/font&gt;&lt;font color="#00e079"&gt;ア&lt;/font&gt;ユニットをGETしよう！】_x000D_&lt;font color="#ffab27"&gt;09/05 23:59&lt;/font&gt;まで青属性出現率アップ&amp;限定ユニット出現！_x000D_&lt;font color="#ffab27"&gt;※★6覚醒済みユニットは直接排出されません&lt;/font&gt;</v>
      </c>
      <c r="R201" s="49" t="s">
        <v>1067</v>
      </c>
    </row>
    <row r="202" spans="1:18" ht="50" customHeight="1" x14ac:dyDescent="0.15">
      <c r="A202" s="6">
        <v>395</v>
      </c>
      <c r="B202" s="18">
        <v>3</v>
      </c>
      <c r="C202" s="2" t="s">
        <v>1428</v>
      </c>
      <c r="D202" s="2">
        <v>100</v>
      </c>
      <c r="E202" s="17" t="str">
        <f>VLOOKUP($D202,gacha_types!$A:$D,2,FALSE)</f>
        <v>polygon</v>
      </c>
      <c r="F202" s="17">
        <v>0</v>
      </c>
      <c r="G202" s="17">
        <f>A202</f>
        <v>395</v>
      </c>
      <c r="H202" s="13" t="str">
        <f>"GachaTop_"&amp;A202&amp;".png"</f>
        <v>GachaTop_395.png</v>
      </c>
      <c r="I202" s="23">
        <v>1</v>
      </c>
      <c r="J202" s="23">
        <f>A202</f>
        <v>395</v>
      </c>
      <c r="K202" s="23">
        <v>1</v>
      </c>
      <c r="L202" s="55" t="s">
        <v>813</v>
      </c>
      <c r="M202" s="55" t="s">
        <v>814</v>
      </c>
      <c r="N202" s="2" t="s">
        <v>118</v>
      </c>
      <c r="O202" s="26"/>
      <c r="P202" s="26"/>
      <c r="Q202" s="50" t="s">
        <v>1479</v>
      </c>
      <c r="R202" s="49" t="s">
        <v>1067</v>
      </c>
    </row>
    <row r="203" spans="1:18" ht="50" customHeight="1" x14ac:dyDescent="0.15">
      <c r="A203" s="6">
        <v>396</v>
      </c>
      <c r="B203" s="18">
        <v>3</v>
      </c>
      <c r="C203" s="2" t="s">
        <v>1438</v>
      </c>
      <c r="D203" s="2">
        <v>100</v>
      </c>
      <c r="E203" s="17" t="str">
        <f>VLOOKUP($D203,gacha_types!$A:$D,2,FALSE)</f>
        <v>polygon</v>
      </c>
      <c r="F203" s="17">
        <v>5</v>
      </c>
      <c r="G203" s="17">
        <f>A203</f>
        <v>396</v>
      </c>
      <c r="H203" s="13" t="str">
        <f>"GachaTop_"&amp;A203&amp;".png"</f>
        <v>GachaTop_396.png</v>
      </c>
      <c r="I203" s="23">
        <v>1</v>
      </c>
      <c r="J203" s="23">
        <f>A203</f>
        <v>396</v>
      </c>
      <c r="K203" s="23">
        <v>1</v>
      </c>
      <c r="L203" s="55" t="s">
        <v>813</v>
      </c>
      <c r="M203" s="55" t="s">
        <v>814</v>
      </c>
      <c r="N203" s="2" t="s">
        <v>118</v>
      </c>
      <c r="O203" s="26"/>
      <c r="P203" s="2" t="s">
        <v>613</v>
      </c>
      <c r="Q203" s="50" t="s">
        <v>871</v>
      </c>
      <c r="R203" s="49"/>
    </row>
    <row r="204" spans="1:18" ht="50" customHeight="1" x14ac:dyDescent="0.15">
      <c r="A204" s="6">
        <v>397</v>
      </c>
      <c r="B204" s="18">
        <v>3</v>
      </c>
      <c r="C204" s="2" t="s">
        <v>1450</v>
      </c>
      <c r="D204" s="2">
        <v>100</v>
      </c>
      <c r="E204" s="17" t="str">
        <f>VLOOKUP($D204,gacha_types!$A:$D,2,FALSE)</f>
        <v>polygon</v>
      </c>
      <c r="F204" s="17">
        <v>5</v>
      </c>
      <c r="G204" s="17">
        <f t="shared" ref="G204:G205" si="219">A204</f>
        <v>397</v>
      </c>
      <c r="H204" s="13" t="str">
        <f t="shared" ref="H204:H205" si="220">"GachaTop_"&amp;A204&amp;".png"</f>
        <v>GachaTop_397.png</v>
      </c>
      <c r="I204" s="23">
        <v>1</v>
      </c>
      <c r="J204" s="23">
        <f t="shared" ref="J204:J205" si="221">A204</f>
        <v>397</v>
      </c>
      <c r="K204" s="23">
        <v>1</v>
      </c>
      <c r="L204" s="55" t="s">
        <v>813</v>
      </c>
      <c r="M204" s="55" t="s">
        <v>814</v>
      </c>
      <c r="N204" s="2" t="s">
        <v>118</v>
      </c>
      <c r="O204" s="26" t="s">
        <v>337</v>
      </c>
      <c r="P204" s="2" t="s">
        <v>1480</v>
      </c>
      <c r="Q204" s="26" t="str">
        <f>CONCATENATE(O204, "
","&lt;font color=""#ffab27""&gt;",TEXT(VLOOKUP(A204,gacha_schedules!C:F,4,FALSE),"mm/dd hh:mm"),"&lt;/font&gt;","まで",P204,"
",R204)</f>
        <v>【&lt;font color="#ff2626"&gt;超&lt;/font&gt;&lt;font color="#ffe22a"&gt;激&lt;/font&gt;&lt;font color="#0093ff"&gt;レ&lt;/font&gt;&lt;font color="#00e075"&gt;ア&lt;/font&gt;ユニットをGETしよう！】_x000D_&lt;font color="#ffab27"&gt;09/13 14:59&lt;/font&gt;まで新ユニットの出現率UP!_x000D_&lt;font color="#ffab27"&gt;※★6覚醒済みユニットは直接排出されません&lt;/font&gt;</v>
      </c>
      <c r="R204" s="49" t="s">
        <v>1067</v>
      </c>
    </row>
    <row r="205" spans="1:18" ht="50" customHeight="1" x14ac:dyDescent="0.15">
      <c r="A205" s="6">
        <v>398</v>
      </c>
      <c r="B205" s="18">
        <v>3</v>
      </c>
      <c r="C205" s="2" t="s">
        <v>1451</v>
      </c>
      <c r="D205" s="2">
        <v>100</v>
      </c>
      <c r="E205" s="17" t="str">
        <f>VLOOKUP($D205,gacha_types!$A:$D,2,FALSE)</f>
        <v>polygon</v>
      </c>
      <c r="F205" s="17">
        <v>5</v>
      </c>
      <c r="G205" s="17">
        <f t="shared" si="219"/>
        <v>398</v>
      </c>
      <c r="H205" s="13" t="str">
        <f t="shared" si="220"/>
        <v>GachaTop_398.png</v>
      </c>
      <c r="I205" s="23">
        <v>1</v>
      </c>
      <c r="J205" s="23">
        <f t="shared" si="221"/>
        <v>398</v>
      </c>
      <c r="K205" s="23">
        <v>1</v>
      </c>
      <c r="L205" s="55" t="s">
        <v>813</v>
      </c>
      <c r="M205" s="55" t="s">
        <v>814</v>
      </c>
      <c r="N205" s="2" t="s">
        <v>118</v>
      </c>
      <c r="O205" s="26"/>
      <c r="P205" s="26"/>
      <c r="Q205" s="50" t="s">
        <v>1086</v>
      </c>
      <c r="R205" s="49" t="s">
        <v>1067</v>
      </c>
    </row>
    <row r="206" spans="1:18" ht="50" customHeight="1" x14ac:dyDescent="0.15">
      <c r="A206" s="6">
        <v>399</v>
      </c>
      <c r="B206" s="18">
        <v>3</v>
      </c>
      <c r="C206" s="2" t="s">
        <v>1468</v>
      </c>
      <c r="D206" s="2">
        <v>100</v>
      </c>
      <c r="E206" s="17" t="str">
        <f>VLOOKUP($D206,gacha_types!$A:$D,2,FALSE)</f>
        <v>polygon</v>
      </c>
      <c r="F206" s="17">
        <v>5</v>
      </c>
      <c r="G206" s="17">
        <f t="shared" ref="G206" si="222">A206</f>
        <v>399</v>
      </c>
      <c r="H206" s="13" t="str">
        <f t="shared" ref="H206" si="223">"GachaTop_"&amp;A206&amp;".png"</f>
        <v>GachaTop_399.png</v>
      </c>
      <c r="I206" s="23">
        <v>1</v>
      </c>
      <c r="J206" s="23">
        <f t="shared" ref="J206" si="224">A206</f>
        <v>399</v>
      </c>
      <c r="K206" s="23">
        <v>1</v>
      </c>
      <c r="L206" s="55" t="s">
        <v>813</v>
      </c>
      <c r="M206" s="55" t="s">
        <v>814</v>
      </c>
      <c r="N206" s="2" t="s">
        <v>118</v>
      </c>
      <c r="O206" s="26" t="s">
        <v>337</v>
      </c>
      <c r="P206" s="26" t="s">
        <v>895</v>
      </c>
      <c r="Q206" s="50" t="s">
        <v>1486</v>
      </c>
      <c r="R206" s="49" t="s">
        <v>1067</v>
      </c>
    </row>
    <row r="207" spans="1:18" ht="50" customHeight="1" x14ac:dyDescent="0.15">
      <c r="A207" s="6">
        <v>400</v>
      </c>
      <c r="B207" s="18">
        <v>3</v>
      </c>
      <c r="C207" s="2" t="s">
        <v>1475</v>
      </c>
      <c r="D207" s="2">
        <v>100</v>
      </c>
      <c r="E207" s="17" t="str">
        <f>VLOOKUP($D207,gacha_types!$A:$D,2,FALSE)</f>
        <v>polygon</v>
      </c>
      <c r="F207" s="17">
        <v>5</v>
      </c>
      <c r="G207" s="17">
        <f t="shared" ref="G207" si="225">A207</f>
        <v>400</v>
      </c>
      <c r="H207" s="69" t="s">
        <v>1506</v>
      </c>
      <c r="I207" s="23">
        <v>1</v>
      </c>
      <c r="J207" s="23">
        <f t="shared" ref="J207" si="226">A207</f>
        <v>400</v>
      </c>
      <c r="K207" s="23">
        <v>1</v>
      </c>
      <c r="L207" s="55" t="s">
        <v>813</v>
      </c>
      <c r="M207" s="55" t="s">
        <v>814</v>
      </c>
      <c r="N207" s="2" t="s">
        <v>118</v>
      </c>
      <c r="O207" s="26" t="s">
        <v>1249</v>
      </c>
      <c r="P207" s="26" t="s">
        <v>1422</v>
      </c>
      <c r="Q207" s="26" t="str">
        <f>CONCATENATE(O207, "
","&lt;font color=""#ffab27""&gt;",TEXT(VLOOKUP(A207,gacha_schedules!C:F,4,FALSE),"mm/dd hh:mm"),"&lt;/font&gt;","まで",P207,"
",R207)</f>
        <v>【&lt;font color="#ff2626"&gt;超&lt;/font&gt;&lt;font color="#ffe22a"&gt;激&lt;/font&gt;&lt;font color="#0093ff"&gt;レ&lt;/font&gt;&lt;font color="#00e079"&gt;ア&lt;/font&gt;ユニットをGETしよう！】_x000D_&lt;font color="#ffab27"&gt;09/20 23:59&lt;/font&gt;まで青属性出現率アップ&amp;限定ユニット出現！_x000D_&lt;font color="#ffab27"&gt;※★6覚醒済みユニットは直接排出されません&lt;/font&gt;</v>
      </c>
      <c r="R207" s="49" t="s">
        <v>1067</v>
      </c>
    </row>
    <row r="208" spans="1:18" ht="50" customHeight="1" x14ac:dyDescent="0.15">
      <c r="A208" s="6">
        <v>401</v>
      </c>
      <c r="B208" s="18">
        <v>3</v>
      </c>
      <c r="C208" s="2" t="s">
        <v>1428</v>
      </c>
      <c r="D208" s="2">
        <v>100</v>
      </c>
      <c r="E208" s="17" t="str">
        <f>VLOOKUP($D208,gacha_types!$A:$D,2,FALSE)</f>
        <v>polygon</v>
      </c>
      <c r="F208" s="17">
        <v>0</v>
      </c>
      <c r="G208" s="17">
        <f>A208</f>
        <v>401</v>
      </c>
      <c r="H208" s="13" t="str">
        <f t="shared" ref="H208" si="227">"GachaTop_"&amp;A208&amp;".png"</f>
        <v>GachaTop_401.png</v>
      </c>
      <c r="I208" s="23">
        <v>1</v>
      </c>
      <c r="J208" s="23">
        <f>A208</f>
        <v>401</v>
      </c>
      <c r="K208" s="23">
        <v>1</v>
      </c>
      <c r="L208" s="55" t="s">
        <v>813</v>
      </c>
      <c r="M208" s="55" t="s">
        <v>814</v>
      </c>
      <c r="N208" s="2" t="s">
        <v>118</v>
      </c>
      <c r="O208" s="26"/>
      <c r="P208" s="26"/>
      <c r="Q208" s="50" t="s">
        <v>1513</v>
      </c>
      <c r="R208" s="49" t="s">
        <v>1067</v>
      </c>
    </row>
    <row r="209" spans="1:18" ht="50" customHeight="1" x14ac:dyDescent="0.15">
      <c r="A209" s="6">
        <v>402</v>
      </c>
      <c r="B209" s="18">
        <v>3</v>
      </c>
      <c r="C209" s="2" t="s">
        <v>1494</v>
      </c>
      <c r="D209" s="2">
        <v>100</v>
      </c>
      <c r="E209" s="17" t="str">
        <f>VLOOKUP($D209,gacha_types!$A:$D,2,FALSE)</f>
        <v>polygon</v>
      </c>
      <c r="F209" s="17">
        <v>5</v>
      </c>
      <c r="G209" s="17">
        <f>A209</f>
        <v>402</v>
      </c>
      <c r="H209" s="13" t="str">
        <f t="shared" ref="H209:H212" si="228">"GachaTop_"&amp;A209&amp;".png"</f>
        <v>GachaTop_402.png</v>
      </c>
      <c r="I209" s="23">
        <v>1</v>
      </c>
      <c r="J209" s="23">
        <f>A209</f>
        <v>402</v>
      </c>
      <c r="K209" s="23">
        <v>1</v>
      </c>
      <c r="L209" s="55" t="s">
        <v>813</v>
      </c>
      <c r="M209" s="55" t="s">
        <v>814</v>
      </c>
      <c r="N209" s="2" t="s">
        <v>118</v>
      </c>
      <c r="O209" s="50" t="s">
        <v>1514</v>
      </c>
      <c r="P209" s="49" t="s">
        <v>1512</v>
      </c>
      <c r="Q209" s="26" t="str">
        <f>CONCATENATE(O209, "
",P209,"
",R209)</f>
        <v>今だけ&lt;font color="#ffe22a"&gt;アルフヘイム&lt;/font&gt;、&lt;font color="#ff2626"&gt;キング・ドライグ&lt;/font&gt;の出現率UP!_x000D_&lt;font color="#ffab27"&gt;※上記ピックアップユニット以外も排出されます&lt;/font&gt;_x000D_&lt;font color="#ffab27"&gt;※★6覚醒済みユニットは直接排出されません&lt;/font&gt;</v>
      </c>
      <c r="R209" s="49" t="s">
        <v>1509</v>
      </c>
    </row>
    <row r="210" spans="1:18" ht="50" customHeight="1" x14ac:dyDescent="0.15">
      <c r="A210" s="6">
        <v>403</v>
      </c>
      <c r="B210" s="18">
        <v>3</v>
      </c>
      <c r="C210" s="2" t="s">
        <v>1516</v>
      </c>
      <c r="D210" s="2">
        <v>100</v>
      </c>
      <c r="E210" s="17" t="str">
        <f>VLOOKUP($D210,gacha_types!$A:$D,2,FALSE)</f>
        <v>polygon</v>
      </c>
      <c r="F210" s="17">
        <v>5</v>
      </c>
      <c r="G210" s="17">
        <f>A210</f>
        <v>403</v>
      </c>
      <c r="H210" s="13" t="str">
        <f t="shared" si="228"/>
        <v>GachaTop_403.png</v>
      </c>
      <c r="I210" s="23">
        <v>1</v>
      </c>
      <c r="J210" s="23">
        <f>A210</f>
        <v>403</v>
      </c>
      <c r="K210" s="23">
        <v>1</v>
      </c>
      <c r="L210" s="55" t="s">
        <v>813</v>
      </c>
      <c r="M210" s="55" t="s">
        <v>814</v>
      </c>
      <c r="N210" s="2" t="s">
        <v>118</v>
      </c>
      <c r="O210" s="50" t="s">
        <v>1518</v>
      </c>
      <c r="P210" s="26" t="s">
        <v>1512</v>
      </c>
      <c r="Q210" s="26" t="str">
        <f>CONCATENATE(O210, "
",P210,"
",R210)</f>
        <v>今だけ&lt;font color="#00e075"&gt;ヤマタノオロチ&lt;/font&gt;、&lt;font color="#0093ff"&gt;リヴァイアサン&lt;/font&gt;の出現率UP!_x000D_&lt;font color="#ffab27"&gt;※上記ピックアップユニット以外も排出されます&lt;/font&gt;_x000D_&lt;font color="#ffab27"&gt;※★6覚醒済みユニットは直接排出されません&lt;/font&gt;</v>
      </c>
      <c r="R210" s="49" t="s">
        <v>1067</v>
      </c>
    </row>
    <row r="211" spans="1:18" ht="50" customHeight="1" x14ac:dyDescent="0.15">
      <c r="A211" s="6">
        <v>404</v>
      </c>
      <c r="B211" s="18">
        <v>3</v>
      </c>
      <c r="C211" s="2" t="s">
        <v>1517</v>
      </c>
      <c r="D211" s="2">
        <v>100</v>
      </c>
      <c r="E211" s="17" t="str">
        <f>VLOOKUP($D211,gacha_types!$A:$D,2,FALSE)</f>
        <v>polygon</v>
      </c>
      <c r="F211" s="17">
        <v>5</v>
      </c>
      <c r="G211" s="17">
        <f>A211</f>
        <v>404</v>
      </c>
      <c r="H211" s="13" t="str">
        <f t="shared" si="228"/>
        <v>GachaTop_404.png</v>
      </c>
      <c r="I211" s="23">
        <v>1</v>
      </c>
      <c r="J211" s="23">
        <f>A211</f>
        <v>404</v>
      </c>
      <c r="K211" s="23">
        <v>1</v>
      </c>
      <c r="L211" s="55" t="s">
        <v>813</v>
      </c>
      <c r="M211" s="55" t="s">
        <v>814</v>
      </c>
      <c r="N211" s="2" t="s">
        <v>118</v>
      </c>
      <c r="O211" s="111" t="s">
        <v>1519</v>
      </c>
      <c r="P211" s="26" t="s">
        <v>1683</v>
      </c>
      <c r="Q211" s="26" t="str">
        <f>CONCATENATE(O211, "
",P211,"
",R211)</f>
        <v>今だけ新ユニットの出現率UP！_x000D_&lt;font color="#ffab27"&gt;09/25 14:59&lt;/font&gt;まで初回のみ25ポリゴンで10体排出！_x000D_&lt;font color="#ffab27"&gt;※★6覚醒済みユニットは直接排出されません&lt;/font&gt;</v>
      </c>
      <c r="R211" s="49" t="s">
        <v>1067</v>
      </c>
    </row>
    <row r="212" spans="1:18" ht="50" customHeight="1" x14ac:dyDescent="0.15">
      <c r="A212" s="6">
        <v>405</v>
      </c>
      <c r="B212" s="18">
        <v>3</v>
      </c>
      <c r="C212" s="2" t="s">
        <v>1529</v>
      </c>
      <c r="D212" s="2">
        <v>100</v>
      </c>
      <c r="E212" s="17" t="str">
        <f>VLOOKUP($D212,gacha_types!$A:$D,2,FALSE)</f>
        <v>polygon</v>
      </c>
      <c r="F212" s="17">
        <v>5</v>
      </c>
      <c r="G212" s="17">
        <f t="shared" ref="G212" si="229">A212</f>
        <v>405</v>
      </c>
      <c r="H212" s="13" t="str">
        <f t="shared" si="228"/>
        <v>GachaTop_405.png</v>
      </c>
      <c r="I212" s="23">
        <v>1</v>
      </c>
      <c r="J212" s="23">
        <f t="shared" ref="J212" si="230">A212</f>
        <v>405</v>
      </c>
      <c r="K212" s="23">
        <v>1</v>
      </c>
      <c r="L212" s="55" t="s">
        <v>813</v>
      </c>
      <c r="M212" s="55" t="s">
        <v>814</v>
      </c>
      <c r="N212" s="2" t="s">
        <v>118</v>
      </c>
      <c r="O212" s="26"/>
      <c r="P212" s="26"/>
      <c r="Q212" s="50" t="s">
        <v>1086</v>
      </c>
      <c r="R212" s="49" t="s">
        <v>1067</v>
      </c>
    </row>
    <row r="213" spans="1:18" ht="50" customHeight="1" x14ac:dyDescent="0.15">
      <c r="A213" s="6">
        <v>406</v>
      </c>
      <c r="B213" s="18">
        <v>3</v>
      </c>
      <c r="C213" s="2" t="s">
        <v>2123</v>
      </c>
      <c r="D213" s="2">
        <v>100</v>
      </c>
      <c r="E213" s="17" t="str">
        <f>VLOOKUP($D213,gacha_types!$A:$D,2,FALSE)</f>
        <v>polygon</v>
      </c>
      <c r="F213" s="17">
        <v>5</v>
      </c>
      <c r="G213" s="17">
        <f t="shared" ref="G213" si="231">A213</f>
        <v>406</v>
      </c>
      <c r="H213" s="13" t="str">
        <f t="shared" ref="H213" si="232">"GachaTop_"&amp;A213&amp;".png"</f>
        <v>GachaTop_406.png</v>
      </c>
      <c r="I213" s="23">
        <v>1</v>
      </c>
      <c r="J213" s="23">
        <f t="shared" ref="J213" si="233">A213</f>
        <v>406</v>
      </c>
      <c r="K213" s="23">
        <v>1</v>
      </c>
      <c r="L213" s="55" t="s">
        <v>813</v>
      </c>
      <c r="M213" s="55" t="s">
        <v>814</v>
      </c>
      <c r="N213" s="2" t="s">
        <v>118</v>
      </c>
      <c r="O213" s="50" t="s">
        <v>1536</v>
      </c>
      <c r="P213" s="49" t="s">
        <v>1512</v>
      </c>
      <c r="Q213" s="26" t="str">
        <f>CONCATENATE(O213, "
",P213,"
",R213)</f>
        <v>今だけピックアップユニットの出現率UP!_x000D_&lt;font color="#ffab27"&gt;※上記ピックアップユニット以外も排出されます&lt;/font&gt;_x000D_&lt;font color="#ffab27"&gt;※★6覚醒済みユニットは直接排出されません&lt;/font&gt;</v>
      </c>
      <c r="R213" s="49" t="s">
        <v>1067</v>
      </c>
    </row>
    <row r="214" spans="1:18" ht="50" customHeight="1" x14ac:dyDescent="0.15">
      <c r="A214" s="6">
        <v>407</v>
      </c>
      <c r="B214" s="18">
        <v>3</v>
      </c>
      <c r="C214" s="2" t="s">
        <v>1538</v>
      </c>
      <c r="D214" s="2">
        <v>100</v>
      </c>
      <c r="E214" s="17" t="str">
        <f>VLOOKUP($D214,gacha_types!$A:$D,2,FALSE)</f>
        <v>polygon</v>
      </c>
      <c r="F214" s="17">
        <v>5</v>
      </c>
      <c r="G214" s="17">
        <f t="shared" ref="G214" si="234">A214</f>
        <v>407</v>
      </c>
      <c r="H214" s="13" t="str">
        <f t="shared" ref="H214" si="235">"GachaTop_"&amp;A214&amp;".png"</f>
        <v>GachaTop_407.png</v>
      </c>
      <c r="I214" s="23">
        <v>1</v>
      </c>
      <c r="J214" s="23">
        <f t="shared" ref="J214" si="236">A214</f>
        <v>407</v>
      </c>
      <c r="K214" s="23">
        <v>1</v>
      </c>
      <c r="L214" s="55" t="s">
        <v>813</v>
      </c>
      <c r="M214" s="55" t="s">
        <v>814</v>
      </c>
      <c r="N214" s="2" t="s">
        <v>118</v>
      </c>
      <c r="O214" s="50"/>
      <c r="P214" s="49"/>
      <c r="Q214" s="50" t="s">
        <v>1537</v>
      </c>
      <c r="R214" s="49" t="s">
        <v>1067</v>
      </c>
    </row>
    <row r="215" spans="1:18" ht="50" customHeight="1" x14ac:dyDescent="0.15">
      <c r="A215" s="6">
        <v>408</v>
      </c>
      <c r="B215" s="18">
        <v>3</v>
      </c>
      <c r="C215" s="2" t="s">
        <v>1617</v>
      </c>
      <c r="D215" s="2">
        <v>100</v>
      </c>
      <c r="E215" s="17" t="s">
        <v>1566</v>
      </c>
      <c r="F215" s="17">
        <v>0</v>
      </c>
      <c r="G215" s="17">
        <v>408</v>
      </c>
      <c r="H215" s="13" t="s">
        <v>1567</v>
      </c>
      <c r="I215" s="23">
        <v>1</v>
      </c>
      <c r="J215" s="23">
        <v>408</v>
      </c>
      <c r="K215" s="23">
        <v>1</v>
      </c>
      <c r="L215" s="55" t="s">
        <v>813</v>
      </c>
      <c r="M215" s="55" t="s">
        <v>814</v>
      </c>
      <c r="N215" s="2" t="s">
        <v>118</v>
      </c>
      <c r="O215" s="50"/>
      <c r="P215" s="49"/>
      <c r="Q215" s="50" t="s">
        <v>1568</v>
      </c>
      <c r="R215" s="49" t="s">
        <v>1569</v>
      </c>
    </row>
    <row r="216" spans="1:18" ht="50" customHeight="1" x14ac:dyDescent="0.15">
      <c r="A216" s="6">
        <v>409</v>
      </c>
      <c r="B216" s="18">
        <v>3</v>
      </c>
      <c r="C216" s="2" t="s">
        <v>1597</v>
      </c>
      <c r="D216" s="2">
        <v>100</v>
      </c>
      <c r="E216" s="17" t="s">
        <v>1566</v>
      </c>
      <c r="F216" s="17">
        <v>5</v>
      </c>
      <c r="G216" s="17">
        <f t="shared" ref="G216" si="237">A216</f>
        <v>409</v>
      </c>
      <c r="H216" s="13" t="str">
        <f t="shared" ref="H216" si="238">"GachaTop_"&amp;A216&amp;".png"</f>
        <v>GachaTop_409.png</v>
      </c>
      <c r="I216" s="23">
        <v>1</v>
      </c>
      <c r="J216" s="23">
        <f t="shared" ref="J216" si="239">A216</f>
        <v>409</v>
      </c>
      <c r="K216" s="23">
        <v>1</v>
      </c>
      <c r="L216" s="55" t="s">
        <v>813</v>
      </c>
      <c r="M216" s="55" t="s">
        <v>814</v>
      </c>
      <c r="N216" s="2" t="s">
        <v>118</v>
      </c>
      <c r="O216" s="26" t="s">
        <v>337</v>
      </c>
      <c r="P216" s="2" t="s">
        <v>1400</v>
      </c>
      <c r="Q216" s="26" t="str">
        <f>CONCATENATE(O216, "
",P216,"
",R216)</f>
        <v>【&lt;font color="#ff2626"&gt;超&lt;/font&gt;&lt;font color="#ffe22a"&gt;激&lt;/font&gt;&lt;font color="#0093ff"&gt;レ&lt;/font&gt;&lt;font color="#00e075"&gt;ア&lt;/font&gt;ユニットをGETしよう！】_x000D_カラーフェス限定ユニットが出現中!_x000D_&lt;font color="#ffab27"&gt;※★6覚醒済みユニットは直接排出されません&lt;/font&gt;</v>
      </c>
      <c r="R216" s="49" t="s">
        <v>1067</v>
      </c>
    </row>
    <row r="217" spans="1:18" ht="50" customHeight="1" x14ac:dyDescent="0.15">
      <c r="A217" s="6">
        <v>410</v>
      </c>
      <c r="B217" s="18">
        <v>3</v>
      </c>
      <c r="C217" s="2" t="s">
        <v>1596</v>
      </c>
      <c r="D217" s="2">
        <v>100</v>
      </c>
      <c r="E217" s="17" t="s">
        <v>1566</v>
      </c>
      <c r="F217" s="17">
        <v>5</v>
      </c>
      <c r="G217" s="17">
        <f t="shared" ref="G217:G219" si="240">A217</f>
        <v>410</v>
      </c>
      <c r="H217" s="13" t="str">
        <f t="shared" ref="H217:H218" si="241">"GachaTop_"&amp;A217&amp;".png"</f>
        <v>GachaTop_410.png</v>
      </c>
      <c r="I217" s="23">
        <v>1</v>
      </c>
      <c r="J217" s="23">
        <f t="shared" ref="J217:J229" si="242">A217</f>
        <v>410</v>
      </c>
      <c r="K217" s="23">
        <v>1</v>
      </c>
      <c r="L217" s="55" t="s">
        <v>813</v>
      </c>
      <c r="M217" s="55" t="s">
        <v>814</v>
      </c>
      <c r="N217" s="2" t="s">
        <v>118</v>
      </c>
      <c r="O217" s="26" t="s">
        <v>337</v>
      </c>
      <c r="P217" s="26" t="s">
        <v>895</v>
      </c>
      <c r="Q217" s="50" t="s">
        <v>1486</v>
      </c>
      <c r="R217" s="49" t="s">
        <v>1067</v>
      </c>
    </row>
    <row r="218" spans="1:18" ht="50" customHeight="1" x14ac:dyDescent="0.15">
      <c r="A218" s="6">
        <v>411</v>
      </c>
      <c r="B218" s="18">
        <v>3</v>
      </c>
      <c r="C218" s="2" t="s">
        <v>1618</v>
      </c>
      <c r="D218" s="2">
        <v>100</v>
      </c>
      <c r="E218" s="17" t="s">
        <v>1566</v>
      </c>
      <c r="F218" s="17">
        <v>5</v>
      </c>
      <c r="G218" s="17">
        <f t="shared" si="240"/>
        <v>411</v>
      </c>
      <c r="H218" s="13" t="str">
        <f t="shared" si="241"/>
        <v>GachaTop_411.png</v>
      </c>
      <c r="I218" s="23">
        <v>1</v>
      </c>
      <c r="J218" s="23">
        <f t="shared" si="242"/>
        <v>411</v>
      </c>
      <c r="K218" s="23">
        <v>1</v>
      </c>
      <c r="L218" s="55" t="s">
        <v>813</v>
      </c>
      <c r="M218" s="55" t="s">
        <v>814</v>
      </c>
      <c r="N218" s="2" t="s">
        <v>118</v>
      </c>
      <c r="O218" s="50"/>
      <c r="P218" s="49"/>
      <c r="Q218" s="50" t="s">
        <v>1659</v>
      </c>
      <c r="R218" s="49" t="s">
        <v>1569</v>
      </c>
    </row>
    <row r="219" spans="1:18" ht="50" customHeight="1" x14ac:dyDescent="0.15">
      <c r="A219" s="6">
        <v>412</v>
      </c>
      <c r="B219" s="18">
        <v>3</v>
      </c>
      <c r="C219" s="2" t="s">
        <v>1619</v>
      </c>
      <c r="D219" s="2">
        <v>100</v>
      </c>
      <c r="E219" s="17" t="s">
        <v>1566</v>
      </c>
      <c r="F219" s="17">
        <v>5</v>
      </c>
      <c r="G219" s="17">
        <f t="shared" si="240"/>
        <v>412</v>
      </c>
      <c r="H219" s="13" t="str">
        <f>H218</f>
        <v>GachaTop_411.png</v>
      </c>
      <c r="I219" s="23">
        <v>1</v>
      </c>
      <c r="J219" s="23">
        <f t="shared" si="242"/>
        <v>412</v>
      </c>
      <c r="K219" s="23">
        <v>1</v>
      </c>
      <c r="L219" s="55" t="s">
        <v>813</v>
      </c>
      <c r="M219" s="55" t="s">
        <v>814</v>
      </c>
      <c r="N219" s="2" t="s">
        <v>118</v>
      </c>
      <c r="O219" s="50"/>
      <c r="P219" s="49"/>
      <c r="Q219" s="50" t="s">
        <v>1659</v>
      </c>
      <c r="R219" s="49" t="s">
        <v>1569</v>
      </c>
    </row>
    <row r="220" spans="1:18" ht="50" customHeight="1" x14ac:dyDescent="0.15">
      <c r="A220" s="6">
        <v>413</v>
      </c>
      <c r="B220" s="18">
        <v>3</v>
      </c>
      <c r="C220" s="2" t="s">
        <v>1626</v>
      </c>
      <c r="D220" s="2">
        <v>100</v>
      </c>
      <c r="E220" s="17" t="s">
        <v>1566</v>
      </c>
      <c r="F220" s="17">
        <v>5</v>
      </c>
      <c r="G220" s="17">
        <f t="shared" ref="G220:G229" si="243">A220</f>
        <v>413</v>
      </c>
      <c r="H220" s="13" t="str">
        <f t="shared" ref="H220:H227" si="244">H219</f>
        <v>GachaTop_411.png</v>
      </c>
      <c r="I220" s="23">
        <v>1</v>
      </c>
      <c r="J220" s="23">
        <f t="shared" si="242"/>
        <v>413</v>
      </c>
      <c r="K220" s="23">
        <v>1</v>
      </c>
      <c r="L220" s="55" t="s">
        <v>813</v>
      </c>
      <c r="M220" s="55" t="s">
        <v>814</v>
      </c>
      <c r="N220" s="2" t="s">
        <v>118</v>
      </c>
      <c r="O220" s="50"/>
      <c r="P220" s="49"/>
      <c r="Q220" s="50" t="s">
        <v>1659</v>
      </c>
      <c r="R220" s="49" t="s">
        <v>1569</v>
      </c>
    </row>
    <row r="221" spans="1:18" ht="50" customHeight="1" x14ac:dyDescent="0.15">
      <c r="A221" s="6">
        <v>414</v>
      </c>
      <c r="B221" s="18">
        <v>3</v>
      </c>
      <c r="C221" s="2" t="s">
        <v>1620</v>
      </c>
      <c r="D221" s="2">
        <v>100</v>
      </c>
      <c r="E221" s="17" t="s">
        <v>1566</v>
      </c>
      <c r="F221" s="17">
        <v>5</v>
      </c>
      <c r="G221" s="17">
        <f t="shared" si="243"/>
        <v>414</v>
      </c>
      <c r="H221" s="13" t="str">
        <f t="shared" si="244"/>
        <v>GachaTop_411.png</v>
      </c>
      <c r="I221" s="23">
        <v>1</v>
      </c>
      <c r="J221" s="23">
        <f t="shared" si="242"/>
        <v>414</v>
      </c>
      <c r="K221" s="23">
        <v>1</v>
      </c>
      <c r="L221" s="55" t="s">
        <v>813</v>
      </c>
      <c r="M221" s="55" t="s">
        <v>814</v>
      </c>
      <c r="N221" s="2" t="s">
        <v>118</v>
      </c>
      <c r="O221" s="50"/>
      <c r="P221" s="49"/>
      <c r="Q221" s="50" t="s">
        <v>1659</v>
      </c>
      <c r="R221" s="49" t="s">
        <v>1569</v>
      </c>
    </row>
    <row r="222" spans="1:18" ht="50" customHeight="1" x14ac:dyDescent="0.15">
      <c r="A222" s="6">
        <v>415</v>
      </c>
      <c r="B222" s="18">
        <v>3</v>
      </c>
      <c r="C222" s="2" t="s">
        <v>1621</v>
      </c>
      <c r="D222" s="2">
        <v>100</v>
      </c>
      <c r="E222" s="17" t="s">
        <v>1566</v>
      </c>
      <c r="F222" s="17">
        <v>5</v>
      </c>
      <c r="G222" s="17">
        <f t="shared" si="243"/>
        <v>415</v>
      </c>
      <c r="H222" s="13" t="str">
        <f t="shared" si="244"/>
        <v>GachaTop_411.png</v>
      </c>
      <c r="I222" s="23">
        <v>1</v>
      </c>
      <c r="J222" s="23">
        <f t="shared" si="242"/>
        <v>415</v>
      </c>
      <c r="K222" s="23">
        <v>1</v>
      </c>
      <c r="L222" s="55" t="s">
        <v>813</v>
      </c>
      <c r="M222" s="55" t="s">
        <v>814</v>
      </c>
      <c r="N222" s="2" t="s">
        <v>118</v>
      </c>
      <c r="O222" s="50"/>
      <c r="P222" s="49"/>
      <c r="Q222" s="50" t="s">
        <v>1659</v>
      </c>
      <c r="R222" s="49" t="s">
        <v>1569</v>
      </c>
    </row>
    <row r="223" spans="1:18" ht="50" customHeight="1" x14ac:dyDescent="0.15">
      <c r="A223" s="6">
        <v>416</v>
      </c>
      <c r="B223" s="18">
        <v>3</v>
      </c>
      <c r="C223" s="2" t="s">
        <v>1622</v>
      </c>
      <c r="D223" s="2">
        <v>100</v>
      </c>
      <c r="E223" s="17" t="s">
        <v>1566</v>
      </c>
      <c r="F223" s="17">
        <v>5</v>
      </c>
      <c r="G223" s="17">
        <f t="shared" si="243"/>
        <v>416</v>
      </c>
      <c r="H223" s="13" t="str">
        <f t="shared" si="244"/>
        <v>GachaTop_411.png</v>
      </c>
      <c r="I223" s="23">
        <v>1</v>
      </c>
      <c r="J223" s="23">
        <f t="shared" si="242"/>
        <v>416</v>
      </c>
      <c r="K223" s="23">
        <v>1</v>
      </c>
      <c r="L223" s="55" t="s">
        <v>813</v>
      </c>
      <c r="M223" s="55" t="s">
        <v>814</v>
      </c>
      <c r="N223" s="2" t="s">
        <v>118</v>
      </c>
      <c r="O223" s="50"/>
      <c r="P223" s="49"/>
      <c r="Q223" s="50" t="s">
        <v>1659</v>
      </c>
      <c r="R223" s="49" t="s">
        <v>1569</v>
      </c>
    </row>
    <row r="224" spans="1:18" ht="50" customHeight="1" x14ac:dyDescent="0.15">
      <c r="A224" s="6">
        <v>417</v>
      </c>
      <c r="B224" s="18">
        <v>3</v>
      </c>
      <c r="C224" s="2" t="s">
        <v>1623</v>
      </c>
      <c r="D224" s="2">
        <v>100</v>
      </c>
      <c r="E224" s="17" t="s">
        <v>1566</v>
      </c>
      <c r="F224" s="17">
        <v>5</v>
      </c>
      <c r="G224" s="17">
        <f t="shared" si="243"/>
        <v>417</v>
      </c>
      <c r="H224" s="13" t="str">
        <f t="shared" si="244"/>
        <v>GachaTop_411.png</v>
      </c>
      <c r="I224" s="23">
        <v>1</v>
      </c>
      <c r="J224" s="23">
        <f t="shared" si="242"/>
        <v>417</v>
      </c>
      <c r="K224" s="23">
        <v>1</v>
      </c>
      <c r="L224" s="55" t="s">
        <v>813</v>
      </c>
      <c r="M224" s="55" t="s">
        <v>814</v>
      </c>
      <c r="N224" s="2" t="s">
        <v>118</v>
      </c>
      <c r="O224" s="50"/>
      <c r="P224" s="49"/>
      <c r="Q224" s="50" t="s">
        <v>1659</v>
      </c>
      <c r="R224" s="49" t="s">
        <v>1569</v>
      </c>
    </row>
    <row r="225" spans="1:18" ht="50" customHeight="1" x14ac:dyDescent="0.15">
      <c r="A225" s="6">
        <v>418</v>
      </c>
      <c r="B225" s="18">
        <v>3</v>
      </c>
      <c r="C225" s="2" t="s">
        <v>1624</v>
      </c>
      <c r="D225" s="2">
        <v>100</v>
      </c>
      <c r="E225" s="17" t="s">
        <v>1566</v>
      </c>
      <c r="F225" s="17">
        <v>5</v>
      </c>
      <c r="G225" s="17">
        <f t="shared" si="243"/>
        <v>418</v>
      </c>
      <c r="H225" s="13" t="str">
        <f t="shared" si="244"/>
        <v>GachaTop_411.png</v>
      </c>
      <c r="I225" s="23">
        <v>1</v>
      </c>
      <c r="J225" s="23">
        <f t="shared" si="242"/>
        <v>418</v>
      </c>
      <c r="K225" s="23">
        <v>1</v>
      </c>
      <c r="L225" s="55" t="s">
        <v>813</v>
      </c>
      <c r="M225" s="55" t="s">
        <v>814</v>
      </c>
      <c r="N225" s="2" t="s">
        <v>118</v>
      </c>
      <c r="O225" s="50"/>
      <c r="P225" s="49"/>
      <c r="Q225" s="50" t="s">
        <v>1659</v>
      </c>
      <c r="R225" s="49" t="s">
        <v>1569</v>
      </c>
    </row>
    <row r="226" spans="1:18" ht="50" customHeight="1" x14ac:dyDescent="0.15">
      <c r="A226" s="6">
        <v>419</v>
      </c>
      <c r="B226" s="18">
        <v>3</v>
      </c>
      <c r="C226" s="2" t="s">
        <v>1625</v>
      </c>
      <c r="D226" s="2">
        <v>100</v>
      </c>
      <c r="E226" s="17" t="s">
        <v>1566</v>
      </c>
      <c r="F226" s="17">
        <v>5</v>
      </c>
      <c r="G226" s="17">
        <f t="shared" si="243"/>
        <v>419</v>
      </c>
      <c r="H226" s="13" t="str">
        <f t="shared" si="244"/>
        <v>GachaTop_411.png</v>
      </c>
      <c r="I226" s="23">
        <v>1</v>
      </c>
      <c r="J226" s="23">
        <f t="shared" si="242"/>
        <v>419</v>
      </c>
      <c r="K226" s="23">
        <v>1</v>
      </c>
      <c r="L226" s="55" t="s">
        <v>813</v>
      </c>
      <c r="M226" s="55" t="s">
        <v>814</v>
      </c>
      <c r="N226" s="2" t="s">
        <v>118</v>
      </c>
      <c r="O226" s="50"/>
      <c r="P226" s="49"/>
      <c r="Q226" s="50" t="s">
        <v>1659</v>
      </c>
      <c r="R226" s="49" t="s">
        <v>1569</v>
      </c>
    </row>
    <row r="227" spans="1:18" ht="50" customHeight="1" x14ac:dyDescent="0.15">
      <c r="A227" s="6">
        <v>420</v>
      </c>
      <c r="B227" s="18">
        <v>3</v>
      </c>
      <c r="C227" s="2" t="s">
        <v>1627</v>
      </c>
      <c r="D227" s="2">
        <v>100</v>
      </c>
      <c r="E227" s="17" t="s">
        <v>1566</v>
      </c>
      <c r="F227" s="17">
        <v>5</v>
      </c>
      <c r="G227" s="17">
        <f t="shared" si="243"/>
        <v>420</v>
      </c>
      <c r="H227" s="13" t="str">
        <f t="shared" si="244"/>
        <v>GachaTop_411.png</v>
      </c>
      <c r="I227" s="23">
        <v>1</v>
      </c>
      <c r="J227" s="23">
        <f t="shared" si="242"/>
        <v>420</v>
      </c>
      <c r="K227" s="23">
        <v>1</v>
      </c>
      <c r="L227" s="55" t="s">
        <v>813</v>
      </c>
      <c r="M227" s="55" t="s">
        <v>814</v>
      </c>
      <c r="N227" s="2" t="s">
        <v>118</v>
      </c>
      <c r="O227" s="50"/>
      <c r="P227" s="49"/>
      <c r="Q227" s="50" t="s">
        <v>1659</v>
      </c>
      <c r="R227" s="49" t="s">
        <v>1569</v>
      </c>
    </row>
    <row r="228" spans="1:18" ht="50" customHeight="1" x14ac:dyDescent="0.15">
      <c r="A228" s="6">
        <v>421</v>
      </c>
      <c r="B228" s="18">
        <v>3</v>
      </c>
      <c r="C228" s="2" t="s">
        <v>1672</v>
      </c>
      <c r="D228" s="2">
        <v>100</v>
      </c>
      <c r="E228" s="17" t="str">
        <f>VLOOKUP($D228,gacha_types!$A:$D,2,FALSE)</f>
        <v>polygon</v>
      </c>
      <c r="F228" s="17">
        <f>VLOOKUP($D228,gacha_types!$A:$D,3,FALSE)</f>
        <v>5</v>
      </c>
      <c r="G228" s="17">
        <f t="shared" si="243"/>
        <v>421</v>
      </c>
      <c r="H228" s="13" t="str">
        <f t="shared" ref="H228:H231" si="245">"GachaTop_"&amp;A228&amp;".png"</f>
        <v>GachaTop_421.png</v>
      </c>
      <c r="I228" s="23">
        <v>1</v>
      </c>
      <c r="J228" s="23">
        <f t="shared" si="242"/>
        <v>421</v>
      </c>
      <c r="K228" s="23">
        <v>1</v>
      </c>
      <c r="L228" s="55" t="s">
        <v>813</v>
      </c>
      <c r="M228" s="55" t="s">
        <v>814</v>
      </c>
      <c r="N228" s="2" t="s">
        <v>118</v>
      </c>
      <c r="O228" s="26" t="s">
        <v>1854</v>
      </c>
      <c r="P228" s="2" t="s">
        <v>1690</v>
      </c>
      <c r="Q228" s="26" t="str">
        <f>CONCATENATE(O228, "
",P228,"
",R228)</f>
        <v>超強力フェス限定ユニットを手に入れよう！_x000D_&lt;font color="#ff2626"&gt;セキ&lt;/font&gt;、&lt;font color="#0093ff"&gt;ユークリッド&lt;/font&gt;、&lt;font color="#ffe22a"&gt;ファラデー&lt;/font&gt;、&lt;font color="#00e075"&gt;オイラー&lt;/font&gt;が出現中！_x000D_&lt;font color="#ffab27"&gt;※★6覚醒済みユニットは直接排出されません&lt;/font&gt;</v>
      </c>
      <c r="R228" s="49" t="s">
        <v>1067</v>
      </c>
    </row>
    <row r="229" spans="1:18" ht="50" customHeight="1" x14ac:dyDescent="0.15">
      <c r="A229" s="6">
        <v>422</v>
      </c>
      <c r="B229" s="18">
        <v>3</v>
      </c>
      <c r="C229" s="2" t="s">
        <v>1675</v>
      </c>
      <c r="D229" s="2">
        <v>100</v>
      </c>
      <c r="E229" s="17" t="str">
        <f>VLOOKUP($D229,gacha_types!$A:$D,2,FALSE)</f>
        <v>polygon</v>
      </c>
      <c r="F229" s="17">
        <v>5</v>
      </c>
      <c r="G229" s="17">
        <f t="shared" si="243"/>
        <v>422</v>
      </c>
      <c r="H229" s="13" t="str">
        <f t="shared" si="245"/>
        <v>GachaTop_422.png</v>
      </c>
      <c r="I229" s="23">
        <v>1</v>
      </c>
      <c r="J229" s="23">
        <f t="shared" si="242"/>
        <v>422</v>
      </c>
      <c r="K229" s="23">
        <v>1</v>
      </c>
      <c r="L229" s="55" t="s">
        <v>813</v>
      </c>
      <c r="M229" s="55" t="s">
        <v>814</v>
      </c>
      <c r="N229" s="2" t="s">
        <v>118</v>
      </c>
      <c r="O229" s="26"/>
      <c r="P229" s="26"/>
      <c r="Q229" s="50" t="s">
        <v>1086</v>
      </c>
      <c r="R229" s="49" t="s">
        <v>1067</v>
      </c>
    </row>
    <row r="230" spans="1:18" ht="50" customHeight="1" x14ac:dyDescent="0.15">
      <c r="A230" s="6">
        <v>423</v>
      </c>
      <c r="B230" s="18">
        <v>3</v>
      </c>
      <c r="C230" s="2" t="s">
        <v>1676</v>
      </c>
      <c r="D230" s="2">
        <v>100</v>
      </c>
      <c r="E230" s="17" t="str">
        <f>VLOOKUP($D230,gacha_types!$A:$D,2,FALSE)</f>
        <v>polygon</v>
      </c>
      <c r="F230" s="17">
        <v>5</v>
      </c>
      <c r="G230" s="17">
        <f>A230</f>
        <v>423</v>
      </c>
      <c r="H230" s="13" t="str">
        <f t="shared" si="245"/>
        <v>GachaTop_423.png</v>
      </c>
      <c r="I230" s="23">
        <v>1</v>
      </c>
      <c r="J230" s="23">
        <f>A230</f>
        <v>423</v>
      </c>
      <c r="K230" s="23">
        <v>1</v>
      </c>
      <c r="L230" s="55" t="s">
        <v>813</v>
      </c>
      <c r="M230" s="55" t="s">
        <v>814</v>
      </c>
      <c r="N230" s="2" t="s">
        <v>118</v>
      </c>
      <c r="O230" s="111" t="s">
        <v>1709</v>
      </c>
      <c r="P230" s="26" t="s">
        <v>1694</v>
      </c>
      <c r="Q230" s="26" t="str">
        <f>CONCATENATE(O230, "
","&lt;font color=""#ffab27""&gt;",TEXT(VLOOKUP(A230,gacha_schedules!C:F,4,FALSE),"mm/dd hh:mm"),"&lt;/font&gt;","まで",P230,"
",R230)</f>
        <v>&lt;font color="#ffab27"&gt;10/09 15:59&lt;/font&gt;まで新ユニットの出現率UP中！_x000D_&lt;font color="#ffab27"&gt;10/09 15:59&lt;/font&gt;まで&lt;font color="#ffab27"&gt;STEP5で★6覚醒可能ニューフェイスユニット1体確定！&lt;/font&gt;_x000D_&lt;font color="#ffab27"&gt;※★6覚醒済みユニットは直接排出されません&lt;/font&gt;</v>
      </c>
      <c r="R230" s="49" t="s">
        <v>1067</v>
      </c>
    </row>
    <row r="231" spans="1:18" ht="50" customHeight="1" x14ac:dyDescent="0.15">
      <c r="A231" s="6">
        <v>424</v>
      </c>
      <c r="B231" s="18">
        <v>3</v>
      </c>
      <c r="C231" s="2" t="s">
        <v>1703</v>
      </c>
      <c r="D231" s="2">
        <v>100</v>
      </c>
      <c r="E231" s="17" t="str">
        <f>VLOOKUP($D231,gacha_types!$A:$D,2,FALSE)</f>
        <v>polygon</v>
      </c>
      <c r="F231" s="17">
        <v>5</v>
      </c>
      <c r="G231" s="17">
        <f t="shared" ref="G231" si="246">A231</f>
        <v>424</v>
      </c>
      <c r="H231" s="13" t="str">
        <f t="shared" si="245"/>
        <v>GachaTop_424.png</v>
      </c>
      <c r="I231" s="23">
        <v>1</v>
      </c>
      <c r="J231" s="23">
        <f t="shared" ref="J231" si="247">A231</f>
        <v>424</v>
      </c>
      <c r="K231" s="23">
        <v>1</v>
      </c>
      <c r="L231" s="55" t="s">
        <v>813</v>
      </c>
      <c r="M231" s="55" t="s">
        <v>814</v>
      </c>
      <c r="N231" s="2" t="s">
        <v>118</v>
      </c>
      <c r="O231" s="111" t="s">
        <v>1704</v>
      </c>
      <c r="P231" s="49" t="s">
        <v>1705</v>
      </c>
      <c r="Q231" s="26" t="str">
        <f>CONCATENATE(O231, "
","&lt;font color=""#ffab27""&gt;",TEXT(VLOOKUP(A231,gacha_schedules!C:F,4,FALSE),"mm/dd hh:mm"),"&lt;/font&gt;","まで",P231,"
",R231)</f>
        <v>&lt;font color="#ffab27"&gt;10/11 14:59&lt;/font&gt;まで_x000D_&lt;font color="#ffab27"&gt;10/11 14:59&lt;/font&gt;までピックアップユニットが1体確定！_x000D_&lt;font color="#ffab27"&gt;※★6覚醒済みユニットは直接排出されません&lt;/font&gt;</v>
      </c>
      <c r="R231" s="49" t="s">
        <v>1067</v>
      </c>
    </row>
    <row r="232" spans="1:18" ht="50" customHeight="1" x14ac:dyDescent="0.15">
      <c r="A232" s="6">
        <v>425</v>
      </c>
      <c r="B232" s="18">
        <v>3</v>
      </c>
      <c r="C232" s="2" t="s">
        <v>1713</v>
      </c>
      <c r="D232" s="2">
        <v>100</v>
      </c>
      <c r="E232" s="17" t="str">
        <f>VLOOKUP($D232,gacha_types!$A:$D,2,FALSE)</f>
        <v>polygon</v>
      </c>
      <c r="F232" s="17">
        <v>5</v>
      </c>
      <c r="G232" s="17">
        <f t="shared" ref="G232" si="248">A232</f>
        <v>425</v>
      </c>
      <c r="H232" s="13" t="str">
        <f t="shared" ref="H232" si="249">"GachaTop_"&amp;A232&amp;".png"</f>
        <v>GachaTop_425.png</v>
      </c>
      <c r="I232" s="23">
        <v>1</v>
      </c>
      <c r="J232" s="23">
        <f t="shared" ref="J232" si="250">A232</f>
        <v>425</v>
      </c>
      <c r="K232" s="23">
        <v>1</v>
      </c>
      <c r="L232" s="55" t="s">
        <v>813</v>
      </c>
      <c r="M232" s="55" t="s">
        <v>814</v>
      </c>
      <c r="N232" s="2" t="s">
        <v>118</v>
      </c>
      <c r="O232" s="111" t="s">
        <v>1722</v>
      </c>
      <c r="P232" s="49" t="s">
        <v>1721</v>
      </c>
      <c r="Q232" s="26" t="str">
        <f>CONCATENATE(O232, "
","&lt;font color=""#ffab27""&gt;",TEXT(VLOOKUP(A232,gacha_schedules!C:F,4,FALSE),"mm/dd hh:mm"),"&lt;/font&gt;","まで",P232,"
",R232)</f>
        <v>&lt;font color="#ffab27"&gt;10/10 23:59&lt;/font&gt;まで限定ユニット&lt;font color="#ffe22a"&gt;フレネル&lt;/font&gt;出現中！_x000D_&lt;font color="#ffab27"&gt;10/10 23:59&lt;/font&gt;まで今だけ！黄属性出現率大幅アップ！_x000D_&lt;font color="#ffab27"&gt;※★6覚醒済みユニットは直接排出されません&lt;/font&gt;</v>
      </c>
      <c r="R232" s="49" t="s">
        <v>1067</v>
      </c>
    </row>
    <row r="233" spans="1:18" ht="50" customHeight="1" x14ac:dyDescent="0.15">
      <c r="A233" s="6">
        <v>426</v>
      </c>
      <c r="B233" s="18">
        <v>3</v>
      </c>
      <c r="C233" s="2" t="s">
        <v>1726</v>
      </c>
      <c r="D233" s="2">
        <v>100</v>
      </c>
      <c r="E233" s="17" t="str">
        <f>VLOOKUP($D233,gacha_types!$A:$D,2,FALSE)</f>
        <v>polygon</v>
      </c>
      <c r="F233" s="17">
        <v>5</v>
      </c>
      <c r="G233" s="17">
        <f t="shared" ref="G233" si="251">A233</f>
        <v>426</v>
      </c>
      <c r="H233" s="13" t="str">
        <f t="shared" ref="H233" si="252">"GachaTop_"&amp;A233&amp;".png"</f>
        <v>GachaTop_426.png</v>
      </c>
      <c r="I233" s="23">
        <v>1</v>
      </c>
      <c r="J233" s="23">
        <f t="shared" ref="J233" si="253">A233</f>
        <v>426</v>
      </c>
      <c r="K233" s="23">
        <v>1</v>
      </c>
      <c r="L233" s="55" t="s">
        <v>813</v>
      </c>
      <c r="M233" s="55" t="s">
        <v>814</v>
      </c>
      <c r="N233" s="2" t="s">
        <v>118</v>
      </c>
      <c r="O233" s="26" t="s">
        <v>1742</v>
      </c>
      <c r="P233" s="111" t="s">
        <v>1741</v>
      </c>
      <c r="Q233" s="26" t="str">
        <f>CONCATENATE(O233, "
","&lt;font color=""#ffab27""&gt;",TEXT(VLOOKUP(A233,gacha_schedules!C:F,4,FALSE),"mm/dd hh:mm"),"&lt;/font&gt;","まで",P233,"
",R233)</f>
        <v>&lt;font color="#ffab27"&gt;10/16 14:59&lt;/font&gt;まで_x000D_&lt;font color="#ffab27"&gt;10/16 14:59&lt;/font&gt;までSTEP5で★6覚醒可能ユニット一体確定！_x000D_&lt;font color="#ffab27"&gt;※★6覚醒済みユニットは直接排出されません&lt;/font&gt;</v>
      </c>
      <c r="R233" s="49" t="s">
        <v>1067</v>
      </c>
    </row>
    <row r="234" spans="1:18" ht="50" customHeight="1" x14ac:dyDescent="0.15">
      <c r="A234" s="6">
        <v>427</v>
      </c>
      <c r="B234" s="18">
        <v>3</v>
      </c>
      <c r="C234" s="2" t="s">
        <v>1727</v>
      </c>
      <c r="D234" s="2">
        <v>100</v>
      </c>
      <c r="E234" s="17" t="str">
        <f>VLOOKUP($D234,gacha_types!$A:$D,2,FALSE)</f>
        <v>polygon</v>
      </c>
      <c r="F234" s="17">
        <v>5</v>
      </c>
      <c r="G234" s="17">
        <f t="shared" ref="G234" si="254">A234</f>
        <v>427</v>
      </c>
      <c r="H234" s="13" t="str">
        <f t="shared" ref="H234" si="255">"GachaTop_"&amp;A234&amp;".png"</f>
        <v>GachaTop_427.png</v>
      </c>
      <c r="I234" s="23">
        <v>1</v>
      </c>
      <c r="J234" s="23">
        <f t="shared" ref="J234" si="256">A234</f>
        <v>427</v>
      </c>
      <c r="K234" s="23">
        <v>1</v>
      </c>
      <c r="L234" s="55" t="s">
        <v>813</v>
      </c>
      <c r="M234" s="55" t="s">
        <v>814</v>
      </c>
      <c r="N234" s="2" t="s">
        <v>118</v>
      </c>
      <c r="O234" s="111" t="s">
        <v>1743</v>
      </c>
      <c r="P234" s="2" t="s">
        <v>1855</v>
      </c>
      <c r="Q234" s="26" t="str">
        <f>CONCATENATE(O234, "
","&lt;font color=""#ffab27""&gt;",TEXT(VLOOKUP(A234,gacha_schedules!C:F,4,FALSE),"mm/dd hh:mm"),"&lt;/font&gt;","まで",P234,"
",R234)</f>
        <v>&lt;font color="#ffab27"&gt;10/18 14:59&lt;/font&gt;まで_x000D_&lt;font color="#ffab27"&gt;10/18 14:59&lt;/font&gt;まで&lt;font color="#ff2626"&gt;メタトロン&lt;/font&gt;、&lt;font color="#0093ff"&gt;紫式部&lt;/font&gt;、&lt;font color="#ffe22a"&gt;ラプンツェル&lt;/font&gt;、&lt;font color="#00e075"&gt;牛若丸&lt;/font&gt;が出現率UP！_x000D_&lt;font color="#ffab27"&gt;※★6覚醒済みユニットは直接排出されません&lt;/font&gt;</v>
      </c>
      <c r="R234" s="49" t="s">
        <v>1067</v>
      </c>
    </row>
    <row r="235" spans="1:18" ht="50" customHeight="1" x14ac:dyDescent="0.15">
      <c r="A235" s="6">
        <v>428</v>
      </c>
      <c r="B235" s="18">
        <v>3</v>
      </c>
      <c r="C235" s="2" t="s">
        <v>235</v>
      </c>
      <c r="D235" s="2">
        <v>100</v>
      </c>
      <c r="E235" s="17" t="str">
        <f>VLOOKUP($D235,gacha_types!$A:$D,2,FALSE)</f>
        <v>polygon</v>
      </c>
      <c r="F235" s="17">
        <v>5</v>
      </c>
      <c r="G235" s="17">
        <f t="shared" ref="G235" si="257">A235</f>
        <v>428</v>
      </c>
      <c r="H235" s="13" t="str">
        <f t="shared" ref="H235" si="258">"GachaTop_"&amp;A235&amp;".png"</f>
        <v>GachaTop_428.png</v>
      </c>
      <c r="I235" s="23">
        <v>1</v>
      </c>
      <c r="J235" s="23">
        <f t="shared" ref="J235" si="259">A235</f>
        <v>428</v>
      </c>
      <c r="K235" s="23">
        <v>1</v>
      </c>
      <c r="L235" s="55" t="s">
        <v>813</v>
      </c>
      <c r="M235" s="55" t="s">
        <v>814</v>
      </c>
      <c r="N235" s="2" t="s">
        <v>118</v>
      </c>
      <c r="O235" s="111" t="s">
        <v>1744</v>
      </c>
      <c r="P235" s="2" t="s">
        <v>1752</v>
      </c>
      <c r="Q235" s="26" t="str">
        <f>CONCATENATE(O235, "
","&lt;font color=""#ffab27""&gt;",TEXT(VLOOKUP(A235,gacha_schedules!C:F,4,FALSE),"mm/dd hh:mm"),"&lt;/font&gt;","まで",P235,"
",R235)</f>
        <v>&lt;font color="#ffab27"&gt;10/17 14:59&lt;/font&gt;まで_x000D_&lt;font color="#ffab27"&gt;10/17 14:59&lt;/font&gt;まで&lt;font color="#ff2626"&gt;モールス&lt;/font&gt;、&lt;font color="#0093ff"&gt;ヘンペル&lt;/font&gt;、&lt;font color="#ffe22a"&gt;ハップル&lt;/font&gt;、&lt;font color="#00e075"&gt;チューリング&lt;/font&gt;が出現中！_x000D_&lt;font color="#ffab27"&gt;※★6覚醒済み、超覚醒済みユニットは直接排出されません&lt;/font&gt;</v>
      </c>
      <c r="R235" s="49" t="s">
        <v>1732</v>
      </c>
    </row>
    <row r="236" spans="1:18" ht="50" customHeight="1" x14ac:dyDescent="0.15">
      <c r="A236" s="6">
        <v>429</v>
      </c>
      <c r="B236" s="18">
        <v>3</v>
      </c>
      <c r="C236" s="2" t="s">
        <v>1753</v>
      </c>
      <c r="D236" s="2">
        <v>100</v>
      </c>
      <c r="E236" s="17" t="str">
        <f>VLOOKUP($D236,gacha_types!$A:$D,2,FALSE)</f>
        <v>polygon</v>
      </c>
      <c r="F236" s="17">
        <v>5</v>
      </c>
      <c r="G236" s="17">
        <f t="shared" ref="G236" si="260">A236</f>
        <v>429</v>
      </c>
      <c r="H236" s="13" t="str">
        <f t="shared" ref="H236" si="261">"GachaTop_"&amp;A236&amp;".png"</f>
        <v>GachaTop_429.png</v>
      </c>
      <c r="I236" s="23">
        <v>1</v>
      </c>
      <c r="J236" s="23">
        <f t="shared" ref="J236" si="262">A236</f>
        <v>429</v>
      </c>
      <c r="K236" s="23">
        <v>1</v>
      </c>
      <c r="L236" s="55" t="s">
        <v>813</v>
      </c>
      <c r="M236" s="55" t="s">
        <v>814</v>
      </c>
      <c r="N236" s="2" t="s">
        <v>118</v>
      </c>
      <c r="O236" s="26"/>
      <c r="P236" s="26"/>
      <c r="Q236" s="50" t="s">
        <v>1086</v>
      </c>
      <c r="R236" s="49" t="s">
        <v>1067</v>
      </c>
    </row>
    <row r="237" spans="1:18" ht="50" customHeight="1" x14ac:dyDescent="0.15">
      <c r="A237" s="6">
        <v>430</v>
      </c>
      <c r="B237" s="18">
        <v>3</v>
      </c>
      <c r="C237" s="2" t="s">
        <v>1768</v>
      </c>
      <c r="D237" s="2">
        <v>100</v>
      </c>
      <c r="E237" s="17" t="str">
        <f>VLOOKUP($D237,gacha_types!$A:$D,2,FALSE)</f>
        <v>polygon</v>
      </c>
      <c r="F237" s="17">
        <v>5</v>
      </c>
      <c r="G237" s="17">
        <f t="shared" ref="G237:G239" si="263">A237</f>
        <v>430</v>
      </c>
      <c r="H237" s="13" t="str">
        <f t="shared" ref="H237:H239" si="264">"GachaTop_"&amp;A237&amp;".png"</f>
        <v>GachaTop_430.png</v>
      </c>
      <c r="I237" s="23">
        <v>1</v>
      </c>
      <c r="J237" s="23">
        <f t="shared" ref="J237:J239" si="265">A237</f>
        <v>430</v>
      </c>
      <c r="K237" s="23">
        <v>1</v>
      </c>
      <c r="L237" s="55" t="s">
        <v>813</v>
      </c>
      <c r="M237" s="55" t="s">
        <v>814</v>
      </c>
      <c r="N237" s="2" t="s">
        <v>118</v>
      </c>
      <c r="O237" s="111" t="s">
        <v>1878</v>
      </c>
      <c r="P237" s="2" t="s">
        <v>1782</v>
      </c>
      <c r="Q237" s="26" t="str">
        <f>CONCATENATE(O237, "
","&lt;font color=""#ffab27""&gt;",TEXT(VLOOKUP(A237,gacha_schedules!C:F,4,FALSE),"mm/dd hh:mm"),"&lt;/font&gt;","まで",P237,"
",R237)</f>
        <v>&lt;font color="#ffab27"&gt;10/21 14:59&lt;/font&gt;まで&lt;font color="#ff2626"&gt;諸葛亮&lt;/font&gt;、&lt;font color="#0093ff"&gt;リヴァイアサン&lt;/font&gt;、_x000D_&lt;font color="#ffab27"&gt;10/21 14:59&lt;/font&gt;まで&lt;font color="#ffe22a"&gt;ラファエロ&lt;/font&gt;、&lt;font color="#00e075"&gt;イシュタル&lt;/font&gt;が出現率UP中！_x000D_&lt;font color="#ffab27"&gt;※★6覚醒済みユニットは直接排出されません&lt;/font&gt;</v>
      </c>
      <c r="R237" s="49" t="s">
        <v>1769</v>
      </c>
    </row>
    <row r="238" spans="1:18" ht="50" customHeight="1" x14ac:dyDescent="0.15">
      <c r="A238" s="6">
        <v>431</v>
      </c>
      <c r="B238" s="18">
        <v>3</v>
      </c>
      <c r="C238" s="2" t="s">
        <v>1765</v>
      </c>
      <c r="D238" s="2">
        <v>100</v>
      </c>
      <c r="E238" s="17" t="str">
        <f>VLOOKUP($D238,gacha_types!$A:$D,2,FALSE)</f>
        <v>polygon</v>
      </c>
      <c r="F238" s="17">
        <v>5</v>
      </c>
      <c r="G238" s="17">
        <f t="shared" si="263"/>
        <v>431</v>
      </c>
      <c r="H238" s="13" t="str">
        <f t="shared" si="264"/>
        <v>GachaTop_431.png</v>
      </c>
      <c r="I238" s="23">
        <v>1</v>
      </c>
      <c r="J238" s="23">
        <f t="shared" si="265"/>
        <v>431</v>
      </c>
      <c r="K238" s="23">
        <v>1</v>
      </c>
      <c r="L238" s="55" t="s">
        <v>813</v>
      </c>
      <c r="M238" s="55" t="s">
        <v>814</v>
      </c>
      <c r="N238" s="2" t="s">
        <v>118</v>
      </c>
      <c r="O238" s="111" t="s">
        <v>1767</v>
      </c>
      <c r="P238" s="26" t="s">
        <v>1694</v>
      </c>
      <c r="Q238" s="26" t="str">
        <f>CONCATENATE(O238, "
","&lt;font color=""#ffab27""&gt;",TEXT(VLOOKUP(A238,gacha_schedules!C:F,4,FALSE),"mm/dd hh:mm"),"&lt;/font&gt;","まで",P238,"
",R238)</f>
        <v>&lt;font color="#ffab27"&gt;10/23 14:59&lt;/font&gt;まで新ユニットの出現率UP中！_x000D_&lt;font color="#ffab27"&gt;10/23 14:59&lt;/font&gt;まで&lt;font color="#ffab27"&gt;STEP5で★6覚醒可能ニューフェイスユニット1体確定！&lt;/font&gt;_x000D_&lt;font color="#ffab27"&gt;※★6覚醒済みユニットは直接排出されません&lt;/font&gt;</v>
      </c>
      <c r="R238" s="49" t="s">
        <v>1775</v>
      </c>
    </row>
    <row r="239" spans="1:18" ht="50" customHeight="1" x14ac:dyDescent="0.15">
      <c r="A239" s="6">
        <v>432</v>
      </c>
      <c r="B239" s="18">
        <v>3</v>
      </c>
      <c r="C239" s="2" t="s">
        <v>1766</v>
      </c>
      <c r="D239" s="2">
        <v>100</v>
      </c>
      <c r="E239" s="17" t="str">
        <f>VLOOKUP($D239,gacha_types!$A:$D,2,FALSE)</f>
        <v>polygon</v>
      </c>
      <c r="F239" s="17">
        <v>5</v>
      </c>
      <c r="G239" s="17">
        <f t="shared" si="263"/>
        <v>432</v>
      </c>
      <c r="H239" s="13" t="str">
        <f t="shared" si="264"/>
        <v>GachaTop_432.png</v>
      </c>
      <c r="I239" s="23">
        <v>1</v>
      </c>
      <c r="J239" s="23">
        <f t="shared" si="265"/>
        <v>432</v>
      </c>
      <c r="K239" s="23">
        <v>1</v>
      </c>
      <c r="L239" s="55" t="s">
        <v>813</v>
      </c>
      <c r="M239" s="55" t="s">
        <v>814</v>
      </c>
      <c r="N239" s="2" t="s">
        <v>118</v>
      </c>
      <c r="O239" s="111" t="s">
        <v>1835</v>
      </c>
      <c r="P239" s="2" t="s">
        <v>2322</v>
      </c>
      <c r="Q239" s="26" t="str">
        <f>CONCATENATE(O239, "
","&lt;font color=""#ffab27""&gt;",TEXT(VLOOKUP(A239,gacha_schedules!C:F,4,FALSE),"mm/dd hh:mm"),"&lt;/font&gt;","まで",P239,"
",R239)</f>
        <v>&lt;font color="#ffab27"&gt;10/26 14:59&lt;/font&gt;まで_x000D_&lt;font color="#ffab27"&gt;10/26 14:59&lt;/font&gt;まで&lt;font color="#ff2626"&gt;キング・ドライグ&lt;/font&gt;、&lt;font color="#ff2626"&gt;北斎&lt;/font&gt;の出現率UP中！_x000D_&lt;font color="#ffab27"&gt;※★6覚醒済みユニットは直接排出されません&lt;/font&gt;</v>
      </c>
      <c r="R239" s="49" t="s">
        <v>1067</v>
      </c>
    </row>
    <row r="240" spans="1:18" ht="50" customHeight="1" x14ac:dyDescent="0.15">
      <c r="A240" s="6">
        <v>433</v>
      </c>
      <c r="B240" s="18">
        <v>3</v>
      </c>
      <c r="C240" s="2" t="s">
        <v>1786</v>
      </c>
      <c r="D240" s="2">
        <v>100</v>
      </c>
      <c r="E240" s="17" t="str">
        <f>VLOOKUP($D240,gacha_types!$A:$D,2,FALSE)</f>
        <v>polygon</v>
      </c>
      <c r="F240" s="17">
        <v>5</v>
      </c>
      <c r="G240" s="17">
        <f t="shared" ref="G240" si="266">A240</f>
        <v>433</v>
      </c>
      <c r="H240" s="13" t="str">
        <f t="shared" ref="H240" si="267">"GachaTop_"&amp;A240&amp;".png"</f>
        <v>GachaTop_433.png</v>
      </c>
      <c r="I240" s="23">
        <v>1</v>
      </c>
      <c r="J240" s="23">
        <f t="shared" ref="J240" si="268">A240</f>
        <v>433</v>
      </c>
      <c r="K240" s="23">
        <v>1</v>
      </c>
      <c r="L240" s="55" t="s">
        <v>813</v>
      </c>
      <c r="M240" s="55" t="s">
        <v>814</v>
      </c>
      <c r="N240" s="2" t="s">
        <v>118</v>
      </c>
      <c r="O240" s="136" t="s">
        <v>2202</v>
      </c>
      <c r="P240" s="49" t="s">
        <v>1787</v>
      </c>
      <c r="Q240" s="26" t="str">
        <f>CONCATENATE(O240, "
","&lt;font color=""#ffab27""&gt;",TEXT(VLOOKUP(A240,gacha_schedules!C:F,4,FALSE),"mm/dd hh:mm"),"&lt;/font&gt;","まで",P240,"
",R240)</f>
        <v>&lt;font color="#ffab27"&gt;10/28 14:59&lt;/font&gt;まで限定ユニット&lt;font color="#ff2626"&gt;マクローリン&lt;/font&gt;出現中！_x000D_&lt;font color="#ffab27"&gt;10/28 14:59&lt;/font&gt;まで今だけ！赤属性出現率大幅アップ！_x000D_&lt;font color="#ffab27"&gt;※★6覚醒済みユニットは直接排出されません&lt;/font&gt;</v>
      </c>
      <c r="R240" s="49" t="s">
        <v>1067</v>
      </c>
    </row>
    <row r="241" spans="1:18" ht="50" customHeight="1" x14ac:dyDescent="0.15">
      <c r="A241" s="6">
        <v>434</v>
      </c>
      <c r="B241" s="18">
        <v>3</v>
      </c>
      <c r="C241" s="2" t="s">
        <v>1726</v>
      </c>
      <c r="D241" s="2">
        <v>100</v>
      </c>
      <c r="E241" s="17" t="str">
        <f>VLOOKUP($D241,gacha_types!$A:$D,2,FALSE)</f>
        <v>polygon</v>
      </c>
      <c r="F241" s="17">
        <v>5</v>
      </c>
      <c r="G241" s="17">
        <f t="shared" ref="G241" si="269">A241</f>
        <v>434</v>
      </c>
      <c r="H241" s="13" t="str">
        <f t="shared" ref="H241" si="270">"GachaTop_"&amp;A241&amp;".png"</f>
        <v>GachaTop_434.png</v>
      </c>
      <c r="I241" s="23">
        <v>1</v>
      </c>
      <c r="J241" s="23">
        <f t="shared" ref="J241" si="271">A241</f>
        <v>434</v>
      </c>
      <c r="K241" s="23">
        <v>1</v>
      </c>
      <c r="L241" s="55" t="s">
        <v>813</v>
      </c>
      <c r="M241" s="55" t="s">
        <v>814</v>
      </c>
      <c r="N241" s="2" t="s">
        <v>118</v>
      </c>
      <c r="O241" s="111" t="s">
        <v>1840</v>
      </c>
      <c r="P241" s="26" t="s">
        <v>1804</v>
      </c>
      <c r="Q241" s="26" t="str">
        <f>CONCATENATE(O241, "
","&lt;font color=""#ffab27""&gt;",TEXT(VLOOKUP(A241,gacha_schedules!C:F,4,FALSE),"mm/dd hh:mm"),"&lt;/font&gt;","まで",P241,"
",R241)</f>
        <v>&lt;font color="#ffab27"&gt;10/30 14:59&lt;/font&gt;まで_x000D_&lt;font color="#ffab27"&gt;10/30 14:59&lt;/font&gt;まで8・9月追加ユニット出現率UP中！_x000D_&lt;font color="#ffab27"&gt;※限定ユニット及び★6覚醒済みユニットは排出されません&lt;/font&gt;</v>
      </c>
      <c r="R241" s="49" t="s">
        <v>1805</v>
      </c>
    </row>
    <row r="242" spans="1:18" ht="50" customHeight="1" x14ac:dyDescent="0.15">
      <c r="A242" s="6">
        <v>435</v>
      </c>
      <c r="B242" s="18">
        <v>3</v>
      </c>
      <c r="C242" s="2" t="s">
        <v>1806</v>
      </c>
      <c r="D242" s="2">
        <v>100</v>
      </c>
      <c r="E242" s="17" t="str">
        <f>VLOOKUP($D242,gacha_types!$A:$D,2,FALSE)</f>
        <v>polygon</v>
      </c>
      <c r="F242" s="17">
        <v>5</v>
      </c>
      <c r="G242" s="17">
        <f t="shared" ref="G242" si="272">A242</f>
        <v>435</v>
      </c>
      <c r="H242" s="13" t="str">
        <f t="shared" ref="H242" si="273">"GachaTop_"&amp;A242&amp;".png"</f>
        <v>GachaTop_435.png</v>
      </c>
      <c r="I242" s="23">
        <v>1</v>
      </c>
      <c r="J242" s="23">
        <f t="shared" ref="J242" si="274">A242</f>
        <v>435</v>
      </c>
      <c r="K242" s="23">
        <v>1</v>
      </c>
      <c r="L242" s="55" t="s">
        <v>813</v>
      </c>
      <c r="M242" s="55" t="s">
        <v>814</v>
      </c>
      <c r="N242" s="2" t="s">
        <v>118</v>
      </c>
      <c r="O242" s="111" t="s">
        <v>1915</v>
      </c>
      <c r="P242" s="26" t="s">
        <v>1812</v>
      </c>
      <c r="Q242" s="26" t="str">
        <f>CONCATENATE(O242, "
","&lt;font color=""#ffab27""&gt;",TEXT(VLOOKUP(A242,gacha_schedules!C:F,4,FALSE),"mm/dd hh:mm"),"&lt;/font&gt;","まで",P242,"
",R242)</f>
        <v>&lt;font color="#ffab27"&gt;11/13 14:59まで&lt;/font&gt;5回目で&lt;font color="#ff2626"&gt;血飢なる夜想卿 ランスロット&lt;/font&gt;、_x000D_&lt;font color="#ffab27"&gt;11/13 14:59&lt;/font&gt;まで&lt;font color="#00e075"&gt;ハーヴェスト&lt;/font&gt;、&lt;font color="#00e075"&gt;華装の闇鋏 ラプンツェル&lt;/font&gt;から一体確定！_x000D_&lt;font color="#ffab27"&gt;※ハロウィンユニット以外の★6ユニットは排出されません&lt;/font&gt;</v>
      </c>
      <c r="R242" s="49" t="s">
        <v>1843</v>
      </c>
    </row>
    <row r="243" spans="1:18" ht="50" customHeight="1" x14ac:dyDescent="0.15">
      <c r="A243" s="6">
        <v>436</v>
      </c>
      <c r="B243" s="18">
        <v>3</v>
      </c>
      <c r="C243" s="2" t="s">
        <v>1833</v>
      </c>
      <c r="D243" s="2">
        <v>100</v>
      </c>
      <c r="E243" s="17" t="str">
        <f>VLOOKUP($D243,gacha_types!$A:$D,2,FALSE)</f>
        <v>polygon</v>
      </c>
      <c r="F243" s="17">
        <v>5</v>
      </c>
      <c r="G243" s="17">
        <f t="shared" ref="G243" si="275">A243</f>
        <v>436</v>
      </c>
      <c r="H243" s="13" t="str">
        <f t="shared" ref="H243" si="276">"GachaTop_"&amp;A243&amp;".png"</f>
        <v>GachaTop_436.png</v>
      </c>
      <c r="I243" s="23">
        <v>1</v>
      </c>
      <c r="J243" s="23">
        <f t="shared" ref="J243" si="277">A243</f>
        <v>436</v>
      </c>
      <c r="K243" s="23">
        <v>1</v>
      </c>
      <c r="L243" s="55" t="s">
        <v>813</v>
      </c>
      <c r="M243" s="55" t="s">
        <v>814</v>
      </c>
      <c r="N243" s="2" t="s">
        <v>118</v>
      </c>
      <c r="O243" s="111"/>
      <c r="P243" s="111" t="s">
        <v>1839</v>
      </c>
      <c r="Q243" s="26" t="str">
        <f>CONCATENATE(P243,"
",R243)</f>
        <v>&lt;font color="#ffab27"&gt;11/01 14:59まで毎日1回無料！&lt;/font&gt;_x000D_&lt;font color="#ffab27"&gt;※ハロウィンユニット以外の★6ユニットは排出されません&lt;/font&gt;</v>
      </c>
      <c r="R243" s="49" t="s">
        <v>1843</v>
      </c>
    </row>
    <row r="244" spans="1:18" ht="50" customHeight="1" x14ac:dyDescent="0.15">
      <c r="A244" s="6">
        <v>437</v>
      </c>
      <c r="B244" s="18">
        <v>3</v>
      </c>
      <c r="C244" s="2" t="s">
        <v>1848</v>
      </c>
      <c r="D244" s="2">
        <v>100</v>
      </c>
      <c r="E244" s="17" t="str">
        <f>VLOOKUP($D244,gacha_types!$A:$D,2,FALSE)</f>
        <v>polygon</v>
      </c>
      <c r="F244" s="17">
        <v>5</v>
      </c>
      <c r="G244" s="17">
        <f t="shared" ref="G244" si="278">A244</f>
        <v>437</v>
      </c>
      <c r="H244" s="13" t="str">
        <f t="shared" ref="H244" si="279">"GachaTop_"&amp;A244&amp;".png"</f>
        <v>GachaTop_437.png</v>
      </c>
      <c r="I244" s="23">
        <v>1</v>
      </c>
      <c r="J244" s="23">
        <f t="shared" ref="J244" si="280">A244</f>
        <v>437</v>
      </c>
      <c r="K244" s="23">
        <v>1</v>
      </c>
      <c r="L244" s="55" t="s">
        <v>813</v>
      </c>
      <c r="M244" s="55" t="s">
        <v>814</v>
      </c>
      <c r="N244" s="2" t="s">
        <v>118</v>
      </c>
      <c r="O244" s="111" t="s">
        <v>1961</v>
      </c>
      <c r="P244" s="111" t="s">
        <v>1849</v>
      </c>
      <c r="Q244" s="26" t="str">
        <f>CONCATENATE(O244, "
","&lt;font color=""#ffab27""&gt;",TEXT(VLOOKUP(A244,gacha_schedules!C:F,4,FALSE),"mm/dd hh:mm"),"&lt;/font&gt;","まで",P244,"
",R244)</f>
        <v>&lt;font color="#ffab27"&gt;11/05 14:59まで&lt;/font&gt;★5ユニット出現確率UP中！_x000D_&lt;font color="#ffab27"&gt;11/05 14:59&lt;/font&gt;まで全ユニットレベルMAXで排出されます_x000D_&lt;font color="#ffab27"&gt;※★6覚醒済みユニットは直接排出されません&lt;/font&gt;</v>
      </c>
      <c r="R244" s="49" t="s">
        <v>1844</v>
      </c>
    </row>
    <row r="245" spans="1:18" ht="50" customHeight="1" x14ac:dyDescent="0.15">
      <c r="A245" s="6">
        <v>438</v>
      </c>
      <c r="B245" s="18">
        <v>3</v>
      </c>
      <c r="C245" s="2" t="s">
        <v>1850</v>
      </c>
      <c r="D245" s="2">
        <v>100</v>
      </c>
      <c r="E245" s="17" t="str">
        <f>VLOOKUP($D245,gacha_types!$A:$D,2,FALSE)</f>
        <v>polygon</v>
      </c>
      <c r="F245" s="17">
        <v>5</v>
      </c>
      <c r="G245" s="17">
        <f t="shared" ref="G245:G248" si="281">A245</f>
        <v>438</v>
      </c>
      <c r="H245" s="13" t="str">
        <f t="shared" ref="H245:H248" si="282">"GachaTop_"&amp;A245&amp;".png"</f>
        <v>GachaTop_438.png</v>
      </c>
      <c r="I245" s="23">
        <v>1</v>
      </c>
      <c r="J245" s="23">
        <f t="shared" ref="J245:J248" si="283">A245</f>
        <v>438</v>
      </c>
      <c r="K245" s="23">
        <v>1</v>
      </c>
      <c r="L245" s="55" t="s">
        <v>813</v>
      </c>
      <c r="M245" s="55" t="s">
        <v>814</v>
      </c>
      <c r="N245" s="2" t="s">
        <v>118</v>
      </c>
      <c r="O245" s="111" t="s">
        <v>1872</v>
      </c>
      <c r="P245" s="111" t="s">
        <v>2402</v>
      </c>
      <c r="Q245" s="26" t="str">
        <f>CONCATENATE(O245, "
","&lt;font color=""#ffab27""&gt;",TEXT(VLOOKUP(A245,gacha_schedules!C:F,4,FALSE),"mm/dd hh:mm"),"&lt;/font&gt;","まで",P245,"
",R245)</f>
        <v>&lt;font color="#ffab27"&gt;10/31 14:59まで&lt;/font&gt;超フェス限定ユニットを手に入れよう！_x000D_&lt;font color="#ffab27"&gt;10/31 14:59&lt;/font&gt;までチョイス1　&lt;font color="#00e075"&gt;ガロア&lt;/font&gt;、&lt;font color="#0093ff"&gt;ディラック&lt;/font&gt;出現中！_x000D_&lt;font color="#ffab27"&gt;※★6覚醒済みユニットは直接排出されません&lt;/font&gt;</v>
      </c>
      <c r="R245" s="49" t="s">
        <v>1844</v>
      </c>
    </row>
    <row r="246" spans="1:18" ht="50" customHeight="1" x14ac:dyDescent="0.15">
      <c r="A246" s="6">
        <v>439</v>
      </c>
      <c r="B246" s="18">
        <v>3</v>
      </c>
      <c r="C246" s="2" t="s">
        <v>1851</v>
      </c>
      <c r="D246" s="2">
        <v>100</v>
      </c>
      <c r="E246" s="17" t="str">
        <f>VLOOKUP($D246,gacha_types!$A:$D,2,FALSE)</f>
        <v>polygon</v>
      </c>
      <c r="F246" s="17">
        <v>5</v>
      </c>
      <c r="G246" s="17">
        <f t="shared" si="281"/>
        <v>439</v>
      </c>
      <c r="H246" s="13" t="str">
        <f t="shared" si="282"/>
        <v>GachaTop_439.png</v>
      </c>
      <c r="I246" s="23">
        <v>1</v>
      </c>
      <c r="J246" s="23">
        <f t="shared" si="283"/>
        <v>439</v>
      </c>
      <c r="K246" s="23">
        <v>1</v>
      </c>
      <c r="L246" s="55" t="s">
        <v>813</v>
      </c>
      <c r="M246" s="55" t="s">
        <v>814</v>
      </c>
      <c r="N246" s="2" t="s">
        <v>118</v>
      </c>
      <c r="O246" s="111" t="s">
        <v>1873</v>
      </c>
      <c r="P246" s="111" t="s">
        <v>1875</v>
      </c>
      <c r="Q246" s="26" t="str">
        <f>CONCATENATE(O246, "
","&lt;font color=""#ffab27""&gt;",TEXT(VLOOKUP(A246,gacha_schedules!C:F,4,FALSE),"mm/dd hh:mm"),"&lt;/font&gt;","まで",P246,"
",R246)</f>
        <v>&lt;font color="#ffab27"&gt;11/01 14:59まで&lt;/font&gt;超フェス限定ユニットを手に入れよう！_x000D_&lt;font color="#ffab27"&gt;11/01 14:59&lt;/font&gt;までチョイス2　&lt;font color="#00e075"&gt;ガロア&lt;/font&gt;、&lt;font color="#ffe22a"&gt;クロネッカー&lt;/font&gt;出現中！_x000D_&lt;font color="#ffab27"&gt;※★6覚醒済みユニットは直接排出されません&lt;/font&gt;</v>
      </c>
      <c r="R246" s="49" t="s">
        <v>1844</v>
      </c>
    </row>
    <row r="247" spans="1:18" ht="50" customHeight="1" x14ac:dyDescent="0.15">
      <c r="A247" s="6">
        <v>440</v>
      </c>
      <c r="B247" s="18">
        <v>3</v>
      </c>
      <c r="C247" s="2" t="s">
        <v>1852</v>
      </c>
      <c r="D247" s="2">
        <v>100</v>
      </c>
      <c r="E247" s="17" t="str">
        <f>VLOOKUP($D247,gacha_types!$A:$D,2,FALSE)</f>
        <v>polygon</v>
      </c>
      <c r="F247" s="17">
        <v>5</v>
      </c>
      <c r="G247" s="17">
        <f t="shared" si="281"/>
        <v>440</v>
      </c>
      <c r="H247" s="13" t="str">
        <f t="shared" si="282"/>
        <v>GachaTop_440.png</v>
      </c>
      <c r="I247" s="23">
        <v>1</v>
      </c>
      <c r="J247" s="23">
        <f t="shared" si="283"/>
        <v>440</v>
      </c>
      <c r="K247" s="23">
        <v>1</v>
      </c>
      <c r="L247" s="55" t="s">
        <v>813</v>
      </c>
      <c r="M247" s="55" t="s">
        <v>814</v>
      </c>
      <c r="N247" s="2" t="s">
        <v>118</v>
      </c>
      <c r="O247" s="111" t="s">
        <v>1874</v>
      </c>
      <c r="P247" s="111" t="s">
        <v>2166</v>
      </c>
      <c r="Q247" s="26" t="str">
        <f>CONCATENATE(O247, "
","&lt;font color=""#ffab27""&gt;",TEXT(VLOOKUP(A247,gacha_schedules!C:F,4,FALSE),"mm/dd hh:mm"),"&lt;/font&gt;","まで",P247,"
",R247)</f>
        <v>&lt;font color="#ffab27"&gt;11/02 14:59まで&lt;/font&gt;超フェス限定ユニットを手に入れよう！_x000D_&lt;font color="#ffab27"&gt;11/02 14:59&lt;/font&gt;までチョイス3　&lt;font color="#00e075"&gt;ガロア&lt;/font&gt;、&lt;font color="#ff2626"&gt;セキ&lt;/font&gt;出現中！_x000D_&lt;font color="#ffab27"&gt;※★6覚醒済みユニットは直接排出されません&lt;/font&gt;</v>
      </c>
      <c r="R247" s="49" t="s">
        <v>1844</v>
      </c>
    </row>
    <row r="248" spans="1:18" ht="50" customHeight="1" x14ac:dyDescent="0.15">
      <c r="A248" s="6">
        <v>441</v>
      </c>
      <c r="B248" s="18">
        <v>3</v>
      </c>
      <c r="C248" s="2" t="s">
        <v>1853</v>
      </c>
      <c r="D248" s="2">
        <v>100</v>
      </c>
      <c r="E248" s="17" t="str">
        <f>VLOOKUP($D248,gacha_types!$A:$D,2,FALSE)</f>
        <v>polygon</v>
      </c>
      <c r="F248" s="17">
        <v>5</v>
      </c>
      <c r="G248" s="17">
        <f t="shared" si="281"/>
        <v>441</v>
      </c>
      <c r="H248" s="13" t="str">
        <f t="shared" si="282"/>
        <v>GachaTop_441.png</v>
      </c>
      <c r="I248" s="23">
        <v>1</v>
      </c>
      <c r="J248" s="23">
        <f t="shared" si="283"/>
        <v>441</v>
      </c>
      <c r="K248" s="23">
        <v>1</v>
      </c>
      <c r="L248" s="55" t="s">
        <v>813</v>
      </c>
      <c r="M248" s="55" t="s">
        <v>814</v>
      </c>
      <c r="N248" s="2" t="s">
        <v>118</v>
      </c>
      <c r="O248" s="111" t="s">
        <v>1857</v>
      </c>
      <c r="P248" s="2" t="s">
        <v>1856</v>
      </c>
      <c r="Q248" s="26" t="str">
        <f>CONCATENATE(O248, "
","&lt;font color=""#ffab27""&gt;",TEXT(VLOOKUP(A248,gacha_schedules!C:F,4,FALSE),"mm/dd hh:mm"),"&lt;/font&gt;","まで",P248,"
",R248)</f>
        <v>&lt;font color="#ffab27"&gt;11/08 14:59&lt;/font&gt;まで_x000D_&lt;font color="#ffab27"&gt;11/08 14:59&lt;/font&gt;まで&lt;font color="#0093ff"&gt;上杉謙信&lt;/font&gt;、&lt;font color="#0093ff"&gt;リヴァイアサン&lt;/font&gt;の出現率UP中！_x000D_&lt;font color="#ffab27"&gt;※★6覚醒済みユニットは直接排出されません&lt;/font&gt;</v>
      </c>
      <c r="R248" s="49" t="s">
        <v>1844</v>
      </c>
    </row>
    <row r="249" spans="1:18" ht="50" customHeight="1" x14ac:dyDescent="0.15">
      <c r="A249" s="6">
        <v>442</v>
      </c>
      <c r="B249" s="18">
        <v>3</v>
      </c>
      <c r="C249" s="2" t="s">
        <v>1877</v>
      </c>
      <c r="D249" s="2">
        <v>100</v>
      </c>
      <c r="E249" s="17" t="str">
        <f>VLOOKUP($D249,gacha_types!$A:$D,2,FALSE)</f>
        <v>polygon</v>
      </c>
      <c r="F249" s="17">
        <v>5</v>
      </c>
      <c r="G249" s="17">
        <f t="shared" ref="G249" si="284">A249</f>
        <v>442</v>
      </c>
      <c r="H249" s="13" t="str">
        <f t="shared" ref="H249" si="285">"GachaTop_"&amp;A249&amp;".png"</f>
        <v>GachaTop_442.png</v>
      </c>
      <c r="I249" s="23">
        <v>1</v>
      </c>
      <c r="J249" s="23">
        <f t="shared" ref="J249" si="286">A249</f>
        <v>442</v>
      </c>
      <c r="K249" s="23">
        <v>1</v>
      </c>
      <c r="L249" s="55" t="s">
        <v>813</v>
      </c>
      <c r="M249" s="55" t="s">
        <v>814</v>
      </c>
      <c r="N249" s="2" t="s">
        <v>118</v>
      </c>
      <c r="O249" s="111" t="s">
        <v>1883</v>
      </c>
      <c r="P249" s="49" t="s">
        <v>1879</v>
      </c>
      <c r="Q249" s="26" t="str">
        <f>CONCATENATE(O249, "
","&lt;font color=""#ffab27""&gt;",TEXT(VLOOKUP(A249,gacha_schedules!C:F,4,FALSE),"mm/dd hh:mm"),"&lt;/font&gt;","まで",P249,"
",R249)</f>
        <v>&lt;font color="#ffab27"&gt;11/07 23:59&lt;/font&gt;まで限定ユニット&lt;font color="#0093ff"&gt;ウィグナー&lt;/font&gt;出現中！_x000D_&lt;font color="#ffab27"&gt;11/07 23:59&lt;/font&gt;まで今だけ！青属性出現率大幅アップ！_x000D_&lt;font color="#ffab27"&gt;※★6覚醒済みユニットは直接排出されません&lt;/font&gt;</v>
      </c>
      <c r="R249" s="49" t="s">
        <v>1509</v>
      </c>
    </row>
    <row r="250" spans="1:18" ht="50" customHeight="1" x14ac:dyDescent="0.15">
      <c r="A250" s="6">
        <v>443</v>
      </c>
      <c r="B250" s="18">
        <v>3</v>
      </c>
      <c r="C250" s="2" t="s">
        <v>1884</v>
      </c>
      <c r="D250" s="2">
        <v>100</v>
      </c>
      <c r="E250" s="17" t="str">
        <f>VLOOKUP($D250,gacha_types!$A:$D,2,FALSE)</f>
        <v>polygon</v>
      </c>
      <c r="F250" s="17">
        <v>5</v>
      </c>
      <c r="G250" s="17">
        <f t="shared" ref="G250" si="287">A250</f>
        <v>443</v>
      </c>
      <c r="H250" s="13" t="str">
        <f t="shared" ref="H250" si="288">"GachaTop_"&amp;A250&amp;".png"</f>
        <v>GachaTop_443.png</v>
      </c>
      <c r="I250" s="23">
        <v>1</v>
      </c>
      <c r="J250" s="23">
        <f t="shared" ref="J250" si="289">A250</f>
        <v>443</v>
      </c>
      <c r="K250" s="23">
        <v>1</v>
      </c>
      <c r="L250" s="55" t="s">
        <v>813</v>
      </c>
      <c r="M250" s="55" t="s">
        <v>814</v>
      </c>
      <c r="N250" s="2" t="s">
        <v>118</v>
      </c>
      <c r="O250" s="111" t="s">
        <v>1885</v>
      </c>
      <c r="P250" s="26" t="s">
        <v>1886</v>
      </c>
      <c r="Q250" s="26" t="str">
        <f>CONCATENATE(O250, "
","&lt;font color=""#ffab27""&gt;",TEXT(VLOOKUP(A250,gacha_schedules!C:F,4,FALSE),"mm/dd hh:mm"),"&lt;/font&gt;","まで",P250,"
",R250)</f>
        <v>&lt;font color="#ffab27"&gt;11/14 14:59&lt;/font&gt;まで新ユニットの出現率UP中！_x000D_&lt;font color="#ffab27"&gt;11/14 14:59&lt;/font&gt;まで10連で新ユニットが1体確定出現！_x000D_&lt;font color="#ffab27"&gt;※★6覚醒済みユニットは直接排出されません&lt;/font&gt;</v>
      </c>
      <c r="R250" s="49" t="s">
        <v>1509</v>
      </c>
    </row>
    <row r="251" spans="1:18" ht="50" customHeight="1" x14ac:dyDescent="0.15">
      <c r="A251" s="6">
        <v>444</v>
      </c>
      <c r="B251" s="18">
        <v>3</v>
      </c>
      <c r="C251" s="2" t="s">
        <v>1726</v>
      </c>
      <c r="D251" s="2">
        <v>100</v>
      </c>
      <c r="E251" s="17" t="str">
        <f>VLOOKUP($D251,gacha_types!$A:$D,2,FALSE)</f>
        <v>polygon</v>
      </c>
      <c r="F251" s="17">
        <v>5</v>
      </c>
      <c r="G251" s="17">
        <f t="shared" ref="G251" si="290">A251</f>
        <v>444</v>
      </c>
      <c r="H251" s="13" t="str">
        <f t="shared" ref="H251" si="291">"GachaTop_"&amp;A251&amp;".png"</f>
        <v>GachaTop_444.png</v>
      </c>
      <c r="I251" s="23">
        <v>1</v>
      </c>
      <c r="J251" s="23">
        <f t="shared" ref="J251" si="292">A251</f>
        <v>444</v>
      </c>
      <c r="K251" s="23">
        <v>1</v>
      </c>
      <c r="L251" s="55" t="s">
        <v>813</v>
      </c>
      <c r="M251" s="55" t="s">
        <v>814</v>
      </c>
      <c r="N251" s="2" t="s">
        <v>118</v>
      </c>
      <c r="O251" s="26" t="s">
        <v>2203</v>
      </c>
      <c r="P251" s="111" t="s">
        <v>1741</v>
      </c>
      <c r="Q251" s="26" t="str">
        <f>CONCATENATE(O251, "
","&lt;font color=""#ffab27""&gt;",TEXT(VLOOKUP(A251,gacha_schedules!C:F,4,FALSE),"mm/dd hh:mm"),"&lt;/font&gt;","まで",P251,"
",R251)</f>
        <v>&lt;font color="#ffab27"&gt;11/12 14:59&lt;/font&gt;まで_x000D_&lt;font color="#ffab27"&gt;11/12 14:59&lt;/font&gt;までSTEP5で★6覚醒可能ユニット一体確定！_x000D_&lt;font color="#ffab27"&gt;※★6覚醒済みユニットは直接排出されません&lt;/font&gt;</v>
      </c>
      <c r="R251" s="49" t="s">
        <v>1067</v>
      </c>
    </row>
    <row r="252" spans="1:18" ht="50" customHeight="1" x14ac:dyDescent="0.15">
      <c r="A252" s="6">
        <v>445</v>
      </c>
      <c r="B252" s="18">
        <v>3</v>
      </c>
      <c r="C252" s="2" t="s">
        <v>1894</v>
      </c>
      <c r="D252" s="2">
        <v>100</v>
      </c>
      <c r="E252" s="17" t="str">
        <f>VLOOKUP($D252,gacha_types!$A:$D,2,FALSE)</f>
        <v>polygon</v>
      </c>
      <c r="F252" s="17">
        <v>5</v>
      </c>
      <c r="G252" s="17">
        <f t="shared" ref="G252:G255" si="293">A252</f>
        <v>445</v>
      </c>
      <c r="H252" s="13" t="str">
        <f t="shared" ref="H252" si="294">"GachaTop_"&amp;A252&amp;".png"</f>
        <v>GachaTop_445.png</v>
      </c>
      <c r="I252" s="23">
        <v>1</v>
      </c>
      <c r="J252" s="23">
        <f t="shared" ref="J252:J255" si="295">A252</f>
        <v>445</v>
      </c>
      <c r="K252" s="23">
        <v>1</v>
      </c>
      <c r="L252" s="55" t="s">
        <v>813</v>
      </c>
      <c r="M252" s="55" t="s">
        <v>814</v>
      </c>
      <c r="N252" s="2" t="s">
        <v>118</v>
      </c>
      <c r="O252" s="26"/>
      <c r="P252" s="111"/>
      <c r="Q252" s="50" t="s">
        <v>1086</v>
      </c>
      <c r="R252" s="49"/>
    </row>
    <row r="253" spans="1:18" ht="50" customHeight="1" x14ac:dyDescent="0.15">
      <c r="A253" s="6">
        <v>446</v>
      </c>
      <c r="B253" s="18">
        <v>3</v>
      </c>
      <c r="C253" s="2" t="s">
        <v>1905</v>
      </c>
      <c r="D253" s="2">
        <v>100</v>
      </c>
      <c r="E253" s="17" t="str">
        <f>VLOOKUP($D253,gacha_types!$A:$D,2,FALSE)</f>
        <v>polygon</v>
      </c>
      <c r="F253" s="17">
        <v>5</v>
      </c>
      <c r="G253" s="17">
        <f t="shared" si="293"/>
        <v>446</v>
      </c>
      <c r="H253" s="69" t="s">
        <v>1912</v>
      </c>
      <c r="I253" s="23">
        <v>1</v>
      </c>
      <c r="J253" s="23">
        <f t="shared" si="295"/>
        <v>446</v>
      </c>
      <c r="K253" s="23">
        <v>1</v>
      </c>
      <c r="L253" s="55" t="s">
        <v>813</v>
      </c>
      <c r="M253" s="55" t="s">
        <v>814</v>
      </c>
      <c r="N253" s="2" t="s">
        <v>118</v>
      </c>
      <c r="O253" s="111" t="s">
        <v>1918</v>
      </c>
      <c r="P253" s="111" t="s">
        <v>1935</v>
      </c>
      <c r="Q253" s="26" t="str">
        <f>CONCATENATE(O253, "
","&lt;font color=""#ffab27""&gt;",TEXT(VLOOKUP(A253,gacha_schedules!C:F,4,FALSE),"mm/dd hh:mm"),"&lt;/font&gt;","まで",P253,"
",R253)</f>
        <v>&lt;font color="#ffab27"&gt;11/09 14:59まで&lt;/font&gt;超フェス限定ユニットを手に入れよう！_x000D_&lt;font color="#ffab27"&gt;11/09 14:59&lt;/font&gt;までチョイス1　&lt;font color="#00e075"&gt;ガロア&lt;/font&gt;、&lt;font color="#0093ff"&gt;ディラック&lt;/font&gt;出現中！_x000D_&lt;font color="#ffab27"&gt;※★6覚醒済みユニットは直接排出されません&lt;/font&gt;</v>
      </c>
      <c r="R253" s="49" t="s">
        <v>1844</v>
      </c>
    </row>
    <row r="254" spans="1:18" ht="50" customHeight="1" x14ac:dyDescent="0.15">
      <c r="A254" s="6">
        <v>447</v>
      </c>
      <c r="B254" s="18">
        <v>3</v>
      </c>
      <c r="C254" s="2" t="s">
        <v>1906</v>
      </c>
      <c r="D254" s="2">
        <v>100</v>
      </c>
      <c r="E254" s="17" t="str">
        <f>VLOOKUP($D254,gacha_types!$A:$D,2,FALSE)</f>
        <v>polygon</v>
      </c>
      <c r="F254" s="17">
        <v>5</v>
      </c>
      <c r="G254" s="17">
        <f t="shared" si="293"/>
        <v>447</v>
      </c>
      <c r="H254" s="69" t="s">
        <v>1913</v>
      </c>
      <c r="I254" s="23">
        <v>1</v>
      </c>
      <c r="J254" s="23">
        <f t="shared" si="295"/>
        <v>447</v>
      </c>
      <c r="K254" s="23">
        <v>1</v>
      </c>
      <c r="L254" s="55" t="s">
        <v>813</v>
      </c>
      <c r="M254" s="55" t="s">
        <v>814</v>
      </c>
      <c r="N254" s="2" t="s">
        <v>118</v>
      </c>
      <c r="O254" s="111" t="s">
        <v>1918</v>
      </c>
      <c r="P254" s="111" t="s">
        <v>2064</v>
      </c>
      <c r="Q254" s="26" t="str">
        <f>CONCATENATE(O254, "
","&lt;font color=""#ffab27""&gt;",TEXT(VLOOKUP(A254,gacha_schedules!C:F,4,FALSE),"mm/dd hh:mm"),"&lt;/font&gt;","まで",P254,"
",R254)</f>
        <v>&lt;font color="#ffab27"&gt;11/09 14:59まで&lt;/font&gt;超フェス限定ユニットを手に入れよう！_x000D_&lt;font color="#ffab27"&gt;11/09 14:59&lt;/font&gt;までチョイス2　&lt;font color="#00e075"&gt;ガロア&lt;/font&gt;、&lt;font color="#ffe22a"&gt;クロネッカー&lt;/font&gt;出現中！_x000D_&lt;font color="#ffab27"&gt;※★6覚醒済みユニットは直接排出されません&lt;/font&gt;</v>
      </c>
      <c r="R254" s="49" t="s">
        <v>1844</v>
      </c>
    </row>
    <row r="255" spans="1:18" ht="50" customHeight="1" x14ac:dyDescent="0.15">
      <c r="A255" s="6">
        <v>448</v>
      </c>
      <c r="B255" s="18">
        <v>3</v>
      </c>
      <c r="C255" s="2" t="s">
        <v>1907</v>
      </c>
      <c r="D255" s="2">
        <v>100</v>
      </c>
      <c r="E255" s="17" t="str">
        <f>VLOOKUP($D255,gacha_types!$A:$D,2,FALSE)</f>
        <v>polygon</v>
      </c>
      <c r="F255" s="17">
        <v>5</v>
      </c>
      <c r="G255" s="17">
        <f t="shared" si="293"/>
        <v>448</v>
      </c>
      <c r="H255" s="69" t="s">
        <v>1914</v>
      </c>
      <c r="I255" s="23">
        <v>1</v>
      </c>
      <c r="J255" s="23">
        <f t="shared" si="295"/>
        <v>448</v>
      </c>
      <c r="K255" s="23">
        <v>1</v>
      </c>
      <c r="L255" s="55" t="s">
        <v>813</v>
      </c>
      <c r="M255" s="55" t="s">
        <v>814</v>
      </c>
      <c r="N255" s="2" t="s">
        <v>118</v>
      </c>
      <c r="O255" s="111" t="s">
        <v>1918</v>
      </c>
      <c r="P255" s="111" t="s">
        <v>1876</v>
      </c>
      <c r="Q255" s="26" t="str">
        <f>CONCATENATE(O255, "
","&lt;font color=""#ffab27""&gt;",TEXT(VLOOKUP(A255,gacha_schedules!C:F,4,FALSE),"mm/dd hh:mm"),"&lt;/font&gt;","まで",P255,"
",R255)</f>
        <v>&lt;font color="#ffab27"&gt;11/09 14:59まで&lt;/font&gt;超フェス限定ユニットを手に入れよう！_x000D_&lt;font color="#ffab27"&gt;11/09 14:59&lt;/font&gt;までチョイス3　&lt;font color="#00e075"&gt;ガロア&lt;/font&gt;、&lt;font color="#ff2626"&gt;セキ&lt;/font&gt;出現中！_x000D_&lt;font color="#ffab27"&gt;※★6覚醒済みユニットは直接排出されません&lt;/font&gt;</v>
      </c>
      <c r="R255" s="49" t="s">
        <v>1844</v>
      </c>
    </row>
    <row r="256" spans="1:18" ht="50" customHeight="1" x14ac:dyDescent="0.15">
      <c r="A256" s="6">
        <v>449</v>
      </c>
      <c r="B256" s="18">
        <v>3</v>
      </c>
      <c r="C256" s="2" t="s">
        <v>1934</v>
      </c>
      <c r="D256" s="2">
        <v>100</v>
      </c>
      <c r="E256" s="17" t="str">
        <f>VLOOKUP($D256,gacha_types!$A:$D,2,FALSE)</f>
        <v>polygon</v>
      </c>
      <c r="F256" s="17">
        <v>5</v>
      </c>
      <c r="G256" s="17">
        <f t="shared" ref="G256" si="296">A256</f>
        <v>449</v>
      </c>
      <c r="H256" s="13" t="str">
        <f t="shared" ref="H256" si="297">"GachaTop_"&amp;A256&amp;".png"</f>
        <v>GachaTop_449.png</v>
      </c>
      <c r="I256" s="23">
        <v>1</v>
      </c>
      <c r="J256" s="23">
        <f t="shared" ref="J256" si="298">A256</f>
        <v>449</v>
      </c>
      <c r="K256" s="23">
        <v>1</v>
      </c>
      <c r="L256" s="55" t="s">
        <v>813</v>
      </c>
      <c r="M256" s="55" t="s">
        <v>814</v>
      </c>
      <c r="N256" s="2" t="s">
        <v>118</v>
      </c>
      <c r="O256" s="111" t="s">
        <v>1971</v>
      </c>
      <c r="P256" s="111" t="s">
        <v>2047</v>
      </c>
      <c r="Q256" s="26" t="str">
        <f>CONCATENATE(O256, "
","&lt;font color=""#ffab27""&gt;",TEXT(VLOOKUP(A256,gacha_schedules!C:F,4,FALSE),"mm/dd hh:mm"),"&lt;/font&gt;","まで",P256,"
",R256)</f>
        <v>&lt;font color="#ffab27"&gt;11/18 17:59まで&lt;/font&gt;_x000D_&lt;font color="#ffab27"&gt;11/18 17:59&lt;/font&gt;まで&lt;font color="#00e075"&gt;ヘルメス&lt;/font&gt;、&lt;font color="#0093ff"&gt;サラスヴァティ&lt;/font&gt;の出現率UP中！_x000D_&lt;font color="#ffab27"&gt;※★6覚醒済みユニットは直接排出されません&lt;/font&gt;</v>
      </c>
      <c r="R256" s="49" t="s">
        <v>1067</v>
      </c>
    </row>
    <row r="257" spans="1:18" ht="50" customHeight="1" x14ac:dyDescent="0.15">
      <c r="A257" s="6">
        <v>450</v>
      </c>
      <c r="B257" s="18">
        <v>3</v>
      </c>
      <c r="C257" s="2" t="s">
        <v>1956</v>
      </c>
      <c r="D257" s="2">
        <v>100</v>
      </c>
      <c r="E257" s="17" t="str">
        <f>VLOOKUP($D257,gacha_types!$A:$D,2,FALSE)</f>
        <v>polygon</v>
      </c>
      <c r="F257" s="17">
        <v>5</v>
      </c>
      <c r="G257" s="17">
        <f t="shared" ref="G257:G259" si="299">A257</f>
        <v>450</v>
      </c>
      <c r="H257" s="13" t="str">
        <f t="shared" ref="H257:H259" si="300">"GachaTop_"&amp;A257&amp;".png"</f>
        <v>GachaTop_450.png</v>
      </c>
      <c r="I257" s="23">
        <v>1</v>
      </c>
      <c r="J257" s="23">
        <f t="shared" ref="J257:J259" si="301">A257</f>
        <v>450</v>
      </c>
      <c r="K257" s="23">
        <v>1</v>
      </c>
      <c r="L257" s="55" t="s">
        <v>813</v>
      </c>
      <c r="M257" s="55" t="s">
        <v>814</v>
      </c>
      <c r="N257" s="2" t="s">
        <v>118</v>
      </c>
      <c r="O257" s="111" t="s">
        <v>1938</v>
      </c>
      <c r="P257" s="111" t="s">
        <v>2056</v>
      </c>
      <c r="Q257" s="26" t="str">
        <f>CONCATENATE(O257, "
","&lt;font color=""#ffab27""&gt;",TEXT(VLOOKUP(A257,gacha_schedules!C:F,4,FALSE),"mm/dd hh:mm"),"&lt;/font&gt;","まで",P257,"
",R257)</f>
        <v>&lt;font color="#ffab27"&gt;11/15 14:59まで&lt;/font&gt;_x000D_&lt;font color="#ffab27"&gt;11/15 14:59&lt;/font&gt;までチョイス1　&lt;font color="#ffe22a"&gt;ケプラー&lt;/font&gt;、&lt;font color="#00e075"&gt;チューリング&lt;/font&gt;出現中！_x000D_&lt;font color="#ffab27"&gt;※★6覚醒済みユニットは直接排出されません&lt;/font&gt;</v>
      </c>
      <c r="R257" s="49" t="s">
        <v>1067</v>
      </c>
    </row>
    <row r="258" spans="1:18" ht="50" customHeight="1" x14ac:dyDescent="0.15">
      <c r="A258" s="6">
        <v>451</v>
      </c>
      <c r="B258" s="18">
        <v>3</v>
      </c>
      <c r="C258" s="2" t="s">
        <v>1957</v>
      </c>
      <c r="D258" s="2">
        <v>100</v>
      </c>
      <c r="E258" s="17" t="str">
        <f>VLOOKUP($D258,gacha_types!$A:$D,2,FALSE)</f>
        <v>polygon</v>
      </c>
      <c r="F258" s="17">
        <v>5</v>
      </c>
      <c r="G258" s="17">
        <f t="shared" si="299"/>
        <v>451</v>
      </c>
      <c r="H258" s="13" t="str">
        <f t="shared" si="300"/>
        <v>GachaTop_451.png</v>
      </c>
      <c r="I258" s="23">
        <v>1</v>
      </c>
      <c r="J258" s="23">
        <f t="shared" si="301"/>
        <v>451</v>
      </c>
      <c r="K258" s="23">
        <v>1</v>
      </c>
      <c r="L258" s="55" t="s">
        <v>813</v>
      </c>
      <c r="M258" s="55" t="s">
        <v>814</v>
      </c>
      <c r="N258" s="2" t="s">
        <v>118</v>
      </c>
      <c r="O258" s="111" t="s">
        <v>1939</v>
      </c>
      <c r="P258" s="111" t="s">
        <v>2124</v>
      </c>
      <c r="Q258" s="26" t="str">
        <f>CONCATENATE(O258, "
","&lt;font color=""#ffab27""&gt;",TEXT(VLOOKUP(A258,gacha_schedules!C:F,4,FALSE),"mm/dd hh:mm"),"&lt;/font&gt;","まで",P258,"
",R258)</f>
        <v>&lt;font color="#ffab27"&gt;11/16 14:59まで&lt;/font&gt;_x000D_&lt;font color="#ffab27"&gt;11/16 14:59&lt;/font&gt;までチョイス2　&lt;font color="#ffe22a"&gt;ケプラー&lt;/font&gt;、&lt;font color="#ff2626"&gt;モールス&lt;/font&gt;出現中！_x000D_&lt;font color="#ffab27"&gt;※★6覚醒済みユニットは直接排出されません&lt;/font&gt;</v>
      </c>
      <c r="R258" s="49" t="s">
        <v>1067</v>
      </c>
    </row>
    <row r="259" spans="1:18" ht="50" customHeight="1" x14ac:dyDescent="0.15">
      <c r="A259" s="6">
        <v>452</v>
      </c>
      <c r="B259" s="18">
        <v>3</v>
      </c>
      <c r="C259" s="2" t="s">
        <v>1958</v>
      </c>
      <c r="D259" s="2">
        <v>100</v>
      </c>
      <c r="E259" s="17" t="str">
        <f>VLOOKUP($D259,gacha_types!$A:$D,2,FALSE)</f>
        <v>polygon</v>
      </c>
      <c r="F259" s="17">
        <v>5</v>
      </c>
      <c r="G259" s="17">
        <f t="shared" si="299"/>
        <v>452</v>
      </c>
      <c r="H259" s="13" t="str">
        <f t="shared" si="300"/>
        <v>GachaTop_452.png</v>
      </c>
      <c r="I259" s="23">
        <v>1</v>
      </c>
      <c r="J259" s="23">
        <f t="shared" si="301"/>
        <v>452</v>
      </c>
      <c r="K259" s="23">
        <v>1</v>
      </c>
      <c r="L259" s="55" t="s">
        <v>813</v>
      </c>
      <c r="M259" s="55" t="s">
        <v>814</v>
      </c>
      <c r="N259" s="2" t="s">
        <v>118</v>
      </c>
      <c r="O259" s="111" t="s">
        <v>1940</v>
      </c>
      <c r="P259" s="111" t="s">
        <v>2403</v>
      </c>
      <c r="Q259" s="26" t="str">
        <f>CONCATENATE(O259, "
","&lt;font color=""#ffab27""&gt;",TEXT(VLOOKUP(A259,gacha_schedules!C:F,4,FALSE),"mm/dd hh:mm"),"&lt;/font&gt;","まで",P259,"
",R259)</f>
        <v>&lt;font color="#ffab27"&gt;11/17 14:59まで&lt;/font&gt;_x000D_&lt;font color="#ffab27"&gt;11/17 14:59&lt;/font&gt;までチョイス3　&lt;font color="#ffe22a"&gt;ケプラー&lt;/font&gt;、&lt;font color="#0093ff"&gt;フィボナッチ&lt;/font&gt;出現中！_x000D_&lt;font color="#ffab27"&gt;※★6覚醒済みユニットは直接排出されません&lt;/font&gt;</v>
      </c>
      <c r="R259" s="49" t="s">
        <v>1067</v>
      </c>
    </row>
    <row r="260" spans="1:18" ht="50" customHeight="1" x14ac:dyDescent="0.15">
      <c r="A260" s="6">
        <v>453</v>
      </c>
      <c r="B260" s="18">
        <v>3</v>
      </c>
      <c r="C260" s="2" t="s">
        <v>1960</v>
      </c>
      <c r="D260" s="2">
        <v>100</v>
      </c>
      <c r="E260" s="17" t="str">
        <f>VLOOKUP($D260,gacha_types!$A:$D,2,FALSE)</f>
        <v>polygon</v>
      </c>
      <c r="F260" s="17">
        <v>5</v>
      </c>
      <c r="G260" s="17">
        <f t="shared" ref="G260" si="302">A260</f>
        <v>453</v>
      </c>
      <c r="H260" s="13" t="str">
        <f t="shared" ref="H260" si="303">"GachaTop_"&amp;A260&amp;".png"</f>
        <v>GachaTop_453.png</v>
      </c>
      <c r="I260" s="23">
        <v>1</v>
      </c>
      <c r="J260" s="23">
        <f t="shared" ref="J260" si="304">A260</f>
        <v>453</v>
      </c>
      <c r="K260" s="23">
        <v>1</v>
      </c>
      <c r="L260" s="55" t="s">
        <v>813</v>
      </c>
      <c r="M260" s="55" t="s">
        <v>814</v>
      </c>
      <c r="N260" s="2" t="s">
        <v>118</v>
      </c>
      <c r="O260" s="111" t="s">
        <v>1962</v>
      </c>
      <c r="P260" s="111" t="s">
        <v>1849</v>
      </c>
      <c r="Q260" s="26" t="str">
        <f>CONCATENATE(O260, "
","&lt;font color=""#ffab27""&gt;",TEXT(VLOOKUP(A260,gacha_schedules!C:F,4,FALSE),"mm/dd hh:mm"),"&lt;/font&gt;","まで",P260,"
",R260)</f>
        <v>&lt;font color="#ffab27"&gt;11/22 14:59まで&lt;/font&gt;★5ユニット出現確率UP中！_x000D_&lt;font color="#ffab27"&gt;11/22 14:59&lt;/font&gt;まで全ユニットレベルMAXで排出されます_x000D_&lt;font color="#ffab27"&gt;※★6覚醒済みユニットは直接排出されません&lt;/font&gt;</v>
      </c>
      <c r="R260" s="49" t="s">
        <v>1067</v>
      </c>
    </row>
    <row r="261" spans="1:18" ht="50" customHeight="1" x14ac:dyDescent="0.15">
      <c r="A261" s="6">
        <v>454</v>
      </c>
      <c r="B261" s="18">
        <v>3</v>
      </c>
      <c r="C261" s="2" t="s">
        <v>1997</v>
      </c>
      <c r="D261" s="2">
        <v>100</v>
      </c>
      <c r="E261" s="17" t="str">
        <f>VLOOKUP($D261,gacha_types!$A:$D,2,FALSE)</f>
        <v>polygon</v>
      </c>
      <c r="F261" s="17">
        <v>5</v>
      </c>
      <c r="G261" s="17">
        <f t="shared" ref="G261:G262" si="305">A261</f>
        <v>454</v>
      </c>
      <c r="H261" s="13" t="str">
        <f t="shared" ref="H261:H262" si="306">"GachaTop_"&amp;A261&amp;".png"</f>
        <v>GachaTop_454.png</v>
      </c>
      <c r="I261" s="23">
        <v>1</v>
      </c>
      <c r="J261" s="23">
        <f t="shared" ref="J261:J262" si="307">A261</f>
        <v>454</v>
      </c>
      <c r="K261" s="23">
        <v>1</v>
      </c>
      <c r="L261" s="55" t="s">
        <v>813</v>
      </c>
      <c r="M261" s="55" t="s">
        <v>814</v>
      </c>
      <c r="N261" s="2" t="s">
        <v>118</v>
      </c>
      <c r="O261" s="111" t="s">
        <v>1999</v>
      </c>
      <c r="P261" s="26" t="s">
        <v>1886</v>
      </c>
      <c r="Q261" s="26" t="str">
        <f>CONCATENATE(O261, "
","&lt;font color=""#ffab27""&gt;",TEXT(VLOOKUP(A261,gacha_schedules!C:F,4,FALSE),"mm/dd hh:mm"),"&lt;/font&gt;","まで",P261,"
",R261)</f>
        <v>&lt;font color="#ffab27"&gt;11/26 14:59&lt;/font&gt;まで新ユニットの出現率UP中！_x000D_&lt;font color="#ffab27"&gt;11/26 14:59&lt;/font&gt;まで10連で新ユニットが1体確定出現！_x000D_&lt;font color="#ffab27"&gt;※★6覚醒済みユニットは直接排出されません&lt;/font&gt;</v>
      </c>
      <c r="R261" s="49" t="s">
        <v>1067</v>
      </c>
    </row>
    <row r="262" spans="1:18" ht="50" customHeight="1" x14ac:dyDescent="0.15">
      <c r="A262" s="6">
        <v>455</v>
      </c>
      <c r="B262" s="18">
        <v>3</v>
      </c>
      <c r="C262" s="2" t="s">
        <v>1998</v>
      </c>
      <c r="D262" s="2">
        <v>100</v>
      </c>
      <c r="E262" s="17" t="str">
        <f>VLOOKUP($D262,gacha_types!$A:$D,2,FALSE)</f>
        <v>polygon</v>
      </c>
      <c r="F262" s="17">
        <v>5</v>
      </c>
      <c r="G262" s="17">
        <f t="shared" si="305"/>
        <v>455</v>
      </c>
      <c r="H262" s="13" t="str">
        <f t="shared" si="306"/>
        <v>GachaTop_455.png</v>
      </c>
      <c r="I262" s="23">
        <v>1</v>
      </c>
      <c r="J262" s="23">
        <f t="shared" si="307"/>
        <v>455</v>
      </c>
      <c r="K262" s="23">
        <v>1</v>
      </c>
      <c r="L262" s="55" t="s">
        <v>813</v>
      </c>
      <c r="M262" s="55" t="s">
        <v>814</v>
      </c>
      <c r="N262" s="2" t="s">
        <v>118</v>
      </c>
      <c r="O262" s="111"/>
      <c r="P262" s="111"/>
      <c r="Q262" s="50" t="s">
        <v>1086</v>
      </c>
      <c r="R262" s="49"/>
    </row>
    <row r="263" spans="1:18" ht="50" customHeight="1" x14ac:dyDescent="0.15">
      <c r="A263" s="6">
        <v>456</v>
      </c>
      <c r="B263" s="18">
        <v>3</v>
      </c>
      <c r="C263" s="2" t="s">
        <v>2017</v>
      </c>
      <c r="D263" s="2">
        <v>100</v>
      </c>
      <c r="E263" s="17" t="str">
        <f>VLOOKUP($D263,gacha_types!$A:$D,2,FALSE)</f>
        <v>polygon</v>
      </c>
      <c r="F263" s="17">
        <v>5</v>
      </c>
      <c r="G263" s="17">
        <f t="shared" ref="G263" si="308">A263</f>
        <v>456</v>
      </c>
      <c r="H263" s="13" t="str">
        <f t="shared" ref="H263" si="309">"GachaTop_"&amp;A263&amp;".png"</f>
        <v>GachaTop_456.png</v>
      </c>
      <c r="I263" s="23">
        <v>1</v>
      </c>
      <c r="J263" s="23">
        <f t="shared" ref="J263" si="310">A263</f>
        <v>456</v>
      </c>
      <c r="K263" s="23">
        <v>1</v>
      </c>
      <c r="L263" s="55" t="s">
        <v>813</v>
      </c>
      <c r="M263" s="55" t="s">
        <v>814</v>
      </c>
      <c r="N263" s="2" t="s">
        <v>118</v>
      </c>
      <c r="O263" s="111" t="s">
        <v>2141</v>
      </c>
      <c r="P263" s="26" t="s">
        <v>2018</v>
      </c>
      <c r="Q263" s="26" t="str">
        <f>CONCATENATE(O263, "
",P263,"
",R263)</f>
        <v>&lt;font color="#ffab27"&gt;12/6 14:59&lt;/font&gt;まで限定ユニット8体出現中！_x000D_STEP7で超フェス・フェス限定ユニット1体確定！_x000D_&lt;font color="#ffab27"&gt;※★6覚醒済みユニットは直接排出されません&lt;/font&gt;</v>
      </c>
      <c r="R263" s="49" t="s">
        <v>1067</v>
      </c>
    </row>
    <row r="264" spans="1:18" ht="50" customHeight="1" x14ac:dyDescent="0.15">
      <c r="A264" s="6">
        <v>457</v>
      </c>
      <c r="B264" s="18">
        <v>3</v>
      </c>
      <c r="C264" s="2" t="s">
        <v>2085</v>
      </c>
      <c r="D264" s="2">
        <v>100</v>
      </c>
      <c r="E264" s="17" t="str">
        <f>VLOOKUP($D264,gacha_types!$A:$D,2,FALSE)</f>
        <v>polygon</v>
      </c>
      <c r="F264" s="17">
        <v>5</v>
      </c>
      <c r="G264" s="17">
        <f t="shared" ref="G264" si="311">A264</f>
        <v>457</v>
      </c>
      <c r="H264" s="69" t="s">
        <v>2023</v>
      </c>
      <c r="I264" s="23">
        <v>1</v>
      </c>
      <c r="J264" s="23">
        <f t="shared" ref="J264" si="312">A264</f>
        <v>457</v>
      </c>
      <c r="K264" s="23">
        <v>1</v>
      </c>
      <c r="L264" s="55" t="s">
        <v>813</v>
      </c>
      <c r="M264" s="55" t="s">
        <v>814</v>
      </c>
      <c r="N264" s="2" t="s">
        <v>118</v>
      </c>
      <c r="O264" s="111"/>
      <c r="P264" s="26"/>
      <c r="Q264" s="50" t="s">
        <v>1659</v>
      </c>
      <c r="R264" s="49"/>
    </row>
    <row r="265" spans="1:18" ht="50" customHeight="1" x14ac:dyDescent="0.15">
      <c r="A265" s="6">
        <f>A264+1</f>
        <v>458</v>
      </c>
      <c r="B265" s="18">
        <v>3</v>
      </c>
      <c r="C265" s="2" t="s">
        <v>2086</v>
      </c>
      <c r="D265" s="2">
        <v>100</v>
      </c>
      <c r="E265" s="17" t="str">
        <f>VLOOKUP($D265,gacha_types!$A:$D,2,FALSE)</f>
        <v>polygon</v>
      </c>
      <c r="F265" s="17">
        <v>5</v>
      </c>
      <c r="G265" s="17">
        <f t="shared" ref="G265:G271" si="313">A265</f>
        <v>458</v>
      </c>
      <c r="H265" s="69" t="s">
        <v>2023</v>
      </c>
      <c r="I265" s="23">
        <v>1</v>
      </c>
      <c r="J265" s="23">
        <f t="shared" ref="J265:J271" si="314">A265</f>
        <v>458</v>
      </c>
      <c r="K265" s="23">
        <v>1</v>
      </c>
      <c r="L265" s="55" t="s">
        <v>813</v>
      </c>
      <c r="M265" s="55" t="s">
        <v>814</v>
      </c>
      <c r="N265" s="2" t="s">
        <v>118</v>
      </c>
      <c r="O265" s="111"/>
      <c r="P265" s="26"/>
      <c r="Q265" s="50" t="s">
        <v>1659</v>
      </c>
      <c r="R265" s="49"/>
    </row>
    <row r="266" spans="1:18" ht="50" customHeight="1" x14ac:dyDescent="0.15">
      <c r="A266" s="6">
        <f t="shared" ref="A266:A272" si="315">A265+1</f>
        <v>459</v>
      </c>
      <c r="B266" s="18">
        <v>3</v>
      </c>
      <c r="C266" s="2" t="s">
        <v>2087</v>
      </c>
      <c r="D266" s="2">
        <v>100</v>
      </c>
      <c r="E266" s="17" t="str">
        <f>VLOOKUP($D266,gacha_types!$A:$D,2,FALSE)</f>
        <v>polygon</v>
      </c>
      <c r="F266" s="17">
        <v>5</v>
      </c>
      <c r="G266" s="17">
        <f t="shared" si="313"/>
        <v>459</v>
      </c>
      <c r="H266" s="69" t="s">
        <v>2023</v>
      </c>
      <c r="I266" s="23">
        <v>1</v>
      </c>
      <c r="J266" s="23">
        <f t="shared" si="314"/>
        <v>459</v>
      </c>
      <c r="K266" s="23">
        <v>1</v>
      </c>
      <c r="L266" s="55" t="s">
        <v>813</v>
      </c>
      <c r="M266" s="55" t="s">
        <v>814</v>
      </c>
      <c r="N266" s="2" t="s">
        <v>118</v>
      </c>
      <c r="O266" s="111"/>
      <c r="P266" s="26"/>
      <c r="Q266" s="50" t="s">
        <v>1659</v>
      </c>
      <c r="R266" s="49"/>
    </row>
    <row r="267" spans="1:18" ht="50" customHeight="1" x14ac:dyDescent="0.15">
      <c r="A267" s="6">
        <f t="shared" si="315"/>
        <v>460</v>
      </c>
      <c r="B267" s="18">
        <v>3</v>
      </c>
      <c r="C267" s="2" t="s">
        <v>2088</v>
      </c>
      <c r="D267" s="2">
        <v>100</v>
      </c>
      <c r="E267" s="17" t="str">
        <f>VLOOKUP($D267,gacha_types!$A:$D,2,FALSE)</f>
        <v>polygon</v>
      </c>
      <c r="F267" s="17">
        <v>5</v>
      </c>
      <c r="G267" s="17">
        <f t="shared" si="313"/>
        <v>460</v>
      </c>
      <c r="H267" s="69" t="s">
        <v>2023</v>
      </c>
      <c r="I267" s="23">
        <v>1</v>
      </c>
      <c r="J267" s="23">
        <f t="shared" si="314"/>
        <v>460</v>
      </c>
      <c r="K267" s="23">
        <v>1</v>
      </c>
      <c r="L267" s="55" t="s">
        <v>813</v>
      </c>
      <c r="M267" s="55" t="s">
        <v>814</v>
      </c>
      <c r="N267" s="2" t="s">
        <v>118</v>
      </c>
      <c r="O267" s="111"/>
      <c r="P267" s="26"/>
      <c r="Q267" s="50" t="s">
        <v>1659</v>
      </c>
      <c r="R267" s="49"/>
    </row>
    <row r="268" spans="1:18" ht="50" customHeight="1" x14ac:dyDescent="0.15">
      <c r="A268" s="6">
        <f t="shared" si="315"/>
        <v>461</v>
      </c>
      <c r="B268" s="18">
        <v>3</v>
      </c>
      <c r="C268" s="2" t="s">
        <v>2089</v>
      </c>
      <c r="D268" s="2">
        <v>100</v>
      </c>
      <c r="E268" s="17" t="str">
        <f>VLOOKUP($D268,gacha_types!$A:$D,2,FALSE)</f>
        <v>polygon</v>
      </c>
      <c r="F268" s="17">
        <v>5</v>
      </c>
      <c r="G268" s="17">
        <f t="shared" si="313"/>
        <v>461</v>
      </c>
      <c r="H268" s="69" t="s">
        <v>2023</v>
      </c>
      <c r="I268" s="23">
        <v>1</v>
      </c>
      <c r="J268" s="23">
        <f t="shared" si="314"/>
        <v>461</v>
      </c>
      <c r="K268" s="23">
        <v>1</v>
      </c>
      <c r="L268" s="55" t="s">
        <v>813</v>
      </c>
      <c r="M268" s="55" t="s">
        <v>814</v>
      </c>
      <c r="N268" s="2" t="s">
        <v>118</v>
      </c>
      <c r="O268" s="111"/>
      <c r="P268" s="26"/>
      <c r="Q268" s="50" t="s">
        <v>1659</v>
      </c>
      <c r="R268" s="49"/>
    </row>
    <row r="269" spans="1:18" ht="50" customHeight="1" x14ac:dyDescent="0.15">
      <c r="A269" s="6">
        <f t="shared" si="315"/>
        <v>462</v>
      </c>
      <c r="B269" s="18">
        <v>3</v>
      </c>
      <c r="C269" s="2" t="s">
        <v>2090</v>
      </c>
      <c r="D269" s="2">
        <v>100</v>
      </c>
      <c r="E269" s="17" t="str">
        <f>VLOOKUP($D269,gacha_types!$A:$D,2,FALSE)</f>
        <v>polygon</v>
      </c>
      <c r="F269" s="17">
        <v>5</v>
      </c>
      <c r="G269" s="17">
        <f t="shared" si="313"/>
        <v>462</v>
      </c>
      <c r="H269" s="69" t="s">
        <v>2023</v>
      </c>
      <c r="I269" s="23">
        <v>1</v>
      </c>
      <c r="J269" s="23">
        <f t="shared" si="314"/>
        <v>462</v>
      </c>
      <c r="K269" s="23">
        <v>1</v>
      </c>
      <c r="L269" s="55" t="s">
        <v>813</v>
      </c>
      <c r="M269" s="55" t="s">
        <v>814</v>
      </c>
      <c r="N269" s="2" t="s">
        <v>118</v>
      </c>
      <c r="O269" s="111"/>
      <c r="P269" s="26"/>
      <c r="Q269" s="50" t="s">
        <v>1659</v>
      </c>
      <c r="R269" s="49"/>
    </row>
    <row r="270" spans="1:18" ht="50" customHeight="1" x14ac:dyDescent="0.15">
      <c r="A270" s="6">
        <f t="shared" si="315"/>
        <v>463</v>
      </c>
      <c r="B270" s="18">
        <v>3</v>
      </c>
      <c r="C270" s="2" t="s">
        <v>2091</v>
      </c>
      <c r="D270" s="2">
        <v>100</v>
      </c>
      <c r="E270" s="17" t="str">
        <f>VLOOKUP($D270,gacha_types!$A:$D,2,FALSE)</f>
        <v>polygon</v>
      </c>
      <c r="F270" s="17">
        <v>5</v>
      </c>
      <c r="G270" s="17">
        <f t="shared" si="313"/>
        <v>463</v>
      </c>
      <c r="H270" s="69" t="s">
        <v>2023</v>
      </c>
      <c r="I270" s="23">
        <v>1</v>
      </c>
      <c r="J270" s="23">
        <f t="shared" si="314"/>
        <v>463</v>
      </c>
      <c r="K270" s="23">
        <v>1</v>
      </c>
      <c r="L270" s="55" t="s">
        <v>813</v>
      </c>
      <c r="M270" s="55" t="s">
        <v>814</v>
      </c>
      <c r="N270" s="2" t="s">
        <v>118</v>
      </c>
      <c r="O270" s="111"/>
      <c r="P270" s="26"/>
      <c r="Q270" s="50" t="s">
        <v>1659</v>
      </c>
      <c r="R270" s="49"/>
    </row>
    <row r="271" spans="1:18" ht="50" customHeight="1" x14ac:dyDescent="0.15">
      <c r="A271" s="6">
        <f t="shared" si="315"/>
        <v>464</v>
      </c>
      <c r="B271" s="18">
        <v>3</v>
      </c>
      <c r="C271" s="2" t="s">
        <v>2221</v>
      </c>
      <c r="D271" s="2">
        <v>100</v>
      </c>
      <c r="E271" s="17" t="str">
        <f>VLOOKUP($D271,gacha_types!$A:$D,2,FALSE)</f>
        <v>polygon</v>
      </c>
      <c r="F271" s="17">
        <v>5</v>
      </c>
      <c r="G271" s="17">
        <f t="shared" si="313"/>
        <v>464</v>
      </c>
      <c r="H271" s="69" t="s">
        <v>2222</v>
      </c>
      <c r="I271" s="23">
        <v>1</v>
      </c>
      <c r="J271" s="23">
        <f t="shared" si="314"/>
        <v>464</v>
      </c>
      <c r="K271" s="23">
        <v>1</v>
      </c>
      <c r="L271" s="55" t="s">
        <v>813</v>
      </c>
      <c r="M271" s="55" t="s">
        <v>814</v>
      </c>
      <c r="N271" s="2" t="s">
        <v>118</v>
      </c>
      <c r="O271" s="111" t="str">
        <f>TEXT(VLOOKUP(A271,gacha_schedules!C:F,4,FALSE),"mm/dd hh:mm")</f>
        <v>11/30 23:59</v>
      </c>
      <c r="P271" s="26"/>
      <c r="Q271" s="50" t="s">
        <v>2228</v>
      </c>
      <c r="R271" s="49"/>
    </row>
    <row r="272" spans="1:18" ht="50" customHeight="1" x14ac:dyDescent="0.15">
      <c r="A272" s="6">
        <f t="shared" si="315"/>
        <v>465</v>
      </c>
      <c r="B272" s="18">
        <v>3</v>
      </c>
      <c r="C272" s="2" t="s">
        <v>2154</v>
      </c>
      <c r="D272" s="2">
        <v>100</v>
      </c>
      <c r="E272" s="17" t="str">
        <f>VLOOKUP($D272,gacha_types!$A:$D,2,FALSE)</f>
        <v>polygon</v>
      </c>
      <c r="F272" s="17">
        <v>5</v>
      </c>
      <c r="G272" s="17">
        <f t="shared" ref="G272" si="316">A272</f>
        <v>465</v>
      </c>
      <c r="H272" s="13" t="str">
        <f t="shared" ref="H272" si="317">"GachaTop_"&amp;A272&amp;".png"</f>
        <v>GachaTop_465.png</v>
      </c>
      <c r="I272" s="23">
        <v>1</v>
      </c>
      <c r="J272" s="23">
        <f t="shared" ref="J272" si="318">A272</f>
        <v>465</v>
      </c>
      <c r="K272" s="23">
        <v>1</v>
      </c>
      <c r="L272" s="55" t="s">
        <v>813</v>
      </c>
      <c r="M272" s="55" t="s">
        <v>814</v>
      </c>
      <c r="N272" s="2" t="s">
        <v>118</v>
      </c>
      <c r="O272" s="111" t="str">
        <f>CONCATENATE("&lt;font color=""#ffab27""&gt;",TEXT(VLOOKUP(A272,gacha_schedules!C:F,4,FALSE),"mm/dd hh:mm"),"&lt;/font&gt;まで★6覚醒可能ユニット1体確定！")</f>
        <v>&lt;font color="#ffab27"&gt;11/30 14:59&lt;/font&gt;まで★6覚醒可能ユニット1体確定！</v>
      </c>
      <c r="P272" s="26" t="s">
        <v>2055</v>
      </c>
      <c r="Q272" s="26" t="str">
        <f>CONCATENATE(O272, "
",P272,"
",R272)</f>
        <v>&lt;font color="#ffab27"&gt;11/30 14:59&lt;/font&gt;まで★6覚醒可能ユニット1体確定！_x000D_&lt;font color="#ffab27"&gt;※このガチャは1回限りです&lt;/font&gt;_x000D_&lt;font color="#ffab27"&gt;※★6覚醒済みユニットは直接排出されません&lt;/font&gt;</v>
      </c>
      <c r="R272" s="49" t="s">
        <v>1067</v>
      </c>
    </row>
    <row r="273" spans="1:18" ht="50" customHeight="1" x14ac:dyDescent="0.15">
      <c r="A273" s="6">
        <v>466</v>
      </c>
      <c r="B273" s="18">
        <v>3</v>
      </c>
      <c r="C273" s="2" t="s">
        <v>2050</v>
      </c>
      <c r="D273" s="2">
        <v>100</v>
      </c>
      <c r="E273" s="17" t="str">
        <f>VLOOKUP($D273,gacha_types!$A:$D,2,FALSE)</f>
        <v>polygon</v>
      </c>
      <c r="F273" s="17">
        <v>5</v>
      </c>
      <c r="G273" s="17">
        <f t="shared" ref="G273" si="319">A273</f>
        <v>466</v>
      </c>
      <c r="H273" s="13" t="str">
        <f t="shared" ref="H273" si="320">"GachaTop_"&amp;A273&amp;".png"</f>
        <v>GachaTop_466.png</v>
      </c>
      <c r="I273" s="23">
        <v>1</v>
      </c>
      <c r="J273" s="23">
        <f t="shared" ref="J273" si="321">A273</f>
        <v>466</v>
      </c>
      <c r="K273" s="23">
        <v>1</v>
      </c>
      <c r="L273" s="55" t="s">
        <v>813</v>
      </c>
      <c r="M273" s="55" t="s">
        <v>814</v>
      </c>
      <c r="N273" s="2" t="s">
        <v>118</v>
      </c>
      <c r="O273" s="111" t="s">
        <v>2138</v>
      </c>
      <c r="P273" s="26" t="s">
        <v>2057</v>
      </c>
      <c r="Q273" s="26" t="str">
        <f t="shared" ref="Q273:Q287" si="322">CONCATENATE(O273, "
",P273,"
",R273)</f>
        <v>&lt;font color="#ffab27"&gt;11/26 14:59&lt;/font&gt;まで
記念限定ユニット&lt;font color="#00e075"&gt;パレート&lt;/font&gt;出現中！
&lt;font color="#ffab27"&gt;※★6覚醒済みユニットは直接排出されません&lt;/font&gt;</v>
      </c>
      <c r="R273" s="49" t="s">
        <v>1067</v>
      </c>
    </row>
    <row r="274" spans="1:18" ht="50" customHeight="1" x14ac:dyDescent="0.15">
      <c r="A274" s="6">
        <v>467</v>
      </c>
      <c r="B274" s="18">
        <v>3</v>
      </c>
      <c r="C274" s="2" t="s">
        <v>2054</v>
      </c>
      <c r="D274" s="2">
        <v>100</v>
      </c>
      <c r="E274" s="17" t="str">
        <f>VLOOKUP($D274,gacha_types!$A:$D,2,FALSE)</f>
        <v>polygon</v>
      </c>
      <c r="F274" s="17">
        <v>5</v>
      </c>
      <c r="G274" s="17">
        <f t="shared" ref="G274" si="323">A274</f>
        <v>467</v>
      </c>
      <c r="H274" s="13" t="str">
        <f t="shared" ref="H274" si="324">"GachaTop_"&amp;A274&amp;".png"</f>
        <v>GachaTop_467.png</v>
      </c>
      <c r="I274" s="23">
        <v>1</v>
      </c>
      <c r="J274" s="23">
        <f t="shared" ref="J274" si="325">A274</f>
        <v>467</v>
      </c>
      <c r="K274" s="23">
        <v>1</v>
      </c>
      <c r="L274" s="55" t="s">
        <v>813</v>
      </c>
      <c r="M274" s="55" t="s">
        <v>814</v>
      </c>
      <c r="N274" s="2" t="s">
        <v>118</v>
      </c>
      <c r="O274" s="111" t="s">
        <v>2139</v>
      </c>
      <c r="P274" s="26" t="s">
        <v>2058</v>
      </c>
      <c r="Q274" s="26" t="str">
        <f t="shared" si="322"/>
        <v>&lt;font color="#ffab27"&gt;11/28 14:59&lt;/font&gt;まで
記念限定ユニット&lt;font color="#0093ff"&gt;ブール&lt;/font&gt;出現中！
&lt;font color="#ffab27"&gt;※★6覚醒済みユニットは直接排出されません&lt;/font&gt;</v>
      </c>
      <c r="R274" s="49" t="s">
        <v>1067</v>
      </c>
    </row>
    <row r="275" spans="1:18" ht="50" customHeight="1" x14ac:dyDescent="0.15">
      <c r="A275" s="6">
        <v>468</v>
      </c>
      <c r="B275" s="18">
        <v>3</v>
      </c>
      <c r="C275" s="2" t="s">
        <v>2060</v>
      </c>
      <c r="D275" s="2">
        <v>100</v>
      </c>
      <c r="E275" s="17" t="str">
        <f>VLOOKUP($D275,gacha_types!$A:$D,2,FALSE)</f>
        <v>polygon</v>
      </c>
      <c r="F275" s="17">
        <v>5</v>
      </c>
      <c r="G275" s="17">
        <f t="shared" ref="G275" si="326">A275</f>
        <v>468</v>
      </c>
      <c r="H275" s="13" t="str">
        <f t="shared" ref="H275" si="327">"GachaTop_"&amp;A275&amp;".png"</f>
        <v>GachaTop_468.png</v>
      </c>
      <c r="I275" s="23">
        <v>1</v>
      </c>
      <c r="J275" s="23">
        <f t="shared" ref="J275" si="328">A275</f>
        <v>468</v>
      </c>
      <c r="K275" s="23">
        <v>1</v>
      </c>
      <c r="L275" s="55" t="s">
        <v>813</v>
      </c>
      <c r="M275" s="55" t="s">
        <v>814</v>
      </c>
      <c r="N275" s="2" t="s">
        <v>118</v>
      </c>
      <c r="O275" s="111" t="s">
        <v>2140</v>
      </c>
      <c r="P275" s="26" t="s">
        <v>2061</v>
      </c>
      <c r="Q275" s="26" t="str">
        <f t="shared" si="322"/>
        <v>&lt;font color="#ffab27"&gt;11/30 14:59&lt;/font&gt;まで
記念限定ユニット5体出現中！
&lt;font color="#ffab27"&gt;※★6覚醒済み、超覚醒済みユニットは直接排出されません&lt;/font&gt;</v>
      </c>
      <c r="R275" s="49" t="s">
        <v>2062</v>
      </c>
    </row>
    <row r="276" spans="1:18" ht="50" customHeight="1" x14ac:dyDescent="0.15">
      <c r="A276" s="6">
        <v>469</v>
      </c>
      <c r="B276" s="18">
        <v>3</v>
      </c>
      <c r="C276" s="2" t="s">
        <v>2063</v>
      </c>
      <c r="D276" s="2">
        <v>100</v>
      </c>
      <c r="E276" s="17" t="str">
        <f>VLOOKUP($D276,gacha_types!$A:$D,2,FALSE)</f>
        <v>polygon</v>
      </c>
      <c r="F276" s="17">
        <v>5</v>
      </c>
      <c r="G276" s="17">
        <f t="shared" ref="G276" si="329">A276</f>
        <v>469</v>
      </c>
      <c r="H276" s="13" t="str">
        <f t="shared" ref="H276" si="330">"GachaTop_"&amp;A276&amp;".png"</f>
        <v>GachaTop_469.png</v>
      </c>
      <c r="I276" s="23">
        <v>1</v>
      </c>
      <c r="J276" s="23">
        <f t="shared" ref="J276" si="331">A276</f>
        <v>469</v>
      </c>
      <c r="K276" s="23">
        <v>1</v>
      </c>
      <c r="L276" s="55" t="s">
        <v>813</v>
      </c>
      <c r="M276" s="55" t="s">
        <v>814</v>
      </c>
      <c r="N276" s="2" t="s">
        <v>118</v>
      </c>
      <c r="O276" s="111" t="s">
        <v>2292</v>
      </c>
      <c r="P276" s="26" t="s">
        <v>2299</v>
      </c>
      <c r="Q276" s="26" t="str">
        <f t="shared" si="322"/>
        <v>&lt;font color="#ffab27"&gt;12/12 23:59&lt;/font&gt;まで
&lt;font color="#ffe22a"&gt;ラプンツェル&lt;/font&gt;、&lt;font color="#ffe22a"&gt;アラジン&lt;/font&gt;の出現率UP中！
&lt;font color="#ffab27"&gt;※★6覚醒済みユニットは直接排出されません&lt;/font&gt;</v>
      </c>
      <c r="R276" s="49" t="s">
        <v>1067</v>
      </c>
    </row>
    <row r="277" spans="1:18" ht="50" customHeight="1" x14ac:dyDescent="0.15">
      <c r="A277" s="6">
        <v>470</v>
      </c>
      <c r="B277" s="18">
        <v>3</v>
      </c>
      <c r="C277" s="2" t="s">
        <v>2143</v>
      </c>
      <c r="D277" s="2">
        <v>100</v>
      </c>
      <c r="E277" s="17" t="str">
        <f>VLOOKUP($D277,gacha_types!$A:$D,2,FALSE)</f>
        <v>polygon</v>
      </c>
      <c r="F277" s="17">
        <v>5</v>
      </c>
      <c r="G277" s="17">
        <f t="shared" ref="G277" si="332">A277</f>
        <v>470</v>
      </c>
      <c r="H277" s="13" t="str">
        <f t="shared" ref="H277:H279" si="333">"GachaTop_"&amp;A277&amp;".png"</f>
        <v>GachaTop_470.png</v>
      </c>
      <c r="I277" s="23">
        <v>1</v>
      </c>
      <c r="J277" s="23">
        <f t="shared" ref="J277" si="334">A277</f>
        <v>470</v>
      </c>
      <c r="K277" s="23">
        <v>1</v>
      </c>
      <c r="L277" s="55" t="s">
        <v>813</v>
      </c>
      <c r="M277" s="55" t="s">
        <v>814</v>
      </c>
      <c r="N277" s="2" t="s">
        <v>118</v>
      </c>
      <c r="O277" s="111" t="s">
        <v>2144</v>
      </c>
      <c r="P277" s="26" t="s">
        <v>2978</v>
      </c>
      <c r="Q277" s="26" t="str">
        <f t="shared" si="322"/>
        <v>&lt;font color="#ffab27"&gt;12/08 14:59&lt;/font&gt;まで
10連5回目で台湾・香港・マカオ版限定ユニット1体確定！
&lt;font color="#ffab27"&gt;※★6覚醒済みユニットは直接排出されません&lt;/font&gt;</v>
      </c>
      <c r="R277" s="49" t="s">
        <v>1067</v>
      </c>
    </row>
    <row r="278" spans="1:18" ht="50" customHeight="1" x14ac:dyDescent="0.15">
      <c r="A278" s="6">
        <v>471</v>
      </c>
      <c r="B278" s="18">
        <v>3</v>
      </c>
      <c r="C278" s="2" t="s">
        <v>1726</v>
      </c>
      <c r="D278" s="2">
        <v>100</v>
      </c>
      <c r="E278" s="17" t="str">
        <f>VLOOKUP($D278,gacha_types!$A:$D,2,FALSE)</f>
        <v>polygon</v>
      </c>
      <c r="F278" s="17">
        <v>5</v>
      </c>
      <c r="G278" s="17">
        <f t="shared" ref="G278" si="335">A278</f>
        <v>471</v>
      </c>
      <c r="H278" s="69" t="s">
        <v>2133</v>
      </c>
      <c r="I278" s="23">
        <v>1</v>
      </c>
      <c r="J278" s="23">
        <f t="shared" ref="J278" si="336">A278</f>
        <v>471</v>
      </c>
      <c r="K278" s="23">
        <v>1</v>
      </c>
      <c r="L278" s="55" t="s">
        <v>813</v>
      </c>
      <c r="M278" s="55" t="s">
        <v>814</v>
      </c>
      <c r="N278" s="2" t="s">
        <v>118</v>
      </c>
      <c r="O278" s="111" t="s">
        <v>2145</v>
      </c>
      <c r="P278" s="26" t="s">
        <v>1168</v>
      </c>
      <c r="Q278" s="26" t="str">
        <f t="shared" si="322"/>
        <v>&lt;font color="#ffab27"&gt;11/28 15:59&lt;/font&gt;まで
STEP5で★6覚醒可能ユニット1体確定!
&lt;font color="#ffab27"&gt;※★6覚醒済みユニットは直接排出されません&lt;/font&gt;</v>
      </c>
      <c r="R278" s="49" t="s">
        <v>1067</v>
      </c>
    </row>
    <row r="279" spans="1:18" ht="50" customHeight="1" x14ac:dyDescent="0.15">
      <c r="A279" s="6">
        <v>472</v>
      </c>
      <c r="B279" s="18">
        <v>3</v>
      </c>
      <c r="C279" s="2" t="s">
        <v>2146</v>
      </c>
      <c r="D279" s="2">
        <v>100</v>
      </c>
      <c r="E279" s="17" t="str">
        <f>VLOOKUP($D279,gacha_types!$A:$D,2,FALSE)</f>
        <v>polygon</v>
      </c>
      <c r="F279" s="17">
        <v>5</v>
      </c>
      <c r="G279" s="17">
        <f t="shared" ref="G279" si="337">A279</f>
        <v>472</v>
      </c>
      <c r="H279" s="13" t="str">
        <f t="shared" si="333"/>
        <v>GachaTop_472.png</v>
      </c>
      <c r="I279" s="23">
        <v>1</v>
      </c>
      <c r="J279" s="23">
        <f t="shared" ref="J279" si="338">A279</f>
        <v>472</v>
      </c>
      <c r="K279" s="23">
        <v>1</v>
      </c>
      <c r="L279" s="55" t="s">
        <v>813</v>
      </c>
      <c r="M279" s="55" t="s">
        <v>814</v>
      </c>
      <c r="N279" s="2" t="s">
        <v>118</v>
      </c>
      <c r="O279" s="111" t="s">
        <v>2217</v>
      </c>
      <c r="P279" s="26" t="s">
        <v>2147</v>
      </c>
      <c r="Q279" s="26" t="str">
        <f t="shared" si="322"/>
        <v>&lt;font color="#ffab27"&gt;12/06 23:59&lt;/font&gt;まで
★4以上の赤ユニット1体確定排出！
&lt;font color="#ffab27"&gt;※★6覚醒済みユニットは直接排出されません&lt;/font&gt;</v>
      </c>
      <c r="R279" s="49" t="s">
        <v>1067</v>
      </c>
    </row>
    <row r="280" spans="1:18" ht="50" customHeight="1" x14ac:dyDescent="0.15">
      <c r="A280" s="6">
        <v>473</v>
      </c>
      <c r="B280" s="18">
        <v>3</v>
      </c>
      <c r="C280" s="2" t="s">
        <v>2148</v>
      </c>
      <c r="D280" s="2">
        <v>100</v>
      </c>
      <c r="E280" s="17" t="str">
        <f>VLOOKUP($D280,gacha_types!$A:$D,2,FALSE)</f>
        <v>polygon</v>
      </c>
      <c r="F280" s="17">
        <v>5</v>
      </c>
      <c r="G280" s="17">
        <f t="shared" ref="G280:G282" si="339">A280</f>
        <v>473</v>
      </c>
      <c r="H280" s="13" t="str">
        <f t="shared" ref="H280:H282" si="340">"GachaTop_"&amp;A280&amp;".png"</f>
        <v>GachaTop_473.png</v>
      </c>
      <c r="I280" s="23">
        <v>1</v>
      </c>
      <c r="J280" s="23">
        <f t="shared" ref="J280:J282" si="341">A280</f>
        <v>473</v>
      </c>
      <c r="K280" s="23">
        <v>1</v>
      </c>
      <c r="L280" s="55" t="s">
        <v>813</v>
      </c>
      <c r="M280" s="55" t="s">
        <v>814</v>
      </c>
      <c r="N280" s="2" t="s">
        <v>118</v>
      </c>
      <c r="O280" s="111" t="s">
        <v>2217</v>
      </c>
      <c r="P280" s="26" t="s">
        <v>2151</v>
      </c>
      <c r="Q280" s="26" t="str">
        <f t="shared" si="322"/>
        <v>&lt;font color="#ffab27"&gt;12/06 23:59&lt;/font&gt;まで
★4以上の青ユニット1体確定排出！
&lt;font color="#ffab27"&gt;※★6覚醒済みユニットは直接排出されません&lt;/font&gt;</v>
      </c>
      <c r="R280" s="49" t="s">
        <v>1067</v>
      </c>
    </row>
    <row r="281" spans="1:18" ht="50" customHeight="1" x14ac:dyDescent="0.15">
      <c r="A281" s="6">
        <v>474</v>
      </c>
      <c r="B281" s="18">
        <v>3</v>
      </c>
      <c r="C281" s="2" t="s">
        <v>2149</v>
      </c>
      <c r="D281" s="2">
        <v>100</v>
      </c>
      <c r="E281" s="17" t="str">
        <f>VLOOKUP($D281,gacha_types!$A:$D,2,FALSE)</f>
        <v>polygon</v>
      </c>
      <c r="F281" s="17">
        <v>5</v>
      </c>
      <c r="G281" s="17">
        <f t="shared" si="339"/>
        <v>474</v>
      </c>
      <c r="H281" s="13" t="str">
        <f t="shared" si="340"/>
        <v>GachaTop_474.png</v>
      </c>
      <c r="I281" s="23">
        <v>1</v>
      </c>
      <c r="J281" s="23">
        <f t="shared" si="341"/>
        <v>474</v>
      </c>
      <c r="K281" s="23">
        <v>1</v>
      </c>
      <c r="L281" s="55" t="s">
        <v>813</v>
      </c>
      <c r="M281" s="55" t="s">
        <v>814</v>
      </c>
      <c r="N281" s="2" t="s">
        <v>118</v>
      </c>
      <c r="O281" s="111" t="s">
        <v>2217</v>
      </c>
      <c r="P281" s="26" t="s">
        <v>2152</v>
      </c>
      <c r="Q281" s="26" t="str">
        <f t="shared" si="322"/>
        <v>&lt;font color="#ffab27"&gt;12/06 23:59&lt;/font&gt;まで
★4以上の緑ユニット1体確定排出！
&lt;font color="#ffab27"&gt;※★6覚醒済みユニットは直接排出されません&lt;/font&gt;</v>
      </c>
      <c r="R281" s="49" t="s">
        <v>1067</v>
      </c>
    </row>
    <row r="282" spans="1:18" ht="50" customHeight="1" x14ac:dyDescent="0.15">
      <c r="A282" s="6">
        <v>475</v>
      </c>
      <c r="B282" s="18">
        <v>3</v>
      </c>
      <c r="C282" s="2" t="s">
        <v>2150</v>
      </c>
      <c r="D282" s="2">
        <v>100</v>
      </c>
      <c r="E282" s="17" t="str">
        <f>VLOOKUP($D282,gacha_types!$A:$D,2,FALSE)</f>
        <v>polygon</v>
      </c>
      <c r="F282" s="17">
        <v>5</v>
      </c>
      <c r="G282" s="17">
        <f t="shared" si="339"/>
        <v>475</v>
      </c>
      <c r="H282" s="13" t="str">
        <f t="shared" si="340"/>
        <v>GachaTop_475.png</v>
      </c>
      <c r="I282" s="23">
        <v>1</v>
      </c>
      <c r="J282" s="23">
        <f t="shared" si="341"/>
        <v>475</v>
      </c>
      <c r="K282" s="23">
        <v>1</v>
      </c>
      <c r="L282" s="55" t="s">
        <v>813</v>
      </c>
      <c r="M282" s="55" t="s">
        <v>814</v>
      </c>
      <c r="N282" s="2" t="s">
        <v>118</v>
      </c>
      <c r="O282" s="111" t="s">
        <v>2217</v>
      </c>
      <c r="P282" s="26" t="s">
        <v>2153</v>
      </c>
      <c r="Q282" s="26" t="str">
        <f t="shared" si="322"/>
        <v>&lt;font color="#ffab27"&gt;12/06 23:59&lt;/font&gt;まで
★4以上の黄ユニット1体確定排出！
&lt;font color="#ffab27"&gt;※★6覚醒済みユニットは直接排出されません&lt;/font&gt;</v>
      </c>
      <c r="R282" s="49" t="s">
        <v>1067</v>
      </c>
    </row>
    <row r="283" spans="1:18" ht="50" customHeight="1" x14ac:dyDescent="0.15">
      <c r="A283" s="6">
        <v>476</v>
      </c>
      <c r="B283" s="18">
        <v>3</v>
      </c>
      <c r="C283" s="2" t="s">
        <v>2155</v>
      </c>
      <c r="D283" s="2">
        <v>100</v>
      </c>
      <c r="E283" s="17" t="str">
        <f>VLOOKUP($D283,gacha_types!$A:$D,2,FALSE)</f>
        <v>polygon</v>
      </c>
      <c r="F283" s="17">
        <v>5</v>
      </c>
      <c r="G283" s="17">
        <f t="shared" ref="G283:G286" si="342">A283</f>
        <v>476</v>
      </c>
      <c r="H283" s="13" t="str">
        <f t="shared" ref="H283:H286" si="343">"GachaTop_"&amp;A283&amp;".png"</f>
        <v>GachaTop_476.png</v>
      </c>
      <c r="I283" s="23">
        <v>1</v>
      </c>
      <c r="J283" s="23">
        <f t="shared" ref="J283:J286" si="344">A283</f>
        <v>476</v>
      </c>
      <c r="K283" s="23">
        <v>1</v>
      </c>
      <c r="L283" s="55" t="s">
        <v>813</v>
      </c>
      <c r="M283" s="55" t="s">
        <v>814</v>
      </c>
      <c r="N283" s="2" t="s">
        <v>118</v>
      </c>
      <c r="O283" s="111" t="s">
        <v>2164</v>
      </c>
      <c r="P283" s="26" t="s">
        <v>2055</v>
      </c>
      <c r="Q283" s="26" t="str">
        <f t="shared" si="322"/>
        <v>&lt;font color="#ffab27"&gt;12/06 14:59&lt;/font&gt;まで★6覚醒可能ユニット1体確定！
&lt;font color="#ffab27"&gt;※このガチャは1回限りです&lt;/font&gt;
&lt;font color="#ffab27"&gt;※★6覚醒済みユニットは直接排出されません&lt;/font&gt;</v>
      </c>
      <c r="R283" s="49" t="s">
        <v>1067</v>
      </c>
    </row>
    <row r="284" spans="1:18" ht="50" customHeight="1" x14ac:dyDescent="0.15">
      <c r="A284" s="6">
        <v>477</v>
      </c>
      <c r="B284" s="18">
        <v>3</v>
      </c>
      <c r="C284" s="2" t="s">
        <v>2156</v>
      </c>
      <c r="D284" s="2">
        <v>100</v>
      </c>
      <c r="E284" s="17" t="str">
        <f>VLOOKUP($D284,gacha_types!$A:$D,2,FALSE)</f>
        <v>polygon</v>
      </c>
      <c r="F284" s="17">
        <v>5</v>
      </c>
      <c r="G284" s="17">
        <f t="shared" si="342"/>
        <v>477</v>
      </c>
      <c r="H284" s="13" t="str">
        <f t="shared" si="343"/>
        <v>GachaTop_477.png</v>
      </c>
      <c r="I284" s="23">
        <v>1</v>
      </c>
      <c r="J284" s="23">
        <f t="shared" si="344"/>
        <v>477</v>
      </c>
      <c r="K284" s="23">
        <v>1</v>
      </c>
      <c r="L284" s="55" t="s">
        <v>813</v>
      </c>
      <c r="M284" s="55" t="s">
        <v>814</v>
      </c>
      <c r="N284" s="2" t="s">
        <v>118</v>
      </c>
      <c r="O284" s="111" t="s">
        <v>2162</v>
      </c>
      <c r="P284" s="111" t="s">
        <v>2159</v>
      </c>
      <c r="Q284" s="26" t="str">
        <f t="shared" si="322"/>
        <v>&lt;font color="#ffab27"&gt;11/30 14:59&lt;/font&gt;まで
チョイス1　&lt;font color="#0093ff"&gt;ベルヌーイ&lt;/font&gt;、&lt;font color="#0093ff"&gt;ユークリッド&lt;/font&gt;出現中！
&lt;font color="#ffab27"&gt;※★6覚醒済み、超覚醒済みユニットは直接排出されません&lt;/font&gt;</v>
      </c>
      <c r="R284" s="49" t="s">
        <v>2062</v>
      </c>
    </row>
    <row r="285" spans="1:18" ht="50" customHeight="1" x14ac:dyDescent="0.15">
      <c r="A285" s="6">
        <v>478</v>
      </c>
      <c r="B285" s="18">
        <v>3</v>
      </c>
      <c r="C285" s="2" t="s">
        <v>2157</v>
      </c>
      <c r="D285" s="2">
        <v>100</v>
      </c>
      <c r="E285" s="17" t="str">
        <f>VLOOKUP($D285,gacha_types!$A:$D,2,FALSE)</f>
        <v>polygon</v>
      </c>
      <c r="F285" s="17">
        <v>5</v>
      </c>
      <c r="G285" s="17">
        <f t="shared" si="342"/>
        <v>478</v>
      </c>
      <c r="H285" s="13" t="str">
        <f t="shared" si="343"/>
        <v>GachaTop_478.png</v>
      </c>
      <c r="I285" s="23">
        <v>1</v>
      </c>
      <c r="J285" s="23">
        <f t="shared" si="344"/>
        <v>478</v>
      </c>
      <c r="K285" s="23">
        <v>1</v>
      </c>
      <c r="L285" s="55" t="s">
        <v>813</v>
      </c>
      <c r="M285" s="55" t="s">
        <v>814</v>
      </c>
      <c r="N285" s="2" t="s">
        <v>118</v>
      </c>
      <c r="O285" s="111" t="s">
        <v>2161</v>
      </c>
      <c r="P285" s="111" t="s">
        <v>2160</v>
      </c>
      <c r="Q285" s="26" t="str">
        <f t="shared" si="322"/>
        <v>&lt;font color="#ffab27"&gt;12/01 14:59&lt;/font&gt;まで
チョイス2　&lt;font color="#0093ff"&gt;ベルヌーイ&lt;/font&gt;、&lt;font color="#ff2626"&gt;フロイト&lt;/font&gt;出現中！
&lt;font color="#ffab27"&gt;※★6覚醒済みユニットは直接排出されません&lt;/font&gt;</v>
      </c>
      <c r="R285" s="49" t="s">
        <v>1067</v>
      </c>
    </row>
    <row r="286" spans="1:18" ht="50" customHeight="1" x14ac:dyDescent="0.15">
      <c r="A286" s="6">
        <v>479</v>
      </c>
      <c r="B286" s="18">
        <v>3</v>
      </c>
      <c r="C286" s="2" t="s">
        <v>2158</v>
      </c>
      <c r="D286" s="2">
        <v>100</v>
      </c>
      <c r="E286" s="17" t="str">
        <f>VLOOKUP($D286,gacha_types!$A:$D,2,FALSE)</f>
        <v>polygon</v>
      </c>
      <c r="F286" s="17">
        <v>5</v>
      </c>
      <c r="G286" s="17">
        <f t="shared" si="342"/>
        <v>479</v>
      </c>
      <c r="H286" s="13" t="str">
        <f t="shared" si="343"/>
        <v>GachaTop_479.png</v>
      </c>
      <c r="I286" s="23">
        <v>1</v>
      </c>
      <c r="J286" s="23">
        <f t="shared" si="344"/>
        <v>479</v>
      </c>
      <c r="K286" s="23">
        <v>1</v>
      </c>
      <c r="L286" s="55" t="s">
        <v>813</v>
      </c>
      <c r="M286" s="55" t="s">
        <v>814</v>
      </c>
      <c r="N286" s="2" t="s">
        <v>118</v>
      </c>
      <c r="O286" s="111" t="s">
        <v>2163</v>
      </c>
      <c r="P286" s="111" t="s">
        <v>2404</v>
      </c>
      <c r="Q286" s="26" t="str">
        <f t="shared" si="322"/>
        <v>&lt;font color="#ffab27"&gt;12/02 14:59&lt;/font&gt;まで
チョイス3　&lt;font color="#0093ff"&gt;ベルヌーイ&lt;/font&gt;、&lt;font color="#ffe22a"&gt;ファラデー&lt;/font&gt;出現中！
&lt;font color="#ffab27"&gt;※★6覚醒済み、超覚醒済みユニットは直接排出されません&lt;/font&gt;</v>
      </c>
      <c r="R286" s="49" t="s">
        <v>2062</v>
      </c>
    </row>
    <row r="287" spans="1:18" ht="50" customHeight="1" x14ac:dyDescent="0.15">
      <c r="A287" s="6">
        <v>480</v>
      </c>
      <c r="B287" s="18">
        <v>3</v>
      </c>
      <c r="C287" s="2" t="s">
        <v>2201</v>
      </c>
      <c r="D287" s="2">
        <v>100</v>
      </c>
      <c r="E287" s="17" t="str">
        <f>VLOOKUP($D287,gacha_types!$A:$D,2,FALSE)</f>
        <v>polygon</v>
      </c>
      <c r="F287" s="17">
        <v>5</v>
      </c>
      <c r="G287" s="17">
        <f t="shared" ref="G287" si="345">A287</f>
        <v>480</v>
      </c>
      <c r="H287" s="13" t="str">
        <f t="shared" ref="H287:H296" si="346">"GachaTop_"&amp;A287&amp;".png"</f>
        <v>GachaTop_480.png</v>
      </c>
      <c r="I287" s="23">
        <v>1</v>
      </c>
      <c r="J287" s="23">
        <f t="shared" ref="J287" si="347">A287</f>
        <v>480</v>
      </c>
      <c r="K287" s="23">
        <v>1</v>
      </c>
      <c r="L287" s="55" t="s">
        <v>813</v>
      </c>
      <c r="M287" s="55" t="s">
        <v>814</v>
      </c>
      <c r="N287" s="2" t="s">
        <v>118</v>
      </c>
      <c r="O287" s="111" t="s">
        <v>2302</v>
      </c>
      <c r="P287" s="26" t="s">
        <v>2246</v>
      </c>
      <c r="Q287" s="26" t="str">
        <f t="shared" si="322"/>
        <v>&lt;font color="#ffab27"&gt;12/12 23:59&lt;/font&gt;まで限定ユニット&lt;font color="#ffe22a"&gt;ヒルベルト&lt;/font&gt;出現中！
今だけ！黄属性出現率大幅アップ！
&lt;font color="#ffab27"&gt;※★6覚醒済みユニットは直接排出されません&lt;/font&gt;</v>
      </c>
      <c r="R287" s="49" t="s">
        <v>1067</v>
      </c>
    </row>
    <row r="288" spans="1:18" ht="50" customHeight="1" x14ac:dyDescent="0.15">
      <c r="A288" s="6">
        <f>A287+1</f>
        <v>481</v>
      </c>
      <c r="B288" s="18">
        <v>3</v>
      </c>
      <c r="C288" s="2" t="s">
        <v>2220</v>
      </c>
      <c r="D288" s="2">
        <v>100</v>
      </c>
      <c r="E288" s="17" t="str">
        <f>VLOOKUP($D288,gacha_types!$A:$D,2,FALSE)</f>
        <v>polygon</v>
      </c>
      <c r="F288" s="17">
        <v>5</v>
      </c>
      <c r="G288" s="17">
        <f t="shared" ref="G288" si="348">A288</f>
        <v>481</v>
      </c>
      <c r="H288" s="69" t="s">
        <v>2227</v>
      </c>
      <c r="I288" s="23">
        <v>1</v>
      </c>
      <c r="J288" s="23">
        <f t="shared" ref="J288" si="349">A288</f>
        <v>481</v>
      </c>
      <c r="K288" s="23">
        <v>1</v>
      </c>
      <c r="L288" s="55" t="s">
        <v>813</v>
      </c>
      <c r="M288" s="55" t="s">
        <v>814</v>
      </c>
      <c r="N288" s="2" t="s">
        <v>118</v>
      </c>
      <c r="O288" s="111"/>
      <c r="P288" s="26"/>
      <c r="Q288" s="50" t="s">
        <v>2229</v>
      </c>
      <c r="R288" s="49"/>
    </row>
    <row r="289" spans="1:18" ht="50" customHeight="1" x14ac:dyDescent="0.15">
      <c r="A289" s="6">
        <f t="shared" ref="A289:A308" si="350">A288+1</f>
        <v>482</v>
      </c>
      <c r="B289" s="18">
        <v>3</v>
      </c>
      <c r="C289" s="2" t="s">
        <v>2286</v>
      </c>
      <c r="D289" s="2">
        <v>100</v>
      </c>
      <c r="E289" s="17" t="str">
        <f>VLOOKUP($D289,gacha_types!$A:$D,2,FALSE)</f>
        <v>polygon</v>
      </c>
      <c r="F289" s="17">
        <v>5</v>
      </c>
      <c r="G289" s="17">
        <f t="shared" ref="G289:G296" si="351">A289</f>
        <v>482</v>
      </c>
      <c r="H289" s="13" t="str">
        <f t="shared" si="346"/>
        <v>GachaTop_482.png</v>
      </c>
      <c r="I289" s="23">
        <v>1</v>
      </c>
      <c r="J289" s="23">
        <f t="shared" ref="J289:J296" si="352">A289</f>
        <v>482</v>
      </c>
      <c r="K289" s="23">
        <v>1</v>
      </c>
      <c r="L289" s="55" t="s">
        <v>813</v>
      </c>
      <c r="M289" s="55" t="s">
        <v>814</v>
      </c>
      <c r="N289" s="2" t="s">
        <v>118</v>
      </c>
      <c r="O289" s="111" t="s">
        <v>2241</v>
      </c>
      <c r="P289" s="111" t="s">
        <v>2301</v>
      </c>
      <c r="Q289" s="26" t="s">
        <v>2417</v>
      </c>
      <c r="R289" s="49" t="s">
        <v>1067</v>
      </c>
    </row>
    <row r="290" spans="1:18" ht="50" customHeight="1" x14ac:dyDescent="0.15">
      <c r="A290" s="6">
        <f t="shared" si="350"/>
        <v>483</v>
      </c>
      <c r="B290" s="18">
        <v>3</v>
      </c>
      <c r="C290" s="2" t="s">
        <v>2234</v>
      </c>
      <c r="D290" s="2">
        <v>100</v>
      </c>
      <c r="E290" s="17" t="str">
        <f>VLOOKUP($D290,gacha_types!$A:$D,2,FALSE)</f>
        <v>polygon</v>
      </c>
      <c r="F290" s="17">
        <v>5</v>
      </c>
      <c r="G290" s="17">
        <f t="shared" si="351"/>
        <v>483</v>
      </c>
      <c r="H290" s="69" t="s">
        <v>2253</v>
      </c>
      <c r="I290" s="23">
        <v>1</v>
      </c>
      <c r="J290" s="23">
        <f t="shared" si="352"/>
        <v>483</v>
      </c>
      <c r="K290" s="23">
        <v>1</v>
      </c>
      <c r="L290" s="55" t="s">
        <v>813</v>
      </c>
      <c r="M290" s="55" t="s">
        <v>814</v>
      </c>
      <c r="N290" s="2" t="s">
        <v>118</v>
      </c>
      <c r="O290" s="111" t="s">
        <v>2242</v>
      </c>
      <c r="P290" s="111" t="s">
        <v>1741</v>
      </c>
      <c r="Q290" s="26" t="s">
        <v>2418</v>
      </c>
      <c r="R290" s="49" t="s">
        <v>1067</v>
      </c>
    </row>
    <row r="291" spans="1:18" ht="50" customHeight="1" x14ac:dyDescent="0.15">
      <c r="A291" s="6">
        <f t="shared" si="350"/>
        <v>484</v>
      </c>
      <c r="B291" s="18">
        <v>3</v>
      </c>
      <c r="C291" s="2" t="s">
        <v>2235</v>
      </c>
      <c r="D291" s="2">
        <v>100</v>
      </c>
      <c r="E291" s="17" t="str">
        <f>VLOOKUP($D291,gacha_types!$A:$D,2,FALSE)</f>
        <v>polygon</v>
      </c>
      <c r="F291" s="17">
        <v>5</v>
      </c>
      <c r="G291" s="17">
        <f t="shared" si="351"/>
        <v>484</v>
      </c>
      <c r="H291" s="13" t="str">
        <f t="shared" si="346"/>
        <v>GachaTop_484.png</v>
      </c>
      <c r="I291" s="23">
        <v>1</v>
      </c>
      <c r="J291" s="23">
        <f t="shared" si="352"/>
        <v>484</v>
      </c>
      <c r="K291" s="23">
        <v>1</v>
      </c>
      <c r="L291" s="55" t="s">
        <v>813</v>
      </c>
      <c r="M291" s="55" t="s">
        <v>814</v>
      </c>
      <c r="N291" s="2" t="s">
        <v>118</v>
      </c>
      <c r="O291" s="111"/>
      <c r="P291" s="111" t="s">
        <v>2247</v>
      </c>
      <c r="Q291" s="26" t="s">
        <v>2419</v>
      </c>
      <c r="R291" s="49" t="s">
        <v>1067</v>
      </c>
    </row>
    <row r="292" spans="1:18" ht="50" customHeight="1" x14ac:dyDescent="0.15">
      <c r="A292" s="6">
        <f t="shared" si="350"/>
        <v>485</v>
      </c>
      <c r="B292" s="18">
        <v>3</v>
      </c>
      <c r="C292" s="2" t="s">
        <v>2236</v>
      </c>
      <c r="D292" s="2">
        <v>100</v>
      </c>
      <c r="E292" s="17" t="str">
        <f>VLOOKUP($D292,gacha_types!$A:$D,2,FALSE)</f>
        <v>polygon</v>
      </c>
      <c r="F292" s="17">
        <v>5</v>
      </c>
      <c r="G292" s="17">
        <f t="shared" si="351"/>
        <v>485</v>
      </c>
      <c r="H292" s="13" t="str">
        <f t="shared" si="346"/>
        <v>GachaTop_485.png</v>
      </c>
      <c r="I292" s="23">
        <v>1</v>
      </c>
      <c r="J292" s="23">
        <f t="shared" si="352"/>
        <v>485</v>
      </c>
      <c r="K292" s="23">
        <v>1</v>
      </c>
      <c r="L292" s="55" t="s">
        <v>813</v>
      </c>
      <c r="M292" s="55" t="s">
        <v>814</v>
      </c>
      <c r="N292" s="2" t="s">
        <v>118</v>
      </c>
      <c r="O292" s="111" t="s">
        <v>2342</v>
      </c>
      <c r="P292" s="111" t="s">
        <v>2248</v>
      </c>
      <c r="Q292" s="26" t="s">
        <v>2420</v>
      </c>
      <c r="R292" s="49" t="s">
        <v>1067</v>
      </c>
    </row>
    <row r="293" spans="1:18" ht="50" customHeight="1" x14ac:dyDescent="0.15">
      <c r="A293" s="6">
        <f t="shared" si="350"/>
        <v>486</v>
      </c>
      <c r="B293" s="18">
        <v>3</v>
      </c>
      <c r="C293" s="2" t="s">
        <v>2237</v>
      </c>
      <c r="D293" s="2">
        <v>100</v>
      </c>
      <c r="E293" s="17" t="str">
        <f>VLOOKUP($D293,gacha_types!$A:$D,2,FALSE)</f>
        <v>polygon</v>
      </c>
      <c r="F293" s="17">
        <v>5</v>
      </c>
      <c r="G293" s="17">
        <f t="shared" si="351"/>
        <v>486</v>
      </c>
      <c r="H293" s="13" t="str">
        <f t="shared" si="346"/>
        <v>GachaTop_486.png</v>
      </c>
      <c r="I293" s="23">
        <v>1</v>
      </c>
      <c r="J293" s="23">
        <f t="shared" si="352"/>
        <v>486</v>
      </c>
      <c r="K293" s="23">
        <v>1</v>
      </c>
      <c r="L293" s="55" t="s">
        <v>813</v>
      </c>
      <c r="M293" s="55" t="s">
        <v>814</v>
      </c>
      <c r="N293" s="2" t="s">
        <v>118</v>
      </c>
      <c r="O293" s="111" t="s">
        <v>2343</v>
      </c>
      <c r="P293" s="111" t="s">
        <v>2249</v>
      </c>
      <c r="Q293" s="26" t="s">
        <v>2793</v>
      </c>
      <c r="R293" s="49" t="s">
        <v>1067</v>
      </c>
    </row>
    <row r="294" spans="1:18" ht="50" customHeight="1" x14ac:dyDescent="0.15">
      <c r="A294" s="6">
        <f t="shared" si="350"/>
        <v>487</v>
      </c>
      <c r="B294" s="18">
        <v>3</v>
      </c>
      <c r="C294" s="2" t="s">
        <v>2238</v>
      </c>
      <c r="D294" s="2">
        <v>100</v>
      </c>
      <c r="E294" s="17" t="str">
        <f>VLOOKUP($D294,gacha_types!$A:$D,2,FALSE)</f>
        <v>polygon</v>
      </c>
      <c r="F294" s="17">
        <v>5</v>
      </c>
      <c r="G294" s="17">
        <f t="shared" si="351"/>
        <v>487</v>
      </c>
      <c r="H294" s="13" t="str">
        <f t="shared" si="346"/>
        <v>GachaTop_487.png</v>
      </c>
      <c r="I294" s="23">
        <v>1</v>
      </c>
      <c r="J294" s="23">
        <f t="shared" si="352"/>
        <v>487</v>
      </c>
      <c r="K294" s="23">
        <v>1</v>
      </c>
      <c r="L294" s="55" t="s">
        <v>813</v>
      </c>
      <c r="M294" s="55" t="s">
        <v>814</v>
      </c>
      <c r="N294" s="2" t="s">
        <v>118</v>
      </c>
      <c r="O294" s="111" t="s">
        <v>2243</v>
      </c>
      <c r="P294" s="111" t="s">
        <v>2250</v>
      </c>
      <c r="Q294" s="26" t="s">
        <v>2421</v>
      </c>
      <c r="R294" s="49" t="s">
        <v>2062</v>
      </c>
    </row>
    <row r="295" spans="1:18" ht="50" customHeight="1" x14ac:dyDescent="0.15">
      <c r="A295" s="6">
        <f t="shared" si="350"/>
        <v>488</v>
      </c>
      <c r="B295" s="18">
        <v>3</v>
      </c>
      <c r="C295" s="2" t="s">
        <v>2239</v>
      </c>
      <c r="D295" s="2">
        <v>100</v>
      </c>
      <c r="E295" s="17" t="str">
        <f>VLOOKUP($D295,gacha_types!$A:$D,2,FALSE)</f>
        <v>polygon</v>
      </c>
      <c r="F295" s="17">
        <v>5</v>
      </c>
      <c r="G295" s="17">
        <f t="shared" si="351"/>
        <v>488</v>
      </c>
      <c r="H295" s="13" t="str">
        <f t="shared" si="346"/>
        <v>GachaTop_488.png</v>
      </c>
      <c r="I295" s="23">
        <v>1</v>
      </c>
      <c r="J295" s="23">
        <f t="shared" si="352"/>
        <v>488</v>
      </c>
      <c r="K295" s="23">
        <v>1</v>
      </c>
      <c r="L295" s="55" t="s">
        <v>813</v>
      </c>
      <c r="M295" s="55" t="s">
        <v>814</v>
      </c>
      <c r="N295" s="2" t="s">
        <v>118</v>
      </c>
      <c r="O295" s="111" t="s">
        <v>2244</v>
      </c>
      <c r="P295" s="111" t="s">
        <v>2400</v>
      </c>
      <c r="Q295" s="26" t="s">
        <v>2422</v>
      </c>
      <c r="R295" s="49" t="s">
        <v>1067</v>
      </c>
    </row>
    <row r="296" spans="1:18" ht="50" customHeight="1" x14ac:dyDescent="0.15">
      <c r="A296" s="6">
        <f t="shared" si="350"/>
        <v>489</v>
      </c>
      <c r="B296" s="18">
        <v>3</v>
      </c>
      <c r="C296" s="2" t="s">
        <v>2240</v>
      </c>
      <c r="D296" s="2">
        <v>100</v>
      </c>
      <c r="E296" s="17" t="str">
        <f>VLOOKUP($D296,gacha_types!$A:$D,2,FALSE)</f>
        <v>polygon</v>
      </c>
      <c r="F296" s="17">
        <v>5</v>
      </c>
      <c r="G296" s="17">
        <f t="shared" si="351"/>
        <v>489</v>
      </c>
      <c r="H296" s="13" t="str">
        <f t="shared" si="346"/>
        <v>GachaTop_489.png</v>
      </c>
      <c r="I296" s="23">
        <v>1</v>
      </c>
      <c r="J296" s="23">
        <f t="shared" si="352"/>
        <v>489</v>
      </c>
      <c r="K296" s="23">
        <v>1</v>
      </c>
      <c r="L296" s="55" t="s">
        <v>813</v>
      </c>
      <c r="M296" s="55" t="s">
        <v>814</v>
      </c>
      <c r="N296" s="2" t="s">
        <v>118</v>
      </c>
      <c r="O296" s="111" t="s">
        <v>2245</v>
      </c>
      <c r="P296" s="111" t="s">
        <v>2251</v>
      </c>
      <c r="Q296" s="26" t="s">
        <v>2423</v>
      </c>
      <c r="R296" s="49" t="s">
        <v>2062</v>
      </c>
    </row>
    <row r="297" spans="1:18" ht="50" customHeight="1" x14ac:dyDescent="0.15">
      <c r="A297" s="6">
        <f t="shared" si="350"/>
        <v>490</v>
      </c>
      <c r="B297" s="18">
        <v>3</v>
      </c>
      <c r="C297" s="2" t="s">
        <v>2293</v>
      </c>
      <c r="D297" s="2">
        <v>100</v>
      </c>
      <c r="E297" s="17" t="str">
        <f>VLOOKUP($D297,gacha_types!$A:$D,2,FALSE)</f>
        <v>polygon</v>
      </c>
      <c r="F297" s="17">
        <v>5</v>
      </c>
      <c r="G297" s="17">
        <f t="shared" ref="G297:G299" si="353">A297</f>
        <v>490</v>
      </c>
      <c r="H297" s="13" t="str">
        <f t="shared" ref="H297:H299" si="354">"GachaTop_"&amp;A297&amp;".png"</f>
        <v>GachaTop_490.png</v>
      </c>
      <c r="I297" s="23">
        <v>1</v>
      </c>
      <c r="J297" s="23">
        <f t="shared" ref="J297:J299" si="355">A297</f>
        <v>490</v>
      </c>
      <c r="K297" s="23">
        <v>1</v>
      </c>
      <c r="L297" s="55" t="s">
        <v>813</v>
      </c>
      <c r="M297" s="55" t="s">
        <v>814</v>
      </c>
      <c r="N297" s="2" t="s">
        <v>118</v>
      </c>
      <c r="O297" s="111" t="s">
        <v>2341</v>
      </c>
      <c r="P297" s="111" t="s">
        <v>2300</v>
      </c>
      <c r="Q297" s="26" t="s">
        <v>2424</v>
      </c>
      <c r="R297" s="49" t="s">
        <v>1732</v>
      </c>
    </row>
    <row r="298" spans="1:18" ht="50" customHeight="1" x14ac:dyDescent="0.15">
      <c r="A298" s="6">
        <f t="shared" si="350"/>
        <v>491</v>
      </c>
      <c r="B298" s="18">
        <v>3</v>
      </c>
      <c r="C298" s="2" t="s">
        <v>2314</v>
      </c>
      <c r="D298" s="2">
        <v>100</v>
      </c>
      <c r="E298" s="17" t="str">
        <f>VLOOKUP($D298,gacha_types!$A:$D,2,FALSE)</f>
        <v>polygon</v>
      </c>
      <c r="F298" s="17">
        <v>5</v>
      </c>
      <c r="G298" s="17">
        <f t="shared" si="353"/>
        <v>491</v>
      </c>
      <c r="H298" s="13" t="str">
        <f t="shared" si="354"/>
        <v>GachaTop_491.png</v>
      </c>
      <c r="I298" s="23">
        <v>1</v>
      </c>
      <c r="J298" s="23">
        <f t="shared" si="355"/>
        <v>491</v>
      </c>
      <c r="K298" s="23">
        <v>1</v>
      </c>
      <c r="L298" s="55" t="s">
        <v>813</v>
      </c>
      <c r="M298" s="55" t="s">
        <v>814</v>
      </c>
      <c r="N298" s="2" t="s">
        <v>118</v>
      </c>
      <c r="O298" s="111" t="s">
        <v>2303</v>
      </c>
      <c r="P298" s="26" t="s">
        <v>1721</v>
      </c>
      <c r="Q298" s="26" t="s">
        <v>2425</v>
      </c>
      <c r="R298" s="49" t="s">
        <v>1732</v>
      </c>
    </row>
    <row r="299" spans="1:18" ht="50" customHeight="1" x14ac:dyDescent="0.15">
      <c r="A299" s="6">
        <f t="shared" si="350"/>
        <v>492</v>
      </c>
      <c r="B299" s="18">
        <v>3</v>
      </c>
      <c r="C299" s="2" t="s">
        <v>2294</v>
      </c>
      <c r="D299" s="2">
        <v>100</v>
      </c>
      <c r="E299" s="17" t="str">
        <f>VLOOKUP($D299,gacha_types!$A:$D,2,FALSE)</f>
        <v>polygon</v>
      </c>
      <c r="F299" s="17">
        <v>5</v>
      </c>
      <c r="G299" s="17">
        <f t="shared" si="353"/>
        <v>492</v>
      </c>
      <c r="H299" s="13" t="str">
        <f t="shared" si="354"/>
        <v>GachaTop_492.png</v>
      </c>
      <c r="I299" s="23">
        <v>1</v>
      </c>
      <c r="J299" s="23">
        <f t="shared" si="355"/>
        <v>492</v>
      </c>
      <c r="K299" s="23">
        <v>1</v>
      </c>
      <c r="L299" s="55" t="s">
        <v>813</v>
      </c>
      <c r="M299" s="55" t="s">
        <v>814</v>
      </c>
      <c r="N299" s="2" t="s">
        <v>118</v>
      </c>
      <c r="O299" s="111" t="s">
        <v>2399</v>
      </c>
      <c r="P299" s="111" t="s">
        <v>2401</v>
      </c>
      <c r="Q299" s="26" t="s">
        <v>2426</v>
      </c>
      <c r="R299" s="49" t="s">
        <v>1732</v>
      </c>
    </row>
    <row r="300" spans="1:18" ht="50" customHeight="1" x14ac:dyDescent="0.15">
      <c r="A300" s="6">
        <f t="shared" si="350"/>
        <v>493</v>
      </c>
      <c r="B300" s="18">
        <v>3</v>
      </c>
      <c r="C300" s="2" t="s">
        <v>2323</v>
      </c>
      <c r="D300" s="2">
        <v>100</v>
      </c>
      <c r="E300" s="17" t="str">
        <f>VLOOKUP($D300,gacha_types!$A:$D,2,FALSE)</f>
        <v>polygon</v>
      </c>
      <c r="F300" s="17">
        <v>5</v>
      </c>
      <c r="G300" s="17">
        <f t="shared" ref="G300:G301" si="356">A300</f>
        <v>493</v>
      </c>
      <c r="H300" s="13" t="str">
        <f t="shared" ref="H300:H309" si="357">"GachaTop_"&amp;A300&amp;".png"</f>
        <v>GachaTop_493.png</v>
      </c>
      <c r="I300" s="23">
        <v>1</v>
      </c>
      <c r="J300" s="23">
        <f t="shared" ref="J300:J301" si="358">A300</f>
        <v>493</v>
      </c>
      <c r="K300" s="23">
        <v>1</v>
      </c>
      <c r="L300" s="55" t="s">
        <v>813</v>
      </c>
      <c r="M300" s="55" t="s">
        <v>814</v>
      </c>
      <c r="N300" s="2" t="s">
        <v>118</v>
      </c>
      <c r="O300" s="111" t="s">
        <v>2325</v>
      </c>
      <c r="P300" s="26" t="s">
        <v>1886</v>
      </c>
      <c r="Q300" s="26" t="s">
        <v>2427</v>
      </c>
      <c r="R300" s="49" t="s">
        <v>1067</v>
      </c>
    </row>
    <row r="301" spans="1:18" ht="50" customHeight="1" x14ac:dyDescent="0.15">
      <c r="A301" s="6">
        <f t="shared" si="350"/>
        <v>494</v>
      </c>
      <c r="B301" s="18">
        <v>3</v>
      </c>
      <c r="C301" s="2" t="s">
        <v>2324</v>
      </c>
      <c r="D301" s="2">
        <v>100</v>
      </c>
      <c r="E301" s="17" t="str">
        <f>VLOOKUP($D301,gacha_types!$A:$D,2,FALSE)</f>
        <v>polygon</v>
      </c>
      <c r="F301" s="17">
        <v>5</v>
      </c>
      <c r="G301" s="17">
        <f t="shared" si="356"/>
        <v>494</v>
      </c>
      <c r="H301" s="13" t="str">
        <f t="shared" si="357"/>
        <v>GachaTop_494.png</v>
      </c>
      <c r="I301" s="23">
        <v>1</v>
      </c>
      <c r="J301" s="23">
        <f t="shared" si="358"/>
        <v>494</v>
      </c>
      <c r="K301" s="23">
        <v>1</v>
      </c>
      <c r="L301" s="55" t="s">
        <v>813</v>
      </c>
      <c r="M301" s="55" t="s">
        <v>814</v>
      </c>
      <c r="N301" s="2" t="s">
        <v>118</v>
      </c>
      <c r="O301" s="111"/>
      <c r="P301" s="111"/>
      <c r="Q301" s="50" t="s">
        <v>1086</v>
      </c>
      <c r="R301" s="49"/>
    </row>
    <row r="302" spans="1:18" ht="50" customHeight="1" x14ac:dyDescent="0.15">
      <c r="A302" s="6">
        <f t="shared" si="350"/>
        <v>495</v>
      </c>
      <c r="B302" s="18">
        <v>3</v>
      </c>
      <c r="C302" s="2" t="s">
        <v>756</v>
      </c>
      <c r="D302" s="2">
        <v>100</v>
      </c>
      <c r="E302" s="17" t="str">
        <f>VLOOKUP($D302,gacha_types!$A:$D,2,FALSE)</f>
        <v>polygon</v>
      </c>
      <c r="F302" s="17">
        <v>5</v>
      </c>
      <c r="G302" s="17">
        <f t="shared" ref="G302" si="359">A302</f>
        <v>495</v>
      </c>
      <c r="H302" s="69" t="s">
        <v>2339</v>
      </c>
      <c r="I302" s="23">
        <v>1</v>
      </c>
      <c r="J302" s="23">
        <f t="shared" ref="J302" si="360">A302</f>
        <v>495</v>
      </c>
      <c r="K302" s="23">
        <v>1</v>
      </c>
      <c r="L302" s="55" t="s">
        <v>813</v>
      </c>
      <c r="M302" s="55" t="s">
        <v>814</v>
      </c>
      <c r="N302" s="2" t="s">
        <v>118</v>
      </c>
      <c r="O302" s="111" t="s">
        <v>2373</v>
      </c>
      <c r="P302" s="49" t="s">
        <v>2375</v>
      </c>
      <c r="Q302" s="26" t="s">
        <v>2409</v>
      </c>
      <c r="R302" s="49" t="s">
        <v>1732</v>
      </c>
    </row>
    <row r="303" spans="1:18" ht="50" customHeight="1" x14ac:dyDescent="0.15">
      <c r="A303" s="6">
        <f t="shared" si="350"/>
        <v>496</v>
      </c>
      <c r="B303" s="18">
        <v>3</v>
      </c>
      <c r="C303" s="2" t="s">
        <v>2344</v>
      </c>
      <c r="D303" s="2">
        <v>100</v>
      </c>
      <c r="E303" s="17" t="str">
        <f>VLOOKUP($D303,gacha_types!$A:$D,2,FALSE)</f>
        <v>polygon</v>
      </c>
      <c r="F303" s="17">
        <v>5</v>
      </c>
      <c r="G303" s="17">
        <f t="shared" ref="G303:G304" si="361">A303</f>
        <v>496</v>
      </c>
      <c r="H303" s="13" t="str">
        <f t="shared" si="357"/>
        <v>GachaTop_496.png</v>
      </c>
      <c r="I303" s="23">
        <v>1</v>
      </c>
      <c r="J303" s="23">
        <f t="shared" ref="J303:J304" si="362">A303</f>
        <v>496</v>
      </c>
      <c r="K303" s="23">
        <v>1</v>
      </c>
      <c r="L303" s="55" t="s">
        <v>813</v>
      </c>
      <c r="M303" s="55" t="s">
        <v>814</v>
      </c>
      <c r="N303" s="2" t="s">
        <v>118</v>
      </c>
      <c r="O303" s="111" t="s">
        <v>2345</v>
      </c>
      <c r="P303" s="111" t="s">
        <v>2346</v>
      </c>
      <c r="Q303" s="26" t="s">
        <v>2410</v>
      </c>
      <c r="R303" s="49" t="s">
        <v>1732</v>
      </c>
    </row>
    <row r="304" spans="1:18" ht="50" customHeight="1" x14ac:dyDescent="0.15">
      <c r="A304" s="6">
        <f t="shared" si="350"/>
        <v>497</v>
      </c>
      <c r="B304" s="18">
        <v>3</v>
      </c>
      <c r="C304" s="2" t="s">
        <v>2351</v>
      </c>
      <c r="D304" s="2">
        <v>100</v>
      </c>
      <c r="E304" s="17" t="str">
        <f>VLOOKUP($D304,gacha_types!$A:$D,2,FALSE)</f>
        <v>polygon</v>
      </c>
      <c r="F304" s="17">
        <v>5</v>
      </c>
      <c r="G304" s="17">
        <f t="shared" si="361"/>
        <v>497</v>
      </c>
      <c r="H304" s="69" t="s">
        <v>2352</v>
      </c>
      <c r="I304" s="23">
        <v>1</v>
      </c>
      <c r="J304" s="23">
        <f t="shared" si="362"/>
        <v>497</v>
      </c>
      <c r="K304" s="23">
        <v>1</v>
      </c>
      <c r="L304" s="55" t="s">
        <v>813</v>
      </c>
      <c r="M304" s="55" t="s">
        <v>814</v>
      </c>
      <c r="N304" s="2" t="s">
        <v>118</v>
      </c>
      <c r="O304" s="111" t="s">
        <v>2374</v>
      </c>
      <c r="P304" s="49" t="s">
        <v>2376</v>
      </c>
      <c r="Q304" s="26" t="s">
        <v>2411</v>
      </c>
      <c r="R304" s="49" t="s">
        <v>1732</v>
      </c>
    </row>
    <row r="305" spans="1:18" ht="50" customHeight="1" x14ac:dyDescent="0.15">
      <c r="A305" s="6">
        <f t="shared" si="350"/>
        <v>498</v>
      </c>
      <c r="B305" s="18">
        <v>3</v>
      </c>
      <c r="C305" s="2" t="s">
        <v>2377</v>
      </c>
      <c r="D305" s="2">
        <v>100</v>
      </c>
      <c r="E305" s="17" t="str">
        <f>VLOOKUP($D305,gacha_types!$A:$D,2,FALSE)</f>
        <v>polygon</v>
      </c>
      <c r="F305" s="17">
        <v>5</v>
      </c>
      <c r="G305" s="17">
        <f t="shared" ref="G305:G309" si="363">A305</f>
        <v>498</v>
      </c>
      <c r="H305" s="13" t="str">
        <f t="shared" si="357"/>
        <v>GachaTop_498.png</v>
      </c>
      <c r="I305" s="23">
        <v>1</v>
      </c>
      <c r="J305" s="23">
        <f t="shared" ref="J305:J309" si="364">A305</f>
        <v>498</v>
      </c>
      <c r="K305" s="23">
        <v>1</v>
      </c>
      <c r="L305" s="55" t="s">
        <v>813</v>
      </c>
      <c r="M305" s="55" t="s">
        <v>814</v>
      </c>
      <c r="N305" s="2" t="s">
        <v>118</v>
      </c>
      <c r="O305" s="111" t="s">
        <v>2382</v>
      </c>
      <c r="P305" s="26" t="s">
        <v>2061</v>
      </c>
      <c r="Q305" s="26" t="s">
        <v>2412</v>
      </c>
      <c r="R305" s="49" t="s">
        <v>1732</v>
      </c>
    </row>
    <row r="306" spans="1:18" ht="50" customHeight="1" x14ac:dyDescent="0.15">
      <c r="A306" s="6">
        <f t="shared" si="350"/>
        <v>499</v>
      </c>
      <c r="B306" s="18">
        <v>3</v>
      </c>
      <c r="C306" s="2" t="s">
        <v>2378</v>
      </c>
      <c r="D306" s="2">
        <v>100</v>
      </c>
      <c r="E306" s="17" t="str">
        <f>VLOOKUP($D306,gacha_types!$A:$D,2,FALSE)</f>
        <v>polygon</v>
      </c>
      <c r="F306" s="17">
        <v>5</v>
      </c>
      <c r="G306" s="17">
        <f t="shared" si="363"/>
        <v>499</v>
      </c>
      <c r="H306" s="13" t="str">
        <f t="shared" si="357"/>
        <v>GachaTop_499.png</v>
      </c>
      <c r="I306" s="23">
        <v>1</v>
      </c>
      <c r="J306" s="23">
        <f t="shared" si="364"/>
        <v>499</v>
      </c>
      <c r="K306" s="23">
        <v>1</v>
      </c>
      <c r="L306" s="55" t="s">
        <v>813</v>
      </c>
      <c r="M306" s="55" t="s">
        <v>814</v>
      </c>
      <c r="N306" s="2" t="s">
        <v>118</v>
      </c>
      <c r="O306" s="111" t="s">
        <v>2383</v>
      </c>
      <c r="P306" s="49" t="s">
        <v>2488</v>
      </c>
      <c r="Q306" s="26" t="s">
        <v>2416</v>
      </c>
      <c r="R306" s="49" t="s">
        <v>1732</v>
      </c>
    </row>
    <row r="307" spans="1:18" ht="50" customHeight="1" x14ac:dyDescent="0.15">
      <c r="A307" s="6">
        <f t="shared" si="350"/>
        <v>500</v>
      </c>
      <c r="B307" s="18">
        <v>3</v>
      </c>
      <c r="C307" s="2" t="s">
        <v>2379</v>
      </c>
      <c r="D307" s="2">
        <v>100</v>
      </c>
      <c r="E307" s="17" t="str">
        <f>VLOOKUP($D307,gacha_types!$A:$D,2,FALSE)</f>
        <v>polygon</v>
      </c>
      <c r="F307" s="17">
        <v>5</v>
      </c>
      <c r="G307" s="17">
        <f t="shared" si="363"/>
        <v>500</v>
      </c>
      <c r="H307" s="13" t="str">
        <f t="shared" si="357"/>
        <v>GachaTop_500.png</v>
      </c>
      <c r="I307" s="23">
        <v>1</v>
      </c>
      <c r="J307" s="23">
        <f t="shared" si="364"/>
        <v>500</v>
      </c>
      <c r="K307" s="23">
        <v>1</v>
      </c>
      <c r="L307" s="55" t="s">
        <v>813</v>
      </c>
      <c r="M307" s="55" t="s">
        <v>814</v>
      </c>
      <c r="N307" s="2" t="s">
        <v>118</v>
      </c>
      <c r="O307" s="111" t="s">
        <v>2383</v>
      </c>
      <c r="P307" s="49" t="s">
        <v>2486</v>
      </c>
      <c r="Q307" s="26" t="s">
        <v>2413</v>
      </c>
      <c r="R307" s="49" t="s">
        <v>1732</v>
      </c>
    </row>
    <row r="308" spans="1:18" ht="50" customHeight="1" x14ac:dyDescent="0.15">
      <c r="A308" s="6">
        <f t="shared" si="350"/>
        <v>501</v>
      </c>
      <c r="B308" s="18">
        <v>3</v>
      </c>
      <c r="C308" s="2" t="s">
        <v>2380</v>
      </c>
      <c r="D308" s="2">
        <v>100</v>
      </c>
      <c r="E308" s="17" t="str">
        <f>VLOOKUP($D308,gacha_types!$A:$D,2,FALSE)</f>
        <v>polygon</v>
      </c>
      <c r="F308" s="17">
        <v>5</v>
      </c>
      <c r="G308" s="17">
        <f t="shared" si="363"/>
        <v>501</v>
      </c>
      <c r="H308" s="13" t="str">
        <f t="shared" si="357"/>
        <v>GachaTop_501.png</v>
      </c>
      <c r="I308" s="23">
        <v>1</v>
      </c>
      <c r="J308" s="23">
        <f t="shared" si="364"/>
        <v>501</v>
      </c>
      <c r="K308" s="23">
        <v>1</v>
      </c>
      <c r="L308" s="55" t="s">
        <v>813</v>
      </c>
      <c r="M308" s="55" t="s">
        <v>814</v>
      </c>
      <c r="N308" s="2" t="s">
        <v>118</v>
      </c>
      <c r="O308" s="111" t="s">
        <v>2383</v>
      </c>
      <c r="P308" s="49" t="s">
        <v>2489</v>
      </c>
      <c r="Q308" s="26" t="s">
        <v>2414</v>
      </c>
      <c r="R308" s="49" t="s">
        <v>1732</v>
      </c>
    </row>
    <row r="309" spans="1:18" ht="50" customHeight="1" x14ac:dyDescent="0.15">
      <c r="A309" s="6">
        <f>A308+1</f>
        <v>502</v>
      </c>
      <c r="B309" s="18">
        <v>3</v>
      </c>
      <c r="C309" s="2" t="s">
        <v>2381</v>
      </c>
      <c r="D309" s="2">
        <v>100</v>
      </c>
      <c r="E309" s="17" t="str">
        <f>VLOOKUP($D309,gacha_types!$A:$D,2,FALSE)</f>
        <v>polygon</v>
      </c>
      <c r="F309" s="17">
        <v>5</v>
      </c>
      <c r="G309" s="17">
        <f t="shared" si="363"/>
        <v>502</v>
      </c>
      <c r="H309" s="13" t="str">
        <f t="shared" si="357"/>
        <v>GachaTop_502.png</v>
      </c>
      <c r="I309" s="23">
        <v>1</v>
      </c>
      <c r="J309" s="23">
        <f t="shared" si="364"/>
        <v>502</v>
      </c>
      <c r="K309" s="23">
        <v>1</v>
      </c>
      <c r="L309" s="55" t="s">
        <v>813</v>
      </c>
      <c r="M309" s="55" t="s">
        <v>814</v>
      </c>
      <c r="N309" s="2" t="s">
        <v>118</v>
      </c>
      <c r="O309" s="111" t="s">
        <v>2383</v>
      </c>
      <c r="P309" s="49" t="s">
        <v>2487</v>
      </c>
      <c r="Q309" s="26" t="s">
        <v>2415</v>
      </c>
      <c r="R309" s="49" t="s">
        <v>1732</v>
      </c>
    </row>
    <row r="310" spans="1:18" ht="50" customHeight="1" x14ac:dyDescent="0.15">
      <c r="A310" s="6">
        <f t="shared" ref="A310:A312" si="365">A309+1</f>
        <v>503</v>
      </c>
      <c r="B310" s="18">
        <v>3</v>
      </c>
      <c r="C310" s="2" t="s">
        <v>1786</v>
      </c>
      <c r="D310" s="2">
        <v>100</v>
      </c>
      <c r="E310" s="17" t="str">
        <f>VLOOKUP($D310,gacha_types!$A:$D,2,FALSE)</f>
        <v>polygon</v>
      </c>
      <c r="F310" s="17">
        <v>5</v>
      </c>
      <c r="G310" s="17">
        <f t="shared" ref="G310:G314" si="366">A310</f>
        <v>503</v>
      </c>
      <c r="H310" s="13" t="str">
        <f t="shared" ref="H310:H314" si="367">"GachaTop_"&amp;A310&amp;".png"</f>
        <v>GachaTop_503.png</v>
      </c>
      <c r="I310" s="23">
        <v>1</v>
      </c>
      <c r="J310" s="23">
        <f t="shared" ref="J310:J314" si="368">A310</f>
        <v>503</v>
      </c>
      <c r="K310" s="23">
        <v>1</v>
      </c>
      <c r="L310" s="55" t="s">
        <v>813</v>
      </c>
      <c r="M310" s="55" t="s">
        <v>814</v>
      </c>
      <c r="N310" s="2" t="s">
        <v>118</v>
      </c>
      <c r="O310" s="111" t="s">
        <v>2439</v>
      </c>
      <c r="P310" s="26" t="s">
        <v>2514</v>
      </c>
      <c r="Q310" s="26" t="s">
        <v>2442</v>
      </c>
      <c r="R310" s="49" t="s">
        <v>1732</v>
      </c>
    </row>
    <row r="311" spans="1:18" ht="50" customHeight="1" x14ac:dyDescent="0.15">
      <c r="A311" s="6">
        <f t="shared" si="365"/>
        <v>504</v>
      </c>
      <c r="B311" s="18">
        <v>3</v>
      </c>
      <c r="C311" s="2" t="s">
        <v>2437</v>
      </c>
      <c r="D311" s="2">
        <v>100</v>
      </c>
      <c r="E311" s="17" t="str">
        <f>VLOOKUP($D311,gacha_types!$A:$D,2,FALSE)</f>
        <v>polygon</v>
      </c>
      <c r="F311" s="17">
        <v>5</v>
      </c>
      <c r="G311" s="17">
        <f t="shared" si="366"/>
        <v>504</v>
      </c>
      <c r="H311" s="13" t="str">
        <f t="shared" si="367"/>
        <v>GachaTop_504.png</v>
      </c>
      <c r="I311" s="23">
        <v>1</v>
      </c>
      <c r="J311" s="23">
        <f t="shared" si="368"/>
        <v>504</v>
      </c>
      <c r="K311" s="23">
        <v>1</v>
      </c>
      <c r="L311" s="55" t="s">
        <v>813</v>
      </c>
      <c r="M311" s="55" t="s">
        <v>814</v>
      </c>
      <c r="N311" s="2" t="s">
        <v>118</v>
      </c>
      <c r="O311" s="111" t="s">
        <v>2440</v>
      </c>
      <c r="P311" s="26" t="s">
        <v>2461</v>
      </c>
      <c r="Q311" s="26" t="s">
        <v>2462</v>
      </c>
      <c r="R311" s="49" t="s">
        <v>1732</v>
      </c>
    </row>
    <row r="312" spans="1:18" ht="50" customHeight="1" x14ac:dyDescent="0.15">
      <c r="A312" s="6">
        <f t="shared" si="365"/>
        <v>505</v>
      </c>
      <c r="B312" s="18">
        <v>3</v>
      </c>
      <c r="C312" s="2" t="s">
        <v>2438</v>
      </c>
      <c r="D312" s="2">
        <v>100</v>
      </c>
      <c r="E312" s="17" t="str">
        <f>VLOOKUP($D312,gacha_types!$A:$D,2,FALSE)</f>
        <v>polygon</v>
      </c>
      <c r="F312" s="17">
        <v>5</v>
      </c>
      <c r="G312" s="17">
        <f t="shared" si="366"/>
        <v>505</v>
      </c>
      <c r="H312" s="13" t="str">
        <f t="shared" si="367"/>
        <v>GachaTop_505.png</v>
      </c>
      <c r="I312" s="23">
        <v>1</v>
      </c>
      <c r="J312" s="23">
        <f t="shared" si="368"/>
        <v>505</v>
      </c>
      <c r="K312" s="23">
        <v>1</v>
      </c>
      <c r="L312" s="55" t="s">
        <v>813</v>
      </c>
      <c r="M312" s="55" t="s">
        <v>814</v>
      </c>
      <c r="N312" s="2" t="s">
        <v>118</v>
      </c>
      <c r="O312" s="111" t="s">
        <v>2441</v>
      </c>
      <c r="P312" s="26" t="s">
        <v>2463</v>
      </c>
      <c r="Q312" s="26" t="s">
        <v>2464</v>
      </c>
      <c r="R312" s="49" t="s">
        <v>1732</v>
      </c>
    </row>
    <row r="313" spans="1:18" ht="50" customHeight="1" x14ac:dyDescent="0.15">
      <c r="A313" s="6">
        <f>506</f>
        <v>506</v>
      </c>
      <c r="B313" s="18">
        <v>3</v>
      </c>
      <c r="C313" s="2" t="s">
        <v>2477</v>
      </c>
      <c r="D313" s="2">
        <v>100</v>
      </c>
      <c r="E313" s="17" t="str">
        <f>VLOOKUP($D313,gacha_types!$A:$D,2,FALSE)</f>
        <v>polygon</v>
      </c>
      <c r="F313" s="17">
        <v>5</v>
      </c>
      <c r="G313" s="17">
        <f t="shared" si="366"/>
        <v>506</v>
      </c>
      <c r="H313" s="13" t="str">
        <f t="shared" si="367"/>
        <v>GachaTop_506.png</v>
      </c>
      <c r="I313" s="23">
        <v>1</v>
      </c>
      <c r="J313" s="23">
        <f t="shared" si="368"/>
        <v>506</v>
      </c>
      <c r="K313" s="23">
        <v>1</v>
      </c>
      <c r="L313" s="55" t="s">
        <v>813</v>
      </c>
      <c r="M313" s="55" t="s">
        <v>814</v>
      </c>
      <c r="N313" s="2" t="s">
        <v>118</v>
      </c>
      <c r="O313" s="111" t="str">
        <f>CONCATENATE("&lt;font color=""#ffab27""&gt;",TEXT(VLOOKUP(A313,gacha_schedules!C:F,4,FALSE),"mm/dd hh:mm"),"&lt;/font&gt;まで")</f>
        <v>&lt;font color="#ffab27"&gt;01/14 14:59&lt;/font&gt;まで</v>
      </c>
      <c r="P313" s="111" t="s">
        <v>2568</v>
      </c>
      <c r="Q313" s="26" t="str">
        <f>CONCATENATE(O313, "
",P313,"
",R313)</f>
        <v>&lt;font color="#ffab27"&gt;01/14 14:59&lt;/font&gt;まで_x000D_チョイス1　&lt;font color="#00e075"&gt;ハレー&lt;/font&gt;、&lt;font color="#ffe22a"&gt;フーリエ&lt;/font&gt;出現中！_x000D_&lt;font color="#ffab27"&gt;※★6覚醒済み、超覚醒済みユニットは直接排出されません&lt;/font&gt;</v>
      </c>
      <c r="R313" s="49" t="s">
        <v>1732</v>
      </c>
    </row>
    <row r="314" spans="1:18" ht="50" customHeight="1" x14ac:dyDescent="0.15">
      <c r="A314" s="6">
        <f>A313+1</f>
        <v>507</v>
      </c>
      <c r="B314" s="18">
        <v>3</v>
      </c>
      <c r="C314" s="2" t="s">
        <v>2484</v>
      </c>
      <c r="D314" s="2">
        <v>100</v>
      </c>
      <c r="E314" s="17" t="str">
        <f>VLOOKUP($D314,gacha_types!$A:$D,2,FALSE)</f>
        <v>polygon</v>
      </c>
      <c r="F314" s="17">
        <v>5</v>
      </c>
      <c r="G314" s="17">
        <f t="shared" si="366"/>
        <v>507</v>
      </c>
      <c r="H314" s="13" t="str">
        <f t="shared" si="367"/>
        <v>GachaTop_507.png</v>
      </c>
      <c r="I314" s="23">
        <v>1</v>
      </c>
      <c r="J314" s="23">
        <f t="shared" si="368"/>
        <v>507</v>
      </c>
      <c r="K314" s="23">
        <v>1</v>
      </c>
      <c r="L314" s="55" t="s">
        <v>813</v>
      </c>
      <c r="M314" s="55" t="s">
        <v>814</v>
      </c>
      <c r="N314" s="2" t="s">
        <v>118</v>
      </c>
      <c r="O314" s="111" t="str">
        <f>CONCATENATE("&lt;font color=""#ffab27""&gt;",TEXT(VLOOKUP(A314,gacha_schedules!C:F,4,FALSE),"mm/dd hh:mm"),"&lt;/font&gt;まで")</f>
        <v>&lt;font color="#ffab27"&gt;01/15 14:59&lt;/font&gt;まで</v>
      </c>
      <c r="P314" s="111" t="s">
        <v>2567</v>
      </c>
      <c r="Q314" s="26" t="str">
        <f>CONCATENATE(O314, "
",P314,"
",R314)</f>
        <v>&lt;font color="#ffab27"&gt;01/15 14:59&lt;/font&gt;まで_x000D_チョイス2　&lt;font color="#00e075"&gt;ハレー&lt;/font&gt;、&lt;font color="#ff2626"&gt;モールス&lt;/font&gt;出現中！_x000D_&lt;font color="#ffab27"&gt;※★6覚醒済み、超覚醒済みユニットは直接排出されません&lt;/font&gt;</v>
      </c>
      <c r="R314" s="49" t="s">
        <v>1732</v>
      </c>
    </row>
    <row r="315" spans="1:18" ht="50" customHeight="1" x14ac:dyDescent="0.15">
      <c r="A315" s="6">
        <f>A314+1</f>
        <v>508</v>
      </c>
      <c r="B315" s="18">
        <v>3</v>
      </c>
      <c r="C315" s="2" t="s">
        <v>2485</v>
      </c>
      <c r="D315" s="2">
        <v>100</v>
      </c>
      <c r="E315" s="17" t="str">
        <f>VLOOKUP($D315,gacha_types!$A:$D,2,FALSE)</f>
        <v>polygon</v>
      </c>
      <c r="F315" s="17">
        <v>5</v>
      </c>
      <c r="G315" s="17">
        <f t="shared" ref="G315" si="369">A315</f>
        <v>508</v>
      </c>
      <c r="H315" s="13" t="str">
        <f t="shared" ref="H315" si="370">"GachaTop_"&amp;A315&amp;".png"</f>
        <v>GachaTop_508.png</v>
      </c>
      <c r="I315" s="23">
        <v>1</v>
      </c>
      <c r="J315" s="23">
        <f t="shared" ref="J315" si="371">A315</f>
        <v>508</v>
      </c>
      <c r="K315" s="23">
        <v>1</v>
      </c>
      <c r="L315" s="55" t="s">
        <v>813</v>
      </c>
      <c r="M315" s="55" t="s">
        <v>814</v>
      </c>
      <c r="N315" s="2" t="s">
        <v>118</v>
      </c>
      <c r="O315" s="111" t="str">
        <f>CONCATENATE("&lt;font color=""#ffab27""&gt;",TEXT(VLOOKUP(A315,gacha_schedules!C:F,4,FALSE),"mm/dd hh:mm"),"&lt;/font&gt;まで")</f>
        <v>&lt;font color="#ffab27"&gt;01/16 14:59&lt;/font&gt;まで</v>
      </c>
      <c r="P315" s="111" t="s">
        <v>3030</v>
      </c>
      <c r="Q315" s="26" t="str">
        <f>CONCATENATE(O315, CHAR(13),P315, CHAR(13),R315)</f>
        <v>&lt;font color="#ffab27"&gt;01/16 14:59&lt;/font&gt;まで_x000D_チョイス3　&lt;font color="#00e075"&gt;ハレー&lt;/font&gt;、&lt;font color="#0093ff"&gt;ノイマン&lt;/font&gt;出現中！_x000D_&lt;font color="#ffab27"&gt;※★6覚醒済み、超覚醒済みユニットは直接排出されません&lt;/font&gt;</v>
      </c>
      <c r="R315" s="49" t="s">
        <v>1732</v>
      </c>
    </row>
    <row r="316" spans="1:18" ht="50" customHeight="1" x14ac:dyDescent="0.15">
      <c r="A316" s="6">
        <f>A315+1</f>
        <v>509</v>
      </c>
      <c r="B316" s="18">
        <v>3</v>
      </c>
      <c r="C316" s="2" t="s">
        <v>2499</v>
      </c>
      <c r="D316" s="2">
        <v>100</v>
      </c>
      <c r="E316" s="17" t="str">
        <f>VLOOKUP($D316,gacha_types!$A:$D,2,FALSE)</f>
        <v>polygon</v>
      </c>
      <c r="F316" s="17">
        <v>5</v>
      </c>
      <c r="G316" s="17">
        <f t="shared" ref="G316" si="372">A316</f>
        <v>509</v>
      </c>
      <c r="H316" s="13" t="str">
        <f t="shared" ref="H316" si="373">"GachaTop_"&amp;A316&amp;".png"</f>
        <v>GachaTop_509.png</v>
      </c>
      <c r="I316" s="23">
        <v>1</v>
      </c>
      <c r="J316" s="23">
        <f t="shared" ref="J316" si="374">A316</f>
        <v>509</v>
      </c>
      <c r="K316" s="23">
        <v>1</v>
      </c>
      <c r="L316" s="55" t="s">
        <v>813</v>
      </c>
      <c r="M316" s="55" t="s">
        <v>814</v>
      </c>
      <c r="N316" s="2" t="s">
        <v>118</v>
      </c>
      <c r="O316" s="111" t="str">
        <f>CONCATENATE("&lt;font color=""#ffab27""&gt;",TEXT(VLOOKUP(A316,gacha_schedules!C:F,4,FALSE),"mm/dd hh:mm"),"&lt;/font&gt;まで新ユニットの出現率UP中！")</f>
        <v>&lt;font color="#ffab27"&gt;01/25 14:59&lt;/font&gt;まで新ユニットの出現率UP中！</v>
      </c>
      <c r="P316" s="26" t="s">
        <v>1886</v>
      </c>
      <c r="Q316" s="26" t="str">
        <f t="shared" ref="Q316:Q318" si="375">CONCATENATE(O316, CHAR(13),P316, CHAR(13),R316)</f>
        <v>&lt;font color="#ffab27"&gt;01/25 14:59&lt;/font&gt;まで新ユニットの出現率UP中！_x000D_10連で新ユニットが1体確定出現！_x000D_&lt;font color="#ffab27"&gt;※★6覚醒済み、超覚醒済みユニットは直接排出されません&lt;/font&gt;</v>
      </c>
      <c r="R316" s="49" t="s">
        <v>1732</v>
      </c>
    </row>
    <row r="317" spans="1:18" ht="50" customHeight="1" x14ac:dyDescent="0.15">
      <c r="A317" s="6">
        <f>A316+1</f>
        <v>510</v>
      </c>
      <c r="B317" s="18">
        <v>3</v>
      </c>
      <c r="C317" s="2" t="s">
        <v>2528</v>
      </c>
      <c r="D317" s="2">
        <v>100</v>
      </c>
      <c r="E317" s="17" t="str">
        <f>VLOOKUP($D317,gacha_types!$A:$D,2,FALSE)</f>
        <v>polygon</v>
      </c>
      <c r="F317" s="17">
        <v>5</v>
      </c>
      <c r="G317" s="17">
        <f t="shared" ref="G317" si="376">A317</f>
        <v>510</v>
      </c>
      <c r="H317" s="13" t="str">
        <f t="shared" ref="H317" si="377">"GachaTop_"&amp;A317&amp;".png"</f>
        <v>GachaTop_510.png</v>
      </c>
      <c r="I317" s="23">
        <v>1</v>
      </c>
      <c r="J317" s="23">
        <f t="shared" ref="J317" si="378">A317</f>
        <v>510</v>
      </c>
      <c r="K317" s="23">
        <v>1</v>
      </c>
      <c r="L317" s="55" t="s">
        <v>813</v>
      </c>
      <c r="M317" s="55" t="s">
        <v>814</v>
      </c>
      <c r="N317" s="2" t="s">
        <v>118</v>
      </c>
      <c r="O317" s="111" t="str">
        <f>CONCATENATE("&lt;font color=""#ffab27""&gt;",TEXT(VLOOKUP(A317,gacha_schedules!C:F,4,FALSE),"mm/dd hh:mm"),"&lt;/font&gt;まで")</f>
        <v>&lt;font color="#ffab27"&gt;01/26 23:59&lt;/font&gt;まで</v>
      </c>
      <c r="P317" s="111" t="s">
        <v>2513</v>
      </c>
      <c r="Q317" s="26" t="str">
        <f t="shared" si="375"/>
        <v>&lt;font color="#ffab27"&gt;01/26 23:59&lt;/font&gt;まで_x000D_&lt;font color="#00e075"&gt;ハーメルン&lt;/font&gt;、&lt;font color="#00e075"&gt;トルストイ&lt;/font&gt;の出現率UP！_x000D_&lt;font color="#ffab27"&gt;※★6覚醒済み、超覚醒済みユニットは直接排出されません&lt;/font&gt;</v>
      </c>
      <c r="R317" s="49" t="s">
        <v>1732</v>
      </c>
    </row>
    <row r="318" spans="1:18" ht="50" customHeight="1" x14ac:dyDescent="0.15">
      <c r="A318" s="6">
        <f>A317+1</f>
        <v>511</v>
      </c>
      <c r="B318" s="18">
        <v>3</v>
      </c>
      <c r="C318" s="2" t="s">
        <v>2504</v>
      </c>
      <c r="D318" s="2">
        <v>100</v>
      </c>
      <c r="E318" s="17" t="str">
        <f>VLOOKUP($D318,gacha_types!$A:$D,2,FALSE)</f>
        <v>polygon</v>
      </c>
      <c r="F318" s="17">
        <v>5</v>
      </c>
      <c r="G318" s="17">
        <f t="shared" ref="G318" si="379">A318</f>
        <v>511</v>
      </c>
      <c r="H318" s="13" t="str">
        <f t="shared" ref="H318" si="380">"GachaTop_"&amp;A318&amp;".png"</f>
        <v>GachaTop_511.png</v>
      </c>
      <c r="I318" s="23">
        <v>1</v>
      </c>
      <c r="J318" s="23">
        <f t="shared" ref="J318" si="381">A318</f>
        <v>511</v>
      </c>
      <c r="K318" s="23">
        <v>1</v>
      </c>
      <c r="L318" s="55" t="s">
        <v>813</v>
      </c>
      <c r="M318" s="55" t="s">
        <v>814</v>
      </c>
      <c r="N318" s="2" t="s">
        <v>118</v>
      </c>
      <c r="O318" s="111" t="str">
        <f>CONCATENATE("&lt;font color=""#ffab27""&gt;",TEXT(VLOOKUP(A318,gacha_schedules!C:F,4,FALSE),"mm/dd hh:mm"),"&lt;/font&gt;まで")</f>
        <v>&lt;font color="#ffab27"&gt;01/26 23:59&lt;/font&gt;まで</v>
      </c>
      <c r="P318" s="111" t="s">
        <v>2537</v>
      </c>
      <c r="Q318" s="26" t="str">
        <f t="shared" si="375"/>
        <v>&lt;font color="#ffab27"&gt;01/26 23:59&lt;/font&gt;まで_x000D_今だけ！ステップアップで&lt;font color="#00e075"&gt;ルメートル&lt;/font&gt;の出現率アップ！_x000D_&lt;font color="#ffab27"&gt;※★6覚醒済み、超覚醒済みユニットは直接排出されません&lt;/font&gt;</v>
      </c>
      <c r="R318" s="49" t="s">
        <v>1732</v>
      </c>
    </row>
    <row r="319" spans="1:18" ht="50" customHeight="1" x14ac:dyDescent="0.15">
      <c r="A319" s="6">
        <v>512</v>
      </c>
      <c r="B319" s="18">
        <v>3</v>
      </c>
      <c r="C319" s="2" t="s">
        <v>2465</v>
      </c>
      <c r="D319" s="2">
        <v>100</v>
      </c>
      <c r="E319" s="17" t="str">
        <f>VLOOKUP($D319,gacha_types!$A:$D,2,FALSE)</f>
        <v>polygon</v>
      </c>
      <c r="F319" s="17">
        <v>5</v>
      </c>
      <c r="G319" s="17">
        <f t="shared" ref="G319" si="382">A319</f>
        <v>512</v>
      </c>
      <c r="H319" s="69" t="s">
        <v>2473</v>
      </c>
      <c r="I319" s="23">
        <v>1</v>
      </c>
      <c r="J319" s="23">
        <f t="shared" ref="J319" si="383">A319</f>
        <v>512</v>
      </c>
      <c r="K319" s="23">
        <v>1</v>
      </c>
      <c r="L319" s="55" t="s">
        <v>813</v>
      </c>
      <c r="M319" s="55" t="s">
        <v>814</v>
      </c>
      <c r="N319" s="2" t="s">
        <v>118</v>
      </c>
      <c r="O319" s="111"/>
      <c r="P319" s="26"/>
      <c r="Q319" s="50" t="s">
        <v>2552</v>
      </c>
      <c r="R319" s="49" t="s">
        <v>1732</v>
      </c>
    </row>
    <row r="320" spans="1:18" ht="50" customHeight="1" x14ac:dyDescent="0.15">
      <c r="A320" s="6">
        <v>513</v>
      </c>
      <c r="B320" s="18">
        <v>3</v>
      </c>
      <c r="C320" s="2" t="s">
        <v>2466</v>
      </c>
      <c r="D320" s="2">
        <v>100</v>
      </c>
      <c r="E320" s="17" t="str">
        <f>VLOOKUP($D320,gacha_types!$A:$D,2,FALSE)</f>
        <v>polygon</v>
      </c>
      <c r="F320" s="17">
        <v>5</v>
      </c>
      <c r="G320" s="17">
        <f t="shared" ref="G320:G326" si="384">A320</f>
        <v>513</v>
      </c>
      <c r="H320" s="69" t="s">
        <v>2474</v>
      </c>
      <c r="I320" s="23">
        <v>1</v>
      </c>
      <c r="J320" s="23">
        <f t="shared" ref="J320:J326" si="385">A320</f>
        <v>513</v>
      </c>
      <c r="K320" s="23">
        <v>1</v>
      </c>
      <c r="L320" s="55" t="s">
        <v>813</v>
      </c>
      <c r="M320" s="55" t="s">
        <v>814</v>
      </c>
      <c r="N320" s="2" t="s">
        <v>118</v>
      </c>
      <c r="O320" s="111"/>
      <c r="P320" s="26"/>
      <c r="Q320" s="50" t="s">
        <v>2600</v>
      </c>
      <c r="R320" s="49" t="s">
        <v>1732</v>
      </c>
    </row>
    <row r="321" spans="1:18" ht="50" customHeight="1" x14ac:dyDescent="0.15">
      <c r="A321" s="6">
        <v>514</v>
      </c>
      <c r="B321" s="18">
        <v>3</v>
      </c>
      <c r="C321" s="2" t="s">
        <v>2510</v>
      </c>
      <c r="D321" s="2">
        <v>100</v>
      </c>
      <c r="E321" s="17" t="str">
        <f>VLOOKUP($D321,gacha_types!$A:$D,2,FALSE)</f>
        <v>polygon</v>
      </c>
      <c r="F321" s="17">
        <v>5</v>
      </c>
      <c r="G321" s="17">
        <f t="shared" si="384"/>
        <v>514</v>
      </c>
      <c r="H321" s="69" t="s">
        <v>2531</v>
      </c>
      <c r="I321" s="23">
        <v>1</v>
      </c>
      <c r="J321" s="23">
        <f t="shared" si="385"/>
        <v>514</v>
      </c>
      <c r="K321" s="23">
        <v>1</v>
      </c>
      <c r="L321" s="55" t="s">
        <v>813</v>
      </c>
      <c r="M321" s="55" t="s">
        <v>814</v>
      </c>
      <c r="N321" s="2" t="s">
        <v>118</v>
      </c>
      <c r="O321" s="111"/>
      <c r="P321" s="26"/>
      <c r="Q321" s="50" t="s">
        <v>1086</v>
      </c>
      <c r="R321" s="49"/>
    </row>
    <row r="322" spans="1:18" ht="50" customHeight="1" x14ac:dyDescent="0.15">
      <c r="A322" s="6">
        <v>515</v>
      </c>
      <c r="B322" s="18">
        <v>3</v>
      </c>
      <c r="C322" s="2" t="s">
        <v>2555</v>
      </c>
      <c r="D322" s="2">
        <v>100</v>
      </c>
      <c r="E322" s="17" t="str">
        <f>VLOOKUP($D322,gacha_types!$A:$D,2,FALSE)</f>
        <v>polygon</v>
      </c>
      <c r="F322" s="17">
        <v>5</v>
      </c>
      <c r="G322" s="17">
        <f t="shared" ref="G322:G324" si="386">A322</f>
        <v>515</v>
      </c>
      <c r="H322" s="13" t="str">
        <f t="shared" ref="H322:H324" si="387">"GachaTop_"&amp;A322&amp;".png"</f>
        <v>GachaTop_515.png</v>
      </c>
      <c r="I322" s="23">
        <v>1</v>
      </c>
      <c r="J322" s="23">
        <f t="shared" ref="J322:J324" si="388">A322</f>
        <v>515</v>
      </c>
      <c r="K322" s="23">
        <v>1</v>
      </c>
      <c r="L322" s="55" t="s">
        <v>813</v>
      </c>
      <c r="M322" s="55" t="s">
        <v>814</v>
      </c>
      <c r="N322" s="2" t="s">
        <v>118</v>
      </c>
      <c r="O322" s="111" t="str">
        <f>CONCATENATE("&lt;font color=""#ffab27""&gt;",TEXT(VLOOKUP(A322,gacha_schedules!C:F,4,FALSE),"mm/dd hh:mm"),"&lt;/font&gt;まで")</f>
        <v>&lt;font color="#ffab27"&gt;01/31 14:59&lt;/font&gt;まで</v>
      </c>
      <c r="P322" s="111" t="s">
        <v>2569</v>
      </c>
      <c r="Q322" s="26" t="str">
        <f>CONCATENATE(O322, "
",P322,"
",R322)</f>
        <v>&lt;font color="#ffab27"&gt;01/31 14:59&lt;/font&gt;まで_x000D_チョイス1　&lt;font color="#ffe22a"&gt;ラプラス&lt;/font&gt;、&lt;font color="#ff2626"&gt;ラグランジュ&lt;/font&gt;出現中！_x000D_&lt;font color="#ffab27"&gt;※★6覚醒済み、超覚醒済みユニットは直接排出されません&lt;/font&gt;</v>
      </c>
      <c r="R322" s="49" t="s">
        <v>1732</v>
      </c>
    </row>
    <row r="323" spans="1:18" ht="50" customHeight="1" x14ac:dyDescent="0.15">
      <c r="A323" s="6">
        <v>516</v>
      </c>
      <c r="B323" s="18">
        <v>3</v>
      </c>
      <c r="C323" s="2" t="s">
        <v>2554</v>
      </c>
      <c r="D323" s="2">
        <v>100</v>
      </c>
      <c r="E323" s="17" t="str">
        <f>VLOOKUP($D323,gacha_types!$A:$D,2,FALSE)</f>
        <v>polygon</v>
      </c>
      <c r="F323" s="17">
        <v>5</v>
      </c>
      <c r="G323" s="17">
        <f t="shared" si="386"/>
        <v>516</v>
      </c>
      <c r="H323" s="13" t="str">
        <f t="shared" si="387"/>
        <v>GachaTop_516.png</v>
      </c>
      <c r="I323" s="23">
        <v>1</v>
      </c>
      <c r="J323" s="23">
        <f t="shared" si="388"/>
        <v>516</v>
      </c>
      <c r="K323" s="23">
        <v>1</v>
      </c>
      <c r="L323" s="55" t="s">
        <v>813</v>
      </c>
      <c r="M323" s="55" t="s">
        <v>814</v>
      </c>
      <c r="N323" s="2" t="s">
        <v>118</v>
      </c>
      <c r="O323" s="111" t="str">
        <f>CONCATENATE("&lt;font color=""#ffab27""&gt;",TEXT(VLOOKUP(A323,gacha_schedules!C:F,4,FALSE),"mm/dd hh:mm"),"&lt;/font&gt;まで")</f>
        <v>&lt;font color="#ffab27"&gt;02/01 14:59&lt;/font&gt;まで</v>
      </c>
      <c r="P323" s="111" t="s">
        <v>2570</v>
      </c>
      <c r="Q323" s="26" t="str">
        <f>CONCATENATE(O323, "
",P323,"
",R323)</f>
        <v>&lt;font color="#ffab27"&gt;02/01 14:59&lt;/font&gt;まで_x000D_チョイス2　&lt;font color="#ffe22a"&gt;ラプラス&lt;/font&gt;、&lt;font color="#00e075"&gt;オイラー&lt;/font&gt;出現中！_x000D_&lt;font color="#ffab27"&gt;※★6覚醒済み、超覚醒済みユニットは直接排出されません&lt;/font&gt;</v>
      </c>
      <c r="R323" s="49" t="s">
        <v>1732</v>
      </c>
    </row>
    <row r="324" spans="1:18" ht="50" customHeight="1" x14ac:dyDescent="0.15">
      <c r="A324" s="6">
        <v>517</v>
      </c>
      <c r="B324" s="18">
        <v>3</v>
      </c>
      <c r="C324" s="2" t="s">
        <v>2553</v>
      </c>
      <c r="D324" s="2">
        <v>100</v>
      </c>
      <c r="E324" s="17" t="str">
        <f>VLOOKUP($D324,gacha_types!$A:$D,2,FALSE)</f>
        <v>polygon</v>
      </c>
      <c r="F324" s="17">
        <v>5</v>
      </c>
      <c r="G324" s="17">
        <f t="shared" si="386"/>
        <v>517</v>
      </c>
      <c r="H324" s="13" t="str">
        <f t="shared" si="387"/>
        <v>GachaTop_517.png</v>
      </c>
      <c r="I324" s="23">
        <v>1</v>
      </c>
      <c r="J324" s="23">
        <f t="shared" si="388"/>
        <v>517</v>
      </c>
      <c r="K324" s="23">
        <v>1</v>
      </c>
      <c r="L324" s="55" t="s">
        <v>813</v>
      </c>
      <c r="M324" s="55" t="s">
        <v>814</v>
      </c>
      <c r="N324" s="2" t="s">
        <v>118</v>
      </c>
      <c r="O324" s="111" t="str">
        <f>CONCATENATE("&lt;font color=""#ffab27""&gt;",TEXT(VLOOKUP(A324,gacha_schedules!C:F,4,FALSE),"mm/dd hh:mm"),"&lt;/font&gt;まで")</f>
        <v>&lt;font color="#ffab27"&gt;02/02 14:59&lt;/font&gt;まで</v>
      </c>
      <c r="P324" s="111" t="s">
        <v>2622</v>
      </c>
      <c r="Q324" s="26" t="str">
        <f>CONCATENATE(O324, CHAR(13),P324, CHAR(13),R324)</f>
        <v>&lt;font color="#ffab27"&gt;02/02 14:59&lt;/font&gt;まで_x000D_チョイス3　&lt;font color="#ffe22a"&gt;ラプラス&lt;/font&gt;、&lt;font color="#0093ff"&gt;ディラック&lt;/font&gt;出現中！_x000D_&lt;font color="#ffab27"&gt;※★6覚醒済み、超覚醒済みユニットは直接排出されません&lt;/font&gt;</v>
      </c>
      <c r="R324" s="49" t="s">
        <v>1732</v>
      </c>
    </row>
    <row r="325" spans="1:18" ht="50" customHeight="1" x14ac:dyDescent="0.15">
      <c r="A325" s="6">
        <v>518</v>
      </c>
      <c r="B325" s="18">
        <v>3</v>
      </c>
      <c r="C325" s="2" t="s">
        <v>2467</v>
      </c>
      <c r="D325" s="2">
        <v>100</v>
      </c>
      <c r="E325" s="17" t="str">
        <f>VLOOKUP($D325,gacha_types!$A:$D,2,FALSE)</f>
        <v>polygon</v>
      </c>
      <c r="F325" s="17">
        <v>5</v>
      </c>
      <c r="G325" s="17">
        <f t="shared" si="384"/>
        <v>518</v>
      </c>
      <c r="H325" s="69" t="s">
        <v>2475</v>
      </c>
      <c r="I325" s="23">
        <v>1</v>
      </c>
      <c r="J325" s="23">
        <f t="shared" si="385"/>
        <v>518</v>
      </c>
      <c r="K325" s="23">
        <v>1</v>
      </c>
      <c r="L325" s="55" t="s">
        <v>813</v>
      </c>
      <c r="M325" s="55" t="s">
        <v>814</v>
      </c>
      <c r="N325" s="2" t="s">
        <v>118</v>
      </c>
      <c r="O325" s="111"/>
      <c r="P325" s="26"/>
      <c r="Q325" s="50" t="s">
        <v>2551</v>
      </c>
      <c r="R325" s="49" t="s">
        <v>1732</v>
      </c>
    </row>
    <row r="326" spans="1:18" ht="50" customHeight="1" x14ac:dyDescent="0.15">
      <c r="A326" s="6">
        <v>519</v>
      </c>
      <c r="B326" s="18">
        <v>3</v>
      </c>
      <c r="C326" s="2" t="s">
        <v>2573</v>
      </c>
      <c r="D326" s="2">
        <v>100</v>
      </c>
      <c r="E326" s="17" t="str">
        <f>VLOOKUP($D326,gacha_types!$A:$D,2,FALSE)</f>
        <v>polygon</v>
      </c>
      <c r="F326" s="17">
        <v>5</v>
      </c>
      <c r="G326" s="17">
        <f t="shared" si="384"/>
        <v>519</v>
      </c>
      <c r="H326" s="13" t="str">
        <f t="shared" ref="H326" si="389">"GachaTop_"&amp;A326&amp;".png"</f>
        <v>GachaTop_519.png</v>
      </c>
      <c r="I326" s="23">
        <v>1</v>
      </c>
      <c r="J326" s="23">
        <f t="shared" si="385"/>
        <v>519</v>
      </c>
      <c r="K326" s="23">
        <v>1</v>
      </c>
      <c r="L326" s="55" t="s">
        <v>813</v>
      </c>
      <c r="M326" s="55" t="s">
        <v>814</v>
      </c>
      <c r="N326" s="2" t="s">
        <v>118</v>
      </c>
      <c r="O326" s="111" t="str">
        <f>CONCATENATE("&lt;font color=""#ffab27""&gt;",TEXT(VLOOKUP(A326,gacha_schedules!C:F,4,FALSE),"mm/dd hh:mm"),"&lt;/font&gt;まで全ユニットレベルMAXで排出！")</f>
        <v>&lt;font color="#ffab27"&gt;02/06 14:59&lt;/font&gt;まで全ユニットレベルMAXで排出！</v>
      </c>
      <c r="P326" s="111" t="s">
        <v>2576</v>
      </c>
      <c r="Q326" s="26" t="str">
        <f>CONCATENATE(O326, CHAR(13),P326, CHAR(13),R326)</f>
        <v>&lt;font color="#ffab27"&gt;02/06 14:59&lt;/font&gt;まで全ユニットレベルMAXで排出！_x000D_さらに★5ユニット出現確率もUP中！_x000D_&lt;font color="#ffab27"&gt;※★6覚醒済みユニットは直接排出されません&lt;/font&gt;</v>
      </c>
      <c r="R326" s="49" t="s">
        <v>1067</v>
      </c>
    </row>
    <row r="327" spans="1:18" ht="50" customHeight="1" x14ac:dyDescent="0.15">
      <c r="A327" s="6">
        <v>520</v>
      </c>
      <c r="B327" s="18">
        <v>3</v>
      </c>
      <c r="C327" s="2" t="s">
        <v>2589</v>
      </c>
      <c r="D327" s="2">
        <v>100</v>
      </c>
      <c r="E327" s="17" t="str">
        <f>VLOOKUP($D327,gacha_types!$A:$D,2,FALSE)</f>
        <v>polygon</v>
      </c>
      <c r="F327" s="17">
        <v>5</v>
      </c>
      <c r="G327" s="17">
        <f t="shared" ref="G327:G333" si="390">A327</f>
        <v>520</v>
      </c>
      <c r="H327" s="13" t="str">
        <f t="shared" ref="H327:H333" si="391">"GachaTop_"&amp;A327&amp;".png"</f>
        <v>GachaTop_520.png</v>
      </c>
      <c r="I327" s="23">
        <v>1</v>
      </c>
      <c r="J327" s="23">
        <f t="shared" ref="J327:J333" si="392">A327</f>
        <v>520</v>
      </c>
      <c r="K327" s="23">
        <v>1</v>
      </c>
      <c r="L327" s="55" t="s">
        <v>813</v>
      </c>
      <c r="M327" s="55" t="s">
        <v>814</v>
      </c>
      <c r="N327" s="2" t="s">
        <v>118</v>
      </c>
      <c r="O327" s="111" t="str">
        <f>CONCATENATE("&lt;font color=""#ffab27""&gt;",TEXT(VLOOKUP(A327,gacha_schedules!C:F,4,FALSE),"mm/dd hh:mm"),"&lt;/font&gt;まで")</f>
        <v>&lt;font color="#ffab27"&gt;02/10 14:59&lt;/font&gt;まで</v>
      </c>
      <c r="P327" s="111" t="s">
        <v>2867</v>
      </c>
      <c r="Q327" s="26" t="str">
        <f t="shared" ref="Q327:Q328" si="393">CONCATENATE(O327, CHAR(13),P327, CHAR(13),R327)</f>
        <v>&lt;font color="#ffab27"&gt;02/10 14:59&lt;/font&gt;まで_x000D_STEP5で★6覚醒可能ユニット1体確定！_x000D_&lt;font color="#ffab27"&gt;※★6覚醒済みユニットは直接排出されません&lt;/font&gt;</v>
      </c>
      <c r="R327" s="49" t="s">
        <v>1067</v>
      </c>
    </row>
    <row r="328" spans="1:18" ht="50" customHeight="1" x14ac:dyDescent="0.15">
      <c r="A328" s="6">
        <v>521</v>
      </c>
      <c r="B328" s="18">
        <v>3</v>
      </c>
      <c r="C328" s="2" t="s">
        <v>2588</v>
      </c>
      <c r="D328" s="2">
        <v>100</v>
      </c>
      <c r="E328" s="17" t="str">
        <f>VLOOKUP($D328,gacha_types!$A:$D,2,FALSE)</f>
        <v>polygon</v>
      </c>
      <c r="F328" s="17">
        <v>5</v>
      </c>
      <c r="G328" s="17">
        <f t="shared" si="390"/>
        <v>521</v>
      </c>
      <c r="H328" s="13" t="str">
        <f t="shared" si="391"/>
        <v>GachaTop_521.png</v>
      </c>
      <c r="I328" s="23">
        <v>1</v>
      </c>
      <c r="J328" s="23">
        <f t="shared" si="392"/>
        <v>521</v>
      </c>
      <c r="K328" s="23">
        <v>1</v>
      </c>
      <c r="L328" s="55" t="s">
        <v>813</v>
      </c>
      <c r="M328" s="55" t="s">
        <v>814</v>
      </c>
      <c r="N328" s="2" t="s">
        <v>118</v>
      </c>
      <c r="O328" s="26" t="s">
        <v>337</v>
      </c>
      <c r="P328" s="2" t="s">
        <v>2597</v>
      </c>
      <c r="Q328" s="26" t="str">
        <f t="shared" si="393"/>
        <v>【&lt;font color="#ff2626"&gt;超&lt;/font&gt;&lt;font color="#ffe22a"&gt;激&lt;/font&gt;&lt;font color="#0093ff"&gt;レ&lt;/font&gt;&lt;font color="#00e075"&gt;ア&lt;/font&gt;ユニットをGETしよう！】_x000D_&lt;font color="#ffab27"&gt;2/13 14:59まで&lt;/font&gt;使用率上位ユニット4体の出現率UP!_x000D_&lt;font color="#ffab27"&gt;※★6覚醒済みユニットは直接排出されません&lt;/font&gt;</v>
      </c>
      <c r="R328" s="49" t="s">
        <v>1067</v>
      </c>
    </row>
    <row r="329" spans="1:18" ht="50" customHeight="1" x14ac:dyDescent="0.15">
      <c r="A329" s="6">
        <v>522</v>
      </c>
      <c r="B329" s="18">
        <v>3</v>
      </c>
      <c r="C329" s="2" t="s">
        <v>2577</v>
      </c>
      <c r="D329" s="2">
        <v>100</v>
      </c>
      <c r="E329" s="17" t="str">
        <f>VLOOKUP($D329,gacha_types!$A:$D,2,FALSE)</f>
        <v>polygon</v>
      </c>
      <c r="F329" s="17">
        <v>5</v>
      </c>
      <c r="G329" s="17">
        <f t="shared" si="390"/>
        <v>522</v>
      </c>
      <c r="H329" s="13" t="str">
        <f t="shared" si="391"/>
        <v>GachaTop_522.png</v>
      </c>
      <c r="I329" s="23">
        <v>1</v>
      </c>
      <c r="J329" s="23">
        <f t="shared" si="392"/>
        <v>522</v>
      </c>
      <c r="K329" s="23">
        <v>1</v>
      </c>
      <c r="L329" s="55" t="s">
        <v>813</v>
      </c>
      <c r="M329" s="55" t="s">
        <v>814</v>
      </c>
      <c r="N329" s="2" t="s">
        <v>118</v>
      </c>
      <c r="O329" s="111" t="str">
        <f>CONCATENATE("&lt;font color=""#ffab27""&gt;",TEXT(VLOOKUP(A329,gacha_schedules!C:F,4,FALSE),"mm/dd hh:mm"),"&lt;/font&gt;まで 10連5回目で")</f>
        <v>&lt;font color="#ffab27"&gt;02/21 14:59&lt;/font&gt;まで 10連5回目で</v>
      </c>
      <c r="P329" s="111" t="s">
        <v>2628</v>
      </c>
      <c r="Q329" s="26" t="str">
        <f>CONCATENATE(O329, CHAR(13),P329, CHAR(13),R329)</f>
        <v>&lt;font color="#ffab27"&gt;02/21 14:59&lt;/font&gt;まで 10連5回目で_x000D_&lt;font color="#0093ff"&gt;トウカ&lt;/font&gt;、&lt;font color="#0093ff"&gt;ヴァニレ&lt;/font&gt;、&lt;font color="#ffe22a"&gt;バレンタインメタトロン&lt;/font&gt;から1体確定！_x000D_&lt;font color="#ffab27"&gt;※ヴァニレ、バレンタインメタトロンは★6で排出されます&lt;/font&gt;</v>
      </c>
      <c r="R329" s="49" t="s">
        <v>2623</v>
      </c>
    </row>
    <row r="330" spans="1:18" ht="50" customHeight="1" x14ac:dyDescent="0.15">
      <c r="A330" s="6">
        <v>523</v>
      </c>
      <c r="B330" s="18">
        <v>3</v>
      </c>
      <c r="C330" s="2" t="s">
        <v>2578</v>
      </c>
      <c r="D330" s="2">
        <v>100</v>
      </c>
      <c r="E330" s="17" t="str">
        <f>VLOOKUP($D330,gacha_types!$A:$D,2,FALSE)</f>
        <v>polygon</v>
      </c>
      <c r="F330" s="17">
        <v>5</v>
      </c>
      <c r="G330" s="17">
        <f t="shared" si="390"/>
        <v>523</v>
      </c>
      <c r="H330" s="13" t="str">
        <f t="shared" si="391"/>
        <v>GachaTop_523.png</v>
      </c>
      <c r="I330" s="23">
        <v>1</v>
      </c>
      <c r="J330" s="23">
        <f t="shared" si="392"/>
        <v>523</v>
      </c>
      <c r="K330" s="23">
        <v>1</v>
      </c>
      <c r="L330" s="55" t="s">
        <v>813</v>
      </c>
      <c r="M330" s="55" t="s">
        <v>814</v>
      </c>
      <c r="N330" s="2" t="s">
        <v>118</v>
      </c>
      <c r="O330" s="111" t="str">
        <f>CONCATENATE("&lt;font color=""#ffab27""&gt;",TEXT(VLOOKUP(A330,gacha_schedules!C:F,4,FALSE),"mm/dd hh:mm"),"&lt;/font&gt;まで 10連5回目で")</f>
        <v>&lt;font color="#ffab27"&gt;02/21 14:59&lt;/font&gt;まで 10連5回目で</v>
      </c>
      <c r="P330" s="111" t="s">
        <v>2629</v>
      </c>
      <c r="Q330" s="26" t="str">
        <f>CONCATENATE(O330, CHAR(13),P330, CHAR(13),R330)</f>
        <v>&lt;font color="#ffab27"&gt;02/21 14:59&lt;/font&gt;まで 10連5回目で_x000D_&lt;font color="#ff2626"&gt;フォンデュ&lt;/font&gt;、&lt;font color="#ff2626"&gt;コルネ&lt;/font&gt;、&lt;font color="#00e075"&gt;バレンタインフレイヤ&lt;/font&gt;から1体確定！_x000D_&lt;font color="#ffab27"&gt;※フォンデュ、バレンタインフレイヤは★6で排出されます&lt;/font&gt;</v>
      </c>
      <c r="R330" s="49" t="s">
        <v>2624</v>
      </c>
    </row>
    <row r="331" spans="1:18" ht="50" customHeight="1" x14ac:dyDescent="0.15">
      <c r="A331" s="6">
        <v>524</v>
      </c>
      <c r="B331" s="18">
        <v>3</v>
      </c>
      <c r="C331" s="2" t="s">
        <v>2604</v>
      </c>
      <c r="D331" s="2">
        <v>100</v>
      </c>
      <c r="E331" s="17" t="str">
        <f>VLOOKUP($D331,gacha_types!$A:$D,2,FALSE)</f>
        <v>polygon</v>
      </c>
      <c r="F331" s="17">
        <v>5</v>
      </c>
      <c r="G331" s="17">
        <f t="shared" si="390"/>
        <v>524</v>
      </c>
      <c r="H331" s="13" t="str">
        <f t="shared" si="391"/>
        <v>GachaTop_524.png</v>
      </c>
      <c r="I331" s="23">
        <v>1</v>
      </c>
      <c r="J331" s="23">
        <f t="shared" si="392"/>
        <v>524</v>
      </c>
      <c r="K331" s="23">
        <v>1</v>
      </c>
      <c r="L331" s="55" t="s">
        <v>813</v>
      </c>
      <c r="M331" s="55" t="s">
        <v>814</v>
      </c>
      <c r="N331" s="2" t="s">
        <v>118</v>
      </c>
      <c r="O331" s="111" t="str">
        <f>CONCATENATE("&lt;font color=""#ffab27""&gt;",TEXT(VLOOKUP(A331,gacha_schedules!C:F,4,FALSE),"mm/dd hh:mm"),"&lt;/font&gt;まで")</f>
        <v>&lt;font color="#ffab27"&gt;02/18 14:59&lt;/font&gt;まで</v>
      </c>
      <c r="P331" s="111" t="s">
        <v>2752</v>
      </c>
      <c r="Q331" s="26" t="str">
        <f>CONCATENATE(O331, "
",P331,"
",R331)</f>
        <v>&lt;font color="#ffab27"&gt;02/18 14:59&lt;/font&gt;まで_x000D_チョイス1　&lt;font color="#0093ff"&gt;ユング&lt;/font&gt;、&lt;font color="#00e075"&gt;チューリング&lt;/font&gt;出現中！_x000D_&lt;font color="#ffab27"&gt;※★6覚醒済み、超覚醒済みユニットは直接排出されません&lt;/font&gt;</v>
      </c>
      <c r="R331" s="49" t="s">
        <v>1732</v>
      </c>
    </row>
    <row r="332" spans="1:18" ht="50" customHeight="1" x14ac:dyDescent="0.15">
      <c r="A332" s="6">
        <v>525</v>
      </c>
      <c r="B332" s="18">
        <v>3</v>
      </c>
      <c r="C332" s="2" t="s">
        <v>2484</v>
      </c>
      <c r="D332" s="2">
        <v>100</v>
      </c>
      <c r="E332" s="17" t="str">
        <f>VLOOKUP($D332,gacha_types!$A:$D,2,FALSE)</f>
        <v>polygon</v>
      </c>
      <c r="F332" s="17">
        <v>5</v>
      </c>
      <c r="G332" s="17">
        <f t="shared" si="390"/>
        <v>525</v>
      </c>
      <c r="H332" s="13" t="str">
        <f t="shared" si="391"/>
        <v>GachaTop_525.png</v>
      </c>
      <c r="I332" s="23">
        <v>1</v>
      </c>
      <c r="J332" s="23">
        <f t="shared" si="392"/>
        <v>525</v>
      </c>
      <c r="K332" s="23">
        <v>1</v>
      </c>
      <c r="L332" s="55" t="s">
        <v>813</v>
      </c>
      <c r="M332" s="55" t="s">
        <v>814</v>
      </c>
      <c r="N332" s="2" t="s">
        <v>118</v>
      </c>
      <c r="O332" s="111" t="str">
        <f>CONCATENATE("&lt;font color=""#ffab27""&gt;",TEXT(VLOOKUP(A332,gacha_schedules!C:F,4,FALSE),"mm/dd hh:mm"),"&lt;/font&gt;まで")</f>
        <v>&lt;font color="#ffab27"&gt;02/19 14:59&lt;/font&gt;まで</v>
      </c>
      <c r="P332" s="111" t="s">
        <v>2621</v>
      </c>
      <c r="Q332" s="26" t="str">
        <f>CONCATENATE(O332, "
",P332,"
",R332)</f>
        <v>&lt;font color="#ffab27"&gt;02/19 14:59&lt;/font&gt;まで_x000D_チョイス2　&lt;font color="#0093ff"&gt;ユング&lt;/font&gt;、&lt;font color="#ff2626"&gt;シュレディンガー&lt;/font&gt;出現中！_x000D_&lt;font color="#ffab27"&gt;※★6覚醒済み、超覚醒済みユニットは直接排出されません&lt;/font&gt;</v>
      </c>
      <c r="R332" s="49" t="s">
        <v>1732</v>
      </c>
    </row>
    <row r="333" spans="1:18" ht="50" customHeight="1" x14ac:dyDescent="0.15">
      <c r="A333" s="6">
        <v>526</v>
      </c>
      <c r="B333" s="18">
        <v>3</v>
      </c>
      <c r="C333" s="2" t="s">
        <v>2485</v>
      </c>
      <c r="D333" s="2">
        <v>100</v>
      </c>
      <c r="E333" s="17" t="str">
        <f>VLOOKUP($D333,gacha_types!$A:$D,2,FALSE)</f>
        <v>polygon</v>
      </c>
      <c r="F333" s="17">
        <v>5</v>
      </c>
      <c r="G333" s="17">
        <f t="shared" si="390"/>
        <v>526</v>
      </c>
      <c r="H333" s="13" t="str">
        <f t="shared" si="391"/>
        <v>GachaTop_526.png</v>
      </c>
      <c r="I333" s="23">
        <v>1</v>
      </c>
      <c r="J333" s="23">
        <f t="shared" si="392"/>
        <v>526</v>
      </c>
      <c r="K333" s="23">
        <v>1</v>
      </c>
      <c r="L333" s="55" t="s">
        <v>813</v>
      </c>
      <c r="M333" s="55" t="s">
        <v>814</v>
      </c>
      <c r="N333" s="2" t="s">
        <v>118</v>
      </c>
      <c r="O333" s="111" t="str">
        <f>CONCATENATE("&lt;font color=""#ffab27""&gt;",TEXT(VLOOKUP(A333,gacha_schedules!C:F,4,FALSE),"mm/dd hh:mm"),"&lt;/font&gt;まで")</f>
        <v>&lt;font color="#ffab27"&gt;02/20 14:59&lt;/font&gt;まで</v>
      </c>
      <c r="P333" s="111" t="s">
        <v>2792</v>
      </c>
      <c r="Q333" s="26" t="str">
        <f t="shared" ref="Q333:Q337" si="394">CONCATENATE(O333, CHAR(13),P333, CHAR(13),R333)</f>
        <v>&lt;font color="#ffab27"&gt;02/20 14:59&lt;/font&gt;まで_x000D_チョイス3　&lt;font color="#0093ff"&gt;ユング&lt;/font&gt;、&lt;font color="#ffe22a"&gt;ケプラー&lt;/font&gt;出現中！_x000D_&lt;font color="#ffab27"&gt;※★6覚醒済み、超覚醒済みユニットは直接排出されません&lt;/font&gt;</v>
      </c>
      <c r="R333" s="49" t="s">
        <v>1732</v>
      </c>
    </row>
    <row r="334" spans="1:18" ht="50" customHeight="1" x14ac:dyDescent="0.15">
      <c r="A334" s="6">
        <v>527</v>
      </c>
      <c r="B334" s="18">
        <v>3</v>
      </c>
      <c r="C334" s="2" t="s">
        <v>2603</v>
      </c>
      <c r="D334" s="2">
        <v>100</v>
      </c>
      <c r="E334" s="17" t="str">
        <f>VLOOKUP($D334,gacha_types!$A:$D,2,FALSE)</f>
        <v>polygon</v>
      </c>
      <c r="F334" s="17">
        <v>5</v>
      </c>
      <c r="G334" s="17">
        <f t="shared" ref="G334" si="395">A334</f>
        <v>527</v>
      </c>
      <c r="H334" s="13" t="str">
        <f t="shared" ref="H334" si="396">"GachaTop_"&amp;A334&amp;".png"</f>
        <v>GachaTop_527.png</v>
      </c>
      <c r="I334" s="23">
        <v>1</v>
      </c>
      <c r="J334" s="23">
        <f t="shared" ref="J334" si="397">A334</f>
        <v>527</v>
      </c>
      <c r="K334" s="23">
        <v>1</v>
      </c>
      <c r="L334" s="55" t="s">
        <v>813</v>
      </c>
      <c r="M334" s="55" t="s">
        <v>814</v>
      </c>
      <c r="N334" s="2" t="s">
        <v>118</v>
      </c>
      <c r="O334" s="111" t="str">
        <f>CONCATENATE("&lt;font color=""#ffab27""&gt;",TEXT(VLOOKUP(A334,gacha_schedules!C:F,4,FALSE),"mm/dd hh:mm"),"&lt;/font&gt;まで")</f>
        <v>&lt;font color="#ffab27"&gt;02/17 14:59&lt;/font&gt;まで</v>
      </c>
      <c r="P334" s="111" t="s">
        <v>2620</v>
      </c>
      <c r="Q334" s="26" t="str">
        <f t="shared" si="394"/>
        <v>&lt;font color="#ffab27"&gt;02/17 14:59&lt;/font&gt;まで_x000D_&lt;font color="#ff2626"&gt;ナポレオン&lt;/font&gt;、&lt;font color="#0093ff"&gt;上杉謙信&lt;/font&gt;出現率大幅アップ！_x000D_&lt;font color="#ffab27"&gt;※★6覚醒済み、超覚醒済みユニットは直接排出されません&lt;/font&gt;</v>
      </c>
      <c r="R334" s="49" t="s">
        <v>1732</v>
      </c>
    </row>
    <row r="335" spans="1:18" ht="50" customHeight="1" x14ac:dyDescent="0.15">
      <c r="A335" s="6">
        <v>528</v>
      </c>
      <c r="B335" s="18">
        <v>3</v>
      </c>
      <c r="C335" s="2" t="s">
        <v>2630</v>
      </c>
      <c r="D335" s="2">
        <v>100</v>
      </c>
      <c r="E335" s="17" t="str">
        <f>VLOOKUP($D335,gacha_types!$A:$D,2,FALSE)</f>
        <v>polygon</v>
      </c>
      <c r="F335" s="17">
        <v>5</v>
      </c>
      <c r="G335" s="17">
        <f t="shared" ref="G335:G339" si="398">A335</f>
        <v>528</v>
      </c>
      <c r="H335" s="13" t="str">
        <f t="shared" ref="H335:H337" si="399">"GachaTop_"&amp;A335&amp;".png"</f>
        <v>GachaTop_528.png</v>
      </c>
      <c r="I335" s="23">
        <v>1</v>
      </c>
      <c r="J335" s="23">
        <f t="shared" ref="J335:J339" si="400">A335</f>
        <v>528</v>
      </c>
      <c r="K335" s="23">
        <v>1</v>
      </c>
      <c r="L335" s="55" t="s">
        <v>813</v>
      </c>
      <c r="M335" s="55" t="s">
        <v>814</v>
      </c>
      <c r="N335" s="2" t="s">
        <v>118</v>
      </c>
      <c r="O335" s="111" t="str">
        <f>CONCATENATE("&lt;font color=""#ffab27""&gt;",TEXT(VLOOKUP(A335,gacha_schedules!C:F,4,FALSE),"mm/dd hh:mm"),"&lt;/font&gt;まで")</f>
        <v>&lt;font color="#ffab27"&gt;02/27 14:59&lt;/font&gt;まで</v>
      </c>
      <c r="P335" s="111" t="s">
        <v>2631</v>
      </c>
      <c r="Q335" s="26" t="str">
        <f t="shared" si="394"/>
        <v>&lt;font color="#ffab27"&gt;02/27 14:59&lt;/font&gt;まで_x000D_新ユニットが&lt;font color="#ff2626"&gt;バグUP&lt;/font&gt;で出現率大幅アップ！_x000D_&lt;font color="#ffab27"&gt;※★6覚醒済み、超覚醒済みユニットは直接排出されません&lt;/font&gt;</v>
      </c>
      <c r="R335" s="49" t="s">
        <v>1732</v>
      </c>
    </row>
    <row r="336" spans="1:18" ht="50" customHeight="1" x14ac:dyDescent="0.15">
      <c r="A336" s="6">
        <v>529</v>
      </c>
      <c r="B336" s="18">
        <v>3</v>
      </c>
      <c r="C336" s="2" t="s">
        <v>2643</v>
      </c>
      <c r="D336" s="2">
        <v>100</v>
      </c>
      <c r="E336" s="17" t="str">
        <f>VLOOKUP($D336,gacha_types!$A:$D,2,FALSE)</f>
        <v>polygon</v>
      </c>
      <c r="F336" s="17">
        <v>5</v>
      </c>
      <c r="G336" s="17">
        <f t="shared" si="398"/>
        <v>529</v>
      </c>
      <c r="H336" s="13" t="str">
        <f t="shared" si="399"/>
        <v>GachaTop_529.png</v>
      </c>
      <c r="I336" s="23">
        <v>1</v>
      </c>
      <c r="J336" s="23">
        <f t="shared" si="400"/>
        <v>529</v>
      </c>
      <c r="K336" s="23">
        <v>1</v>
      </c>
      <c r="L336" s="55" t="s">
        <v>813</v>
      </c>
      <c r="M336" s="55" t="s">
        <v>814</v>
      </c>
      <c r="N336" s="2" t="s">
        <v>118</v>
      </c>
      <c r="O336" s="111" t="str">
        <f>CONCATENATE("&lt;font color=""#ffab27""&gt;",TEXT(VLOOKUP(A336,gacha_schedules!C:F,4,FALSE),"mm/dd hh:mm"),"&lt;/font&gt;まで")</f>
        <v>&lt;font color="#ffab27"&gt;02/28 14:59&lt;/font&gt;まで</v>
      </c>
      <c r="P336" s="111" t="s">
        <v>2656</v>
      </c>
      <c r="Q336" s="26" t="str">
        <f t="shared" si="394"/>
        <v>&lt;font color="#ffab27"&gt;02/28 14:59&lt;/font&gt;まで_x000D_&lt;font color="#0093ff"&gt;水着フロイト&lt;/font&gt;など、夏仕様ユニット出現中！_x000D_&lt;font color="#ffab27"&gt;※★6で排出されるユニットもございます。&lt;/font&gt;</v>
      </c>
      <c r="R336" s="49" t="s">
        <v>2645</v>
      </c>
    </row>
    <row r="337" spans="1:18" ht="50" customHeight="1" x14ac:dyDescent="0.15">
      <c r="A337" s="6">
        <v>530</v>
      </c>
      <c r="B337" s="18">
        <v>3</v>
      </c>
      <c r="C337" s="2" t="s">
        <v>2644</v>
      </c>
      <c r="D337" s="2">
        <v>100</v>
      </c>
      <c r="E337" s="17" t="str">
        <f>VLOOKUP($D337,gacha_types!$A:$D,2,FALSE)</f>
        <v>polygon</v>
      </c>
      <c r="F337" s="17">
        <v>5</v>
      </c>
      <c r="G337" s="17">
        <f t="shared" si="398"/>
        <v>530</v>
      </c>
      <c r="H337" s="13" t="str">
        <f t="shared" si="399"/>
        <v>GachaTop_530.png</v>
      </c>
      <c r="I337" s="23">
        <v>1</v>
      </c>
      <c r="J337" s="23">
        <f t="shared" si="400"/>
        <v>530</v>
      </c>
      <c r="K337" s="23">
        <v>1</v>
      </c>
      <c r="L337" s="55" t="s">
        <v>813</v>
      </c>
      <c r="M337" s="55" t="s">
        <v>814</v>
      </c>
      <c r="N337" s="2" t="s">
        <v>118</v>
      </c>
      <c r="O337" s="111" t="str">
        <f>CONCATENATE("&lt;font color=""#ffab27""&gt;",TEXT(VLOOKUP(A337,gacha_schedules!C:F,4,FALSE),"mm/dd hh:mm"),"&lt;/font&gt;まで")</f>
        <v>&lt;font color="#ffab27"&gt;02/28 14:59&lt;/font&gt;まで</v>
      </c>
      <c r="P337" s="111" t="s">
        <v>2656</v>
      </c>
      <c r="Q337" s="26" t="str">
        <f t="shared" si="394"/>
        <v>&lt;font color="#ffab27"&gt;02/28 14:59&lt;/font&gt;まで_x000D_&lt;font color="#0093ff"&gt;水着フロイト&lt;/font&gt;など、夏仕様ユニット出現中！_x000D_&lt;font color="#ffab27"&gt;※★6で排出されるユニットもございます。&lt;/font&gt;</v>
      </c>
      <c r="R337" s="49" t="s">
        <v>2645</v>
      </c>
    </row>
    <row r="338" spans="1:18" ht="50" customHeight="1" x14ac:dyDescent="0.15">
      <c r="A338" s="6">
        <v>531</v>
      </c>
      <c r="B338" s="18">
        <v>3</v>
      </c>
      <c r="C338" s="2" t="s">
        <v>2672</v>
      </c>
      <c r="D338" s="2">
        <v>100</v>
      </c>
      <c r="E338" s="17" t="str">
        <f>VLOOKUP($D338,gacha_types!$A:$D,2,FALSE)</f>
        <v>polygon</v>
      </c>
      <c r="F338" s="17">
        <v>5</v>
      </c>
      <c r="G338" s="17">
        <f t="shared" si="398"/>
        <v>531</v>
      </c>
      <c r="H338" s="69" t="s">
        <v>2714</v>
      </c>
      <c r="I338" s="23">
        <v>1</v>
      </c>
      <c r="J338" s="23">
        <f t="shared" si="400"/>
        <v>531</v>
      </c>
      <c r="K338" s="23">
        <v>1</v>
      </c>
      <c r="L338" s="55" t="s">
        <v>813</v>
      </c>
      <c r="M338" s="55" t="s">
        <v>814</v>
      </c>
      <c r="N338" s="2" t="s">
        <v>118</v>
      </c>
      <c r="O338" s="111" t="s">
        <v>2711</v>
      </c>
      <c r="P338" s="111" t="s">
        <v>2657</v>
      </c>
      <c r="Q338" s="26" t="s">
        <v>2710</v>
      </c>
      <c r="R338" s="49" t="s">
        <v>2645</v>
      </c>
    </row>
    <row r="339" spans="1:18" ht="50" customHeight="1" x14ac:dyDescent="0.15">
      <c r="A339" s="6">
        <v>532</v>
      </c>
      <c r="B339" s="18">
        <v>3</v>
      </c>
      <c r="C339" s="2" t="s">
        <v>2652</v>
      </c>
      <c r="D339" s="2">
        <v>100</v>
      </c>
      <c r="E339" s="17" t="str">
        <f>VLOOKUP($D339,gacha_types!$A:$D,2,FALSE)</f>
        <v>polygon</v>
      </c>
      <c r="F339" s="17">
        <v>5</v>
      </c>
      <c r="G339" s="17">
        <f t="shared" si="398"/>
        <v>532</v>
      </c>
      <c r="H339" s="69" t="s">
        <v>2668</v>
      </c>
      <c r="I339" s="23">
        <v>1</v>
      </c>
      <c r="J339" s="23">
        <f t="shared" si="400"/>
        <v>532</v>
      </c>
      <c r="K339" s="23">
        <v>1</v>
      </c>
      <c r="L339" s="55" t="s">
        <v>813</v>
      </c>
      <c r="M339" s="55" t="s">
        <v>814</v>
      </c>
      <c r="N339" s="2" t="s">
        <v>118</v>
      </c>
      <c r="O339" s="111"/>
      <c r="P339" s="26"/>
      <c r="Q339" s="50" t="s">
        <v>1479</v>
      </c>
      <c r="R339" s="49"/>
    </row>
    <row r="340" spans="1:18" ht="50" customHeight="1" x14ac:dyDescent="0.15">
      <c r="A340" s="6">
        <v>533</v>
      </c>
      <c r="B340" s="18">
        <v>3</v>
      </c>
      <c r="C340" s="2" t="s">
        <v>2673</v>
      </c>
      <c r="D340" s="2">
        <v>100</v>
      </c>
      <c r="E340" s="17" t="str">
        <f>VLOOKUP($D340,gacha_types!$A:$D,2,FALSE)</f>
        <v>polygon</v>
      </c>
      <c r="F340" s="17">
        <v>5</v>
      </c>
      <c r="G340" s="17">
        <f t="shared" ref="G340:G351" si="401">A340</f>
        <v>533</v>
      </c>
      <c r="H340" s="69" t="s">
        <v>2714</v>
      </c>
      <c r="I340" s="23">
        <v>1</v>
      </c>
      <c r="J340" s="23">
        <f t="shared" ref="J340:J351" si="402">A340</f>
        <v>533</v>
      </c>
      <c r="K340" s="23">
        <v>1</v>
      </c>
      <c r="L340" s="55" t="s">
        <v>813</v>
      </c>
      <c r="M340" s="55" t="s">
        <v>814</v>
      </c>
      <c r="N340" s="2" t="s">
        <v>118</v>
      </c>
      <c r="O340" s="111" t="s">
        <v>2711</v>
      </c>
      <c r="P340" s="111" t="s">
        <v>2657</v>
      </c>
      <c r="Q340" s="26" t="s">
        <v>2710</v>
      </c>
      <c r="R340" s="49" t="s">
        <v>2645</v>
      </c>
    </row>
    <row r="341" spans="1:18" ht="50" customHeight="1" x14ac:dyDescent="0.15">
      <c r="A341" s="6">
        <v>534</v>
      </c>
      <c r="B341" s="18">
        <v>3</v>
      </c>
      <c r="C341" s="2" t="s">
        <v>2674</v>
      </c>
      <c r="D341" s="2">
        <v>100</v>
      </c>
      <c r="E341" s="17" t="str">
        <f>VLOOKUP($D341,gacha_types!$A:$D,2,FALSE)</f>
        <v>polygon</v>
      </c>
      <c r="F341" s="17">
        <v>5</v>
      </c>
      <c r="G341" s="17">
        <f t="shared" si="401"/>
        <v>534</v>
      </c>
      <c r="H341" s="69" t="s">
        <v>2714</v>
      </c>
      <c r="I341" s="23">
        <v>1</v>
      </c>
      <c r="J341" s="23">
        <f t="shared" si="402"/>
        <v>534</v>
      </c>
      <c r="K341" s="23">
        <v>1</v>
      </c>
      <c r="L341" s="55" t="s">
        <v>813</v>
      </c>
      <c r="M341" s="55" t="s">
        <v>814</v>
      </c>
      <c r="N341" s="2" t="s">
        <v>118</v>
      </c>
      <c r="O341" s="111" t="s">
        <v>2711</v>
      </c>
      <c r="P341" s="111" t="s">
        <v>2657</v>
      </c>
      <c r="Q341" s="26" t="s">
        <v>2710</v>
      </c>
      <c r="R341" s="49" t="s">
        <v>2645</v>
      </c>
    </row>
    <row r="342" spans="1:18" ht="50" customHeight="1" x14ac:dyDescent="0.15">
      <c r="A342" s="6">
        <v>535</v>
      </c>
      <c r="B342" s="18">
        <v>3</v>
      </c>
      <c r="C342" s="2" t="s">
        <v>2675</v>
      </c>
      <c r="D342" s="2">
        <v>100</v>
      </c>
      <c r="E342" s="17" t="str">
        <f>VLOOKUP($D342,gacha_types!$A:$D,2,FALSE)</f>
        <v>polygon</v>
      </c>
      <c r="F342" s="17">
        <v>5</v>
      </c>
      <c r="G342" s="17">
        <f t="shared" si="401"/>
        <v>535</v>
      </c>
      <c r="H342" s="69" t="s">
        <v>2714</v>
      </c>
      <c r="I342" s="23">
        <v>1</v>
      </c>
      <c r="J342" s="23">
        <f t="shared" si="402"/>
        <v>535</v>
      </c>
      <c r="K342" s="23">
        <v>1</v>
      </c>
      <c r="L342" s="55" t="s">
        <v>1113</v>
      </c>
      <c r="M342" s="55" t="s">
        <v>814</v>
      </c>
      <c r="N342" s="2" t="s">
        <v>118</v>
      </c>
      <c r="O342" s="111" t="s">
        <v>2724</v>
      </c>
      <c r="P342" s="111" t="s">
        <v>2657</v>
      </c>
      <c r="Q342" s="26" t="s">
        <v>3177</v>
      </c>
      <c r="R342" s="49" t="s">
        <v>2645</v>
      </c>
    </row>
    <row r="343" spans="1:18" ht="50" customHeight="1" x14ac:dyDescent="0.15">
      <c r="A343" s="6">
        <v>536</v>
      </c>
      <c r="B343" s="18">
        <v>3</v>
      </c>
      <c r="C343" s="2" t="s">
        <v>2676</v>
      </c>
      <c r="D343" s="2">
        <v>100</v>
      </c>
      <c r="E343" s="17" t="str">
        <f>VLOOKUP($D343,gacha_types!$A:$D,2,FALSE)</f>
        <v>polygon</v>
      </c>
      <c r="F343" s="17">
        <v>5</v>
      </c>
      <c r="G343" s="17">
        <f t="shared" si="401"/>
        <v>536</v>
      </c>
      <c r="H343" s="69" t="s">
        <v>2714</v>
      </c>
      <c r="I343" s="23">
        <v>1</v>
      </c>
      <c r="J343" s="23">
        <f t="shared" si="402"/>
        <v>536</v>
      </c>
      <c r="K343" s="23">
        <v>1</v>
      </c>
      <c r="L343" s="55" t="s">
        <v>813</v>
      </c>
      <c r="M343" s="55" t="s">
        <v>814</v>
      </c>
      <c r="N343" s="2" t="s">
        <v>118</v>
      </c>
      <c r="O343" s="111" t="s">
        <v>2711</v>
      </c>
      <c r="P343" s="111" t="s">
        <v>2657</v>
      </c>
      <c r="Q343" s="26" t="s">
        <v>2710</v>
      </c>
      <c r="R343" s="49" t="s">
        <v>2645</v>
      </c>
    </row>
    <row r="344" spans="1:18" ht="50" customHeight="1" x14ac:dyDescent="0.15">
      <c r="A344" s="6">
        <v>537</v>
      </c>
      <c r="B344" s="18">
        <v>3</v>
      </c>
      <c r="C344" s="2" t="s">
        <v>2677</v>
      </c>
      <c r="D344" s="2">
        <v>100</v>
      </c>
      <c r="E344" s="17" t="str">
        <f>VLOOKUP($D344,gacha_types!$A:$D,2,FALSE)</f>
        <v>polygon</v>
      </c>
      <c r="F344" s="17">
        <v>5</v>
      </c>
      <c r="G344" s="17">
        <f t="shared" si="401"/>
        <v>537</v>
      </c>
      <c r="H344" s="69" t="s">
        <v>2714</v>
      </c>
      <c r="I344" s="23">
        <v>1</v>
      </c>
      <c r="J344" s="23">
        <f t="shared" si="402"/>
        <v>537</v>
      </c>
      <c r="K344" s="23">
        <v>1</v>
      </c>
      <c r="L344" s="55" t="s">
        <v>813</v>
      </c>
      <c r="M344" s="55" t="s">
        <v>814</v>
      </c>
      <c r="N344" s="2" t="s">
        <v>118</v>
      </c>
      <c r="O344" s="111" t="s">
        <v>2711</v>
      </c>
      <c r="P344" s="111" t="s">
        <v>2657</v>
      </c>
      <c r="Q344" s="26" t="s">
        <v>2710</v>
      </c>
      <c r="R344" s="49" t="s">
        <v>2645</v>
      </c>
    </row>
    <row r="345" spans="1:18" ht="50" customHeight="1" x14ac:dyDescent="0.15">
      <c r="A345" s="6">
        <v>538</v>
      </c>
      <c r="B345" s="18">
        <v>3</v>
      </c>
      <c r="C345" s="2" t="s">
        <v>2678</v>
      </c>
      <c r="D345" s="2">
        <v>100</v>
      </c>
      <c r="E345" s="17" t="str">
        <f>VLOOKUP($D345,gacha_types!$A:$D,2,FALSE)</f>
        <v>polygon</v>
      </c>
      <c r="F345" s="17">
        <v>5</v>
      </c>
      <c r="G345" s="17">
        <f t="shared" si="401"/>
        <v>538</v>
      </c>
      <c r="H345" s="69" t="s">
        <v>2714</v>
      </c>
      <c r="I345" s="23">
        <v>1</v>
      </c>
      <c r="J345" s="23">
        <f t="shared" si="402"/>
        <v>538</v>
      </c>
      <c r="K345" s="23">
        <v>1</v>
      </c>
      <c r="L345" s="55" t="s">
        <v>813</v>
      </c>
      <c r="M345" s="55" t="s">
        <v>814</v>
      </c>
      <c r="N345" s="2" t="s">
        <v>118</v>
      </c>
      <c r="O345" s="111" t="s">
        <v>2711</v>
      </c>
      <c r="P345" s="111" t="s">
        <v>2657</v>
      </c>
      <c r="Q345" s="26" t="s">
        <v>2710</v>
      </c>
      <c r="R345" s="49" t="s">
        <v>2645</v>
      </c>
    </row>
    <row r="346" spans="1:18" ht="50" customHeight="1" x14ac:dyDescent="0.15">
      <c r="A346" s="6">
        <v>539</v>
      </c>
      <c r="B346" s="18">
        <v>3</v>
      </c>
      <c r="C346" s="2" t="s">
        <v>2725</v>
      </c>
      <c r="D346" s="2">
        <v>100</v>
      </c>
      <c r="E346" s="17" t="str">
        <f>VLOOKUP($D346,gacha_types!$A:$D,2,FALSE)</f>
        <v>polygon</v>
      </c>
      <c r="F346" s="17">
        <v>5</v>
      </c>
      <c r="G346" s="17">
        <f t="shared" si="401"/>
        <v>539</v>
      </c>
      <c r="H346" s="13" t="str">
        <f t="shared" ref="H346:H351" si="403">"GachaTop_"&amp;A346&amp;".png"</f>
        <v>GachaTop_539.png</v>
      </c>
      <c r="I346" s="23">
        <v>1</v>
      </c>
      <c r="J346" s="23">
        <f t="shared" si="402"/>
        <v>539</v>
      </c>
      <c r="K346" s="23">
        <v>1</v>
      </c>
      <c r="L346" s="55" t="s">
        <v>813</v>
      </c>
      <c r="M346" s="55" t="s">
        <v>814</v>
      </c>
      <c r="N346" s="2" t="s">
        <v>118</v>
      </c>
      <c r="O346" s="111" t="str">
        <f>CONCATENATE("&lt;font color=""#ffab27""&gt;",TEXT(VLOOKUP(A346,gacha_schedules!C:F,4,FALSE),"mm/dd hh:mm"),"&lt;/font&gt;まで")</f>
        <v>&lt;font color="#ffab27"&gt;02/28 14:59&lt;/font&gt;まで</v>
      </c>
      <c r="P346" s="111" t="s">
        <v>2759</v>
      </c>
      <c r="Q346" s="26" t="str">
        <f>CONCATENATE(O346, "
",P346,"
",R346)</f>
        <v>&lt;font color="#ffab27"&gt;02/28 14:59&lt;/font&gt;まで_x000D_チョイス1　&lt;font color="#00e075"&gt;パウリ&lt;/font&gt;、&lt;font color="#0093ff"&gt;ベルヌーイ&lt;/font&gt;出現中！_x000D_&lt;font color="#ffab27"&gt;※★6覚醒済み、超覚醒済みユニットは直接排出されません&lt;/font&gt;</v>
      </c>
      <c r="R346" s="49" t="s">
        <v>1732</v>
      </c>
    </row>
    <row r="347" spans="1:18" ht="50" customHeight="1" x14ac:dyDescent="0.15">
      <c r="A347" s="6">
        <v>540</v>
      </c>
      <c r="B347" s="18">
        <v>3</v>
      </c>
      <c r="C347" s="2" t="s">
        <v>2726</v>
      </c>
      <c r="D347" s="2">
        <v>100</v>
      </c>
      <c r="E347" s="17" t="str">
        <f>VLOOKUP($D347,gacha_types!$A:$D,2,FALSE)</f>
        <v>polygon</v>
      </c>
      <c r="F347" s="17">
        <v>5</v>
      </c>
      <c r="G347" s="17">
        <f t="shared" si="401"/>
        <v>540</v>
      </c>
      <c r="H347" s="13" t="str">
        <f t="shared" si="403"/>
        <v>GachaTop_540.png</v>
      </c>
      <c r="I347" s="23">
        <v>1</v>
      </c>
      <c r="J347" s="23">
        <f t="shared" si="402"/>
        <v>540</v>
      </c>
      <c r="K347" s="23">
        <v>1</v>
      </c>
      <c r="L347" s="55" t="s">
        <v>813</v>
      </c>
      <c r="M347" s="55" t="s">
        <v>814</v>
      </c>
      <c r="N347" s="2" t="s">
        <v>118</v>
      </c>
      <c r="O347" s="111" t="str">
        <f>CONCATENATE("&lt;font color=""#ffab27""&gt;",TEXT(VLOOKUP(A347,gacha_schedules!C:F,4,FALSE),"mm/dd hh:mm"),"&lt;/font&gt;まで")</f>
        <v>&lt;font color="#ffab27"&gt;03/01 14:59&lt;/font&gt;まで</v>
      </c>
      <c r="P347" s="111" t="s">
        <v>2796</v>
      </c>
      <c r="Q347" s="26" t="str">
        <f>CONCATENATE(O347, "
",P347,"
",R347)</f>
        <v>&lt;font color="#ffab27"&gt;03/01 14:59&lt;/font&gt;まで_x000D_チョイス2　&lt;font color="#00e075"&gt;パウリ&lt;/font&gt;、&lt;font color="#ff2626"&gt;セキ&lt;/font&gt;出現中！_x000D_&lt;font color="#ffab27"&gt;※★6覚醒済み、超覚醒済みユニットは直接排出されません&lt;/font&gt;</v>
      </c>
      <c r="R347" s="49" t="s">
        <v>1732</v>
      </c>
    </row>
    <row r="348" spans="1:18" ht="50" customHeight="1" x14ac:dyDescent="0.15">
      <c r="A348" s="6">
        <v>541</v>
      </c>
      <c r="B348" s="18">
        <v>3</v>
      </c>
      <c r="C348" s="2" t="s">
        <v>2727</v>
      </c>
      <c r="D348" s="2">
        <v>100</v>
      </c>
      <c r="E348" s="17" t="str">
        <f>VLOOKUP($D348,gacha_types!$A:$D,2,FALSE)</f>
        <v>polygon</v>
      </c>
      <c r="F348" s="17">
        <v>5</v>
      </c>
      <c r="G348" s="17">
        <f t="shared" si="401"/>
        <v>541</v>
      </c>
      <c r="H348" s="13" t="str">
        <f t="shared" si="403"/>
        <v>GachaTop_541.png</v>
      </c>
      <c r="I348" s="23">
        <v>1</v>
      </c>
      <c r="J348" s="23">
        <f t="shared" si="402"/>
        <v>541</v>
      </c>
      <c r="K348" s="23">
        <v>1</v>
      </c>
      <c r="L348" s="55" t="s">
        <v>813</v>
      </c>
      <c r="M348" s="55" t="s">
        <v>814</v>
      </c>
      <c r="N348" s="2" t="s">
        <v>118</v>
      </c>
      <c r="O348" s="111" t="str">
        <f>CONCATENATE("&lt;font color=""#ffab27""&gt;",TEXT(VLOOKUP(A348,gacha_schedules!C:F,4,FALSE),"mm/dd hh:mm"),"&lt;/font&gt;まで")</f>
        <v>&lt;font color="#ffab27"&gt;03/02 14:59&lt;/font&gt;まで</v>
      </c>
      <c r="P348" s="111" t="s">
        <v>2819</v>
      </c>
      <c r="Q348" s="26" t="str">
        <f>CONCATENATE(O348, CHAR(13),P348, CHAR(13),R348)</f>
        <v>&lt;font color="#ffab27"&gt;03/02 14:59&lt;/font&gt;まで_x000D_チョイス3　&lt;font color="#00e075"&gt;パウリ&lt;/font&gt;、&lt;font color="#ffe22a"&gt;ファラデー&lt;/font&gt;出現中！_x000D_&lt;font color="#ffab27"&gt;※★6覚醒済み、超覚醒済みユニットは直接排出されません&lt;/font&gt;</v>
      </c>
      <c r="R348" s="49" t="s">
        <v>1732</v>
      </c>
    </row>
    <row r="349" spans="1:18" ht="50" customHeight="1" x14ac:dyDescent="0.15">
      <c r="A349" s="6">
        <v>542</v>
      </c>
      <c r="B349" s="18">
        <v>3</v>
      </c>
      <c r="C349" s="2" t="s">
        <v>2758</v>
      </c>
      <c r="D349" s="2">
        <v>100</v>
      </c>
      <c r="E349" s="17" t="str">
        <f>VLOOKUP($D349,gacha_types!$A:$D,2,FALSE)</f>
        <v>polygon</v>
      </c>
      <c r="F349" s="17">
        <v>5</v>
      </c>
      <c r="G349" s="17">
        <f t="shared" si="401"/>
        <v>542</v>
      </c>
      <c r="H349" s="13" t="str">
        <f t="shared" si="403"/>
        <v>GachaTop_542.png</v>
      </c>
      <c r="I349" s="23">
        <v>1</v>
      </c>
      <c r="J349" s="23">
        <f t="shared" si="402"/>
        <v>542</v>
      </c>
      <c r="K349" s="23">
        <v>1</v>
      </c>
      <c r="L349" s="55" t="s">
        <v>813</v>
      </c>
      <c r="M349" s="55" t="s">
        <v>814</v>
      </c>
      <c r="N349" s="2" t="s">
        <v>118</v>
      </c>
      <c r="O349" s="111" t="s">
        <v>2761</v>
      </c>
      <c r="P349" s="26" t="s">
        <v>2760</v>
      </c>
      <c r="Q349" s="26" t="str">
        <f>CONCATENATE(O349, "
",P349,"
",R349)</f>
        <v>&lt;font color="#ffab27"&gt;03/06 23:59&lt;/font&gt;まで限定ユニット&lt;font color="#00e075"&gt;ド・モルガン&lt;/font&gt;出現中！_x000D_今だけ！緑属性出現率大幅アップ！_x000D_&lt;font color="#ffab27"&gt;※★6覚醒済み、超覚醒済みユニットは直接排出されません&lt;/font&gt;</v>
      </c>
      <c r="R349" s="49" t="s">
        <v>1732</v>
      </c>
    </row>
    <row r="350" spans="1:18" ht="50" customHeight="1" x14ac:dyDescent="0.15">
      <c r="A350" s="6">
        <f t="shared" ref="A350:A362" si="404">A349+1</f>
        <v>543</v>
      </c>
      <c r="B350" s="18">
        <v>3</v>
      </c>
      <c r="C350" s="2" t="s">
        <v>2797</v>
      </c>
      <c r="D350" s="2">
        <v>100</v>
      </c>
      <c r="E350" s="17" t="str">
        <f>VLOOKUP($D350,gacha_types!$A:$D,2,FALSE)</f>
        <v>polygon</v>
      </c>
      <c r="F350" s="17">
        <v>5</v>
      </c>
      <c r="G350" s="17">
        <f t="shared" si="401"/>
        <v>543</v>
      </c>
      <c r="H350" s="13" t="str">
        <f t="shared" si="403"/>
        <v>GachaTop_543.png</v>
      </c>
      <c r="I350" s="23">
        <v>1</v>
      </c>
      <c r="J350" s="23">
        <f t="shared" si="402"/>
        <v>543</v>
      </c>
      <c r="K350" s="23">
        <v>1</v>
      </c>
      <c r="L350" s="55" t="s">
        <v>813</v>
      </c>
      <c r="M350" s="55" t="s">
        <v>814</v>
      </c>
      <c r="N350" s="2" t="s">
        <v>118</v>
      </c>
      <c r="O350" s="111"/>
      <c r="P350" s="111" t="s">
        <v>2800</v>
      </c>
      <c r="Q350" s="26" t="str">
        <f>CONCATENATE(P350,"
",R350)</f>
        <v>&lt;font color="#ffab27"&gt;03/15 14:59&lt;/font&gt;まで毎日1回無料！_x000D_&lt;font color="#ffab27"&gt;※★6覚醒済み、超覚醒済みユニットは直接排出されません&lt;/font&gt;</v>
      </c>
      <c r="R350" s="49" t="s">
        <v>1732</v>
      </c>
    </row>
    <row r="351" spans="1:18" ht="50" customHeight="1" x14ac:dyDescent="0.15">
      <c r="A351" s="6">
        <f t="shared" si="404"/>
        <v>544</v>
      </c>
      <c r="B351" s="18">
        <v>3</v>
      </c>
      <c r="C351" s="2" t="s">
        <v>2775</v>
      </c>
      <c r="D351" s="2">
        <v>100</v>
      </c>
      <c r="E351" s="17" t="str">
        <f>VLOOKUP($D351,gacha_types!$A:$D,2,FALSE)</f>
        <v>polygon</v>
      </c>
      <c r="F351" s="17">
        <v>5</v>
      </c>
      <c r="G351" s="17">
        <f t="shared" si="401"/>
        <v>544</v>
      </c>
      <c r="H351" s="13" t="str">
        <f t="shared" si="403"/>
        <v>GachaTop_544.png</v>
      </c>
      <c r="I351" s="23">
        <v>1</v>
      </c>
      <c r="J351" s="23">
        <f t="shared" si="402"/>
        <v>544</v>
      </c>
      <c r="K351" s="23">
        <v>1</v>
      </c>
      <c r="L351" s="55" t="s">
        <v>813</v>
      </c>
      <c r="M351" s="55" t="s">
        <v>814</v>
      </c>
      <c r="N351" s="2" t="s">
        <v>118</v>
      </c>
      <c r="O351" s="111" t="str">
        <f>CONCATENATE("&lt;font color=""#ffab27""&gt;",TEXT(VLOOKUP(A351,gacha_schedules!C:F,4,FALSE),"mm/dd hh:mm"),"&lt;/font&gt;まで")</f>
        <v>&lt;font color="#ffab27"&gt;03/15 14:59&lt;/font&gt;まで</v>
      </c>
      <c r="P351" s="111" t="s">
        <v>2795</v>
      </c>
      <c r="Q351" s="26" t="str">
        <f t="shared" ref="Q351" si="405">CONCATENATE(O351, CHAR(13),P351, CHAR(13),R351)</f>
        <v>&lt;font color="#ffab27"&gt;03/15 14:59&lt;/font&gt;まで_x000D_ホワイトデー限定ユニット&lt;font color="#00e075"&gt;マシロ&lt;/font&gt;、&lt;font color="#00e075"&gt;レイヴン&lt;/font&gt;が出現中！_x000D_&lt;font color="#ffab27"&gt;※★6覚醒済み、超覚醒済みユニットは直接排出されません&lt;/font&gt;</v>
      </c>
      <c r="R351" s="49" t="s">
        <v>1732</v>
      </c>
    </row>
    <row r="352" spans="1:18" ht="50" customHeight="1" x14ac:dyDescent="0.15">
      <c r="A352" s="6">
        <f t="shared" si="404"/>
        <v>545</v>
      </c>
      <c r="B352" s="18">
        <v>3</v>
      </c>
      <c r="C352" s="2" t="s">
        <v>2804</v>
      </c>
      <c r="D352" s="2">
        <v>100</v>
      </c>
      <c r="E352" s="17" t="str">
        <f>VLOOKUP($D352,gacha_types!$A:$D,2,FALSE)</f>
        <v>polygon</v>
      </c>
      <c r="F352" s="17">
        <v>5</v>
      </c>
      <c r="G352" s="17">
        <f t="shared" ref="G352" si="406">A352</f>
        <v>545</v>
      </c>
      <c r="H352" s="13" t="str">
        <f t="shared" ref="H352" si="407">"GachaTop_"&amp;A352&amp;".png"</f>
        <v>GachaTop_545.png</v>
      </c>
      <c r="I352" s="23">
        <v>1</v>
      </c>
      <c r="J352" s="23">
        <f t="shared" ref="J352" si="408">A352</f>
        <v>545</v>
      </c>
      <c r="K352" s="23">
        <v>1</v>
      </c>
      <c r="L352" s="55" t="s">
        <v>813</v>
      </c>
      <c r="M352" s="55" t="s">
        <v>814</v>
      </c>
      <c r="N352" s="2" t="s">
        <v>118</v>
      </c>
      <c r="O352" s="111" t="str">
        <f>CONCATENATE("&lt;font color=""#ffab27""&gt;",TEXT(VLOOKUP(A352,gacha_schedules!C:F,4,FALSE),"mm/dd hh:mm"),"&lt;/font&gt;まで")</f>
        <v>&lt;font color="#ffab27"&gt;03/12 14:59&lt;/font&gt;まで</v>
      </c>
      <c r="P352" s="111" t="s">
        <v>2798</v>
      </c>
      <c r="Q352" s="26" t="str">
        <f t="shared" ref="Q352:Q357" si="409">CONCATENATE(O352, CHAR(13),P352, CHAR(13),R352)</f>
        <v>&lt;font color="#ffab27"&gt;03/12 14:59&lt;/font&gt;まで_x000D_ピックアップユニットが&lt;font color="#ff2626"&gt;バグUP&lt;/font&gt;で出現率大幅アップ！_x000D_&lt;font color="#ffab27"&gt;※★6覚醒済み、超覚醒済みユニットは直接排出されません&lt;/font&gt;</v>
      </c>
      <c r="R352" s="49" t="s">
        <v>1732</v>
      </c>
    </row>
    <row r="353" spans="1:19" ht="50" customHeight="1" x14ac:dyDescent="0.15">
      <c r="A353" s="6">
        <f t="shared" si="404"/>
        <v>546</v>
      </c>
      <c r="B353" s="18">
        <v>3</v>
      </c>
      <c r="C353" s="2" t="s">
        <v>2806</v>
      </c>
      <c r="D353" s="2">
        <v>100</v>
      </c>
      <c r="E353" s="17" t="str">
        <f>VLOOKUP($D353,gacha_types!$A:$D,2,FALSE)</f>
        <v>polygon</v>
      </c>
      <c r="F353" s="17">
        <v>5</v>
      </c>
      <c r="G353" s="17">
        <f t="shared" ref="G353:G354" si="410">A353</f>
        <v>546</v>
      </c>
      <c r="H353" s="13" t="str">
        <f t="shared" ref="H353:H354" si="411">"GachaTop_"&amp;A353&amp;".png"</f>
        <v>GachaTop_546.png</v>
      </c>
      <c r="I353" s="23">
        <v>1</v>
      </c>
      <c r="J353" s="23">
        <f t="shared" ref="J353:J354" si="412">A353</f>
        <v>546</v>
      </c>
      <c r="K353" s="23">
        <v>1</v>
      </c>
      <c r="L353" s="55" t="s">
        <v>813</v>
      </c>
      <c r="M353" s="55" t="s">
        <v>814</v>
      </c>
      <c r="N353" s="2" t="s">
        <v>118</v>
      </c>
      <c r="O353" s="111" t="str">
        <f>CONCATENATE("&lt;font color=""#ffab27""&gt;",TEXT(VLOOKUP(A353,gacha_schedules!C:F,4,FALSE),"mm/dd hh:mm"),"&lt;/font&gt;まで")</f>
        <v>&lt;font color="#ffab27"&gt;03/19 14:59&lt;/font&gt;まで</v>
      </c>
      <c r="P353" s="111" t="s">
        <v>2815</v>
      </c>
      <c r="Q353" s="26" t="str">
        <f t="shared" si="409"/>
        <v>&lt;font color="#ffab27"&gt;03/19 14:59&lt;/font&gt;まで_x000D_ピックアップユニットが出現率大幅アップ！_x000D_&lt;font color="#ffab27"&gt;※★6覚醒済み、超覚醒済みユニットは直接排出されません&lt;/font&gt;</v>
      </c>
      <c r="R353" s="49" t="s">
        <v>1732</v>
      </c>
    </row>
    <row r="354" spans="1:19" ht="50" customHeight="1" x14ac:dyDescent="0.15">
      <c r="A354" s="6">
        <f t="shared" si="404"/>
        <v>547</v>
      </c>
      <c r="B354" s="18">
        <v>3</v>
      </c>
      <c r="C354" s="2" t="s">
        <v>2805</v>
      </c>
      <c r="D354" s="2">
        <v>100</v>
      </c>
      <c r="E354" s="17" t="str">
        <f>VLOOKUP($D354,gacha_types!$A:$D,2,FALSE)</f>
        <v>polygon</v>
      </c>
      <c r="F354" s="17">
        <v>5</v>
      </c>
      <c r="G354" s="17">
        <f t="shared" si="410"/>
        <v>547</v>
      </c>
      <c r="H354" s="13" t="str">
        <f t="shared" si="411"/>
        <v>GachaTop_547.png</v>
      </c>
      <c r="I354" s="23">
        <v>1</v>
      </c>
      <c r="J354" s="23">
        <f t="shared" si="412"/>
        <v>547</v>
      </c>
      <c r="K354" s="23">
        <v>1</v>
      </c>
      <c r="L354" s="55" t="s">
        <v>813</v>
      </c>
      <c r="M354" s="55" t="s">
        <v>814</v>
      </c>
      <c r="N354" s="2" t="s">
        <v>118</v>
      </c>
      <c r="O354" s="111" t="str">
        <f>CONCATENATE("&lt;font color=""#ffab27""&gt;",TEXT(VLOOKUP(A354,gacha_schedules!C:F,4,FALSE),"mm/dd hh:mm"),"&lt;/font&gt;まで")</f>
        <v>&lt;font color="#ffab27"&gt;03/15 14:59&lt;/font&gt;まで</v>
      </c>
      <c r="P354" s="111" t="s">
        <v>2817</v>
      </c>
      <c r="Q354" s="26" t="str">
        <f t="shared" si="409"/>
        <v>&lt;font color="#ffab27"&gt;03/15 14:59&lt;/font&gt;まで_x000D_3回引ける！超厳選★6男性ユニットが1体確定！_x000D_&lt;font color="#ffab27"&gt;※★6ユニットは確定枠からのみ排出されます&lt;/font&gt;</v>
      </c>
      <c r="R354" s="49" t="s">
        <v>2816</v>
      </c>
    </row>
    <row r="355" spans="1:19" ht="50" customHeight="1" x14ac:dyDescent="0.15">
      <c r="A355" s="6">
        <f t="shared" si="404"/>
        <v>548</v>
      </c>
      <c r="B355" s="18">
        <v>3</v>
      </c>
      <c r="C355" s="2" t="s">
        <v>2604</v>
      </c>
      <c r="D355" s="2">
        <v>100</v>
      </c>
      <c r="E355" s="17" t="str">
        <f>VLOOKUP($D355,gacha_types!$A:$D,2,FALSE)</f>
        <v>polygon</v>
      </c>
      <c r="F355" s="17">
        <v>5</v>
      </c>
      <c r="G355" s="17">
        <f t="shared" ref="G355" si="413">A355</f>
        <v>548</v>
      </c>
      <c r="H355" s="13" t="str">
        <f t="shared" ref="H355" si="414">"GachaTop_"&amp;A355&amp;".png"</f>
        <v>GachaTop_548.png</v>
      </c>
      <c r="I355" s="23">
        <v>1</v>
      </c>
      <c r="J355" s="23">
        <f t="shared" ref="J355" si="415">A355</f>
        <v>548</v>
      </c>
      <c r="K355" s="23">
        <v>1</v>
      </c>
      <c r="L355" s="55" t="s">
        <v>813</v>
      </c>
      <c r="M355" s="55" t="s">
        <v>814</v>
      </c>
      <c r="N355" s="2" t="s">
        <v>118</v>
      </c>
      <c r="O355" s="111" t="str">
        <f>CONCATENATE("&lt;font color=""#ffab27""&gt;",TEXT(VLOOKUP(A355,gacha_schedules!C:F,4,FALSE),"mm/dd hh:mm"),"&lt;/font&gt;まで")</f>
        <v>&lt;font color="#ffab27"&gt;03/17 14:59&lt;/font&gt;まで</v>
      </c>
      <c r="P355" s="111" t="s">
        <v>2818</v>
      </c>
      <c r="Q355" s="26" t="str">
        <f t="shared" si="409"/>
        <v>&lt;font color="#ffab27"&gt;03/17 14:59&lt;/font&gt;まで_x000D_チョイス1　&lt;font color="#ff2626"&gt;ヴォルタ&lt;/font&gt;、&lt;font color="#ffe22a"&gt;ハップル&lt;/font&gt;出現中！_x000D_&lt;font color="#ffab27"&gt;※★6覚醒済み、超覚醒済みユニットは直接排出されません&lt;/font&gt;</v>
      </c>
      <c r="R355" s="49" t="s">
        <v>1732</v>
      </c>
    </row>
    <row r="356" spans="1:19" ht="50" customHeight="1" x14ac:dyDescent="0.15">
      <c r="A356" s="6">
        <f t="shared" si="404"/>
        <v>549</v>
      </c>
      <c r="B356" s="18">
        <v>3</v>
      </c>
      <c r="C356" s="2" t="s">
        <v>2484</v>
      </c>
      <c r="D356" s="2">
        <v>100</v>
      </c>
      <c r="E356" s="17" t="str">
        <f>VLOOKUP($D356,gacha_types!$A:$D,2,FALSE)</f>
        <v>polygon</v>
      </c>
      <c r="F356" s="17">
        <v>5</v>
      </c>
      <c r="G356" s="17">
        <f t="shared" ref="G356:G359" si="416">A356</f>
        <v>549</v>
      </c>
      <c r="H356" s="13" t="str">
        <f t="shared" ref="H356:H359" si="417">"GachaTop_"&amp;A356&amp;".png"</f>
        <v>GachaTop_549.png</v>
      </c>
      <c r="I356" s="23">
        <v>1</v>
      </c>
      <c r="J356" s="23">
        <f t="shared" ref="J356:J359" si="418">A356</f>
        <v>549</v>
      </c>
      <c r="K356" s="23">
        <v>1</v>
      </c>
      <c r="L356" s="55" t="s">
        <v>813</v>
      </c>
      <c r="M356" s="55" t="s">
        <v>814</v>
      </c>
      <c r="N356" s="2" t="s">
        <v>118</v>
      </c>
      <c r="O356" s="111" t="str">
        <f>CONCATENATE("&lt;font color=""#ffab27""&gt;",TEXT(VLOOKUP(A356,gacha_schedules!C:F,4,FALSE),"mm/dd hh:mm"),"&lt;/font&gt;まで")</f>
        <v>&lt;font color="#ffab27"&gt;03/18 14:59&lt;/font&gt;まで</v>
      </c>
      <c r="P356" s="111" t="s">
        <v>2820</v>
      </c>
      <c r="Q356" s="26" t="str">
        <f t="shared" si="409"/>
        <v>&lt;font color="#ffab27"&gt;03/18 14:59&lt;/font&gt;まで_x000D_チョイス2　&lt;font color="#ff2626"&gt;ヴォルタ&lt;/font&gt;、&lt;font color="#00e075"&gt;ハレー&lt;/font&gt;出現中！_x000D_&lt;font color="#ffab27"&gt;※★6覚醒済み、超覚醒済みユニットは直接排出されません&lt;/font&gt;</v>
      </c>
      <c r="R356" s="49" t="s">
        <v>1732</v>
      </c>
    </row>
    <row r="357" spans="1:19" ht="50" customHeight="1" x14ac:dyDescent="0.15">
      <c r="A357" s="6">
        <f t="shared" si="404"/>
        <v>550</v>
      </c>
      <c r="B357" s="18">
        <v>3</v>
      </c>
      <c r="C357" s="2" t="s">
        <v>2485</v>
      </c>
      <c r="D357" s="2">
        <v>100</v>
      </c>
      <c r="E357" s="17" t="str">
        <f>VLOOKUP($D357,gacha_types!$A:$D,2,FALSE)</f>
        <v>polygon</v>
      </c>
      <c r="F357" s="17">
        <v>5</v>
      </c>
      <c r="G357" s="17">
        <f t="shared" si="416"/>
        <v>550</v>
      </c>
      <c r="H357" s="13" t="str">
        <f t="shared" si="417"/>
        <v>GachaTop_550.png</v>
      </c>
      <c r="I357" s="23">
        <v>1</v>
      </c>
      <c r="J357" s="23">
        <f t="shared" si="418"/>
        <v>550</v>
      </c>
      <c r="K357" s="23">
        <v>1</v>
      </c>
      <c r="L357" s="55" t="s">
        <v>813</v>
      </c>
      <c r="M357" s="55" t="s">
        <v>814</v>
      </c>
      <c r="N357" s="2" t="s">
        <v>118</v>
      </c>
      <c r="O357" s="111" t="str">
        <f>CONCATENATE("&lt;font color=""#ffab27""&gt;",TEXT(VLOOKUP(A357,gacha_schedules!C:F,4,FALSE),"mm/dd hh:mm"),"&lt;/font&gt;まで")</f>
        <v>&lt;font color="#ffab27"&gt;03/19 14:59&lt;/font&gt;まで</v>
      </c>
      <c r="P357" s="111" t="s">
        <v>2821</v>
      </c>
      <c r="Q357" s="26" t="str">
        <f t="shared" si="409"/>
        <v>&lt;font color="#ffab27"&gt;03/19 14:59&lt;/font&gt;まで_x000D_チョイス3　&lt;font color="#ff2626"&gt;ヴォルタ&lt;/font&gt;、&lt;font color="#ff2626"&gt;ボーア&lt;/font&gt;出現中！_x000D_&lt;font color="#ffab27"&gt;※★6覚醒済み、超覚醒済みユニットは直接排出されません&lt;/font&gt;</v>
      </c>
      <c r="R357" s="49" t="s">
        <v>1732</v>
      </c>
    </row>
    <row r="358" spans="1:19" ht="50" customHeight="1" x14ac:dyDescent="0.15">
      <c r="A358" s="6">
        <f t="shared" si="404"/>
        <v>551</v>
      </c>
      <c r="B358" s="18">
        <v>3</v>
      </c>
      <c r="C358" s="2" t="s">
        <v>2846</v>
      </c>
      <c r="D358" s="2">
        <v>100</v>
      </c>
      <c r="E358" s="17" t="str">
        <f>VLOOKUP($D358,gacha_types!$A:$D,2,FALSE)</f>
        <v>polygon</v>
      </c>
      <c r="F358" s="17">
        <v>5</v>
      </c>
      <c r="G358" s="17">
        <f t="shared" si="416"/>
        <v>551</v>
      </c>
      <c r="H358" s="13" t="str">
        <f t="shared" si="417"/>
        <v>GachaTop_551.png</v>
      </c>
      <c r="I358" s="23">
        <v>1</v>
      </c>
      <c r="J358" s="23">
        <f t="shared" si="418"/>
        <v>551</v>
      </c>
      <c r="K358" s="23">
        <v>1</v>
      </c>
      <c r="L358" s="55" t="s">
        <v>813</v>
      </c>
      <c r="M358" s="55" t="s">
        <v>814</v>
      </c>
      <c r="N358" s="2" t="s">
        <v>118</v>
      </c>
      <c r="O358" s="111" t="s">
        <v>2882</v>
      </c>
      <c r="P358" s="111"/>
      <c r="Q358" s="49" t="s">
        <v>2883</v>
      </c>
      <c r="R358" s="49"/>
    </row>
    <row r="359" spans="1:19" ht="50" customHeight="1" x14ac:dyDescent="0.15">
      <c r="A359" s="6">
        <f t="shared" si="404"/>
        <v>552</v>
      </c>
      <c r="B359" s="18">
        <v>3</v>
      </c>
      <c r="C359" s="2" t="s">
        <v>2847</v>
      </c>
      <c r="D359" s="2">
        <v>100</v>
      </c>
      <c r="E359" s="17" t="str">
        <f>VLOOKUP($D359,gacha_types!$A:$D,2,FALSE)</f>
        <v>polygon</v>
      </c>
      <c r="F359" s="17">
        <v>5</v>
      </c>
      <c r="G359" s="17">
        <f t="shared" si="416"/>
        <v>552</v>
      </c>
      <c r="H359" s="13" t="str">
        <f t="shared" si="417"/>
        <v>GachaTop_552.png</v>
      </c>
      <c r="I359" s="23">
        <v>1</v>
      </c>
      <c r="J359" s="23">
        <f t="shared" si="418"/>
        <v>552</v>
      </c>
      <c r="K359" s="23">
        <v>1</v>
      </c>
      <c r="L359" s="55" t="s">
        <v>813</v>
      </c>
      <c r="M359" s="55" t="s">
        <v>814</v>
      </c>
      <c r="N359" s="2" t="s">
        <v>118</v>
      </c>
      <c r="O359" s="111" t="s">
        <v>2882</v>
      </c>
      <c r="P359" s="111"/>
      <c r="Q359" s="49" t="s">
        <v>2883</v>
      </c>
      <c r="R359" s="49"/>
    </row>
    <row r="360" spans="1:19" ht="50" customHeight="1" x14ac:dyDescent="0.15">
      <c r="A360" s="6">
        <f t="shared" si="404"/>
        <v>553</v>
      </c>
      <c r="B360" s="18">
        <v>3</v>
      </c>
      <c r="C360" s="2" t="s">
        <v>2848</v>
      </c>
      <c r="D360" s="2">
        <v>100</v>
      </c>
      <c r="E360" s="17" t="str">
        <f>VLOOKUP($D360,gacha_types!$A:$D,2,FALSE)</f>
        <v>polygon</v>
      </c>
      <c r="F360" s="17">
        <v>5</v>
      </c>
      <c r="G360" s="17">
        <f t="shared" ref="G360:G362" si="419">A360</f>
        <v>553</v>
      </c>
      <c r="H360" s="13" t="str">
        <f t="shared" ref="H360:H362" si="420">"GachaTop_"&amp;A360&amp;".png"</f>
        <v>GachaTop_553.png</v>
      </c>
      <c r="I360" s="23">
        <v>1</v>
      </c>
      <c r="J360" s="23">
        <f t="shared" ref="J360:J362" si="421">A360</f>
        <v>553</v>
      </c>
      <c r="K360" s="23">
        <v>1</v>
      </c>
      <c r="L360" s="55" t="s">
        <v>813</v>
      </c>
      <c r="M360" s="55" t="s">
        <v>814</v>
      </c>
      <c r="N360" s="2" t="s">
        <v>118</v>
      </c>
      <c r="O360" s="111" t="str">
        <f>CONCATENATE("&lt;font color=""#ffab27""&gt;",TEXT(VLOOKUP(A360,gacha_schedules!C:F,4,FALSE),"mm/dd hh:mm"),"&lt;/font&gt;まで")</f>
        <v>&lt;font color="#ffab27"&gt;03/23 14:59&lt;/font&gt;まで</v>
      </c>
      <c r="P360" s="111" t="s">
        <v>2868</v>
      </c>
      <c r="Q360" s="26" t="str">
        <f t="shared" ref="Q360:Q361" si="422">CONCATENATE(O360, CHAR(13),P360, CHAR(13),R360)</f>
        <v>&lt;font color="#ffab27"&gt;03/23 14:59&lt;/font&gt;まで_x000D_STEP5で厳選★6覚醒可能ユニット1体確定！_x000D_&lt;font color="#ffab27"&gt;※★6覚醒済み、超覚醒済みユニットは直接排出されません&lt;/font&gt;</v>
      </c>
      <c r="R360" s="49" t="s">
        <v>1732</v>
      </c>
    </row>
    <row r="361" spans="1:19" ht="50" customHeight="1" x14ac:dyDescent="0.15">
      <c r="A361" s="6">
        <f t="shared" si="404"/>
        <v>554</v>
      </c>
      <c r="B361" s="18">
        <v>3</v>
      </c>
      <c r="C361" s="2" t="s">
        <v>2849</v>
      </c>
      <c r="D361" s="2">
        <v>100</v>
      </c>
      <c r="E361" s="17" t="str">
        <f>VLOOKUP($D361,gacha_types!$A:$D,2,FALSE)</f>
        <v>polygon</v>
      </c>
      <c r="F361" s="17">
        <v>5</v>
      </c>
      <c r="G361" s="17">
        <f t="shared" si="419"/>
        <v>554</v>
      </c>
      <c r="H361" s="13" t="str">
        <f t="shared" si="420"/>
        <v>GachaTop_554.png</v>
      </c>
      <c r="I361" s="23">
        <v>1</v>
      </c>
      <c r="J361" s="23">
        <f t="shared" si="421"/>
        <v>554</v>
      </c>
      <c r="K361" s="23">
        <v>1</v>
      </c>
      <c r="L361" s="55" t="s">
        <v>813</v>
      </c>
      <c r="M361" s="55" t="s">
        <v>814</v>
      </c>
      <c r="N361" s="2" t="s">
        <v>118</v>
      </c>
      <c r="O361" s="111" t="str">
        <f>CONCATENATE("&lt;font color=""#ffab27""&gt;",TEXT(VLOOKUP(A361,gacha_schedules!C:F,4,FALSE),"mm/dd hh:mm"),"&lt;/font&gt;まで")</f>
        <v>&lt;font color="#ffab27"&gt;12/31 23:59&lt;/font&gt;まで</v>
      </c>
      <c r="P361" s="111" t="s">
        <v>2884</v>
      </c>
      <c r="Q361" s="26" t="str">
        <f t="shared" si="422"/>
        <v>&lt;font color="#ffab27"&gt;12/31 23:59&lt;/font&gt;まで_x000D_１日１回限定！全て★5ユニットが出現！_x000D_&lt;font color="#ffab27"&gt;※★6覚醒済み、超覚醒済みユニットは直接排出されません&lt;/font&gt;</v>
      </c>
      <c r="R361" s="49" t="s">
        <v>1732</v>
      </c>
    </row>
    <row r="362" spans="1:19" ht="50" customHeight="1" x14ac:dyDescent="0.15">
      <c r="A362" s="6">
        <f t="shared" si="404"/>
        <v>555</v>
      </c>
      <c r="B362" s="18">
        <v>3</v>
      </c>
      <c r="C362" s="2" t="s">
        <v>2573</v>
      </c>
      <c r="D362" s="2">
        <v>100</v>
      </c>
      <c r="E362" s="17" t="str">
        <f>VLOOKUP($D362,gacha_types!$A:$D,2,FALSE)</f>
        <v>polygon</v>
      </c>
      <c r="F362" s="17">
        <v>5</v>
      </c>
      <c r="G362" s="17">
        <f t="shared" si="419"/>
        <v>555</v>
      </c>
      <c r="H362" s="13" t="str">
        <f t="shared" si="420"/>
        <v>GachaTop_555.png</v>
      </c>
      <c r="I362" s="23">
        <v>1</v>
      </c>
      <c r="J362" s="23">
        <f t="shared" si="421"/>
        <v>555</v>
      </c>
      <c r="K362" s="23">
        <v>1</v>
      </c>
      <c r="L362" s="55" t="s">
        <v>813</v>
      </c>
      <c r="M362" s="55" t="s">
        <v>814</v>
      </c>
      <c r="N362" s="2" t="s">
        <v>118</v>
      </c>
      <c r="O362" s="111" t="str">
        <f>CONCATENATE("&lt;font color=""#ffab27""&gt;",TEXT(VLOOKUP(A362,gacha_schedules!C:F,4,FALSE),"mm/dd hh:mm"),"&lt;/font&gt;まで")</f>
        <v>&lt;font color="#ffab27"&gt;04/03 14:59&lt;/font&gt;まで</v>
      </c>
      <c r="P362" s="111" t="s">
        <v>2926</v>
      </c>
      <c r="Q362" s="26" t="str">
        <f>CONCATENATE(O362, CHAR(13),P362, CHAR(13),R362)</f>
        <v>&lt;font color="#ffab27"&gt;04/03 14:59&lt;/font&gt;まで_x000D_10連でレベル、スキルレベルMAXの★5ユニットが2体確定_x000D_&lt;font color="#ffab27"&gt;※★6覚醒済み、超覚醒済みユニットは直接排出されません&lt;/font&gt;</v>
      </c>
      <c r="R362" s="49" t="s">
        <v>1732</v>
      </c>
    </row>
    <row r="363" spans="1:19" ht="50" customHeight="1" x14ac:dyDescent="0.15">
      <c r="A363" s="6">
        <f>A362+1</f>
        <v>556</v>
      </c>
      <c r="B363" s="18">
        <v>3</v>
      </c>
      <c r="C363" s="2" t="s">
        <v>2907</v>
      </c>
      <c r="D363" s="2">
        <v>100</v>
      </c>
      <c r="E363" s="17" t="str">
        <f>VLOOKUP($D363,gacha_types!$A:$D,2,FALSE)</f>
        <v>polygon</v>
      </c>
      <c r="F363" s="17">
        <v>5</v>
      </c>
      <c r="G363" s="17">
        <f t="shared" ref="G363" si="423">A363</f>
        <v>556</v>
      </c>
      <c r="H363" s="13" t="str">
        <f t="shared" ref="H363" si="424">"GachaTop_"&amp;A363&amp;".png"</f>
        <v>GachaTop_556.png</v>
      </c>
      <c r="I363" s="23">
        <v>1</v>
      </c>
      <c r="J363" s="23">
        <f t="shared" ref="J363" si="425">A363</f>
        <v>556</v>
      </c>
      <c r="K363" s="23">
        <v>1</v>
      </c>
      <c r="L363" s="55" t="s">
        <v>813</v>
      </c>
      <c r="M363" s="55" t="s">
        <v>814</v>
      </c>
      <c r="N363" s="2" t="s">
        <v>118</v>
      </c>
      <c r="O363" s="111" t="str">
        <f>CONCATENATE("&lt;font color=""#ffab27""&gt;",TEXT(VLOOKUP(A363,gacha_schedules!C:F,4,FALSE),"mm/dd hh:mm"),"&lt;/font&gt;まで")</f>
        <v>&lt;font color="#ffab27"&gt;03/31 14:59&lt;/font&gt;まで</v>
      </c>
      <c r="P363" s="2" t="s">
        <v>1354</v>
      </c>
      <c r="Q363" s="26" t="str">
        <f>CONCATENATE(O363, CHAR(13),P363, CHAR(13),R363)</f>
        <v>&lt;font color="#ffab27"&gt;03/31 14:59&lt;/font&gt;まで_x000D_STEP7でフェス限定ユニット1体確定!_x000D_&lt;font color="#ffab27"&gt;※★6覚醒済み、超覚醒済みユニットは直接排出されません&lt;/font&gt;</v>
      </c>
      <c r="R363" s="49" t="s">
        <v>1732</v>
      </c>
    </row>
    <row r="364" spans="1:19" ht="50" customHeight="1" x14ac:dyDescent="0.15">
      <c r="A364" s="6">
        <f t="shared" ref="A364:A371" si="426">A363+1</f>
        <v>557</v>
      </c>
      <c r="B364" s="18">
        <v>3</v>
      </c>
      <c r="C364" s="2" t="s">
        <v>2892</v>
      </c>
      <c r="D364" s="2">
        <v>100</v>
      </c>
      <c r="E364" s="17" t="str">
        <f>VLOOKUP($D364,gacha_types!$A:$D,2,FALSE)</f>
        <v>polygon</v>
      </c>
      <c r="F364" s="17">
        <v>5</v>
      </c>
      <c r="G364" s="17">
        <f t="shared" ref="G364:G367" si="427">A364</f>
        <v>557</v>
      </c>
      <c r="H364" s="13" t="str">
        <f t="shared" ref="H364:H367" si="428">"GachaTop_"&amp;A364&amp;".png"</f>
        <v>GachaTop_557.png</v>
      </c>
      <c r="I364" s="23">
        <v>1</v>
      </c>
      <c r="J364" s="23">
        <f t="shared" ref="J364:J367" si="429">A364</f>
        <v>557</v>
      </c>
      <c r="K364" s="23">
        <v>1</v>
      </c>
      <c r="L364" s="55" t="s">
        <v>813</v>
      </c>
      <c r="M364" s="55" t="s">
        <v>814</v>
      </c>
      <c r="N364" s="2" t="s">
        <v>118</v>
      </c>
      <c r="O364" s="111" t="str">
        <f>CONCATENATE("&lt;font color=""#ffab27""&gt;",TEXT(VLOOKUP(A364,gacha_schedules!C:F,4,FALSE),"mm/dd hh:mm"),"&lt;/font&gt;まで")</f>
        <v>&lt;font color="#ffab27"&gt;04/01 14:59&lt;/font&gt;まで</v>
      </c>
      <c r="P364" s="26" t="s">
        <v>2928</v>
      </c>
      <c r="Q364" s="26" t="str">
        <f t="shared" ref="Q364:Q368" si="430">CONCATENATE(O364, CHAR(13),P364, CHAR(13),R364)</f>
        <v>&lt;font color="#ffab27"&gt;04/01 14:59&lt;/font&gt;まで_x000D_超フェス限定&lt;font color="#0093ff"&gt;青属性ユニット&lt;/font&gt;3体の出現率大幅アップ！_x000D_&lt;font color="#ffab27"&gt;※★6覚醒済み、超覚醒済みユニットは直接排出されません&lt;/font&gt;</v>
      </c>
      <c r="R364" s="49" t="s">
        <v>1732</v>
      </c>
      <c r="S364"/>
    </row>
    <row r="365" spans="1:19" ht="50" customHeight="1" x14ac:dyDescent="0.15">
      <c r="A365" s="6">
        <f t="shared" si="426"/>
        <v>558</v>
      </c>
      <c r="B365" s="18">
        <v>3</v>
      </c>
      <c r="C365" s="2" t="s">
        <v>2891</v>
      </c>
      <c r="D365" s="2">
        <v>100</v>
      </c>
      <c r="E365" s="17" t="str">
        <f>VLOOKUP($D365,gacha_types!$A:$D,2,FALSE)</f>
        <v>polygon</v>
      </c>
      <c r="F365" s="17">
        <v>5</v>
      </c>
      <c r="G365" s="17">
        <f t="shared" si="427"/>
        <v>558</v>
      </c>
      <c r="H365" s="13" t="str">
        <f t="shared" si="428"/>
        <v>GachaTop_558.png</v>
      </c>
      <c r="I365" s="23">
        <v>1</v>
      </c>
      <c r="J365" s="23">
        <f t="shared" si="429"/>
        <v>558</v>
      </c>
      <c r="K365" s="23">
        <v>1</v>
      </c>
      <c r="L365" s="55" t="s">
        <v>813</v>
      </c>
      <c r="M365" s="55" t="s">
        <v>814</v>
      </c>
      <c r="N365" s="2" t="s">
        <v>118</v>
      </c>
      <c r="O365" s="111" t="str">
        <f>CONCATENATE("&lt;font color=""#ffab27""&gt;",TEXT(VLOOKUP(A365,gacha_schedules!C:F,4,FALSE),"mm/dd hh:mm"),"&lt;/font&gt;まで")</f>
        <v>&lt;font color="#ffab27"&gt;04/02 14:59&lt;/font&gt;まで</v>
      </c>
      <c r="P365" s="26" t="s">
        <v>2929</v>
      </c>
      <c r="Q365" s="26" t="str">
        <f t="shared" si="430"/>
        <v>&lt;font color="#ffab27"&gt;04/02 14:59&lt;/font&gt;まで_x000D_超フェス限定&lt;font color="#ff2626"&gt;赤属性ユニット&lt;/font&gt;3体の出現率大幅アップ！_x000D_&lt;font color="#ffab27"&gt;※★6覚醒済み、超覚醒済みユニットは直接排出されません&lt;/font&gt;</v>
      </c>
      <c r="R365" s="49" t="s">
        <v>1732</v>
      </c>
      <c r="S365"/>
    </row>
    <row r="366" spans="1:19" ht="50" customHeight="1" x14ac:dyDescent="0.15">
      <c r="A366" s="6">
        <f t="shared" si="426"/>
        <v>559</v>
      </c>
      <c r="B366" s="18">
        <v>3</v>
      </c>
      <c r="C366" s="2" t="s">
        <v>2890</v>
      </c>
      <c r="D366" s="2">
        <v>100</v>
      </c>
      <c r="E366" s="17" t="str">
        <f>VLOOKUP($D366,gacha_types!$A:$D,2,FALSE)</f>
        <v>polygon</v>
      </c>
      <c r="F366" s="17">
        <v>5</v>
      </c>
      <c r="G366" s="17">
        <f t="shared" si="427"/>
        <v>559</v>
      </c>
      <c r="H366" s="13" t="str">
        <f t="shared" si="428"/>
        <v>GachaTop_559.png</v>
      </c>
      <c r="I366" s="23">
        <v>1</v>
      </c>
      <c r="J366" s="23">
        <f t="shared" si="429"/>
        <v>559</v>
      </c>
      <c r="K366" s="23">
        <v>1</v>
      </c>
      <c r="L366" s="55" t="s">
        <v>813</v>
      </c>
      <c r="M366" s="55" t="s">
        <v>814</v>
      </c>
      <c r="N366" s="2" t="s">
        <v>118</v>
      </c>
      <c r="O366" s="111" t="str">
        <f>CONCATENATE("&lt;font color=""#ffab27""&gt;",TEXT(VLOOKUP(A366,gacha_schedules!C:F,4,FALSE),"mm/dd hh:mm"),"&lt;/font&gt;まで")</f>
        <v>&lt;font color="#ffab27"&gt;04/03 14:59&lt;/font&gt;まで</v>
      </c>
      <c r="P366" s="26" t="s">
        <v>2930</v>
      </c>
      <c r="Q366" s="26" t="str">
        <f t="shared" si="430"/>
        <v>&lt;font color="#ffab27"&gt;04/03 14:59&lt;/font&gt;まで_x000D_超フェス限定&lt;font color="#00e075"&gt;緑属性ユニット&lt;/font&gt;3体の出現率大幅アップ！_x000D_&lt;font color="#ffab27"&gt;※★6覚醒済み、超覚醒済みユニットは直接排出されません&lt;/font&gt;</v>
      </c>
      <c r="R366" s="49" t="s">
        <v>1732</v>
      </c>
      <c r="S366"/>
    </row>
    <row r="367" spans="1:19" ht="50" customHeight="1" x14ac:dyDescent="0.15">
      <c r="A367" s="6">
        <f t="shared" si="426"/>
        <v>560</v>
      </c>
      <c r="B367" s="18">
        <v>3</v>
      </c>
      <c r="C367" s="2" t="s">
        <v>2896</v>
      </c>
      <c r="D367" s="2">
        <v>100</v>
      </c>
      <c r="E367" s="17" t="str">
        <f>VLOOKUP($D367,gacha_types!$A:$D,2,FALSE)</f>
        <v>polygon</v>
      </c>
      <c r="F367" s="17">
        <v>5</v>
      </c>
      <c r="G367" s="17">
        <f t="shared" si="427"/>
        <v>560</v>
      </c>
      <c r="H367" s="13" t="str">
        <f t="shared" si="428"/>
        <v>GachaTop_560.png</v>
      </c>
      <c r="I367" s="23">
        <v>1</v>
      </c>
      <c r="J367" s="23">
        <f t="shared" si="429"/>
        <v>560</v>
      </c>
      <c r="K367" s="23">
        <v>1</v>
      </c>
      <c r="L367" s="55" t="s">
        <v>813</v>
      </c>
      <c r="M367" s="55" t="s">
        <v>814</v>
      </c>
      <c r="N367" s="2" t="s">
        <v>118</v>
      </c>
      <c r="O367" s="111" t="str">
        <f>CONCATENATE("&lt;font color=""#ffab27""&gt;",TEXT(VLOOKUP(A367,gacha_schedules!C:F,4,FALSE),"mm/dd hh:mm"),"&lt;/font&gt;まで")</f>
        <v>&lt;font color="#ffab27"&gt;04/03 14:59&lt;/font&gt;まで</v>
      </c>
      <c r="P367" s="26" t="s">
        <v>2931</v>
      </c>
      <c r="Q367" s="26" t="str">
        <f t="shared" si="430"/>
        <v>&lt;font color="#ffab27"&gt;04/03 14:59&lt;/font&gt;まで_x000D_超フェス限定&lt;font color="#ffe22a"&gt;黄属性ユニット&lt;/font&gt;3体の出現率大幅アップ！_x000D_&lt;font color="#ffab27"&gt;※★6覚醒済み、超覚醒済みユニットは直接排出されません&lt;/font&gt;</v>
      </c>
      <c r="R367" s="49" t="s">
        <v>1732</v>
      </c>
    </row>
    <row r="368" spans="1:19" ht="50" customHeight="1" x14ac:dyDescent="0.15">
      <c r="A368" s="6">
        <f t="shared" si="426"/>
        <v>561</v>
      </c>
      <c r="B368" s="18">
        <v>3</v>
      </c>
      <c r="C368" s="2" t="s">
        <v>2932</v>
      </c>
      <c r="D368" s="2">
        <v>100</v>
      </c>
      <c r="E368" s="17" t="str">
        <f>VLOOKUP($D368,gacha_types!$A:$D,2,FALSE)</f>
        <v>polygon</v>
      </c>
      <c r="F368" s="17">
        <v>5</v>
      </c>
      <c r="G368" s="17">
        <f t="shared" ref="G368:G375" si="431">A368</f>
        <v>561</v>
      </c>
      <c r="H368" s="13" t="str">
        <f t="shared" ref="H368:H375" si="432">"GachaTop_"&amp;A368&amp;".png"</f>
        <v>GachaTop_561.png</v>
      </c>
      <c r="I368" s="23">
        <v>1</v>
      </c>
      <c r="J368" s="23">
        <f t="shared" ref="J368:J375" si="433">A368</f>
        <v>561</v>
      </c>
      <c r="K368" s="23">
        <v>1</v>
      </c>
      <c r="L368" s="55" t="s">
        <v>813</v>
      </c>
      <c r="M368" s="55" t="s">
        <v>814</v>
      </c>
      <c r="N368" s="2" t="s">
        <v>118</v>
      </c>
      <c r="O368" s="111" t="str">
        <f>CONCATENATE("&lt;font color=""#ffab27""&gt;",TEXT(VLOOKUP(A368,gacha_schedules!C:F,4,FALSE),"mm/dd hh:mm"),"&lt;/font&gt;まで")</f>
        <v>&lt;font color="#ffab27"&gt;04/10 14:59&lt;/font&gt;まで</v>
      </c>
      <c r="P368" s="111" t="s">
        <v>2868</v>
      </c>
      <c r="Q368" s="26" t="str">
        <f t="shared" si="430"/>
        <v>&lt;font color="#ffab27"&gt;04/10 14:59&lt;/font&gt;まで_x000D_STEP5で厳選★6覚醒可能ユニット1体確定！_x000D_&lt;font color="#ffab27"&gt;※★6覚醒済み、超覚醒済みユニットは直接排出されません&lt;/font&gt;</v>
      </c>
      <c r="R368" s="49" t="s">
        <v>1732</v>
      </c>
    </row>
    <row r="369" spans="1:18" ht="50" customHeight="1" x14ac:dyDescent="0.15">
      <c r="A369" s="6">
        <f t="shared" si="426"/>
        <v>562</v>
      </c>
      <c r="B369" s="18">
        <v>3</v>
      </c>
      <c r="C369" s="2" t="s">
        <v>2934</v>
      </c>
      <c r="D369" s="2">
        <v>100</v>
      </c>
      <c r="E369" s="17" t="str">
        <f>VLOOKUP($D369,gacha_types!$A:$D,2,FALSE)</f>
        <v>polygon</v>
      </c>
      <c r="F369" s="17">
        <v>5</v>
      </c>
      <c r="G369" s="17">
        <f t="shared" si="431"/>
        <v>562</v>
      </c>
      <c r="H369" s="13" t="str">
        <f t="shared" si="432"/>
        <v>GachaTop_562.png</v>
      </c>
      <c r="I369" s="23">
        <v>1</v>
      </c>
      <c r="J369" s="23">
        <f t="shared" si="433"/>
        <v>562</v>
      </c>
      <c r="K369" s="23">
        <v>1</v>
      </c>
      <c r="L369" s="55" t="s">
        <v>813</v>
      </c>
      <c r="M369" s="55" t="s">
        <v>814</v>
      </c>
      <c r="N369" s="2" t="s">
        <v>118</v>
      </c>
      <c r="O369" s="111" t="str">
        <f>CONCATENATE("&lt;font color=""#ffab27""&gt;",TEXT(VLOOKUP(A369,gacha_schedules!C:F,4,FALSE),"mm/dd hh:mm"),"&lt;/font&gt;まで 10連5回目で")</f>
        <v>&lt;font color="#ffab27"&gt;04/12 14:59&lt;/font&gt;まで 10連5回目で</v>
      </c>
      <c r="P369" s="111" t="s">
        <v>2940</v>
      </c>
      <c r="Q369" s="26" t="str">
        <f>CONCATENATE(O369, CHAR(13),P369, CHAR(13),R369)</f>
        <v>&lt;font color="#ffab27"&gt;04/12 14:59&lt;/font&gt;まで 10連5回目で_x000D_&lt;font color="#ffe22a"&gt;コノハナサクヤ&lt;/font&gt;、&lt;font color="#0093ff"&gt;花見ドガ&lt;/font&gt;、&lt;font color="#ffe22a"&gt;花見牛若丸&lt;/font&gt;から1体確定!_x000D_&lt;font color="#ffab27"&gt;※花見ドガ、花見牛若丸は★6で排出されます&lt;/font&gt;</v>
      </c>
      <c r="R369" s="49" t="s">
        <v>2941</v>
      </c>
    </row>
    <row r="370" spans="1:18" ht="50" customHeight="1" x14ac:dyDescent="0.15">
      <c r="A370" s="6">
        <f t="shared" si="426"/>
        <v>563</v>
      </c>
      <c r="B370" s="18">
        <v>3</v>
      </c>
      <c r="C370" s="2" t="s">
        <v>2933</v>
      </c>
      <c r="D370" s="2">
        <v>100</v>
      </c>
      <c r="E370" s="17" t="str">
        <f>VLOOKUP($D370,gacha_types!$A:$D,2,FALSE)</f>
        <v>polygon</v>
      </c>
      <c r="F370" s="17">
        <v>5</v>
      </c>
      <c r="G370" s="17">
        <f t="shared" si="431"/>
        <v>563</v>
      </c>
      <c r="H370" s="13" t="str">
        <f t="shared" si="432"/>
        <v>GachaTop_563.png</v>
      </c>
      <c r="I370" s="23">
        <v>1</v>
      </c>
      <c r="J370" s="23">
        <f t="shared" si="433"/>
        <v>563</v>
      </c>
      <c r="K370" s="23">
        <v>1</v>
      </c>
      <c r="L370" s="55" t="s">
        <v>813</v>
      </c>
      <c r="M370" s="55" t="s">
        <v>814</v>
      </c>
      <c r="N370" s="2" t="s">
        <v>118</v>
      </c>
      <c r="O370" s="111" t="str">
        <f>CONCATENATE("&lt;font color=""#ffab27""&gt;",TEXT(VLOOKUP(A370,gacha_schedules!C:F,4,FALSE),"mm/dd hh:mm"),"&lt;/font&gt;まで 10連5回目で")</f>
        <v>&lt;font color="#ffab27"&gt;04/12 14:59&lt;/font&gt;まで 10連5回目で</v>
      </c>
      <c r="P370" s="111" t="s">
        <v>2963</v>
      </c>
      <c r="Q370" s="26" t="str">
        <f>CONCATENATE(O370, CHAR(13),P370, CHAR(13),R370)</f>
        <v>&lt;font color="#ffab27"&gt;04/12 14:59&lt;/font&gt;まで 10連5回目で_x000D_&lt;font color="#ffe22a"&gt;センコ&lt;/font&gt;、&lt;font color="#00e075"&gt;花見沖田総司&lt;/font&gt;、&lt;font color="#ffe22a"&gt;花見牛若丸&lt;/font&gt;から1体確定!_x000D_&lt;font color="#ffab27"&gt;※花見沖田総司、花見牛若丸は★6で排出されます&lt;/font&gt;</v>
      </c>
      <c r="R370" s="49" t="s">
        <v>2942</v>
      </c>
    </row>
    <row r="371" spans="1:18" ht="50" customHeight="1" x14ac:dyDescent="0.15">
      <c r="A371" s="6">
        <f t="shared" si="426"/>
        <v>564</v>
      </c>
      <c r="B371" s="18">
        <v>3</v>
      </c>
      <c r="C371" s="2" t="s">
        <v>2965</v>
      </c>
      <c r="D371" s="2">
        <v>100</v>
      </c>
      <c r="E371" s="17" t="str">
        <f>VLOOKUP($D371,gacha_types!$A:$D,2,FALSE)</f>
        <v>polygon</v>
      </c>
      <c r="F371" s="17">
        <v>5</v>
      </c>
      <c r="G371" s="17">
        <f t="shared" si="431"/>
        <v>564</v>
      </c>
      <c r="H371" s="13" t="str">
        <f t="shared" si="432"/>
        <v>GachaTop_564.png</v>
      </c>
      <c r="I371" s="23">
        <v>1</v>
      </c>
      <c r="J371" s="23">
        <f t="shared" si="433"/>
        <v>564</v>
      </c>
      <c r="K371" s="23">
        <v>1</v>
      </c>
      <c r="L371" s="55" t="s">
        <v>813</v>
      </c>
      <c r="M371" s="55" t="s">
        <v>814</v>
      </c>
      <c r="N371" s="2" t="s">
        <v>118</v>
      </c>
      <c r="O371" s="111" t="str">
        <f>CONCATENATE("&lt;font color=""#ffab27""&gt;",TEXT(VLOOKUP(A371,gacha_schedules!C:F,4,FALSE),"mm/dd hh:mm"),"&lt;/font&gt;まで")</f>
        <v>&lt;font color="#ffab27"&gt;04/12 14:59&lt;/font&gt;まで</v>
      </c>
      <c r="P371" s="111" t="s">
        <v>2994</v>
      </c>
      <c r="Q371" s="26" t="str">
        <f>CONCATENATE(O371, CHAR(13),P371, CHAR(13),R371)</f>
        <v>&lt;font color="#ffab27"&gt;04/12 14:59&lt;/font&gt;まで_x000D_3回引ける！★6厳選ユニットが1体確定！_x000D_&lt;font color="#ffab27"&gt;※★6ユニットは確定枠からのみ排出されます&lt;/font&gt;</v>
      </c>
      <c r="R371" s="49" t="s">
        <v>2816</v>
      </c>
    </row>
    <row r="372" spans="1:18" ht="50" customHeight="1" x14ac:dyDescent="0.15">
      <c r="A372" s="6">
        <v>565</v>
      </c>
      <c r="B372" s="18">
        <v>3</v>
      </c>
      <c r="C372" s="2" t="s">
        <v>2630</v>
      </c>
      <c r="D372" s="2">
        <v>100</v>
      </c>
      <c r="E372" s="17" t="str">
        <f>VLOOKUP($D372,gacha_types!$A:$D,2,FALSE)</f>
        <v>polygon</v>
      </c>
      <c r="F372" s="17">
        <v>5</v>
      </c>
      <c r="G372" s="17">
        <f t="shared" si="431"/>
        <v>565</v>
      </c>
      <c r="H372" s="13" t="str">
        <f t="shared" si="432"/>
        <v>GachaTop_565.png</v>
      </c>
      <c r="I372" s="23">
        <v>1</v>
      </c>
      <c r="J372" s="23">
        <f t="shared" si="433"/>
        <v>565</v>
      </c>
      <c r="K372" s="23">
        <v>1</v>
      </c>
      <c r="L372" s="55" t="s">
        <v>813</v>
      </c>
      <c r="M372" s="55" t="s">
        <v>814</v>
      </c>
      <c r="N372" s="2" t="s">
        <v>118</v>
      </c>
      <c r="O372" s="111" t="s">
        <v>2980</v>
      </c>
      <c r="P372" s="111" t="s">
        <v>2975</v>
      </c>
      <c r="Q372" s="26" t="str">
        <f>CONCATENATE(O372, CHAR(13),P372, CHAR(13),R372)</f>
        <v>今、新ユニットが手に入るのはこのガチャだけ！！_x000D_新ユニットが&lt;font color="#ff2626"&gt;バグUP&lt;/font&gt;で出現率大幅アップ！_x000D_&lt;font color="#ffab27"&gt;※★6覚醒済み、超覚醒済みユニットは直接排出されません&lt;/font&gt;</v>
      </c>
      <c r="R372" s="49" t="s">
        <v>1732</v>
      </c>
    </row>
    <row r="373" spans="1:18" ht="50" customHeight="1" x14ac:dyDescent="0.15">
      <c r="A373" s="6">
        <f t="shared" ref="A373:A421" si="434">A372+1</f>
        <v>566</v>
      </c>
      <c r="B373" s="18">
        <v>3</v>
      </c>
      <c r="C373" s="2" t="s">
        <v>2604</v>
      </c>
      <c r="D373" s="2">
        <v>100</v>
      </c>
      <c r="E373" s="17" t="str">
        <f>VLOOKUP($D373,gacha_types!$A:$D,2,FALSE)</f>
        <v>polygon</v>
      </c>
      <c r="F373" s="17">
        <v>5</v>
      </c>
      <c r="G373" s="17">
        <f t="shared" si="431"/>
        <v>566</v>
      </c>
      <c r="H373" s="13" t="str">
        <f t="shared" si="432"/>
        <v>GachaTop_566.png</v>
      </c>
      <c r="I373" s="23">
        <v>1</v>
      </c>
      <c r="J373" s="23">
        <f t="shared" si="433"/>
        <v>566</v>
      </c>
      <c r="K373" s="23">
        <v>1</v>
      </c>
      <c r="L373" s="55" t="s">
        <v>813</v>
      </c>
      <c r="M373" s="55" t="s">
        <v>814</v>
      </c>
      <c r="N373" s="2" t="s">
        <v>118</v>
      </c>
      <c r="O373" s="111" t="str">
        <f>CONCATENATE("&lt;font color=""#ffab27""&gt;",TEXT(VLOOKUP(A373,gacha_schedules!C:F,4,FALSE),"mm/dd hh:mm"),"&lt;/font&gt;まで")</f>
        <v>&lt;font color="#ffab27"&gt;04/15 14:59&lt;/font&gt;まで</v>
      </c>
      <c r="P373" s="111" t="s">
        <v>3053</v>
      </c>
      <c r="Q373" s="26" t="str">
        <f t="shared" ref="Q373:Q375" si="435">CONCATENATE(O373, CHAR(13),P373, CHAR(13),R373)</f>
        <v>&lt;font color="#ffab27"&gt;04/15 14:59&lt;/font&gt;まで_x000D_チョイス1　&lt;font color="#00e075"&gt;プラトー&lt;/font&gt;、&lt;font color="#ff2626"&gt;モールス&lt;/font&gt;出現中！_x000D_&lt;font color="#ffab27"&gt;※★6覚醒済み、超覚醒済みユニットは直接排出されません&lt;/font&gt;</v>
      </c>
      <c r="R373" s="49" t="s">
        <v>1732</v>
      </c>
    </row>
    <row r="374" spans="1:18" ht="50" customHeight="1" x14ac:dyDescent="0.15">
      <c r="A374" s="6">
        <f t="shared" si="434"/>
        <v>567</v>
      </c>
      <c r="B374" s="18">
        <v>3</v>
      </c>
      <c r="C374" s="2" t="s">
        <v>2484</v>
      </c>
      <c r="D374" s="2">
        <v>100</v>
      </c>
      <c r="E374" s="17" t="str">
        <f>VLOOKUP($D374,gacha_types!$A:$D,2,FALSE)</f>
        <v>polygon</v>
      </c>
      <c r="F374" s="17">
        <v>5</v>
      </c>
      <c r="G374" s="17">
        <f t="shared" si="431"/>
        <v>567</v>
      </c>
      <c r="H374" s="13" t="str">
        <f t="shared" si="432"/>
        <v>GachaTop_567.png</v>
      </c>
      <c r="I374" s="23">
        <v>1</v>
      </c>
      <c r="J374" s="23">
        <f t="shared" si="433"/>
        <v>567</v>
      </c>
      <c r="K374" s="23">
        <v>1</v>
      </c>
      <c r="L374" s="55" t="s">
        <v>813</v>
      </c>
      <c r="M374" s="55" t="s">
        <v>814</v>
      </c>
      <c r="N374" s="2" t="s">
        <v>118</v>
      </c>
      <c r="O374" s="111" t="str">
        <f>CONCATENATE("&lt;font color=""#ffab27""&gt;",TEXT(VLOOKUP(A374,gacha_schedules!C:F,4,FALSE),"mm/dd hh:mm"),"&lt;/font&gt;まで")</f>
        <v>&lt;font color="#ffab27"&gt;04/16 14:59&lt;/font&gt;まで</v>
      </c>
      <c r="P374" s="111" t="s">
        <v>3052</v>
      </c>
      <c r="Q374" s="26" t="str">
        <f t="shared" si="435"/>
        <v>&lt;font color="#ffab27"&gt;04/16 14:59&lt;/font&gt;まで_x000D_チョイス2　&lt;font color="#00e075"&gt;プラトー&lt;/font&gt;、&lt;font color="#0093ff"&gt;フィボナッチ&lt;/font&gt;出現中！_x000D_&lt;font color="#ffab27"&gt;※★6覚醒済み、超覚醒済みユニットは直接排出されません&lt;/font&gt;</v>
      </c>
      <c r="R374" s="49" t="s">
        <v>1732</v>
      </c>
    </row>
    <row r="375" spans="1:18" ht="50" customHeight="1" x14ac:dyDescent="0.15">
      <c r="A375" s="6">
        <f t="shared" si="434"/>
        <v>568</v>
      </c>
      <c r="B375" s="18">
        <v>3</v>
      </c>
      <c r="C375" s="2" t="s">
        <v>2485</v>
      </c>
      <c r="D375" s="2">
        <v>100</v>
      </c>
      <c r="E375" s="17" t="str">
        <f>VLOOKUP($D375,gacha_types!$A:$D,2,FALSE)</f>
        <v>polygon</v>
      </c>
      <c r="F375" s="17">
        <v>5</v>
      </c>
      <c r="G375" s="17">
        <f t="shared" si="431"/>
        <v>568</v>
      </c>
      <c r="H375" s="13" t="str">
        <f t="shared" si="432"/>
        <v>GachaTop_568.png</v>
      </c>
      <c r="I375" s="23">
        <v>1</v>
      </c>
      <c r="J375" s="23">
        <f t="shared" si="433"/>
        <v>568</v>
      </c>
      <c r="K375" s="23">
        <v>1</v>
      </c>
      <c r="L375" s="55" t="s">
        <v>813</v>
      </c>
      <c r="M375" s="55" t="s">
        <v>814</v>
      </c>
      <c r="N375" s="2" t="s">
        <v>118</v>
      </c>
      <c r="O375" s="111" t="str">
        <f>CONCATENATE("&lt;font color=""#ffab27""&gt;",TEXT(VLOOKUP(A375,gacha_schedules!C:F,4,FALSE),"mm/dd hh:mm"),"&lt;/font&gt;まで")</f>
        <v>&lt;font color="#ffab27"&gt;04/17 14:59&lt;/font&gt;まで</v>
      </c>
      <c r="P375" s="111" t="s">
        <v>3055</v>
      </c>
      <c r="Q375" s="26" t="str">
        <f t="shared" si="435"/>
        <v>&lt;font color="#ffab27"&gt;04/17 14:59&lt;/font&gt;まで_x000D_チョイス3　&lt;font color="#00e075"&gt;プラトー&lt;/font&gt;、&lt;font color="#ffe22a"&gt;ケプラー&lt;/font&gt;出現中！_x000D_&lt;font color="#ffab27"&gt;※★6覚醒済み、超覚醒済みユニットは直接排出されません&lt;/font&gt;</v>
      </c>
      <c r="R375" s="49" t="s">
        <v>1732</v>
      </c>
    </row>
    <row r="376" spans="1:18" ht="50" customHeight="1" x14ac:dyDescent="0.15">
      <c r="A376" s="6">
        <f t="shared" si="434"/>
        <v>569</v>
      </c>
      <c r="B376" s="18">
        <v>3</v>
      </c>
      <c r="C376" s="2" t="s">
        <v>3000</v>
      </c>
      <c r="D376" s="2">
        <v>100</v>
      </c>
      <c r="E376" s="17" t="str">
        <f>VLOOKUP($D376,gacha_types!$A:$D,2,FALSE)</f>
        <v>polygon</v>
      </c>
      <c r="F376" s="17">
        <v>5</v>
      </c>
      <c r="G376" s="17">
        <f t="shared" ref="G376:G379" si="436">A376</f>
        <v>569</v>
      </c>
      <c r="H376" s="13" t="str">
        <f t="shared" ref="H376:H379" si="437">"GachaTop_"&amp;A376&amp;".png"</f>
        <v>GachaTop_569.png</v>
      </c>
      <c r="I376" s="23">
        <v>1</v>
      </c>
      <c r="J376" s="23">
        <f t="shared" ref="J376:J379" si="438">A376</f>
        <v>569</v>
      </c>
      <c r="K376" s="23">
        <v>1</v>
      </c>
      <c r="L376" s="55" t="s">
        <v>813</v>
      </c>
      <c r="M376" s="55" t="s">
        <v>814</v>
      </c>
      <c r="N376" s="2" t="s">
        <v>118</v>
      </c>
      <c r="O376" s="111" t="str">
        <f>CONCATENATE("&lt;font color=""#ffab27""&gt;",TEXT(VLOOKUP(A376,gacha_schedules!C:F,4,FALSE),"mm/dd hh:mm"),"&lt;/font&gt;まで開催！3回目で")</f>
        <v>&lt;font color="#ffab27"&gt;04/22 14:59&lt;/font&gt;まで開催！3回目で</v>
      </c>
      <c r="P376" s="111" t="s">
        <v>3027</v>
      </c>
      <c r="Q376" s="26" t="str">
        <f t="shared" ref="Q376:Q378" si="439">CONCATENATE(O376, CHAR(13),P376, CHAR(13),R376)</f>
        <v>&lt;font color="#ffab27"&gt;04/22 14:59&lt;/font&gt;まで開催！3回目で_x000D_ピックアップユニットが&lt;font color="#ffab27"&gt;★6&lt;/font&gt;、&lt;font color="#ffab27"&gt;レベルMAX&lt;/font&gt;で1体確定！_x000D_&lt;font color="#ffab27"&gt;※★6ユニットは確定枠からのみ排出されます&lt;/font&gt;</v>
      </c>
      <c r="R376" s="49" t="s">
        <v>2816</v>
      </c>
    </row>
    <row r="377" spans="1:18" ht="50" customHeight="1" x14ac:dyDescent="0.15">
      <c r="A377" s="6">
        <f t="shared" si="434"/>
        <v>570</v>
      </c>
      <c r="B377" s="18">
        <v>3</v>
      </c>
      <c r="C377" s="2" t="s">
        <v>3001</v>
      </c>
      <c r="D377" s="2">
        <v>100</v>
      </c>
      <c r="E377" s="17" t="str">
        <f>VLOOKUP($D377,gacha_types!$A:$D,2,FALSE)</f>
        <v>polygon</v>
      </c>
      <c r="F377" s="17">
        <v>5</v>
      </c>
      <c r="G377" s="17">
        <f t="shared" si="436"/>
        <v>570</v>
      </c>
      <c r="H377" s="13" t="str">
        <f t="shared" si="437"/>
        <v>GachaTop_570.png</v>
      </c>
      <c r="I377" s="23">
        <v>1</v>
      </c>
      <c r="J377" s="23">
        <f t="shared" si="438"/>
        <v>570</v>
      </c>
      <c r="K377" s="23">
        <v>1</v>
      </c>
      <c r="L377" s="55" t="s">
        <v>813</v>
      </c>
      <c r="M377" s="55" t="s">
        <v>814</v>
      </c>
      <c r="N377" s="2" t="s">
        <v>118</v>
      </c>
      <c r="O377" s="111" t="str">
        <f>CONCATENATE("&lt;font color=""#ffab27""&gt;",TEXT(VLOOKUP(A377,gacha_schedules!C:F,4,FALSE),"mm/dd hh:mm"),"&lt;/font&gt;まで開催！3回目で")</f>
        <v>&lt;font color="#ffab27"&gt;04/22 14:59&lt;/font&gt;まで開催！3回目で</v>
      </c>
      <c r="P377" s="111" t="s">
        <v>3027</v>
      </c>
      <c r="Q377" s="26" t="str">
        <f t="shared" si="439"/>
        <v>&lt;font color="#ffab27"&gt;04/22 14:59&lt;/font&gt;まで開催！3回目で_x000D_ピックアップユニットが&lt;font color="#ffab27"&gt;★6&lt;/font&gt;、&lt;font color="#ffab27"&gt;レベルMAX&lt;/font&gt;で1体確定！_x000D_&lt;font color="#ffab27"&gt;※★6ユニットは確定枠からのみ排出されます&lt;/font&gt;</v>
      </c>
      <c r="R377" s="49" t="s">
        <v>2816</v>
      </c>
    </row>
    <row r="378" spans="1:18" ht="50" customHeight="1" x14ac:dyDescent="0.15">
      <c r="A378" s="6">
        <f t="shared" si="434"/>
        <v>571</v>
      </c>
      <c r="B378" s="18">
        <v>3</v>
      </c>
      <c r="C378" s="2" t="s">
        <v>3002</v>
      </c>
      <c r="D378" s="2">
        <v>100</v>
      </c>
      <c r="E378" s="17" t="str">
        <f>VLOOKUP($D378,gacha_types!$A:$D,2,FALSE)</f>
        <v>polygon</v>
      </c>
      <c r="F378" s="17">
        <v>5</v>
      </c>
      <c r="G378" s="17">
        <f t="shared" si="436"/>
        <v>571</v>
      </c>
      <c r="H378" s="13" t="str">
        <f t="shared" si="437"/>
        <v>GachaTop_571.png</v>
      </c>
      <c r="I378" s="23">
        <v>1</v>
      </c>
      <c r="J378" s="23">
        <f t="shared" si="438"/>
        <v>571</v>
      </c>
      <c r="K378" s="23">
        <v>1</v>
      </c>
      <c r="L378" s="55" t="s">
        <v>813</v>
      </c>
      <c r="M378" s="55" t="s">
        <v>814</v>
      </c>
      <c r="N378" s="2" t="s">
        <v>118</v>
      </c>
      <c r="O378" s="111" t="str">
        <f>CONCATENATE("&lt;font color=""#ffab27""&gt;",TEXT(VLOOKUP(A378,gacha_schedules!C:F,4,FALSE),"mm/dd hh:mm"),"&lt;/font&gt;まで開催！3回目で")</f>
        <v>&lt;font color="#ffab27"&gt;04/24 14:59&lt;/font&gt;まで開催！3回目で</v>
      </c>
      <c r="P378" s="111" t="s">
        <v>3027</v>
      </c>
      <c r="Q378" s="26" t="str">
        <f t="shared" si="439"/>
        <v>&lt;font color="#ffab27"&gt;04/24 14:59&lt;/font&gt;まで開催！3回目で_x000D_ピックアップユニットが&lt;font color="#ffab27"&gt;★6&lt;/font&gt;、&lt;font color="#ffab27"&gt;レベルMAX&lt;/font&gt;で1体確定！_x000D_&lt;font color="#ffab27"&gt;※★6ユニットは確定枠からのみ排出されます&lt;/font&gt;</v>
      </c>
      <c r="R378" s="49" t="s">
        <v>2816</v>
      </c>
    </row>
    <row r="379" spans="1:18" ht="50" customHeight="1" x14ac:dyDescent="0.15">
      <c r="A379" s="6">
        <f t="shared" si="434"/>
        <v>572</v>
      </c>
      <c r="B379" s="18">
        <v>3</v>
      </c>
      <c r="C379" s="2" t="s">
        <v>3003</v>
      </c>
      <c r="D379" s="2">
        <v>100</v>
      </c>
      <c r="E379" s="17" t="str">
        <f>VLOOKUP($D379,gacha_types!$A:$D,2,FALSE)</f>
        <v>polygon</v>
      </c>
      <c r="F379" s="17">
        <v>5</v>
      </c>
      <c r="G379" s="17">
        <f t="shared" si="436"/>
        <v>572</v>
      </c>
      <c r="H379" s="13" t="str">
        <f t="shared" si="437"/>
        <v>GachaTop_572.png</v>
      </c>
      <c r="I379" s="23">
        <v>1</v>
      </c>
      <c r="J379" s="23">
        <f t="shared" si="438"/>
        <v>572</v>
      </c>
      <c r="K379" s="23">
        <v>1</v>
      </c>
      <c r="L379" s="55" t="s">
        <v>813</v>
      </c>
      <c r="M379" s="55" t="s">
        <v>814</v>
      </c>
      <c r="N379" s="2" t="s">
        <v>118</v>
      </c>
      <c r="O379" s="111" t="str">
        <f>CONCATENATE("&lt;font color=""#ffab27""&gt;",TEXT(VLOOKUP(A379,gacha_schedules!C:F,4,FALSE),"mm/dd hh:mm"),"&lt;/font&gt;まで限定ユニット&lt;font color=""#ff2626""&gt;ヘイウェイ&lt;/font&gt;出現中！")</f>
        <v>&lt;font color="#ffab27"&gt;04/24 23:59&lt;/font&gt;まで限定ユニット&lt;font color="#ff2626"&gt;ヘイウェイ&lt;/font&gt;出現中！</v>
      </c>
      <c r="P379" s="26" t="s">
        <v>3026</v>
      </c>
      <c r="Q379" s="26" t="str">
        <f>CONCATENATE(O379, "
",P379,"
",R379)</f>
        <v>&lt;font color="#ffab27"&gt;04/24 23:59&lt;/font&gt;まで限定ユニット&lt;font color="#ff2626"&gt;ヘイウェイ&lt;/font&gt;出現中！_x000D_今だけ！赤属性出現率大幅アップ！_x000D_&lt;font color="#ffab27"&gt;※★6覚醒済み、超覚醒済みユニットは直接排出されません&lt;/font&gt;</v>
      </c>
      <c r="R379" s="49" t="s">
        <v>1732</v>
      </c>
    </row>
    <row r="380" spans="1:18" ht="50" customHeight="1" x14ac:dyDescent="0.15">
      <c r="A380" s="6">
        <f t="shared" si="434"/>
        <v>573</v>
      </c>
      <c r="B380" s="18">
        <v>3</v>
      </c>
      <c r="C380" s="2" t="s">
        <v>3090</v>
      </c>
      <c r="D380" s="2">
        <v>100</v>
      </c>
      <c r="E380" s="17" t="str">
        <f>VLOOKUP($D380,gacha_types!$A:$D,2,FALSE)</f>
        <v>polygon</v>
      </c>
      <c r="F380" s="17">
        <v>5</v>
      </c>
      <c r="G380" s="17">
        <f t="shared" ref="G380:G389" si="440">A380</f>
        <v>573</v>
      </c>
      <c r="H380" s="13" t="str">
        <f t="shared" ref="H380:H389" si="441">"GachaTop_"&amp;A380&amp;".png"</f>
        <v>GachaTop_573.png</v>
      </c>
      <c r="I380" s="23">
        <v>1</v>
      </c>
      <c r="J380" s="23">
        <f t="shared" ref="J380:J389" si="442">A380</f>
        <v>573</v>
      </c>
      <c r="K380" s="23">
        <v>1</v>
      </c>
      <c r="L380" s="55" t="s">
        <v>813</v>
      </c>
      <c r="M380" s="55" t="s">
        <v>814</v>
      </c>
      <c r="N380" s="2" t="s">
        <v>118</v>
      </c>
      <c r="O380" s="111" t="str">
        <f>CONCATENATE("&lt;font color=""#ffab27""&gt;",TEXT(VLOOKUP(A380,gacha_schedules!C:F,4,FALSE),"mm/dd hh:mm"),"&lt;/font&gt;まで")</f>
        <v>&lt;font color="#ffab27"&gt;05/02 14:59&lt;/font&gt;まで</v>
      </c>
      <c r="P380" s="26" t="s">
        <v>3218</v>
      </c>
      <c r="Q380" s="26" t="str">
        <f t="shared" ref="Q380:Q392" si="443">CONCATENATE(O380, CHAR(13),P380, CHAR(13),R380)</f>
        <v>&lt;font color="#ffab27"&gt;05/02 14:59&lt;/font&gt;まで_x000D_10連3回目で&lt;font color="#00e075"&gt;西王娘娘&lt;/font&gt;、&lt;font color="#0093ff"&gt;三蔵法師&lt;/font&gt;、どちらか1体確定！_x000D_&lt;font color="#ffab27"&gt;※★6覚醒済み、超覚醒済みユニットは直接排出されません&lt;/font&gt;</v>
      </c>
      <c r="R380" s="49" t="s">
        <v>1732</v>
      </c>
    </row>
    <row r="381" spans="1:18" ht="50" customHeight="1" x14ac:dyDescent="0.15">
      <c r="A381" s="6">
        <f t="shared" si="434"/>
        <v>574</v>
      </c>
      <c r="B381" s="18">
        <v>3</v>
      </c>
      <c r="C381" s="2" t="s">
        <v>3092</v>
      </c>
      <c r="D381" s="2">
        <v>100</v>
      </c>
      <c r="E381" s="17" t="str">
        <f>VLOOKUP($D381,gacha_types!$A:$D,2,FALSE)</f>
        <v>polygon</v>
      </c>
      <c r="F381" s="17">
        <v>5</v>
      </c>
      <c r="G381" s="17">
        <f t="shared" si="440"/>
        <v>574</v>
      </c>
      <c r="H381" s="13" t="str">
        <f t="shared" si="441"/>
        <v>GachaTop_574.png</v>
      </c>
      <c r="I381" s="23">
        <v>1</v>
      </c>
      <c r="J381" s="23">
        <f t="shared" si="442"/>
        <v>574</v>
      </c>
      <c r="K381" s="23">
        <v>1</v>
      </c>
      <c r="L381" s="55" t="s">
        <v>813</v>
      </c>
      <c r="M381" s="55" t="s">
        <v>814</v>
      </c>
      <c r="N381" s="2" t="s">
        <v>118</v>
      </c>
      <c r="O381" s="111" t="str">
        <f>CONCATENATE("&lt;font color=""#ffab27""&gt;",TEXT(VLOOKUP(A381,gacha_schedules!C:F,4,FALSE),"mm/dd hh:mm"),"&lt;/font&gt;まで")</f>
        <v>&lt;font color="#ffab27"&gt;05/08 14:59&lt;/font&gt;まで</v>
      </c>
      <c r="P381" s="26" t="s">
        <v>3054</v>
      </c>
      <c r="Q381" s="26" t="str">
        <f t="shared" si="443"/>
        <v>&lt;font color="#ffab27"&gt;05/08 14:59&lt;/font&gt;まで_x000D_記念限定ユニット&lt;font color="#ff2626"&gt;パラケルスス&lt;/font&gt;出現中！_x000D_&lt;font color="#ffab27"&gt;※★6覚醒済み、超覚醒済みユニットは直接排出されません&lt;/font&gt;</v>
      </c>
      <c r="R381" s="49" t="s">
        <v>1732</v>
      </c>
    </row>
    <row r="382" spans="1:18" ht="50" customHeight="1" x14ac:dyDescent="0.15">
      <c r="A382" s="6">
        <f t="shared" si="434"/>
        <v>575</v>
      </c>
      <c r="B382" s="18">
        <v>3</v>
      </c>
      <c r="C382" s="2" t="s">
        <v>3093</v>
      </c>
      <c r="D382" s="2">
        <v>100</v>
      </c>
      <c r="E382" s="17" t="str">
        <f>VLOOKUP($D382,gacha_types!$A:$D,2,FALSE)</f>
        <v>polygon</v>
      </c>
      <c r="F382" s="17">
        <v>5</v>
      </c>
      <c r="G382" s="17">
        <f t="shared" si="440"/>
        <v>575</v>
      </c>
      <c r="H382" s="13" t="str">
        <f t="shared" si="441"/>
        <v>GachaTop_575.png</v>
      </c>
      <c r="I382" s="23">
        <v>1</v>
      </c>
      <c r="J382" s="23">
        <f t="shared" si="442"/>
        <v>575</v>
      </c>
      <c r="K382" s="23">
        <v>1</v>
      </c>
      <c r="L382" s="55" t="s">
        <v>813</v>
      </c>
      <c r="M382" s="55" t="s">
        <v>814</v>
      </c>
      <c r="N382" s="2" t="s">
        <v>118</v>
      </c>
      <c r="O382" s="111" t="str">
        <f>CONCATENATE("&lt;font color=""#ffab27""&gt;",TEXT(VLOOKUP(A382,gacha_schedules!C:F,4,FALSE),"mm/dd hh:mm"),"&lt;/font&gt;まで")</f>
        <v>&lt;font color="#ffab27"&gt;04/27 14:59&lt;/font&gt;まで</v>
      </c>
      <c r="P382" s="26" t="s">
        <v>2058</v>
      </c>
      <c r="Q382" s="26" t="str">
        <f t="shared" si="443"/>
        <v>&lt;font color="#ffab27"&gt;04/27 14:59&lt;/font&gt;まで_x000D_記念限定ユニット&lt;font color="#0093ff"&gt;ブール&lt;/font&gt;出現中！_x000D_&lt;font color="#ffab27"&gt;※★6覚醒済み、超覚醒済みユニットは直接排出されません&lt;/font&gt;</v>
      </c>
      <c r="R382" s="49" t="s">
        <v>1732</v>
      </c>
    </row>
    <row r="383" spans="1:18" ht="50" customHeight="1" x14ac:dyDescent="0.15">
      <c r="A383" s="6">
        <f t="shared" si="434"/>
        <v>576</v>
      </c>
      <c r="B383" s="18">
        <v>3</v>
      </c>
      <c r="C383" s="2" t="s">
        <v>3094</v>
      </c>
      <c r="D383" s="2">
        <v>100</v>
      </c>
      <c r="E383" s="17" t="str">
        <f>VLOOKUP($D383,gacha_types!$A:$D,2,FALSE)</f>
        <v>polygon</v>
      </c>
      <c r="F383" s="17">
        <v>5</v>
      </c>
      <c r="G383" s="17">
        <f t="shared" si="440"/>
        <v>576</v>
      </c>
      <c r="H383" s="13" t="str">
        <f t="shared" si="441"/>
        <v>GachaTop_576.png</v>
      </c>
      <c r="I383" s="23">
        <v>1</v>
      </c>
      <c r="J383" s="23">
        <f t="shared" si="442"/>
        <v>576</v>
      </c>
      <c r="K383" s="23">
        <v>1</v>
      </c>
      <c r="L383" s="55" t="s">
        <v>813</v>
      </c>
      <c r="M383" s="55" t="s">
        <v>814</v>
      </c>
      <c r="N383" s="2" t="s">
        <v>118</v>
      </c>
      <c r="O383" s="111" t="str">
        <f>CONCATENATE("&lt;font color=""#ffab27""&gt;",TEXT(VLOOKUP(A383,gacha_schedules!C:F,4,FALSE),"mm/dd hh:mm"),"&lt;/font&gt;まで")</f>
        <v>&lt;font color="#ffab27"&gt;04/28 14:59&lt;/font&gt;まで</v>
      </c>
      <c r="P383" s="26" t="s">
        <v>2057</v>
      </c>
      <c r="Q383" s="26" t="str">
        <f t="shared" si="443"/>
        <v>&lt;font color="#ffab27"&gt;04/28 14:59&lt;/font&gt;まで_x000D_記念限定ユニット&lt;font color="#00e075"&gt;パレート&lt;/font&gt;出現中！_x000D_&lt;font color="#ffab27"&gt;※★6覚醒済み、超覚醒済みユニットは直接排出されません&lt;/font&gt;</v>
      </c>
      <c r="R383" s="49" t="s">
        <v>1732</v>
      </c>
    </row>
    <row r="384" spans="1:18" ht="50" customHeight="1" x14ac:dyDescent="0.15">
      <c r="A384" s="6">
        <f t="shared" si="434"/>
        <v>577</v>
      </c>
      <c r="B384" s="18">
        <v>3</v>
      </c>
      <c r="C384" s="2" t="s">
        <v>3095</v>
      </c>
      <c r="D384" s="2">
        <v>100</v>
      </c>
      <c r="E384" s="17" t="str">
        <f>VLOOKUP($D384,gacha_types!$A:$D,2,FALSE)</f>
        <v>polygon</v>
      </c>
      <c r="F384" s="17">
        <v>5</v>
      </c>
      <c r="G384" s="17">
        <f t="shared" ref="G384" si="444">A384</f>
        <v>577</v>
      </c>
      <c r="H384" s="13" t="str">
        <f t="shared" ref="H384" si="445">"GachaTop_"&amp;A384&amp;".png"</f>
        <v>GachaTop_577.png</v>
      </c>
      <c r="I384" s="23">
        <v>1</v>
      </c>
      <c r="J384" s="23">
        <f t="shared" ref="J384" si="446">A384</f>
        <v>577</v>
      </c>
      <c r="K384" s="23">
        <v>1</v>
      </c>
      <c r="L384" s="55" t="s">
        <v>813</v>
      </c>
      <c r="M384" s="55" t="s">
        <v>814</v>
      </c>
      <c r="N384" s="2" t="s">
        <v>118</v>
      </c>
      <c r="O384" s="111" t="str">
        <f>CONCATENATE("&lt;font color=""#ffab27""&gt;",TEXT(VLOOKUP(A384,gacha_schedules!C:F,4,FALSE),"mm/dd hh:mm"),"&lt;/font&gt;まで")</f>
        <v>&lt;font color="#ffab27"&gt;04/29 14:59&lt;/font&gt;まで</v>
      </c>
      <c r="P384" s="26" t="s">
        <v>3056</v>
      </c>
      <c r="Q384" s="26" t="str">
        <f t="shared" si="443"/>
        <v>&lt;font color="#ffab27"&gt;04/29 14:59&lt;/font&gt;まで_x000D_記念限定ユニット&lt;font color="#ffe22a"&gt;ハーシェル&lt;/font&gt;、&lt;font color="#ffe22a"&gt;フェルマー&lt;/font&gt;出現中！_x000D_&lt;font color="#ffab27"&gt;※★6覚醒済み、超覚醒済みユニットは直接排出されません&lt;/font&gt;</v>
      </c>
      <c r="R384" s="49" t="s">
        <v>1732</v>
      </c>
    </row>
    <row r="385" spans="1:19" ht="50" customHeight="1" x14ac:dyDescent="0.15">
      <c r="A385" s="6">
        <f t="shared" si="434"/>
        <v>578</v>
      </c>
      <c r="B385" s="18">
        <v>3</v>
      </c>
      <c r="C385" s="2" t="s">
        <v>3091</v>
      </c>
      <c r="D385" s="2">
        <v>100</v>
      </c>
      <c r="E385" s="17" t="str">
        <f>VLOOKUP($D385,gacha_types!$A:$D,2,FALSE)</f>
        <v>polygon</v>
      </c>
      <c r="F385" s="17">
        <v>5</v>
      </c>
      <c r="G385" s="17">
        <f t="shared" si="440"/>
        <v>578</v>
      </c>
      <c r="H385" s="13" t="str">
        <f t="shared" si="441"/>
        <v>GachaTop_578.png</v>
      </c>
      <c r="I385" s="23">
        <v>1</v>
      </c>
      <c r="J385" s="23">
        <f t="shared" si="442"/>
        <v>578</v>
      </c>
      <c r="K385" s="23">
        <v>1</v>
      </c>
      <c r="L385" s="55" t="s">
        <v>813</v>
      </c>
      <c r="M385" s="55" t="s">
        <v>814</v>
      </c>
      <c r="N385" s="2" t="s">
        <v>118</v>
      </c>
      <c r="O385" s="111" t="str">
        <f>CONCATENATE("&lt;font color=""#ffab27""&gt;",TEXT(VLOOKUP(A385,gacha_schedules!C:F,4,FALSE),"mm/dd hh:mm"),"&lt;/font&gt;まで")</f>
        <v>&lt;font color="#ffab27"&gt;05/08 14:59&lt;/font&gt;まで</v>
      </c>
      <c r="P385" s="26" t="s">
        <v>3219</v>
      </c>
      <c r="Q385" s="26" t="str">
        <f t="shared" si="443"/>
        <v>&lt;font color="#ffab27"&gt;05/08 14:59&lt;/font&gt;まで_x000D_10連3回目で&lt;font color="#ffe22a"&gt;何仙姑&lt;/font&gt;、&lt;font color="#ff2626"&gt;ガルーダ&lt;/font&gt;、どちらか1体確定！_x000D_&lt;font color="#ffab27"&gt;※★6覚醒済み、超覚醒済みユニットは直接排出されません&lt;/font&gt;</v>
      </c>
      <c r="R385" s="49" t="s">
        <v>3057</v>
      </c>
    </row>
    <row r="386" spans="1:19" ht="50" customHeight="1" x14ac:dyDescent="0.15">
      <c r="A386" s="6">
        <f t="shared" si="434"/>
        <v>579</v>
      </c>
      <c r="B386" s="18">
        <v>3</v>
      </c>
      <c r="C386" s="2" t="s">
        <v>3081</v>
      </c>
      <c r="D386" s="2">
        <v>100</v>
      </c>
      <c r="E386" s="17" t="str">
        <f>VLOOKUP($D386,gacha_types!$A:$D,2,FALSE)</f>
        <v>polygon</v>
      </c>
      <c r="F386" s="17">
        <v>5</v>
      </c>
      <c r="G386" s="17">
        <f t="shared" si="440"/>
        <v>579</v>
      </c>
      <c r="H386" s="13" t="str">
        <f t="shared" si="441"/>
        <v>GachaTop_579.png</v>
      </c>
      <c r="I386" s="23">
        <v>1</v>
      </c>
      <c r="J386" s="23">
        <f t="shared" si="442"/>
        <v>579</v>
      </c>
      <c r="K386" s="23">
        <v>1</v>
      </c>
      <c r="L386" s="55" t="s">
        <v>813</v>
      </c>
      <c r="M386" s="55" t="s">
        <v>814</v>
      </c>
      <c r="N386" s="2" t="s">
        <v>118</v>
      </c>
      <c r="O386" s="111" t="s">
        <v>3058</v>
      </c>
      <c r="P386" s="26" t="s">
        <v>3061</v>
      </c>
      <c r="Q386" s="26" t="str">
        <f t="shared" si="443"/>
        <v>★3〜★5のユニットが出現!_x000D_全ユーザー様の&lt;font color="#ff2626"&gt;パネル破壊数&lt;/font&gt;に応じて、&lt;font color="#ff2626"&gt;ガチャレベルUP!&lt;/font&gt;_x000D_&lt;font color="#ffab27"&gt;※レベル2に到達すると、レベル1のガチャは引けません&lt;/font&gt;</v>
      </c>
      <c r="R386" s="49" t="s">
        <v>3116</v>
      </c>
    </row>
    <row r="387" spans="1:19" ht="50" customHeight="1" x14ac:dyDescent="0.15">
      <c r="A387" s="6">
        <f t="shared" si="434"/>
        <v>580</v>
      </c>
      <c r="B387" s="18">
        <v>3</v>
      </c>
      <c r="C387" s="2" t="s">
        <v>3082</v>
      </c>
      <c r="D387" s="2">
        <v>100</v>
      </c>
      <c r="E387" s="17" t="str">
        <f>VLOOKUP($D387,gacha_types!$A:$D,2,FALSE)</f>
        <v>polygon</v>
      </c>
      <c r="F387" s="17">
        <v>5</v>
      </c>
      <c r="G387" s="17">
        <f t="shared" si="440"/>
        <v>580</v>
      </c>
      <c r="H387" s="13" t="str">
        <f t="shared" si="441"/>
        <v>GachaTop_580.png</v>
      </c>
      <c r="I387" s="23">
        <v>1</v>
      </c>
      <c r="J387" s="23">
        <f t="shared" si="442"/>
        <v>580</v>
      </c>
      <c r="K387" s="23">
        <v>1</v>
      </c>
      <c r="L387" s="55" t="s">
        <v>813</v>
      </c>
      <c r="M387" s="55" t="s">
        <v>814</v>
      </c>
      <c r="N387" s="2" t="s">
        <v>118</v>
      </c>
      <c r="O387" s="111" t="s">
        <v>3059</v>
      </c>
      <c r="P387" s="26" t="s">
        <v>3061</v>
      </c>
      <c r="Q387" s="26" t="str">
        <f t="shared" si="443"/>
        <v>★4〜★5のユニットが出現!_x000D_全ユーザー様の&lt;font color="#ff2626"&gt;パネル破壊数&lt;/font&gt;に応じて、&lt;font color="#ff2626"&gt;ガチャレベルUP!&lt;/font&gt;_x000D_&lt;font color="#ffab27"&gt;※レベル3に到達すると、レベル2のガチャは引けません&lt;/font&gt;</v>
      </c>
      <c r="R387" s="49" t="s">
        <v>3117</v>
      </c>
    </row>
    <row r="388" spans="1:19" ht="50" customHeight="1" x14ac:dyDescent="0.15">
      <c r="A388" s="6">
        <f t="shared" si="434"/>
        <v>581</v>
      </c>
      <c r="B388" s="18">
        <v>3</v>
      </c>
      <c r="C388" s="2" t="s">
        <v>3083</v>
      </c>
      <c r="D388" s="2">
        <v>100</v>
      </c>
      <c r="E388" s="17" t="str">
        <f>VLOOKUP($D388,gacha_types!$A:$D,2,FALSE)</f>
        <v>polygon</v>
      </c>
      <c r="F388" s="17">
        <v>5</v>
      </c>
      <c r="G388" s="17">
        <f t="shared" si="440"/>
        <v>581</v>
      </c>
      <c r="H388" s="13" t="str">
        <f t="shared" si="441"/>
        <v>GachaTop_581.png</v>
      </c>
      <c r="I388" s="23">
        <v>1</v>
      </c>
      <c r="J388" s="23">
        <f t="shared" si="442"/>
        <v>581</v>
      </c>
      <c r="K388" s="23">
        <v>1</v>
      </c>
      <c r="L388" s="55" t="s">
        <v>813</v>
      </c>
      <c r="M388" s="55" t="s">
        <v>814</v>
      </c>
      <c r="N388" s="2" t="s">
        <v>118</v>
      </c>
      <c r="O388" s="111" t="str">
        <f>CONCATENATE("&lt;font color=""#ffab27""&gt;",TEXT(VLOOKUP(A388,gacha_schedules!C:F,4,FALSE),"mm/dd hh:mm"),"&lt;/font&gt;まで ★5のユニットが出現!")</f>
        <v>&lt;font color="#ffab27"&gt;05/08 14:59&lt;/font&gt;まで ★5のユニットが出現!</v>
      </c>
      <c r="P388" s="26" t="s">
        <v>3061</v>
      </c>
      <c r="Q388" s="26" t="str">
        <f t="shared" si="443"/>
        <v>&lt;font color="#ffab27"&gt;05/08 14:59&lt;/font&gt;まで ★5のユニットが出現!_x000D_全ユーザー様の&lt;font color="#ff2626"&gt;パネル破壊数&lt;/font&gt;に応じて、&lt;font color="#ff2626"&gt;ガチャレベルUP!&lt;/font&gt;_x000D_&lt;font color="#ffab27"&gt;※最高レベルに達すると、スペシャル無料ガチャが解放!&lt;/font&gt;</v>
      </c>
      <c r="R388" s="49" t="s">
        <v>3060</v>
      </c>
    </row>
    <row r="389" spans="1:19" ht="50" customHeight="1" x14ac:dyDescent="0.15">
      <c r="A389" s="6">
        <f t="shared" si="434"/>
        <v>582</v>
      </c>
      <c r="B389" s="18">
        <v>3</v>
      </c>
      <c r="C389" s="2" t="s">
        <v>3084</v>
      </c>
      <c r="D389" s="2">
        <v>100</v>
      </c>
      <c r="E389" s="17" t="str">
        <f>VLOOKUP($D389,gacha_types!$A:$D,2,FALSE)</f>
        <v>polygon</v>
      </c>
      <c r="F389" s="17">
        <v>5</v>
      </c>
      <c r="G389" s="17">
        <f t="shared" si="440"/>
        <v>582</v>
      </c>
      <c r="H389" s="13" t="str">
        <f t="shared" si="441"/>
        <v>GachaTop_582.png</v>
      </c>
      <c r="I389" s="23">
        <v>1</v>
      </c>
      <c r="J389" s="23">
        <f t="shared" si="442"/>
        <v>582</v>
      </c>
      <c r="K389" s="23">
        <v>1</v>
      </c>
      <c r="L389" s="55" t="s">
        <v>813</v>
      </c>
      <c r="M389" s="55" t="s">
        <v>814</v>
      </c>
      <c r="N389" s="2" t="s">
        <v>118</v>
      </c>
      <c r="O389" s="111" t="str">
        <f>CONCATENATE("&lt;font color=""#ffab27""&gt;",TEXT(VLOOKUP(A389,gacha_schedules!C:F,4,FALSE),"mm/dd hh:mm"),"&lt;/font&gt;まで ★6覚醒済みユニット1体確定！")</f>
        <v>&lt;font color="#ffab27"&gt;05/08 14:59&lt;/font&gt;まで ★6覚醒済みユニット1体確定！</v>
      </c>
      <c r="P389" s="26" t="s">
        <v>2055</v>
      </c>
      <c r="Q389" s="26" t="str">
        <f>CONCATENATE(O389, CHAR(13),P389)</f>
        <v>&lt;font color="#ffab27"&gt;05/08 14:59&lt;/font&gt;まで ★6覚醒済みユニット1体確定！_x000D_&lt;font color="#ffab27"&gt;※このガチャは1回限りです&lt;/font&gt;</v>
      </c>
      <c r="R389" s="49"/>
    </row>
    <row r="390" spans="1:19" ht="50" customHeight="1" x14ac:dyDescent="0.15">
      <c r="A390" s="6">
        <f t="shared" si="434"/>
        <v>583</v>
      </c>
      <c r="B390" s="18">
        <v>3</v>
      </c>
      <c r="C390" s="2" t="s">
        <v>3085</v>
      </c>
      <c r="D390" s="2">
        <v>100</v>
      </c>
      <c r="E390" s="17" t="str">
        <f>VLOOKUP($D390,gacha_types!$A:$D,2,FALSE)</f>
        <v>polygon</v>
      </c>
      <c r="F390" s="17">
        <v>5</v>
      </c>
      <c r="G390" s="17">
        <f t="shared" ref="G390:G392" si="447">A390</f>
        <v>583</v>
      </c>
      <c r="H390" s="13" t="str">
        <f t="shared" ref="H390" si="448">"GachaTop_"&amp;A390&amp;".png"</f>
        <v>GachaTop_583.png</v>
      </c>
      <c r="I390" s="23">
        <v>1</v>
      </c>
      <c r="J390" s="23">
        <f t="shared" ref="J390:J392" si="449">A390</f>
        <v>583</v>
      </c>
      <c r="K390" s="23">
        <v>1</v>
      </c>
      <c r="L390" s="55" t="s">
        <v>813</v>
      </c>
      <c r="M390" s="55" t="s">
        <v>814</v>
      </c>
      <c r="N390" s="2" t="s">
        <v>118</v>
      </c>
      <c r="O390" s="111" t="str">
        <f>CONCATENATE("&lt;font color=""#ffab27""&gt;",TEXT(VLOOKUP(A390,gacha_schedules!C:F,4,FALSE),"mm/dd hh:mm"),"&lt;/font&gt;まで 10連が無料で引ける！")</f>
        <v>&lt;font color="#ffab27"&gt;05/08 14:59&lt;/font&gt;まで 10連が無料で引ける！</v>
      </c>
      <c r="P390" s="26" t="s">
        <v>2055</v>
      </c>
      <c r="Q390" s="26" t="str">
        <f t="shared" si="443"/>
        <v>&lt;font color="#ffab27"&gt;05/08 14:59&lt;/font&gt;まで 10連が無料で引ける！_x000D_&lt;font color="#ffab27"&gt;※このガチャは1回限りです&lt;/font&gt;_x000D_&lt;font color="#ffab27"&gt;※★6覚醒済み、超覚醒済みユニットは直接排出されません&lt;/font&gt;</v>
      </c>
      <c r="R390" s="49" t="s">
        <v>1732</v>
      </c>
    </row>
    <row r="391" spans="1:19" ht="50" customHeight="1" x14ac:dyDescent="0.15">
      <c r="A391" s="6">
        <f t="shared" si="434"/>
        <v>584</v>
      </c>
      <c r="B391" s="18">
        <v>3</v>
      </c>
      <c r="C391" s="2" t="s">
        <v>2932</v>
      </c>
      <c r="D391" s="2">
        <v>100</v>
      </c>
      <c r="E391" s="17" t="str">
        <f>VLOOKUP($D391,gacha_types!$A:$D,2,FALSE)</f>
        <v>polygon</v>
      </c>
      <c r="F391" s="17">
        <v>5</v>
      </c>
      <c r="G391" s="17">
        <f t="shared" si="447"/>
        <v>584</v>
      </c>
      <c r="H391" s="69" t="s">
        <v>3109</v>
      </c>
      <c r="I391" s="23">
        <v>1</v>
      </c>
      <c r="J391" s="23">
        <f t="shared" si="449"/>
        <v>584</v>
      </c>
      <c r="K391" s="23">
        <v>1</v>
      </c>
      <c r="L391" s="55" t="s">
        <v>813</v>
      </c>
      <c r="M391" s="55" t="s">
        <v>814</v>
      </c>
      <c r="N391" s="2" t="s">
        <v>118</v>
      </c>
      <c r="O391" s="111" t="str">
        <f>CONCATENATE("&lt;font color=""#ffab27""&gt;",TEXT(VLOOKUP(A391,gacha_schedules!C:F,4,FALSE),"mm/dd hh:mm"),"&lt;/font&gt;まで")</f>
        <v>&lt;font color="#ffab27"&gt;04/29 14:59&lt;/font&gt;まで</v>
      </c>
      <c r="P391" s="111" t="s">
        <v>2868</v>
      </c>
      <c r="Q391" s="26" t="str">
        <f t="shared" si="443"/>
        <v>&lt;font color="#ffab27"&gt;04/29 14:59&lt;/font&gt;まで_x000D_STEP5で厳選★6覚醒可能ユニット1体確定！_x000D_&lt;font color="#ffab27"&gt;※★6覚醒済み、超覚醒済みユニットは直接排出されません&lt;/font&gt;</v>
      </c>
      <c r="R391" s="49" t="s">
        <v>1732</v>
      </c>
    </row>
    <row r="392" spans="1:19" ht="50" customHeight="1" x14ac:dyDescent="0.15">
      <c r="A392" s="6">
        <f t="shared" si="434"/>
        <v>585</v>
      </c>
      <c r="B392" s="18">
        <v>3</v>
      </c>
      <c r="C392" s="2" t="s">
        <v>3144</v>
      </c>
      <c r="D392" s="2">
        <v>100</v>
      </c>
      <c r="E392" s="17" t="str">
        <f>VLOOKUP($D392,gacha_types!$A:$D,2,FALSE)</f>
        <v>polygon</v>
      </c>
      <c r="F392" s="17">
        <v>5</v>
      </c>
      <c r="G392" s="17">
        <f t="shared" si="447"/>
        <v>585</v>
      </c>
      <c r="H392" s="13" t="str">
        <f t="shared" ref="H392" si="450">"GachaTop_"&amp;A392&amp;".png"</f>
        <v>GachaTop_585.png</v>
      </c>
      <c r="I392" s="23">
        <v>1</v>
      </c>
      <c r="J392" s="23">
        <f t="shared" si="449"/>
        <v>585</v>
      </c>
      <c r="K392" s="23">
        <v>1</v>
      </c>
      <c r="L392" s="55" t="s">
        <v>813</v>
      </c>
      <c r="M392" s="55" t="s">
        <v>814</v>
      </c>
      <c r="N392" s="2" t="s">
        <v>118</v>
      </c>
      <c r="O392" s="111" t="str">
        <f>CONCATENATE("&lt;font color=""#ffab27""&gt;",TEXT(VLOOKUP(A392,gacha_schedules!C:F,4,FALSE),"mm/dd hh:mm"),"&lt;/font&gt;まで")</f>
        <v>&lt;font color="#ffab27"&gt;04/30 14:59&lt;/font&gt;まで</v>
      </c>
      <c r="P392" s="26" t="s">
        <v>3145</v>
      </c>
      <c r="Q392" s="26" t="str">
        <f t="shared" si="443"/>
        <v>&lt;font color="#ffab27"&gt;04/30 14:59&lt;/font&gt;まで_x000D_超フェス限定ユニット4体が出現中！_x000D_&lt;font color="#ffab27"&gt;※★6覚醒済み、超覚醒済みユニットは直接排出されません&lt;/font&gt;</v>
      </c>
      <c r="R392" s="49" t="s">
        <v>1732</v>
      </c>
      <c r="S392"/>
    </row>
    <row r="393" spans="1:19" ht="50" customHeight="1" x14ac:dyDescent="0.15">
      <c r="A393" s="6">
        <f t="shared" si="434"/>
        <v>586</v>
      </c>
      <c r="B393" s="18">
        <v>3</v>
      </c>
      <c r="C393" s="2" t="s">
        <v>3146</v>
      </c>
      <c r="D393" s="2">
        <v>100</v>
      </c>
      <c r="E393" s="17" t="str">
        <f>VLOOKUP($D393,gacha_types!$A:$D,2,FALSE)</f>
        <v>polygon</v>
      </c>
      <c r="F393" s="17">
        <v>5</v>
      </c>
      <c r="G393" s="17">
        <f t="shared" ref="G393:G398" si="451">A393</f>
        <v>586</v>
      </c>
      <c r="H393" s="13" t="str">
        <f t="shared" ref="H393:H398" si="452">"GachaTop_"&amp;A393&amp;".png"</f>
        <v>GachaTop_586.png</v>
      </c>
      <c r="I393" s="23">
        <v>1</v>
      </c>
      <c r="J393" s="23">
        <f t="shared" ref="J393:J398" si="453">A393</f>
        <v>586</v>
      </c>
      <c r="K393" s="23">
        <v>1</v>
      </c>
      <c r="L393" s="55" t="s">
        <v>813</v>
      </c>
      <c r="M393" s="55" t="s">
        <v>814</v>
      </c>
      <c r="N393" s="2" t="s">
        <v>118</v>
      </c>
      <c r="O393" s="111" t="str">
        <f>CONCATENATE("&lt;font color=""#ffab27""&gt;",TEXT(VLOOKUP(A393,gacha_schedules!C:F,4,FALSE),"mm/dd hh:mm"),"&lt;/font&gt;まで")</f>
        <v>&lt;font color="#ffab27"&gt;05/01 14:59&lt;/font&gt;まで</v>
      </c>
      <c r="P393" s="26" t="s">
        <v>3145</v>
      </c>
      <c r="Q393" s="26" t="str">
        <f t="shared" ref="Q393:Q394" si="454">CONCATENATE(O393, CHAR(13),P393, CHAR(13),R393)</f>
        <v>&lt;font color="#ffab27"&gt;05/01 14:59&lt;/font&gt;まで_x000D_超フェス限定ユニット4体が出現中！_x000D_&lt;font color="#ffab27"&gt;※★6覚醒済み、超覚醒済みユニットは直接排出されません&lt;/font&gt;</v>
      </c>
      <c r="R393" s="49" t="s">
        <v>1732</v>
      </c>
      <c r="S393"/>
    </row>
    <row r="394" spans="1:19" ht="50" customHeight="1" x14ac:dyDescent="0.15">
      <c r="A394" s="6">
        <f t="shared" si="434"/>
        <v>587</v>
      </c>
      <c r="B394" s="18">
        <v>3</v>
      </c>
      <c r="C394" s="2" t="s">
        <v>3147</v>
      </c>
      <c r="D394" s="2">
        <v>100</v>
      </c>
      <c r="E394" s="17" t="str">
        <f>VLOOKUP($D394,gacha_types!$A:$D,2,FALSE)</f>
        <v>polygon</v>
      </c>
      <c r="F394" s="17">
        <v>5</v>
      </c>
      <c r="G394" s="17">
        <f t="shared" si="451"/>
        <v>587</v>
      </c>
      <c r="H394" s="13" t="str">
        <f t="shared" si="452"/>
        <v>GachaTop_587.png</v>
      </c>
      <c r="I394" s="23">
        <v>1</v>
      </c>
      <c r="J394" s="23">
        <f t="shared" si="453"/>
        <v>587</v>
      </c>
      <c r="K394" s="23">
        <v>1</v>
      </c>
      <c r="L394" s="55" t="s">
        <v>813</v>
      </c>
      <c r="M394" s="55" t="s">
        <v>814</v>
      </c>
      <c r="N394" s="2" t="s">
        <v>118</v>
      </c>
      <c r="O394" s="111" t="str">
        <f>CONCATENATE("&lt;font color=""#ffab27""&gt;",TEXT(VLOOKUP(A394,gacha_schedules!C:F,4,FALSE),"mm/dd hh:mm"),"&lt;/font&gt;まで")</f>
        <v>&lt;font color="#ffab27"&gt;05/02 14:59&lt;/font&gt;まで</v>
      </c>
      <c r="P394" s="26" t="s">
        <v>3148</v>
      </c>
      <c r="Q394" s="26" t="str">
        <f t="shared" si="454"/>
        <v>&lt;font color="#ffab27"&gt;05/02 14:59&lt;/font&gt;まで_x000D_超フェス限定ユニット5体が出現中！_x000D_&lt;font color="#ffab27"&gt;※★6覚醒済み、超覚醒済みユニットは直接排出されません&lt;/font&gt;</v>
      </c>
      <c r="R394" s="49" t="s">
        <v>1732</v>
      </c>
      <c r="S394"/>
    </row>
    <row r="395" spans="1:19" ht="50" customHeight="1" x14ac:dyDescent="0.15">
      <c r="A395" s="6">
        <f t="shared" si="434"/>
        <v>588</v>
      </c>
      <c r="B395" s="18">
        <v>3</v>
      </c>
      <c r="C395" s="2" t="s">
        <v>2201</v>
      </c>
      <c r="D395" s="2">
        <v>100</v>
      </c>
      <c r="E395" s="17" t="str">
        <f>VLOOKUP($D395,gacha_types!$A:$D,2,FALSE)</f>
        <v>polygon</v>
      </c>
      <c r="F395" s="17">
        <v>5</v>
      </c>
      <c r="G395" s="17">
        <f t="shared" si="451"/>
        <v>588</v>
      </c>
      <c r="H395" s="13" t="str">
        <f t="shared" si="452"/>
        <v>GachaTop_588.png</v>
      </c>
      <c r="I395" s="23">
        <v>1</v>
      </c>
      <c r="J395" s="23">
        <f t="shared" si="453"/>
        <v>588</v>
      </c>
      <c r="K395" s="23">
        <v>1</v>
      </c>
      <c r="L395" s="55" t="s">
        <v>813</v>
      </c>
      <c r="M395" s="55" t="s">
        <v>814</v>
      </c>
      <c r="N395" s="2" t="s">
        <v>118</v>
      </c>
      <c r="O395" s="111" t="str">
        <f>CONCATENATE("&lt;font color=""#ffab27""&gt;",TEXT(VLOOKUP(A395,gacha_schedules!C:F,4,FALSE),"mm/dd hh:mm"),"&lt;/font&gt;まで限定ユニット&lt;font color=""#ffe22a""&gt;ヒルベルト&lt;/font&gt;出現中！")</f>
        <v>&lt;font color="#ffab27"&gt;05/08 23:59&lt;/font&gt;まで限定ユニット&lt;font color="#ffe22a"&gt;ヒルベルト&lt;/font&gt;出現中！</v>
      </c>
      <c r="P395" s="26" t="s">
        <v>3156</v>
      </c>
      <c r="Q395" s="26" t="str">
        <f>CONCATENATE(O395, "
",P395,"
",R395)</f>
        <v>&lt;font color="#ffab27"&gt;05/08 23:59&lt;/font&gt;まで限定ユニット&lt;font color="#ffe22a"&gt;ヒルベルト&lt;/font&gt;出現中！_x000D_今だけ！黄属性出現率大幅アップ！_x000D_&lt;font color="#ffab27"&gt;※★6覚醒済み、超覚醒済みユニットは直接排出されません&lt;/font&gt;</v>
      </c>
      <c r="R395" s="49" t="s">
        <v>1732</v>
      </c>
    </row>
    <row r="396" spans="1:19" ht="50" customHeight="1" x14ac:dyDescent="0.15">
      <c r="A396" s="6">
        <f t="shared" si="434"/>
        <v>589</v>
      </c>
      <c r="B396" s="18">
        <v>3</v>
      </c>
      <c r="C396" s="2" t="s">
        <v>3170</v>
      </c>
      <c r="D396" s="2">
        <v>100</v>
      </c>
      <c r="E396" s="17" t="str">
        <f>VLOOKUP($D396,gacha_types!$A:$D,2,FALSE)</f>
        <v>polygon</v>
      </c>
      <c r="F396" s="17">
        <v>5</v>
      </c>
      <c r="G396" s="17">
        <f t="shared" si="451"/>
        <v>589</v>
      </c>
      <c r="H396" s="13" t="str">
        <f t="shared" si="452"/>
        <v>GachaTop_589.png</v>
      </c>
      <c r="I396" s="23">
        <v>1</v>
      </c>
      <c r="J396" s="23">
        <f t="shared" si="453"/>
        <v>589</v>
      </c>
      <c r="K396" s="23">
        <v>1</v>
      </c>
      <c r="L396" s="55" t="s">
        <v>813</v>
      </c>
      <c r="M396" s="55" t="s">
        <v>814</v>
      </c>
      <c r="N396" s="2" t="s">
        <v>118</v>
      </c>
      <c r="O396" s="111" t="s">
        <v>2980</v>
      </c>
      <c r="P396" s="111" t="s">
        <v>2975</v>
      </c>
      <c r="Q396" s="26" t="str">
        <f>CONCATENATE(O396, CHAR(13),P396, CHAR(13),R396)</f>
        <v>今、新ユニットが手に入るのはこのガチャだけ！！_x000D_新ユニットが&lt;font color="#ff2626"&gt;バグUP&lt;/font&gt;で出現率大幅アップ！_x000D_&lt;font color="#ffab27"&gt;※★6覚醒済み、超覚醒済みユニットは直接排出されません&lt;/font&gt;</v>
      </c>
      <c r="R396" s="49" t="s">
        <v>2062</v>
      </c>
    </row>
    <row r="397" spans="1:19" ht="42" x14ac:dyDescent="0.15">
      <c r="A397" s="6">
        <f t="shared" si="434"/>
        <v>590</v>
      </c>
      <c r="B397" s="18">
        <v>3</v>
      </c>
      <c r="C397" s="2" t="s">
        <v>3178</v>
      </c>
      <c r="D397" s="2">
        <v>100</v>
      </c>
      <c r="E397" s="17" t="str">
        <f>VLOOKUP($D397,gacha_types!$A:$D,2,FALSE)</f>
        <v>polygon</v>
      </c>
      <c r="F397" s="17">
        <v>5</v>
      </c>
      <c r="G397" s="17">
        <f t="shared" si="451"/>
        <v>590</v>
      </c>
      <c r="H397" s="13" t="str">
        <f t="shared" si="452"/>
        <v>GachaTop_590.png</v>
      </c>
      <c r="I397" s="23">
        <v>1</v>
      </c>
      <c r="J397" s="23">
        <f t="shared" si="453"/>
        <v>590</v>
      </c>
      <c r="K397" s="23">
        <v>1</v>
      </c>
      <c r="L397" s="55" t="s">
        <v>813</v>
      </c>
      <c r="M397" s="55" t="s">
        <v>814</v>
      </c>
      <c r="N397" s="2" t="s">
        <v>118</v>
      </c>
      <c r="O397" s="111"/>
      <c r="P397" s="26"/>
      <c r="Q397" s="50" t="s">
        <v>3179</v>
      </c>
      <c r="R397" s="49"/>
    </row>
    <row r="398" spans="1:19" ht="50" customHeight="1" x14ac:dyDescent="0.15">
      <c r="A398" s="6">
        <f t="shared" si="434"/>
        <v>591</v>
      </c>
      <c r="B398" s="18">
        <v>3</v>
      </c>
      <c r="C398" s="2" t="s">
        <v>3221</v>
      </c>
      <c r="D398" s="2">
        <v>100</v>
      </c>
      <c r="E398" s="17" t="str">
        <f>VLOOKUP($D398,gacha_types!$A:$D,2,FALSE)</f>
        <v>polygon</v>
      </c>
      <c r="F398" s="17">
        <v>5</v>
      </c>
      <c r="G398" s="17">
        <f t="shared" si="451"/>
        <v>591</v>
      </c>
      <c r="H398" s="13" t="str">
        <f t="shared" si="452"/>
        <v>GachaTop_591.png</v>
      </c>
      <c r="I398" s="23">
        <v>1</v>
      </c>
      <c r="J398" s="23">
        <f t="shared" si="453"/>
        <v>591</v>
      </c>
      <c r="K398" s="23">
        <v>1</v>
      </c>
      <c r="L398" s="55" t="s">
        <v>813</v>
      </c>
      <c r="M398" s="55" t="s">
        <v>814</v>
      </c>
      <c r="N398" s="2" t="s">
        <v>118</v>
      </c>
      <c r="O398" s="111" t="str">
        <f>CONCATENATE("&lt;font color=""#ffab27""&gt;",TEXT(VLOOKUP(A398,gacha_schedules!C:F,4,FALSE),"mm/dd hh:mm"),"&lt;/font&gt;まで")</f>
        <v>&lt;font color="#ffab27"&gt;05/14 14:59&lt;/font&gt;まで</v>
      </c>
      <c r="P398" s="111" t="s">
        <v>3238</v>
      </c>
      <c r="Q398" s="26" t="str">
        <f t="shared" ref="Q398" si="455">CONCATENATE(O398, CHAR(13),P398, CHAR(13),R398)</f>
        <v>&lt;font color="#ffab27"&gt;05/14 14:59&lt;/font&gt;まで_x000D_チョイス1　&lt;font color="#ff2626"&gt;モールス&lt;/font&gt;、&lt;font color="#ff2626"&gt;ヴォルタ&lt;/font&gt;出現中！_x000D_&lt;font color="#ffab27"&gt;※★6覚醒済み、超覚醒済みユニットは直接排出されません&lt;/font&gt;</v>
      </c>
      <c r="R398" s="49" t="s">
        <v>1732</v>
      </c>
    </row>
    <row r="399" spans="1:19" ht="50" customHeight="1" x14ac:dyDescent="0.15">
      <c r="A399" s="6">
        <f t="shared" si="434"/>
        <v>592</v>
      </c>
      <c r="B399" s="18">
        <v>3</v>
      </c>
      <c r="C399" s="2" t="s">
        <v>3222</v>
      </c>
      <c r="D399" s="2">
        <v>100</v>
      </c>
      <c r="E399" s="17" t="str">
        <f>VLOOKUP($D399,gacha_types!$A:$D,2,FALSE)</f>
        <v>polygon</v>
      </c>
      <c r="F399" s="17">
        <v>5</v>
      </c>
      <c r="G399" s="17">
        <f t="shared" ref="G399:G404" si="456">A399</f>
        <v>592</v>
      </c>
      <c r="H399" s="13" t="str">
        <f t="shared" ref="H399:H404" si="457">"GachaTop_"&amp;A399&amp;".png"</f>
        <v>GachaTop_592.png</v>
      </c>
      <c r="I399" s="23">
        <v>1</v>
      </c>
      <c r="J399" s="23">
        <f t="shared" ref="J399:J404" si="458">A399</f>
        <v>592</v>
      </c>
      <c r="K399" s="23">
        <v>1</v>
      </c>
      <c r="L399" s="55" t="s">
        <v>813</v>
      </c>
      <c r="M399" s="55" t="s">
        <v>814</v>
      </c>
      <c r="N399" s="2" t="s">
        <v>118</v>
      </c>
      <c r="O399" s="111" t="str">
        <f>CONCATENATE("&lt;font color=""#ffab27""&gt;",TEXT(VLOOKUP(A399,gacha_schedules!C:F,4,FALSE),"mm/dd hh:mm"),"&lt;/font&gt;まで")</f>
        <v>&lt;font color="#ffab27"&gt;05/14 14:59&lt;/font&gt;まで</v>
      </c>
      <c r="P399" s="111" t="s">
        <v>3239</v>
      </c>
      <c r="Q399" s="26" t="str">
        <f t="shared" ref="Q399:Q402" si="459">CONCATENATE(O399, CHAR(13),P399, CHAR(13),R399)</f>
        <v>&lt;font color="#ffab27"&gt;05/14 14:59&lt;/font&gt;まで_x000D_チョイス2　&lt;font color="#ffe22a"&gt;ハップル&lt;/font&gt;、&lt;font color="#ffe22a"&gt;ケプラー&lt;/font&gt;出現中！_x000D_&lt;font color="#ffab27"&gt;※★6覚醒済み、超覚醒済みユニットは直接排出されません&lt;/font&gt;</v>
      </c>
      <c r="R399" s="49" t="s">
        <v>1732</v>
      </c>
    </row>
    <row r="400" spans="1:19" ht="50" customHeight="1" x14ac:dyDescent="0.15">
      <c r="A400" s="6">
        <f t="shared" si="434"/>
        <v>593</v>
      </c>
      <c r="B400" s="18">
        <v>3</v>
      </c>
      <c r="C400" s="2" t="s">
        <v>3223</v>
      </c>
      <c r="D400" s="2">
        <v>100</v>
      </c>
      <c r="E400" s="17" t="str">
        <f>VLOOKUP($D400,gacha_types!$A:$D,2,FALSE)</f>
        <v>polygon</v>
      </c>
      <c r="F400" s="17">
        <v>5</v>
      </c>
      <c r="G400" s="17">
        <f t="shared" si="456"/>
        <v>593</v>
      </c>
      <c r="H400" s="13" t="str">
        <f t="shared" si="457"/>
        <v>GachaTop_593.png</v>
      </c>
      <c r="I400" s="23">
        <v>1</v>
      </c>
      <c r="J400" s="23">
        <f t="shared" si="458"/>
        <v>593</v>
      </c>
      <c r="K400" s="23">
        <v>1</v>
      </c>
      <c r="L400" s="55" t="s">
        <v>813</v>
      </c>
      <c r="M400" s="55" t="s">
        <v>814</v>
      </c>
      <c r="N400" s="2" t="s">
        <v>118</v>
      </c>
      <c r="O400" s="111" t="str">
        <f>CONCATENATE("&lt;font color=""#ffab27""&gt;",TEXT(VLOOKUP(A400,gacha_schedules!C:F,4,FALSE),"mm/dd hh:mm"),"&lt;/font&gt;まで")</f>
        <v>&lt;font color="#ffab27"&gt;05/16 14:59&lt;/font&gt;まで</v>
      </c>
      <c r="P400" s="111" t="s">
        <v>3240</v>
      </c>
      <c r="Q400" s="26" t="str">
        <f t="shared" si="459"/>
        <v>&lt;font color="#ffab27"&gt;05/16 14:59&lt;/font&gt;まで_x000D_チョイス3　&lt;font color="#00e075"&gt;チューリング&lt;/font&gt;、&lt;font color="#00e075"&gt;ハレー&lt;/font&gt;出現中！_x000D_&lt;font color="#ffab27"&gt;※★6覚醒済み、超覚醒済みユニットは直接排出されません&lt;/font&gt;</v>
      </c>
      <c r="R400" s="49" t="s">
        <v>1732</v>
      </c>
    </row>
    <row r="401" spans="1:18" ht="50" customHeight="1" x14ac:dyDescent="0.15">
      <c r="A401" s="6">
        <f t="shared" si="434"/>
        <v>594</v>
      </c>
      <c r="B401" s="18">
        <v>3</v>
      </c>
      <c r="C401" s="2" t="s">
        <v>3224</v>
      </c>
      <c r="D401" s="2">
        <v>100</v>
      </c>
      <c r="E401" s="17" t="str">
        <f>VLOOKUP($D401,gacha_types!$A:$D,2,FALSE)</f>
        <v>polygon</v>
      </c>
      <c r="F401" s="17">
        <v>5</v>
      </c>
      <c r="G401" s="17">
        <f t="shared" si="456"/>
        <v>594</v>
      </c>
      <c r="H401" s="13" t="str">
        <f t="shared" si="457"/>
        <v>GachaTop_594.png</v>
      </c>
      <c r="I401" s="23">
        <v>1</v>
      </c>
      <c r="J401" s="23">
        <f t="shared" si="458"/>
        <v>594</v>
      </c>
      <c r="K401" s="23">
        <v>1</v>
      </c>
      <c r="L401" s="55" t="s">
        <v>813</v>
      </c>
      <c r="M401" s="55" t="s">
        <v>814</v>
      </c>
      <c r="N401" s="2" t="s">
        <v>118</v>
      </c>
      <c r="O401" s="111" t="str">
        <f>CONCATENATE("&lt;font color=""#ffab27""&gt;",TEXT(VLOOKUP(A401,gacha_schedules!C:F,4,FALSE),"mm/dd hh:mm"),"&lt;/font&gt;まで")</f>
        <v>&lt;font color="#ffab27"&gt;05/16 14:59&lt;/font&gt;まで</v>
      </c>
      <c r="P401" s="111" t="s">
        <v>3251</v>
      </c>
      <c r="Q401" s="26" t="str">
        <f t="shared" si="459"/>
        <v>&lt;font color="#ffab27"&gt;05/16 14:59&lt;/font&gt;まで_x000D_チョイス4　&lt;font color="#0093ff"&gt;ヘンペル&lt;/font&gt;、&lt;font color="#0093ff"&gt;フィボナッチ&lt;/font&gt;出現中！_x000D_&lt;font color="#ffab27"&gt;※★6覚醒済み、超覚醒済みユニットは直接排出されません&lt;/font&gt;</v>
      </c>
      <c r="R401" s="49" t="s">
        <v>1732</v>
      </c>
    </row>
    <row r="402" spans="1:18" ht="50" customHeight="1" x14ac:dyDescent="0.15">
      <c r="A402" s="6">
        <f t="shared" si="434"/>
        <v>595</v>
      </c>
      <c r="B402" s="18">
        <v>3</v>
      </c>
      <c r="C402" s="2" t="s">
        <v>3242</v>
      </c>
      <c r="D402" s="2">
        <v>100</v>
      </c>
      <c r="E402" s="17" t="str">
        <f>VLOOKUP($D402,gacha_types!$A:$D,2,FALSE)</f>
        <v>polygon</v>
      </c>
      <c r="F402" s="17">
        <v>5</v>
      </c>
      <c r="G402" s="17">
        <f t="shared" si="456"/>
        <v>595</v>
      </c>
      <c r="H402" s="13" t="str">
        <f t="shared" si="457"/>
        <v>GachaTop_595.png</v>
      </c>
      <c r="I402" s="23">
        <v>1</v>
      </c>
      <c r="J402" s="23">
        <f t="shared" si="458"/>
        <v>595</v>
      </c>
      <c r="K402" s="23">
        <v>1</v>
      </c>
      <c r="L402" s="55" t="s">
        <v>813</v>
      </c>
      <c r="M402" s="55" t="s">
        <v>814</v>
      </c>
      <c r="N402" s="2" t="s">
        <v>118</v>
      </c>
      <c r="O402" s="111" t="str">
        <f>CONCATENATE("&lt;font color=""#ffab27""&gt;",TEXT(VLOOKUP(A402,gacha_schedules!C:F,4,FALSE),"mm/dd hh:mm"),"&lt;/font&gt;まで")</f>
        <v>&lt;font color="#ffab27"&gt;05/22 14:59&lt;/font&gt;まで</v>
      </c>
      <c r="P402" s="111" t="s">
        <v>2868</v>
      </c>
      <c r="Q402" s="26" t="str">
        <f t="shared" si="459"/>
        <v>&lt;font color="#ffab27"&gt;05/22 14:59&lt;/font&gt;まで_x000D_STEP5で厳選★6覚醒可能ユニット1体確定！_x000D_&lt;font color="#ffab27"&gt;※★6覚醒済み、超覚醒済みユニットは直接排出されません&lt;/font&gt;</v>
      </c>
      <c r="R402" s="49" t="s">
        <v>1732</v>
      </c>
    </row>
    <row r="403" spans="1:18" ht="50" customHeight="1" x14ac:dyDescent="0.15">
      <c r="A403" s="6">
        <f t="shared" si="434"/>
        <v>596</v>
      </c>
      <c r="B403" s="18">
        <v>3</v>
      </c>
      <c r="C403" s="2" t="s">
        <v>3243</v>
      </c>
      <c r="D403" s="2">
        <v>100</v>
      </c>
      <c r="E403" s="17" t="str">
        <f>VLOOKUP($D403,gacha_types!$A:$D,2,FALSE)</f>
        <v>polygon</v>
      </c>
      <c r="F403" s="17">
        <v>5</v>
      </c>
      <c r="G403" s="17">
        <f t="shared" si="456"/>
        <v>596</v>
      </c>
      <c r="H403" s="13" t="str">
        <f t="shared" si="457"/>
        <v>GachaTop_596.png</v>
      </c>
      <c r="I403" s="23">
        <v>1</v>
      </c>
      <c r="J403" s="23">
        <f t="shared" si="458"/>
        <v>596</v>
      </c>
      <c r="K403" s="23">
        <v>1</v>
      </c>
      <c r="L403" s="55" t="s">
        <v>813</v>
      </c>
      <c r="M403" s="55" t="s">
        <v>814</v>
      </c>
      <c r="N403" s="2" t="s">
        <v>118</v>
      </c>
      <c r="O403" s="111" t="str">
        <f>CONCATENATE("&lt;font color=""#ffab27""&gt;",TEXT(VLOOKUP(A403,gacha_schedules!C:F,4,FALSE),"mm/dd hh:mm"),"&lt;/font&gt;まで限定ユニット&lt;font color=""#0093ff""&gt;ライプニッツ&lt;/font&gt;出現中！")</f>
        <v>&lt;font color="#ffab27"&gt;05/22 23:59&lt;/font&gt;まで限定ユニット&lt;font color="#0093ff"&gt;ライプニッツ&lt;/font&gt;出現中！</v>
      </c>
      <c r="P403" s="26" t="s">
        <v>3252</v>
      </c>
      <c r="Q403" s="26" t="str">
        <f>CONCATENATE(O403, "
",P403,"
",R403)</f>
        <v>&lt;font color="#ffab27"&gt;05/22 23:59&lt;/font&gt;まで限定ユニット&lt;font color="#0093ff"&gt;ライプニッツ&lt;/font&gt;出現中！_x000D_今だけ！青属性出現率大幅アップ！_x000D_&lt;font color="#ffab27"&gt;※★6ユニットはSTEP3、4の確定枠からのみ排出されます&lt;/font&gt;</v>
      </c>
      <c r="R403" s="49" t="s">
        <v>3253</v>
      </c>
    </row>
    <row r="404" spans="1:18" ht="50" customHeight="1" x14ac:dyDescent="0.15">
      <c r="A404" s="6">
        <f t="shared" si="434"/>
        <v>597</v>
      </c>
      <c r="B404" s="18">
        <v>3</v>
      </c>
      <c r="C404" s="2" t="s">
        <v>3260</v>
      </c>
      <c r="D404" s="2">
        <v>100</v>
      </c>
      <c r="E404" s="17" t="str">
        <f>VLOOKUP($D404,gacha_types!$A:$D,2,FALSE)</f>
        <v>polygon</v>
      </c>
      <c r="F404" s="17">
        <v>5</v>
      </c>
      <c r="G404" s="17">
        <f t="shared" si="456"/>
        <v>597</v>
      </c>
      <c r="H404" s="13" t="str">
        <f t="shared" si="457"/>
        <v>GachaTop_597.png</v>
      </c>
      <c r="I404" s="23">
        <v>1</v>
      </c>
      <c r="J404" s="23">
        <f t="shared" si="458"/>
        <v>597</v>
      </c>
      <c r="K404" s="23">
        <v>1</v>
      </c>
      <c r="L404" s="55" t="s">
        <v>813</v>
      </c>
      <c r="M404" s="55" t="s">
        <v>814</v>
      </c>
      <c r="N404" s="2" t="s">
        <v>118</v>
      </c>
      <c r="O404" s="111" t="str">
        <f>CONCATENATE("&lt;font color=""#ffab27""&gt;",TEXT(VLOOKUP(A404,gacha_schedules!C:F,4,FALSE),"mm/dd hh:mm"),"&lt;/font&gt;まで")</f>
        <v>&lt;font color="#ffab27"&gt;05/21 23:59&lt;/font&gt;まで</v>
      </c>
      <c r="P404" s="111" t="s">
        <v>2994</v>
      </c>
      <c r="Q404" s="26" t="str">
        <f>CONCATENATE(O404, CHAR(13),P404, CHAR(13),R404)</f>
        <v>&lt;font color="#ffab27"&gt;05/21 23:59&lt;/font&gt;まで_x000D_3回引ける！★6厳選ユニットが1体確定！_x000D_&lt;font color="#ffab27"&gt;※★6ユニットは確定枠からのみ排出されます&lt;/font&gt;</v>
      </c>
      <c r="R404" s="49" t="s">
        <v>2816</v>
      </c>
    </row>
    <row r="405" spans="1:18" ht="50" customHeight="1" x14ac:dyDescent="0.15">
      <c r="A405" s="6">
        <f t="shared" si="434"/>
        <v>598</v>
      </c>
      <c r="B405" s="18">
        <v>3</v>
      </c>
      <c r="C405" s="2" t="s">
        <v>3261</v>
      </c>
      <c r="D405" s="2">
        <v>100</v>
      </c>
      <c r="E405" s="17" t="str">
        <f>VLOOKUP($D405,gacha_types!$A:$D,2,FALSE)</f>
        <v>polygon</v>
      </c>
      <c r="F405" s="17">
        <v>5</v>
      </c>
      <c r="G405" s="17">
        <f t="shared" ref="G405:G408" si="460">A405</f>
        <v>598</v>
      </c>
      <c r="H405" s="13" t="str">
        <f t="shared" ref="H405:H408" si="461">"GachaTop_"&amp;A405&amp;".png"</f>
        <v>GachaTop_598.png</v>
      </c>
      <c r="I405" s="23">
        <v>1</v>
      </c>
      <c r="J405" s="23">
        <f t="shared" ref="J405:J408" si="462">A405</f>
        <v>598</v>
      </c>
      <c r="K405" s="23">
        <v>1</v>
      </c>
      <c r="L405" s="55" t="s">
        <v>813</v>
      </c>
      <c r="M405" s="55" t="s">
        <v>814</v>
      </c>
      <c r="N405" s="2" t="s">
        <v>118</v>
      </c>
      <c r="O405" s="111" t="str">
        <f>CONCATENATE("&lt;font color=""#ffab27""&gt;",TEXT(VLOOKUP(A405,gacha_schedules!C:F,4,FALSE),"mm/dd hh:mm"),"&lt;/font&gt;まで")</f>
        <v>&lt;font color="#ffab27"&gt;05/29 14:59&lt;/font&gt;まで</v>
      </c>
      <c r="P405" s="111" t="s">
        <v>3295</v>
      </c>
      <c r="Q405" s="26" t="str">
        <f>CONCATENATE(O405, CHAR(13),P405)</f>
        <v>&lt;font color="#ffab27"&gt;05/29 14:59&lt;/font&gt;まで_x000D_&lt;font color="#ffab27"&gt;10連6回目で入手できるチケットの有効期限は_x000D_05/29 14:59までとなりますのでご注意ください&lt;/font&gt;</v>
      </c>
      <c r="R405" s="49"/>
    </row>
    <row r="406" spans="1:18" ht="50" customHeight="1" x14ac:dyDescent="0.15">
      <c r="A406" s="6">
        <f t="shared" si="434"/>
        <v>599</v>
      </c>
      <c r="B406" s="18">
        <v>3</v>
      </c>
      <c r="C406" s="2" t="s">
        <v>2588</v>
      </c>
      <c r="D406" s="2">
        <v>100</v>
      </c>
      <c r="E406" s="17" t="str">
        <f>VLOOKUP($D406,gacha_types!$A:$D,2,FALSE)</f>
        <v>polygon</v>
      </c>
      <c r="F406" s="17">
        <v>5</v>
      </c>
      <c r="G406" s="17">
        <f t="shared" si="460"/>
        <v>599</v>
      </c>
      <c r="H406" s="13" t="str">
        <f t="shared" si="461"/>
        <v>GachaTop_599.png</v>
      </c>
      <c r="I406" s="23">
        <v>1</v>
      </c>
      <c r="J406" s="23">
        <f t="shared" si="462"/>
        <v>599</v>
      </c>
      <c r="K406" s="23">
        <v>1</v>
      </c>
      <c r="L406" s="55" t="s">
        <v>813</v>
      </c>
      <c r="M406" s="55" t="s">
        <v>814</v>
      </c>
      <c r="N406" s="2" t="s">
        <v>118</v>
      </c>
      <c r="O406" s="111" t="str">
        <f>CONCATENATE("&lt;font color=""#ffab27""&gt;",TEXT(VLOOKUP(A406,gacha_schedules!C:F,4,FALSE),"mm/dd hh:mm"),"&lt;/font&gt;まで")</f>
        <v>&lt;font color="#ffab27"&gt;05/30 14:59&lt;/font&gt;まで</v>
      </c>
      <c r="P406" s="2" t="s">
        <v>1197</v>
      </c>
      <c r="Q406" s="26" t="str">
        <f t="shared" ref="Q406" si="463">CONCATENATE(O406, CHAR(13),P406, CHAR(13),R406)</f>
        <v>&lt;font color="#ffab27"&gt;05/30 14:59&lt;/font&gt;まで_x000D_使用率上位ユニット4体の出現率UP!_x000D_&lt;font color="#ffab27"&gt;※★6覚醒済み、超覚醒済みユニットは直接排出されません&lt;/font&gt;</v>
      </c>
      <c r="R406" s="49" t="s">
        <v>1732</v>
      </c>
    </row>
    <row r="407" spans="1:18" ht="50" customHeight="1" x14ac:dyDescent="0.15">
      <c r="A407" s="6">
        <f t="shared" si="434"/>
        <v>600</v>
      </c>
      <c r="B407" s="18">
        <v>3</v>
      </c>
      <c r="C407" s="2" t="s">
        <v>2236</v>
      </c>
      <c r="D407" s="2">
        <v>100</v>
      </c>
      <c r="E407" s="17" t="str">
        <f>VLOOKUP($D407,gacha_types!$A:$D,2,FALSE)</f>
        <v>polygon</v>
      </c>
      <c r="F407" s="17">
        <v>5</v>
      </c>
      <c r="G407" s="17">
        <f t="shared" si="460"/>
        <v>600</v>
      </c>
      <c r="H407" s="13" t="str">
        <f t="shared" si="461"/>
        <v>GachaTop_600.png</v>
      </c>
      <c r="I407" s="23">
        <v>1</v>
      </c>
      <c r="J407" s="23">
        <f t="shared" si="462"/>
        <v>600</v>
      </c>
      <c r="K407" s="23">
        <v>1</v>
      </c>
      <c r="L407" s="55" t="s">
        <v>813</v>
      </c>
      <c r="M407" s="55" t="s">
        <v>814</v>
      </c>
      <c r="N407" s="2" t="s">
        <v>118</v>
      </c>
      <c r="O407" s="111" t="str">
        <f>CONCATENATE("&lt;font color=""#ffab27""&gt;",TEXT(VLOOKUP(A407,gacha_schedules!C:F,4,FALSE),"mm/dd hh:mm"),"&lt;/font&gt;まで")</f>
        <v>&lt;font color="#ffab27"&gt;06/02 14:59&lt;/font&gt;まで</v>
      </c>
      <c r="P407" s="111" t="s">
        <v>3365</v>
      </c>
      <c r="Q407" s="26" t="str">
        <f>CONCATENATE(O407, CHAR(13),P407, CHAR(13),R407)</f>
        <v>&lt;font color="#ffab27"&gt;06/02 14:59&lt;/font&gt;まで_x000D_クリスマス限定ユニット&lt;font color="#ffe22a"&gt;ラチカ&lt;/font&gt;出現中！_x000D_&lt;font color="#ffab27"&gt;※★6覚醒済みユニットは直接排出されません&lt;/font&gt;</v>
      </c>
      <c r="R407" s="49" t="s">
        <v>1067</v>
      </c>
    </row>
    <row r="408" spans="1:18" ht="50" customHeight="1" x14ac:dyDescent="0.15">
      <c r="A408" s="6">
        <f t="shared" si="434"/>
        <v>601</v>
      </c>
      <c r="B408" s="18">
        <v>3</v>
      </c>
      <c r="C408" s="2" t="s">
        <v>2237</v>
      </c>
      <c r="D408" s="2">
        <v>100</v>
      </c>
      <c r="E408" s="17" t="str">
        <f>VLOOKUP($D408,gacha_types!$A:$D,2,FALSE)</f>
        <v>polygon</v>
      </c>
      <c r="F408" s="17">
        <v>5</v>
      </c>
      <c r="G408" s="17">
        <f t="shared" si="460"/>
        <v>601</v>
      </c>
      <c r="H408" s="13" t="str">
        <f t="shared" si="461"/>
        <v>GachaTop_601.png</v>
      </c>
      <c r="I408" s="23">
        <v>1</v>
      </c>
      <c r="J408" s="23">
        <f t="shared" si="462"/>
        <v>601</v>
      </c>
      <c r="K408" s="23">
        <v>1</v>
      </c>
      <c r="L408" s="55" t="s">
        <v>813</v>
      </c>
      <c r="M408" s="55" t="s">
        <v>814</v>
      </c>
      <c r="N408" s="2" t="s">
        <v>118</v>
      </c>
      <c r="O408" s="111" t="str">
        <f>CONCATENATE("&lt;font color=""#ffab27""&gt;",TEXT(VLOOKUP(A408,gacha_schedules!C:F,4,FALSE),"mm/dd hh:mm"),"&lt;/font&gt;まで")</f>
        <v>&lt;font color="#ffab27"&gt;06/02 14:59&lt;/font&gt;まで</v>
      </c>
      <c r="P408" s="111" t="s">
        <v>3366</v>
      </c>
      <c r="Q408" s="26" t="str">
        <f>CONCATENATE(O408, CHAR(13),P408, CHAR(13),R408)</f>
        <v>&lt;font color="#ffab27"&gt;06/02 14:59&lt;/font&gt;まで_x000D_クリスマス限定ユニット&lt;font color="#0093ff"&gt;マリア&lt;/font&gt;出現中！_x000D_&lt;font color="#ffab27"&gt;※★6覚醒済みユニットは直接排出されません&lt;/font&gt;</v>
      </c>
      <c r="R408" s="49" t="s">
        <v>1067</v>
      </c>
    </row>
    <row r="409" spans="1:18" ht="50" customHeight="1" x14ac:dyDescent="0.15">
      <c r="A409" s="6">
        <f t="shared" si="434"/>
        <v>602</v>
      </c>
      <c r="B409" s="18">
        <v>3</v>
      </c>
      <c r="C409" s="2" t="s">
        <v>3299</v>
      </c>
      <c r="D409" s="2">
        <v>100</v>
      </c>
      <c r="E409" s="17" t="str">
        <f>VLOOKUP($D409,gacha_types!$A:$D,2,FALSE)</f>
        <v>polygon</v>
      </c>
      <c r="F409" s="17">
        <v>5</v>
      </c>
      <c r="G409" s="17">
        <f t="shared" ref="G409" si="464">A409</f>
        <v>602</v>
      </c>
      <c r="H409" s="13" t="str">
        <f t="shared" ref="H409" si="465">"GachaTop_"&amp;A409&amp;".png"</f>
        <v>GachaTop_602.png</v>
      </c>
      <c r="I409" s="23">
        <v>1</v>
      </c>
      <c r="J409" s="23">
        <f t="shared" ref="J409" si="466">A409</f>
        <v>602</v>
      </c>
      <c r="K409" s="23">
        <v>1</v>
      </c>
      <c r="L409" s="55" t="s">
        <v>813</v>
      </c>
      <c r="M409" s="55" t="s">
        <v>814</v>
      </c>
      <c r="N409" s="2" t="s">
        <v>118</v>
      </c>
      <c r="O409" s="111" t="str">
        <f>CONCATENATE("&lt;font color=""#ffab27""&gt;",TEXT(VLOOKUP(A409,gacha_schedules!C:F,4,FALSE),"mm/dd hh:mm"),"&lt;/font&gt;まで")</f>
        <v>&lt;font color="#ffab27"&gt;06/12 14:59&lt;/font&gt;まで</v>
      </c>
      <c r="P409" s="26" t="s">
        <v>3306</v>
      </c>
      <c r="Q409" s="26" t="str">
        <f>CONCATENATE(O409, CHAR(13),P409, CHAR(13),R409)</f>
        <v>&lt;font color="#ffab27"&gt;06/12 14:59&lt;/font&gt;まで_x000D_記念限定ユニット&lt;font color="#0093ff"&gt;セルシウス&lt;/font&gt;が新降臨！_x000D_&lt;font color="#ffab27"&gt;※★6覚醒済み、超覚醒済みユニットは直接排出されません&lt;/font&gt;</v>
      </c>
      <c r="R409" s="49" t="s">
        <v>1732</v>
      </c>
    </row>
    <row r="410" spans="1:18" ht="50" customHeight="1" x14ac:dyDescent="0.15">
      <c r="A410" s="6">
        <f t="shared" si="434"/>
        <v>603</v>
      </c>
      <c r="B410" s="18">
        <v>3</v>
      </c>
      <c r="C410" s="2" t="s">
        <v>3300</v>
      </c>
      <c r="D410" s="2">
        <v>100</v>
      </c>
      <c r="E410" s="17" t="str">
        <f>VLOOKUP($D410,gacha_types!$A:$D,2,FALSE)</f>
        <v>polygon</v>
      </c>
      <c r="F410" s="17">
        <v>5</v>
      </c>
      <c r="G410" s="17">
        <f t="shared" ref="G410:G416" si="467">A410</f>
        <v>603</v>
      </c>
      <c r="H410" s="13" t="str">
        <f t="shared" ref="H410:H416" si="468">"GachaTop_"&amp;A410&amp;".png"</f>
        <v>GachaTop_603.png</v>
      </c>
      <c r="I410" s="23">
        <v>1</v>
      </c>
      <c r="J410" s="23">
        <f t="shared" ref="J410:J416" si="469">A410</f>
        <v>603</v>
      </c>
      <c r="K410" s="23">
        <v>1</v>
      </c>
      <c r="L410" s="55" t="s">
        <v>813</v>
      </c>
      <c r="M410" s="55" t="s">
        <v>814</v>
      </c>
      <c r="N410" s="2" t="s">
        <v>118</v>
      </c>
      <c r="O410" s="111" t="str">
        <f>CONCATENATE("&lt;font color=""#ffab27""&gt;",TEXT(VLOOKUP(A410,gacha_schedules!C:F,4,FALSE),"mm/dd hh:mm"),"&lt;/font&gt;まで")</f>
        <v>&lt;font color="#ffab27"&gt;06/05 14:59&lt;/font&gt;まで</v>
      </c>
      <c r="P410" s="26" t="s">
        <v>3305</v>
      </c>
      <c r="Q410" s="26" t="str">
        <f t="shared" ref="Q410:Q416" si="470">CONCATENATE(O410, CHAR(13),P410, CHAR(13),R410)</f>
        <v>&lt;font color="#ffab27"&gt;06/05 14:59&lt;/font&gt;まで_x000D_記念限定ユニット&lt;font color="#00e075"&gt;ハイゼンベルク&lt;/font&gt;出現中！_x000D_&lt;font color="#ffab27"&gt;※★6覚醒済み、超覚醒済みユニットは直接排出されません&lt;/font&gt;</v>
      </c>
      <c r="R410" s="49" t="s">
        <v>1732</v>
      </c>
    </row>
    <row r="411" spans="1:18" ht="50" customHeight="1" x14ac:dyDescent="0.15">
      <c r="A411" s="6">
        <f t="shared" si="434"/>
        <v>604</v>
      </c>
      <c r="B411" s="18">
        <v>3</v>
      </c>
      <c r="C411" s="2" t="s">
        <v>3301</v>
      </c>
      <c r="D411" s="2">
        <v>100</v>
      </c>
      <c r="E411" s="17" t="str">
        <f>VLOOKUP($D411,gacha_types!$A:$D,2,FALSE)</f>
        <v>polygon</v>
      </c>
      <c r="F411" s="17">
        <v>5</v>
      </c>
      <c r="G411" s="17">
        <f t="shared" si="467"/>
        <v>604</v>
      </c>
      <c r="H411" s="13" t="str">
        <f t="shared" si="468"/>
        <v>GachaTop_604.png</v>
      </c>
      <c r="I411" s="23">
        <v>1</v>
      </c>
      <c r="J411" s="23">
        <f t="shared" si="469"/>
        <v>604</v>
      </c>
      <c r="K411" s="23">
        <v>1</v>
      </c>
      <c r="L411" s="55" t="s">
        <v>813</v>
      </c>
      <c r="M411" s="55" t="s">
        <v>814</v>
      </c>
      <c r="N411" s="2" t="s">
        <v>118</v>
      </c>
      <c r="O411" s="111" t="str">
        <f>CONCATENATE("&lt;font color=""#ffab27""&gt;",TEXT(VLOOKUP(A411,gacha_schedules!C:F,4,FALSE),"mm/dd hh:mm"),"&lt;/font&gt;まで")</f>
        <v>&lt;font color="#ffab27"&gt;06/08 14:59&lt;/font&gt;まで</v>
      </c>
      <c r="P411" s="26" t="s">
        <v>3304</v>
      </c>
      <c r="Q411" s="26" t="str">
        <f t="shared" si="470"/>
        <v>&lt;font color="#ffab27"&gt;06/08 14:59&lt;/font&gt;まで_x000D_記念限定ユニット&lt;font color="#0093ff"&gt;メビウス&lt;/font&gt;出現中！_x000D_&lt;font color="#ffab27"&gt;※★6覚醒済み、超覚醒済みユニットは直接排出されません&lt;/font&gt;</v>
      </c>
      <c r="R411" s="49" t="s">
        <v>1732</v>
      </c>
    </row>
    <row r="412" spans="1:18" ht="50" customHeight="1" x14ac:dyDescent="0.15">
      <c r="A412" s="6">
        <f t="shared" si="434"/>
        <v>605</v>
      </c>
      <c r="B412" s="18">
        <v>3</v>
      </c>
      <c r="C412" s="2" t="s">
        <v>3302</v>
      </c>
      <c r="D412" s="2">
        <v>100</v>
      </c>
      <c r="E412" s="17" t="str">
        <f>VLOOKUP($D412,gacha_types!$A:$D,2,FALSE)</f>
        <v>polygon</v>
      </c>
      <c r="F412" s="17">
        <v>5</v>
      </c>
      <c r="G412" s="17">
        <f t="shared" si="467"/>
        <v>605</v>
      </c>
      <c r="H412" s="13" t="str">
        <f t="shared" si="468"/>
        <v>GachaTop_605.png</v>
      </c>
      <c r="I412" s="23">
        <v>1</v>
      </c>
      <c r="J412" s="23">
        <f t="shared" si="469"/>
        <v>605</v>
      </c>
      <c r="K412" s="23">
        <v>1</v>
      </c>
      <c r="L412" s="55" t="s">
        <v>813</v>
      </c>
      <c r="M412" s="55" t="s">
        <v>814</v>
      </c>
      <c r="N412" s="2" t="s">
        <v>118</v>
      </c>
      <c r="O412" s="111" t="str">
        <f>CONCATENATE("&lt;font color=""#ffab27""&gt;",TEXT(VLOOKUP(A412,gacha_schedules!C:F,4,FALSE),"mm/dd hh:mm"),"&lt;/font&gt;まで")</f>
        <v>&lt;font color="#ffab27"&gt;06/12 14:59&lt;/font&gt;まで</v>
      </c>
      <c r="P412" s="26" t="s">
        <v>3303</v>
      </c>
      <c r="Q412" s="26" t="str">
        <f t="shared" si="470"/>
        <v>&lt;font color="#ffab27"&gt;06/12 14:59&lt;/font&gt;まで_x000D_記念限定ユニット&lt;font color="#ff2626"&gt;コーシー&lt;/font&gt;出現中！_x000D_&lt;font color="#ffab27"&gt;※★6覚醒済み、超覚醒済みユニットは直接排出されません&lt;/font&gt;</v>
      </c>
      <c r="R412" s="49" t="s">
        <v>1732</v>
      </c>
    </row>
    <row r="413" spans="1:18" ht="50" customHeight="1" x14ac:dyDescent="0.15">
      <c r="A413" s="6">
        <f t="shared" si="434"/>
        <v>606</v>
      </c>
      <c r="B413" s="18">
        <v>3</v>
      </c>
      <c r="C413" s="2" t="s">
        <v>3307</v>
      </c>
      <c r="D413" s="2">
        <v>100</v>
      </c>
      <c r="E413" s="17" t="str">
        <f>VLOOKUP($D413,gacha_types!$A:$D,2,FALSE)</f>
        <v>polygon</v>
      </c>
      <c r="F413" s="17">
        <v>5</v>
      </c>
      <c r="G413" s="17">
        <f t="shared" si="467"/>
        <v>606</v>
      </c>
      <c r="H413" s="13" t="str">
        <f t="shared" si="468"/>
        <v>GachaTop_606.png</v>
      </c>
      <c r="I413" s="23">
        <v>1</v>
      </c>
      <c r="J413" s="23">
        <f t="shared" si="469"/>
        <v>606</v>
      </c>
      <c r="K413" s="23">
        <v>1</v>
      </c>
      <c r="L413" s="55" t="s">
        <v>813</v>
      </c>
      <c r="M413" s="55" t="s">
        <v>814</v>
      </c>
      <c r="N413" s="2" t="s">
        <v>118</v>
      </c>
      <c r="O413" s="111" t="str">
        <f>CONCATENATE("&lt;font color=""#ffab27""&gt;",TEXT(VLOOKUP(A413,gacha_schedules!C:F,4,FALSE),"mm/dd hh:mm"),"&lt;/font&gt;まで")</f>
        <v>&lt;font color="#ffab27"&gt;06/03 14:59&lt;/font&gt;まで</v>
      </c>
      <c r="P413" s="111" t="s">
        <v>3367</v>
      </c>
      <c r="Q413" s="26" t="str">
        <f t="shared" si="470"/>
        <v>&lt;font color="#ffab27"&gt;06/03 14:59&lt;/font&gt;まで_x000D_チョイス1　&lt;font color="#ffe22a"&gt;メルセンヌ&lt;/font&gt;、&lt;font color="#ffe22a"&gt;ラプラス&lt;/font&gt;出現中！_x000D_&lt;font color="#ffab27"&gt;※★6覚醒済み、超覚醒済みユニットは直接排出されません&lt;/font&gt;</v>
      </c>
      <c r="R413" s="49" t="s">
        <v>1732</v>
      </c>
    </row>
    <row r="414" spans="1:18" ht="50" customHeight="1" x14ac:dyDescent="0.15">
      <c r="A414" s="6">
        <f t="shared" si="434"/>
        <v>607</v>
      </c>
      <c r="B414" s="18">
        <v>3</v>
      </c>
      <c r="C414" s="2" t="s">
        <v>3308</v>
      </c>
      <c r="D414" s="2">
        <v>100</v>
      </c>
      <c r="E414" s="17" t="str">
        <f>VLOOKUP($D414,gacha_types!$A:$D,2,FALSE)</f>
        <v>polygon</v>
      </c>
      <c r="F414" s="17">
        <v>5</v>
      </c>
      <c r="G414" s="17">
        <f t="shared" si="467"/>
        <v>607</v>
      </c>
      <c r="H414" s="13" t="str">
        <f t="shared" si="468"/>
        <v>GachaTop_607.png</v>
      </c>
      <c r="I414" s="23">
        <v>1</v>
      </c>
      <c r="J414" s="23">
        <f t="shared" si="469"/>
        <v>607</v>
      </c>
      <c r="K414" s="23">
        <v>1</v>
      </c>
      <c r="L414" s="55" t="s">
        <v>813</v>
      </c>
      <c r="M414" s="55" t="s">
        <v>814</v>
      </c>
      <c r="N414" s="2" t="s">
        <v>118</v>
      </c>
      <c r="O414" s="111" t="str">
        <f>CONCATENATE("&lt;font color=""#ffab27""&gt;",TEXT(VLOOKUP(A414,gacha_schedules!C:F,4,FALSE),"mm/dd hh:mm"),"&lt;/font&gt;まで")</f>
        <v>&lt;font color="#ffab27"&gt;06/03 14:59&lt;/font&gt;まで</v>
      </c>
      <c r="P414" s="111" t="s">
        <v>3368</v>
      </c>
      <c r="Q414" s="26" t="str">
        <f t="shared" si="470"/>
        <v>&lt;font color="#ffab27"&gt;06/03 14:59&lt;/font&gt;まで_x000D_チョイス2　&lt;font color="#ff2626"&gt;フロイト&lt;/font&gt;、&lt;font color="#ff2626"&gt;セキ&lt;/font&gt;出現中！_x000D_&lt;font color="#ffab27"&gt;※★6覚醒済み、超覚醒済みユニットは直接排出されません&lt;/font&gt;</v>
      </c>
      <c r="R414" s="49" t="s">
        <v>1732</v>
      </c>
    </row>
    <row r="415" spans="1:18" ht="50" customHeight="1" x14ac:dyDescent="0.15">
      <c r="A415" s="6">
        <f t="shared" si="434"/>
        <v>608</v>
      </c>
      <c r="B415" s="18">
        <v>3</v>
      </c>
      <c r="C415" s="2" t="s">
        <v>3309</v>
      </c>
      <c r="D415" s="2">
        <v>100</v>
      </c>
      <c r="E415" s="17" t="str">
        <f>VLOOKUP($D415,gacha_types!$A:$D,2,FALSE)</f>
        <v>polygon</v>
      </c>
      <c r="F415" s="17">
        <v>5</v>
      </c>
      <c r="G415" s="17">
        <f t="shared" si="467"/>
        <v>608</v>
      </c>
      <c r="H415" s="13" t="str">
        <f t="shared" si="468"/>
        <v>GachaTop_608.png</v>
      </c>
      <c r="I415" s="23">
        <v>1</v>
      </c>
      <c r="J415" s="23">
        <f t="shared" si="469"/>
        <v>608</v>
      </c>
      <c r="K415" s="23">
        <v>1</v>
      </c>
      <c r="L415" s="55" t="s">
        <v>813</v>
      </c>
      <c r="M415" s="55" t="s">
        <v>814</v>
      </c>
      <c r="N415" s="2" t="s">
        <v>118</v>
      </c>
      <c r="O415" s="111" t="str">
        <f>CONCATENATE("&lt;font color=""#ffab27""&gt;",TEXT(VLOOKUP(A415,gacha_schedules!C:F,4,FALSE),"mm/dd hh:mm"),"&lt;/font&gt;まで")</f>
        <v>&lt;font color="#ffab27"&gt;06/05 14:59&lt;/font&gt;まで</v>
      </c>
      <c r="P415" s="111" t="s">
        <v>3335</v>
      </c>
      <c r="Q415" s="26" t="str">
        <f t="shared" si="470"/>
        <v>&lt;font color="#ffab27"&gt;06/05 14:59&lt;/font&gt;まで_x000D_チョイス3　&lt;font color="#00e075"&gt;ガロア&lt;/font&gt;、&lt;font color="#00e075"&gt;ポアソン&lt;/font&gt;出現中！_x000D_&lt;font color="#ffab27"&gt;※★6覚醒済み、超覚醒済みユニットは直接排出されません&lt;/font&gt;</v>
      </c>
      <c r="R415" s="49" t="s">
        <v>1732</v>
      </c>
    </row>
    <row r="416" spans="1:18" ht="50" customHeight="1" x14ac:dyDescent="0.15">
      <c r="A416" s="6">
        <f t="shared" si="434"/>
        <v>609</v>
      </c>
      <c r="B416" s="18">
        <v>3</v>
      </c>
      <c r="C416" s="2" t="s">
        <v>3310</v>
      </c>
      <c r="D416" s="2">
        <v>100</v>
      </c>
      <c r="E416" s="17" t="str">
        <f>VLOOKUP($D416,gacha_types!$A:$D,2,FALSE)</f>
        <v>polygon</v>
      </c>
      <c r="F416" s="17">
        <v>5</v>
      </c>
      <c r="G416" s="17">
        <f t="shared" si="467"/>
        <v>609</v>
      </c>
      <c r="H416" s="13" t="str">
        <f t="shared" si="468"/>
        <v>GachaTop_609.png</v>
      </c>
      <c r="I416" s="23">
        <v>1</v>
      </c>
      <c r="J416" s="23">
        <f t="shared" si="469"/>
        <v>609</v>
      </c>
      <c r="K416" s="23">
        <v>1</v>
      </c>
      <c r="L416" s="55" t="s">
        <v>813</v>
      </c>
      <c r="M416" s="55" t="s">
        <v>814</v>
      </c>
      <c r="N416" s="2" t="s">
        <v>118</v>
      </c>
      <c r="O416" s="111" t="str">
        <f>CONCATENATE("&lt;font color=""#ffab27""&gt;",TEXT(VLOOKUP(A416,gacha_schedules!C:F,4,FALSE),"mm/dd hh:mm"),"&lt;/font&gt;まで")</f>
        <v>&lt;font color="#ffab27"&gt;06/05 14:59&lt;/font&gt;まで</v>
      </c>
      <c r="P416" s="111" t="s">
        <v>3336</v>
      </c>
      <c r="Q416" s="26" t="str">
        <f t="shared" si="470"/>
        <v>&lt;font color="#ffab27"&gt;06/05 14:59&lt;/font&gt;まで_x000D_チョイス4　&lt;font color="#0093ff"&gt;ベルヌーイ&lt;/font&gt;、&lt;font color="#0093ff"&gt;ディラック&lt;/font&gt;出現中！_x000D_&lt;font color="#ffab27"&gt;※★6覚醒済み、超覚醒済みユニットは直接排出されません&lt;/font&gt;</v>
      </c>
      <c r="R416" s="49" t="s">
        <v>1732</v>
      </c>
    </row>
    <row r="417" spans="1:18" ht="50" customHeight="1" x14ac:dyDescent="0.15">
      <c r="A417" s="6">
        <f t="shared" si="434"/>
        <v>610</v>
      </c>
      <c r="B417" s="18">
        <v>3</v>
      </c>
      <c r="C417" s="2" t="s">
        <v>3320</v>
      </c>
      <c r="D417" s="2">
        <v>100</v>
      </c>
      <c r="E417" s="17" t="str">
        <f>VLOOKUP($D417,gacha_types!$A:$D,2,FALSE)</f>
        <v>polygon</v>
      </c>
      <c r="F417" s="17">
        <v>5</v>
      </c>
      <c r="G417" s="17">
        <f t="shared" ref="G417:G421" si="471">A417</f>
        <v>610</v>
      </c>
      <c r="H417" s="13" t="str">
        <f t="shared" ref="H417:H418" si="472">"GachaTop_"&amp;A417&amp;".png"</f>
        <v>GachaTop_610.png</v>
      </c>
      <c r="I417" s="23">
        <v>1</v>
      </c>
      <c r="J417" s="23">
        <f t="shared" ref="J417:J421" si="473">A417</f>
        <v>610</v>
      </c>
      <c r="K417" s="23">
        <v>1</v>
      </c>
      <c r="L417" s="55" t="s">
        <v>813</v>
      </c>
      <c r="M417" s="55" t="s">
        <v>814</v>
      </c>
      <c r="N417" s="2" t="s">
        <v>118</v>
      </c>
      <c r="O417" s="111" t="str">
        <f>CONCATENATE("&lt;font color=""#ffab27""&gt;",TEXT(VLOOKUP(A417,gacha_schedules!C:F,4,FALSE),"mm/dd hh:mm"),"&lt;/font&gt;まで")</f>
        <v>&lt;font color="#ffab27"&gt;06/12 14:59&lt;/font&gt;まで</v>
      </c>
      <c r="P417" s="26" t="s">
        <v>3337</v>
      </c>
      <c r="Q417" s="26" t="str">
        <f t="shared" ref="Q417" si="474">CONCATENATE(O417, CHAR(13),P417, CHAR(13),R417)</f>
        <v>&lt;font color="#ffab27"&gt;06/12 14:59&lt;/font&gt;まで_x000D_10連3回目で海外版限定ユニット3体中1体確定！_x000D_&lt;font color="#ffab27"&gt;※★6覚醒済み、超覚醒済みユニットは直接排出されません&lt;/font&gt;</v>
      </c>
      <c r="R417" s="49" t="s">
        <v>1732</v>
      </c>
    </row>
    <row r="418" spans="1:18" ht="50" customHeight="1" x14ac:dyDescent="0.15">
      <c r="A418" s="6">
        <f t="shared" si="434"/>
        <v>611</v>
      </c>
      <c r="B418" s="18">
        <v>3</v>
      </c>
      <c r="C418" s="2" t="s">
        <v>3378</v>
      </c>
      <c r="D418" s="2">
        <v>100</v>
      </c>
      <c r="E418" s="17" t="str">
        <f>VLOOKUP($D418,gacha_types!$A:$D,2,FALSE)</f>
        <v>polygon</v>
      </c>
      <c r="F418" s="17">
        <v>5</v>
      </c>
      <c r="G418" s="17">
        <f t="shared" si="471"/>
        <v>611</v>
      </c>
      <c r="H418" s="13" t="str">
        <f t="shared" si="472"/>
        <v>GachaTop_611.png</v>
      </c>
      <c r="I418" s="23">
        <v>1</v>
      </c>
      <c r="J418" s="23">
        <f t="shared" si="473"/>
        <v>611</v>
      </c>
      <c r="K418" s="23">
        <v>1</v>
      </c>
      <c r="L418" s="55" t="s">
        <v>813</v>
      </c>
      <c r="M418" s="55" t="s">
        <v>814</v>
      </c>
      <c r="N418" s="2" t="s">
        <v>118</v>
      </c>
      <c r="O418" s="111" t="str">
        <f>CONCATENATE("&lt;font color=""#ffab27""&gt;",TEXT(VLOOKUP(A418,gacha_schedules!C:F,4,FALSE),"mm/dd hh:mm"),"&lt;/font&gt;まで限定ユニット&lt;font color=""#0093ff""&gt;シュヴァルツシルト&lt;/font&gt;出現中")</f>
        <v>&lt;font color="#ffab27"&gt;06/12 23:59&lt;/font&gt;まで限定ユニット&lt;font color="#0093ff"&gt;シュヴァルツシルト&lt;/font&gt;出現中</v>
      </c>
      <c r="P418" s="26" t="s">
        <v>3252</v>
      </c>
      <c r="Q418" s="26" t="str">
        <f>CONCATENATE(O418, "
",P418,"
",R418)</f>
        <v>&lt;font color="#ffab27"&gt;06/12 23:59&lt;/font&gt;まで限定ユニット&lt;font color="#0093ff"&gt;シュヴァルツシルト&lt;/font&gt;出現中_x000D_今だけ！青属性出現率大幅アップ！_x000D_&lt;font color="#ffab27"&gt;※★6ユニットはSTEP3、4の確定枠からのみ排出されます&lt;/font&gt;</v>
      </c>
      <c r="R418" s="49" t="s">
        <v>3253</v>
      </c>
    </row>
    <row r="419" spans="1:18" ht="50" customHeight="1" x14ac:dyDescent="0.15">
      <c r="A419" s="6">
        <f t="shared" si="434"/>
        <v>612</v>
      </c>
      <c r="B419" s="18">
        <v>3</v>
      </c>
      <c r="C419" s="2" t="s">
        <v>3242</v>
      </c>
      <c r="D419" s="2">
        <v>100</v>
      </c>
      <c r="E419" s="17" t="str">
        <f>VLOOKUP($D419,gacha_types!$A:$D,2,FALSE)</f>
        <v>polygon</v>
      </c>
      <c r="F419" s="17">
        <v>5</v>
      </c>
      <c r="G419" s="17">
        <f t="shared" si="471"/>
        <v>612</v>
      </c>
      <c r="H419" s="69" t="str">
        <f>H402</f>
        <v>GachaTop_595.png</v>
      </c>
      <c r="I419" s="23">
        <v>1</v>
      </c>
      <c r="J419" s="23">
        <f t="shared" si="473"/>
        <v>612</v>
      </c>
      <c r="K419" s="23">
        <v>1</v>
      </c>
      <c r="L419" s="55" t="s">
        <v>813</v>
      </c>
      <c r="M419" s="55" t="s">
        <v>814</v>
      </c>
      <c r="N419" s="2" t="s">
        <v>118</v>
      </c>
      <c r="O419" s="111" t="str">
        <f>CONCATENATE("&lt;font color=""#ffab27""&gt;",TEXT(VLOOKUP(A419,gacha_schedules!C:F,4,FALSE),"mm/dd hh:mm"),"&lt;/font&gt;まで")</f>
        <v>&lt;font color="#ffab27"&gt;06/16 14:59&lt;/font&gt;まで</v>
      </c>
      <c r="P419" s="111" t="s">
        <v>2868</v>
      </c>
      <c r="Q419" s="26" t="str">
        <f t="shared" ref="Q419" si="475">CONCATENATE(O419, CHAR(13),P419, CHAR(13),R419)</f>
        <v>&lt;font color="#ffab27"&gt;06/16 14:59&lt;/font&gt;まで_x000D_STEP5で厳選★6覚醒可能ユニット1体確定！_x000D_&lt;font color="#ffab27"&gt;※★6覚醒済み、超覚醒済みユニットは直接排出されません&lt;/font&gt;</v>
      </c>
      <c r="R419" s="49" t="s">
        <v>1732</v>
      </c>
    </row>
    <row r="420" spans="1:18" ht="50" customHeight="1" x14ac:dyDescent="0.15">
      <c r="A420" s="6">
        <f t="shared" si="434"/>
        <v>613</v>
      </c>
      <c r="B420" s="18">
        <v>3</v>
      </c>
      <c r="C420" s="2" t="s">
        <v>3395</v>
      </c>
      <c r="D420" s="2">
        <v>100</v>
      </c>
      <c r="E420" s="17" t="str">
        <f>VLOOKUP($D420,gacha_types!$A:$D,2,FALSE)</f>
        <v>polygon</v>
      </c>
      <c r="F420" s="17">
        <v>5</v>
      </c>
      <c r="G420" s="17">
        <f t="shared" si="471"/>
        <v>613</v>
      </c>
      <c r="H420" s="13" t="str">
        <f t="shared" ref="H420:H421" si="476">"GachaTop_"&amp;A420&amp;".png"</f>
        <v>GachaTop_613.png</v>
      </c>
      <c r="I420" s="23">
        <v>1</v>
      </c>
      <c r="J420" s="23">
        <f t="shared" si="473"/>
        <v>613</v>
      </c>
      <c r="K420" s="23">
        <v>1</v>
      </c>
      <c r="L420" s="55" t="s">
        <v>813</v>
      </c>
      <c r="M420" s="55" t="s">
        <v>814</v>
      </c>
      <c r="N420" s="2" t="s">
        <v>118</v>
      </c>
      <c r="O420" s="111" t="str">
        <f>CONCATENATE("&lt;font color=""#ffab27""&gt;",TEXT(VLOOKUP(A420,gacha_schedules!C:F,4,FALSE),"mm/dd hh:mm"),"&lt;/font&gt;まで 10連5回目で")</f>
        <v>&lt;font color="#ffab27"&gt;06/20 14:59&lt;/font&gt;まで 10連5回目で</v>
      </c>
      <c r="P420" s="111" t="s">
        <v>3397</v>
      </c>
      <c r="Q420" s="26" t="str">
        <f>CONCATENATE(O420, CHAR(13),P420, CHAR(13),R420)</f>
        <v>&lt;font color="#ffab27"&gt;06/20 14:59&lt;/font&gt;まで 10連5回目で_x000D_★6のジューンブライドユニット3体中1体確定!_x000D_&lt;font color="#ffab27"&gt;※ジューンブライドユニット以外のユニットも排出されます&lt;/font&gt;</v>
      </c>
      <c r="R420" s="49" t="s">
        <v>3423</v>
      </c>
    </row>
    <row r="421" spans="1:18" ht="50" customHeight="1" x14ac:dyDescent="0.15">
      <c r="A421" s="6">
        <f t="shared" si="434"/>
        <v>614</v>
      </c>
      <c r="B421" s="18">
        <v>3</v>
      </c>
      <c r="C421" s="2" t="s">
        <v>3396</v>
      </c>
      <c r="D421" s="2">
        <v>100</v>
      </c>
      <c r="E421" s="17" t="str">
        <f>VLOOKUP($D421,gacha_types!$A:$D,2,FALSE)</f>
        <v>polygon</v>
      </c>
      <c r="F421" s="17">
        <v>5</v>
      </c>
      <c r="G421" s="17">
        <f t="shared" si="471"/>
        <v>614</v>
      </c>
      <c r="H421" s="13" t="str">
        <f t="shared" si="476"/>
        <v>GachaTop_614.png</v>
      </c>
      <c r="I421" s="23">
        <v>1</v>
      </c>
      <c r="J421" s="23">
        <f t="shared" si="473"/>
        <v>614</v>
      </c>
      <c r="K421" s="23">
        <v>1</v>
      </c>
      <c r="L421" s="55" t="s">
        <v>813</v>
      </c>
      <c r="M421" s="55" t="s">
        <v>814</v>
      </c>
      <c r="N421" s="2" t="s">
        <v>118</v>
      </c>
      <c r="O421" s="111" t="str">
        <f>CONCATENATE("&lt;font color=""#ffab27""&gt;",TEXT(VLOOKUP(A421,gacha_schedules!C:F,4,FALSE),"mm/dd hh:mm"),"&lt;/font&gt;まで 10連5回目で")</f>
        <v>&lt;font color="#ffab27"&gt;06/20 14:59&lt;/font&gt;まで 10連5回目で</v>
      </c>
      <c r="P421" s="111" t="s">
        <v>3397</v>
      </c>
      <c r="Q421" s="26" t="str">
        <f>CONCATENATE(O421, CHAR(13),P421, CHAR(13),R421)</f>
        <v>&lt;font color="#ffab27"&gt;06/20 14:59&lt;/font&gt;まで 10連5回目で_x000D_★6のジューンブライドユニット3体中1体確定!_x000D_&lt;font color="#ffab27"&gt;※ジューンブライドユニット以外のユニットも排出されます&lt;/font&gt;</v>
      </c>
      <c r="R421" s="49" t="s">
        <v>3423</v>
      </c>
    </row>
    <row r="422" spans="1:18" ht="22" customHeight="1" x14ac:dyDescent="0.15">
      <c r="A422" s="6">
        <v>5000</v>
      </c>
      <c r="B422" s="2">
        <v>3</v>
      </c>
      <c r="C422" s="2" t="s">
        <v>801</v>
      </c>
      <c r="D422" s="2">
        <v>300</v>
      </c>
      <c r="E422" s="17" t="str">
        <f>VLOOKUP($D422,gacha_types!$A:$D,2,FALSE)</f>
        <v>polygon</v>
      </c>
      <c r="F422" s="17">
        <f>VLOOKUP($D422,gacha_types!$A:$D,3,FALSE)</f>
        <v>1</v>
      </c>
      <c r="G422" s="17">
        <f t="shared" si="126"/>
        <v>5000</v>
      </c>
      <c r="H422" s="13" t="str">
        <f t="shared" si="127"/>
        <v>GachaTop_5000.png</v>
      </c>
      <c r="I422" s="23">
        <v>0</v>
      </c>
      <c r="J422" s="23">
        <f t="shared" si="128"/>
        <v>5000</v>
      </c>
      <c r="K422" s="23">
        <v>1</v>
      </c>
      <c r="L422" s="55" t="s">
        <v>813</v>
      </c>
      <c r="M422" s="55" t="s">
        <v>814</v>
      </c>
      <c r="N422" s="2" t="s">
        <v>118</v>
      </c>
      <c r="O422" s="26" t="s">
        <v>1714</v>
      </c>
      <c r="P422" s="2" t="s">
        <v>798</v>
      </c>
      <c r="Q422" s="67" t="s">
        <v>1510</v>
      </c>
    </row>
    <row r="423" spans="1:18" ht="21" customHeight="1" x14ac:dyDescent="0.15">
      <c r="A423" s="2">
        <v>6000</v>
      </c>
      <c r="B423" s="2">
        <v>3</v>
      </c>
      <c r="C423" s="18" t="s">
        <v>738</v>
      </c>
      <c r="D423" s="2">
        <v>300</v>
      </c>
      <c r="E423" s="17" t="str">
        <f>VLOOKUP($D423,gacha_types!$A:$D,2,FALSE)</f>
        <v>polygon</v>
      </c>
      <c r="F423" s="17">
        <f>VLOOKUP($D423,gacha_types!$A:$D,3,FALSE)</f>
        <v>1</v>
      </c>
      <c r="G423" s="17">
        <f t="shared" ref="G423:G504" si="477">A423</f>
        <v>6000</v>
      </c>
      <c r="H423" s="13" t="str">
        <f t="shared" ref="H423:H504" si="478">"GachaTop_"&amp;A423&amp;".png"</f>
        <v>GachaTop_6000.png</v>
      </c>
      <c r="I423" s="23">
        <v>0</v>
      </c>
      <c r="J423" s="23">
        <f t="shared" ref="J423:J504" si="479">A423</f>
        <v>6000</v>
      </c>
      <c r="K423" s="23">
        <v>2</v>
      </c>
      <c r="L423" s="55" t="s">
        <v>813</v>
      </c>
      <c r="M423" s="55" t="s">
        <v>814</v>
      </c>
      <c r="N423" s="2" t="s">
        <v>118</v>
      </c>
      <c r="O423" s="26" t="s">
        <v>337</v>
      </c>
      <c r="P423" s="2" t="s">
        <v>777</v>
      </c>
      <c r="Q423" s="50" t="s">
        <v>1511</v>
      </c>
    </row>
    <row r="424" spans="1:18" ht="21" customHeight="1" x14ac:dyDescent="0.15">
      <c r="A424" s="2">
        <v>6001</v>
      </c>
      <c r="B424" s="2">
        <v>3</v>
      </c>
      <c r="C424" s="18" t="s">
        <v>797</v>
      </c>
      <c r="D424" s="2">
        <v>300</v>
      </c>
      <c r="E424" s="17" t="str">
        <f>VLOOKUP($D424,gacha_types!$A:$D,2,FALSE)</f>
        <v>polygon</v>
      </c>
      <c r="F424" s="17">
        <f>VLOOKUP($D424,gacha_types!$A:$D,3,FALSE)</f>
        <v>1</v>
      </c>
      <c r="G424" s="17">
        <f t="shared" si="477"/>
        <v>6001</v>
      </c>
      <c r="H424" s="13" t="str">
        <f t="shared" si="478"/>
        <v>GachaTop_6001.png</v>
      </c>
      <c r="I424" s="23">
        <v>0</v>
      </c>
      <c r="J424" s="66">
        <f>J423</f>
        <v>6000</v>
      </c>
      <c r="K424" s="23">
        <v>1</v>
      </c>
      <c r="L424" s="55" t="s">
        <v>813</v>
      </c>
      <c r="M424" s="55" t="s">
        <v>814</v>
      </c>
      <c r="N424" s="2" t="s">
        <v>118</v>
      </c>
      <c r="O424" s="26"/>
      <c r="P424" s="2"/>
      <c r="Q424" s="50" t="s">
        <v>816</v>
      </c>
    </row>
    <row r="425" spans="1:18" ht="21" customHeight="1" x14ac:dyDescent="0.15">
      <c r="A425" s="2">
        <v>6002</v>
      </c>
      <c r="B425" s="18">
        <v>3</v>
      </c>
      <c r="C425" s="18" t="s">
        <v>1053</v>
      </c>
      <c r="D425" s="2">
        <v>300</v>
      </c>
      <c r="E425" s="17" t="str">
        <f>VLOOKUP($D425,gacha_types!$A:$D,2,FALSE)</f>
        <v>polygon</v>
      </c>
      <c r="F425" s="17">
        <f>VLOOKUP($D425,gacha_types!$A:$D,3,FALSE)</f>
        <v>1</v>
      </c>
      <c r="G425" s="17">
        <f t="shared" ref="G425:G426" si="480">A425</f>
        <v>6002</v>
      </c>
      <c r="H425" s="104" t="s">
        <v>1055</v>
      </c>
      <c r="I425" s="23">
        <v>0</v>
      </c>
      <c r="J425" s="23">
        <f t="shared" ref="J425" si="481">A425</f>
        <v>6002</v>
      </c>
      <c r="K425" s="23">
        <v>2</v>
      </c>
      <c r="L425" s="55" t="s">
        <v>813</v>
      </c>
      <c r="M425" s="55" t="s">
        <v>814</v>
      </c>
      <c r="N425" s="2" t="s">
        <v>118</v>
      </c>
      <c r="O425" s="26" t="s">
        <v>337</v>
      </c>
      <c r="P425" s="2" t="s">
        <v>777</v>
      </c>
      <c r="Q425" s="50" t="s">
        <v>1041</v>
      </c>
    </row>
    <row r="426" spans="1:18" ht="21" customHeight="1" x14ac:dyDescent="0.15">
      <c r="A426" s="2">
        <v>6003</v>
      </c>
      <c r="B426" s="18">
        <v>3</v>
      </c>
      <c r="C426" s="18" t="s">
        <v>1054</v>
      </c>
      <c r="D426" s="2">
        <v>300</v>
      </c>
      <c r="E426" s="17" t="str">
        <f>VLOOKUP($D426,gacha_types!$A:$D,2,FALSE)</f>
        <v>polygon</v>
      </c>
      <c r="F426" s="17">
        <f>VLOOKUP($D426,gacha_types!$A:$D,3,FALSE)</f>
        <v>1</v>
      </c>
      <c r="G426" s="17">
        <f t="shared" si="480"/>
        <v>6003</v>
      </c>
      <c r="H426" s="104" t="s">
        <v>1056</v>
      </c>
      <c r="I426" s="23">
        <v>0</v>
      </c>
      <c r="J426" s="66">
        <f>J425</f>
        <v>6002</v>
      </c>
      <c r="K426" s="23">
        <v>1</v>
      </c>
      <c r="L426" s="55" t="s">
        <v>813</v>
      </c>
      <c r="M426" s="55" t="s">
        <v>814</v>
      </c>
      <c r="N426" s="2" t="s">
        <v>118</v>
      </c>
      <c r="O426" s="26"/>
      <c r="P426" s="2"/>
      <c r="Q426" s="50" t="s">
        <v>1042</v>
      </c>
    </row>
    <row r="427" spans="1:18" ht="46" customHeight="1" x14ac:dyDescent="0.15">
      <c r="A427" s="2">
        <v>6004</v>
      </c>
      <c r="B427" s="18">
        <v>3</v>
      </c>
      <c r="C427" s="18" t="s">
        <v>1190</v>
      </c>
      <c r="D427" s="2">
        <v>300</v>
      </c>
      <c r="E427" s="17" t="str">
        <f>VLOOKUP($D427,gacha_types!$A:$D,2,FALSE)</f>
        <v>polygon</v>
      </c>
      <c r="F427" s="17">
        <f>VLOOKUP($D427,gacha_types!$A:$D,3,FALSE)</f>
        <v>1</v>
      </c>
      <c r="G427" s="17">
        <f t="shared" ref="G427" si="482">A427</f>
        <v>6004</v>
      </c>
      <c r="H427" s="104" t="s">
        <v>1186</v>
      </c>
      <c r="I427" s="23">
        <v>0</v>
      </c>
      <c r="J427" s="23">
        <f t="shared" ref="J427" si="483">A427</f>
        <v>6004</v>
      </c>
      <c r="K427" s="23">
        <v>2</v>
      </c>
      <c r="L427" s="55" t="s">
        <v>813</v>
      </c>
      <c r="M427" s="55" t="s">
        <v>814</v>
      </c>
      <c r="N427" s="2" t="s">
        <v>118</v>
      </c>
      <c r="O427" s="26" t="s">
        <v>1188</v>
      </c>
      <c r="P427" s="2" t="s">
        <v>1189</v>
      </c>
      <c r="Q427" s="26" t="s">
        <v>2428</v>
      </c>
      <c r="R427" s="49" t="s">
        <v>1236</v>
      </c>
    </row>
    <row r="428" spans="1:18" ht="46" customHeight="1" x14ac:dyDescent="0.15">
      <c r="A428" s="2">
        <v>6005</v>
      </c>
      <c r="B428" s="18">
        <v>3</v>
      </c>
      <c r="C428" s="18" t="s">
        <v>1194</v>
      </c>
      <c r="D428" s="2">
        <v>300</v>
      </c>
      <c r="E428" s="17" t="str">
        <f>VLOOKUP($D428,gacha_types!$A:$D,2,FALSE)</f>
        <v>polygon</v>
      </c>
      <c r="F428" s="17">
        <f>VLOOKUP($D428,gacha_types!$A:$D,3,FALSE)</f>
        <v>1</v>
      </c>
      <c r="G428" s="17">
        <f t="shared" ref="G428:G429" si="484">A428</f>
        <v>6005</v>
      </c>
      <c r="H428" s="104" t="s">
        <v>1196</v>
      </c>
      <c r="I428" s="23">
        <v>0</v>
      </c>
      <c r="J428" s="66">
        <f>J427</f>
        <v>6004</v>
      </c>
      <c r="K428" s="23">
        <v>1</v>
      </c>
      <c r="L428" s="55" t="s">
        <v>813</v>
      </c>
      <c r="M428" s="55" t="s">
        <v>814</v>
      </c>
      <c r="N428" s="2" t="s">
        <v>118</v>
      </c>
      <c r="O428" s="26" t="s">
        <v>1188</v>
      </c>
      <c r="P428" s="2" t="s">
        <v>1189</v>
      </c>
      <c r="Q428" s="26" t="s">
        <v>2428</v>
      </c>
      <c r="R428" s="49" t="s">
        <v>1067</v>
      </c>
    </row>
    <row r="429" spans="1:18" ht="46" customHeight="1" x14ac:dyDescent="0.15">
      <c r="A429" s="2">
        <v>6006</v>
      </c>
      <c r="B429" s="18">
        <v>3</v>
      </c>
      <c r="C429" s="18" t="s">
        <v>1309</v>
      </c>
      <c r="D429" s="2">
        <v>300</v>
      </c>
      <c r="E429" s="17" t="str">
        <f>VLOOKUP($D429,gacha_types!$A:$D,2,FALSE)</f>
        <v>polygon</v>
      </c>
      <c r="F429" s="17">
        <f>VLOOKUP($D429,gacha_types!$A:$D,3,FALSE)</f>
        <v>1</v>
      </c>
      <c r="G429" s="17">
        <f t="shared" si="484"/>
        <v>6006</v>
      </c>
      <c r="H429" s="13" t="str">
        <f t="shared" si="478"/>
        <v>GachaTop_6006.png</v>
      </c>
      <c r="I429" s="23">
        <v>0</v>
      </c>
      <c r="J429" s="23">
        <f t="shared" ref="J429" si="485">A429</f>
        <v>6006</v>
      </c>
      <c r="K429" s="23">
        <v>3</v>
      </c>
      <c r="L429" s="55" t="s">
        <v>813</v>
      </c>
      <c r="M429" s="55" t="s">
        <v>814</v>
      </c>
      <c r="N429" s="2" t="s">
        <v>118</v>
      </c>
      <c r="O429" s="26" t="s">
        <v>1188</v>
      </c>
      <c r="P429" s="2" t="s">
        <v>1311</v>
      </c>
      <c r="Q429" s="26" t="s">
        <v>2429</v>
      </c>
      <c r="R429" s="49" t="s">
        <v>1236</v>
      </c>
    </row>
    <row r="430" spans="1:18" ht="46" customHeight="1" x14ac:dyDescent="0.15">
      <c r="A430" s="2">
        <v>6007</v>
      </c>
      <c r="B430" s="18">
        <v>3</v>
      </c>
      <c r="C430" s="18" t="s">
        <v>1310</v>
      </c>
      <c r="D430" s="2">
        <v>300</v>
      </c>
      <c r="E430" s="17" t="str">
        <f>VLOOKUP($D430,gacha_types!$A:$D,2,FALSE)</f>
        <v>polygon</v>
      </c>
      <c r="F430" s="17">
        <f>VLOOKUP($D430,gacha_types!$A:$D,3,FALSE)</f>
        <v>1</v>
      </c>
      <c r="G430" s="17">
        <f t="shared" ref="G430:G431" si="486">A430</f>
        <v>6007</v>
      </c>
      <c r="H430" s="13" t="str">
        <f t="shared" si="478"/>
        <v>GachaTop_6007.png</v>
      </c>
      <c r="I430" s="23">
        <v>0</v>
      </c>
      <c r="J430" s="66">
        <f>J429</f>
        <v>6006</v>
      </c>
      <c r="K430" s="23">
        <v>1</v>
      </c>
      <c r="L430" s="55" t="s">
        <v>813</v>
      </c>
      <c r="M430" s="55" t="s">
        <v>814</v>
      </c>
      <c r="N430" s="2" t="s">
        <v>118</v>
      </c>
      <c r="O430" s="26" t="s">
        <v>1188</v>
      </c>
      <c r="P430" s="2" t="s">
        <v>1311</v>
      </c>
      <c r="Q430" s="26" t="s">
        <v>2429</v>
      </c>
      <c r="R430" s="49" t="s">
        <v>1067</v>
      </c>
    </row>
    <row r="431" spans="1:18" ht="46" customHeight="1" x14ac:dyDescent="0.15">
      <c r="A431" s="2">
        <v>6008</v>
      </c>
      <c r="B431" s="18">
        <v>3</v>
      </c>
      <c r="C431" s="18" t="s">
        <v>1314</v>
      </c>
      <c r="D431" s="2">
        <v>300</v>
      </c>
      <c r="E431" s="17" t="str">
        <f>VLOOKUP($D431,gacha_types!$A:$D,2,FALSE)</f>
        <v>polygon</v>
      </c>
      <c r="F431" s="17">
        <f>VLOOKUP($D431,gacha_types!$A:$D,3,FALSE)</f>
        <v>1</v>
      </c>
      <c r="G431" s="17">
        <f t="shared" si="486"/>
        <v>6008</v>
      </c>
      <c r="H431" s="104" t="s">
        <v>1318</v>
      </c>
      <c r="I431" s="23">
        <v>0</v>
      </c>
      <c r="J431" s="66">
        <f>J430</f>
        <v>6006</v>
      </c>
      <c r="K431" s="23">
        <v>2</v>
      </c>
      <c r="L431" s="55" t="s">
        <v>813</v>
      </c>
      <c r="M431" s="55" t="s">
        <v>814</v>
      </c>
      <c r="N431" s="2" t="s">
        <v>118</v>
      </c>
      <c r="O431" s="26" t="s">
        <v>1188</v>
      </c>
      <c r="P431" s="2" t="s">
        <v>1311</v>
      </c>
      <c r="Q431" s="26" t="s">
        <v>2429</v>
      </c>
      <c r="R431" s="49" t="s">
        <v>1067</v>
      </c>
    </row>
    <row r="432" spans="1:18" ht="46" customHeight="1" x14ac:dyDescent="0.15">
      <c r="A432" s="2">
        <v>6009</v>
      </c>
      <c r="B432" s="18">
        <v>3</v>
      </c>
      <c r="C432" s="18" t="s">
        <v>2204</v>
      </c>
      <c r="D432" s="2">
        <v>300</v>
      </c>
      <c r="E432" s="17" t="str">
        <f>VLOOKUP($D432,gacha_types!$A:$D,2,FALSE)</f>
        <v>polygon</v>
      </c>
      <c r="F432" s="17">
        <f>VLOOKUP($D432,gacha_types!$A:$D,3,FALSE)</f>
        <v>1</v>
      </c>
      <c r="G432" s="17">
        <f t="shared" ref="G432:G433" si="487">A432</f>
        <v>6009</v>
      </c>
      <c r="H432" s="13" t="str">
        <f t="shared" si="478"/>
        <v>GachaTop_6009.png</v>
      </c>
      <c r="I432" s="23">
        <v>0</v>
      </c>
      <c r="J432" s="23">
        <f t="shared" ref="J432:J433" si="488">A432</f>
        <v>6009</v>
      </c>
      <c r="K432" s="23">
        <v>2</v>
      </c>
      <c r="L432" s="55" t="s">
        <v>813</v>
      </c>
      <c r="M432" s="55" t="s">
        <v>814</v>
      </c>
      <c r="N432" s="2" t="s">
        <v>118</v>
      </c>
      <c r="O432" s="26" t="s">
        <v>1188</v>
      </c>
      <c r="P432" s="2" t="s">
        <v>2206</v>
      </c>
      <c r="Q432" s="26" t="s">
        <v>2430</v>
      </c>
      <c r="R432" s="49" t="s">
        <v>1067</v>
      </c>
    </row>
    <row r="433" spans="1:18" ht="46" customHeight="1" x14ac:dyDescent="0.15">
      <c r="A433" s="2">
        <v>6010</v>
      </c>
      <c r="B433" s="18">
        <v>3</v>
      </c>
      <c r="C433" s="18" t="s">
        <v>2205</v>
      </c>
      <c r="D433" s="2">
        <v>300</v>
      </c>
      <c r="E433" s="17" t="str">
        <f>VLOOKUP($D433,gacha_types!$A:$D,2,FALSE)</f>
        <v>polygon</v>
      </c>
      <c r="F433" s="17">
        <f>VLOOKUP($D433,gacha_types!$A:$D,3,FALSE)</f>
        <v>1</v>
      </c>
      <c r="G433" s="17">
        <f t="shared" si="487"/>
        <v>6010</v>
      </c>
      <c r="H433" s="13" t="str">
        <f t="shared" si="478"/>
        <v>GachaTop_6010.png</v>
      </c>
      <c r="I433" s="23">
        <v>0</v>
      </c>
      <c r="J433" s="23">
        <f t="shared" si="488"/>
        <v>6010</v>
      </c>
      <c r="K433" s="23">
        <v>2</v>
      </c>
      <c r="L433" s="55" t="s">
        <v>813</v>
      </c>
      <c r="M433" s="55" t="s">
        <v>814</v>
      </c>
      <c r="N433" s="2" t="s">
        <v>118</v>
      </c>
      <c r="O433" s="26" t="s">
        <v>1188</v>
      </c>
      <c r="P433" s="2" t="s">
        <v>2207</v>
      </c>
      <c r="Q433" s="26" t="s">
        <v>2430</v>
      </c>
      <c r="R433" s="49" t="s">
        <v>1067</v>
      </c>
    </row>
    <row r="434" spans="1:18" ht="21" customHeight="1" x14ac:dyDescent="0.15">
      <c r="A434" s="6">
        <v>7000</v>
      </c>
      <c r="B434" s="2">
        <v>3</v>
      </c>
      <c r="C434" s="18" t="s">
        <v>731</v>
      </c>
      <c r="D434" s="2">
        <v>300</v>
      </c>
      <c r="E434" s="17" t="str">
        <f>VLOOKUP($D434,gacha_types!$A:$D,2,FALSE)</f>
        <v>polygon</v>
      </c>
      <c r="F434" s="17">
        <f>VLOOKUP($D434,gacha_types!$A:$D,3,FALSE)</f>
        <v>1</v>
      </c>
      <c r="G434" s="17">
        <f t="shared" si="477"/>
        <v>7000</v>
      </c>
      <c r="H434" s="13" t="str">
        <f t="shared" si="478"/>
        <v>GachaTop_7000.png</v>
      </c>
      <c r="I434" s="23">
        <v>0</v>
      </c>
      <c r="J434" s="23">
        <f t="shared" si="479"/>
        <v>7000</v>
      </c>
      <c r="K434" s="23">
        <v>1</v>
      </c>
      <c r="L434" s="55" t="s">
        <v>813</v>
      </c>
      <c r="M434" s="55" t="s">
        <v>814</v>
      </c>
      <c r="N434" s="2" t="s">
        <v>118</v>
      </c>
      <c r="O434" s="26" t="s">
        <v>337</v>
      </c>
      <c r="P434" s="2" t="s">
        <v>777</v>
      </c>
      <c r="Q434" s="50" t="s">
        <v>1162</v>
      </c>
    </row>
    <row r="435" spans="1:18" ht="21" customHeight="1" x14ac:dyDescent="0.15">
      <c r="A435" s="2">
        <f t="shared" ref="A435:A463" si="489">A434+1</f>
        <v>7001</v>
      </c>
      <c r="B435" s="2">
        <v>3</v>
      </c>
      <c r="C435" s="18" t="s">
        <v>822</v>
      </c>
      <c r="D435" s="2">
        <v>300</v>
      </c>
      <c r="E435" s="17" t="str">
        <f>VLOOKUP($D435,gacha_types!$A:$D,2,FALSE)</f>
        <v>polygon</v>
      </c>
      <c r="F435" s="17">
        <f>VLOOKUP($D435,gacha_types!$A:$D,3,FALSE)</f>
        <v>1</v>
      </c>
      <c r="G435" s="17">
        <f t="shared" ref="G435" si="490">A435</f>
        <v>7001</v>
      </c>
      <c r="H435" s="69" t="str">
        <f>H434</f>
        <v>GachaTop_7000.png</v>
      </c>
      <c r="I435" s="23">
        <v>0</v>
      </c>
      <c r="J435" s="23">
        <f t="shared" ref="J435" si="491">A435</f>
        <v>7001</v>
      </c>
      <c r="K435" s="23">
        <v>1</v>
      </c>
      <c r="L435" s="55" t="s">
        <v>813</v>
      </c>
      <c r="M435" s="55" t="s">
        <v>814</v>
      </c>
      <c r="N435" s="2" t="s">
        <v>118</v>
      </c>
      <c r="O435" s="26" t="s">
        <v>337</v>
      </c>
      <c r="P435" s="2" t="s">
        <v>777</v>
      </c>
      <c r="Q435" s="50" t="s">
        <v>1162</v>
      </c>
    </row>
    <row r="436" spans="1:18" ht="21" customHeight="1" x14ac:dyDescent="0.15">
      <c r="A436" s="2">
        <f t="shared" si="489"/>
        <v>7002</v>
      </c>
      <c r="B436" s="2">
        <v>3</v>
      </c>
      <c r="C436" s="18" t="s">
        <v>823</v>
      </c>
      <c r="D436" s="2">
        <v>300</v>
      </c>
      <c r="E436" s="17" t="str">
        <f>VLOOKUP($D436,gacha_types!$A:$D,2,FALSE)</f>
        <v>polygon</v>
      </c>
      <c r="F436" s="17">
        <f>VLOOKUP($D436,gacha_types!$A:$D,3,FALSE)</f>
        <v>1</v>
      </c>
      <c r="G436" s="17">
        <f t="shared" ref="G436" si="492">A436</f>
        <v>7002</v>
      </c>
      <c r="H436" s="69" t="str">
        <f>H435</f>
        <v>GachaTop_7000.png</v>
      </c>
      <c r="I436" s="23">
        <v>0</v>
      </c>
      <c r="J436" s="23">
        <f t="shared" ref="J436" si="493">A436</f>
        <v>7002</v>
      </c>
      <c r="K436" s="23">
        <v>1</v>
      </c>
      <c r="L436" s="55" t="s">
        <v>813</v>
      </c>
      <c r="M436" s="55" t="s">
        <v>814</v>
      </c>
      <c r="N436" s="2" t="s">
        <v>118</v>
      </c>
      <c r="O436" s="26" t="s">
        <v>337</v>
      </c>
      <c r="P436" s="2" t="s">
        <v>777</v>
      </c>
      <c r="Q436" s="50" t="s">
        <v>1162</v>
      </c>
    </row>
    <row r="437" spans="1:18" ht="21" customHeight="1" x14ac:dyDescent="0.15">
      <c r="A437" s="2">
        <f t="shared" si="489"/>
        <v>7003</v>
      </c>
      <c r="B437" s="2">
        <v>3</v>
      </c>
      <c r="C437" s="18" t="s">
        <v>880</v>
      </c>
      <c r="D437" s="2">
        <v>300</v>
      </c>
      <c r="E437" s="17" t="str">
        <f>VLOOKUP($D437,gacha_types!$A:$D,2,FALSE)</f>
        <v>polygon</v>
      </c>
      <c r="F437" s="17">
        <f>VLOOKUP($D437,gacha_types!$A:$D,3,FALSE)</f>
        <v>1</v>
      </c>
      <c r="G437" s="17">
        <f t="shared" ref="G437" si="494">A437</f>
        <v>7003</v>
      </c>
      <c r="H437" s="69" t="str">
        <f>H436</f>
        <v>GachaTop_7000.png</v>
      </c>
      <c r="I437" s="23">
        <v>0</v>
      </c>
      <c r="J437" s="23">
        <f t="shared" ref="J437" si="495">A437</f>
        <v>7003</v>
      </c>
      <c r="K437" s="23">
        <v>1</v>
      </c>
      <c r="L437" s="55" t="s">
        <v>813</v>
      </c>
      <c r="M437" s="55" t="s">
        <v>814</v>
      </c>
      <c r="N437" s="2" t="s">
        <v>118</v>
      </c>
      <c r="O437" s="26" t="s">
        <v>337</v>
      </c>
      <c r="P437" s="2" t="s">
        <v>777</v>
      </c>
      <c r="Q437" s="50" t="s">
        <v>1162</v>
      </c>
    </row>
    <row r="438" spans="1:18" ht="21" customHeight="1" x14ac:dyDescent="0.15">
      <c r="A438" s="2">
        <f t="shared" si="489"/>
        <v>7004</v>
      </c>
      <c r="B438" s="2">
        <v>3</v>
      </c>
      <c r="C438" s="18" t="s">
        <v>912</v>
      </c>
      <c r="D438" s="2">
        <v>300</v>
      </c>
      <c r="E438" s="17" t="str">
        <f>VLOOKUP($D438,gacha_types!$A:$D,2,FALSE)</f>
        <v>polygon</v>
      </c>
      <c r="F438" s="17">
        <f>VLOOKUP($D438,gacha_types!$A:$D,3,FALSE)</f>
        <v>1</v>
      </c>
      <c r="G438" s="17">
        <f t="shared" ref="G438" si="496">A438</f>
        <v>7004</v>
      </c>
      <c r="H438" s="69" t="str">
        <f>H437</f>
        <v>GachaTop_7000.png</v>
      </c>
      <c r="I438" s="23">
        <v>0</v>
      </c>
      <c r="J438" s="23">
        <f t="shared" ref="J438" si="497">A438</f>
        <v>7004</v>
      </c>
      <c r="K438" s="23">
        <v>1</v>
      </c>
      <c r="L438" s="55" t="s">
        <v>813</v>
      </c>
      <c r="M438" s="55" t="s">
        <v>814</v>
      </c>
      <c r="N438" s="2" t="s">
        <v>118</v>
      </c>
      <c r="O438" s="26" t="s">
        <v>337</v>
      </c>
      <c r="P438" s="2" t="s">
        <v>777</v>
      </c>
      <c r="Q438" s="50" t="s">
        <v>1162</v>
      </c>
    </row>
    <row r="439" spans="1:18" ht="21" customHeight="1" x14ac:dyDescent="0.15">
      <c r="A439" s="2">
        <f t="shared" si="489"/>
        <v>7005</v>
      </c>
      <c r="B439" s="2">
        <v>3</v>
      </c>
      <c r="C439" s="18" t="s">
        <v>1100</v>
      </c>
      <c r="D439" s="2">
        <v>300</v>
      </c>
      <c r="E439" s="17" t="str">
        <f>VLOOKUP($D439,gacha_types!$A:$D,2,FALSE)</f>
        <v>polygon</v>
      </c>
      <c r="F439" s="17">
        <f>VLOOKUP($D439,gacha_types!$A:$D,3,FALSE)</f>
        <v>1</v>
      </c>
      <c r="G439" s="17">
        <f t="shared" ref="G439" si="498">A439</f>
        <v>7005</v>
      </c>
      <c r="H439" s="13" t="str">
        <f>"GachaTop_"&amp;A439&amp;".png"</f>
        <v>GachaTop_7005.png</v>
      </c>
      <c r="I439" s="23">
        <v>0</v>
      </c>
      <c r="J439" s="23">
        <f t="shared" ref="J439" si="499">A439</f>
        <v>7005</v>
      </c>
      <c r="K439" s="23">
        <v>1</v>
      </c>
      <c r="L439" s="55" t="s">
        <v>813</v>
      </c>
      <c r="M439" s="55" t="s">
        <v>814</v>
      </c>
      <c r="N439" s="2" t="s">
        <v>118</v>
      </c>
      <c r="O439" s="26" t="s">
        <v>337</v>
      </c>
      <c r="P439" s="2" t="s">
        <v>777</v>
      </c>
      <c r="Q439" s="50" t="s">
        <v>1162</v>
      </c>
    </row>
    <row r="440" spans="1:18" ht="21" customHeight="1" x14ac:dyDescent="0.15">
      <c r="A440" s="2">
        <f t="shared" si="489"/>
        <v>7006</v>
      </c>
      <c r="B440" s="2">
        <v>3</v>
      </c>
      <c r="C440" s="18" t="s">
        <v>1133</v>
      </c>
      <c r="D440" s="2">
        <v>300</v>
      </c>
      <c r="E440" s="17" t="str">
        <f>VLOOKUP($D440,gacha_types!$A:$D,2,FALSE)</f>
        <v>polygon</v>
      </c>
      <c r="F440" s="17">
        <f>VLOOKUP($D440,gacha_types!$A:$D,3,FALSE)</f>
        <v>1</v>
      </c>
      <c r="G440" s="17">
        <f t="shared" ref="G440" si="500">A440</f>
        <v>7006</v>
      </c>
      <c r="H440" s="69" t="str">
        <f>H439</f>
        <v>GachaTop_7005.png</v>
      </c>
      <c r="I440" s="23">
        <v>0</v>
      </c>
      <c r="J440" s="23">
        <f t="shared" ref="J440" si="501">A440</f>
        <v>7006</v>
      </c>
      <c r="K440" s="23">
        <v>1</v>
      </c>
      <c r="L440" s="55" t="s">
        <v>813</v>
      </c>
      <c r="M440" s="55" t="s">
        <v>814</v>
      </c>
      <c r="N440" s="2" t="s">
        <v>118</v>
      </c>
      <c r="O440" s="26" t="s">
        <v>337</v>
      </c>
      <c r="P440" s="2" t="s">
        <v>777</v>
      </c>
      <c r="Q440" s="50" t="s">
        <v>1162</v>
      </c>
    </row>
    <row r="441" spans="1:18" ht="21" customHeight="1" x14ac:dyDescent="0.15">
      <c r="A441" s="2">
        <f t="shared" si="489"/>
        <v>7007</v>
      </c>
      <c r="B441" s="2">
        <v>3</v>
      </c>
      <c r="C441" s="18" t="s">
        <v>1298</v>
      </c>
      <c r="D441" s="2">
        <v>300</v>
      </c>
      <c r="E441" s="17" t="str">
        <f>VLOOKUP($D441,gacha_types!$A:$D,2,FALSE)</f>
        <v>polygon</v>
      </c>
      <c r="F441" s="17">
        <f>VLOOKUP($D441,gacha_types!$A:$D,3,FALSE)</f>
        <v>1</v>
      </c>
      <c r="G441" s="17">
        <f t="shared" ref="G441" si="502">A441</f>
        <v>7007</v>
      </c>
      <c r="H441" s="69" t="str">
        <f>H440</f>
        <v>GachaTop_7005.png</v>
      </c>
      <c r="I441" s="23">
        <v>0</v>
      </c>
      <c r="J441" s="23">
        <f t="shared" ref="J441" si="503">A441</f>
        <v>7007</v>
      </c>
      <c r="K441" s="23">
        <v>1</v>
      </c>
      <c r="L441" s="55" t="s">
        <v>813</v>
      </c>
      <c r="M441" s="55" t="s">
        <v>814</v>
      </c>
      <c r="N441" s="2" t="s">
        <v>118</v>
      </c>
      <c r="O441" s="26" t="s">
        <v>337</v>
      </c>
      <c r="P441" s="2" t="s">
        <v>777</v>
      </c>
      <c r="Q441" s="50" t="s">
        <v>1162</v>
      </c>
    </row>
    <row r="442" spans="1:18" ht="21" customHeight="1" x14ac:dyDescent="0.15">
      <c r="A442" s="2">
        <f t="shared" si="489"/>
        <v>7008</v>
      </c>
      <c r="B442" s="2">
        <v>3</v>
      </c>
      <c r="C442" s="18" t="s">
        <v>1409</v>
      </c>
      <c r="D442" s="2">
        <v>300</v>
      </c>
      <c r="E442" s="17" t="str">
        <f>VLOOKUP($D442,gacha_types!$A:$D,2,FALSE)</f>
        <v>polygon</v>
      </c>
      <c r="F442" s="17">
        <f>VLOOKUP($D442,gacha_types!$A:$D,3,FALSE)</f>
        <v>1</v>
      </c>
      <c r="G442" s="17">
        <f t="shared" ref="G442" si="504">A442</f>
        <v>7008</v>
      </c>
      <c r="H442" s="13" t="str">
        <f>"GachaTop_"&amp;A442&amp;".png"</f>
        <v>GachaTop_7008.png</v>
      </c>
      <c r="I442" s="23">
        <v>0</v>
      </c>
      <c r="J442" s="23">
        <f t="shared" ref="J442" si="505">A442</f>
        <v>7008</v>
      </c>
      <c r="K442" s="23">
        <v>1</v>
      </c>
      <c r="L442" s="55" t="s">
        <v>813</v>
      </c>
      <c r="M442" s="55" t="s">
        <v>814</v>
      </c>
      <c r="N442" s="2" t="s">
        <v>118</v>
      </c>
      <c r="O442" s="26" t="s">
        <v>337</v>
      </c>
      <c r="P442" s="2" t="s">
        <v>777</v>
      </c>
      <c r="Q442" s="50" t="s">
        <v>1162</v>
      </c>
    </row>
    <row r="443" spans="1:18" ht="21" customHeight="1" x14ac:dyDescent="0.15">
      <c r="A443" s="2">
        <f t="shared" si="489"/>
        <v>7009</v>
      </c>
      <c r="B443" s="2">
        <v>3</v>
      </c>
      <c r="C443" s="18" t="s">
        <v>1452</v>
      </c>
      <c r="D443" s="2">
        <v>300</v>
      </c>
      <c r="E443" s="17" t="str">
        <f>VLOOKUP($D443,gacha_types!$A:$D,2,FALSE)</f>
        <v>polygon</v>
      </c>
      <c r="F443" s="17">
        <f>VLOOKUP($D443,gacha_types!$A:$D,3,FALSE)</f>
        <v>1</v>
      </c>
      <c r="G443" s="17">
        <f t="shared" ref="G443" si="506">A443</f>
        <v>7009</v>
      </c>
      <c r="H443" s="69" t="str">
        <f>H442</f>
        <v>GachaTop_7008.png</v>
      </c>
      <c r="I443" s="23">
        <v>0</v>
      </c>
      <c r="J443" s="23">
        <f t="shared" ref="J443" si="507">A443</f>
        <v>7009</v>
      </c>
      <c r="K443" s="23">
        <v>1</v>
      </c>
      <c r="L443" s="55" t="s">
        <v>813</v>
      </c>
      <c r="M443" s="55" t="s">
        <v>814</v>
      </c>
      <c r="N443" s="2" t="s">
        <v>118</v>
      </c>
      <c r="O443" s="26" t="s">
        <v>337</v>
      </c>
      <c r="P443" s="2" t="s">
        <v>777</v>
      </c>
      <c r="Q443" s="50" t="s">
        <v>1162</v>
      </c>
    </row>
    <row r="444" spans="1:18" ht="21" customHeight="1" x14ac:dyDescent="0.15">
      <c r="A444" s="2">
        <f t="shared" si="489"/>
        <v>7010</v>
      </c>
      <c r="B444" s="2">
        <v>3</v>
      </c>
      <c r="C444" s="18" t="s">
        <v>1526</v>
      </c>
      <c r="D444" s="2">
        <v>300</v>
      </c>
      <c r="E444" s="17" t="str">
        <f>VLOOKUP($D444,gacha_types!$A:$D,2,FALSE)</f>
        <v>polygon</v>
      </c>
      <c r="F444" s="17">
        <f>VLOOKUP($D444,gacha_types!$A:$D,3,FALSE)</f>
        <v>1</v>
      </c>
      <c r="G444" s="17">
        <f t="shared" ref="G444" si="508">A444</f>
        <v>7010</v>
      </c>
      <c r="H444" s="69" t="str">
        <f>H443</f>
        <v>GachaTop_7008.png</v>
      </c>
      <c r="I444" s="23">
        <v>0</v>
      </c>
      <c r="J444" s="23">
        <f t="shared" ref="J444" si="509">A444</f>
        <v>7010</v>
      </c>
      <c r="K444" s="23">
        <v>1</v>
      </c>
      <c r="L444" s="55" t="s">
        <v>813</v>
      </c>
      <c r="M444" s="55" t="s">
        <v>814</v>
      </c>
      <c r="N444" s="2" t="s">
        <v>118</v>
      </c>
      <c r="O444" s="26" t="s">
        <v>337</v>
      </c>
      <c r="P444" s="2" t="s">
        <v>777</v>
      </c>
      <c r="Q444" s="50" t="s">
        <v>1162</v>
      </c>
    </row>
    <row r="445" spans="1:18" ht="21" customHeight="1" x14ac:dyDescent="0.15">
      <c r="A445" s="2">
        <f t="shared" si="489"/>
        <v>7011</v>
      </c>
      <c r="B445" s="2">
        <v>3</v>
      </c>
      <c r="C445" s="18" t="s">
        <v>1685</v>
      </c>
      <c r="D445" s="2">
        <v>300</v>
      </c>
      <c r="E445" s="17" t="str">
        <f>VLOOKUP($D445,gacha_types!$A:$D,2,FALSE)</f>
        <v>polygon</v>
      </c>
      <c r="F445" s="17">
        <f>VLOOKUP($D445,gacha_types!$A:$D,3,FALSE)</f>
        <v>1</v>
      </c>
      <c r="G445" s="17">
        <f t="shared" ref="G445" si="510">A445</f>
        <v>7011</v>
      </c>
      <c r="H445" s="69" t="str">
        <f>H444</f>
        <v>GachaTop_7008.png</v>
      </c>
      <c r="I445" s="23">
        <v>0</v>
      </c>
      <c r="J445" s="23">
        <f t="shared" ref="J445" si="511">A445</f>
        <v>7011</v>
      </c>
      <c r="K445" s="23">
        <v>1</v>
      </c>
      <c r="L445" s="55" t="s">
        <v>813</v>
      </c>
      <c r="M445" s="55" t="s">
        <v>814</v>
      </c>
      <c r="N445" s="2" t="s">
        <v>118</v>
      </c>
      <c r="O445" s="26" t="s">
        <v>337</v>
      </c>
      <c r="P445" s="2" t="s">
        <v>777</v>
      </c>
      <c r="Q445" s="50" t="s">
        <v>1162</v>
      </c>
    </row>
    <row r="446" spans="1:18" ht="21" customHeight="1" x14ac:dyDescent="0.15">
      <c r="A446" s="2">
        <f t="shared" si="489"/>
        <v>7012</v>
      </c>
      <c r="B446" s="2">
        <v>3</v>
      </c>
      <c r="C446" s="18" t="s">
        <v>1754</v>
      </c>
      <c r="D446" s="2">
        <v>300</v>
      </c>
      <c r="E446" s="17" t="str">
        <f>VLOOKUP($D446,gacha_types!$A:$D,2,FALSE)</f>
        <v>polygon</v>
      </c>
      <c r="F446" s="17">
        <f>VLOOKUP($D446,gacha_types!$A:$D,3,FALSE)</f>
        <v>1</v>
      </c>
      <c r="G446" s="17">
        <f t="shared" ref="G446" si="512">A446</f>
        <v>7012</v>
      </c>
      <c r="H446" s="69" t="str">
        <f>H445</f>
        <v>GachaTop_7008.png</v>
      </c>
      <c r="I446" s="23">
        <v>0</v>
      </c>
      <c r="J446" s="23">
        <f t="shared" ref="J446" si="513">A446</f>
        <v>7012</v>
      </c>
      <c r="K446" s="23">
        <v>1</v>
      </c>
      <c r="L446" s="55" t="s">
        <v>813</v>
      </c>
      <c r="M446" s="55" t="s">
        <v>814</v>
      </c>
      <c r="N446" s="2" t="s">
        <v>118</v>
      </c>
      <c r="O446" s="26" t="s">
        <v>337</v>
      </c>
      <c r="P446" s="2" t="s">
        <v>777</v>
      </c>
      <c r="Q446" s="50" t="s">
        <v>1162</v>
      </c>
    </row>
    <row r="447" spans="1:18" ht="21" customHeight="1" x14ac:dyDescent="0.15">
      <c r="A447" s="2">
        <f t="shared" si="489"/>
        <v>7013</v>
      </c>
      <c r="B447" s="2">
        <v>3</v>
      </c>
      <c r="C447" s="18" t="s">
        <v>1896</v>
      </c>
      <c r="D447" s="2">
        <v>300</v>
      </c>
      <c r="E447" s="17" t="str">
        <f>VLOOKUP($D447,gacha_types!$A:$D,2,FALSE)</f>
        <v>polygon</v>
      </c>
      <c r="F447" s="17">
        <f>VLOOKUP($D447,gacha_types!$A:$D,3,FALSE)</f>
        <v>1</v>
      </c>
      <c r="G447" s="17">
        <f t="shared" ref="G447" si="514">A447</f>
        <v>7013</v>
      </c>
      <c r="H447" s="69" t="str">
        <f>H446</f>
        <v>GachaTop_7008.png</v>
      </c>
      <c r="I447" s="23">
        <v>0</v>
      </c>
      <c r="J447" s="23">
        <f t="shared" ref="J447" si="515">A447</f>
        <v>7013</v>
      </c>
      <c r="K447" s="23">
        <v>1</v>
      </c>
      <c r="L447" s="55" t="s">
        <v>813</v>
      </c>
      <c r="M447" s="55" t="s">
        <v>814</v>
      </c>
      <c r="N447" s="2" t="s">
        <v>118</v>
      </c>
      <c r="O447" s="26" t="s">
        <v>337</v>
      </c>
      <c r="P447" s="2" t="s">
        <v>777</v>
      </c>
      <c r="Q447" s="50" t="s">
        <v>1162</v>
      </c>
    </row>
    <row r="448" spans="1:18" ht="21" customHeight="1" x14ac:dyDescent="0.15">
      <c r="A448" s="2">
        <f t="shared" si="489"/>
        <v>7014</v>
      </c>
      <c r="B448" s="2">
        <v>3</v>
      </c>
      <c r="C448" s="18" t="s">
        <v>1972</v>
      </c>
      <c r="D448" s="2">
        <v>300</v>
      </c>
      <c r="E448" s="17" t="str">
        <f>VLOOKUP($D448,gacha_types!$A:$D,2,FALSE)</f>
        <v>polygon</v>
      </c>
      <c r="F448" s="17">
        <f>VLOOKUP($D448,gacha_types!$A:$D,3,FALSE)</f>
        <v>1</v>
      </c>
      <c r="G448" s="17">
        <f t="shared" ref="G448:G452" si="516">A448</f>
        <v>7014</v>
      </c>
      <c r="H448" s="13" t="str">
        <f>"GachaTop_"&amp;A448&amp;".png"</f>
        <v>GachaTop_7014.png</v>
      </c>
      <c r="I448" s="23">
        <v>0</v>
      </c>
      <c r="J448" s="23">
        <f t="shared" ref="J448:J452" si="517">A448</f>
        <v>7014</v>
      </c>
      <c r="K448" s="23">
        <v>1</v>
      </c>
      <c r="L448" s="55" t="s">
        <v>813</v>
      </c>
      <c r="M448" s="55" t="s">
        <v>814</v>
      </c>
      <c r="N448" s="2" t="s">
        <v>118</v>
      </c>
      <c r="O448" s="26" t="s">
        <v>1977</v>
      </c>
      <c r="P448" s="2" t="s">
        <v>2231</v>
      </c>
      <c r="Q448" s="26" t="str">
        <f>CONCATENATE(O448, "
",P448,"
",R448)</f>
        <v>★6覚醒済みユニットのうち一体が確定排出！_x000D_&lt;font color="#ffab27"&gt;※超覚醒済、限定ユニット及び、11/30（水）以降に&lt;/font&gt;_x000D_&lt;font color="#ffab27"&gt;追加されたユニットは排出されません&lt;/font&gt;</v>
      </c>
      <c r="R448" s="49" t="s">
        <v>1826</v>
      </c>
    </row>
    <row r="449" spans="1:18" ht="21" customHeight="1" x14ac:dyDescent="0.15">
      <c r="A449" s="2">
        <f t="shared" si="489"/>
        <v>7015</v>
      </c>
      <c r="B449" s="2">
        <v>3</v>
      </c>
      <c r="C449" s="18" t="s">
        <v>1973</v>
      </c>
      <c r="D449" s="2">
        <v>300</v>
      </c>
      <c r="E449" s="17" t="str">
        <f>VLOOKUP($D449,gacha_types!$A:$D,2,FALSE)</f>
        <v>polygon</v>
      </c>
      <c r="F449" s="17">
        <f>VLOOKUP($D449,gacha_types!$A:$D,3,FALSE)</f>
        <v>1</v>
      </c>
      <c r="G449" s="17">
        <f t="shared" si="516"/>
        <v>7015</v>
      </c>
      <c r="H449" s="13" t="str">
        <f t="shared" ref="H449:H452" si="518">"GachaTop_"&amp;A449&amp;".png"</f>
        <v>GachaTop_7015.png</v>
      </c>
      <c r="I449" s="23">
        <v>0</v>
      </c>
      <c r="J449" s="23">
        <f t="shared" si="517"/>
        <v>7015</v>
      </c>
      <c r="K449" s="23">
        <v>1</v>
      </c>
      <c r="L449" s="55" t="s">
        <v>813</v>
      </c>
      <c r="M449" s="55" t="s">
        <v>814</v>
      </c>
      <c r="N449" s="2" t="s">
        <v>118</v>
      </c>
      <c r="O449" s="26" t="s">
        <v>1978</v>
      </c>
      <c r="P449" s="2" t="s">
        <v>2232</v>
      </c>
      <c r="Q449" s="26" t="str">
        <f>CONCATENATE(O449, "
",P449,"
",R449)</f>
        <v>★5赤ユニットのうち1体が確定排出！_x000D_&lt;font color="#ffab27"&gt;※★6覚醒済、限定ユニット及び、11/30（水）以降に&lt;/font&gt;_x000D_&lt;font color="#ffab27"&gt;追加されたユニットは排出されません&lt;/font&gt;</v>
      </c>
      <c r="R449" s="49" t="s">
        <v>1826</v>
      </c>
    </row>
    <row r="450" spans="1:18" ht="21" customHeight="1" x14ac:dyDescent="0.15">
      <c r="A450" s="2">
        <f t="shared" si="489"/>
        <v>7016</v>
      </c>
      <c r="B450" s="2">
        <v>3</v>
      </c>
      <c r="C450" s="18" t="s">
        <v>1974</v>
      </c>
      <c r="D450" s="2">
        <v>300</v>
      </c>
      <c r="E450" s="17" t="str">
        <f>VLOOKUP($D450,gacha_types!$A:$D,2,FALSE)</f>
        <v>polygon</v>
      </c>
      <c r="F450" s="17">
        <f>VLOOKUP($D450,gacha_types!$A:$D,3,FALSE)</f>
        <v>1</v>
      </c>
      <c r="G450" s="17">
        <f t="shared" si="516"/>
        <v>7016</v>
      </c>
      <c r="H450" s="13" t="str">
        <f t="shared" si="518"/>
        <v>GachaTop_7016.png</v>
      </c>
      <c r="I450" s="23">
        <v>0</v>
      </c>
      <c r="J450" s="23">
        <f t="shared" si="517"/>
        <v>7016</v>
      </c>
      <c r="K450" s="23">
        <v>1</v>
      </c>
      <c r="L450" s="55" t="s">
        <v>813</v>
      </c>
      <c r="M450" s="55" t="s">
        <v>814</v>
      </c>
      <c r="N450" s="2" t="s">
        <v>118</v>
      </c>
      <c r="O450" s="26" t="s">
        <v>1979</v>
      </c>
      <c r="P450" s="2" t="s">
        <v>2232</v>
      </c>
      <c r="Q450" s="26" t="str">
        <f>CONCATENATE(O450, "
",P450,"
",R450)</f>
        <v>★5青ユニットのうち1体が確定排出！_x000D_&lt;font color="#ffab27"&gt;※★6覚醒済、限定ユニット及び、11/30（水）以降に&lt;/font&gt;_x000D_&lt;font color="#ffab27"&gt;追加されたユニットは排出されません&lt;/font&gt;</v>
      </c>
      <c r="R450" s="49" t="s">
        <v>1826</v>
      </c>
    </row>
    <row r="451" spans="1:18" ht="21" customHeight="1" x14ac:dyDescent="0.15">
      <c r="A451" s="2">
        <f t="shared" si="489"/>
        <v>7017</v>
      </c>
      <c r="B451" s="2">
        <v>3</v>
      </c>
      <c r="C451" s="18" t="s">
        <v>1975</v>
      </c>
      <c r="D451" s="2">
        <v>300</v>
      </c>
      <c r="E451" s="17" t="str">
        <f>VLOOKUP($D451,gacha_types!$A:$D,2,FALSE)</f>
        <v>polygon</v>
      </c>
      <c r="F451" s="17">
        <f>VLOOKUP($D451,gacha_types!$A:$D,3,FALSE)</f>
        <v>1</v>
      </c>
      <c r="G451" s="17">
        <f t="shared" si="516"/>
        <v>7017</v>
      </c>
      <c r="H451" s="13" t="str">
        <f t="shared" si="518"/>
        <v>GachaTop_7017.png</v>
      </c>
      <c r="I451" s="23">
        <v>0</v>
      </c>
      <c r="J451" s="23">
        <f t="shared" si="517"/>
        <v>7017</v>
      </c>
      <c r="K451" s="23">
        <v>1</v>
      </c>
      <c r="L451" s="55" t="s">
        <v>813</v>
      </c>
      <c r="M451" s="55" t="s">
        <v>814</v>
      </c>
      <c r="N451" s="2" t="s">
        <v>118</v>
      </c>
      <c r="O451" s="26" t="s">
        <v>1980</v>
      </c>
      <c r="P451" s="2" t="s">
        <v>2232</v>
      </c>
      <c r="Q451" s="26" t="str">
        <f>CONCATENATE(O451, "
",P451,"
",R451)</f>
        <v>★5緑ユニットのうち1体が確定排出！_x000D_&lt;font color="#ffab27"&gt;※★6覚醒済、限定ユニット及び、11/30（水）以降に&lt;/font&gt;_x000D_&lt;font color="#ffab27"&gt;追加されたユニットは排出されません&lt;/font&gt;</v>
      </c>
      <c r="R451" s="49" t="s">
        <v>1826</v>
      </c>
    </row>
    <row r="452" spans="1:18" ht="21" customHeight="1" x14ac:dyDescent="0.15">
      <c r="A452" s="2">
        <f t="shared" si="489"/>
        <v>7018</v>
      </c>
      <c r="B452" s="2">
        <v>3</v>
      </c>
      <c r="C452" s="18" t="s">
        <v>1976</v>
      </c>
      <c r="D452" s="2">
        <v>300</v>
      </c>
      <c r="E452" s="17" t="str">
        <f>VLOOKUP($D452,gacha_types!$A:$D,2,FALSE)</f>
        <v>polygon</v>
      </c>
      <c r="F452" s="17">
        <f>VLOOKUP($D452,gacha_types!$A:$D,3,FALSE)</f>
        <v>1</v>
      </c>
      <c r="G452" s="17">
        <f t="shared" si="516"/>
        <v>7018</v>
      </c>
      <c r="H452" s="13" t="str">
        <f t="shared" si="518"/>
        <v>GachaTop_7018.png</v>
      </c>
      <c r="I452" s="23">
        <v>0</v>
      </c>
      <c r="J452" s="23">
        <f t="shared" si="517"/>
        <v>7018</v>
      </c>
      <c r="K452" s="23">
        <v>1</v>
      </c>
      <c r="L452" s="55" t="s">
        <v>813</v>
      </c>
      <c r="M452" s="55" t="s">
        <v>814</v>
      </c>
      <c r="N452" s="2" t="s">
        <v>118</v>
      </c>
      <c r="O452" s="26" t="s">
        <v>1981</v>
      </c>
      <c r="P452" s="2" t="s">
        <v>2232</v>
      </c>
      <c r="Q452" s="26" t="str">
        <f>CONCATENATE(O452, "
",P452,"
",R452)</f>
        <v>★5黄ユニットのうち1体が確定排出！_x000D_&lt;font color="#ffab27"&gt;※★6覚醒済、限定ユニット及び、11/30（水）以降に&lt;/font&gt;_x000D_&lt;font color="#ffab27"&gt;追加されたユニットは排出されません&lt;/font&gt;</v>
      </c>
      <c r="R452" s="49" t="s">
        <v>1826</v>
      </c>
    </row>
    <row r="453" spans="1:18" ht="21" customHeight="1" x14ac:dyDescent="0.15">
      <c r="A453" s="2">
        <f t="shared" si="489"/>
        <v>7019</v>
      </c>
      <c r="B453" s="2">
        <v>3</v>
      </c>
      <c r="C453" s="18" t="s">
        <v>2006</v>
      </c>
      <c r="D453" s="2">
        <v>300</v>
      </c>
      <c r="E453" s="17" t="str">
        <f>VLOOKUP($D453,gacha_types!$A:$D,2,FALSE)</f>
        <v>polygon</v>
      </c>
      <c r="F453" s="17">
        <f>VLOOKUP($D453,gacha_types!$A:$D,3,FALSE)</f>
        <v>1</v>
      </c>
      <c r="G453" s="17">
        <f t="shared" ref="G453:G460" si="519">A453</f>
        <v>7019</v>
      </c>
      <c r="H453" s="69" t="s">
        <v>2007</v>
      </c>
      <c r="I453" s="23">
        <v>0</v>
      </c>
      <c r="J453" s="23">
        <f t="shared" ref="J453:J460" si="520">A453</f>
        <v>7019</v>
      </c>
      <c r="K453" s="23">
        <v>1</v>
      </c>
      <c r="L453" s="55" t="s">
        <v>813</v>
      </c>
      <c r="M453" s="55" t="s">
        <v>814</v>
      </c>
      <c r="N453" s="2" t="s">
        <v>118</v>
      </c>
      <c r="O453" s="26" t="s">
        <v>337</v>
      </c>
      <c r="P453" s="2" t="s">
        <v>777</v>
      </c>
      <c r="Q453" s="50" t="s">
        <v>1162</v>
      </c>
    </row>
    <row r="454" spans="1:18" ht="21" customHeight="1" x14ac:dyDescent="0.15">
      <c r="A454" s="2">
        <f t="shared" si="489"/>
        <v>7020</v>
      </c>
      <c r="B454" s="2">
        <v>3</v>
      </c>
      <c r="C454" s="18" t="s">
        <v>2364</v>
      </c>
      <c r="D454" s="2">
        <v>300</v>
      </c>
      <c r="E454" s="17" t="str">
        <f>VLOOKUP($D454,gacha_types!$A:$D,2,FALSE)</f>
        <v>polygon</v>
      </c>
      <c r="F454" s="17">
        <f>VLOOKUP($D454,gacha_types!$A:$D,3,FALSE)</f>
        <v>1</v>
      </c>
      <c r="G454" s="17">
        <f t="shared" si="519"/>
        <v>7020</v>
      </c>
      <c r="H454" s="69" t="s">
        <v>2357</v>
      </c>
      <c r="I454" s="23">
        <v>0</v>
      </c>
      <c r="J454" s="23">
        <f t="shared" si="520"/>
        <v>7020</v>
      </c>
      <c r="K454" s="23">
        <v>1</v>
      </c>
      <c r="L454" s="55" t="s">
        <v>813</v>
      </c>
      <c r="M454" s="55" t="s">
        <v>814</v>
      </c>
      <c r="N454" s="2" t="s">
        <v>118</v>
      </c>
      <c r="O454" s="26" t="s">
        <v>1977</v>
      </c>
      <c r="P454" s="2" t="s">
        <v>2362</v>
      </c>
      <c r="Q454" s="26" t="str">
        <f>CONCATENATE(O454, "
",P454,"
",R454)</f>
        <v>★6覚醒済みユニットのうち一体が確定排出！_x000D_&lt;font color="#ffab27"&gt;※超覚醒済、限定ユニット及び、12/24（土）以降に&lt;/font&gt;_x000D_&lt;font color="#ffab27"&gt;追加されたユニットは排出されません&lt;/font&gt;</v>
      </c>
      <c r="R454" s="49" t="s">
        <v>1826</v>
      </c>
    </row>
    <row r="455" spans="1:18" ht="21" customHeight="1" x14ac:dyDescent="0.15">
      <c r="A455" s="2">
        <f t="shared" si="489"/>
        <v>7021</v>
      </c>
      <c r="B455" s="2">
        <v>3</v>
      </c>
      <c r="C455" s="18" t="s">
        <v>2365</v>
      </c>
      <c r="D455" s="2">
        <v>300</v>
      </c>
      <c r="E455" s="17" t="str">
        <f>VLOOKUP($D455,gacha_types!$A:$D,2,FALSE)</f>
        <v>polygon</v>
      </c>
      <c r="F455" s="17">
        <f>VLOOKUP($D455,gacha_types!$A:$D,3,FALSE)</f>
        <v>1</v>
      </c>
      <c r="G455" s="17">
        <f t="shared" si="519"/>
        <v>7021</v>
      </c>
      <c r="H455" s="69" t="s">
        <v>2358</v>
      </c>
      <c r="I455" s="23">
        <v>0</v>
      </c>
      <c r="J455" s="23">
        <f t="shared" si="520"/>
        <v>7021</v>
      </c>
      <c r="K455" s="23">
        <v>1</v>
      </c>
      <c r="L455" s="55" t="s">
        <v>813</v>
      </c>
      <c r="M455" s="55" t="s">
        <v>814</v>
      </c>
      <c r="N455" s="2" t="s">
        <v>118</v>
      </c>
      <c r="O455" s="26" t="s">
        <v>1978</v>
      </c>
      <c r="P455" s="2" t="s">
        <v>2363</v>
      </c>
      <c r="Q455" s="26" t="str">
        <f>CONCATENATE(O455, CHAR(13),P455, CHAR(13),R455)</f>
        <v>★5赤ユニットのうち1体が確定排出！_x000D_&lt;font color="#ffab27"&gt;※★6覚醒済、限定ユニット及び、12/24（土）以降に&lt;/font&gt;_x000D_&lt;font color="#ffab27"&gt;追加されたユニットは排出されません&lt;/font&gt;</v>
      </c>
      <c r="R455" s="49" t="s">
        <v>1826</v>
      </c>
    </row>
    <row r="456" spans="1:18" ht="21" customHeight="1" x14ac:dyDescent="0.15">
      <c r="A456" s="2">
        <f t="shared" si="489"/>
        <v>7022</v>
      </c>
      <c r="B456" s="2">
        <v>3</v>
      </c>
      <c r="C456" s="18" t="s">
        <v>2366</v>
      </c>
      <c r="D456" s="2">
        <v>300</v>
      </c>
      <c r="E456" s="17" t="str">
        <f>VLOOKUP($D456,gacha_types!$A:$D,2,FALSE)</f>
        <v>polygon</v>
      </c>
      <c r="F456" s="17">
        <f>VLOOKUP($D456,gacha_types!$A:$D,3,FALSE)</f>
        <v>1</v>
      </c>
      <c r="G456" s="17">
        <f t="shared" si="519"/>
        <v>7022</v>
      </c>
      <c r="H456" s="69" t="s">
        <v>2359</v>
      </c>
      <c r="I456" s="23">
        <v>0</v>
      </c>
      <c r="J456" s="23">
        <f t="shared" si="520"/>
        <v>7022</v>
      </c>
      <c r="K456" s="23">
        <v>1</v>
      </c>
      <c r="L456" s="55" t="s">
        <v>813</v>
      </c>
      <c r="M456" s="55" t="s">
        <v>814</v>
      </c>
      <c r="N456" s="2" t="s">
        <v>118</v>
      </c>
      <c r="O456" s="26" t="s">
        <v>1979</v>
      </c>
      <c r="P456" s="2" t="s">
        <v>2363</v>
      </c>
      <c r="Q456" s="26" t="str">
        <f t="shared" ref="Q456:Q463" si="521">CONCATENATE(O456, CHAR(13),P456, CHAR(13),R456)</f>
        <v>★5青ユニットのうち1体が確定排出！_x000D_&lt;font color="#ffab27"&gt;※★6覚醒済、限定ユニット及び、12/24（土）以降に&lt;/font&gt;_x000D_&lt;font color="#ffab27"&gt;追加されたユニットは排出されません&lt;/font&gt;</v>
      </c>
      <c r="R456" s="49" t="s">
        <v>1826</v>
      </c>
    </row>
    <row r="457" spans="1:18" ht="21" customHeight="1" x14ac:dyDescent="0.15">
      <c r="A457" s="2">
        <f t="shared" si="489"/>
        <v>7023</v>
      </c>
      <c r="B457" s="2">
        <v>3</v>
      </c>
      <c r="C457" s="18" t="s">
        <v>2367</v>
      </c>
      <c r="D457" s="2">
        <v>300</v>
      </c>
      <c r="E457" s="17" t="str">
        <f>VLOOKUP($D457,gacha_types!$A:$D,2,FALSE)</f>
        <v>polygon</v>
      </c>
      <c r="F457" s="17">
        <f>VLOOKUP($D457,gacha_types!$A:$D,3,FALSE)</f>
        <v>1</v>
      </c>
      <c r="G457" s="17">
        <f t="shared" si="519"/>
        <v>7023</v>
      </c>
      <c r="H457" s="69" t="s">
        <v>2360</v>
      </c>
      <c r="I457" s="23">
        <v>0</v>
      </c>
      <c r="J457" s="23">
        <f t="shared" si="520"/>
        <v>7023</v>
      </c>
      <c r="K457" s="23">
        <v>1</v>
      </c>
      <c r="L457" s="55" t="s">
        <v>813</v>
      </c>
      <c r="M457" s="55" t="s">
        <v>814</v>
      </c>
      <c r="N457" s="2" t="s">
        <v>118</v>
      </c>
      <c r="O457" s="26" t="s">
        <v>1980</v>
      </c>
      <c r="P457" s="2" t="s">
        <v>2363</v>
      </c>
      <c r="Q457" s="26" t="str">
        <f t="shared" si="521"/>
        <v>★5緑ユニットのうち1体が確定排出！_x000D_&lt;font color="#ffab27"&gt;※★6覚醒済、限定ユニット及び、12/24（土）以降に&lt;/font&gt;_x000D_&lt;font color="#ffab27"&gt;追加されたユニットは排出されません&lt;/font&gt;</v>
      </c>
      <c r="R457" s="49" t="s">
        <v>1826</v>
      </c>
    </row>
    <row r="458" spans="1:18" ht="21" customHeight="1" x14ac:dyDescent="0.15">
      <c r="A458" s="2">
        <f t="shared" si="489"/>
        <v>7024</v>
      </c>
      <c r="B458" s="2">
        <v>3</v>
      </c>
      <c r="C458" s="18" t="s">
        <v>2368</v>
      </c>
      <c r="D458" s="2">
        <v>300</v>
      </c>
      <c r="E458" s="17" t="str">
        <f>VLOOKUP($D458,gacha_types!$A:$D,2,FALSE)</f>
        <v>polygon</v>
      </c>
      <c r="F458" s="17">
        <f>VLOOKUP($D458,gacha_types!$A:$D,3,FALSE)</f>
        <v>1</v>
      </c>
      <c r="G458" s="17">
        <f t="shared" si="519"/>
        <v>7024</v>
      </c>
      <c r="H458" s="69" t="s">
        <v>2361</v>
      </c>
      <c r="I458" s="23">
        <v>0</v>
      </c>
      <c r="J458" s="23">
        <f t="shared" si="520"/>
        <v>7024</v>
      </c>
      <c r="K458" s="23">
        <v>1</v>
      </c>
      <c r="L458" s="55" t="s">
        <v>813</v>
      </c>
      <c r="M458" s="55" t="s">
        <v>814</v>
      </c>
      <c r="N458" s="2" t="s">
        <v>118</v>
      </c>
      <c r="O458" s="26" t="s">
        <v>1981</v>
      </c>
      <c r="P458" s="2" t="s">
        <v>2363</v>
      </c>
      <c r="Q458" s="26" t="str">
        <f t="shared" si="521"/>
        <v>★5黄ユニットのうち1体が確定排出！_x000D_&lt;font color="#ffab27"&gt;※★6覚醒済、限定ユニット及び、12/24（土）以降に&lt;/font&gt;_x000D_&lt;font color="#ffab27"&gt;追加されたユニットは排出されません&lt;/font&gt;</v>
      </c>
      <c r="R458" s="49" t="s">
        <v>1826</v>
      </c>
    </row>
    <row r="459" spans="1:18" ht="21" customHeight="1" x14ac:dyDescent="0.15">
      <c r="A459" s="2">
        <f t="shared" si="489"/>
        <v>7025</v>
      </c>
      <c r="B459" s="2">
        <v>3</v>
      </c>
      <c r="C459" s="18" t="s">
        <v>2524</v>
      </c>
      <c r="D459" s="2">
        <v>300</v>
      </c>
      <c r="E459" s="17" t="str">
        <f>VLOOKUP($D459,gacha_types!$A:$D,2,FALSE)</f>
        <v>polygon</v>
      </c>
      <c r="F459" s="17">
        <f>VLOOKUP($D459,gacha_types!$A:$D,3,FALSE)</f>
        <v>1</v>
      </c>
      <c r="G459" s="17">
        <f t="shared" ref="G459" si="522">A459</f>
        <v>7025</v>
      </c>
      <c r="H459" s="69" t="s">
        <v>2357</v>
      </c>
      <c r="I459" s="23">
        <v>0</v>
      </c>
      <c r="J459" s="23">
        <f t="shared" ref="J459" si="523">A459</f>
        <v>7025</v>
      </c>
      <c r="K459" s="23">
        <v>1</v>
      </c>
      <c r="L459" s="55" t="s">
        <v>813</v>
      </c>
      <c r="M459" s="55" t="s">
        <v>814</v>
      </c>
      <c r="N459" s="2" t="s">
        <v>118</v>
      </c>
      <c r="O459" s="26" t="s">
        <v>1977</v>
      </c>
      <c r="P459" s="2" t="s">
        <v>2529</v>
      </c>
      <c r="Q459" s="26" t="str">
        <f t="shared" si="521"/>
        <v>★6覚醒済みユニットのうち一体が確定排出！_x000D_&lt;font color="#ffab27"&gt;※超覚醒済、限定ユニット及び、1/16（月）以降に&lt;/font&gt;_x000D_&lt;font color="#ffab27"&gt;追加されたユニットは排出されません&lt;/font&gt;</v>
      </c>
      <c r="R459" s="49" t="s">
        <v>1826</v>
      </c>
    </row>
    <row r="460" spans="1:18" ht="21" customHeight="1" x14ac:dyDescent="0.15">
      <c r="A460" s="2">
        <f t="shared" si="489"/>
        <v>7026</v>
      </c>
      <c r="B460" s="2">
        <v>3</v>
      </c>
      <c r="C460" s="18" t="s">
        <v>2521</v>
      </c>
      <c r="D460" s="2">
        <v>300</v>
      </c>
      <c r="E460" s="17" t="str">
        <f>VLOOKUP($D460,gacha_types!$A:$D,2,FALSE)</f>
        <v>polygon</v>
      </c>
      <c r="F460" s="17">
        <f>VLOOKUP($D460,gacha_types!$A:$D,3,FALSE)</f>
        <v>1</v>
      </c>
      <c r="G460" s="17">
        <f t="shared" si="519"/>
        <v>7026</v>
      </c>
      <c r="H460" s="69" t="s">
        <v>2358</v>
      </c>
      <c r="I460" s="23">
        <v>0</v>
      </c>
      <c r="J460" s="23">
        <f t="shared" si="520"/>
        <v>7026</v>
      </c>
      <c r="K460" s="23">
        <v>1</v>
      </c>
      <c r="L460" s="55" t="s">
        <v>813</v>
      </c>
      <c r="M460" s="55" t="s">
        <v>814</v>
      </c>
      <c r="N460" s="2" t="s">
        <v>118</v>
      </c>
      <c r="O460" s="26" t="s">
        <v>2525</v>
      </c>
      <c r="P460" s="2" t="s">
        <v>2530</v>
      </c>
      <c r="Q460" s="26" t="str">
        <f t="shared" si="521"/>
        <v>★5赤ユニットのうち1体が確定排出！_x000D_&lt;font color="#ffab27"&gt;※★6覚醒済、限定ユニット及び、1/16（月）以降に&lt;/font&gt;_x000D_&lt;font color="#ffab27"&gt;追加されたユニットは排出されません&lt;/font&gt;</v>
      </c>
      <c r="R460" s="49" t="s">
        <v>1826</v>
      </c>
    </row>
    <row r="461" spans="1:18" ht="21" customHeight="1" x14ac:dyDescent="0.15">
      <c r="A461" s="2">
        <f t="shared" si="489"/>
        <v>7027</v>
      </c>
      <c r="B461" s="2">
        <v>3</v>
      </c>
      <c r="C461" s="18" t="s">
        <v>2522</v>
      </c>
      <c r="D461" s="2">
        <v>300</v>
      </c>
      <c r="E461" s="17" t="str">
        <f>VLOOKUP($D461,gacha_types!$A:$D,2,FALSE)</f>
        <v>polygon</v>
      </c>
      <c r="F461" s="17">
        <f>VLOOKUP($D461,gacha_types!$A:$D,3,FALSE)</f>
        <v>1</v>
      </c>
      <c r="G461" s="17">
        <f t="shared" ref="G461:G462" si="524">A461</f>
        <v>7027</v>
      </c>
      <c r="H461" s="69" t="s">
        <v>2359</v>
      </c>
      <c r="I461" s="23">
        <v>0</v>
      </c>
      <c r="J461" s="23">
        <f t="shared" ref="J461:J462" si="525">A461</f>
        <v>7027</v>
      </c>
      <c r="K461" s="23">
        <v>1</v>
      </c>
      <c r="L461" s="55" t="s">
        <v>813</v>
      </c>
      <c r="M461" s="55" t="s">
        <v>814</v>
      </c>
      <c r="N461" s="2" t="s">
        <v>118</v>
      </c>
      <c r="O461" s="26" t="s">
        <v>2526</v>
      </c>
      <c r="P461" s="2" t="s">
        <v>2530</v>
      </c>
      <c r="Q461" s="26" t="str">
        <f t="shared" si="521"/>
        <v>★5青ユニットのうち1体が確定排出！_x000D_&lt;font color="#ffab27"&gt;※★6覚醒済、限定ユニット及び、1/16（月）以降に&lt;/font&gt;_x000D_&lt;font color="#ffab27"&gt;追加されたユニットは排出されません&lt;/font&gt;</v>
      </c>
      <c r="R461" s="49" t="s">
        <v>1826</v>
      </c>
    </row>
    <row r="462" spans="1:18" ht="21" customHeight="1" x14ac:dyDescent="0.15">
      <c r="A462" s="2">
        <f t="shared" si="489"/>
        <v>7028</v>
      </c>
      <c r="B462" s="2">
        <v>3</v>
      </c>
      <c r="C462" s="18" t="s">
        <v>2523</v>
      </c>
      <c r="D462" s="2">
        <v>300</v>
      </c>
      <c r="E462" s="17" t="str">
        <f>VLOOKUP($D462,gacha_types!$A:$D,2,FALSE)</f>
        <v>polygon</v>
      </c>
      <c r="F462" s="17">
        <f>VLOOKUP($D462,gacha_types!$A:$D,3,FALSE)</f>
        <v>1</v>
      </c>
      <c r="G462" s="17">
        <f t="shared" si="524"/>
        <v>7028</v>
      </c>
      <c r="H462" s="69" t="s">
        <v>2360</v>
      </c>
      <c r="I462" s="23">
        <v>0</v>
      </c>
      <c r="J462" s="23">
        <f t="shared" si="525"/>
        <v>7028</v>
      </c>
      <c r="K462" s="23">
        <v>1</v>
      </c>
      <c r="L462" s="55" t="s">
        <v>813</v>
      </c>
      <c r="M462" s="55" t="s">
        <v>814</v>
      </c>
      <c r="N462" s="2" t="s">
        <v>118</v>
      </c>
      <c r="O462" s="26" t="s">
        <v>2527</v>
      </c>
      <c r="P462" s="2" t="s">
        <v>2530</v>
      </c>
      <c r="Q462" s="26" t="str">
        <f t="shared" si="521"/>
        <v>★5緑ユニットのうち1体が確定排出！_x000D_&lt;font color="#ffab27"&gt;※★6覚醒済、限定ユニット及び、1/16（月）以降に&lt;/font&gt;_x000D_&lt;font color="#ffab27"&gt;追加されたユニットは排出されません&lt;/font&gt;</v>
      </c>
      <c r="R462" s="49" t="s">
        <v>1826</v>
      </c>
    </row>
    <row r="463" spans="1:18" ht="21" customHeight="1" x14ac:dyDescent="0.15">
      <c r="A463" s="2">
        <f t="shared" si="489"/>
        <v>7029</v>
      </c>
      <c r="B463" s="2">
        <v>3</v>
      </c>
      <c r="C463" s="18" t="s">
        <v>2515</v>
      </c>
      <c r="D463" s="2">
        <v>300</v>
      </c>
      <c r="E463" s="17" t="str">
        <f>VLOOKUP($D463,gacha_types!$A:$D,2,FALSE)</f>
        <v>polygon</v>
      </c>
      <c r="F463" s="17">
        <f>VLOOKUP($D463,gacha_types!$A:$D,3,FALSE)</f>
        <v>1</v>
      </c>
      <c r="G463" s="17">
        <f t="shared" ref="G463:G467" si="526">A463</f>
        <v>7029</v>
      </c>
      <c r="H463" s="69" t="s">
        <v>2361</v>
      </c>
      <c r="I463" s="23">
        <v>0</v>
      </c>
      <c r="J463" s="23">
        <f t="shared" ref="J463:J467" si="527">A463</f>
        <v>7029</v>
      </c>
      <c r="K463" s="23">
        <v>1</v>
      </c>
      <c r="L463" s="55" t="s">
        <v>813</v>
      </c>
      <c r="M463" s="55" t="s">
        <v>814</v>
      </c>
      <c r="N463" s="2" t="s">
        <v>118</v>
      </c>
      <c r="O463" s="26" t="s">
        <v>1981</v>
      </c>
      <c r="P463" s="2" t="s">
        <v>2530</v>
      </c>
      <c r="Q463" s="26" t="str">
        <f t="shared" si="521"/>
        <v>★5黄ユニットのうち1体が確定排出！_x000D_&lt;font color="#ffab27"&gt;※★6覚醒済、限定ユニット及び、1/16（月）以降に&lt;/font&gt;_x000D_&lt;font color="#ffab27"&gt;追加されたユニットは排出されません&lt;/font&gt;</v>
      </c>
      <c r="R463" s="49" t="s">
        <v>1826</v>
      </c>
    </row>
    <row r="464" spans="1:18" ht="21" customHeight="1" x14ac:dyDescent="0.15">
      <c r="A464" s="2">
        <v>7030</v>
      </c>
      <c r="B464" s="2">
        <v>3</v>
      </c>
      <c r="C464" s="18" t="s">
        <v>2658</v>
      </c>
      <c r="D464" s="2">
        <v>300</v>
      </c>
      <c r="E464" s="17" t="str">
        <f>VLOOKUP($D464,gacha_types!$A:$D,2,FALSE)</f>
        <v>polygon</v>
      </c>
      <c r="F464" s="17">
        <f>VLOOKUP($D464,gacha_types!$A:$D,3,FALSE)</f>
        <v>1</v>
      </c>
      <c r="G464" s="17">
        <f t="shared" si="526"/>
        <v>7030</v>
      </c>
      <c r="H464" s="69" t="s">
        <v>2357</v>
      </c>
      <c r="I464" s="23">
        <v>0</v>
      </c>
      <c r="J464" s="23">
        <f t="shared" si="527"/>
        <v>7030</v>
      </c>
      <c r="K464" s="23">
        <v>1</v>
      </c>
      <c r="L464" s="55" t="s">
        <v>813</v>
      </c>
      <c r="M464" s="55" t="s">
        <v>814</v>
      </c>
      <c r="N464" s="2" t="s">
        <v>118</v>
      </c>
      <c r="O464" s="26" t="s">
        <v>1977</v>
      </c>
      <c r="P464" s="2" t="s">
        <v>2663</v>
      </c>
      <c r="Q464" s="26" t="str">
        <f t="shared" ref="Q464:Q468" si="528">CONCATENATE(O464, CHAR(13),P464, CHAR(13),R464)</f>
        <v>★6覚醒済みユニットのうち一体が確定排出！_x000D_&lt;font color="#ffab27"&gt;※超覚醒済、限定ユニット及び、2/21（火）以降に&lt;/font&gt;_x000D_&lt;font color="#ffab27"&gt;追加されたユニットは排出されません&lt;/font&gt;</v>
      </c>
      <c r="R464" s="49" t="s">
        <v>1826</v>
      </c>
    </row>
    <row r="465" spans="1:18" ht="21" customHeight="1" x14ac:dyDescent="0.15">
      <c r="A465" s="2">
        <v>7031</v>
      </c>
      <c r="B465" s="2">
        <v>3</v>
      </c>
      <c r="C465" s="18" t="s">
        <v>2659</v>
      </c>
      <c r="D465" s="2">
        <v>300</v>
      </c>
      <c r="E465" s="17" t="str">
        <f>VLOOKUP($D465,gacha_types!$A:$D,2,FALSE)</f>
        <v>polygon</v>
      </c>
      <c r="F465" s="17">
        <f>VLOOKUP($D465,gacha_types!$A:$D,3,FALSE)</f>
        <v>1</v>
      </c>
      <c r="G465" s="17">
        <f t="shared" si="526"/>
        <v>7031</v>
      </c>
      <c r="H465" s="69" t="s">
        <v>2358</v>
      </c>
      <c r="I465" s="23">
        <v>0</v>
      </c>
      <c r="J465" s="23">
        <f t="shared" si="527"/>
        <v>7031</v>
      </c>
      <c r="K465" s="23">
        <v>1</v>
      </c>
      <c r="L465" s="55" t="s">
        <v>813</v>
      </c>
      <c r="M465" s="55" t="s">
        <v>814</v>
      </c>
      <c r="N465" s="2" t="s">
        <v>118</v>
      </c>
      <c r="O465" s="26" t="s">
        <v>2525</v>
      </c>
      <c r="P465" s="2" t="s">
        <v>2664</v>
      </c>
      <c r="Q465" s="26" t="str">
        <f t="shared" si="528"/>
        <v>★5赤ユニットのうち1体が確定排出！_x000D_&lt;font color="#ffab27"&gt;※★6覚醒済、限定ユニット及び、2/21（火）以降に&lt;/font&gt;_x000D_&lt;font color="#ffab27"&gt;追加されたユニットは排出されません&lt;/font&gt;</v>
      </c>
      <c r="R465" s="49" t="s">
        <v>1826</v>
      </c>
    </row>
    <row r="466" spans="1:18" ht="21" customHeight="1" x14ac:dyDescent="0.15">
      <c r="A466" s="2">
        <v>7032</v>
      </c>
      <c r="B466" s="2">
        <v>3</v>
      </c>
      <c r="C466" s="18" t="s">
        <v>2660</v>
      </c>
      <c r="D466" s="2">
        <v>300</v>
      </c>
      <c r="E466" s="17" t="str">
        <f>VLOOKUP($D466,gacha_types!$A:$D,2,FALSE)</f>
        <v>polygon</v>
      </c>
      <c r="F466" s="17">
        <f>VLOOKUP($D466,gacha_types!$A:$D,3,FALSE)</f>
        <v>1</v>
      </c>
      <c r="G466" s="17">
        <f t="shared" si="526"/>
        <v>7032</v>
      </c>
      <c r="H466" s="69" t="s">
        <v>2359</v>
      </c>
      <c r="I466" s="23">
        <v>0</v>
      </c>
      <c r="J466" s="23">
        <f t="shared" si="527"/>
        <v>7032</v>
      </c>
      <c r="K466" s="23">
        <v>1</v>
      </c>
      <c r="L466" s="55" t="s">
        <v>813</v>
      </c>
      <c r="M466" s="55" t="s">
        <v>814</v>
      </c>
      <c r="N466" s="2" t="s">
        <v>118</v>
      </c>
      <c r="O466" s="26" t="s">
        <v>2526</v>
      </c>
      <c r="P466" s="2" t="s">
        <v>2664</v>
      </c>
      <c r="Q466" s="26" t="str">
        <f t="shared" si="528"/>
        <v>★5青ユニットのうち1体が確定排出！_x000D_&lt;font color="#ffab27"&gt;※★6覚醒済、限定ユニット及び、2/21（火）以降に&lt;/font&gt;_x000D_&lt;font color="#ffab27"&gt;追加されたユニットは排出されません&lt;/font&gt;</v>
      </c>
      <c r="R466" s="49" t="s">
        <v>1826</v>
      </c>
    </row>
    <row r="467" spans="1:18" ht="21" customHeight="1" x14ac:dyDescent="0.15">
      <c r="A467" s="2">
        <v>7033</v>
      </c>
      <c r="B467" s="2">
        <v>3</v>
      </c>
      <c r="C467" s="18" t="s">
        <v>2661</v>
      </c>
      <c r="D467" s="2">
        <v>300</v>
      </c>
      <c r="E467" s="17" t="str">
        <f>VLOOKUP($D467,gacha_types!$A:$D,2,FALSE)</f>
        <v>polygon</v>
      </c>
      <c r="F467" s="17">
        <f>VLOOKUP($D467,gacha_types!$A:$D,3,FALSE)</f>
        <v>1</v>
      </c>
      <c r="G467" s="17">
        <f t="shared" si="526"/>
        <v>7033</v>
      </c>
      <c r="H467" s="69" t="s">
        <v>2360</v>
      </c>
      <c r="I467" s="23">
        <v>0</v>
      </c>
      <c r="J467" s="23">
        <f t="shared" si="527"/>
        <v>7033</v>
      </c>
      <c r="K467" s="23">
        <v>1</v>
      </c>
      <c r="L467" s="55" t="s">
        <v>813</v>
      </c>
      <c r="M467" s="55" t="s">
        <v>814</v>
      </c>
      <c r="N467" s="2" t="s">
        <v>118</v>
      </c>
      <c r="O467" s="26" t="s">
        <v>2527</v>
      </c>
      <c r="P467" s="2" t="s">
        <v>2664</v>
      </c>
      <c r="Q467" s="26" t="str">
        <f t="shared" si="528"/>
        <v>★5緑ユニットのうち1体が確定排出！_x000D_&lt;font color="#ffab27"&gt;※★6覚醒済、限定ユニット及び、2/21（火）以降に&lt;/font&gt;_x000D_&lt;font color="#ffab27"&gt;追加されたユニットは排出されません&lt;/font&gt;</v>
      </c>
      <c r="R467" s="49" t="s">
        <v>1826</v>
      </c>
    </row>
    <row r="468" spans="1:18" ht="21" customHeight="1" x14ac:dyDescent="0.15">
      <c r="A468" s="2">
        <v>7034</v>
      </c>
      <c r="B468" s="2">
        <v>3</v>
      </c>
      <c r="C468" s="18" t="s">
        <v>2662</v>
      </c>
      <c r="D468" s="2">
        <v>300</v>
      </c>
      <c r="E468" s="17" t="str">
        <f>VLOOKUP($D468,gacha_types!$A:$D,2,FALSE)</f>
        <v>polygon</v>
      </c>
      <c r="F468" s="17">
        <f>VLOOKUP($D468,gacha_types!$A:$D,3,FALSE)</f>
        <v>1</v>
      </c>
      <c r="G468" s="17">
        <f t="shared" ref="G468:G472" si="529">A468</f>
        <v>7034</v>
      </c>
      <c r="H468" s="69" t="s">
        <v>2361</v>
      </c>
      <c r="I468" s="23">
        <v>0</v>
      </c>
      <c r="J468" s="23">
        <f t="shared" ref="J468:J472" si="530">A468</f>
        <v>7034</v>
      </c>
      <c r="K468" s="23">
        <v>1</v>
      </c>
      <c r="L468" s="55" t="s">
        <v>813</v>
      </c>
      <c r="M468" s="55" t="s">
        <v>814</v>
      </c>
      <c r="N468" s="2" t="s">
        <v>118</v>
      </c>
      <c r="O468" s="26" t="s">
        <v>1981</v>
      </c>
      <c r="P468" s="2" t="s">
        <v>2664</v>
      </c>
      <c r="Q468" s="26" t="str">
        <f t="shared" si="528"/>
        <v>★5黄ユニットのうち1体が確定排出！_x000D_&lt;font color="#ffab27"&gt;※★6覚醒済、限定ユニット及び、2/21（火）以降に&lt;/font&gt;_x000D_&lt;font color="#ffab27"&gt;追加されたユニットは排出されません&lt;/font&gt;</v>
      </c>
      <c r="R468" s="49" t="s">
        <v>1826</v>
      </c>
    </row>
    <row r="469" spans="1:18" ht="21" customHeight="1" x14ac:dyDescent="0.15">
      <c r="A469" s="2">
        <f>A468+1</f>
        <v>7035</v>
      </c>
      <c r="B469" s="2">
        <v>3</v>
      </c>
      <c r="C469" s="18" t="s">
        <v>3187</v>
      </c>
      <c r="D469" s="2">
        <v>300</v>
      </c>
      <c r="E469" s="17" t="str">
        <f>VLOOKUP($D469,gacha_types!$A:$D,2,FALSE)</f>
        <v>polygon</v>
      </c>
      <c r="F469" s="17">
        <f>VLOOKUP($D469,gacha_types!$A:$D,3,FALSE)</f>
        <v>1</v>
      </c>
      <c r="G469" s="17">
        <f t="shared" si="529"/>
        <v>7035</v>
      </c>
      <c r="H469" s="69" t="s">
        <v>2357</v>
      </c>
      <c r="I469" s="23">
        <v>0</v>
      </c>
      <c r="J469" s="23">
        <f t="shared" si="530"/>
        <v>7035</v>
      </c>
      <c r="K469" s="23">
        <v>1</v>
      </c>
      <c r="L469" s="55" t="s">
        <v>813</v>
      </c>
      <c r="M469" s="55" t="s">
        <v>814</v>
      </c>
      <c r="N469" s="2" t="s">
        <v>118</v>
      </c>
      <c r="O469" s="26" t="s">
        <v>1977</v>
      </c>
      <c r="P469" s="2" t="s">
        <v>3193</v>
      </c>
      <c r="Q469" s="26" t="str">
        <f t="shared" ref="Q469:Q473" si="531">CONCATENATE(O469, CHAR(13),P469, CHAR(13),R469)</f>
        <v>★6覚醒済みユニットのうち一体が確定排出！_x000D_&lt;font color="#ffab27"&gt;※超覚醒済、限定ユニット及び、4/12（水）以降に&lt;/font&gt;_x000D_&lt;font color="#ffab27"&gt;追加されたユニットは排出されません&lt;/font&gt;</v>
      </c>
      <c r="R469" s="49" t="s">
        <v>1826</v>
      </c>
    </row>
    <row r="470" spans="1:18" ht="21" customHeight="1" x14ac:dyDescent="0.15">
      <c r="A470" s="2">
        <f>A469+1</f>
        <v>7036</v>
      </c>
      <c r="B470" s="2">
        <v>3</v>
      </c>
      <c r="C470" s="18" t="s">
        <v>3188</v>
      </c>
      <c r="D470" s="2">
        <v>300</v>
      </c>
      <c r="E470" s="17" t="str">
        <f>VLOOKUP($D470,gacha_types!$A:$D,2,FALSE)</f>
        <v>polygon</v>
      </c>
      <c r="F470" s="17">
        <f>VLOOKUP($D470,gacha_types!$A:$D,3,FALSE)</f>
        <v>1</v>
      </c>
      <c r="G470" s="17">
        <f t="shared" si="529"/>
        <v>7036</v>
      </c>
      <c r="H470" s="69" t="s">
        <v>2358</v>
      </c>
      <c r="I470" s="23">
        <v>0</v>
      </c>
      <c r="J470" s="23">
        <f t="shared" si="530"/>
        <v>7036</v>
      </c>
      <c r="K470" s="23">
        <v>1</v>
      </c>
      <c r="L470" s="55" t="s">
        <v>813</v>
      </c>
      <c r="M470" s="55" t="s">
        <v>814</v>
      </c>
      <c r="N470" s="2" t="s">
        <v>118</v>
      </c>
      <c r="O470" s="26" t="s">
        <v>2525</v>
      </c>
      <c r="P470" s="2" t="s">
        <v>3194</v>
      </c>
      <c r="Q470" s="26" t="str">
        <f t="shared" si="531"/>
        <v>★5赤ユニットのうち1体が確定排出！_x000D_&lt;font color="#ffab27"&gt;※★6覚醒済、限定ユニット及び、4/12（水）以降に&lt;/font&gt;_x000D_&lt;font color="#ffab27"&gt;追加されたユニットは排出されません&lt;/font&gt;</v>
      </c>
      <c r="R470" s="49" t="s">
        <v>1826</v>
      </c>
    </row>
    <row r="471" spans="1:18" ht="21" customHeight="1" x14ac:dyDescent="0.15">
      <c r="A471" s="2">
        <f>A470+1</f>
        <v>7037</v>
      </c>
      <c r="B471" s="2">
        <v>3</v>
      </c>
      <c r="C471" s="18" t="s">
        <v>3189</v>
      </c>
      <c r="D471" s="2">
        <v>300</v>
      </c>
      <c r="E471" s="17" t="str">
        <f>VLOOKUP($D471,gacha_types!$A:$D,2,FALSE)</f>
        <v>polygon</v>
      </c>
      <c r="F471" s="17">
        <f>VLOOKUP($D471,gacha_types!$A:$D,3,FALSE)</f>
        <v>1</v>
      </c>
      <c r="G471" s="17">
        <f t="shared" si="529"/>
        <v>7037</v>
      </c>
      <c r="H471" s="69" t="s">
        <v>2359</v>
      </c>
      <c r="I471" s="23">
        <v>0</v>
      </c>
      <c r="J471" s="23">
        <f t="shared" si="530"/>
        <v>7037</v>
      </c>
      <c r="K471" s="23">
        <v>1</v>
      </c>
      <c r="L471" s="55" t="s">
        <v>813</v>
      </c>
      <c r="M471" s="55" t="s">
        <v>814</v>
      </c>
      <c r="N471" s="2" t="s">
        <v>118</v>
      </c>
      <c r="O471" s="26" t="s">
        <v>2526</v>
      </c>
      <c r="P471" s="2" t="s">
        <v>3194</v>
      </c>
      <c r="Q471" s="26" t="str">
        <f t="shared" si="531"/>
        <v>★5青ユニットのうち1体が確定排出！_x000D_&lt;font color="#ffab27"&gt;※★6覚醒済、限定ユニット及び、4/12（水）以降に&lt;/font&gt;_x000D_&lt;font color="#ffab27"&gt;追加されたユニットは排出されません&lt;/font&gt;</v>
      </c>
      <c r="R471" s="49" t="s">
        <v>1826</v>
      </c>
    </row>
    <row r="472" spans="1:18" ht="21" customHeight="1" x14ac:dyDescent="0.15">
      <c r="A472" s="2">
        <f>A471+1</f>
        <v>7038</v>
      </c>
      <c r="B472" s="2">
        <v>3</v>
      </c>
      <c r="C472" s="18" t="s">
        <v>3190</v>
      </c>
      <c r="D472" s="2">
        <v>300</v>
      </c>
      <c r="E472" s="17" t="str">
        <f>VLOOKUP($D472,gacha_types!$A:$D,2,FALSE)</f>
        <v>polygon</v>
      </c>
      <c r="F472" s="17">
        <f>VLOOKUP($D472,gacha_types!$A:$D,3,FALSE)</f>
        <v>1</v>
      </c>
      <c r="G472" s="17">
        <f t="shared" si="529"/>
        <v>7038</v>
      </c>
      <c r="H472" s="69" t="s">
        <v>2360</v>
      </c>
      <c r="I472" s="23">
        <v>0</v>
      </c>
      <c r="J472" s="23">
        <f t="shared" si="530"/>
        <v>7038</v>
      </c>
      <c r="K472" s="23">
        <v>1</v>
      </c>
      <c r="L472" s="55" t="s">
        <v>813</v>
      </c>
      <c r="M472" s="55" t="s">
        <v>814</v>
      </c>
      <c r="N472" s="2" t="s">
        <v>118</v>
      </c>
      <c r="O472" s="26" t="s">
        <v>2527</v>
      </c>
      <c r="P472" s="2" t="s">
        <v>3194</v>
      </c>
      <c r="Q472" s="26" t="str">
        <f t="shared" si="531"/>
        <v>★5緑ユニットのうち1体が確定排出！_x000D_&lt;font color="#ffab27"&gt;※★6覚醒済、限定ユニット及び、4/12（水）以降に&lt;/font&gt;_x000D_&lt;font color="#ffab27"&gt;追加されたユニットは排出されません&lt;/font&gt;</v>
      </c>
      <c r="R472" s="49" t="s">
        <v>1826</v>
      </c>
    </row>
    <row r="473" spans="1:18" ht="21" customHeight="1" x14ac:dyDescent="0.15">
      <c r="A473" s="2">
        <f>A472+1</f>
        <v>7039</v>
      </c>
      <c r="B473" s="2">
        <v>3</v>
      </c>
      <c r="C473" s="18" t="s">
        <v>3191</v>
      </c>
      <c r="D473" s="2">
        <v>300</v>
      </c>
      <c r="E473" s="17" t="str">
        <f>VLOOKUP($D473,gacha_types!$A:$D,2,FALSE)</f>
        <v>polygon</v>
      </c>
      <c r="F473" s="17">
        <f>VLOOKUP($D473,gacha_types!$A:$D,3,FALSE)</f>
        <v>1</v>
      </c>
      <c r="G473" s="17">
        <f t="shared" ref="G473" si="532">A473</f>
        <v>7039</v>
      </c>
      <c r="H473" s="69" t="s">
        <v>2361</v>
      </c>
      <c r="I473" s="23">
        <v>0</v>
      </c>
      <c r="J473" s="23">
        <f t="shared" ref="J473" si="533">A473</f>
        <v>7039</v>
      </c>
      <c r="K473" s="23">
        <v>1</v>
      </c>
      <c r="L473" s="55" t="s">
        <v>813</v>
      </c>
      <c r="M473" s="55" t="s">
        <v>814</v>
      </c>
      <c r="N473" s="2" t="s">
        <v>118</v>
      </c>
      <c r="O473" s="26" t="s">
        <v>1981</v>
      </c>
      <c r="P473" s="2" t="s">
        <v>3194</v>
      </c>
      <c r="Q473" s="26" t="str">
        <f t="shared" si="531"/>
        <v>★5黄ユニットのうち1体が確定排出！_x000D_&lt;font color="#ffab27"&gt;※★6覚醒済、限定ユニット及び、4/12（水）以降に&lt;/font&gt;_x000D_&lt;font color="#ffab27"&gt;追加されたユニットは排出されません&lt;/font&gt;</v>
      </c>
      <c r="R473" s="49" t="s">
        <v>1826</v>
      </c>
    </row>
    <row r="474" spans="1:18" ht="21" customHeight="1" x14ac:dyDescent="0.15">
      <c r="A474" s="6">
        <v>7100</v>
      </c>
      <c r="B474" s="2">
        <v>3</v>
      </c>
      <c r="C474" s="18" t="s">
        <v>732</v>
      </c>
      <c r="D474" s="2">
        <v>300</v>
      </c>
      <c r="E474" s="17" t="str">
        <f>VLOOKUP($D474,gacha_types!$A:$D,2,FALSE)</f>
        <v>polygon</v>
      </c>
      <c r="F474" s="17">
        <f>VLOOKUP($D474,gacha_types!$A:$D,3,FALSE)</f>
        <v>1</v>
      </c>
      <c r="G474" s="17">
        <f t="shared" si="477"/>
        <v>7100</v>
      </c>
      <c r="H474" s="13" t="str">
        <f t="shared" si="478"/>
        <v>GachaTop_7100.png</v>
      </c>
      <c r="I474" s="23">
        <v>0</v>
      </c>
      <c r="J474" s="23">
        <f t="shared" si="479"/>
        <v>7100</v>
      </c>
      <c r="K474" s="23">
        <v>1</v>
      </c>
      <c r="L474" s="55" t="s">
        <v>813</v>
      </c>
      <c r="M474" s="55" t="s">
        <v>814</v>
      </c>
      <c r="N474" s="2" t="s">
        <v>118</v>
      </c>
      <c r="O474" s="26" t="s">
        <v>338</v>
      </c>
      <c r="P474" s="2" t="s">
        <v>777</v>
      </c>
      <c r="Q474" s="50" t="s">
        <v>1060</v>
      </c>
    </row>
    <row r="475" spans="1:18" ht="21" customHeight="1" x14ac:dyDescent="0.15">
      <c r="A475" s="2">
        <f t="shared" ref="A475:A485" si="534">A474+1</f>
        <v>7101</v>
      </c>
      <c r="B475" s="2">
        <v>3</v>
      </c>
      <c r="C475" s="18" t="s">
        <v>824</v>
      </c>
      <c r="D475" s="2">
        <v>300</v>
      </c>
      <c r="E475" s="17" t="str">
        <f>VLOOKUP($D475,gacha_types!$A:$D,2,FALSE)</f>
        <v>polygon</v>
      </c>
      <c r="F475" s="17">
        <f>VLOOKUP($D475,gacha_types!$A:$D,3,FALSE)</f>
        <v>1</v>
      </c>
      <c r="G475" s="17">
        <f t="shared" ref="G475" si="535">A475</f>
        <v>7101</v>
      </c>
      <c r="H475" s="69" t="str">
        <f>H474</f>
        <v>GachaTop_7100.png</v>
      </c>
      <c r="I475" s="23">
        <v>0</v>
      </c>
      <c r="J475" s="23">
        <f t="shared" ref="J475" si="536">A475</f>
        <v>7101</v>
      </c>
      <c r="K475" s="23">
        <v>1</v>
      </c>
      <c r="L475" s="55" t="s">
        <v>813</v>
      </c>
      <c r="M475" s="55" t="s">
        <v>814</v>
      </c>
      <c r="N475" s="2" t="s">
        <v>118</v>
      </c>
      <c r="O475" s="26" t="s">
        <v>337</v>
      </c>
      <c r="P475" s="2" t="s">
        <v>777</v>
      </c>
      <c r="Q475" s="50" t="s">
        <v>1060</v>
      </c>
    </row>
    <row r="476" spans="1:18" ht="21" customHeight="1" x14ac:dyDescent="0.15">
      <c r="A476" s="2">
        <f t="shared" si="534"/>
        <v>7102</v>
      </c>
      <c r="B476" s="2">
        <v>3</v>
      </c>
      <c r="C476" s="18" t="s">
        <v>825</v>
      </c>
      <c r="D476" s="2">
        <v>300</v>
      </c>
      <c r="E476" s="17" t="str">
        <f>VLOOKUP($D476,gacha_types!$A:$D,2,FALSE)</f>
        <v>polygon</v>
      </c>
      <c r="F476" s="17">
        <f>VLOOKUP($D476,gacha_types!$A:$D,3,FALSE)</f>
        <v>1</v>
      </c>
      <c r="G476" s="17">
        <f t="shared" ref="G476" si="537">A476</f>
        <v>7102</v>
      </c>
      <c r="H476" s="69" t="str">
        <f>H475</f>
        <v>GachaTop_7100.png</v>
      </c>
      <c r="I476" s="23">
        <v>0</v>
      </c>
      <c r="J476" s="23">
        <f t="shared" ref="J476" si="538">A476</f>
        <v>7102</v>
      </c>
      <c r="K476" s="23">
        <v>1</v>
      </c>
      <c r="L476" s="55" t="s">
        <v>813</v>
      </c>
      <c r="M476" s="55" t="s">
        <v>814</v>
      </c>
      <c r="N476" s="2" t="s">
        <v>118</v>
      </c>
      <c r="O476" s="26" t="s">
        <v>337</v>
      </c>
      <c r="P476" s="2" t="s">
        <v>777</v>
      </c>
      <c r="Q476" s="50" t="s">
        <v>1060</v>
      </c>
    </row>
    <row r="477" spans="1:18" ht="21" customHeight="1" x14ac:dyDescent="0.15">
      <c r="A477" s="2">
        <f t="shared" si="534"/>
        <v>7103</v>
      </c>
      <c r="B477" s="2">
        <v>3</v>
      </c>
      <c r="C477" s="18" t="s">
        <v>881</v>
      </c>
      <c r="D477" s="2">
        <v>300</v>
      </c>
      <c r="E477" s="17" t="str">
        <f>VLOOKUP($D477,gacha_types!$A:$D,2,FALSE)</f>
        <v>polygon</v>
      </c>
      <c r="F477" s="17">
        <f>VLOOKUP($D477,gacha_types!$A:$D,3,FALSE)</f>
        <v>1</v>
      </c>
      <c r="G477" s="17">
        <f t="shared" ref="G477" si="539">A477</f>
        <v>7103</v>
      </c>
      <c r="H477" s="69" t="str">
        <f>H476</f>
        <v>GachaTop_7100.png</v>
      </c>
      <c r="I477" s="23">
        <v>0</v>
      </c>
      <c r="J477" s="23">
        <f t="shared" ref="J477" si="540">A477</f>
        <v>7103</v>
      </c>
      <c r="K477" s="23">
        <v>1</v>
      </c>
      <c r="L477" s="55" t="s">
        <v>813</v>
      </c>
      <c r="M477" s="55" t="s">
        <v>814</v>
      </c>
      <c r="N477" s="2" t="s">
        <v>118</v>
      </c>
      <c r="O477" s="26" t="s">
        <v>337</v>
      </c>
      <c r="P477" s="2" t="s">
        <v>777</v>
      </c>
      <c r="Q477" s="50" t="s">
        <v>1060</v>
      </c>
    </row>
    <row r="478" spans="1:18" ht="21" customHeight="1" x14ac:dyDescent="0.15">
      <c r="A478" s="2">
        <f t="shared" si="534"/>
        <v>7104</v>
      </c>
      <c r="B478" s="18">
        <v>3</v>
      </c>
      <c r="C478" s="18" t="s">
        <v>913</v>
      </c>
      <c r="D478" s="2">
        <v>300</v>
      </c>
      <c r="E478" s="17" t="str">
        <f>VLOOKUP($D478,gacha_types!$A:$D,2,FALSE)</f>
        <v>polygon</v>
      </c>
      <c r="F478" s="17">
        <f>VLOOKUP($D478,gacha_types!$A:$D,3,FALSE)</f>
        <v>1</v>
      </c>
      <c r="G478" s="17">
        <f t="shared" ref="G478" si="541">A478</f>
        <v>7104</v>
      </c>
      <c r="H478" s="69" t="str">
        <f>H477</f>
        <v>GachaTop_7100.png</v>
      </c>
      <c r="I478" s="23">
        <v>0</v>
      </c>
      <c r="J478" s="23">
        <f t="shared" ref="J478" si="542">A478</f>
        <v>7104</v>
      </c>
      <c r="K478" s="23">
        <v>1</v>
      </c>
      <c r="L478" s="55" t="s">
        <v>813</v>
      </c>
      <c r="M478" s="55" t="s">
        <v>814</v>
      </c>
      <c r="N478" s="2" t="s">
        <v>118</v>
      </c>
      <c r="O478" s="26" t="s">
        <v>337</v>
      </c>
      <c r="P478" s="2" t="s">
        <v>777</v>
      </c>
      <c r="Q478" s="50" t="s">
        <v>1060</v>
      </c>
    </row>
    <row r="479" spans="1:18" ht="21" customHeight="1" x14ac:dyDescent="0.15">
      <c r="A479" s="2">
        <f t="shared" si="534"/>
        <v>7105</v>
      </c>
      <c r="B479" s="18">
        <v>3</v>
      </c>
      <c r="C479" s="18" t="s">
        <v>1043</v>
      </c>
      <c r="D479" s="2">
        <v>300</v>
      </c>
      <c r="E479" s="17" t="str">
        <f>VLOOKUP($D479,gacha_types!$A:$D,2,FALSE)</f>
        <v>polygon</v>
      </c>
      <c r="F479" s="17">
        <f>VLOOKUP($D479,gacha_types!$A:$D,3,FALSE)</f>
        <v>1</v>
      </c>
      <c r="G479" s="17">
        <f t="shared" ref="G479" si="543">A479</f>
        <v>7105</v>
      </c>
      <c r="H479" s="69" t="str">
        <f>H478</f>
        <v>GachaTop_7100.png</v>
      </c>
      <c r="I479" s="23">
        <v>0</v>
      </c>
      <c r="J479" s="23">
        <f t="shared" ref="J479" si="544">A479</f>
        <v>7105</v>
      </c>
      <c r="K479" s="23">
        <v>1</v>
      </c>
      <c r="L479" s="55" t="s">
        <v>813</v>
      </c>
      <c r="M479" s="55" t="s">
        <v>814</v>
      </c>
      <c r="N479" s="2" t="s">
        <v>118</v>
      </c>
      <c r="O479" s="26" t="s">
        <v>1061</v>
      </c>
      <c r="P479" s="2" t="s">
        <v>777</v>
      </c>
      <c r="Q479" s="50" t="s">
        <v>1060</v>
      </c>
    </row>
    <row r="480" spans="1:18" ht="21" customHeight="1" x14ac:dyDescent="0.15">
      <c r="A480" s="2">
        <f t="shared" si="534"/>
        <v>7106</v>
      </c>
      <c r="B480" s="18">
        <v>3</v>
      </c>
      <c r="C480" s="18" t="s">
        <v>1099</v>
      </c>
      <c r="D480" s="2">
        <v>300</v>
      </c>
      <c r="E480" s="17" t="str">
        <f>VLOOKUP($D480,gacha_types!$A:$D,2,FALSE)</f>
        <v>polygon</v>
      </c>
      <c r="F480" s="17">
        <f>VLOOKUP($D480,gacha_types!$A:$D,3,FALSE)</f>
        <v>1</v>
      </c>
      <c r="G480" s="17">
        <f t="shared" ref="G480" si="545">A480</f>
        <v>7106</v>
      </c>
      <c r="H480" s="13" t="str">
        <f t="shared" si="478"/>
        <v>GachaTop_7106.png</v>
      </c>
      <c r="I480" s="23">
        <v>0</v>
      </c>
      <c r="J480" s="23">
        <f t="shared" ref="J480" si="546">A480</f>
        <v>7106</v>
      </c>
      <c r="K480" s="23">
        <v>1</v>
      </c>
      <c r="L480" s="55" t="s">
        <v>813</v>
      </c>
      <c r="M480" s="55" t="s">
        <v>814</v>
      </c>
      <c r="N480" s="2" t="s">
        <v>118</v>
      </c>
      <c r="O480" s="26" t="s">
        <v>1061</v>
      </c>
      <c r="P480" s="2" t="s">
        <v>777</v>
      </c>
      <c r="Q480" s="50" t="s">
        <v>1060</v>
      </c>
    </row>
    <row r="481" spans="1:18" ht="21" customHeight="1" x14ac:dyDescent="0.15">
      <c r="A481" s="2">
        <f t="shared" si="534"/>
        <v>7107</v>
      </c>
      <c r="B481" s="18">
        <v>3</v>
      </c>
      <c r="C481" s="18" t="s">
        <v>1132</v>
      </c>
      <c r="D481" s="2">
        <v>300</v>
      </c>
      <c r="E481" s="17" t="str">
        <f>VLOOKUP($D481,gacha_types!$A:$D,2,FALSE)</f>
        <v>polygon</v>
      </c>
      <c r="F481" s="17">
        <f>VLOOKUP($D481,gacha_types!$A:$D,3,FALSE)</f>
        <v>1</v>
      </c>
      <c r="G481" s="17">
        <f t="shared" ref="G481:G482" si="547">A481</f>
        <v>7107</v>
      </c>
      <c r="H481" s="69" t="str">
        <f>H480</f>
        <v>GachaTop_7106.png</v>
      </c>
      <c r="I481" s="23">
        <v>0</v>
      </c>
      <c r="J481" s="23">
        <f t="shared" ref="J481:J482" si="548">A481</f>
        <v>7107</v>
      </c>
      <c r="K481" s="23">
        <v>1</v>
      </c>
      <c r="L481" s="55" t="s">
        <v>813</v>
      </c>
      <c r="M481" s="55" t="s">
        <v>814</v>
      </c>
      <c r="N481" s="2" t="s">
        <v>118</v>
      </c>
      <c r="O481" s="26" t="s">
        <v>1061</v>
      </c>
      <c r="P481" s="2" t="s">
        <v>777</v>
      </c>
      <c r="Q481" s="50" t="s">
        <v>1060</v>
      </c>
    </row>
    <row r="482" spans="1:18" ht="21" customHeight="1" x14ac:dyDescent="0.15">
      <c r="A482" s="2">
        <f t="shared" si="534"/>
        <v>7108</v>
      </c>
      <c r="B482" s="18">
        <v>3</v>
      </c>
      <c r="C482" s="18" t="s">
        <v>1306</v>
      </c>
      <c r="D482" s="2">
        <v>300</v>
      </c>
      <c r="E482" s="17" t="str">
        <f>VLOOKUP($D482,gacha_types!$A:$D,2,FALSE)</f>
        <v>polygon</v>
      </c>
      <c r="F482" s="17">
        <f>VLOOKUP($D482,gacha_types!$A:$D,3,FALSE)</f>
        <v>1</v>
      </c>
      <c r="G482" s="17">
        <f t="shared" si="547"/>
        <v>7108</v>
      </c>
      <c r="H482" s="69" t="str">
        <f>H480</f>
        <v>GachaTop_7106.png</v>
      </c>
      <c r="I482" s="23">
        <v>0</v>
      </c>
      <c r="J482" s="23">
        <f t="shared" si="548"/>
        <v>7108</v>
      </c>
      <c r="K482" s="23">
        <v>1</v>
      </c>
      <c r="L482" s="55" t="s">
        <v>813</v>
      </c>
      <c r="M482" s="55" t="s">
        <v>814</v>
      </c>
      <c r="N482" s="2" t="s">
        <v>118</v>
      </c>
      <c r="O482" s="26" t="s">
        <v>509</v>
      </c>
      <c r="P482" s="2" t="s">
        <v>777</v>
      </c>
      <c r="Q482" s="50" t="s">
        <v>1060</v>
      </c>
    </row>
    <row r="483" spans="1:18" ht="21" customHeight="1" x14ac:dyDescent="0.15">
      <c r="A483" s="2">
        <f t="shared" si="534"/>
        <v>7109</v>
      </c>
      <c r="B483" s="18">
        <v>3</v>
      </c>
      <c r="C483" s="18" t="s">
        <v>1299</v>
      </c>
      <c r="D483" s="2">
        <v>300</v>
      </c>
      <c r="E483" s="17" t="str">
        <f>VLOOKUP($D483,gacha_types!$A:$D,2,FALSE)</f>
        <v>polygon</v>
      </c>
      <c r="F483" s="17">
        <f>VLOOKUP($D483,gacha_types!$A:$D,3,FALSE)</f>
        <v>1</v>
      </c>
      <c r="G483" s="17">
        <f t="shared" ref="G483" si="549">A483</f>
        <v>7109</v>
      </c>
      <c r="H483" s="69" t="str">
        <f>H481</f>
        <v>GachaTop_7106.png</v>
      </c>
      <c r="I483" s="23">
        <v>0</v>
      </c>
      <c r="J483" s="23">
        <f t="shared" ref="J483" si="550">A483</f>
        <v>7109</v>
      </c>
      <c r="K483" s="23">
        <v>1</v>
      </c>
      <c r="L483" s="55" t="s">
        <v>813</v>
      </c>
      <c r="M483" s="55" t="s">
        <v>814</v>
      </c>
      <c r="N483" s="2" t="s">
        <v>118</v>
      </c>
      <c r="O483" s="26" t="s">
        <v>509</v>
      </c>
      <c r="P483" s="2" t="s">
        <v>777</v>
      </c>
      <c r="Q483" s="50" t="s">
        <v>1060</v>
      </c>
    </row>
    <row r="484" spans="1:18" ht="21" customHeight="1" x14ac:dyDescent="0.15">
      <c r="A484" s="2">
        <f t="shared" si="534"/>
        <v>7110</v>
      </c>
      <c r="B484" s="18">
        <v>3</v>
      </c>
      <c r="C484" s="18" t="s">
        <v>1300</v>
      </c>
      <c r="D484" s="2">
        <v>300</v>
      </c>
      <c r="E484" s="17" t="str">
        <f>VLOOKUP($D484,gacha_types!$A:$D,2,FALSE)</f>
        <v>polygon</v>
      </c>
      <c r="F484" s="17">
        <f>VLOOKUP($D484,gacha_types!$A:$D,3,FALSE)</f>
        <v>1</v>
      </c>
      <c r="G484" s="17">
        <f t="shared" ref="G484" si="551">A484</f>
        <v>7110</v>
      </c>
      <c r="H484" s="69" t="str">
        <f>H483</f>
        <v>GachaTop_7106.png</v>
      </c>
      <c r="I484" s="23">
        <v>0</v>
      </c>
      <c r="J484" s="23">
        <f t="shared" ref="J484" si="552">A484</f>
        <v>7110</v>
      </c>
      <c r="K484" s="23">
        <v>1</v>
      </c>
      <c r="L484" s="55" t="s">
        <v>813</v>
      </c>
      <c r="M484" s="55" t="s">
        <v>814</v>
      </c>
      <c r="N484" s="2" t="s">
        <v>118</v>
      </c>
      <c r="O484" s="26" t="s">
        <v>509</v>
      </c>
      <c r="P484" s="2" t="s">
        <v>777</v>
      </c>
      <c r="Q484" s="50" t="s">
        <v>1060</v>
      </c>
    </row>
    <row r="485" spans="1:18" ht="21" customHeight="1" x14ac:dyDescent="0.15">
      <c r="A485" s="2">
        <f t="shared" si="534"/>
        <v>7111</v>
      </c>
      <c r="B485" s="18">
        <v>3</v>
      </c>
      <c r="C485" s="18" t="s">
        <v>1360</v>
      </c>
      <c r="D485" s="2">
        <v>300</v>
      </c>
      <c r="E485" s="17" t="str">
        <f>VLOOKUP($D485,gacha_types!$A:$D,2,FALSE)</f>
        <v>polygon</v>
      </c>
      <c r="F485" s="17">
        <f>VLOOKUP($D485,gacha_types!$A:$D,3,FALSE)</f>
        <v>1</v>
      </c>
      <c r="G485" s="17">
        <f t="shared" ref="G485" si="553">A485</f>
        <v>7111</v>
      </c>
      <c r="H485" s="69" t="str">
        <f>H484</f>
        <v>GachaTop_7106.png</v>
      </c>
      <c r="I485" s="23">
        <v>0</v>
      </c>
      <c r="J485" s="23">
        <f t="shared" ref="J485" si="554">A485</f>
        <v>7111</v>
      </c>
      <c r="K485" s="23">
        <v>1</v>
      </c>
      <c r="L485" s="55" t="s">
        <v>813</v>
      </c>
      <c r="M485" s="55" t="s">
        <v>814</v>
      </c>
      <c r="N485" s="2" t="s">
        <v>118</v>
      </c>
      <c r="O485" s="26" t="s">
        <v>509</v>
      </c>
      <c r="P485" s="2" t="s">
        <v>777</v>
      </c>
      <c r="Q485" s="50" t="s">
        <v>1363</v>
      </c>
    </row>
    <row r="486" spans="1:18" ht="21" customHeight="1" x14ac:dyDescent="0.15">
      <c r="A486" s="2">
        <f t="shared" ref="A486:A503" si="555">A485+1</f>
        <v>7112</v>
      </c>
      <c r="B486" s="18">
        <v>3</v>
      </c>
      <c r="C486" s="18" t="s">
        <v>1378</v>
      </c>
      <c r="D486" s="2">
        <v>300</v>
      </c>
      <c r="E486" s="17" t="str">
        <f>VLOOKUP($D486,gacha_types!$A:$D,2,FALSE)</f>
        <v>polygon</v>
      </c>
      <c r="F486" s="17">
        <f>VLOOKUP($D486,gacha_types!$A:$D,3,FALSE)</f>
        <v>1</v>
      </c>
      <c r="G486" s="17">
        <f t="shared" ref="G486" si="556">A486</f>
        <v>7112</v>
      </c>
      <c r="H486" s="69" t="str">
        <f>H485</f>
        <v>GachaTop_7106.png</v>
      </c>
      <c r="I486" s="23">
        <v>0</v>
      </c>
      <c r="J486" s="23">
        <f t="shared" ref="J486:J491" si="557">A486</f>
        <v>7112</v>
      </c>
      <c r="K486" s="23">
        <v>1</v>
      </c>
      <c r="L486" s="55" t="s">
        <v>813</v>
      </c>
      <c r="M486" s="55" t="s">
        <v>814</v>
      </c>
      <c r="N486" s="2" t="s">
        <v>118</v>
      </c>
      <c r="O486" s="26" t="s">
        <v>509</v>
      </c>
      <c r="P486" s="2" t="s">
        <v>777</v>
      </c>
      <c r="Q486" s="50" t="s">
        <v>1363</v>
      </c>
    </row>
    <row r="487" spans="1:18" ht="21" customHeight="1" x14ac:dyDescent="0.15">
      <c r="A487" s="2">
        <f t="shared" si="555"/>
        <v>7113</v>
      </c>
      <c r="B487" s="18">
        <v>3</v>
      </c>
      <c r="C487" s="18" t="s">
        <v>1410</v>
      </c>
      <c r="D487" s="2">
        <v>300</v>
      </c>
      <c r="E487" s="17" t="str">
        <f>VLOOKUP($D487,gacha_types!$A:$D,2,FALSE)</f>
        <v>polygon</v>
      </c>
      <c r="F487" s="17">
        <f>VLOOKUP($D487,gacha_types!$A:$D,3,FALSE)</f>
        <v>1</v>
      </c>
      <c r="G487" s="17">
        <f t="shared" ref="G487" si="558">A487</f>
        <v>7113</v>
      </c>
      <c r="H487" s="13" t="str">
        <f t="shared" si="478"/>
        <v>GachaTop_7113.png</v>
      </c>
      <c r="I487" s="23">
        <v>0</v>
      </c>
      <c r="J487" s="23">
        <f t="shared" si="557"/>
        <v>7113</v>
      </c>
      <c r="K487" s="23">
        <v>1</v>
      </c>
      <c r="L487" s="55" t="s">
        <v>813</v>
      </c>
      <c r="M487" s="55" t="s">
        <v>814</v>
      </c>
      <c r="N487" s="2" t="s">
        <v>118</v>
      </c>
      <c r="O487" s="26" t="s">
        <v>741</v>
      </c>
      <c r="P487" s="2" t="s">
        <v>777</v>
      </c>
      <c r="Q487" s="50" t="s">
        <v>1363</v>
      </c>
    </row>
    <row r="488" spans="1:18" ht="21" customHeight="1" x14ac:dyDescent="0.15">
      <c r="A488" s="2">
        <f t="shared" si="555"/>
        <v>7114</v>
      </c>
      <c r="B488" s="18">
        <v>3</v>
      </c>
      <c r="C488" s="18" t="s">
        <v>1453</v>
      </c>
      <c r="D488" s="2">
        <v>300</v>
      </c>
      <c r="E488" s="17" t="str">
        <f>VLOOKUP($D488,gacha_types!$A:$D,2,FALSE)</f>
        <v>polygon</v>
      </c>
      <c r="F488" s="17">
        <f>VLOOKUP($D488,gacha_types!$A:$D,3,FALSE)</f>
        <v>1</v>
      </c>
      <c r="G488" s="17">
        <f t="shared" ref="G488" si="559">A488</f>
        <v>7114</v>
      </c>
      <c r="H488" s="69" t="str">
        <f t="shared" ref="H488:H494" si="560">H487</f>
        <v>GachaTop_7113.png</v>
      </c>
      <c r="I488" s="23">
        <v>0</v>
      </c>
      <c r="J488" s="23">
        <f t="shared" si="557"/>
        <v>7114</v>
      </c>
      <c r="K488" s="23">
        <v>1</v>
      </c>
      <c r="L488" s="55" t="s">
        <v>813</v>
      </c>
      <c r="M488" s="55" t="s">
        <v>814</v>
      </c>
      <c r="N488" s="2" t="s">
        <v>118</v>
      </c>
      <c r="O488" s="26" t="s">
        <v>741</v>
      </c>
      <c r="P488" s="2" t="s">
        <v>777</v>
      </c>
      <c r="Q488" s="50" t="s">
        <v>1363</v>
      </c>
    </row>
    <row r="489" spans="1:18" ht="21" customHeight="1" x14ac:dyDescent="0.15">
      <c r="A489" s="2">
        <f t="shared" si="555"/>
        <v>7115</v>
      </c>
      <c r="B489" s="18">
        <v>3</v>
      </c>
      <c r="C489" s="18" t="s">
        <v>1489</v>
      </c>
      <c r="D489" s="2">
        <v>300</v>
      </c>
      <c r="E489" s="17" t="str">
        <f>VLOOKUP($D489,gacha_types!$A:$D,2,FALSE)</f>
        <v>polygon</v>
      </c>
      <c r="F489" s="17">
        <f>VLOOKUP($D489,gacha_types!$A:$D,3,FALSE)</f>
        <v>1</v>
      </c>
      <c r="G489" s="17">
        <f t="shared" ref="G489" si="561">A489</f>
        <v>7115</v>
      </c>
      <c r="H489" s="69" t="str">
        <f t="shared" si="560"/>
        <v>GachaTop_7113.png</v>
      </c>
      <c r="I489" s="23">
        <v>0</v>
      </c>
      <c r="J489" s="23">
        <f t="shared" si="557"/>
        <v>7115</v>
      </c>
      <c r="K489" s="23">
        <v>1</v>
      </c>
      <c r="L489" s="55" t="s">
        <v>813</v>
      </c>
      <c r="M489" s="55" t="s">
        <v>814</v>
      </c>
      <c r="N489" s="2" t="s">
        <v>118</v>
      </c>
      <c r="O489" s="26" t="s">
        <v>338</v>
      </c>
      <c r="P489" s="2" t="s">
        <v>777</v>
      </c>
      <c r="Q489" s="50" t="s">
        <v>1363</v>
      </c>
    </row>
    <row r="490" spans="1:18" ht="21" customHeight="1" x14ac:dyDescent="0.15">
      <c r="A490" s="2">
        <f t="shared" si="555"/>
        <v>7116</v>
      </c>
      <c r="B490" s="18">
        <v>3</v>
      </c>
      <c r="C490" s="18" t="s">
        <v>1499</v>
      </c>
      <c r="D490" s="2">
        <v>300</v>
      </c>
      <c r="E490" s="17" t="str">
        <f>VLOOKUP($D490,gacha_types!$A:$D,2,FALSE)</f>
        <v>polygon</v>
      </c>
      <c r="F490" s="17">
        <f>VLOOKUP($D490,gacha_types!$A:$D,3,FALSE)</f>
        <v>1</v>
      </c>
      <c r="G490" s="17">
        <f t="shared" ref="G490" si="562">A490</f>
        <v>7116</v>
      </c>
      <c r="H490" s="69" t="str">
        <f t="shared" si="560"/>
        <v>GachaTop_7113.png</v>
      </c>
      <c r="I490" s="23">
        <v>0</v>
      </c>
      <c r="J490" s="23">
        <f t="shared" si="557"/>
        <v>7116</v>
      </c>
      <c r="K490" s="23">
        <v>1</v>
      </c>
      <c r="L490" s="55" t="s">
        <v>813</v>
      </c>
      <c r="M490" s="55" t="s">
        <v>814</v>
      </c>
      <c r="N490" s="2" t="s">
        <v>118</v>
      </c>
      <c r="O490" s="26" t="s">
        <v>337</v>
      </c>
      <c r="P490" s="2" t="s">
        <v>777</v>
      </c>
      <c r="Q490" s="50" t="s">
        <v>1363</v>
      </c>
    </row>
    <row r="491" spans="1:18" ht="21" customHeight="1" x14ac:dyDescent="0.15">
      <c r="A491" s="2">
        <f t="shared" si="555"/>
        <v>7117</v>
      </c>
      <c r="B491" s="18">
        <v>3</v>
      </c>
      <c r="C491" s="18" t="s">
        <v>1527</v>
      </c>
      <c r="D491" s="2">
        <v>300</v>
      </c>
      <c r="E491" s="17" t="str">
        <f>VLOOKUP($D491,gacha_types!$A:$D,2,FALSE)</f>
        <v>polygon</v>
      </c>
      <c r="F491" s="17">
        <f>VLOOKUP($D491,gacha_types!$A:$D,3,FALSE)</f>
        <v>1</v>
      </c>
      <c r="G491" s="17">
        <f t="shared" ref="G491" si="563">A491</f>
        <v>7117</v>
      </c>
      <c r="H491" s="69" t="str">
        <f t="shared" si="560"/>
        <v>GachaTop_7113.png</v>
      </c>
      <c r="I491" s="23">
        <v>0</v>
      </c>
      <c r="J491" s="23">
        <f t="shared" si="557"/>
        <v>7117</v>
      </c>
      <c r="K491" s="23">
        <v>1</v>
      </c>
      <c r="L491" s="55" t="s">
        <v>813</v>
      </c>
      <c r="M491" s="55" t="s">
        <v>814</v>
      </c>
      <c r="N491" s="2" t="s">
        <v>118</v>
      </c>
      <c r="O491" s="26" t="s">
        <v>337</v>
      </c>
      <c r="P491" s="2" t="s">
        <v>777</v>
      </c>
      <c r="Q491" s="50" t="s">
        <v>1363</v>
      </c>
    </row>
    <row r="492" spans="1:18" ht="21" customHeight="1" x14ac:dyDescent="0.15">
      <c r="A492" s="2">
        <f t="shared" si="555"/>
        <v>7118</v>
      </c>
      <c r="B492" s="18">
        <v>3</v>
      </c>
      <c r="C492" s="18" t="s">
        <v>1686</v>
      </c>
      <c r="D492" s="2">
        <v>300</v>
      </c>
      <c r="E492" s="17" t="str">
        <f>VLOOKUP($D492,gacha_types!$A:$D,2,FALSE)</f>
        <v>polygon</v>
      </c>
      <c r="F492" s="17">
        <f>VLOOKUP($D492,gacha_types!$A:$D,3,FALSE)</f>
        <v>1</v>
      </c>
      <c r="G492" s="17">
        <f t="shared" ref="G492" si="564">A492</f>
        <v>7118</v>
      </c>
      <c r="H492" s="69" t="str">
        <f t="shared" si="560"/>
        <v>GachaTop_7113.png</v>
      </c>
      <c r="I492" s="23">
        <v>0</v>
      </c>
      <c r="J492" s="23">
        <f t="shared" ref="J492" si="565">A492</f>
        <v>7118</v>
      </c>
      <c r="K492" s="23">
        <v>1</v>
      </c>
      <c r="L492" s="55" t="s">
        <v>813</v>
      </c>
      <c r="M492" s="55" t="s">
        <v>814</v>
      </c>
      <c r="N492" s="2" t="s">
        <v>118</v>
      </c>
      <c r="O492" s="26" t="s">
        <v>337</v>
      </c>
      <c r="P492" s="2" t="s">
        <v>777</v>
      </c>
      <c r="Q492" s="50" t="s">
        <v>1363</v>
      </c>
    </row>
    <row r="493" spans="1:18" ht="21" customHeight="1" x14ac:dyDescent="0.15">
      <c r="A493" s="2">
        <f t="shared" si="555"/>
        <v>7119</v>
      </c>
      <c r="B493" s="18">
        <v>3</v>
      </c>
      <c r="C493" s="18" t="s">
        <v>1755</v>
      </c>
      <c r="D493" s="2">
        <v>300</v>
      </c>
      <c r="E493" s="17" t="str">
        <f>VLOOKUP($D493,gacha_types!$A:$D,2,FALSE)</f>
        <v>polygon</v>
      </c>
      <c r="F493" s="17">
        <f>VLOOKUP($D493,gacha_types!$A:$D,3,FALSE)</f>
        <v>1</v>
      </c>
      <c r="G493" s="17">
        <f t="shared" ref="G493" si="566">A493</f>
        <v>7119</v>
      </c>
      <c r="H493" s="69" t="str">
        <f t="shared" si="560"/>
        <v>GachaTop_7113.png</v>
      </c>
      <c r="I493" s="23">
        <v>0</v>
      </c>
      <c r="J493" s="23">
        <f t="shared" ref="J493" si="567">A493</f>
        <v>7119</v>
      </c>
      <c r="K493" s="23">
        <v>1</v>
      </c>
      <c r="L493" s="55" t="s">
        <v>813</v>
      </c>
      <c r="M493" s="55" t="s">
        <v>814</v>
      </c>
      <c r="N493" s="2" t="s">
        <v>118</v>
      </c>
      <c r="O493" s="26" t="s">
        <v>337</v>
      </c>
      <c r="P493" s="2" t="s">
        <v>777</v>
      </c>
      <c r="Q493" s="50" t="s">
        <v>1363</v>
      </c>
    </row>
    <row r="494" spans="1:18" ht="21" customHeight="1" x14ac:dyDescent="0.15">
      <c r="A494" s="2">
        <f t="shared" si="555"/>
        <v>7120</v>
      </c>
      <c r="B494" s="18">
        <v>3</v>
      </c>
      <c r="C494" s="18" t="s">
        <v>1895</v>
      </c>
      <c r="D494" s="2">
        <v>300</v>
      </c>
      <c r="E494" s="17" t="str">
        <f>VLOOKUP($D494,gacha_types!$A:$D,2,FALSE)</f>
        <v>polygon</v>
      </c>
      <c r="F494" s="17">
        <f>VLOOKUP($D494,gacha_types!$A:$D,3,FALSE)</f>
        <v>1</v>
      </c>
      <c r="G494" s="17">
        <f t="shared" ref="G494" si="568">A494</f>
        <v>7120</v>
      </c>
      <c r="H494" s="69" t="str">
        <f t="shared" si="560"/>
        <v>GachaTop_7113.png</v>
      </c>
      <c r="I494" s="23">
        <v>0</v>
      </c>
      <c r="J494" s="23">
        <f t="shared" ref="J494" si="569">A494</f>
        <v>7120</v>
      </c>
      <c r="K494" s="23">
        <v>1</v>
      </c>
      <c r="L494" s="55" t="s">
        <v>813</v>
      </c>
      <c r="M494" s="55" t="s">
        <v>814</v>
      </c>
      <c r="N494" s="2" t="s">
        <v>118</v>
      </c>
      <c r="O494" s="26" t="s">
        <v>337</v>
      </c>
      <c r="P494" s="2" t="s">
        <v>777</v>
      </c>
      <c r="Q494" s="50" t="s">
        <v>1363</v>
      </c>
    </row>
    <row r="495" spans="1:18" ht="42" x14ac:dyDescent="0.15">
      <c r="A495" s="2">
        <f t="shared" si="555"/>
        <v>7121</v>
      </c>
      <c r="B495" s="18">
        <v>3</v>
      </c>
      <c r="C495" s="18" t="s">
        <v>1988</v>
      </c>
      <c r="D495" s="2">
        <v>300</v>
      </c>
      <c r="E495" s="17" t="str">
        <f>VLOOKUP($D495,gacha_types!$A:$D,2,FALSE)</f>
        <v>polygon</v>
      </c>
      <c r="F495" s="17">
        <f>VLOOKUP($D495,gacha_types!$A:$D,3,FALSE)</f>
        <v>1</v>
      </c>
      <c r="G495" s="17">
        <f t="shared" ref="G495:G498" si="570">A495</f>
        <v>7121</v>
      </c>
      <c r="H495" s="13" t="str">
        <f t="shared" ref="H495:H498" si="571">"GachaTop_"&amp;A495&amp;".png"</f>
        <v>GachaTop_7121.png</v>
      </c>
      <c r="I495" s="23">
        <v>0</v>
      </c>
      <c r="J495" s="23">
        <f t="shared" ref="J495:J498" si="572">A495</f>
        <v>7121</v>
      </c>
      <c r="K495" s="23">
        <v>1</v>
      </c>
      <c r="L495" s="55" t="s">
        <v>813</v>
      </c>
      <c r="M495" s="55" t="s">
        <v>814</v>
      </c>
      <c r="N495" s="2" t="s">
        <v>118</v>
      </c>
      <c r="O495" s="26" t="s">
        <v>1992</v>
      </c>
      <c r="P495" s="2" t="s">
        <v>2232</v>
      </c>
      <c r="Q495" s="26" t="str">
        <f>CONCATENATE(O495, "
",P495,"
",R495)</f>
        <v>高評価選抜赤ユニットのうち1体が確定排出！_x000D_&lt;font color="#ffab27"&gt;※★6覚醒済、限定ユニット及び、11/30（水）以降に&lt;/font&gt;_x000D_&lt;font color="#ffab27"&gt;追加されたユニットは排出されません&lt;/font&gt;</v>
      </c>
      <c r="R495" s="49" t="s">
        <v>1826</v>
      </c>
    </row>
    <row r="496" spans="1:18" ht="42" x14ac:dyDescent="0.15">
      <c r="A496" s="2">
        <f t="shared" si="555"/>
        <v>7122</v>
      </c>
      <c r="B496" s="18">
        <v>3</v>
      </c>
      <c r="C496" s="18" t="s">
        <v>1989</v>
      </c>
      <c r="D496" s="2">
        <v>300</v>
      </c>
      <c r="E496" s="17" t="str">
        <f>VLOOKUP($D496,gacha_types!$A:$D,2,FALSE)</f>
        <v>polygon</v>
      </c>
      <c r="F496" s="17">
        <f>VLOOKUP($D496,gacha_types!$A:$D,3,FALSE)</f>
        <v>1</v>
      </c>
      <c r="G496" s="17">
        <f t="shared" si="570"/>
        <v>7122</v>
      </c>
      <c r="H496" s="13" t="str">
        <f t="shared" si="571"/>
        <v>GachaTop_7122.png</v>
      </c>
      <c r="I496" s="23">
        <v>0</v>
      </c>
      <c r="J496" s="23">
        <f t="shared" si="572"/>
        <v>7122</v>
      </c>
      <c r="K496" s="23">
        <v>1</v>
      </c>
      <c r="L496" s="55" t="s">
        <v>813</v>
      </c>
      <c r="M496" s="55" t="s">
        <v>814</v>
      </c>
      <c r="N496" s="2" t="s">
        <v>118</v>
      </c>
      <c r="O496" s="26" t="s">
        <v>1993</v>
      </c>
      <c r="P496" s="2" t="s">
        <v>2232</v>
      </c>
      <c r="Q496" s="26" t="str">
        <f>CONCATENATE(O496, "
",P496,"
",R496)</f>
        <v>高評価選抜青ユニットのうち1体が確定排出！_x000D_&lt;font color="#ffab27"&gt;※★6覚醒済、限定ユニット及び、11/30（水）以降に&lt;/font&gt;_x000D_&lt;font color="#ffab27"&gt;追加されたユニットは排出されません&lt;/font&gt;</v>
      </c>
      <c r="R496" s="49" t="s">
        <v>1826</v>
      </c>
    </row>
    <row r="497" spans="1:18" ht="42" x14ac:dyDescent="0.15">
      <c r="A497" s="2">
        <f t="shared" si="555"/>
        <v>7123</v>
      </c>
      <c r="B497" s="18">
        <v>3</v>
      </c>
      <c r="C497" s="18" t="s">
        <v>1990</v>
      </c>
      <c r="D497" s="2">
        <v>300</v>
      </c>
      <c r="E497" s="17" t="str">
        <f>VLOOKUP($D497,gacha_types!$A:$D,2,FALSE)</f>
        <v>polygon</v>
      </c>
      <c r="F497" s="17">
        <f>VLOOKUP($D497,gacha_types!$A:$D,3,FALSE)</f>
        <v>1</v>
      </c>
      <c r="G497" s="17">
        <f t="shared" si="570"/>
        <v>7123</v>
      </c>
      <c r="H497" s="13" t="str">
        <f t="shared" si="571"/>
        <v>GachaTop_7123.png</v>
      </c>
      <c r="I497" s="23">
        <v>0</v>
      </c>
      <c r="J497" s="23">
        <f t="shared" si="572"/>
        <v>7123</v>
      </c>
      <c r="K497" s="23">
        <v>1</v>
      </c>
      <c r="L497" s="55" t="s">
        <v>813</v>
      </c>
      <c r="M497" s="55" t="s">
        <v>814</v>
      </c>
      <c r="N497" s="2" t="s">
        <v>118</v>
      </c>
      <c r="O497" s="26" t="s">
        <v>1994</v>
      </c>
      <c r="P497" s="2" t="s">
        <v>2232</v>
      </c>
      <c r="Q497" s="26" t="str">
        <f>CONCATENATE(O497, "
",P497,"
",R497)</f>
        <v>高評価選抜緑ユニットのうち1体が確定排出！_x000D_&lt;font color="#ffab27"&gt;※★6覚醒済、限定ユニット及び、11/30（水）以降に&lt;/font&gt;_x000D_&lt;font color="#ffab27"&gt;追加されたユニットは排出されません&lt;/font&gt;</v>
      </c>
      <c r="R497" s="49" t="s">
        <v>1826</v>
      </c>
    </row>
    <row r="498" spans="1:18" ht="42" x14ac:dyDescent="0.15">
      <c r="A498" s="2">
        <f t="shared" si="555"/>
        <v>7124</v>
      </c>
      <c r="B498" s="18">
        <v>3</v>
      </c>
      <c r="C498" s="18" t="s">
        <v>1991</v>
      </c>
      <c r="D498" s="2">
        <v>300</v>
      </c>
      <c r="E498" s="17" t="str">
        <f>VLOOKUP($D498,gacha_types!$A:$D,2,FALSE)</f>
        <v>polygon</v>
      </c>
      <c r="F498" s="17">
        <f>VLOOKUP($D498,gacha_types!$A:$D,3,FALSE)</f>
        <v>1</v>
      </c>
      <c r="G498" s="17">
        <f t="shared" si="570"/>
        <v>7124</v>
      </c>
      <c r="H498" s="13" t="str">
        <f t="shared" si="571"/>
        <v>GachaTop_7124.png</v>
      </c>
      <c r="I498" s="23">
        <v>0</v>
      </c>
      <c r="J498" s="23">
        <f t="shared" si="572"/>
        <v>7124</v>
      </c>
      <c r="K498" s="23">
        <v>1</v>
      </c>
      <c r="L498" s="55" t="s">
        <v>813</v>
      </c>
      <c r="M498" s="55" t="s">
        <v>814</v>
      </c>
      <c r="N498" s="2" t="s">
        <v>118</v>
      </c>
      <c r="O498" s="26" t="s">
        <v>2964</v>
      </c>
      <c r="P498" s="2" t="s">
        <v>2232</v>
      </c>
      <c r="Q498" s="26" t="str">
        <f>CONCATENATE(O498, "
",P498,"
",R498)</f>
        <v>高評価選抜黄ユニットのうち1体が確定排出！_x000D_&lt;font color="#ffab27"&gt;※★6覚醒済、限定ユニット及び、11/30（水）以降に&lt;/font&gt;_x000D_&lt;font color="#ffab27"&gt;追加されたユニットは排出されません&lt;/font&gt;</v>
      </c>
      <c r="R498" s="49" t="s">
        <v>1826</v>
      </c>
    </row>
    <row r="499" spans="1:18" ht="21" customHeight="1" x14ac:dyDescent="0.15">
      <c r="A499" s="2">
        <f t="shared" si="555"/>
        <v>7125</v>
      </c>
      <c r="B499" s="18">
        <v>3</v>
      </c>
      <c r="C499" s="18" t="s">
        <v>2009</v>
      </c>
      <c r="D499" s="2">
        <v>300</v>
      </c>
      <c r="E499" s="17" t="str">
        <f>VLOOKUP($D499,gacha_types!$A:$D,2,FALSE)</f>
        <v>polygon</v>
      </c>
      <c r="F499" s="17">
        <f>VLOOKUP($D499,gacha_types!$A:$D,3,FALSE)</f>
        <v>1</v>
      </c>
      <c r="G499" s="17">
        <f t="shared" ref="G499:G503" si="573">A499</f>
        <v>7125</v>
      </c>
      <c r="H499" s="69" t="s">
        <v>2008</v>
      </c>
      <c r="I499" s="23">
        <v>0</v>
      </c>
      <c r="J499" s="23">
        <f t="shared" ref="J499:J503" si="574">A499</f>
        <v>7125</v>
      </c>
      <c r="K499" s="23">
        <v>1</v>
      </c>
      <c r="L499" s="55" t="s">
        <v>813</v>
      </c>
      <c r="M499" s="55" t="s">
        <v>814</v>
      </c>
      <c r="N499" s="2" t="s">
        <v>118</v>
      </c>
      <c r="O499" s="26" t="s">
        <v>337</v>
      </c>
      <c r="P499" s="2" t="s">
        <v>777</v>
      </c>
      <c r="Q499" s="50" t="s">
        <v>1363</v>
      </c>
    </row>
    <row r="500" spans="1:18" ht="42" x14ac:dyDescent="0.15">
      <c r="A500" s="2">
        <f t="shared" si="555"/>
        <v>7126</v>
      </c>
      <c r="B500" s="18">
        <v>3</v>
      </c>
      <c r="C500" s="18" t="s">
        <v>3204</v>
      </c>
      <c r="D500" s="2">
        <v>300</v>
      </c>
      <c r="E500" s="17" t="str">
        <f>VLOOKUP($D500,gacha_types!$A:$D,2,FALSE)</f>
        <v>polygon</v>
      </c>
      <c r="F500" s="17">
        <f>VLOOKUP($D500,gacha_types!$A:$D,3,FALSE)</f>
        <v>1</v>
      </c>
      <c r="G500" s="17">
        <f t="shared" si="573"/>
        <v>7126</v>
      </c>
      <c r="H500" s="13" t="str">
        <f t="shared" ref="H500:H503" si="575">"GachaTop_"&amp;A500&amp;".png"</f>
        <v>GachaTop_7126.png</v>
      </c>
      <c r="I500" s="23">
        <v>0</v>
      </c>
      <c r="J500" s="23">
        <f t="shared" si="574"/>
        <v>7126</v>
      </c>
      <c r="K500" s="23">
        <v>1</v>
      </c>
      <c r="L500" s="55" t="s">
        <v>813</v>
      </c>
      <c r="M500" s="55" t="s">
        <v>814</v>
      </c>
      <c r="N500" s="2" t="s">
        <v>118</v>
      </c>
      <c r="O500" s="26" t="s">
        <v>1992</v>
      </c>
      <c r="P500" s="2" t="s">
        <v>3194</v>
      </c>
      <c r="Q500" s="26" t="str">
        <f>CONCATENATE(O500, "
",P500,"
",R500)</f>
        <v>高評価選抜赤ユニットのうち1体が確定排出！_x000D_&lt;font color="#ffab27"&gt;※★6覚醒済、限定ユニット及び、4/12（水）以降に&lt;/font&gt;_x000D_&lt;font color="#ffab27"&gt;追加されたユニットは排出されません&lt;/font&gt;</v>
      </c>
      <c r="R500" s="49" t="s">
        <v>1826</v>
      </c>
    </row>
    <row r="501" spans="1:18" ht="42" x14ac:dyDescent="0.15">
      <c r="A501" s="2">
        <f t="shared" si="555"/>
        <v>7127</v>
      </c>
      <c r="B501" s="18">
        <v>3</v>
      </c>
      <c r="C501" s="18" t="s">
        <v>3205</v>
      </c>
      <c r="D501" s="2">
        <v>300</v>
      </c>
      <c r="E501" s="17" t="str">
        <f>VLOOKUP($D501,gacha_types!$A:$D,2,FALSE)</f>
        <v>polygon</v>
      </c>
      <c r="F501" s="17">
        <f>VLOOKUP($D501,gacha_types!$A:$D,3,FALSE)</f>
        <v>1</v>
      </c>
      <c r="G501" s="17">
        <f t="shared" si="573"/>
        <v>7127</v>
      </c>
      <c r="H501" s="13" t="str">
        <f t="shared" si="575"/>
        <v>GachaTop_7127.png</v>
      </c>
      <c r="I501" s="23">
        <v>0</v>
      </c>
      <c r="J501" s="23">
        <f t="shared" si="574"/>
        <v>7127</v>
      </c>
      <c r="K501" s="23">
        <v>1</v>
      </c>
      <c r="L501" s="55" t="s">
        <v>813</v>
      </c>
      <c r="M501" s="55" t="s">
        <v>814</v>
      </c>
      <c r="N501" s="2" t="s">
        <v>118</v>
      </c>
      <c r="O501" s="26" t="s">
        <v>1993</v>
      </c>
      <c r="P501" s="2" t="s">
        <v>3194</v>
      </c>
      <c r="Q501" s="26" t="str">
        <f>CONCATENATE(O501, "
",P501,"
",R501)</f>
        <v>高評価選抜青ユニットのうち1体が確定排出！_x000D_&lt;font color="#ffab27"&gt;※★6覚醒済、限定ユニット及び、4/12（水）以降に&lt;/font&gt;_x000D_&lt;font color="#ffab27"&gt;追加されたユニットは排出されません&lt;/font&gt;</v>
      </c>
      <c r="R501" s="49" t="s">
        <v>1826</v>
      </c>
    </row>
    <row r="502" spans="1:18" ht="42" x14ac:dyDescent="0.15">
      <c r="A502" s="2">
        <f t="shared" si="555"/>
        <v>7128</v>
      </c>
      <c r="B502" s="18">
        <v>3</v>
      </c>
      <c r="C502" s="18" t="s">
        <v>3206</v>
      </c>
      <c r="D502" s="2">
        <v>300</v>
      </c>
      <c r="E502" s="17" t="str">
        <f>VLOOKUP($D502,gacha_types!$A:$D,2,FALSE)</f>
        <v>polygon</v>
      </c>
      <c r="F502" s="17">
        <f>VLOOKUP($D502,gacha_types!$A:$D,3,FALSE)</f>
        <v>1</v>
      </c>
      <c r="G502" s="17">
        <f t="shared" si="573"/>
        <v>7128</v>
      </c>
      <c r="H502" s="13" t="str">
        <f t="shared" si="575"/>
        <v>GachaTop_7128.png</v>
      </c>
      <c r="I502" s="23">
        <v>0</v>
      </c>
      <c r="J502" s="23">
        <f t="shared" si="574"/>
        <v>7128</v>
      </c>
      <c r="K502" s="23">
        <v>1</v>
      </c>
      <c r="L502" s="55" t="s">
        <v>813</v>
      </c>
      <c r="M502" s="55" t="s">
        <v>814</v>
      </c>
      <c r="N502" s="2" t="s">
        <v>118</v>
      </c>
      <c r="O502" s="26" t="s">
        <v>1994</v>
      </c>
      <c r="P502" s="2" t="s">
        <v>3194</v>
      </c>
      <c r="Q502" s="26" t="str">
        <f>CONCATENATE(O502, "
",P502,"
",R502)</f>
        <v>高評価選抜緑ユニットのうち1体が確定排出！_x000D_&lt;font color="#ffab27"&gt;※★6覚醒済、限定ユニット及び、4/12（水）以降に&lt;/font&gt;_x000D_&lt;font color="#ffab27"&gt;追加されたユニットは排出されません&lt;/font&gt;</v>
      </c>
      <c r="R502" s="49" t="s">
        <v>1826</v>
      </c>
    </row>
    <row r="503" spans="1:18" ht="42" x14ac:dyDescent="0.15">
      <c r="A503" s="2">
        <f t="shared" si="555"/>
        <v>7129</v>
      </c>
      <c r="B503" s="18">
        <v>3</v>
      </c>
      <c r="C503" s="18" t="s">
        <v>3207</v>
      </c>
      <c r="D503" s="2">
        <v>300</v>
      </c>
      <c r="E503" s="17" t="str">
        <f>VLOOKUP($D503,gacha_types!$A:$D,2,FALSE)</f>
        <v>polygon</v>
      </c>
      <c r="F503" s="17">
        <f>VLOOKUP($D503,gacha_types!$A:$D,3,FALSE)</f>
        <v>1</v>
      </c>
      <c r="G503" s="17">
        <f t="shared" si="573"/>
        <v>7129</v>
      </c>
      <c r="H503" s="13" t="str">
        <f t="shared" si="575"/>
        <v>GachaTop_7129.png</v>
      </c>
      <c r="I503" s="23">
        <v>0</v>
      </c>
      <c r="J503" s="23">
        <f t="shared" si="574"/>
        <v>7129</v>
      </c>
      <c r="K503" s="23">
        <v>1</v>
      </c>
      <c r="L503" s="55" t="s">
        <v>813</v>
      </c>
      <c r="M503" s="55" t="s">
        <v>814</v>
      </c>
      <c r="N503" s="2" t="s">
        <v>118</v>
      </c>
      <c r="O503" s="26" t="s">
        <v>2964</v>
      </c>
      <c r="P503" s="2" t="s">
        <v>3194</v>
      </c>
      <c r="Q503" s="26" t="str">
        <f>CONCATENATE(O503, "
",P503,"
",R503)</f>
        <v>高評価選抜黄ユニットのうち1体が確定排出！_x000D_&lt;font color="#ffab27"&gt;※★6覚醒済、限定ユニット及び、4/12（水）以降に&lt;/font&gt;_x000D_&lt;font color="#ffab27"&gt;追加されたユニットは排出されません&lt;/font&gt;</v>
      </c>
      <c r="R503" s="49" t="s">
        <v>1826</v>
      </c>
    </row>
    <row r="504" spans="1:18" ht="21" customHeight="1" x14ac:dyDescent="0.15">
      <c r="A504" s="6">
        <v>7200</v>
      </c>
      <c r="B504" s="18">
        <v>3</v>
      </c>
      <c r="C504" s="18" t="s">
        <v>733</v>
      </c>
      <c r="D504" s="2">
        <v>300</v>
      </c>
      <c r="E504" s="17" t="str">
        <f>VLOOKUP($D504,gacha_types!$A:$D,2,FALSE)</f>
        <v>polygon</v>
      </c>
      <c r="F504" s="17">
        <f>VLOOKUP($D504,gacha_types!$A:$D,3,FALSE)</f>
        <v>1</v>
      </c>
      <c r="G504" s="17">
        <f t="shared" si="477"/>
        <v>7200</v>
      </c>
      <c r="H504" s="13" t="str">
        <f t="shared" si="478"/>
        <v>GachaTop_7200.png</v>
      </c>
      <c r="I504" s="23">
        <v>0</v>
      </c>
      <c r="J504" s="23">
        <f t="shared" si="479"/>
        <v>7200</v>
      </c>
      <c r="K504" s="23">
        <v>1</v>
      </c>
      <c r="L504" s="55" t="s">
        <v>813</v>
      </c>
      <c r="M504" s="55" t="s">
        <v>814</v>
      </c>
      <c r="N504" s="2" t="s">
        <v>118</v>
      </c>
      <c r="O504" s="26" t="s">
        <v>337</v>
      </c>
      <c r="P504" s="2" t="s">
        <v>777</v>
      </c>
      <c r="Q504" s="50" t="s">
        <v>1059</v>
      </c>
    </row>
    <row r="505" spans="1:18" ht="21" customHeight="1" x14ac:dyDescent="0.15">
      <c r="A505" s="2">
        <f t="shared" ref="A505:A515" si="576">A504+1</f>
        <v>7201</v>
      </c>
      <c r="B505" s="18">
        <v>3</v>
      </c>
      <c r="C505" s="18" t="s">
        <v>827</v>
      </c>
      <c r="D505" s="2">
        <v>300</v>
      </c>
      <c r="E505" s="17" t="str">
        <f>VLOOKUP($D505,gacha_types!$A:$D,2,FALSE)</f>
        <v>polygon</v>
      </c>
      <c r="F505" s="17">
        <f>VLOOKUP($D505,gacha_types!$A:$D,3,FALSE)</f>
        <v>1</v>
      </c>
      <c r="G505" s="17">
        <f t="shared" ref="G505" si="577">A505</f>
        <v>7201</v>
      </c>
      <c r="H505" s="69" t="str">
        <f>H504</f>
        <v>GachaTop_7200.png</v>
      </c>
      <c r="I505" s="23">
        <v>0</v>
      </c>
      <c r="J505" s="23">
        <f t="shared" ref="J505" si="578">A505</f>
        <v>7201</v>
      </c>
      <c r="K505" s="23">
        <v>1</v>
      </c>
      <c r="L505" s="55" t="s">
        <v>813</v>
      </c>
      <c r="M505" s="55" t="s">
        <v>814</v>
      </c>
      <c r="N505" s="2" t="s">
        <v>118</v>
      </c>
      <c r="O505" s="26" t="s">
        <v>337</v>
      </c>
      <c r="P505" s="2" t="s">
        <v>777</v>
      </c>
      <c r="Q505" s="50" t="s">
        <v>1059</v>
      </c>
    </row>
    <row r="506" spans="1:18" ht="21" customHeight="1" x14ac:dyDescent="0.15">
      <c r="A506" s="2">
        <f t="shared" si="576"/>
        <v>7202</v>
      </c>
      <c r="B506" s="18">
        <v>3</v>
      </c>
      <c r="C506" s="18" t="s">
        <v>826</v>
      </c>
      <c r="D506" s="2">
        <v>300</v>
      </c>
      <c r="E506" s="17" t="str">
        <f>VLOOKUP($D506,gacha_types!$A:$D,2,FALSE)</f>
        <v>polygon</v>
      </c>
      <c r="F506" s="17">
        <f>VLOOKUP($D506,gacha_types!$A:$D,3,FALSE)</f>
        <v>1</v>
      </c>
      <c r="G506" s="17">
        <f t="shared" ref="G506" si="579">A506</f>
        <v>7202</v>
      </c>
      <c r="H506" s="69" t="str">
        <f>H505</f>
        <v>GachaTop_7200.png</v>
      </c>
      <c r="I506" s="23">
        <v>0</v>
      </c>
      <c r="J506" s="23">
        <f t="shared" ref="J506" si="580">A506</f>
        <v>7202</v>
      </c>
      <c r="K506" s="23">
        <v>1</v>
      </c>
      <c r="L506" s="55" t="s">
        <v>813</v>
      </c>
      <c r="M506" s="55" t="s">
        <v>814</v>
      </c>
      <c r="N506" s="2" t="s">
        <v>118</v>
      </c>
      <c r="O506" s="26" t="s">
        <v>337</v>
      </c>
      <c r="P506" s="2" t="s">
        <v>777</v>
      </c>
      <c r="Q506" s="50" t="s">
        <v>1059</v>
      </c>
    </row>
    <row r="507" spans="1:18" ht="21" customHeight="1" x14ac:dyDescent="0.15">
      <c r="A507" s="2">
        <f t="shared" si="576"/>
        <v>7203</v>
      </c>
      <c r="B507" s="18">
        <v>3</v>
      </c>
      <c r="C507" s="18" t="s">
        <v>882</v>
      </c>
      <c r="D507" s="2">
        <v>300</v>
      </c>
      <c r="E507" s="17" t="str">
        <f>VLOOKUP($D507,gacha_types!$A:$D,2,FALSE)</f>
        <v>polygon</v>
      </c>
      <c r="F507" s="17">
        <f>VLOOKUP($D507,gacha_types!$A:$D,3,FALSE)</f>
        <v>1</v>
      </c>
      <c r="G507" s="17">
        <f t="shared" ref="G507" si="581">A507</f>
        <v>7203</v>
      </c>
      <c r="H507" s="69" t="str">
        <f>H506</f>
        <v>GachaTop_7200.png</v>
      </c>
      <c r="I507" s="23">
        <v>0</v>
      </c>
      <c r="J507" s="23">
        <f t="shared" ref="J507" si="582">A507</f>
        <v>7203</v>
      </c>
      <c r="K507" s="23">
        <v>1</v>
      </c>
      <c r="L507" s="55" t="s">
        <v>813</v>
      </c>
      <c r="M507" s="55" t="s">
        <v>814</v>
      </c>
      <c r="N507" s="2" t="s">
        <v>118</v>
      </c>
      <c r="O507" s="26" t="s">
        <v>337</v>
      </c>
      <c r="P507" s="2" t="s">
        <v>777</v>
      </c>
      <c r="Q507" s="50" t="s">
        <v>1059</v>
      </c>
    </row>
    <row r="508" spans="1:18" ht="21" customHeight="1" x14ac:dyDescent="0.15">
      <c r="A508" s="2">
        <f t="shared" si="576"/>
        <v>7204</v>
      </c>
      <c r="B508" s="18">
        <v>3</v>
      </c>
      <c r="C508" s="18" t="s">
        <v>914</v>
      </c>
      <c r="D508" s="2">
        <v>300</v>
      </c>
      <c r="E508" s="17" t="str">
        <f>VLOOKUP($D508,gacha_types!$A:$D,2,FALSE)</f>
        <v>polygon</v>
      </c>
      <c r="F508" s="17">
        <f>VLOOKUP($D508,gacha_types!$A:$D,3,FALSE)</f>
        <v>1</v>
      </c>
      <c r="G508" s="17">
        <f t="shared" ref="G508" si="583">A508</f>
        <v>7204</v>
      </c>
      <c r="H508" s="69" t="str">
        <f>H507</f>
        <v>GachaTop_7200.png</v>
      </c>
      <c r="I508" s="23">
        <v>0</v>
      </c>
      <c r="J508" s="23">
        <f t="shared" ref="J508" si="584">A508</f>
        <v>7204</v>
      </c>
      <c r="K508" s="23">
        <v>1</v>
      </c>
      <c r="L508" s="55" t="s">
        <v>813</v>
      </c>
      <c r="M508" s="55" t="s">
        <v>814</v>
      </c>
      <c r="N508" s="2" t="s">
        <v>118</v>
      </c>
      <c r="O508" s="26" t="s">
        <v>337</v>
      </c>
      <c r="P508" s="2" t="s">
        <v>777</v>
      </c>
      <c r="Q508" s="50" t="s">
        <v>1059</v>
      </c>
    </row>
    <row r="509" spans="1:18" ht="21" customHeight="1" x14ac:dyDescent="0.15">
      <c r="A509" s="2">
        <f t="shared" si="576"/>
        <v>7205</v>
      </c>
      <c r="B509" s="18">
        <v>3</v>
      </c>
      <c r="C509" s="18" t="s">
        <v>1044</v>
      </c>
      <c r="D509" s="2">
        <v>300</v>
      </c>
      <c r="E509" s="17" t="str">
        <f>VLOOKUP($D509,gacha_types!$A:$D,2,FALSE)</f>
        <v>polygon</v>
      </c>
      <c r="F509" s="17">
        <f>VLOOKUP($D509,gacha_types!$A:$D,3,FALSE)</f>
        <v>1</v>
      </c>
      <c r="G509" s="17">
        <f t="shared" ref="G509" si="585">A509</f>
        <v>7205</v>
      </c>
      <c r="H509" s="69" t="str">
        <f>H508</f>
        <v>GachaTop_7200.png</v>
      </c>
      <c r="I509" s="23">
        <v>0</v>
      </c>
      <c r="J509" s="23">
        <f t="shared" ref="J509" si="586">A509</f>
        <v>7205</v>
      </c>
      <c r="K509" s="23">
        <v>1</v>
      </c>
      <c r="L509" s="55" t="s">
        <v>813</v>
      </c>
      <c r="M509" s="55" t="s">
        <v>814</v>
      </c>
      <c r="N509" s="2" t="s">
        <v>118</v>
      </c>
      <c r="O509" s="26" t="s">
        <v>337</v>
      </c>
      <c r="P509" s="2" t="s">
        <v>777</v>
      </c>
      <c r="Q509" s="50" t="s">
        <v>1059</v>
      </c>
    </row>
    <row r="510" spans="1:18" ht="21" customHeight="1" x14ac:dyDescent="0.15">
      <c r="A510" s="2">
        <f t="shared" si="576"/>
        <v>7206</v>
      </c>
      <c r="B510" s="18">
        <v>3</v>
      </c>
      <c r="C510" s="18" t="s">
        <v>1101</v>
      </c>
      <c r="D510" s="2">
        <v>300</v>
      </c>
      <c r="E510" s="17" t="str">
        <f>VLOOKUP($D510,gacha_types!$A:$D,2,FALSE)</f>
        <v>polygon</v>
      </c>
      <c r="F510" s="17">
        <f>VLOOKUP($D510,gacha_types!$A:$D,3,FALSE)</f>
        <v>1</v>
      </c>
      <c r="G510" s="17">
        <f t="shared" ref="G510" si="587">A510</f>
        <v>7206</v>
      </c>
      <c r="H510" s="13" t="str">
        <f t="shared" ref="H510" si="588">"GachaTop_"&amp;A510&amp;".png"</f>
        <v>GachaTop_7206.png</v>
      </c>
      <c r="I510" s="23">
        <v>0</v>
      </c>
      <c r="J510" s="23">
        <f t="shared" ref="J510" si="589">A510</f>
        <v>7206</v>
      </c>
      <c r="K510" s="23">
        <v>1</v>
      </c>
      <c r="L510" s="55" t="s">
        <v>813</v>
      </c>
      <c r="M510" s="55" t="s">
        <v>814</v>
      </c>
      <c r="N510" s="2" t="s">
        <v>118</v>
      </c>
      <c r="O510" s="26" t="s">
        <v>337</v>
      </c>
      <c r="P510" s="2" t="s">
        <v>777</v>
      </c>
      <c r="Q510" s="50" t="s">
        <v>1059</v>
      </c>
    </row>
    <row r="511" spans="1:18" ht="21" customHeight="1" x14ac:dyDescent="0.15">
      <c r="A511" s="2">
        <f t="shared" si="576"/>
        <v>7207</v>
      </c>
      <c r="B511" s="18">
        <v>3</v>
      </c>
      <c r="C511" s="18" t="s">
        <v>1134</v>
      </c>
      <c r="D511" s="2">
        <v>300</v>
      </c>
      <c r="E511" s="17" t="str">
        <f>VLOOKUP($D511,gacha_types!$A:$D,2,FALSE)</f>
        <v>polygon</v>
      </c>
      <c r="F511" s="17">
        <f>VLOOKUP($D511,gacha_types!$A:$D,3,FALSE)</f>
        <v>1</v>
      </c>
      <c r="G511" s="17">
        <f t="shared" ref="G511:G531" si="590">A511</f>
        <v>7207</v>
      </c>
      <c r="H511" s="69" t="str">
        <f t="shared" ref="H511:H516" si="591">H510</f>
        <v>GachaTop_7206.png</v>
      </c>
      <c r="I511" s="23">
        <v>0</v>
      </c>
      <c r="J511" s="23">
        <f t="shared" ref="J511:J531" si="592">A511</f>
        <v>7207</v>
      </c>
      <c r="K511" s="23">
        <v>1</v>
      </c>
      <c r="L511" s="55" t="s">
        <v>813</v>
      </c>
      <c r="M511" s="55" t="s">
        <v>814</v>
      </c>
      <c r="N511" s="2" t="s">
        <v>118</v>
      </c>
      <c r="O511" s="26" t="s">
        <v>337</v>
      </c>
      <c r="P511" s="2" t="s">
        <v>777</v>
      </c>
      <c r="Q511" s="50" t="s">
        <v>1059</v>
      </c>
    </row>
    <row r="512" spans="1:18" ht="21" customHeight="1" x14ac:dyDescent="0.15">
      <c r="A512" s="2">
        <f t="shared" si="576"/>
        <v>7208</v>
      </c>
      <c r="B512" s="18">
        <v>3</v>
      </c>
      <c r="C512" s="18" t="s">
        <v>1279</v>
      </c>
      <c r="D512" s="2">
        <v>300</v>
      </c>
      <c r="E512" s="17" t="str">
        <f>VLOOKUP($D512,gacha_types!$A:$D,2,FALSE)</f>
        <v>polygon</v>
      </c>
      <c r="F512" s="17">
        <f>VLOOKUP($D512,gacha_types!$A:$D,3,FALSE)</f>
        <v>1</v>
      </c>
      <c r="G512" s="17">
        <f t="shared" ref="G512" si="593">A512</f>
        <v>7208</v>
      </c>
      <c r="H512" s="69" t="str">
        <f t="shared" si="591"/>
        <v>GachaTop_7206.png</v>
      </c>
      <c r="I512" s="23">
        <v>0</v>
      </c>
      <c r="J512" s="23">
        <f t="shared" ref="J512" si="594">A512</f>
        <v>7208</v>
      </c>
      <c r="K512" s="23">
        <v>1</v>
      </c>
      <c r="L512" s="55" t="s">
        <v>813</v>
      </c>
      <c r="M512" s="55" t="s">
        <v>814</v>
      </c>
      <c r="N512" s="2" t="s">
        <v>118</v>
      </c>
      <c r="O512" s="26" t="s">
        <v>337</v>
      </c>
      <c r="P512" s="2" t="s">
        <v>777</v>
      </c>
      <c r="Q512" s="50" t="s">
        <v>1059</v>
      </c>
    </row>
    <row r="513" spans="1:17" ht="21" customHeight="1" x14ac:dyDescent="0.15">
      <c r="A513" s="2">
        <f t="shared" si="576"/>
        <v>7209</v>
      </c>
      <c r="B513" s="18">
        <v>3</v>
      </c>
      <c r="C513" s="18" t="s">
        <v>1301</v>
      </c>
      <c r="D513" s="2">
        <v>300</v>
      </c>
      <c r="E513" s="17" t="str">
        <f>VLOOKUP($D513,gacha_types!$A:$D,2,FALSE)</f>
        <v>polygon</v>
      </c>
      <c r="F513" s="17">
        <f>VLOOKUP($D513,gacha_types!$A:$D,3,FALSE)</f>
        <v>1</v>
      </c>
      <c r="G513" s="17">
        <f t="shared" ref="G513" si="595">A513</f>
        <v>7209</v>
      </c>
      <c r="H513" s="69" t="str">
        <f t="shared" si="591"/>
        <v>GachaTop_7206.png</v>
      </c>
      <c r="I513" s="23">
        <v>0</v>
      </c>
      <c r="J513" s="23">
        <f t="shared" ref="J513" si="596">A513</f>
        <v>7209</v>
      </c>
      <c r="K513" s="23">
        <v>1</v>
      </c>
      <c r="L513" s="55" t="s">
        <v>813</v>
      </c>
      <c r="M513" s="55" t="s">
        <v>814</v>
      </c>
      <c r="N513" s="2" t="s">
        <v>118</v>
      </c>
      <c r="O513" s="26" t="s">
        <v>337</v>
      </c>
      <c r="P513" s="2" t="s">
        <v>777</v>
      </c>
      <c r="Q513" s="50" t="s">
        <v>1059</v>
      </c>
    </row>
    <row r="514" spans="1:17" ht="21" customHeight="1" x14ac:dyDescent="0.15">
      <c r="A514" s="2">
        <f t="shared" si="576"/>
        <v>7210</v>
      </c>
      <c r="B514" s="18">
        <v>3</v>
      </c>
      <c r="C514" s="18" t="s">
        <v>1365</v>
      </c>
      <c r="D514" s="2">
        <v>300</v>
      </c>
      <c r="E514" s="17" t="str">
        <f>VLOOKUP($D514,gacha_types!$A:$D,2,FALSE)</f>
        <v>polygon</v>
      </c>
      <c r="F514" s="17">
        <f>VLOOKUP($D514,gacha_types!$A:$D,3,FALSE)</f>
        <v>1</v>
      </c>
      <c r="G514" s="17">
        <f t="shared" ref="G514" si="597">A514</f>
        <v>7210</v>
      </c>
      <c r="H514" s="69" t="str">
        <f t="shared" si="591"/>
        <v>GachaTop_7206.png</v>
      </c>
      <c r="I514" s="23">
        <v>0</v>
      </c>
      <c r="J514" s="23">
        <f t="shared" ref="J514" si="598">A514</f>
        <v>7210</v>
      </c>
      <c r="K514" s="23">
        <v>1</v>
      </c>
      <c r="L514" s="55" t="s">
        <v>813</v>
      </c>
      <c r="M514" s="55" t="s">
        <v>814</v>
      </c>
      <c r="N514" s="2" t="s">
        <v>118</v>
      </c>
      <c r="O514" s="26" t="s">
        <v>337</v>
      </c>
      <c r="P514" s="2" t="s">
        <v>777</v>
      </c>
      <c r="Q514" s="50" t="s">
        <v>1059</v>
      </c>
    </row>
    <row r="515" spans="1:17" ht="21" customHeight="1" x14ac:dyDescent="0.15">
      <c r="A515" s="2">
        <f t="shared" si="576"/>
        <v>7211</v>
      </c>
      <c r="B515" s="18">
        <v>3</v>
      </c>
      <c r="C515" s="18" t="s">
        <v>1366</v>
      </c>
      <c r="D515" s="2">
        <v>300</v>
      </c>
      <c r="E515" s="17" t="str">
        <f>VLOOKUP($D515,gacha_types!$A:$D,2,FALSE)</f>
        <v>polygon</v>
      </c>
      <c r="F515" s="17">
        <f>VLOOKUP($D515,gacha_types!$A:$D,3,FALSE)</f>
        <v>1</v>
      </c>
      <c r="G515" s="17">
        <f t="shared" ref="G515" si="599">A515</f>
        <v>7211</v>
      </c>
      <c r="H515" s="69" t="str">
        <f t="shared" si="591"/>
        <v>GachaTop_7206.png</v>
      </c>
      <c r="I515" s="23">
        <v>0</v>
      </c>
      <c r="J515" s="23">
        <f t="shared" ref="J515" si="600">A515</f>
        <v>7211</v>
      </c>
      <c r="K515" s="23">
        <v>1</v>
      </c>
      <c r="L515" s="55" t="s">
        <v>813</v>
      </c>
      <c r="M515" s="55" t="s">
        <v>814</v>
      </c>
      <c r="N515" s="2" t="s">
        <v>118</v>
      </c>
      <c r="O515" s="26" t="s">
        <v>1361</v>
      </c>
      <c r="P515" s="2" t="s">
        <v>777</v>
      </c>
      <c r="Q515" s="50" t="s">
        <v>1362</v>
      </c>
    </row>
    <row r="516" spans="1:17" ht="21" customHeight="1" x14ac:dyDescent="0.15">
      <c r="A516" s="2">
        <f t="shared" ref="A516:A530" si="601">A515+1</f>
        <v>7212</v>
      </c>
      <c r="B516" s="18">
        <v>3</v>
      </c>
      <c r="C516" s="18" t="s">
        <v>1379</v>
      </c>
      <c r="D516" s="2">
        <v>300</v>
      </c>
      <c r="E516" s="17" t="str">
        <f>VLOOKUP($D516,gacha_types!$A:$D,2,FALSE)</f>
        <v>polygon</v>
      </c>
      <c r="F516" s="17">
        <f>VLOOKUP($D516,gacha_types!$A:$D,3,FALSE)</f>
        <v>1</v>
      </c>
      <c r="G516" s="17">
        <f t="shared" ref="G516" si="602">A516</f>
        <v>7212</v>
      </c>
      <c r="H516" s="69" t="str">
        <f t="shared" si="591"/>
        <v>GachaTop_7206.png</v>
      </c>
      <c r="I516" s="23">
        <v>0</v>
      </c>
      <c r="J516" s="23">
        <f t="shared" ref="J516:J521" si="603">A516</f>
        <v>7212</v>
      </c>
      <c r="K516" s="23">
        <v>1</v>
      </c>
      <c r="L516" s="55" t="s">
        <v>813</v>
      </c>
      <c r="M516" s="55" t="s">
        <v>814</v>
      </c>
      <c r="N516" s="2" t="s">
        <v>118</v>
      </c>
      <c r="O516" s="26" t="s">
        <v>1361</v>
      </c>
      <c r="P516" s="2" t="s">
        <v>777</v>
      </c>
      <c r="Q516" s="50" t="s">
        <v>1362</v>
      </c>
    </row>
    <row r="517" spans="1:17" ht="21" customHeight="1" x14ac:dyDescent="0.15">
      <c r="A517" s="2">
        <f t="shared" si="601"/>
        <v>7213</v>
      </c>
      <c r="B517" s="18">
        <v>3</v>
      </c>
      <c r="C517" s="18" t="s">
        <v>1411</v>
      </c>
      <c r="D517" s="2">
        <v>300</v>
      </c>
      <c r="E517" s="17" t="str">
        <f>VLOOKUP($D517,gacha_types!$A:$D,2,FALSE)</f>
        <v>polygon</v>
      </c>
      <c r="F517" s="17">
        <f>VLOOKUP($D517,gacha_types!$A:$D,3,FALSE)</f>
        <v>1</v>
      </c>
      <c r="G517" s="17">
        <f t="shared" ref="G517" si="604">A517</f>
        <v>7213</v>
      </c>
      <c r="H517" s="13" t="str">
        <f t="shared" ref="H517" si="605">"GachaTop_"&amp;A517&amp;".png"</f>
        <v>GachaTop_7213.png</v>
      </c>
      <c r="I517" s="23">
        <v>0</v>
      </c>
      <c r="J517" s="23">
        <f t="shared" si="603"/>
        <v>7213</v>
      </c>
      <c r="K517" s="23">
        <v>1</v>
      </c>
      <c r="L517" s="55" t="s">
        <v>813</v>
      </c>
      <c r="M517" s="55" t="s">
        <v>814</v>
      </c>
      <c r="N517" s="2" t="s">
        <v>118</v>
      </c>
      <c r="O517" s="26" t="s">
        <v>1417</v>
      </c>
      <c r="P517" s="2" t="s">
        <v>777</v>
      </c>
      <c r="Q517" s="50" t="s">
        <v>1362</v>
      </c>
    </row>
    <row r="518" spans="1:17" ht="21" customHeight="1" x14ac:dyDescent="0.15">
      <c r="A518" s="2">
        <f t="shared" si="601"/>
        <v>7214</v>
      </c>
      <c r="B518" s="18">
        <v>3</v>
      </c>
      <c r="C518" s="18" t="s">
        <v>1454</v>
      </c>
      <c r="D518" s="2">
        <v>300</v>
      </c>
      <c r="E518" s="17" t="str">
        <f>VLOOKUP($D518,gacha_types!$A:$D,2,FALSE)</f>
        <v>polygon</v>
      </c>
      <c r="F518" s="17">
        <f>VLOOKUP($D518,gacha_types!$A:$D,3,FALSE)</f>
        <v>1</v>
      </c>
      <c r="G518" s="17">
        <f t="shared" ref="G518" si="606">A518</f>
        <v>7214</v>
      </c>
      <c r="H518" s="69" t="str">
        <f t="shared" ref="H518:H528" si="607">H517</f>
        <v>GachaTop_7213.png</v>
      </c>
      <c r="I518" s="23">
        <v>0</v>
      </c>
      <c r="J518" s="23">
        <f t="shared" si="603"/>
        <v>7214</v>
      </c>
      <c r="K518" s="23">
        <v>1</v>
      </c>
      <c r="L518" s="55" t="s">
        <v>813</v>
      </c>
      <c r="M518" s="55" t="s">
        <v>814</v>
      </c>
      <c r="N518" s="2" t="s">
        <v>118</v>
      </c>
      <c r="O518" s="26" t="s">
        <v>1417</v>
      </c>
      <c r="P518" s="2" t="s">
        <v>777</v>
      </c>
      <c r="Q518" s="50" t="s">
        <v>1362</v>
      </c>
    </row>
    <row r="519" spans="1:17" ht="21" customHeight="1" x14ac:dyDescent="0.15">
      <c r="A519" s="2">
        <f t="shared" si="601"/>
        <v>7215</v>
      </c>
      <c r="B519" s="18">
        <v>3</v>
      </c>
      <c r="C519" s="18" t="s">
        <v>1490</v>
      </c>
      <c r="D519" s="2">
        <v>300</v>
      </c>
      <c r="E519" s="17" t="str">
        <f>VLOOKUP($D519,gacha_types!$A:$D,2,FALSE)</f>
        <v>polygon</v>
      </c>
      <c r="F519" s="17">
        <f>VLOOKUP($D519,gacha_types!$A:$D,3,FALSE)</f>
        <v>1</v>
      </c>
      <c r="G519" s="17">
        <f t="shared" ref="G519" si="608">A519</f>
        <v>7215</v>
      </c>
      <c r="H519" s="69" t="str">
        <f t="shared" si="607"/>
        <v>GachaTop_7213.png</v>
      </c>
      <c r="I519" s="23">
        <v>0</v>
      </c>
      <c r="J519" s="23">
        <f t="shared" si="603"/>
        <v>7215</v>
      </c>
      <c r="K519" s="23">
        <v>1</v>
      </c>
      <c r="L519" s="55" t="s">
        <v>813</v>
      </c>
      <c r="M519" s="55" t="s">
        <v>814</v>
      </c>
      <c r="N519" s="2" t="s">
        <v>118</v>
      </c>
      <c r="O519" s="26" t="s">
        <v>1417</v>
      </c>
      <c r="P519" s="2" t="s">
        <v>777</v>
      </c>
      <c r="Q519" s="50" t="s">
        <v>1362</v>
      </c>
    </row>
    <row r="520" spans="1:17" ht="21" customHeight="1" x14ac:dyDescent="0.15">
      <c r="A520" s="2">
        <f t="shared" si="601"/>
        <v>7216</v>
      </c>
      <c r="B520" s="18">
        <v>3</v>
      </c>
      <c r="C520" s="18" t="s">
        <v>1498</v>
      </c>
      <c r="D520" s="2">
        <v>300</v>
      </c>
      <c r="E520" s="17" t="str">
        <f>VLOOKUP($D520,gacha_types!$A:$D,2,FALSE)</f>
        <v>polygon</v>
      </c>
      <c r="F520" s="17">
        <f>VLOOKUP($D520,gacha_types!$A:$D,3,FALSE)</f>
        <v>1</v>
      </c>
      <c r="G520" s="17">
        <f t="shared" ref="G520" si="609">A520</f>
        <v>7216</v>
      </c>
      <c r="H520" s="69" t="str">
        <f t="shared" si="607"/>
        <v>GachaTop_7213.png</v>
      </c>
      <c r="I520" s="23">
        <v>0</v>
      </c>
      <c r="J520" s="23">
        <f t="shared" si="603"/>
        <v>7216</v>
      </c>
      <c r="K520" s="23">
        <v>1</v>
      </c>
      <c r="L520" s="55" t="s">
        <v>813</v>
      </c>
      <c r="M520" s="55" t="s">
        <v>814</v>
      </c>
      <c r="N520" s="2" t="s">
        <v>118</v>
      </c>
      <c r="O520" s="26" t="s">
        <v>1417</v>
      </c>
      <c r="P520" s="2" t="s">
        <v>777</v>
      </c>
      <c r="Q520" s="50" t="s">
        <v>1362</v>
      </c>
    </row>
    <row r="521" spans="1:17" ht="21" customHeight="1" x14ac:dyDescent="0.15">
      <c r="A521" s="2">
        <f t="shared" si="601"/>
        <v>7217</v>
      </c>
      <c r="B521" s="18">
        <v>3</v>
      </c>
      <c r="C521" s="18" t="s">
        <v>1528</v>
      </c>
      <c r="D521" s="2">
        <v>300</v>
      </c>
      <c r="E521" s="17" t="str">
        <f>VLOOKUP($D521,gacha_types!$A:$D,2,FALSE)</f>
        <v>polygon</v>
      </c>
      <c r="F521" s="17">
        <f>VLOOKUP($D521,gacha_types!$A:$D,3,FALSE)</f>
        <v>1</v>
      </c>
      <c r="G521" s="17">
        <f t="shared" ref="G521" si="610">A521</f>
        <v>7217</v>
      </c>
      <c r="H521" s="69" t="str">
        <f t="shared" si="607"/>
        <v>GachaTop_7213.png</v>
      </c>
      <c r="I521" s="23">
        <v>0</v>
      </c>
      <c r="J521" s="23">
        <f t="shared" si="603"/>
        <v>7217</v>
      </c>
      <c r="K521" s="23">
        <v>1</v>
      </c>
      <c r="L521" s="55" t="s">
        <v>813</v>
      </c>
      <c r="M521" s="55" t="s">
        <v>814</v>
      </c>
      <c r="N521" s="2" t="s">
        <v>118</v>
      </c>
      <c r="O521" s="26" t="s">
        <v>1417</v>
      </c>
      <c r="P521" s="2" t="s">
        <v>777</v>
      </c>
      <c r="Q521" s="50" t="s">
        <v>1362</v>
      </c>
    </row>
    <row r="522" spans="1:17" ht="21" customHeight="1" x14ac:dyDescent="0.15">
      <c r="A522" s="2">
        <f t="shared" si="601"/>
        <v>7218</v>
      </c>
      <c r="B522" s="18">
        <v>3</v>
      </c>
      <c r="C522" s="18" t="s">
        <v>1687</v>
      </c>
      <c r="D522" s="2">
        <v>300</v>
      </c>
      <c r="E522" s="17" t="str">
        <f>VLOOKUP($D522,gacha_types!$A:$D,2,FALSE)</f>
        <v>polygon</v>
      </c>
      <c r="F522" s="17">
        <f>VLOOKUP($D522,gacha_types!$A:$D,3,FALSE)</f>
        <v>1</v>
      </c>
      <c r="G522" s="17">
        <f t="shared" ref="G522" si="611">A522</f>
        <v>7218</v>
      </c>
      <c r="H522" s="69" t="str">
        <f t="shared" si="607"/>
        <v>GachaTop_7213.png</v>
      </c>
      <c r="I522" s="23">
        <v>0</v>
      </c>
      <c r="J522" s="23">
        <f t="shared" ref="J522" si="612">A522</f>
        <v>7218</v>
      </c>
      <c r="K522" s="23">
        <v>1</v>
      </c>
      <c r="L522" s="55" t="s">
        <v>813</v>
      </c>
      <c r="M522" s="55" t="s">
        <v>814</v>
      </c>
      <c r="N522" s="2" t="s">
        <v>118</v>
      </c>
      <c r="O522" s="26" t="s">
        <v>1417</v>
      </c>
      <c r="P522" s="2" t="s">
        <v>777</v>
      </c>
      <c r="Q522" s="50" t="s">
        <v>1362</v>
      </c>
    </row>
    <row r="523" spans="1:17" ht="21" customHeight="1" x14ac:dyDescent="0.15">
      <c r="A523" s="2">
        <f t="shared" si="601"/>
        <v>7219</v>
      </c>
      <c r="B523" s="18">
        <v>3</v>
      </c>
      <c r="C523" s="18" t="s">
        <v>1756</v>
      </c>
      <c r="D523" s="2">
        <v>300</v>
      </c>
      <c r="E523" s="17" t="str">
        <f>VLOOKUP($D523,gacha_types!$A:$D,2,FALSE)</f>
        <v>polygon</v>
      </c>
      <c r="F523" s="17">
        <f>VLOOKUP($D523,gacha_types!$A:$D,3,FALSE)</f>
        <v>1</v>
      </c>
      <c r="G523" s="17">
        <f t="shared" ref="G523" si="613">A523</f>
        <v>7219</v>
      </c>
      <c r="H523" s="69" t="str">
        <f t="shared" si="607"/>
        <v>GachaTop_7213.png</v>
      </c>
      <c r="I523" s="23">
        <v>0</v>
      </c>
      <c r="J523" s="23">
        <f t="shared" ref="J523" si="614">A523</f>
        <v>7219</v>
      </c>
      <c r="K523" s="23">
        <v>1</v>
      </c>
      <c r="L523" s="55" t="s">
        <v>813</v>
      </c>
      <c r="M523" s="55" t="s">
        <v>814</v>
      </c>
      <c r="N523" s="2" t="s">
        <v>118</v>
      </c>
      <c r="O523" s="26" t="s">
        <v>1361</v>
      </c>
      <c r="P523" s="2" t="s">
        <v>777</v>
      </c>
      <c r="Q523" s="50" t="s">
        <v>1362</v>
      </c>
    </row>
    <row r="524" spans="1:17" ht="21" customHeight="1" x14ac:dyDescent="0.15">
      <c r="A524" s="2">
        <f t="shared" si="601"/>
        <v>7220</v>
      </c>
      <c r="B524" s="18">
        <v>3</v>
      </c>
      <c r="C524" s="18" t="s">
        <v>1897</v>
      </c>
      <c r="D524" s="2">
        <v>300</v>
      </c>
      <c r="E524" s="17" t="str">
        <f>VLOOKUP($D524,gacha_types!$A:$D,2,FALSE)</f>
        <v>polygon</v>
      </c>
      <c r="F524" s="17">
        <f>VLOOKUP($D524,gacha_types!$A:$D,3,FALSE)</f>
        <v>1</v>
      </c>
      <c r="G524" s="17">
        <f t="shared" ref="G524" si="615">A524</f>
        <v>7220</v>
      </c>
      <c r="H524" s="69" t="str">
        <f t="shared" si="607"/>
        <v>GachaTop_7213.png</v>
      </c>
      <c r="I524" s="23">
        <v>0</v>
      </c>
      <c r="J524" s="23">
        <f t="shared" ref="J524" si="616">A524</f>
        <v>7220</v>
      </c>
      <c r="K524" s="23">
        <v>1</v>
      </c>
      <c r="L524" s="55" t="s">
        <v>813</v>
      </c>
      <c r="M524" s="55" t="s">
        <v>814</v>
      </c>
      <c r="N524" s="2" t="s">
        <v>118</v>
      </c>
      <c r="O524" s="26" t="s">
        <v>1361</v>
      </c>
      <c r="P524" s="2" t="s">
        <v>777</v>
      </c>
      <c r="Q524" s="50" t="s">
        <v>1362</v>
      </c>
    </row>
    <row r="525" spans="1:17" ht="21" customHeight="1" x14ac:dyDescent="0.15">
      <c r="A525" s="2">
        <f t="shared" si="601"/>
        <v>7221</v>
      </c>
      <c r="B525" s="18">
        <v>3</v>
      </c>
      <c r="C525" s="18" t="s">
        <v>2010</v>
      </c>
      <c r="D525" s="2">
        <v>300</v>
      </c>
      <c r="E525" s="17" t="str">
        <f>VLOOKUP($D525,gacha_types!$A:$D,2,FALSE)</f>
        <v>polygon</v>
      </c>
      <c r="F525" s="17">
        <f>VLOOKUP($D525,gacha_types!$A:$D,3,FALSE)</f>
        <v>1</v>
      </c>
      <c r="G525" s="17">
        <f t="shared" ref="G525" si="617">A525</f>
        <v>7221</v>
      </c>
      <c r="H525" s="69" t="str">
        <f t="shared" si="607"/>
        <v>GachaTop_7213.png</v>
      </c>
      <c r="I525" s="23">
        <v>0</v>
      </c>
      <c r="J525" s="23">
        <f t="shared" ref="J525" si="618">A525</f>
        <v>7221</v>
      </c>
      <c r="K525" s="23">
        <v>1</v>
      </c>
      <c r="L525" s="55" t="s">
        <v>813</v>
      </c>
      <c r="M525" s="55" t="s">
        <v>814</v>
      </c>
      <c r="N525" s="2" t="s">
        <v>118</v>
      </c>
      <c r="O525" s="26" t="s">
        <v>1361</v>
      </c>
      <c r="P525" s="2" t="s">
        <v>777</v>
      </c>
      <c r="Q525" s="50" t="s">
        <v>1362</v>
      </c>
    </row>
    <row r="526" spans="1:17" ht="21" customHeight="1" x14ac:dyDescent="0.15">
      <c r="A526" s="2">
        <f t="shared" si="601"/>
        <v>7222</v>
      </c>
      <c r="B526" s="18">
        <v>3</v>
      </c>
      <c r="C526" s="18" t="s">
        <v>2369</v>
      </c>
      <c r="D526" s="2">
        <v>300</v>
      </c>
      <c r="E526" s="17" t="str">
        <f>VLOOKUP($D526,gacha_types!$A:$D,2,FALSE)</f>
        <v>polygon</v>
      </c>
      <c r="F526" s="17">
        <f>VLOOKUP($D526,gacha_types!$A:$D,3,FALSE)</f>
        <v>1</v>
      </c>
      <c r="G526" s="17">
        <f t="shared" ref="G526" si="619">A526</f>
        <v>7222</v>
      </c>
      <c r="H526" s="69" t="str">
        <f t="shared" si="607"/>
        <v>GachaTop_7213.png</v>
      </c>
      <c r="I526" s="23">
        <v>0</v>
      </c>
      <c r="J526" s="23">
        <f t="shared" ref="J526" si="620">A526</f>
        <v>7222</v>
      </c>
      <c r="K526" s="23">
        <v>1</v>
      </c>
      <c r="L526" s="55" t="s">
        <v>813</v>
      </c>
      <c r="M526" s="55" t="s">
        <v>814</v>
      </c>
      <c r="N526" s="2" t="s">
        <v>118</v>
      </c>
      <c r="O526" s="26" t="s">
        <v>1361</v>
      </c>
      <c r="P526" s="2" t="s">
        <v>777</v>
      </c>
      <c r="Q526" s="50" t="s">
        <v>1362</v>
      </c>
    </row>
    <row r="527" spans="1:17" ht="21" customHeight="1" x14ac:dyDescent="0.15">
      <c r="A527" s="2">
        <f t="shared" si="601"/>
        <v>7223</v>
      </c>
      <c r="B527" s="18">
        <v>3</v>
      </c>
      <c r="C527" s="18" t="s">
        <v>2516</v>
      </c>
      <c r="D527" s="2">
        <v>300</v>
      </c>
      <c r="E527" s="17" t="str">
        <f>VLOOKUP($D527,gacha_types!$A:$D,2,FALSE)</f>
        <v>polygon</v>
      </c>
      <c r="F527" s="17">
        <f>VLOOKUP($D527,gacha_types!$A:$D,3,FALSE)</f>
        <v>1</v>
      </c>
      <c r="G527" s="17">
        <f t="shared" ref="G527" si="621">A527</f>
        <v>7223</v>
      </c>
      <c r="H527" s="69" t="str">
        <f t="shared" si="607"/>
        <v>GachaTop_7213.png</v>
      </c>
      <c r="I527" s="23">
        <v>0</v>
      </c>
      <c r="J527" s="23">
        <f t="shared" ref="J527" si="622">A527</f>
        <v>7223</v>
      </c>
      <c r="K527" s="23">
        <v>1</v>
      </c>
      <c r="L527" s="55" t="s">
        <v>813</v>
      </c>
      <c r="M527" s="55" t="s">
        <v>814</v>
      </c>
      <c r="N527" s="2" t="s">
        <v>118</v>
      </c>
      <c r="O527" s="26" t="s">
        <v>1361</v>
      </c>
      <c r="P527" s="2" t="s">
        <v>777</v>
      </c>
      <c r="Q527" s="50" t="s">
        <v>1362</v>
      </c>
    </row>
    <row r="528" spans="1:17" ht="21" customHeight="1" x14ac:dyDescent="0.15">
      <c r="A528" s="2">
        <f t="shared" si="601"/>
        <v>7224</v>
      </c>
      <c r="B528" s="18">
        <v>3</v>
      </c>
      <c r="C528" s="18" t="s">
        <v>2665</v>
      </c>
      <c r="D528" s="2">
        <v>300</v>
      </c>
      <c r="E528" s="17" t="str">
        <f>VLOOKUP($D528,gacha_types!$A:$D,2,FALSE)</f>
        <v>polygon</v>
      </c>
      <c r="F528" s="17">
        <f>VLOOKUP($D528,gacha_types!$A:$D,3,FALSE)</f>
        <v>1</v>
      </c>
      <c r="G528" s="17">
        <f t="shared" ref="G528" si="623">A528</f>
        <v>7224</v>
      </c>
      <c r="H528" s="69" t="str">
        <f t="shared" si="607"/>
        <v>GachaTop_7213.png</v>
      </c>
      <c r="I528" s="23">
        <v>0</v>
      </c>
      <c r="J528" s="23">
        <f t="shared" ref="J528" si="624">A528</f>
        <v>7224</v>
      </c>
      <c r="K528" s="23">
        <v>1</v>
      </c>
      <c r="L528" s="55" t="s">
        <v>813</v>
      </c>
      <c r="M528" s="55" t="s">
        <v>814</v>
      </c>
      <c r="N528" s="2" t="s">
        <v>118</v>
      </c>
      <c r="O528" s="26" t="s">
        <v>1361</v>
      </c>
      <c r="P528" s="2" t="s">
        <v>777</v>
      </c>
      <c r="Q528" s="50" t="s">
        <v>1362</v>
      </c>
    </row>
    <row r="529" spans="1:18" ht="28" x14ac:dyDescent="0.15">
      <c r="A529" s="2">
        <f t="shared" si="601"/>
        <v>7225</v>
      </c>
      <c r="B529" s="18">
        <v>3</v>
      </c>
      <c r="C529" s="18" t="s">
        <v>2977</v>
      </c>
      <c r="D529" s="2">
        <v>300</v>
      </c>
      <c r="E529" s="17" t="str">
        <f>VLOOKUP($D529,gacha_types!$A:$D,2,FALSE)</f>
        <v>polygon</v>
      </c>
      <c r="F529" s="17">
        <f>VLOOKUP($D529,gacha_types!$A:$D,3,FALSE)</f>
        <v>1</v>
      </c>
      <c r="G529" s="17">
        <f t="shared" ref="G529:G530" si="625">A529</f>
        <v>7225</v>
      </c>
      <c r="H529" s="13" t="str">
        <f t="shared" ref="H529:H532" si="626">"GachaTop_"&amp;A529&amp;".png"</f>
        <v>GachaTop_7225.png</v>
      </c>
      <c r="I529" s="23">
        <v>0</v>
      </c>
      <c r="J529" s="23">
        <f t="shared" ref="J529:J530" si="627">A529</f>
        <v>7225</v>
      </c>
      <c r="K529" s="23">
        <v>1</v>
      </c>
      <c r="L529" s="55" t="s">
        <v>813</v>
      </c>
      <c r="M529" s="55" t="s">
        <v>814</v>
      </c>
      <c r="N529" s="2" t="s">
        <v>118</v>
      </c>
      <c r="O529" s="26" t="s">
        <v>2995</v>
      </c>
      <c r="P529" s="2" t="s">
        <v>2996</v>
      </c>
      <c r="Q529" s="26" t="str">
        <f>CONCATENATE(O529, "
",P529)</f>
        <v>厳選★6覚醒済み9ユニットのうち一体が確定排出！_x000D_&lt;font color="#ffab27"&gt;※厳選9ユニット以外のユニットは排出されません&lt;/font&gt;</v>
      </c>
      <c r="R529" s="49"/>
    </row>
    <row r="530" spans="1:18" ht="42" x14ac:dyDescent="0.15">
      <c r="A530" s="2">
        <f t="shared" si="601"/>
        <v>7226</v>
      </c>
      <c r="B530" s="18">
        <v>3</v>
      </c>
      <c r="C530" s="18" t="s">
        <v>3195</v>
      </c>
      <c r="D530" s="2">
        <v>300</v>
      </c>
      <c r="E530" s="17" t="str">
        <f>VLOOKUP($D530,gacha_types!$A:$D,2,FALSE)</f>
        <v>polygon</v>
      </c>
      <c r="F530" s="17">
        <f>VLOOKUP($D530,gacha_types!$A:$D,3,FALSE)</f>
        <v>1</v>
      </c>
      <c r="G530" s="17">
        <f t="shared" si="625"/>
        <v>7226</v>
      </c>
      <c r="H530" s="69" t="str">
        <f>H528</f>
        <v>GachaTop_7213.png</v>
      </c>
      <c r="I530" s="23">
        <v>0</v>
      </c>
      <c r="J530" s="23">
        <f t="shared" si="627"/>
        <v>7226</v>
      </c>
      <c r="K530" s="23">
        <v>1</v>
      </c>
      <c r="L530" s="55" t="s">
        <v>813</v>
      </c>
      <c r="M530" s="55" t="s">
        <v>814</v>
      </c>
      <c r="N530" s="2" t="s">
        <v>118</v>
      </c>
      <c r="O530" s="26" t="s">
        <v>1361</v>
      </c>
      <c r="P530" s="2" t="s">
        <v>777</v>
      </c>
      <c r="Q530" s="50" t="s">
        <v>1362</v>
      </c>
    </row>
    <row r="531" spans="1:18" ht="21" customHeight="1" x14ac:dyDescent="0.15">
      <c r="A531" s="6">
        <v>7300</v>
      </c>
      <c r="B531" s="18">
        <v>3</v>
      </c>
      <c r="C531" s="18" t="s">
        <v>1233</v>
      </c>
      <c r="D531" s="2">
        <v>300</v>
      </c>
      <c r="E531" s="17" t="str">
        <f>VLOOKUP($D531,gacha_types!$A:$D,2,FALSE)</f>
        <v>polygon</v>
      </c>
      <c r="F531" s="17">
        <f>VLOOKUP($D531,gacha_types!$A:$D,3,FALSE)</f>
        <v>1</v>
      </c>
      <c r="G531" s="17">
        <f t="shared" si="590"/>
        <v>7300</v>
      </c>
      <c r="H531" s="13" t="str">
        <f t="shared" si="626"/>
        <v>GachaTop_7300.png</v>
      </c>
      <c r="I531" s="23">
        <v>1</v>
      </c>
      <c r="J531" s="23">
        <f t="shared" si="592"/>
        <v>7300</v>
      </c>
      <c r="K531" s="23">
        <v>1</v>
      </c>
      <c r="L531" s="55" t="s">
        <v>813</v>
      </c>
      <c r="M531" s="55" t="s">
        <v>814</v>
      </c>
      <c r="N531" s="2" t="s">
        <v>118</v>
      </c>
      <c r="O531" s="26" t="s">
        <v>337</v>
      </c>
      <c r="P531" s="2" t="s">
        <v>777</v>
      </c>
      <c r="Q531" s="50" t="s">
        <v>1237</v>
      </c>
    </row>
    <row r="532" spans="1:18" ht="21" customHeight="1" x14ac:dyDescent="0.15">
      <c r="A532" s="6">
        <v>7301</v>
      </c>
      <c r="B532" s="18">
        <v>3</v>
      </c>
      <c r="C532" s="18" t="s">
        <v>1234</v>
      </c>
      <c r="D532" s="2">
        <v>300</v>
      </c>
      <c r="E532" s="17" t="str">
        <f>VLOOKUP($D532,gacha_types!$A:$D,2,FALSE)</f>
        <v>polygon</v>
      </c>
      <c r="F532" s="17">
        <f>VLOOKUP($D532,gacha_types!$A:$D,3,FALSE)</f>
        <v>1</v>
      </c>
      <c r="G532" s="17">
        <f t="shared" ref="G532" si="628">A532</f>
        <v>7301</v>
      </c>
      <c r="H532" s="13" t="str">
        <f t="shared" si="626"/>
        <v>GachaTop_7301.png</v>
      </c>
      <c r="I532" s="23">
        <v>1</v>
      </c>
      <c r="J532" s="23">
        <f t="shared" ref="J532" si="629">A532</f>
        <v>7301</v>
      </c>
      <c r="K532" s="23">
        <v>1</v>
      </c>
      <c r="L532" s="55" t="s">
        <v>813</v>
      </c>
      <c r="M532" s="55" t="s">
        <v>814</v>
      </c>
      <c r="N532" s="2" t="s">
        <v>118</v>
      </c>
      <c r="O532" s="26" t="s">
        <v>337</v>
      </c>
      <c r="P532" s="2" t="s">
        <v>777</v>
      </c>
      <c r="Q532" s="50" t="s">
        <v>1825</v>
      </c>
    </row>
    <row r="533" spans="1:18" ht="21" customHeight="1" x14ac:dyDescent="0.15">
      <c r="A533" s="6">
        <v>7302</v>
      </c>
      <c r="B533" s="18">
        <v>3</v>
      </c>
      <c r="C533" s="18" t="s">
        <v>1593</v>
      </c>
      <c r="D533" s="2">
        <v>300</v>
      </c>
      <c r="E533" s="17" t="str">
        <f>VLOOKUP($D533,gacha_types!$A:$D,2,FALSE)</f>
        <v>polygon</v>
      </c>
      <c r="F533" s="17">
        <f>VLOOKUP($D533,gacha_types!$A:$D,3,FALSE)</f>
        <v>1</v>
      </c>
      <c r="G533" s="17">
        <f t="shared" ref="G533" si="630">A533</f>
        <v>7302</v>
      </c>
      <c r="H533" s="13" t="str">
        <f t="shared" ref="H533" si="631">"GachaTop_"&amp;A533&amp;".png"</f>
        <v>GachaTop_7302.png</v>
      </c>
      <c r="I533" s="23">
        <v>0</v>
      </c>
      <c r="J533" s="23">
        <f t="shared" ref="J533" si="632">A533</f>
        <v>7302</v>
      </c>
      <c r="K533" s="23">
        <v>1</v>
      </c>
      <c r="L533" s="55" t="s">
        <v>813</v>
      </c>
      <c r="M533" s="55" t="s">
        <v>814</v>
      </c>
      <c r="N533" s="2" t="s">
        <v>118</v>
      </c>
      <c r="O533" s="26" t="s">
        <v>1594</v>
      </c>
      <c r="P533" s="2" t="s">
        <v>777</v>
      </c>
      <c r="Q533" s="50" t="s">
        <v>1595</v>
      </c>
    </row>
    <row r="534" spans="1:18" ht="42" x14ac:dyDescent="0.15">
      <c r="A534" s="6">
        <v>7303</v>
      </c>
      <c r="B534" s="18">
        <v>3</v>
      </c>
      <c r="C534" s="18" t="s">
        <v>1738</v>
      </c>
      <c r="D534" s="2">
        <v>300</v>
      </c>
      <c r="E534" s="17" t="str">
        <f>VLOOKUP($D534,gacha_types!$A:$D,2,FALSE)</f>
        <v>polygon</v>
      </c>
      <c r="F534" s="17">
        <f>VLOOKUP($D534,gacha_types!$A:$D,3,FALSE)</f>
        <v>1</v>
      </c>
      <c r="G534" s="17">
        <f t="shared" ref="G534" si="633">A534</f>
        <v>7303</v>
      </c>
      <c r="H534" s="13" t="str">
        <f t="shared" ref="H534" si="634">"GachaTop_"&amp;A534&amp;".png"</f>
        <v>GachaTop_7303.png</v>
      </c>
      <c r="I534" s="23">
        <v>0</v>
      </c>
      <c r="J534" s="23">
        <f t="shared" ref="J534" si="635">A534</f>
        <v>7303</v>
      </c>
      <c r="K534" s="23">
        <v>1</v>
      </c>
      <c r="L534" s="55" t="s">
        <v>813</v>
      </c>
      <c r="M534" s="55" t="s">
        <v>814</v>
      </c>
      <c r="N534" s="2" t="s">
        <v>118</v>
      </c>
      <c r="O534" s="26" t="s">
        <v>1739</v>
      </c>
      <c r="P534" s="2" t="s">
        <v>1764</v>
      </c>
      <c r="Q534" s="26" t="str">
        <f>CONCATENATE(O534, "
",P534,"
",R534)</f>
        <v>★6覚醒可能ユニットのうち1体が確定排出！_x000D_&lt;font color="#ffab27"&gt;※★6覚醒済、限定ユニット及び、10/13(木)以降に&lt;/font&gt;_x000D_&lt;font color="#ffab27"&gt;追加されたユニットは排出されません&lt;/font&gt;</v>
      </c>
      <c r="R534" s="49" t="s">
        <v>1826</v>
      </c>
    </row>
    <row r="535" spans="1:18" ht="21" customHeight="1" x14ac:dyDescent="0.15">
      <c r="A535" s="6">
        <v>7304</v>
      </c>
      <c r="B535" s="18">
        <v>3</v>
      </c>
      <c r="C535" s="18" t="s">
        <v>1813</v>
      </c>
      <c r="D535" s="2">
        <v>300</v>
      </c>
      <c r="E535" s="17" t="str">
        <f>VLOOKUP($D535,gacha_types!$A:$D,2,FALSE)</f>
        <v>polygon</v>
      </c>
      <c r="F535" s="17">
        <f>VLOOKUP($D535,gacha_types!$A:$D,3,FALSE)</f>
        <v>1</v>
      </c>
      <c r="G535" s="17">
        <f t="shared" ref="G535:G536" si="636">A535</f>
        <v>7304</v>
      </c>
      <c r="H535" s="13" t="str">
        <f t="shared" ref="H535:H536" si="637">"GachaTop_"&amp;A535&amp;".png"</f>
        <v>GachaTop_7304.png</v>
      </c>
      <c r="I535" s="23">
        <v>1</v>
      </c>
      <c r="J535" s="23">
        <f t="shared" ref="J535:J536" si="638">A535</f>
        <v>7304</v>
      </c>
      <c r="K535" s="23">
        <v>1</v>
      </c>
      <c r="L535" s="55" t="s">
        <v>813</v>
      </c>
      <c r="M535" s="55" t="s">
        <v>814</v>
      </c>
      <c r="N535" s="2" t="s">
        <v>118</v>
      </c>
      <c r="O535" s="26" t="s">
        <v>1942</v>
      </c>
      <c r="P535" s="2" t="s">
        <v>1841</v>
      </c>
      <c r="Q535" s="26" t="str">
        <f>CONCATENATE(O535, "
",P535,"
",R535)</f>
        <v>&lt;font color="#ffab27"&gt;11/14 14:59&lt;/font&gt;まで_x000D_お菓子チケットを集めて豪華素材ユニットをGETしよう！_x000D_&lt;font color="#ffab27"&gt;※1回につき3枚のお菓子チケットが必要です&lt;/font&gt;</v>
      </c>
      <c r="R535" s="49" t="s">
        <v>1828</v>
      </c>
    </row>
    <row r="536" spans="1:18" ht="21" customHeight="1" x14ac:dyDescent="0.15">
      <c r="A536" s="6">
        <v>7305</v>
      </c>
      <c r="B536" s="18">
        <v>3</v>
      </c>
      <c r="C536" s="18" t="s">
        <v>1814</v>
      </c>
      <c r="D536" s="2">
        <v>300</v>
      </c>
      <c r="E536" s="17" t="str">
        <f>VLOOKUP($D536,gacha_types!$A:$D,2,FALSE)</f>
        <v>polygon</v>
      </c>
      <c r="F536" s="17">
        <f>VLOOKUP($D536,gacha_types!$A:$D,3,FALSE)</f>
        <v>1</v>
      </c>
      <c r="G536" s="17">
        <f t="shared" si="636"/>
        <v>7305</v>
      </c>
      <c r="H536" s="13" t="str">
        <f t="shared" si="637"/>
        <v>GachaTop_7305.png</v>
      </c>
      <c r="I536" s="23">
        <v>1</v>
      </c>
      <c r="J536" s="23">
        <f t="shared" si="638"/>
        <v>7305</v>
      </c>
      <c r="K536" s="23">
        <v>1</v>
      </c>
      <c r="L536" s="55" t="s">
        <v>813</v>
      </c>
      <c r="M536" s="55" t="s">
        <v>814</v>
      </c>
      <c r="N536" s="2" t="s">
        <v>118</v>
      </c>
      <c r="O536" s="26" t="s">
        <v>1943</v>
      </c>
      <c r="P536" s="2" t="s">
        <v>1841</v>
      </c>
      <c r="Q536" s="26" t="str">
        <f>CONCATENATE(O536, "
",P536,"
",R536)</f>
        <v>&lt;font color="#ffab27"&gt;11/14 14:59&lt;/font&gt;まで_x000D_お菓子チケットを集めて豪華素材ユニットをGETしよう！_x000D_&lt;font color="#ffab27"&gt;※1回につき30枚のお菓子チケットが必要です&lt;/font&gt;</v>
      </c>
      <c r="R536" s="49" t="s">
        <v>1827</v>
      </c>
    </row>
    <row r="537" spans="1:18" ht="21" customHeight="1" x14ac:dyDescent="0.15">
      <c r="A537" s="6">
        <v>7306</v>
      </c>
      <c r="B537" s="18">
        <v>3</v>
      </c>
      <c r="C537" s="18" t="s">
        <v>1738</v>
      </c>
      <c r="D537" s="2">
        <v>300</v>
      </c>
      <c r="E537" s="17" t="str">
        <f>VLOOKUP($D537,gacha_types!$A:$D,2,FALSE)</f>
        <v>polygon</v>
      </c>
      <c r="F537" s="17">
        <f>VLOOKUP($D537,gacha_types!$A:$D,3,FALSE)</f>
        <v>1</v>
      </c>
      <c r="G537" s="17">
        <f t="shared" ref="G537" si="639">A537</f>
        <v>7306</v>
      </c>
      <c r="H537" s="13" t="str">
        <f t="shared" ref="H537" si="640">"GachaTop_"&amp;A537&amp;".png"</f>
        <v>GachaTop_7306.png</v>
      </c>
      <c r="I537" s="23">
        <v>0</v>
      </c>
      <c r="J537" s="23">
        <f t="shared" ref="J537" si="641">A537</f>
        <v>7306</v>
      </c>
      <c r="K537" s="23">
        <v>1</v>
      </c>
      <c r="L537" s="55" t="s">
        <v>813</v>
      </c>
      <c r="M537" s="55" t="s">
        <v>814</v>
      </c>
      <c r="N537" s="2" t="s">
        <v>118</v>
      </c>
      <c r="O537" s="26" t="s">
        <v>1739</v>
      </c>
      <c r="P537" s="2" t="s">
        <v>1967</v>
      </c>
      <c r="Q537" s="26" t="str">
        <f>CONCATENATE(O537, "
",P537,"
",R537)</f>
        <v>★6覚醒可能ユニットのうち1体が確定排出！_x000D_&lt;font color="#ffab27"&gt;※★6覚醒済、限定ユニット及び、11/14(月)以降に&lt;/font&gt;_x000D_&lt;font color="#ffab27"&gt;追加されたユニットは排出されません&lt;/font&gt;</v>
      </c>
      <c r="R537" s="49" t="s">
        <v>1826</v>
      </c>
    </row>
    <row r="538" spans="1:18" ht="21" customHeight="1" x14ac:dyDescent="0.15">
      <c r="A538" s="6">
        <v>7307</v>
      </c>
      <c r="B538" s="18">
        <v>3</v>
      </c>
      <c r="C538" s="18" t="s">
        <v>2046</v>
      </c>
      <c r="D538" s="2">
        <v>300</v>
      </c>
      <c r="E538" s="17" t="str">
        <f>VLOOKUP($D538,gacha_types!$A:$D,2,FALSE)</f>
        <v>polygon</v>
      </c>
      <c r="F538" s="17">
        <f>VLOOKUP($D538,gacha_types!$A:$D,3,FALSE)</f>
        <v>1</v>
      </c>
      <c r="G538" s="17">
        <f t="shared" ref="G538" si="642">A538</f>
        <v>7307</v>
      </c>
      <c r="H538" s="13" t="str">
        <f t="shared" ref="H538" si="643">"GachaTop_"&amp;A538&amp;".png"</f>
        <v>GachaTop_7307.png</v>
      </c>
      <c r="I538" s="23">
        <v>0</v>
      </c>
      <c r="J538" s="23">
        <f t="shared" ref="J538" si="644">A538</f>
        <v>7307</v>
      </c>
      <c r="K538" s="23">
        <v>1</v>
      </c>
      <c r="L538" s="55" t="s">
        <v>813</v>
      </c>
      <c r="M538" s="55" t="s">
        <v>814</v>
      </c>
      <c r="N538" s="2" t="s">
        <v>118</v>
      </c>
      <c r="O538" s="26"/>
      <c r="P538" s="2" t="s">
        <v>2101</v>
      </c>
      <c r="Q538" s="26" t="str">
        <f>CONCATENATE(P538,"
",R538)</f>
        <v>ユニットレベル・スキルレベルMAX_x000D_&amp;限界突破値+99で排出！</v>
      </c>
      <c r="R538" s="49" t="s">
        <v>2102</v>
      </c>
    </row>
    <row r="539" spans="1:18" ht="43" customHeight="1" x14ac:dyDescent="0.15">
      <c r="A539" s="6">
        <v>7308</v>
      </c>
      <c r="B539" s="18">
        <v>3</v>
      </c>
      <c r="C539" s="18" t="s">
        <v>2281</v>
      </c>
      <c r="D539" s="2">
        <v>300</v>
      </c>
      <c r="E539" s="17" t="str">
        <f>VLOOKUP($D539,gacha_types!$A:$D,2,FALSE)</f>
        <v>polygon</v>
      </c>
      <c r="F539" s="17">
        <f>VLOOKUP($D539,gacha_types!$A:$D,3,FALSE)</f>
        <v>1</v>
      </c>
      <c r="G539" s="17">
        <f t="shared" ref="G539:G541" si="645">A539</f>
        <v>7308</v>
      </c>
      <c r="H539" s="13" t="str">
        <f t="shared" ref="H539:H541" si="646">"GachaTop_"&amp;A539&amp;".png"</f>
        <v>GachaTop_7308.png</v>
      </c>
      <c r="I539" s="23">
        <v>1</v>
      </c>
      <c r="J539" s="23">
        <f t="shared" ref="J539:J541" si="647">A539</f>
        <v>7308</v>
      </c>
      <c r="K539" s="23">
        <v>1</v>
      </c>
      <c r="L539" s="55" t="s">
        <v>813</v>
      </c>
      <c r="M539" s="55" t="s">
        <v>814</v>
      </c>
      <c r="N539" s="2" t="s">
        <v>118</v>
      </c>
      <c r="O539" s="111" t="str">
        <f>CONCATENATE("&lt;font color=""#ffab27""&gt;",TEXT(VLOOKUP(A539,gacha_schedules!C:F,4,FALSE),"mm/dd hh:mm"),"&lt;/font&gt;まで")</f>
        <v>&lt;font color="#ffab27"&gt;06/03 14:59&lt;/font&gt;まで</v>
      </c>
      <c r="P539" s="2" t="s">
        <v>2291</v>
      </c>
      <c r="Q539" s="26" t="str">
        <f t="shared" ref="Q539:Q553" si="648">CONCATENATE(O539, CHAR(13),P539, CHAR(13),R539)</f>
        <v>&lt;font color="#ffab27"&gt;06/03 14:59&lt;/font&gt;まで_x000D_ウィンターチケットを集めて豪華報酬をGETしよう！_x000D_&lt;font color="#ffab27"&gt;※1回につき3枚のウィンターチケットが必要です&lt;/font&gt;</v>
      </c>
      <c r="R539" s="49" t="s">
        <v>2283</v>
      </c>
    </row>
    <row r="540" spans="1:18" ht="43" customHeight="1" x14ac:dyDescent="0.15">
      <c r="A540" s="6">
        <v>7309</v>
      </c>
      <c r="B540" s="18">
        <v>3</v>
      </c>
      <c r="C540" s="18" t="s">
        <v>2282</v>
      </c>
      <c r="D540" s="2">
        <v>300</v>
      </c>
      <c r="E540" s="17" t="str">
        <f>VLOOKUP($D540,gacha_types!$A:$D,2,FALSE)</f>
        <v>polygon</v>
      </c>
      <c r="F540" s="17">
        <f>VLOOKUP($D540,gacha_types!$A:$D,3,FALSE)</f>
        <v>1</v>
      </c>
      <c r="G540" s="17">
        <f t="shared" si="645"/>
        <v>7309</v>
      </c>
      <c r="H540" s="13" t="str">
        <f t="shared" si="646"/>
        <v>GachaTop_7309.png</v>
      </c>
      <c r="I540" s="23">
        <v>1</v>
      </c>
      <c r="J540" s="23">
        <f t="shared" si="647"/>
        <v>7309</v>
      </c>
      <c r="K540" s="23">
        <v>1</v>
      </c>
      <c r="L540" s="55" t="s">
        <v>813</v>
      </c>
      <c r="M540" s="55" t="s">
        <v>814</v>
      </c>
      <c r="N540" s="2" t="s">
        <v>118</v>
      </c>
      <c r="O540" s="111" t="str">
        <f>CONCATENATE("&lt;font color=""#ffab27""&gt;",TEXT(VLOOKUP(A540,gacha_schedules!C:F,4,FALSE),"mm/dd hh:mm"),"&lt;/font&gt;まで")</f>
        <v>&lt;font color="#ffab27"&gt;06/03 14:59&lt;/font&gt;まで</v>
      </c>
      <c r="P540" s="2" t="s">
        <v>2291</v>
      </c>
      <c r="Q540" s="26" t="str">
        <f t="shared" si="648"/>
        <v>&lt;font color="#ffab27"&gt;06/03 14:59&lt;/font&gt;まで_x000D_ウィンターチケットを集めて豪華報酬をGETしよう！_x000D_&lt;font color="#ffab27"&gt;※1回につき30枚のウィンターチケットが必要です&lt;/font&gt;</v>
      </c>
      <c r="R540" s="49" t="s">
        <v>2284</v>
      </c>
    </row>
    <row r="541" spans="1:18" ht="43" customHeight="1" x14ac:dyDescent="0.15">
      <c r="A541" s="6">
        <v>7310</v>
      </c>
      <c r="B541" s="18">
        <v>3</v>
      </c>
      <c r="C541" s="18" t="s">
        <v>1738</v>
      </c>
      <c r="D541" s="2">
        <v>300</v>
      </c>
      <c r="E541" s="17" t="str">
        <f>VLOOKUP($D541,gacha_types!$A:$D,2,FALSE)</f>
        <v>polygon</v>
      </c>
      <c r="F541" s="17">
        <f>VLOOKUP($D541,gacha_types!$A:$D,3,FALSE)</f>
        <v>1</v>
      </c>
      <c r="G541" s="17">
        <f t="shared" si="645"/>
        <v>7310</v>
      </c>
      <c r="H541" s="13" t="str">
        <f t="shared" si="646"/>
        <v>GachaTop_7310.png</v>
      </c>
      <c r="I541" s="23">
        <v>0</v>
      </c>
      <c r="J541" s="23">
        <f t="shared" si="647"/>
        <v>7310</v>
      </c>
      <c r="K541" s="23">
        <v>1</v>
      </c>
      <c r="L541" s="55" t="s">
        <v>813</v>
      </c>
      <c r="M541" s="55" t="s">
        <v>814</v>
      </c>
      <c r="N541" s="2" t="s">
        <v>118</v>
      </c>
      <c r="O541" s="26" t="s">
        <v>1739</v>
      </c>
      <c r="P541" s="2" t="s">
        <v>2289</v>
      </c>
      <c r="Q541" s="26" t="str">
        <f t="shared" si="648"/>
        <v>★6覚醒可能ユニットのうち1体が確定排出！_x000D_&lt;font color="#ffab27"&gt;※★6覚醒済、限定ユニット及び、12/15(木)以降に&lt;/font&gt;_x000D_&lt;font color="#ffab27"&gt;追加されたユニットは排出されません&lt;/font&gt;</v>
      </c>
      <c r="R541" s="49" t="s">
        <v>1826</v>
      </c>
    </row>
    <row r="542" spans="1:18" ht="43" customHeight="1" x14ac:dyDescent="0.15">
      <c r="A542" s="2">
        <f t="shared" ref="A542:A577" si="649">A541+1</f>
        <v>7311</v>
      </c>
      <c r="B542" s="18">
        <v>3</v>
      </c>
      <c r="C542" s="18" t="s">
        <v>1738</v>
      </c>
      <c r="D542" s="2">
        <v>300</v>
      </c>
      <c r="E542" s="17" t="str">
        <f>VLOOKUP($D542,gacha_types!$A:$D,2,FALSE)</f>
        <v>polygon</v>
      </c>
      <c r="F542" s="17">
        <f>VLOOKUP($D542,gacha_types!$A:$D,3,FALSE)</f>
        <v>1</v>
      </c>
      <c r="G542" s="17">
        <f t="shared" ref="G542" si="650">A542</f>
        <v>7311</v>
      </c>
      <c r="H542" s="69" t="str">
        <f>H541</f>
        <v>GachaTop_7310.png</v>
      </c>
      <c r="I542" s="23">
        <v>0</v>
      </c>
      <c r="J542" s="23">
        <f t="shared" ref="J542" si="651">A542</f>
        <v>7311</v>
      </c>
      <c r="K542" s="23">
        <v>1</v>
      </c>
      <c r="L542" s="55" t="s">
        <v>813</v>
      </c>
      <c r="M542" s="55" t="s">
        <v>814</v>
      </c>
      <c r="N542" s="2" t="s">
        <v>118</v>
      </c>
      <c r="O542" s="26" t="s">
        <v>1739</v>
      </c>
      <c r="P542" s="2" t="s">
        <v>2517</v>
      </c>
      <c r="Q542" s="26" t="str">
        <f t="shared" si="648"/>
        <v>★6覚醒可能ユニットのうち1体が確定排出！_x000D_&lt;font color="#ffab27"&gt;※★6覚醒済、限定ユニット及び、1/14(土)以降に&lt;/font&gt;_x000D_&lt;font color="#ffab27"&gt;追加されたユニットは排出されません&lt;/font&gt;</v>
      </c>
      <c r="R542" s="49" t="s">
        <v>1826</v>
      </c>
    </row>
    <row r="543" spans="1:18" ht="43" customHeight="1" x14ac:dyDescent="0.15">
      <c r="A543" s="2">
        <f t="shared" si="649"/>
        <v>7312</v>
      </c>
      <c r="B543" s="18">
        <v>3</v>
      </c>
      <c r="C543" s="18" t="s">
        <v>1738</v>
      </c>
      <c r="D543" s="2">
        <v>300</v>
      </c>
      <c r="E543" s="17" t="str">
        <f>VLOOKUP($D543,gacha_types!$A:$D,2,FALSE)</f>
        <v>polygon</v>
      </c>
      <c r="F543" s="17">
        <f>VLOOKUP($D543,gacha_types!$A:$D,3,FALSE)</f>
        <v>1</v>
      </c>
      <c r="G543" s="17">
        <f t="shared" ref="G543" si="652">A543</f>
        <v>7312</v>
      </c>
      <c r="H543" s="69" t="str">
        <f>H542</f>
        <v>GachaTop_7310.png</v>
      </c>
      <c r="I543" s="23">
        <v>0</v>
      </c>
      <c r="J543" s="23">
        <f t="shared" ref="J543" si="653">A543</f>
        <v>7312</v>
      </c>
      <c r="K543" s="23">
        <v>1</v>
      </c>
      <c r="L543" s="55" t="s">
        <v>813</v>
      </c>
      <c r="M543" s="55" t="s">
        <v>814</v>
      </c>
      <c r="N543" s="2" t="s">
        <v>118</v>
      </c>
      <c r="O543" s="26" t="s">
        <v>1739</v>
      </c>
      <c r="P543" s="2" t="s">
        <v>2671</v>
      </c>
      <c r="Q543" s="26" t="str">
        <f t="shared" si="648"/>
        <v>★6覚醒可能ユニットのうち1体が確定排出！_x000D_&lt;font color="#ffab27"&gt;※★6覚醒済、限定ユニット及び、2/21(火)以降に&lt;/font&gt;_x000D_&lt;font color="#ffab27"&gt;追加されたユニットは排出されません&lt;/font&gt;</v>
      </c>
      <c r="R543" s="49" t="s">
        <v>1826</v>
      </c>
    </row>
    <row r="544" spans="1:18" ht="43" customHeight="1" x14ac:dyDescent="0.15">
      <c r="A544" s="2">
        <f t="shared" si="649"/>
        <v>7313</v>
      </c>
      <c r="B544" s="18">
        <v>3</v>
      </c>
      <c r="C544" s="18" t="s">
        <v>2753</v>
      </c>
      <c r="D544" s="2">
        <v>300</v>
      </c>
      <c r="E544" s="17" t="str">
        <f>VLOOKUP($D544,gacha_types!$A:$D,2,FALSE)</f>
        <v>polygon</v>
      </c>
      <c r="F544" s="17">
        <f>VLOOKUP($D544,gacha_types!$A:$D,3,FALSE)</f>
        <v>1</v>
      </c>
      <c r="G544" s="17">
        <f t="shared" ref="G544:G549" si="654">A544</f>
        <v>7313</v>
      </c>
      <c r="H544" s="69" t="str">
        <f t="shared" ref="H544:H549" si="655">"GachaTop_"&amp;A544&amp;".png"</f>
        <v>GachaTop_7313.png</v>
      </c>
      <c r="I544" s="23">
        <v>0</v>
      </c>
      <c r="J544" s="23">
        <f t="shared" ref="J544:J549" si="656">A544</f>
        <v>7313</v>
      </c>
      <c r="K544" s="23">
        <v>1</v>
      </c>
      <c r="L544" s="55" t="s">
        <v>813</v>
      </c>
      <c r="M544" s="55" t="s">
        <v>814</v>
      </c>
      <c r="N544" s="2" t="s">
        <v>118</v>
      </c>
      <c r="O544" s="26" t="s">
        <v>2720</v>
      </c>
      <c r="P544" s="2" t="s">
        <v>2719</v>
      </c>
      <c r="Q544" s="26" t="str">
        <f t="shared" si="648"/>
        <v>★6覚醒済み赤属性ユニット1体が確定排出！_x000D_&lt;font color="#ffab27"&gt;※限定ユニット及び、2/21(火)以降に&lt;/font&gt;_x000D_&lt;font color="#ffab27"&gt;追加されたユニットは排出されません&lt;/font&gt;</v>
      </c>
      <c r="R544" s="49" t="s">
        <v>1826</v>
      </c>
    </row>
    <row r="545" spans="1:18" ht="43" customHeight="1" x14ac:dyDescent="0.15">
      <c r="A545" s="2">
        <f t="shared" si="649"/>
        <v>7314</v>
      </c>
      <c r="B545" s="18">
        <v>3</v>
      </c>
      <c r="C545" s="18" t="s">
        <v>2754</v>
      </c>
      <c r="D545" s="2">
        <v>300</v>
      </c>
      <c r="E545" s="17" t="str">
        <f>VLOOKUP($D545,gacha_types!$A:$D,2,FALSE)</f>
        <v>polygon</v>
      </c>
      <c r="F545" s="17">
        <f>VLOOKUP($D545,gacha_types!$A:$D,3,FALSE)</f>
        <v>1</v>
      </c>
      <c r="G545" s="17">
        <f t="shared" si="654"/>
        <v>7314</v>
      </c>
      <c r="H545" s="69" t="str">
        <f t="shared" si="655"/>
        <v>GachaTop_7314.png</v>
      </c>
      <c r="I545" s="23">
        <v>0</v>
      </c>
      <c r="J545" s="23">
        <f t="shared" si="656"/>
        <v>7314</v>
      </c>
      <c r="K545" s="23">
        <v>1</v>
      </c>
      <c r="L545" s="55" t="s">
        <v>813</v>
      </c>
      <c r="M545" s="55" t="s">
        <v>814</v>
      </c>
      <c r="N545" s="2" t="s">
        <v>118</v>
      </c>
      <c r="O545" s="26" t="s">
        <v>2721</v>
      </c>
      <c r="P545" s="2" t="s">
        <v>2719</v>
      </c>
      <c r="Q545" s="26" t="str">
        <f t="shared" si="648"/>
        <v>★6覚醒済み青属性ユニット1体が確定排出！_x000D_&lt;font color="#ffab27"&gt;※限定ユニット及び、2/21(火)以降に&lt;/font&gt;_x000D_&lt;font color="#ffab27"&gt;追加されたユニットは排出されません&lt;/font&gt;</v>
      </c>
      <c r="R545" s="49" t="s">
        <v>1826</v>
      </c>
    </row>
    <row r="546" spans="1:18" ht="43" customHeight="1" x14ac:dyDescent="0.15">
      <c r="A546" s="2">
        <f t="shared" si="649"/>
        <v>7315</v>
      </c>
      <c r="B546" s="18">
        <v>3</v>
      </c>
      <c r="C546" s="18" t="s">
        <v>2755</v>
      </c>
      <c r="D546" s="2">
        <v>300</v>
      </c>
      <c r="E546" s="17" t="str">
        <f>VLOOKUP($D546,gacha_types!$A:$D,2,FALSE)</f>
        <v>polygon</v>
      </c>
      <c r="F546" s="17">
        <f>VLOOKUP($D546,gacha_types!$A:$D,3,FALSE)</f>
        <v>1</v>
      </c>
      <c r="G546" s="17">
        <f t="shared" si="654"/>
        <v>7315</v>
      </c>
      <c r="H546" s="69" t="str">
        <f t="shared" si="655"/>
        <v>GachaTop_7315.png</v>
      </c>
      <c r="I546" s="23">
        <v>0</v>
      </c>
      <c r="J546" s="23">
        <f t="shared" si="656"/>
        <v>7315</v>
      </c>
      <c r="K546" s="23">
        <v>1</v>
      </c>
      <c r="L546" s="55" t="s">
        <v>813</v>
      </c>
      <c r="M546" s="55" t="s">
        <v>814</v>
      </c>
      <c r="N546" s="2" t="s">
        <v>118</v>
      </c>
      <c r="O546" s="26" t="s">
        <v>2722</v>
      </c>
      <c r="P546" s="2" t="s">
        <v>2719</v>
      </c>
      <c r="Q546" s="26" t="str">
        <f t="shared" si="648"/>
        <v>★6覚醒済み緑属性ユニット1体が確定排出！_x000D_&lt;font color="#ffab27"&gt;※限定ユニット及び、2/21(火)以降に&lt;/font&gt;_x000D_&lt;font color="#ffab27"&gt;追加されたユニットは排出されません&lt;/font&gt;</v>
      </c>
      <c r="R546" s="49" t="s">
        <v>1826</v>
      </c>
    </row>
    <row r="547" spans="1:18" ht="43" customHeight="1" x14ac:dyDescent="0.15">
      <c r="A547" s="2">
        <f t="shared" si="649"/>
        <v>7316</v>
      </c>
      <c r="B547" s="18">
        <v>3</v>
      </c>
      <c r="C547" s="18" t="s">
        <v>2756</v>
      </c>
      <c r="D547" s="2">
        <v>300</v>
      </c>
      <c r="E547" s="17" t="str">
        <f>VLOOKUP($D547,gacha_types!$A:$D,2,FALSE)</f>
        <v>polygon</v>
      </c>
      <c r="F547" s="17">
        <f>VLOOKUP($D547,gacha_types!$A:$D,3,FALSE)</f>
        <v>1</v>
      </c>
      <c r="G547" s="17">
        <f t="shared" si="654"/>
        <v>7316</v>
      </c>
      <c r="H547" s="69" t="str">
        <f t="shared" si="655"/>
        <v>GachaTop_7316.png</v>
      </c>
      <c r="I547" s="23">
        <v>0</v>
      </c>
      <c r="J547" s="23">
        <f t="shared" si="656"/>
        <v>7316</v>
      </c>
      <c r="K547" s="23">
        <v>1</v>
      </c>
      <c r="L547" s="55" t="s">
        <v>813</v>
      </c>
      <c r="M547" s="55" t="s">
        <v>814</v>
      </c>
      <c r="N547" s="2" t="s">
        <v>118</v>
      </c>
      <c r="O547" s="26" t="s">
        <v>2723</v>
      </c>
      <c r="P547" s="2" t="s">
        <v>2719</v>
      </c>
      <c r="Q547" s="26" t="str">
        <f t="shared" si="648"/>
        <v>★6覚醒済み黄属性ユニット1体が確定排出！_x000D_&lt;font color="#ffab27"&gt;※限定ユニット及び、2/21(火)以降に&lt;/font&gt;_x000D_&lt;font color="#ffab27"&gt;追加されたユニットは排出されません&lt;/font&gt;</v>
      </c>
      <c r="R547" s="49" t="s">
        <v>1826</v>
      </c>
    </row>
    <row r="548" spans="1:18" ht="43" customHeight="1" x14ac:dyDescent="0.15">
      <c r="A548" s="2">
        <f t="shared" si="649"/>
        <v>7317</v>
      </c>
      <c r="B548" s="18">
        <v>3</v>
      </c>
      <c r="C548" s="18" t="s">
        <v>2772</v>
      </c>
      <c r="D548" s="2">
        <v>300</v>
      </c>
      <c r="E548" s="17" t="str">
        <f>VLOOKUP($D548,gacha_types!$A:$D,2,FALSE)</f>
        <v>polygon</v>
      </c>
      <c r="F548" s="17">
        <f>VLOOKUP($D548,gacha_types!$A:$D,3,FALSE)</f>
        <v>1</v>
      </c>
      <c r="G548" s="17">
        <f t="shared" si="654"/>
        <v>7317</v>
      </c>
      <c r="H548" s="13" t="str">
        <f t="shared" si="655"/>
        <v>GachaTop_7317.png</v>
      </c>
      <c r="I548" s="23">
        <v>1</v>
      </c>
      <c r="J548" s="23">
        <f t="shared" si="656"/>
        <v>7317</v>
      </c>
      <c r="K548" s="23">
        <v>1</v>
      </c>
      <c r="L548" s="55" t="s">
        <v>813</v>
      </c>
      <c r="M548" s="55" t="s">
        <v>814</v>
      </c>
      <c r="N548" s="2" t="s">
        <v>118</v>
      </c>
      <c r="O548" s="111" t="str">
        <f>CONCATENATE("&lt;font color=""#ffab27""&gt;",TEXT(VLOOKUP(A548,gacha_schedules!C:F,4,FALSE),"mm/dd hh:mm"),"&lt;/font&gt;まで")</f>
        <v>&lt;font color="#ffab27"&gt;03/16 14:59&lt;/font&gt;まで</v>
      </c>
      <c r="P548" s="2" t="s">
        <v>2799</v>
      </c>
      <c r="Q548" s="26" t="str">
        <f t="shared" si="648"/>
        <v>&lt;font color="#ffab27"&gt;03/16 14:59&lt;/font&gt;まで_x000D_ホワイトデーチケットを集めて豪華素材をGETしよう！_x000D_&lt;font color="#ffab27"&gt;※1回につき3枚のホワイトデーチケットが必要です&lt;/font&gt;</v>
      </c>
      <c r="R548" s="49" t="s">
        <v>2774</v>
      </c>
    </row>
    <row r="549" spans="1:18" ht="43" customHeight="1" x14ac:dyDescent="0.15">
      <c r="A549" s="2">
        <f t="shared" si="649"/>
        <v>7318</v>
      </c>
      <c r="B549" s="18">
        <v>3</v>
      </c>
      <c r="C549" s="18" t="s">
        <v>2773</v>
      </c>
      <c r="D549" s="2">
        <v>300</v>
      </c>
      <c r="E549" s="17" t="str">
        <f>VLOOKUP($D549,gacha_types!$A:$D,2,FALSE)</f>
        <v>polygon</v>
      </c>
      <c r="F549" s="17">
        <f>VLOOKUP($D549,gacha_types!$A:$D,3,FALSE)</f>
        <v>1</v>
      </c>
      <c r="G549" s="17">
        <f t="shared" si="654"/>
        <v>7318</v>
      </c>
      <c r="H549" s="13" t="str">
        <f t="shared" si="655"/>
        <v>GachaTop_7318.png</v>
      </c>
      <c r="I549" s="23">
        <v>1</v>
      </c>
      <c r="J549" s="23">
        <f t="shared" si="656"/>
        <v>7318</v>
      </c>
      <c r="K549" s="23">
        <v>1</v>
      </c>
      <c r="L549" s="55" t="s">
        <v>813</v>
      </c>
      <c r="M549" s="55" t="s">
        <v>814</v>
      </c>
      <c r="N549" s="2" t="s">
        <v>118</v>
      </c>
      <c r="O549" s="111" t="str">
        <f>CONCATENATE("&lt;font color=""#ffab27""&gt;",TEXT(VLOOKUP(A549,gacha_schedules!C:F,4,FALSE),"mm/dd hh:mm"),"&lt;/font&gt;まで")</f>
        <v>&lt;font color="#ffab27"&gt;03/16 14:59&lt;/font&gt;まで</v>
      </c>
      <c r="P549" s="2" t="s">
        <v>2799</v>
      </c>
      <c r="Q549" s="26" t="str">
        <f t="shared" si="648"/>
        <v>&lt;font color="#ffab27"&gt;03/16 14:59&lt;/font&gt;まで_x000D_ホワイトデーチケットを集めて豪華素材をGETしよう！_x000D_&lt;font color="#ffab27"&gt;※1回につき30枚のホワイトデーチケットが必要です&lt;/font&gt;</v>
      </c>
      <c r="R549" s="49" t="s">
        <v>2803</v>
      </c>
    </row>
    <row r="550" spans="1:18" ht="43" customHeight="1" x14ac:dyDescent="0.15">
      <c r="A550" s="2">
        <f t="shared" si="649"/>
        <v>7319</v>
      </c>
      <c r="B550" s="18">
        <v>3</v>
      </c>
      <c r="C550" s="18" t="s">
        <v>2850</v>
      </c>
      <c r="D550" s="2">
        <v>300</v>
      </c>
      <c r="E550" s="17" t="str">
        <f>VLOOKUP($D550,gacha_types!$A:$D,2,FALSE)</f>
        <v>polygon</v>
      </c>
      <c r="F550" s="17">
        <f>VLOOKUP($D550,gacha_types!$A:$D,3,FALSE)</f>
        <v>1</v>
      </c>
      <c r="G550" s="17">
        <f t="shared" ref="G550:G551" si="657">A550</f>
        <v>7319</v>
      </c>
      <c r="H550" s="13" t="str">
        <f t="shared" ref="H550:H551" si="658">"GachaTop_"&amp;A550&amp;".png"</f>
        <v>GachaTop_7319.png</v>
      </c>
      <c r="I550" s="23">
        <v>1</v>
      </c>
      <c r="J550" s="23">
        <f t="shared" ref="J550:J551" si="659">A550</f>
        <v>7319</v>
      </c>
      <c r="K550" s="23">
        <v>1</v>
      </c>
      <c r="L550" s="55" t="s">
        <v>813</v>
      </c>
      <c r="M550" s="55" t="s">
        <v>814</v>
      </c>
      <c r="N550" s="2" t="s">
        <v>118</v>
      </c>
      <c r="O550" s="111" t="str">
        <f>CONCATENATE("&lt;font color=""#ffab27""&gt;",TEXT(VLOOKUP(A550,gacha_schedules!C:F,4,FALSE),"mm/dd hh:mm"),"&lt;/font&gt;まで")</f>
        <v>&lt;font color="#ffab27"&gt;04/04 10:59&lt;/font&gt;まで</v>
      </c>
      <c r="P550" s="2" t="s">
        <v>2865</v>
      </c>
      <c r="Q550" s="26" t="str">
        <f t="shared" si="648"/>
        <v>&lt;font color="#ffab27"&gt;04/04 10:59&lt;/font&gt;まで_x000D_にゃんこワクワクチケットを集めて豪華素材をGETしよう！_x000D_&lt;font color="#ffab27"&gt;※1回につき1枚のにゃんこワクワクチケットが必要です&lt;/font&gt;</v>
      </c>
      <c r="R550" s="49" t="s">
        <v>2863</v>
      </c>
    </row>
    <row r="551" spans="1:18" ht="43" customHeight="1" x14ac:dyDescent="0.15">
      <c r="A551" s="2">
        <f t="shared" si="649"/>
        <v>7320</v>
      </c>
      <c r="B551" s="18">
        <v>3</v>
      </c>
      <c r="C551" s="18" t="s">
        <v>2851</v>
      </c>
      <c r="D551" s="2">
        <v>300</v>
      </c>
      <c r="E551" s="17" t="str">
        <f>VLOOKUP($D551,gacha_types!$A:$D,2,FALSE)</f>
        <v>polygon</v>
      </c>
      <c r="F551" s="17">
        <f>VLOOKUP($D551,gacha_types!$A:$D,3,FALSE)</f>
        <v>1</v>
      </c>
      <c r="G551" s="17">
        <f t="shared" si="657"/>
        <v>7320</v>
      </c>
      <c r="H551" s="13" t="str">
        <f t="shared" si="658"/>
        <v>GachaTop_7320.png</v>
      </c>
      <c r="I551" s="23">
        <v>1</v>
      </c>
      <c r="J551" s="23">
        <f t="shared" si="659"/>
        <v>7320</v>
      </c>
      <c r="K551" s="23">
        <v>1</v>
      </c>
      <c r="L551" s="55" t="s">
        <v>813</v>
      </c>
      <c r="M551" s="55" t="s">
        <v>814</v>
      </c>
      <c r="N551" s="2" t="s">
        <v>118</v>
      </c>
      <c r="O551" s="111" t="str">
        <f>CONCATENATE("&lt;font color=""#ffab27""&gt;",TEXT(VLOOKUP(A551,gacha_schedules!C:F,4,FALSE),"mm/dd hh:mm"),"&lt;/font&gt;まで")</f>
        <v>&lt;font color="#ffab27"&gt;04/04 10:59&lt;/font&gt;まで</v>
      </c>
      <c r="P551" s="2" t="s">
        <v>2865</v>
      </c>
      <c r="Q551" s="26" t="str">
        <f t="shared" si="648"/>
        <v>&lt;font color="#ffab27"&gt;04/04 10:59&lt;/font&gt;まで_x000D_にゃんこワクワクチケットを集めて豪華素材をGETしよう！_x000D_&lt;font color="#ffab27"&gt;※1回につき10枚のにゃんこワクワクチケットが必要です&lt;/font&gt;</v>
      </c>
      <c r="R551" s="49" t="s">
        <v>2864</v>
      </c>
    </row>
    <row r="552" spans="1:18" ht="43" customHeight="1" x14ac:dyDescent="0.15">
      <c r="A552" s="2">
        <f t="shared" si="649"/>
        <v>7321</v>
      </c>
      <c r="B552" s="18">
        <v>3</v>
      </c>
      <c r="C552" s="18" t="s">
        <v>2944</v>
      </c>
      <c r="D552" s="2">
        <v>300</v>
      </c>
      <c r="E552" s="17" t="str">
        <f>VLOOKUP($D552,gacha_types!$A:$D,2,FALSE)</f>
        <v>polygon</v>
      </c>
      <c r="F552" s="17">
        <f>VLOOKUP($D552,gacha_types!$A:$D,3,FALSE)</f>
        <v>1</v>
      </c>
      <c r="G552" s="17">
        <f t="shared" ref="G552:G553" si="660">A552</f>
        <v>7321</v>
      </c>
      <c r="H552" s="13" t="str">
        <f t="shared" ref="H552:H553" si="661">"GachaTop_"&amp;A552&amp;".png"</f>
        <v>GachaTop_7321.png</v>
      </c>
      <c r="I552" s="23">
        <v>1</v>
      </c>
      <c r="J552" s="23">
        <f t="shared" ref="J552:J553" si="662">A552</f>
        <v>7321</v>
      </c>
      <c r="K552" s="23">
        <v>1</v>
      </c>
      <c r="L552" s="55" t="s">
        <v>813</v>
      </c>
      <c r="M552" s="55" t="s">
        <v>814</v>
      </c>
      <c r="N552" s="2" t="s">
        <v>118</v>
      </c>
      <c r="O552" s="111" t="str">
        <f>CONCATENATE("&lt;font color=""#ffab27""&gt;",TEXT(VLOOKUP(A552,gacha_schedules!C:F,4,FALSE),"mm/dd hh:mm"),"&lt;/font&gt;まで")</f>
        <v>&lt;font color="#ffab27"&gt;04/13 14:59&lt;/font&gt;まで</v>
      </c>
      <c r="P552" s="2" t="s">
        <v>2946</v>
      </c>
      <c r="Q552" s="26" t="str">
        <f t="shared" si="648"/>
        <v>&lt;font color="#ffab27"&gt;04/13 14:59&lt;/font&gt;まで_x000D_桜の花びらを集めて豪華素材をGETしよう！_x000D_&lt;font color="#ffab27"&gt;※1回につき1枚の桜の花びらが必要です&lt;/font&gt;</v>
      </c>
      <c r="R552" s="49" t="s">
        <v>2947</v>
      </c>
    </row>
    <row r="553" spans="1:18" ht="43" customHeight="1" x14ac:dyDescent="0.15">
      <c r="A553" s="2">
        <f t="shared" si="649"/>
        <v>7322</v>
      </c>
      <c r="B553" s="18">
        <v>3</v>
      </c>
      <c r="C553" s="18" t="s">
        <v>2943</v>
      </c>
      <c r="D553" s="2">
        <v>300</v>
      </c>
      <c r="E553" s="17" t="str">
        <f>VLOOKUP($D553,gacha_types!$A:$D,2,FALSE)</f>
        <v>polygon</v>
      </c>
      <c r="F553" s="17">
        <f>VLOOKUP($D553,gacha_types!$A:$D,3,FALSE)</f>
        <v>1</v>
      </c>
      <c r="G553" s="17">
        <f t="shared" si="660"/>
        <v>7322</v>
      </c>
      <c r="H553" s="13" t="str">
        <f t="shared" si="661"/>
        <v>GachaTop_7322.png</v>
      </c>
      <c r="I553" s="23">
        <v>1</v>
      </c>
      <c r="J553" s="23">
        <f t="shared" si="662"/>
        <v>7322</v>
      </c>
      <c r="K553" s="23">
        <v>1</v>
      </c>
      <c r="L553" s="55" t="s">
        <v>813</v>
      </c>
      <c r="M553" s="55" t="s">
        <v>814</v>
      </c>
      <c r="N553" s="2" t="s">
        <v>118</v>
      </c>
      <c r="O553" s="111" t="str">
        <f>CONCATENATE("&lt;font color=""#ffab27""&gt;",TEXT(VLOOKUP(A553,gacha_schedules!C:F,4,FALSE),"mm/dd hh:mm"),"&lt;/font&gt;まで")</f>
        <v>&lt;font color="#ffab27"&gt;04/13 14:59&lt;/font&gt;まで</v>
      </c>
      <c r="P553" s="2" t="s">
        <v>2946</v>
      </c>
      <c r="Q553" s="26" t="str">
        <f t="shared" si="648"/>
        <v>&lt;font color="#ffab27"&gt;04/13 14:59&lt;/font&gt;まで_x000D_桜の花びらを集めて豪華素材をGETしよう！_x000D_&lt;font color="#ffab27"&gt;※1回につき10枚の桜の花びらが必要です&lt;/font&gt;</v>
      </c>
      <c r="R553" s="49" t="s">
        <v>2948</v>
      </c>
    </row>
    <row r="554" spans="1:18" ht="43" customHeight="1" x14ac:dyDescent="0.15">
      <c r="A554" s="2">
        <f t="shared" si="649"/>
        <v>7323</v>
      </c>
      <c r="B554" s="18">
        <v>3</v>
      </c>
      <c r="C554" s="18" t="s">
        <v>3135</v>
      </c>
      <c r="D554" s="2">
        <v>300</v>
      </c>
      <c r="E554" s="17" t="str">
        <f>VLOOKUP($D554,gacha_types!$A:$D,2,FALSE)</f>
        <v>polygon</v>
      </c>
      <c r="F554" s="17">
        <f>VLOOKUP($D554,gacha_types!$A:$D,3,FALSE)</f>
        <v>1</v>
      </c>
      <c r="G554" s="17">
        <f t="shared" ref="G554" si="663">A554</f>
        <v>7323</v>
      </c>
      <c r="H554" s="13" t="str">
        <f t="shared" ref="H554" si="664">"GachaTop_"&amp;A554&amp;".png"</f>
        <v>GachaTop_7323.png</v>
      </c>
      <c r="I554" s="23">
        <v>0</v>
      </c>
      <c r="J554" s="23">
        <f t="shared" ref="J554" si="665">A554</f>
        <v>7323</v>
      </c>
      <c r="K554" s="23">
        <v>1</v>
      </c>
      <c r="L554" s="55" t="s">
        <v>813</v>
      </c>
      <c r="M554" s="55" t="s">
        <v>814</v>
      </c>
      <c r="N554" s="2" t="s">
        <v>118</v>
      </c>
      <c r="O554" s="111" t="s">
        <v>3215</v>
      </c>
      <c r="P554" s="2" t="s">
        <v>3212</v>
      </c>
      <c r="Q554" s="26" t="str">
        <f t="shared" ref="Q554" si="666">CONCATENATE(O554, CHAR(13),P554, CHAR(13),R554)</f>
        <v>★3〜★5のユニットが1体出現！_x000D_&lt;font color="#ffab27"&gt;※限定ユニットは排出されません&lt;/font&gt;_x000D_&lt;font color="#ffab27"&gt;※チケットピースを10枚集めるとレベル2が解放されます&lt;/font&gt;</v>
      </c>
      <c r="R554" s="49" t="s">
        <v>3210</v>
      </c>
    </row>
    <row r="555" spans="1:18" ht="43" customHeight="1" x14ac:dyDescent="0.15">
      <c r="A555" s="2">
        <f t="shared" si="649"/>
        <v>7324</v>
      </c>
      <c r="B555" s="18">
        <v>3</v>
      </c>
      <c r="C555" s="18" t="s">
        <v>3136</v>
      </c>
      <c r="D555" s="2">
        <v>300</v>
      </c>
      <c r="E555" s="17" t="str">
        <f>VLOOKUP($D555,gacha_types!$A:$D,2,FALSE)</f>
        <v>polygon</v>
      </c>
      <c r="F555" s="17">
        <f>VLOOKUP($D555,gacha_types!$A:$D,3,FALSE)</f>
        <v>1</v>
      </c>
      <c r="G555" s="17">
        <f t="shared" ref="G555:G557" si="667">A555</f>
        <v>7324</v>
      </c>
      <c r="H555" s="13" t="str">
        <f t="shared" ref="H555:H556" si="668">"GachaTop_"&amp;A555&amp;".png"</f>
        <v>GachaTop_7324.png</v>
      </c>
      <c r="I555" s="23">
        <v>0</v>
      </c>
      <c r="J555" s="23">
        <f t="shared" ref="J555:J557" si="669">A555</f>
        <v>7324</v>
      </c>
      <c r="K555" s="23">
        <v>1</v>
      </c>
      <c r="L555" s="55" t="s">
        <v>813</v>
      </c>
      <c r="M555" s="55" t="s">
        <v>814</v>
      </c>
      <c r="N555" s="2" t="s">
        <v>118</v>
      </c>
      <c r="O555" s="111" t="s">
        <v>3216</v>
      </c>
      <c r="P555" s="2" t="s">
        <v>3212</v>
      </c>
      <c r="Q555" s="26" t="str">
        <f t="shared" ref="Q555" si="670">CONCATENATE(O555, CHAR(13),P555, CHAR(13),R555)</f>
        <v>★5のユニットが1体出現！_x000D_&lt;font color="#ffab27"&gt;※限定ユニットは排出されません&lt;/font&gt;_x000D_&lt;font color="#ffab27"&gt;※チケットピースを20枚集めるとレベル3が解放されます&lt;/font&gt;</v>
      </c>
      <c r="R555" s="49" t="s">
        <v>3211</v>
      </c>
    </row>
    <row r="556" spans="1:18" ht="43" customHeight="1" x14ac:dyDescent="0.15">
      <c r="A556" s="2">
        <f t="shared" si="649"/>
        <v>7325</v>
      </c>
      <c r="B556" s="18">
        <v>3</v>
      </c>
      <c r="C556" s="18" t="s">
        <v>3137</v>
      </c>
      <c r="D556" s="2">
        <v>300</v>
      </c>
      <c r="E556" s="17" t="str">
        <f>VLOOKUP($D556,gacha_types!$A:$D,2,FALSE)</f>
        <v>polygon</v>
      </c>
      <c r="F556" s="17">
        <f>VLOOKUP($D556,gacha_types!$A:$D,3,FALSE)</f>
        <v>1</v>
      </c>
      <c r="G556" s="17">
        <f t="shared" si="667"/>
        <v>7325</v>
      </c>
      <c r="H556" s="13" t="str">
        <f t="shared" si="668"/>
        <v>GachaTop_7325.png</v>
      </c>
      <c r="I556" s="23">
        <v>0</v>
      </c>
      <c r="J556" s="23">
        <f t="shared" si="669"/>
        <v>7325</v>
      </c>
      <c r="K556" s="23">
        <v>1</v>
      </c>
      <c r="L556" s="55" t="s">
        <v>813</v>
      </c>
      <c r="M556" s="55" t="s">
        <v>814</v>
      </c>
      <c r="N556" s="2" t="s">
        <v>118</v>
      </c>
      <c r="O556" s="111" t="s">
        <v>3217</v>
      </c>
      <c r="P556" s="2" t="s">
        <v>3213</v>
      </c>
      <c r="Q556" s="26" t="str">
        <f t="shared" ref="Q556:Q558" si="671">CONCATENATE(O556, CHAR(13),P556, CHAR(13),R556)</f>
        <v>★6覚醒可能ユニットが1体出現！_x000D_&lt;font color="#ffab27"&gt;※★6覚醒済ユニット及び、限定ユニットは排出されません&lt;/font&gt;_x000D_&lt;font color="#ffab27"&gt;※ハッピーチケットピースガチャはレベル3が最大です&lt;/font&gt;</v>
      </c>
      <c r="R556" s="49" t="s">
        <v>3214</v>
      </c>
    </row>
    <row r="557" spans="1:18" ht="43" customHeight="1" x14ac:dyDescent="0.15">
      <c r="A557" s="2">
        <f t="shared" si="649"/>
        <v>7326</v>
      </c>
      <c r="B557" s="18">
        <v>3</v>
      </c>
      <c r="C557" s="18" t="s">
        <v>3172</v>
      </c>
      <c r="D557" s="2">
        <v>300</v>
      </c>
      <c r="E557" s="17" t="str">
        <f>VLOOKUP($D557,gacha_types!$A:$D,2,FALSE)</f>
        <v>polygon</v>
      </c>
      <c r="F557" s="17">
        <f>VLOOKUP($D557,gacha_types!$A:$D,3,FALSE)</f>
        <v>1</v>
      </c>
      <c r="G557" s="17">
        <f t="shared" si="667"/>
        <v>7326</v>
      </c>
      <c r="H557" s="13" t="str">
        <f>H554</f>
        <v>GachaTop_7323.png</v>
      </c>
      <c r="I557" s="23">
        <v>0</v>
      </c>
      <c r="J557" s="23">
        <f t="shared" si="669"/>
        <v>7326</v>
      </c>
      <c r="K557" s="23">
        <v>1</v>
      </c>
      <c r="L557" s="55" t="s">
        <v>813</v>
      </c>
      <c r="M557" s="55" t="s">
        <v>814</v>
      </c>
      <c r="N557" s="2" t="s">
        <v>118</v>
      </c>
      <c r="O557" s="111" t="s">
        <v>3215</v>
      </c>
      <c r="P557" s="2" t="s">
        <v>3212</v>
      </c>
      <c r="Q557" s="26" t="str">
        <f t="shared" si="671"/>
        <v>★3〜★5のユニットが1体出現！_x000D_&lt;font color="#ffab27"&gt;※限定ユニットは排出されません&lt;/font&gt;_x000D_&lt;font color="#ffab27"&gt;※チケットピースを10枚集めるとレベル2が解放されます&lt;/font&gt;</v>
      </c>
      <c r="R557" s="49" t="s">
        <v>3210</v>
      </c>
    </row>
    <row r="558" spans="1:18" ht="43" customHeight="1" x14ac:dyDescent="0.15">
      <c r="A558" s="2">
        <f t="shared" si="649"/>
        <v>7327</v>
      </c>
      <c r="B558" s="18">
        <v>3</v>
      </c>
      <c r="C558" s="18" t="s">
        <v>3173</v>
      </c>
      <c r="D558" s="2">
        <v>300</v>
      </c>
      <c r="E558" s="17" t="str">
        <f>VLOOKUP($D558,gacha_types!$A:$D,2,FALSE)</f>
        <v>polygon</v>
      </c>
      <c r="F558" s="17">
        <f>VLOOKUP($D558,gacha_types!$A:$D,3,FALSE)</f>
        <v>1</v>
      </c>
      <c r="G558" s="17">
        <f t="shared" ref="G558:G564" si="672">A558</f>
        <v>7327</v>
      </c>
      <c r="H558" s="13" t="str">
        <f>H555</f>
        <v>GachaTop_7324.png</v>
      </c>
      <c r="I558" s="23">
        <v>0</v>
      </c>
      <c r="J558" s="23">
        <f t="shared" ref="J558:J564" si="673">A558</f>
        <v>7327</v>
      </c>
      <c r="K558" s="23">
        <v>1</v>
      </c>
      <c r="L558" s="55" t="s">
        <v>813</v>
      </c>
      <c r="M558" s="55" t="s">
        <v>814</v>
      </c>
      <c r="N558" s="2" t="s">
        <v>118</v>
      </c>
      <c r="O558" s="111" t="s">
        <v>3216</v>
      </c>
      <c r="P558" s="2" t="s">
        <v>3212</v>
      </c>
      <c r="Q558" s="26" t="str">
        <f t="shared" si="671"/>
        <v>★5のユニットが1体出現！_x000D_&lt;font color="#ffab27"&gt;※限定ユニットは排出されません&lt;/font&gt;_x000D_&lt;font color="#ffab27"&gt;※チケットピースを20枚集めるとレベル3が解放されます&lt;/font&gt;</v>
      </c>
      <c r="R558" s="49" t="s">
        <v>3211</v>
      </c>
    </row>
    <row r="559" spans="1:18" ht="43" customHeight="1" x14ac:dyDescent="0.15">
      <c r="A559" s="2">
        <f t="shared" si="649"/>
        <v>7328</v>
      </c>
      <c r="B559" s="18">
        <v>3</v>
      </c>
      <c r="C559" s="18" t="s">
        <v>3174</v>
      </c>
      <c r="D559" s="2">
        <v>300</v>
      </c>
      <c r="E559" s="17" t="str">
        <f>VLOOKUP($D559,gacha_types!$A:$D,2,FALSE)</f>
        <v>polygon</v>
      </c>
      <c r="F559" s="17">
        <f>VLOOKUP($D559,gacha_types!$A:$D,3,FALSE)</f>
        <v>1</v>
      </c>
      <c r="G559" s="17">
        <f t="shared" si="672"/>
        <v>7328</v>
      </c>
      <c r="H559" s="13" t="str">
        <f>H556</f>
        <v>GachaTop_7325.png</v>
      </c>
      <c r="I559" s="23">
        <v>0</v>
      </c>
      <c r="J559" s="23">
        <f t="shared" si="673"/>
        <v>7328</v>
      </c>
      <c r="K559" s="23">
        <v>1</v>
      </c>
      <c r="L559" s="55" t="s">
        <v>813</v>
      </c>
      <c r="M559" s="55" t="s">
        <v>814</v>
      </c>
      <c r="N559" s="2" t="s">
        <v>118</v>
      </c>
      <c r="O559" s="111" t="s">
        <v>3217</v>
      </c>
      <c r="P559" s="2" t="s">
        <v>3213</v>
      </c>
      <c r="Q559" s="26" t="str">
        <f t="shared" ref="Q559" si="674">CONCATENATE(O559, CHAR(13),P559, CHAR(13),R559)</f>
        <v>★6覚醒可能ユニットが1体出現！_x000D_&lt;font color="#ffab27"&gt;※★6覚醒済ユニット及び、限定ユニットは排出されません&lt;/font&gt;_x000D_&lt;font color="#ffab27"&gt;※ハッピーチケットピースガチャはレベル3が最大です&lt;/font&gt;</v>
      </c>
      <c r="R559" s="49" t="s">
        <v>3214</v>
      </c>
    </row>
    <row r="560" spans="1:18" ht="43" customHeight="1" x14ac:dyDescent="0.15">
      <c r="A560" s="2">
        <f t="shared" si="649"/>
        <v>7329</v>
      </c>
      <c r="B560" s="18">
        <v>3</v>
      </c>
      <c r="C560" s="18" t="s">
        <v>3196</v>
      </c>
      <c r="D560" s="2">
        <v>300</v>
      </c>
      <c r="E560" s="17" t="str">
        <f>VLOOKUP($D560,gacha_types!$A:$D,2,FALSE)</f>
        <v>polygon</v>
      </c>
      <c r="F560" s="17">
        <f>VLOOKUP($D560,gacha_types!$A:$D,3,FALSE)</f>
        <v>1</v>
      </c>
      <c r="G560" s="17">
        <f t="shared" si="672"/>
        <v>7329</v>
      </c>
      <c r="H560" s="69" t="str">
        <f>H543</f>
        <v>GachaTop_7310.png</v>
      </c>
      <c r="I560" s="23">
        <v>0</v>
      </c>
      <c r="J560" s="23">
        <f t="shared" si="673"/>
        <v>7329</v>
      </c>
      <c r="K560" s="23">
        <v>1</v>
      </c>
      <c r="L560" s="55" t="s">
        <v>813</v>
      </c>
      <c r="M560" s="55" t="s">
        <v>814</v>
      </c>
      <c r="N560" s="2" t="s">
        <v>118</v>
      </c>
      <c r="O560" s="26" t="s">
        <v>1739</v>
      </c>
      <c r="P560" s="2" t="s">
        <v>3192</v>
      </c>
      <c r="Q560" s="26" t="str">
        <f t="shared" ref="Q560:Q564" si="675">CONCATENATE(O560, CHAR(13),P560, CHAR(13),R560)</f>
        <v>★6覚醒可能ユニットのうち1体が確定排出！_x000D_&lt;font color="#ffab27"&gt;※★6覚醒済、限定ユニット及び、4/12(水)以降に&lt;/font&gt;_x000D_&lt;font color="#ffab27"&gt;追加されたユニットは排出されません&lt;/font&gt;</v>
      </c>
      <c r="R560" s="49" t="s">
        <v>1826</v>
      </c>
    </row>
    <row r="561" spans="1:18" ht="43" customHeight="1" x14ac:dyDescent="0.15">
      <c r="A561" s="2">
        <f t="shared" si="649"/>
        <v>7330</v>
      </c>
      <c r="B561" s="18">
        <v>3</v>
      </c>
      <c r="C561" s="18" t="s">
        <v>3198</v>
      </c>
      <c r="D561" s="2">
        <v>300</v>
      </c>
      <c r="E561" s="17" t="str">
        <f>VLOOKUP($D561,gacha_types!$A:$D,2,FALSE)</f>
        <v>polygon</v>
      </c>
      <c r="F561" s="17">
        <f>VLOOKUP($D561,gacha_types!$A:$D,3,FALSE)</f>
        <v>1</v>
      </c>
      <c r="G561" s="17">
        <f t="shared" si="672"/>
        <v>7330</v>
      </c>
      <c r="H561" s="69" t="str">
        <f>H544</f>
        <v>GachaTop_7313.png</v>
      </c>
      <c r="I561" s="23">
        <v>0</v>
      </c>
      <c r="J561" s="23">
        <f t="shared" si="673"/>
        <v>7330</v>
      </c>
      <c r="K561" s="23">
        <v>1</v>
      </c>
      <c r="L561" s="55" t="s">
        <v>813</v>
      </c>
      <c r="M561" s="55" t="s">
        <v>814</v>
      </c>
      <c r="N561" s="2" t="s">
        <v>118</v>
      </c>
      <c r="O561" s="26" t="s">
        <v>2720</v>
      </c>
      <c r="P561" s="2" t="s">
        <v>3197</v>
      </c>
      <c r="Q561" s="26" t="str">
        <f t="shared" si="675"/>
        <v>★6覚醒済み赤属性ユニット1体が確定排出！_x000D_&lt;font color="#ffab27"&gt;※限定ユニット及び、4/12(水)以降に&lt;/font&gt;_x000D_&lt;font color="#ffab27"&gt;追加されたユニットは排出されません&lt;/font&gt;</v>
      </c>
      <c r="R561" s="49" t="s">
        <v>1826</v>
      </c>
    </row>
    <row r="562" spans="1:18" ht="43" customHeight="1" x14ac:dyDescent="0.15">
      <c r="A562" s="2">
        <f t="shared" si="649"/>
        <v>7331</v>
      </c>
      <c r="B562" s="18">
        <v>3</v>
      </c>
      <c r="C562" s="18" t="s">
        <v>3199</v>
      </c>
      <c r="D562" s="2">
        <v>300</v>
      </c>
      <c r="E562" s="17" t="str">
        <f>VLOOKUP($D562,gacha_types!$A:$D,2,FALSE)</f>
        <v>polygon</v>
      </c>
      <c r="F562" s="17">
        <f>VLOOKUP($D562,gacha_types!$A:$D,3,FALSE)</f>
        <v>1</v>
      </c>
      <c r="G562" s="17">
        <f t="shared" si="672"/>
        <v>7331</v>
      </c>
      <c r="H562" s="69" t="str">
        <f>H545</f>
        <v>GachaTop_7314.png</v>
      </c>
      <c r="I562" s="23">
        <v>0</v>
      </c>
      <c r="J562" s="23">
        <f t="shared" si="673"/>
        <v>7331</v>
      </c>
      <c r="K562" s="23">
        <v>1</v>
      </c>
      <c r="L562" s="55" t="s">
        <v>813</v>
      </c>
      <c r="M562" s="55" t="s">
        <v>814</v>
      </c>
      <c r="N562" s="2" t="s">
        <v>118</v>
      </c>
      <c r="O562" s="26" t="s">
        <v>2721</v>
      </c>
      <c r="P562" s="2" t="s">
        <v>3197</v>
      </c>
      <c r="Q562" s="26" t="str">
        <f t="shared" si="675"/>
        <v>★6覚醒済み青属性ユニット1体が確定排出！_x000D_&lt;font color="#ffab27"&gt;※限定ユニット及び、4/12(水)以降に&lt;/font&gt;_x000D_&lt;font color="#ffab27"&gt;追加されたユニットは排出されません&lt;/font&gt;</v>
      </c>
      <c r="R562" s="49" t="s">
        <v>1826</v>
      </c>
    </row>
    <row r="563" spans="1:18" ht="43" customHeight="1" x14ac:dyDescent="0.15">
      <c r="A563" s="2">
        <f t="shared" si="649"/>
        <v>7332</v>
      </c>
      <c r="B563" s="18">
        <v>3</v>
      </c>
      <c r="C563" s="18" t="s">
        <v>3200</v>
      </c>
      <c r="D563" s="2">
        <v>300</v>
      </c>
      <c r="E563" s="17" t="str">
        <f>VLOOKUP($D563,gacha_types!$A:$D,2,FALSE)</f>
        <v>polygon</v>
      </c>
      <c r="F563" s="17">
        <f>VLOOKUP($D563,gacha_types!$A:$D,3,FALSE)</f>
        <v>1</v>
      </c>
      <c r="G563" s="17">
        <f t="shared" si="672"/>
        <v>7332</v>
      </c>
      <c r="H563" s="69" t="str">
        <f>H546</f>
        <v>GachaTop_7315.png</v>
      </c>
      <c r="I563" s="23">
        <v>0</v>
      </c>
      <c r="J563" s="23">
        <f t="shared" si="673"/>
        <v>7332</v>
      </c>
      <c r="K563" s="23">
        <v>1</v>
      </c>
      <c r="L563" s="55" t="s">
        <v>813</v>
      </c>
      <c r="M563" s="55" t="s">
        <v>814</v>
      </c>
      <c r="N563" s="2" t="s">
        <v>118</v>
      </c>
      <c r="O563" s="26" t="s">
        <v>2722</v>
      </c>
      <c r="P563" s="2" t="s">
        <v>3197</v>
      </c>
      <c r="Q563" s="26" t="str">
        <f t="shared" si="675"/>
        <v>★6覚醒済み緑属性ユニット1体が確定排出！_x000D_&lt;font color="#ffab27"&gt;※限定ユニット及び、4/12(水)以降に&lt;/font&gt;_x000D_&lt;font color="#ffab27"&gt;追加されたユニットは排出されません&lt;/font&gt;</v>
      </c>
      <c r="R563" s="49" t="s">
        <v>1826</v>
      </c>
    </row>
    <row r="564" spans="1:18" ht="43" customHeight="1" x14ac:dyDescent="0.15">
      <c r="A564" s="2">
        <f t="shared" si="649"/>
        <v>7333</v>
      </c>
      <c r="B564" s="18">
        <v>3</v>
      </c>
      <c r="C564" s="18" t="s">
        <v>3201</v>
      </c>
      <c r="D564" s="2">
        <v>300</v>
      </c>
      <c r="E564" s="17" t="str">
        <f>VLOOKUP($D564,gacha_types!$A:$D,2,FALSE)</f>
        <v>polygon</v>
      </c>
      <c r="F564" s="17">
        <f>VLOOKUP($D564,gacha_types!$A:$D,3,FALSE)</f>
        <v>1</v>
      </c>
      <c r="G564" s="17">
        <f t="shared" si="672"/>
        <v>7333</v>
      </c>
      <c r="H564" s="69" t="str">
        <f>H547</f>
        <v>GachaTop_7316.png</v>
      </c>
      <c r="I564" s="23">
        <v>0</v>
      </c>
      <c r="J564" s="23">
        <f t="shared" si="673"/>
        <v>7333</v>
      </c>
      <c r="K564" s="23">
        <v>1</v>
      </c>
      <c r="L564" s="55" t="s">
        <v>813</v>
      </c>
      <c r="M564" s="55" t="s">
        <v>814</v>
      </c>
      <c r="N564" s="2" t="s">
        <v>118</v>
      </c>
      <c r="O564" s="26" t="s">
        <v>2723</v>
      </c>
      <c r="P564" s="2" t="s">
        <v>3197</v>
      </c>
      <c r="Q564" s="26" t="str">
        <f t="shared" si="675"/>
        <v>★6覚醒済み黄属性ユニット1体が確定排出！_x000D_&lt;font color="#ffab27"&gt;※限定ユニット及び、4/12(水)以降に&lt;/font&gt;_x000D_&lt;font color="#ffab27"&gt;追加されたユニットは排出されません&lt;/font&gt;</v>
      </c>
      <c r="R564" s="49" t="s">
        <v>1826</v>
      </c>
    </row>
    <row r="565" spans="1:18" ht="43" customHeight="1" x14ac:dyDescent="0.15">
      <c r="A565" s="2">
        <f t="shared" si="649"/>
        <v>7334</v>
      </c>
      <c r="B565" s="18">
        <v>3</v>
      </c>
      <c r="C565" s="18" t="s">
        <v>3278</v>
      </c>
      <c r="D565" s="2">
        <v>300</v>
      </c>
      <c r="E565" s="17" t="str">
        <f>VLOOKUP($D565,gacha_types!$A:$D,2,FALSE)</f>
        <v>polygon</v>
      </c>
      <c r="F565" s="17">
        <f>VLOOKUP($D565,gacha_types!$A:$D,3,FALSE)</f>
        <v>1</v>
      </c>
      <c r="G565" s="17">
        <f t="shared" ref="G565:G567" si="676">A565</f>
        <v>7334</v>
      </c>
      <c r="H565" s="13" t="str">
        <f t="shared" ref="H565:H567" si="677">"GachaTop_"&amp;A565&amp;".png"</f>
        <v>GachaTop_7334.png</v>
      </c>
      <c r="I565" s="23">
        <v>0</v>
      </c>
      <c r="J565" s="23">
        <f t="shared" ref="J565:J567" si="678">A565</f>
        <v>7334</v>
      </c>
      <c r="K565" s="23">
        <v>1</v>
      </c>
      <c r="L565" s="55" t="s">
        <v>813</v>
      </c>
      <c r="M565" s="55" t="s">
        <v>814</v>
      </c>
      <c r="N565" s="2" t="s">
        <v>118</v>
      </c>
      <c r="O565" s="50" t="s">
        <v>3294</v>
      </c>
      <c r="P565" s="2" t="s">
        <v>3282</v>
      </c>
      <c r="Q565" s="26" t="str">
        <f t="shared" ref="Q565:Q566" si="679">CONCATENATE(O565, CHAR(13),P565, CHAR(13),R565)</f>
        <v>&lt;font color="#ffab27"&gt;05/29 14:59&lt;/font&gt;まで_x000D_&lt;font color="#ffe22a"&gt;エドワード・エルリック&lt;/font&gt;が1体確定！_x000D_&lt;font color="#ffab27"&gt;※★6覚醒済みユニットは直接排出されません&lt;/font&gt;</v>
      </c>
      <c r="R565" s="49" t="s">
        <v>1067</v>
      </c>
    </row>
    <row r="566" spans="1:18" ht="43" customHeight="1" x14ac:dyDescent="0.15">
      <c r="A566" s="2">
        <f t="shared" si="649"/>
        <v>7335</v>
      </c>
      <c r="B566" s="18">
        <v>3</v>
      </c>
      <c r="C566" s="18" t="s">
        <v>3279</v>
      </c>
      <c r="D566" s="2">
        <v>300</v>
      </c>
      <c r="E566" s="17" t="str">
        <f>VLOOKUP($D566,gacha_types!$A:$D,2,FALSE)</f>
        <v>polygon</v>
      </c>
      <c r="F566" s="17">
        <f>VLOOKUP($D566,gacha_types!$A:$D,3,FALSE)</f>
        <v>1</v>
      </c>
      <c r="G566" s="17">
        <f t="shared" si="676"/>
        <v>7335</v>
      </c>
      <c r="H566" s="13" t="str">
        <f t="shared" si="677"/>
        <v>GachaTop_7335.png</v>
      </c>
      <c r="I566" s="23">
        <v>0</v>
      </c>
      <c r="J566" s="23">
        <f t="shared" si="678"/>
        <v>7335</v>
      </c>
      <c r="K566" s="23">
        <v>1</v>
      </c>
      <c r="L566" s="55" t="s">
        <v>813</v>
      </c>
      <c r="M566" s="55" t="s">
        <v>814</v>
      </c>
      <c r="N566" s="2" t="s">
        <v>118</v>
      </c>
      <c r="O566" s="50" t="s">
        <v>3294</v>
      </c>
      <c r="P566" s="2" t="s">
        <v>3283</v>
      </c>
      <c r="Q566" s="26" t="str">
        <f t="shared" si="679"/>
        <v>&lt;font color="#ffab27"&gt;05/29 14:59&lt;/font&gt;まで_x000D_&lt;font color="#ffe22a"&gt;アルフォンス・エルリック&lt;/font&gt;が1体確定！_x000D_&lt;font color="#ffab27"&gt;※★6覚醒済みユニットは直接排出されません&lt;/font&gt;</v>
      </c>
      <c r="R566" s="49" t="s">
        <v>1067</v>
      </c>
    </row>
    <row r="567" spans="1:18" ht="43" customHeight="1" x14ac:dyDescent="0.15">
      <c r="A567" s="2">
        <f t="shared" si="649"/>
        <v>7336</v>
      </c>
      <c r="B567" s="18">
        <v>3</v>
      </c>
      <c r="C567" s="18" t="s">
        <v>3280</v>
      </c>
      <c r="D567" s="2">
        <v>300</v>
      </c>
      <c r="E567" s="17" t="str">
        <f>VLOOKUP($D567,gacha_types!$A:$D,2,FALSE)</f>
        <v>polygon</v>
      </c>
      <c r="F567" s="17">
        <f>VLOOKUP($D567,gacha_types!$A:$D,3,FALSE)</f>
        <v>1</v>
      </c>
      <c r="G567" s="17">
        <f t="shared" si="676"/>
        <v>7336</v>
      </c>
      <c r="H567" s="13" t="str">
        <f t="shared" si="677"/>
        <v>GachaTop_7336.png</v>
      </c>
      <c r="I567" s="23">
        <v>0</v>
      </c>
      <c r="J567" s="23">
        <f t="shared" si="678"/>
        <v>7336</v>
      </c>
      <c r="K567" s="23">
        <v>1</v>
      </c>
      <c r="L567" s="55" t="s">
        <v>813</v>
      </c>
      <c r="M567" s="55" t="s">
        <v>814</v>
      </c>
      <c r="N567" s="2" t="s">
        <v>118</v>
      </c>
      <c r="O567" s="50" t="s">
        <v>3294</v>
      </c>
      <c r="P567" s="2" t="s">
        <v>3281</v>
      </c>
      <c r="Q567" s="26" t="str">
        <f>CONCATENATE(O567, CHAR(13),P567, CHAR(13),R567)</f>
        <v>&lt;font color="#ffab27"&gt;05/29 14:59&lt;/font&gt;まで_x000D_&lt;font color="#ff2626"&gt;ロイ・マスタング&lt;/font&gt;が1体確定！_x000D_&lt;font color="#ffab27"&gt;※★6覚醒済みユニットは直接排出されません&lt;/font&gt;</v>
      </c>
      <c r="R567" s="49" t="s">
        <v>1067</v>
      </c>
    </row>
    <row r="568" spans="1:18" ht="43" customHeight="1" x14ac:dyDescent="0.15">
      <c r="A568" s="2">
        <f t="shared" si="649"/>
        <v>7337</v>
      </c>
      <c r="B568" s="18">
        <v>3</v>
      </c>
      <c r="C568" s="18" t="s">
        <v>3339</v>
      </c>
      <c r="D568" s="2">
        <v>300</v>
      </c>
      <c r="E568" s="17" t="str">
        <f>VLOOKUP($D568,gacha_types!$A:$D,2,FALSE)</f>
        <v>polygon</v>
      </c>
      <c r="F568" s="17">
        <f>VLOOKUP($D568,gacha_types!$A:$D,3,FALSE)</f>
        <v>1</v>
      </c>
      <c r="G568" s="17">
        <f t="shared" ref="G568:G571" si="680">A568</f>
        <v>7337</v>
      </c>
      <c r="H568" s="13" t="str">
        <f t="shared" ref="H568:H571" si="681">"GachaTop_"&amp;A568&amp;".png"</f>
        <v>GachaTop_7337.png</v>
      </c>
      <c r="I568" s="23">
        <v>0</v>
      </c>
      <c r="J568" s="23">
        <f t="shared" ref="J568:J571" si="682">A568</f>
        <v>7337</v>
      </c>
      <c r="K568" s="23">
        <v>1</v>
      </c>
      <c r="L568" s="55" t="s">
        <v>813</v>
      </c>
      <c r="M568" s="55" t="s">
        <v>814</v>
      </c>
      <c r="N568" s="2" t="s">
        <v>118</v>
      </c>
      <c r="O568" s="111" t="str">
        <f>CONCATENATE("&lt;font color=""#ffab27""&gt;",TEXT(VLOOKUP(A568,gacha_schedules!C:F,4,FALSE),"mm/dd hh:mm"),"&lt;/font&gt;まで")</f>
        <v>&lt;font color="#ffab27"&gt;06/13 14:59&lt;/font&gt;まで</v>
      </c>
      <c r="P568" s="111" t="s">
        <v>3344</v>
      </c>
      <c r="Q568" s="26" t="str">
        <f>CONCATENATE(O568,CHAR(13),P568,CHAR(13),R568)</f>
        <v>&lt;font color="#ffab27"&gt;06/13 14:59&lt;/font&gt;まで_x000D_★3〜★5のユニットが1体排出！_x000D_&lt;font color="#ffab27"&gt;※上記期間を過ぎると、このガチャは引けません&lt;/font&gt;</v>
      </c>
      <c r="R568" s="49" t="s">
        <v>3348</v>
      </c>
    </row>
    <row r="569" spans="1:18" ht="43" customHeight="1" x14ac:dyDescent="0.15">
      <c r="A569" s="2">
        <f t="shared" si="649"/>
        <v>7338</v>
      </c>
      <c r="B569" s="18">
        <v>3</v>
      </c>
      <c r="C569" s="18" t="s">
        <v>3340</v>
      </c>
      <c r="D569" s="2">
        <v>300</v>
      </c>
      <c r="E569" s="17" t="str">
        <f>VLOOKUP($D569,gacha_types!$A:$D,2,FALSE)</f>
        <v>polygon</v>
      </c>
      <c r="F569" s="17">
        <f>VLOOKUP($D569,gacha_types!$A:$D,3,FALSE)</f>
        <v>1</v>
      </c>
      <c r="G569" s="17">
        <f t="shared" si="680"/>
        <v>7338</v>
      </c>
      <c r="H569" s="13" t="str">
        <f t="shared" si="681"/>
        <v>GachaTop_7338.png</v>
      </c>
      <c r="I569" s="23">
        <v>0</v>
      </c>
      <c r="J569" s="23">
        <f t="shared" si="682"/>
        <v>7338</v>
      </c>
      <c r="K569" s="23">
        <v>1</v>
      </c>
      <c r="L569" s="55" t="s">
        <v>813</v>
      </c>
      <c r="M569" s="55" t="s">
        <v>814</v>
      </c>
      <c r="N569" s="2" t="s">
        <v>118</v>
      </c>
      <c r="O569" s="111" t="str">
        <f>CONCATENATE("&lt;font color=""#ffab27""&gt;",TEXT(VLOOKUP(A569,gacha_schedules!C:F,4,FALSE),"mm/dd hh:mm"),"&lt;/font&gt;まで")</f>
        <v>&lt;font color="#ffab27"&gt;06/13 14:59&lt;/font&gt;まで</v>
      </c>
      <c r="P569" s="111" t="s">
        <v>3345</v>
      </c>
      <c r="Q569" s="26" t="str">
        <f>CONCATENATE(O569,CHAR(13),P569,CHAR(13),R569)</f>
        <v>&lt;font color="#ffab27"&gt;06/13 14:59&lt;/font&gt;まで_x000D_★4〜★5のユニットが1体排出！_x000D_&lt;font color="#ffab27"&gt;※上記期間を過ぎると、このガチャは引けません&lt;/font&gt;</v>
      </c>
      <c r="R569" s="49" t="s">
        <v>3348</v>
      </c>
    </row>
    <row r="570" spans="1:18" ht="43" customHeight="1" x14ac:dyDescent="0.15">
      <c r="A570" s="2">
        <f t="shared" si="649"/>
        <v>7339</v>
      </c>
      <c r="B570" s="18">
        <v>3</v>
      </c>
      <c r="C570" s="18" t="s">
        <v>3341</v>
      </c>
      <c r="D570" s="2">
        <v>300</v>
      </c>
      <c r="E570" s="17" t="str">
        <f>VLOOKUP($D570,gacha_types!$A:$D,2,FALSE)</f>
        <v>polygon</v>
      </c>
      <c r="F570" s="17">
        <f>VLOOKUP($D570,gacha_types!$A:$D,3,FALSE)</f>
        <v>1</v>
      </c>
      <c r="G570" s="17">
        <f t="shared" si="680"/>
        <v>7339</v>
      </c>
      <c r="H570" s="13" t="str">
        <f t="shared" si="681"/>
        <v>GachaTop_7339.png</v>
      </c>
      <c r="I570" s="23">
        <v>0</v>
      </c>
      <c r="J570" s="23">
        <f t="shared" si="682"/>
        <v>7339</v>
      </c>
      <c r="K570" s="23">
        <v>1</v>
      </c>
      <c r="L570" s="55" t="s">
        <v>813</v>
      </c>
      <c r="M570" s="55" t="s">
        <v>814</v>
      </c>
      <c r="N570" s="2" t="s">
        <v>118</v>
      </c>
      <c r="O570" s="111" t="str">
        <f>CONCATENATE("&lt;font color=""#ffab27""&gt;",TEXT(VLOOKUP(A570,gacha_schedules!C:F,4,FALSE),"mm/dd hh:mm"),"&lt;/font&gt;まで")</f>
        <v>&lt;font color="#ffab27"&gt;06/13 14:59&lt;/font&gt;まで</v>
      </c>
      <c r="P570" s="111" t="s">
        <v>3346</v>
      </c>
      <c r="Q570" s="26" t="str">
        <f>CONCATENATE(O570,CHAR(13),P570,CHAR(13),R570)</f>
        <v>&lt;font color="#ffab27"&gt;06/13 14:59&lt;/font&gt;まで_x000D_★5のユニットが1体排出！_x000D_&lt;font color="#ffab27"&gt;※上記期間を過ぎると、このガチャは引けません&lt;/font&gt;</v>
      </c>
      <c r="R570" s="49" t="s">
        <v>3348</v>
      </c>
    </row>
    <row r="571" spans="1:18" ht="43" customHeight="1" x14ac:dyDescent="0.15">
      <c r="A571" s="2">
        <f t="shared" si="649"/>
        <v>7340</v>
      </c>
      <c r="B571" s="18">
        <v>3</v>
      </c>
      <c r="C571" s="18" t="s">
        <v>3342</v>
      </c>
      <c r="D571" s="2">
        <v>300</v>
      </c>
      <c r="E571" s="17" t="str">
        <f>VLOOKUP($D571,gacha_types!$A:$D,2,FALSE)</f>
        <v>polygon</v>
      </c>
      <c r="F571" s="17">
        <f>VLOOKUP($D571,gacha_types!$A:$D,3,FALSE)</f>
        <v>1</v>
      </c>
      <c r="G571" s="17">
        <f t="shared" si="680"/>
        <v>7340</v>
      </c>
      <c r="H571" s="13" t="str">
        <f t="shared" si="681"/>
        <v>GachaTop_7340.png</v>
      </c>
      <c r="I571" s="23">
        <v>0</v>
      </c>
      <c r="J571" s="23">
        <f t="shared" si="682"/>
        <v>7340</v>
      </c>
      <c r="K571" s="23">
        <v>1</v>
      </c>
      <c r="L571" s="55" t="s">
        <v>813</v>
      </c>
      <c r="M571" s="55" t="s">
        <v>814</v>
      </c>
      <c r="N571" s="2" t="s">
        <v>118</v>
      </c>
      <c r="O571" s="111" t="str">
        <f>CONCATENATE("&lt;font color=""#ffab27""&gt;",TEXT(VLOOKUP(A571,gacha_schedules!C:F,4,FALSE),"mm/dd hh:mm"),"&lt;/font&gt;まで")</f>
        <v>&lt;font color="#ffab27"&gt;06/13 14:59&lt;/font&gt;まで</v>
      </c>
      <c r="P571" s="111" t="s">
        <v>3347</v>
      </c>
      <c r="Q571" s="26" t="str">
        <f>CONCATENATE(O571,CHAR(13),P571,CHAR(13),R571)</f>
        <v>&lt;font color="#ffab27"&gt;06/13 14:59&lt;/font&gt;まで_x000D_★6覚醒済みユニット1体排出！_x000D_&lt;font color="#ffab27"&gt;※上記期間を過ぎると、このガチャは引けません&lt;/font&gt;</v>
      </c>
      <c r="R571" s="49" t="s">
        <v>3348</v>
      </c>
    </row>
    <row r="572" spans="1:18" ht="43" customHeight="1" x14ac:dyDescent="0.15">
      <c r="A572" s="2">
        <f t="shared" si="649"/>
        <v>7341</v>
      </c>
      <c r="B572" s="18">
        <v>3</v>
      </c>
      <c r="C572" s="18" t="s">
        <v>3404</v>
      </c>
      <c r="D572" s="2">
        <v>300</v>
      </c>
      <c r="E572" s="17" t="str">
        <f>VLOOKUP($D572,gacha_types!$A:$D,2,FALSE)</f>
        <v>polygon</v>
      </c>
      <c r="F572" s="17">
        <f>VLOOKUP($D572,gacha_types!$A:$D,3,FALSE)</f>
        <v>1</v>
      </c>
      <c r="G572" s="17">
        <f t="shared" ref="G572:G573" si="683">A572</f>
        <v>7341</v>
      </c>
      <c r="H572" s="13" t="str">
        <f t="shared" ref="H572:H573" si="684">"GachaTop_"&amp;A572&amp;".png"</f>
        <v>GachaTop_7341.png</v>
      </c>
      <c r="I572" s="23">
        <v>0</v>
      </c>
      <c r="J572" s="23">
        <f t="shared" ref="J572:J573" si="685">A572</f>
        <v>7341</v>
      </c>
      <c r="K572" s="23">
        <v>1</v>
      </c>
      <c r="L572" s="55" t="s">
        <v>813</v>
      </c>
      <c r="M572" s="55" t="s">
        <v>814</v>
      </c>
      <c r="N572" s="2" t="s">
        <v>118</v>
      </c>
      <c r="O572" s="111" t="str">
        <f>CONCATENATE("&lt;font color=""#ffab27""&gt;",TEXT(VLOOKUP(A572,gacha_schedules!C:F,4,FALSE),"mm/dd hh:mm"),"&lt;/font&gt;まで")</f>
        <v>&lt;font color="#ffab27"&gt;06/21 14:59&lt;/font&gt;まで</v>
      </c>
      <c r="P572" s="111" t="s">
        <v>3407</v>
      </c>
      <c r="Q572" s="26" t="str">
        <f t="shared" ref="Q572:Q577" si="686">CONCATENATE(O572, CHAR(13),P572, CHAR(13),R572)</f>
        <v>&lt;font color="#ffab27"&gt;06/21 14:59&lt;/font&gt;まで_x000D_ジューンブライド限定ユニット出現中！_x000D_&lt;font color="#ffab27"&gt;※ジューンブライドユニット以外のユニットも排出されます&lt;/font&gt;</v>
      </c>
      <c r="R572" s="49" t="s">
        <v>3423</v>
      </c>
    </row>
    <row r="573" spans="1:18" ht="43" customHeight="1" x14ac:dyDescent="0.15">
      <c r="A573" s="2">
        <f t="shared" si="649"/>
        <v>7342</v>
      </c>
      <c r="B573" s="18">
        <v>3</v>
      </c>
      <c r="C573" s="18" t="s">
        <v>3405</v>
      </c>
      <c r="D573" s="2">
        <v>300</v>
      </c>
      <c r="E573" s="17" t="str">
        <f>VLOOKUP($D573,gacha_types!$A:$D,2,FALSE)</f>
        <v>polygon</v>
      </c>
      <c r="F573" s="17">
        <f>VLOOKUP($D573,gacha_types!$A:$D,3,FALSE)</f>
        <v>1</v>
      </c>
      <c r="G573" s="17">
        <f t="shared" si="683"/>
        <v>7342</v>
      </c>
      <c r="H573" s="13" t="str">
        <f t="shared" si="684"/>
        <v>GachaTop_7342.png</v>
      </c>
      <c r="I573" s="23">
        <v>0</v>
      </c>
      <c r="J573" s="23">
        <f t="shared" si="685"/>
        <v>7342</v>
      </c>
      <c r="K573" s="23">
        <v>1</v>
      </c>
      <c r="L573" s="55" t="s">
        <v>813</v>
      </c>
      <c r="M573" s="55" t="s">
        <v>814</v>
      </c>
      <c r="N573" s="2" t="s">
        <v>118</v>
      </c>
      <c r="O573" s="111" t="str">
        <f>CONCATENATE("&lt;font color=""#ffab27""&gt;",TEXT(VLOOKUP(A573,gacha_schedules!C:F,4,FALSE),"mm/dd hh:mm"),"&lt;/font&gt;まで")</f>
        <v>&lt;font color="#ffab27"&gt;06/21 14:59&lt;/font&gt;まで</v>
      </c>
      <c r="P573" s="111" t="s">
        <v>3407</v>
      </c>
      <c r="Q573" s="26" t="str">
        <f t="shared" si="686"/>
        <v>&lt;font color="#ffab27"&gt;06/21 14:59&lt;/font&gt;まで_x000D_ジューンブライド限定ユニット出現中！_x000D_&lt;font color="#ffab27"&gt;※ジューンブライドユニット以外のユニットも排出されます&lt;/font&gt;</v>
      </c>
      <c r="R573" s="49" t="s">
        <v>3423</v>
      </c>
    </row>
    <row r="574" spans="1:18" ht="43" customHeight="1" x14ac:dyDescent="0.15">
      <c r="A574" s="2">
        <f t="shared" si="649"/>
        <v>7343</v>
      </c>
      <c r="B574" s="18">
        <v>3</v>
      </c>
      <c r="C574" s="18" t="s">
        <v>3409</v>
      </c>
      <c r="D574" s="2">
        <v>300</v>
      </c>
      <c r="E574" s="17" t="str">
        <f>VLOOKUP($D574,gacha_types!$A:$D,2,FALSE)</f>
        <v>polygon</v>
      </c>
      <c r="F574" s="17">
        <f>VLOOKUP($D574,gacha_types!$A:$D,3,FALSE)</f>
        <v>1</v>
      </c>
      <c r="G574" s="17">
        <f t="shared" ref="G574:G575" si="687">A574</f>
        <v>7343</v>
      </c>
      <c r="H574" s="13" t="str">
        <f t="shared" ref="H574:H575" si="688">"GachaTop_"&amp;A574&amp;".png"</f>
        <v>GachaTop_7343.png</v>
      </c>
      <c r="I574" s="23">
        <v>1</v>
      </c>
      <c r="J574" s="23">
        <f t="shared" ref="J574:J575" si="689">A574</f>
        <v>7343</v>
      </c>
      <c r="K574" s="23">
        <v>1</v>
      </c>
      <c r="L574" s="55" t="s">
        <v>813</v>
      </c>
      <c r="M574" s="55" t="s">
        <v>814</v>
      </c>
      <c r="N574" s="2" t="s">
        <v>118</v>
      </c>
      <c r="O574" s="111" t="str">
        <f>CONCATENATE("&lt;font color=""#ffab27""&gt;",TEXT(VLOOKUP(A574,gacha_schedules!C:F,4,FALSE),"mm/dd hh:mm"),"&lt;/font&gt;まで")</f>
        <v>&lt;font color="#ffab27"&gt;07/16 14:59&lt;/font&gt;まで</v>
      </c>
      <c r="P574" s="2" t="s">
        <v>3417</v>
      </c>
      <c r="Q574" s="26" t="str">
        <f t="shared" si="686"/>
        <v>&lt;font color="#ffab27"&gt;07/16 14:59&lt;/font&gt;まで_x000D_レッドブーケを集めて豪華素材をGETしよう！_x000D_&lt;font color="#ffab27"&gt;※1回につき1個のレッドブーケが必要です&lt;/font&gt;</v>
      </c>
      <c r="R574" s="49" t="s">
        <v>3415</v>
      </c>
    </row>
    <row r="575" spans="1:18" ht="43" customHeight="1" x14ac:dyDescent="0.15">
      <c r="A575" s="2">
        <f t="shared" si="649"/>
        <v>7344</v>
      </c>
      <c r="B575" s="18">
        <v>3</v>
      </c>
      <c r="C575" s="18" t="s">
        <v>3410</v>
      </c>
      <c r="D575" s="2">
        <v>300</v>
      </c>
      <c r="E575" s="17" t="str">
        <f>VLOOKUP($D575,gacha_types!$A:$D,2,FALSE)</f>
        <v>polygon</v>
      </c>
      <c r="F575" s="17">
        <f>VLOOKUP($D575,gacha_types!$A:$D,3,FALSE)</f>
        <v>1</v>
      </c>
      <c r="G575" s="17">
        <f t="shared" si="687"/>
        <v>7344</v>
      </c>
      <c r="H575" s="13" t="str">
        <f t="shared" si="688"/>
        <v>GachaTop_7344.png</v>
      </c>
      <c r="I575" s="23">
        <v>1</v>
      </c>
      <c r="J575" s="23">
        <f t="shared" si="689"/>
        <v>7344</v>
      </c>
      <c r="K575" s="23">
        <v>1</v>
      </c>
      <c r="L575" s="55" t="s">
        <v>813</v>
      </c>
      <c r="M575" s="55" t="s">
        <v>814</v>
      </c>
      <c r="N575" s="2" t="s">
        <v>118</v>
      </c>
      <c r="O575" s="111" t="str">
        <f>CONCATENATE("&lt;font color=""#ffab27""&gt;",TEXT(VLOOKUP(A575,gacha_schedules!C:F,4,FALSE),"mm/dd hh:mm"),"&lt;/font&gt;まで")</f>
        <v>&lt;font color="#ffab27"&gt;06/21 14:59&lt;/font&gt;まで</v>
      </c>
      <c r="P575" s="2" t="s">
        <v>3417</v>
      </c>
      <c r="Q575" s="26" t="str">
        <f t="shared" si="686"/>
        <v>&lt;font color="#ffab27"&gt;06/21 14:59&lt;/font&gt;まで_x000D_レッドブーケを集めて豪華素材をGETしよう！_x000D_&lt;font color="#ffab27"&gt;※1回につき10個のレッドブーケが必要です&lt;/font&gt;</v>
      </c>
      <c r="R575" s="49" t="s">
        <v>3416</v>
      </c>
    </row>
    <row r="576" spans="1:18" ht="43" customHeight="1" x14ac:dyDescent="0.15">
      <c r="A576" s="2">
        <f t="shared" si="649"/>
        <v>7345</v>
      </c>
      <c r="B576" s="18">
        <v>3</v>
      </c>
      <c r="C576" s="18" t="s">
        <v>3411</v>
      </c>
      <c r="D576" s="2">
        <v>300</v>
      </c>
      <c r="E576" s="17" t="str">
        <f>VLOOKUP($D576,gacha_types!$A:$D,2,FALSE)</f>
        <v>polygon</v>
      </c>
      <c r="F576" s="17">
        <f>VLOOKUP($D576,gacha_types!$A:$D,3,FALSE)</f>
        <v>1</v>
      </c>
      <c r="G576" s="17">
        <f t="shared" ref="G576:G577" si="690">A576</f>
        <v>7345</v>
      </c>
      <c r="H576" s="13" t="str">
        <f t="shared" ref="H576:H577" si="691">"GachaTop_"&amp;A576&amp;".png"</f>
        <v>GachaTop_7345.png</v>
      </c>
      <c r="I576" s="23">
        <v>1</v>
      </c>
      <c r="J576" s="23">
        <f t="shared" ref="J576:J577" si="692">A576</f>
        <v>7345</v>
      </c>
      <c r="K576" s="23">
        <v>1</v>
      </c>
      <c r="L576" s="55" t="s">
        <v>813</v>
      </c>
      <c r="M576" s="55" t="s">
        <v>814</v>
      </c>
      <c r="N576" s="2" t="s">
        <v>118</v>
      </c>
      <c r="O576" s="111" t="str">
        <f>CONCATENATE("&lt;font color=""#ffab27""&gt;",TEXT(VLOOKUP(A576,gacha_schedules!C:F,4,FALSE),"mm/dd hh:mm"),"&lt;/font&gt;まで")</f>
        <v>&lt;font color="#ffab27"&gt;07/16 14:59&lt;/font&gt;まで</v>
      </c>
      <c r="P576" s="2" t="s">
        <v>3418</v>
      </c>
      <c r="Q576" s="26" t="str">
        <f t="shared" si="686"/>
        <v>&lt;font color="#ffab27"&gt;07/16 14:59&lt;/font&gt;まで_x000D_グリーンブーケを集めて豪華素材をGETしよう！_x000D_&lt;font color="#ffab27"&gt;※1回につき1個のグリーンブーケが必要です&lt;/font&gt;</v>
      </c>
      <c r="R576" s="49" t="s">
        <v>3413</v>
      </c>
    </row>
    <row r="577" spans="1:18" ht="43" customHeight="1" x14ac:dyDescent="0.15">
      <c r="A577" s="2">
        <f t="shared" si="649"/>
        <v>7346</v>
      </c>
      <c r="B577" s="18">
        <v>3</v>
      </c>
      <c r="C577" s="18" t="s">
        <v>3412</v>
      </c>
      <c r="D577" s="2">
        <v>300</v>
      </c>
      <c r="E577" s="17" t="str">
        <f>VLOOKUP($D577,gacha_types!$A:$D,2,FALSE)</f>
        <v>polygon</v>
      </c>
      <c r="F577" s="17">
        <f>VLOOKUP($D577,gacha_types!$A:$D,3,FALSE)</f>
        <v>1</v>
      </c>
      <c r="G577" s="17">
        <f t="shared" si="690"/>
        <v>7346</v>
      </c>
      <c r="H577" s="13" t="str">
        <f t="shared" si="691"/>
        <v>GachaTop_7346.png</v>
      </c>
      <c r="I577" s="23">
        <v>1</v>
      </c>
      <c r="J577" s="23">
        <f t="shared" si="692"/>
        <v>7346</v>
      </c>
      <c r="K577" s="23">
        <v>1</v>
      </c>
      <c r="L577" s="55" t="s">
        <v>813</v>
      </c>
      <c r="M577" s="55" t="s">
        <v>814</v>
      </c>
      <c r="N577" s="2" t="s">
        <v>118</v>
      </c>
      <c r="O577" s="111" t="str">
        <f>CONCATENATE("&lt;font color=""#ffab27""&gt;",TEXT(VLOOKUP(A577,gacha_schedules!C:F,4,FALSE),"mm/dd hh:mm"),"&lt;/font&gt;まで")</f>
        <v>&lt;font color="#ffab27"&gt;06/21 14:59&lt;/font&gt;まで</v>
      </c>
      <c r="P577" s="2" t="s">
        <v>3418</v>
      </c>
      <c r="Q577" s="26" t="str">
        <f t="shared" si="686"/>
        <v>&lt;font color="#ffab27"&gt;06/21 14:59&lt;/font&gt;まで_x000D_グリーンブーケを集めて豪華素材をGETしよう！_x000D_&lt;font color="#ffab27"&gt;※1回につき10個のグリーンブーケが必要です&lt;/font&gt;</v>
      </c>
      <c r="R577" s="49" t="s">
        <v>3414</v>
      </c>
    </row>
  </sheetData>
  <phoneticPr fontId="12"/>
  <pageMargins left="0.75" right="0.75" top="1" bottom="1" header="0.3" footer="0.3"/>
  <pageSetup paperSize="9" orientation="portrait" horizontalDpi="4294967292" verticalDpi="429496729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Q5423"/>
  <sheetViews>
    <sheetView showGridLines="0" tabSelected="1" zoomScaleNormal="120" zoomScalePageLayoutView="120" workbookViewId="0">
      <pane ySplit="1" topLeftCell="A4981" activePane="bottomLeft" state="frozen"/>
      <selection pane="bottomLeft" activeCell="P5035" sqref="P5035"/>
    </sheetView>
  </sheetViews>
  <sheetFormatPr baseColWidth="12" defaultRowHeight="21" customHeight="1" x14ac:dyDescent="0.15"/>
  <cols>
    <col min="1" max="1" width="18.3984375" style="10" customWidth="1"/>
    <col min="2" max="2" width="13.3984375" style="1" bestFit="1" customWidth="1"/>
    <col min="3" max="3" width="60" style="51" customWidth="1"/>
    <col min="4" max="4" width="11.19921875" style="1" bestFit="1" customWidth="1"/>
    <col min="5" max="5" width="8.3984375" style="1" bestFit="1" customWidth="1"/>
    <col min="6" max="6" width="9.3984375" style="1" bestFit="1" customWidth="1"/>
    <col min="7" max="7" width="22" style="1" bestFit="1" customWidth="1"/>
    <col min="8" max="8" width="8.3984375" style="1" bestFit="1" customWidth="1"/>
    <col min="9" max="9" width="12" style="135" bestFit="1" customWidth="1"/>
    <col min="10" max="10" width="12.3984375" style="135" bestFit="1" customWidth="1"/>
    <col min="11" max="11" width="16.59765625" style="1" customWidth="1"/>
    <col min="12" max="12" width="10" style="1" bestFit="1" customWidth="1"/>
    <col min="13" max="13" width="11.3984375" style="1" bestFit="1" customWidth="1"/>
    <col min="14" max="14" width="5.59765625" style="1" bestFit="1" customWidth="1"/>
    <col min="15" max="16" width="20" style="1" customWidth="1"/>
    <col min="17" max="16384" width="13" style="1"/>
  </cols>
  <sheetData>
    <row r="1" spans="1:16" ht="21" customHeight="1" x14ac:dyDescent="0.15">
      <c r="A1" s="10" t="s">
        <v>99</v>
      </c>
      <c r="B1" s="5" t="s">
        <v>63</v>
      </c>
      <c r="C1" s="29" t="s">
        <v>88</v>
      </c>
      <c r="D1" s="5" t="s">
        <v>65</v>
      </c>
      <c r="E1" s="5" t="s">
        <v>67</v>
      </c>
      <c r="F1" s="5" t="s">
        <v>81</v>
      </c>
      <c r="G1" s="5" t="s">
        <v>82</v>
      </c>
      <c r="H1" s="5" t="s">
        <v>83</v>
      </c>
      <c r="I1" s="113" t="s">
        <v>69</v>
      </c>
      <c r="J1" s="113" t="s">
        <v>71</v>
      </c>
      <c r="K1" s="5" t="s">
        <v>73</v>
      </c>
      <c r="L1" s="5" t="s">
        <v>75</v>
      </c>
      <c r="M1" s="5" t="s">
        <v>77</v>
      </c>
      <c r="N1" s="5" t="s">
        <v>79</v>
      </c>
      <c r="O1" s="9" t="s">
        <v>27</v>
      </c>
      <c r="P1" s="5" t="s">
        <v>134</v>
      </c>
    </row>
    <row r="2" spans="1:16" ht="21" customHeight="1" x14ac:dyDescent="0.15">
      <c r="A2" s="25" t="str">
        <f t="shared" ref="A2:A32" si="0">B2&amp;"_"&amp;D2&amp;"_"&amp;E2&amp;"_"&amp;F2&amp;"_"&amp;G2</f>
        <v>0_1_1_1_polygon</v>
      </c>
      <c r="B2" s="24">
        <v>0</v>
      </c>
      <c r="C2" s="23" t="s">
        <v>111</v>
      </c>
      <c r="D2" s="24">
        <v>1</v>
      </c>
      <c r="E2" s="24">
        <v>1</v>
      </c>
      <c r="F2" s="24">
        <v>1</v>
      </c>
      <c r="G2" s="3" t="s">
        <v>22</v>
      </c>
      <c r="H2" s="24">
        <v>5</v>
      </c>
      <c r="I2" s="114">
        <v>4</v>
      </c>
      <c r="J2" s="115" t="s">
        <v>84</v>
      </c>
      <c r="K2" s="2" t="s">
        <v>86</v>
      </c>
      <c r="L2" s="2">
        <v>0</v>
      </c>
      <c r="M2" s="2" t="s">
        <v>84</v>
      </c>
      <c r="N2" s="2" t="s">
        <v>86</v>
      </c>
      <c r="O2" s="2" t="s">
        <v>841</v>
      </c>
      <c r="P2" s="2" t="s">
        <v>86</v>
      </c>
    </row>
    <row r="3" spans="1:16" ht="21" customHeight="1" x14ac:dyDescent="0.15">
      <c r="A3" s="25" t="str">
        <f t="shared" si="0"/>
        <v>0_1_0_1_polygon</v>
      </c>
      <c r="B3" s="24">
        <v>0</v>
      </c>
      <c r="C3" s="23" t="s">
        <v>111</v>
      </c>
      <c r="D3" s="24">
        <v>1</v>
      </c>
      <c r="E3" s="24">
        <v>0</v>
      </c>
      <c r="F3" s="24">
        <v>1</v>
      </c>
      <c r="G3" s="3" t="s">
        <v>22</v>
      </c>
      <c r="H3" s="24">
        <v>5</v>
      </c>
      <c r="I3" s="114">
        <v>3</v>
      </c>
      <c r="J3" s="115" t="s">
        <v>84</v>
      </c>
      <c r="K3" s="2" t="s">
        <v>86</v>
      </c>
      <c r="L3" s="2">
        <v>0</v>
      </c>
      <c r="M3" s="2" t="s">
        <v>84</v>
      </c>
      <c r="N3" s="2" t="s">
        <v>86</v>
      </c>
      <c r="O3" s="2" t="s">
        <v>841</v>
      </c>
      <c r="P3" s="2" t="s">
        <v>86</v>
      </c>
    </row>
    <row r="4" spans="1:16" ht="21" customHeight="1" x14ac:dyDescent="0.15">
      <c r="A4" s="25" t="str">
        <f t="shared" si="0"/>
        <v>0_10_0_10_polygon</v>
      </c>
      <c r="B4" s="24">
        <v>0</v>
      </c>
      <c r="C4" s="23" t="s">
        <v>111</v>
      </c>
      <c r="D4" s="24">
        <v>10</v>
      </c>
      <c r="E4" s="24">
        <v>0</v>
      </c>
      <c r="F4" s="24">
        <v>10</v>
      </c>
      <c r="G4" s="3" t="s">
        <v>22</v>
      </c>
      <c r="H4" s="24">
        <v>50</v>
      </c>
      <c r="I4" s="114">
        <v>4</v>
      </c>
      <c r="J4" s="115" t="s">
        <v>84</v>
      </c>
      <c r="K4" s="2" t="s">
        <v>116</v>
      </c>
      <c r="L4" s="2">
        <v>0</v>
      </c>
      <c r="M4" s="2" t="s">
        <v>84</v>
      </c>
      <c r="N4" s="2" t="s">
        <v>86</v>
      </c>
      <c r="O4" s="2" t="s">
        <v>841</v>
      </c>
      <c r="P4" s="2" t="s">
        <v>86</v>
      </c>
    </row>
    <row r="5" spans="1:16" ht="21" customHeight="1" x14ac:dyDescent="0.15">
      <c r="A5" s="25" t="str">
        <f t="shared" si="0"/>
        <v>1_1_1_1_polygon</v>
      </c>
      <c r="B5" s="24">
        <v>1</v>
      </c>
      <c r="C5" s="23" t="s">
        <v>112</v>
      </c>
      <c r="D5" s="24">
        <v>1</v>
      </c>
      <c r="E5" s="24">
        <v>1</v>
      </c>
      <c r="F5" s="24">
        <v>1</v>
      </c>
      <c r="G5" s="3" t="s">
        <v>22</v>
      </c>
      <c r="H5" s="24">
        <v>5</v>
      </c>
      <c r="I5" s="114">
        <v>14</v>
      </c>
      <c r="J5" s="115" t="s">
        <v>84</v>
      </c>
      <c r="K5" s="2" t="s">
        <v>86</v>
      </c>
      <c r="L5" s="2">
        <v>0</v>
      </c>
      <c r="M5" s="2" t="s">
        <v>84</v>
      </c>
      <c r="N5" s="2" t="s">
        <v>86</v>
      </c>
      <c r="O5" s="2" t="s">
        <v>841</v>
      </c>
      <c r="P5" s="2" t="s">
        <v>86</v>
      </c>
    </row>
    <row r="6" spans="1:16" ht="21" customHeight="1" x14ac:dyDescent="0.15">
      <c r="A6" s="25" t="str">
        <f t="shared" si="0"/>
        <v>1_1_0_1_polygon</v>
      </c>
      <c r="B6" s="24">
        <v>1</v>
      </c>
      <c r="C6" s="23" t="s">
        <v>114</v>
      </c>
      <c r="D6" s="24">
        <v>1</v>
      </c>
      <c r="E6" s="24">
        <v>0</v>
      </c>
      <c r="F6" s="24">
        <v>1</v>
      </c>
      <c r="G6" s="3" t="s">
        <v>22</v>
      </c>
      <c r="H6" s="24">
        <v>5</v>
      </c>
      <c r="I6" s="114">
        <v>13</v>
      </c>
      <c r="J6" s="115" t="s">
        <v>84</v>
      </c>
      <c r="K6" s="2" t="s">
        <v>86</v>
      </c>
      <c r="L6" s="2">
        <v>0</v>
      </c>
      <c r="M6" s="2" t="s">
        <v>84</v>
      </c>
      <c r="N6" s="2" t="s">
        <v>86</v>
      </c>
      <c r="O6" s="2" t="s">
        <v>841</v>
      </c>
      <c r="P6" s="2" t="s">
        <v>86</v>
      </c>
    </row>
    <row r="7" spans="1:16" ht="21" customHeight="1" x14ac:dyDescent="0.15">
      <c r="A7" s="25" t="str">
        <f t="shared" si="0"/>
        <v>1_10_0_10_polygon</v>
      </c>
      <c r="B7" s="24">
        <v>1</v>
      </c>
      <c r="C7" s="23" t="s">
        <v>114</v>
      </c>
      <c r="D7" s="24">
        <v>10</v>
      </c>
      <c r="E7" s="24">
        <v>0</v>
      </c>
      <c r="F7" s="24">
        <v>10</v>
      </c>
      <c r="G7" s="3" t="s">
        <v>22</v>
      </c>
      <c r="H7" s="24">
        <v>50</v>
      </c>
      <c r="I7" s="114">
        <v>14</v>
      </c>
      <c r="J7" s="115" t="s">
        <v>84</v>
      </c>
      <c r="K7" s="2">
        <v>15</v>
      </c>
      <c r="L7" s="2">
        <v>1</v>
      </c>
      <c r="M7" s="2" t="s">
        <v>84</v>
      </c>
      <c r="N7" s="2" t="s">
        <v>86</v>
      </c>
      <c r="O7" s="2" t="s">
        <v>841</v>
      </c>
      <c r="P7" s="2" t="s">
        <v>86</v>
      </c>
    </row>
    <row r="8" spans="1:16" ht="21" customHeight="1" x14ac:dyDescent="0.15">
      <c r="A8" s="25" t="str">
        <f t="shared" si="0"/>
        <v>2_1_1_1_polygon</v>
      </c>
      <c r="B8" s="24">
        <v>2</v>
      </c>
      <c r="C8" s="23" t="s">
        <v>113</v>
      </c>
      <c r="D8" s="24">
        <v>1</v>
      </c>
      <c r="E8" s="24">
        <v>1</v>
      </c>
      <c r="F8" s="24">
        <v>1</v>
      </c>
      <c r="G8" s="3" t="s">
        <v>22</v>
      </c>
      <c r="H8" s="24">
        <v>5</v>
      </c>
      <c r="I8" s="114">
        <v>24</v>
      </c>
      <c r="J8" s="115" t="s">
        <v>84</v>
      </c>
      <c r="K8" s="2" t="s">
        <v>86</v>
      </c>
      <c r="L8" s="2">
        <v>0</v>
      </c>
      <c r="M8" s="2" t="s">
        <v>84</v>
      </c>
      <c r="N8" s="2" t="s">
        <v>86</v>
      </c>
      <c r="O8" s="2" t="s">
        <v>841</v>
      </c>
      <c r="P8" s="2" t="s">
        <v>86</v>
      </c>
    </row>
    <row r="9" spans="1:16" ht="21" customHeight="1" x14ac:dyDescent="0.15">
      <c r="A9" s="25" t="str">
        <f t="shared" si="0"/>
        <v>2_1_0_1_polygon</v>
      </c>
      <c r="B9" s="24">
        <v>2</v>
      </c>
      <c r="C9" s="23" t="s">
        <v>115</v>
      </c>
      <c r="D9" s="24">
        <v>1</v>
      </c>
      <c r="E9" s="24">
        <v>0</v>
      </c>
      <c r="F9" s="24">
        <v>1</v>
      </c>
      <c r="G9" s="3" t="s">
        <v>22</v>
      </c>
      <c r="H9" s="24">
        <v>5</v>
      </c>
      <c r="I9" s="114">
        <v>23</v>
      </c>
      <c r="J9" s="115" t="s">
        <v>84</v>
      </c>
      <c r="K9" s="2" t="s">
        <v>86</v>
      </c>
      <c r="L9" s="2">
        <v>0</v>
      </c>
      <c r="M9" s="2" t="s">
        <v>84</v>
      </c>
      <c r="N9" s="2" t="s">
        <v>86</v>
      </c>
      <c r="O9" s="2" t="s">
        <v>841</v>
      </c>
      <c r="P9" s="2" t="s">
        <v>86</v>
      </c>
    </row>
    <row r="10" spans="1:16" ht="21" customHeight="1" x14ac:dyDescent="0.15">
      <c r="A10" s="25" t="str">
        <f t="shared" si="0"/>
        <v>2_10_0_10_polygon</v>
      </c>
      <c r="B10" s="24">
        <v>2</v>
      </c>
      <c r="C10" s="23" t="s">
        <v>115</v>
      </c>
      <c r="D10" s="24">
        <v>10</v>
      </c>
      <c r="E10" s="24">
        <v>0</v>
      </c>
      <c r="F10" s="24">
        <v>10</v>
      </c>
      <c r="G10" s="3" t="s">
        <v>22</v>
      </c>
      <c r="H10" s="24">
        <v>50</v>
      </c>
      <c r="I10" s="114">
        <v>24</v>
      </c>
      <c r="J10" s="115" t="s">
        <v>84</v>
      </c>
      <c r="K10" s="2" t="s">
        <v>86</v>
      </c>
      <c r="L10" s="2">
        <v>0</v>
      </c>
      <c r="M10" s="2" t="s">
        <v>84</v>
      </c>
      <c r="N10" s="2" t="s">
        <v>86</v>
      </c>
      <c r="O10" s="2" t="s">
        <v>841</v>
      </c>
      <c r="P10" s="2" t="s">
        <v>86</v>
      </c>
    </row>
    <row r="11" spans="1:16" ht="21" customHeight="1" x14ac:dyDescent="0.15">
      <c r="A11" s="25" t="str">
        <f t="shared" si="0"/>
        <v>2_10_3_10_polygon</v>
      </c>
      <c r="B11" s="24">
        <v>2</v>
      </c>
      <c r="C11" s="23" t="s">
        <v>115</v>
      </c>
      <c r="D11" s="24">
        <v>10</v>
      </c>
      <c r="E11" s="24">
        <v>3</v>
      </c>
      <c r="F11" s="24">
        <v>10</v>
      </c>
      <c r="G11" s="3" t="s">
        <v>22</v>
      </c>
      <c r="H11" s="24">
        <v>50</v>
      </c>
      <c r="I11" s="114">
        <v>24</v>
      </c>
      <c r="J11" s="115">
        <v>2</v>
      </c>
      <c r="K11" s="2" t="s">
        <v>86</v>
      </c>
      <c r="L11" s="2">
        <v>0</v>
      </c>
      <c r="M11" s="2" t="s">
        <v>84</v>
      </c>
      <c r="N11" s="2" t="s">
        <v>86</v>
      </c>
      <c r="O11" s="2" t="s">
        <v>841</v>
      </c>
      <c r="P11" s="2" t="s">
        <v>86</v>
      </c>
    </row>
    <row r="12" spans="1:16" ht="21" customHeight="1" x14ac:dyDescent="0.15">
      <c r="A12" s="25" t="str">
        <f t="shared" si="0"/>
        <v>2_10_6_10_polygon</v>
      </c>
      <c r="B12" s="24">
        <v>2</v>
      </c>
      <c r="C12" s="23" t="s">
        <v>115</v>
      </c>
      <c r="D12" s="24">
        <v>10</v>
      </c>
      <c r="E12" s="24">
        <v>6</v>
      </c>
      <c r="F12" s="24">
        <v>10</v>
      </c>
      <c r="G12" s="3" t="s">
        <v>22</v>
      </c>
      <c r="H12" s="24">
        <v>50</v>
      </c>
      <c r="I12" s="114">
        <v>24</v>
      </c>
      <c r="J12" s="115">
        <v>2</v>
      </c>
      <c r="K12" s="2" t="s">
        <v>86</v>
      </c>
      <c r="L12" s="2">
        <v>0</v>
      </c>
      <c r="M12" s="2" t="s">
        <v>84</v>
      </c>
      <c r="N12" s="2" t="s">
        <v>86</v>
      </c>
      <c r="O12" s="2" t="s">
        <v>841</v>
      </c>
      <c r="P12" s="2" t="s">
        <v>86</v>
      </c>
    </row>
    <row r="13" spans="1:16" ht="21" customHeight="1" x14ac:dyDescent="0.15">
      <c r="A13" s="25" t="str">
        <f t="shared" si="0"/>
        <v>2_10_9_10_polygon</v>
      </c>
      <c r="B13" s="24">
        <v>2</v>
      </c>
      <c r="C13" s="23" t="s">
        <v>115</v>
      </c>
      <c r="D13" s="24">
        <v>10</v>
      </c>
      <c r="E13" s="24">
        <v>9</v>
      </c>
      <c r="F13" s="24">
        <v>10</v>
      </c>
      <c r="G13" s="3" t="s">
        <v>22</v>
      </c>
      <c r="H13" s="24">
        <v>50</v>
      </c>
      <c r="I13" s="114">
        <v>24</v>
      </c>
      <c r="J13" s="115">
        <v>2</v>
      </c>
      <c r="K13" s="2" t="s">
        <v>86</v>
      </c>
      <c r="L13" s="2">
        <v>0</v>
      </c>
      <c r="M13" s="2" t="s">
        <v>84</v>
      </c>
      <c r="N13" s="2" t="s">
        <v>86</v>
      </c>
      <c r="O13" s="2" t="s">
        <v>841</v>
      </c>
      <c r="P13" s="2" t="s">
        <v>86</v>
      </c>
    </row>
    <row r="14" spans="1:16" ht="21" customHeight="1" x14ac:dyDescent="0.15">
      <c r="A14" s="25" t="str">
        <f t="shared" si="0"/>
        <v>2_10_12_10_polygon</v>
      </c>
      <c r="B14" s="24">
        <v>2</v>
      </c>
      <c r="C14" s="23" t="s">
        <v>115</v>
      </c>
      <c r="D14" s="24">
        <v>10</v>
      </c>
      <c r="E14" s="24">
        <v>12</v>
      </c>
      <c r="F14" s="24">
        <v>10</v>
      </c>
      <c r="G14" s="3" t="s">
        <v>22</v>
      </c>
      <c r="H14" s="24">
        <v>50</v>
      </c>
      <c r="I14" s="114">
        <v>24</v>
      </c>
      <c r="J14" s="115">
        <v>2</v>
      </c>
      <c r="K14" s="2" t="s">
        <v>86</v>
      </c>
      <c r="L14" s="2">
        <v>0</v>
      </c>
      <c r="M14" s="2" t="s">
        <v>84</v>
      </c>
      <c r="N14" s="2" t="s">
        <v>86</v>
      </c>
      <c r="O14" s="2" t="s">
        <v>841</v>
      </c>
      <c r="P14" s="2" t="s">
        <v>86</v>
      </c>
    </row>
    <row r="15" spans="1:16" ht="21" customHeight="1" x14ac:dyDescent="0.15">
      <c r="A15" s="25" t="str">
        <f t="shared" si="0"/>
        <v>2_10_15_10_polygon</v>
      </c>
      <c r="B15" s="24">
        <v>2</v>
      </c>
      <c r="C15" s="23" t="s">
        <v>115</v>
      </c>
      <c r="D15" s="24">
        <v>10</v>
      </c>
      <c r="E15" s="24">
        <v>15</v>
      </c>
      <c r="F15" s="24">
        <v>10</v>
      </c>
      <c r="G15" s="3" t="s">
        <v>22</v>
      </c>
      <c r="H15" s="24">
        <v>50</v>
      </c>
      <c r="I15" s="114">
        <v>24</v>
      </c>
      <c r="J15" s="115">
        <v>2</v>
      </c>
      <c r="K15" s="2" t="s">
        <v>86</v>
      </c>
      <c r="L15" s="2">
        <v>0</v>
      </c>
      <c r="M15" s="2" t="s">
        <v>84</v>
      </c>
      <c r="N15" s="2" t="s">
        <v>86</v>
      </c>
      <c r="O15" s="2" t="s">
        <v>841</v>
      </c>
      <c r="P15" s="2" t="s">
        <v>86</v>
      </c>
    </row>
    <row r="16" spans="1:16" ht="21" customHeight="1" x14ac:dyDescent="0.15">
      <c r="A16" s="25" t="str">
        <f t="shared" si="0"/>
        <v>2_10_18_10_polygon</v>
      </c>
      <c r="B16" s="24">
        <v>2</v>
      </c>
      <c r="C16" s="23" t="s">
        <v>115</v>
      </c>
      <c r="D16" s="24">
        <v>10</v>
      </c>
      <c r="E16" s="24">
        <v>18</v>
      </c>
      <c r="F16" s="24">
        <v>10</v>
      </c>
      <c r="G16" s="3" t="s">
        <v>22</v>
      </c>
      <c r="H16" s="24">
        <v>50</v>
      </c>
      <c r="I16" s="114">
        <v>24</v>
      </c>
      <c r="J16" s="115">
        <v>2</v>
      </c>
      <c r="K16" s="2" t="s">
        <v>86</v>
      </c>
      <c r="L16" s="2">
        <v>0</v>
      </c>
      <c r="M16" s="2" t="s">
        <v>84</v>
      </c>
      <c r="N16" s="2" t="s">
        <v>86</v>
      </c>
      <c r="O16" s="2" t="s">
        <v>841</v>
      </c>
      <c r="P16" s="2" t="s">
        <v>86</v>
      </c>
    </row>
    <row r="17" spans="1:16" ht="21" customHeight="1" x14ac:dyDescent="0.15">
      <c r="A17" s="25" t="str">
        <f t="shared" si="0"/>
        <v>2_10_21_10_polygon</v>
      </c>
      <c r="B17" s="24">
        <v>2</v>
      </c>
      <c r="C17" s="23" t="s">
        <v>115</v>
      </c>
      <c r="D17" s="24">
        <v>10</v>
      </c>
      <c r="E17" s="24">
        <v>21</v>
      </c>
      <c r="F17" s="24">
        <v>10</v>
      </c>
      <c r="G17" s="3" t="s">
        <v>22</v>
      </c>
      <c r="H17" s="24">
        <v>50</v>
      </c>
      <c r="I17" s="114">
        <v>24</v>
      </c>
      <c r="J17" s="115">
        <v>2</v>
      </c>
      <c r="K17" s="2" t="s">
        <v>86</v>
      </c>
      <c r="L17" s="2">
        <v>0</v>
      </c>
      <c r="M17" s="2" t="s">
        <v>84</v>
      </c>
      <c r="N17" s="2" t="s">
        <v>86</v>
      </c>
      <c r="O17" s="2" t="s">
        <v>841</v>
      </c>
      <c r="P17" s="2" t="s">
        <v>86</v>
      </c>
    </row>
    <row r="18" spans="1:16" ht="21" customHeight="1" x14ac:dyDescent="0.15">
      <c r="A18" s="25" t="str">
        <f t="shared" si="0"/>
        <v>2_10_24_10_polygon</v>
      </c>
      <c r="B18" s="24">
        <v>2</v>
      </c>
      <c r="C18" s="23" t="s">
        <v>115</v>
      </c>
      <c r="D18" s="24">
        <v>10</v>
      </c>
      <c r="E18" s="24">
        <v>24</v>
      </c>
      <c r="F18" s="24">
        <v>10</v>
      </c>
      <c r="G18" s="3" t="s">
        <v>22</v>
      </c>
      <c r="H18" s="24">
        <v>50</v>
      </c>
      <c r="I18" s="114">
        <v>24</v>
      </c>
      <c r="J18" s="115">
        <v>2</v>
      </c>
      <c r="K18" s="2" t="s">
        <v>86</v>
      </c>
      <c r="L18" s="2">
        <v>0</v>
      </c>
      <c r="M18" s="2" t="s">
        <v>84</v>
      </c>
      <c r="N18" s="2" t="s">
        <v>86</v>
      </c>
      <c r="O18" s="2" t="s">
        <v>841</v>
      </c>
      <c r="P18" s="2" t="s">
        <v>86</v>
      </c>
    </row>
    <row r="19" spans="1:16" ht="21" customHeight="1" x14ac:dyDescent="0.15">
      <c r="A19" s="25" t="str">
        <f t="shared" si="0"/>
        <v>2_10_27_10_polygon</v>
      </c>
      <c r="B19" s="24">
        <v>2</v>
      </c>
      <c r="C19" s="23" t="s">
        <v>115</v>
      </c>
      <c r="D19" s="24">
        <v>10</v>
      </c>
      <c r="E19" s="24">
        <v>27</v>
      </c>
      <c r="F19" s="24">
        <v>10</v>
      </c>
      <c r="G19" s="3" t="s">
        <v>22</v>
      </c>
      <c r="H19" s="24">
        <v>50</v>
      </c>
      <c r="I19" s="114">
        <v>24</v>
      </c>
      <c r="J19" s="115">
        <v>2</v>
      </c>
      <c r="K19" s="2" t="s">
        <v>86</v>
      </c>
      <c r="L19" s="2">
        <v>0</v>
      </c>
      <c r="M19" s="2" t="s">
        <v>84</v>
      </c>
      <c r="N19" s="2" t="s">
        <v>86</v>
      </c>
      <c r="O19" s="2" t="s">
        <v>841</v>
      </c>
      <c r="P19" s="2" t="s">
        <v>86</v>
      </c>
    </row>
    <row r="20" spans="1:16" ht="21" customHeight="1" x14ac:dyDescent="0.15">
      <c r="A20" s="25" t="str">
        <f t="shared" si="0"/>
        <v>2_10_30_10_polygon</v>
      </c>
      <c r="B20" s="24">
        <v>2</v>
      </c>
      <c r="C20" s="23" t="s">
        <v>115</v>
      </c>
      <c r="D20" s="24">
        <v>10</v>
      </c>
      <c r="E20" s="24">
        <v>30</v>
      </c>
      <c r="F20" s="24">
        <v>10</v>
      </c>
      <c r="G20" s="3" t="s">
        <v>22</v>
      </c>
      <c r="H20" s="24">
        <v>50</v>
      </c>
      <c r="I20" s="114">
        <v>24</v>
      </c>
      <c r="J20" s="115">
        <v>2</v>
      </c>
      <c r="K20" s="2" t="s">
        <v>86</v>
      </c>
      <c r="L20" s="2">
        <v>0</v>
      </c>
      <c r="M20" s="2" t="s">
        <v>84</v>
      </c>
      <c r="N20" s="2" t="s">
        <v>86</v>
      </c>
      <c r="O20" s="2" t="s">
        <v>841</v>
      </c>
      <c r="P20" s="2" t="s">
        <v>86</v>
      </c>
    </row>
    <row r="21" spans="1:16" ht="21" customHeight="1" x14ac:dyDescent="0.15">
      <c r="A21" s="25" t="str">
        <f t="shared" si="0"/>
        <v>3_1_1_1_polygon</v>
      </c>
      <c r="B21" s="24">
        <v>3</v>
      </c>
      <c r="C21" s="23" t="s">
        <v>117</v>
      </c>
      <c r="D21" s="24">
        <v>1</v>
      </c>
      <c r="E21" s="24">
        <v>1</v>
      </c>
      <c r="F21" s="24">
        <v>1</v>
      </c>
      <c r="G21" s="3" t="s">
        <v>22</v>
      </c>
      <c r="H21" s="24">
        <v>5</v>
      </c>
      <c r="I21" s="114">
        <v>34</v>
      </c>
      <c r="J21" s="115" t="s">
        <v>84</v>
      </c>
      <c r="K21" s="2" t="s">
        <v>86</v>
      </c>
      <c r="L21" s="2">
        <v>0</v>
      </c>
      <c r="M21" s="2" t="s">
        <v>84</v>
      </c>
      <c r="N21" s="2" t="s">
        <v>86</v>
      </c>
      <c r="O21" s="2" t="s">
        <v>841</v>
      </c>
      <c r="P21" s="2" t="s">
        <v>86</v>
      </c>
    </row>
    <row r="22" spans="1:16" ht="21" customHeight="1" x14ac:dyDescent="0.15">
      <c r="A22" s="25" t="str">
        <f t="shared" si="0"/>
        <v>3_1_0_1_polygon</v>
      </c>
      <c r="B22" s="24">
        <v>3</v>
      </c>
      <c r="C22" s="23" t="s">
        <v>117</v>
      </c>
      <c r="D22" s="24">
        <v>1</v>
      </c>
      <c r="E22" s="24">
        <v>0</v>
      </c>
      <c r="F22" s="24">
        <v>1</v>
      </c>
      <c r="G22" s="3" t="s">
        <v>22</v>
      </c>
      <c r="H22" s="24">
        <v>5</v>
      </c>
      <c r="I22" s="114">
        <v>33</v>
      </c>
      <c r="J22" s="115" t="s">
        <v>84</v>
      </c>
      <c r="K22" s="2" t="s">
        <v>86</v>
      </c>
      <c r="L22" s="2">
        <v>0</v>
      </c>
      <c r="M22" s="2" t="s">
        <v>84</v>
      </c>
      <c r="N22" s="2" t="s">
        <v>86</v>
      </c>
      <c r="O22" s="2" t="s">
        <v>841</v>
      </c>
      <c r="P22" s="2" t="s">
        <v>86</v>
      </c>
    </row>
    <row r="23" spans="1:16" ht="21" customHeight="1" x14ac:dyDescent="0.15">
      <c r="A23" s="25" t="str">
        <f t="shared" si="0"/>
        <v>3_10_0_10_polygon</v>
      </c>
      <c r="B23" s="24">
        <v>3</v>
      </c>
      <c r="C23" s="23" t="s">
        <v>117</v>
      </c>
      <c r="D23" s="24">
        <v>10</v>
      </c>
      <c r="E23" s="24">
        <v>0</v>
      </c>
      <c r="F23" s="24">
        <v>10</v>
      </c>
      <c r="G23" s="3" t="s">
        <v>22</v>
      </c>
      <c r="H23" s="24">
        <v>50</v>
      </c>
      <c r="I23" s="114">
        <v>34</v>
      </c>
      <c r="J23" s="115" t="s">
        <v>84</v>
      </c>
      <c r="K23" s="2" t="s">
        <v>116</v>
      </c>
      <c r="L23" s="2">
        <v>0</v>
      </c>
      <c r="M23" s="2" t="s">
        <v>84</v>
      </c>
      <c r="N23" s="2" t="s">
        <v>86</v>
      </c>
      <c r="O23" s="2" t="s">
        <v>841</v>
      </c>
      <c r="P23" s="2" t="s">
        <v>86</v>
      </c>
    </row>
    <row r="24" spans="1:16" ht="21" customHeight="1" x14ac:dyDescent="0.15">
      <c r="A24" s="25" t="str">
        <f t="shared" si="0"/>
        <v>3_10_1_10_polygon</v>
      </c>
      <c r="B24" s="24">
        <v>3</v>
      </c>
      <c r="C24" s="23" t="s">
        <v>117</v>
      </c>
      <c r="D24" s="24">
        <v>10</v>
      </c>
      <c r="E24" s="24">
        <v>1</v>
      </c>
      <c r="F24" s="24">
        <v>10</v>
      </c>
      <c r="G24" s="3" t="s">
        <v>22</v>
      </c>
      <c r="H24" s="24">
        <v>30</v>
      </c>
      <c r="I24" s="114">
        <v>34</v>
      </c>
      <c r="J24" s="115" t="s">
        <v>84</v>
      </c>
      <c r="K24" s="2" t="s">
        <v>116</v>
      </c>
      <c r="L24" s="2">
        <v>0</v>
      </c>
      <c r="M24" s="2" t="s">
        <v>84</v>
      </c>
      <c r="N24" s="2" t="s">
        <v>86</v>
      </c>
      <c r="O24" s="2" t="s">
        <v>841</v>
      </c>
      <c r="P24" s="2" t="s">
        <v>86</v>
      </c>
    </row>
    <row r="25" spans="1:16" ht="21" customHeight="1" x14ac:dyDescent="0.15">
      <c r="A25" s="25" t="str">
        <f t="shared" si="0"/>
        <v>4_10_1_10_polygon</v>
      </c>
      <c r="B25" s="24">
        <v>4</v>
      </c>
      <c r="C25" s="23" t="s">
        <v>387</v>
      </c>
      <c r="D25" s="24">
        <v>10</v>
      </c>
      <c r="E25" s="24">
        <v>1</v>
      </c>
      <c r="F25" s="24">
        <v>10</v>
      </c>
      <c r="G25" s="3" t="s">
        <v>22</v>
      </c>
      <c r="H25" s="24">
        <v>1</v>
      </c>
      <c r="I25" s="114">
        <v>1641</v>
      </c>
      <c r="J25" s="115" t="s">
        <v>418</v>
      </c>
      <c r="K25" s="2" t="s">
        <v>116</v>
      </c>
      <c r="L25" s="2">
        <v>0</v>
      </c>
      <c r="M25" s="2" t="s">
        <v>84</v>
      </c>
      <c r="N25" s="2" t="s">
        <v>84</v>
      </c>
      <c r="O25" s="2" t="s">
        <v>841</v>
      </c>
      <c r="P25" s="2" t="s">
        <v>142</v>
      </c>
    </row>
    <row r="26" spans="1:16" ht="21" customHeight="1" x14ac:dyDescent="0.15">
      <c r="A26" s="25" t="str">
        <f t="shared" si="0"/>
        <v>4_10_2_10_polygon</v>
      </c>
      <c r="B26" s="24">
        <v>4</v>
      </c>
      <c r="C26" s="23" t="s">
        <v>387</v>
      </c>
      <c r="D26" s="24">
        <v>10</v>
      </c>
      <c r="E26" s="24">
        <v>2</v>
      </c>
      <c r="F26" s="24">
        <v>10</v>
      </c>
      <c r="G26" s="3" t="s">
        <v>22</v>
      </c>
      <c r="H26" s="24">
        <v>2</v>
      </c>
      <c r="I26" s="114">
        <v>1640</v>
      </c>
      <c r="J26" s="115" t="s">
        <v>84</v>
      </c>
      <c r="K26" s="2" t="s">
        <v>84</v>
      </c>
      <c r="L26" s="2">
        <v>0</v>
      </c>
      <c r="M26" s="2" t="s">
        <v>84</v>
      </c>
      <c r="N26" s="2" t="s">
        <v>84</v>
      </c>
      <c r="O26" s="2" t="s">
        <v>841</v>
      </c>
      <c r="P26" s="2" t="s">
        <v>419</v>
      </c>
    </row>
    <row r="27" spans="1:16" ht="21" customHeight="1" x14ac:dyDescent="0.15">
      <c r="A27" s="25" t="str">
        <f t="shared" si="0"/>
        <v>4_10_3_10_polygon</v>
      </c>
      <c r="B27" s="24">
        <v>4</v>
      </c>
      <c r="C27" s="23" t="s">
        <v>387</v>
      </c>
      <c r="D27" s="24">
        <v>10</v>
      </c>
      <c r="E27" s="24">
        <v>3</v>
      </c>
      <c r="F27" s="24">
        <v>10</v>
      </c>
      <c r="G27" s="3" t="s">
        <v>22</v>
      </c>
      <c r="H27" s="24">
        <v>3</v>
      </c>
      <c r="I27" s="114">
        <v>1640</v>
      </c>
      <c r="J27" s="115" t="s">
        <v>84</v>
      </c>
      <c r="K27" s="2" t="s">
        <v>84</v>
      </c>
      <c r="L27" s="2">
        <v>0</v>
      </c>
      <c r="M27" s="2" t="s">
        <v>84</v>
      </c>
      <c r="N27" s="2" t="s">
        <v>84</v>
      </c>
      <c r="O27" s="2" t="s">
        <v>841</v>
      </c>
      <c r="P27" s="2" t="s">
        <v>422</v>
      </c>
    </row>
    <row r="28" spans="1:16" ht="21" customHeight="1" x14ac:dyDescent="0.15">
      <c r="A28" s="25" t="str">
        <f t="shared" si="0"/>
        <v>4_10_4_10_polygon</v>
      </c>
      <c r="B28" s="24">
        <v>4</v>
      </c>
      <c r="C28" s="23" t="s">
        <v>387</v>
      </c>
      <c r="D28" s="24">
        <v>10</v>
      </c>
      <c r="E28" s="24">
        <v>4</v>
      </c>
      <c r="F28" s="24">
        <v>10</v>
      </c>
      <c r="G28" s="3" t="s">
        <v>22</v>
      </c>
      <c r="H28" s="24">
        <v>4</v>
      </c>
      <c r="I28" s="114">
        <v>1640</v>
      </c>
      <c r="J28" s="115" t="s">
        <v>84</v>
      </c>
      <c r="K28" s="2" t="s">
        <v>84</v>
      </c>
      <c r="L28" s="2">
        <v>0</v>
      </c>
      <c r="M28" s="2" t="s">
        <v>84</v>
      </c>
      <c r="N28" s="2" t="s">
        <v>84</v>
      </c>
      <c r="O28" s="2" t="s">
        <v>841</v>
      </c>
      <c r="P28" s="2" t="s">
        <v>423</v>
      </c>
    </row>
    <row r="29" spans="1:16" ht="21" customHeight="1" x14ac:dyDescent="0.15">
      <c r="A29" s="25" t="str">
        <f t="shared" si="0"/>
        <v>4_10_5_10_polygon</v>
      </c>
      <c r="B29" s="24">
        <v>4</v>
      </c>
      <c r="C29" s="23" t="s">
        <v>387</v>
      </c>
      <c r="D29" s="24">
        <v>10</v>
      </c>
      <c r="E29" s="24">
        <v>5</v>
      </c>
      <c r="F29" s="24">
        <v>10</v>
      </c>
      <c r="G29" s="3" t="s">
        <v>22</v>
      </c>
      <c r="H29" s="24">
        <v>5</v>
      </c>
      <c r="I29" s="114">
        <v>1640</v>
      </c>
      <c r="J29" s="115" t="s">
        <v>84</v>
      </c>
      <c r="K29" s="2" t="s">
        <v>84</v>
      </c>
      <c r="L29" s="2">
        <v>0</v>
      </c>
      <c r="M29" s="2" t="s">
        <v>84</v>
      </c>
      <c r="N29" s="2" t="s">
        <v>84</v>
      </c>
      <c r="O29" s="2" t="s">
        <v>841</v>
      </c>
      <c r="P29" s="2" t="s">
        <v>424</v>
      </c>
    </row>
    <row r="30" spans="1:16" ht="21" customHeight="1" x14ac:dyDescent="0.15">
      <c r="A30" s="25" t="str">
        <f t="shared" si="0"/>
        <v>4_10_6_10_polygon</v>
      </c>
      <c r="B30" s="24">
        <v>4</v>
      </c>
      <c r="C30" s="23" t="s">
        <v>387</v>
      </c>
      <c r="D30" s="24">
        <v>10</v>
      </c>
      <c r="E30" s="24">
        <v>6</v>
      </c>
      <c r="F30" s="24">
        <v>10</v>
      </c>
      <c r="G30" s="3" t="s">
        <v>22</v>
      </c>
      <c r="H30" s="24">
        <v>6</v>
      </c>
      <c r="I30" s="114">
        <v>1640</v>
      </c>
      <c r="J30" s="115" t="s">
        <v>84</v>
      </c>
      <c r="K30" s="2" t="s">
        <v>84</v>
      </c>
      <c r="L30" s="2">
        <v>0</v>
      </c>
      <c r="M30" s="2" t="s">
        <v>84</v>
      </c>
      <c r="N30" s="2" t="s">
        <v>84</v>
      </c>
      <c r="O30" s="2" t="s">
        <v>841</v>
      </c>
      <c r="P30" s="2" t="s">
        <v>425</v>
      </c>
    </row>
    <row r="31" spans="1:16" ht="21" customHeight="1" x14ac:dyDescent="0.15">
      <c r="A31" s="25" t="str">
        <f t="shared" si="0"/>
        <v>4_10_7_10_polygon</v>
      </c>
      <c r="B31" s="24">
        <v>4</v>
      </c>
      <c r="C31" s="23" t="s">
        <v>387</v>
      </c>
      <c r="D31" s="24">
        <v>10</v>
      </c>
      <c r="E31" s="24">
        <v>7</v>
      </c>
      <c r="F31" s="24">
        <v>10</v>
      </c>
      <c r="G31" s="3" t="s">
        <v>22</v>
      </c>
      <c r="H31" s="24">
        <v>7</v>
      </c>
      <c r="I31" s="114">
        <v>1640</v>
      </c>
      <c r="J31" s="115" t="s">
        <v>84</v>
      </c>
      <c r="K31" s="2" t="s">
        <v>84</v>
      </c>
      <c r="L31" s="2">
        <v>0</v>
      </c>
      <c r="M31" s="2" t="s">
        <v>84</v>
      </c>
      <c r="N31" s="2" t="s">
        <v>84</v>
      </c>
      <c r="O31" s="2" t="s">
        <v>841</v>
      </c>
      <c r="P31" s="2" t="s">
        <v>426</v>
      </c>
    </row>
    <row r="32" spans="1:16" ht="21" customHeight="1" x14ac:dyDescent="0.15">
      <c r="A32" s="25" t="str">
        <f t="shared" si="0"/>
        <v>4_10_8_10_polygon</v>
      </c>
      <c r="B32" s="24">
        <v>4</v>
      </c>
      <c r="C32" s="23" t="s">
        <v>387</v>
      </c>
      <c r="D32" s="24">
        <v>10</v>
      </c>
      <c r="E32" s="24">
        <v>8</v>
      </c>
      <c r="F32" s="24">
        <v>10</v>
      </c>
      <c r="G32" s="3" t="s">
        <v>22</v>
      </c>
      <c r="H32" s="24">
        <v>8</v>
      </c>
      <c r="I32" s="114">
        <v>1640</v>
      </c>
      <c r="J32" s="115" t="s">
        <v>84</v>
      </c>
      <c r="K32" s="2" t="s">
        <v>84</v>
      </c>
      <c r="L32" s="2">
        <v>0</v>
      </c>
      <c r="M32" s="2" t="s">
        <v>84</v>
      </c>
      <c r="N32" s="2" t="s">
        <v>84</v>
      </c>
      <c r="O32" s="2" t="s">
        <v>841</v>
      </c>
      <c r="P32" s="2" t="s">
        <v>428</v>
      </c>
    </row>
    <row r="33" spans="1:16" ht="21" customHeight="1" x14ac:dyDescent="0.15">
      <c r="A33" s="25" t="str">
        <f t="shared" ref="A33:A35" si="1">B33&amp;"_"&amp;D33&amp;"_"&amp;E33&amp;"_"&amp;F33&amp;"_"&amp;G33</f>
        <v>4_10_0_5_polygon</v>
      </c>
      <c r="B33" s="24">
        <v>4</v>
      </c>
      <c r="C33" s="23" t="s">
        <v>387</v>
      </c>
      <c r="D33" s="24">
        <v>10</v>
      </c>
      <c r="E33" s="24">
        <v>0</v>
      </c>
      <c r="F33" s="24">
        <v>5</v>
      </c>
      <c r="G33" s="3" t="s">
        <v>22</v>
      </c>
      <c r="H33" s="24">
        <v>10</v>
      </c>
      <c r="I33" s="114">
        <v>1640</v>
      </c>
      <c r="J33" s="115" t="s">
        <v>84</v>
      </c>
      <c r="K33" s="2" t="s">
        <v>116</v>
      </c>
      <c r="L33" s="2">
        <v>0</v>
      </c>
      <c r="M33" s="2" t="s">
        <v>84</v>
      </c>
      <c r="N33" s="2" t="s">
        <v>84</v>
      </c>
      <c r="O33" s="2" t="s">
        <v>841</v>
      </c>
      <c r="P33" s="2" t="s">
        <v>429</v>
      </c>
    </row>
    <row r="34" spans="1:16" ht="21" customHeight="1" x14ac:dyDescent="0.15">
      <c r="A34" s="25" t="str">
        <f t="shared" si="1"/>
        <v>5_1_0_1_ticket_bonze</v>
      </c>
      <c r="B34" s="24">
        <v>5</v>
      </c>
      <c r="C34" s="23" t="s">
        <v>598</v>
      </c>
      <c r="D34" s="24">
        <v>1</v>
      </c>
      <c r="E34" s="24">
        <v>0</v>
      </c>
      <c r="F34" s="24">
        <v>1</v>
      </c>
      <c r="G34" s="3" t="s">
        <v>593</v>
      </c>
      <c r="H34" s="24">
        <v>1</v>
      </c>
      <c r="I34" s="114" t="s">
        <v>594</v>
      </c>
      <c r="J34" s="115" t="s">
        <v>84</v>
      </c>
      <c r="K34" s="2" t="s">
        <v>116</v>
      </c>
      <c r="L34" s="2">
        <v>0</v>
      </c>
      <c r="M34" s="2" t="s">
        <v>84</v>
      </c>
      <c r="N34" s="2" t="s">
        <v>84</v>
      </c>
      <c r="O34" s="2" t="s">
        <v>841</v>
      </c>
      <c r="P34" s="2" t="s">
        <v>86</v>
      </c>
    </row>
    <row r="35" spans="1:16" ht="21" customHeight="1" x14ac:dyDescent="0.15">
      <c r="A35" s="25" t="str">
        <f t="shared" si="1"/>
        <v>6_1_0_1_ticket_normal</v>
      </c>
      <c r="B35" s="24">
        <v>6</v>
      </c>
      <c r="C35" s="23" t="s">
        <v>599</v>
      </c>
      <c r="D35" s="24">
        <v>1</v>
      </c>
      <c r="E35" s="24">
        <v>0</v>
      </c>
      <c r="F35" s="24">
        <v>1</v>
      </c>
      <c r="G35" s="58" t="s">
        <v>597</v>
      </c>
      <c r="H35" s="24">
        <v>3</v>
      </c>
      <c r="I35" s="114" t="s">
        <v>594</v>
      </c>
      <c r="J35" s="115" t="s">
        <v>84</v>
      </c>
      <c r="K35" s="2" t="s">
        <v>116</v>
      </c>
      <c r="L35" s="2">
        <v>0</v>
      </c>
      <c r="M35" s="2" t="s">
        <v>84</v>
      </c>
      <c r="N35" s="2" t="s">
        <v>84</v>
      </c>
      <c r="O35" s="2" t="s">
        <v>841</v>
      </c>
      <c r="P35" s="2" t="s">
        <v>86</v>
      </c>
    </row>
    <row r="36" spans="1:16" ht="21" customHeight="1" x14ac:dyDescent="0.15">
      <c r="A36" s="25" t="str">
        <f t="shared" ref="A36:A81" si="2">B36&amp;"_"&amp;D36&amp;"_"&amp;E36&amp;"_"&amp;F36&amp;"_"&amp;G36</f>
        <v>100_1_0_1_polygon</v>
      </c>
      <c r="B36" s="24">
        <v>100</v>
      </c>
      <c r="C36" s="23" t="s">
        <v>110</v>
      </c>
      <c r="D36" s="21">
        <v>1</v>
      </c>
      <c r="E36" s="2">
        <v>0</v>
      </c>
      <c r="F36" s="2">
        <v>1</v>
      </c>
      <c r="G36" s="3" t="s">
        <v>22</v>
      </c>
      <c r="H36" s="2">
        <v>5</v>
      </c>
      <c r="I36" s="116">
        <v>100</v>
      </c>
      <c r="J36" s="115" t="s">
        <v>84</v>
      </c>
      <c r="K36" s="2" t="s">
        <v>86</v>
      </c>
      <c r="L36" s="2">
        <v>0</v>
      </c>
      <c r="M36" s="2" t="s">
        <v>84</v>
      </c>
      <c r="N36" s="2" t="s">
        <v>86</v>
      </c>
      <c r="O36" s="2" t="s">
        <v>841</v>
      </c>
      <c r="P36" s="2" t="s">
        <v>86</v>
      </c>
    </row>
    <row r="37" spans="1:16" ht="21" customHeight="1" x14ac:dyDescent="0.15">
      <c r="A37" s="25" t="str">
        <f t="shared" ref="A37" si="3">B37&amp;"_"&amp;D37&amp;"_"&amp;E37&amp;"_"&amp;F37&amp;"_"&amp;G37</f>
        <v>100_10_0_10_polygon</v>
      </c>
      <c r="B37" s="24">
        <v>100</v>
      </c>
      <c r="C37" s="23" t="s">
        <v>110</v>
      </c>
      <c r="D37" s="21">
        <v>10</v>
      </c>
      <c r="E37" s="2">
        <v>0</v>
      </c>
      <c r="F37" s="2">
        <v>10</v>
      </c>
      <c r="G37" s="3" t="s">
        <v>22</v>
      </c>
      <c r="H37" s="2">
        <v>50</v>
      </c>
      <c r="I37" s="116">
        <v>100</v>
      </c>
      <c r="J37" s="115" t="s">
        <v>84</v>
      </c>
      <c r="K37" s="2" t="s">
        <v>86</v>
      </c>
      <c r="L37" s="2">
        <v>0</v>
      </c>
      <c r="M37" s="2" t="s">
        <v>84</v>
      </c>
      <c r="N37" s="2" t="s">
        <v>86</v>
      </c>
      <c r="O37" s="2" t="s">
        <v>841</v>
      </c>
      <c r="P37" s="2" t="s">
        <v>86</v>
      </c>
    </row>
    <row r="38" spans="1:16" ht="21" customHeight="1" x14ac:dyDescent="0.15">
      <c r="A38" s="10" t="str">
        <f t="shared" si="2"/>
        <v>102_1_0_1_polygon</v>
      </c>
      <c r="B38" s="2">
        <v>102</v>
      </c>
      <c r="C38" s="18"/>
      <c r="D38" s="21">
        <v>1</v>
      </c>
      <c r="E38" s="2">
        <v>0</v>
      </c>
      <c r="F38" s="2">
        <v>1</v>
      </c>
      <c r="G38" s="3" t="s">
        <v>22</v>
      </c>
      <c r="H38" s="2">
        <v>5</v>
      </c>
      <c r="I38" s="116">
        <v>3</v>
      </c>
      <c r="J38" s="115" t="s">
        <v>84</v>
      </c>
      <c r="K38" s="2" t="s">
        <v>86</v>
      </c>
      <c r="L38" s="2">
        <v>0</v>
      </c>
      <c r="M38" s="2" t="s">
        <v>427</v>
      </c>
      <c r="N38" s="2" t="s">
        <v>86</v>
      </c>
      <c r="O38" s="2" t="s">
        <v>841</v>
      </c>
      <c r="P38" s="2" t="s">
        <v>86</v>
      </c>
    </row>
    <row r="39" spans="1:16" ht="21" customHeight="1" x14ac:dyDescent="0.15">
      <c r="A39" s="10" t="str">
        <f t="shared" si="2"/>
        <v>103_1_0_1_polygon</v>
      </c>
      <c r="B39" s="2">
        <v>103</v>
      </c>
      <c r="C39" s="18"/>
      <c r="D39" s="21">
        <v>1</v>
      </c>
      <c r="E39" s="2">
        <v>0</v>
      </c>
      <c r="F39" s="2">
        <v>1</v>
      </c>
      <c r="G39" s="3" t="s">
        <v>22</v>
      </c>
      <c r="H39" s="2">
        <v>5</v>
      </c>
      <c r="I39" s="116">
        <v>3</v>
      </c>
      <c r="J39" s="115" t="s">
        <v>84</v>
      </c>
      <c r="K39" s="2" t="s">
        <v>86</v>
      </c>
      <c r="L39" s="2">
        <v>0</v>
      </c>
      <c r="M39" s="2" t="s">
        <v>84</v>
      </c>
      <c r="N39" s="2" t="s">
        <v>86</v>
      </c>
      <c r="O39" s="2" t="s">
        <v>841</v>
      </c>
      <c r="P39" s="2" t="s">
        <v>86</v>
      </c>
    </row>
    <row r="40" spans="1:16" ht="21" customHeight="1" x14ac:dyDescent="0.15">
      <c r="A40" s="10" t="str">
        <f t="shared" si="2"/>
        <v>104_1_0_1_polygon</v>
      </c>
      <c r="B40" s="2">
        <v>104</v>
      </c>
      <c r="C40" s="18"/>
      <c r="D40" s="21">
        <v>1</v>
      </c>
      <c r="E40" s="2">
        <v>0</v>
      </c>
      <c r="F40" s="2">
        <v>1</v>
      </c>
      <c r="G40" s="3" t="s">
        <v>22</v>
      </c>
      <c r="H40" s="2">
        <v>5</v>
      </c>
      <c r="I40" s="116">
        <v>3</v>
      </c>
      <c r="J40" s="115" t="s">
        <v>84</v>
      </c>
      <c r="K40" s="2" t="s">
        <v>86</v>
      </c>
      <c r="L40" s="2">
        <v>0</v>
      </c>
      <c r="M40" s="2" t="s">
        <v>84</v>
      </c>
      <c r="N40" s="2" t="s">
        <v>86</v>
      </c>
      <c r="O40" s="2" t="s">
        <v>841</v>
      </c>
      <c r="P40" s="2" t="s">
        <v>86</v>
      </c>
    </row>
    <row r="41" spans="1:16" ht="21" customHeight="1" x14ac:dyDescent="0.15">
      <c r="A41" s="10" t="str">
        <f t="shared" si="2"/>
        <v>105_1_0_1_polygon</v>
      </c>
      <c r="B41" s="2">
        <v>105</v>
      </c>
      <c r="C41" s="18"/>
      <c r="D41" s="21">
        <v>1</v>
      </c>
      <c r="E41" s="2">
        <v>0</v>
      </c>
      <c r="F41" s="2">
        <v>1</v>
      </c>
      <c r="G41" s="3" t="s">
        <v>22</v>
      </c>
      <c r="H41" s="2">
        <v>5</v>
      </c>
      <c r="I41" s="116">
        <v>3</v>
      </c>
      <c r="J41" s="115" t="s">
        <v>84</v>
      </c>
      <c r="K41" s="2" t="s">
        <v>86</v>
      </c>
      <c r="L41" s="2">
        <v>0</v>
      </c>
      <c r="M41" s="2" t="s">
        <v>84</v>
      </c>
      <c r="N41" s="2" t="s">
        <v>86</v>
      </c>
      <c r="O41" s="2" t="s">
        <v>841</v>
      </c>
      <c r="P41" s="2" t="s">
        <v>86</v>
      </c>
    </row>
    <row r="42" spans="1:16" ht="21" customHeight="1" x14ac:dyDescent="0.15">
      <c r="A42" s="10" t="str">
        <f t="shared" si="2"/>
        <v>106_1_0_1_polygon</v>
      </c>
      <c r="B42" s="2">
        <v>106</v>
      </c>
      <c r="C42" s="18"/>
      <c r="D42" s="21">
        <v>1</v>
      </c>
      <c r="E42" s="2">
        <v>0</v>
      </c>
      <c r="F42" s="2">
        <v>1</v>
      </c>
      <c r="G42" s="3" t="s">
        <v>22</v>
      </c>
      <c r="H42" s="2">
        <v>5</v>
      </c>
      <c r="I42" s="116">
        <v>3</v>
      </c>
      <c r="J42" s="115" t="s">
        <v>84</v>
      </c>
      <c r="K42" s="2" t="s">
        <v>86</v>
      </c>
      <c r="L42" s="2">
        <v>0</v>
      </c>
      <c r="M42" s="2" t="s">
        <v>84</v>
      </c>
      <c r="N42" s="2" t="s">
        <v>86</v>
      </c>
      <c r="O42" s="2" t="s">
        <v>841</v>
      </c>
      <c r="P42" s="2" t="s">
        <v>86</v>
      </c>
    </row>
    <row r="43" spans="1:16" ht="21" customHeight="1" x14ac:dyDescent="0.15">
      <c r="A43" s="10" t="str">
        <f t="shared" si="2"/>
        <v>107_1_0_1_polygon</v>
      </c>
      <c r="B43" s="2">
        <v>107</v>
      </c>
      <c r="C43" s="18"/>
      <c r="D43" s="21">
        <v>1</v>
      </c>
      <c r="E43" s="2">
        <v>0</v>
      </c>
      <c r="F43" s="2">
        <v>1</v>
      </c>
      <c r="G43" s="3" t="s">
        <v>22</v>
      </c>
      <c r="H43" s="2">
        <v>5</v>
      </c>
      <c r="I43" s="116">
        <v>3</v>
      </c>
      <c r="J43" s="115" t="s">
        <v>84</v>
      </c>
      <c r="K43" s="2" t="s">
        <v>86</v>
      </c>
      <c r="L43" s="2">
        <v>0</v>
      </c>
      <c r="M43" s="2" t="s">
        <v>84</v>
      </c>
      <c r="N43" s="2" t="s">
        <v>86</v>
      </c>
      <c r="O43" s="2" t="s">
        <v>841</v>
      </c>
      <c r="P43" s="2" t="s">
        <v>86</v>
      </c>
    </row>
    <row r="44" spans="1:16" ht="21" customHeight="1" x14ac:dyDescent="0.15">
      <c r="A44" s="10" t="str">
        <f t="shared" si="2"/>
        <v>108_1_0_1_polygon</v>
      </c>
      <c r="B44" s="2">
        <v>108</v>
      </c>
      <c r="C44" s="18"/>
      <c r="D44" s="21">
        <v>1</v>
      </c>
      <c r="E44" s="2">
        <v>0</v>
      </c>
      <c r="F44" s="2">
        <v>1</v>
      </c>
      <c r="G44" s="3" t="s">
        <v>22</v>
      </c>
      <c r="H44" s="2">
        <v>5</v>
      </c>
      <c r="I44" s="116">
        <v>3</v>
      </c>
      <c r="J44" s="115" t="s">
        <v>84</v>
      </c>
      <c r="K44" s="2" t="s">
        <v>86</v>
      </c>
      <c r="L44" s="2">
        <v>0</v>
      </c>
      <c r="M44" s="2" t="s">
        <v>84</v>
      </c>
      <c r="N44" s="2" t="s">
        <v>86</v>
      </c>
      <c r="O44" s="2" t="s">
        <v>841</v>
      </c>
      <c r="P44" s="2" t="s">
        <v>86</v>
      </c>
    </row>
    <row r="45" spans="1:16" ht="21" customHeight="1" x14ac:dyDescent="0.15">
      <c r="A45" s="10" t="str">
        <f t="shared" si="2"/>
        <v>109_1_0_1_polygon</v>
      </c>
      <c r="B45" s="2">
        <v>109</v>
      </c>
      <c r="C45" s="18"/>
      <c r="D45" s="21">
        <v>1</v>
      </c>
      <c r="E45" s="2">
        <v>0</v>
      </c>
      <c r="F45" s="2">
        <v>1</v>
      </c>
      <c r="G45" s="3" t="s">
        <v>22</v>
      </c>
      <c r="H45" s="2">
        <v>5</v>
      </c>
      <c r="I45" s="116">
        <v>3</v>
      </c>
      <c r="J45" s="115" t="s">
        <v>84</v>
      </c>
      <c r="K45" s="2" t="s">
        <v>86</v>
      </c>
      <c r="L45" s="2">
        <v>0</v>
      </c>
      <c r="M45" s="2" t="s">
        <v>84</v>
      </c>
      <c r="N45" s="2" t="s">
        <v>86</v>
      </c>
      <c r="O45" s="2" t="s">
        <v>841</v>
      </c>
      <c r="P45" s="2" t="s">
        <v>86</v>
      </c>
    </row>
    <row r="46" spans="1:16" ht="21" customHeight="1" x14ac:dyDescent="0.15">
      <c r="A46" s="10" t="str">
        <f t="shared" si="2"/>
        <v>110_1_0_1_polygon</v>
      </c>
      <c r="B46" s="2">
        <v>110</v>
      </c>
      <c r="C46" s="18"/>
      <c r="D46" s="21">
        <v>1</v>
      </c>
      <c r="E46" s="2">
        <v>0</v>
      </c>
      <c r="F46" s="2">
        <v>1</v>
      </c>
      <c r="G46" s="3" t="s">
        <v>22</v>
      </c>
      <c r="H46" s="2">
        <v>5</v>
      </c>
      <c r="I46" s="116">
        <v>3</v>
      </c>
      <c r="J46" s="115" t="s">
        <v>84</v>
      </c>
      <c r="K46" s="2" t="s">
        <v>86</v>
      </c>
      <c r="L46" s="2">
        <v>0</v>
      </c>
      <c r="M46" s="2" t="s">
        <v>84</v>
      </c>
      <c r="N46" s="2" t="s">
        <v>86</v>
      </c>
      <c r="O46" s="2" t="s">
        <v>841</v>
      </c>
      <c r="P46" s="2" t="s">
        <v>86</v>
      </c>
    </row>
    <row r="47" spans="1:16" ht="21" customHeight="1" x14ac:dyDescent="0.15">
      <c r="A47" s="10" t="str">
        <f t="shared" si="2"/>
        <v>111_1_0_1_polygon</v>
      </c>
      <c r="B47" s="2">
        <v>111</v>
      </c>
      <c r="C47" s="18"/>
      <c r="D47" s="21">
        <v>1</v>
      </c>
      <c r="E47" s="2">
        <v>0</v>
      </c>
      <c r="F47" s="2">
        <v>1</v>
      </c>
      <c r="G47" s="3" t="s">
        <v>22</v>
      </c>
      <c r="H47" s="2">
        <v>5</v>
      </c>
      <c r="I47" s="116">
        <v>3</v>
      </c>
      <c r="J47" s="115" t="s">
        <v>84</v>
      </c>
      <c r="K47" s="2" t="s">
        <v>86</v>
      </c>
      <c r="L47" s="2">
        <v>0</v>
      </c>
      <c r="M47" s="2" t="s">
        <v>84</v>
      </c>
      <c r="N47" s="2" t="s">
        <v>86</v>
      </c>
      <c r="O47" s="2" t="s">
        <v>841</v>
      </c>
      <c r="P47" s="2" t="s">
        <v>86</v>
      </c>
    </row>
    <row r="48" spans="1:16" ht="21" customHeight="1" x14ac:dyDescent="0.15">
      <c r="A48" s="10" t="str">
        <f t="shared" si="2"/>
        <v>112_1_0_1_polygon</v>
      </c>
      <c r="B48" s="2">
        <v>112</v>
      </c>
      <c r="C48" s="30" t="str">
        <f>VLOOKUP(B48,gachas!A:C,3)</f>
        <v>ピックアップ02(沖田) あと少し</v>
      </c>
      <c r="D48" s="21">
        <v>1</v>
      </c>
      <c r="E48" s="2">
        <v>0</v>
      </c>
      <c r="F48" s="2">
        <v>1</v>
      </c>
      <c r="G48" s="3" t="s">
        <v>22</v>
      </c>
      <c r="H48" s="2">
        <v>5</v>
      </c>
      <c r="I48" s="116">
        <v>3</v>
      </c>
      <c r="J48" s="115" t="s">
        <v>84</v>
      </c>
      <c r="K48" s="2" t="s">
        <v>86</v>
      </c>
      <c r="L48" s="2">
        <v>0</v>
      </c>
      <c r="M48" s="2" t="s">
        <v>84</v>
      </c>
      <c r="N48" s="2" t="s">
        <v>86</v>
      </c>
      <c r="O48" s="2" t="s">
        <v>841</v>
      </c>
      <c r="P48" s="2" t="s">
        <v>86</v>
      </c>
    </row>
    <row r="49" spans="1:16" ht="21" customHeight="1" x14ac:dyDescent="0.15">
      <c r="A49" s="10" t="str">
        <f t="shared" si="2"/>
        <v>113_1_0_1_polygon</v>
      </c>
      <c r="B49" s="2">
        <v>113</v>
      </c>
      <c r="C49" s="30" t="str">
        <f>VLOOKUP(B49,gachas!A:C,3)</f>
        <v>ピックアップ02(沖田) 最終日</v>
      </c>
      <c r="D49" s="21">
        <v>1</v>
      </c>
      <c r="E49" s="2">
        <v>0</v>
      </c>
      <c r="F49" s="2">
        <v>1</v>
      </c>
      <c r="G49" s="3" t="s">
        <v>22</v>
      </c>
      <c r="H49" s="2">
        <v>5</v>
      </c>
      <c r="I49" s="116">
        <v>3</v>
      </c>
      <c r="J49" s="115" t="s">
        <v>84</v>
      </c>
      <c r="K49" s="2" t="s">
        <v>86</v>
      </c>
      <c r="L49" s="2">
        <v>0</v>
      </c>
      <c r="M49" s="2" t="s">
        <v>84</v>
      </c>
      <c r="N49" s="2" t="s">
        <v>86</v>
      </c>
      <c r="O49" s="2" t="s">
        <v>841</v>
      </c>
      <c r="P49" s="2" t="s">
        <v>86</v>
      </c>
    </row>
    <row r="50" spans="1:16" ht="21" customHeight="1" x14ac:dyDescent="0.15">
      <c r="A50" s="10" t="str">
        <f t="shared" si="2"/>
        <v>114_1_0_1_polygon</v>
      </c>
      <c r="B50" s="2">
        <v>114</v>
      </c>
      <c r="C50" s="30" t="str">
        <f>VLOOKUP(B50,gachas!A:C,3)</f>
        <v>新キャラ追加04(ドラゴン）確率アップ</v>
      </c>
      <c r="D50" s="21">
        <v>1</v>
      </c>
      <c r="E50" s="2">
        <v>0</v>
      </c>
      <c r="F50" s="2">
        <v>1</v>
      </c>
      <c r="G50" s="3" t="s">
        <v>22</v>
      </c>
      <c r="H50" s="2">
        <v>5</v>
      </c>
      <c r="I50" s="116">
        <v>3</v>
      </c>
      <c r="J50" s="115" t="s">
        <v>84</v>
      </c>
      <c r="K50" s="2" t="s">
        <v>86</v>
      </c>
      <c r="L50" s="2">
        <v>0</v>
      </c>
      <c r="M50" s="2" t="s">
        <v>84</v>
      </c>
      <c r="N50" s="2" t="s">
        <v>86</v>
      </c>
      <c r="O50" s="2" t="s">
        <v>841</v>
      </c>
      <c r="P50" s="2" t="s">
        <v>86</v>
      </c>
    </row>
    <row r="51" spans="1:16" ht="21" customHeight="1" x14ac:dyDescent="0.15">
      <c r="A51" s="10" t="str">
        <f t="shared" si="2"/>
        <v>115_1_0_1_polygon</v>
      </c>
      <c r="B51" s="2">
        <v>115</v>
      </c>
      <c r="C51" s="30" t="str">
        <f>VLOOKUP(B51,gachas!A:C,3)</f>
        <v>青アップ01　開始</v>
      </c>
      <c r="D51" s="21">
        <v>1</v>
      </c>
      <c r="E51" s="2">
        <v>0</v>
      </c>
      <c r="F51" s="2">
        <v>1</v>
      </c>
      <c r="G51" s="3" t="s">
        <v>22</v>
      </c>
      <c r="H51" s="2">
        <v>5</v>
      </c>
      <c r="I51" s="116">
        <v>3</v>
      </c>
      <c r="J51" s="115" t="s">
        <v>84</v>
      </c>
      <c r="K51" s="2" t="s">
        <v>86</v>
      </c>
      <c r="L51" s="2">
        <v>0</v>
      </c>
      <c r="M51" s="2" t="s">
        <v>84</v>
      </c>
      <c r="N51" s="2" t="s">
        <v>86</v>
      </c>
      <c r="O51" s="2" t="s">
        <v>841</v>
      </c>
      <c r="P51" s="2" t="s">
        <v>86</v>
      </c>
    </row>
    <row r="52" spans="1:16" ht="21" customHeight="1" x14ac:dyDescent="0.15">
      <c r="A52" s="10" t="str">
        <f t="shared" si="2"/>
        <v>116_1_0_1_polygon</v>
      </c>
      <c r="B52" s="2">
        <v>116</v>
      </c>
      <c r="C52" s="30" t="str">
        <f>VLOOKUP(B52,gachas!A:C,3)</f>
        <v>青アップ0１　あと少し</v>
      </c>
      <c r="D52" s="21">
        <v>1</v>
      </c>
      <c r="E52" s="2">
        <v>0</v>
      </c>
      <c r="F52" s="2">
        <v>1</v>
      </c>
      <c r="G52" s="3" t="s">
        <v>22</v>
      </c>
      <c r="H52" s="2">
        <v>5</v>
      </c>
      <c r="I52" s="116">
        <v>3</v>
      </c>
      <c r="J52" s="115" t="s">
        <v>84</v>
      </c>
      <c r="K52" s="2" t="s">
        <v>86</v>
      </c>
      <c r="L52" s="2">
        <v>0</v>
      </c>
      <c r="M52" s="2" t="s">
        <v>84</v>
      </c>
      <c r="N52" s="2" t="s">
        <v>86</v>
      </c>
      <c r="O52" s="2" t="s">
        <v>841</v>
      </c>
      <c r="P52" s="2" t="s">
        <v>86</v>
      </c>
    </row>
    <row r="53" spans="1:16" ht="21" customHeight="1" x14ac:dyDescent="0.15">
      <c r="A53" s="10" t="str">
        <f t="shared" si="2"/>
        <v>117_1_0_1_polygon</v>
      </c>
      <c r="B53" s="2">
        <v>117</v>
      </c>
      <c r="C53" s="30" t="str">
        <f>VLOOKUP(B53,gachas!A:C,3)</f>
        <v>青アップ0１　最終日</v>
      </c>
      <c r="D53" s="21">
        <v>1</v>
      </c>
      <c r="E53" s="2">
        <v>0</v>
      </c>
      <c r="F53" s="2">
        <v>1</v>
      </c>
      <c r="G53" s="3" t="s">
        <v>22</v>
      </c>
      <c r="H53" s="2">
        <v>5</v>
      </c>
      <c r="I53" s="116">
        <v>3</v>
      </c>
      <c r="J53" s="115" t="s">
        <v>84</v>
      </c>
      <c r="K53" s="2" t="s">
        <v>86</v>
      </c>
      <c r="L53" s="2">
        <v>0</v>
      </c>
      <c r="M53" s="2" t="s">
        <v>84</v>
      </c>
      <c r="N53" s="2" t="s">
        <v>86</v>
      </c>
      <c r="O53" s="2" t="s">
        <v>841</v>
      </c>
      <c r="P53" s="2" t="s">
        <v>86</v>
      </c>
    </row>
    <row r="54" spans="1:16" ht="21" customHeight="1" x14ac:dyDescent="0.15">
      <c r="A54" s="10" t="str">
        <f t="shared" si="2"/>
        <v>118_1_0_1_polygon</v>
      </c>
      <c r="B54" s="2">
        <v>118</v>
      </c>
      <c r="C54" s="30" t="str">
        <f>VLOOKUP(B54,gachas!A:C,3)</f>
        <v>緑アップ01 開始</v>
      </c>
      <c r="D54" s="21">
        <v>1</v>
      </c>
      <c r="E54" s="2">
        <v>0</v>
      </c>
      <c r="F54" s="2">
        <v>1</v>
      </c>
      <c r="G54" s="3" t="s">
        <v>22</v>
      </c>
      <c r="H54" s="2">
        <v>5</v>
      </c>
      <c r="I54" s="116">
        <v>3</v>
      </c>
      <c r="J54" s="115" t="s">
        <v>84</v>
      </c>
      <c r="K54" s="2" t="s">
        <v>86</v>
      </c>
      <c r="L54" s="2">
        <v>0</v>
      </c>
      <c r="M54" s="2" t="s">
        <v>84</v>
      </c>
      <c r="N54" s="2" t="s">
        <v>86</v>
      </c>
      <c r="O54" s="2" t="s">
        <v>841</v>
      </c>
      <c r="P54" s="2" t="s">
        <v>86</v>
      </c>
    </row>
    <row r="55" spans="1:16" ht="21" customHeight="1" x14ac:dyDescent="0.15">
      <c r="A55" s="10" t="str">
        <f t="shared" si="2"/>
        <v>119_1_0_1_polygon</v>
      </c>
      <c r="B55" s="2">
        <v>119</v>
      </c>
      <c r="C55" s="30" t="str">
        <f>VLOOKUP(B55,gachas!A:C,3)</f>
        <v>緑アップ01 あと少し</v>
      </c>
      <c r="D55" s="21">
        <v>1</v>
      </c>
      <c r="E55" s="2">
        <v>0</v>
      </c>
      <c r="F55" s="2">
        <v>1</v>
      </c>
      <c r="G55" s="3" t="s">
        <v>22</v>
      </c>
      <c r="H55" s="2">
        <v>5</v>
      </c>
      <c r="I55" s="116">
        <v>3</v>
      </c>
      <c r="J55" s="115" t="s">
        <v>84</v>
      </c>
      <c r="K55" s="2" t="s">
        <v>86</v>
      </c>
      <c r="L55" s="2">
        <v>0</v>
      </c>
      <c r="M55" s="2" t="s">
        <v>84</v>
      </c>
      <c r="N55" s="2" t="s">
        <v>86</v>
      </c>
      <c r="O55" s="2" t="s">
        <v>841</v>
      </c>
      <c r="P55" s="2" t="s">
        <v>86</v>
      </c>
    </row>
    <row r="56" spans="1:16" ht="21" customHeight="1" x14ac:dyDescent="0.15">
      <c r="A56" s="10" t="str">
        <f t="shared" si="2"/>
        <v>120_1_0_1_polygon</v>
      </c>
      <c r="B56" s="2">
        <v>120</v>
      </c>
      <c r="C56" s="30" t="str">
        <f>VLOOKUP(B56,gachas!A:C,3)</f>
        <v>緑アップ01 最終日</v>
      </c>
      <c r="D56" s="21">
        <v>1</v>
      </c>
      <c r="E56" s="2">
        <v>0</v>
      </c>
      <c r="F56" s="2">
        <v>1</v>
      </c>
      <c r="G56" s="3" t="s">
        <v>22</v>
      </c>
      <c r="H56" s="2">
        <v>5</v>
      </c>
      <c r="I56" s="116">
        <v>3</v>
      </c>
      <c r="J56" s="115" t="s">
        <v>84</v>
      </c>
      <c r="K56" s="2" t="s">
        <v>84</v>
      </c>
      <c r="L56" s="2">
        <v>0</v>
      </c>
      <c r="M56" s="2" t="s">
        <v>84</v>
      </c>
      <c r="N56" s="2" t="s">
        <v>84</v>
      </c>
      <c r="O56" s="2" t="s">
        <v>841</v>
      </c>
      <c r="P56" s="2" t="s">
        <v>84</v>
      </c>
    </row>
    <row r="57" spans="1:16" ht="21" customHeight="1" x14ac:dyDescent="0.15">
      <c r="A57" s="10" t="str">
        <f t="shared" ref="A57" si="4">B57&amp;"_"&amp;D57&amp;"_"&amp;E57&amp;"_"&amp;F57&amp;"_"&amp;G57</f>
        <v>120_1_1_1_polygon</v>
      </c>
      <c r="B57" s="2">
        <v>120</v>
      </c>
      <c r="C57" s="30" t="str">
        <f>VLOOKUP(B57,gachas!A:C,3)</f>
        <v>緑アップ01 最終日</v>
      </c>
      <c r="D57" s="21">
        <v>1</v>
      </c>
      <c r="E57" s="2">
        <v>1</v>
      </c>
      <c r="F57" s="2">
        <v>1</v>
      </c>
      <c r="G57" s="3" t="s">
        <v>22</v>
      </c>
      <c r="H57" s="2">
        <v>5</v>
      </c>
      <c r="I57" s="116">
        <v>3</v>
      </c>
      <c r="J57" s="115" t="s">
        <v>84</v>
      </c>
      <c r="K57" s="2" t="s">
        <v>84</v>
      </c>
      <c r="L57" s="2">
        <v>0</v>
      </c>
      <c r="M57" s="2" t="s">
        <v>84</v>
      </c>
      <c r="N57" s="2" t="s">
        <v>84</v>
      </c>
      <c r="O57" s="2" t="s">
        <v>841</v>
      </c>
      <c r="P57" s="2" t="s">
        <v>84</v>
      </c>
    </row>
    <row r="58" spans="1:16" ht="21" customHeight="1" x14ac:dyDescent="0.15">
      <c r="A58" s="10" t="str">
        <f t="shared" si="2"/>
        <v>120_10_0_10_polygon</v>
      </c>
      <c r="B58" s="2">
        <v>120</v>
      </c>
      <c r="C58" s="30" t="str">
        <f>VLOOKUP(B58,gachas!A:C,3)</f>
        <v>緑アップ01 最終日</v>
      </c>
      <c r="D58" s="21">
        <v>10</v>
      </c>
      <c r="E58" s="2">
        <v>0</v>
      </c>
      <c r="F58" s="2">
        <v>10</v>
      </c>
      <c r="G58" s="3" t="s">
        <v>22</v>
      </c>
      <c r="H58" s="2">
        <v>50</v>
      </c>
      <c r="I58" s="116">
        <v>3</v>
      </c>
      <c r="J58" s="115" t="s">
        <v>84</v>
      </c>
      <c r="K58" s="2" t="s">
        <v>86</v>
      </c>
      <c r="L58" s="2">
        <v>0</v>
      </c>
      <c r="M58" s="2" t="s">
        <v>84</v>
      </c>
      <c r="N58" s="2" t="s">
        <v>86</v>
      </c>
      <c r="O58" s="2" t="s">
        <v>841</v>
      </c>
      <c r="P58" s="2" t="s">
        <v>86</v>
      </c>
    </row>
    <row r="59" spans="1:16" ht="21" customHeight="1" x14ac:dyDescent="0.15">
      <c r="A59" s="10" t="str">
        <f t="shared" si="2"/>
        <v>121_1_1_1_polygon</v>
      </c>
      <c r="B59" s="2">
        <v>121</v>
      </c>
      <c r="C59" s="30" t="str">
        <f>VLOOKUP(B59,gachas!A:C,3)</f>
        <v>赤アップ02開始</v>
      </c>
      <c r="D59" s="24">
        <v>1</v>
      </c>
      <c r="E59" s="24">
        <v>1</v>
      </c>
      <c r="F59" s="24">
        <v>1</v>
      </c>
      <c r="G59" s="3" t="s">
        <v>22</v>
      </c>
      <c r="H59" s="24">
        <v>5</v>
      </c>
      <c r="I59" s="114">
        <v>4</v>
      </c>
      <c r="J59" s="115" t="s">
        <v>84</v>
      </c>
      <c r="K59" s="2" t="s">
        <v>86</v>
      </c>
      <c r="L59" s="2">
        <v>0</v>
      </c>
      <c r="M59" s="2" t="s">
        <v>84</v>
      </c>
      <c r="N59" s="2" t="s">
        <v>86</v>
      </c>
      <c r="O59" s="2" t="s">
        <v>841</v>
      </c>
      <c r="P59" s="2" t="s">
        <v>86</v>
      </c>
    </row>
    <row r="60" spans="1:16" ht="21" customHeight="1" x14ac:dyDescent="0.15">
      <c r="A60" s="10" t="str">
        <f t="shared" si="2"/>
        <v>121_1_0_1_polygon</v>
      </c>
      <c r="B60" s="2">
        <v>121</v>
      </c>
      <c r="C60" s="30" t="str">
        <f>VLOOKUP(B60,gachas!A:C,3)</f>
        <v>赤アップ02開始</v>
      </c>
      <c r="D60" s="24">
        <v>1</v>
      </c>
      <c r="E60" s="24">
        <v>0</v>
      </c>
      <c r="F60" s="24">
        <v>1</v>
      </c>
      <c r="G60" s="3" t="s">
        <v>22</v>
      </c>
      <c r="H60" s="24">
        <v>5</v>
      </c>
      <c r="I60" s="114">
        <v>3</v>
      </c>
      <c r="J60" s="115" t="s">
        <v>84</v>
      </c>
      <c r="K60" s="2" t="s">
        <v>86</v>
      </c>
      <c r="L60" s="2">
        <v>0</v>
      </c>
      <c r="M60" s="2" t="s">
        <v>84</v>
      </c>
      <c r="N60" s="2" t="s">
        <v>86</v>
      </c>
      <c r="O60" s="2" t="s">
        <v>841</v>
      </c>
      <c r="P60" s="2" t="s">
        <v>86</v>
      </c>
    </row>
    <row r="61" spans="1:16" ht="21" customHeight="1" x14ac:dyDescent="0.15">
      <c r="A61" s="10" t="str">
        <f t="shared" si="2"/>
        <v>121_10_0_10_polygon</v>
      </c>
      <c r="B61" s="2">
        <v>121</v>
      </c>
      <c r="C61" s="30" t="str">
        <f>VLOOKUP(B61,gachas!A:C,3)</f>
        <v>赤アップ02開始</v>
      </c>
      <c r="D61" s="24">
        <v>10</v>
      </c>
      <c r="E61" s="24">
        <v>0</v>
      </c>
      <c r="F61" s="24">
        <v>10</v>
      </c>
      <c r="G61" s="3" t="s">
        <v>22</v>
      </c>
      <c r="H61" s="24">
        <v>50</v>
      </c>
      <c r="I61" s="114">
        <v>4</v>
      </c>
      <c r="J61" s="115" t="s">
        <v>84</v>
      </c>
      <c r="K61" s="2" t="s">
        <v>116</v>
      </c>
      <c r="L61" s="2">
        <v>0</v>
      </c>
      <c r="M61" s="2" t="s">
        <v>84</v>
      </c>
      <c r="N61" s="2" t="s">
        <v>86</v>
      </c>
      <c r="O61" s="2" t="s">
        <v>841</v>
      </c>
      <c r="P61" s="2" t="s">
        <v>86</v>
      </c>
    </row>
    <row r="62" spans="1:16" ht="21" customHeight="1" x14ac:dyDescent="0.15">
      <c r="A62" s="10" t="str">
        <f t="shared" si="2"/>
        <v>122_1_0_1_polygon</v>
      </c>
      <c r="B62" s="2">
        <v>122</v>
      </c>
      <c r="C62" s="30" t="str">
        <f>VLOOKUP(B62,gachas!A:C,3)</f>
        <v>新キャラ追加04(ドラゴン）あと少し</v>
      </c>
      <c r="D62" s="21">
        <v>1</v>
      </c>
      <c r="E62" s="2">
        <v>0</v>
      </c>
      <c r="F62" s="2">
        <v>1</v>
      </c>
      <c r="G62" s="3" t="s">
        <v>22</v>
      </c>
      <c r="H62" s="2">
        <v>5</v>
      </c>
      <c r="I62" s="116">
        <v>3</v>
      </c>
      <c r="J62" s="115" t="s">
        <v>84</v>
      </c>
      <c r="K62" s="2" t="s">
        <v>86</v>
      </c>
      <c r="L62" s="2">
        <v>0</v>
      </c>
      <c r="M62" s="2" t="s">
        <v>84</v>
      </c>
      <c r="N62" s="2" t="s">
        <v>86</v>
      </c>
      <c r="O62" s="2" t="s">
        <v>841</v>
      </c>
      <c r="P62" s="2" t="s">
        <v>86</v>
      </c>
    </row>
    <row r="63" spans="1:16" ht="21" customHeight="1" x14ac:dyDescent="0.15">
      <c r="A63" s="10" t="str">
        <f t="shared" si="2"/>
        <v>123_1_0_1_polygon</v>
      </c>
      <c r="B63" s="2">
        <v>123</v>
      </c>
      <c r="C63" s="30" t="str">
        <f>VLOOKUP(B63,gachas!A:C,3)</f>
        <v>新キャラ追加04(ドラゴン）最終日</v>
      </c>
      <c r="D63" s="21">
        <v>1</v>
      </c>
      <c r="E63" s="2">
        <v>0</v>
      </c>
      <c r="F63" s="2">
        <v>1</v>
      </c>
      <c r="G63" s="3" t="s">
        <v>22</v>
      </c>
      <c r="H63" s="2">
        <v>5</v>
      </c>
      <c r="I63" s="116">
        <v>3</v>
      </c>
      <c r="J63" s="115" t="s">
        <v>84</v>
      </c>
      <c r="K63" s="2" t="s">
        <v>86</v>
      </c>
      <c r="L63" s="2">
        <v>0</v>
      </c>
      <c r="M63" s="2" t="s">
        <v>84</v>
      </c>
      <c r="N63" s="2" t="s">
        <v>86</v>
      </c>
      <c r="O63" s="2" t="s">
        <v>841</v>
      </c>
      <c r="P63" s="2" t="s">
        <v>86</v>
      </c>
    </row>
    <row r="64" spans="1:16" ht="21" customHeight="1" x14ac:dyDescent="0.15">
      <c r="A64" s="10" t="str">
        <f t="shared" si="2"/>
        <v>124_1_0_1_polygon</v>
      </c>
      <c r="B64" s="2">
        <v>124</v>
      </c>
      <c r="C64" s="30" t="str">
        <f>VLOOKUP(B64,gachas!A:C,3)</f>
        <v>新キャラ追加04(ドラゴン)通常</v>
      </c>
      <c r="D64" s="21">
        <v>1</v>
      </c>
      <c r="E64" s="2">
        <v>0</v>
      </c>
      <c r="F64" s="2">
        <v>1</v>
      </c>
      <c r="G64" s="3" t="s">
        <v>22</v>
      </c>
      <c r="H64" s="2">
        <v>5</v>
      </c>
      <c r="I64" s="116">
        <v>3</v>
      </c>
      <c r="J64" s="115" t="s">
        <v>84</v>
      </c>
      <c r="K64" s="2" t="s">
        <v>86</v>
      </c>
      <c r="L64" s="2">
        <v>0</v>
      </c>
      <c r="M64" s="2" t="s">
        <v>84</v>
      </c>
      <c r="N64" s="2" t="s">
        <v>86</v>
      </c>
      <c r="O64" s="2" t="s">
        <v>841</v>
      </c>
      <c r="P64" s="2" t="s">
        <v>86</v>
      </c>
    </row>
    <row r="65" spans="1:16" ht="21" customHeight="1" x14ac:dyDescent="0.15">
      <c r="A65" s="10" t="str">
        <f t="shared" si="2"/>
        <v>124_1_1_1_polygon</v>
      </c>
      <c r="B65" s="2">
        <v>124</v>
      </c>
      <c r="C65" s="30" t="str">
        <f>VLOOKUP(B65,gachas!A:C,3)</f>
        <v>新キャラ追加04(ドラゴン)通常</v>
      </c>
      <c r="D65" s="21">
        <v>1</v>
      </c>
      <c r="E65" s="2">
        <v>1</v>
      </c>
      <c r="F65" s="2">
        <v>1</v>
      </c>
      <c r="G65" s="3" t="s">
        <v>22</v>
      </c>
      <c r="H65" s="2">
        <v>5</v>
      </c>
      <c r="I65" s="116">
        <v>3</v>
      </c>
      <c r="J65" s="115" t="s">
        <v>84</v>
      </c>
      <c r="K65" s="2" t="s">
        <v>84</v>
      </c>
      <c r="L65" s="2">
        <v>0</v>
      </c>
      <c r="M65" s="2" t="s">
        <v>84</v>
      </c>
      <c r="N65" s="2" t="s">
        <v>84</v>
      </c>
      <c r="O65" s="2" t="s">
        <v>841</v>
      </c>
      <c r="P65" s="2" t="s">
        <v>84</v>
      </c>
    </row>
    <row r="66" spans="1:16" ht="21" customHeight="1" x14ac:dyDescent="0.15">
      <c r="A66" s="10" t="str">
        <f t="shared" ref="A66" si="5">B66&amp;"_"&amp;D66&amp;"_"&amp;E66&amp;"_"&amp;F66&amp;"_"&amp;G66</f>
        <v>124_10_0_10_polygon</v>
      </c>
      <c r="B66" s="2">
        <v>124</v>
      </c>
      <c r="C66" s="30" t="str">
        <f>VLOOKUP(B66,gachas!A:C,3)</f>
        <v>新キャラ追加04(ドラゴン)通常</v>
      </c>
      <c r="D66" s="21">
        <v>10</v>
      </c>
      <c r="E66" s="2">
        <v>0</v>
      </c>
      <c r="F66" s="2">
        <v>10</v>
      </c>
      <c r="G66" s="3" t="s">
        <v>22</v>
      </c>
      <c r="H66" s="2">
        <v>50</v>
      </c>
      <c r="I66" s="116">
        <v>3</v>
      </c>
      <c r="J66" s="115" t="s">
        <v>84</v>
      </c>
      <c r="K66" s="2" t="s">
        <v>84</v>
      </c>
      <c r="L66" s="2">
        <v>0</v>
      </c>
      <c r="M66" s="2" t="s">
        <v>84</v>
      </c>
      <c r="N66" s="2" t="s">
        <v>84</v>
      </c>
      <c r="O66" s="2" t="s">
        <v>841</v>
      </c>
      <c r="P66" s="2" t="s">
        <v>84</v>
      </c>
    </row>
    <row r="67" spans="1:16" ht="21" customHeight="1" x14ac:dyDescent="0.15">
      <c r="A67" s="10" t="str">
        <f t="shared" si="2"/>
        <v>125_1_0_1_polygon</v>
      </c>
      <c r="B67" s="2">
        <v>125</v>
      </c>
      <c r="C67" s="30" t="str">
        <f>VLOOKUP(B67,gachas!A:C,3)</f>
        <v>赤アップ02　あと少し</v>
      </c>
      <c r="D67" s="21">
        <v>1</v>
      </c>
      <c r="E67" s="2">
        <v>0</v>
      </c>
      <c r="F67" s="2">
        <v>1</v>
      </c>
      <c r="G67" s="3" t="s">
        <v>22</v>
      </c>
      <c r="H67" s="2">
        <v>5</v>
      </c>
      <c r="I67" s="116">
        <v>3</v>
      </c>
      <c r="J67" s="115" t="s">
        <v>84</v>
      </c>
      <c r="K67" s="2" t="s">
        <v>86</v>
      </c>
      <c r="L67" s="2">
        <v>0</v>
      </c>
      <c r="M67" s="2" t="s">
        <v>84</v>
      </c>
      <c r="N67" s="2" t="s">
        <v>86</v>
      </c>
      <c r="O67" s="2" t="s">
        <v>841</v>
      </c>
      <c r="P67" s="2" t="s">
        <v>86</v>
      </c>
    </row>
    <row r="68" spans="1:16" ht="21" customHeight="1" x14ac:dyDescent="0.15">
      <c r="A68" s="10" t="str">
        <f t="shared" ref="A68" si="6">B68&amp;"_"&amp;D68&amp;"_"&amp;E68&amp;"_"&amp;F68&amp;"_"&amp;G68</f>
        <v>125_1_1_1_polygon</v>
      </c>
      <c r="B68" s="2">
        <v>125</v>
      </c>
      <c r="C68" s="30" t="str">
        <f>VLOOKUP(B68,gachas!A:C,3)</f>
        <v>赤アップ02　あと少し</v>
      </c>
      <c r="D68" s="21">
        <v>1</v>
      </c>
      <c r="E68" s="2">
        <v>1</v>
      </c>
      <c r="F68" s="2">
        <v>1</v>
      </c>
      <c r="G68" s="3" t="s">
        <v>22</v>
      </c>
      <c r="H68" s="2">
        <v>5</v>
      </c>
      <c r="I68" s="116">
        <v>4</v>
      </c>
      <c r="J68" s="115" t="s">
        <v>84</v>
      </c>
      <c r="K68" s="2" t="s">
        <v>86</v>
      </c>
      <c r="L68" s="2">
        <v>0</v>
      </c>
      <c r="M68" s="2" t="s">
        <v>84</v>
      </c>
      <c r="N68" s="2" t="s">
        <v>86</v>
      </c>
      <c r="O68" s="2" t="s">
        <v>841</v>
      </c>
      <c r="P68" s="2" t="s">
        <v>86</v>
      </c>
    </row>
    <row r="69" spans="1:16" ht="21" customHeight="1" x14ac:dyDescent="0.15">
      <c r="A69" s="10" t="str">
        <f t="shared" ref="A69" si="7">B69&amp;"_"&amp;D69&amp;"_"&amp;E69&amp;"_"&amp;F69&amp;"_"&amp;G69</f>
        <v>125_10_0_10_polygon</v>
      </c>
      <c r="B69" s="2">
        <v>125</v>
      </c>
      <c r="C69" s="30" t="str">
        <f>VLOOKUP(B69,gachas!A:C,3)</f>
        <v>赤アップ02　あと少し</v>
      </c>
      <c r="D69" s="21">
        <v>10</v>
      </c>
      <c r="E69" s="2">
        <v>0</v>
      </c>
      <c r="F69" s="2">
        <v>10</v>
      </c>
      <c r="G69" s="3" t="s">
        <v>22</v>
      </c>
      <c r="H69" s="2">
        <v>50</v>
      </c>
      <c r="I69" s="116">
        <v>4</v>
      </c>
      <c r="J69" s="115" t="s">
        <v>84</v>
      </c>
      <c r="K69" s="2" t="s">
        <v>84</v>
      </c>
      <c r="L69" s="2">
        <v>0</v>
      </c>
      <c r="M69" s="2" t="s">
        <v>84</v>
      </c>
      <c r="N69" s="2" t="s">
        <v>84</v>
      </c>
      <c r="O69" s="2" t="s">
        <v>841</v>
      </c>
      <c r="P69" s="2" t="s">
        <v>84</v>
      </c>
    </row>
    <row r="70" spans="1:16" ht="21" customHeight="1" x14ac:dyDescent="0.15">
      <c r="A70" s="10" t="str">
        <f t="shared" si="2"/>
        <v>126_1_0_1_polygon</v>
      </c>
      <c r="B70" s="2">
        <v>126</v>
      </c>
      <c r="C70" s="30" t="str">
        <f>VLOOKUP(B70,gachas!A:C,3)</f>
        <v>赤アップ02　最終日</v>
      </c>
      <c r="D70" s="21">
        <v>1</v>
      </c>
      <c r="E70" s="2">
        <v>0</v>
      </c>
      <c r="F70" s="2">
        <v>1</v>
      </c>
      <c r="G70" s="3" t="s">
        <v>22</v>
      </c>
      <c r="H70" s="2">
        <v>5</v>
      </c>
      <c r="I70" s="116">
        <v>3</v>
      </c>
      <c r="J70" s="115" t="s">
        <v>84</v>
      </c>
      <c r="K70" s="2" t="s">
        <v>86</v>
      </c>
      <c r="L70" s="2">
        <v>0</v>
      </c>
      <c r="M70" s="2" t="s">
        <v>84</v>
      </c>
      <c r="N70" s="2" t="s">
        <v>86</v>
      </c>
      <c r="O70" s="2" t="s">
        <v>841</v>
      </c>
      <c r="P70" s="2" t="s">
        <v>86</v>
      </c>
    </row>
    <row r="71" spans="1:16" ht="21" customHeight="1" x14ac:dyDescent="0.15">
      <c r="A71" s="10" t="str">
        <f t="shared" ref="A71" si="8">B71&amp;"_"&amp;D71&amp;"_"&amp;E71&amp;"_"&amp;F71&amp;"_"&amp;G71</f>
        <v>126_1_1_1_polygon</v>
      </c>
      <c r="B71" s="2">
        <v>126</v>
      </c>
      <c r="C71" s="30" t="str">
        <f>VLOOKUP(B71,gachas!A:C,3)</f>
        <v>赤アップ02　最終日</v>
      </c>
      <c r="D71" s="21">
        <v>1</v>
      </c>
      <c r="E71" s="2">
        <v>1</v>
      </c>
      <c r="F71" s="2">
        <v>1</v>
      </c>
      <c r="G71" s="3" t="s">
        <v>22</v>
      </c>
      <c r="H71" s="2">
        <v>5</v>
      </c>
      <c r="I71" s="116">
        <v>4</v>
      </c>
      <c r="J71" s="115" t="s">
        <v>84</v>
      </c>
      <c r="K71" s="2" t="s">
        <v>86</v>
      </c>
      <c r="L71" s="2">
        <v>0</v>
      </c>
      <c r="M71" s="2" t="s">
        <v>84</v>
      </c>
      <c r="N71" s="2" t="s">
        <v>86</v>
      </c>
      <c r="O71" s="2" t="s">
        <v>841</v>
      </c>
      <c r="P71" s="2" t="s">
        <v>86</v>
      </c>
    </row>
    <row r="72" spans="1:16" ht="21" customHeight="1" x14ac:dyDescent="0.15">
      <c r="A72" s="10" t="str">
        <f t="shared" ref="A72" si="9">B72&amp;"_"&amp;D72&amp;"_"&amp;E72&amp;"_"&amp;F72&amp;"_"&amp;G72</f>
        <v>126_10_0_10_polygon</v>
      </c>
      <c r="B72" s="2">
        <v>126</v>
      </c>
      <c r="C72" s="30" t="str">
        <f>VLOOKUP(B72,gachas!A:C,3)</f>
        <v>赤アップ02　最終日</v>
      </c>
      <c r="D72" s="21">
        <v>10</v>
      </c>
      <c r="E72" s="2">
        <v>0</v>
      </c>
      <c r="F72" s="2">
        <v>10</v>
      </c>
      <c r="G72" s="3" t="s">
        <v>22</v>
      </c>
      <c r="H72" s="2">
        <v>50</v>
      </c>
      <c r="I72" s="116">
        <v>4</v>
      </c>
      <c r="J72" s="115" t="s">
        <v>84</v>
      </c>
      <c r="K72" s="2" t="s">
        <v>84</v>
      </c>
      <c r="L72" s="2">
        <v>0</v>
      </c>
      <c r="M72" s="2" t="s">
        <v>84</v>
      </c>
      <c r="N72" s="2" t="s">
        <v>84</v>
      </c>
      <c r="O72" s="2" t="s">
        <v>841</v>
      </c>
      <c r="P72" s="2" t="s">
        <v>84</v>
      </c>
    </row>
    <row r="73" spans="1:16" ht="21" customHeight="1" x14ac:dyDescent="0.15">
      <c r="A73" s="10" t="str">
        <f t="shared" si="2"/>
        <v>127_1_0_1_polygon</v>
      </c>
      <c r="B73" s="2">
        <v>127</v>
      </c>
      <c r="C73" s="30" t="str">
        <f>VLOOKUP(B73,gachas!A:C,3)</f>
        <v>黄アップ01　開始</v>
      </c>
      <c r="D73" s="21">
        <v>1</v>
      </c>
      <c r="E73" s="2">
        <v>0</v>
      </c>
      <c r="F73" s="2">
        <v>1</v>
      </c>
      <c r="G73" s="3" t="s">
        <v>22</v>
      </c>
      <c r="H73" s="2">
        <v>5</v>
      </c>
      <c r="I73" s="116">
        <v>3</v>
      </c>
      <c r="J73" s="115" t="s">
        <v>84</v>
      </c>
      <c r="K73" s="2" t="s">
        <v>86</v>
      </c>
      <c r="L73" s="2">
        <v>0</v>
      </c>
      <c r="M73" s="2" t="s">
        <v>84</v>
      </c>
      <c r="N73" s="2" t="s">
        <v>86</v>
      </c>
      <c r="O73" s="2" t="s">
        <v>841</v>
      </c>
      <c r="P73" s="2" t="s">
        <v>86</v>
      </c>
    </row>
    <row r="74" spans="1:16" ht="21" customHeight="1" x14ac:dyDescent="0.15">
      <c r="A74" s="10" t="str">
        <f t="shared" ref="A74" si="10">B74&amp;"_"&amp;D74&amp;"_"&amp;E74&amp;"_"&amp;F74&amp;"_"&amp;G74</f>
        <v>127_1_1_1_polygon</v>
      </c>
      <c r="B74" s="2">
        <v>127</v>
      </c>
      <c r="C74" s="30" t="str">
        <f>VLOOKUP(B74,gachas!A:C,3)</f>
        <v>黄アップ01　開始</v>
      </c>
      <c r="D74" s="21">
        <v>1</v>
      </c>
      <c r="E74" s="2">
        <v>1</v>
      </c>
      <c r="F74" s="2">
        <v>1</v>
      </c>
      <c r="G74" s="3" t="s">
        <v>22</v>
      </c>
      <c r="H74" s="2">
        <v>5</v>
      </c>
      <c r="I74" s="116">
        <v>4</v>
      </c>
      <c r="J74" s="115" t="s">
        <v>84</v>
      </c>
      <c r="K74" s="2" t="s">
        <v>84</v>
      </c>
      <c r="L74" s="2">
        <v>0</v>
      </c>
      <c r="M74" s="2" t="s">
        <v>84</v>
      </c>
      <c r="N74" s="2" t="s">
        <v>84</v>
      </c>
      <c r="O74" s="2" t="s">
        <v>841</v>
      </c>
      <c r="P74" s="2" t="s">
        <v>84</v>
      </c>
    </row>
    <row r="75" spans="1:16" ht="21" customHeight="1" x14ac:dyDescent="0.15">
      <c r="A75" s="10" t="str">
        <f t="shared" si="2"/>
        <v>127_10_0_10_polygon</v>
      </c>
      <c r="B75" s="2">
        <v>127</v>
      </c>
      <c r="C75" s="30" t="str">
        <f>VLOOKUP(B75,gachas!A:C,3)</f>
        <v>黄アップ01　開始</v>
      </c>
      <c r="D75" s="21">
        <v>10</v>
      </c>
      <c r="E75" s="2">
        <v>0</v>
      </c>
      <c r="F75" s="2">
        <v>10</v>
      </c>
      <c r="G75" s="3" t="s">
        <v>22</v>
      </c>
      <c r="H75" s="2">
        <v>50</v>
      </c>
      <c r="I75" s="116">
        <v>4</v>
      </c>
      <c r="J75" s="115" t="s">
        <v>84</v>
      </c>
      <c r="K75" s="2" t="s">
        <v>86</v>
      </c>
      <c r="L75" s="2">
        <v>0</v>
      </c>
      <c r="M75" s="2" t="s">
        <v>84</v>
      </c>
      <c r="N75" s="2" t="s">
        <v>86</v>
      </c>
      <c r="O75" s="2" t="s">
        <v>841</v>
      </c>
      <c r="P75" s="2" t="s">
        <v>86</v>
      </c>
    </row>
    <row r="76" spans="1:16" ht="21" customHeight="1" x14ac:dyDescent="0.15">
      <c r="A76" s="10" t="str">
        <f t="shared" si="2"/>
        <v>128_1_0_1_polygon</v>
      </c>
      <c r="B76" s="2">
        <v>128</v>
      </c>
      <c r="C76" s="30" t="str">
        <f>VLOOKUP(B76,gachas!A:C,3)</f>
        <v>黄アップ01　あと少し</v>
      </c>
      <c r="D76" s="21">
        <v>1</v>
      </c>
      <c r="E76" s="2">
        <v>0</v>
      </c>
      <c r="F76" s="2">
        <v>1</v>
      </c>
      <c r="G76" s="3" t="s">
        <v>22</v>
      </c>
      <c r="H76" s="2">
        <v>5</v>
      </c>
      <c r="I76" s="116">
        <v>3</v>
      </c>
      <c r="J76" s="115" t="s">
        <v>84</v>
      </c>
      <c r="K76" s="2" t="s">
        <v>86</v>
      </c>
      <c r="L76" s="2">
        <v>0</v>
      </c>
      <c r="M76" s="2" t="s">
        <v>84</v>
      </c>
      <c r="N76" s="2" t="s">
        <v>86</v>
      </c>
      <c r="O76" s="2" t="s">
        <v>841</v>
      </c>
      <c r="P76" s="2" t="s">
        <v>86</v>
      </c>
    </row>
    <row r="77" spans="1:16" ht="21" customHeight="1" x14ac:dyDescent="0.15">
      <c r="A77" s="10" t="str">
        <f t="shared" ref="A77" si="11">B77&amp;"_"&amp;D77&amp;"_"&amp;E77&amp;"_"&amp;F77&amp;"_"&amp;G77</f>
        <v>128_1_1_1_polygon</v>
      </c>
      <c r="B77" s="2">
        <v>128</v>
      </c>
      <c r="C77" s="30" t="str">
        <f>VLOOKUP(B77,gachas!A:C,3)</f>
        <v>黄アップ01　あと少し</v>
      </c>
      <c r="D77" s="21">
        <v>1</v>
      </c>
      <c r="E77" s="2">
        <v>1</v>
      </c>
      <c r="F77" s="2">
        <v>1</v>
      </c>
      <c r="G77" s="3" t="s">
        <v>22</v>
      </c>
      <c r="H77" s="2">
        <v>5</v>
      </c>
      <c r="I77" s="116">
        <v>4</v>
      </c>
      <c r="J77" s="115" t="s">
        <v>84</v>
      </c>
      <c r="K77" s="2" t="s">
        <v>84</v>
      </c>
      <c r="L77" s="2">
        <v>0</v>
      </c>
      <c r="M77" s="2" t="s">
        <v>84</v>
      </c>
      <c r="N77" s="2" t="s">
        <v>84</v>
      </c>
      <c r="O77" s="2" t="s">
        <v>841</v>
      </c>
      <c r="P77" s="2" t="s">
        <v>84</v>
      </c>
    </row>
    <row r="78" spans="1:16" ht="21" customHeight="1" x14ac:dyDescent="0.15">
      <c r="A78" s="10" t="str">
        <f t="shared" si="2"/>
        <v>128_10_0_10_polygon</v>
      </c>
      <c r="B78" s="2">
        <v>128</v>
      </c>
      <c r="C78" s="30" t="str">
        <f>VLOOKUP(B78,gachas!A:C,3)</f>
        <v>黄アップ01　あと少し</v>
      </c>
      <c r="D78" s="21">
        <v>10</v>
      </c>
      <c r="E78" s="2">
        <v>0</v>
      </c>
      <c r="F78" s="2">
        <v>10</v>
      </c>
      <c r="G78" s="3" t="s">
        <v>22</v>
      </c>
      <c r="H78" s="2">
        <v>50</v>
      </c>
      <c r="I78" s="116">
        <v>4</v>
      </c>
      <c r="J78" s="115" t="s">
        <v>84</v>
      </c>
      <c r="K78" s="2" t="s">
        <v>86</v>
      </c>
      <c r="L78" s="2">
        <v>0</v>
      </c>
      <c r="M78" s="2" t="s">
        <v>84</v>
      </c>
      <c r="N78" s="2" t="s">
        <v>86</v>
      </c>
      <c r="O78" s="2" t="s">
        <v>841</v>
      </c>
      <c r="P78" s="2" t="s">
        <v>86</v>
      </c>
    </row>
    <row r="79" spans="1:16" ht="21" customHeight="1" x14ac:dyDescent="0.15">
      <c r="A79" s="10" t="str">
        <f t="shared" si="2"/>
        <v>129_1_0_1_polygon</v>
      </c>
      <c r="B79" s="2">
        <v>129</v>
      </c>
      <c r="C79" s="30" t="str">
        <f>VLOOKUP(B79,gachas!A:C,3)</f>
        <v>黄アップ01　最終日</v>
      </c>
      <c r="D79" s="21">
        <v>1</v>
      </c>
      <c r="E79" s="2">
        <v>0</v>
      </c>
      <c r="F79" s="2">
        <v>1</v>
      </c>
      <c r="G79" s="3" t="s">
        <v>22</v>
      </c>
      <c r="H79" s="2">
        <v>5</v>
      </c>
      <c r="I79" s="116">
        <v>3</v>
      </c>
      <c r="J79" s="115" t="s">
        <v>84</v>
      </c>
      <c r="K79" s="2" t="s">
        <v>86</v>
      </c>
      <c r="L79" s="2">
        <v>0</v>
      </c>
      <c r="M79" s="2" t="s">
        <v>84</v>
      </c>
      <c r="N79" s="2" t="s">
        <v>86</v>
      </c>
      <c r="O79" s="2" t="s">
        <v>841</v>
      </c>
      <c r="P79" s="2" t="s">
        <v>86</v>
      </c>
    </row>
    <row r="80" spans="1:16" ht="21" customHeight="1" x14ac:dyDescent="0.15">
      <c r="A80" s="10" t="str">
        <f t="shared" ref="A80" si="12">B80&amp;"_"&amp;D80&amp;"_"&amp;E80&amp;"_"&amp;F80&amp;"_"&amp;G80</f>
        <v>129_1_1_1_polygon</v>
      </c>
      <c r="B80" s="2">
        <v>129</v>
      </c>
      <c r="C80" s="30" t="str">
        <f>VLOOKUP(B80,gachas!A:C,3)</f>
        <v>黄アップ01　最終日</v>
      </c>
      <c r="D80" s="21">
        <v>1</v>
      </c>
      <c r="E80" s="2">
        <v>1</v>
      </c>
      <c r="F80" s="2">
        <v>1</v>
      </c>
      <c r="G80" s="3" t="s">
        <v>22</v>
      </c>
      <c r="H80" s="2">
        <v>5</v>
      </c>
      <c r="I80" s="116">
        <v>4</v>
      </c>
      <c r="J80" s="115" t="s">
        <v>84</v>
      </c>
      <c r="K80" s="2" t="s">
        <v>84</v>
      </c>
      <c r="L80" s="2">
        <v>0</v>
      </c>
      <c r="M80" s="2" t="s">
        <v>84</v>
      </c>
      <c r="N80" s="2" t="s">
        <v>84</v>
      </c>
      <c r="O80" s="2" t="s">
        <v>841</v>
      </c>
      <c r="P80" s="2" t="s">
        <v>84</v>
      </c>
    </row>
    <row r="81" spans="1:16" ht="21" customHeight="1" x14ac:dyDescent="0.15">
      <c r="A81" s="10" t="str">
        <f t="shared" si="2"/>
        <v>129_10_0_10_polygon</v>
      </c>
      <c r="B81" s="2">
        <v>129</v>
      </c>
      <c r="C81" s="30" t="str">
        <f>VLOOKUP(B81,gachas!A:C,3)</f>
        <v>黄アップ01　最終日</v>
      </c>
      <c r="D81" s="21">
        <v>10</v>
      </c>
      <c r="E81" s="2">
        <v>0</v>
      </c>
      <c r="F81" s="2">
        <v>10</v>
      </c>
      <c r="G81" s="3" t="s">
        <v>22</v>
      </c>
      <c r="H81" s="2">
        <v>50</v>
      </c>
      <c r="I81" s="116">
        <v>4</v>
      </c>
      <c r="J81" s="115" t="s">
        <v>84</v>
      </c>
      <c r="K81" s="2" t="s">
        <v>86</v>
      </c>
      <c r="L81" s="2">
        <v>0</v>
      </c>
      <c r="M81" s="2" t="s">
        <v>84</v>
      </c>
      <c r="N81" s="2" t="s">
        <v>86</v>
      </c>
      <c r="O81" s="2" t="s">
        <v>841</v>
      </c>
      <c r="P81" s="2" t="s">
        <v>86</v>
      </c>
    </row>
    <row r="82" spans="1:16" ht="21" customHeight="1" x14ac:dyDescent="0.15">
      <c r="A82" s="10" t="str">
        <f t="shared" ref="A82:A93" si="13">B82&amp;"_"&amp;D82&amp;"_"&amp;E82&amp;"_"&amp;F82&amp;"_"&amp;G82</f>
        <v>130_1_0_1_polygon</v>
      </c>
      <c r="B82" s="2">
        <v>130</v>
      </c>
      <c r="C82" s="30" t="str">
        <f>VLOOKUP(B82,gachas!A:C,3)</f>
        <v>新撰組UP 開始</v>
      </c>
      <c r="D82" s="21">
        <v>1</v>
      </c>
      <c r="E82" s="2">
        <v>0</v>
      </c>
      <c r="F82" s="2">
        <v>1</v>
      </c>
      <c r="G82" s="3" t="s">
        <v>22</v>
      </c>
      <c r="H82" s="2">
        <v>5</v>
      </c>
      <c r="I82" s="116">
        <v>3</v>
      </c>
      <c r="J82" s="115" t="s">
        <v>84</v>
      </c>
      <c r="K82" s="2" t="s">
        <v>84</v>
      </c>
      <c r="L82" s="2">
        <v>0</v>
      </c>
      <c r="M82" s="2" t="s">
        <v>84</v>
      </c>
      <c r="N82" s="2" t="s">
        <v>84</v>
      </c>
      <c r="O82" s="2" t="s">
        <v>841</v>
      </c>
      <c r="P82" s="2" t="s">
        <v>84</v>
      </c>
    </row>
    <row r="83" spans="1:16" ht="21" customHeight="1" x14ac:dyDescent="0.15">
      <c r="A83" s="10" t="str">
        <f t="shared" si="13"/>
        <v>130_1_1_1_polygon</v>
      </c>
      <c r="B83" s="2">
        <v>130</v>
      </c>
      <c r="C83" s="30" t="str">
        <f>VLOOKUP(B83,gachas!A:C,3)</f>
        <v>新撰組UP 開始</v>
      </c>
      <c r="D83" s="21">
        <v>1</v>
      </c>
      <c r="E83" s="2">
        <v>1</v>
      </c>
      <c r="F83" s="2">
        <v>1</v>
      </c>
      <c r="G83" s="3" t="s">
        <v>22</v>
      </c>
      <c r="H83" s="2">
        <v>5</v>
      </c>
      <c r="I83" s="116">
        <v>4</v>
      </c>
      <c r="J83" s="115" t="s">
        <v>84</v>
      </c>
      <c r="K83" s="2" t="s">
        <v>84</v>
      </c>
      <c r="L83" s="2">
        <v>0</v>
      </c>
      <c r="M83" s="2" t="s">
        <v>84</v>
      </c>
      <c r="N83" s="2" t="s">
        <v>84</v>
      </c>
      <c r="O83" s="2" t="s">
        <v>841</v>
      </c>
      <c r="P83" s="2" t="s">
        <v>84</v>
      </c>
    </row>
    <row r="84" spans="1:16" ht="21" customHeight="1" x14ac:dyDescent="0.15">
      <c r="A84" s="10" t="str">
        <f t="shared" si="13"/>
        <v>130_10_0_10_polygon</v>
      </c>
      <c r="B84" s="2">
        <v>130</v>
      </c>
      <c r="C84" s="30" t="str">
        <f>VLOOKUP(B84,gachas!A:C,3)</f>
        <v>新撰組UP 開始</v>
      </c>
      <c r="D84" s="21">
        <v>10</v>
      </c>
      <c r="E84" s="2">
        <v>0</v>
      </c>
      <c r="F84" s="2">
        <v>10</v>
      </c>
      <c r="G84" s="3" t="s">
        <v>22</v>
      </c>
      <c r="H84" s="2">
        <v>50</v>
      </c>
      <c r="I84" s="116">
        <v>4</v>
      </c>
      <c r="J84" s="115" t="s">
        <v>84</v>
      </c>
      <c r="K84" s="2" t="s">
        <v>84</v>
      </c>
      <c r="L84" s="2">
        <v>0</v>
      </c>
      <c r="M84" s="2" t="s">
        <v>84</v>
      </c>
      <c r="N84" s="2" t="s">
        <v>84</v>
      </c>
      <c r="O84" s="2" t="s">
        <v>841</v>
      </c>
      <c r="P84" s="2" t="s">
        <v>84</v>
      </c>
    </row>
    <row r="85" spans="1:16" ht="21" customHeight="1" x14ac:dyDescent="0.15">
      <c r="A85" s="10" t="str">
        <f t="shared" si="13"/>
        <v>131_1_0_1_polygon</v>
      </c>
      <c r="B85" s="2">
        <v>131</v>
      </c>
      <c r="C85" s="30" t="str">
        <f>VLOOKUP(B85,gachas!A:C,3)</f>
        <v>新撰組UP あと少し</v>
      </c>
      <c r="D85" s="21">
        <v>1</v>
      </c>
      <c r="E85" s="2">
        <v>0</v>
      </c>
      <c r="F85" s="2">
        <v>1</v>
      </c>
      <c r="G85" s="3" t="s">
        <v>22</v>
      </c>
      <c r="H85" s="2">
        <v>5</v>
      </c>
      <c r="I85" s="116">
        <v>3</v>
      </c>
      <c r="J85" s="115" t="s">
        <v>84</v>
      </c>
      <c r="K85" s="2" t="s">
        <v>84</v>
      </c>
      <c r="L85" s="2">
        <v>0</v>
      </c>
      <c r="M85" s="2" t="s">
        <v>84</v>
      </c>
      <c r="N85" s="2" t="s">
        <v>84</v>
      </c>
      <c r="O85" s="2" t="s">
        <v>841</v>
      </c>
      <c r="P85" s="2" t="s">
        <v>84</v>
      </c>
    </row>
    <row r="86" spans="1:16" ht="21" customHeight="1" x14ac:dyDescent="0.15">
      <c r="A86" s="10" t="str">
        <f t="shared" si="13"/>
        <v>131_1_1_1_polygon</v>
      </c>
      <c r="B86" s="2">
        <v>131</v>
      </c>
      <c r="C86" s="30" t="str">
        <f>VLOOKUP(B86,gachas!A:C,3)</f>
        <v>新撰組UP あと少し</v>
      </c>
      <c r="D86" s="21">
        <v>1</v>
      </c>
      <c r="E86" s="2">
        <v>1</v>
      </c>
      <c r="F86" s="2">
        <v>1</v>
      </c>
      <c r="G86" s="3" t="s">
        <v>22</v>
      </c>
      <c r="H86" s="2">
        <v>5</v>
      </c>
      <c r="I86" s="116">
        <v>4</v>
      </c>
      <c r="J86" s="115" t="s">
        <v>84</v>
      </c>
      <c r="K86" s="2" t="s">
        <v>84</v>
      </c>
      <c r="L86" s="2">
        <v>0</v>
      </c>
      <c r="M86" s="2" t="s">
        <v>84</v>
      </c>
      <c r="N86" s="2" t="s">
        <v>84</v>
      </c>
      <c r="O86" s="2" t="s">
        <v>841</v>
      </c>
      <c r="P86" s="2" t="s">
        <v>84</v>
      </c>
    </row>
    <row r="87" spans="1:16" ht="21" customHeight="1" x14ac:dyDescent="0.15">
      <c r="A87" s="10" t="str">
        <f t="shared" si="13"/>
        <v>131_10_0_10_polygon</v>
      </c>
      <c r="B87" s="2">
        <v>131</v>
      </c>
      <c r="C87" s="30" t="str">
        <f>VLOOKUP(B87,gachas!A:C,3)</f>
        <v>新撰組UP あと少し</v>
      </c>
      <c r="D87" s="21">
        <v>10</v>
      </c>
      <c r="E87" s="2">
        <v>0</v>
      </c>
      <c r="F87" s="2">
        <v>10</v>
      </c>
      <c r="G87" s="3" t="s">
        <v>22</v>
      </c>
      <c r="H87" s="2">
        <v>50</v>
      </c>
      <c r="I87" s="116">
        <v>4</v>
      </c>
      <c r="J87" s="115" t="s">
        <v>84</v>
      </c>
      <c r="K87" s="2" t="s">
        <v>84</v>
      </c>
      <c r="L87" s="2">
        <v>0</v>
      </c>
      <c r="M87" s="2" t="s">
        <v>84</v>
      </c>
      <c r="N87" s="2" t="s">
        <v>84</v>
      </c>
      <c r="O87" s="2" t="s">
        <v>841</v>
      </c>
      <c r="P87" s="2" t="s">
        <v>84</v>
      </c>
    </row>
    <row r="88" spans="1:16" ht="21" customHeight="1" x14ac:dyDescent="0.15">
      <c r="A88" s="10" t="str">
        <f t="shared" si="13"/>
        <v>132_1_0_1_polygon</v>
      </c>
      <c r="B88" s="2">
        <v>132</v>
      </c>
      <c r="C88" s="30" t="str">
        <f>VLOOKUP(B88,gachas!A:C,3)</f>
        <v>新撰組UP 最終日</v>
      </c>
      <c r="D88" s="21">
        <v>1</v>
      </c>
      <c r="E88" s="2">
        <v>0</v>
      </c>
      <c r="F88" s="2">
        <v>1</v>
      </c>
      <c r="G88" s="3" t="s">
        <v>22</v>
      </c>
      <c r="H88" s="2">
        <v>5</v>
      </c>
      <c r="I88" s="116">
        <v>3</v>
      </c>
      <c r="J88" s="115" t="s">
        <v>84</v>
      </c>
      <c r="K88" s="2" t="s">
        <v>84</v>
      </c>
      <c r="L88" s="2">
        <v>0</v>
      </c>
      <c r="M88" s="2" t="s">
        <v>84</v>
      </c>
      <c r="N88" s="2" t="s">
        <v>84</v>
      </c>
      <c r="O88" s="2" t="s">
        <v>841</v>
      </c>
      <c r="P88" s="2" t="s">
        <v>84</v>
      </c>
    </row>
    <row r="89" spans="1:16" ht="21" customHeight="1" x14ac:dyDescent="0.15">
      <c r="A89" s="10" t="str">
        <f t="shared" si="13"/>
        <v>132_1_1_1_polygon</v>
      </c>
      <c r="B89" s="2">
        <v>132</v>
      </c>
      <c r="C89" s="30" t="str">
        <f>VLOOKUP(B89,gachas!A:C,3)</f>
        <v>新撰組UP 最終日</v>
      </c>
      <c r="D89" s="21">
        <v>1</v>
      </c>
      <c r="E89" s="2">
        <v>1</v>
      </c>
      <c r="F89" s="2">
        <v>1</v>
      </c>
      <c r="G89" s="3" t="s">
        <v>22</v>
      </c>
      <c r="H89" s="2">
        <v>5</v>
      </c>
      <c r="I89" s="116">
        <v>4</v>
      </c>
      <c r="J89" s="115" t="s">
        <v>84</v>
      </c>
      <c r="K89" s="2" t="s">
        <v>84</v>
      </c>
      <c r="L89" s="2">
        <v>0</v>
      </c>
      <c r="M89" s="2" t="s">
        <v>84</v>
      </c>
      <c r="N89" s="2" t="s">
        <v>84</v>
      </c>
      <c r="O89" s="2" t="s">
        <v>841</v>
      </c>
      <c r="P89" s="2" t="s">
        <v>84</v>
      </c>
    </row>
    <row r="90" spans="1:16" ht="21" customHeight="1" x14ac:dyDescent="0.15">
      <c r="A90" s="10" t="str">
        <f t="shared" si="13"/>
        <v>132_10_0_10_polygon</v>
      </c>
      <c r="B90" s="2">
        <v>132</v>
      </c>
      <c r="C90" s="30" t="str">
        <f>VLOOKUP(B90,gachas!A:C,3)</f>
        <v>新撰組UP 最終日</v>
      </c>
      <c r="D90" s="21">
        <v>10</v>
      </c>
      <c r="E90" s="2">
        <v>0</v>
      </c>
      <c r="F90" s="2">
        <v>10</v>
      </c>
      <c r="G90" s="3" t="s">
        <v>22</v>
      </c>
      <c r="H90" s="2">
        <v>50</v>
      </c>
      <c r="I90" s="116">
        <v>4</v>
      </c>
      <c r="J90" s="115" t="s">
        <v>84</v>
      </c>
      <c r="K90" s="2" t="s">
        <v>84</v>
      </c>
      <c r="L90" s="2">
        <v>0</v>
      </c>
      <c r="M90" s="2" t="s">
        <v>84</v>
      </c>
      <c r="N90" s="2" t="s">
        <v>84</v>
      </c>
      <c r="O90" s="2" t="s">
        <v>841</v>
      </c>
      <c r="P90" s="2" t="s">
        <v>84</v>
      </c>
    </row>
    <row r="91" spans="1:16" ht="21" customHeight="1" x14ac:dyDescent="0.15">
      <c r="A91" s="10" t="str">
        <f t="shared" si="13"/>
        <v>133_1_0_1_polygon</v>
      </c>
      <c r="B91" s="2">
        <v>133</v>
      </c>
      <c r="C91" s="30" t="str">
        <f>VLOOKUP(B91,gachas!A:C,3)</f>
        <v>童話ガチャ　開始</v>
      </c>
      <c r="D91" s="21">
        <v>1</v>
      </c>
      <c r="E91" s="2">
        <v>0</v>
      </c>
      <c r="F91" s="2">
        <v>1</v>
      </c>
      <c r="G91" s="3" t="s">
        <v>22</v>
      </c>
      <c r="H91" s="2">
        <v>5</v>
      </c>
      <c r="I91" s="116">
        <v>3</v>
      </c>
      <c r="J91" s="115" t="s">
        <v>84</v>
      </c>
      <c r="K91" s="2" t="s">
        <v>84</v>
      </c>
      <c r="L91" s="2">
        <v>0</v>
      </c>
      <c r="M91" s="2" t="s">
        <v>84</v>
      </c>
      <c r="N91" s="2" t="s">
        <v>84</v>
      </c>
      <c r="O91" s="2" t="s">
        <v>841</v>
      </c>
      <c r="P91" s="2" t="s">
        <v>84</v>
      </c>
    </row>
    <row r="92" spans="1:16" ht="21" customHeight="1" x14ac:dyDescent="0.15">
      <c r="A92" s="10" t="str">
        <f t="shared" si="13"/>
        <v>133_1_1_1_polygon</v>
      </c>
      <c r="B92" s="2">
        <v>133</v>
      </c>
      <c r="C92" s="30" t="str">
        <f>VLOOKUP(B92,gachas!A:C,3)</f>
        <v>童話ガチャ　開始</v>
      </c>
      <c r="D92" s="21">
        <v>1</v>
      </c>
      <c r="E92" s="2">
        <v>1</v>
      </c>
      <c r="F92" s="2">
        <v>1</v>
      </c>
      <c r="G92" s="3" t="s">
        <v>22</v>
      </c>
      <c r="H92" s="2">
        <v>5</v>
      </c>
      <c r="I92" s="116">
        <v>4</v>
      </c>
      <c r="J92" s="115" t="s">
        <v>84</v>
      </c>
      <c r="K92" s="2" t="s">
        <v>84</v>
      </c>
      <c r="L92" s="2">
        <v>0</v>
      </c>
      <c r="M92" s="2" t="s">
        <v>84</v>
      </c>
      <c r="N92" s="2" t="s">
        <v>84</v>
      </c>
      <c r="O92" s="2" t="s">
        <v>841</v>
      </c>
      <c r="P92" s="2" t="s">
        <v>84</v>
      </c>
    </row>
    <row r="93" spans="1:16" ht="21" customHeight="1" x14ac:dyDescent="0.15">
      <c r="A93" s="10" t="str">
        <f t="shared" si="13"/>
        <v>133_10_0_10_polygon</v>
      </c>
      <c r="B93" s="2">
        <v>133</v>
      </c>
      <c r="C93" s="30" t="str">
        <f>VLOOKUP(B93,gachas!A:C,3)</f>
        <v>童話ガチャ　開始</v>
      </c>
      <c r="D93" s="21">
        <v>10</v>
      </c>
      <c r="E93" s="2">
        <v>0</v>
      </c>
      <c r="F93" s="2">
        <v>10</v>
      </c>
      <c r="G93" s="3" t="s">
        <v>22</v>
      </c>
      <c r="H93" s="2">
        <v>50</v>
      </c>
      <c r="I93" s="116">
        <v>4</v>
      </c>
      <c r="J93" s="115" t="s">
        <v>84</v>
      </c>
      <c r="K93" s="2" t="s">
        <v>84</v>
      </c>
      <c r="L93" s="2">
        <v>0</v>
      </c>
      <c r="M93" s="2" t="s">
        <v>84</v>
      </c>
      <c r="N93" s="2" t="s">
        <v>84</v>
      </c>
      <c r="O93" s="2" t="s">
        <v>841</v>
      </c>
      <c r="P93" s="2" t="s">
        <v>84</v>
      </c>
    </row>
    <row r="94" spans="1:16" ht="21" customHeight="1" x14ac:dyDescent="0.15">
      <c r="A94" s="10" t="str">
        <f t="shared" ref="A94:A102" si="14">B94&amp;"_"&amp;D94&amp;"_"&amp;E94&amp;"_"&amp;F94&amp;"_"&amp;G94</f>
        <v>134_1_0_1_polygon</v>
      </c>
      <c r="B94" s="2">
        <v>134</v>
      </c>
      <c r="C94" s="30" t="str">
        <f>VLOOKUP(B94,gachas!A:C,3)</f>
        <v>童話ガチャ　あと少し</v>
      </c>
      <c r="D94" s="21">
        <v>1</v>
      </c>
      <c r="E94" s="2">
        <v>0</v>
      </c>
      <c r="F94" s="2">
        <v>1</v>
      </c>
      <c r="G94" s="3" t="s">
        <v>22</v>
      </c>
      <c r="H94" s="2">
        <v>5</v>
      </c>
      <c r="I94" s="116">
        <v>3</v>
      </c>
      <c r="J94" s="115" t="s">
        <v>84</v>
      </c>
      <c r="K94" s="2" t="s">
        <v>84</v>
      </c>
      <c r="L94" s="2">
        <v>0</v>
      </c>
      <c r="M94" s="2" t="s">
        <v>84</v>
      </c>
      <c r="N94" s="2" t="s">
        <v>84</v>
      </c>
      <c r="O94" s="2" t="s">
        <v>841</v>
      </c>
      <c r="P94" s="2" t="s">
        <v>84</v>
      </c>
    </row>
    <row r="95" spans="1:16" ht="21" customHeight="1" x14ac:dyDescent="0.15">
      <c r="A95" s="10" t="str">
        <f t="shared" si="14"/>
        <v>134_1_1_1_polygon</v>
      </c>
      <c r="B95" s="2">
        <v>134</v>
      </c>
      <c r="C95" s="30" t="str">
        <f>VLOOKUP(B95,gachas!A:C,3)</f>
        <v>童話ガチャ　あと少し</v>
      </c>
      <c r="D95" s="21">
        <v>1</v>
      </c>
      <c r="E95" s="2">
        <v>1</v>
      </c>
      <c r="F95" s="2">
        <v>1</v>
      </c>
      <c r="G95" s="3" t="s">
        <v>22</v>
      </c>
      <c r="H95" s="2">
        <v>5</v>
      </c>
      <c r="I95" s="116">
        <v>4</v>
      </c>
      <c r="J95" s="115" t="s">
        <v>84</v>
      </c>
      <c r="K95" s="2" t="s">
        <v>84</v>
      </c>
      <c r="L95" s="2">
        <v>0</v>
      </c>
      <c r="M95" s="2" t="s">
        <v>84</v>
      </c>
      <c r="N95" s="2" t="s">
        <v>84</v>
      </c>
      <c r="O95" s="2" t="s">
        <v>841</v>
      </c>
      <c r="P95" s="2" t="s">
        <v>84</v>
      </c>
    </row>
    <row r="96" spans="1:16" ht="21" customHeight="1" x14ac:dyDescent="0.15">
      <c r="A96" s="10" t="str">
        <f t="shared" si="14"/>
        <v>134_10_0_10_polygon</v>
      </c>
      <c r="B96" s="2">
        <v>134</v>
      </c>
      <c r="C96" s="30" t="str">
        <f>VLOOKUP(B96,gachas!A:C,3)</f>
        <v>童話ガチャ　あと少し</v>
      </c>
      <c r="D96" s="21">
        <v>10</v>
      </c>
      <c r="E96" s="2">
        <v>0</v>
      </c>
      <c r="F96" s="2">
        <v>10</v>
      </c>
      <c r="G96" s="3" t="s">
        <v>22</v>
      </c>
      <c r="H96" s="2">
        <v>50</v>
      </c>
      <c r="I96" s="116">
        <v>4</v>
      </c>
      <c r="J96" s="115" t="s">
        <v>84</v>
      </c>
      <c r="K96" s="2" t="s">
        <v>84</v>
      </c>
      <c r="L96" s="2">
        <v>0</v>
      </c>
      <c r="M96" s="2" t="s">
        <v>84</v>
      </c>
      <c r="N96" s="2" t="s">
        <v>84</v>
      </c>
      <c r="O96" s="2" t="s">
        <v>841</v>
      </c>
      <c r="P96" s="2" t="s">
        <v>84</v>
      </c>
    </row>
    <row r="97" spans="1:16" ht="21" customHeight="1" x14ac:dyDescent="0.15">
      <c r="A97" s="10" t="str">
        <f t="shared" si="14"/>
        <v>135_1_0_1_polygon</v>
      </c>
      <c r="B97" s="2">
        <v>135</v>
      </c>
      <c r="C97" s="30" t="str">
        <f>VLOOKUP(B97,gachas!A:C,3)</f>
        <v>童話ガチャ　最終日</v>
      </c>
      <c r="D97" s="21">
        <v>1</v>
      </c>
      <c r="E97" s="2">
        <v>0</v>
      </c>
      <c r="F97" s="2">
        <v>1</v>
      </c>
      <c r="G97" s="3" t="s">
        <v>22</v>
      </c>
      <c r="H97" s="2">
        <v>5</v>
      </c>
      <c r="I97" s="116">
        <v>3</v>
      </c>
      <c r="J97" s="115" t="s">
        <v>84</v>
      </c>
      <c r="K97" s="2" t="s">
        <v>84</v>
      </c>
      <c r="L97" s="2">
        <v>0</v>
      </c>
      <c r="M97" s="2" t="s">
        <v>84</v>
      </c>
      <c r="N97" s="2" t="s">
        <v>84</v>
      </c>
      <c r="O97" s="2" t="s">
        <v>841</v>
      </c>
      <c r="P97" s="2" t="s">
        <v>84</v>
      </c>
    </row>
    <row r="98" spans="1:16" ht="21" customHeight="1" x14ac:dyDescent="0.15">
      <c r="A98" s="10" t="str">
        <f t="shared" si="14"/>
        <v>135_1_1_1_polygon</v>
      </c>
      <c r="B98" s="2">
        <v>135</v>
      </c>
      <c r="C98" s="30" t="str">
        <f>VLOOKUP(B98,gachas!A:C,3)</f>
        <v>童話ガチャ　最終日</v>
      </c>
      <c r="D98" s="21">
        <v>1</v>
      </c>
      <c r="E98" s="2">
        <v>1</v>
      </c>
      <c r="F98" s="2">
        <v>1</v>
      </c>
      <c r="G98" s="3" t="s">
        <v>22</v>
      </c>
      <c r="H98" s="2">
        <v>5</v>
      </c>
      <c r="I98" s="116">
        <v>4</v>
      </c>
      <c r="J98" s="115" t="s">
        <v>84</v>
      </c>
      <c r="K98" s="2" t="s">
        <v>84</v>
      </c>
      <c r="L98" s="2">
        <v>0</v>
      </c>
      <c r="M98" s="2" t="s">
        <v>84</v>
      </c>
      <c r="N98" s="2" t="s">
        <v>84</v>
      </c>
      <c r="O98" s="2" t="s">
        <v>841</v>
      </c>
      <c r="P98" s="2" t="s">
        <v>84</v>
      </c>
    </row>
    <row r="99" spans="1:16" ht="21" customHeight="1" x14ac:dyDescent="0.15">
      <c r="A99" s="10" t="str">
        <f t="shared" si="14"/>
        <v>135_10_0_10_polygon</v>
      </c>
      <c r="B99" s="2">
        <v>135</v>
      </c>
      <c r="C99" s="30" t="str">
        <f>VLOOKUP(B99,gachas!A:C,3)</f>
        <v>童話ガチャ　最終日</v>
      </c>
      <c r="D99" s="21">
        <v>10</v>
      </c>
      <c r="E99" s="2">
        <v>0</v>
      </c>
      <c r="F99" s="2">
        <v>10</v>
      </c>
      <c r="G99" s="3" t="s">
        <v>22</v>
      </c>
      <c r="H99" s="2">
        <v>50</v>
      </c>
      <c r="I99" s="116">
        <v>4</v>
      </c>
      <c r="J99" s="115" t="s">
        <v>84</v>
      </c>
      <c r="K99" s="2" t="s">
        <v>84</v>
      </c>
      <c r="L99" s="2">
        <v>0</v>
      </c>
      <c r="M99" s="2" t="s">
        <v>84</v>
      </c>
      <c r="N99" s="2" t="s">
        <v>84</v>
      </c>
      <c r="O99" s="2" t="s">
        <v>841</v>
      </c>
      <c r="P99" s="2" t="s">
        <v>84</v>
      </c>
    </row>
    <row r="100" spans="1:16" ht="21" customHeight="1" x14ac:dyDescent="0.15">
      <c r="A100" s="10" t="str">
        <f t="shared" si="14"/>
        <v>136_1_0_1_polygon</v>
      </c>
      <c r="B100" s="2">
        <v>136</v>
      </c>
      <c r="C100" s="30" t="str">
        <f>VLOOKUP(B100,gachas!A:C,3)</f>
        <v xml:space="preserve">攻撃凸 </v>
      </c>
      <c r="D100" s="21">
        <v>1</v>
      </c>
      <c r="E100" s="2">
        <v>0</v>
      </c>
      <c r="F100" s="2">
        <v>1</v>
      </c>
      <c r="G100" s="3" t="s">
        <v>22</v>
      </c>
      <c r="H100" s="2">
        <v>5</v>
      </c>
      <c r="I100" s="116">
        <v>136</v>
      </c>
      <c r="J100" s="115" t="s">
        <v>84</v>
      </c>
      <c r="K100" s="2" t="s">
        <v>84</v>
      </c>
      <c r="L100" s="2">
        <v>0</v>
      </c>
      <c r="M100" s="2" t="s">
        <v>84</v>
      </c>
      <c r="N100" s="2" t="s">
        <v>84</v>
      </c>
      <c r="O100" s="2" t="s">
        <v>841</v>
      </c>
      <c r="P100" s="2" t="s">
        <v>84</v>
      </c>
    </row>
    <row r="101" spans="1:16" ht="21" customHeight="1" x14ac:dyDescent="0.15">
      <c r="A101" s="10" t="str">
        <f t="shared" si="14"/>
        <v>136_1_1_1_polygon</v>
      </c>
      <c r="B101" s="2">
        <v>136</v>
      </c>
      <c r="C101" s="30" t="str">
        <f>VLOOKUP(B101,gachas!A:C,3)</f>
        <v xml:space="preserve">攻撃凸 </v>
      </c>
      <c r="D101" s="21">
        <v>1</v>
      </c>
      <c r="E101" s="2">
        <v>1</v>
      </c>
      <c r="F101" s="2">
        <v>1</v>
      </c>
      <c r="G101" s="3" t="s">
        <v>22</v>
      </c>
      <c r="H101" s="2">
        <v>5</v>
      </c>
      <c r="I101" s="116">
        <v>137</v>
      </c>
      <c r="J101" s="115" t="s">
        <v>84</v>
      </c>
      <c r="K101" s="2" t="s">
        <v>84</v>
      </c>
      <c r="L101" s="2">
        <v>0</v>
      </c>
      <c r="M101" s="2" t="s">
        <v>84</v>
      </c>
      <c r="N101" s="2" t="s">
        <v>84</v>
      </c>
      <c r="O101" s="2" t="s">
        <v>841</v>
      </c>
      <c r="P101" s="2" t="s">
        <v>142</v>
      </c>
    </row>
    <row r="102" spans="1:16" ht="21" customHeight="1" x14ac:dyDescent="0.15">
      <c r="A102" s="10" t="str">
        <f t="shared" si="14"/>
        <v>136_10_0_10_polygon</v>
      </c>
      <c r="B102" s="2">
        <v>136</v>
      </c>
      <c r="C102" s="30" t="str">
        <f>VLOOKUP(B102,gachas!A:C,3)</f>
        <v xml:space="preserve">攻撃凸 </v>
      </c>
      <c r="D102" s="21">
        <v>10</v>
      </c>
      <c r="E102" s="2">
        <v>0</v>
      </c>
      <c r="F102" s="2">
        <v>10</v>
      </c>
      <c r="G102" s="3" t="s">
        <v>22</v>
      </c>
      <c r="H102" s="2">
        <v>50</v>
      </c>
      <c r="I102" s="116">
        <v>137</v>
      </c>
      <c r="J102" s="115" t="s">
        <v>84</v>
      </c>
      <c r="K102" s="2" t="s">
        <v>84</v>
      </c>
      <c r="L102" s="2">
        <v>0</v>
      </c>
      <c r="M102" s="2" t="s">
        <v>84</v>
      </c>
      <c r="N102" s="2" t="s">
        <v>84</v>
      </c>
      <c r="O102" s="2" t="s">
        <v>841</v>
      </c>
      <c r="P102" s="2" t="s">
        <v>143</v>
      </c>
    </row>
    <row r="103" spans="1:16" ht="21" customHeight="1" x14ac:dyDescent="0.15">
      <c r="A103" s="10" t="str">
        <f t="shared" ref="A103:A108" si="15">B103&amp;"_"&amp;D103&amp;"_"&amp;E103&amp;"_"&amp;F103&amp;"_"&amp;G103</f>
        <v>138_1_0_1_polygon</v>
      </c>
      <c r="B103" s="2">
        <v>138</v>
      </c>
      <c r="C103" s="30" t="str">
        <f>VLOOKUP(B103,gachas!A:C,3)</f>
        <v>斎藤ピックアップ</v>
      </c>
      <c r="D103" s="21">
        <v>1</v>
      </c>
      <c r="E103" s="2">
        <v>0</v>
      </c>
      <c r="F103" s="2">
        <v>1</v>
      </c>
      <c r="G103" s="3" t="s">
        <v>22</v>
      </c>
      <c r="H103" s="2">
        <v>5</v>
      </c>
      <c r="I103" s="116">
        <v>138</v>
      </c>
      <c r="J103" s="115" t="s">
        <v>84</v>
      </c>
      <c r="K103" s="2" t="s">
        <v>84</v>
      </c>
      <c r="L103" s="2">
        <v>0</v>
      </c>
      <c r="M103" s="2" t="s">
        <v>84</v>
      </c>
      <c r="N103" s="2" t="s">
        <v>84</v>
      </c>
      <c r="O103" s="2" t="s">
        <v>841</v>
      </c>
      <c r="P103" s="2" t="s">
        <v>84</v>
      </c>
    </row>
    <row r="104" spans="1:16" ht="21" customHeight="1" x14ac:dyDescent="0.15">
      <c r="A104" s="10" t="str">
        <f t="shared" si="15"/>
        <v>138_1_1_1_polygon</v>
      </c>
      <c r="B104" s="2">
        <v>138</v>
      </c>
      <c r="C104" s="30" t="str">
        <f>VLOOKUP(B104,gachas!A:C,3)</f>
        <v>斎藤ピックアップ</v>
      </c>
      <c r="D104" s="21">
        <v>1</v>
      </c>
      <c r="E104" s="2">
        <v>1</v>
      </c>
      <c r="F104" s="2">
        <v>1</v>
      </c>
      <c r="G104" s="3" t="s">
        <v>22</v>
      </c>
      <c r="H104" s="2">
        <v>5</v>
      </c>
      <c r="I104" s="116">
        <v>139</v>
      </c>
      <c r="J104" s="115" t="s">
        <v>84</v>
      </c>
      <c r="K104" s="2" t="s">
        <v>84</v>
      </c>
      <c r="L104" s="2">
        <v>0</v>
      </c>
      <c r="M104" s="2" t="s">
        <v>84</v>
      </c>
      <c r="N104" s="2" t="s">
        <v>84</v>
      </c>
      <c r="O104" s="2" t="s">
        <v>841</v>
      </c>
      <c r="P104" s="2" t="s">
        <v>142</v>
      </c>
    </row>
    <row r="105" spans="1:16" ht="21" customHeight="1" x14ac:dyDescent="0.15">
      <c r="A105" s="10" t="str">
        <f t="shared" si="15"/>
        <v>138_10_0_10_polygon</v>
      </c>
      <c r="B105" s="2">
        <v>138</v>
      </c>
      <c r="C105" s="30" t="str">
        <f>VLOOKUP(B105,gachas!A:C,3)</f>
        <v>斎藤ピックアップ</v>
      </c>
      <c r="D105" s="21">
        <v>10</v>
      </c>
      <c r="E105" s="2">
        <v>0</v>
      </c>
      <c r="F105" s="2">
        <v>10</v>
      </c>
      <c r="G105" s="3" t="s">
        <v>22</v>
      </c>
      <c r="H105" s="2">
        <v>50</v>
      </c>
      <c r="I105" s="116">
        <v>139</v>
      </c>
      <c r="J105" s="115" t="s">
        <v>84</v>
      </c>
      <c r="K105" s="2" t="s">
        <v>84</v>
      </c>
      <c r="L105" s="2">
        <v>0</v>
      </c>
      <c r="M105" s="2" t="s">
        <v>84</v>
      </c>
      <c r="N105" s="2" t="s">
        <v>84</v>
      </c>
      <c r="O105" s="2" t="s">
        <v>841</v>
      </c>
      <c r="P105" s="2" t="s">
        <v>143</v>
      </c>
    </row>
    <row r="106" spans="1:16" ht="21" customHeight="1" x14ac:dyDescent="0.15">
      <c r="A106" s="10" t="str">
        <f t="shared" si="15"/>
        <v>140_1_0_1_polygon</v>
      </c>
      <c r="B106" s="2">
        <v>140</v>
      </c>
      <c r="C106" s="30" t="str">
        <f>VLOOKUP(B106,gachas!A:C,3)</f>
        <v>新ガチャ（神話動物）前半</v>
      </c>
      <c r="D106" s="21">
        <v>1</v>
      </c>
      <c r="E106" s="2">
        <v>0</v>
      </c>
      <c r="F106" s="2">
        <v>1</v>
      </c>
      <c r="G106" s="3" t="s">
        <v>22</v>
      </c>
      <c r="H106" s="2">
        <v>5</v>
      </c>
      <c r="I106" s="116">
        <v>141</v>
      </c>
      <c r="J106" s="115" t="s">
        <v>84</v>
      </c>
      <c r="K106" s="2" t="s">
        <v>84</v>
      </c>
      <c r="L106" s="2">
        <v>0</v>
      </c>
      <c r="M106" s="2" t="s">
        <v>84</v>
      </c>
      <c r="N106" s="2" t="s">
        <v>84</v>
      </c>
      <c r="O106" s="2" t="s">
        <v>841</v>
      </c>
      <c r="P106" s="2" t="s">
        <v>84</v>
      </c>
    </row>
    <row r="107" spans="1:16" ht="21" customHeight="1" x14ac:dyDescent="0.15">
      <c r="A107" s="10" t="str">
        <f t="shared" si="15"/>
        <v>140_1_1_1_polygon</v>
      </c>
      <c r="B107" s="2">
        <v>140</v>
      </c>
      <c r="C107" s="30" t="str">
        <f>VLOOKUP(B107,gachas!A:C,3)</f>
        <v>新ガチャ（神話動物）前半</v>
      </c>
      <c r="D107" s="21">
        <v>1</v>
      </c>
      <c r="E107" s="2">
        <v>1</v>
      </c>
      <c r="F107" s="2">
        <v>1</v>
      </c>
      <c r="G107" s="3" t="s">
        <v>22</v>
      </c>
      <c r="H107" s="2">
        <v>5</v>
      </c>
      <c r="I107" s="116">
        <v>140</v>
      </c>
      <c r="J107" s="115" t="s">
        <v>84</v>
      </c>
      <c r="K107" s="2" t="s">
        <v>84</v>
      </c>
      <c r="L107" s="2">
        <v>0</v>
      </c>
      <c r="M107" s="2" t="s">
        <v>84</v>
      </c>
      <c r="N107" s="2" t="s">
        <v>84</v>
      </c>
      <c r="O107" s="2" t="s">
        <v>841</v>
      </c>
      <c r="P107" s="2" t="s">
        <v>142</v>
      </c>
    </row>
    <row r="108" spans="1:16" ht="21" customHeight="1" x14ac:dyDescent="0.15">
      <c r="A108" s="10" t="str">
        <f t="shared" si="15"/>
        <v>140_10_0_10_polygon</v>
      </c>
      <c r="B108" s="2">
        <v>140</v>
      </c>
      <c r="C108" s="30" t="str">
        <f>VLOOKUP(B108,gachas!A:C,3)</f>
        <v>新ガチャ（神話動物）前半</v>
      </c>
      <c r="D108" s="21">
        <v>10</v>
      </c>
      <c r="E108" s="2">
        <v>0</v>
      </c>
      <c r="F108" s="2">
        <v>10</v>
      </c>
      <c r="G108" s="3" t="s">
        <v>22</v>
      </c>
      <c r="H108" s="2">
        <v>50</v>
      </c>
      <c r="I108" s="116">
        <v>140</v>
      </c>
      <c r="J108" s="115" t="s">
        <v>84</v>
      </c>
      <c r="K108" s="2" t="s">
        <v>84</v>
      </c>
      <c r="L108" s="2">
        <v>0</v>
      </c>
      <c r="M108" s="2" t="s">
        <v>84</v>
      </c>
      <c r="N108" s="2" t="s">
        <v>84</v>
      </c>
      <c r="O108" s="2" t="s">
        <v>841</v>
      </c>
      <c r="P108" s="2" t="s">
        <v>143</v>
      </c>
    </row>
    <row r="109" spans="1:16" ht="21" customHeight="1" x14ac:dyDescent="0.15">
      <c r="A109" s="10" t="str">
        <f t="shared" ref="A109:A111" si="16">B109&amp;"_"&amp;D109&amp;"_"&amp;E109&amp;"_"&amp;F109&amp;"_"&amp;G109</f>
        <v>142_1_0_1_polygon</v>
      </c>
      <c r="B109" s="2">
        <v>142</v>
      </c>
      <c r="C109" s="30" t="str">
        <f>VLOOKUP(B109,gachas!A:C,3)</f>
        <v>新ガチャ（神話動物）後半</v>
      </c>
      <c r="D109" s="21">
        <v>1</v>
      </c>
      <c r="E109" s="2">
        <v>0</v>
      </c>
      <c r="F109" s="2">
        <v>1</v>
      </c>
      <c r="G109" s="3" t="s">
        <v>22</v>
      </c>
      <c r="H109" s="2">
        <v>5</v>
      </c>
      <c r="I109" s="116">
        <v>143</v>
      </c>
      <c r="J109" s="115" t="s">
        <v>84</v>
      </c>
      <c r="K109" s="2" t="s">
        <v>84</v>
      </c>
      <c r="L109" s="2">
        <v>0</v>
      </c>
      <c r="M109" s="2" t="s">
        <v>84</v>
      </c>
      <c r="N109" s="2" t="s">
        <v>84</v>
      </c>
      <c r="O109" s="2" t="s">
        <v>841</v>
      </c>
      <c r="P109" s="2" t="s">
        <v>84</v>
      </c>
    </row>
    <row r="110" spans="1:16" ht="21" customHeight="1" x14ac:dyDescent="0.15">
      <c r="A110" s="10" t="str">
        <f t="shared" si="16"/>
        <v>142_1_1_1_polygon</v>
      </c>
      <c r="B110" s="2">
        <v>142</v>
      </c>
      <c r="C110" s="30" t="str">
        <f>VLOOKUP(B110,gachas!A:C,3)</f>
        <v>新ガチャ（神話動物）後半</v>
      </c>
      <c r="D110" s="21">
        <v>1</v>
      </c>
      <c r="E110" s="2">
        <v>1</v>
      </c>
      <c r="F110" s="2">
        <v>1</v>
      </c>
      <c r="G110" s="3" t="s">
        <v>22</v>
      </c>
      <c r="H110" s="2">
        <v>5</v>
      </c>
      <c r="I110" s="116">
        <v>142</v>
      </c>
      <c r="J110" s="115" t="s">
        <v>84</v>
      </c>
      <c r="K110" s="2" t="s">
        <v>84</v>
      </c>
      <c r="L110" s="2">
        <v>0</v>
      </c>
      <c r="M110" s="2" t="s">
        <v>84</v>
      </c>
      <c r="N110" s="2" t="s">
        <v>84</v>
      </c>
      <c r="O110" s="2" t="s">
        <v>841</v>
      </c>
      <c r="P110" s="2" t="s">
        <v>142</v>
      </c>
    </row>
    <row r="111" spans="1:16" ht="21" customHeight="1" x14ac:dyDescent="0.15">
      <c r="A111" s="10" t="str">
        <f t="shared" si="16"/>
        <v>142_10_0_10_polygon</v>
      </c>
      <c r="B111" s="2">
        <v>142</v>
      </c>
      <c r="C111" s="30" t="str">
        <f>VLOOKUP(B111,gachas!A:C,3)</f>
        <v>新ガチャ（神話動物）後半</v>
      </c>
      <c r="D111" s="21">
        <v>10</v>
      </c>
      <c r="E111" s="2">
        <v>0</v>
      </c>
      <c r="F111" s="2">
        <v>10</v>
      </c>
      <c r="G111" s="3" t="s">
        <v>22</v>
      </c>
      <c r="H111" s="2">
        <v>50</v>
      </c>
      <c r="I111" s="116">
        <v>142</v>
      </c>
      <c r="J111" s="115" t="s">
        <v>84</v>
      </c>
      <c r="K111" s="2" t="s">
        <v>84</v>
      </c>
      <c r="L111" s="2">
        <v>0</v>
      </c>
      <c r="M111" s="2" t="s">
        <v>84</v>
      </c>
      <c r="N111" s="2" t="s">
        <v>84</v>
      </c>
      <c r="O111" s="2" t="s">
        <v>841</v>
      </c>
      <c r="P111" s="2" t="s">
        <v>143</v>
      </c>
    </row>
    <row r="112" spans="1:16" ht="21" customHeight="1" x14ac:dyDescent="0.15">
      <c r="A112" s="10" t="str">
        <f t="shared" ref="A112:A114" si="17">B112&amp;"_"&amp;D112&amp;"_"&amp;E112&amp;"_"&amp;F112&amp;"_"&amp;G112</f>
        <v>144_1_0_1_polygon</v>
      </c>
      <c r="B112" s="2">
        <v>144</v>
      </c>
      <c r="C112" s="30" t="str">
        <f>VLOOKUP(B112,gachas!A:C,3)</f>
        <v>フィーバーフェスティバル</v>
      </c>
      <c r="D112" s="21">
        <v>1</v>
      </c>
      <c r="E112" s="2">
        <v>0</v>
      </c>
      <c r="F112" s="2">
        <v>1</v>
      </c>
      <c r="G112" s="3" t="s">
        <v>22</v>
      </c>
      <c r="H112" s="2">
        <v>5</v>
      </c>
      <c r="I112" s="116">
        <v>145</v>
      </c>
      <c r="J112" s="115" t="s">
        <v>84</v>
      </c>
      <c r="K112" s="2" t="s">
        <v>84</v>
      </c>
      <c r="L112" s="2">
        <v>0</v>
      </c>
      <c r="M112" s="2" t="s">
        <v>84</v>
      </c>
      <c r="N112" s="2" t="s">
        <v>84</v>
      </c>
      <c r="O112" s="2" t="s">
        <v>841</v>
      </c>
      <c r="P112" s="2" t="s">
        <v>84</v>
      </c>
    </row>
    <row r="113" spans="1:16" ht="21" customHeight="1" x14ac:dyDescent="0.15">
      <c r="A113" s="10" t="str">
        <f t="shared" si="17"/>
        <v>144_1_1_1_polygon</v>
      </c>
      <c r="B113" s="2">
        <v>144</v>
      </c>
      <c r="C113" s="30" t="str">
        <f>VLOOKUP(B113,gachas!A:C,3)</f>
        <v>フィーバーフェスティバル</v>
      </c>
      <c r="D113" s="21">
        <v>1</v>
      </c>
      <c r="E113" s="2">
        <v>1</v>
      </c>
      <c r="F113" s="2">
        <v>1</v>
      </c>
      <c r="G113" s="3" t="s">
        <v>22</v>
      </c>
      <c r="H113" s="2">
        <v>5</v>
      </c>
      <c r="I113" s="116">
        <v>144</v>
      </c>
      <c r="J113" s="115" t="s">
        <v>84</v>
      </c>
      <c r="K113" s="2" t="s">
        <v>84</v>
      </c>
      <c r="L113" s="2">
        <v>0</v>
      </c>
      <c r="M113" s="2" t="s">
        <v>84</v>
      </c>
      <c r="N113" s="2" t="s">
        <v>84</v>
      </c>
      <c r="O113" s="2" t="s">
        <v>841</v>
      </c>
      <c r="P113" s="2" t="s">
        <v>142</v>
      </c>
    </row>
    <row r="114" spans="1:16" ht="21" customHeight="1" x14ac:dyDescent="0.15">
      <c r="A114" s="10" t="str">
        <f t="shared" si="17"/>
        <v>144_10_0_10_polygon</v>
      </c>
      <c r="B114" s="2">
        <v>144</v>
      </c>
      <c r="C114" s="30" t="str">
        <f>VLOOKUP(B114,gachas!A:C,3)</f>
        <v>フィーバーフェスティバル</v>
      </c>
      <c r="D114" s="21">
        <v>10</v>
      </c>
      <c r="E114" s="2">
        <v>0</v>
      </c>
      <c r="F114" s="2">
        <v>10</v>
      </c>
      <c r="G114" s="3" t="s">
        <v>22</v>
      </c>
      <c r="H114" s="2">
        <v>50</v>
      </c>
      <c r="I114" s="116">
        <v>144</v>
      </c>
      <c r="J114" s="115" t="s">
        <v>84</v>
      </c>
      <c r="K114" s="2" t="s">
        <v>84</v>
      </c>
      <c r="L114" s="2">
        <v>0</v>
      </c>
      <c r="M114" s="2" t="s">
        <v>84</v>
      </c>
      <c r="N114" s="2" t="s">
        <v>84</v>
      </c>
      <c r="O114" s="2" t="s">
        <v>841</v>
      </c>
      <c r="P114" s="2" t="s">
        <v>143</v>
      </c>
    </row>
    <row r="115" spans="1:16" ht="21" customHeight="1" x14ac:dyDescent="0.15">
      <c r="A115" s="10" t="str">
        <f t="shared" ref="A115:A117" si="18">B115&amp;"_"&amp;D115&amp;"_"&amp;E115&amp;"_"&amp;F115&amp;"_"&amp;G115</f>
        <v>146_1_0_1_polygon</v>
      </c>
      <c r="B115" s="2">
        <v>146</v>
      </c>
      <c r="C115" s="30" t="str">
        <f>VLOOKUP(B115,gachas!A:C,3)</f>
        <v>新ガチャ（神話動物）恒常</v>
      </c>
      <c r="D115" s="21">
        <v>1</v>
      </c>
      <c r="E115" s="2">
        <v>0</v>
      </c>
      <c r="F115" s="2">
        <v>1</v>
      </c>
      <c r="G115" s="3" t="s">
        <v>22</v>
      </c>
      <c r="H115" s="2">
        <v>5</v>
      </c>
      <c r="I115" s="116">
        <v>147</v>
      </c>
      <c r="J115" s="115" t="s">
        <v>84</v>
      </c>
      <c r="K115" s="2" t="s">
        <v>84</v>
      </c>
      <c r="L115" s="2">
        <v>0</v>
      </c>
      <c r="M115" s="2" t="s">
        <v>84</v>
      </c>
      <c r="N115" s="2" t="s">
        <v>84</v>
      </c>
      <c r="O115" s="2" t="s">
        <v>841</v>
      </c>
      <c r="P115" s="2" t="s">
        <v>84</v>
      </c>
    </row>
    <row r="116" spans="1:16" ht="21" customHeight="1" x14ac:dyDescent="0.15">
      <c r="A116" s="10" t="str">
        <f>B116&amp;"_"&amp;D116&amp;"_"&amp;E116&amp;"_"&amp;F116&amp;"_"&amp;G116</f>
        <v>146_1_1_1_polygon</v>
      </c>
      <c r="B116" s="2">
        <v>146</v>
      </c>
      <c r="C116" s="30" t="str">
        <f>VLOOKUP(B116,gachas!A:C,3)</f>
        <v>新ガチャ（神話動物）恒常</v>
      </c>
      <c r="D116" s="21">
        <v>1</v>
      </c>
      <c r="E116" s="2">
        <v>1</v>
      </c>
      <c r="F116" s="2">
        <v>1</v>
      </c>
      <c r="G116" s="3" t="s">
        <v>22</v>
      </c>
      <c r="H116" s="2">
        <v>5</v>
      </c>
      <c r="I116" s="116">
        <v>1461</v>
      </c>
      <c r="J116" s="115" t="s">
        <v>84</v>
      </c>
      <c r="K116" s="2" t="s">
        <v>84</v>
      </c>
      <c r="L116" s="2">
        <v>0</v>
      </c>
      <c r="M116" s="2" t="s">
        <v>84</v>
      </c>
      <c r="N116" s="2" t="s">
        <v>84</v>
      </c>
      <c r="O116" s="2" t="s">
        <v>841</v>
      </c>
      <c r="P116" s="2" t="s">
        <v>261</v>
      </c>
    </row>
    <row r="117" spans="1:16" ht="21" customHeight="1" x14ac:dyDescent="0.15">
      <c r="A117" s="10" t="str">
        <f t="shared" si="18"/>
        <v>146_10_0_10_polygon</v>
      </c>
      <c r="B117" s="2">
        <v>146</v>
      </c>
      <c r="C117" s="30" t="str">
        <f>VLOOKUP(B117,gachas!A:C,3)</f>
        <v>新ガチャ（神話動物）恒常</v>
      </c>
      <c r="D117" s="21">
        <v>10</v>
      </c>
      <c r="E117" s="2">
        <v>0</v>
      </c>
      <c r="F117" s="2">
        <v>10</v>
      </c>
      <c r="G117" s="3" t="s">
        <v>22</v>
      </c>
      <c r="H117" s="2">
        <v>50</v>
      </c>
      <c r="I117" s="116">
        <v>146</v>
      </c>
      <c r="J117" s="115" t="s">
        <v>84</v>
      </c>
      <c r="K117" s="2" t="s">
        <v>84</v>
      </c>
      <c r="L117" s="2">
        <v>0</v>
      </c>
      <c r="M117" s="2" t="s">
        <v>84</v>
      </c>
      <c r="N117" s="2" t="s">
        <v>84</v>
      </c>
      <c r="O117" s="2" t="s">
        <v>841</v>
      </c>
      <c r="P117" s="2" t="s">
        <v>143</v>
      </c>
    </row>
    <row r="118" spans="1:16" ht="21" customHeight="1" x14ac:dyDescent="0.15">
      <c r="A118" s="10" t="str">
        <f t="shared" ref="A118:A120" si="19">B118&amp;"_"&amp;D118&amp;"_"&amp;E118&amp;"_"&amp;F118&amp;"_"&amp;G118</f>
        <v>148_1_0_1_polygon</v>
      </c>
      <c r="B118" s="2">
        <v>148</v>
      </c>
      <c r="C118" s="30" t="str">
        <f>VLOOKUP(B118,gachas!A:C,3)</f>
        <v>親指ピックアップ</v>
      </c>
      <c r="D118" s="21">
        <v>1</v>
      </c>
      <c r="E118" s="2">
        <v>0</v>
      </c>
      <c r="F118" s="2">
        <v>1</v>
      </c>
      <c r="G118" s="3" t="s">
        <v>22</v>
      </c>
      <c r="H118" s="2">
        <v>5</v>
      </c>
      <c r="I118" s="116">
        <v>149</v>
      </c>
      <c r="J118" s="115" t="s">
        <v>84</v>
      </c>
      <c r="K118" s="2" t="s">
        <v>84</v>
      </c>
      <c r="L118" s="2">
        <v>0</v>
      </c>
      <c r="M118" s="2" t="s">
        <v>84</v>
      </c>
      <c r="N118" s="2" t="s">
        <v>84</v>
      </c>
      <c r="O118" s="2" t="s">
        <v>841</v>
      </c>
      <c r="P118" s="2" t="s">
        <v>84</v>
      </c>
    </row>
    <row r="119" spans="1:16" ht="21" customHeight="1" x14ac:dyDescent="0.15">
      <c r="A119" s="10" t="str">
        <f t="shared" si="19"/>
        <v>148_1_1_1_polygon</v>
      </c>
      <c r="B119" s="2">
        <v>148</v>
      </c>
      <c r="C119" s="30" t="str">
        <f>VLOOKUP(B119,gachas!A:C,3)</f>
        <v>親指ピックアップ</v>
      </c>
      <c r="D119" s="21">
        <v>1</v>
      </c>
      <c r="E119" s="2">
        <v>1</v>
      </c>
      <c r="F119" s="2">
        <v>1</v>
      </c>
      <c r="G119" s="3" t="s">
        <v>22</v>
      </c>
      <c r="H119" s="2">
        <v>5</v>
      </c>
      <c r="I119" s="116">
        <v>148</v>
      </c>
      <c r="J119" s="115" t="s">
        <v>84</v>
      </c>
      <c r="K119" s="2" t="s">
        <v>84</v>
      </c>
      <c r="L119" s="2">
        <v>0</v>
      </c>
      <c r="M119" s="2" t="s">
        <v>84</v>
      </c>
      <c r="N119" s="2" t="s">
        <v>84</v>
      </c>
      <c r="O119" s="2" t="s">
        <v>841</v>
      </c>
      <c r="P119" s="2" t="s">
        <v>142</v>
      </c>
    </row>
    <row r="120" spans="1:16" ht="21" customHeight="1" x14ac:dyDescent="0.15">
      <c r="A120" s="10" t="str">
        <f t="shared" si="19"/>
        <v>148_10_0_10_polygon</v>
      </c>
      <c r="B120" s="2">
        <v>148</v>
      </c>
      <c r="C120" s="30" t="str">
        <f>VLOOKUP(B120,gachas!A:C,3)</f>
        <v>親指ピックアップ</v>
      </c>
      <c r="D120" s="21">
        <v>10</v>
      </c>
      <c r="E120" s="2">
        <v>0</v>
      </c>
      <c r="F120" s="2">
        <v>10</v>
      </c>
      <c r="G120" s="3" t="s">
        <v>22</v>
      </c>
      <c r="H120" s="2">
        <v>50</v>
      </c>
      <c r="I120" s="116">
        <v>148</v>
      </c>
      <c r="J120" s="112">
        <v>148</v>
      </c>
      <c r="K120" s="2" t="s">
        <v>84</v>
      </c>
      <c r="L120" s="2">
        <v>0</v>
      </c>
      <c r="M120" s="2" t="s">
        <v>84</v>
      </c>
      <c r="N120" s="2" t="s">
        <v>84</v>
      </c>
      <c r="O120" s="2" t="s">
        <v>841</v>
      </c>
      <c r="P120" s="2" t="s">
        <v>143</v>
      </c>
    </row>
    <row r="121" spans="1:16" ht="21" customHeight="1" x14ac:dyDescent="0.15">
      <c r="A121" s="10" t="str">
        <f t="shared" ref="A121:A123" si="20">B121&amp;"_"&amp;D121&amp;"_"&amp;E121&amp;"_"&amp;F121&amp;"_"&amp;G121</f>
        <v>149_1_0_1_polygon</v>
      </c>
      <c r="B121" s="2">
        <v>149</v>
      </c>
      <c r="C121" s="30" t="str">
        <f>VLOOKUP(B121,gachas!A:C,3)</f>
        <v>山田ピックアップ</v>
      </c>
      <c r="D121" s="21">
        <v>1</v>
      </c>
      <c r="E121" s="2">
        <v>0</v>
      </c>
      <c r="F121" s="2">
        <v>1</v>
      </c>
      <c r="G121" s="3" t="s">
        <v>22</v>
      </c>
      <c r="H121" s="2">
        <v>5</v>
      </c>
      <c r="I121" s="116">
        <v>14902</v>
      </c>
      <c r="J121" s="115" t="s">
        <v>84</v>
      </c>
      <c r="K121" s="2" t="s">
        <v>84</v>
      </c>
      <c r="L121" s="2">
        <v>0</v>
      </c>
      <c r="M121" s="2" t="s">
        <v>84</v>
      </c>
      <c r="N121" s="2" t="s">
        <v>84</v>
      </c>
      <c r="O121" s="2" t="s">
        <v>841</v>
      </c>
      <c r="P121" s="2" t="s">
        <v>273</v>
      </c>
    </row>
    <row r="122" spans="1:16" ht="21" customHeight="1" x14ac:dyDescent="0.15">
      <c r="A122" s="10" t="str">
        <f t="shared" si="20"/>
        <v>149_1_1_1_polygon</v>
      </c>
      <c r="B122" s="2">
        <v>149</v>
      </c>
      <c r="C122" s="30" t="str">
        <f>VLOOKUP(B122,gachas!A:C,3)</f>
        <v>山田ピックアップ</v>
      </c>
      <c r="D122" s="21">
        <v>1</v>
      </c>
      <c r="E122" s="2">
        <v>1</v>
      </c>
      <c r="F122" s="2">
        <v>1</v>
      </c>
      <c r="G122" s="3" t="s">
        <v>22</v>
      </c>
      <c r="H122" s="2">
        <v>5</v>
      </c>
      <c r="I122" s="116">
        <v>14901</v>
      </c>
      <c r="J122" s="115" t="s">
        <v>84</v>
      </c>
      <c r="K122" s="2" t="s">
        <v>84</v>
      </c>
      <c r="L122" s="2">
        <v>0</v>
      </c>
      <c r="M122" s="2" t="s">
        <v>84</v>
      </c>
      <c r="N122" s="2" t="s">
        <v>84</v>
      </c>
      <c r="O122" s="2" t="s">
        <v>841</v>
      </c>
      <c r="P122" s="2" t="s">
        <v>142</v>
      </c>
    </row>
    <row r="123" spans="1:16" ht="21" customHeight="1" x14ac:dyDescent="0.15">
      <c r="A123" s="10" t="str">
        <f t="shared" si="20"/>
        <v>149_10_0_10_polygon</v>
      </c>
      <c r="B123" s="2">
        <v>149</v>
      </c>
      <c r="C123" s="30" t="str">
        <f>VLOOKUP(B123,gachas!A:C,3)</f>
        <v>山田ピックアップ</v>
      </c>
      <c r="D123" s="21">
        <v>10</v>
      </c>
      <c r="E123" s="2">
        <v>0</v>
      </c>
      <c r="F123" s="2">
        <v>10</v>
      </c>
      <c r="G123" s="3" t="s">
        <v>22</v>
      </c>
      <c r="H123" s="2">
        <v>50</v>
      </c>
      <c r="I123" s="116">
        <v>14901</v>
      </c>
      <c r="J123" s="112" t="s">
        <v>257</v>
      </c>
      <c r="K123" s="2">
        <v>1491</v>
      </c>
      <c r="L123" s="2">
        <v>1</v>
      </c>
      <c r="M123" s="2" t="s">
        <v>84</v>
      </c>
      <c r="N123" s="2" t="s">
        <v>84</v>
      </c>
      <c r="O123" s="2" t="s">
        <v>841</v>
      </c>
      <c r="P123" s="2" t="s">
        <v>269</v>
      </c>
    </row>
    <row r="124" spans="1:16" ht="21" customHeight="1" x14ac:dyDescent="0.15">
      <c r="A124" s="10" t="str">
        <f t="shared" ref="A124" si="21">B124&amp;"_"&amp;D124&amp;"_"&amp;E124&amp;"_"&amp;F124&amp;"_"&amp;G124</f>
        <v>150_1_1_1_polygon</v>
      </c>
      <c r="B124" s="2">
        <v>150</v>
      </c>
      <c r="C124" s="30" t="str">
        <f>VLOOKUP(B124,gachas!A:C,3)</f>
        <v>100万DL記念</v>
      </c>
      <c r="D124" s="21">
        <v>1</v>
      </c>
      <c r="E124" s="2">
        <v>1</v>
      </c>
      <c r="F124" s="2">
        <v>1</v>
      </c>
      <c r="G124" s="3" t="s">
        <v>22</v>
      </c>
      <c r="H124" s="2">
        <v>5</v>
      </c>
      <c r="I124" s="116">
        <v>15000</v>
      </c>
      <c r="J124" s="115" t="s">
        <v>84</v>
      </c>
      <c r="K124" s="2" t="s">
        <v>84</v>
      </c>
      <c r="L124" s="2">
        <v>0</v>
      </c>
      <c r="M124" s="2" t="s">
        <v>84</v>
      </c>
      <c r="N124" s="2" t="s">
        <v>84</v>
      </c>
      <c r="O124" s="2" t="s">
        <v>841</v>
      </c>
      <c r="P124" s="2" t="s">
        <v>270</v>
      </c>
    </row>
    <row r="125" spans="1:16" ht="21" customHeight="1" x14ac:dyDescent="0.15">
      <c r="A125" s="10" t="str">
        <f t="shared" ref="A125" si="22">B125&amp;"_"&amp;D125&amp;"_"&amp;E125&amp;"_"&amp;F125&amp;"_"&amp;G125</f>
        <v>150_1_0_1_polygon</v>
      </c>
      <c r="B125" s="2">
        <v>150</v>
      </c>
      <c r="C125" s="30" t="str">
        <f>VLOOKUP(B125,gachas!A:C,3)</f>
        <v>100万DL記念</v>
      </c>
      <c r="D125" s="21">
        <v>1</v>
      </c>
      <c r="E125" s="2">
        <v>0</v>
      </c>
      <c r="F125" s="2">
        <v>1</v>
      </c>
      <c r="G125" s="3" t="s">
        <v>22</v>
      </c>
      <c r="H125" s="2">
        <v>5</v>
      </c>
      <c r="I125" s="116">
        <v>15001</v>
      </c>
      <c r="J125" s="115" t="s">
        <v>84</v>
      </c>
      <c r="K125" s="2" t="s">
        <v>84</v>
      </c>
      <c r="L125" s="2">
        <v>0</v>
      </c>
      <c r="M125" s="2" t="s">
        <v>84</v>
      </c>
      <c r="N125" s="2" t="s">
        <v>84</v>
      </c>
      <c r="O125" s="2" t="s">
        <v>841</v>
      </c>
      <c r="P125" s="2" t="s">
        <v>270</v>
      </c>
    </row>
    <row r="126" spans="1:16" ht="21" customHeight="1" x14ac:dyDescent="0.15">
      <c r="A126" s="10" t="str">
        <f t="shared" ref="A126:A128" si="23">B126&amp;"_"&amp;D126&amp;"_"&amp;E126&amp;"_"&amp;F126&amp;"_"&amp;G126</f>
        <v>150_10_0_10_polygon</v>
      </c>
      <c r="B126" s="2">
        <v>150</v>
      </c>
      <c r="C126" s="30" t="str">
        <f>VLOOKUP(B126,gachas!A:C,3)</f>
        <v>100万DL記念</v>
      </c>
      <c r="D126" s="21">
        <v>10</v>
      </c>
      <c r="E126" s="2">
        <v>0</v>
      </c>
      <c r="F126" s="2">
        <v>10</v>
      </c>
      <c r="G126" s="3" t="s">
        <v>22</v>
      </c>
      <c r="H126" s="2">
        <v>50</v>
      </c>
      <c r="I126" s="116">
        <v>15001</v>
      </c>
      <c r="J126" s="112">
        <v>150</v>
      </c>
      <c r="K126" s="2" t="s">
        <v>259</v>
      </c>
      <c r="L126" s="2">
        <v>0</v>
      </c>
      <c r="M126" s="2" t="s">
        <v>84</v>
      </c>
      <c r="N126" s="2" t="s">
        <v>84</v>
      </c>
      <c r="O126" s="2" t="s">
        <v>841</v>
      </c>
      <c r="P126" s="2" t="s">
        <v>258</v>
      </c>
    </row>
    <row r="127" spans="1:16" ht="21" customHeight="1" x14ac:dyDescent="0.15">
      <c r="A127" s="10" t="str">
        <f t="shared" si="23"/>
        <v>151_1_1_1_polygon</v>
      </c>
      <c r="B127" s="2">
        <v>151</v>
      </c>
      <c r="C127" s="30" t="str">
        <f>VLOOKUP(B127,gachas!A:C,3)</f>
        <v>オズ</v>
      </c>
      <c r="D127" s="21">
        <v>1</v>
      </c>
      <c r="E127" s="2">
        <v>1</v>
      </c>
      <c r="F127" s="2">
        <v>1</v>
      </c>
      <c r="G127" s="3" t="s">
        <v>22</v>
      </c>
      <c r="H127" s="2">
        <v>5</v>
      </c>
      <c r="I127" s="116">
        <v>1512</v>
      </c>
      <c r="J127" s="115" t="s">
        <v>84</v>
      </c>
      <c r="K127" s="2" t="s">
        <v>84</v>
      </c>
      <c r="L127" s="2">
        <v>0</v>
      </c>
      <c r="M127" s="2" t="s">
        <v>84</v>
      </c>
      <c r="N127" s="2" t="s">
        <v>84</v>
      </c>
      <c r="O127" s="2" t="s">
        <v>841</v>
      </c>
      <c r="P127" s="2" t="s">
        <v>282</v>
      </c>
    </row>
    <row r="128" spans="1:16" ht="21" customHeight="1" x14ac:dyDescent="0.15">
      <c r="A128" s="10" t="str">
        <f t="shared" si="23"/>
        <v>151_1_0_1_polygon</v>
      </c>
      <c r="B128" s="2">
        <v>151</v>
      </c>
      <c r="C128" s="30" t="str">
        <f>VLOOKUP(B128,gachas!A:C,3)</f>
        <v>オズ</v>
      </c>
      <c r="D128" s="21">
        <v>1</v>
      </c>
      <c r="E128" s="2">
        <v>0</v>
      </c>
      <c r="F128" s="2">
        <v>1</v>
      </c>
      <c r="G128" s="3" t="s">
        <v>286</v>
      </c>
      <c r="H128" s="2">
        <v>5</v>
      </c>
      <c r="I128" s="116">
        <v>1510</v>
      </c>
      <c r="J128" s="115" t="s">
        <v>84</v>
      </c>
      <c r="K128" s="2" t="s">
        <v>84</v>
      </c>
      <c r="L128" s="2">
        <v>0</v>
      </c>
      <c r="M128" s="2" t="s">
        <v>84</v>
      </c>
      <c r="N128" s="2" t="s">
        <v>84</v>
      </c>
      <c r="O128" s="2" t="s">
        <v>841</v>
      </c>
      <c r="P128" s="2" t="s">
        <v>287</v>
      </c>
    </row>
    <row r="129" spans="1:16" ht="21" customHeight="1" x14ac:dyDescent="0.15">
      <c r="A129" s="10" t="str">
        <f t="shared" ref="A129:A131" si="24">B129&amp;"_"&amp;D129&amp;"_"&amp;E129&amp;"_"&amp;F129&amp;"_"&amp;G129</f>
        <v>151_10_0_10_polygon</v>
      </c>
      <c r="B129" s="2">
        <v>151</v>
      </c>
      <c r="C129" s="30" t="str">
        <f>VLOOKUP(B129,gachas!A:C,3)</f>
        <v>オズ</v>
      </c>
      <c r="D129" s="21">
        <v>10</v>
      </c>
      <c r="E129" s="2">
        <v>0</v>
      </c>
      <c r="F129" s="2">
        <v>10</v>
      </c>
      <c r="G129" s="3" t="s">
        <v>22</v>
      </c>
      <c r="H129" s="2">
        <v>50</v>
      </c>
      <c r="I129" s="116">
        <v>1511</v>
      </c>
      <c r="J129" s="112" t="s">
        <v>281</v>
      </c>
      <c r="K129" s="2">
        <v>1511</v>
      </c>
      <c r="L129" s="2">
        <v>1</v>
      </c>
      <c r="M129" s="2" t="s">
        <v>84</v>
      </c>
      <c r="N129" s="2" t="s">
        <v>84</v>
      </c>
      <c r="O129" s="2" t="s">
        <v>841</v>
      </c>
      <c r="P129" s="2" t="s">
        <v>288</v>
      </c>
    </row>
    <row r="130" spans="1:16" ht="21" customHeight="1" x14ac:dyDescent="0.15">
      <c r="A130" s="10" t="str">
        <f t="shared" si="24"/>
        <v>152_1_1_1_polygon</v>
      </c>
      <c r="B130" s="2">
        <v>152</v>
      </c>
      <c r="C130" s="30" t="str">
        <f>VLOOKUP(B130,gachas!A:C,3)</f>
        <v>ウィザードピックアップ</v>
      </c>
      <c r="D130" s="21">
        <v>1</v>
      </c>
      <c r="E130" s="2">
        <v>1</v>
      </c>
      <c r="F130" s="2">
        <v>1</v>
      </c>
      <c r="G130" s="3" t="s">
        <v>22</v>
      </c>
      <c r="H130" s="2">
        <v>5</v>
      </c>
      <c r="I130" s="116">
        <v>1522</v>
      </c>
      <c r="J130" s="115" t="s">
        <v>84</v>
      </c>
      <c r="K130" s="2" t="s">
        <v>84</v>
      </c>
      <c r="L130" s="2">
        <v>0</v>
      </c>
      <c r="M130" s="2" t="s">
        <v>84</v>
      </c>
      <c r="N130" s="2" t="s">
        <v>84</v>
      </c>
      <c r="O130" s="2" t="s">
        <v>841</v>
      </c>
      <c r="P130" s="2" t="s">
        <v>282</v>
      </c>
    </row>
    <row r="131" spans="1:16" ht="21" customHeight="1" x14ac:dyDescent="0.15">
      <c r="A131" s="10" t="str">
        <f t="shared" si="24"/>
        <v>152_1_0_1_polygon</v>
      </c>
      <c r="B131" s="2">
        <v>152</v>
      </c>
      <c r="C131" s="30" t="str">
        <f>VLOOKUP(B131,gachas!A:C,3)</f>
        <v>ウィザードピックアップ</v>
      </c>
      <c r="D131" s="21">
        <v>1</v>
      </c>
      <c r="E131" s="2">
        <v>0</v>
      </c>
      <c r="F131" s="2">
        <v>1</v>
      </c>
      <c r="G131" s="3" t="s">
        <v>22</v>
      </c>
      <c r="H131" s="2">
        <v>5</v>
      </c>
      <c r="I131" s="116">
        <v>1520</v>
      </c>
      <c r="J131" s="115" t="s">
        <v>84</v>
      </c>
      <c r="K131" s="2" t="s">
        <v>84</v>
      </c>
      <c r="L131" s="2">
        <v>0</v>
      </c>
      <c r="M131" s="2" t="s">
        <v>84</v>
      </c>
      <c r="N131" s="2" t="s">
        <v>84</v>
      </c>
      <c r="O131" s="2" t="s">
        <v>841</v>
      </c>
      <c r="P131" s="2" t="s">
        <v>287</v>
      </c>
    </row>
    <row r="132" spans="1:16" ht="21" customHeight="1" x14ac:dyDescent="0.15">
      <c r="A132" s="10" t="str">
        <f t="shared" ref="A132:A134" si="25">B132&amp;"_"&amp;D132&amp;"_"&amp;E132&amp;"_"&amp;F132&amp;"_"&amp;G132</f>
        <v>152_10_0_10_polygon</v>
      </c>
      <c r="B132" s="2">
        <v>152</v>
      </c>
      <c r="C132" s="30" t="str">
        <f>VLOOKUP(B132,gachas!A:C,3)</f>
        <v>ウィザードピックアップ</v>
      </c>
      <c r="D132" s="21">
        <v>10</v>
      </c>
      <c r="E132" s="2">
        <v>0</v>
      </c>
      <c r="F132" s="2">
        <v>10</v>
      </c>
      <c r="G132" s="3" t="s">
        <v>22</v>
      </c>
      <c r="H132" s="2">
        <v>50</v>
      </c>
      <c r="I132" s="116">
        <v>1521</v>
      </c>
      <c r="J132" s="112" t="s">
        <v>285</v>
      </c>
      <c r="K132" s="2">
        <v>1521</v>
      </c>
      <c r="L132" s="2">
        <v>1</v>
      </c>
      <c r="M132" s="2" t="s">
        <v>84</v>
      </c>
      <c r="N132" s="2" t="s">
        <v>84</v>
      </c>
      <c r="O132" s="2" t="s">
        <v>841</v>
      </c>
      <c r="P132" s="2" t="s">
        <v>289</v>
      </c>
    </row>
    <row r="133" spans="1:16" ht="21" customHeight="1" x14ac:dyDescent="0.15">
      <c r="A133" s="10" t="str">
        <f t="shared" si="25"/>
        <v>153_1_1_1_polygon</v>
      </c>
      <c r="B133" s="2">
        <v>153</v>
      </c>
      <c r="C133" s="30" t="s">
        <v>300</v>
      </c>
      <c r="D133" s="21">
        <v>1</v>
      </c>
      <c r="E133" s="2">
        <v>1</v>
      </c>
      <c r="F133" s="2">
        <v>1</v>
      </c>
      <c r="G133" s="3" t="s">
        <v>22</v>
      </c>
      <c r="H133" s="2">
        <v>5</v>
      </c>
      <c r="I133" s="116">
        <v>1531</v>
      </c>
      <c r="J133" s="115" t="s">
        <v>84</v>
      </c>
      <c r="K133" s="2" t="s">
        <v>84</v>
      </c>
      <c r="L133" s="2">
        <v>0</v>
      </c>
      <c r="M133" s="2" t="s">
        <v>84</v>
      </c>
      <c r="N133" s="2" t="s">
        <v>84</v>
      </c>
      <c r="O133" s="2" t="s">
        <v>841</v>
      </c>
      <c r="P133" s="2" t="s">
        <v>293</v>
      </c>
    </row>
    <row r="134" spans="1:16" ht="21" customHeight="1" x14ac:dyDescent="0.15">
      <c r="A134" s="10" t="str">
        <f t="shared" si="25"/>
        <v>153_1_0_1_polygon</v>
      </c>
      <c r="B134" s="2">
        <v>153</v>
      </c>
      <c r="C134" s="30" t="s">
        <v>300</v>
      </c>
      <c r="D134" s="21">
        <v>1</v>
      </c>
      <c r="E134" s="2">
        <v>0</v>
      </c>
      <c r="F134" s="2">
        <v>1</v>
      </c>
      <c r="G134" s="3" t="s">
        <v>22</v>
      </c>
      <c r="H134" s="2">
        <v>5</v>
      </c>
      <c r="I134" s="116">
        <v>1530</v>
      </c>
      <c r="J134" s="115" t="s">
        <v>84</v>
      </c>
      <c r="K134" s="2" t="s">
        <v>84</v>
      </c>
      <c r="L134" s="2">
        <v>0</v>
      </c>
      <c r="M134" s="2" t="s">
        <v>84</v>
      </c>
      <c r="N134" s="2" t="s">
        <v>84</v>
      </c>
      <c r="O134" s="2" t="s">
        <v>841</v>
      </c>
      <c r="P134" s="2" t="s">
        <v>287</v>
      </c>
    </row>
    <row r="135" spans="1:16" ht="21" customHeight="1" x14ac:dyDescent="0.15">
      <c r="A135" s="10" t="str">
        <f t="shared" ref="A135:A137" si="26">B135&amp;"_"&amp;D135&amp;"_"&amp;E135&amp;"_"&amp;F135&amp;"_"&amp;G135</f>
        <v>153_10_0_10_polygon</v>
      </c>
      <c r="B135" s="2">
        <v>153</v>
      </c>
      <c r="C135" s="30" t="s">
        <v>292</v>
      </c>
      <c r="D135" s="21">
        <v>10</v>
      </c>
      <c r="E135" s="2">
        <v>0</v>
      </c>
      <c r="F135" s="2">
        <v>10</v>
      </c>
      <c r="G135" s="3" t="s">
        <v>22</v>
      </c>
      <c r="H135" s="2">
        <v>50</v>
      </c>
      <c r="I135" s="116">
        <v>1531</v>
      </c>
      <c r="J135" s="112" t="s">
        <v>259</v>
      </c>
      <c r="K135" s="2" t="s">
        <v>291</v>
      </c>
      <c r="L135" s="2">
        <v>0</v>
      </c>
      <c r="M135" s="2" t="s">
        <v>84</v>
      </c>
      <c r="N135" s="2" t="s">
        <v>84</v>
      </c>
      <c r="O135" s="2" t="s">
        <v>841</v>
      </c>
      <c r="P135" s="2" t="s">
        <v>294</v>
      </c>
    </row>
    <row r="136" spans="1:16" ht="21" customHeight="1" x14ac:dyDescent="0.15">
      <c r="A136" s="10" t="str">
        <f t="shared" si="26"/>
        <v>154_1_1_1_polygon</v>
      </c>
      <c r="B136" s="2">
        <v>154</v>
      </c>
      <c r="C136" s="30" t="s">
        <v>301</v>
      </c>
      <c r="D136" s="21">
        <v>1</v>
      </c>
      <c r="E136" s="2">
        <v>1</v>
      </c>
      <c r="F136" s="2">
        <v>1</v>
      </c>
      <c r="G136" s="3" t="s">
        <v>22</v>
      </c>
      <c r="H136" s="2">
        <v>5</v>
      </c>
      <c r="I136" s="116">
        <v>1540</v>
      </c>
      <c r="J136" s="115" t="s">
        <v>84</v>
      </c>
      <c r="K136" s="2" t="s">
        <v>84</v>
      </c>
      <c r="L136" s="2">
        <v>0</v>
      </c>
      <c r="M136" s="2" t="s">
        <v>84</v>
      </c>
      <c r="N136" s="2" t="s">
        <v>84</v>
      </c>
      <c r="O136" s="2" t="s">
        <v>841</v>
      </c>
      <c r="P136" s="2" t="s">
        <v>293</v>
      </c>
    </row>
    <row r="137" spans="1:16" ht="21" customHeight="1" x14ac:dyDescent="0.15">
      <c r="A137" s="10" t="str">
        <f t="shared" si="26"/>
        <v>154_1_0_1_polygon</v>
      </c>
      <c r="B137" s="2">
        <v>154</v>
      </c>
      <c r="C137" s="30" t="s">
        <v>301</v>
      </c>
      <c r="D137" s="21">
        <v>1</v>
      </c>
      <c r="E137" s="2">
        <v>0</v>
      </c>
      <c r="F137" s="2">
        <v>1</v>
      </c>
      <c r="G137" s="3" t="s">
        <v>22</v>
      </c>
      <c r="H137" s="2">
        <v>5</v>
      </c>
      <c r="I137" s="116">
        <v>1541</v>
      </c>
      <c r="J137" s="115" t="s">
        <v>84</v>
      </c>
      <c r="K137" s="2" t="s">
        <v>84</v>
      </c>
      <c r="L137" s="2">
        <v>0</v>
      </c>
      <c r="M137" s="2" t="s">
        <v>84</v>
      </c>
      <c r="N137" s="2" t="s">
        <v>84</v>
      </c>
      <c r="O137" s="2" t="s">
        <v>841</v>
      </c>
      <c r="P137" s="2" t="s">
        <v>116</v>
      </c>
    </row>
    <row r="138" spans="1:16" ht="21" customHeight="1" x14ac:dyDescent="0.15">
      <c r="A138" s="10" t="str">
        <f t="shared" ref="A138:A140" si="27">B138&amp;"_"&amp;D138&amp;"_"&amp;E138&amp;"_"&amp;F138&amp;"_"&amp;G138</f>
        <v>154_10_0_10_polygon</v>
      </c>
      <c r="B138" s="2">
        <v>154</v>
      </c>
      <c r="C138" s="30" t="s">
        <v>301</v>
      </c>
      <c r="D138" s="21">
        <v>10</v>
      </c>
      <c r="E138" s="2">
        <v>0</v>
      </c>
      <c r="F138" s="2">
        <v>10</v>
      </c>
      <c r="G138" s="3" t="s">
        <v>22</v>
      </c>
      <c r="H138" s="2">
        <v>50</v>
      </c>
      <c r="I138" s="116">
        <v>1540</v>
      </c>
      <c r="J138" s="112" t="s">
        <v>259</v>
      </c>
      <c r="K138" s="2">
        <v>1543</v>
      </c>
      <c r="L138" s="2">
        <v>1</v>
      </c>
      <c r="M138" s="2" t="s">
        <v>84</v>
      </c>
      <c r="N138" s="2" t="s">
        <v>84</v>
      </c>
      <c r="O138" s="2" t="s">
        <v>841</v>
      </c>
      <c r="P138" s="2" t="s">
        <v>1429</v>
      </c>
    </row>
    <row r="139" spans="1:16" ht="21" customHeight="1" x14ac:dyDescent="0.15">
      <c r="A139" s="10" t="str">
        <f t="shared" si="27"/>
        <v>155_1_1_1_polygon</v>
      </c>
      <c r="B139" s="2">
        <v>155</v>
      </c>
      <c r="C139" s="30" t="s">
        <v>303</v>
      </c>
      <c r="D139" s="21">
        <v>1</v>
      </c>
      <c r="E139" s="2">
        <v>1</v>
      </c>
      <c r="F139" s="2">
        <v>1</v>
      </c>
      <c r="G139" s="3" t="s">
        <v>22</v>
      </c>
      <c r="H139" s="2">
        <v>5</v>
      </c>
      <c r="I139" s="116">
        <v>1550</v>
      </c>
      <c r="J139" s="115" t="s">
        <v>84</v>
      </c>
      <c r="K139" s="2" t="s">
        <v>84</v>
      </c>
      <c r="L139" s="2">
        <v>0</v>
      </c>
      <c r="M139" s="2" t="s">
        <v>84</v>
      </c>
      <c r="N139" s="2" t="s">
        <v>84</v>
      </c>
      <c r="O139" s="2" t="s">
        <v>841</v>
      </c>
      <c r="P139" s="2" t="s">
        <v>142</v>
      </c>
    </row>
    <row r="140" spans="1:16" ht="21" customHeight="1" x14ac:dyDescent="0.15">
      <c r="A140" s="10" t="str">
        <f t="shared" si="27"/>
        <v>155_1_0_1_polygon</v>
      </c>
      <c r="B140" s="2">
        <v>155</v>
      </c>
      <c r="C140" s="30" t="s">
        <v>303</v>
      </c>
      <c r="D140" s="21">
        <v>1</v>
      </c>
      <c r="E140" s="2">
        <v>0</v>
      </c>
      <c r="F140" s="2">
        <v>1</v>
      </c>
      <c r="G140" s="3" t="s">
        <v>22</v>
      </c>
      <c r="H140" s="2">
        <v>5</v>
      </c>
      <c r="I140" s="116">
        <v>1551</v>
      </c>
      <c r="J140" s="115" t="s">
        <v>84</v>
      </c>
      <c r="K140" s="2" t="s">
        <v>84</v>
      </c>
      <c r="L140" s="2">
        <v>0</v>
      </c>
      <c r="M140" s="2" t="s">
        <v>84</v>
      </c>
      <c r="N140" s="2" t="s">
        <v>84</v>
      </c>
      <c r="O140" s="2" t="s">
        <v>841</v>
      </c>
      <c r="P140" s="2" t="s">
        <v>116</v>
      </c>
    </row>
    <row r="141" spans="1:16" ht="21" customHeight="1" x14ac:dyDescent="0.15">
      <c r="A141" s="10" t="str">
        <f t="shared" ref="A141:A155" si="28">B141&amp;"_"&amp;D141&amp;"_"&amp;E141&amp;"_"&amp;F141&amp;"_"&amp;G141</f>
        <v>155_10_0_10_polygon</v>
      </c>
      <c r="B141" s="2">
        <v>155</v>
      </c>
      <c r="C141" s="30" t="s">
        <v>303</v>
      </c>
      <c r="D141" s="21">
        <v>10</v>
      </c>
      <c r="E141" s="2">
        <v>0</v>
      </c>
      <c r="F141" s="2">
        <v>10</v>
      </c>
      <c r="G141" s="3" t="s">
        <v>22</v>
      </c>
      <c r="H141" s="2">
        <v>50</v>
      </c>
      <c r="I141" s="116">
        <v>1550</v>
      </c>
      <c r="J141" s="112" t="s">
        <v>259</v>
      </c>
      <c r="K141" s="2">
        <v>1553</v>
      </c>
      <c r="L141" s="2">
        <v>1</v>
      </c>
      <c r="M141" s="2" t="s">
        <v>84</v>
      </c>
      <c r="N141" s="2" t="s">
        <v>84</v>
      </c>
      <c r="O141" s="2" t="s">
        <v>841</v>
      </c>
      <c r="P141" s="2" t="s">
        <v>307</v>
      </c>
    </row>
    <row r="142" spans="1:16" ht="21" customHeight="1" x14ac:dyDescent="0.15">
      <c r="A142" s="10" t="str">
        <f t="shared" ref="A142:A153" si="29">B142&amp;"_"&amp;D142&amp;"_"&amp;E142&amp;"_"&amp;F142&amp;"_"&amp;G142</f>
        <v>156_1_1_1_polygon</v>
      </c>
      <c r="B142" s="2">
        <v>156</v>
      </c>
      <c r="C142" s="30" t="s">
        <v>309</v>
      </c>
      <c r="D142" s="21">
        <v>1</v>
      </c>
      <c r="E142" s="2">
        <v>1</v>
      </c>
      <c r="F142" s="2">
        <v>1</v>
      </c>
      <c r="G142" s="3" t="s">
        <v>22</v>
      </c>
      <c r="H142" s="2">
        <v>5</v>
      </c>
      <c r="I142" s="116">
        <v>1560</v>
      </c>
      <c r="J142" s="115" t="s">
        <v>84</v>
      </c>
      <c r="K142" s="2" t="s">
        <v>84</v>
      </c>
      <c r="L142" s="2">
        <v>0</v>
      </c>
      <c r="M142" s="2" t="s">
        <v>84</v>
      </c>
      <c r="N142" s="2" t="s">
        <v>84</v>
      </c>
      <c r="O142" s="2" t="s">
        <v>841</v>
      </c>
      <c r="P142" s="2" t="s">
        <v>142</v>
      </c>
    </row>
    <row r="143" spans="1:16" ht="21" customHeight="1" x14ac:dyDescent="0.15">
      <c r="A143" s="10" t="str">
        <f t="shared" si="29"/>
        <v>156_1_0_1_polygon</v>
      </c>
      <c r="B143" s="2">
        <v>156</v>
      </c>
      <c r="C143" s="30" t="s">
        <v>309</v>
      </c>
      <c r="D143" s="21">
        <v>1</v>
      </c>
      <c r="E143" s="2">
        <v>0</v>
      </c>
      <c r="F143" s="2">
        <v>1</v>
      </c>
      <c r="G143" s="3" t="s">
        <v>22</v>
      </c>
      <c r="H143" s="2">
        <v>5</v>
      </c>
      <c r="I143" s="116">
        <v>1561</v>
      </c>
      <c r="J143" s="115" t="s">
        <v>84</v>
      </c>
      <c r="K143" s="2" t="s">
        <v>84</v>
      </c>
      <c r="L143" s="2">
        <v>0</v>
      </c>
      <c r="M143" s="2" t="s">
        <v>84</v>
      </c>
      <c r="N143" s="2" t="s">
        <v>84</v>
      </c>
      <c r="O143" s="2" t="s">
        <v>841</v>
      </c>
      <c r="P143" s="2" t="s">
        <v>116</v>
      </c>
    </row>
    <row r="144" spans="1:16" ht="21" customHeight="1" x14ac:dyDescent="0.15">
      <c r="A144" s="10" t="str">
        <f t="shared" si="29"/>
        <v>156_10_0_10_polygon</v>
      </c>
      <c r="B144" s="2">
        <v>156</v>
      </c>
      <c r="C144" s="30" t="s">
        <v>309</v>
      </c>
      <c r="D144" s="21">
        <v>10</v>
      </c>
      <c r="E144" s="2">
        <v>0</v>
      </c>
      <c r="F144" s="2">
        <v>10</v>
      </c>
      <c r="G144" s="3" t="s">
        <v>22</v>
      </c>
      <c r="H144" s="2">
        <v>50</v>
      </c>
      <c r="I144" s="116">
        <v>1560</v>
      </c>
      <c r="J144" s="112" t="s">
        <v>259</v>
      </c>
      <c r="K144" s="2">
        <v>1563</v>
      </c>
      <c r="L144" s="2">
        <v>1</v>
      </c>
      <c r="M144" s="2" t="s">
        <v>84</v>
      </c>
      <c r="N144" s="2" t="s">
        <v>84</v>
      </c>
      <c r="O144" s="2" t="s">
        <v>841</v>
      </c>
      <c r="P144" s="2" t="s">
        <v>313</v>
      </c>
    </row>
    <row r="145" spans="1:16" ht="21" customHeight="1" x14ac:dyDescent="0.15">
      <c r="A145" s="10" t="str">
        <f t="shared" si="29"/>
        <v>157_1_1_1_polygon</v>
      </c>
      <c r="B145" s="2">
        <v>157</v>
      </c>
      <c r="C145" s="30" t="s">
        <v>315</v>
      </c>
      <c r="D145" s="21">
        <v>1</v>
      </c>
      <c r="E145" s="2">
        <v>1</v>
      </c>
      <c r="F145" s="2">
        <v>1</v>
      </c>
      <c r="G145" s="3" t="s">
        <v>22</v>
      </c>
      <c r="H145" s="2">
        <v>5</v>
      </c>
      <c r="I145" s="116">
        <v>1570</v>
      </c>
      <c r="J145" s="115" t="s">
        <v>84</v>
      </c>
      <c r="K145" s="2" t="s">
        <v>84</v>
      </c>
      <c r="L145" s="2">
        <v>0</v>
      </c>
      <c r="M145" s="2" t="s">
        <v>84</v>
      </c>
      <c r="N145" s="2" t="s">
        <v>84</v>
      </c>
      <c r="O145" s="2" t="s">
        <v>841</v>
      </c>
      <c r="P145" s="2" t="s">
        <v>142</v>
      </c>
    </row>
    <row r="146" spans="1:16" ht="21" customHeight="1" x14ac:dyDescent="0.15">
      <c r="A146" s="10" t="str">
        <f t="shared" si="29"/>
        <v>157_1_0_1_polygon</v>
      </c>
      <c r="B146" s="2">
        <v>157</v>
      </c>
      <c r="C146" s="30" t="s">
        <v>315</v>
      </c>
      <c r="D146" s="21">
        <v>1</v>
      </c>
      <c r="E146" s="2">
        <v>0</v>
      </c>
      <c r="F146" s="2">
        <v>1</v>
      </c>
      <c r="G146" s="3" t="s">
        <v>22</v>
      </c>
      <c r="H146" s="2">
        <v>5</v>
      </c>
      <c r="I146" s="116">
        <v>1571</v>
      </c>
      <c r="J146" s="115" t="s">
        <v>84</v>
      </c>
      <c r="K146" s="2" t="s">
        <v>84</v>
      </c>
      <c r="L146" s="2">
        <v>0</v>
      </c>
      <c r="M146" s="2" t="s">
        <v>84</v>
      </c>
      <c r="N146" s="2" t="s">
        <v>84</v>
      </c>
      <c r="O146" s="2" t="s">
        <v>841</v>
      </c>
      <c r="P146" s="2" t="s">
        <v>84</v>
      </c>
    </row>
    <row r="147" spans="1:16" ht="21" customHeight="1" x14ac:dyDescent="0.15">
      <c r="A147" s="10" t="str">
        <f t="shared" si="29"/>
        <v>157_10_0_10_polygon</v>
      </c>
      <c r="B147" s="2">
        <v>157</v>
      </c>
      <c r="C147" s="30" t="s">
        <v>315</v>
      </c>
      <c r="D147" s="21">
        <v>10</v>
      </c>
      <c r="E147" s="2">
        <v>0</v>
      </c>
      <c r="F147" s="2">
        <v>10</v>
      </c>
      <c r="G147" s="3" t="s">
        <v>22</v>
      </c>
      <c r="H147" s="2">
        <v>50</v>
      </c>
      <c r="I147" s="116">
        <v>1570</v>
      </c>
      <c r="J147" s="112" t="s">
        <v>84</v>
      </c>
      <c r="K147" s="2">
        <v>1573</v>
      </c>
      <c r="L147" s="2">
        <v>1</v>
      </c>
      <c r="M147" s="2" t="s">
        <v>84</v>
      </c>
      <c r="N147" s="2" t="s">
        <v>84</v>
      </c>
      <c r="O147" s="2" t="s">
        <v>841</v>
      </c>
      <c r="P147" s="2" t="s">
        <v>319</v>
      </c>
    </row>
    <row r="148" spans="1:16" ht="21" customHeight="1" x14ac:dyDescent="0.15">
      <c r="A148" s="10" t="str">
        <f t="shared" si="29"/>
        <v>158_1_1_1_polygon</v>
      </c>
      <c r="B148" s="2">
        <v>158</v>
      </c>
      <c r="C148" s="30" t="s">
        <v>320</v>
      </c>
      <c r="D148" s="21">
        <v>1</v>
      </c>
      <c r="E148" s="2">
        <v>1</v>
      </c>
      <c r="F148" s="2">
        <v>1</v>
      </c>
      <c r="G148" s="3" t="s">
        <v>22</v>
      </c>
      <c r="H148" s="2">
        <v>5</v>
      </c>
      <c r="I148" s="116">
        <v>1580</v>
      </c>
      <c r="J148" s="115" t="s">
        <v>84</v>
      </c>
      <c r="K148" s="2" t="s">
        <v>84</v>
      </c>
      <c r="L148" s="2">
        <v>0</v>
      </c>
      <c r="M148" s="2" t="s">
        <v>84</v>
      </c>
      <c r="N148" s="2" t="s">
        <v>84</v>
      </c>
      <c r="O148" s="2" t="s">
        <v>841</v>
      </c>
      <c r="P148" s="2" t="s">
        <v>142</v>
      </c>
    </row>
    <row r="149" spans="1:16" ht="21" customHeight="1" x14ac:dyDescent="0.15">
      <c r="A149" s="10" t="str">
        <f t="shared" si="29"/>
        <v>158_1_0_1_polygon</v>
      </c>
      <c r="B149" s="2">
        <v>158</v>
      </c>
      <c r="C149" s="30" t="s">
        <v>320</v>
      </c>
      <c r="D149" s="21">
        <v>1</v>
      </c>
      <c r="E149" s="2">
        <v>0</v>
      </c>
      <c r="F149" s="2">
        <v>1</v>
      </c>
      <c r="G149" s="3" t="s">
        <v>22</v>
      </c>
      <c r="H149" s="2">
        <v>5</v>
      </c>
      <c r="I149" s="116">
        <v>1581</v>
      </c>
      <c r="J149" s="115" t="s">
        <v>84</v>
      </c>
      <c r="K149" s="2" t="s">
        <v>84</v>
      </c>
      <c r="L149" s="2">
        <v>0</v>
      </c>
      <c r="M149" s="2" t="s">
        <v>84</v>
      </c>
      <c r="N149" s="2" t="s">
        <v>84</v>
      </c>
      <c r="O149" s="2" t="s">
        <v>841</v>
      </c>
      <c r="P149" s="2" t="s">
        <v>85</v>
      </c>
    </row>
    <row r="150" spans="1:16" ht="21" customHeight="1" x14ac:dyDescent="0.15">
      <c r="A150" s="10" t="str">
        <f t="shared" si="29"/>
        <v>158_10_0_10_polygon</v>
      </c>
      <c r="B150" s="2">
        <v>158</v>
      </c>
      <c r="C150" s="30" t="s">
        <v>320</v>
      </c>
      <c r="D150" s="21">
        <v>10</v>
      </c>
      <c r="E150" s="2">
        <v>0</v>
      </c>
      <c r="F150" s="2">
        <v>10</v>
      </c>
      <c r="G150" s="3" t="s">
        <v>22</v>
      </c>
      <c r="H150" s="2">
        <v>50</v>
      </c>
      <c r="I150" s="116">
        <v>1580</v>
      </c>
      <c r="J150" s="112" t="s">
        <v>259</v>
      </c>
      <c r="K150" s="2">
        <v>1583</v>
      </c>
      <c r="L150" s="2">
        <v>1</v>
      </c>
      <c r="M150" s="2" t="s">
        <v>84</v>
      </c>
      <c r="N150" s="2" t="s">
        <v>84</v>
      </c>
      <c r="O150" s="2" t="s">
        <v>841</v>
      </c>
      <c r="P150" s="2" t="s">
        <v>331</v>
      </c>
    </row>
    <row r="151" spans="1:16" ht="21" customHeight="1" x14ac:dyDescent="0.15">
      <c r="A151" s="10" t="str">
        <f t="shared" si="29"/>
        <v>159_1_1_1_polygon</v>
      </c>
      <c r="B151" s="2">
        <v>159</v>
      </c>
      <c r="C151" s="30" t="s">
        <v>330</v>
      </c>
      <c r="D151" s="21">
        <v>1</v>
      </c>
      <c r="E151" s="2">
        <v>1</v>
      </c>
      <c r="F151" s="2">
        <v>1</v>
      </c>
      <c r="G151" s="3" t="s">
        <v>22</v>
      </c>
      <c r="H151" s="2">
        <v>5</v>
      </c>
      <c r="I151" s="116">
        <v>1590</v>
      </c>
      <c r="J151" s="115" t="s">
        <v>84</v>
      </c>
      <c r="K151" s="2" t="s">
        <v>84</v>
      </c>
      <c r="L151" s="2">
        <v>0</v>
      </c>
      <c r="M151" s="2" t="s">
        <v>84</v>
      </c>
      <c r="N151" s="2" t="s">
        <v>84</v>
      </c>
      <c r="O151" s="2" t="s">
        <v>841</v>
      </c>
      <c r="P151" s="2" t="s">
        <v>142</v>
      </c>
    </row>
    <row r="152" spans="1:16" ht="21" customHeight="1" x14ac:dyDescent="0.15">
      <c r="A152" s="10" t="str">
        <f t="shared" si="29"/>
        <v>159_1_0_1_polygon</v>
      </c>
      <c r="B152" s="2">
        <v>159</v>
      </c>
      <c r="C152" s="30" t="s">
        <v>330</v>
      </c>
      <c r="D152" s="21">
        <v>1</v>
      </c>
      <c r="E152" s="2">
        <v>0</v>
      </c>
      <c r="F152" s="2">
        <v>1</v>
      </c>
      <c r="G152" s="3" t="s">
        <v>22</v>
      </c>
      <c r="H152" s="2">
        <v>5</v>
      </c>
      <c r="I152" s="116">
        <v>1591</v>
      </c>
      <c r="J152" s="115" t="s">
        <v>84</v>
      </c>
      <c r="K152" s="2" t="s">
        <v>84</v>
      </c>
      <c r="L152" s="2">
        <v>0</v>
      </c>
      <c r="M152" s="2" t="s">
        <v>84</v>
      </c>
      <c r="N152" s="2" t="s">
        <v>84</v>
      </c>
      <c r="O152" s="2" t="s">
        <v>841</v>
      </c>
      <c r="P152" s="2" t="s">
        <v>84</v>
      </c>
    </row>
    <row r="153" spans="1:16" ht="21" customHeight="1" x14ac:dyDescent="0.15">
      <c r="A153" s="10" t="str">
        <f t="shared" si="29"/>
        <v>159_10_0_10_polygon</v>
      </c>
      <c r="B153" s="2">
        <v>159</v>
      </c>
      <c r="C153" s="30" t="s">
        <v>330</v>
      </c>
      <c r="D153" s="21">
        <v>10</v>
      </c>
      <c r="E153" s="2">
        <v>0</v>
      </c>
      <c r="F153" s="2">
        <v>10</v>
      </c>
      <c r="G153" s="3" t="s">
        <v>22</v>
      </c>
      <c r="H153" s="2">
        <v>50</v>
      </c>
      <c r="I153" s="116">
        <v>1590</v>
      </c>
      <c r="J153" s="112" t="s">
        <v>84</v>
      </c>
      <c r="K153" s="2">
        <v>1593</v>
      </c>
      <c r="L153" s="2">
        <v>1</v>
      </c>
      <c r="M153" s="2" t="s">
        <v>84</v>
      </c>
      <c r="N153" s="2" t="s">
        <v>84</v>
      </c>
      <c r="O153" s="2" t="s">
        <v>841</v>
      </c>
      <c r="P153" s="2" t="s">
        <v>1430</v>
      </c>
    </row>
    <row r="154" spans="1:16" ht="21" customHeight="1" x14ac:dyDescent="0.15">
      <c r="A154" s="10" t="str">
        <f t="shared" si="28"/>
        <v>160_1_1_1_polygon</v>
      </c>
      <c r="B154" s="2">
        <v>160</v>
      </c>
      <c r="C154" s="30" t="s">
        <v>323</v>
      </c>
      <c r="D154" s="21">
        <v>1</v>
      </c>
      <c r="E154" s="2">
        <v>1</v>
      </c>
      <c r="F154" s="2">
        <v>1</v>
      </c>
      <c r="G154" s="3" t="s">
        <v>22</v>
      </c>
      <c r="H154" s="2">
        <v>5</v>
      </c>
      <c r="I154" s="116">
        <v>1600</v>
      </c>
      <c r="J154" s="115" t="s">
        <v>84</v>
      </c>
      <c r="K154" s="2" t="s">
        <v>84</v>
      </c>
      <c r="L154" s="2">
        <v>0</v>
      </c>
      <c r="M154" s="2" t="s">
        <v>84</v>
      </c>
      <c r="N154" s="2" t="s">
        <v>84</v>
      </c>
      <c r="O154" s="2" t="s">
        <v>841</v>
      </c>
      <c r="P154" s="2" t="s">
        <v>142</v>
      </c>
    </row>
    <row r="155" spans="1:16" ht="21" customHeight="1" x14ac:dyDescent="0.15">
      <c r="A155" s="10" t="str">
        <f t="shared" si="28"/>
        <v>160_1_0_1_polygon</v>
      </c>
      <c r="B155" s="2">
        <v>160</v>
      </c>
      <c r="C155" s="30" t="s">
        <v>323</v>
      </c>
      <c r="D155" s="21">
        <v>1</v>
      </c>
      <c r="E155" s="2">
        <v>0</v>
      </c>
      <c r="F155" s="2">
        <v>1</v>
      </c>
      <c r="G155" s="3" t="s">
        <v>22</v>
      </c>
      <c r="H155" s="2">
        <v>5</v>
      </c>
      <c r="I155" s="116">
        <v>1601</v>
      </c>
      <c r="J155" s="115" t="s">
        <v>84</v>
      </c>
      <c r="K155" s="2" t="s">
        <v>84</v>
      </c>
      <c r="L155" s="2">
        <v>0</v>
      </c>
      <c r="M155" s="2" t="s">
        <v>84</v>
      </c>
      <c r="N155" s="2" t="s">
        <v>84</v>
      </c>
      <c r="O155" s="2" t="s">
        <v>841</v>
      </c>
      <c r="P155" s="2" t="s">
        <v>116</v>
      </c>
    </row>
    <row r="156" spans="1:16" ht="21" customHeight="1" x14ac:dyDescent="0.15">
      <c r="A156" s="10" t="str">
        <f t="shared" ref="A156:A158" si="30">B156&amp;"_"&amp;D156&amp;"_"&amp;E156&amp;"_"&amp;F156&amp;"_"&amp;G156</f>
        <v>160_10_0_10_polygon</v>
      </c>
      <c r="B156" s="2">
        <v>160</v>
      </c>
      <c r="C156" s="30" t="s">
        <v>323</v>
      </c>
      <c r="D156" s="21">
        <v>10</v>
      </c>
      <c r="E156" s="2">
        <v>0</v>
      </c>
      <c r="F156" s="2">
        <v>10</v>
      </c>
      <c r="G156" s="3" t="s">
        <v>22</v>
      </c>
      <c r="H156" s="2">
        <v>50</v>
      </c>
      <c r="I156" s="116">
        <v>1600</v>
      </c>
      <c r="J156" s="112" t="s">
        <v>259</v>
      </c>
      <c r="K156" s="2">
        <v>1603</v>
      </c>
      <c r="L156" s="2">
        <v>1</v>
      </c>
      <c r="M156" s="2" t="s">
        <v>84</v>
      </c>
      <c r="N156" s="2" t="s">
        <v>84</v>
      </c>
      <c r="O156" s="2" t="s">
        <v>841</v>
      </c>
      <c r="P156" s="2" t="s">
        <v>332</v>
      </c>
    </row>
    <row r="157" spans="1:16" ht="21" customHeight="1" x14ac:dyDescent="0.15">
      <c r="A157" s="10" t="str">
        <f t="shared" si="30"/>
        <v>161_1_1_1_polygon</v>
      </c>
      <c r="B157" s="2">
        <v>161</v>
      </c>
      <c r="C157" s="30" t="s">
        <v>341</v>
      </c>
      <c r="D157" s="21">
        <v>1</v>
      </c>
      <c r="E157" s="2">
        <v>1</v>
      </c>
      <c r="F157" s="2">
        <v>1</v>
      </c>
      <c r="G157" s="3" t="s">
        <v>22</v>
      </c>
      <c r="H157" s="2">
        <v>5</v>
      </c>
      <c r="I157" s="116">
        <v>1610</v>
      </c>
      <c r="J157" s="115" t="s">
        <v>84</v>
      </c>
      <c r="K157" s="2" t="s">
        <v>84</v>
      </c>
      <c r="L157" s="2">
        <v>0</v>
      </c>
      <c r="M157" s="2" t="s">
        <v>84</v>
      </c>
      <c r="N157" s="2" t="s">
        <v>84</v>
      </c>
      <c r="O157" s="2" t="s">
        <v>841</v>
      </c>
      <c r="P157" s="2" t="s">
        <v>142</v>
      </c>
    </row>
    <row r="158" spans="1:16" ht="21" customHeight="1" x14ac:dyDescent="0.15">
      <c r="A158" s="10" t="str">
        <f t="shared" si="30"/>
        <v>161_1_0_1_polygon</v>
      </c>
      <c r="B158" s="2">
        <v>161</v>
      </c>
      <c r="C158" s="30" t="s">
        <v>341</v>
      </c>
      <c r="D158" s="21">
        <v>1</v>
      </c>
      <c r="E158" s="2">
        <v>0</v>
      </c>
      <c r="F158" s="2">
        <v>1</v>
      </c>
      <c r="G158" s="3" t="s">
        <v>22</v>
      </c>
      <c r="H158" s="2">
        <v>5</v>
      </c>
      <c r="I158" s="116">
        <v>1611</v>
      </c>
      <c r="J158" s="115" t="s">
        <v>84</v>
      </c>
      <c r="K158" s="2" t="s">
        <v>84</v>
      </c>
      <c r="L158" s="2">
        <v>0</v>
      </c>
      <c r="M158" s="2" t="s">
        <v>84</v>
      </c>
      <c r="N158" s="2" t="s">
        <v>84</v>
      </c>
      <c r="O158" s="2" t="s">
        <v>841</v>
      </c>
      <c r="P158" s="2" t="s">
        <v>116</v>
      </c>
    </row>
    <row r="159" spans="1:16" ht="21" customHeight="1" x14ac:dyDescent="0.15">
      <c r="A159" s="10" t="str">
        <f t="shared" ref="A159:A161" si="31">B159&amp;"_"&amp;D159&amp;"_"&amp;E159&amp;"_"&amp;F159&amp;"_"&amp;G159</f>
        <v>161_10_0_10_polygon</v>
      </c>
      <c r="B159" s="2">
        <v>161</v>
      </c>
      <c r="C159" s="30" t="s">
        <v>341</v>
      </c>
      <c r="D159" s="21">
        <v>10</v>
      </c>
      <c r="E159" s="2">
        <v>0</v>
      </c>
      <c r="F159" s="2">
        <v>10</v>
      </c>
      <c r="G159" s="3" t="s">
        <v>22</v>
      </c>
      <c r="H159" s="2">
        <v>50</v>
      </c>
      <c r="I159" s="116">
        <v>1610</v>
      </c>
      <c r="J159" s="112">
        <v>161</v>
      </c>
      <c r="K159" s="2">
        <v>1613</v>
      </c>
      <c r="L159" s="2">
        <v>1</v>
      </c>
      <c r="M159" s="2" t="s">
        <v>84</v>
      </c>
      <c r="N159" s="2" t="s">
        <v>84</v>
      </c>
      <c r="O159" s="2" t="s">
        <v>841</v>
      </c>
      <c r="P159" s="2" t="s">
        <v>342</v>
      </c>
    </row>
    <row r="160" spans="1:16" ht="21" customHeight="1" x14ac:dyDescent="0.15">
      <c r="A160" s="10" t="str">
        <f t="shared" si="31"/>
        <v>162_1_1_1_polygon</v>
      </c>
      <c r="B160" s="2">
        <v>162</v>
      </c>
      <c r="C160" s="30" t="s">
        <v>343</v>
      </c>
      <c r="D160" s="21">
        <v>1</v>
      </c>
      <c r="E160" s="2">
        <v>1</v>
      </c>
      <c r="F160" s="2">
        <v>1</v>
      </c>
      <c r="G160" s="3" t="s">
        <v>22</v>
      </c>
      <c r="H160" s="2">
        <v>5</v>
      </c>
      <c r="I160" s="116">
        <v>1620</v>
      </c>
      <c r="J160" s="115" t="s">
        <v>84</v>
      </c>
      <c r="K160" s="2" t="s">
        <v>84</v>
      </c>
      <c r="L160" s="2">
        <v>0</v>
      </c>
      <c r="M160" s="2" t="s">
        <v>84</v>
      </c>
      <c r="N160" s="2" t="s">
        <v>84</v>
      </c>
      <c r="O160" s="2" t="s">
        <v>841</v>
      </c>
      <c r="P160" s="2" t="s">
        <v>142</v>
      </c>
    </row>
    <row r="161" spans="1:16" ht="21" customHeight="1" x14ac:dyDescent="0.15">
      <c r="A161" s="10" t="str">
        <f t="shared" si="31"/>
        <v>162_1_0_1_polygon</v>
      </c>
      <c r="B161" s="2">
        <v>162</v>
      </c>
      <c r="C161" s="30" t="s">
        <v>343</v>
      </c>
      <c r="D161" s="21">
        <v>1</v>
      </c>
      <c r="E161" s="2">
        <v>0</v>
      </c>
      <c r="F161" s="2">
        <v>1</v>
      </c>
      <c r="G161" s="3" t="s">
        <v>22</v>
      </c>
      <c r="H161" s="2">
        <v>5</v>
      </c>
      <c r="I161" s="116">
        <v>1621</v>
      </c>
      <c r="J161" s="115" t="s">
        <v>84</v>
      </c>
      <c r="K161" s="2" t="s">
        <v>84</v>
      </c>
      <c r="L161" s="2">
        <v>0</v>
      </c>
      <c r="M161" s="2" t="s">
        <v>84</v>
      </c>
      <c r="N161" s="2" t="s">
        <v>84</v>
      </c>
      <c r="O161" s="2" t="s">
        <v>841</v>
      </c>
      <c r="P161" s="2" t="s">
        <v>84</v>
      </c>
    </row>
    <row r="162" spans="1:16" ht="21" customHeight="1" x14ac:dyDescent="0.15">
      <c r="A162" s="10" t="str">
        <f t="shared" ref="A162:A164" si="32">B162&amp;"_"&amp;D162&amp;"_"&amp;E162&amp;"_"&amp;F162&amp;"_"&amp;G162</f>
        <v>162_10_0_10_polygon</v>
      </c>
      <c r="B162" s="2">
        <v>162</v>
      </c>
      <c r="C162" s="30" t="s">
        <v>343</v>
      </c>
      <c r="D162" s="21">
        <v>10</v>
      </c>
      <c r="E162" s="2">
        <v>0</v>
      </c>
      <c r="F162" s="2">
        <v>10</v>
      </c>
      <c r="G162" s="3" t="s">
        <v>22</v>
      </c>
      <c r="H162" s="2">
        <v>50</v>
      </c>
      <c r="I162" s="116">
        <v>1620</v>
      </c>
      <c r="J162" s="112" t="s">
        <v>345</v>
      </c>
      <c r="K162" s="2">
        <v>1623</v>
      </c>
      <c r="L162" s="2">
        <v>1</v>
      </c>
      <c r="M162" s="2" t="s">
        <v>84</v>
      </c>
      <c r="N162" s="2" t="s">
        <v>84</v>
      </c>
      <c r="O162" s="2" t="s">
        <v>841</v>
      </c>
      <c r="P162" s="2" t="s">
        <v>496</v>
      </c>
    </row>
    <row r="163" spans="1:16" ht="21" customHeight="1" x14ac:dyDescent="0.15">
      <c r="A163" s="10" t="str">
        <f t="shared" si="32"/>
        <v>163_1_1_1_polygon</v>
      </c>
      <c r="B163" s="2">
        <v>163</v>
      </c>
      <c r="C163" s="30" t="str">
        <f>VLOOKUP(B163,gachas!A:C,3)</f>
        <v>ロキガチャ</v>
      </c>
      <c r="D163" s="21">
        <v>1</v>
      </c>
      <c r="E163" s="2">
        <v>1</v>
      </c>
      <c r="F163" s="2">
        <v>1</v>
      </c>
      <c r="G163" s="3" t="s">
        <v>22</v>
      </c>
      <c r="H163" s="2">
        <v>5</v>
      </c>
      <c r="I163" s="116">
        <v>1630</v>
      </c>
      <c r="J163" s="115" t="s">
        <v>84</v>
      </c>
      <c r="K163" s="2" t="s">
        <v>84</v>
      </c>
      <c r="L163" s="2">
        <v>0</v>
      </c>
      <c r="M163" s="2" t="s">
        <v>84</v>
      </c>
      <c r="N163" s="2" t="s">
        <v>84</v>
      </c>
      <c r="O163" s="2" t="s">
        <v>841</v>
      </c>
      <c r="P163" s="2" t="s">
        <v>142</v>
      </c>
    </row>
    <row r="164" spans="1:16" ht="21" customHeight="1" x14ac:dyDescent="0.15">
      <c r="A164" s="10" t="str">
        <f t="shared" si="32"/>
        <v>163_1_0_1_polygon</v>
      </c>
      <c r="B164" s="2">
        <v>163</v>
      </c>
      <c r="C164" s="30" t="str">
        <f>VLOOKUP(B164,gachas!A:C,3)</f>
        <v>ロキガチャ</v>
      </c>
      <c r="D164" s="21">
        <v>1</v>
      </c>
      <c r="E164" s="2">
        <v>0</v>
      </c>
      <c r="F164" s="2">
        <v>1</v>
      </c>
      <c r="G164" s="3" t="s">
        <v>22</v>
      </c>
      <c r="H164" s="2">
        <v>5</v>
      </c>
      <c r="I164" s="116">
        <v>1631</v>
      </c>
      <c r="J164" s="115" t="s">
        <v>84</v>
      </c>
      <c r="K164" s="2" t="s">
        <v>84</v>
      </c>
      <c r="L164" s="2">
        <v>0</v>
      </c>
      <c r="M164" s="2" t="s">
        <v>84</v>
      </c>
      <c r="N164" s="2" t="s">
        <v>84</v>
      </c>
      <c r="O164" s="2" t="s">
        <v>841</v>
      </c>
      <c r="P164" s="2" t="s">
        <v>84</v>
      </c>
    </row>
    <row r="165" spans="1:16" ht="21" customHeight="1" x14ac:dyDescent="0.15">
      <c r="A165" s="10" t="str">
        <f t="shared" ref="A165:A167" si="33">B165&amp;"_"&amp;D165&amp;"_"&amp;E165&amp;"_"&amp;F165&amp;"_"&amp;G165</f>
        <v>163_10_0_10_polygon</v>
      </c>
      <c r="B165" s="2">
        <v>163</v>
      </c>
      <c r="C165" s="30" t="str">
        <f>VLOOKUP(B165,gachas!A:C,3)</f>
        <v>ロキガチャ</v>
      </c>
      <c r="D165" s="21">
        <v>10</v>
      </c>
      <c r="E165" s="2">
        <v>0</v>
      </c>
      <c r="F165" s="2">
        <v>10</v>
      </c>
      <c r="G165" s="3" t="s">
        <v>22</v>
      </c>
      <c r="H165" s="2">
        <v>50</v>
      </c>
      <c r="I165" s="116">
        <v>1630</v>
      </c>
      <c r="J165" s="112">
        <v>163</v>
      </c>
      <c r="K165" s="2">
        <v>1633</v>
      </c>
      <c r="L165" s="2">
        <v>1</v>
      </c>
      <c r="M165" s="2" t="s">
        <v>84</v>
      </c>
      <c r="N165" s="2" t="s">
        <v>84</v>
      </c>
      <c r="O165" s="2" t="s">
        <v>841</v>
      </c>
      <c r="P165" s="2" t="s">
        <v>355</v>
      </c>
    </row>
    <row r="166" spans="1:16" ht="21" customHeight="1" x14ac:dyDescent="0.15">
      <c r="A166" s="10" t="str">
        <f t="shared" si="33"/>
        <v>164_1_1_1_polygon</v>
      </c>
      <c r="B166" s="2">
        <v>164</v>
      </c>
      <c r="C166" s="30" t="str">
        <f>VLOOKUP(B166,gachas!A:C,3)</f>
        <v>ドラゴンフィーバー</v>
      </c>
      <c r="D166" s="21">
        <v>1</v>
      </c>
      <c r="E166" s="2">
        <v>1</v>
      </c>
      <c r="F166" s="2">
        <v>1</v>
      </c>
      <c r="G166" s="3" t="s">
        <v>22</v>
      </c>
      <c r="H166" s="2">
        <v>5</v>
      </c>
      <c r="I166" s="116">
        <v>1640</v>
      </c>
      <c r="J166" s="115" t="s">
        <v>84</v>
      </c>
      <c r="K166" s="2" t="s">
        <v>84</v>
      </c>
      <c r="L166" s="2">
        <v>0</v>
      </c>
      <c r="M166" s="2" t="s">
        <v>84</v>
      </c>
      <c r="N166" s="2" t="s">
        <v>84</v>
      </c>
      <c r="O166" s="2" t="s">
        <v>841</v>
      </c>
      <c r="P166" s="2" t="s">
        <v>142</v>
      </c>
    </row>
    <row r="167" spans="1:16" ht="21" customHeight="1" x14ac:dyDescent="0.15">
      <c r="A167" s="10" t="str">
        <f t="shared" si="33"/>
        <v>164_1_0_1_polygon</v>
      </c>
      <c r="B167" s="2">
        <v>164</v>
      </c>
      <c r="C167" s="30" t="str">
        <f>VLOOKUP(B167,gachas!A:C,3)</f>
        <v>ドラゴンフィーバー</v>
      </c>
      <c r="D167" s="21">
        <v>1</v>
      </c>
      <c r="E167" s="2">
        <v>0</v>
      </c>
      <c r="F167" s="2">
        <v>1</v>
      </c>
      <c r="G167" s="3" t="s">
        <v>22</v>
      </c>
      <c r="H167" s="2">
        <v>5</v>
      </c>
      <c r="I167" s="116">
        <v>1641</v>
      </c>
      <c r="J167" s="115" t="s">
        <v>84</v>
      </c>
      <c r="K167" s="2" t="s">
        <v>84</v>
      </c>
      <c r="L167" s="2">
        <v>0</v>
      </c>
      <c r="M167" s="2" t="s">
        <v>84</v>
      </c>
      <c r="N167" s="2" t="s">
        <v>84</v>
      </c>
      <c r="O167" s="2" t="s">
        <v>841</v>
      </c>
      <c r="P167" s="2" t="s">
        <v>84</v>
      </c>
    </row>
    <row r="168" spans="1:16" ht="21" customHeight="1" x14ac:dyDescent="0.15">
      <c r="A168" s="10" t="str">
        <f t="shared" ref="A168:A170" si="34">B168&amp;"_"&amp;D168&amp;"_"&amp;E168&amp;"_"&amp;F168&amp;"_"&amp;G168</f>
        <v>164_10_0_10_polygon</v>
      </c>
      <c r="B168" s="2">
        <v>164</v>
      </c>
      <c r="C168" s="30" t="str">
        <f>VLOOKUP(B168,gachas!A:C,3)</f>
        <v>ドラゴンフィーバー</v>
      </c>
      <c r="D168" s="21">
        <v>10</v>
      </c>
      <c r="E168" s="2">
        <v>0</v>
      </c>
      <c r="F168" s="2">
        <v>10</v>
      </c>
      <c r="G168" s="3" t="s">
        <v>22</v>
      </c>
      <c r="H168" s="2">
        <v>50</v>
      </c>
      <c r="I168" s="116">
        <v>1640</v>
      </c>
      <c r="J168" s="112">
        <v>164</v>
      </c>
      <c r="K168" s="2">
        <v>1643</v>
      </c>
      <c r="L168" s="2">
        <v>1</v>
      </c>
      <c r="M168" s="2" t="s">
        <v>84</v>
      </c>
      <c r="N168" s="2" t="s">
        <v>84</v>
      </c>
      <c r="O168" s="2" t="s">
        <v>841</v>
      </c>
      <c r="P168" s="2" t="s">
        <v>370</v>
      </c>
    </row>
    <row r="169" spans="1:16" ht="21" customHeight="1" x14ac:dyDescent="0.15">
      <c r="A169" s="10" t="str">
        <f t="shared" si="34"/>
        <v>165_1_1_1_polygon</v>
      </c>
      <c r="B169" s="2">
        <v>165</v>
      </c>
      <c r="C169" s="30" t="str">
        <f>VLOOKUP(B169,gachas!A:C,3)</f>
        <v>年忘れフィーバーフェス</v>
      </c>
      <c r="D169" s="21">
        <v>1</v>
      </c>
      <c r="E169" s="2">
        <v>1</v>
      </c>
      <c r="F169" s="2">
        <v>1</v>
      </c>
      <c r="G169" s="3" t="s">
        <v>22</v>
      </c>
      <c r="H169" s="2">
        <v>5</v>
      </c>
      <c r="I169" s="116">
        <v>1650</v>
      </c>
      <c r="J169" s="115" t="s">
        <v>84</v>
      </c>
      <c r="K169" s="2" t="s">
        <v>84</v>
      </c>
      <c r="L169" s="2">
        <v>0</v>
      </c>
      <c r="M169" s="2" t="s">
        <v>84</v>
      </c>
      <c r="N169" s="2" t="s">
        <v>84</v>
      </c>
      <c r="O169" s="2" t="s">
        <v>841</v>
      </c>
      <c r="P169" s="2" t="s">
        <v>142</v>
      </c>
    </row>
    <row r="170" spans="1:16" ht="21" customHeight="1" x14ac:dyDescent="0.15">
      <c r="A170" s="10" t="str">
        <f t="shared" si="34"/>
        <v>165_1_0_1_polygon</v>
      </c>
      <c r="B170" s="2">
        <v>165</v>
      </c>
      <c r="C170" s="30" t="str">
        <f>VLOOKUP(B170,gachas!A:C,3)</f>
        <v>年忘れフィーバーフェス</v>
      </c>
      <c r="D170" s="21">
        <v>1</v>
      </c>
      <c r="E170" s="2">
        <v>0</v>
      </c>
      <c r="F170" s="2">
        <v>1</v>
      </c>
      <c r="G170" s="3" t="s">
        <v>22</v>
      </c>
      <c r="H170" s="2">
        <v>5</v>
      </c>
      <c r="I170" s="116">
        <v>1651</v>
      </c>
      <c r="J170" s="115" t="s">
        <v>84</v>
      </c>
      <c r="K170" s="2" t="s">
        <v>84</v>
      </c>
      <c r="L170" s="2">
        <v>0</v>
      </c>
      <c r="M170" s="2" t="s">
        <v>84</v>
      </c>
      <c r="N170" s="2" t="s">
        <v>84</v>
      </c>
      <c r="O170" s="2" t="s">
        <v>841</v>
      </c>
      <c r="P170" s="2" t="s">
        <v>84</v>
      </c>
    </row>
    <row r="171" spans="1:16" ht="21" customHeight="1" x14ac:dyDescent="0.15">
      <c r="A171" s="10" t="str">
        <f t="shared" ref="A171:A173" si="35">B171&amp;"_"&amp;D171&amp;"_"&amp;E171&amp;"_"&amp;F171&amp;"_"&amp;G171</f>
        <v>165_10_0_10_polygon</v>
      </c>
      <c r="B171" s="2">
        <v>165</v>
      </c>
      <c r="C171" s="30" t="str">
        <f>VLOOKUP(B171,gachas!A:C,3)</f>
        <v>年忘れフィーバーフェス</v>
      </c>
      <c r="D171" s="21">
        <v>10</v>
      </c>
      <c r="E171" s="2">
        <v>0</v>
      </c>
      <c r="F171" s="2">
        <v>10</v>
      </c>
      <c r="G171" s="3" t="s">
        <v>22</v>
      </c>
      <c r="H171" s="2">
        <v>50</v>
      </c>
      <c r="I171" s="116">
        <v>1650</v>
      </c>
      <c r="J171" s="112" t="s">
        <v>345</v>
      </c>
      <c r="K171" s="2" t="s">
        <v>362</v>
      </c>
      <c r="L171" s="2">
        <v>0</v>
      </c>
      <c r="M171" s="2" t="s">
        <v>84</v>
      </c>
      <c r="N171" s="2" t="s">
        <v>84</v>
      </c>
      <c r="O171" s="2" t="s">
        <v>841</v>
      </c>
      <c r="P171" s="2" t="s">
        <v>363</v>
      </c>
    </row>
    <row r="172" spans="1:16" ht="21" customHeight="1" x14ac:dyDescent="0.15">
      <c r="A172" s="10" t="str">
        <f t="shared" si="35"/>
        <v>166_1_1_1_polygon</v>
      </c>
      <c r="B172" s="2">
        <v>166</v>
      </c>
      <c r="C172" s="30" t="str">
        <f>VLOOKUP(B172,gachas!A:C,3)</f>
        <v>お年玉ガチャ</v>
      </c>
      <c r="D172" s="21">
        <v>1</v>
      </c>
      <c r="E172" s="2">
        <v>1</v>
      </c>
      <c r="F172" s="2">
        <v>1</v>
      </c>
      <c r="G172" s="3" t="s">
        <v>22</v>
      </c>
      <c r="H172" s="2">
        <v>5</v>
      </c>
      <c r="I172" s="116">
        <v>1660</v>
      </c>
      <c r="J172" s="115" t="s">
        <v>366</v>
      </c>
      <c r="K172" s="2" t="s">
        <v>84</v>
      </c>
      <c r="L172" s="2">
        <v>0</v>
      </c>
      <c r="M172" s="2" t="s">
        <v>84</v>
      </c>
      <c r="N172" s="2" t="s">
        <v>84</v>
      </c>
      <c r="O172" s="2" t="s">
        <v>841</v>
      </c>
      <c r="P172" s="2" t="s">
        <v>142</v>
      </c>
    </row>
    <row r="173" spans="1:16" ht="21" customHeight="1" x14ac:dyDescent="0.15">
      <c r="A173" s="10" t="str">
        <f t="shared" si="35"/>
        <v>166_1_0_1_polygon</v>
      </c>
      <c r="B173" s="2">
        <v>166</v>
      </c>
      <c r="C173" s="30" t="str">
        <f>VLOOKUP(B173,gachas!A:C,3)</f>
        <v>お年玉ガチャ</v>
      </c>
      <c r="D173" s="21">
        <v>1</v>
      </c>
      <c r="E173" s="2">
        <v>0</v>
      </c>
      <c r="F173" s="2">
        <v>1</v>
      </c>
      <c r="G173" s="3" t="s">
        <v>22</v>
      </c>
      <c r="H173" s="2">
        <v>5</v>
      </c>
      <c r="I173" s="116">
        <v>1661</v>
      </c>
      <c r="J173" s="115" t="s">
        <v>367</v>
      </c>
      <c r="K173" s="2" t="s">
        <v>84</v>
      </c>
      <c r="L173" s="2">
        <v>0</v>
      </c>
      <c r="M173" s="2" t="s">
        <v>84</v>
      </c>
      <c r="N173" s="2" t="s">
        <v>84</v>
      </c>
      <c r="O173" s="2" t="s">
        <v>841</v>
      </c>
      <c r="P173" s="2" t="s">
        <v>84</v>
      </c>
    </row>
    <row r="174" spans="1:16" ht="21" customHeight="1" x14ac:dyDescent="0.15">
      <c r="A174" s="10" t="str">
        <f t="shared" ref="A174:A176" si="36">B174&amp;"_"&amp;D174&amp;"_"&amp;E174&amp;"_"&amp;F174&amp;"_"&amp;G174</f>
        <v>166_10_0_10_polygon</v>
      </c>
      <c r="B174" s="2">
        <v>166</v>
      </c>
      <c r="C174" s="30" t="str">
        <f>VLOOKUP(B174,gachas!A:C,3)</f>
        <v>お年玉ガチャ</v>
      </c>
      <c r="D174" s="21">
        <v>10</v>
      </c>
      <c r="E174" s="2">
        <v>0</v>
      </c>
      <c r="F174" s="2">
        <v>10</v>
      </c>
      <c r="G174" s="3" t="s">
        <v>22</v>
      </c>
      <c r="H174" s="2">
        <v>50</v>
      </c>
      <c r="I174" s="116">
        <v>1660</v>
      </c>
      <c r="J174" s="112" t="s">
        <v>368</v>
      </c>
      <c r="K174" s="2">
        <v>1663</v>
      </c>
      <c r="L174" s="2">
        <v>1</v>
      </c>
      <c r="M174" s="2" t="s">
        <v>84</v>
      </c>
      <c r="N174" s="2" t="s">
        <v>84</v>
      </c>
      <c r="O174" s="2" t="s">
        <v>841</v>
      </c>
      <c r="P174" s="2" t="s">
        <v>369</v>
      </c>
    </row>
    <row r="175" spans="1:16" ht="21" customHeight="1" x14ac:dyDescent="0.15">
      <c r="A175" s="10" t="str">
        <f t="shared" si="36"/>
        <v>167_1_1_1_polygon</v>
      </c>
      <c r="B175" s="2">
        <v>167</v>
      </c>
      <c r="C175" s="30" t="str">
        <f>VLOOKUP(B175,gachas!A:C,3)</f>
        <v>福袋ガチャ</v>
      </c>
      <c r="D175" s="21">
        <v>1</v>
      </c>
      <c r="E175" s="2">
        <v>1</v>
      </c>
      <c r="F175" s="2">
        <v>1</v>
      </c>
      <c r="G175" s="3" t="s">
        <v>22</v>
      </c>
      <c r="H175" s="2">
        <v>5</v>
      </c>
      <c r="I175" s="116">
        <v>1670</v>
      </c>
      <c r="J175" s="115" t="s">
        <v>375</v>
      </c>
      <c r="K175" s="2" t="s">
        <v>84</v>
      </c>
      <c r="L175" s="2">
        <v>0</v>
      </c>
      <c r="M175" s="2" t="s">
        <v>84</v>
      </c>
      <c r="N175" s="2" t="s">
        <v>84</v>
      </c>
      <c r="O175" s="2" t="s">
        <v>841</v>
      </c>
      <c r="P175" s="2" t="s">
        <v>142</v>
      </c>
    </row>
    <row r="176" spans="1:16" ht="21" customHeight="1" x14ac:dyDescent="0.15">
      <c r="A176" s="10" t="str">
        <f t="shared" si="36"/>
        <v>167_1_0_1_polygon</v>
      </c>
      <c r="B176" s="2">
        <v>167</v>
      </c>
      <c r="C176" s="30" t="str">
        <f>VLOOKUP(B176,gachas!A:C,3)</f>
        <v>福袋ガチャ</v>
      </c>
      <c r="D176" s="21">
        <v>1</v>
      </c>
      <c r="E176" s="2">
        <v>0</v>
      </c>
      <c r="F176" s="2">
        <v>1</v>
      </c>
      <c r="G176" s="3" t="s">
        <v>22</v>
      </c>
      <c r="H176" s="2">
        <v>5</v>
      </c>
      <c r="I176" s="116">
        <v>1671</v>
      </c>
      <c r="J176" s="115" t="s">
        <v>376</v>
      </c>
      <c r="K176" s="2" t="s">
        <v>84</v>
      </c>
      <c r="L176" s="2">
        <v>0</v>
      </c>
      <c r="M176" s="2" t="s">
        <v>84</v>
      </c>
      <c r="N176" s="2" t="s">
        <v>84</v>
      </c>
      <c r="O176" s="2" t="s">
        <v>841</v>
      </c>
      <c r="P176" s="2" t="s">
        <v>84</v>
      </c>
    </row>
    <row r="177" spans="1:16" ht="21" customHeight="1" x14ac:dyDescent="0.15">
      <c r="A177" s="10" t="str">
        <f t="shared" ref="A177:A179" si="37">B177&amp;"_"&amp;D177&amp;"_"&amp;E177&amp;"_"&amp;F177&amp;"_"&amp;G177</f>
        <v>167_10_0_10_polygon</v>
      </c>
      <c r="B177" s="2">
        <v>167</v>
      </c>
      <c r="C177" s="30" t="str">
        <f>VLOOKUP(B177,gachas!A:C,3)</f>
        <v>福袋ガチャ</v>
      </c>
      <c r="D177" s="21">
        <v>10</v>
      </c>
      <c r="E177" s="2">
        <v>0</v>
      </c>
      <c r="F177" s="2">
        <v>10</v>
      </c>
      <c r="G177" s="3" t="s">
        <v>22</v>
      </c>
      <c r="H177" s="2">
        <v>50</v>
      </c>
      <c r="I177" s="116">
        <v>1670</v>
      </c>
      <c r="J177" s="112" t="s">
        <v>377</v>
      </c>
      <c r="K177" s="2">
        <v>1673</v>
      </c>
      <c r="L177" s="2">
        <v>1</v>
      </c>
      <c r="M177" s="2" t="s">
        <v>84</v>
      </c>
      <c r="N177" s="2" t="s">
        <v>84</v>
      </c>
      <c r="O177" s="2" t="s">
        <v>841</v>
      </c>
      <c r="P177" s="2" t="s">
        <v>378</v>
      </c>
    </row>
    <row r="178" spans="1:16" ht="21" customHeight="1" x14ac:dyDescent="0.15">
      <c r="A178" s="10" t="str">
        <f t="shared" si="37"/>
        <v>168_1_1_1_polygon</v>
      </c>
      <c r="B178" s="2">
        <v>168</v>
      </c>
      <c r="C178" s="30" t="str">
        <f>VLOOKUP(B178,gachas!A:C,3)</f>
        <v>美女と野獣ガチャ（バナーA)</v>
      </c>
      <c r="D178" s="21">
        <v>1</v>
      </c>
      <c r="E178" s="2">
        <v>1</v>
      </c>
      <c r="F178" s="2">
        <v>1</v>
      </c>
      <c r="G178" s="3" t="s">
        <v>22</v>
      </c>
      <c r="H178" s="2">
        <v>5</v>
      </c>
      <c r="I178" s="116">
        <v>1680</v>
      </c>
      <c r="J178" s="115" t="s">
        <v>391</v>
      </c>
      <c r="K178" s="2" t="s">
        <v>84</v>
      </c>
      <c r="L178" s="2">
        <v>0</v>
      </c>
      <c r="M178" s="2" t="s">
        <v>84</v>
      </c>
      <c r="N178" s="2" t="s">
        <v>84</v>
      </c>
      <c r="O178" s="2" t="s">
        <v>841</v>
      </c>
      <c r="P178" s="2" t="s">
        <v>142</v>
      </c>
    </row>
    <row r="179" spans="1:16" ht="21" customHeight="1" x14ac:dyDescent="0.15">
      <c r="A179" s="10" t="str">
        <f t="shared" si="37"/>
        <v>168_1_0_1_polygon</v>
      </c>
      <c r="B179" s="2">
        <v>168</v>
      </c>
      <c r="C179" s="30" t="str">
        <f>VLOOKUP(B179,gachas!A:C,3)</f>
        <v>美女と野獣ガチャ（バナーA)</v>
      </c>
      <c r="D179" s="21">
        <v>1</v>
      </c>
      <c r="E179" s="2">
        <v>0</v>
      </c>
      <c r="F179" s="2">
        <v>1</v>
      </c>
      <c r="G179" s="3" t="s">
        <v>22</v>
      </c>
      <c r="H179" s="2">
        <v>5</v>
      </c>
      <c r="I179" s="116">
        <v>1681</v>
      </c>
      <c r="J179" s="115" t="s">
        <v>391</v>
      </c>
      <c r="K179" s="2" t="s">
        <v>84</v>
      </c>
      <c r="L179" s="2">
        <v>0</v>
      </c>
      <c r="M179" s="2" t="s">
        <v>84</v>
      </c>
      <c r="N179" s="2" t="s">
        <v>84</v>
      </c>
      <c r="O179" s="2" t="s">
        <v>841</v>
      </c>
      <c r="P179" s="2" t="s">
        <v>84</v>
      </c>
    </row>
    <row r="180" spans="1:16" ht="21" customHeight="1" x14ac:dyDescent="0.15">
      <c r="A180" s="10" t="str">
        <f t="shared" ref="A180:A191" si="38">B180&amp;"_"&amp;D180&amp;"_"&amp;E180&amp;"_"&amp;F180&amp;"_"&amp;G180</f>
        <v>168_10_0_10_polygon</v>
      </c>
      <c r="B180" s="2">
        <v>168</v>
      </c>
      <c r="C180" s="30" t="str">
        <f>VLOOKUP(B180,gachas!A:C,3)</f>
        <v>美女と野獣ガチャ（バナーA)</v>
      </c>
      <c r="D180" s="21">
        <v>10</v>
      </c>
      <c r="E180" s="2">
        <v>0</v>
      </c>
      <c r="F180" s="2">
        <v>10</v>
      </c>
      <c r="G180" s="3" t="s">
        <v>22</v>
      </c>
      <c r="H180" s="2">
        <v>50</v>
      </c>
      <c r="I180" s="116">
        <v>1680</v>
      </c>
      <c r="J180" s="112" t="s">
        <v>391</v>
      </c>
      <c r="K180" s="2" t="s">
        <v>392</v>
      </c>
      <c r="L180" s="2">
        <v>0</v>
      </c>
      <c r="M180" s="2" t="s">
        <v>84</v>
      </c>
      <c r="N180" s="2" t="s">
        <v>84</v>
      </c>
      <c r="O180" s="2" t="s">
        <v>841</v>
      </c>
      <c r="P180" s="2" t="s">
        <v>143</v>
      </c>
    </row>
    <row r="181" spans="1:16" ht="21" customHeight="1" x14ac:dyDescent="0.15">
      <c r="A181" s="10" t="str">
        <f t="shared" si="38"/>
        <v>169_1_1_1_polygon</v>
      </c>
      <c r="B181" s="2">
        <v>169</v>
      </c>
      <c r="C181" s="30" t="str">
        <f>VLOOKUP(B181,gachas!A:C,3)</f>
        <v>美女と野獣ガチャ（バナーB）</v>
      </c>
      <c r="D181" s="21">
        <v>1</v>
      </c>
      <c r="E181" s="2">
        <v>1</v>
      </c>
      <c r="F181" s="2">
        <v>1</v>
      </c>
      <c r="G181" s="3" t="s">
        <v>22</v>
      </c>
      <c r="H181" s="2">
        <v>5</v>
      </c>
      <c r="I181" s="116">
        <v>1680</v>
      </c>
      <c r="J181" s="115" t="s">
        <v>281</v>
      </c>
      <c r="K181" s="2" t="s">
        <v>84</v>
      </c>
      <c r="L181" s="2">
        <v>0</v>
      </c>
      <c r="M181" s="2" t="s">
        <v>84</v>
      </c>
      <c r="N181" s="2" t="s">
        <v>84</v>
      </c>
      <c r="O181" s="2" t="s">
        <v>841</v>
      </c>
      <c r="P181" s="2" t="s">
        <v>142</v>
      </c>
    </row>
    <row r="182" spans="1:16" ht="21" customHeight="1" x14ac:dyDescent="0.15">
      <c r="A182" s="10" t="str">
        <f t="shared" si="38"/>
        <v>169_1_0_1_polygon</v>
      </c>
      <c r="B182" s="2">
        <v>169</v>
      </c>
      <c r="C182" s="30" t="str">
        <f>VLOOKUP(B182,gachas!A:C,3)</f>
        <v>美女と野獣ガチャ（バナーB）</v>
      </c>
      <c r="D182" s="21">
        <v>1</v>
      </c>
      <c r="E182" s="2">
        <v>0</v>
      </c>
      <c r="F182" s="2">
        <v>1</v>
      </c>
      <c r="G182" s="3" t="s">
        <v>22</v>
      </c>
      <c r="H182" s="2">
        <v>5</v>
      </c>
      <c r="I182" s="116">
        <v>1681</v>
      </c>
      <c r="J182" s="115" t="s">
        <v>281</v>
      </c>
      <c r="K182" s="2" t="s">
        <v>84</v>
      </c>
      <c r="L182" s="2">
        <v>0</v>
      </c>
      <c r="M182" s="2" t="s">
        <v>84</v>
      </c>
      <c r="N182" s="2" t="s">
        <v>84</v>
      </c>
      <c r="O182" s="2" t="s">
        <v>841</v>
      </c>
      <c r="P182" s="2" t="s">
        <v>84</v>
      </c>
    </row>
    <row r="183" spans="1:16" ht="21" customHeight="1" x14ac:dyDescent="0.15">
      <c r="A183" s="10" t="str">
        <f t="shared" ref="A183:A189" si="39">B183&amp;"_"&amp;D183&amp;"_"&amp;E183&amp;"_"&amp;F183&amp;"_"&amp;G183</f>
        <v>169_10_0_10_polygon</v>
      </c>
      <c r="B183" s="2">
        <v>169</v>
      </c>
      <c r="C183" s="30" t="str">
        <f>VLOOKUP(B183,gachas!A:C,3)</f>
        <v>美女と野獣ガチャ（バナーB）</v>
      </c>
      <c r="D183" s="21">
        <v>10</v>
      </c>
      <c r="E183" s="2">
        <v>0</v>
      </c>
      <c r="F183" s="2">
        <v>10</v>
      </c>
      <c r="G183" s="3" t="s">
        <v>22</v>
      </c>
      <c r="H183" s="2">
        <v>50</v>
      </c>
      <c r="I183" s="116">
        <v>1680</v>
      </c>
      <c r="J183" s="112" t="s">
        <v>281</v>
      </c>
      <c r="K183" s="2" t="s">
        <v>392</v>
      </c>
      <c r="L183" s="2">
        <v>0</v>
      </c>
      <c r="M183" s="2" t="s">
        <v>84</v>
      </c>
      <c r="N183" s="2" t="s">
        <v>84</v>
      </c>
      <c r="O183" s="2" t="s">
        <v>841</v>
      </c>
      <c r="P183" s="2" t="s">
        <v>143</v>
      </c>
    </row>
    <row r="184" spans="1:16" ht="21" customHeight="1" x14ac:dyDescent="0.15">
      <c r="A184" s="10" t="str">
        <f t="shared" si="39"/>
        <v>170_1_1_1_polygon</v>
      </c>
      <c r="B184" s="2">
        <v>170</v>
      </c>
      <c r="C184" s="30" t="str">
        <f>VLOOKUP(B184,gachas!A:C,3)</f>
        <v>ブルーフェスティバル</v>
      </c>
      <c r="D184" s="21">
        <v>1</v>
      </c>
      <c r="E184" s="2">
        <v>1</v>
      </c>
      <c r="F184" s="2">
        <v>1</v>
      </c>
      <c r="G184" s="3" t="s">
        <v>22</v>
      </c>
      <c r="H184" s="2">
        <v>5</v>
      </c>
      <c r="I184" s="116">
        <v>1700</v>
      </c>
      <c r="J184" s="115" t="s">
        <v>391</v>
      </c>
      <c r="K184" s="2" t="s">
        <v>84</v>
      </c>
      <c r="L184" s="2">
        <v>0</v>
      </c>
      <c r="M184" s="2" t="s">
        <v>84</v>
      </c>
      <c r="N184" s="2" t="s">
        <v>84</v>
      </c>
      <c r="O184" s="2" t="s">
        <v>841</v>
      </c>
      <c r="P184" s="2" t="s">
        <v>142</v>
      </c>
    </row>
    <row r="185" spans="1:16" ht="21" customHeight="1" x14ac:dyDescent="0.15">
      <c r="A185" s="10" t="str">
        <f t="shared" si="39"/>
        <v>170_1_0_1_polygon</v>
      </c>
      <c r="B185" s="2">
        <v>170</v>
      </c>
      <c r="C185" s="30" t="str">
        <f>VLOOKUP(B185,gachas!A:C,3)</f>
        <v>ブルーフェスティバル</v>
      </c>
      <c r="D185" s="21">
        <v>1</v>
      </c>
      <c r="E185" s="2">
        <v>0</v>
      </c>
      <c r="F185" s="2">
        <v>1</v>
      </c>
      <c r="G185" s="3" t="s">
        <v>22</v>
      </c>
      <c r="H185" s="2">
        <v>5</v>
      </c>
      <c r="I185" s="116">
        <v>1701</v>
      </c>
      <c r="J185" s="115" t="s">
        <v>391</v>
      </c>
      <c r="K185" s="2" t="s">
        <v>84</v>
      </c>
      <c r="L185" s="2">
        <v>0</v>
      </c>
      <c r="M185" s="2" t="s">
        <v>84</v>
      </c>
      <c r="N185" s="2" t="s">
        <v>84</v>
      </c>
      <c r="O185" s="2" t="s">
        <v>841</v>
      </c>
      <c r="P185" s="2" t="s">
        <v>85</v>
      </c>
    </row>
    <row r="186" spans="1:16" ht="21" customHeight="1" x14ac:dyDescent="0.15">
      <c r="A186" s="10" t="str">
        <f t="shared" si="39"/>
        <v>170_10_0_10_polygon</v>
      </c>
      <c r="B186" s="2">
        <v>170</v>
      </c>
      <c r="C186" s="30" t="str">
        <f>VLOOKUP(B186,gachas!A:C,3)</f>
        <v>ブルーフェスティバル</v>
      </c>
      <c r="D186" s="21">
        <v>10</v>
      </c>
      <c r="E186" s="2">
        <v>0</v>
      </c>
      <c r="F186" s="2">
        <v>10</v>
      </c>
      <c r="G186" s="3" t="s">
        <v>22</v>
      </c>
      <c r="H186" s="2">
        <v>50</v>
      </c>
      <c r="I186" s="116">
        <v>1700</v>
      </c>
      <c r="J186" s="112" t="s">
        <v>391</v>
      </c>
      <c r="K186" s="2">
        <v>1703</v>
      </c>
      <c r="L186" s="2">
        <v>1</v>
      </c>
      <c r="M186" s="2" t="s">
        <v>84</v>
      </c>
      <c r="N186" s="2" t="s">
        <v>84</v>
      </c>
      <c r="O186" s="2" t="s">
        <v>841</v>
      </c>
      <c r="P186" s="2" t="s">
        <v>331</v>
      </c>
    </row>
    <row r="187" spans="1:16" ht="21" customHeight="1" x14ac:dyDescent="0.15">
      <c r="A187" s="10" t="str">
        <f t="shared" si="39"/>
        <v>171_1_1_1_polygon</v>
      </c>
      <c r="B187" s="2">
        <v>171</v>
      </c>
      <c r="C187" s="30" t="str">
        <f>VLOOKUP(B187,gachas!A:C,3)</f>
        <v>150万DL記念ガチャ</v>
      </c>
      <c r="D187" s="21">
        <v>1</v>
      </c>
      <c r="E187" s="2">
        <v>1</v>
      </c>
      <c r="F187" s="2">
        <v>1</v>
      </c>
      <c r="G187" s="3" t="s">
        <v>22</v>
      </c>
      <c r="H187" s="2">
        <v>5</v>
      </c>
      <c r="I187" s="116">
        <v>1710</v>
      </c>
      <c r="J187" s="115" t="s">
        <v>391</v>
      </c>
      <c r="K187" s="2" t="s">
        <v>84</v>
      </c>
      <c r="L187" s="2">
        <v>0</v>
      </c>
      <c r="M187" s="2" t="s">
        <v>84</v>
      </c>
      <c r="N187" s="2" t="s">
        <v>84</v>
      </c>
      <c r="O187" s="2" t="s">
        <v>841</v>
      </c>
      <c r="P187" s="2" t="s">
        <v>410</v>
      </c>
    </row>
    <row r="188" spans="1:16" ht="21" customHeight="1" x14ac:dyDescent="0.15">
      <c r="A188" s="10" t="str">
        <f t="shared" si="39"/>
        <v>171_1_0_1_polygon</v>
      </c>
      <c r="B188" s="2">
        <v>171</v>
      </c>
      <c r="C188" s="30" t="str">
        <f>VLOOKUP(B188,gachas!A:C,3)</f>
        <v>150万DL記念ガチャ</v>
      </c>
      <c r="D188" s="21">
        <v>1</v>
      </c>
      <c r="E188" s="2">
        <v>0</v>
      </c>
      <c r="F188" s="2">
        <v>1</v>
      </c>
      <c r="G188" s="3" t="s">
        <v>22</v>
      </c>
      <c r="H188" s="2">
        <v>5</v>
      </c>
      <c r="I188" s="116">
        <v>1710</v>
      </c>
      <c r="J188" s="115" t="s">
        <v>391</v>
      </c>
      <c r="K188" s="2" t="s">
        <v>84</v>
      </c>
      <c r="L188" s="2">
        <v>0</v>
      </c>
      <c r="M188" s="2" t="s">
        <v>84</v>
      </c>
      <c r="N188" s="2" t="s">
        <v>84</v>
      </c>
      <c r="O188" s="2" t="s">
        <v>841</v>
      </c>
      <c r="P188" s="2" t="s">
        <v>409</v>
      </c>
    </row>
    <row r="189" spans="1:16" ht="21" customHeight="1" x14ac:dyDescent="0.15">
      <c r="A189" s="10" t="str">
        <f t="shared" si="39"/>
        <v>171_10_0_10_polygon</v>
      </c>
      <c r="B189" s="2">
        <v>171</v>
      </c>
      <c r="C189" s="30" t="str">
        <f>VLOOKUP(B189,gachas!A:C,3)</f>
        <v>150万DL記念ガチャ</v>
      </c>
      <c r="D189" s="21">
        <v>10</v>
      </c>
      <c r="E189" s="2">
        <v>0</v>
      </c>
      <c r="F189" s="2">
        <v>10</v>
      </c>
      <c r="G189" s="3" t="s">
        <v>22</v>
      </c>
      <c r="H189" s="2">
        <v>50</v>
      </c>
      <c r="I189" s="116">
        <v>1710</v>
      </c>
      <c r="J189" s="112">
        <v>171</v>
      </c>
      <c r="K189" s="2" t="s">
        <v>407</v>
      </c>
      <c r="L189" s="2">
        <v>0</v>
      </c>
      <c r="M189" s="2" t="s">
        <v>84</v>
      </c>
      <c r="N189" s="2" t="s">
        <v>84</v>
      </c>
      <c r="O189" s="2" t="s">
        <v>841</v>
      </c>
      <c r="P189" s="2" t="s">
        <v>258</v>
      </c>
    </row>
    <row r="190" spans="1:16" ht="21" customHeight="1" x14ac:dyDescent="0.15">
      <c r="A190" s="10" t="str">
        <f t="shared" si="38"/>
        <v>172_1_1_1_polygon</v>
      </c>
      <c r="B190" s="2">
        <v>172</v>
      </c>
      <c r="C190" s="30" t="str">
        <f>VLOOKUP(B190,gachas!A:C,3)</f>
        <v>グリム対抗ピックアップ</v>
      </c>
      <c r="D190" s="21">
        <v>1</v>
      </c>
      <c r="E190" s="2">
        <v>1</v>
      </c>
      <c r="F190" s="2">
        <v>1</v>
      </c>
      <c r="G190" s="3" t="s">
        <v>22</v>
      </c>
      <c r="H190" s="2">
        <v>5</v>
      </c>
      <c r="I190" s="116">
        <v>1720</v>
      </c>
      <c r="J190" s="115" t="s">
        <v>391</v>
      </c>
      <c r="K190" s="2" t="s">
        <v>84</v>
      </c>
      <c r="L190" s="2">
        <v>0</v>
      </c>
      <c r="M190" s="2" t="s">
        <v>84</v>
      </c>
      <c r="N190" s="2" t="s">
        <v>84</v>
      </c>
      <c r="O190" s="2" t="s">
        <v>841</v>
      </c>
      <c r="P190" s="2" t="s">
        <v>142</v>
      </c>
    </row>
    <row r="191" spans="1:16" ht="21" customHeight="1" x14ac:dyDescent="0.15">
      <c r="A191" s="10" t="str">
        <f t="shared" si="38"/>
        <v>172_1_0_1_polygon</v>
      </c>
      <c r="B191" s="2">
        <v>172</v>
      </c>
      <c r="C191" s="30" t="str">
        <f>VLOOKUP(B191,gachas!A:C,3)</f>
        <v>グリム対抗ピックアップ</v>
      </c>
      <c r="D191" s="21">
        <v>1</v>
      </c>
      <c r="E191" s="2">
        <v>0</v>
      </c>
      <c r="F191" s="2">
        <v>1</v>
      </c>
      <c r="G191" s="3" t="s">
        <v>22</v>
      </c>
      <c r="H191" s="2">
        <v>5</v>
      </c>
      <c r="I191" s="116">
        <v>1721</v>
      </c>
      <c r="J191" s="115" t="s">
        <v>391</v>
      </c>
      <c r="K191" s="2" t="s">
        <v>84</v>
      </c>
      <c r="L191" s="2">
        <v>0</v>
      </c>
      <c r="M191" s="2" t="s">
        <v>84</v>
      </c>
      <c r="N191" s="2" t="s">
        <v>84</v>
      </c>
      <c r="O191" s="2" t="s">
        <v>841</v>
      </c>
      <c r="P191" s="2" t="s">
        <v>84</v>
      </c>
    </row>
    <row r="192" spans="1:16" ht="21" customHeight="1" x14ac:dyDescent="0.15">
      <c r="A192" s="10" t="str">
        <f t="shared" ref="A192:A206" si="40">B192&amp;"_"&amp;D192&amp;"_"&amp;E192&amp;"_"&amp;F192&amp;"_"&amp;G192</f>
        <v>172_10_0_10_polygon</v>
      </c>
      <c r="B192" s="2">
        <v>172</v>
      </c>
      <c r="C192" s="30" t="str">
        <f>VLOOKUP(B192,gachas!A:C,3)</f>
        <v>グリム対抗ピックアップ</v>
      </c>
      <c r="D192" s="21">
        <v>10</v>
      </c>
      <c r="E192" s="2">
        <v>0</v>
      </c>
      <c r="F192" s="2">
        <v>10</v>
      </c>
      <c r="G192" s="3" t="s">
        <v>22</v>
      </c>
      <c r="H192" s="2">
        <v>50</v>
      </c>
      <c r="I192" s="116">
        <v>1720</v>
      </c>
      <c r="J192" s="112" t="s">
        <v>391</v>
      </c>
      <c r="K192" s="2">
        <v>1723</v>
      </c>
      <c r="L192" s="2">
        <v>1</v>
      </c>
      <c r="M192" s="2" t="s">
        <v>84</v>
      </c>
      <c r="N192" s="2" t="s">
        <v>84</v>
      </c>
      <c r="O192" s="2" t="s">
        <v>841</v>
      </c>
      <c r="P192" s="2" t="s">
        <v>289</v>
      </c>
    </row>
    <row r="193" spans="1:16" ht="21" customHeight="1" x14ac:dyDescent="0.15">
      <c r="A193" s="10" t="str">
        <f t="shared" si="40"/>
        <v>173_1_1_1_polygon</v>
      </c>
      <c r="B193" s="2">
        <v>173</v>
      </c>
      <c r="C193" s="30" t="str">
        <f>VLOOKUP(B193,gachas!A:C,3)</f>
        <v>アルフヘイムガチャ</v>
      </c>
      <c r="D193" s="21">
        <v>1</v>
      </c>
      <c r="E193" s="2">
        <v>1</v>
      </c>
      <c r="F193" s="2">
        <v>1</v>
      </c>
      <c r="G193" s="3" t="s">
        <v>22</v>
      </c>
      <c r="H193" s="2">
        <v>5</v>
      </c>
      <c r="I193" s="116">
        <v>1730</v>
      </c>
      <c r="J193" s="115" t="s">
        <v>391</v>
      </c>
      <c r="K193" s="2" t="s">
        <v>84</v>
      </c>
      <c r="L193" s="2">
        <v>0</v>
      </c>
      <c r="M193" s="2" t="s">
        <v>84</v>
      </c>
      <c r="N193" s="2" t="s">
        <v>84</v>
      </c>
      <c r="O193" s="2" t="s">
        <v>841</v>
      </c>
      <c r="P193" s="2" t="s">
        <v>142</v>
      </c>
    </row>
    <row r="194" spans="1:16" ht="21" customHeight="1" x14ac:dyDescent="0.15">
      <c r="A194" s="10" t="str">
        <f t="shared" si="40"/>
        <v>173_1_0_1_polygon</v>
      </c>
      <c r="B194" s="2">
        <v>173</v>
      </c>
      <c r="C194" s="30" t="str">
        <f>VLOOKUP(B194,gachas!A:C,3)</f>
        <v>アルフヘイムガチャ</v>
      </c>
      <c r="D194" s="21">
        <v>1</v>
      </c>
      <c r="E194" s="2">
        <v>0</v>
      </c>
      <c r="F194" s="2">
        <v>1</v>
      </c>
      <c r="G194" s="3" t="s">
        <v>22</v>
      </c>
      <c r="H194" s="2">
        <v>5</v>
      </c>
      <c r="I194" s="116">
        <v>1731</v>
      </c>
      <c r="J194" s="115" t="s">
        <v>391</v>
      </c>
      <c r="K194" s="2" t="s">
        <v>84</v>
      </c>
      <c r="L194" s="2">
        <v>0</v>
      </c>
      <c r="M194" s="2" t="s">
        <v>84</v>
      </c>
      <c r="N194" s="2" t="s">
        <v>84</v>
      </c>
      <c r="O194" s="2" t="s">
        <v>841</v>
      </c>
      <c r="P194" s="2" t="s">
        <v>84</v>
      </c>
    </row>
    <row r="195" spans="1:16" ht="21" customHeight="1" x14ac:dyDescent="0.15">
      <c r="A195" s="10" t="str">
        <f t="shared" ref="A195:A197" si="41">B195&amp;"_"&amp;D195&amp;"_"&amp;E195&amp;"_"&amp;F195&amp;"_"&amp;G195</f>
        <v>173_10_0_10_polygon</v>
      </c>
      <c r="B195" s="2">
        <v>173</v>
      </c>
      <c r="C195" s="30" t="str">
        <f>VLOOKUP(B195,gachas!A:C,3)</f>
        <v>アルフヘイムガチャ</v>
      </c>
      <c r="D195" s="21">
        <v>10</v>
      </c>
      <c r="E195" s="2">
        <v>0</v>
      </c>
      <c r="F195" s="2">
        <v>10</v>
      </c>
      <c r="G195" s="3" t="s">
        <v>22</v>
      </c>
      <c r="H195" s="2">
        <v>50</v>
      </c>
      <c r="I195" s="116">
        <v>1730</v>
      </c>
      <c r="J195" s="112" t="s">
        <v>391</v>
      </c>
      <c r="K195" s="2" t="s">
        <v>449</v>
      </c>
      <c r="L195" s="2">
        <v>0</v>
      </c>
      <c r="M195" s="2" t="s">
        <v>84</v>
      </c>
      <c r="N195" s="2" t="s">
        <v>84</v>
      </c>
      <c r="O195" s="2" t="s">
        <v>841</v>
      </c>
      <c r="P195" s="2" t="s">
        <v>294</v>
      </c>
    </row>
    <row r="196" spans="1:16" ht="21" customHeight="1" x14ac:dyDescent="0.15">
      <c r="A196" s="10" t="str">
        <f t="shared" si="41"/>
        <v>174_1_1_1_polygon</v>
      </c>
      <c r="B196" s="2">
        <v>174</v>
      </c>
      <c r="C196" s="30" t="str">
        <f>VLOOKUP(B196,gachas!A:C,3)</f>
        <v>レッドフェスティバル</v>
      </c>
      <c r="D196" s="21">
        <v>1</v>
      </c>
      <c r="E196" s="2">
        <v>1</v>
      </c>
      <c r="F196" s="2">
        <v>1</v>
      </c>
      <c r="G196" s="3" t="s">
        <v>22</v>
      </c>
      <c r="H196" s="2">
        <v>5</v>
      </c>
      <c r="I196" s="116">
        <v>1740</v>
      </c>
      <c r="J196" s="115" t="s">
        <v>391</v>
      </c>
      <c r="K196" s="2" t="s">
        <v>84</v>
      </c>
      <c r="L196" s="2">
        <v>0</v>
      </c>
      <c r="M196" s="2" t="s">
        <v>84</v>
      </c>
      <c r="N196" s="2" t="s">
        <v>84</v>
      </c>
      <c r="O196" s="2" t="s">
        <v>841</v>
      </c>
      <c r="P196" s="2" t="s">
        <v>142</v>
      </c>
    </row>
    <row r="197" spans="1:16" ht="21" customHeight="1" x14ac:dyDescent="0.15">
      <c r="A197" s="10" t="str">
        <f t="shared" si="41"/>
        <v>174_1_0_1_polygon</v>
      </c>
      <c r="B197" s="2">
        <v>174</v>
      </c>
      <c r="C197" s="30" t="str">
        <f>VLOOKUP(B197,gachas!A:C,3)</f>
        <v>レッドフェスティバル</v>
      </c>
      <c r="D197" s="21">
        <v>1</v>
      </c>
      <c r="E197" s="2">
        <v>0</v>
      </c>
      <c r="F197" s="2">
        <v>1</v>
      </c>
      <c r="G197" s="3" t="s">
        <v>22</v>
      </c>
      <c r="H197" s="2">
        <v>5</v>
      </c>
      <c r="I197" s="116">
        <v>1741</v>
      </c>
      <c r="J197" s="115" t="s">
        <v>391</v>
      </c>
      <c r="K197" s="2" t="s">
        <v>84</v>
      </c>
      <c r="L197" s="2">
        <v>0</v>
      </c>
      <c r="M197" s="2" t="s">
        <v>84</v>
      </c>
      <c r="N197" s="2" t="s">
        <v>84</v>
      </c>
      <c r="O197" s="2" t="s">
        <v>841</v>
      </c>
      <c r="P197" s="2" t="s">
        <v>84</v>
      </c>
    </row>
    <row r="198" spans="1:16" ht="21" customHeight="1" x14ac:dyDescent="0.15">
      <c r="A198" s="10" t="str">
        <f t="shared" ref="A198" si="42">B198&amp;"_"&amp;D198&amp;"_"&amp;E198&amp;"_"&amp;F198&amp;"_"&amp;G198</f>
        <v>174_10_0_10_polygon</v>
      </c>
      <c r="B198" s="2">
        <v>174</v>
      </c>
      <c r="C198" s="30" t="str">
        <f>VLOOKUP(B198,gachas!A:C,3)</f>
        <v>レッドフェスティバル</v>
      </c>
      <c r="D198" s="21">
        <v>10</v>
      </c>
      <c r="E198" s="2">
        <v>0</v>
      </c>
      <c r="F198" s="2">
        <v>10</v>
      </c>
      <c r="G198" s="3" t="s">
        <v>22</v>
      </c>
      <c r="H198" s="2">
        <v>50</v>
      </c>
      <c r="I198" s="116">
        <v>1740</v>
      </c>
      <c r="J198" s="112" t="s">
        <v>391</v>
      </c>
      <c r="K198" s="2">
        <v>1743</v>
      </c>
      <c r="L198" s="2">
        <v>1</v>
      </c>
      <c r="M198" s="2" t="s">
        <v>84</v>
      </c>
      <c r="N198" s="2" t="s">
        <v>84</v>
      </c>
      <c r="O198" s="2" t="s">
        <v>841</v>
      </c>
      <c r="P198" s="2" t="s">
        <v>450</v>
      </c>
    </row>
    <row r="199" spans="1:16" ht="21" customHeight="1" x14ac:dyDescent="0.15">
      <c r="A199" s="10" t="str">
        <f t="shared" ref="A199:A204" si="43">B199&amp;"_"&amp;D199&amp;"_"&amp;E199&amp;"_"&amp;F199&amp;"_"&amp;G199</f>
        <v>175_10_1_1_polygon</v>
      </c>
      <c r="B199" s="2">
        <v>175</v>
      </c>
      <c r="C199" s="30" t="str">
        <f>VLOOKUP(B199,gachas!A:C,3)&amp;E199&amp;"回目"</f>
        <v>ステップアップガチャ1回目</v>
      </c>
      <c r="D199" s="21">
        <v>10</v>
      </c>
      <c r="E199" s="2">
        <v>1</v>
      </c>
      <c r="F199" s="2">
        <v>1</v>
      </c>
      <c r="G199" s="3" t="s">
        <v>22</v>
      </c>
      <c r="H199" s="2">
        <v>1</v>
      </c>
      <c r="I199" s="116">
        <v>1751</v>
      </c>
      <c r="J199" s="115" t="s">
        <v>391</v>
      </c>
      <c r="K199" s="2" t="s">
        <v>84</v>
      </c>
      <c r="L199" s="2">
        <v>0</v>
      </c>
      <c r="M199" s="2" t="s">
        <v>84</v>
      </c>
      <c r="N199" s="2" t="s">
        <v>84</v>
      </c>
      <c r="O199" s="2" t="s">
        <v>841</v>
      </c>
      <c r="P199" s="2" t="s">
        <v>435</v>
      </c>
    </row>
    <row r="200" spans="1:16" ht="21" customHeight="1" x14ac:dyDescent="0.15">
      <c r="A200" s="10" t="str">
        <f t="shared" si="43"/>
        <v>175_10_2_1_polygon</v>
      </c>
      <c r="B200" s="2">
        <v>175</v>
      </c>
      <c r="C200" s="30" t="str">
        <f>VLOOKUP(B200,gachas!A:C,3)&amp;E200&amp;"回目"</f>
        <v>ステップアップガチャ2回目</v>
      </c>
      <c r="D200" s="21">
        <v>10</v>
      </c>
      <c r="E200" s="2">
        <v>2</v>
      </c>
      <c r="F200" s="2">
        <v>1</v>
      </c>
      <c r="G200" s="3" t="s">
        <v>22</v>
      </c>
      <c r="H200" s="2">
        <v>2</v>
      </c>
      <c r="I200" s="116">
        <v>1752</v>
      </c>
      <c r="J200" s="115" t="s">
        <v>391</v>
      </c>
      <c r="K200" s="2" t="s">
        <v>84</v>
      </c>
      <c r="L200" s="2">
        <v>0</v>
      </c>
      <c r="M200" s="2" t="s">
        <v>84</v>
      </c>
      <c r="N200" s="2" t="s">
        <v>84</v>
      </c>
      <c r="O200" s="2" t="s">
        <v>841</v>
      </c>
      <c r="P200" s="2" t="s">
        <v>436</v>
      </c>
    </row>
    <row r="201" spans="1:16" ht="21" customHeight="1" x14ac:dyDescent="0.15">
      <c r="A201" s="10" t="str">
        <f t="shared" si="43"/>
        <v>175_10_3_1_polygon</v>
      </c>
      <c r="B201" s="2">
        <v>175</v>
      </c>
      <c r="C201" s="30" t="str">
        <f>VLOOKUP(B201,gachas!A:C,3)&amp;E201&amp;"回目"</f>
        <v>ステップアップガチャ3回目</v>
      </c>
      <c r="D201" s="21">
        <v>10</v>
      </c>
      <c r="E201" s="2">
        <v>3</v>
      </c>
      <c r="F201" s="2">
        <v>1</v>
      </c>
      <c r="G201" s="3" t="s">
        <v>22</v>
      </c>
      <c r="H201" s="2">
        <v>5</v>
      </c>
      <c r="I201" s="116">
        <v>1753</v>
      </c>
      <c r="J201" s="112" t="s">
        <v>391</v>
      </c>
      <c r="K201" s="2" t="s">
        <v>451</v>
      </c>
      <c r="L201" s="2">
        <v>0</v>
      </c>
      <c r="M201" s="2" t="s">
        <v>84</v>
      </c>
      <c r="N201" s="2" t="s">
        <v>84</v>
      </c>
      <c r="O201" s="2" t="s">
        <v>841</v>
      </c>
      <c r="P201" s="2" t="s">
        <v>437</v>
      </c>
    </row>
    <row r="202" spans="1:16" ht="21" customHeight="1" x14ac:dyDescent="0.15">
      <c r="A202" s="10" t="str">
        <f t="shared" si="43"/>
        <v>175_10_4_5_polygon</v>
      </c>
      <c r="B202" s="2">
        <v>175</v>
      </c>
      <c r="C202" s="30" t="str">
        <f>VLOOKUP(B202,gachas!A:C,3)&amp;E202&amp;"回目"</f>
        <v>ステップアップガチャ4回目</v>
      </c>
      <c r="D202" s="21">
        <v>10</v>
      </c>
      <c r="E202" s="2">
        <v>4</v>
      </c>
      <c r="F202" s="2">
        <v>5</v>
      </c>
      <c r="G202" s="3" t="s">
        <v>22</v>
      </c>
      <c r="H202" s="2">
        <v>15</v>
      </c>
      <c r="I202" s="116">
        <v>1754</v>
      </c>
      <c r="J202" s="115" t="s">
        <v>391</v>
      </c>
      <c r="K202" s="2" t="s">
        <v>84</v>
      </c>
      <c r="L202" s="2">
        <v>0</v>
      </c>
      <c r="M202" s="2" t="s">
        <v>84</v>
      </c>
      <c r="N202" s="2" t="s">
        <v>84</v>
      </c>
      <c r="O202" s="2" t="s">
        <v>841</v>
      </c>
      <c r="P202" s="2" t="s">
        <v>438</v>
      </c>
    </row>
    <row r="203" spans="1:16" ht="21" customHeight="1" x14ac:dyDescent="0.15">
      <c r="A203" s="10" t="str">
        <f t="shared" si="43"/>
        <v>175_10_5_5_polygon</v>
      </c>
      <c r="B203" s="2">
        <v>175</v>
      </c>
      <c r="C203" s="30" t="str">
        <f>VLOOKUP(B203,gachas!A:C,3)&amp;E203&amp;"回目"</f>
        <v>ステップアップガチャ5回目</v>
      </c>
      <c r="D203" s="21">
        <v>10</v>
      </c>
      <c r="E203" s="2">
        <v>5</v>
      </c>
      <c r="F203" s="2">
        <v>5</v>
      </c>
      <c r="G203" s="3" t="s">
        <v>22</v>
      </c>
      <c r="H203" s="2">
        <v>25</v>
      </c>
      <c r="I203" s="116">
        <v>1750</v>
      </c>
      <c r="J203" s="115" t="s">
        <v>391</v>
      </c>
      <c r="K203" s="2">
        <v>1755</v>
      </c>
      <c r="L203" s="2">
        <v>1</v>
      </c>
      <c r="M203" s="2" t="s">
        <v>84</v>
      </c>
      <c r="N203" s="2" t="s">
        <v>84</v>
      </c>
      <c r="O203" s="2" t="s">
        <v>841</v>
      </c>
      <c r="P203" s="2" t="s">
        <v>439</v>
      </c>
    </row>
    <row r="204" spans="1:16" ht="21" customHeight="1" x14ac:dyDescent="0.15">
      <c r="A204" s="10" t="str">
        <f t="shared" si="43"/>
        <v>175_10_6_10_polygon</v>
      </c>
      <c r="B204" s="2">
        <v>175</v>
      </c>
      <c r="C204" s="30" t="str">
        <f>VLOOKUP(B204,gachas!A:C,3)&amp;E204&amp;"回目"</f>
        <v>ステップアップガチャ6回目</v>
      </c>
      <c r="D204" s="21">
        <v>10</v>
      </c>
      <c r="E204" s="2">
        <v>6</v>
      </c>
      <c r="F204" s="2">
        <v>10</v>
      </c>
      <c r="G204" s="3" t="s">
        <v>22</v>
      </c>
      <c r="H204" s="2">
        <v>50</v>
      </c>
      <c r="I204" s="116">
        <v>1750</v>
      </c>
      <c r="J204" s="112" t="s">
        <v>391</v>
      </c>
      <c r="K204" s="2">
        <v>1756</v>
      </c>
      <c r="L204" s="2">
        <v>1</v>
      </c>
      <c r="M204" s="2" t="s">
        <v>84</v>
      </c>
      <c r="N204" s="2" t="s">
        <v>84</v>
      </c>
      <c r="O204" s="2" t="s">
        <v>841</v>
      </c>
      <c r="P204" s="2" t="s">
        <v>440</v>
      </c>
    </row>
    <row r="205" spans="1:16" ht="21" customHeight="1" x14ac:dyDescent="0.15">
      <c r="A205" s="10" t="str">
        <f t="shared" si="40"/>
        <v>175_10_7_1_polygon</v>
      </c>
      <c r="B205" s="2">
        <v>175</v>
      </c>
      <c r="C205" s="30" t="str">
        <f>VLOOKUP(B205,gachas!A:C,3)&amp;E205&amp;"回目"</f>
        <v>ステップアップガチャ7回目</v>
      </c>
      <c r="D205" s="21">
        <v>10</v>
      </c>
      <c r="E205" s="2">
        <v>7</v>
      </c>
      <c r="F205" s="2">
        <v>1</v>
      </c>
      <c r="G205" s="3" t="s">
        <v>22</v>
      </c>
      <c r="H205" s="2">
        <v>1</v>
      </c>
      <c r="I205" s="116">
        <v>1751</v>
      </c>
      <c r="J205" s="115" t="s">
        <v>391</v>
      </c>
      <c r="K205" s="2" t="s">
        <v>84</v>
      </c>
      <c r="L205" s="2">
        <v>0</v>
      </c>
      <c r="M205" s="2" t="s">
        <v>84</v>
      </c>
      <c r="N205" s="2" t="s">
        <v>84</v>
      </c>
      <c r="O205" s="2" t="s">
        <v>841</v>
      </c>
      <c r="P205" s="2" t="s">
        <v>435</v>
      </c>
    </row>
    <row r="206" spans="1:16" ht="21" customHeight="1" x14ac:dyDescent="0.15">
      <c r="A206" s="10" t="str">
        <f t="shared" si="40"/>
        <v>175_10_8_1_polygon</v>
      </c>
      <c r="B206" s="2">
        <v>175</v>
      </c>
      <c r="C206" s="30" t="str">
        <f>VLOOKUP(B206,gachas!A:C,3)&amp;E206&amp;"回目"</f>
        <v>ステップアップガチャ8回目</v>
      </c>
      <c r="D206" s="21">
        <v>10</v>
      </c>
      <c r="E206" s="2">
        <v>8</v>
      </c>
      <c r="F206" s="2">
        <v>1</v>
      </c>
      <c r="G206" s="3" t="s">
        <v>22</v>
      </c>
      <c r="H206" s="2">
        <v>2</v>
      </c>
      <c r="I206" s="116">
        <v>1752</v>
      </c>
      <c r="J206" s="115" t="s">
        <v>391</v>
      </c>
      <c r="K206" s="2" t="s">
        <v>84</v>
      </c>
      <c r="L206" s="2">
        <v>0</v>
      </c>
      <c r="M206" s="2" t="s">
        <v>84</v>
      </c>
      <c r="N206" s="2" t="s">
        <v>84</v>
      </c>
      <c r="O206" s="2" t="s">
        <v>841</v>
      </c>
      <c r="P206" s="2" t="s">
        <v>436</v>
      </c>
    </row>
    <row r="207" spans="1:16" ht="21" customHeight="1" x14ac:dyDescent="0.15">
      <c r="A207" s="10" t="str">
        <f t="shared" ref="A207:A212" si="44">B207&amp;"_"&amp;D207&amp;"_"&amp;E207&amp;"_"&amp;F207&amp;"_"&amp;G207</f>
        <v>175_10_9_1_polygon</v>
      </c>
      <c r="B207" s="2">
        <v>175</v>
      </c>
      <c r="C207" s="30" t="str">
        <f>VLOOKUP(B207,gachas!A:C,3)&amp;E207&amp;"回目"</f>
        <v>ステップアップガチャ9回目</v>
      </c>
      <c r="D207" s="21">
        <v>10</v>
      </c>
      <c r="E207" s="2">
        <v>9</v>
      </c>
      <c r="F207" s="2">
        <v>1</v>
      </c>
      <c r="G207" s="3" t="s">
        <v>22</v>
      </c>
      <c r="H207" s="2">
        <v>5</v>
      </c>
      <c r="I207" s="116">
        <v>1753</v>
      </c>
      <c r="J207" s="112" t="s">
        <v>391</v>
      </c>
      <c r="K207" s="2" t="s">
        <v>451</v>
      </c>
      <c r="L207" s="2">
        <v>0</v>
      </c>
      <c r="M207" s="2" t="s">
        <v>84</v>
      </c>
      <c r="N207" s="2" t="s">
        <v>84</v>
      </c>
      <c r="O207" s="2" t="s">
        <v>841</v>
      </c>
      <c r="P207" s="2" t="s">
        <v>437</v>
      </c>
    </row>
    <row r="208" spans="1:16" ht="21" customHeight="1" x14ac:dyDescent="0.15">
      <c r="A208" s="10" t="str">
        <f t="shared" si="44"/>
        <v>175_10_10_5_polygon</v>
      </c>
      <c r="B208" s="2">
        <v>175</v>
      </c>
      <c r="C208" s="30" t="str">
        <f>VLOOKUP(B208,gachas!A:C,3)&amp;E208&amp;"回目"</f>
        <v>ステップアップガチャ10回目</v>
      </c>
      <c r="D208" s="21">
        <v>10</v>
      </c>
      <c r="E208" s="2">
        <v>10</v>
      </c>
      <c r="F208" s="2">
        <v>5</v>
      </c>
      <c r="G208" s="3" t="s">
        <v>22</v>
      </c>
      <c r="H208" s="2">
        <v>15</v>
      </c>
      <c r="I208" s="116">
        <v>1754</v>
      </c>
      <c r="J208" s="115" t="s">
        <v>391</v>
      </c>
      <c r="K208" s="2" t="s">
        <v>84</v>
      </c>
      <c r="L208" s="2">
        <v>0</v>
      </c>
      <c r="M208" s="2" t="s">
        <v>84</v>
      </c>
      <c r="N208" s="2" t="s">
        <v>84</v>
      </c>
      <c r="O208" s="2" t="s">
        <v>841</v>
      </c>
      <c r="P208" s="2" t="s">
        <v>438</v>
      </c>
    </row>
    <row r="209" spans="1:16" ht="21" customHeight="1" x14ac:dyDescent="0.15">
      <c r="A209" s="10" t="str">
        <f t="shared" si="44"/>
        <v>175_10_11_5_polygon</v>
      </c>
      <c r="B209" s="2">
        <v>175</v>
      </c>
      <c r="C209" s="30" t="str">
        <f>VLOOKUP(B209,gachas!A:C,3)&amp;E209&amp;"回目"</f>
        <v>ステップアップガチャ11回目</v>
      </c>
      <c r="D209" s="21">
        <v>10</v>
      </c>
      <c r="E209" s="2">
        <v>11</v>
      </c>
      <c r="F209" s="2">
        <v>5</v>
      </c>
      <c r="G209" s="3" t="s">
        <v>22</v>
      </c>
      <c r="H209" s="2">
        <v>25</v>
      </c>
      <c r="I209" s="116">
        <v>1750</v>
      </c>
      <c r="J209" s="115" t="s">
        <v>391</v>
      </c>
      <c r="K209" s="2">
        <v>1755</v>
      </c>
      <c r="L209" s="2">
        <v>1</v>
      </c>
      <c r="M209" s="2" t="s">
        <v>84</v>
      </c>
      <c r="N209" s="2" t="s">
        <v>84</v>
      </c>
      <c r="O209" s="2" t="s">
        <v>841</v>
      </c>
      <c r="P209" s="2" t="s">
        <v>439</v>
      </c>
    </row>
    <row r="210" spans="1:16" ht="21" customHeight="1" x14ac:dyDescent="0.15">
      <c r="A210" s="10" t="str">
        <f t="shared" si="44"/>
        <v>175_10_12_10_polygon</v>
      </c>
      <c r="B210" s="2">
        <v>175</v>
      </c>
      <c r="C210" s="30" t="str">
        <f>VLOOKUP(B210,gachas!A:C,3)&amp;E210&amp;"回目"</f>
        <v>ステップアップガチャ12回目</v>
      </c>
      <c r="D210" s="21">
        <v>10</v>
      </c>
      <c r="E210" s="2">
        <v>12</v>
      </c>
      <c r="F210" s="2">
        <v>10</v>
      </c>
      <c r="G210" s="3" t="s">
        <v>22</v>
      </c>
      <c r="H210" s="2">
        <v>50</v>
      </c>
      <c r="I210" s="116">
        <v>1750</v>
      </c>
      <c r="J210" s="112" t="s">
        <v>391</v>
      </c>
      <c r="K210" s="2">
        <v>1756</v>
      </c>
      <c r="L210" s="2">
        <v>1</v>
      </c>
      <c r="M210" s="2" t="s">
        <v>84</v>
      </c>
      <c r="N210" s="2" t="s">
        <v>84</v>
      </c>
      <c r="O210" s="2" t="s">
        <v>841</v>
      </c>
      <c r="P210" s="2" t="s">
        <v>440</v>
      </c>
    </row>
    <row r="211" spans="1:16" ht="21" customHeight="1" x14ac:dyDescent="0.15">
      <c r="A211" s="10" t="str">
        <f t="shared" si="44"/>
        <v>175_10_13_1_polygon</v>
      </c>
      <c r="B211" s="2">
        <v>175</v>
      </c>
      <c r="C211" s="30" t="str">
        <f>VLOOKUP(B211,gachas!A:C,3)&amp;E211&amp;"回目"</f>
        <v>ステップアップガチャ13回目</v>
      </c>
      <c r="D211" s="21">
        <v>10</v>
      </c>
      <c r="E211" s="2">
        <v>13</v>
      </c>
      <c r="F211" s="2">
        <v>1</v>
      </c>
      <c r="G211" s="3" t="s">
        <v>22</v>
      </c>
      <c r="H211" s="2">
        <v>1</v>
      </c>
      <c r="I211" s="116">
        <v>1751</v>
      </c>
      <c r="J211" s="115" t="s">
        <v>391</v>
      </c>
      <c r="K211" s="2" t="s">
        <v>84</v>
      </c>
      <c r="L211" s="2">
        <v>0</v>
      </c>
      <c r="M211" s="2" t="s">
        <v>84</v>
      </c>
      <c r="N211" s="2" t="s">
        <v>84</v>
      </c>
      <c r="O211" s="2" t="s">
        <v>841</v>
      </c>
      <c r="P211" s="2" t="s">
        <v>435</v>
      </c>
    </row>
    <row r="212" spans="1:16" ht="21" customHeight="1" x14ac:dyDescent="0.15">
      <c r="A212" s="10" t="str">
        <f t="shared" si="44"/>
        <v>175_10_14_1_polygon</v>
      </c>
      <c r="B212" s="2">
        <v>175</v>
      </c>
      <c r="C212" s="30" t="str">
        <f>VLOOKUP(B212,gachas!A:C,3)&amp;E212&amp;"回目"</f>
        <v>ステップアップガチャ14回目</v>
      </c>
      <c r="D212" s="21">
        <v>10</v>
      </c>
      <c r="E212" s="2">
        <v>14</v>
      </c>
      <c r="F212" s="2">
        <v>1</v>
      </c>
      <c r="G212" s="3" t="s">
        <v>22</v>
      </c>
      <c r="H212" s="2">
        <v>2</v>
      </c>
      <c r="I212" s="116">
        <v>1752</v>
      </c>
      <c r="J212" s="115" t="s">
        <v>391</v>
      </c>
      <c r="K212" s="2" t="s">
        <v>84</v>
      </c>
      <c r="L212" s="2">
        <v>0</v>
      </c>
      <c r="M212" s="2" t="s">
        <v>84</v>
      </c>
      <c r="N212" s="2" t="s">
        <v>84</v>
      </c>
      <c r="O212" s="2" t="s">
        <v>841</v>
      </c>
      <c r="P212" s="2" t="s">
        <v>436</v>
      </c>
    </row>
    <row r="213" spans="1:16" ht="21" customHeight="1" x14ac:dyDescent="0.15">
      <c r="A213" s="10" t="str">
        <f t="shared" ref="A213:A218" si="45">B213&amp;"_"&amp;D213&amp;"_"&amp;E213&amp;"_"&amp;F213&amp;"_"&amp;G213</f>
        <v>175_10_15_1_polygon</v>
      </c>
      <c r="B213" s="2">
        <v>175</v>
      </c>
      <c r="C213" s="30" t="str">
        <f>VLOOKUP(B213,gachas!A:C,3)&amp;E213&amp;"回目"</f>
        <v>ステップアップガチャ15回目</v>
      </c>
      <c r="D213" s="21">
        <v>10</v>
      </c>
      <c r="E213" s="2">
        <v>15</v>
      </c>
      <c r="F213" s="2">
        <v>1</v>
      </c>
      <c r="G213" s="3" t="s">
        <v>22</v>
      </c>
      <c r="H213" s="2">
        <v>5</v>
      </c>
      <c r="I213" s="116">
        <v>1753</v>
      </c>
      <c r="J213" s="112" t="s">
        <v>391</v>
      </c>
      <c r="K213" s="2" t="s">
        <v>451</v>
      </c>
      <c r="L213" s="2">
        <v>0</v>
      </c>
      <c r="M213" s="2" t="s">
        <v>84</v>
      </c>
      <c r="N213" s="2" t="s">
        <v>84</v>
      </c>
      <c r="O213" s="2" t="s">
        <v>841</v>
      </c>
      <c r="P213" s="2" t="s">
        <v>437</v>
      </c>
    </row>
    <row r="214" spans="1:16" ht="21" customHeight="1" x14ac:dyDescent="0.15">
      <c r="A214" s="10" t="str">
        <f t="shared" si="45"/>
        <v>175_10_16_5_polygon</v>
      </c>
      <c r="B214" s="2">
        <v>175</v>
      </c>
      <c r="C214" s="30" t="str">
        <f>VLOOKUP(B214,gachas!A:C,3)&amp;E214&amp;"回目"</f>
        <v>ステップアップガチャ16回目</v>
      </c>
      <c r="D214" s="21">
        <v>10</v>
      </c>
      <c r="E214" s="2">
        <v>16</v>
      </c>
      <c r="F214" s="2">
        <v>5</v>
      </c>
      <c r="G214" s="3" t="s">
        <v>22</v>
      </c>
      <c r="H214" s="2">
        <v>15</v>
      </c>
      <c r="I214" s="116">
        <v>1754</v>
      </c>
      <c r="J214" s="115" t="s">
        <v>391</v>
      </c>
      <c r="K214" s="2" t="s">
        <v>84</v>
      </c>
      <c r="L214" s="2">
        <v>0</v>
      </c>
      <c r="M214" s="2" t="s">
        <v>84</v>
      </c>
      <c r="N214" s="2" t="s">
        <v>84</v>
      </c>
      <c r="O214" s="2" t="s">
        <v>841</v>
      </c>
      <c r="P214" s="2" t="s">
        <v>438</v>
      </c>
    </row>
    <row r="215" spans="1:16" ht="21" customHeight="1" x14ac:dyDescent="0.15">
      <c r="A215" s="10" t="str">
        <f t="shared" si="45"/>
        <v>175_10_17_5_polygon</v>
      </c>
      <c r="B215" s="2">
        <v>175</v>
      </c>
      <c r="C215" s="30" t="str">
        <f>VLOOKUP(B215,gachas!A:C,3)&amp;E215&amp;"回目"</f>
        <v>ステップアップガチャ17回目</v>
      </c>
      <c r="D215" s="21">
        <v>10</v>
      </c>
      <c r="E215" s="2">
        <v>17</v>
      </c>
      <c r="F215" s="2">
        <v>5</v>
      </c>
      <c r="G215" s="3" t="s">
        <v>22</v>
      </c>
      <c r="H215" s="2">
        <v>25</v>
      </c>
      <c r="I215" s="116">
        <v>1750</v>
      </c>
      <c r="J215" s="115" t="s">
        <v>391</v>
      </c>
      <c r="K215" s="2">
        <v>1755</v>
      </c>
      <c r="L215" s="2">
        <v>1</v>
      </c>
      <c r="M215" s="2" t="s">
        <v>84</v>
      </c>
      <c r="N215" s="2" t="s">
        <v>84</v>
      </c>
      <c r="O215" s="2" t="s">
        <v>841</v>
      </c>
      <c r="P215" s="2" t="s">
        <v>439</v>
      </c>
    </row>
    <row r="216" spans="1:16" ht="21" customHeight="1" x14ac:dyDescent="0.15">
      <c r="A216" s="10" t="str">
        <f t="shared" si="45"/>
        <v>175_10_18_10_polygon</v>
      </c>
      <c r="B216" s="2">
        <v>175</v>
      </c>
      <c r="C216" s="30" t="str">
        <f>VLOOKUP(B216,gachas!A:C,3)&amp;E216&amp;"回目"</f>
        <v>ステップアップガチャ18回目</v>
      </c>
      <c r="D216" s="21">
        <v>10</v>
      </c>
      <c r="E216" s="2">
        <v>18</v>
      </c>
      <c r="F216" s="2">
        <v>10</v>
      </c>
      <c r="G216" s="3" t="s">
        <v>22</v>
      </c>
      <c r="H216" s="2">
        <v>50</v>
      </c>
      <c r="I216" s="116">
        <v>1750</v>
      </c>
      <c r="J216" s="112" t="s">
        <v>391</v>
      </c>
      <c r="K216" s="2">
        <v>1756</v>
      </c>
      <c r="L216" s="2">
        <v>1</v>
      </c>
      <c r="M216" s="2" t="s">
        <v>84</v>
      </c>
      <c r="N216" s="2" t="s">
        <v>84</v>
      </c>
      <c r="O216" s="2" t="s">
        <v>841</v>
      </c>
      <c r="P216" s="2" t="s">
        <v>440</v>
      </c>
    </row>
    <row r="217" spans="1:16" ht="21" customHeight="1" x14ac:dyDescent="0.15">
      <c r="A217" s="10" t="str">
        <f t="shared" si="45"/>
        <v>175_10_19_1_polygon</v>
      </c>
      <c r="B217" s="2">
        <v>175</v>
      </c>
      <c r="C217" s="30" t="str">
        <f>VLOOKUP(B217,gachas!A:C,3)&amp;E217&amp;"回目"</f>
        <v>ステップアップガチャ19回目</v>
      </c>
      <c r="D217" s="21">
        <v>10</v>
      </c>
      <c r="E217" s="2">
        <v>19</v>
      </c>
      <c r="F217" s="2">
        <v>1</v>
      </c>
      <c r="G217" s="3" t="s">
        <v>22</v>
      </c>
      <c r="H217" s="2">
        <v>1</v>
      </c>
      <c r="I217" s="116">
        <v>1751</v>
      </c>
      <c r="J217" s="115" t="s">
        <v>391</v>
      </c>
      <c r="K217" s="2" t="s">
        <v>84</v>
      </c>
      <c r="L217" s="2">
        <v>0</v>
      </c>
      <c r="M217" s="2" t="s">
        <v>84</v>
      </c>
      <c r="N217" s="2" t="s">
        <v>84</v>
      </c>
      <c r="O217" s="2" t="s">
        <v>841</v>
      </c>
      <c r="P217" s="2" t="s">
        <v>435</v>
      </c>
    </row>
    <row r="218" spans="1:16" ht="21" customHeight="1" x14ac:dyDescent="0.15">
      <c r="A218" s="10" t="str">
        <f t="shared" si="45"/>
        <v>175_10_20_1_polygon</v>
      </c>
      <c r="B218" s="2">
        <v>175</v>
      </c>
      <c r="C218" s="30" t="str">
        <f>VLOOKUP(B218,gachas!A:C,3)&amp;E218&amp;"回目"</f>
        <v>ステップアップガチャ20回目</v>
      </c>
      <c r="D218" s="21">
        <v>10</v>
      </c>
      <c r="E218" s="2">
        <v>20</v>
      </c>
      <c r="F218" s="2">
        <v>1</v>
      </c>
      <c r="G218" s="3" t="s">
        <v>22</v>
      </c>
      <c r="H218" s="2">
        <v>2</v>
      </c>
      <c r="I218" s="116">
        <v>1752</v>
      </c>
      <c r="J218" s="115" t="s">
        <v>391</v>
      </c>
      <c r="K218" s="2" t="s">
        <v>84</v>
      </c>
      <c r="L218" s="2">
        <v>0</v>
      </c>
      <c r="M218" s="2" t="s">
        <v>84</v>
      </c>
      <c r="N218" s="2" t="s">
        <v>84</v>
      </c>
      <c r="O218" s="2" t="s">
        <v>841</v>
      </c>
      <c r="P218" s="2" t="s">
        <v>436</v>
      </c>
    </row>
    <row r="219" spans="1:16" ht="21" customHeight="1" x14ac:dyDescent="0.15">
      <c r="A219" s="10" t="str">
        <f t="shared" ref="A219:A224" si="46">B219&amp;"_"&amp;D219&amp;"_"&amp;E219&amp;"_"&amp;F219&amp;"_"&amp;G219</f>
        <v>175_10_21_1_polygon</v>
      </c>
      <c r="B219" s="2">
        <v>175</v>
      </c>
      <c r="C219" s="30" t="str">
        <f>VLOOKUP(B219,gachas!A:C,3)&amp;E219&amp;"回目"</f>
        <v>ステップアップガチャ21回目</v>
      </c>
      <c r="D219" s="21">
        <v>10</v>
      </c>
      <c r="E219" s="2">
        <v>21</v>
      </c>
      <c r="F219" s="2">
        <v>1</v>
      </c>
      <c r="G219" s="3" t="s">
        <v>22</v>
      </c>
      <c r="H219" s="2">
        <v>5</v>
      </c>
      <c r="I219" s="116">
        <v>1753</v>
      </c>
      <c r="J219" s="112" t="s">
        <v>391</v>
      </c>
      <c r="K219" s="2" t="s">
        <v>451</v>
      </c>
      <c r="L219" s="2">
        <v>0</v>
      </c>
      <c r="M219" s="2" t="s">
        <v>84</v>
      </c>
      <c r="N219" s="2" t="s">
        <v>84</v>
      </c>
      <c r="O219" s="2" t="s">
        <v>841</v>
      </c>
      <c r="P219" s="2" t="s">
        <v>437</v>
      </c>
    </row>
    <row r="220" spans="1:16" ht="21" customHeight="1" x14ac:dyDescent="0.15">
      <c r="A220" s="10" t="str">
        <f t="shared" si="46"/>
        <v>175_10_22_5_polygon</v>
      </c>
      <c r="B220" s="2">
        <v>175</v>
      </c>
      <c r="C220" s="30" t="str">
        <f>VLOOKUP(B220,gachas!A:C,3)&amp;E220&amp;"回目"</f>
        <v>ステップアップガチャ22回目</v>
      </c>
      <c r="D220" s="21">
        <v>10</v>
      </c>
      <c r="E220" s="2">
        <v>22</v>
      </c>
      <c r="F220" s="2">
        <v>5</v>
      </c>
      <c r="G220" s="3" t="s">
        <v>22</v>
      </c>
      <c r="H220" s="2">
        <v>15</v>
      </c>
      <c r="I220" s="116">
        <v>1754</v>
      </c>
      <c r="J220" s="115" t="s">
        <v>391</v>
      </c>
      <c r="K220" s="2" t="s">
        <v>84</v>
      </c>
      <c r="L220" s="2">
        <v>0</v>
      </c>
      <c r="M220" s="2" t="s">
        <v>84</v>
      </c>
      <c r="N220" s="2" t="s">
        <v>84</v>
      </c>
      <c r="O220" s="2" t="s">
        <v>841</v>
      </c>
      <c r="P220" s="2" t="s">
        <v>438</v>
      </c>
    </row>
    <row r="221" spans="1:16" ht="21" customHeight="1" x14ac:dyDescent="0.15">
      <c r="A221" s="10" t="str">
        <f t="shared" si="46"/>
        <v>175_10_23_5_polygon</v>
      </c>
      <c r="B221" s="2">
        <v>175</v>
      </c>
      <c r="C221" s="30" t="str">
        <f>VLOOKUP(B221,gachas!A:C,3)&amp;E221&amp;"回目"</f>
        <v>ステップアップガチャ23回目</v>
      </c>
      <c r="D221" s="21">
        <v>10</v>
      </c>
      <c r="E221" s="2">
        <v>23</v>
      </c>
      <c r="F221" s="2">
        <v>5</v>
      </c>
      <c r="G221" s="3" t="s">
        <v>22</v>
      </c>
      <c r="H221" s="2">
        <v>25</v>
      </c>
      <c r="I221" s="116">
        <v>1750</v>
      </c>
      <c r="J221" s="115" t="s">
        <v>391</v>
      </c>
      <c r="K221" s="2">
        <v>1755</v>
      </c>
      <c r="L221" s="2">
        <v>1</v>
      </c>
      <c r="M221" s="2" t="s">
        <v>84</v>
      </c>
      <c r="N221" s="2" t="s">
        <v>84</v>
      </c>
      <c r="O221" s="2" t="s">
        <v>841</v>
      </c>
      <c r="P221" s="2" t="s">
        <v>439</v>
      </c>
    </row>
    <row r="222" spans="1:16" ht="21" customHeight="1" x14ac:dyDescent="0.15">
      <c r="A222" s="10" t="str">
        <f t="shared" si="46"/>
        <v>175_10_24_10_polygon</v>
      </c>
      <c r="B222" s="2">
        <v>175</v>
      </c>
      <c r="C222" s="30" t="str">
        <f>VLOOKUP(B222,gachas!A:C,3)&amp;E222&amp;"回目"</f>
        <v>ステップアップガチャ24回目</v>
      </c>
      <c r="D222" s="21">
        <v>10</v>
      </c>
      <c r="E222" s="2">
        <v>24</v>
      </c>
      <c r="F222" s="2">
        <v>10</v>
      </c>
      <c r="G222" s="3" t="s">
        <v>22</v>
      </c>
      <c r="H222" s="2">
        <v>50</v>
      </c>
      <c r="I222" s="116">
        <v>1750</v>
      </c>
      <c r="J222" s="112" t="s">
        <v>391</v>
      </c>
      <c r="K222" s="2">
        <v>1756</v>
      </c>
      <c r="L222" s="2">
        <v>1</v>
      </c>
      <c r="M222" s="2" t="s">
        <v>84</v>
      </c>
      <c r="N222" s="2" t="s">
        <v>84</v>
      </c>
      <c r="O222" s="2" t="s">
        <v>841</v>
      </c>
      <c r="P222" s="2" t="s">
        <v>440</v>
      </c>
    </row>
    <row r="223" spans="1:16" ht="21" customHeight="1" x14ac:dyDescent="0.15">
      <c r="A223" s="10" t="str">
        <f t="shared" si="46"/>
        <v>175_10_25_1_polygon</v>
      </c>
      <c r="B223" s="2">
        <v>175</v>
      </c>
      <c r="C223" s="30" t="str">
        <f>VLOOKUP(B223,gachas!A:C,3)&amp;E223&amp;"回目"</f>
        <v>ステップアップガチャ25回目</v>
      </c>
      <c r="D223" s="21">
        <v>10</v>
      </c>
      <c r="E223" s="2">
        <v>25</v>
      </c>
      <c r="F223" s="2">
        <v>1</v>
      </c>
      <c r="G223" s="3" t="s">
        <v>22</v>
      </c>
      <c r="H223" s="2">
        <v>1</v>
      </c>
      <c r="I223" s="116">
        <v>1751</v>
      </c>
      <c r="J223" s="115" t="s">
        <v>391</v>
      </c>
      <c r="K223" s="2" t="s">
        <v>84</v>
      </c>
      <c r="L223" s="2">
        <v>0</v>
      </c>
      <c r="M223" s="2" t="s">
        <v>84</v>
      </c>
      <c r="N223" s="2" t="s">
        <v>84</v>
      </c>
      <c r="O223" s="2" t="s">
        <v>841</v>
      </c>
      <c r="P223" s="2" t="s">
        <v>435</v>
      </c>
    </row>
    <row r="224" spans="1:16" ht="21" customHeight="1" x14ac:dyDescent="0.15">
      <c r="A224" s="10" t="str">
        <f t="shared" si="46"/>
        <v>175_10_26_1_polygon</v>
      </c>
      <c r="B224" s="2">
        <v>175</v>
      </c>
      <c r="C224" s="30" t="str">
        <f>VLOOKUP(B224,gachas!A:C,3)&amp;E224&amp;"回目"</f>
        <v>ステップアップガチャ26回目</v>
      </c>
      <c r="D224" s="21">
        <v>10</v>
      </c>
      <c r="E224" s="2">
        <v>26</v>
      </c>
      <c r="F224" s="2">
        <v>1</v>
      </c>
      <c r="G224" s="3" t="s">
        <v>22</v>
      </c>
      <c r="H224" s="2">
        <v>2</v>
      </c>
      <c r="I224" s="116">
        <v>1752</v>
      </c>
      <c r="J224" s="115" t="s">
        <v>391</v>
      </c>
      <c r="K224" s="2" t="s">
        <v>84</v>
      </c>
      <c r="L224" s="2">
        <v>0</v>
      </c>
      <c r="M224" s="2" t="s">
        <v>84</v>
      </c>
      <c r="N224" s="2" t="s">
        <v>84</v>
      </c>
      <c r="O224" s="2" t="s">
        <v>841</v>
      </c>
      <c r="P224" s="2" t="s">
        <v>436</v>
      </c>
    </row>
    <row r="225" spans="1:16" ht="21" customHeight="1" x14ac:dyDescent="0.15">
      <c r="A225" s="10" t="str">
        <f t="shared" ref="A225:A228" si="47">B225&amp;"_"&amp;D225&amp;"_"&amp;E225&amp;"_"&amp;F225&amp;"_"&amp;G225</f>
        <v>175_10_27_1_polygon</v>
      </c>
      <c r="B225" s="2">
        <v>175</v>
      </c>
      <c r="C225" s="30" t="str">
        <f>VLOOKUP(B225,gachas!A:C,3)&amp;E225&amp;"回目"</f>
        <v>ステップアップガチャ27回目</v>
      </c>
      <c r="D225" s="21">
        <v>10</v>
      </c>
      <c r="E225" s="2">
        <v>27</v>
      </c>
      <c r="F225" s="2">
        <v>1</v>
      </c>
      <c r="G225" s="3" t="s">
        <v>22</v>
      </c>
      <c r="H225" s="2">
        <v>5</v>
      </c>
      <c r="I225" s="116">
        <v>1753</v>
      </c>
      <c r="J225" s="112" t="s">
        <v>391</v>
      </c>
      <c r="K225" s="2" t="s">
        <v>451</v>
      </c>
      <c r="L225" s="2">
        <v>0</v>
      </c>
      <c r="M225" s="2" t="s">
        <v>84</v>
      </c>
      <c r="N225" s="2" t="s">
        <v>84</v>
      </c>
      <c r="O225" s="2" t="s">
        <v>841</v>
      </c>
      <c r="P225" s="2" t="s">
        <v>437</v>
      </c>
    </row>
    <row r="226" spans="1:16" ht="21" customHeight="1" x14ac:dyDescent="0.15">
      <c r="A226" s="10" t="str">
        <f t="shared" si="47"/>
        <v>175_10_28_5_polygon</v>
      </c>
      <c r="B226" s="2">
        <v>175</v>
      </c>
      <c r="C226" s="30" t="str">
        <f>VLOOKUP(B226,gachas!A:C,3)&amp;E226&amp;"回目"</f>
        <v>ステップアップガチャ28回目</v>
      </c>
      <c r="D226" s="21">
        <v>10</v>
      </c>
      <c r="E226" s="2">
        <v>28</v>
      </c>
      <c r="F226" s="2">
        <v>5</v>
      </c>
      <c r="G226" s="3" t="s">
        <v>22</v>
      </c>
      <c r="H226" s="2">
        <v>15</v>
      </c>
      <c r="I226" s="116">
        <v>1754</v>
      </c>
      <c r="J226" s="115" t="s">
        <v>391</v>
      </c>
      <c r="K226" s="2" t="s">
        <v>84</v>
      </c>
      <c r="L226" s="2">
        <v>0</v>
      </c>
      <c r="M226" s="2" t="s">
        <v>84</v>
      </c>
      <c r="N226" s="2" t="s">
        <v>84</v>
      </c>
      <c r="O226" s="2" t="s">
        <v>841</v>
      </c>
      <c r="P226" s="2" t="s">
        <v>438</v>
      </c>
    </row>
    <row r="227" spans="1:16" ht="21" customHeight="1" x14ac:dyDescent="0.15">
      <c r="A227" s="10" t="str">
        <f t="shared" si="47"/>
        <v>175_10_29_5_polygon</v>
      </c>
      <c r="B227" s="2">
        <v>175</v>
      </c>
      <c r="C227" s="30" t="str">
        <f>VLOOKUP(B227,gachas!A:C,3)&amp;E227&amp;"回目"</f>
        <v>ステップアップガチャ29回目</v>
      </c>
      <c r="D227" s="21">
        <v>10</v>
      </c>
      <c r="E227" s="2">
        <v>29</v>
      </c>
      <c r="F227" s="2">
        <v>5</v>
      </c>
      <c r="G227" s="3" t="s">
        <v>22</v>
      </c>
      <c r="H227" s="2">
        <v>25</v>
      </c>
      <c r="I227" s="116">
        <v>1750</v>
      </c>
      <c r="J227" s="115" t="s">
        <v>391</v>
      </c>
      <c r="K227" s="2">
        <v>1755</v>
      </c>
      <c r="L227" s="2">
        <v>1</v>
      </c>
      <c r="M227" s="2" t="s">
        <v>84</v>
      </c>
      <c r="N227" s="2" t="s">
        <v>84</v>
      </c>
      <c r="O227" s="2" t="s">
        <v>841</v>
      </c>
      <c r="P227" s="2" t="s">
        <v>439</v>
      </c>
    </row>
    <row r="228" spans="1:16" ht="21" customHeight="1" x14ac:dyDescent="0.15">
      <c r="A228" s="10" t="str">
        <f t="shared" si="47"/>
        <v>175_10_30_10_polygon</v>
      </c>
      <c r="B228" s="2">
        <v>175</v>
      </c>
      <c r="C228" s="30" t="str">
        <f>VLOOKUP(B228,gachas!A:C,3)&amp;E228&amp;"回目"</f>
        <v>ステップアップガチャ30回目</v>
      </c>
      <c r="D228" s="21">
        <v>10</v>
      </c>
      <c r="E228" s="2">
        <v>30</v>
      </c>
      <c r="F228" s="2">
        <v>10</v>
      </c>
      <c r="G228" s="3" t="s">
        <v>22</v>
      </c>
      <c r="H228" s="2">
        <v>50</v>
      </c>
      <c r="I228" s="116">
        <v>1750</v>
      </c>
      <c r="J228" s="112" t="s">
        <v>391</v>
      </c>
      <c r="K228" s="2">
        <v>1756</v>
      </c>
      <c r="L228" s="2">
        <v>1</v>
      </c>
      <c r="M228" s="2" t="s">
        <v>84</v>
      </c>
      <c r="N228" s="2" t="s">
        <v>84</v>
      </c>
      <c r="O228" s="2" t="s">
        <v>841</v>
      </c>
      <c r="P228" s="2" t="s">
        <v>440</v>
      </c>
    </row>
    <row r="229" spans="1:16" ht="21" customHeight="1" x14ac:dyDescent="0.15">
      <c r="A229" s="10" t="str">
        <f t="shared" ref="A229:A238" si="48">B229&amp;"_"&amp;D229&amp;"_"&amp;E229&amp;"_"&amp;F229&amp;"_"&amp;G229</f>
        <v>175_10_0_10_polygon</v>
      </c>
      <c r="B229" s="2">
        <v>175</v>
      </c>
      <c r="C229" s="30" t="str">
        <f>VLOOKUP(B229,gachas!A:C,3)&amp;"周回終了"</f>
        <v>ステップアップガチャ周回終了</v>
      </c>
      <c r="D229" s="21">
        <v>10</v>
      </c>
      <c r="E229" s="2">
        <v>0</v>
      </c>
      <c r="F229" s="2">
        <v>10</v>
      </c>
      <c r="G229" s="3" t="s">
        <v>22</v>
      </c>
      <c r="H229" s="2">
        <v>50</v>
      </c>
      <c r="I229" s="116">
        <v>1750</v>
      </c>
      <c r="J229" s="112" t="s">
        <v>391</v>
      </c>
      <c r="K229" s="2" t="s">
        <v>434</v>
      </c>
      <c r="L229" s="2">
        <v>0</v>
      </c>
      <c r="M229" s="2" t="s">
        <v>84</v>
      </c>
      <c r="N229" s="2" t="s">
        <v>84</v>
      </c>
      <c r="O229" s="2" t="s">
        <v>841</v>
      </c>
      <c r="P229" s="2" t="s">
        <v>458</v>
      </c>
    </row>
    <row r="230" spans="1:16" ht="21" customHeight="1" x14ac:dyDescent="0.15">
      <c r="A230" s="10" t="str">
        <f t="shared" si="48"/>
        <v>176_1_1_1_polygon</v>
      </c>
      <c r="B230" s="2">
        <v>176</v>
      </c>
      <c r="C230" s="30" t="str">
        <f>VLOOKUP(B230,gachas!A:C,3)</f>
        <v>ドラゴンフィーバー</v>
      </c>
      <c r="D230" s="21">
        <v>1</v>
      </c>
      <c r="E230" s="2">
        <v>1</v>
      </c>
      <c r="F230" s="2">
        <v>1</v>
      </c>
      <c r="G230" s="3" t="s">
        <v>22</v>
      </c>
      <c r="H230" s="2">
        <v>5</v>
      </c>
      <c r="I230" s="116">
        <v>1760</v>
      </c>
      <c r="J230" s="115" t="s">
        <v>84</v>
      </c>
      <c r="K230" s="2" t="s">
        <v>84</v>
      </c>
      <c r="L230" s="2">
        <v>0</v>
      </c>
      <c r="M230" s="2" t="s">
        <v>84</v>
      </c>
      <c r="N230" s="2" t="s">
        <v>84</v>
      </c>
      <c r="O230" s="2" t="s">
        <v>841</v>
      </c>
      <c r="P230" s="2" t="s">
        <v>142</v>
      </c>
    </row>
    <row r="231" spans="1:16" ht="21" customHeight="1" x14ac:dyDescent="0.15">
      <c r="A231" s="10" t="str">
        <f t="shared" si="48"/>
        <v>176_1_0_1_polygon</v>
      </c>
      <c r="B231" s="2">
        <v>176</v>
      </c>
      <c r="C231" s="30" t="str">
        <f>VLOOKUP(B231,gachas!A:C,3)</f>
        <v>ドラゴンフィーバー</v>
      </c>
      <c r="D231" s="21">
        <v>1</v>
      </c>
      <c r="E231" s="2">
        <v>0</v>
      </c>
      <c r="F231" s="2">
        <v>1</v>
      </c>
      <c r="G231" s="3" t="s">
        <v>22</v>
      </c>
      <c r="H231" s="2">
        <v>5</v>
      </c>
      <c r="I231" s="116">
        <v>1761</v>
      </c>
      <c r="J231" s="115" t="s">
        <v>84</v>
      </c>
      <c r="K231" s="2" t="s">
        <v>84</v>
      </c>
      <c r="L231" s="2">
        <v>0</v>
      </c>
      <c r="M231" s="2" t="s">
        <v>84</v>
      </c>
      <c r="N231" s="2" t="s">
        <v>84</v>
      </c>
      <c r="O231" s="2" t="s">
        <v>841</v>
      </c>
      <c r="P231" s="2" t="s">
        <v>84</v>
      </c>
    </row>
    <row r="232" spans="1:16" ht="21" customHeight="1" x14ac:dyDescent="0.15">
      <c r="A232" s="10" t="str">
        <f t="shared" si="48"/>
        <v>176_10_0_10_polygon</v>
      </c>
      <c r="B232" s="2">
        <v>176</v>
      </c>
      <c r="C232" s="30" t="str">
        <f>VLOOKUP(B232,gachas!A:C,3)</f>
        <v>ドラゴンフィーバー</v>
      </c>
      <c r="D232" s="21">
        <v>10</v>
      </c>
      <c r="E232" s="2">
        <v>0</v>
      </c>
      <c r="F232" s="2">
        <v>10</v>
      </c>
      <c r="G232" s="3" t="s">
        <v>22</v>
      </c>
      <c r="H232" s="2">
        <v>50</v>
      </c>
      <c r="I232" s="116">
        <v>1760</v>
      </c>
      <c r="J232" s="112" t="s">
        <v>456</v>
      </c>
      <c r="K232" s="2">
        <v>1763</v>
      </c>
      <c r="L232" s="2">
        <v>1</v>
      </c>
      <c r="M232" s="2" t="s">
        <v>84</v>
      </c>
      <c r="N232" s="2" t="s">
        <v>84</v>
      </c>
      <c r="O232" s="2" t="s">
        <v>841</v>
      </c>
      <c r="P232" s="2" t="s">
        <v>370</v>
      </c>
    </row>
    <row r="233" spans="1:16" ht="21" customHeight="1" x14ac:dyDescent="0.15">
      <c r="A233" s="10" t="str">
        <f t="shared" si="48"/>
        <v>177_1_1_1_polygon</v>
      </c>
      <c r="B233" s="2">
        <v>177</v>
      </c>
      <c r="C233" s="30" t="str">
        <f>VLOOKUP(B233,gachas!A:C,3)</f>
        <v>クラコレ</v>
      </c>
      <c r="D233" s="21">
        <v>1</v>
      </c>
      <c r="E233" s="2">
        <v>1</v>
      </c>
      <c r="F233" s="2">
        <v>1</v>
      </c>
      <c r="G233" s="3" t="s">
        <v>22</v>
      </c>
      <c r="H233" s="2">
        <v>5</v>
      </c>
      <c r="I233" s="117" t="str">
        <f>B233&amp;0</f>
        <v>1770</v>
      </c>
      <c r="J233" s="115" t="s">
        <v>84</v>
      </c>
      <c r="K233" s="2" t="s">
        <v>84</v>
      </c>
      <c r="L233" s="2">
        <v>0</v>
      </c>
      <c r="M233" s="2" t="s">
        <v>84</v>
      </c>
      <c r="N233" s="2" t="s">
        <v>84</v>
      </c>
      <c r="O233" s="2" t="s">
        <v>841</v>
      </c>
      <c r="P233" s="2" t="s">
        <v>142</v>
      </c>
    </row>
    <row r="234" spans="1:16" ht="21" customHeight="1" x14ac:dyDescent="0.15">
      <c r="A234" s="10" t="str">
        <f t="shared" si="48"/>
        <v>177_1_0_1_polygon</v>
      </c>
      <c r="B234" s="2">
        <v>177</v>
      </c>
      <c r="C234" s="30" t="str">
        <f>VLOOKUP(B234,gachas!A:C,3)</f>
        <v>クラコレ</v>
      </c>
      <c r="D234" s="21">
        <v>1</v>
      </c>
      <c r="E234" s="2">
        <v>0</v>
      </c>
      <c r="F234" s="2">
        <v>1</v>
      </c>
      <c r="G234" s="3" t="s">
        <v>22</v>
      </c>
      <c r="H234" s="2">
        <v>5</v>
      </c>
      <c r="I234" s="117" t="str">
        <f>B234&amp;1</f>
        <v>1771</v>
      </c>
      <c r="J234" s="115" t="s">
        <v>84</v>
      </c>
      <c r="K234" s="2" t="s">
        <v>84</v>
      </c>
      <c r="L234" s="2">
        <v>0</v>
      </c>
      <c r="M234" s="2" t="s">
        <v>84</v>
      </c>
      <c r="N234" s="2" t="s">
        <v>84</v>
      </c>
      <c r="O234" s="2" t="s">
        <v>841</v>
      </c>
      <c r="P234" s="2" t="s">
        <v>84</v>
      </c>
    </row>
    <row r="235" spans="1:16" ht="21" customHeight="1" x14ac:dyDescent="0.15">
      <c r="A235" s="10" t="str">
        <f t="shared" si="48"/>
        <v>177_10_0_10_polygon</v>
      </c>
      <c r="B235" s="2">
        <v>177</v>
      </c>
      <c r="C235" s="30" t="str">
        <f>VLOOKUP(B235,gachas!A:C,3)</f>
        <v>クラコレ</v>
      </c>
      <c r="D235" s="21">
        <v>10</v>
      </c>
      <c r="E235" s="2">
        <v>0</v>
      </c>
      <c r="F235" s="2">
        <v>10</v>
      </c>
      <c r="G235" s="3" t="s">
        <v>22</v>
      </c>
      <c r="H235" s="2">
        <v>50</v>
      </c>
      <c r="I235" s="117" t="str">
        <f>B235&amp;0</f>
        <v>1770</v>
      </c>
      <c r="J235" s="112" t="s">
        <v>465</v>
      </c>
      <c r="K235" s="2" t="str">
        <f>B235&amp;3</f>
        <v>1773</v>
      </c>
      <c r="L235" s="2">
        <v>1</v>
      </c>
      <c r="M235" s="2" t="s">
        <v>84</v>
      </c>
      <c r="N235" s="2" t="s">
        <v>84</v>
      </c>
      <c r="O235" s="2" t="s">
        <v>841</v>
      </c>
      <c r="P235" s="2" t="s">
        <v>487</v>
      </c>
    </row>
    <row r="236" spans="1:16" ht="21" customHeight="1" x14ac:dyDescent="0.15">
      <c r="A236" s="10" t="str">
        <f t="shared" si="48"/>
        <v>178_1_1_1_polygon</v>
      </c>
      <c r="B236" s="2">
        <v>178</v>
      </c>
      <c r="C236" s="30" t="str">
        <f>VLOOKUP(B236,gachas!A:C,3)</f>
        <v>ミクガチャ（ミクUP）</v>
      </c>
      <c r="D236" s="21">
        <v>1</v>
      </c>
      <c r="E236" s="2">
        <v>1</v>
      </c>
      <c r="F236" s="2">
        <v>1</v>
      </c>
      <c r="G236" s="3" t="s">
        <v>22</v>
      </c>
      <c r="H236" s="2">
        <v>5</v>
      </c>
      <c r="I236" s="117" t="str">
        <f>B236&amp;0</f>
        <v>1780</v>
      </c>
      <c r="J236" s="115" t="s">
        <v>84</v>
      </c>
      <c r="K236" s="2" t="s">
        <v>84</v>
      </c>
      <c r="L236" s="2">
        <v>0</v>
      </c>
      <c r="M236" s="2" t="s">
        <v>84</v>
      </c>
      <c r="N236" s="2" t="s">
        <v>84</v>
      </c>
      <c r="O236" s="2" t="s">
        <v>841</v>
      </c>
      <c r="P236" s="2" t="s">
        <v>142</v>
      </c>
    </row>
    <row r="237" spans="1:16" ht="21" customHeight="1" x14ac:dyDescent="0.15">
      <c r="A237" s="10" t="str">
        <f t="shared" si="48"/>
        <v>178_1_0_1_polygon</v>
      </c>
      <c r="B237" s="2">
        <v>178</v>
      </c>
      <c r="C237" s="30" t="str">
        <f>VLOOKUP(B237,gachas!A:C,3)</f>
        <v>ミクガチャ（ミクUP）</v>
      </c>
      <c r="D237" s="21">
        <v>1</v>
      </c>
      <c r="E237" s="2">
        <v>0</v>
      </c>
      <c r="F237" s="2">
        <v>1</v>
      </c>
      <c r="G237" s="3" t="s">
        <v>22</v>
      </c>
      <c r="H237" s="2">
        <v>5</v>
      </c>
      <c r="I237" s="117" t="str">
        <f>B237&amp;1</f>
        <v>1781</v>
      </c>
      <c r="J237" s="115" t="s">
        <v>84</v>
      </c>
      <c r="K237" s="2" t="s">
        <v>84</v>
      </c>
      <c r="L237" s="2">
        <v>0</v>
      </c>
      <c r="M237" s="2" t="s">
        <v>84</v>
      </c>
      <c r="N237" s="2" t="s">
        <v>84</v>
      </c>
      <c r="O237" s="2" t="s">
        <v>841</v>
      </c>
      <c r="P237" s="2" t="s">
        <v>84</v>
      </c>
    </row>
    <row r="238" spans="1:16" ht="21" customHeight="1" x14ac:dyDescent="0.15">
      <c r="A238" s="10" t="str">
        <f t="shared" si="48"/>
        <v>178_10_0_10_polygon</v>
      </c>
      <c r="B238" s="2">
        <v>178</v>
      </c>
      <c r="C238" s="30" t="str">
        <f>VLOOKUP(B238,gachas!A:C,3)</f>
        <v>ミクガチャ（ミクUP）</v>
      </c>
      <c r="D238" s="21">
        <v>10</v>
      </c>
      <c r="E238" s="2">
        <v>0</v>
      </c>
      <c r="F238" s="2">
        <v>10</v>
      </c>
      <c r="G238" s="3" t="s">
        <v>22</v>
      </c>
      <c r="H238" s="2">
        <v>50</v>
      </c>
      <c r="I238" s="117" t="str">
        <f>B238&amp;0</f>
        <v>1780</v>
      </c>
      <c r="J238" s="112" t="s">
        <v>465</v>
      </c>
      <c r="K238" s="2" t="s">
        <v>466</v>
      </c>
      <c r="L238" s="2">
        <v>0</v>
      </c>
      <c r="M238" s="2" t="s">
        <v>84</v>
      </c>
      <c r="N238" s="2" t="s">
        <v>84</v>
      </c>
      <c r="O238" s="2" t="s">
        <v>841</v>
      </c>
      <c r="P238" s="2" t="s">
        <v>484</v>
      </c>
    </row>
    <row r="239" spans="1:16" ht="21" customHeight="1" x14ac:dyDescent="0.15">
      <c r="A239" s="10" t="str">
        <f t="shared" ref="A239:A244" si="49">B239&amp;"_"&amp;D239&amp;"_"&amp;E239&amp;"_"&amp;F239&amp;"_"&amp;G239</f>
        <v>179_10_1_1_polygon</v>
      </c>
      <c r="B239" s="2">
        <v>179</v>
      </c>
      <c r="C239" s="30" t="str">
        <f>VLOOKUP(B239,gachas!A:C,3)</f>
        <v>ミクガチャ（アペンドUP）</v>
      </c>
      <c r="D239" s="21">
        <v>10</v>
      </c>
      <c r="E239" s="2">
        <v>1</v>
      </c>
      <c r="F239" s="2">
        <v>1</v>
      </c>
      <c r="G239" s="3" t="s">
        <v>22</v>
      </c>
      <c r="H239" s="2">
        <v>3</v>
      </c>
      <c r="I239" s="117">
        <v>1831</v>
      </c>
      <c r="J239" s="112" t="s">
        <v>465</v>
      </c>
      <c r="K239" s="2" t="s">
        <v>84</v>
      </c>
      <c r="L239" s="2">
        <v>0</v>
      </c>
      <c r="M239" s="2" t="s">
        <v>84</v>
      </c>
      <c r="N239" s="2" t="s">
        <v>84</v>
      </c>
      <c r="O239" s="2" t="s">
        <v>841</v>
      </c>
      <c r="P239" s="2" t="s">
        <v>503</v>
      </c>
    </row>
    <row r="240" spans="1:16" ht="21" customHeight="1" x14ac:dyDescent="0.15">
      <c r="A240" s="10" t="str">
        <f t="shared" si="49"/>
        <v>179_10_2_3_polygon</v>
      </c>
      <c r="B240" s="2">
        <v>179</v>
      </c>
      <c r="C240" s="30" t="str">
        <f>VLOOKUP(B240,gachas!A:C,3)</f>
        <v>ミクガチャ（アペンドUP）</v>
      </c>
      <c r="D240" s="21">
        <v>10</v>
      </c>
      <c r="E240" s="2">
        <v>2</v>
      </c>
      <c r="F240" s="2">
        <v>3</v>
      </c>
      <c r="G240" s="3" t="s">
        <v>22</v>
      </c>
      <c r="H240" s="2">
        <v>9</v>
      </c>
      <c r="I240" s="117">
        <v>1831</v>
      </c>
      <c r="J240" s="112" t="s">
        <v>465</v>
      </c>
      <c r="K240" s="2" t="s">
        <v>84</v>
      </c>
      <c r="L240" s="2">
        <v>0</v>
      </c>
      <c r="M240" s="2" t="s">
        <v>84</v>
      </c>
      <c r="N240" s="2" t="s">
        <v>84</v>
      </c>
      <c r="O240" s="2" t="s">
        <v>841</v>
      </c>
      <c r="P240" s="2" t="s">
        <v>504</v>
      </c>
    </row>
    <row r="241" spans="1:16" ht="21" customHeight="1" x14ac:dyDescent="0.15">
      <c r="A241" s="10" t="str">
        <f t="shared" si="49"/>
        <v>179_10_3_10_polygon</v>
      </c>
      <c r="B241" s="2">
        <v>179</v>
      </c>
      <c r="C241" s="30" t="str">
        <f>VLOOKUP(B241,gachas!A:C,3)</f>
        <v>ミクガチャ（アペンドUP）</v>
      </c>
      <c r="D241" s="21">
        <v>10</v>
      </c>
      <c r="E241" s="2">
        <v>3</v>
      </c>
      <c r="F241" s="2">
        <v>10</v>
      </c>
      <c r="G241" s="3" t="s">
        <v>22</v>
      </c>
      <c r="H241" s="2">
        <v>39</v>
      </c>
      <c r="I241" s="117">
        <v>1831</v>
      </c>
      <c r="J241" s="112" t="s">
        <v>465</v>
      </c>
      <c r="K241" s="2">
        <v>1834</v>
      </c>
      <c r="L241" s="2">
        <v>1</v>
      </c>
      <c r="M241" s="2" t="s">
        <v>84</v>
      </c>
      <c r="N241" s="2" t="s">
        <v>84</v>
      </c>
      <c r="O241" s="2" t="s">
        <v>841</v>
      </c>
      <c r="P241" s="2" t="s">
        <v>505</v>
      </c>
    </row>
    <row r="242" spans="1:16" ht="21" customHeight="1" x14ac:dyDescent="0.15">
      <c r="A242" s="10" t="str">
        <f t="shared" si="49"/>
        <v>179_10_4_10_polygon</v>
      </c>
      <c r="B242" s="2">
        <v>179</v>
      </c>
      <c r="C242" s="30" t="str">
        <f>VLOOKUP(B242,gachas!A:C,3)</f>
        <v>ミクガチャ（アペンドUP）</v>
      </c>
      <c r="D242" s="21">
        <v>10</v>
      </c>
      <c r="E242" s="2">
        <v>4</v>
      </c>
      <c r="F242" s="2">
        <v>10</v>
      </c>
      <c r="G242" s="3" t="s">
        <v>22</v>
      </c>
      <c r="H242" s="2">
        <v>50</v>
      </c>
      <c r="I242" s="117">
        <v>1832</v>
      </c>
      <c r="J242" s="112" t="s">
        <v>465</v>
      </c>
      <c r="K242" s="2" t="s">
        <v>84</v>
      </c>
      <c r="L242" s="2">
        <v>0</v>
      </c>
      <c r="M242" s="2" t="s">
        <v>84</v>
      </c>
      <c r="N242" s="2" t="s">
        <v>84</v>
      </c>
      <c r="O242" s="2" t="s">
        <v>841</v>
      </c>
      <c r="P242" s="2" t="s">
        <v>506</v>
      </c>
    </row>
    <row r="243" spans="1:16" ht="21" customHeight="1" x14ac:dyDescent="0.15">
      <c r="A243" s="10" t="str">
        <f t="shared" ref="A243" si="50">B243&amp;"_"&amp;D243&amp;"_"&amp;E243&amp;"_"&amp;F243&amp;"_"&amp;G243</f>
        <v>179_10_5_10_polygon</v>
      </c>
      <c r="B243" s="2">
        <v>179</v>
      </c>
      <c r="C243" s="30" t="str">
        <f>VLOOKUP(B243,gachas!A:C,3)</f>
        <v>ミクガチャ（アペンドUP）</v>
      </c>
      <c r="D243" s="21">
        <v>10</v>
      </c>
      <c r="E243" s="2">
        <v>5</v>
      </c>
      <c r="F243" s="2">
        <v>10</v>
      </c>
      <c r="G243" s="3" t="s">
        <v>22</v>
      </c>
      <c r="H243" s="2">
        <v>50</v>
      </c>
      <c r="I243" s="117">
        <v>1833</v>
      </c>
      <c r="J243" s="112" t="s">
        <v>465</v>
      </c>
      <c r="K243" s="2" t="s">
        <v>501</v>
      </c>
      <c r="L243" s="2">
        <v>0</v>
      </c>
      <c r="M243" s="2" t="s">
        <v>84</v>
      </c>
      <c r="N243" s="2" t="s">
        <v>84</v>
      </c>
      <c r="O243" s="2" t="s">
        <v>841</v>
      </c>
      <c r="P243" s="2" t="s">
        <v>507</v>
      </c>
    </row>
    <row r="244" spans="1:16" ht="21" customHeight="1" x14ac:dyDescent="0.15">
      <c r="A244" s="10" t="str">
        <f t="shared" si="49"/>
        <v>179_10_0_10_polygon</v>
      </c>
      <c r="B244" s="2">
        <v>179</v>
      </c>
      <c r="C244" s="30" t="str">
        <f>VLOOKUP(B244,gachas!A:C,3)</f>
        <v>ミクガチャ（アペンドUP）</v>
      </c>
      <c r="D244" s="21">
        <v>10</v>
      </c>
      <c r="E244" s="2">
        <v>0</v>
      </c>
      <c r="F244" s="2">
        <v>10</v>
      </c>
      <c r="G244" s="3" t="s">
        <v>22</v>
      </c>
      <c r="H244" s="2">
        <v>50</v>
      </c>
      <c r="I244" s="117">
        <v>1830</v>
      </c>
      <c r="J244" s="112" t="s">
        <v>465</v>
      </c>
      <c r="K244" s="2" t="s">
        <v>84</v>
      </c>
      <c r="L244" s="2">
        <v>0</v>
      </c>
      <c r="M244" s="2" t="s">
        <v>84</v>
      </c>
      <c r="N244" s="2" t="s">
        <v>84</v>
      </c>
      <c r="O244" s="2" t="s">
        <v>841</v>
      </c>
      <c r="P244" s="2" t="s">
        <v>508</v>
      </c>
    </row>
    <row r="245" spans="1:16" ht="21" customHeight="1" x14ac:dyDescent="0.15">
      <c r="A245" s="10" t="str">
        <f t="shared" ref="A245:A253" si="51">B245&amp;"_"&amp;D245&amp;"_"&amp;E245&amp;"_"&amp;F245&amp;"_"&amp;G245</f>
        <v>180_1_1_1_polygon</v>
      </c>
      <c r="B245" s="2">
        <v>180</v>
      </c>
      <c r="C245" s="30" t="str">
        <f>VLOOKUP(B245,gachas!A:C,3)</f>
        <v>フィーバーフェスティバル</v>
      </c>
      <c r="D245" s="21">
        <v>1</v>
      </c>
      <c r="E245" s="2">
        <v>1</v>
      </c>
      <c r="F245" s="2">
        <v>1</v>
      </c>
      <c r="G245" s="3" t="s">
        <v>22</v>
      </c>
      <c r="H245" s="2">
        <v>5</v>
      </c>
      <c r="I245" s="117" t="str">
        <f t="shared" ref="I245" si="52">B245&amp;0</f>
        <v>1800</v>
      </c>
      <c r="J245" s="115" t="s">
        <v>84</v>
      </c>
      <c r="K245" s="2" t="s">
        <v>84</v>
      </c>
      <c r="L245" s="2">
        <v>0</v>
      </c>
      <c r="M245" s="2" t="s">
        <v>84</v>
      </c>
      <c r="N245" s="2" t="s">
        <v>84</v>
      </c>
      <c r="O245" s="2" t="s">
        <v>841</v>
      </c>
      <c r="P245" s="2" t="s">
        <v>142</v>
      </c>
    </row>
    <row r="246" spans="1:16" ht="21" customHeight="1" x14ac:dyDescent="0.15">
      <c r="A246" s="10" t="str">
        <f t="shared" si="51"/>
        <v>180_1_0_1_polygon</v>
      </c>
      <c r="B246" s="2">
        <v>180</v>
      </c>
      <c r="C246" s="30" t="str">
        <f>VLOOKUP(B246,gachas!A:C,3)</f>
        <v>フィーバーフェスティバル</v>
      </c>
      <c r="D246" s="21">
        <v>1</v>
      </c>
      <c r="E246" s="2">
        <v>0</v>
      </c>
      <c r="F246" s="2">
        <v>1</v>
      </c>
      <c r="G246" s="3" t="s">
        <v>22</v>
      </c>
      <c r="H246" s="2">
        <v>5</v>
      </c>
      <c r="I246" s="117" t="str">
        <f>B246&amp;1</f>
        <v>1801</v>
      </c>
      <c r="J246" s="115" t="s">
        <v>84</v>
      </c>
      <c r="K246" s="2" t="s">
        <v>84</v>
      </c>
      <c r="L246" s="2">
        <v>0</v>
      </c>
      <c r="M246" s="2" t="s">
        <v>84</v>
      </c>
      <c r="N246" s="2" t="s">
        <v>84</v>
      </c>
      <c r="O246" s="2" t="s">
        <v>841</v>
      </c>
      <c r="P246" s="2" t="s">
        <v>84</v>
      </c>
    </row>
    <row r="247" spans="1:16" ht="21" customHeight="1" x14ac:dyDescent="0.15">
      <c r="A247" s="10" t="str">
        <f t="shared" si="51"/>
        <v>180_10_0_10_polygon</v>
      </c>
      <c r="B247" s="2">
        <v>180</v>
      </c>
      <c r="C247" s="30" t="str">
        <f>VLOOKUP(B247,gachas!A:C,3)</f>
        <v>フィーバーフェスティバル</v>
      </c>
      <c r="D247" s="21">
        <v>10</v>
      </c>
      <c r="E247" s="2">
        <v>0</v>
      </c>
      <c r="F247" s="2">
        <v>10</v>
      </c>
      <c r="G247" s="3" t="s">
        <v>22</v>
      </c>
      <c r="H247" s="2">
        <v>50</v>
      </c>
      <c r="I247" s="117" t="str">
        <f>B247&amp;0</f>
        <v>1800</v>
      </c>
      <c r="J247" s="112" t="s">
        <v>465</v>
      </c>
      <c r="K247" s="2" t="s">
        <v>466</v>
      </c>
      <c r="L247" s="2">
        <v>0</v>
      </c>
      <c r="M247" s="2" t="s">
        <v>84</v>
      </c>
      <c r="N247" s="2" t="s">
        <v>84</v>
      </c>
      <c r="O247" s="2" t="s">
        <v>841</v>
      </c>
      <c r="P247" s="2" t="s">
        <v>467</v>
      </c>
    </row>
    <row r="248" spans="1:16" ht="21" customHeight="1" x14ac:dyDescent="0.15">
      <c r="A248" s="10" t="str">
        <f t="shared" si="51"/>
        <v>181_1_1_1_polygon</v>
      </c>
      <c r="B248" s="2">
        <v>181</v>
      </c>
      <c r="C248" s="30" t="str">
        <f>VLOOKUP(B248,gachas!A:C,3)</f>
        <v>ピックアップフィーバー</v>
      </c>
      <c r="D248" s="21">
        <v>1</v>
      </c>
      <c r="E248" s="2">
        <v>1</v>
      </c>
      <c r="F248" s="2">
        <v>1</v>
      </c>
      <c r="G248" s="3" t="s">
        <v>22</v>
      </c>
      <c r="H248" s="2">
        <v>5</v>
      </c>
      <c r="I248" s="117" t="str">
        <f>B248&amp;0</f>
        <v>1810</v>
      </c>
      <c r="J248" s="115" t="s">
        <v>84</v>
      </c>
      <c r="K248" s="2" t="s">
        <v>84</v>
      </c>
      <c r="L248" s="2">
        <v>0</v>
      </c>
      <c r="M248" s="2" t="s">
        <v>84</v>
      </c>
      <c r="N248" s="2" t="s">
        <v>84</v>
      </c>
      <c r="O248" s="2" t="s">
        <v>841</v>
      </c>
      <c r="P248" s="2" t="s">
        <v>142</v>
      </c>
    </row>
    <row r="249" spans="1:16" ht="21" customHeight="1" x14ac:dyDescent="0.15">
      <c r="A249" s="10" t="str">
        <f t="shared" si="51"/>
        <v>181_1_0_1_polygon</v>
      </c>
      <c r="B249" s="2">
        <v>181</v>
      </c>
      <c r="C249" s="30" t="str">
        <f>VLOOKUP(B249,gachas!A:C,3)</f>
        <v>ピックアップフィーバー</v>
      </c>
      <c r="D249" s="21">
        <v>1</v>
      </c>
      <c r="E249" s="2">
        <v>0</v>
      </c>
      <c r="F249" s="2">
        <v>1</v>
      </c>
      <c r="G249" s="3" t="s">
        <v>22</v>
      </c>
      <c r="H249" s="2">
        <v>5</v>
      </c>
      <c r="I249" s="117" t="str">
        <f>B249&amp;1</f>
        <v>1811</v>
      </c>
      <c r="J249" s="115" t="s">
        <v>84</v>
      </c>
      <c r="K249" s="2" t="s">
        <v>84</v>
      </c>
      <c r="L249" s="2">
        <v>0</v>
      </c>
      <c r="M249" s="2" t="s">
        <v>84</v>
      </c>
      <c r="N249" s="2" t="s">
        <v>84</v>
      </c>
      <c r="O249" s="2" t="s">
        <v>841</v>
      </c>
      <c r="P249" s="2" t="s">
        <v>84</v>
      </c>
    </row>
    <row r="250" spans="1:16" ht="21" customHeight="1" x14ac:dyDescent="0.15">
      <c r="A250" s="10" t="str">
        <f t="shared" si="51"/>
        <v>181_10_0_10_polygon</v>
      </c>
      <c r="B250" s="2">
        <v>181</v>
      </c>
      <c r="C250" s="30" t="str">
        <f>VLOOKUP(B250,gachas!A:C,3)</f>
        <v>ピックアップフィーバー</v>
      </c>
      <c r="D250" s="21">
        <v>10</v>
      </c>
      <c r="E250" s="2">
        <v>0</v>
      </c>
      <c r="F250" s="2">
        <v>10</v>
      </c>
      <c r="G250" s="3" t="s">
        <v>22</v>
      </c>
      <c r="H250" s="2">
        <v>50</v>
      </c>
      <c r="I250" s="117" t="str">
        <f>B250&amp;0</f>
        <v>1810</v>
      </c>
      <c r="J250" s="112" t="s">
        <v>84</v>
      </c>
      <c r="K250" s="2">
        <v>1813</v>
      </c>
      <c r="L250" s="2">
        <v>1</v>
      </c>
      <c r="M250" s="2" t="s">
        <v>84</v>
      </c>
      <c r="N250" s="2" t="s">
        <v>84</v>
      </c>
      <c r="O250" s="2" t="s">
        <v>841</v>
      </c>
      <c r="P250" s="2" t="s">
        <v>426</v>
      </c>
    </row>
    <row r="251" spans="1:16" ht="21" customHeight="1" x14ac:dyDescent="0.15">
      <c r="A251" s="10" t="str">
        <f t="shared" si="51"/>
        <v>182_1_1_1_polygon</v>
      </c>
      <c r="B251" s="2">
        <v>182</v>
      </c>
      <c r="C251" s="30" t="str">
        <f>VLOOKUP(B251,gachas!A:C,3)</f>
        <v>ラグナロクガチャ２</v>
      </c>
      <c r="D251" s="21">
        <v>1</v>
      </c>
      <c r="E251" s="2">
        <v>1</v>
      </c>
      <c r="F251" s="2">
        <v>1</v>
      </c>
      <c r="G251" s="3" t="s">
        <v>22</v>
      </c>
      <c r="H251" s="2">
        <v>5</v>
      </c>
      <c r="I251" s="117" t="str">
        <f>B251&amp;0</f>
        <v>1820</v>
      </c>
      <c r="J251" s="115" t="s">
        <v>84</v>
      </c>
      <c r="K251" s="2" t="s">
        <v>84</v>
      </c>
      <c r="L251" s="2">
        <v>0</v>
      </c>
      <c r="M251" s="2" t="s">
        <v>84</v>
      </c>
      <c r="N251" s="2" t="s">
        <v>84</v>
      </c>
      <c r="O251" s="2" t="s">
        <v>841</v>
      </c>
      <c r="P251" s="2" t="s">
        <v>142</v>
      </c>
    </row>
    <row r="252" spans="1:16" ht="21" customHeight="1" x14ac:dyDescent="0.15">
      <c r="A252" s="10" t="str">
        <f t="shared" si="51"/>
        <v>182_1_0_1_polygon</v>
      </c>
      <c r="B252" s="2">
        <v>182</v>
      </c>
      <c r="C252" s="30" t="str">
        <f>VLOOKUP(B252,gachas!A:C,3)</f>
        <v>ラグナロクガチャ２</v>
      </c>
      <c r="D252" s="21">
        <v>1</v>
      </c>
      <c r="E252" s="2">
        <v>0</v>
      </c>
      <c r="F252" s="2">
        <v>1</v>
      </c>
      <c r="G252" s="3" t="s">
        <v>22</v>
      </c>
      <c r="H252" s="2">
        <v>5</v>
      </c>
      <c r="I252" s="117" t="str">
        <f>B252&amp;1</f>
        <v>1821</v>
      </c>
      <c r="J252" s="115" t="s">
        <v>84</v>
      </c>
      <c r="K252" s="2" t="s">
        <v>84</v>
      </c>
      <c r="L252" s="2">
        <v>0</v>
      </c>
      <c r="M252" s="2" t="s">
        <v>84</v>
      </c>
      <c r="N252" s="2" t="s">
        <v>84</v>
      </c>
      <c r="O252" s="2" t="s">
        <v>841</v>
      </c>
      <c r="P252" s="2" t="s">
        <v>84</v>
      </c>
    </row>
    <row r="253" spans="1:16" ht="21" customHeight="1" x14ac:dyDescent="0.15">
      <c r="A253" s="10" t="str">
        <f t="shared" si="51"/>
        <v>182_10_0_10_polygon</v>
      </c>
      <c r="B253" s="2">
        <v>182</v>
      </c>
      <c r="C253" s="30" t="str">
        <f>VLOOKUP(B253,gachas!A:C,3)</f>
        <v>ラグナロクガチャ２</v>
      </c>
      <c r="D253" s="21">
        <v>10</v>
      </c>
      <c r="E253" s="2">
        <v>0</v>
      </c>
      <c r="F253" s="2">
        <v>10</v>
      </c>
      <c r="G253" s="3" t="s">
        <v>22</v>
      </c>
      <c r="H253" s="2">
        <v>50</v>
      </c>
      <c r="I253" s="117" t="str">
        <f>B253&amp;0</f>
        <v>1820</v>
      </c>
      <c r="J253" s="112" t="s">
        <v>84</v>
      </c>
      <c r="K253" s="2" t="s">
        <v>84</v>
      </c>
      <c r="L253" s="2">
        <v>0</v>
      </c>
      <c r="M253" s="2" t="s">
        <v>84</v>
      </c>
      <c r="N253" s="2" t="s">
        <v>84</v>
      </c>
      <c r="O253" s="2" t="s">
        <v>841</v>
      </c>
      <c r="P253" s="2" t="s">
        <v>143</v>
      </c>
    </row>
    <row r="254" spans="1:16" ht="21" customHeight="1" x14ac:dyDescent="0.15">
      <c r="A254" s="10" t="str">
        <f t="shared" ref="A254:A301" si="53">B254&amp;"_"&amp;D254&amp;"_"&amp;E254&amp;"_"&amp;F254&amp;"_"&amp;G254</f>
        <v>184_1_1_1_polygon</v>
      </c>
      <c r="B254" s="2">
        <v>184</v>
      </c>
      <c r="C254" s="30" t="str">
        <f>VLOOKUP(B254,gachas!A:C,3)</f>
        <v>イエローフェス（ハップル）</v>
      </c>
      <c r="D254" s="21">
        <v>1</v>
      </c>
      <c r="E254" s="2">
        <v>1</v>
      </c>
      <c r="F254" s="2">
        <v>1</v>
      </c>
      <c r="G254" s="3" t="s">
        <v>22</v>
      </c>
      <c r="H254" s="2">
        <v>5</v>
      </c>
      <c r="I254" s="117" t="str">
        <f>B254&amp;0</f>
        <v>1840</v>
      </c>
      <c r="J254" s="115" t="s">
        <v>84</v>
      </c>
      <c r="K254" s="2" t="s">
        <v>84</v>
      </c>
      <c r="L254" s="2">
        <v>0</v>
      </c>
      <c r="M254" s="2" t="s">
        <v>84</v>
      </c>
      <c r="N254" s="2" t="s">
        <v>84</v>
      </c>
      <c r="O254" s="2" t="s">
        <v>841</v>
      </c>
      <c r="P254" s="2" t="s">
        <v>142</v>
      </c>
    </row>
    <row r="255" spans="1:16" ht="21" customHeight="1" x14ac:dyDescent="0.15">
      <c r="A255" s="10" t="str">
        <f t="shared" si="53"/>
        <v>184_1_0_1_polygon</v>
      </c>
      <c r="B255" s="2">
        <v>184</v>
      </c>
      <c r="C255" s="30" t="str">
        <f>VLOOKUP(B255,gachas!A:C,3)</f>
        <v>イエローフェス（ハップル）</v>
      </c>
      <c r="D255" s="21">
        <v>1</v>
      </c>
      <c r="E255" s="2">
        <v>0</v>
      </c>
      <c r="F255" s="2">
        <v>1</v>
      </c>
      <c r="G255" s="3" t="s">
        <v>22</v>
      </c>
      <c r="H255" s="2">
        <v>5</v>
      </c>
      <c r="I255" s="117" t="str">
        <f>B255&amp;1</f>
        <v>1841</v>
      </c>
      <c r="J255" s="115" t="s">
        <v>84</v>
      </c>
      <c r="K255" s="2" t="s">
        <v>84</v>
      </c>
      <c r="L255" s="2">
        <v>0</v>
      </c>
      <c r="M255" s="2" t="s">
        <v>84</v>
      </c>
      <c r="N255" s="2" t="s">
        <v>84</v>
      </c>
      <c r="O255" s="2" t="s">
        <v>841</v>
      </c>
      <c r="P255" s="2" t="s">
        <v>84</v>
      </c>
    </row>
    <row r="256" spans="1:16" ht="21" customHeight="1" x14ac:dyDescent="0.15">
      <c r="A256" s="10" t="str">
        <f t="shared" si="53"/>
        <v>184_10_0_10_polygon</v>
      </c>
      <c r="B256" s="2">
        <v>184</v>
      </c>
      <c r="C256" s="30" t="str">
        <f>VLOOKUP(B256,gachas!A:C,3)</f>
        <v>イエローフェス（ハップル）</v>
      </c>
      <c r="D256" s="21">
        <v>10</v>
      </c>
      <c r="E256" s="2">
        <v>0</v>
      </c>
      <c r="F256" s="2">
        <v>10</v>
      </c>
      <c r="G256" s="3" t="s">
        <v>22</v>
      </c>
      <c r="H256" s="2">
        <v>50</v>
      </c>
      <c r="I256" s="117" t="str">
        <f>B256&amp;0</f>
        <v>1840</v>
      </c>
      <c r="J256" s="112" t="s">
        <v>465</v>
      </c>
      <c r="K256" s="2">
        <v>1843</v>
      </c>
      <c r="L256" s="2">
        <v>1</v>
      </c>
      <c r="M256" s="2" t="s">
        <v>84</v>
      </c>
      <c r="N256" s="2" t="s">
        <v>84</v>
      </c>
      <c r="O256" s="2" t="s">
        <v>841</v>
      </c>
      <c r="P256" s="2" t="s">
        <v>517</v>
      </c>
    </row>
    <row r="257" spans="1:16" ht="21" customHeight="1" x14ac:dyDescent="0.15">
      <c r="A257" s="10" t="str">
        <f t="shared" ref="A257:A259" si="54">B257&amp;"_"&amp;D257&amp;"_"&amp;E257&amp;"_"&amp;F257&amp;"_"&amp;G257</f>
        <v>185_1_1_1_polygon</v>
      </c>
      <c r="B257" s="2">
        <v>185</v>
      </c>
      <c r="C257" s="30" t="str">
        <f>VLOOKUP(B257,gachas!A:C,3)</f>
        <v>旧Wiz対抗ピックアップ</v>
      </c>
      <c r="D257" s="21">
        <v>1</v>
      </c>
      <c r="E257" s="2">
        <v>1</v>
      </c>
      <c r="F257" s="2">
        <v>1</v>
      </c>
      <c r="G257" s="3" t="s">
        <v>22</v>
      </c>
      <c r="H257" s="2">
        <v>5</v>
      </c>
      <c r="I257" s="117" t="str">
        <f>B257&amp;0</f>
        <v>1850</v>
      </c>
      <c r="J257" s="115" t="s">
        <v>84</v>
      </c>
      <c r="K257" s="2" t="s">
        <v>84</v>
      </c>
      <c r="L257" s="2">
        <v>0</v>
      </c>
      <c r="M257" s="2" t="s">
        <v>84</v>
      </c>
      <c r="N257" s="2" t="s">
        <v>84</v>
      </c>
      <c r="O257" s="2" t="s">
        <v>841</v>
      </c>
      <c r="P257" s="2" t="s">
        <v>142</v>
      </c>
    </row>
    <row r="258" spans="1:16" ht="21" customHeight="1" x14ac:dyDescent="0.15">
      <c r="A258" s="10" t="str">
        <f t="shared" si="54"/>
        <v>185_1_0_1_polygon</v>
      </c>
      <c r="B258" s="2">
        <v>185</v>
      </c>
      <c r="C258" s="30" t="str">
        <f>VLOOKUP(B258,gachas!A:C,3)</f>
        <v>旧Wiz対抗ピックアップ</v>
      </c>
      <c r="D258" s="21">
        <v>1</v>
      </c>
      <c r="E258" s="2">
        <v>0</v>
      </c>
      <c r="F258" s="2">
        <v>1</v>
      </c>
      <c r="G258" s="3" t="s">
        <v>22</v>
      </c>
      <c r="H258" s="2">
        <v>5</v>
      </c>
      <c r="I258" s="117" t="str">
        <f>B258&amp;1</f>
        <v>1851</v>
      </c>
      <c r="J258" s="115" t="s">
        <v>84</v>
      </c>
      <c r="K258" s="2" t="s">
        <v>84</v>
      </c>
      <c r="L258" s="2">
        <v>0</v>
      </c>
      <c r="M258" s="2" t="s">
        <v>84</v>
      </c>
      <c r="N258" s="2" t="s">
        <v>84</v>
      </c>
      <c r="O258" s="2" t="s">
        <v>841</v>
      </c>
      <c r="P258" s="2" t="s">
        <v>84</v>
      </c>
    </row>
    <row r="259" spans="1:16" ht="21" customHeight="1" x14ac:dyDescent="0.15">
      <c r="A259" s="10" t="str">
        <f t="shared" si="54"/>
        <v>185_10_0_10_polygon</v>
      </c>
      <c r="B259" s="2">
        <v>185</v>
      </c>
      <c r="C259" s="30" t="str">
        <f>VLOOKUP(B259,gachas!A:C,3)</f>
        <v>旧Wiz対抗ピックアップ</v>
      </c>
      <c r="D259" s="21">
        <v>10</v>
      </c>
      <c r="E259" s="2">
        <v>0</v>
      </c>
      <c r="F259" s="2">
        <v>10</v>
      </c>
      <c r="G259" s="3" t="s">
        <v>22</v>
      </c>
      <c r="H259" s="2">
        <v>50</v>
      </c>
      <c r="I259" s="117" t="str">
        <f>B259&amp;0</f>
        <v>1850</v>
      </c>
      <c r="J259" s="112" t="s">
        <v>87</v>
      </c>
      <c r="K259" s="2">
        <v>1853</v>
      </c>
      <c r="L259" s="2">
        <v>1</v>
      </c>
      <c r="M259" s="2" t="s">
        <v>84</v>
      </c>
      <c r="N259" s="2" t="s">
        <v>84</v>
      </c>
      <c r="O259" s="2" t="s">
        <v>841</v>
      </c>
      <c r="P259" s="2" t="s">
        <v>289</v>
      </c>
    </row>
    <row r="260" spans="1:16" ht="21" customHeight="1" x14ac:dyDescent="0.15">
      <c r="A260" s="10" t="str">
        <f t="shared" si="53"/>
        <v>186_10_1_1_polygon</v>
      </c>
      <c r="B260" s="2">
        <v>186</v>
      </c>
      <c r="C260" s="30" t="str">
        <f>VLOOKUP(B260,gachas!A:C,3)&amp;E260&amp;"回目"</f>
        <v>ステップアップフィーバー1回目</v>
      </c>
      <c r="D260" s="21">
        <v>10</v>
      </c>
      <c r="E260" s="2">
        <v>1</v>
      </c>
      <c r="F260" s="2">
        <v>1</v>
      </c>
      <c r="G260" s="3" t="s">
        <v>22</v>
      </c>
      <c r="H260" s="2">
        <v>1</v>
      </c>
      <c r="I260" s="116">
        <v>1861</v>
      </c>
      <c r="J260" s="115" t="s">
        <v>391</v>
      </c>
      <c r="K260" s="2" t="s">
        <v>84</v>
      </c>
      <c r="L260" s="2">
        <v>0</v>
      </c>
      <c r="M260" s="2" t="s">
        <v>84</v>
      </c>
      <c r="N260" s="2" t="s">
        <v>84</v>
      </c>
      <c r="O260" s="2" t="s">
        <v>841</v>
      </c>
      <c r="P260" s="2" t="s">
        <v>533</v>
      </c>
    </row>
    <row r="261" spans="1:16" ht="21" customHeight="1" x14ac:dyDescent="0.15">
      <c r="A261" s="10" t="str">
        <f t="shared" si="53"/>
        <v>186_10_2_1_polygon</v>
      </c>
      <c r="B261" s="2">
        <v>186</v>
      </c>
      <c r="C261" s="30" t="str">
        <f>VLOOKUP(B261,gachas!A:C,3)&amp;E261&amp;"回目"</f>
        <v>ステップアップフィーバー2回目</v>
      </c>
      <c r="D261" s="21">
        <v>10</v>
      </c>
      <c r="E261" s="2">
        <v>2</v>
      </c>
      <c r="F261" s="2">
        <v>1</v>
      </c>
      <c r="G261" s="3" t="s">
        <v>22</v>
      </c>
      <c r="H261" s="2">
        <v>2</v>
      </c>
      <c r="I261" s="116">
        <v>1862</v>
      </c>
      <c r="J261" s="115" t="s">
        <v>391</v>
      </c>
      <c r="K261" s="2" t="s">
        <v>84</v>
      </c>
      <c r="L261" s="2">
        <v>0</v>
      </c>
      <c r="M261" s="2" t="s">
        <v>84</v>
      </c>
      <c r="N261" s="2" t="s">
        <v>84</v>
      </c>
      <c r="O261" s="2" t="s">
        <v>841</v>
      </c>
      <c r="P261" s="2" t="s">
        <v>436</v>
      </c>
    </row>
    <row r="262" spans="1:16" ht="21" customHeight="1" x14ac:dyDescent="0.15">
      <c r="A262" s="10" t="str">
        <f t="shared" si="53"/>
        <v>186_10_3_1_polygon</v>
      </c>
      <c r="B262" s="2">
        <v>186</v>
      </c>
      <c r="C262" s="30" t="str">
        <f>VLOOKUP(B262,gachas!A:C,3)&amp;E262&amp;"回目"</f>
        <v>ステップアップフィーバー3回目</v>
      </c>
      <c r="D262" s="21">
        <v>10</v>
      </c>
      <c r="E262" s="2">
        <v>3</v>
      </c>
      <c r="F262" s="2">
        <v>1</v>
      </c>
      <c r="G262" s="3" t="s">
        <v>22</v>
      </c>
      <c r="H262" s="2">
        <v>5</v>
      </c>
      <c r="I262" s="116">
        <v>1863</v>
      </c>
      <c r="J262" s="112" t="s">
        <v>391</v>
      </c>
      <c r="K262" s="2" t="s">
        <v>87</v>
      </c>
      <c r="L262" s="2">
        <v>0</v>
      </c>
      <c r="M262" s="2" t="s">
        <v>84</v>
      </c>
      <c r="N262" s="2" t="s">
        <v>84</v>
      </c>
      <c r="O262" s="2" t="s">
        <v>841</v>
      </c>
      <c r="P262" s="2" t="s">
        <v>534</v>
      </c>
    </row>
    <row r="263" spans="1:16" ht="21" customHeight="1" x14ac:dyDescent="0.15">
      <c r="A263" s="10" t="str">
        <f t="shared" si="53"/>
        <v>186_10_4_5_polygon</v>
      </c>
      <c r="B263" s="2">
        <v>186</v>
      </c>
      <c r="C263" s="30" t="str">
        <f>VLOOKUP(B263,gachas!A:C,3)&amp;E263&amp;"回目"</f>
        <v>ステップアップフィーバー4回目</v>
      </c>
      <c r="D263" s="21">
        <v>10</v>
      </c>
      <c r="E263" s="2">
        <v>4</v>
      </c>
      <c r="F263" s="2">
        <v>5</v>
      </c>
      <c r="G263" s="3" t="s">
        <v>22</v>
      </c>
      <c r="H263" s="2">
        <v>15</v>
      </c>
      <c r="I263" s="116">
        <v>1864</v>
      </c>
      <c r="J263" s="115" t="s">
        <v>391</v>
      </c>
      <c r="K263" s="2" t="s">
        <v>84</v>
      </c>
      <c r="L263" s="2">
        <v>0</v>
      </c>
      <c r="M263" s="2" t="s">
        <v>84</v>
      </c>
      <c r="N263" s="2" t="s">
        <v>84</v>
      </c>
      <c r="O263" s="2" t="s">
        <v>841</v>
      </c>
      <c r="P263" s="2" t="s">
        <v>535</v>
      </c>
    </row>
    <row r="264" spans="1:16" ht="21" customHeight="1" x14ac:dyDescent="0.15">
      <c r="A264" s="10" t="str">
        <f t="shared" si="53"/>
        <v>186_10_5_5_polygon</v>
      </c>
      <c r="B264" s="2">
        <v>186</v>
      </c>
      <c r="C264" s="30" t="str">
        <f>VLOOKUP(B264,gachas!A:C,3)&amp;E264&amp;"回目"</f>
        <v>ステップアップフィーバー5回目</v>
      </c>
      <c r="D264" s="21">
        <v>10</v>
      </c>
      <c r="E264" s="2">
        <v>5</v>
      </c>
      <c r="F264" s="2">
        <v>5</v>
      </c>
      <c r="G264" s="3" t="s">
        <v>22</v>
      </c>
      <c r="H264" s="2">
        <v>25</v>
      </c>
      <c r="I264" s="116">
        <v>1865</v>
      </c>
      <c r="J264" s="115" t="s">
        <v>391</v>
      </c>
      <c r="K264" s="2">
        <v>1867</v>
      </c>
      <c r="L264" s="2">
        <v>1</v>
      </c>
      <c r="M264" s="2" t="s">
        <v>84</v>
      </c>
      <c r="N264" s="2" t="s">
        <v>84</v>
      </c>
      <c r="O264" s="2" t="s">
        <v>841</v>
      </c>
      <c r="P264" s="2" t="s">
        <v>536</v>
      </c>
    </row>
    <row r="265" spans="1:16" ht="21" customHeight="1" x14ac:dyDescent="0.15">
      <c r="A265" s="10" t="str">
        <f t="shared" si="53"/>
        <v>186_10_6_10_polygon</v>
      </c>
      <c r="B265" s="2">
        <v>186</v>
      </c>
      <c r="C265" s="30" t="str">
        <f>VLOOKUP(B265,gachas!A:C,3)&amp;E265&amp;"回目"</f>
        <v>ステップアップフィーバー6回目</v>
      </c>
      <c r="D265" s="21">
        <v>10</v>
      </c>
      <c r="E265" s="2">
        <v>6</v>
      </c>
      <c r="F265" s="2">
        <v>10</v>
      </c>
      <c r="G265" s="3" t="s">
        <v>22</v>
      </c>
      <c r="H265" s="2">
        <v>50</v>
      </c>
      <c r="I265" s="116">
        <v>1866</v>
      </c>
      <c r="J265" s="112" t="s">
        <v>391</v>
      </c>
      <c r="K265" s="2">
        <v>1868</v>
      </c>
      <c r="L265" s="2">
        <v>1</v>
      </c>
      <c r="M265" s="2" t="s">
        <v>84</v>
      </c>
      <c r="N265" s="2" t="s">
        <v>84</v>
      </c>
      <c r="O265" s="2" t="s">
        <v>841</v>
      </c>
      <c r="P265" s="2" t="s">
        <v>537</v>
      </c>
    </row>
    <row r="266" spans="1:16" ht="21" customHeight="1" x14ac:dyDescent="0.15">
      <c r="A266" s="10" t="str">
        <f t="shared" si="53"/>
        <v>186_10_7_1_polygon</v>
      </c>
      <c r="B266" s="2">
        <v>186</v>
      </c>
      <c r="C266" s="30" t="str">
        <f>VLOOKUP(B266,gachas!A:C,3)&amp;E266&amp;"回目"</f>
        <v>ステップアップフィーバー7回目</v>
      </c>
      <c r="D266" s="21">
        <v>10</v>
      </c>
      <c r="E266" s="2">
        <v>7</v>
      </c>
      <c r="F266" s="2">
        <v>1</v>
      </c>
      <c r="G266" s="3" t="s">
        <v>22</v>
      </c>
      <c r="H266" s="2">
        <v>1</v>
      </c>
      <c r="I266" s="116">
        <v>1861</v>
      </c>
      <c r="J266" s="115" t="s">
        <v>391</v>
      </c>
      <c r="K266" s="2" t="s">
        <v>84</v>
      </c>
      <c r="L266" s="2">
        <v>0</v>
      </c>
      <c r="M266" s="2" t="s">
        <v>84</v>
      </c>
      <c r="N266" s="2" t="s">
        <v>84</v>
      </c>
      <c r="O266" s="2" t="s">
        <v>841</v>
      </c>
      <c r="P266" s="2" t="s">
        <v>533</v>
      </c>
    </row>
    <row r="267" spans="1:16" ht="21" customHeight="1" x14ac:dyDescent="0.15">
      <c r="A267" s="10" t="str">
        <f t="shared" si="53"/>
        <v>186_10_8_1_polygon</v>
      </c>
      <c r="B267" s="2">
        <v>186</v>
      </c>
      <c r="C267" s="30" t="str">
        <f>VLOOKUP(B267,gachas!A:C,3)&amp;E267&amp;"回目"</f>
        <v>ステップアップフィーバー8回目</v>
      </c>
      <c r="D267" s="21">
        <v>10</v>
      </c>
      <c r="E267" s="2">
        <v>8</v>
      </c>
      <c r="F267" s="2">
        <v>1</v>
      </c>
      <c r="G267" s="3" t="s">
        <v>22</v>
      </c>
      <c r="H267" s="2">
        <v>2</v>
      </c>
      <c r="I267" s="116">
        <v>1862</v>
      </c>
      <c r="J267" s="115" t="s">
        <v>391</v>
      </c>
      <c r="K267" s="2" t="s">
        <v>84</v>
      </c>
      <c r="L267" s="2">
        <v>0</v>
      </c>
      <c r="M267" s="2" t="s">
        <v>84</v>
      </c>
      <c r="N267" s="2" t="s">
        <v>84</v>
      </c>
      <c r="O267" s="2" t="s">
        <v>841</v>
      </c>
      <c r="P267" s="2" t="s">
        <v>436</v>
      </c>
    </row>
    <row r="268" spans="1:16" ht="21" customHeight="1" x14ac:dyDescent="0.15">
      <c r="A268" s="10" t="str">
        <f t="shared" si="53"/>
        <v>186_10_9_1_polygon</v>
      </c>
      <c r="B268" s="2">
        <v>186</v>
      </c>
      <c r="C268" s="30" t="str">
        <f>VLOOKUP(B268,gachas!A:C,3)&amp;E268&amp;"回目"</f>
        <v>ステップアップフィーバー9回目</v>
      </c>
      <c r="D268" s="21">
        <v>10</v>
      </c>
      <c r="E268" s="2">
        <v>9</v>
      </c>
      <c r="F268" s="2">
        <v>1</v>
      </c>
      <c r="G268" s="3" t="s">
        <v>22</v>
      </c>
      <c r="H268" s="2">
        <v>5</v>
      </c>
      <c r="I268" s="116">
        <v>1863</v>
      </c>
      <c r="J268" s="112" t="s">
        <v>391</v>
      </c>
      <c r="K268" s="2" t="s">
        <v>85</v>
      </c>
      <c r="L268" s="2">
        <v>0</v>
      </c>
      <c r="M268" s="2" t="s">
        <v>84</v>
      </c>
      <c r="N268" s="2" t="s">
        <v>84</v>
      </c>
      <c r="O268" s="2" t="s">
        <v>841</v>
      </c>
      <c r="P268" s="2" t="s">
        <v>534</v>
      </c>
    </row>
    <row r="269" spans="1:16" ht="21" customHeight="1" x14ac:dyDescent="0.15">
      <c r="A269" s="10" t="str">
        <f t="shared" si="53"/>
        <v>186_10_10_5_polygon</v>
      </c>
      <c r="B269" s="2">
        <v>186</v>
      </c>
      <c r="C269" s="30" t="str">
        <f>VLOOKUP(B269,gachas!A:C,3)&amp;E269&amp;"回目"</f>
        <v>ステップアップフィーバー10回目</v>
      </c>
      <c r="D269" s="21">
        <v>10</v>
      </c>
      <c r="E269" s="2">
        <v>10</v>
      </c>
      <c r="F269" s="2">
        <v>5</v>
      </c>
      <c r="G269" s="3" t="s">
        <v>22</v>
      </c>
      <c r="H269" s="2">
        <v>15</v>
      </c>
      <c r="I269" s="116">
        <v>1864</v>
      </c>
      <c r="J269" s="115" t="s">
        <v>391</v>
      </c>
      <c r="K269" s="2" t="s">
        <v>84</v>
      </c>
      <c r="L269" s="2">
        <v>0</v>
      </c>
      <c r="M269" s="2" t="s">
        <v>84</v>
      </c>
      <c r="N269" s="2" t="s">
        <v>84</v>
      </c>
      <c r="O269" s="2" t="s">
        <v>841</v>
      </c>
      <c r="P269" s="2" t="s">
        <v>535</v>
      </c>
    </row>
    <row r="270" spans="1:16" ht="21" customHeight="1" x14ac:dyDescent="0.15">
      <c r="A270" s="10" t="str">
        <f t="shared" si="53"/>
        <v>186_10_11_5_polygon</v>
      </c>
      <c r="B270" s="2">
        <v>186</v>
      </c>
      <c r="C270" s="30" t="str">
        <f>VLOOKUP(B270,gachas!A:C,3)&amp;E270&amp;"回目"</f>
        <v>ステップアップフィーバー11回目</v>
      </c>
      <c r="D270" s="21">
        <v>10</v>
      </c>
      <c r="E270" s="2">
        <v>11</v>
      </c>
      <c r="F270" s="2">
        <v>5</v>
      </c>
      <c r="G270" s="3" t="s">
        <v>22</v>
      </c>
      <c r="H270" s="2">
        <v>25</v>
      </c>
      <c r="I270" s="116">
        <v>1865</v>
      </c>
      <c r="J270" s="115" t="s">
        <v>391</v>
      </c>
      <c r="K270" s="2">
        <v>1867</v>
      </c>
      <c r="L270" s="2">
        <v>1</v>
      </c>
      <c r="M270" s="2" t="s">
        <v>84</v>
      </c>
      <c r="N270" s="2" t="s">
        <v>84</v>
      </c>
      <c r="O270" s="2" t="s">
        <v>841</v>
      </c>
      <c r="P270" s="2" t="s">
        <v>536</v>
      </c>
    </row>
    <row r="271" spans="1:16" ht="21" customHeight="1" x14ac:dyDescent="0.15">
      <c r="A271" s="10" t="str">
        <f t="shared" si="53"/>
        <v>186_10_12_10_polygon</v>
      </c>
      <c r="B271" s="2">
        <v>186</v>
      </c>
      <c r="C271" s="30" t="str">
        <f>VLOOKUP(B271,gachas!A:C,3)&amp;E271&amp;"回目"</f>
        <v>ステップアップフィーバー12回目</v>
      </c>
      <c r="D271" s="21">
        <v>10</v>
      </c>
      <c r="E271" s="2">
        <v>12</v>
      </c>
      <c r="F271" s="2">
        <v>10</v>
      </c>
      <c r="G271" s="3" t="s">
        <v>22</v>
      </c>
      <c r="H271" s="2">
        <v>50</v>
      </c>
      <c r="I271" s="116">
        <v>1866</v>
      </c>
      <c r="J271" s="112" t="s">
        <v>391</v>
      </c>
      <c r="K271" s="2">
        <v>1868</v>
      </c>
      <c r="L271" s="2">
        <v>1</v>
      </c>
      <c r="M271" s="2" t="s">
        <v>84</v>
      </c>
      <c r="N271" s="2" t="s">
        <v>84</v>
      </c>
      <c r="O271" s="2" t="s">
        <v>841</v>
      </c>
      <c r="P271" s="2" t="s">
        <v>537</v>
      </c>
    </row>
    <row r="272" spans="1:16" ht="21" customHeight="1" x14ac:dyDescent="0.15">
      <c r="A272" s="10" t="str">
        <f t="shared" si="53"/>
        <v>186_10_13_1_polygon</v>
      </c>
      <c r="B272" s="2">
        <v>186</v>
      </c>
      <c r="C272" s="30" t="str">
        <f>VLOOKUP(B272,gachas!A:C,3)&amp;E272&amp;"回目"</f>
        <v>ステップアップフィーバー13回目</v>
      </c>
      <c r="D272" s="21">
        <v>10</v>
      </c>
      <c r="E272" s="2">
        <v>13</v>
      </c>
      <c r="F272" s="2">
        <v>1</v>
      </c>
      <c r="G272" s="3" t="s">
        <v>22</v>
      </c>
      <c r="H272" s="2">
        <v>1</v>
      </c>
      <c r="I272" s="116">
        <v>1861</v>
      </c>
      <c r="J272" s="115" t="s">
        <v>391</v>
      </c>
      <c r="K272" s="2" t="s">
        <v>84</v>
      </c>
      <c r="L272" s="2">
        <v>0</v>
      </c>
      <c r="M272" s="2" t="s">
        <v>84</v>
      </c>
      <c r="N272" s="2" t="s">
        <v>84</v>
      </c>
      <c r="O272" s="2" t="s">
        <v>841</v>
      </c>
      <c r="P272" s="2" t="s">
        <v>533</v>
      </c>
    </row>
    <row r="273" spans="1:16" ht="21" customHeight="1" x14ac:dyDescent="0.15">
      <c r="A273" s="10" t="str">
        <f t="shared" si="53"/>
        <v>186_10_14_1_polygon</v>
      </c>
      <c r="B273" s="2">
        <v>186</v>
      </c>
      <c r="C273" s="30" t="str">
        <f>VLOOKUP(B273,gachas!A:C,3)&amp;E273&amp;"回目"</f>
        <v>ステップアップフィーバー14回目</v>
      </c>
      <c r="D273" s="21">
        <v>10</v>
      </c>
      <c r="E273" s="2">
        <v>14</v>
      </c>
      <c r="F273" s="2">
        <v>1</v>
      </c>
      <c r="G273" s="3" t="s">
        <v>22</v>
      </c>
      <c r="H273" s="2">
        <v>2</v>
      </c>
      <c r="I273" s="116">
        <v>1862</v>
      </c>
      <c r="J273" s="115" t="s">
        <v>391</v>
      </c>
      <c r="K273" s="2" t="s">
        <v>84</v>
      </c>
      <c r="L273" s="2">
        <v>0</v>
      </c>
      <c r="M273" s="2" t="s">
        <v>84</v>
      </c>
      <c r="N273" s="2" t="s">
        <v>84</v>
      </c>
      <c r="O273" s="2" t="s">
        <v>841</v>
      </c>
      <c r="P273" s="2" t="s">
        <v>436</v>
      </c>
    </row>
    <row r="274" spans="1:16" ht="21" customHeight="1" x14ac:dyDescent="0.15">
      <c r="A274" s="10" t="str">
        <f t="shared" si="53"/>
        <v>186_10_15_1_polygon</v>
      </c>
      <c r="B274" s="2">
        <v>186</v>
      </c>
      <c r="C274" s="30" t="str">
        <f>VLOOKUP(B274,gachas!A:C,3)&amp;E274&amp;"回目"</f>
        <v>ステップアップフィーバー15回目</v>
      </c>
      <c r="D274" s="21">
        <v>10</v>
      </c>
      <c r="E274" s="2">
        <v>15</v>
      </c>
      <c r="F274" s="2">
        <v>1</v>
      </c>
      <c r="G274" s="3" t="s">
        <v>22</v>
      </c>
      <c r="H274" s="2">
        <v>5</v>
      </c>
      <c r="I274" s="116">
        <v>1863</v>
      </c>
      <c r="J274" s="112" t="s">
        <v>391</v>
      </c>
      <c r="K274" s="2" t="s">
        <v>85</v>
      </c>
      <c r="L274" s="2">
        <v>0</v>
      </c>
      <c r="M274" s="2" t="s">
        <v>84</v>
      </c>
      <c r="N274" s="2" t="s">
        <v>84</v>
      </c>
      <c r="O274" s="2" t="s">
        <v>841</v>
      </c>
      <c r="P274" s="2" t="s">
        <v>534</v>
      </c>
    </row>
    <row r="275" spans="1:16" ht="21" customHeight="1" x14ac:dyDescent="0.15">
      <c r="A275" s="10" t="str">
        <f t="shared" si="53"/>
        <v>186_10_16_5_polygon</v>
      </c>
      <c r="B275" s="2">
        <v>186</v>
      </c>
      <c r="C275" s="30" t="str">
        <f>VLOOKUP(B275,gachas!A:C,3)&amp;E275&amp;"回目"</f>
        <v>ステップアップフィーバー16回目</v>
      </c>
      <c r="D275" s="21">
        <v>10</v>
      </c>
      <c r="E275" s="2">
        <v>16</v>
      </c>
      <c r="F275" s="2">
        <v>5</v>
      </c>
      <c r="G275" s="3" t="s">
        <v>22</v>
      </c>
      <c r="H275" s="2">
        <v>15</v>
      </c>
      <c r="I275" s="116">
        <v>1864</v>
      </c>
      <c r="J275" s="115" t="s">
        <v>391</v>
      </c>
      <c r="K275" s="2" t="s">
        <v>84</v>
      </c>
      <c r="L275" s="2">
        <v>0</v>
      </c>
      <c r="M275" s="2" t="s">
        <v>84</v>
      </c>
      <c r="N275" s="2" t="s">
        <v>84</v>
      </c>
      <c r="O275" s="2" t="s">
        <v>841</v>
      </c>
      <c r="P275" s="2" t="s">
        <v>535</v>
      </c>
    </row>
    <row r="276" spans="1:16" ht="21" customHeight="1" x14ac:dyDescent="0.15">
      <c r="A276" s="10" t="str">
        <f t="shared" si="53"/>
        <v>186_10_17_5_polygon</v>
      </c>
      <c r="B276" s="2">
        <v>186</v>
      </c>
      <c r="C276" s="30" t="str">
        <f>VLOOKUP(B276,gachas!A:C,3)&amp;E276&amp;"回目"</f>
        <v>ステップアップフィーバー17回目</v>
      </c>
      <c r="D276" s="21">
        <v>10</v>
      </c>
      <c r="E276" s="2">
        <v>17</v>
      </c>
      <c r="F276" s="2">
        <v>5</v>
      </c>
      <c r="G276" s="3" t="s">
        <v>22</v>
      </c>
      <c r="H276" s="2">
        <v>25</v>
      </c>
      <c r="I276" s="116">
        <v>1865</v>
      </c>
      <c r="J276" s="115" t="s">
        <v>391</v>
      </c>
      <c r="K276" s="2">
        <v>1867</v>
      </c>
      <c r="L276" s="2">
        <v>1</v>
      </c>
      <c r="M276" s="2" t="s">
        <v>84</v>
      </c>
      <c r="N276" s="2" t="s">
        <v>84</v>
      </c>
      <c r="O276" s="2" t="s">
        <v>841</v>
      </c>
      <c r="P276" s="2" t="s">
        <v>536</v>
      </c>
    </row>
    <row r="277" spans="1:16" ht="21" customHeight="1" x14ac:dyDescent="0.15">
      <c r="A277" s="10" t="str">
        <f t="shared" si="53"/>
        <v>186_10_18_10_polygon</v>
      </c>
      <c r="B277" s="2">
        <v>186</v>
      </c>
      <c r="C277" s="30" t="str">
        <f>VLOOKUP(B277,gachas!A:C,3)&amp;E277&amp;"回目"</f>
        <v>ステップアップフィーバー18回目</v>
      </c>
      <c r="D277" s="21">
        <v>10</v>
      </c>
      <c r="E277" s="2">
        <v>18</v>
      </c>
      <c r="F277" s="2">
        <v>10</v>
      </c>
      <c r="G277" s="3" t="s">
        <v>22</v>
      </c>
      <c r="H277" s="2">
        <v>50</v>
      </c>
      <c r="I277" s="116">
        <v>1866</v>
      </c>
      <c r="J277" s="112" t="s">
        <v>391</v>
      </c>
      <c r="K277" s="2">
        <v>1868</v>
      </c>
      <c r="L277" s="2">
        <v>1</v>
      </c>
      <c r="M277" s="2" t="s">
        <v>84</v>
      </c>
      <c r="N277" s="2" t="s">
        <v>84</v>
      </c>
      <c r="O277" s="2" t="s">
        <v>841</v>
      </c>
      <c r="P277" s="2" t="s">
        <v>537</v>
      </c>
    </row>
    <row r="278" spans="1:16" ht="21" customHeight="1" x14ac:dyDescent="0.15">
      <c r="A278" s="10" t="str">
        <f t="shared" si="53"/>
        <v>186_10_19_1_polygon</v>
      </c>
      <c r="B278" s="2">
        <v>186</v>
      </c>
      <c r="C278" s="30" t="str">
        <f>VLOOKUP(B278,gachas!A:C,3)&amp;E278&amp;"回目"</f>
        <v>ステップアップフィーバー19回目</v>
      </c>
      <c r="D278" s="21">
        <v>10</v>
      </c>
      <c r="E278" s="2">
        <v>19</v>
      </c>
      <c r="F278" s="2">
        <v>1</v>
      </c>
      <c r="G278" s="3" t="s">
        <v>22</v>
      </c>
      <c r="H278" s="2">
        <v>1</v>
      </c>
      <c r="I278" s="116">
        <v>1861</v>
      </c>
      <c r="J278" s="115" t="s">
        <v>391</v>
      </c>
      <c r="K278" s="2" t="s">
        <v>84</v>
      </c>
      <c r="L278" s="2">
        <v>0</v>
      </c>
      <c r="M278" s="2" t="s">
        <v>84</v>
      </c>
      <c r="N278" s="2" t="s">
        <v>84</v>
      </c>
      <c r="O278" s="2" t="s">
        <v>841</v>
      </c>
      <c r="P278" s="2" t="s">
        <v>533</v>
      </c>
    </row>
    <row r="279" spans="1:16" ht="21" customHeight="1" x14ac:dyDescent="0.15">
      <c r="A279" s="10" t="str">
        <f t="shared" si="53"/>
        <v>186_10_20_1_polygon</v>
      </c>
      <c r="B279" s="2">
        <v>186</v>
      </c>
      <c r="C279" s="30" t="str">
        <f>VLOOKUP(B279,gachas!A:C,3)&amp;E279&amp;"回目"</f>
        <v>ステップアップフィーバー20回目</v>
      </c>
      <c r="D279" s="21">
        <v>10</v>
      </c>
      <c r="E279" s="2">
        <v>20</v>
      </c>
      <c r="F279" s="2">
        <v>1</v>
      </c>
      <c r="G279" s="3" t="s">
        <v>22</v>
      </c>
      <c r="H279" s="2">
        <v>2</v>
      </c>
      <c r="I279" s="116">
        <v>1862</v>
      </c>
      <c r="J279" s="115" t="s">
        <v>391</v>
      </c>
      <c r="K279" s="2" t="s">
        <v>84</v>
      </c>
      <c r="L279" s="2">
        <v>0</v>
      </c>
      <c r="M279" s="2" t="s">
        <v>84</v>
      </c>
      <c r="N279" s="2" t="s">
        <v>84</v>
      </c>
      <c r="O279" s="2" t="s">
        <v>841</v>
      </c>
      <c r="P279" s="2" t="s">
        <v>436</v>
      </c>
    </row>
    <row r="280" spans="1:16" ht="21" customHeight="1" x14ac:dyDescent="0.15">
      <c r="A280" s="10" t="str">
        <f t="shared" si="53"/>
        <v>186_10_21_1_polygon</v>
      </c>
      <c r="B280" s="2">
        <v>186</v>
      </c>
      <c r="C280" s="30" t="str">
        <f>VLOOKUP(B280,gachas!A:C,3)&amp;E280&amp;"回目"</f>
        <v>ステップアップフィーバー21回目</v>
      </c>
      <c r="D280" s="21">
        <v>10</v>
      </c>
      <c r="E280" s="2">
        <v>21</v>
      </c>
      <c r="F280" s="2">
        <v>1</v>
      </c>
      <c r="G280" s="3" t="s">
        <v>22</v>
      </c>
      <c r="H280" s="2">
        <v>5</v>
      </c>
      <c r="I280" s="116">
        <v>1863</v>
      </c>
      <c r="J280" s="112" t="s">
        <v>391</v>
      </c>
      <c r="K280" s="2" t="s">
        <v>85</v>
      </c>
      <c r="L280" s="2">
        <v>0</v>
      </c>
      <c r="M280" s="2" t="s">
        <v>84</v>
      </c>
      <c r="N280" s="2" t="s">
        <v>84</v>
      </c>
      <c r="O280" s="2" t="s">
        <v>841</v>
      </c>
      <c r="P280" s="2" t="s">
        <v>534</v>
      </c>
    </row>
    <row r="281" spans="1:16" ht="21" customHeight="1" x14ac:dyDescent="0.15">
      <c r="A281" s="10" t="str">
        <f t="shared" si="53"/>
        <v>186_10_22_5_polygon</v>
      </c>
      <c r="B281" s="2">
        <v>186</v>
      </c>
      <c r="C281" s="30" t="str">
        <f>VLOOKUP(B281,gachas!A:C,3)&amp;E281&amp;"回目"</f>
        <v>ステップアップフィーバー22回目</v>
      </c>
      <c r="D281" s="21">
        <v>10</v>
      </c>
      <c r="E281" s="2">
        <v>22</v>
      </c>
      <c r="F281" s="2">
        <v>5</v>
      </c>
      <c r="G281" s="3" t="s">
        <v>22</v>
      </c>
      <c r="H281" s="2">
        <v>15</v>
      </c>
      <c r="I281" s="116">
        <v>1864</v>
      </c>
      <c r="J281" s="115" t="s">
        <v>391</v>
      </c>
      <c r="K281" s="2" t="s">
        <v>84</v>
      </c>
      <c r="L281" s="2">
        <v>0</v>
      </c>
      <c r="M281" s="2" t="s">
        <v>84</v>
      </c>
      <c r="N281" s="2" t="s">
        <v>84</v>
      </c>
      <c r="O281" s="2" t="s">
        <v>841</v>
      </c>
      <c r="P281" s="2" t="s">
        <v>535</v>
      </c>
    </row>
    <row r="282" spans="1:16" ht="21" customHeight="1" x14ac:dyDescent="0.15">
      <c r="A282" s="10" t="str">
        <f t="shared" si="53"/>
        <v>186_10_23_5_polygon</v>
      </c>
      <c r="B282" s="2">
        <v>186</v>
      </c>
      <c r="C282" s="30" t="str">
        <f>VLOOKUP(B282,gachas!A:C,3)&amp;E282&amp;"回目"</f>
        <v>ステップアップフィーバー23回目</v>
      </c>
      <c r="D282" s="21">
        <v>10</v>
      </c>
      <c r="E282" s="2">
        <v>23</v>
      </c>
      <c r="F282" s="2">
        <v>5</v>
      </c>
      <c r="G282" s="3" t="s">
        <v>22</v>
      </c>
      <c r="H282" s="2">
        <v>25</v>
      </c>
      <c r="I282" s="116">
        <v>1865</v>
      </c>
      <c r="J282" s="115" t="s">
        <v>391</v>
      </c>
      <c r="K282" s="2">
        <v>1867</v>
      </c>
      <c r="L282" s="2">
        <v>1</v>
      </c>
      <c r="M282" s="2" t="s">
        <v>84</v>
      </c>
      <c r="N282" s="2" t="s">
        <v>84</v>
      </c>
      <c r="O282" s="2" t="s">
        <v>841</v>
      </c>
      <c r="P282" s="2" t="s">
        <v>536</v>
      </c>
    </row>
    <row r="283" spans="1:16" ht="21" customHeight="1" x14ac:dyDescent="0.15">
      <c r="A283" s="10" t="str">
        <f t="shared" si="53"/>
        <v>186_10_24_10_polygon</v>
      </c>
      <c r="B283" s="2">
        <v>186</v>
      </c>
      <c r="C283" s="30" t="str">
        <f>VLOOKUP(B283,gachas!A:C,3)&amp;E283&amp;"回目"</f>
        <v>ステップアップフィーバー24回目</v>
      </c>
      <c r="D283" s="21">
        <v>10</v>
      </c>
      <c r="E283" s="2">
        <v>24</v>
      </c>
      <c r="F283" s="2">
        <v>10</v>
      </c>
      <c r="G283" s="3" t="s">
        <v>22</v>
      </c>
      <c r="H283" s="2">
        <v>50</v>
      </c>
      <c r="I283" s="116">
        <v>1866</v>
      </c>
      <c r="J283" s="112" t="s">
        <v>391</v>
      </c>
      <c r="K283" s="2">
        <v>1868</v>
      </c>
      <c r="L283" s="2">
        <v>1</v>
      </c>
      <c r="M283" s="2" t="s">
        <v>84</v>
      </c>
      <c r="N283" s="2" t="s">
        <v>84</v>
      </c>
      <c r="O283" s="2" t="s">
        <v>841</v>
      </c>
      <c r="P283" s="2" t="s">
        <v>537</v>
      </c>
    </row>
    <row r="284" spans="1:16" ht="21" customHeight="1" x14ac:dyDescent="0.15">
      <c r="A284" s="10" t="str">
        <f t="shared" si="53"/>
        <v>186_10_25_1_polygon</v>
      </c>
      <c r="B284" s="2">
        <v>186</v>
      </c>
      <c r="C284" s="30" t="str">
        <f>VLOOKUP(B284,gachas!A:C,3)&amp;E284&amp;"回目"</f>
        <v>ステップアップフィーバー25回目</v>
      </c>
      <c r="D284" s="21">
        <v>10</v>
      </c>
      <c r="E284" s="2">
        <v>25</v>
      </c>
      <c r="F284" s="2">
        <v>1</v>
      </c>
      <c r="G284" s="3" t="s">
        <v>22</v>
      </c>
      <c r="H284" s="2">
        <v>1</v>
      </c>
      <c r="I284" s="116">
        <v>1861</v>
      </c>
      <c r="J284" s="115" t="s">
        <v>391</v>
      </c>
      <c r="K284" s="2" t="s">
        <v>84</v>
      </c>
      <c r="L284" s="2">
        <v>0</v>
      </c>
      <c r="M284" s="2" t="s">
        <v>84</v>
      </c>
      <c r="N284" s="2" t="s">
        <v>84</v>
      </c>
      <c r="O284" s="2" t="s">
        <v>841</v>
      </c>
      <c r="P284" s="2" t="s">
        <v>533</v>
      </c>
    </row>
    <row r="285" spans="1:16" ht="21" customHeight="1" x14ac:dyDescent="0.15">
      <c r="A285" s="10" t="str">
        <f t="shared" si="53"/>
        <v>186_10_26_1_polygon</v>
      </c>
      <c r="B285" s="2">
        <v>186</v>
      </c>
      <c r="C285" s="30" t="str">
        <f>VLOOKUP(B285,gachas!A:C,3)&amp;E285&amp;"回目"</f>
        <v>ステップアップフィーバー26回目</v>
      </c>
      <c r="D285" s="21">
        <v>10</v>
      </c>
      <c r="E285" s="2">
        <v>26</v>
      </c>
      <c r="F285" s="2">
        <v>1</v>
      </c>
      <c r="G285" s="3" t="s">
        <v>22</v>
      </c>
      <c r="H285" s="2">
        <v>2</v>
      </c>
      <c r="I285" s="116">
        <v>1862</v>
      </c>
      <c r="J285" s="115" t="s">
        <v>391</v>
      </c>
      <c r="K285" s="2" t="s">
        <v>84</v>
      </c>
      <c r="L285" s="2">
        <v>0</v>
      </c>
      <c r="M285" s="2" t="s">
        <v>84</v>
      </c>
      <c r="N285" s="2" t="s">
        <v>84</v>
      </c>
      <c r="O285" s="2" t="s">
        <v>841</v>
      </c>
      <c r="P285" s="2" t="s">
        <v>436</v>
      </c>
    </row>
    <row r="286" spans="1:16" ht="21" customHeight="1" x14ac:dyDescent="0.15">
      <c r="A286" s="10" t="str">
        <f t="shared" si="53"/>
        <v>186_10_27_1_polygon</v>
      </c>
      <c r="B286" s="2">
        <v>186</v>
      </c>
      <c r="C286" s="30" t="str">
        <f>VLOOKUP(B286,gachas!A:C,3)&amp;E286&amp;"回目"</f>
        <v>ステップアップフィーバー27回目</v>
      </c>
      <c r="D286" s="21">
        <v>10</v>
      </c>
      <c r="E286" s="2">
        <v>27</v>
      </c>
      <c r="F286" s="2">
        <v>1</v>
      </c>
      <c r="G286" s="3" t="s">
        <v>22</v>
      </c>
      <c r="H286" s="2">
        <v>5</v>
      </c>
      <c r="I286" s="116">
        <v>1863</v>
      </c>
      <c r="J286" s="112" t="s">
        <v>391</v>
      </c>
      <c r="K286" s="2" t="s">
        <v>85</v>
      </c>
      <c r="L286" s="2">
        <v>0</v>
      </c>
      <c r="M286" s="2" t="s">
        <v>84</v>
      </c>
      <c r="N286" s="2" t="s">
        <v>84</v>
      </c>
      <c r="O286" s="2" t="s">
        <v>841</v>
      </c>
      <c r="P286" s="2" t="s">
        <v>534</v>
      </c>
    </row>
    <row r="287" spans="1:16" ht="21" customHeight="1" x14ac:dyDescent="0.15">
      <c r="A287" s="10" t="str">
        <f t="shared" si="53"/>
        <v>186_10_28_5_polygon</v>
      </c>
      <c r="B287" s="2">
        <v>186</v>
      </c>
      <c r="C287" s="30" t="str">
        <f>VLOOKUP(B287,gachas!A:C,3)&amp;E287&amp;"回目"</f>
        <v>ステップアップフィーバー28回目</v>
      </c>
      <c r="D287" s="21">
        <v>10</v>
      </c>
      <c r="E287" s="2">
        <v>28</v>
      </c>
      <c r="F287" s="2">
        <v>5</v>
      </c>
      <c r="G287" s="3" t="s">
        <v>22</v>
      </c>
      <c r="H287" s="2">
        <v>15</v>
      </c>
      <c r="I287" s="116">
        <v>1864</v>
      </c>
      <c r="J287" s="115" t="s">
        <v>391</v>
      </c>
      <c r="K287" s="2" t="s">
        <v>84</v>
      </c>
      <c r="L287" s="2">
        <v>0</v>
      </c>
      <c r="M287" s="2" t="s">
        <v>84</v>
      </c>
      <c r="N287" s="2" t="s">
        <v>84</v>
      </c>
      <c r="O287" s="2" t="s">
        <v>841</v>
      </c>
      <c r="P287" s="2" t="s">
        <v>535</v>
      </c>
    </row>
    <row r="288" spans="1:16" ht="21" customHeight="1" x14ac:dyDescent="0.15">
      <c r="A288" s="10" t="str">
        <f t="shared" si="53"/>
        <v>186_10_29_5_polygon</v>
      </c>
      <c r="B288" s="2">
        <v>186</v>
      </c>
      <c r="C288" s="30" t="str">
        <f>VLOOKUP(B288,gachas!A:C,3)&amp;E288&amp;"回目"</f>
        <v>ステップアップフィーバー29回目</v>
      </c>
      <c r="D288" s="21">
        <v>10</v>
      </c>
      <c r="E288" s="2">
        <v>29</v>
      </c>
      <c r="F288" s="2">
        <v>5</v>
      </c>
      <c r="G288" s="3" t="s">
        <v>22</v>
      </c>
      <c r="H288" s="2">
        <v>25</v>
      </c>
      <c r="I288" s="116">
        <v>1865</v>
      </c>
      <c r="J288" s="115" t="s">
        <v>391</v>
      </c>
      <c r="K288" s="2">
        <v>1867</v>
      </c>
      <c r="L288" s="2">
        <v>1</v>
      </c>
      <c r="M288" s="2" t="s">
        <v>84</v>
      </c>
      <c r="N288" s="2" t="s">
        <v>84</v>
      </c>
      <c r="O288" s="2" t="s">
        <v>841</v>
      </c>
      <c r="P288" s="2" t="s">
        <v>536</v>
      </c>
    </row>
    <row r="289" spans="1:16" ht="21" customHeight="1" x14ac:dyDescent="0.15">
      <c r="A289" s="10" t="str">
        <f t="shared" si="53"/>
        <v>186_10_30_10_polygon</v>
      </c>
      <c r="B289" s="2">
        <v>186</v>
      </c>
      <c r="C289" s="30" t="str">
        <f>VLOOKUP(B289,gachas!A:C,3)&amp;E289&amp;"回目"</f>
        <v>ステップアップフィーバー30回目</v>
      </c>
      <c r="D289" s="21">
        <v>10</v>
      </c>
      <c r="E289" s="2">
        <v>30</v>
      </c>
      <c r="F289" s="2">
        <v>10</v>
      </c>
      <c r="G289" s="3" t="s">
        <v>22</v>
      </c>
      <c r="H289" s="2">
        <v>50</v>
      </c>
      <c r="I289" s="116">
        <v>1866</v>
      </c>
      <c r="J289" s="112" t="s">
        <v>391</v>
      </c>
      <c r="K289" s="2">
        <v>1868</v>
      </c>
      <c r="L289" s="2">
        <v>1</v>
      </c>
      <c r="M289" s="2" t="s">
        <v>84</v>
      </c>
      <c r="N289" s="2" t="s">
        <v>84</v>
      </c>
      <c r="O289" s="2" t="s">
        <v>841</v>
      </c>
      <c r="P289" s="2" t="s">
        <v>537</v>
      </c>
    </row>
    <row r="290" spans="1:16" ht="21" customHeight="1" x14ac:dyDescent="0.15">
      <c r="A290" s="10" t="str">
        <f t="shared" si="53"/>
        <v>186_10_0_10_polygon</v>
      </c>
      <c r="B290" s="2">
        <v>186</v>
      </c>
      <c r="C290" s="30" t="str">
        <f>VLOOKUP(B290,gachas!A:C,3)&amp;"周回終了"</f>
        <v>ステップアップフィーバー周回終了</v>
      </c>
      <c r="D290" s="21">
        <v>10</v>
      </c>
      <c r="E290" s="2">
        <v>0</v>
      </c>
      <c r="F290" s="2">
        <v>10</v>
      </c>
      <c r="G290" s="3" t="s">
        <v>22</v>
      </c>
      <c r="H290" s="2">
        <v>50</v>
      </c>
      <c r="I290" s="116">
        <v>1860</v>
      </c>
      <c r="J290" s="112" t="s">
        <v>391</v>
      </c>
      <c r="K290" s="2" t="s">
        <v>84</v>
      </c>
      <c r="L290" s="2">
        <v>0</v>
      </c>
      <c r="M290" s="2" t="s">
        <v>84</v>
      </c>
      <c r="N290" s="2" t="s">
        <v>84</v>
      </c>
      <c r="O290" s="2" t="s">
        <v>841</v>
      </c>
      <c r="P290" s="2" t="s">
        <v>538</v>
      </c>
    </row>
    <row r="291" spans="1:16" ht="21" customHeight="1" x14ac:dyDescent="0.15">
      <c r="A291" s="10" t="str">
        <f>B291&amp;"_"&amp;D291&amp;"_"&amp;E291&amp;"_"&amp;F291&amp;"_"&amp;G291</f>
        <v>187_1_1_1_polygon</v>
      </c>
      <c r="B291" s="2">
        <v>187</v>
      </c>
      <c r="C291" s="30" t="str">
        <f>VLOOKUP(B291,gachas!A:C,3)</f>
        <v>マシンフィーバー</v>
      </c>
      <c r="D291" s="21">
        <v>1</v>
      </c>
      <c r="E291" s="2">
        <v>1</v>
      </c>
      <c r="F291" s="2">
        <v>1</v>
      </c>
      <c r="G291" s="3" t="s">
        <v>22</v>
      </c>
      <c r="H291" s="2">
        <v>5</v>
      </c>
      <c r="I291" s="117" t="str">
        <f>B291&amp;0</f>
        <v>1870</v>
      </c>
      <c r="J291" s="115" t="s">
        <v>84</v>
      </c>
      <c r="K291" s="2" t="s">
        <v>84</v>
      </c>
      <c r="L291" s="2">
        <v>0</v>
      </c>
      <c r="M291" s="2" t="s">
        <v>84</v>
      </c>
      <c r="N291" s="2" t="s">
        <v>84</v>
      </c>
      <c r="O291" s="2" t="s">
        <v>841</v>
      </c>
      <c r="P291" s="2" t="s">
        <v>142</v>
      </c>
    </row>
    <row r="292" spans="1:16" ht="21" customHeight="1" x14ac:dyDescent="0.15">
      <c r="A292" s="10" t="str">
        <f>B292&amp;"_"&amp;D292&amp;"_"&amp;E292&amp;"_"&amp;F292&amp;"_"&amp;G292</f>
        <v>187_1_0_1_polygon</v>
      </c>
      <c r="B292" s="2">
        <v>187</v>
      </c>
      <c r="C292" s="30" t="str">
        <f>VLOOKUP(B292,gachas!A:C,3)</f>
        <v>マシンフィーバー</v>
      </c>
      <c r="D292" s="21">
        <v>1</v>
      </c>
      <c r="E292" s="2">
        <v>0</v>
      </c>
      <c r="F292" s="2">
        <v>1</v>
      </c>
      <c r="G292" s="3" t="s">
        <v>22</v>
      </c>
      <c r="H292" s="2">
        <v>5</v>
      </c>
      <c r="I292" s="117" t="str">
        <f>B292&amp;1</f>
        <v>1871</v>
      </c>
      <c r="J292" s="115" t="s">
        <v>84</v>
      </c>
      <c r="K292" s="2" t="s">
        <v>84</v>
      </c>
      <c r="L292" s="2">
        <v>0</v>
      </c>
      <c r="M292" s="2" t="s">
        <v>84</v>
      </c>
      <c r="N292" s="2" t="s">
        <v>84</v>
      </c>
      <c r="O292" s="2" t="s">
        <v>841</v>
      </c>
      <c r="P292" s="2" t="s">
        <v>84</v>
      </c>
    </row>
    <row r="293" spans="1:16" ht="21" customHeight="1" x14ac:dyDescent="0.15">
      <c r="A293" s="10" t="str">
        <f>B293&amp;"_"&amp;D293&amp;"_"&amp;E293&amp;"_"&amp;F293&amp;"_"&amp;G293</f>
        <v>187_10_1_10_polygon</v>
      </c>
      <c r="B293" s="2">
        <v>187</v>
      </c>
      <c r="C293" s="30" t="str">
        <f>VLOOKUP(B293,gachas!A:C,3)</f>
        <v>マシンフィーバー</v>
      </c>
      <c r="D293" s="21">
        <v>10</v>
      </c>
      <c r="E293" s="2">
        <v>1</v>
      </c>
      <c r="F293" s="2">
        <v>10</v>
      </c>
      <c r="G293" s="3" t="s">
        <v>22</v>
      </c>
      <c r="H293" s="2">
        <v>15</v>
      </c>
      <c r="I293" s="117" t="str">
        <f>B293&amp;0</f>
        <v>1870</v>
      </c>
      <c r="J293" s="112" t="s">
        <v>257</v>
      </c>
      <c r="K293" s="2">
        <v>1873</v>
      </c>
      <c r="L293" s="2">
        <v>1</v>
      </c>
      <c r="M293" s="2" t="s">
        <v>84</v>
      </c>
      <c r="N293" s="2" t="s">
        <v>84</v>
      </c>
      <c r="O293" s="2" t="s">
        <v>841</v>
      </c>
      <c r="P293" s="2" t="s">
        <v>547</v>
      </c>
    </row>
    <row r="294" spans="1:16" ht="21" customHeight="1" x14ac:dyDescent="0.15">
      <c r="A294" s="10" t="str">
        <f>B294&amp;"_"&amp;D294&amp;"_"&amp;E294&amp;"_"&amp;F294&amp;"_"&amp;G294</f>
        <v>187_10_2_10_polygon</v>
      </c>
      <c r="B294" s="2">
        <v>187</v>
      </c>
      <c r="C294" s="30" t="str">
        <f>VLOOKUP(B294,gachas!A:C,3)</f>
        <v>マシンフィーバー</v>
      </c>
      <c r="D294" s="21">
        <v>10</v>
      </c>
      <c r="E294" s="2">
        <v>2</v>
      </c>
      <c r="F294" s="2">
        <v>10</v>
      </c>
      <c r="G294" s="3" t="s">
        <v>22</v>
      </c>
      <c r="H294" s="2">
        <v>25</v>
      </c>
      <c r="I294" s="117" t="str">
        <f>B294&amp;0</f>
        <v>1870</v>
      </c>
      <c r="J294" s="112" t="s">
        <v>257</v>
      </c>
      <c r="K294" s="2">
        <v>1873</v>
      </c>
      <c r="L294" s="2">
        <v>1</v>
      </c>
      <c r="M294" s="2" t="s">
        <v>84</v>
      </c>
      <c r="N294" s="2" t="s">
        <v>84</v>
      </c>
      <c r="O294" s="2" t="s">
        <v>841</v>
      </c>
      <c r="P294" s="2" t="s">
        <v>548</v>
      </c>
    </row>
    <row r="295" spans="1:16" ht="21" customHeight="1" x14ac:dyDescent="0.15">
      <c r="A295" s="10" t="str">
        <f>B295&amp;"_"&amp;D295&amp;"_"&amp;E295&amp;"_"&amp;F295&amp;"_"&amp;G295</f>
        <v>187_10_0_10_polygon</v>
      </c>
      <c r="B295" s="2">
        <v>187</v>
      </c>
      <c r="C295" s="30" t="str">
        <f>VLOOKUP(B295,gachas!A:C,3)</f>
        <v>マシンフィーバー</v>
      </c>
      <c r="D295" s="21">
        <v>10</v>
      </c>
      <c r="E295" s="2">
        <v>0</v>
      </c>
      <c r="F295" s="2">
        <v>10</v>
      </c>
      <c r="G295" s="3" t="s">
        <v>22</v>
      </c>
      <c r="H295" s="2">
        <v>50</v>
      </c>
      <c r="I295" s="117" t="str">
        <f>B295&amp;0</f>
        <v>1870</v>
      </c>
      <c r="J295" s="112" t="s">
        <v>257</v>
      </c>
      <c r="K295" s="2">
        <v>1873</v>
      </c>
      <c r="L295" s="2">
        <v>1</v>
      </c>
      <c r="M295" s="2" t="s">
        <v>84</v>
      </c>
      <c r="N295" s="2" t="s">
        <v>84</v>
      </c>
      <c r="O295" s="2" t="s">
        <v>841</v>
      </c>
      <c r="P295" s="2" t="s">
        <v>526</v>
      </c>
    </row>
    <row r="296" spans="1:16" ht="21" customHeight="1" x14ac:dyDescent="0.15">
      <c r="A296" s="10" t="str">
        <f t="shared" si="53"/>
        <v>188_10_1_1_polygon</v>
      </c>
      <c r="B296" s="2">
        <v>188</v>
      </c>
      <c r="C296" s="30" t="str">
        <f>VLOOKUP(B296,gachas!A:C,3)</f>
        <v>第２弾 200万DL記念ガチャ</v>
      </c>
      <c r="D296" s="21">
        <v>10</v>
      </c>
      <c r="E296" s="2">
        <v>1</v>
      </c>
      <c r="F296" s="2">
        <v>1</v>
      </c>
      <c r="G296" s="3" t="s">
        <v>22</v>
      </c>
      <c r="H296" s="2">
        <v>1</v>
      </c>
      <c r="I296" s="117">
        <v>1881</v>
      </c>
      <c r="J296" s="112" t="s">
        <v>84</v>
      </c>
      <c r="K296" s="2" t="s">
        <v>84</v>
      </c>
      <c r="L296" s="2">
        <v>0</v>
      </c>
      <c r="M296" s="2" t="s">
        <v>84</v>
      </c>
      <c r="N296" s="2" t="s">
        <v>84</v>
      </c>
      <c r="O296" s="2" t="s">
        <v>841</v>
      </c>
      <c r="P296" s="2" t="s">
        <v>546</v>
      </c>
    </row>
    <row r="297" spans="1:16" ht="21" customHeight="1" x14ac:dyDescent="0.15">
      <c r="A297" s="10" t="str">
        <f t="shared" si="53"/>
        <v>188_10_2_3_polygon</v>
      </c>
      <c r="B297" s="2">
        <v>188</v>
      </c>
      <c r="C297" s="30" t="str">
        <f>VLOOKUP(B297,gachas!A:C,3)</f>
        <v>第２弾 200万DL記念ガチャ</v>
      </c>
      <c r="D297" s="21">
        <v>10</v>
      </c>
      <c r="E297" s="2">
        <v>2</v>
      </c>
      <c r="F297" s="2">
        <v>3</v>
      </c>
      <c r="G297" s="3" t="s">
        <v>22</v>
      </c>
      <c r="H297" s="2">
        <v>9</v>
      </c>
      <c r="I297" s="117">
        <v>1881</v>
      </c>
      <c r="J297" s="112" t="s">
        <v>84</v>
      </c>
      <c r="K297" s="2" t="s">
        <v>84</v>
      </c>
      <c r="L297" s="2">
        <v>0</v>
      </c>
      <c r="M297" s="2" t="s">
        <v>84</v>
      </c>
      <c r="N297" s="2" t="s">
        <v>84</v>
      </c>
      <c r="O297" s="2" t="s">
        <v>841</v>
      </c>
      <c r="P297" s="2" t="s">
        <v>527</v>
      </c>
    </row>
    <row r="298" spans="1:16" ht="21" customHeight="1" x14ac:dyDescent="0.15">
      <c r="A298" s="10" t="str">
        <f t="shared" si="53"/>
        <v>188_10_3_10_polygon</v>
      </c>
      <c r="B298" s="2">
        <v>188</v>
      </c>
      <c r="C298" s="30" t="str">
        <f>VLOOKUP(B298,gachas!A:C,3)</f>
        <v>第２弾 200万DL記念ガチャ</v>
      </c>
      <c r="D298" s="21">
        <v>10</v>
      </c>
      <c r="E298" s="2">
        <v>3</v>
      </c>
      <c r="F298" s="2">
        <v>10</v>
      </c>
      <c r="G298" s="3" t="s">
        <v>22</v>
      </c>
      <c r="H298" s="2">
        <v>35</v>
      </c>
      <c r="I298" s="117">
        <v>1883</v>
      </c>
      <c r="J298" s="112" t="s">
        <v>84</v>
      </c>
      <c r="K298" s="2">
        <v>1886</v>
      </c>
      <c r="L298" s="2">
        <v>1</v>
      </c>
      <c r="M298" s="2" t="s">
        <v>84</v>
      </c>
      <c r="N298" s="2" t="s">
        <v>84</v>
      </c>
      <c r="O298" s="2" t="s">
        <v>841</v>
      </c>
      <c r="P298" s="2" t="s">
        <v>528</v>
      </c>
    </row>
    <row r="299" spans="1:16" ht="21" customHeight="1" x14ac:dyDescent="0.15">
      <c r="A299" s="10" t="str">
        <f t="shared" si="53"/>
        <v>188_10_4_10_polygon</v>
      </c>
      <c r="B299" s="2">
        <v>188</v>
      </c>
      <c r="C299" s="30" t="str">
        <f>VLOOKUP(B299,gachas!A:C,3)</f>
        <v>第２弾 200万DL記念ガチャ</v>
      </c>
      <c r="D299" s="21">
        <v>10</v>
      </c>
      <c r="E299" s="2">
        <v>4</v>
      </c>
      <c r="F299" s="2">
        <v>10</v>
      </c>
      <c r="G299" s="3" t="s">
        <v>22</v>
      </c>
      <c r="H299" s="2">
        <v>50</v>
      </c>
      <c r="I299" s="117">
        <v>1884</v>
      </c>
      <c r="J299" s="118">
        <v>1880</v>
      </c>
      <c r="K299" s="2" t="s">
        <v>84</v>
      </c>
      <c r="L299" s="2">
        <v>0</v>
      </c>
      <c r="M299" s="2" t="s">
        <v>84</v>
      </c>
      <c r="N299" s="2" t="s">
        <v>84</v>
      </c>
      <c r="O299" s="2" t="s">
        <v>841</v>
      </c>
      <c r="P299" s="2" t="s">
        <v>529</v>
      </c>
    </row>
    <row r="300" spans="1:16" ht="21" customHeight="1" x14ac:dyDescent="0.15">
      <c r="A300" s="10" t="str">
        <f t="shared" si="53"/>
        <v>188_10_5_10_polygon</v>
      </c>
      <c r="B300" s="2">
        <v>188</v>
      </c>
      <c r="C300" s="30" t="str">
        <f>VLOOKUP(B300,gachas!A:C,3)</f>
        <v>第２弾 200万DL記念ガチャ</v>
      </c>
      <c r="D300" s="21">
        <v>10</v>
      </c>
      <c r="E300" s="2">
        <v>5</v>
      </c>
      <c r="F300" s="2">
        <v>10</v>
      </c>
      <c r="G300" s="3" t="s">
        <v>22</v>
      </c>
      <c r="H300" s="2">
        <v>50</v>
      </c>
      <c r="I300" s="117">
        <v>1885</v>
      </c>
      <c r="J300" s="118">
        <v>1881</v>
      </c>
      <c r="K300" s="2" t="s">
        <v>87</v>
      </c>
      <c r="L300" s="2">
        <v>0</v>
      </c>
      <c r="M300" s="2" t="s">
        <v>84</v>
      </c>
      <c r="N300" s="2" t="s">
        <v>84</v>
      </c>
      <c r="O300" s="2" t="s">
        <v>841</v>
      </c>
      <c r="P300" s="2" t="s">
        <v>530</v>
      </c>
    </row>
    <row r="301" spans="1:16" ht="21" customHeight="1" x14ac:dyDescent="0.15">
      <c r="A301" s="10" t="str">
        <f t="shared" si="53"/>
        <v>188_10_0_10_polygon</v>
      </c>
      <c r="B301" s="2">
        <v>188</v>
      </c>
      <c r="C301" s="30" t="str">
        <f>VLOOKUP(B301,gachas!A:C,3)</f>
        <v>第２弾 200万DL記念ガチャ</v>
      </c>
      <c r="D301" s="21">
        <v>10</v>
      </c>
      <c r="E301" s="2">
        <v>0</v>
      </c>
      <c r="F301" s="2">
        <v>10</v>
      </c>
      <c r="G301" s="3" t="s">
        <v>22</v>
      </c>
      <c r="H301" s="2">
        <v>50</v>
      </c>
      <c r="I301" s="117">
        <v>1880</v>
      </c>
      <c r="J301" s="112" t="s">
        <v>539</v>
      </c>
      <c r="K301" s="2" t="s">
        <v>84</v>
      </c>
      <c r="L301" s="2">
        <v>0</v>
      </c>
      <c r="M301" s="2" t="s">
        <v>84</v>
      </c>
      <c r="N301" s="2" t="s">
        <v>84</v>
      </c>
      <c r="O301" s="2" t="s">
        <v>841</v>
      </c>
      <c r="P301" s="2" t="s">
        <v>531</v>
      </c>
    </row>
    <row r="302" spans="1:16" ht="21" customHeight="1" x14ac:dyDescent="0.15">
      <c r="A302" s="10" t="str">
        <f t="shared" ref="A302:A307" si="55">B302&amp;"_"&amp;D302&amp;"_"&amp;E302&amp;"_"&amp;F302&amp;"_"&amp;G302</f>
        <v>189_1_1_1_polygon</v>
      </c>
      <c r="B302" s="2">
        <v>189</v>
      </c>
      <c r="C302" s="30" t="str">
        <f>VLOOKUP(B302,gachas!A:C,3)</f>
        <v>クラファーコレクション</v>
      </c>
      <c r="D302" s="21">
        <v>1</v>
      </c>
      <c r="E302" s="2">
        <v>1</v>
      </c>
      <c r="F302" s="2">
        <v>1</v>
      </c>
      <c r="G302" s="3" t="s">
        <v>22</v>
      </c>
      <c r="H302" s="2">
        <v>5</v>
      </c>
      <c r="I302" s="117" t="str">
        <f>B302&amp;0</f>
        <v>1890</v>
      </c>
      <c r="J302" s="115" t="s">
        <v>84</v>
      </c>
      <c r="K302" s="2" t="s">
        <v>84</v>
      </c>
      <c r="L302" s="2">
        <v>0</v>
      </c>
      <c r="M302" s="2" t="s">
        <v>84</v>
      </c>
      <c r="N302" s="2" t="s">
        <v>84</v>
      </c>
      <c r="O302" s="2" t="s">
        <v>841</v>
      </c>
      <c r="P302" s="2" t="s">
        <v>142</v>
      </c>
    </row>
    <row r="303" spans="1:16" ht="21" customHeight="1" x14ac:dyDescent="0.15">
      <c r="A303" s="10" t="str">
        <f t="shared" si="55"/>
        <v>189_1_0_1_polygon</v>
      </c>
      <c r="B303" s="2">
        <v>189</v>
      </c>
      <c r="C303" s="30" t="str">
        <f>VLOOKUP(B303,gachas!A:C,3)</f>
        <v>クラファーコレクション</v>
      </c>
      <c r="D303" s="21">
        <v>1</v>
      </c>
      <c r="E303" s="2">
        <v>0</v>
      </c>
      <c r="F303" s="2">
        <v>1</v>
      </c>
      <c r="G303" s="3" t="s">
        <v>22</v>
      </c>
      <c r="H303" s="2">
        <v>5</v>
      </c>
      <c r="I303" s="117" t="str">
        <f>B303&amp;1</f>
        <v>1891</v>
      </c>
      <c r="J303" s="115" t="s">
        <v>84</v>
      </c>
      <c r="K303" s="2" t="s">
        <v>84</v>
      </c>
      <c r="L303" s="2">
        <v>0</v>
      </c>
      <c r="M303" s="2" t="s">
        <v>84</v>
      </c>
      <c r="N303" s="2" t="s">
        <v>84</v>
      </c>
      <c r="O303" s="2" t="s">
        <v>841</v>
      </c>
      <c r="P303" s="2" t="s">
        <v>84</v>
      </c>
    </row>
    <row r="304" spans="1:16" ht="21" customHeight="1" x14ac:dyDescent="0.15">
      <c r="A304" s="10" t="str">
        <f t="shared" si="55"/>
        <v>189_10_0_10_polygon</v>
      </c>
      <c r="B304" s="2">
        <v>189</v>
      </c>
      <c r="C304" s="30" t="str">
        <f>VLOOKUP(B304,gachas!A:C,3)</f>
        <v>クラファーコレクション</v>
      </c>
      <c r="D304" s="21">
        <v>10</v>
      </c>
      <c r="E304" s="2">
        <v>0</v>
      </c>
      <c r="F304" s="2">
        <v>10</v>
      </c>
      <c r="G304" s="3" t="s">
        <v>22</v>
      </c>
      <c r="H304" s="2">
        <v>50</v>
      </c>
      <c r="I304" s="117" t="str">
        <f>B304&amp;0</f>
        <v>1890</v>
      </c>
      <c r="J304" s="112" t="s">
        <v>87</v>
      </c>
      <c r="K304" s="2">
        <v>1893</v>
      </c>
      <c r="L304" s="2">
        <v>1</v>
      </c>
      <c r="M304" s="2" t="s">
        <v>84</v>
      </c>
      <c r="N304" s="2" t="s">
        <v>84</v>
      </c>
      <c r="O304" s="2" t="s">
        <v>841</v>
      </c>
      <c r="P304" s="2" t="s">
        <v>289</v>
      </c>
    </row>
    <row r="305" spans="1:16" ht="21" customHeight="1" x14ac:dyDescent="0.15">
      <c r="A305" s="10" t="str">
        <f t="shared" si="55"/>
        <v>190_1_1_1_polygon</v>
      </c>
      <c r="B305" s="2">
        <v>190</v>
      </c>
      <c r="C305" s="30" t="str">
        <f>VLOOKUP(B305,gachas!A:C,3)</f>
        <v>第１弾 200万DL記念ガチャ</v>
      </c>
      <c r="D305" s="21">
        <v>1</v>
      </c>
      <c r="E305" s="2">
        <v>1</v>
      </c>
      <c r="F305" s="2">
        <v>1</v>
      </c>
      <c r="G305" s="3" t="s">
        <v>22</v>
      </c>
      <c r="H305" s="2">
        <v>5</v>
      </c>
      <c r="I305" s="117" t="str">
        <f>B305&amp;0</f>
        <v>1900</v>
      </c>
      <c r="J305" s="115">
        <v>1901</v>
      </c>
      <c r="K305" s="2" t="s">
        <v>84</v>
      </c>
      <c r="L305" s="2">
        <v>0</v>
      </c>
      <c r="M305" s="2" t="s">
        <v>84</v>
      </c>
      <c r="N305" s="2" t="s">
        <v>84</v>
      </c>
      <c r="O305" s="2" t="s">
        <v>841</v>
      </c>
      <c r="P305" s="2" t="s">
        <v>142</v>
      </c>
    </row>
    <row r="306" spans="1:16" ht="21" customHeight="1" x14ac:dyDescent="0.15">
      <c r="A306" s="10" t="str">
        <f t="shared" si="55"/>
        <v>190_1_0_1_polygon</v>
      </c>
      <c r="B306" s="2">
        <v>190</v>
      </c>
      <c r="C306" s="30" t="str">
        <f>VLOOKUP(B306,gachas!A:C,3)</f>
        <v>第１弾 200万DL記念ガチャ</v>
      </c>
      <c r="D306" s="21">
        <v>1</v>
      </c>
      <c r="E306" s="2">
        <v>0</v>
      </c>
      <c r="F306" s="2">
        <v>1</v>
      </c>
      <c r="G306" s="3" t="s">
        <v>22</v>
      </c>
      <c r="H306" s="2">
        <v>5</v>
      </c>
      <c r="I306" s="117" t="str">
        <f>B306&amp;1</f>
        <v>1901</v>
      </c>
      <c r="J306" s="115">
        <v>1901</v>
      </c>
      <c r="K306" s="2" t="s">
        <v>84</v>
      </c>
      <c r="L306" s="2">
        <v>0</v>
      </c>
      <c r="M306" s="2" t="s">
        <v>84</v>
      </c>
      <c r="N306" s="2" t="s">
        <v>84</v>
      </c>
      <c r="O306" s="2" t="s">
        <v>841</v>
      </c>
      <c r="P306" s="2" t="s">
        <v>84</v>
      </c>
    </row>
    <row r="307" spans="1:16" ht="21" customHeight="1" x14ac:dyDescent="0.15">
      <c r="A307" s="10" t="str">
        <f t="shared" si="55"/>
        <v>190_10_0_10_polygon</v>
      </c>
      <c r="B307" s="2">
        <v>190</v>
      </c>
      <c r="C307" s="30" t="str">
        <f>VLOOKUP(B307,gachas!A:C,3)</f>
        <v>第１弾 200万DL記念ガチャ</v>
      </c>
      <c r="D307" s="21">
        <v>10</v>
      </c>
      <c r="E307" s="2">
        <v>0</v>
      </c>
      <c r="F307" s="2">
        <v>10</v>
      </c>
      <c r="G307" s="3" t="s">
        <v>22</v>
      </c>
      <c r="H307" s="2">
        <v>50</v>
      </c>
      <c r="I307" s="117" t="str">
        <f>B307&amp;0</f>
        <v>1900</v>
      </c>
      <c r="J307" s="112">
        <v>1900</v>
      </c>
      <c r="K307" s="2">
        <v>1903</v>
      </c>
      <c r="L307" s="2">
        <v>1</v>
      </c>
      <c r="M307" s="2" t="s">
        <v>84</v>
      </c>
      <c r="N307" s="2" t="s">
        <v>84</v>
      </c>
      <c r="O307" s="2" t="s">
        <v>841</v>
      </c>
      <c r="P307" s="2" t="s">
        <v>428</v>
      </c>
    </row>
    <row r="308" spans="1:16" ht="21" customHeight="1" x14ac:dyDescent="0.15">
      <c r="A308" s="10" t="str">
        <f t="shared" ref="A308:A310" si="56">B308&amp;"_"&amp;D308&amp;"_"&amp;E308&amp;"_"&amp;F308&amp;"_"&amp;G308</f>
        <v>196_1_1_1_polygon</v>
      </c>
      <c r="B308" s="2">
        <v>196</v>
      </c>
      <c r="C308" s="30" t="str">
        <f>VLOOKUP(B308,gachas!A:C,3)</f>
        <v>フィーバーフェスティバル（ファラデーUP）</v>
      </c>
      <c r="D308" s="21">
        <v>1</v>
      </c>
      <c r="E308" s="2">
        <v>1</v>
      </c>
      <c r="F308" s="2">
        <v>1</v>
      </c>
      <c r="G308" s="3" t="s">
        <v>22</v>
      </c>
      <c r="H308" s="2">
        <v>5</v>
      </c>
      <c r="I308" s="117" t="str">
        <f>B308&amp;0</f>
        <v>1960</v>
      </c>
      <c r="J308" s="115" t="s">
        <v>84</v>
      </c>
      <c r="K308" s="2" t="s">
        <v>84</v>
      </c>
      <c r="L308" s="2">
        <v>0</v>
      </c>
      <c r="M308" s="2" t="s">
        <v>84</v>
      </c>
      <c r="N308" s="2" t="s">
        <v>84</v>
      </c>
      <c r="O308" s="2" t="s">
        <v>841</v>
      </c>
      <c r="P308" s="2" t="s">
        <v>587</v>
      </c>
    </row>
    <row r="309" spans="1:16" ht="21" customHeight="1" x14ac:dyDescent="0.15">
      <c r="A309" s="10" t="str">
        <f t="shared" si="56"/>
        <v>196_1_0_1_polygon</v>
      </c>
      <c r="B309" s="2">
        <v>196</v>
      </c>
      <c r="C309" s="30" t="str">
        <f>VLOOKUP(B309,gachas!A:C,3)</f>
        <v>フィーバーフェスティバル（ファラデーUP）</v>
      </c>
      <c r="D309" s="21">
        <v>1</v>
      </c>
      <c r="E309" s="2">
        <v>0</v>
      </c>
      <c r="F309" s="2">
        <v>1</v>
      </c>
      <c r="G309" s="3" t="s">
        <v>22</v>
      </c>
      <c r="H309" s="2">
        <v>5</v>
      </c>
      <c r="I309" s="117">
        <v>1960</v>
      </c>
      <c r="J309" s="115" t="s">
        <v>84</v>
      </c>
      <c r="K309" s="2" t="s">
        <v>84</v>
      </c>
      <c r="L309" s="2">
        <v>0</v>
      </c>
      <c r="M309" s="2" t="s">
        <v>84</v>
      </c>
      <c r="N309" s="2" t="s">
        <v>84</v>
      </c>
      <c r="O309" s="2" t="s">
        <v>841</v>
      </c>
      <c r="P309" s="2" t="s">
        <v>587</v>
      </c>
    </row>
    <row r="310" spans="1:16" ht="21" customHeight="1" x14ac:dyDescent="0.15">
      <c r="A310" s="10" t="str">
        <f t="shared" si="56"/>
        <v>196_10_0_10_polygon</v>
      </c>
      <c r="B310" s="2">
        <v>196</v>
      </c>
      <c r="C310" s="30" t="str">
        <f>VLOOKUP(B310,gachas!A:C,3)</f>
        <v>フィーバーフェスティバル（ファラデーUP）</v>
      </c>
      <c r="D310" s="21">
        <v>10</v>
      </c>
      <c r="E310" s="2">
        <v>0</v>
      </c>
      <c r="F310" s="2">
        <v>10</v>
      </c>
      <c r="G310" s="3" t="s">
        <v>22</v>
      </c>
      <c r="H310" s="2">
        <v>50</v>
      </c>
      <c r="I310" s="117" t="str">
        <f>B310&amp;0</f>
        <v>1960</v>
      </c>
      <c r="J310" s="112" t="s">
        <v>87</v>
      </c>
      <c r="K310" s="2" t="s">
        <v>557</v>
      </c>
      <c r="L310" s="2">
        <v>0</v>
      </c>
      <c r="M310" s="2" t="s">
        <v>84</v>
      </c>
      <c r="N310" s="2" t="s">
        <v>84</v>
      </c>
      <c r="O310" s="2" t="s">
        <v>841</v>
      </c>
      <c r="P310" s="2" t="s">
        <v>587</v>
      </c>
    </row>
    <row r="311" spans="1:16" ht="21" customHeight="1" x14ac:dyDescent="0.15">
      <c r="A311" s="10" t="str">
        <f t="shared" ref="A311:A313" si="57">B311&amp;"_"&amp;D311&amp;"_"&amp;E311&amp;"_"&amp;F311&amp;"_"&amp;G311</f>
        <v>197_1_1_1_polygon</v>
      </c>
      <c r="B311" s="2">
        <v>197</v>
      </c>
      <c r="C311" s="30" t="str">
        <f>VLOOKUP(B311,gachas!A:C,3)</f>
        <v>フィーバーフェスティバル（ユークリッドUP）</v>
      </c>
      <c r="D311" s="21">
        <v>1</v>
      </c>
      <c r="E311" s="2">
        <v>1</v>
      </c>
      <c r="F311" s="2">
        <v>1</v>
      </c>
      <c r="G311" s="3" t="s">
        <v>22</v>
      </c>
      <c r="H311" s="2">
        <v>5</v>
      </c>
      <c r="I311" s="117" t="str">
        <f>B311&amp;0</f>
        <v>1970</v>
      </c>
      <c r="J311" s="115" t="s">
        <v>84</v>
      </c>
      <c r="K311" s="2" t="s">
        <v>84</v>
      </c>
      <c r="L311" s="2">
        <v>0</v>
      </c>
      <c r="M311" s="2" t="s">
        <v>84</v>
      </c>
      <c r="N311" s="2" t="s">
        <v>84</v>
      </c>
      <c r="O311" s="2" t="s">
        <v>841</v>
      </c>
      <c r="P311" s="2" t="s">
        <v>587</v>
      </c>
    </row>
    <row r="312" spans="1:16" ht="21" customHeight="1" x14ac:dyDescent="0.15">
      <c r="A312" s="10" t="str">
        <f t="shared" si="57"/>
        <v>197_1_0_1_polygon</v>
      </c>
      <c r="B312" s="2">
        <v>197</v>
      </c>
      <c r="C312" s="30" t="str">
        <f>VLOOKUP(B312,gachas!A:C,3)</f>
        <v>フィーバーフェスティバル（ユークリッドUP）</v>
      </c>
      <c r="D312" s="21">
        <v>1</v>
      </c>
      <c r="E312" s="2">
        <v>0</v>
      </c>
      <c r="F312" s="2">
        <v>1</v>
      </c>
      <c r="G312" s="3" t="s">
        <v>22</v>
      </c>
      <c r="H312" s="2">
        <v>5</v>
      </c>
      <c r="I312" s="117">
        <v>1970</v>
      </c>
      <c r="J312" s="115" t="s">
        <v>84</v>
      </c>
      <c r="K312" s="2" t="s">
        <v>84</v>
      </c>
      <c r="L312" s="2">
        <v>0</v>
      </c>
      <c r="M312" s="2" t="s">
        <v>84</v>
      </c>
      <c r="N312" s="2" t="s">
        <v>84</v>
      </c>
      <c r="O312" s="2" t="s">
        <v>841</v>
      </c>
      <c r="P312" s="2" t="s">
        <v>587</v>
      </c>
    </row>
    <row r="313" spans="1:16" ht="21" customHeight="1" x14ac:dyDescent="0.15">
      <c r="A313" s="10" t="str">
        <f t="shared" si="57"/>
        <v>197_10_0_10_polygon</v>
      </c>
      <c r="B313" s="2">
        <v>197</v>
      </c>
      <c r="C313" s="30" t="str">
        <f>VLOOKUP(B313,gachas!A:C,3)</f>
        <v>フィーバーフェスティバル（ユークリッドUP）</v>
      </c>
      <c r="D313" s="21">
        <v>10</v>
      </c>
      <c r="E313" s="2">
        <v>0</v>
      </c>
      <c r="F313" s="2">
        <v>10</v>
      </c>
      <c r="G313" s="3" t="s">
        <v>22</v>
      </c>
      <c r="H313" s="2">
        <v>50</v>
      </c>
      <c r="I313" s="117" t="str">
        <f>B313&amp;0</f>
        <v>1970</v>
      </c>
      <c r="J313" s="112" t="s">
        <v>87</v>
      </c>
      <c r="K313" s="2" t="s">
        <v>557</v>
      </c>
      <c r="L313" s="2">
        <v>0</v>
      </c>
      <c r="M313" s="2" t="s">
        <v>84</v>
      </c>
      <c r="N313" s="2" t="s">
        <v>84</v>
      </c>
      <c r="O313" s="2" t="s">
        <v>841</v>
      </c>
      <c r="P313" s="2" t="s">
        <v>587</v>
      </c>
    </row>
    <row r="314" spans="1:16" ht="21" customHeight="1" x14ac:dyDescent="0.15">
      <c r="A314" s="10" t="str">
        <f t="shared" ref="A314:A315" si="58">B314&amp;"_"&amp;D314&amp;"_"&amp;E314&amp;"_"&amp;F314&amp;"_"&amp;G314</f>
        <v>198_10_2_5_polygon</v>
      </c>
      <c r="B314" s="2">
        <v>198</v>
      </c>
      <c r="C314" s="30" t="str">
        <f>VLOOKUP(B314,gachas!A:C,3)</f>
        <v>スーパーセレクション</v>
      </c>
      <c r="D314" s="21">
        <v>10</v>
      </c>
      <c r="E314" s="2">
        <v>2</v>
      </c>
      <c r="F314" s="2">
        <v>5</v>
      </c>
      <c r="G314" s="3" t="s">
        <v>22</v>
      </c>
      <c r="H314" s="2">
        <v>25</v>
      </c>
      <c r="I314" s="117" t="str">
        <f t="shared" ref="I314:I343" si="59">B314&amp;1</f>
        <v>1981</v>
      </c>
      <c r="J314" s="115" t="s">
        <v>84</v>
      </c>
      <c r="K314" s="2" t="s">
        <v>84</v>
      </c>
      <c r="L314" s="2">
        <v>0</v>
      </c>
      <c r="M314" s="2" t="s">
        <v>84</v>
      </c>
      <c r="N314" s="2" t="s">
        <v>84</v>
      </c>
      <c r="O314" s="2" t="s">
        <v>841</v>
      </c>
      <c r="P314" s="2" t="s">
        <v>567</v>
      </c>
    </row>
    <row r="315" spans="1:16" ht="21" customHeight="1" x14ac:dyDescent="0.15">
      <c r="A315" s="10" t="str">
        <f t="shared" si="58"/>
        <v>198_10_3_5_polygon</v>
      </c>
      <c r="B315" s="2">
        <v>198</v>
      </c>
      <c r="C315" s="30" t="str">
        <f>VLOOKUP(B315,gachas!A:C,3)</f>
        <v>スーパーセレクション</v>
      </c>
      <c r="D315" s="21">
        <v>10</v>
      </c>
      <c r="E315" s="2">
        <v>3</v>
      </c>
      <c r="F315" s="2">
        <v>5</v>
      </c>
      <c r="G315" s="3" t="s">
        <v>22</v>
      </c>
      <c r="H315" s="2">
        <v>25</v>
      </c>
      <c r="I315" s="117" t="str">
        <f t="shared" si="59"/>
        <v>1981</v>
      </c>
      <c r="J315" s="112" t="s">
        <v>87</v>
      </c>
      <c r="K315" s="2" t="s">
        <v>557</v>
      </c>
      <c r="L315" s="2">
        <v>0</v>
      </c>
      <c r="M315" s="2" t="s">
        <v>84</v>
      </c>
      <c r="N315" s="2" t="s">
        <v>84</v>
      </c>
      <c r="O315" s="2" t="s">
        <v>841</v>
      </c>
      <c r="P315" s="2" t="s">
        <v>568</v>
      </c>
    </row>
    <row r="316" spans="1:16" ht="21" customHeight="1" x14ac:dyDescent="0.15">
      <c r="A316" s="10" t="str">
        <f t="shared" ref="A316:A320" si="60">B316&amp;"_"&amp;D316&amp;"_"&amp;E316&amp;"_"&amp;F316&amp;"_"&amp;G316</f>
        <v>198_10_4_5_polygon</v>
      </c>
      <c r="B316" s="2">
        <v>198</v>
      </c>
      <c r="C316" s="30" t="str">
        <f>VLOOKUP(B316,gachas!A:C,3)</f>
        <v>スーパーセレクション</v>
      </c>
      <c r="D316" s="21">
        <v>10</v>
      </c>
      <c r="E316" s="2">
        <v>4</v>
      </c>
      <c r="F316" s="2">
        <v>5</v>
      </c>
      <c r="G316" s="3" t="s">
        <v>22</v>
      </c>
      <c r="H316" s="2">
        <v>25</v>
      </c>
      <c r="I316" s="117" t="str">
        <f t="shared" si="59"/>
        <v>1981</v>
      </c>
      <c r="J316" s="115" t="s">
        <v>84</v>
      </c>
      <c r="K316" s="2" t="s">
        <v>84</v>
      </c>
      <c r="L316" s="2">
        <v>0</v>
      </c>
      <c r="M316" s="2" t="s">
        <v>84</v>
      </c>
      <c r="N316" s="2" t="s">
        <v>84</v>
      </c>
      <c r="O316" s="2" t="s">
        <v>841</v>
      </c>
      <c r="P316" s="2" t="s">
        <v>569</v>
      </c>
    </row>
    <row r="317" spans="1:16" ht="21" customHeight="1" x14ac:dyDescent="0.15">
      <c r="A317" s="10" t="str">
        <f t="shared" si="60"/>
        <v>198_10_5_5_polygon</v>
      </c>
      <c r="B317" s="2">
        <v>198</v>
      </c>
      <c r="C317" s="30" t="str">
        <f>VLOOKUP(B317,gachas!A:C,3)</f>
        <v>スーパーセレクション</v>
      </c>
      <c r="D317" s="21">
        <v>10</v>
      </c>
      <c r="E317" s="2">
        <v>5</v>
      </c>
      <c r="F317" s="2">
        <v>5</v>
      </c>
      <c r="G317" s="3" t="s">
        <v>22</v>
      </c>
      <c r="H317" s="2">
        <v>25</v>
      </c>
      <c r="I317" s="117" t="str">
        <f t="shared" si="59"/>
        <v>1981</v>
      </c>
      <c r="J317" s="115" t="s">
        <v>84</v>
      </c>
      <c r="K317" s="2" t="s">
        <v>84</v>
      </c>
      <c r="L317" s="2">
        <v>0</v>
      </c>
      <c r="M317" s="2" t="s">
        <v>84</v>
      </c>
      <c r="N317" s="2" t="s">
        <v>84</v>
      </c>
      <c r="O317" s="2" t="s">
        <v>841</v>
      </c>
      <c r="P317" s="2" t="s">
        <v>570</v>
      </c>
    </row>
    <row r="318" spans="1:16" ht="21" customHeight="1" x14ac:dyDescent="0.15">
      <c r="A318" s="10" t="str">
        <f t="shared" si="60"/>
        <v>198_10_6_5_polygon</v>
      </c>
      <c r="B318" s="2">
        <v>198</v>
      </c>
      <c r="C318" s="30" t="str">
        <f>VLOOKUP(B318,gachas!A:C,3)</f>
        <v>スーパーセレクション</v>
      </c>
      <c r="D318" s="21">
        <v>10</v>
      </c>
      <c r="E318" s="2">
        <v>6</v>
      </c>
      <c r="F318" s="2">
        <v>5</v>
      </c>
      <c r="G318" s="3" t="s">
        <v>22</v>
      </c>
      <c r="H318" s="2">
        <v>25</v>
      </c>
      <c r="I318" s="117" t="str">
        <f t="shared" si="59"/>
        <v>1981</v>
      </c>
      <c r="J318" s="115" t="s">
        <v>84</v>
      </c>
      <c r="K318" s="2" t="s">
        <v>84</v>
      </c>
      <c r="L318" s="2">
        <v>0</v>
      </c>
      <c r="M318" s="2" t="s">
        <v>84</v>
      </c>
      <c r="N318" s="2" t="s">
        <v>84</v>
      </c>
      <c r="O318" s="2" t="s">
        <v>841</v>
      </c>
      <c r="P318" s="2" t="s">
        <v>571</v>
      </c>
    </row>
    <row r="319" spans="1:16" ht="21" customHeight="1" x14ac:dyDescent="0.15">
      <c r="A319" s="10" t="str">
        <f t="shared" si="60"/>
        <v>198_10_7_5_polygon</v>
      </c>
      <c r="B319" s="2">
        <v>198</v>
      </c>
      <c r="C319" s="30" t="str">
        <f>VLOOKUP(B319,gachas!A:C,3)</f>
        <v>スーパーセレクション</v>
      </c>
      <c r="D319" s="21">
        <v>10</v>
      </c>
      <c r="E319" s="2">
        <v>7</v>
      </c>
      <c r="F319" s="2">
        <v>5</v>
      </c>
      <c r="G319" s="3" t="s">
        <v>22</v>
      </c>
      <c r="H319" s="2">
        <v>25</v>
      </c>
      <c r="I319" s="117" t="str">
        <f t="shared" si="59"/>
        <v>1981</v>
      </c>
      <c r="J319" s="115" t="s">
        <v>84</v>
      </c>
      <c r="K319" s="2" t="s">
        <v>84</v>
      </c>
      <c r="L319" s="2">
        <v>0</v>
      </c>
      <c r="M319" s="2" t="s">
        <v>84</v>
      </c>
      <c r="N319" s="2" t="s">
        <v>84</v>
      </c>
      <c r="O319" s="2" t="s">
        <v>841</v>
      </c>
      <c r="P319" s="2" t="s">
        <v>572</v>
      </c>
    </row>
    <row r="320" spans="1:16" ht="21" customHeight="1" x14ac:dyDescent="0.15">
      <c r="A320" s="10" t="str">
        <f t="shared" si="60"/>
        <v>198_10_8_5_polygon</v>
      </c>
      <c r="B320" s="2">
        <v>198</v>
      </c>
      <c r="C320" s="30" t="str">
        <f>VLOOKUP(B320,gachas!A:C,3)</f>
        <v>スーパーセレクション</v>
      </c>
      <c r="D320" s="21">
        <v>10</v>
      </c>
      <c r="E320" s="2">
        <v>8</v>
      </c>
      <c r="F320" s="2">
        <v>5</v>
      </c>
      <c r="G320" s="3" t="s">
        <v>22</v>
      </c>
      <c r="H320" s="2">
        <v>25</v>
      </c>
      <c r="I320" s="117" t="str">
        <f t="shared" si="59"/>
        <v>1981</v>
      </c>
      <c r="J320" s="112" t="s">
        <v>87</v>
      </c>
      <c r="K320" s="2" t="s">
        <v>557</v>
      </c>
      <c r="L320" s="2">
        <v>0</v>
      </c>
      <c r="M320" s="2" t="s">
        <v>84</v>
      </c>
      <c r="N320" s="2" t="s">
        <v>84</v>
      </c>
      <c r="O320" s="2" t="s">
        <v>841</v>
      </c>
      <c r="P320" s="2" t="s">
        <v>573</v>
      </c>
    </row>
    <row r="321" spans="1:16" ht="21" customHeight="1" x14ac:dyDescent="0.15">
      <c r="A321" s="10" t="str">
        <f t="shared" ref="A321:A330" si="61">B321&amp;"_"&amp;D321&amp;"_"&amp;E321&amp;"_"&amp;F321&amp;"_"&amp;G321</f>
        <v>198_10_9_5_polygon</v>
      </c>
      <c r="B321" s="2">
        <v>198</v>
      </c>
      <c r="C321" s="30" t="str">
        <f>VLOOKUP(B321,gachas!A:C,3)</f>
        <v>スーパーセレクション</v>
      </c>
      <c r="D321" s="21">
        <v>10</v>
      </c>
      <c r="E321" s="2">
        <v>9</v>
      </c>
      <c r="F321" s="2">
        <v>5</v>
      </c>
      <c r="G321" s="3" t="s">
        <v>22</v>
      </c>
      <c r="H321" s="2">
        <v>25</v>
      </c>
      <c r="I321" s="117" t="str">
        <f t="shared" si="59"/>
        <v>1981</v>
      </c>
      <c r="J321" s="115" t="s">
        <v>84</v>
      </c>
      <c r="K321" s="2" t="s">
        <v>84</v>
      </c>
      <c r="L321" s="2">
        <v>0</v>
      </c>
      <c r="M321" s="2" t="s">
        <v>84</v>
      </c>
      <c r="N321" s="2" t="s">
        <v>84</v>
      </c>
      <c r="O321" s="2" t="s">
        <v>841</v>
      </c>
      <c r="P321" s="2" t="s">
        <v>574</v>
      </c>
    </row>
    <row r="322" spans="1:16" ht="21" customHeight="1" x14ac:dyDescent="0.15">
      <c r="A322" s="10" t="str">
        <f t="shared" si="61"/>
        <v>198_10_10_5_polygon</v>
      </c>
      <c r="B322" s="2">
        <v>198</v>
      </c>
      <c r="C322" s="30" t="str">
        <f>VLOOKUP(B322,gachas!A:C,3)</f>
        <v>スーパーセレクション</v>
      </c>
      <c r="D322" s="21">
        <v>10</v>
      </c>
      <c r="E322" s="2">
        <v>10</v>
      </c>
      <c r="F322" s="2">
        <v>5</v>
      </c>
      <c r="G322" s="3" t="s">
        <v>22</v>
      </c>
      <c r="H322" s="2">
        <v>25</v>
      </c>
      <c r="I322" s="117" t="str">
        <f t="shared" si="59"/>
        <v>1981</v>
      </c>
      <c r="J322" s="115" t="s">
        <v>84</v>
      </c>
      <c r="K322" s="2">
        <v>1983</v>
      </c>
      <c r="L322" s="2">
        <v>1</v>
      </c>
      <c r="M322" s="2" t="s">
        <v>84</v>
      </c>
      <c r="N322" s="2" t="s">
        <v>84</v>
      </c>
      <c r="O322" s="2" t="s">
        <v>841</v>
      </c>
      <c r="P322" s="2" t="s">
        <v>575</v>
      </c>
    </row>
    <row r="323" spans="1:16" ht="21" customHeight="1" x14ac:dyDescent="0.15">
      <c r="A323" s="10" t="str">
        <f t="shared" si="61"/>
        <v>198_10_11_5_polygon</v>
      </c>
      <c r="B323" s="2">
        <v>198</v>
      </c>
      <c r="C323" s="30" t="str">
        <f>VLOOKUP(B323,gachas!A:C,3)</f>
        <v>スーパーセレクション</v>
      </c>
      <c r="D323" s="21">
        <v>10</v>
      </c>
      <c r="E323" s="2">
        <v>11</v>
      </c>
      <c r="F323" s="2">
        <v>5</v>
      </c>
      <c r="G323" s="3" t="s">
        <v>22</v>
      </c>
      <c r="H323" s="2">
        <v>25</v>
      </c>
      <c r="I323" s="117" t="str">
        <f t="shared" si="59"/>
        <v>1981</v>
      </c>
      <c r="J323" s="115" t="s">
        <v>84</v>
      </c>
      <c r="K323" s="2" t="s">
        <v>84</v>
      </c>
      <c r="L323" s="2">
        <v>0</v>
      </c>
      <c r="M323" s="2" t="s">
        <v>84</v>
      </c>
      <c r="N323" s="2" t="s">
        <v>84</v>
      </c>
      <c r="O323" s="2" t="s">
        <v>841</v>
      </c>
      <c r="P323" s="2" t="s">
        <v>566</v>
      </c>
    </row>
    <row r="324" spans="1:16" ht="21" customHeight="1" x14ac:dyDescent="0.15">
      <c r="A324" s="10" t="str">
        <f t="shared" si="61"/>
        <v>198_10_12_5_polygon</v>
      </c>
      <c r="B324" s="2">
        <v>198</v>
      </c>
      <c r="C324" s="30" t="str">
        <f>VLOOKUP(B324,gachas!A:C,3)</f>
        <v>スーパーセレクション</v>
      </c>
      <c r="D324" s="21">
        <v>10</v>
      </c>
      <c r="E324" s="2">
        <v>12</v>
      </c>
      <c r="F324" s="2">
        <v>5</v>
      </c>
      <c r="G324" s="3" t="s">
        <v>22</v>
      </c>
      <c r="H324" s="2">
        <v>25</v>
      </c>
      <c r="I324" s="117" t="str">
        <f t="shared" si="59"/>
        <v>1981</v>
      </c>
      <c r="J324" s="115" t="s">
        <v>84</v>
      </c>
      <c r="K324" s="2" t="s">
        <v>84</v>
      </c>
      <c r="L324" s="2">
        <v>0</v>
      </c>
      <c r="M324" s="2" t="s">
        <v>84</v>
      </c>
      <c r="N324" s="2" t="s">
        <v>84</v>
      </c>
      <c r="O324" s="2" t="s">
        <v>841</v>
      </c>
      <c r="P324" s="2" t="s">
        <v>567</v>
      </c>
    </row>
    <row r="325" spans="1:16" ht="21" customHeight="1" x14ac:dyDescent="0.15">
      <c r="A325" s="10" t="str">
        <f t="shared" si="61"/>
        <v>198_10_13_5_polygon</v>
      </c>
      <c r="B325" s="2">
        <v>198</v>
      </c>
      <c r="C325" s="30" t="str">
        <f>VLOOKUP(B325,gachas!A:C,3)</f>
        <v>スーパーセレクション</v>
      </c>
      <c r="D325" s="21">
        <v>10</v>
      </c>
      <c r="E325" s="2">
        <v>13</v>
      </c>
      <c r="F325" s="2">
        <v>5</v>
      </c>
      <c r="G325" s="3" t="s">
        <v>22</v>
      </c>
      <c r="H325" s="2">
        <v>25</v>
      </c>
      <c r="I325" s="117" t="str">
        <f t="shared" si="59"/>
        <v>1981</v>
      </c>
      <c r="J325" s="112" t="s">
        <v>87</v>
      </c>
      <c r="K325" s="2" t="s">
        <v>557</v>
      </c>
      <c r="L325" s="2">
        <v>0</v>
      </c>
      <c r="M325" s="2" t="s">
        <v>84</v>
      </c>
      <c r="N325" s="2" t="s">
        <v>84</v>
      </c>
      <c r="O325" s="2" t="s">
        <v>841</v>
      </c>
      <c r="P325" s="2" t="s">
        <v>568</v>
      </c>
    </row>
    <row r="326" spans="1:16" ht="21" customHeight="1" x14ac:dyDescent="0.15">
      <c r="A326" s="10" t="str">
        <f t="shared" si="61"/>
        <v>198_10_14_5_polygon</v>
      </c>
      <c r="B326" s="2">
        <v>198</v>
      </c>
      <c r="C326" s="30" t="str">
        <f>VLOOKUP(B326,gachas!A:C,3)</f>
        <v>スーパーセレクション</v>
      </c>
      <c r="D326" s="21">
        <v>10</v>
      </c>
      <c r="E326" s="2">
        <v>14</v>
      </c>
      <c r="F326" s="2">
        <v>5</v>
      </c>
      <c r="G326" s="3" t="s">
        <v>22</v>
      </c>
      <c r="H326" s="2">
        <v>25</v>
      </c>
      <c r="I326" s="117" t="str">
        <f t="shared" si="59"/>
        <v>1981</v>
      </c>
      <c r="J326" s="115" t="s">
        <v>84</v>
      </c>
      <c r="K326" s="2" t="s">
        <v>84</v>
      </c>
      <c r="L326" s="2">
        <v>0</v>
      </c>
      <c r="M326" s="2" t="s">
        <v>84</v>
      </c>
      <c r="N326" s="2" t="s">
        <v>84</v>
      </c>
      <c r="O326" s="2" t="s">
        <v>841</v>
      </c>
      <c r="P326" s="2" t="s">
        <v>569</v>
      </c>
    </row>
    <row r="327" spans="1:16" ht="21" customHeight="1" x14ac:dyDescent="0.15">
      <c r="A327" s="10" t="str">
        <f t="shared" si="61"/>
        <v>198_10_15_5_polygon</v>
      </c>
      <c r="B327" s="2">
        <v>198</v>
      </c>
      <c r="C327" s="30" t="str">
        <f>VLOOKUP(B327,gachas!A:C,3)</f>
        <v>スーパーセレクション</v>
      </c>
      <c r="D327" s="21">
        <v>10</v>
      </c>
      <c r="E327" s="2">
        <v>15</v>
      </c>
      <c r="F327" s="2">
        <v>5</v>
      </c>
      <c r="G327" s="3" t="s">
        <v>22</v>
      </c>
      <c r="H327" s="2">
        <v>25</v>
      </c>
      <c r="I327" s="117" t="str">
        <f t="shared" si="59"/>
        <v>1981</v>
      </c>
      <c r="J327" s="115" t="s">
        <v>84</v>
      </c>
      <c r="K327" s="2" t="s">
        <v>84</v>
      </c>
      <c r="L327" s="2">
        <v>0</v>
      </c>
      <c r="M327" s="2" t="s">
        <v>84</v>
      </c>
      <c r="N327" s="2" t="s">
        <v>84</v>
      </c>
      <c r="O327" s="2" t="s">
        <v>841</v>
      </c>
      <c r="P327" s="2" t="s">
        <v>570</v>
      </c>
    </row>
    <row r="328" spans="1:16" ht="21" customHeight="1" x14ac:dyDescent="0.15">
      <c r="A328" s="10" t="str">
        <f t="shared" si="61"/>
        <v>198_10_16_5_polygon</v>
      </c>
      <c r="B328" s="2">
        <v>198</v>
      </c>
      <c r="C328" s="30" t="str">
        <f>VLOOKUP(B328,gachas!A:C,3)</f>
        <v>スーパーセレクション</v>
      </c>
      <c r="D328" s="21">
        <v>10</v>
      </c>
      <c r="E328" s="2">
        <v>16</v>
      </c>
      <c r="F328" s="2">
        <v>5</v>
      </c>
      <c r="G328" s="3" t="s">
        <v>22</v>
      </c>
      <c r="H328" s="2">
        <v>25</v>
      </c>
      <c r="I328" s="117" t="str">
        <f t="shared" si="59"/>
        <v>1981</v>
      </c>
      <c r="J328" s="115" t="s">
        <v>84</v>
      </c>
      <c r="K328" s="2" t="s">
        <v>84</v>
      </c>
      <c r="L328" s="2">
        <v>0</v>
      </c>
      <c r="M328" s="2" t="s">
        <v>84</v>
      </c>
      <c r="N328" s="2" t="s">
        <v>84</v>
      </c>
      <c r="O328" s="2" t="s">
        <v>841</v>
      </c>
      <c r="P328" s="2" t="s">
        <v>571</v>
      </c>
    </row>
    <row r="329" spans="1:16" ht="21" customHeight="1" x14ac:dyDescent="0.15">
      <c r="A329" s="10" t="str">
        <f t="shared" si="61"/>
        <v>198_10_17_5_polygon</v>
      </c>
      <c r="B329" s="2">
        <v>198</v>
      </c>
      <c r="C329" s="30" t="str">
        <f>VLOOKUP(B329,gachas!A:C,3)</f>
        <v>スーパーセレクション</v>
      </c>
      <c r="D329" s="21">
        <v>10</v>
      </c>
      <c r="E329" s="2">
        <v>17</v>
      </c>
      <c r="F329" s="2">
        <v>5</v>
      </c>
      <c r="G329" s="3" t="s">
        <v>22</v>
      </c>
      <c r="H329" s="2">
        <v>25</v>
      </c>
      <c r="I329" s="117" t="str">
        <f t="shared" si="59"/>
        <v>1981</v>
      </c>
      <c r="J329" s="115" t="s">
        <v>84</v>
      </c>
      <c r="K329" s="2" t="s">
        <v>84</v>
      </c>
      <c r="L329" s="2">
        <v>0</v>
      </c>
      <c r="M329" s="2" t="s">
        <v>84</v>
      </c>
      <c r="N329" s="2" t="s">
        <v>84</v>
      </c>
      <c r="O329" s="2" t="s">
        <v>841</v>
      </c>
      <c r="P329" s="2" t="s">
        <v>572</v>
      </c>
    </row>
    <row r="330" spans="1:16" ht="21" customHeight="1" x14ac:dyDescent="0.15">
      <c r="A330" s="10" t="str">
        <f t="shared" si="61"/>
        <v>198_10_18_5_polygon</v>
      </c>
      <c r="B330" s="2">
        <v>198</v>
      </c>
      <c r="C330" s="30" t="str">
        <f>VLOOKUP(B330,gachas!A:C,3)</f>
        <v>スーパーセレクション</v>
      </c>
      <c r="D330" s="21">
        <v>10</v>
      </c>
      <c r="E330" s="2">
        <v>18</v>
      </c>
      <c r="F330" s="2">
        <v>5</v>
      </c>
      <c r="G330" s="3" t="s">
        <v>22</v>
      </c>
      <c r="H330" s="2">
        <v>25</v>
      </c>
      <c r="I330" s="117" t="str">
        <f t="shared" si="59"/>
        <v>1981</v>
      </c>
      <c r="J330" s="112" t="s">
        <v>87</v>
      </c>
      <c r="K330" s="2" t="s">
        <v>557</v>
      </c>
      <c r="L330" s="2">
        <v>0</v>
      </c>
      <c r="M330" s="2" t="s">
        <v>84</v>
      </c>
      <c r="N330" s="2" t="s">
        <v>84</v>
      </c>
      <c r="O330" s="2" t="s">
        <v>841</v>
      </c>
      <c r="P330" s="2" t="s">
        <v>573</v>
      </c>
    </row>
    <row r="331" spans="1:16" ht="21" customHeight="1" x14ac:dyDescent="0.15">
      <c r="A331" s="10" t="str">
        <f t="shared" ref="A331:A341" si="62">B331&amp;"_"&amp;D331&amp;"_"&amp;E331&amp;"_"&amp;F331&amp;"_"&amp;G331</f>
        <v>198_10_19_5_polygon</v>
      </c>
      <c r="B331" s="2">
        <v>198</v>
      </c>
      <c r="C331" s="30" t="str">
        <f>VLOOKUP(B331,gachas!A:C,3)</f>
        <v>スーパーセレクション</v>
      </c>
      <c r="D331" s="21">
        <v>10</v>
      </c>
      <c r="E331" s="2">
        <v>19</v>
      </c>
      <c r="F331" s="2">
        <v>5</v>
      </c>
      <c r="G331" s="3" t="s">
        <v>22</v>
      </c>
      <c r="H331" s="2">
        <v>25</v>
      </c>
      <c r="I331" s="117" t="str">
        <f t="shared" si="59"/>
        <v>1981</v>
      </c>
      <c r="J331" s="115" t="s">
        <v>84</v>
      </c>
      <c r="K331" s="2" t="s">
        <v>84</v>
      </c>
      <c r="L331" s="2">
        <v>0</v>
      </c>
      <c r="M331" s="2" t="s">
        <v>84</v>
      </c>
      <c r="N331" s="2" t="s">
        <v>84</v>
      </c>
      <c r="O331" s="2" t="s">
        <v>841</v>
      </c>
      <c r="P331" s="2" t="s">
        <v>574</v>
      </c>
    </row>
    <row r="332" spans="1:16" ht="21" customHeight="1" x14ac:dyDescent="0.15">
      <c r="A332" s="10" t="str">
        <f t="shared" si="62"/>
        <v>198_10_20_5_polygon</v>
      </c>
      <c r="B332" s="2">
        <v>198</v>
      </c>
      <c r="C332" s="30" t="str">
        <f>VLOOKUP(B332,gachas!A:C,3)</f>
        <v>スーパーセレクション</v>
      </c>
      <c r="D332" s="21">
        <v>10</v>
      </c>
      <c r="E332" s="2">
        <v>20</v>
      </c>
      <c r="F332" s="2">
        <v>5</v>
      </c>
      <c r="G332" s="3" t="s">
        <v>22</v>
      </c>
      <c r="H332" s="2">
        <v>25</v>
      </c>
      <c r="I332" s="117" t="str">
        <f t="shared" si="59"/>
        <v>1981</v>
      </c>
      <c r="J332" s="115" t="s">
        <v>84</v>
      </c>
      <c r="K332" s="2">
        <v>1983</v>
      </c>
      <c r="L332" s="2">
        <v>1</v>
      </c>
      <c r="M332" s="2" t="s">
        <v>84</v>
      </c>
      <c r="N332" s="2" t="s">
        <v>84</v>
      </c>
      <c r="O332" s="2" t="s">
        <v>841</v>
      </c>
      <c r="P332" s="2" t="s">
        <v>575</v>
      </c>
    </row>
    <row r="333" spans="1:16" ht="21" customHeight="1" x14ac:dyDescent="0.15">
      <c r="A333" s="10" t="str">
        <f t="shared" si="62"/>
        <v>198_10_21_5_polygon</v>
      </c>
      <c r="B333" s="2">
        <v>198</v>
      </c>
      <c r="C333" s="30" t="str">
        <f>VLOOKUP(B333,gachas!A:C,3)</f>
        <v>スーパーセレクション</v>
      </c>
      <c r="D333" s="21">
        <v>10</v>
      </c>
      <c r="E333" s="2">
        <v>21</v>
      </c>
      <c r="F333" s="2">
        <v>5</v>
      </c>
      <c r="G333" s="3" t="s">
        <v>22</v>
      </c>
      <c r="H333" s="2">
        <v>25</v>
      </c>
      <c r="I333" s="117" t="str">
        <f t="shared" si="59"/>
        <v>1981</v>
      </c>
      <c r="J333" s="115" t="s">
        <v>84</v>
      </c>
      <c r="K333" s="2" t="s">
        <v>576</v>
      </c>
      <c r="L333" s="2">
        <v>0</v>
      </c>
      <c r="M333" s="2" t="s">
        <v>84</v>
      </c>
      <c r="N333" s="2" t="s">
        <v>84</v>
      </c>
      <c r="O333" s="2" t="s">
        <v>841</v>
      </c>
      <c r="P333" s="2" t="s">
        <v>566</v>
      </c>
    </row>
    <row r="334" spans="1:16" ht="21" customHeight="1" x14ac:dyDescent="0.15">
      <c r="A334" s="10" t="str">
        <f t="shared" si="62"/>
        <v>198_10_22_5_polygon</v>
      </c>
      <c r="B334" s="2">
        <v>198</v>
      </c>
      <c r="C334" s="30" t="str">
        <f>VLOOKUP(B334,gachas!A:C,3)</f>
        <v>スーパーセレクション</v>
      </c>
      <c r="D334" s="21">
        <v>10</v>
      </c>
      <c r="E334" s="2">
        <v>22</v>
      </c>
      <c r="F334" s="2">
        <v>5</v>
      </c>
      <c r="G334" s="3" t="s">
        <v>22</v>
      </c>
      <c r="H334" s="2">
        <v>25</v>
      </c>
      <c r="I334" s="117" t="str">
        <f t="shared" si="59"/>
        <v>1981</v>
      </c>
      <c r="J334" s="115" t="s">
        <v>84</v>
      </c>
      <c r="K334" s="2" t="s">
        <v>84</v>
      </c>
      <c r="L334" s="2">
        <v>0</v>
      </c>
      <c r="M334" s="2" t="s">
        <v>84</v>
      </c>
      <c r="N334" s="2" t="s">
        <v>84</v>
      </c>
      <c r="O334" s="2" t="s">
        <v>841</v>
      </c>
      <c r="P334" s="2" t="s">
        <v>567</v>
      </c>
    </row>
    <row r="335" spans="1:16" ht="21" customHeight="1" x14ac:dyDescent="0.15">
      <c r="A335" s="10" t="str">
        <f t="shared" si="62"/>
        <v>198_10_23_5_polygon</v>
      </c>
      <c r="B335" s="2">
        <v>198</v>
      </c>
      <c r="C335" s="30" t="str">
        <f>VLOOKUP(B335,gachas!A:C,3)</f>
        <v>スーパーセレクション</v>
      </c>
      <c r="D335" s="21">
        <v>10</v>
      </c>
      <c r="E335" s="2">
        <v>23</v>
      </c>
      <c r="F335" s="2">
        <v>5</v>
      </c>
      <c r="G335" s="3" t="s">
        <v>22</v>
      </c>
      <c r="H335" s="2">
        <v>25</v>
      </c>
      <c r="I335" s="117" t="str">
        <f t="shared" si="59"/>
        <v>1981</v>
      </c>
      <c r="J335" s="115" t="s">
        <v>84</v>
      </c>
      <c r="K335" s="2" t="s">
        <v>84</v>
      </c>
      <c r="L335" s="2">
        <v>0</v>
      </c>
      <c r="M335" s="2" t="s">
        <v>84</v>
      </c>
      <c r="N335" s="2" t="s">
        <v>84</v>
      </c>
      <c r="O335" s="2" t="s">
        <v>841</v>
      </c>
      <c r="P335" s="2" t="s">
        <v>568</v>
      </c>
    </row>
    <row r="336" spans="1:16" ht="21" customHeight="1" x14ac:dyDescent="0.15">
      <c r="A336" s="10" t="str">
        <f t="shared" si="62"/>
        <v>198_10_24_5_polygon</v>
      </c>
      <c r="B336" s="2">
        <v>198</v>
      </c>
      <c r="C336" s="30" t="str">
        <f>VLOOKUP(B336,gachas!A:C,3)</f>
        <v>スーパーセレクション</v>
      </c>
      <c r="D336" s="21">
        <v>10</v>
      </c>
      <c r="E336" s="2">
        <v>24</v>
      </c>
      <c r="F336" s="2">
        <v>5</v>
      </c>
      <c r="G336" s="3" t="s">
        <v>22</v>
      </c>
      <c r="H336" s="2">
        <v>25</v>
      </c>
      <c r="I336" s="117" t="str">
        <f t="shared" si="59"/>
        <v>1981</v>
      </c>
      <c r="J336" s="112" t="s">
        <v>87</v>
      </c>
      <c r="K336" s="2" t="s">
        <v>557</v>
      </c>
      <c r="L336" s="2">
        <v>0</v>
      </c>
      <c r="M336" s="2" t="s">
        <v>84</v>
      </c>
      <c r="N336" s="2" t="s">
        <v>84</v>
      </c>
      <c r="O336" s="2" t="s">
        <v>841</v>
      </c>
      <c r="P336" s="2" t="s">
        <v>569</v>
      </c>
    </row>
    <row r="337" spans="1:16" ht="21" customHeight="1" x14ac:dyDescent="0.15">
      <c r="A337" s="10" t="str">
        <f t="shared" si="62"/>
        <v>198_10_25_5_polygon</v>
      </c>
      <c r="B337" s="2">
        <v>198</v>
      </c>
      <c r="C337" s="30" t="str">
        <f>VLOOKUP(B337,gachas!A:C,3)</f>
        <v>スーパーセレクション</v>
      </c>
      <c r="D337" s="21">
        <v>10</v>
      </c>
      <c r="E337" s="2">
        <v>25</v>
      </c>
      <c r="F337" s="2">
        <v>5</v>
      </c>
      <c r="G337" s="3" t="s">
        <v>22</v>
      </c>
      <c r="H337" s="2">
        <v>25</v>
      </c>
      <c r="I337" s="117" t="str">
        <f t="shared" si="59"/>
        <v>1981</v>
      </c>
      <c r="J337" s="115" t="s">
        <v>84</v>
      </c>
      <c r="K337" s="2" t="s">
        <v>84</v>
      </c>
      <c r="L337" s="2">
        <v>0</v>
      </c>
      <c r="M337" s="2" t="s">
        <v>84</v>
      </c>
      <c r="N337" s="2" t="s">
        <v>84</v>
      </c>
      <c r="O337" s="2" t="s">
        <v>841</v>
      </c>
      <c r="P337" s="2" t="s">
        <v>570</v>
      </c>
    </row>
    <row r="338" spans="1:16" ht="21" customHeight="1" x14ac:dyDescent="0.15">
      <c r="A338" s="10" t="str">
        <f t="shared" si="62"/>
        <v>198_10_26_5_polygon</v>
      </c>
      <c r="B338" s="2">
        <v>198</v>
      </c>
      <c r="C338" s="30" t="str">
        <f>VLOOKUP(B338,gachas!A:C,3)</f>
        <v>スーパーセレクション</v>
      </c>
      <c r="D338" s="21">
        <v>10</v>
      </c>
      <c r="E338" s="2">
        <v>26</v>
      </c>
      <c r="F338" s="2">
        <v>5</v>
      </c>
      <c r="G338" s="3" t="s">
        <v>22</v>
      </c>
      <c r="H338" s="2">
        <v>25</v>
      </c>
      <c r="I338" s="117" t="str">
        <f t="shared" si="59"/>
        <v>1981</v>
      </c>
      <c r="J338" s="115" t="s">
        <v>84</v>
      </c>
      <c r="K338" s="2" t="s">
        <v>84</v>
      </c>
      <c r="L338" s="2">
        <v>0</v>
      </c>
      <c r="M338" s="2" t="s">
        <v>84</v>
      </c>
      <c r="N338" s="2" t="s">
        <v>84</v>
      </c>
      <c r="O338" s="2" t="s">
        <v>841</v>
      </c>
      <c r="P338" s="2" t="s">
        <v>571</v>
      </c>
    </row>
    <row r="339" spans="1:16" ht="21" customHeight="1" x14ac:dyDescent="0.15">
      <c r="A339" s="10" t="str">
        <f t="shared" si="62"/>
        <v>198_10_27_5_polygon</v>
      </c>
      <c r="B339" s="2">
        <v>198</v>
      </c>
      <c r="C339" s="30" t="str">
        <f>VLOOKUP(B339,gachas!A:C,3)</f>
        <v>スーパーセレクション</v>
      </c>
      <c r="D339" s="21">
        <v>10</v>
      </c>
      <c r="E339" s="2">
        <v>27</v>
      </c>
      <c r="F339" s="2">
        <v>5</v>
      </c>
      <c r="G339" s="3" t="s">
        <v>22</v>
      </c>
      <c r="H339" s="2">
        <v>25</v>
      </c>
      <c r="I339" s="117" t="str">
        <f t="shared" si="59"/>
        <v>1981</v>
      </c>
      <c r="J339" s="115" t="s">
        <v>84</v>
      </c>
      <c r="K339" s="2" t="s">
        <v>84</v>
      </c>
      <c r="L339" s="2">
        <v>0</v>
      </c>
      <c r="M339" s="2" t="s">
        <v>84</v>
      </c>
      <c r="N339" s="2" t="s">
        <v>84</v>
      </c>
      <c r="O339" s="2" t="s">
        <v>841</v>
      </c>
      <c r="P339" s="2" t="s">
        <v>572</v>
      </c>
    </row>
    <row r="340" spans="1:16" ht="21" customHeight="1" x14ac:dyDescent="0.15">
      <c r="A340" s="10" t="str">
        <f t="shared" si="62"/>
        <v>198_10_28_5_polygon</v>
      </c>
      <c r="B340" s="2">
        <v>198</v>
      </c>
      <c r="C340" s="30" t="str">
        <f>VLOOKUP(B340,gachas!A:C,3)</f>
        <v>スーパーセレクション</v>
      </c>
      <c r="D340" s="21">
        <v>10</v>
      </c>
      <c r="E340" s="2">
        <v>28</v>
      </c>
      <c r="F340" s="2">
        <v>5</v>
      </c>
      <c r="G340" s="3" t="s">
        <v>22</v>
      </c>
      <c r="H340" s="2">
        <v>25</v>
      </c>
      <c r="I340" s="117" t="str">
        <f t="shared" si="59"/>
        <v>1981</v>
      </c>
      <c r="J340" s="115" t="s">
        <v>84</v>
      </c>
      <c r="K340" s="2" t="s">
        <v>84</v>
      </c>
      <c r="L340" s="2">
        <v>0</v>
      </c>
      <c r="M340" s="2" t="s">
        <v>84</v>
      </c>
      <c r="N340" s="2" t="s">
        <v>84</v>
      </c>
      <c r="O340" s="2" t="s">
        <v>841</v>
      </c>
      <c r="P340" s="2" t="s">
        <v>573</v>
      </c>
    </row>
    <row r="341" spans="1:16" ht="21" customHeight="1" x14ac:dyDescent="0.15">
      <c r="A341" s="10" t="str">
        <f t="shared" si="62"/>
        <v>198_10_29_5_polygon</v>
      </c>
      <c r="B341" s="2">
        <v>198</v>
      </c>
      <c r="C341" s="30" t="str">
        <f>VLOOKUP(B341,gachas!A:C,3)</f>
        <v>スーパーセレクション</v>
      </c>
      <c r="D341" s="21">
        <v>10</v>
      </c>
      <c r="E341" s="2">
        <v>29</v>
      </c>
      <c r="F341" s="2">
        <v>5</v>
      </c>
      <c r="G341" s="3" t="s">
        <v>22</v>
      </c>
      <c r="H341" s="2">
        <v>25</v>
      </c>
      <c r="I341" s="117" t="str">
        <f t="shared" si="59"/>
        <v>1981</v>
      </c>
      <c r="J341" s="112" t="s">
        <v>87</v>
      </c>
      <c r="K341" s="2" t="s">
        <v>557</v>
      </c>
      <c r="L341" s="2">
        <v>0</v>
      </c>
      <c r="M341" s="2" t="s">
        <v>84</v>
      </c>
      <c r="N341" s="2" t="s">
        <v>84</v>
      </c>
      <c r="O341" s="2" t="s">
        <v>841</v>
      </c>
      <c r="P341" s="2" t="s">
        <v>574</v>
      </c>
    </row>
    <row r="342" spans="1:16" ht="21" customHeight="1" x14ac:dyDescent="0.15">
      <c r="A342" s="10" t="str">
        <f t="shared" ref="A342:A347" si="63">B342&amp;"_"&amp;D342&amp;"_"&amp;E342&amp;"_"&amp;F342&amp;"_"&amp;G342</f>
        <v>198_10_30_5_polygon</v>
      </c>
      <c r="B342" s="2">
        <v>198</v>
      </c>
      <c r="C342" s="30" t="str">
        <f>VLOOKUP(B342,gachas!A:C,3)</f>
        <v>スーパーセレクション</v>
      </c>
      <c r="D342" s="21">
        <v>10</v>
      </c>
      <c r="E342" s="2">
        <v>30</v>
      </c>
      <c r="F342" s="2">
        <v>5</v>
      </c>
      <c r="G342" s="3" t="s">
        <v>22</v>
      </c>
      <c r="H342" s="2">
        <v>25</v>
      </c>
      <c r="I342" s="117" t="str">
        <f t="shared" si="59"/>
        <v>1981</v>
      </c>
      <c r="J342" s="115" t="s">
        <v>84</v>
      </c>
      <c r="K342" s="2">
        <v>1983</v>
      </c>
      <c r="L342" s="2">
        <v>1</v>
      </c>
      <c r="M342" s="2" t="s">
        <v>84</v>
      </c>
      <c r="N342" s="2" t="s">
        <v>84</v>
      </c>
      <c r="O342" s="2" t="s">
        <v>841</v>
      </c>
      <c r="P342" s="2" t="s">
        <v>575</v>
      </c>
    </row>
    <row r="343" spans="1:16" ht="21" customHeight="1" x14ac:dyDescent="0.15">
      <c r="A343" s="10" t="str">
        <f t="shared" si="63"/>
        <v>198_10_0_5_polygon</v>
      </c>
      <c r="B343" s="2">
        <v>198</v>
      </c>
      <c r="C343" s="30" t="str">
        <f>VLOOKUP(B343,gachas!A:C,3)</f>
        <v>スーパーセレクション</v>
      </c>
      <c r="D343" s="21">
        <v>10</v>
      </c>
      <c r="E343" s="2">
        <v>0</v>
      </c>
      <c r="F343" s="2">
        <v>5</v>
      </c>
      <c r="G343" s="3" t="s">
        <v>22</v>
      </c>
      <c r="H343" s="2">
        <v>25</v>
      </c>
      <c r="I343" s="117" t="str">
        <f t="shared" si="59"/>
        <v>1981</v>
      </c>
      <c r="J343" s="115" t="s">
        <v>84</v>
      </c>
      <c r="K343" s="2" t="s">
        <v>578</v>
      </c>
      <c r="L343" s="2">
        <v>0</v>
      </c>
      <c r="M343" s="2" t="s">
        <v>84</v>
      </c>
      <c r="N343" s="2" t="s">
        <v>84</v>
      </c>
      <c r="O343" s="2" t="s">
        <v>841</v>
      </c>
      <c r="P343" s="2" t="s">
        <v>577</v>
      </c>
    </row>
    <row r="344" spans="1:16" ht="21" customHeight="1" x14ac:dyDescent="0.15">
      <c r="A344" s="10" t="str">
        <f t="shared" si="63"/>
        <v>199_10_0_5_polygon</v>
      </c>
      <c r="B344" s="2">
        <v>199</v>
      </c>
      <c r="C344" s="30" t="str">
        <f>VLOOKUP(B344,gachas!A:C,3)</f>
        <v>妖怪ガチャ１</v>
      </c>
      <c r="D344" s="21">
        <v>10</v>
      </c>
      <c r="E344" s="2">
        <v>0</v>
      </c>
      <c r="F344" s="2">
        <v>5</v>
      </c>
      <c r="G344" s="3" t="s">
        <v>22</v>
      </c>
      <c r="H344" s="2">
        <v>25</v>
      </c>
      <c r="I344" s="117" t="str">
        <f>B344&amp;0</f>
        <v>1990</v>
      </c>
      <c r="J344" s="112" t="s">
        <v>84</v>
      </c>
      <c r="K344" s="2">
        <v>1993</v>
      </c>
      <c r="L344" s="2">
        <v>1</v>
      </c>
      <c r="M344" s="2" t="s">
        <v>84</v>
      </c>
      <c r="N344" s="2" t="s">
        <v>84</v>
      </c>
      <c r="O344" s="2" t="s">
        <v>841</v>
      </c>
      <c r="P344" s="2" t="s">
        <v>620</v>
      </c>
    </row>
    <row r="345" spans="1:16" ht="21" customHeight="1" x14ac:dyDescent="0.15">
      <c r="A345" s="10" t="str">
        <f t="shared" si="63"/>
        <v>300_1_1_1_polygon</v>
      </c>
      <c r="B345" s="2">
        <v>300</v>
      </c>
      <c r="C345" s="30" t="str">
        <f>VLOOKUP(B345,gachas!A:C,3)</f>
        <v>ノーマルガチャ</v>
      </c>
      <c r="D345" s="21">
        <v>1</v>
      </c>
      <c r="E345" s="2">
        <v>1</v>
      </c>
      <c r="F345" s="2">
        <v>1</v>
      </c>
      <c r="G345" s="3" t="s">
        <v>22</v>
      </c>
      <c r="H345" s="2">
        <v>5</v>
      </c>
      <c r="I345" s="117" t="str">
        <f>B345&amp;0</f>
        <v>3000</v>
      </c>
      <c r="J345" s="115" t="s">
        <v>84</v>
      </c>
      <c r="K345" s="2" t="s">
        <v>84</v>
      </c>
      <c r="L345" s="2">
        <v>0</v>
      </c>
      <c r="M345" s="2" t="s">
        <v>84</v>
      </c>
      <c r="N345" s="2" t="s">
        <v>84</v>
      </c>
      <c r="O345" s="2" t="s">
        <v>841</v>
      </c>
      <c r="P345" s="2" t="s">
        <v>142</v>
      </c>
    </row>
    <row r="346" spans="1:16" ht="21" customHeight="1" x14ac:dyDescent="0.15">
      <c r="A346" s="10" t="str">
        <f t="shared" si="63"/>
        <v>300_1_0_1_polygon</v>
      </c>
      <c r="B346" s="2">
        <v>300</v>
      </c>
      <c r="C346" s="30" t="str">
        <f>VLOOKUP(B346,gachas!A:C,3)</f>
        <v>ノーマルガチャ</v>
      </c>
      <c r="D346" s="21">
        <v>1</v>
      </c>
      <c r="E346" s="2">
        <v>0</v>
      </c>
      <c r="F346" s="2">
        <v>1</v>
      </c>
      <c r="G346" s="3" t="s">
        <v>22</v>
      </c>
      <c r="H346" s="2">
        <v>5</v>
      </c>
      <c r="I346" s="117" t="str">
        <f>B346&amp;1</f>
        <v>3001</v>
      </c>
      <c r="J346" s="115" t="s">
        <v>84</v>
      </c>
      <c r="K346" s="2" t="s">
        <v>84</v>
      </c>
      <c r="L346" s="2">
        <v>0</v>
      </c>
      <c r="M346" s="2" t="s">
        <v>84</v>
      </c>
      <c r="N346" s="2" t="s">
        <v>84</v>
      </c>
      <c r="O346" s="2" t="s">
        <v>841</v>
      </c>
      <c r="P346" s="2" t="s">
        <v>84</v>
      </c>
    </row>
    <row r="347" spans="1:16" ht="21" customHeight="1" x14ac:dyDescent="0.15">
      <c r="A347" s="10" t="str">
        <f t="shared" si="63"/>
        <v>300_10_0_10_polygon</v>
      </c>
      <c r="B347" s="2">
        <v>300</v>
      </c>
      <c r="C347" s="30" t="str">
        <f>VLOOKUP(B347,gachas!A:C,3)</f>
        <v>ノーマルガチャ</v>
      </c>
      <c r="D347" s="21">
        <v>10</v>
      </c>
      <c r="E347" s="2">
        <v>0</v>
      </c>
      <c r="F347" s="2">
        <v>10</v>
      </c>
      <c r="G347" s="3" t="s">
        <v>22</v>
      </c>
      <c r="H347" s="2">
        <v>50</v>
      </c>
      <c r="I347" s="117" t="str">
        <f>B347&amp;0</f>
        <v>3000</v>
      </c>
      <c r="J347" s="112" t="s">
        <v>84</v>
      </c>
      <c r="K347" s="2" t="s">
        <v>84</v>
      </c>
      <c r="L347" s="2">
        <v>0</v>
      </c>
      <c r="M347" s="2" t="s">
        <v>84</v>
      </c>
      <c r="N347" s="2" t="s">
        <v>84</v>
      </c>
      <c r="O347" s="2" t="s">
        <v>841</v>
      </c>
      <c r="P347" s="2" t="s">
        <v>143</v>
      </c>
    </row>
    <row r="348" spans="1:16" ht="21" customHeight="1" x14ac:dyDescent="0.15">
      <c r="A348" s="10" t="str">
        <f t="shared" ref="A348:A385" si="64">B348&amp;"_"&amp;D348&amp;"_"&amp;E348&amp;"_"&amp;F348&amp;"_"&amp;G348</f>
        <v>301_1_0_1_polygon</v>
      </c>
      <c r="B348" s="2">
        <v>301</v>
      </c>
      <c r="C348" s="30" t="str">
        <f>VLOOKUP(B348,gachas!A:C,3)</f>
        <v>確率の支配者</v>
      </c>
      <c r="D348" s="21">
        <v>1</v>
      </c>
      <c r="E348" s="2">
        <v>0</v>
      </c>
      <c r="F348" s="2">
        <v>1</v>
      </c>
      <c r="G348" s="3" t="s">
        <v>22</v>
      </c>
      <c r="H348" s="2">
        <v>5</v>
      </c>
      <c r="I348" s="117" t="str">
        <f>B348&amp;1</f>
        <v>3011</v>
      </c>
      <c r="J348" s="115" t="s">
        <v>84</v>
      </c>
      <c r="K348" s="2" t="s">
        <v>84</v>
      </c>
      <c r="L348" s="2">
        <v>0</v>
      </c>
      <c r="M348" s="2" t="s">
        <v>84</v>
      </c>
      <c r="N348" s="2" t="s">
        <v>84</v>
      </c>
      <c r="O348" s="2" t="s">
        <v>841</v>
      </c>
      <c r="P348" s="2" t="s">
        <v>84</v>
      </c>
    </row>
    <row r="349" spans="1:16" ht="21" customHeight="1" x14ac:dyDescent="0.15">
      <c r="A349" s="10" t="str">
        <f t="shared" si="64"/>
        <v>301_10_1_10_polygon</v>
      </c>
      <c r="B349" s="2">
        <v>301</v>
      </c>
      <c r="C349" s="30" t="str">
        <f>VLOOKUP(B349,gachas!A:C,3)</f>
        <v>確率の支配者</v>
      </c>
      <c r="D349" s="21">
        <v>10</v>
      </c>
      <c r="E349" s="2">
        <v>1</v>
      </c>
      <c r="F349" s="2">
        <v>10</v>
      </c>
      <c r="G349" s="3" t="s">
        <v>22</v>
      </c>
      <c r="H349" s="2">
        <v>15</v>
      </c>
      <c r="I349" s="117">
        <v>3010</v>
      </c>
      <c r="J349" s="115" t="s">
        <v>84</v>
      </c>
      <c r="K349" s="2" t="s">
        <v>84</v>
      </c>
      <c r="L349" s="2">
        <v>0</v>
      </c>
      <c r="M349" s="2" t="s">
        <v>84</v>
      </c>
      <c r="N349" s="2" t="s">
        <v>84</v>
      </c>
      <c r="O349" s="2" t="s">
        <v>841</v>
      </c>
      <c r="P349" s="2" t="s">
        <v>547</v>
      </c>
    </row>
    <row r="350" spans="1:16" ht="21" customHeight="1" x14ac:dyDescent="0.15">
      <c r="A350" s="10" t="str">
        <f t="shared" ref="A350" si="65">B350&amp;"_"&amp;D350&amp;"_"&amp;E350&amp;"_"&amp;F350&amp;"_"&amp;G350</f>
        <v>301_10_2_10_polygon</v>
      </c>
      <c r="B350" s="2">
        <v>301</v>
      </c>
      <c r="C350" s="30" t="str">
        <f>VLOOKUP(B350,gachas!A:C,3)</f>
        <v>確率の支配者</v>
      </c>
      <c r="D350" s="21">
        <v>10</v>
      </c>
      <c r="E350" s="2">
        <v>2</v>
      </c>
      <c r="F350" s="2">
        <v>10</v>
      </c>
      <c r="G350" s="3" t="s">
        <v>22</v>
      </c>
      <c r="H350" s="2">
        <v>25</v>
      </c>
      <c r="I350" s="117">
        <v>3010</v>
      </c>
      <c r="J350" s="115" t="s">
        <v>84</v>
      </c>
      <c r="K350" s="2" t="s">
        <v>84</v>
      </c>
      <c r="L350" s="2">
        <v>0</v>
      </c>
      <c r="M350" s="2" t="s">
        <v>84</v>
      </c>
      <c r="N350" s="2" t="s">
        <v>84</v>
      </c>
      <c r="O350" s="2" t="s">
        <v>841</v>
      </c>
      <c r="P350" s="59" t="s">
        <v>602</v>
      </c>
    </row>
    <row r="351" spans="1:16" ht="21" customHeight="1" x14ac:dyDescent="0.15">
      <c r="A351" s="10" t="str">
        <f t="shared" si="64"/>
        <v>301_10_0_10_polygon</v>
      </c>
      <c r="B351" s="2">
        <v>301</v>
      </c>
      <c r="C351" s="30" t="str">
        <f>VLOOKUP(B351,gachas!A:C,3)</f>
        <v>確率の支配者</v>
      </c>
      <c r="D351" s="21">
        <v>10</v>
      </c>
      <c r="E351" s="2">
        <v>0</v>
      </c>
      <c r="F351" s="2">
        <v>10</v>
      </c>
      <c r="G351" s="3" t="s">
        <v>22</v>
      </c>
      <c r="H351" s="2">
        <v>50</v>
      </c>
      <c r="I351" s="117" t="str">
        <f>B351&amp;0</f>
        <v>3010</v>
      </c>
      <c r="J351" s="112" t="s">
        <v>84</v>
      </c>
      <c r="K351" s="2" t="s">
        <v>84</v>
      </c>
      <c r="L351" s="2">
        <v>0</v>
      </c>
      <c r="M351" s="2" t="s">
        <v>84</v>
      </c>
      <c r="N351" s="2" t="s">
        <v>84</v>
      </c>
      <c r="O351" s="2" t="s">
        <v>841</v>
      </c>
      <c r="P351" s="2" t="s">
        <v>294</v>
      </c>
    </row>
    <row r="352" spans="1:16" ht="21" customHeight="1" x14ac:dyDescent="0.15">
      <c r="A352" s="10" t="str">
        <f t="shared" si="64"/>
        <v>302_10_1_1_polygon</v>
      </c>
      <c r="B352" s="2">
        <v>302</v>
      </c>
      <c r="C352" s="30" t="str">
        <f>VLOOKUP(B352,gachas!A:C,3)&amp;E352&amp;"回目"</f>
        <v>ステップアップフィーバー1回目</v>
      </c>
      <c r="D352" s="21">
        <v>10</v>
      </c>
      <c r="E352" s="2">
        <v>1</v>
      </c>
      <c r="F352" s="2">
        <v>1</v>
      </c>
      <c r="G352" s="3" t="s">
        <v>22</v>
      </c>
      <c r="H352" s="2">
        <v>1</v>
      </c>
      <c r="I352" s="116">
        <v>3021</v>
      </c>
      <c r="J352" s="115" t="s">
        <v>391</v>
      </c>
      <c r="K352" s="2" t="s">
        <v>84</v>
      </c>
      <c r="L352" s="2">
        <v>0</v>
      </c>
      <c r="M352" s="2" t="s">
        <v>84</v>
      </c>
      <c r="N352" s="2" t="s">
        <v>84</v>
      </c>
      <c r="O352" s="2" t="s">
        <v>841</v>
      </c>
      <c r="P352" s="2" t="s">
        <v>533</v>
      </c>
    </row>
    <row r="353" spans="1:16" ht="21" customHeight="1" x14ac:dyDescent="0.15">
      <c r="A353" s="10" t="str">
        <f t="shared" si="64"/>
        <v>302_10_2_1_polygon</v>
      </c>
      <c r="B353" s="2">
        <v>302</v>
      </c>
      <c r="C353" s="30" t="str">
        <f>VLOOKUP(B353,gachas!A:C,3)&amp;E353&amp;"回目"</f>
        <v>ステップアップフィーバー2回目</v>
      </c>
      <c r="D353" s="21">
        <v>10</v>
      </c>
      <c r="E353" s="2">
        <v>2</v>
      </c>
      <c r="F353" s="2">
        <v>1</v>
      </c>
      <c r="G353" s="3" t="s">
        <v>22</v>
      </c>
      <c r="H353" s="2">
        <v>2</v>
      </c>
      <c r="I353" s="116">
        <v>3022</v>
      </c>
      <c r="J353" s="115" t="s">
        <v>391</v>
      </c>
      <c r="K353" s="2" t="s">
        <v>84</v>
      </c>
      <c r="L353" s="2">
        <v>0</v>
      </c>
      <c r="M353" s="2" t="s">
        <v>84</v>
      </c>
      <c r="N353" s="2" t="s">
        <v>84</v>
      </c>
      <c r="O353" s="2" t="s">
        <v>841</v>
      </c>
      <c r="P353" s="2" t="s">
        <v>436</v>
      </c>
    </row>
    <row r="354" spans="1:16" ht="21" customHeight="1" x14ac:dyDescent="0.15">
      <c r="A354" s="10" t="str">
        <f t="shared" si="64"/>
        <v>302_10_3_1_polygon</v>
      </c>
      <c r="B354" s="2">
        <v>302</v>
      </c>
      <c r="C354" s="30" t="str">
        <f>VLOOKUP(B354,gachas!A:C,3)&amp;E354&amp;"回目"</f>
        <v>ステップアップフィーバー3回目</v>
      </c>
      <c r="D354" s="21">
        <v>10</v>
      </c>
      <c r="E354" s="2">
        <v>3</v>
      </c>
      <c r="F354" s="2">
        <v>1</v>
      </c>
      <c r="G354" s="3" t="s">
        <v>22</v>
      </c>
      <c r="H354" s="2">
        <v>5</v>
      </c>
      <c r="I354" s="116">
        <v>3023</v>
      </c>
      <c r="J354" s="112" t="s">
        <v>391</v>
      </c>
      <c r="K354" s="2" t="s">
        <v>87</v>
      </c>
      <c r="L354" s="2">
        <v>0</v>
      </c>
      <c r="M354" s="2" t="s">
        <v>84</v>
      </c>
      <c r="N354" s="2" t="s">
        <v>84</v>
      </c>
      <c r="O354" s="2" t="s">
        <v>841</v>
      </c>
      <c r="P354" s="2" t="s">
        <v>534</v>
      </c>
    </row>
    <row r="355" spans="1:16" ht="21" customHeight="1" x14ac:dyDescent="0.15">
      <c r="A355" s="10" t="str">
        <f t="shared" si="64"/>
        <v>302_10_4_5_polygon</v>
      </c>
      <c r="B355" s="2">
        <v>302</v>
      </c>
      <c r="C355" s="30" t="str">
        <f>VLOOKUP(B355,gachas!A:C,3)&amp;E355&amp;"回目"</f>
        <v>ステップアップフィーバー4回目</v>
      </c>
      <c r="D355" s="21">
        <v>10</v>
      </c>
      <c r="E355" s="2">
        <v>4</v>
      </c>
      <c r="F355" s="2">
        <v>5</v>
      </c>
      <c r="G355" s="3" t="s">
        <v>22</v>
      </c>
      <c r="H355" s="2">
        <v>15</v>
      </c>
      <c r="I355" s="116">
        <v>3024</v>
      </c>
      <c r="J355" s="115">
        <v>3021</v>
      </c>
      <c r="K355" s="2" t="s">
        <v>84</v>
      </c>
      <c r="L355" s="2">
        <v>0</v>
      </c>
      <c r="M355" s="2" t="s">
        <v>84</v>
      </c>
      <c r="N355" s="2" t="s">
        <v>84</v>
      </c>
      <c r="O355" s="2" t="s">
        <v>841</v>
      </c>
      <c r="P355" s="2" t="s">
        <v>631</v>
      </c>
    </row>
    <row r="356" spans="1:16" ht="21" customHeight="1" x14ac:dyDescent="0.15">
      <c r="A356" s="10" t="str">
        <f t="shared" si="64"/>
        <v>302_10_5_5_polygon</v>
      </c>
      <c r="B356" s="2">
        <v>302</v>
      </c>
      <c r="C356" s="30" t="str">
        <f>VLOOKUP(B356,gachas!A:C,3)&amp;E356&amp;"回目"</f>
        <v>ステップアップフィーバー5回目</v>
      </c>
      <c r="D356" s="21">
        <v>10</v>
      </c>
      <c r="E356" s="2">
        <v>5</v>
      </c>
      <c r="F356" s="2">
        <v>5</v>
      </c>
      <c r="G356" s="3" t="s">
        <v>22</v>
      </c>
      <c r="H356" s="2">
        <v>25</v>
      </c>
      <c r="I356" s="116">
        <v>3025</v>
      </c>
      <c r="J356" s="115" t="s">
        <v>391</v>
      </c>
      <c r="K356" s="2">
        <v>3027</v>
      </c>
      <c r="L356" s="2">
        <v>1</v>
      </c>
      <c r="M356" s="2" t="s">
        <v>84</v>
      </c>
      <c r="N356" s="2" t="s">
        <v>84</v>
      </c>
      <c r="O356" s="2" t="s">
        <v>841</v>
      </c>
      <c r="P356" s="2" t="s">
        <v>536</v>
      </c>
    </row>
    <row r="357" spans="1:16" ht="21" customHeight="1" x14ac:dyDescent="0.15">
      <c r="A357" s="10" t="str">
        <f t="shared" si="64"/>
        <v>302_10_6_10_polygon</v>
      </c>
      <c r="B357" s="2">
        <v>302</v>
      </c>
      <c r="C357" s="30" t="str">
        <f>VLOOKUP(B357,gachas!A:C,3)&amp;E357&amp;"回目"</f>
        <v>ステップアップフィーバー6回目</v>
      </c>
      <c r="D357" s="21">
        <v>10</v>
      </c>
      <c r="E357" s="2">
        <v>6</v>
      </c>
      <c r="F357" s="2">
        <v>10</v>
      </c>
      <c r="G357" s="3" t="s">
        <v>22</v>
      </c>
      <c r="H357" s="2">
        <v>50</v>
      </c>
      <c r="I357" s="116">
        <v>3026</v>
      </c>
      <c r="J357" s="112" t="s">
        <v>391</v>
      </c>
      <c r="K357" s="2">
        <v>3028</v>
      </c>
      <c r="L357" s="2">
        <v>1</v>
      </c>
      <c r="M357" s="2" t="s">
        <v>84</v>
      </c>
      <c r="N357" s="2" t="s">
        <v>84</v>
      </c>
      <c r="O357" s="2" t="s">
        <v>841</v>
      </c>
      <c r="P357" s="2" t="s">
        <v>537</v>
      </c>
    </row>
    <row r="358" spans="1:16" ht="21" customHeight="1" x14ac:dyDescent="0.15">
      <c r="A358" s="10" t="str">
        <f t="shared" si="64"/>
        <v>302_10_7_1_polygon</v>
      </c>
      <c r="B358" s="2">
        <v>302</v>
      </c>
      <c r="C358" s="30" t="str">
        <f>VLOOKUP(B358,gachas!A:C,3)&amp;E358&amp;"回目"</f>
        <v>ステップアップフィーバー7回目</v>
      </c>
      <c r="D358" s="21">
        <v>10</v>
      </c>
      <c r="E358" s="2">
        <v>7</v>
      </c>
      <c r="F358" s="2">
        <v>1</v>
      </c>
      <c r="G358" s="3" t="s">
        <v>22</v>
      </c>
      <c r="H358" s="2">
        <v>1</v>
      </c>
      <c r="I358" s="116">
        <v>3021</v>
      </c>
      <c r="J358" s="115" t="s">
        <v>391</v>
      </c>
      <c r="K358" s="2" t="s">
        <v>84</v>
      </c>
      <c r="L358" s="2">
        <v>0</v>
      </c>
      <c r="M358" s="2" t="s">
        <v>84</v>
      </c>
      <c r="N358" s="2" t="s">
        <v>84</v>
      </c>
      <c r="O358" s="2" t="s">
        <v>841</v>
      </c>
      <c r="P358" s="2" t="s">
        <v>533</v>
      </c>
    </row>
    <row r="359" spans="1:16" ht="21" customHeight="1" x14ac:dyDescent="0.15">
      <c r="A359" s="10" t="str">
        <f t="shared" si="64"/>
        <v>302_10_8_1_polygon</v>
      </c>
      <c r="B359" s="2">
        <v>302</v>
      </c>
      <c r="C359" s="30" t="str">
        <f>VLOOKUP(B359,gachas!A:C,3)&amp;E359&amp;"回目"</f>
        <v>ステップアップフィーバー8回目</v>
      </c>
      <c r="D359" s="21">
        <v>10</v>
      </c>
      <c r="E359" s="2">
        <v>8</v>
      </c>
      <c r="F359" s="2">
        <v>1</v>
      </c>
      <c r="G359" s="3" t="s">
        <v>22</v>
      </c>
      <c r="H359" s="2">
        <v>2</v>
      </c>
      <c r="I359" s="116">
        <v>3022</v>
      </c>
      <c r="J359" s="115" t="s">
        <v>391</v>
      </c>
      <c r="K359" s="2" t="s">
        <v>84</v>
      </c>
      <c r="L359" s="2">
        <v>0</v>
      </c>
      <c r="M359" s="2" t="s">
        <v>84</v>
      </c>
      <c r="N359" s="2" t="s">
        <v>84</v>
      </c>
      <c r="O359" s="2" t="s">
        <v>841</v>
      </c>
      <c r="P359" s="2" t="s">
        <v>436</v>
      </c>
    </row>
    <row r="360" spans="1:16" ht="21" customHeight="1" x14ac:dyDescent="0.15">
      <c r="A360" s="10" t="str">
        <f t="shared" si="64"/>
        <v>302_10_9_1_polygon</v>
      </c>
      <c r="B360" s="2">
        <v>302</v>
      </c>
      <c r="C360" s="30" t="str">
        <f>VLOOKUP(B360,gachas!A:C,3)&amp;E360&amp;"回目"</f>
        <v>ステップアップフィーバー9回目</v>
      </c>
      <c r="D360" s="21">
        <v>10</v>
      </c>
      <c r="E360" s="2">
        <v>9</v>
      </c>
      <c r="F360" s="2">
        <v>1</v>
      </c>
      <c r="G360" s="3" t="s">
        <v>22</v>
      </c>
      <c r="H360" s="2">
        <v>5</v>
      </c>
      <c r="I360" s="116">
        <v>3023</v>
      </c>
      <c r="J360" s="112" t="s">
        <v>391</v>
      </c>
      <c r="K360" s="2" t="s">
        <v>85</v>
      </c>
      <c r="L360" s="2">
        <v>0</v>
      </c>
      <c r="M360" s="2" t="s">
        <v>84</v>
      </c>
      <c r="N360" s="2" t="s">
        <v>84</v>
      </c>
      <c r="O360" s="2" t="s">
        <v>841</v>
      </c>
      <c r="P360" s="2" t="s">
        <v>534</v>
      </c>
    </row>
    <row r="361" spans="1:16" ht="21" customHeight="1" x14ac:dyDescent="0.15">
      <c r="A361" s="10" t="str">
        <f t="shared" si="64"/>
        <v>302_10_10_5_polygon</v>
      </c>
      <c r="B361" s="2">
        <v>302</v>
      </c>
      <c r="C361" s="30" t="str">
        <f>VLOOKUP(B361,gachas!A:C,3)&amp;E361&amp;"回目"</f>
        <v>ステップアップフィーバー10回目</v>
      </c>
      <c r="D361" s="21">
        <v>10</v>
      </c>
      <c r="E361" s="2">
        <v>10</v>
      </c>
      <c r="F361" s="2">
        <v>5</v>
      </c>
      <c r="G361" s="3" t="s">
        <v>22</v>
      </c>
      <c r="H361" s="2">
        <v>15</v>
      </c>
      <c r="I361" s="116">
        <v>3024</v>
      </c>
      <c r="J361" s="115">
        <v>3021</v>
      </c>
      <c r="K361" s="2" t="s">
        <v>84</v>
      </c>
      <c r="L361" s="2">
        <v>0</v>
      </c>
      <c r="M361" s="2" t="s">
        <v>84</v>
      </c>
      <c r="N361" s="2" t="s">
        <v>84</v>
      </c>
      <c r="O361" s="2" t="s">
        <v>841</v>
      </c>
      <c r="P361" s="2" t="s">
        <v>631</v>
      </c>
    </row>
    <row r="362" spans="1:16" ht="21" customHeight="1" x14ac:dyDescent="0.15">
      <c r="A362" s="10" t="str">
        <f t="shared" si="64"/>
        <v>302_10_11_5_polygon</v>
      </c>
      <c r="B362" s="2">
        <v>302</v>
      </c>
      <c r="C362" s="30" t="str">
        <f>VLOOKUP(B362,gachas!A:C,3)&amp;E362&amp;"回目"</f>
        <v>ステップアップフィーバー11回目</v>
      </c>
      <c r="D362" s="21">
        <v>10</v>
      </c>
      <c r="E362" s="2">
        <v>11</v>
      </c>
      <c r="F362" s="2">
        <v>5</v>
      </c>
      <c r="G362" s="3" t="s">
        <v>22</v>
      </c>
      <c r="H362" s="2">
        <v>25</v>
      </c>
      <c r="I362" s="116">
        <v>3025</v>
      </c>
      <c r="J362" s="115" t="s">
        <v>391</v>
      </c>
      <c r="K362" s="2">
        <v>3027</v>
      </c>
      <c r="L362" s="2">
        <v>1</v>
      </c>
      <c r="M362" s="2" t="s">
        <v>84</v>
      </c>
      <c r="N362" s="2" t="s">
        <v>84</v>
      </c>
      <c r="O362" s="2" t="s">
        <v>841</v>
      </c>
      <c r="P362" s="2" t="s">
        <v>536</v>
      </c>
    </row>
    <row r="363" spans="1:16" ht="21" customHeight="1" x14ac:dyDescent="0.15">
      <c r="A363" s="10" t="str">
        <f t="shared" si="64"/>
        <v>302_10_12_10_polygon</v>
      </c>
      <c r="B363" s="2">
        <v>302</v>
      </c>
      <c r="C363" s="30" t="str">
        <f>VLOOKUP(B363,gachas!A:C,3)&amp;E363&amp;"回目"</f>
        <v>ステップアップフィーバー12回目</v>
      </c>
      <c r="D363" s="21">
        <v>10</v>
      </c>
      <c r="E363" s="2">
        <v>12</v>
      </c>
      <c r="F363" s="2">
        <v>10</v>
      </c>
      <c r="G363" s="3" t="s">
        <v>22</v>
      </c>
      <c r="H363" s="2">
        <v>50</v>
      </c>
      <c r="I363" s="116">
        <v>3026</v>
      </c>
      <c r="J363" s="112" t="s">
        <v>391</v>
      </c>
      <c r="K363" s="2">
        <v>3028</v>
      </c>
      <c r="L363" s="2">
        <v>1</v>
      </c>
      <c r="M363" s="2" t="s">
        <v>84</v>
      </c>
      <c r="N363" s="2" t="s">
        <v>84</v>
      </c>
      <c r="O363" s="2" t="s">
        <v>841</v>
      </c>
      <c r="P363" s="2" t="s">
        <v>537</v>
      </c>
    </row>
    <row r="364" spans="1:16" ht="21" customHeight="1" x14ac:dyDescent="0.15">
      <c r="A364" s="10" t="str">
        <f t="shared" si="64"/>
        <v>302_10_13_1_polygon</v>
      </c>
      <c r="B364" s="2">
        <v>302</v>
      </c>
      <c r="C364" s="30" t="str">
        <f>VLOOKUP(B364,gachas!A:C,3)&amp;E364&amp;"回目"</f>
        <v>ステップアップフィーバー13回目</v>
      </c>
      <c r="D364" s="21">
        <v>10</v>
      </c>
      <c r="E364" s="2">
        <v>13</v>
      </c>
      <c r="F364" s="2">
        <v>1</v>
      </c>
      <c r="G364" s="3" t="s">
        <v>22</v>
      </c>
      <c r="H364" s="2">
        <v>1</v>
      </c>
      <c r="I364" s="116">
        <v>3021</v>
      </c>
      <c r="J364" s="115" t="s">
        <v>391</v>
      </c>
      <c r="K364" s="2" t="s">
        <v>84</v>
      </c>
      <c r="L364" s="2">
        <v>0</v>
      </c>
      <c r="M364" s="2" t="s">
        <v>84</v>
      </c>
      <c r="N364" s="2" t="s">
        <v>84</v>
      </c>
      <c r="O364" s="2" t="s">
        <v>841</v>
      </c>
      <c r="P364" s="2" t="s">
        <v>533</v>
      </c>
    </row>
    <row r="365" spans="1:16" ht="21" customHeight="1" x14ac:dyDescent="0.15">
      <c r="A365" s="10" t="str">
        <f t="shared" si="64"/>
        <v>302_10_14_1_polygon</v>
      </c>
      <c r="B365" s="2">
        <v>302</v>
      </c>
      <c r="C365" s="30" t="str">
        <f>VLOOKUP(B365,gachas!A:C,3)&amp;E365&amp;"回目"</f>
        <v>ステップアップフィーバー14回目</v>
      </c>
      <c r="D365" s="21">
        <v>10</v>
      </c>
      <c r="E365" s="2">
        <v>14</v>
      </c>
      <c r="F365" s="2">
        <v>1</v>
      </c>
      <c r="G365" s="3" t="s">
        <v>22</v>
      </c>
      <c r="H365" s="2">
        <v>2</v>
      </c>
      <c r="I365" s="116">
        <v>3022</v>
      </c>
      <c r="J365" s="115" t="s">
        <v>391</v>
      </c>
      <c r="K365" s="2" t="s">
        <v>84</v>
      </c>
      <c r="L365" s="2">
        <v>0</v>
      </c>
      <c r="M365" s="2" t="s">
        <v>84</v>
      </c>
      <c r="N365" s="2" t="s">
        <v>84</v>
      </c>
      <c r="O365" s="2" t="s">
        <v>841</v>
      </c>
      <c r="P365" s="2" t="s">
        <v>436</v>
      </c>
    </row>
    <row r="366" spans="1:16" ht="21" customHeight="1" x14ac:dyDescent="0.15">
      <c r="A366" s="10" t="str">
        <f t="shared" si="64"/>
        <v>302_10_15_1_polygon</v>
      </c>
      <c r="B366" s="2">
        <v>302</v>
      </c>
      <c r="C366" s="30" t="str">
        <f>VLOOKUP(B366,gachas!A:C,3)&amp;E366&amp;"回目"</f>
        <v>ステップアップフィーバー15回目</v>
      </c>
      <c r="D366" s="21">
        <v>10</v>
      </c>
      <c r="E366" s="2">
        <v>15</v>
      </c>
      <c r="F366" s="2">
        <v>1</v>
      </c>
      <c r="G366" s="3" t="s">
        <v>22</v>
      </c>
      <c r="H366" s="2">
        <v>5</v>
      </c>
      <c r="I366" s="116">
        <v>3023</v>
      </c>
      <c r="J366" s="112" t="s">
        <v>391</v>
      </c>
      <c r="K366" s="2" t="s">
        <v>85</v>
      </c>
      <c r="L366" s="2">
        <v>0</v>
      </c>
      <c r="M366" s="2" t="s">
        <v>84</v>
      </c>
      <c r="N366" s="2" t="s">
        <v>84</v>
      </c>
      <c r="O366" s="2" t="s">
        <v>841</v>
      </c>
      <c r="P366" s="2" t="s">
        <v>534</v>
      </c>
    </row>
    <row r="367" spans="1:16" ht="21" customHeight="1" x14ac:dyDescent="0.15">
      <c r="A367" s="10" t="str">
        <f t="shared" si="64"/>
        <v>302_10_16_5_polygon</v>
      </c>
      <c r="B367" s="2">
        <v>302</v>
      </c>
      <c r="C367" s="30" t="str">
        <f>VLOOKUP(B367,gachas!A:C,3)&amp;E367&amp;"回目"</f>
        <v>ステップアップフィーバー16回目</v>
      </c>
      <c r="D367" s="21">
        <v>10</v>
      </c>
      <c r="E367" s="2">
        <v>16</v>
      </c>
      <c r="F367" s="2">
        <v>5</v>
      </c>
      <c r="G367" s="3" t="s">
        <v>22</v>
      </c>
      <c r="H367" s="2">
        <v>15</v>
      </c>
      <c r="I367" s="116">
        <v>3024</v>
      </c>
      <c r="J367" s="115">
        <v>3021</v>
      </c>
      <c r="K367" s="2" t="s">
        <v>84</v>
      </c>
      <c r="L367" s="2">
        <v>0</v>
      </c>
      <c r="M367" s="2" t="s">
        <v>84</v>
      </c>
      <c r="N367" s="2" t="s">
        <v>84</v>
      </c>
      <c r="O367" s="2" t="s">
        <v>841</v>
      </c>
      <c r="P367" s="2" t="s">
        <v>631</v>
      </c>
    </row>
    <row r="368" spans="1:16" ht="21" customHeight="1" x14ac:dyDescent="0.15">
      <c r="A368" s="10" t="str">
        <f t="shared" si="64"/>
        <v>302_10_17_5_polygon</v>
      </c>
      <c r="B368" s="2">
        <v>302</v>
      </c>
      <c r="C368" s="30" t="str">
        <f>VLOOKUP(B368,gachas!A:C,3)&amp;E368&amp;"回目"</f>
        <v>ステップアップフィーバー17回目</v>
      </c>
      <c r="D368" s="21">
        <v>10</v>
      </c>
      <c r="E368" s="2">
        <v>17</v>
      </c>
      <c r="F368" s="2">
        <v>5</v>
      </c>
      <c r="G368" s="3" t="s">
        <v>22</v>
      </c>
      <c r="H368" s="2">
        <v>25</v>
      </c>
      <c r="I368" s="116">
        <v>3025</v>
      </c>
      <c r="J368" s="115" t="s">
        <v>391</v>
      </c>
      <c r="K368" s="2">
        <v>3027</v>
      </c>
      <c r="L368" s="2">
        <v>1</v>
      </c>
      <c r="M368" s="2" t="s">
        <v>84</v>
      </c>
      <c r="N368" s="2" t="s">
        <v>84</v>
      </c>
      <c r="O368" s="2" t="s">
        <v>841</v>
      </c>
      <c r="P368" s="2" t="s">
        <v>536</v>
      </c>
    </row>
    <row r="369" spans="1:16" ht="21" customHeight="1" x14ac:dyDescent="0.15">
      <c r="A369" s="10" t="str">
        <f t="shared" si="64"/>
        <v>302_10_18_10_polygon</v>
      </c>
      <c r="B369" s="2">
        <v>302</v>
      </c>
      <c r="C369" s="30" t="str">
        <f>VLOOKUP(B369,gachas!A:C,3)&amp;E369&amp;"回目"</f>
        <v>ステップアップフィーバー18回目</v>
      </c>
      <c r="D369" s="21">
        <v>10</v>
      </c>
      <c r="E369" s="2">
        <v>18</v>
      </c>
      <c r="F369" s="2">
        <v>10</v>
      </c>
      <c r="G369" s="3" t="s">
        <v>22</v>
      </c>
      <c r="H369" s="2">
        <v>50</v>
      </c>
      <c r="I369" s="116">
        <v>3026</v>
      </c>
      <c r="J369" s="112" t="s">
        <v>391</v>
      </c>
      <c r="K369" s="2">
        <v>3028</v>
      </c>
      <c r="L369" s="2">
        <v>1</v>
      </c>
      <c r="M369" s="2" t="s">
        <v>84</v>
      </c>
      <c r="N369" s="2" t="s">
        <v>84</v>
      </c>
      <c r="O369" s="2" t="s">
        <v>841</v>
      </c>
      <c r="P369" s="2" t="s">
        <v>537</v>
      </c>
    </row>
    <row r="370" spans="1:16" ht="21" customHeight="1" x14ac:dyDescent="0.15">
      <c r="A370" s="10" t="str">
        <f t="shared" si="64"/>
        <v>302_10_19_1_polygon</v>
      </c>
      <c r="B370" s="2">
        <v>302</v>
      </c>
      <c r="C370" s="30" t="str">
        <f>VLOOKUP(B370,gachas!A:C,3)&amp;E370&amp;"回目"</f>
        <v>ステップアップフィーバー19回目</v>
      </c>
      <c r="D370" s="21">
        <v>10</v>
      </c>
      <c r="E370" s="2">
        <v>19</v>
      </c>
      <c r="F370" s="2">
        <v>1</v>
      </c>
      <c r="G370" s="3" t="s">
        <v>22</v>
      </c>
      <c r="H370" s="2">
        <v>1</v>
      </c>
      <c r="I370" s="116">
        <v>3021</v>
      </c>
      <c r="J370" s="115" t="s">
        <v>391</v>
      </c>
      <c r="K370" s="2" t="s">
        <v>84</v>
      </c>
      <c r="L370" s="2">
        <v>0</v>
      </c>
      <c r="M370" s="2" t="s">
        <v>84</v>
      </c>
      <c r="N370" s="2" t="s">
        <v>84</v>
      </c>
      <c r="O370" s="2" t="s">
        <v>841</v>
      </c>
      <c r="P370" s="2" t="s">
        <v>533</v>
      </c>
    </row>
    <row r="371" spans="1:16" ht="21" customHeight="1" x14ac:dyDescent="0.15">
      <c r="A371" s="10" t="str">
        <f t="shared" si="64"/>
        <v>302_10_20_1_polygon</v>
      </c>
      <c r="B371" s="2">
        <v>302</v>
      </c>
      <c r="C371" s="30" t="str">
        <f>VLOOKUP(B371,gachas!A:C,3)&amp;E371&amp;"回目"</f>
        <v>ステップアップフィーバー20回目</v>
      </c>
      <c r="D371" s="21">
        <v>10</v>
      </c>
      <c r="E371" s="2">
        <v>20</v>
      </c>
      <c r="F371" s="2">
        <v>1</v>
      </c>
      <c r="G371" s="3" t="s">
        <v>22</v>
      </c>
      <c r="H371" s="2">
        <v>2</v>
      </c>
      <c r="I371" s="116">
        <v>3022</v>
      </c>
      <c r="J371" s="115" t="s">
        <v>391</v>
      </c>
      <c r="K371" s="2" t="s">
        <v>84</v>
      </c>
      <c r="L371" s="2">
        <v>0</v>
      </c>
      <c r="M371" s="2" t="s">
        <v>84</v>
      </c>
      <c r="N371" s="2" t="s">
        <v>84</v>
      </c>
      <c r="O371" s="2" t="s">
        <v>841</v>
      </c>
      <c r="P371" s="2" t="s">
        <v>436</v>
      </c>
    </row>
    <row r="372" spans="1:16" ht="21" customHeight="1" x14ac:dyDescent="0.15">
      <c r="A372" s="10" t="str">
        <f t="shared" si="64"/>
        <v>302_10_21_1_polygon</v>
      </c>
      <c r="B372" s="2">
        <v>302</v>
      </c>
      <c r="C372" s="30" t="str">
        <f>VLOOKUP(B372,gachas!A:C,3)&amp;E372&amp;"回目"</f>
        <v>ステップアップフィーバー21回目</v>
      </c>
      <c r="D372" s="21">
        <v>10</v>
      </c>
      <c r="E372" s="2">
        <v>21</v>
      </c>
      <c r="F372" s="2">
        <v>1</v>
      </c>
      <c r="G372" s="3" t="s">
        <v>22</v>
      </c>
      <c r="H372" s="2">
        <v>5</v>
      </c>
      <c r="I372" s="116">
        <v>3023</v>
      </c>
      <c r="J372" s="112" t="s">
        <v>391</v>
      </c>
      <c r="K372" s="2" t="s">
        <v>85</v>
      </c>
      <c r="L372" s="2">
        <v>0</v>
      </c>
      <c r="M372" s="2" t="s">
        <v>84</v>
      </c>
      <c r="N372" s="2" t="s">
        <v>84</v>
      </c>
      <c r="O372" s="2" t="s">
        <v>841</v>
      </c>
      <c r="P372" s="2" t="s">
        <v>534</v>
      </c>
    </row>
    <row r="373" spans="1:16" ht="21" customHeight="1" x14ac:dyDescent="0.15">
      <c r="A373" s="10" t="str">
        <f t="shared" si="64"/>
        <v>302_10_22_5_polygon</v>
      </c>
      <c r="B373" s="2">
        <v>302</v>
      </c>
      <c r="C373" s="30" t="str">
        <f>VLOOKUP(B373,gachas!A:C,3)&amp;E373&amp;"回目"</f>
        <v>ステップアップフィーバー22回目</v>
      </c>
      <c r="D373" s="21">
        <v>10</v>
      </c>
      <c r="E373" s="2">
        <v>22</v>
      </c>
      <c r="F373" s="2">
        <v>5</v>
      </c>
      <c r="G373" s="3" t="s">
        <v>22</v>
      </c>
      <c r="H373" s="2">
        <v>15</v>
      </c>
      <c r="I373" s="116">
        <v>3024</v>
      </c>
      <c r="J373" s="115">
        <v>3021</v>
      </c>
      <c r="K373" s="2" t="s">
        <v>84</v>
      </c>
      <c r="L373" s="2">
        <v>0</v>
      </c>
      <c r="M373" s="2" t="s">
        <v>84</v>
      </c>
      <c r="N373" s="2" t="s">
        <v>84</v>
      </c>
      <c r="O373" s="2" t="s">
        <v>841</v>
      </c>
      <c r="P373" s="2" t="s">
        <v>631</v>
      </c>
    </row>
    <row r="374" spans="1:16" ht="21" customHeight="1" x14ac:dyDescent="0.15">
      <c r="A374" s="10" t="str">
        <f t="shared" si="64"/>
        <v>302_10_23_5_polygon</v>
      </c>
      <c r="B374" s="2">
        <v>302</v>
      </c>
      <c r="C374" s="30" t="str">
        <f>VLOOKUP(B374,gachas!A:C,3)&amp;E374&amp;"回目"</f>
        <v>ステップアップフィーバー23回目</v>
      </c>
      <c r="D374" s="21">
        <v>10</v>
      </c>
      <c r="E374" s="2">
        <v>23</v>
      </c>
      <c r="F374" s="2">
        <v>5</v>
      </c>
      <c r="G374" s="3" t="s">
        <v>22</v>
      </c>
      <c r="H374" s="2">
        <v>25</v>
      </c>
      <c r="I374" s="116">
        <v>3025</v>
      </c>
      <c r="J374" s="115" t="s">
        <v>391</v>
      </c>
      <c r="K374" s="2">
        <v>3027</v>
      </c>
      <c r="L374" s="2">
        <v>1</v>
      </c>
      <c r="M374" s="2" t="s">
        <v>84</v>
      </c>
      <c r="N374" s="2" t="s">
        <v>84</v>
      </c>
      <c r="O374" s="2" t="s">
        <v>841</v>
      </c>
      <c r="P374" s="2" t="s">
        <v>536</v>
      </c>
    </row>
    <row r="375" spans="1:16" ht="21" customHeight="1" x14ac:dyDescent="0.15">
      <c r="A375" s="10" t="str">
        <f t="shared" si="64"/>
        <v>302_10_24_10_polygon</v>
      </c>
      <c r="B375" s="2">
        <v>302</v>
      </c>
      <c r="C375" s="30" t="str">
        <f>VLOOKUP(B375,gachas!A:C,3)&amp;E375&amp;"回目"</f>
        <v>ステップアップフィーバー24回目</v>
      </c>
      <c r="D375" s="21">
        <v>10</v>
      </c>
      <c r="E375" s="2">
        <v>24</v>
      </c>
      <c r="F375" s="2">
        <v>10</v>
      </c>
      <c r="G375" s="3" t="s">
        <v>22</v>
      </c>
      <c r="H375" s="2">
        <v>50</v>
      </c>
      <c r="I375" s="116">
        <v>3026</v>
      </c>
      <c r="J375" s="112" t="s">
        <v>391</v>
      </c>
      <c r="K375" s="2">
        <v>3028</v>
      </c>
      <c r="L375" s="2">
        <v>1</v>
      </c>
      <c r="M375" s="2" t="s">
        <v>84</v>
      </c>
      <c r="N375" s="2" t="s">
        <v>84</v>
      </c>
      <c r="O375" s="2" t="s">
        <v>841</v>
      </c>
      <c r="P375" s="2" t="s">
        <v>537</v>
      </c>
    </row>
    <row r="376" spans="1:16" ht="21" customHeight="1" x14ac:dyDescent="0.15">
      <c r="A376" s="10" t="str">
        <f t="shared" si="64"/>
        <v>302_10_25_1_polygon</v>
      </c>
      <c r="B376" s="2">
        <v>302</v>
      </c>
      <c r="C376" s="30" t="str">
        <f>VLOOKUP(B376,gachas!A:C,3)&amp;E376&amp;"回目"</f>
        <v>ステップアップフィーバー25回目</v>
      </c>
      <c r="D376" s="21">
        <v>10</v>
      </c>
      <c r="E376" s="2">
        <v>25</v>
      </c>
      <c r="F376" s="2">
        <v>1</v>
      </c>
      <c r="G376" s="3" t="s">
        <v>22</v>
      </c>
      <c r="H376" s="2">
        <v>1</v>
      </c>
      <c r="I376" s="116">
        <v>3021</v>
      </c>
      <c r="J376" s="115" t="s">
        <v>391</v>
      </c>
      <c r="K376" s="2" t="s">
        <v>84</v>
      </c>
      <c r="L376" s="2">
        <v>0</v>
      </c>
      <c r="M376" s="2" t="s">
        <v>84</v>
      </c>
      <c r="N376" s="2" t="s">
        <v>84</v>
      </c>
      <c r="O376" s="2" t="s">
        <v>841</v>
      </c>
      <c r="P376" s="2" t="s">
        <v>533</v>
      </c>
    </row>
    <row r="377" spans="1:16" ht="21" customHeight="1" x14ac:dyDescent="0.15">
      <c r="A377" s="10" t="str">
        <f t="shared" si="64"/>
        <v>302_10_26_1_polygon</v>
      </c>
      <c r="B377" s="2">
        <v>302</v>
      </c>
      <c r="C377" s="30" t="str">
        <f>VLOOKUP(B377,gachas!A:C,3)&amp;E377&amp;"回目"</f>
        <v>ステップアップフィーバー26回目</v>
      </c>
      <c r="D377" s="21">
        <v>10</v>
      </c>
      <c r="E377" s="2">
        <v>26</v>
      </c>
      <c r="F377" s="2">
        <v>1</v>
      </c>
      <c r="G377" s="3" t="s">
        <v>22</v>
      </c>
      <c r="H377" s="2">
        <v>2</v>
      </c>
      <c r="I377" s="116">
        <v>3022</v>
      </c>
      <c r="J377" s="115" t="s">
        <v>391</v>
      </c>
      <c r="K377" s="2" t="s">
        <v>84</v>
      </c>
      <c r="L377" s="2">
        <v>0</v>
      </c>
      <c r="M377" s="2" t="s">
        <v>84</v>
      </c>
      <c r="N377" s="2" t="s">
        <v>84</v>
      </c>
      <c r="O377" s="2" t="s">
        <v>841</v>
      </c>
      <c r="P377" s="2" t="s">
        <v>436</v>
      </c>
    </row>
    <row r="378" spans="1:16" ht="21" customHeight="1" x14ac:dyDescent="0.15">
      <c r="A378" s="10" t="str">
        <f t="shared" si="64"/>
        <v>302_10_27_1_polygon</v>
      </c>
      <c r="B378" s="2">
        <v>302</v>
      </c>
      <c r="C378" s="30" t="str">
        <f>VLOOKUP(B378,gachas!A:C,3)&amp;E378&amp;"回目"</f>
        <v>ステップアップフィーバー27回目</v>
      </c>
      <c r="D378" s="21">
        <v>10</v>
      </c>
      <c r="E378" s="2">
        <v>27</v>
      </c>
      <c r="F378" s="2">
        <v>1</v>
      </c>
      <c r="G378" s="3" t="s">
        <v>22</v>
      </c>
      <c r="H378" s="2">
        <v>5</v>
      </c>
      <c r="I378" s="116">
        <v>3023</v>
      </c>
      <c r="J378" s="112" t="s">
        <v>391</v>
      </c>
      <c r="K378" s="2" t="s">
        <v>85</v>
      </c>
      <c r="L378" s="2">
        <v>0</v>
      </c>
      <c r="M378" s="2" t="s">
        <v>84</v>
      </c>
      <c r="N378" s="2" t="s">
        <v>84</v>
      </c>
      <c r="O378" s="2" t="s">
        <v>841</v>
      </c>
      <c r="P378" s="2" t="s">
        <v>534</v>
      </c>
    </row>
    <row r="379" spans="1:16" ht="21" customHeight="1" x14ac:dyDescent="0.15">
      <c r="A379" s="10" t="str">
        <f t="shared" si="64"/>
        <v>302_10_28_5_polygon</v>
      </c>
      <c r="B379" s="2">
        <v>302</v>
      </c>
      <c r="C379" s="30" t="str">
        <f>VLOOKUP(B379,gachas!A:C,3)&amp;E379&amp;"回目"</f>
        <v>ステップアップフィーバー28回目</v>
      </c>
      <c r="D379" s="21">
        <v>10</v>
      </c>
      <c r="E379" s="2">
        <v>28</v>
      </c>
      <c r="F379" s="2">
        <v>5</v>
      </c>
      <c r="G379" s="3" t="s">
        <v>22</v>
      </c>
      <c r="H379" s="2">
        <v>15</v>
      </c>
      <c r="I379" s="116">
        <v>3024</v>
      </c>
      <c r="J379" s="115">
        <v>3021</v>
      </c>
      <c r="K379" s="2" t="s">
        <v>84</v>
      </c>
      <c r="L379" s="2">
        <v>0</v>
      </c>
      <c r="M379" s="2" t="s">
        <v>84</v>
      </c>
      <c r="N379" s="2" t="s">
        <v>84</v>
      </c>
      <c r="O379" s="2" t="s">
        <v>841</v>
      </c>
      <c r="P379" s="2" t="s">
        <v>631</v>
      </c>
    </row>
    <row r="380" spans="1:16" ht="21" customHeight="1" x14ac:dyDescent="0.15">
      <c r="A380" s="10" t="str">
        <f t="shared" si="64"/>
        <v>302_10_29_5_polygon</v>
      </c>
      <c r="B380" s="2">
        <v>302</v>
      </c>
      <c r="C380" s="30" t="str">
        <f>VLOOKUP(B380,gachas!A:C,3)&amp;E380&amp;"回目"</f>
        <v>ステップアップフィーバー29回目</v>
      </c>
      <c r="D380" s="21">
        <v>10</v>
      </c>
      <c r="E380" s="2">
        <v>29</v>
      </c>
      <c r="F380" s="2">
        <v>5</v>
      </c>
      <c r="G380" s="3" t="s">
        <v>22</v>
      </c>
      <c r="H380" s="2">
        <v>25</v>
      </c>
      <c r="I380" s="116">
        <v>3025</v>
      </c>
      <c r="J380" s="115" t="s">
        <v>391</v>
      </c>
      <c r="K380" s="2">
        <v>3027</v>
      </c>
      <c r="L380" s="2">
        <v>1</v>
      </c>
      <c r="M380" s="2" t="s">
        <v>84</v>
      </c>
      <c r="N380" s="2" t="s">
        <v>84</v>
      </c>
      <c r="O380" s="2" t="s">
        <v>841</v>
      </c>
      <c r="P380" s="2" t="s">
        <v>536</v>
      </c>
    </row>
    <row r="381" spans="1:16" ht="21" customHeight="1" x14ac:dyDescent="0.15">
      <c r="A381" s="10" t="str">
        <f t="shared" si="64"/>
        <v>302_10_30_10_polygon</v>
      </c>
      <c r="B381" s="2">
        <v>302</v>
      </c>
      <c r="C381" s="30" t="str">
        <f>VLOOKUP(B381,gachas!A:C,3)&amp;E381&amp;"回目"</f>
        <v>ステップアップフィーバー30回目</v>
      </c>
      <c r="D381" s="21">
        <v>10</v>
      </c>
      <c r="E381" s="2">
        <v>30</v>
      </c>
      <c r="F381" s="2">
        <v>10</v>
      </c>
      <c r="G381" s="3" t="s">
        <v>22</v>
      </c>
      <c r="H381" s="2">
        <v>50</v>
      </c>
      <c r="I381" s="116">
        <v>3026</v>
      </c>
      <c r="J381" s="112" t="s">
        <v>391</v>
      </c>
      <c r="K381" s="2">
        <v>3028</v>
      </c>
      <c r="L381" s="2">
        <v>1</v>
      </c>
      <c r="M381" s="2" t="s">
        <v>84</v>
      </c>
      <c r="N381" s="2" t="s">
        <v>84</v>
      </c>
      <c r="O381" s="2" t="s">
        <v>841</v>
      </c>
      <c r="P381" s="2" t="s">
        <v>537</v>
      </c>
    </row>
    <row r="382" spans="1:16" ht="21" customHeight="1" x14ac:dyDescent="0.15">
      <c r="A382" s="10" t="str">
        <f t="shared" si="64"/>
        <v>302_10_0_10_polygon</v>
      </c>
      <c r="B382" s="2">
        <v>302</v>
      </c>
      <c r="C382" s="30" t="str">
        <f>VLOOKUP(B382,gachas!A:C,3)&amp;"周回終了"</f>
        <v>ステップアップフィーバー周回終了</v>
      </c>
      <c r="D382" s="21">
        <v>10</v>
      </c>
      <c r="E382" s="2">
        <v>0</v>
      </c>
      <c r="F382" s="2">
        <v>10</v>
      </c>
      <c r="G382" s="3" t="s">
        <v>22</v>
      </c>
      <c r="H382" s="2">
        <v>50</v>
      </c>
      <c r="I382" s="116">
        <v>3020</v>
      </c>
      <c r="J382" s="112" t="s">
        <v>391</v>
      </c>
      <c r="K382" s="2" t="s">
        <v>84</v>
      </c>
      <c r="L382" s="2">
        <v>0</v>
      </c>
      <c r="M382" s="2" t="s">
        <v>84</v>
      </c>
      <c r="N382" s="2" t="s">
        <v>84</v>
      </c>
      <c r="O382" s="2" t="s">
        <v>841</v>
      </c>
      <c r="P382" s="2" t="s">
        <v>538</v>
      </c>
    </row>
    <row r="383" spans="1:16" ht="21" customHeight="1" x14ac:dyDescent="0.15">
      <c r="A383" s="10" t="str">
        <f t="shared" si="64"/>
        <v>303_1_1_1_polygon</v>
      </c>
      <c r="B383" s="2">
        <v>303</v>
      </c>
      <c r="C383" s="30" t="str">
        <f>VLOOKUP(B383,gachas!A:C,3)</f>
        <v>グリーンフェス（チューリング）</v>
      </c>
      <c r="D383" s="21">
        <v>1</v>
      </c>
      <c r="E383" s="2">
        <v>1</v>
      </c>
      <c r="F383" s="2">
        <v>1</v>
      </c>
      <c r="G383" s="3" t="s">
        <v>22</v>
      </c>
      <c r="H383" s="2">
        <v>5</v>
      </c>
      <c r="I383" s="117" t="str">
        <f>B383&amp;1</f>
        <v>3031</v>
      </c>
      <c r="J383" s="115" t="s">
        <v>84</v>
      </c>
      <c r="K383" s="2" t="s">
        <v>84</v>
      </c>
      <c r="L383" s="2">
        <v>0</v>
      </c>
      <c r="M383" s="2" t="s">
        <v>84</v>
      </c>
      <c r="N383" s="2" t="s">
        <v>84</v>
      </c>
      <c r="O383" s="2" t="s">
        <v>841</v>
      </c>
      <c r="P383" s="2" t="s">
        <v>84</v>
      </c>
    </row>
    <row r="384" spans="1:16" ht="21" customHeight="1" x14ac:dyDescent="0.15">
      <c r="A384" s="10" t="str">
        <f t="shared" ref="A384" si="66">B384&amp;"_"&amp;D384&amp;"_"&amp;E384&amp;"_"&amp;F384&amp;"_"&amp;G384</f>
        <v>303_1_0_1_polygon</v>
      </c>
      <c r="B384" s="2">
        <v>303</v>
      </c>
      <c r="C384" s="30" t="str">
        <f>VLOOKUP(B384,gachas!A:C,3)</f>
        <v>グリーンフェス（チューリング）</v>
      </c>
      <c r="D384" s="21">
        <v>1</v>
      </c>
      <c r="E384" s="2">
        <v>0</v>
      </c>
      <c r="F384" s="2">
        <v>1</v>
      </c>
      <c r="G384" s="3" t="s">
        <v>22</v>
      </c>
      <c r="H384" s="2">
        <v>5</v>
      </c>
      <c r="I384" s="117" t="str">
        <f>B384&amp;1</f>
        <v>3031</v>
      </c>
      <c r="J384" s="115" t="s">
        <v>84</v>
      </c>
      <c r="K384" s="2" t="s">
        <v>84</v>
      </c>
      <c r="L384" s="2">
        <v>0</v>
      </c>
      <c r="M384" s="2" t="s">
        <v>84</v>
      </c>
      <c r="N384" s="2" t="s">
        <v>84</v>
      </c>
      <c r="O384" s="2" t="s">
        <v>841</v>
      </c>
      <c r="P384" s="2" t="s">
        <v>84</v>
      </c>
    </row>
    <row r="385" spans="1:16" ht="21" customHeight="1" x14ac:dyDescent="0.15">
      <c r="A385" s="10" t="str">
        <f t="shared" si="64"/>
        <v>303_10_1_10_polygon</v>
      </c>
      <c r="B385" s="2">
        <v>303</v>
      </c>
      <c r="C385" s="30" t="str">
        <f>VLOOKUP(B385,gachas!A:C,3)</f>
        <v>グリーンフェス（チューリング）</v>
      </c>
      <c r="D385" s="21">
        <v>10</v>
      </c>
      <c r="E385" s="2">
        <v>1</v>
      </c>
      <c r="F385" s="2">
        <v>10</v>
      </c>
      <c r="G385" s="3" t="s">
        <v>22</v>
      </c>
      <c r="H385" s="2">
        <v>50</v>
      </c>
      <c r="I385" s="117" t="str">
        <f>B385&amp;0</f>
        <v>3030</v>
      </c>
      <c r="J385" s="112" t="s">
        <v>85</v>
      </c>
      <c r="K385" s="2">
        <v>3033</v>
      </c>
      <c r="L385" s="2">
        <v>1</v>
      </c>
      <c r="M385" s="2" t="s">
        <v>84</v>
      </c>
      <c r="N385" s="2" t="s">
        <v>84</v>
      </c>
      <c r="O385" s="2" t="s">
        <v>841</v>
      </c>
      <c r="P385" s="2" t="s">
        <v>619</v>
      </c>
    </row>
    <row r="386" spans="1:16" ht="21" customHeight="1" x14ac:dyDescent="0.15">
      <c r="A386" s="10" t="str">
        <f t="shared" ref="A386" si="67">B386&amp;"_"&amp;D386&amp;"_"&amp;E386&amp;"_"&amp;F386&amp;"_"&amp;G386</f>
        <v>303_10_0_10_polygon</v>
      </c>
      <c r="B386" s="2">
        <v>303</v>
      </c>
      <c r="C386" s="30" t="str">
        <f>VLOOKUP(B386,gachas!A:C,3)</f>
        <v>グリーンフェス（チューリング）</v>
      </c>
      <c r="D386" s="21">
        <v>10</v>
      </c>
      <c r="E386" s="2">
        <v>0</v>
      </c>
      <c r="F386" s="2">
        <v>10</v>
      </c>
      <c r="G386" s="3" t="s">
        <v>22</v>
      </c>
      <c r="H386" s="2">
        <v>50</v>
      </c>
      <c r="I386" s="117" t="str">
        <f>B386&amp;0</f>
        <v>3030</v>
      </c>
      <c r="J386" s="112" t="s">
        <v>85</v>
      </c>
      <c r="K386" s="2">
        <v>3033</v>
      </c>
      <c r="L386" s="2">
        <v>1</v>
      </c>
      <c r="M386" s="2" t="s">
        <v>84</v>
      </c>
      <c r="N386" s="2" t="s">
        <v>84</v>
      </c>
      <c r="O386" s="2" t="s">
        <v>841</v>
      </c>
      <c r="P386" s="2" t="s">
        <v>619</v>
      </c>
    </row>
    <row r="387" spans="1:16" ht="21" customHeight="1" x14ac:dyDescent="0.15">
      <c r="A387" s="10" t="str">
        <f t="shared" ref="A387:A390" si="68">B387&amp;"_"&amp;D387&amp;"_"&amp;E387&amp;"_"&amp;F387&amp;"_"&amp;G387</f>
        <v>304_1_0_1_polygon</v>
      </c>
      <c r="B387" s="2">
        <v>304</v>
      </c>
      <c r="C387" s="30" t="str">
        <f>VLOOKUP(B387,gachas!A:C,3)</f>
        <v>ピックアップフィーバー</v>
      </c>
      <c r="D387" s="21">
        <v>1</v>
      </c>
      <c r="E387" s="2">
        <v>0</v>
      </c>
      <c r="F387" s="2">
        <v>1</v>
      </c>
      <c r="G387" s="3" t="s">
        <v>22</v>
      </c>
      <c r="H387" s="2">
        <v>5</v>
      </c>
      <c r="I387" s="117" t="str">
        <f>B387&amp;1</f>
        <v>3041</v>
      </c>
      <c r="J387" s="115" t="s">
        <v>84</v>
      </c>
      <c r="K387" s="2" t="s">
        <v>84</v>
      </c>
      <c r="L387" s="2">
        <v>0</v>
      </c>
      <c r="M387" s="2" t="s">
        <v>84</v>
      </c>
      <c r="N387" s="2" t="s">
        <v>84</v>
      </c>
      <c r="O387" s="2" t="s">
        <v>841</v>
      </c>
      <c r="P387" s="2" t="s">
        <v>84</v>
      </c>
    </row>
    <row r="388" spans="1:16" ht="21" customHeight="1" x14ac:dyDescent="0.15">
      <c r="A388" s="10" t="str">
        <f t="shared" si="68"/>
        <v>304_10_1_10_polygon</v>
      </c>
      <c r="B388" s="2">
        <v>304</v>
      </c>
      <c r="C388" s="30" t="str">
        <f>VLOOKUP(B388,gachas!A:C,3)</f>
        <v>ピックアップフィーバー</v>
      </c>
      <c r="D388" s="21">
        <v>10</v>
      </c>
      <c r="E388" s="2">
        <v>1</v>
      </c>
      <c r="F388" s="2">
        <v>10</v>
      </c>
      <c r="G388" s="3" t="s">
        <v>22</v>
      </c>
      <c r="H388" s="2">
        <v>15</v>
      </c>
      <c r="I388" s="117" t="str">
        <f t="shared" ref="I388:I389" si="69">B388&amp;0</f>
        <v>3040</v>
      </c>
      <c r="J388" s="115" t="s">
        <v>84</v>
      </c>
      <c r="K388" s="2" t="s">
        <v>84</v>
      </c>
      <c r="L388" s="2">
        <v>0</v>
      </c>
      <c r="M388" s="2" t="s">
        <v>84</v>
      </c>
      <c r="N388" s="2" t="s">
        <v>84</v>
      </c>
      <c r="O388" s="2" t="s">
        <v>841</v>
      </c>
      <c r="P388" s="2" t="s">
        <v>547</v>
      </c>
    </row>
    <row r="389" spans="1:16" ht="21" customHeight="1" x14ac:dyDescent="0.15">
      <c r="A389" s="10" t="str">
        <f t="shared" si="68"/>
        <v>304_10_2_10_polygon</v>
      </c>
      <c r="B389" s="2">
        <v>304</v>
      </c>
      <c r="C389" s="30" t="str">
        <f>VLOOKUP(B389,gachas!A:C,3)</f>
        <v>ピックアップフィーバー</v>
      </c>
      <c r="D389" s="21">
        <v>10</v>
      </c>
      <c r="E389" s="2">
        <v>2</v>
      </c>
      <c r="F389" s="2">
        <v>10</v>
      </c>
      <c r="G389" s="3" t="s">
        <v>22</v>
      </c>
      <c r="H389" s="2">
        <v>25</v>
      </c>
      <c r="I389" s="117" t="str">
        <f t="shared" si="69"/>
        <v>3040</v>
      </c>
      <c r="J389" s="115" t="s">
        <v>84</v>
      </c>
      <c r="K389" s="2" t="s">
        <v>84</v>
      </c>
      <c r="L389" s="2">
        <v>0</v>
      </c>
      <c r="M389" s="2" t="s">
        <v>84</v>
      </c>
      <c r="N389" s="2" t="s">
        <v>84</v>
      </c>
      <c r="O389" s="2" t="s">
        <v>841</v>
      </c>
      <c r="P389" s="59" t="s">
        <v>602</v>
      </c>
    </row>
    <row r="390" spans="1:16" ht="21" customHeight="1" x14ac:dyDescent="0.15">
      <c r="A390" s="10" t="str">
        <f t="shared" si="68"/>
        <v>304_10_0_10_polygon</v>
      </c>
      <c r="B390" s="2">
        <v>304</v>
      </c>
      <c r="C390" s="30" t="str">
        <f>VLOOKUP(B390,gachas!A:C,3)</f>
        <v>ピックアップフィーバー</v>
      </c>
      <c r="D390" s="21">
        <v>10</v>
      </c>
      <c r="E390" s="2">
        <v>0</v>
      </c>
      <c r="F390" s="2">
        <v>10</v>
      </c>
      <c r="G390" s="3" t="s">
        <v>22</v>
      </c>
      <c r="H390" s="2">
        <v>50</v>
      </c>
      <c r="I390" s="117" t="str">
        <f>B390&amp;0</f>
        <v>3040</v>
      </c>
      <c r="J390" s="112" t="s">
        <v>84</v>
      </c>
      <c r="K390" s="2" t="s">
        <v>84</v>
      </c>
      <c r="L390" s="2">
        <v>0</v>
      </c>
      <c r="M390" s="2" t="s">
        <v>84</v>
      </c>
      <c r="N390" s="2" t="s">
        <v>84</v>
      </c>
      <c r="O390" s="2" t="s">
        <v>841</v>
      </c>
      <c r="P390" s="2" t="s">
        <v>294</v>
      </c>
    </row>
    <row r="391" spans="1:16" ht="21" customHeight="1" x14ac:dyDescent="0.15">
      <c r="A391" s="10" t="str">
        <f t="shared" ref="A391:A399" si="70">B391&amp;"_"&amp;D391&amp;"_"&amp;E391&amp;"_"&amp;F391&amp;"_"&amp;G391</f>
        <v>305_10_1_1_polygon</v>
      </c>
      <c r="B391" s="2">
        <v>305</v>
      </c>
      <c r="C391" s="30" t="str">
        <f>VLOOKUP(B391,gachas!A:C,3)</f>
        <v>ホワイトデーガチャ</v>
      </c>
      <c r="D391" s="21">
        <v>10</v>
      </c>
      <c r="E391" s="2">
        <v>1</v>
      </c>
      <c r="F391" s="2">
        <v>1</v>
      </c>
      <c r="G391" s="3" t="s">
        <v>22</v>
      </c>
      <c r="H391" s="2">
        <v>1</v>
      </c>
      <c r="I391" s="117">
        <v>3051</v>
      </c>
      <c r="J391" s="112" t="s">
        <v>84</v>
      </c>
      <c r="K391" s="2" t="s">
        <v>84</v>
      </c>
      <c r="L391" s="2">
        <v>0</v>
      </c>
      <c r="M391" s="2" t="s">
        <v>84</v>
      </c>
      <c r="N391" s="2" t="s">
        <v>84</v>
      </c>
      <c r="O391" s="2" t="s">
        <v>841</v>
      </c>
      <c r="P391" s="2" t="s">
        <v>546</v>
      </c>
    </row>
    <row r="392" spans="1:16" ht="21" customHeight="1" x14ac:dyDescent="0.15">
      <c r="A392" s="10" t="str">
        <f t="shared" si="70"/>
        <v>305_10_2_3_polygon</v>
      </c>
      <c r="B392" s="2">
        <v>305</v>
      </c>
      <c r="C392" s="30" t="str">
        <f>VLOOKUP(B392,gachas!A:C,3)</f>
        <v>ホワイトデーガチャ</v>
      </c>
      <c r="D392" s="21">
        <v>10</v>
      </c>
      <c r="E392" s="2">
        <v>2</v>
      </c>
      <c r="F392" s="2">
        <v>3</v>
      </c>
      <c r="G392" s="3" t="s">
        <v>22</v>
      </c>
      <c r="H392" s="2">
        <v>9</v>
      </c>
      <c r="I392" s="117">
        <v>3051</v>
      </c>
      <c r="J392" s="112" t="s">
        <v>84</v>
      </c>
      <c r="K392" s="2" t="s">
        <v>84</v>
      </c>
      <c r="L392" s="2">
        <v>0</v>
      </c>
      <c r="M392" s="2" t="s">
        <v>84</v>
      </c>
      <c r="N392" s="2" t="s">
        <v>84</v>
      </c>
      <c r="O392" s="2" t="s">
        <v>841</v>
      </c>
      <c r="P392" s="2" t="s">
        <v>527</v>
      </c>
    </row>
    <row r="393" spans="1:16" ht="21" customHeight="1" x14ac:dyDescent="0.15">
      <c r="A393" s="10" t="str">
        <f t="shared" si="70"/>
        <v>305_10_3_10_polygon</v>
      </c>
      <c r="B393" s="2">
        <v>305</v>
      </c>
      <c r="C393" s="30" t="str">
        <f>VLOOKUP(B393,gachas!A:C,3)</f>
        <v>ホワイトデーガチャ</v>
      </c>
      <c r="D393" s="21">
        <v>10</v>
      </c>
      <c r="E393" s="2">
        <v>3</v>
      </c>
      <c r="F393" s="2">
        <v>10</v>
      </c>
      <c r="G393" s="3" t="s">
        <v>22</v>
      </c>
      <c r="H393" s="2">
        <v>35</v>
      </c>
      <c r="I393" s="117">
        <v>3053</v>
      </c>
      <c r="J393" s="112" t="s">
        <v>84</v>
      </c>
      <c r="K393" s="2">
        <v>3056</v>
      </c>
      <c r="L393" s="2">
        <v>1</v>
      </c>
      <c r="M393" s="2" t="s">
        <v>84</v>
      </c>
      <c r="N393" s="2" t="s">
        <v>84</v>
      </c>
      <c r="O393" s="2" t="s">
        <v>841</v>
      </c>
      <c r="P393" s="2" t="s">
        <v>528</v>
      </c>
    </row>
    <row r="394" spans="1:16" ht="21" customHeight="1" x14ac:dyDescent="0.15">
      <c r="A394" s="10" t="str">
        <f t="shared" si="70"/>
        <v>305_10_4_10_polygon</v>
      </c>
      <c r="B394" s="2">
        <v>305</v>
      </c>
      <c r="C394" s="30" t="str">
        <f>VLOOKUP(B394,gachas!A:C,3)</f>
        <v>ホワイトデーガチャ</v>
      </c>
      <c r="D394" s="21">
        <v>10</v>
      </c>
      <c r="E394" s="2">
        <v>4</v>
      </c>
      <c r="F394" s="2">
        <v>10</v>
      </c>
      <c r="G394" s="3" t="s">
        <v>22</v>
      </c>
      <c r="H394" s="2">
        <v>50</v>
      </c>
      <c r="I394" s="117">
        <v>3054</v>
      </c>
      <c r="J394" s="118" t="s">
        <v>626</v>
      </c>
      <c r="K394" s="2" t="s">
        <v>84</v>
      </c>
      <c r="L394" s="2">
        <v>0</v>
      </c>
      <c r="M394" s="2" t="s">
        <v>84</v>
      </c>
      <c r="N394" s="2" t="s">
        <v>84</v>
      </c>
      <c r="O394" s="2" t="s">
        <v>841</v>
      </c>
      <c r="P394" s="2" t="s">
        <v>639</v>
      </c>
    </row>
    <row r="395" spans="1:16" ht="21" customHeight="1" x14ac:dyDescent="0.15">
      <c r="A395" s="10" t="str">
        <f t="shared" si="70"/>
        <v>305_10_5_10_polygon</v>
      </c>
      <c r="B395" s="2">
        <v>305</v>
      </c>
      <c r="C395" s="30" t="str">
        <f>VLOOKUP(B395,gachas!A:C,3)</f>
        <v>ホワイトデーガチャ</v>
      </c>
      <c r="D395" s="21">
        <v>10</v>
      </c>
      <c r="E395" s="2">
        <v>5</v>
      </c>
      <c r="F395" s="2">
        <v>10</v>
      </c>
      <c r="G395" s="3" t="s">
        <v>22</v>
      </c>
      <c r="H395" s="2">
        <v>50</v>
      </c>
      <c r="I395" s="117">
        <v>3055</v>
      </c>
      <c r="J395" s="118" t="s">
        <v>627</v>
      </c>
      <c r="K395" s="2" t="s">
        <v>84</v>
      </c>
      <c r="L395" s="2">
        <v>0</v>
      </c>
      <c r="M395" s="2" t="s">
        <v>84</v>
      </c>
      <c r="N395" s="2" t="s">
        <v>84</v>
      </c>
      <c r="O395" s="2" t="s">
        <v>841</v>
      </c>
      <c r="P395" s="2" t="s">
        <v>628</v>
      </c>
    </row>
    <row r="396" spans="1:16" ht="21" customHeight="1" x14ac:dyDescent="0.15">
      <c r="A396" s="10" t="str">
        <f t="shared" si="70"/>
        <v>305_10_0_10_polygon</v>
      </c>
      <c r="B396" s="2">
        <v>305</v>
      </c>
      <c r="C396" s="30" t="str">
        <f>VLOOKUP(B396,gachas!A:C,3)</f>
        <v>ホワイトデーガチャ</v>
      </c>
      <c r="D396" s="21">
        <v>10</v>
      </c>
      <c r="E396" s="2">
        <v>0</v>
      </c>
      <c r="F396" s="2">
        <v>10</v>
      </c>
      <c r="G396" s="3" t="s">
        <v>22</v>
      </c>
      <c r="H396" s="2">
        <v>50</v>
      </c>
      <c r="I396" s="117">
        <v>3050</v>
      </c>
      <c r="J396" s="112" t="s">
        <v>84</v>
      </c>
      <c r="K396" s="2" t="s">
        <v>84</v>
      </c>
      <c r="L396" s="2">
        <v>0</v>
      </c>
      <c r="M396" s="2" t="s">
        <v>84</v>
      </c>
      <c r="N396" s="2" t="s">
        <v>84</v>
      </c>
      <c r="O396" s="2" t="s">
        <v>841</v>
      </c>
      <c r="P396" s="2" t="s">
        <v>629</v>
      </c>
    </row>
    <row r="397" spans="1:16" ht="21" customHeight="1" x14ac:dyDescent="0.15">
      <c r="A397" s="10" t="str">
        <f t="shared" si="70"/>
        <v>306_1_0_1_polygon</v>
      </c>
      <c r="B397" s="2">
        <v>306</v>
      </c>
      <c r="C397" s="30" t="str">
        <f>VLOOKUP(B397,gachas!A:C,3)</f>
        <v>ガールズフィーバー</v>
      </c>
      <c r="D397" s="21">
        <v>1</v>
      </c>
      <c r="E397" s="2">
        <v>0</v>
      </c>
      <c r="F397" s="2">
        <v>1</v>
      </c>
      <c r="G397" s="3" t="s">
        <v>22</v>
      </c>
      <c r="H397" s="2">
        <v>5</v>
      </c>
      <c r="I397" s="117" t="str">
        <f>B397&amp;1</f>
        <v>3061</v>
      </c>
      <c r="J397" s="115" t="s">
        <v>84</v>
      </c>
      <c r="K397" s="2" t="s">
        <v>84</v>
      </c>
      <c r="L397" s="2">
        <v>0</v>
      </c>
      <c r="M397" s="2" t="s">
        <v>84</v>
      </c>
      <c r="N397" s="2" t="s">
        <v>84</v>
      </c>
      <c r="O397" s="2" t="s">
        <v>841</v>
      </c>
      <c r="P397" s="2" t="s">
        <v>84</v>
      </c>
    </row>
    <row r="398" spans="1:16" ht="21" customHeight="1" x14ac:dyDescent="0.15">
      <c r="A398" s="10" t="str">
        <f t="shared" ref="A398" si="71">B398&amp;"_"&amp;D398&amp;"_"&amp;E398&amp;"_"&amp;F398&amp;"_"&amp;G398</f>
        <v>306_10_1_10_polygon</v>
      </c>
      <c r="B398" s="2">
        <v>306</v>
      </c>
      <c r="C398" s="30" t="str">
        <f>VLOOKUP(B398,gachas!A:C,3)</f>
        <v>ガールズフィーバー</v>
      </c>
      <c r="D398" s="21">
        <v>10</v>
      </c>
      <c r="E398" s="2">
        <v>1</v>
      </c>
      <c r="F398" s="2">
        <v>10</v>
      </c>
      <c r="G398" s="3" t="s">
        <v>22</v>
      </c>
      <c r="H398" s="2">
        <v>25</v>
      </c>
      <c r="I398" s="117">
        <v>3060</v>
      </c>
      <c r="J398" s="115" t="s">
        <v>84</v>
      </c>
      <c r="K398" s="2" t="s">
        <v>84</v>
      </c>
      <c r="L398" s="2">
        <v>0</v>
      </c>
      <c r="M398" s="2" t="s">
        <v>84</v>
      </c>
      <c r="N398" s="2" t="s">
        <v>84</v>
      </c>
      <c r="O398" s="2" t="s">
        <v>841</v>
      </c>
      <c r="P398" s="59" t="s">
        <v>602</v>
      </c>
    </row>
    <row r="399" spans="1:16" ht="21" customHeight="1" x14ac:dyDescent="0.15">
      <c r="A399" s="10" t="str">
        <f t="shared" si="70"/>
        <v>306_10_0_10_polygon</v>
      </c>
      <c r="B399" s="2">
        <v>306</v>
      </c>
      <c r="C399" s="30" t="str">
        <f>VLOOKUP(B399,gachas!A:C,3)</f>
        <v>ガールズフィーバー</v>
      </c>
      <c r="D399" s="21">
        <v>10</v>
      </c>
      <c r="E399" s="2">
        <v>0</v>
      </c>
      <c r="F399" s="2">
        <v>10</v>
      </c>
      <c r="G399" s="3" t="s">
        <v>22</v>
      </c>
      <c r="H399" s="2">
        <v>50</v>
      </c>
      <c r="I399" s="117" t="str">
        <f>B399&amp;0</f>
        <v>3060</v>
      </c>
      <c r="J399" s="112" t="s">
        <v>84</v>
      </c>
      <c r="K399" s="2" t="s">
        <v>84</v>
      </c>
      <c r="L399" s="2">
        <v>0</v>
      </c>
      <c r="M399" s="2" t="s">
        <v>84</v>
      </c>
      <c r="N399" s="2" t="s">
        <v>84</v>
      </c>
      <c r="O399" s="2" t="s">
        <v>841</v>
      </c>
      <c r="P399" s="2" t="s">
        <v>143</v>
      </c>
    </row>
    <row r="400" spans="1:16" ht="21" customHeight="1" x14ac:dyDescent="0.15">
      <c r="A400" s="10" t="str">
        <f t="shared" ref="A400:A467" si="72">B400&amp;"_"&amp;D400&amp;"_"&amp;E400&amp;"_"&amp;F400&amp;"_"&amp;G400</f>
        <v>307_1_0_1_polygon</v>
      </c>
      <c r="B400" s="2">
        <v>307</v>
      </c>
      <c r="C400" s="30" t="str">
        <f>VLOOKUP(B400,gachas!A:C,3)</f>
        <v>ボーイズフィーバー</v>
      </c>
      <c r="D400" s="21">
        <v>1</v>
      </c>
      <c r="E400" s="2">
        <v>0</v>
      </c>
      <c r="F400" s="2">
        <v>1</v>
      </c>
      <c r="G400" s="3" t="s">
        <v>22</v>
      </c>
      <c r="H400" s="2">
        <v>5</v>
      </c>
      <c r="I400" s="117" t="str">
        <f>B400&amp;1</f>
        <v>3071</v>
      </c>
      <c r="J400" s="115" t="s">
        <v>84</v>
      </c>
      <c r="K400" s="2" t="s">
        <v>84</v>
      </c>
      <c r="L400" s="2">
        <v>0</v>
      </c>
      <c r="M400" s="2" t="s">
        <v>84</v>
      </c>
      <c r="N400" s="2" t="s">
        <v>84</v>
      </c>
      <c r="O400" s="2" t="s">
        <v>841</v>
      </c>
      <c r="P400" s="2" t="s">
        <v>84</v>
      </c>
    </row>
    <row r="401" spans="1:16" ht="21" customHeight="1" x14ac:dyDescent="0.15">
      <c r="A401" s="10" t="str">
        <f t="shared" si="72"/>
        <v>307_10_1_10_polygon</v>
      </c>
      <c r="B401" s="2">
        <v>307</v>
      </c>
      <c r="C401" s="30" t="str">
        <f>VLOOKUP(B401,gachas!A:C,3)</f>
        <v>ボーイズフィーバー</v>
      </c>
      <c r="D401" s="21">
        <v>10</v>
      </c>
      <c r="E401" s="2">
        <v>1</v>
      </c>
      <c r="F401" s="2">
        <v>10</v>
      </c>
      <c r="G401" s="3" t="s">
        <v>22</v>
      </c>
      <c r="H401" s="2">
        <v>25</v>
      </c>
      <c r="I401" s="117">
        <v>3070</v>
      </c>
      <c r="J401" s="115" t="s">
        <v>84</v>
      </c>
      <c r="K401" s="2" t="s">
        <v>84</v>
      </c>
      <c r="L401" s="2">
        <v>0</v>
      </c>
      <c r="M401" s="2" t="s">
        <v>84</v>
      </c>
      <c r="N401" s="2" t="s">
        <v>84</v>
      </c>
      <c r="O401" s="2" t="s">
        <v>841</v>
      </c>
      <c r="P401" s="59" t="s">
        <v>602</v>
      </c>
    </row>
    <row r="402" spans="1:16" ht="21" customHeight="1" x14ac:dyDescent="0.15">
      <c r="A402" s="10" t="str">
        <f t="shared" si="72"/>
        <v>307_10_0_10_polygon</v>
      </c>
      <c r="B402" s="2">
        <v>307</v>
      </c>
      <c r="C402" s="30" t="str">
        <f>VLOOKUP(B402,gachas!A:C,3)</f>
        <v>ボーイズフィーバー</v>
      </c>
      <c r="D402" s="21">
        <v>10</v>
      </c>
      <c r="E402" s="2">
        <v>0</v>
      </c>
      <c r="F402" s="2">
        <v>10</v>
      </c>
      <c r="G402" s="3" t="s">
        <v>22</v>
      </c>
      <c r="H402" s="2">
        <v>50</v>
      </c>
      <c r="I402" s="117" t="str">
        <f>B402&amp;0</f>
        <v>3070</v>
      </c>
      <c r="J402" s="112" t="s">
        <v>84</v>
      </c>
      <c r="K402" s="2" t="s">
        <v>84</v>
      </c>
      <c r="L402" s="2">
        <v>0</v>
      </c>
      <c r="M402" s="2" t="s">
        <v>84</v>
      </c>
      <c r="N402" s="2" t="s">
        <v>84</v>
      </c>
      <c r="O402" s="2" t="s">
        <v>841</v>
      </c>
      <c r="P402" s="2" t="s">
        <v>143</v>
      </c>
    </row>
    <row r="403" spans="1:16" ht="21" customHeight="1" x14ac:dyDescent="0.15">
      <c r="A403" s="10" t="str">
        <f t="shared" si="72"/>
        <v>308_10_1_1_polygon</v>
      </c>
      <c r="B403" s="2">
        <v>308</v>
      </c>
      <c r="C403" s="30" t="str">
        <f>VLOOKUP(B403,gachas!A:C,3)</f>
        <v>ブルーフェスティバル</v>
      </c>
      <c r="D403" s="21">
        <v>10</v>
      </c>
      <c r="E403" s="2">
        <v>1</v>
      </c>
      <c r="F403" s="2">
        <v>1</v>
      </c>
      <c r="G403" s="3" t="s">
        <v>22</v>
      </c>
      <c r="H403" s="2">
        <v>1</v>
      </c>
      <c r="I403" s="117">
        <v>3081</v>
      </c>
      <c r="J403" s="112" t="s">
        <v>84</v>
      </c>
      <c r="K403" s="2" t="s">
        <v>84</v>
      </c>
      <c r="L403" s="2">
        <v>0</v>
      </c>
      <c r="M403" s="2" t="s">
        <v>84</v>
      </c>
      <c r="N403" s="2" t="s">
        <v>84</v>
      </c>
      <c r="O403" s="2" t="s">
        <v>841</v>
      </c>
      <c r="P403" s="2" t="s">
        <v>546</v>
      </c>
    </row>
    <row r="404" spans="1:16" ht="21" customHeight="1" x14ac:dyDescent="0.15">
      <c r="A404" s="10" t="str">
        <f t="shared" si="72"/>
        <v>308_10_2_3_polygon</v>
      </c>
      <c r="B404" s="2">
        <v>308</v>
      </c>
      <c r="C404" s="30" t="str">
        <f>VLOOKUP(B404,gachas!A:C,3)</f>
        <v>ブルーフェスティバル</v>
      </c>
      <c r="D404" s="21">
        <v>10</v>
      </c>
      <c r="E404" s="2">
        <v>2</v>
      </c>
      <c r="F404" s="2">
        <v>3</v>
      </c>
      <c r="G404" s="3" t="s">
        <v>22</v>
      </c>
      <c r="H404" s="2">
        <v>9</v>
      </c>
      <c r="I404" s="117">
        <v>3081</v>
      </c>
      <c r="J404" s="112" t="s">
        <v>84</v>
      </c>
      <c r="K404" s="2" t="s">
        <v>84</v>
      </c>
      <c r="L404" s="2">
        <v>0</v>
      </c>
      <c r="M404" s="2" t="s">
        <v>84</v>
      </c>
      <c r="N404" s="2" t="s">
        <v>84</v>
      </c>
      <c r="O404" s="2" t="s">
        <v>841</v>
      </c>
      <c r="P404" s="2" t="s">
        <v>527</v>
      </c>
    </row>
    <row r="405" spans="1:16" ht="21" customHeight="1" x14ac:dyDescent="0.15">
      <c r="A405" s="10" t="str">
        <f t="shared" si="72"/>
        <v>308_10_3_10_polygon</v>
      </c>
      <c r="B405" s="2">
        <v>308</v>
      </c>
      <c r="C405" s="30" t="str">
        <f>VLOOKUP(B405,gachas!A:C,3)</f>
        <v>ブルーフェスティバル</v>
      </c>
      <c r="D405" s="21">
        <v>10</v>
      </c>
      <c r="E405" s="2">
        <v>3</v>
      </c>
      <c r="F405" s="2">
        <v>10</v>
      </c>
      <c r="G405" s="3" t="s">
        <v>22</v>
      </c>
      <c r="H405" s="2">
        <v>35</v>
      </c>
      <c r="I405" s="117">
        <v>3083</v>
      </c>
      <c r="J405" s="112" t="s">
        <v>84</v>
      </c>
      <c r="K405" s="6">
        <v>3083</v>
      </c>
      <c r="L405" s="2">
        <v>1</v>
      </c>
      <c r="M405" s="2" t="s">
        <v>84</v>
      </c>
      <c r="N405" s="2" t="s">
        <v>84</v>
      </c>
      <c r="O405" s="2" t="s">
        <v>841</v>
      </c>
      <c r="P405" s="2" t="s">
        <v>331</v>
      </c>
    </row>
    <row r="406" spans="1:16" ht="21" customHeight="1" x14ac:dyDescent="0.15">
      <c r="A406" s="10" t="str">
        <f t="shared" si="72"/>
        <v>308_10_4_10_polygon</v>
      </c>
      <c r="B406" s="2">
        <v>308</v>
      </c>
      <c r="C406" s="30" t="str">
        <f>VLOOKUP(B406,gachas!A:C,3)</f>
        <v>ブルーフェスティバル</v>
      </c>
      <c r="D406" s="21">
        <v>10</v>
      </c>
      <c r="E406" s="2">
        <v>4</v>
      </c>
      <c r="F406" s="2">
        <v>10</v>
      </c>
      <c r="G406" s="3" t="s">
        <v>22</v>
      </c>
      <c r="H406" s="2">
        <v>50</v>
      </c>
      <c r="I406" s="117">
        <v>3084</v>
      </c>
      <c r="J406" s="118" t="s">
        <v>649</v>
      </c>
      <c r="K406" s="2" t="s">
        <v>84</v>
      </c>
      <c r="L406" s="2">
        <v>0</v>
      </c>
      <c r="M406" s="2" t="s">
        <v>84</v>
      </c>
      <c r="N406" s="2" t="s">
        <v>84</v>
      </c>
      <c r="O406" s="2" t="s">
        <v>841</v>
      </c>
      <c r="P406" s="2" t="s">
        <v>660</v>
      </c>
    </row>
    <row r="407" spans="1:16" ht="21" customHeight="1" x14ac:dyDescent="0.15">
      <c r="A407" s="10" t="str">
        <f t="shared" si="72"/>
        <v>308_10_5_10_polygon</v>
      </c>
      <c r="B407" s="2">
        <v>308</v>
      </c>
      <c r="C407" s="30" t="str">
        <f>VLOOKUP(B407,gachas!A:C,3)</f>
        <v>ブルーフェスティバル</v>
      </c>
      <c r="D407" s="21">
        <v>10</v>
      </c>
      <c r="E407" s="2">
        <v>5</v>
      </c>
      <c r="F407" s="2">
        <v>10</v>
      </c>
      <c r="G407" s="3" t="s">
        <v>22</v>
      </c>
      <c r="H407" s="2">
        <v>50</v>
      </c>
      <c r="I407" s="117">
        <v>3085</v>
      </c>
      <c r="J407" s="118" t="s">
        <v>650</v>
      </c>
      <c r="K407" s="2" t="s">
        <v>84</v>
      </c>
      <c r="L407" s="2">
        <v>0</v>
      </c>
      <c r="M407" s="2" t="s">
        <v>84</v>
      </c>
      <c r="N407" s="2" t="s">
        <v>84</v>
      </c>
      <c r="O407" s="2" t="s">
        <v>841</v>
      </c>
      <c r="P407" s="2" t="s">
        <v>661</v>
      </c>
    </row>
    <row r="408" spans="1:16" ht="21" customHeight="1" x14ac:dyDescent="0.15">
      <c r="A408" s="10" t="str">
        <f t="shared" si="72"/>
        <v>308_10_0_10_polygon</v>
      </c>
      <c r="B408" s="2">
        <v>308</v>
      </c>
      <c r="C408" s="30" t="str">
        <f>VLOOKUP(B408,gachas!A:C,3)</f>
        <v>ブルーフェスティバル</v>
      </c>
      <c r="D408" s="21">
        <v>10</v>
      </c>
      <c r="E408" s="2">
        <v>0</v>
      </c>
      <c r="F408" s="2">
        <v>10</v>
      </c>
      <c r="G408" s="3" t="s">
        <v>22</v>
      </c>
      <c r="H408" s="2">
        <v>50</v>
      </c>
      <c r="I408" s="117">
        <v>3086</v>
      </c>
      <c r="J408" s="112" t="s">
        <v>84</v>
      </c>
      <c r="K408" s="2" t="s">
        <v>84</v>
      </c>
      <c r="L408" s="2">
        <v>0</v>
      </c>
      <c r="M408" s="2" t="s">
        <v>84</v>
      </c>
      <c r="N408" s="2" t="s">
        <v>84</v>
      </c>
      <c r="O408" s="2" t="s">
        <v>841</v>
      </c>
      <c r="P408" s="2" t="s">
        <v>662</v>
      </c>
    </row>
    <row r="409" spans="1:16" ht="21" customHeight="1" x14ac:dyDescent="0.15">
      <c r="A409" s="10" t="str">
        <f t="shared" si="72"/>
        <v>309_10_1_5_polygon</v>
      </c>
      <c r="B409" s="2">
        <v>309</v>
      </c>
      <c r="C409" s="30" t="str">
        <f>VLOOKUP(B409,gachas!A:C,3)</f>
        <v>インドガチャ</v>
      </c>
      <c r="D409" s="21">
        <v>10</v>
      </c>
      <c r="E409" s="2">
        <v>1</v>
      </c>
      <c r="F409" s="2">
        <v>5</v>
      </c>
      <c r="G409" s="3" t="s">
        <v>22</v>
      </c>
      <c r="H409" s="2">
        <v>25</v>
      </c>
      <c r="I409" s="117" t="str">
        <f>B409&amp;0</f>
        <v>3090</v>
      </c>
      <c r="J409" s="112" t="s">
        <v>84</v>
      </c>
      <c r="K409" s="2">
        <v>3093</v>
      </c>
      <c r="L409" s="2">
        <v>1</v>
      </c>
      <c r="M409" s="2" t="s">
        <v>84</v>
      </c>
      <c r="N409" s="2" t="s">
        <v>84</v>
      </c>
      <c r="O409" s="2" t="s">
        <v>841</v>
      </c>
      <c r="P409" s="2" t="s">
        <v>620</v>
      </c>
    </row>
    <row r="410" spans="1:16" ht="21" customHeight="1" x14ac:dyDescent="0.15">
      <c r="A410" s="10" t="str">
        <f t="shared" ref="A410" si="73">B410&amp;"_"&amp;D410&amp;"_"&amp;E410&amp;"_"&amp;F410&amp;"_"&amp;G410</f>
        <v>309_10_0_5_polygon</v>
      </c>
      <c r="B410" s="2">
        <v>309</v>
      </c>
      <c r="C410" s="30" t="str">
        <f>VLOOKUP(B410,gachas!A:C,3)</f>
        <v>インドガチャ</v>
      </c>
      <c r="D410" s="21">
        <v>10</v>
      </c>
      <c r="E410" s="2">
        <v>0</v>
      </c>
      <c r="F410" s="2">
        <v>5</v>
      </c>
      <c r="G410" s="3" t="s">
        <v>22</v>
      </c>
      <c r="H410" s="2">
        <v>25</v>
      </c>
      <c r="I410" s="117" t="str">
        <f>B410&amp;0</f>
        <v>3090</v>
      </c>
      <c r="J410" s="112" t="s">
        <v>84</v>
      </c>
      <c r="K410" s="2">
        <v>3093</v>
      </c>
      <c r="L410" s="2">
        <v>1</v>
      </c>
      <c r="M410" s="2" t="s">
        <v>84</v>
      </c>
      <c r="N410" s="2" t="s">
        <v>84</v>
      </c>
      <c r="O410" s="2" t="s">
        <v>841</v>
      </c>
      <c r="P410" s="2" t="s">
        <v>620</v>
      </c>
    </row>
    <row r="411" spans="1:16" ht="21" customHeight="1" x14ac:dyDescent="0.15">
      <c r="A411" s="10" t="str">
        <f t="shared" si="72"/>
        <v>310_1_1_1_polygon</v>
      </c>
      <c r="B411" s="2">
        <v>310</v>
      </c>
      <c r="C411" s="30" t="str">
        <f>VLOOKUP(B411,gachas!A:C,3)</f>
        <v>ノーマルガチャ</v>
      </c>
      <c r="D411" s="21">
        <v>1</v>
      </c>
      <c r="E411" s="2">
        <v>1</v>
      </c>
      <c r="F411" s="2">
        <v>1</v>
      </c>
      <c r="G411" s="3" t="s">
        <v>22</v>
      </c>
      <c r="H411" s="2">
        <v>5</v>
      </c>
      <c r="I411" s="117">
        <v>3100</v>
      </c>
      <c r="J411" s="115" t="s">
        <v>84</v>
      </c>
      <c r="K411" s="2" t="s">
        <v>84</v>
      </c>
      <c r="L411" s="2">
        <v>0</v>
      </c>
      <c r="M411" s="2" t="s">
        <v>84</v>
      </c>
      <c r="N411" s="2" t="s">
        <v>84</v>
      </c>
      <c r="O411" s="2" t="s">
        <v>841</v>
      </c>
      <c r="P411" s="2" t="s">
        <v>142</v>
      </c>
    </row>
    <row r="412" spans="1:16" ht="21" customHeight="1" x14ac:dyDescent="0.15">
      <c r="A412" s="10" t="str">
        <f t="shared" si="72"/>
        <v>310_1_0_1_polygon</v>
      </c>
      <c r="B412" s="2">
        <v>310</v>
      </c>
      <c r="C412" s="30" t="str">
        <f>VLOOKUP(B412,gachas!A:C,3)</f>
        <v>ノーマルガチャ</v>
      </c>
      <c r="D412" s="21">
        <v>1</v>
      </c>
      <c r="E412" s="2">
        <v>0</v>
      </c>
      <c r="F412" s="2">
        <v>1</v>
      </c>
      <c r="G412" s="3" t="s">
        <v>22</v>
      </c>
      <c r="H412" s="2">
        <v>5</v>
      </c>
      <c r="I412" s="117">
        <v>3101</v>
      </c>
      <c r="J412" s="115" t="s">
        <v>84</v>
      </c>
      <c r="K412" s="2" t="s">
        <v>84</v>
      </c>
      <c r="L412" s="2">
        <v>0</v>
      </c>
      <c r="M412" s="2" t="s">
        <v>84</v>
      </c>
      <c r="N412" s="2" t="s">
        <v>84</v>
      </c>
      <c r="O412" s="2" t="s">
        <v>841</v>
      </c>
      <c r="P412" s="2" t="s">
        <v>84</v>
      </c>
    </row>
    <row r="413" spans="1:16" ht="21" customHeight="1" x14ac:dyDescent="0.15">
      <c r="A413" s="10" t="str">
        <f t="shared" si="72"/>
        <v>310_10_0_10_polygon</v>
      </c>
      <c r="B413" s="2">
        <v>310</v>
      </c>
      <c r="C413" s="30" t="str">
        <f>VLOOKUP(B413,gachas!A:C,3)</f>
        <v>ノーマルガチャ</v>
      </c>
      <c r="D413" s="21">
        <v>10</v>
      </c>
      <c r="E413" s="2">
        <v>0</v>
      </c>
      <c r="F413" s="2">
        <v>10</v>
      </c>
      <c r="G413" s="3" t="s">
        <v>22</v>
      </c>
      <c r="H413" s="2">
        <v>50</v>
      </c>
      <c r="I413" s="117">
        <v>3100</v>
      </c>
      <c r="J413" s="112" t="s">
        <v>84</v>
      </c>
      <c r="K413" s="2" t="s">
        <v>84</v>
      </c>
      <c r="L413" s="2">
        <v>0</v>
      </c>
      <c r="M413" s="2" t="s">
        <v>84</v>
      </c>
      <c r="N413" s="2" t="s">
        <v>84</v>
      </c>
      <c r="O413" s="2" t="s">
        <v>841</v>
      </c>
      <c r="P413" s="2" t="s">
        <v>143</v>
      </c>
    </row>
    <row r="414" spans="1:16" ht="21" customHeight="1" x14ac:dyDescent="0.15">
      <c r="A414" s="10" t="str">
        <f t="shared" si="72"/>
        <v>311_1_0_1_polygon</v>
      </c>
      <c r="B414" s="2">
        <v>311</v>
      </c>
      <c r="C414" s="30" t="str">
        <f>VLOOKUP(B414,gachas!A:C,3)</f>
        <v>回復フィーバー</v>
      </c>
      <c r="D414" s="21">
        <v>1</v>
      </c>
      <c r="E414" s="2">
        <v>0</v>
      </c>
      <c r="F414" s="2">
        <v>1</v>
      </c>
      <c r="G414" s="3" t="s">
        <v>22</v>
      </c>
      <c r="H414" s="2">
        <v>5</v>
      </c>
      <c r="I414" s="117" t="str">
        <f>B414&amp;1</f>
        <v>3111</v>
      </c>
      <c r="J414" s="115" t="s">
        <v>84</v>
      </c>
      <c r="K414" s="2" t="s">
        <v>84</v>
      </c>
      <c r="L414" s="2">
        <v>0</v>
      </c>
      <c r="M414" s="2" t="s">
        <v>84</v>
      </c>
      <c r="N414" s="2" t="s">
        <v>84</v>
      </c>
      <c r="O414" s="2" t="s">
        <v>841</v>
      </c>
      <c r="P414" s="2" t="s">
        <v>84</v>
      </c>
    </row>
    <row r="415" spans="1:16" ht="21" customHeight="1" x14ac:dyDescent="0.15">
      <c r="A415" s="10" t="str">
        <f t="shared" si="72"/>
        <v>311_10_1_10_polygon</v>
      </c>
      <c r="B415" s="2">
        <v>311</v>
      </c>
      <c r="C415" s="30" t="str">
        <f>VLOOKUP(B415,gachas!A:C,3)</f>
        <v>回復フィーバー</v>
      </c>
      <c r="D415" s="21">
        <v>10</v>
      </c>
      <c r="E415" s="2">
        <v>1</v>
      </c>
      <c r="F415" s="2">
        <v>10</v>
      </c>
      <c r="G415" s="3" t="s">
        <v>22</v>
      </c>
      <c r="H415" s="2">
        <v>15</v>
      </c>
      <c r="I415" s="117" t="str">
        <f t="shared" ref="I415:I416" si="74">B415&amp;0</f>
        <v>3110</v>
      </c>
      <c r="J415" s="115" t="s">
        <v>84</v>
      </c>
      <c r="K415" s="2" t="s">
        <v>84</v>
      </c>
      <c r="L415" s="2">
        <v>0</v>
      </c>
      <c r="M415" s="2" t="s">
        <v>84</v>
      </c>
      <c r="N415" s="2" t="s">
        <v>84</v>
      </c>
      <c r="O415" s="2" t="s">
        <v>841</v>
      </c>
      <c r="P415" s="2" t="s">
        <v>547</v>
      </c>
    </row>
    <row r="416" spans="1:16" ht="21" customHeight="1" x14ac:dyDescent="0.15">
      <c r="A416" s="10" t="str">
        <f t="shared" si="72"/>
        <v>311_10_2_10_polygon</v>
      </c>
      <c r="B416" s="2">
        <v>311</v>
      </c>
      <c r="C416" s="30" t="str">
        <f>VLOOKUP(B416,gachas!A:C,3)</f>
        <v>回復フィーバー</v>
      </c>
      <c r="D416" s="21">
        <v>10</v>
      </c>
      <c r="E416" s="2">
        <v>2</v>
      </c>
      <c r="F416" s="2">
        <v>10</v>
      </c>
      <c r="G416" s="3" t="s">
        <v>22</v>
      </c>
      <c r="H416" s="2">
        <v>25</v>
      </c>
      <c r="I416" s="117" t="str">
        <f t="shared" si="74"/>
        <v>3110</v>
      </c>
      <c r="J416" s="115" t="s">
        <v>84</v>
      </c>
      <c r="K416" s="2" t="s">
        <v>84</v>
      </c>
      <c r="L416" s="2">
        <v>0</v>
      </c>
      <c r="M416" s="2" t="s">
        <v>84</v>
      </c>
      <c r="N416" s="2" t="s">
        <v>84</v>
      </c>
      <c r="O416" s="2" t="s">
        <v>841</v>
      </c>
      <c r="P416" s="59" t="s">
        <v>602</v>
      </c>
    </row>
    <row r="417" spans="1:16" ht="21" customHeight="1" x14ac:dyDescent="0.15">
      <c r="A417" s="10" t="str">
        <f t="shared" si="72"/>
        <v>311_10_0_10_polygon</v>
      </c>
      <c r="B417" s="2">
        <v>311</v>
      </c>
      <c r="C417" s="30" t="str">
        <f>VLOOKUP(B417,gachas!A:C,3)</f>
        <v>回復フィーバー</v>
      </c>
      <c r="D417" s="21">
        <v>10</v>
      </c>
      <c r="E417" s="2">
        <v>0</v>
      </c>
      <c r="F417" s="2">
        <v>10</v>
      </c>
      <c r="G417" s="3" t="s">
        <v>22</v>
      </c>
      <c r="H417" s="2">
        <v>50</v>
      </c>
      <c r="I417" s="117" t="str">
        <f>B417&amp;0</f>
        <v>3110</v>
      </c>
      <c r="J417" s="112" t="s">
        <v>84</v>
      </c>
      <c r="K417" s="2" t="s">
        <v>84</v>
      </c>
      <c r="L417" s="2">
        <v>0</v>
      </c>
      <c r="M417" s="2" t="s">
        <v>84</v>
      </c>
      <c r="N417" s="2" t="s">
        <v>84</v>
      </c>
      <c r="O417" s="2" t="s">
        <v>841</v>
      </c>
      <c r="P417" s="2" t="s">
        <v>294</v>
      </c>
    </row>
    <row r="418" spans="1:16" ht="21" customHeight="1" x14ac:dyDescent="0.15">
      <c r="A418" s="10" t="str">
        <f t="shared" si="72"/>
        <v>312_10_1_1_polygon</v>
      </c>
      <c r="B418" s="2">
        <v>312</v>
      </c>
      <c r="C418" s="30" t="str">
        <f>VLOOKUP(B418,gachas!A:C,3)&amp;E418&amp;"回目"</f>
        <v>ステップアップフィーバー1回目</v>
      </c>
      <c r="D418" s="21">
        <v>10</v>
      </c>
      <c r="E418" s="2">
        <v>1</v>
      </c>
      <c r="F418" s="2">
        <v>1</v>
      </c>
      <c r="G418" s="3" t="s">
        <v>22</v>
      </c>
      <c r="H418" s="2">
        <v>1</v>
      </c>
      <c r="I418" s="116">
        <v>3121</v>
      </c>
      <c r="J418" s="115" t="s">
        <v>281</v>
      </c>
      <c r="K418" s="2" t="s">
        <v>84</v>
      </c>
      <c r="L418" s="2">
        <v>0</v>
      </c>
      <c r="M418" s="2" t="s">
        <v>84</v>
      </c>
      <c r="N418" s="2" t="s">
        <v>84</v>
      </c>
      <c r="O418" s="2" t="s">
        <v>841</v>
      </c>
      <c r="P418" s="2" t="s">
        <v>533</v>
      </c>
    </row>
    <row r="419" spans="1:16" ht="21" customHeight="1" x14ac:dyDescent="0.15">
      <c r="A419" s="10" t="str">
        <f t="shared" si="72"/>
        <v>312_10_2_1_polygon</v>
      </c>
      <c r="B419" s="2">
        <v>312</v>
      </c>
      <c r="C419" s="30" t="str">
        <f>VLOOKUP(B419,gachas!A:C,3)&amp;E419&amp;"回目"</f>
        <v>ステップアップフィーバー2回目</v>
      </c>
      <c r="D419" s="21">
        <v>10</v>
      </c>
      <c r="E419" s="2">
        <v>2</v>
      </c>
      <c r="F419" s="2">
        <v>1</v>
      </c>
      <c r="G419" s="3" t="s">
        <v>22</v>
      </c>
      <c r="H419" s="2">
        <v>2</v>
      </c>
      <c r="I419" s="116">
        <v>3122</v>
      </c>
      <c r="J419" s="115" t="s">
        <v>281</v>
      </c>
      <c r="K419" s="2" t="s">
        <v>84</v>
      </c>
      <c r="L419" s="2">
        <v>0</v>
      </c>
      <c r="M419" s="2" t="s">
        <v>84</v>
      </c>
      <c r="N419" s="2" t="s">
        <v>84</v>
      </c>
      <c r="O419" s="2" t="s">
        <v>841</v>
      </c>
      <c r="P419" s="2" t="s">
        <v>436</v>
      </c>
    </row>
    <row r="420" spans="1:16" ht="21" customHeight="1" x14ac:dyDescent="0.15">
      <c r="A420" s="10" t="str">
        <f t="shared" si="72"/>
        <v>312_10_3_1_polygon</v>
      </c>
      <c r="B420" s="2">
        <v>312</v>
      </c>
      <c r="C420" s="30" t="str">
        <f>VLOOKUP(B420,gachas!A:C,3)&amp;E420&amp;"回目"</f>
        <v>ステップアップフィーバー3回目</v>
      </c>
      <c r="D420" s="21">
        <v>10</v>
      </c>
      <c r="E420" s="2">
        <v>3</v>
      </c>
      <c r="F420" s="2">
        <v>1</v>
      </c>
      <c r="G420" s="3" t="s">
        <v>22</v>
      </c>
      <c r="H420" s="2">
        <v>5</v>
      </c>
      <c r="I420" s="116">
        <v>3123</v>
      </c>
      <c r="J420" s="112" t="s">
        <v>281</v>
      </c>
      <c r="K420" s="2" t="s">
        <v>84</v>
      </c>
      <c r="L420" s="2">
        <v>0</v>
      </c>
      <c r="M420" s="2" t="s">
        <v>84</v>
      </c>
      <c r="N420" s="2" t="s">
        <v>84</v>
      </c>
      <c r="O420" s="2" t="s">
        <v>841</v>
      </c>
      <c r="P420" s="2" t="s">
        <v>534</v>
      </c>
    </row>
    <row r="421" spans="1:16" ht="21" customHeight="1" x14ac:dyDescent="0.15">
      <c r="A421" s="10" t="str">
        <f t="shared" si="72"/>
        <v>312_10_4_5_polygon</v>
      </c>
      <c r="B421" s="2">
        <v>312</v>
      </c>
      <c r="C421" s="30" t="str">
        <f>VLOOKUP(B421,gachas!A:C,3)&amp;E421&amp;"回目"</f>
        <v>ステップアップフィーバー4回目</v>
      </c>
      <c r="D421" s="21">
        <v>10</v>
      </c>
      <c r="E421" s="2">
        <v>4</v>
      </c>
      <c r="F421" s="2">
        <v>5</v>
      </c>
      <c r="G421" s="3" t="s">
        <v>22</v>
      </c>
      <c r="H421" s="2">
        <v>15</v>
      </c>
      <c r="I421" s="116">
        <v>3124</v>
      </c>
      <c r="J421" s="115">
        <v>3121</v>
      </c>
      <c r="K421" s="2" t="s">
        <v>84</v>
      </c>
      <c r="L421" s="2">
        <v>0</v>
      </c>
      <c r="M421" s="2" t="s">
        <v>84</v>
      </c>
      <c r="N421" s="2" t="s">
        <v>84</v>
      </c>
      <c r="O421" s="2" t="s">
        <v>841</v>
      </c>
      <c r="P421" s="2" t="s">
        <v>631</v>
      </c>
    </row>
    <row r="422" spans="1:16" ht="21" customHeight="1" x14ac:dyDescent="0.15">
      <c r="A422" s="10" t="str">
        <f t="shared" si="72"/>
        <v>312_10_5_5_polygon</v>
      </c>
      <c r="B422" s="2">
        <v>312</v>
      </c>
      <c r="C422" s="30" t="str">
        <f>VLOOKUP(B422,gachas!A:C,3)&amp;E422&amp;"回目"</f>
        <v>ステップアップフィーバー5回目</v>
      </c>
      <c r="D422" s="21">
        <v>10</v>
      </c>
      <c r="E422" s="2">
        <v>5</v>
      </c>
      <c r="F422" s="2">
        <v>5</v>
      </c>
      <c r="G422" s="3" t="s">
        <v>22</v>
      </c>
      <c r="H422" s="2">
        <v>25</v>
      </c>
      <c r="I422" s="116">
        <v>3125</v>
      </c>
      <c r="J422" s="115" t="s">
        <v>281</v>
      </c>
      <c r="K422" s="2">
        <v>3127</v>
      </c>
      <c r="L422" s="2">
        <v>1</v>
      </c>
      <c r="M422" s="2" t="s">
        <v>84</v>
      </c>
      <c r="N422" s="2" t="s">
        <v>84</v>
      </c>
      <c r="O422" s="2" t="s">
        <v>841</v>
      </c>
      <c r="P422" s="2" t="s">
        <v>536</v>
      </c>
    </row>
    <row r="423" spans="1:16" ht="21" customHeight="1" x14ac:dyDescent="0.15">
      <c r="A423" s="10" t="str">
        <f t="shared" si="72"/>
        <v>312_10_6_10_polygon</v>
      </c>
      <c r="B423" s="2">
        <v>312</v>
      </c>
      <c r="C423" s="30" t="str">
        <f>VLOOKUP(B423,gachas!A:C,3)&amp;E423&amp;"回目"</f>
        <v>ステップアップフィーバー6回目</v>
      </c>
      <c r="D423" s="21">
        <v>10</v>
      </c>
      <c r="E423" s="2">
        <v>6</v>
      </c>
      <c r="F423" s="2">
        <v>10</v>
      </c>
      <c r="G423" s="3" t="s">
        <v>22</v>
      </c>
      <c r="H423" s="2">
        <v>50</v>
      </c>
      <c r="I423" s="116">
        <v>3126</v>
      </c>
      <c r="J423" s="112" t="s">
        <v>281</v>
      </c>
      <c r="K423" s="2">
        <v>3128</v>
      </c>
      <c r="L423" s="2">
        <v>1</v>
      </c>
      <c r="M423" s="2" t="s">
        <v>84</v>
      </c>
      <c r="N423" s="2" t="s">
        <v>84</v>
      </c>
      <c r="O423" s="2" t="s">
        <v>841</v>
      </c>
      <c r="P423" s="2" t="s">
        <v>537</v>
      </c>
    </row>
    <row r="424" spans="1:16" ht="21" customHeight="1" x14ac:dyDescent="0.15">
      <c r="A424" s="10" t="str">
        <f t="shared" si="72"/>
        <v>312_10_7_1_polygon</v>
      </c>
      <c r="B424" s="2">
        <v>312</v>
      </c>
      <c r="C424" s="30" t="str">
        <f>VLOOKUP(B424,gachas!A:C,3)&amp;E424&amp;"回目"</f>
        <v>ステップアップフィーバー7回目</v>
      </c>
      <c r="D424" s="21">
        <v>10</v>
      </c>
      <c r="E424" s="2">
        <v>7</v>
      </c>
      <c r="F424" s="2">
        <v>1</v>
      </c>
      <c r="G424" s="3" t="s">
        <v>22</v>
      </c>
      <c r="H424" s="2">
        <v>1</v>
      </c>
      <c r="I424" s="116">
        <v>3121</v>
      </c>
      <c r="J424" s="115" t="s">
        <v>281</v>
      </c>
      <c r="K424" s="2" t="s">
        <v>84</v>
      </c>
      <c r="L424" s="2">
        <v>0</v>
      </c>
      <c r="M424" s="2" t="s">
        <v>84</v>
      </c>
      <c r="N424" s="2" t="s">
        <v>84</v>
      </c>
      <c r="O424" s="2" t="s">
        <v>841</v>
      </c>
      <c r="P424" s="2" t="s">
        <v>533</v>
      </c>
    </row>
    <row r="425" spans="1:16" ht="21" customHeight="1" x14ac:dyDescent="0.15">
      <c r="A425" s="10" t="str">
        <f t="shared" si="72"/>
        <v>312_10_8_1_polygon</v>
      </c>
      <c r="B425" s="2">
        <v>312</v>
      </c>
      <c r="C425" s="30" t="str">
        <f>VLOOKUP(B425,gachas!A:C,3)&amp;E425&amp;"回目"</f>
        <v>ステップアップフィーバー8回目</v>
      </c>
      <c r="D425" s="21">
        <v>10</v>
      </c>
      <c r="E425" s="2">
        <v>8</v>
      </c>
      <c r="F425" s="2">
        <v>1</v>
      </c>
      <c r="G425" s="3" t="s">
        <v>22</v>
      </c>
      <c r="H425" s="2">
        <v>2</v>
      </c>
      <c r="I425" s="116">
        <v>3122</v>
      </c>
      <c r="J425" s="115" t="s">
        <v>281</v>
      </c>
      <c r="K425" s="2" t="s">
        <v>84</v>
      </c>
      <c r="L425" s="2">
        <v>0</v>
      </c>
      <c r="M425" s="2" t="s">
        <v>84</v>
      </c>
      <c r="N425" s="2" t="s">
        <v>84</v>
      </c>
      <c r="O425" s="2" t="s">
        <v>841</v>
      </c>
      <c r="P425" s="2" t="s">
        <v>436</v>
      </c>
    </row>
    <row r="426" spans="1:16" ht="21" customHeight="1" x14ac:dyDescent="0.15">
      <c r="A426" s="10" t="str">
        <f t="shared" si="72"/>
        <v>312_10_9_1_polygon</v>
      </c>
      <c r="B426" s="2">
        <v>312</v>
      </c>
      <c r="C426" s="30" t="str">
        <f>VLOOKUP(B426,gachas!A:C,3)&amp;E426&amp;"回目"</f>
        <v>ステップアップフィーバー9回目</v>
      </c>
      <c r="D426" s="21">
        <v>10</v>
      </c>
      <c r="E426" s="2">
        <v>9</v>
      </c>
      <c r="F426" s="2">
        <v>1</v>
      </c>
      <c r="G426" s="3" t="s">
        <v>22</v>
      </c>
      <c r="H426" s="2">
        <v>5</v>
      </c>
      <c r="I426" s="116">
        <v>3123</v>
      </c>
      <c r="J426" s="112" t="s">
        <v>281</v>
      </c>
      <c r="K426" s="2" t="s">
        <v>84</v>
      </c>
      <c r="L426" s="2">
        <v>0</v>
      </c>
      <c r="M426" s="2" t="s">
        <v>84</v>
      </c>
      <c r="N426" s="2" t="s">
        <v>84</v>
      </c>
      <c r="O426" s="2" t="s">
        <v>841</v>
      </c>
      <c r="P426" s="2" t="s">
        <v>534</v>
      </c>
    </row>
    <row r="427" spans="1:16" ht="21" customHeight="1" x14ac:dyDescent="0.15">
      <c r="A427" s="10" t="str">
        <f t="shared" si="72"/>
        <v>312_10_10_5_polygon</v>
      </c>
      <c r="B427" s="2">
        <v>312</v>
      </c>
      <c r="C427" s="30" t="str">
        <f>VLOOKUP(B427,gachas!A:C,3)&amp;E427&amp;"回目"</f>
        <v>ステップアップフィーバー10回目</v>
      </c>
      <c r="D427" s="21">
        <v>10</v>
      </c>
      <c r="E427" s="2">
        <v>10</v>
      </c>
      <c r="F427" s="2">
        <v>5</v>
      </c>
      <c r="G427" s="3" t="s">
        <v>22</v>
      </c>
      <c r="H427" s="2">
        <v>15</v>
      </c>
      <c r="I427" s="116">
        <v>3124</v>
      </c>
      <c r="J427" s="115">
        <v>3121</v>
      </c>
      <c r="K427" s="2" t="s">
        <v>84</v>
      </c>
      <c r="L427" s="2">
        <v>0</v>
      </c>
      <c r="M427" s="2" t="s">
        <v>84</v>
      </c>
      <c r="N427" s="2" t="s">
        <v>84</v>
      </c>
      <c r="O427" s="2" t="s">
        <v>841</v>
      </c>
      <c r="P427" s="2" t="s">
        <v>631</v>
      </c>
    </row>
    <row r="428" spans="1:16" ht="21" customHeight="1" x14ac:dyDescent="0.15">
      <c r="A428" s="10" t="str">
        <f t="shared" si="72"/>
        <v>312_10_11_5_polygon</v>
      </c>
      <c r="B428" s="2">
        <v>312</v>
      </c>
      <c r="C428" s="30" t="str">
        <f>VLOOKUP(B428,gachas!A:C,3)&amp;E428&amp;"回目"</f>
        <v>ステップアップフィーバー11回目</v>
      </c>
      <c r="D428" s="21">
        <v>10</v>
      </c>
      <c r="E428" s="2">
        <v>11</v>
      </c>
      <c r="F428" s="2">
        <v>5</v>
      </c>
      <c r="G428" s="3" t="s">
        <v>22</v>
      </c>
      <c r="H428" s="2">
        <v>25</v>
      </c>
      <c r="I428" s="116">
        <v>3125</v>
      </c>
      <c r="J428" s="115" t="s">
        <v>281</v>
      </c>
      <c r="K428" s="2">
        <v>3127</v>
      </c>
      <c r="L428" s="2">
        <v>1</v>
      </c>
      <c r="M428" s="2" t="s">
        <v>84</v>
      </c>
      <c r="N428" s="2" t="s">
        <v>84</v>
      </c>
      <c r="O428" s="2" t="s">
        <v>841</v>
      </c>
      <c r="P428" s="2" t="s">
        <v>536</v>
      </c>
    </row>
    <row r="429" spans="1:16" ht="21" customHeight="1" x14ac:dyDescent="0.15">
      <c r="A429" s="10" t="str">
        <f t="shared" si="72"/>
        <v>312_10_12_10_polygon</v>
      </c>
      <c r="B429" s="2">
        <v>312</v>
      </c>
      <c r="C429" s="30" t="str">
        <f>VLOOKUP(B429,gachas!A:C,3)&amp;E429&amp;"回目"</f>
        <v>ステップアップフィーバー12回目</v>
      </c>
      <c r="D429" s="21">
        <v>10</v>
      </c>
      <c r="E429" s="2">
        <v>12</v>
      </c>
      <c r="F429" s="2">
        <v>10</v>
      </c>
      <c r="G429" s="3" t="s">
        <v>22</v>
      </c>
      <c r="H429" s="2">
        <v>50</v>
      </c>
      <c r="I429" s="116">
        <v>3126</v>
      </c>
      <c r="J429" s="112" t="s">
        <v>281</v>
      </c>
      <c r="K429" s="2">
        <v>3128</v>
      </c>
      <c r="L429" s="2">
        <v>1</v>
      </c>
      <c r="M429" s="2" t="s">
        <v>84</v>
      </c>
      <c r="N429" s="2" t="s">
        <v>84</v>
      </c>
      <c r="O429" s="2" t="s">
        <v>841</v>
      </c>
      <c r="P429" s="2" t="s">
        <v>537</v>
      </c>
    </row>
    <row r="430" spans="1:16" ht="21" customHeight="1" x14ac:dyDescent="0.15">
      <c r="A430" s="10" t="str">
        <f t="shared" si="72"/>
        <v>312_10_13_1_polygon</v>
      </c>
      <c r="B430" s="2">
        <v>312</v>
      </c>
      <c r="C430" s="30" t="str">
        <f>VLOOKUP(B430,gachas!A:C,3)&amp;E430&amp;"回目"</f>
        <v>ステップアップフィーバー13回目</v>
      </c>
      <c r="D430" s="21">
        <v>10</v>
      </c>
      <c r="E430" s="2">
        <v>13</v>
      </c>
      <c r="F430" s="2">
        <v>1</v>
      </c>
      <c r="G430" s="3" t="s">
        <v>22</v>
      </c>
      <c r="H430" s="2">
        <v>1</v>
      </c>
      <c r="I430" s="116">
        <v>3121</v>
      </c>
      <c r="J430" s="115" t="s">
        <v>281</v>
      </c>
      <c r="K430" s="2" t="s">
        <v>84</v>
      </c>
      <c r="L430" s="2">
        <v>0</v>
      </c>
      <c r="M430" s="2" t="s">
        <v>84</v>
      </c>
      <c r="N430" s="2" t="s">
        <v>84</v>
      </c>
      <c r="O430" s="2" t="s">
        <v>841</v>
      </c>
      <c r="P430" s="2" t="s">
        <v>533</v>
      </c>
    </row>
    <row r="431" spans="1:16" ht="21" customHeight="1" x14ac:dyDescent="0.15">
      <c r="A431" s="10" t="str">
        <f t="shared" si="72"/>
        <v>312_10_14_1_polygon</v>
      </c>
      <c r="B431" s="2">
        <v>312</v>
      </c>
      <c r="C431" s="30" t="str">
        <f>VLOOKUP(B431,gachas!A:C,3)&amp;E431&amp;"回目"</f>
        <v>ステップアップフィーバー14回目</v>
      </c>
      <c r="D431" s="21">
        <v>10</v>
      </c>
      <c r="E431" s="2">
        <v>14</v>
      </c>
      <c r="F431" s="2">
        <v>1</v>
      </c>
      <c r="G431" s="3" t="s">
        <v>22</v>
      </c>
      <c r="H431" s="2">
        <v>2</v>
      </c>
      <c r="I431" s="116">
        <v>3122</v>
      </c>
      <c r="J431" s="115" t="s">
        <v>281</v>
      </c>
      <c r="K431" s="2" t="s">
        <v>84</v>
      </c>
      <c r="L431" s="2">
        <v>0</v>
      </c>
      <c r="M431" s="2" t="s">
        <v>84</v>
      </c>
      <c r="N431" s="2" t="s">
        <v>84</v>
      </c>
      <c r="O431" s="2" t="s">
        <v>841</v>
      </c>
      <c r="P431" s="2" t="s">
        <v>436</v>
      </c>
    </row>
    <row r="432" spans="1:16" ht="21" customHeight="1" x14ac:dyDescent="0.15">
      <c r="A432" s="10" t="str">
        <f t="shared" si="72"/>
        <v>312_10_15_1_polygon</v>
      </c>
      <c r="B432" s="2">
        <v>312</v>
      </c>
      <c r="C432" s="30" t="str">
        <f>VLOOKUP(B432,gachas!A:C,3)&amp;E432&amp;"回目"</f>
        <v>ステップアップフィーバー15回目</v>
      </c>
      <c r="D432" s="21">
        <v>10</v>
      </c>
      <c r="E432" s="2">
        <v>15</v>
      </c>
      <c r="F432" s="2">
        <v>1</v>
      </c>
      <c r="G432" s="3" t="s">
        <v>22</v>
      </c>
      <c r="H432" s="2">
        <v>5</v>
      </c>
      <c r="I432" s="116">
        <v>3123</v>
      </c>
      <c r="J432" s="112" t="s">
        <v>281</v>
      </c>
      <c r="K432" s="2" t="s">
        <v>84</v>
      </c>
      <c r="L432" s="2">
        <v>0</v>
      </c>
      <c r="M432" s="2" t="s">
        <v>84</v>
      </c>
      <c r="N432" s="2" t="s">
        <v>84</v>
      </c>
      <c r="O432" s="2" t="s">
        <v>841</v>
      </c>
      <c r="P432" s="2" t="s">
        <v>534</v>
      </c>
    </row>
    <row r="433" spans="1:16" ht="21" customHeight="1" x14ac:dyDescent="0.15">
      <c r="A433" s="10" t="str">
        <f t="shared" si="72"/>
        <v>312_10_16_5_polygon</v>
      </c>
      <c r="B433" s="2">
        <v>312</v>
      </c>
      <c r="C433" s="30" t="str">
        <f>VLOOKUP(B433,gachas!A:C,3)&amp;E433&amp;"回目"</f>
        <v>ステップアップフィーバー16回目</v>
      </c>
      <c r="D433" s="21">
        <v>10</v>
      </c>
      <c r="E433" s="2">
        <v>16</v>
      </c>
      <c r="F433" s="2">
        <v>5</v>
      </c>
      <c r="G433" s="3" t="s">
        <v>22</v>
      </c>
      <c r="H433" s="2">
        <v>15</v>
      </c>
      <c r="I433" s="116">
        <v>3124</v>
      </c>
      <c r="J433" s="115">
        <v>3121</v>
      </c>
      <c r="K433" s="2" t="s">
        <v>84</v>
      </c>
      <c r="L433" s="2">
        <v>0</v>
      </c>
      <c r="M433" s="2" t="s">
        <v>84</v>
      </c>
      <c r="N433" s="2" t="s">
        <v>84</v>
      </c>
      <c r="O433" s="2" t="s">
        <v>841</v>
      </c>
      <c r="P433" s="2" t="s">
        <v>631</v>
      </c>
    </row>
    <row r="434" spans="1:16" ht="21" customHeight="1" x14ac:dyDescent="0.15">
      <c r="A434" s="10" t="str">
        <f t="shared" si="72"/>
        <v>312_10_17_5_polygon</v>
      </c>
      <c r="B434" s="2">
        <v>312</v>
      </c>
      <c r="C434" s="30" t="str">
        <f>VLOOKUP(B434,gachas!A:C,3)&amp;E434&amp;"回目"</f>
        <v>ステップアップフィーバー17回目</v>
      </c>
      <c r="D434" s="21">
        <v>10</v>
      </c>
      <c r="E434" s="2">
        <v>17</v>
      </c>
      <c r="F434" s="2">
        <v>5</v>
      </c>
      <c r="G434" s="3" t="s">
        <v>22</v>
      </c>
      <c r="H434" s="2">
        <v>25</v>
      </c>
      <c r="I434" s="116">
        <v>3125</v>
      </c>
      <c r="J434" s="115" t="s">
        <v>281</v>
      </c>
      <c r="K434" s="2">
        <v>3127</v>
      </c>
      <c r="L434" s="2">
        <v>1</v>
      </c>
      <c r="M434" s="2" t="s">
        <v>84</v>
      </c>
      <c r="N434" s="2" t="s">
        <v>84</v>
      </c>
      <c r="O434" s="2" t="s">
        <v>841</v>
      </c>
      <c r="P434" s="2" t="s">
        <v>536</v>
      </c>
    </row>
    <row r="435" spans="1:16" ht="21" customHeight="1" x14ac:dyDescent="0.15">
      <c r="A435" s="10" t="str">
        <f t="shared" si="72"/>
        <v>312_10_18_10_polygon</v>
      </c>
      <c r="B435" s="2">
        <v>312</v>
      </c>
      <c r="C435" s="30" t="str">
        <f>VLOOKUP(B435,gachas!A:C,3)&amp;E435&amp;"回目"</f>
        <v>ステップアップフィーバー18回目</v>
      </c>
      <c r="D435" s="21">
        <v>10</v>
      </c>
      <c r="E435" s="2">
        <v>18</v>
      </c>
      <c r="F435" s="2">
        <v>10</v>
      </c>
      <c r="G435" s="3" t="s">
        <v>22</v>
      </c>
      <c r="H435" s="2">
        <v>50</v>
      </c>
      <c r="I435" s="116">
        <v>3126</v>
      </c>
      <c r="J435" s="112" t="s">
        <v>281</v>
      </c>
      <c r="K435" s="2">
        <v>3128</v>
      </c>
      <c r="L435" s="2">
        <v>1</v>
      </c>
      <c r="M435" s="2" t="s">
        <v>84</v>
      </c>
      <c r="N435" s="2" t="s">
        <v>84</v>
      </c>
      <c r="O435" s="2" t="s">
        <v>841</v>
      </c>
      <c r="P435" s="2" t="s">
        <v>537</v>
      </c>
    </row>
    <row r="436" spans="1:16" ht="21" customHeight="1" x14ac:dyDescent="0.15">
      <c r="A436" s="10" t="str">
        <f t="shared" si="72"/>
        <v>312_10_19_1_polygon</v>
      </c>
      <c r="B436" s="2">
        <v>312</v>
      </c>
      <c r="C436" s="30" t="str">
        <f>VLOOKUP(B436,gachas!A:C,3)&amp;E436&amp;"回目"</f>
        <v>ステップアップフィーバー19回目</v>
      </c>
      <c r="D436" s="21">
        <v>10</v>
      </c>
      <c r="E436" s="2">
        <v>19</v>
      </c>
      <c r="F436" s="2">
        <v>1</v>
      </c>
      <c r="G436" s="3" t="s">
        <v>22</v>
      </c>
      <c r="H436" s="2">
        <v>1</v>
      </c>
      <c r="I436" s="116">
        <v>3121</v>
      </c>
      <c r="J436" s="115" t="s">
        <v>281</v>
      </c>
      <c r="K436" s="2" t="s">
        <v>84</v>
      </c>
      <c r="L436" s="2">
        <v>0</v>
      </c>
      <c r="M436" s="2" t="s">
        <v>84</v>
      </c>
      <c r="N436" s="2" t="s">
        <v>84</v>
      </c>
      <c r="O436" s="2" t="s">
        <v>841</v>
      </c>
      <c r="P436" s="2" t="s">
        <v>533</v>
      </c>
    </row>
    <row r="437" spans="1:16" ht="21" customHeight="1" x14ac:dyDescent="0.15">
      <c r="A437" s="10" t="str">
        <f t="shared" si="72"/>
        <v>312_10_20_1_polygon</v>
      </c>
      <c r="B437" s="2">
        <v>312</v>
      </c>
      <c r="C437" s="30" t="str">
        <f>VLOOKUP(B437,gachas!A:C,3)&amp;E437&amp;"回目"</f>
        <v>ステップアップフィーバー20回目</v>
      </c>
      <c r="D437" s="21">
        <v>10</v>
      </c>
      <c r="E437" s="2">
        <v>20</v>
      </c>
      <c r="F437" s="2">
        <v>1</v>
      </c>
      <c r="G437" s="3" t="s">
        <v>22</v>
      </c>
      <c r="H437" s="2">
        <v>2</v>
      </c>
      <c r="I437" s="116">
        <v>3122</v>
      </c>
      <c r="J437" s="115" t="s">
        <v>281</v>
      </c>
      <c r="K437" s="2" t="s">
        <v>84</v>
      </c>
      <c r="L437" s="2">
        <v>0</v>
      </c>
      <c r="M437" s="2" t="s">
        <v>84</v>
      </c>
      <c r="N437" s="2" t="s">
        <v>84</v>
      </c>
      <c r="O437" s="2" t="s">
        <v>841</v>
      </c>
      <c r="P437" s="2" t="s">
        <v>436</v>
      </c>
    </row>
    <row r="438" spans="1:16" ht="21" customHeight="1" x14ac:dyDescent="0.15">
      <c r="A438" s="10" t="str">
        <f t="shared" si="72"/>
        <v>312_10_21_1_polygon</v>
      </c>
      <c r="B438" s="2">
        <v>312</v>
      </c>
      <c r="C438" s="30" t="str">
        <f>VLOOKUP(B438,gachas!A:C,3)&amp;E438&amp;"回目"</f>
        <v>ステップアップフィーバー21回目</v>
      </c>
      <c r="D438" s="21">
        <v>10</v>
      </c>
      <c r="E438" s="2">
        <v>21</v>
      </c>
      <c r="F438" s="2">
        <v>1</v>
      </c>
      <c r="G438" s="3" t="s">
        <v>22</v>
      </c>
      <c r="H438" s="2">
        <v>5</v>
      </c>
      <c r="I438" s="116">
        <v>3123</v>
      </c>
      <c r="J438" s="112" t="s">
        <v>281</v>
      </c>
      <c r="K438" s="2" t="s">
        <v>84</v>
      </c>
      <c r="L438" s="2">
        <v>0</v>
      </c>
      <c r="M438" s="2" t="s">
        <v>84</v>
      </c>
      <c r="N438" s="2" t="s">
        <v>84</v>
      </c>
      <c r="O438" s="2" t="s">
        <v>841</v>
      </c>
      <c r="P438" s="2" t="s">
        <v>534</v>
      </c>
    </row>
    <row r="439" spans="1:16" ht="21" customHeight="1" x14ac:dyDescent="0.15">
      <c r="A439" s="10" t="str">
        <f t="shared" si="72"/>
        <v>312_10_22_5_polygon</v>
      </c>
      <c r="B439" s="2">
        <v>312</v>
      </c>
      <c r="C439" s="30" t="str">
        <f>VLOOKUP(B439,gachas!A:C,3)&amp;E439&amp;"回目"</f>
        <v>ステップアップフィーバー22回目</v>
      </c>
      <c r="D439" s="21">
        <v>10</v>
      </c>
      <c r="E439" s="2">
        <v>22</v>
      </c>
      <c r="F439" s="2">
        <v>5</v>
      </c>
      <c r="G439" s="3" t="s">
        <v>22</v>
      </c>
      <c r="H439" s="2">
        <v>15</v>
      </c>
      <c r="I439" s="116">
        <v>3124</v>
      </c>
      <c r="J439" s="115">
        <v>3121</v>
      </c>
      <c r="K439" s="2" t="s">
        <v>84</v>
      </c>
      <c r="L439" s="2">
        <v>0</v>
      </c>
      <c r="M439" s="2" t="s">
        <v>84</v>
      </c>
      <c r="N439" s="2" t="s">
        <v>84</v>
      </c>
      <c r="O439" s="2" t="s">
        <v>841</v>
      </c>
      <c r="P439" s="2" t="s">
        <v>631</v>
      </c>
    </row>
    <row r="440" spans="1:16" ht="21" customHeight="1" x14ac:dyDescent="0.15">
      <c r="A440" s="10" t="str">
        <f t="shared" si="72"/>
        <v>312_10_23_5_polygon</v>
      </c>
      <c r="B440" s="2">
        <v>312</v>
      </c>
      <c r="C440" s="30" t="str">
        <f>VLOOKUP(B440,gachas!A:C,3)&amp;E440&amp;"回目"</f>
        <v>ステップアップフィーバー23回目</v>
      </c>
      <c r="D440" s="21">
        <v>10</v>
      </c>
      <c r="E440" s="2">
        <v>23</v>
      </c>
      <c r="F440" s="2">
        <v>5</v>
      </c>
      <c r="G440" s="3" t="s">
        <v>22</v>
      </c>
      <c r="H440" s="2">
        <v>25</v>
      </c>
      <c r="I440" s="116">
        <v>3125</v>
      </c>
      <c r="J440" s="115" t="s">
        <v>281</v>
      </c>
      <c r="K440" s="2">
        <v>3127</v>
      </c>
      <c r="L440" s="2">
        <v>1</v>
      </c>
      <c r="M440" s="2" t="s">
        <v>84</v>
      </c>
      <c r="N440" s="2" t="s">
        <v>84</v>
      </c>
      <c r="O440" s="2" t="s">
        <v>841</v>
      </c>
      <c r="P440" s="2" t="s">
        <v>536</v>
      </c>
    </row>
    <row r="441" spans="1:16" ht="21" customHeight="1" x14ac:dyDescent="0.15">
      <c r="A441" s="10" t="str">
        <f t="shared" si="72"/>
        <v>312_10_24_10_polygon</v>
      </c>
      <c r="B441" s="2">
        <v>312</v>
      </c>
      <c r="C441" s="30" t="str">
        <f>VLOOKUP(B441,gachas!A:C,3)&amp;E441&amp;"回目"</f>
        <v>ステップアップフィーバー24回目</v>
      </c>
      <c r="D441" s="21">
        <v>10</v>
      </c>
      <c r="E441" s="2">
        <v>24</v>
      </c>
      <c r="F441" s="2">
        <v>10</v>
      </c>
      <c r="G441" s="3" t="s">
        <v>22</v>
      </c>
      <c r="H441" s="2">
        <v>50</v>
      </c>
      <c r="I441" s="116">
        <v>3126</v>
      </c>
      <c r="J441" s="112" t="s">
        <v>281</v>
      </c>
      <c r="K441" s="2">
        <v>3128</v>
      </c>
      <c r="L441" s="2">
        <v>1</v>
      </c>
      <c r="M441" s="2" t="s">
        <v>84</v>
      </c>
      <c r="N441" s="2" t="s">
        <v>84</v>
      </c>
      <c r="O441" s="2" t="s">
        <v>841</v>
      </c>
      <c r="P441" s="2" t="s">
        <v>537</v>
      </c>
    </row>
    <row r="442" spans="1:16" ht="21" customHeight="1" x14ac:dyDescent="0.15">
      <c r="A442" s="10" t="str">
        <f t="shared" si="72"/>
        <v>312_10_25_1_polygon</v>
      </c>
      <c r="B442" s="2">
        <v>312</v>
      </c>
      <c r="C442" s="30" t="str">
        <f>VLOOKUP(B442,gachas!A:C,3)&amp;E442&amp;"回目"</f>
        <v>ステップアップフィーバー25回目</v>
      </c>
      <c r="D442" s="21">
        <v>10</v>
      </c>
      <c r="E442" s="2">
        <v>25</v>
      </c>
      <c r="F442" s="2">
        <v>1</v>
      </c>
      <c r="G442" s="3" t="s">
        <v>22</v>
      </c>
      <c r="H442" s="2">
        <v>1</v>
      </c>
      <c r="I442" s="116">
        <v>3121</v>
      </c>
      <c r="J442" s="115" t="s">
        <v>281</v>
      </c>
      <c r="K442" s="2" t="s">
        <v>84</v>
      </c>
      <c r="L442" s="2">
        <v>0</v>
      </c>
      <c r="M442" s="2" t="s">
        <v>84</v>
      </c>
      <c r="N442" s="2" t="s">
        <v>84</v>
      </c>
      <c r="O442" s="2" t="s">
        <v>841</v>
      </c>
      <c r="P442" s="2" t="s">
        <v>533</v>
      </c>
    </row>
    <row r="443" spans="1:16" ht="21" customHeight="1" x14ac:dyDescent="0.15">
      <c r="A443" s="10" t="str">
        <f t="shared" si="72"/>
        <v>312_10_26_1_polygon</v>
      </c>
      <c r="B443" s="2">
        <v>312</v>
      </c>
      <c r="C443" s="30" t="str">
        <f>VLOOKUP(B443,gachas!A:C,3)&amp;E443&amp;"回目"</f>
        <v>ステップアップフィーバー26回目</v>
      </c>
      <c r="D443" s="21">
        <v>10</v>
      </c>
      <c r="E443" s="2">
        <v>26</v>
      </c>
      <c r="F443" s="2">
        <v>1</v>
      </c>
      <c r="G443" s="3" t="s">
        <v>22</v>
      </c>
      <c r="H443" s="2">
        <v>2</v>
      </c>
      <c r="I443" s="116">
        <v>3122</v>
      </c>
      <c r="J443" s="115" t="s">
        <v>281</v>
      </c>
      <c r="K443" s="2" t="s">
        <v>84</v>
      </c>
      <c r="L443" s="2">
        <v>0</v>
      </c>
      <c r="M443" s="2" t="s">
        <v>84</v>
      </c>
      <c r="N443" s="2" t="s">
        <v>84</v>
      </c>
      <c r="O443" s="2" t="s">
        <v>841</v>
      </c>
      <c r="P443" s="2" t="s">
        <v>436</v>
      </c>
    </row>
    <row r="444" spans="1:16" ht="21" customHeight="1" x14ac:dyDescent="0.15">
      <c r="A444" s="10" t="str">
        <f t="shared" si="72"/>
        <v>312_10_27_1_polygon</v>
      </c>
      <c r="B444" s="2">
        <v>312</v>
      </c>
      <c r="C444" s="30" t="str">
        <f>VLOOKUP(B444,gachas!A:C,3)&amp;E444&amp;"回目"</f>
        <v>ステップアップフィーバー27回目</v>
      </c>
      <c r="D444" s="21">
        <v>10</v>
      </c>
      <c r="E444" s="2">
        <v>27</v>
      </c>
      <c r="F444" s="2">
        <v>1</v>
      </c>
      <c r="G444" s="3" t="s">
        <v>22</v>
      </c>
      <c r="H444" s="2">
        <v>5</v>
      </c>
      <c r="I444" s="116">
        <v>3123</v>
      </c>
      <c r="J444" s="112" t="s">
        <v>281</v>
      </c>
      <c r="K444" s="2" t="s">
        <v>84</v>
      </c>
      <c r="L444" s="2">
        <v>0</v>
      </c>
      <c r="M444" s="2" t="s">
        <v>84</v>
      </c>
      <c r="N444" s="2" t="s">
        <v>84</v>
      </c>
      <c r="O444" s="2" t="s">
        <v>841</v>
      </c>
      <c r="P444" s="2" t="s">
        <v>534</v>
      </c>
    </row>
    <row r="445" spans="1:16" ht="21" customHeight="1" x14ac:dyDescent="0.15">
      <c r="A445" s="10" t="str">
        <f t="shared" si="72"/>
        <v>312_10_28_5_polygon</v>
      </c>
      <c r="B445" s="2">
        <v>312</v>
      </c>
      <c r="C445" s="30" t="str">
        <f>VLOOKUP(B445,gachas!A:C,3)&amp;E445&amp;"回目"</f>
        <v>ステップアップフィーバー28回目</v>
      </c>
      <c r="D445" s="21">
        <v>10</v>
      </c>
      <c r="E445" s="2">
        <v>28</v>
      </c>
      <c r="F445" s="2">
        <v>5</v>
      </c>
      <c r="G445" s="3" t="s">
        <v>22</v>
      </c>
      <c r="H445" s="2">
        <v>15</v>
      </c>
      <c r="I445" s="116">
        <v>3124</v>
      </c>
      <c r="J445" s="115">
        <v>3121</v>
      </c>
      <c r="K445" s="2" t="s">
        <v>84</v>
      </c>
      <c r="L445" s="2">
        <v>0</v>
      </c>
      <c r="M445" s="2" t="s">
        <v>84</v>
      </c>
      <c r="N445" s="2" t="s">
        <v>84</v>
      </c>
      <c r="O445" s="2" t="s">
        <v>841</v>
      </c>
      <c r="P445" s="2" t="s">
        <v>631</v>
      </c>
    </row>
    <row r="446" spans="1:16" ht="21" customHeight="1" x14ac:dyDescent="0.15">
      <c r="A446" s="10" t="str">
        <f t="shared" si="72"/>
        <v>312_10_29_5_polygon</v>
      </c>
      <c r="B446" s="2">
        <v>312</v>
      </c>
      <c r="C446" s="30" t="str">
        <f>VLOOKUP(B446,gachas!A:C,3)&amp;E446&amp;"回目"</f>
        <v>ステップアップフィーバー29回目</v>
      </c>
      <c r="D446" s="21">
        <v>10</v>
      </c>
      <c r="E446" s="2">
        <v>29</v>
      </c>
      <c r="F446" s="2">
        <v>5</v>
      </c>
      <c r="G446" s="3" t="s">
        <v>22</v>
      </c>
      <c r="H446" s="2">
        <v>25</v>
      </c>
      <c r="I446" s="116">
        <v>3125</v>
      </c>
      <c r="J446" s="115" t="s">
        <v>281</v>
      </c>
      <c r="K446" s="2">
        <v>3027</v>
      </c>
      <c r="L446" s="2">
        <v>1</v>
      </c>
      <c r="M446" s="2" t="s">
        <v>84</v>
      </c>
      <c r="N446" s="2" t="s">
        <v>84</v>
      </c>
      <c r="O446" s="2" t="s">
        <v>841</v>
      </c>
      <c r="P446" s="2" t="s">
        <v>536</v>
      </c>
    </row>
    <row r="447" spans="1:16" ht="21" customHeight="1" x14ac:dyDescent="0.15">
      <c r="A447" s="10" t="str">
        <f t="shared" si="72"/>
        <v>312_10_30_10_polygon</v>
      </c>
      <c r="B447" s="2">
        <v>312</v>
      </c>
      <c r="C447" s="30" t="str">
        <f>VLOOKUP(B447,gachas!A:C,3)&amp;E447&amp;"回目"</f>
        <v>ステップアップフィーバー30回目</v>
      </c>
      <c r="D447" s="21">
        <v>10</v>
      </c>
      <c r="E447" s="2">
        <v>30</v>
      </c>
      <c r="F447" s="2">
        <v>10</v>
      </c>
      <c r="G447" s="3" t="s">
        <v>22</v>
      </c>
      <c r="H447" s="2">
        <v>50</v>
      </c>
      <c r="I447" s="116">
        <v>3126</v>
      </c>
      <c r="J447" s="112" t="s">
        <v>281</v>
      </c>
      <c r="K447" s="2">
        <v>3028</v>
      </c>
      <c r="L447" s="2">
        <v>1</v>
      </c>
      <c r="M447" s="2" t="s">
        <v>84</v>
      </c>
      <c r="N447" s="2" t="s">
        <v>84</v>
      </c>
      <c r="O447" s="2" t="s">
        <v>841</v>
      </c>
      <c r="P447" s="2" t="s">
        <v>537</v>
      </c>
    </row>
    <row r="448" spans="1:16" ht="21" customHeight="1" x14ac:dyDescent="0.15">
      <c r="A448" s="10" t="str">
        <f t="shared" si="72"/>
        <v>312_10_0_10_polygon</v>
      </c>
      <c r="B448" s="2">
        <v>312</v>
      </c>
      <c r="C448" s="30" t="str">
        <f>VLOOKUP(B448,gachas!A:C,3)&amp;"周回終了"</f>
        <v>ステップアップフィーバー周回終了</v>
      </c>
      <c r="D448" s="21">
        <v>10</v>
      </c>
      <c r="E448" s="2">
        <v>0</v>
      </c>
      <c r="F448" s="2">
        <v>10</v>
      </c>
      <c r="G448" s="3" t="s">
        <v>22</v>
      </c>
      <c r="H448" s="2">
        <v>50</v>
      </c>
      <c r="I448" s="116">
        <v>3120</v>
      </c>
      <c r="J448" s="112" t="s">
        <v>281</v>
      </c>
      <c r="K448" s="2" t="s">
        <v>84</v>
      </c>
      <c r="L448" s="2">
        <v>0</v>
      </c>
      <c r="M448" s="2" t="s">
        <v>84</v>
      </c>
      <c r="N448" s="2" t="s">
        <v>84</v>
      </c>
      <c r="O448" s="2" t="s">
        <v>841</v>
      </c>
      <c r="P448" s="2" t="s">
        <v>538</v>
      </c>
    </row>
    <row r="449" spans="1:16" ht="21" customHeight="1" x14ac:dyDescent="0.15">
      <c r="A449" s="10" t="str">
        <f t="shared" si="72"/>
        <v>313_1_0_1_polygon</v>
      </c>
      <c r="B449" s="2">
        <v>313</v>
      </c>
      <c r="C449" s="30" t="str">
        <f>VLOOKUP(B449,gachas!A:C,3)</f>
        <v>超カラーフェス前半&lt;赤黄&gt;</v>
      </c>
      <c r="D449" s="21">
        <v>1</v>
      </c>
      <c r="E449" s="2">
        <v>0</v>
      </c>
      <c r="F449" s="2">
        <v>1</v>
      </c>
      <c r="G449" s="3" t="s">
        <v>22</v>
      </c>
      <c r="H449" s="2">
        <v>5</v>
      </c>
      <c r="I449" s="116">
        <v>313010</v>
      </c>
      <c r="J449" s="112" t="s">
        <v>84</v>
      </c>
      <c r="K449" s="2" t="s">
        <v>84</v>
      </c>
      <c r="L449" s="2">
        <v>0</v>
      </c>
      <c r="M449" s="2" t="s">
        <v>84</v>
      </c>
      <c r="N449" s="2" t="s">
        <v>84</v>
      </c>
      <c r="O449" s="2" t="s">
        <v>841</v>
      </c>
      <c r="P449" s="2" t="s">
        <v>672</v>
      </c>
    </row>
    <row r="450" spans="1:16" ht="21" customHeight="1" x14ac:dyDescent="0.15">
      <c r="A450" s="10" t="str">
        <f t="shared" si="72"/>
        <v>313_10_1_10_polygon</v>
      </c>
      <c r="B450" s="2">
        <v>313</v>
      </c>
      <c r="C450" s="30" t="str">
        <f>VLOOKUP(B450,gachas!A:C,3)</f>
        <v>超カラーフェス前半&lt;赤黄&gt;</v>
      </c>
      <c r="D450" s="21">
        <v>10</v>
      </c>
      <c r="E450" s="2">
        <v>1</v>
      </c>
      <c r="F450" s="2">
        <v>10</v>
      </c>
      <c r="G450" s="3" t="s">
        <v>22</v>
      </c>
      <c r="H450" s="2">
        <v>25</v>
      </c>
      <c r="I450" s="116">
        <v>313101</v>
      </c>
      <c r="J450" s="112" t="s">
        <v>84</v>
      </c>
      <c r="K450" s="2" t="s">
        <v>84</v>
      </c>
      <c r="L450" s="2">
        <v>0</v>
      </c>
      <c r="M450" s="2" t="s">
        <v>84</v>
      </c>
      <c r="N450" s="2" t="s">
        <v>84</v>
      </c>
      <c r="O450" s="2" t="s">
        <v>841</v>
      </c>
      <c r="P450" s="59" t="s">
        <v>674</v>
      </c>
    </row>
    <row r="451" spans="1:16" ht="21" customHeight="1" x14ac:dyDescent="0.15">
      <c r="A451" s="10" t="str">
        <f t="shared" si="72"/>
        <v>313_10_0_10_polygon</v>
      </c>
      <c r="B451" s="2">
        <v>313</v>
      </c>
      <c r="C451" s="30" t="str">
        <f>VLOOKUP(B451,gachas!A:C,3)</f>
        <v>超カラーフェス前半&lt;赤黄&gt;</v>
      </c>
      <c r="D451" s="21">
        <v>10</v>
      </c>
      <c r="E451" s="2">
        <v>0</v>
      </c>
      <c r="F451" s="2">
        <v>10</v>
      </c>
      <c r="G451" s="3" t="s">
        <v>22</v>
      </c>
      <c r="H451" s="2">
        <v>50</v>
      </c>
      <c r="I451" s="116">
        <v>313100</v>
      </c>
      <c r="J451" s="112" t="s">
        <v>84</v>
      </c>
      <c r="K451" s="2" t="s">
        <v>84</v>
      </c>
      <c r="L451" s="2">
        <v>0</v>
      </c>
      <c r="M451" s="2" t="s">
        <v>84</v>
      </c>
      <c r="N451" s="2" t="s">
        <v>84</v>
      </c>
      <c r="O451" s="2" t="s">
        <v>841</v>
      </c>
      <c r="P451" s="59" t="s">
        <v>675</v>
      </c>
    </row>
    <row r="452" spans="1:16" ht="21" customHeight="1" x14ac:dyDescent="0.15">
      <c r="A452" s="10" t="str">
        <f t="shared" si="72"/>
        <v>314_1_0_1_polygon</v>
      </c>
      <c r="B452" s="2">
        <v>314</v>
      </c>
      <c r="C452" s="30" t="str">
        <f>VLOOKUP(B452,gachas!A:C,3)</f>
        <v>超カラーフェス後半&lt;青緑&gt;</v>
      </c>
      <c r="D452" s="21">
        <v>1</v>
      </c>
      <c r="E452" s="2">
        <v>0</v>
      </c>
      <c r="F452" s="2">
        <v>1</v>
      </c>
      <c r="G452" s="3" t="s">
        <v>22</v>
      </c>
      <c r="H452" s="2">
        <v>5</v>
      </c>
      <c r="I452" s="116">
        <v>314010</v>
      </c>
      <c r="J452" s="112" t="s">
        <v>84</v>
      </c>
      <c r="K452" s="2" t="s">
        <v>84</v>
      </c>
      <c r="L452" s="2">
        <v>0</v>
      </c>
      <c r="M452" s="2" t="s">
        <v>84</v>
      </c>
      <c r="N452" s="2" t="s">
        <v>84</v>
      </c>
      <c r="O452" s="2" t="s">
        <v>841</v>
      </c>
      <c r="P452" s="2" t="s">
        <v>672</v>
      </c>
    </row>
    <row r="453" spans="1:16" ht="21" customHeight="1" x14ac:dyDescent="0.15">
      <c r="A453" s="10" t="str">
        <f t="shared" si="72"/>
        <v>314_10_1_10_polygon</v>
      </c>
      <c r="B453" s="2">
        <v>314</v>
      </c>
      <c r="C453" s="30" t="str">
        <f>VLOOKUP(B453,gachas!A:C,3)</f>
        <v>超カラーフェス後半&lt;青緑&gt;</v>
      </c>
      <c r="D453" s="21">
        <v>10</v>
      </c>
      <c r="E453" s="2">
        <v>1</v>
      </c>
      <c r="F453" s="2">
        <v>10</v>
      </c>
      <c r="G453" s="3" t="s">
        <v>22</v>
      </c>
      <c r="H453" s="2">
        <v>25</v>
      </c>
      <c r="I453" s="116">
        <v>314101</v>
      </c>
      <c r="J453" s="112" t="s">
        <v>84</v>
      </c>
      <c r="K453" s="2" t="s">
        <v>84</v>
      </c>
      <c r="L453" s="2">
        <v>0</v>
      </c>
      <c r="M453" s="2" t="s">
        <v>84</v>
      </c>
      <c r="N453" s="2" t="s">
        <v>84</v>
      </c>
      <c r="O453" s="2" t="s">
        <v>841</v>
      </c>
      <c r="P453" s="59" t="s">
        <v>674</v>
      </c>
    </row>
    <row r="454" spans="1:16" ht="21" customHeight="1" x14ac:dyDescent="0.15">
      <c r="A454" s="10" t="str">
        <f t="shared" si="72"/>
        <v>314_10_0_10_polygon</v>
      </c>
      <c r="B454" s="2">
        <v>314</v>
      </c>
      <c r="C454" s="30" t="str">
        <f>VLOOKUP(B454,gachas!A:C,3)</f>
        <v>超カラーフェス後半&lt;青緑&gt;</v>
      </c>
      <c r="D454" s="21">
        <v>10</v>
      </c>
      <c r="E454" s="2">
        <v>0</v>
      </c>
      <c r="F454" s="2">
        <v>10</v>
      </c>
      <c r="G454" s="3" t="s">
        <v>22</v>
      </c>
      <c r="H454" s="2">
        <v>50</v>
      </c>
      <c r="I454" s="116">
        <v>314100</v>
      </c>
      <c r="J454" s="112" t="s">
        <v>84</v>
      </c>
      <c r="K454" s="2" t="s">
        <v>84</v>
      </c>
      <c r="L454" s="2">
        <v>0</v>
      </c>
      <c r="M454" s="2" t="s">
        <v>84</v>
      </c>
      <c r="N454" s="2" t="s">
        <v>84</v>
      </c>
      <c r="O454" s="2" t="s">
        <v>841</v>
      </c>
      <c r="P454" s="59" t="s">
        <v>675</v>
      </c>
    </row>
    <row r="455" spans="1:16" ht="21" customHeight="1" x14ac:dyDescent="0.15">
      <c r="A455" s="10" t="str">
        <f t="shared" si="72"/>
        <v>315_1_0_1_polygon</v>
      </c>
      <c r="B455" s="2">
        <v>315</v>
      </c>
      <c r="C455" s="30" t="str">
        <f>VLOOKUP(B455,gachas!A:C,3)</f>
        <v>ピックアップフィーバー&lt;バランス編&gt;</v>
      </c>
      <c r="D455" s="21">
        <v>1</v>
      </c>
      <c r="E455" s="2">
        <v>0</v>
      </c>
      <c r="F455" s="2">
        <v>1</v>
      </c>
      <c r="G455" s="3" t="s">
        <v>22</v>
      </c>
      <c r="H455" s="2">
        <v>5</v>
      </c>
      <c r="I455" s="116">
        <v>315010</v>
      </c>
      <c r="J455" s="112" t="s">
        <v>84</v>
      </c>
      <c r="K455" s="2" t="s">
        <v>84</v>
      </c>
      <c r="L455" s="2">
        <v>0</v>
      </c>
      <c r="M455" s="2" t="s">
        <v>84</v>
      </c>
      <c r="N455" s="2" t="s">
        <v>84</v>
      </c>
      <c r="O455" s="2" t="s">
        <v>841</v>
      </c>
      <c r="P455" s="2" t="s">
        <v>84</v>
      </c>
    </row>
    <row r="456" spans="1:16" ht="21" customHeight="1" x14ac:dyDescent="0.15">
      <c r="A456" s="10" t="str">
        <f t="shared" si="72"/>
        <v>315_10_1_10_polygon</v>
      </c>
      <c r="B456" s="2">
        <v>315</v>
      </c>
      <c r="C456" s="30" t="str">
        <f>VLOOKUP(B456,gachas!A:C,3)</f>
        <v>ピックアップフィーバー&lt;バランス編&gt;</v>
      </c>
      <c r="D456" s="21">
        <v>10</v>
      </c>
      <c r="E456" s="2">
        <v>1</v>
      </c>
      <c r="F456" s="2">
        <v>10</v>
      </c>
      <c r="G456" s="3" t="s">
        <v>22</v>
      </c>
      <c r="H456" s="2">
        <v>15</v>
      </c>
      <c r="I456" s="116">
        <v>315100</v>
      </c>
      <c r="J456" s="112" t="s">
        <v>84</v>
      </c>
      <c r="K456" s="2" t="s">
        <v>84</v>
      </c>
      <c r="L456" s="2">
        <v>0</v>
      </c>
      <c r="M456" s="2" t="s">
        <v>84</v>
      </c>
      <c r="N456" s="2" t="s">
        <v>84</v>
      </c>
      <c r="O456" s="2" t="s">
        <v>841</v>
      </c>
      <c r="P456" s="2" t="s">
        <v>547</v>
      </c>
    </row>
    <row r="457" spans="1:16" ht="21" customHeight="1" x14ac:dyDescent="0.15">
      <c r="A457" s="10" t="str">
        <f t="shared" si="72"/>
        <v>315_10_2_10_polygon</v>
      </c>
      <c r="B457" s="2">
        <v>315</v>
      </c>
      <c r="C457" s="30" t="str">
        <f>VLOOKUP(B457,gachas!A:C,3)</f>
        <v>ピックアップフィーバー&lt;バランス編&gt;</v>
      </c>
      <c r="D457" s="21">
        <v>10</v>
      </c>
      <c r="E457" s="2">
        <v>2</v>
      </c>
      <c r="F457" s="2">
        <v>10</v>
      </c>
      <c r="G457" s="3" t="s">
        <v>22</v>
      </c>
      <c r="H457" s="2">
        <v>25</v>
      </c>
      <c r="I457" s="116">
        <v>315100</v>
      </c>
      <c r="J457" s="112" t="s">
        <v>84</v>
      </c>
      <c r="K457" s="2" t="s">
        <v>84</v>
      </c>
      <c r="L457" s="2">
        <v>0</v>
      </c>
      <c r="M457" s="2" t="s">
        <v>84</v>
      </c>
      <c r="N457" s="2" t="s">
        <v>84</v>
      </c>
      <c r="O457" s="2" t="s">
        <v>841</v>
      </c>
      <c r="P457" s="59" t="s">
        <v>602</v>
      </c>
    </row>
    <row r="458" spans="1:16" ht="21" customHeight="1" x14ac:dyDescent="0.15">
      <c r="A458" s="10" t="str">
        <f t="shared" si="72"/>
        <v>315_10_0_10_polygon</v>
      </c>
      <c r="B458" s="2">
        <v>315</v>
      </c>
      <c r="C458" s="30" t="str">
        <f>VLOOKUP(B458,gachas!A:C,3)</f>
        <v>ピックアップフィーバー&lt;バランス編&gt;</v>
      </c>
      <c r="D458" s="21">
        <v>10</v>
      </c>
      <c r="E458" s="2">
        <v>0</v>
      </c>
      <c r="F458" s="2">
        <v>10</v>
      </c>
      <c r="G458" s="3" t="s">
        <v>22</v>
      </c>
      <c r="H458" s="2">
        <v>50</v>
      </c>
      <c r="I458" s="116">
        <v>315100</v>
      </c>
      <c r="J458" s="112" t="s">
        <v>84</v>
      </c>
      <c r="K458" s="2" t="s">
        <v>84</v>
      </c>
      <c r="L458" s="2">
        <v>0</v>
      </c>
      <c r="M458" s="2" t="s">
        <v>84</v>
      </c>
      <c r="N458" s="2" t="s">
        <v>84</v>
      </c>
      <c r="O458" s="2" t="s">
        <v>841</v>
      </c>
      <c r="P458" s="2" t="s">
        <v>294</v>
      </c>
    </row>
    <row r="459" spans="1:16" ht="21" customHeight="1" x14ac:dyDescent="0.15">
      <c r="A459" s="10" t="str">
        <f t="shared" si="72"/>
        <v>316_1_1_1_polygon</v>
      </c>
      <c r="B459" s="2">
        <v>316</v>
      </c>
      <c r="C459" s="30" t="str">
        <f>VLOOKUP(B459,gachas!A:C,3)</f>
        <v>３月フィーバーフェス&lt;前半&gt;</v>
      </c>
      <c r="D459" s="21">
        <v>1</v>
      </c>
      <c r="E459" s="2">
        <v>1</v>
      </c>
      <c r="F459" s="2">
        <v>1</v>
      </c>
      <c r="G459" s="3" t="s">
        <v>22</v>
      </c>
      <c r="H459" s="2">
        <v>5</v>
      </c>
      <c r="I459" s="116">
        <v>316000</v>
      </c>
      <c r="J459" s="112" t="s">
        <v>84</v>
      </c>
      <c r="K459" s="2" t="s">
        <v>684</v>
      </c>
      <c r="L459" s="2">
        <v>0</v>
      </c>
      <c r="M459" s="2" t="s">
        <v>84</v>
      </c>
      <c r="N459" s="2" t="s">
        <v>84</v>
      </c>
      <c r="O459" s="2" t="s">
        <v>841</v>
      </c>
      <c r="P459" s="2" t="s">
        <v>691</v>
      </c>
    </row>
    <row r="460" spans="1:16" ht="21" customHeight="1" x14ac:dyDescent="0.15">
      <c r="A460" s="10" t="str">
        <f t="shared" ref="A460" si="75">B460&amp;"_"&amp;D460&amp;"_"&amp;E460&amp;"_"&amp;F460&amp;"_"&amp;G460</f>
        <v>316_1_0_1_polygon</v>
      </c>
      <c r="B460" s="2">
        <v>316</v>
      </c>
      <c r="C460" s="30" t="str">
        <f>VLOOKUP(B460,gachas!A:C,3)</f>
        <v>３月フィーバーフェス&lt;前半&gt;</v>
      </c>
      <c r="D460" s="21">
        <v>1</v>
      </c>
      <c r="E460" s="2">
        <v>0</v>
      </c>
      <c r="F460" s="2">
        <v>1</v>
      </c>
      <c r="G460" s="3" t="s">
        <v>22</v>
      </c>
      <c r="H460" s="2">
        <v>5</v>
      </c>
      <c r="I460" s="116">
        <v>316000</v>
      </c>
      <c r="J460" s="112" t="s">
        <v>84</v>
      </c>
      <c r="K460" s="2" t="s">
        <v>684</v>
      </c>
      <c r="L460" s="2">
        <v>0</v>
      </c>
      <c r="M460" s="2" t="s">
        <v>84</v>
      </c>
      <c r="N460" s="2" t="s">
        <v>84</v>
      </c>
      <c r="O460" s="2" t="s">
        <v>841</v>
      </c>
      <c r="P460" s="2" t="s">
        <v>691</v>
      </c>
    </row>
    <row r="461" spans="1:16" ht="21" customHeight="1" x14ac:dyDescent="0.15">
      <c r="A461" s="10" t="str">
        <f t="shared" si="72"/>
        <v>316_10_1_10_polygon</v>
      </c>
      <c r="B461" s="2">
        <v>316</v>
      </c>
      <c r="C461" s="30" t="str">
        <f>VLOOKUP(B461,gachas!A:C,3)</f>
        <v>３月フィーバーフェス&lt;前半&gt;</v>
      </c>
      <c r="D461" s="21">
        <v>10</v>
      </c>
      <c r="E461" s="2">
        <v>1</v>
      </c>
      <c r="F461" s="2">
        <v>10</v>
      </c>
      <c r="G461" s="3" t="s">
        <v>22</v>
      </c>
      <c r="H461" s="2">
        <v>50</v>
      </c>
      <c r="I461" s="116">
        <v>316000</v>
      </c>
      <c r="J461" s="112" t="s">
        <v>84</v>
      </c>
      <c r="K461" s="2">
        <v>316999</v>
      </c>
      <c r="L461" s="2">
        <v>1</v>
      </c>
      <c r="M461" s="2" t="s">
        <v>84</v>
      </c>
      <c r="N461" s="2" t="s">
        <v>84</v>
      </c>
      <c r="O461" s="2" t="s">
        <v>841</v>
      </c>
      <c r="P461" s="2" t="s">
        <v>378</v>
      </c>
    </row>
    <row r="462" spans="1:16" ht="21" customHeight="1" x14ac:dyDescent="0.15">
      <c r="A462" s="10" t="str">
        <f t="shared" ref="A462" si="76">B462&amp;"_"&amp;D462&amp;"_"&amp;E462&amp;"_"&amp;F462&amp;"_"&amp;G462</f>
        <v>316_10_0_10_polygon</v>
      </c>
      <c r="B462" s="2">
        <v>316</v>
      </c>
      <c r="C462" s="30" t="str">
        <f>VLOOKUP(B462,gachas!A:C,3)</f>
        <v>３月フィーバーフェス&lt;前半&gt;</v>
      </c>
      <c r="D462" s="21">
        <v>10</v>
      </c>
      <c r="E462" s="2">
        <v>0</v>
      </c>
      <c r="F462" s="2">
        <v>10</v>
      </c>
      <c r="G462" s="3" t="s">
        <v>22</v>
      </c>
      <c r="H462" s="2">
        <v>50</v>
      </c>
      <c r="I462" s="116">
        <v>316000</v>
      </c>
      <c r="J462" s="112" t="s">
        <v>84</v>
      </c>
      <c r="K462" s="2">
        <v>316999</v>
      </c>
      <c r="L462" s="2">
        <v>1</v>
      </c>
      <c r="M462" s="2" t="s">
        <v>84</v>
      </c>
      <c r="N462" s="2" t="s">
        <v>84</v>
      </c>
      <c r="O462" s="2" t="s">
        <v>841</v>
      </c>
      <c r="P462" s="2" t="s">
        <v>378</v>
      </c>
    </row>
    <row r="463" spans="1:16" ht="21" customHeight="1" x14ac:dyDescent="0.15">
      <c r="A463" s="10" t="str">
        <f t="shared" si="72"/>
        <v>317_1_1_1_polygon</v>
      </c>
      <c r="B463" s="2">
        <v>317</v>
      </c>
      <c r="C463" s="30" t="str">
        <f>VLOOKUP(B463,gachas!A:C,3)</f>
        <v>３月フィーバーフェス&lt;後半&gt;</v>
      </c>
      <c r="D463" s="21">
        <v>1</v>
      </c>
      <c r="E463" s="2">
        <v>1</v>
      </c>
      <c r="F463" s="2">
        <v>1</v>
      </c>
      <c r="G463" s="3" t="s">
        <v>22</v>
      </c>
      <c r="H463" s="2">
        <v>5</v>
      </c>
      <c r="I463" s="116">
        <v>317000</v>
      </c>
      <c r="J463" s="112" t="s">
        <v>84</v>
      </c>
      <c r="K463" s="2" t="s">
        <v>685</v>
      </c>
      <c r="L463" s="2">
        <v>0</v>
      </c>
      <c r="M463" s="2" t="s">
        <v>84</v>
      </c>
      <c r="N463" s="2" t="s">
        <v>84</v>
      </c>
      <c r="O463" s="2" t="s">
        <v>841</v>
      </c>
      <c r="P463" s="2" t="s">
        <v>691</v>
      </c>
    </row>
    <row r="464" spans="1:16" ht="21" customHeight="1" x14ac:dyDescent="0.15">
      <c r="A464" s="10" t="str">
        <f t="shared" ref="A464" si="77">B464&amp;"_"&amp;D464&amp;"_"&amp;E464&amp;"_"&amp;F464&amp;"_"&amp;G464</f>
        <v>317_1_0_1_polygon</v>
      </c>
      <c r="B464" s="2">
        <v>317</v>
      </c>
      <c r="C464" s="30" t="str">
        <f>VLOOKUP(B464,gachas!A:C,3)</f>
        <v>３月フィーバーフェス&lt;後半&gt;</v>
      </c>
      <c r="D464" s="21">
        <v>1</v>
      </c>
      <c r="E464" s="2">
        <v>0</v>
      </c>
      <c r="F464" s="2">
        <v>1</v>
      </c>
      <c r="G464" s="3" t="s">
        <v>22</v>
      </c>
      <c r="H464" s="2">
        <v>5</v>
      </c>
      <c r="I464" s="116">
        <v>317000</v>
      </c>
      <c r="J464" s="112" t="s">
        <v>84</v>
      </c>
      <c r="K464" s="2" t="s">
        <v>685</v>
      </c>
      <c r="L464" s="2">
        <v>0</v>
      </c>
      <c r="M464" s="2" t="s">
        <v>84</v>
      </c>
      <c r="N464" s="2" t="s">
        <v>84</v>
      </c>
      <c r="O464" s="2" t="s">
        <v>841</v>
      </c>
      <c r="P464" s="2" t="s">
        <v>691</v>
      </c>
    </row>
    <row r="465" spans="1:16" ht="21" customHeight="1" x14ac:dyDescent="0.15">
      <c r="A465" s="10" t="str">
        <f t="shared" si="72"/>
        <v>317_10_1_10_polygon</v>
      </c>
      <c r="B465" s="2">
        <v>317</v>
      </c>
      <c r="C465" s="30" t="str">
        <f>VLOOKUP(B465,gachas!A:C,3)</f>
        <v>３月フィーバーフェス&lt;後半&gt;</v>
      </c>
      <c r="D465" s="21">
        <v>10</v>
      </c>
      <c r="E465" s="2">
        <v>1</v>
      </c>
      <c r="F465" s="2">
        <v>10</v>
      </c>
      <c r="G465" s="3" t="s">
        <v>22</v>
      </c>
      <c r="H465" s="2">
        <v>50</v>
      </c>
      <c r="I465" s="116">
        <v>317000</v>
      </c>
      <c r="J465" s="112" t="s">
        <v>84</v>
      </c>
      <c r="K465" s="2">
        <v>317999</v>
      </c>
      <c r="L465" s="2">
        <v>1</v>
      </c>
      <c r="M465" s="2" t="s">
        <v>84</v>
      </c>
      <c r="N465" s="2" t="s">
        <v>84</v>
      </c>
      <c r="O465" s="2" t="s">
        <v>841</v>
      </c>
      <c r="P465" s="2" t="s">
        <v>378</v>
      </c>
    </row>
    <row r="466" spans="1:16" ht="21" customHeight="1" x14ac:dyDescent="0.15">
      <c r="A466" s="10" t="str">
        <f t="shared" ref="A466" si="78">B466&amp;"_"&amp;D466&amp;"_"&amp;E466&amp;"_"&amp;F466&amp;"_"&amp;G466</f>
        <v>317_10_0_10_polygon</v>
      </c>
      <c r="B466" s="2">
        <v>317</v>
      </c>
      <c r="C466" s="30" t="str">
        <f>VLOOKUP(B466,gachas!A:C,3)</f>
        <v>３月フィーバーフェス&lt;後半&gt;</v>
      </c>
      <c r="D466" s="21">
        <v>10</v>
      </c>
      <c r="E466" s="2">
        <v>0</v>
      </c>
      <c r="F466" s="2">
        <v>10</v>
      </c>
      <c r="G466" s="3" t="s">
        <v>22</v>
      </c>
      <c r="H466" s="2">
        <v>50</v>
      </c>
      <c r="I466" s="116">
        <v>317000</v>
      </c>
      <c r="J466" s="112" t="s">
        <v>84</v>
      </c>
      <c r="K466" s="2">
        <v>317999</v>
      </c>
      <c r="L466" s="2">
        <v>1</v>
      </c>
      <c r="M466" s="2" t="s">
        <v>84</v>
      </c>
      <c r="N466" s="2" t="s">
        <v>84</v>
      </c>
      <c r="O466" s="2" t="s">
        <v>841</v>
      </c>
      <c r="P466" s="2" t="s">
        <v>378</v>
      </c>
    </row>
    <row r="467" spans="1:16" ht="21" customHeight="1" x14ac:dyDescent="0.15">
      <c r="A467" s="10" t="str">
        <f t="shared" si="72"/>
        <v>318_10_1_5_polygon</v>
      </c>
      <c r="B467" s="2">
        <v>318</v>
      </c>
      <c r="C467" s="30" t="str">
        <f>VLOOKUP(B467,gachas!A:C,3)</f>
        <v>ピックアップフィーバー&lt;新春厳選&gt;</v>
      </c>
      <c r="D467" s="21">
        <v>10</v>
      </c>
      <c r="E467" s="2">
        <v>1</v>
      </c>
      <c r="F467" s="2">
        <v>5</v>
      </c>
      <c r="G467" s="3" t="s">
        <v>22</v>
      </c>
      <c r="H467" s="2">
        <v>15</v>
      </c>
      <c r="I467" s="119" t="str">
        <f>I468</f>
        <v>318100</v>
      </c>
      <c r="J467" s="112" t="s">
        <v>84</v>
      </c>
      <c r="K467" s="47" t="s">
        <v>84</v>
      </c>
      <c r="L467" s="2">
        <v>0</v>
      </c>
      <c r="M467" s="2" t="s">
        <v>84</v>
      </c>
      <c r="N467" s="2" t="s">
        <v>84</v>
      </c>
      <c r="O467" s="2" t="s">
        <v>841</v>
      </c>
      <c r="P467" s="2" t="s">
        <v>695</v>
      </c>
    </row>
    <row r="468" spans="1:16" ht="21" customHeight="1" x14ac:dyDescent="0.15">
      <c r="A468" s="10" t="str">
        <f t="shared" ref="A468:A493" si="79">B468&amp;"_"&amp;D468&amp;"_"&amp;E468&amp;"_"&amp;F468&amp;"_"&amp;G468</f>
        <v>318_10_0_5_polygon</v>
      </c>
      <c r="B468" s="2">
        <v>318</v>
      </c>
      <c r="C468" s="30" t="str">
        <f>VLOOKUP(B468,gachas!A:C,3)</f>
        <v>ピックアップフィーバー&lt;新春厳選&gt;</v>
      </c>
      <c r="D468" s="21">
        <v>10</v>
      </c>
      <c r="E468" s="2">
        <v>0</v>
      </c>
      <c r="F468" s="2">
        <v>5</v>
      </c>
      <c r="G468" s="3" t="s">
        <v>22</v>
      </c>
      <c r="H468" s="2">
        <v>25</v>
      </c>
      <c r="I468" s="117" t="str">
        <f t="shared" ref="I468:I477" si="80">B468&amp;TEXT(D468,"00")&amp;E468</f>
        <v>318100</v>
      </c>
      <c r="J468" s="112" t="s">
        <v>84</v>
      </c>
      <c r="K468" s="47" t="s">
        <v>84</v>
      </c>
      <c r="L468" s="2">
        <v>0</v>
      </c>
      <c r="M468" s="2" t="s">
        <v>84</v>
      </c>
      <c r="N468" s="2" t="s">
        <v>84</v>
      </c>
      <c r="O468" s="2" t="s">
        <v>841</v>
      </c>
      <c r="P468" s="2" t="s">
        <v>696</v>
      </c>
    </row>
    <row r="469" spans="1:16" ht="21" customHeight="1" x14ac:dyDescent="0.15">
      <c r="A469" s="10" t="str">
        <f t="shared" si="79"/>
        <v>319_10_1_10_polygon</v>
      </c>
      <c r="B469" s="2">
        <v>319</v>
      </c>
      <c r="C469" s="30" t="str">
        <f>VLOOKUP(B469,gachas!A:C,3)</f>
        <v>新キャラ追加&lt;日本昔話&gt;</v>
      </c>
      <c r="D469" s="21">
        <v>10</v>
      </c>
      <c r="E469" s="2">
        <v>1</v>
      </c>
      <c r="F469" s="2">
        <v>10</v>
      </c>
      <c r="G469" s="3" t="s">
        <v>22</v>
      </c>
      <c r="H469" s="2">
        <v>30</v>
      </c>
      <c r="I469" s="119" t="str">
        <f>I470</f>
        <v>319100</v>
      </c>
      <c r="J469" s="112" t="s">
        <v>84</v>
      </c>
      <c r="K469" s="60">
        <f>K470</f>
        <v>319999</v>
      </c>
      <c r="L469" s="2">
        <v>1</v>
      </c>
      <c r="M469" s="2" t="s">
        <v>84</v>
      </c>
      <c r="N469" s="2" t="s">
        <v>84</v>
      </c>
      <c r="O469" s="2" t="s">
        <v>841</v>
      </c>
      <c r="P469" s="2" t="s">
        <v>699</v>
      </c>
    </row>
    <row r="470" spans="1:16" ht="21" customHeight="1" x14ac:dyDescent="0.15">
      <c r="A470" s="10" t="str">
        <f t="shared" si="79"/>
        <v>319_10_0_10_polygon</v>
      </c>
      <c r="B470" s="2">
        <v>319</v>
      </c>
      <c r="C470" s="30" t="str">
        <f>VLOOKUP(B470,gachas!A:C,3)</f>
        <v>新キャラ追加&lt;日本昔話&gt;</v>
      </c>
      <c r="D470" s="21">
        <v>10</v>
      </c>
      <c r="E470" s="2">
        <v>0</v>
      </c>
      <c r="F470" s="2">
        <v>10</v>
      </c>
      <c r="G470" s="3" t="s">
        <v>22</v>
      </c>
      <c r="H470" s="2">
        <v>50</v>
      </c>
      <c r="I470" s="117" t="str">
        <f t="shared" si="80"/>
        <v>319100</v>
      </c>
      <c r="J470" s="112" t="s">
        <v>84</v>
      </c>
      <c r="K470" s="2">
        <v>319999</v>
      </c>
      <c r="L470" s="2">
        <v>2</v>
      </c>
      <c r="M470" s="2" t="s">
        <v>84</v>
      </c>
      <c r="N470" s="2" t="s">
        <v>84</v>
      </c>
      <c r="O470" s="2" t="s">
        <v>841</v>
      </c>
      <c r="P470" s="2" t="s">
        <v>700</v>
      </c>
    </row>
    <row r="471" spans="1:16" ht="21" customHeight="1" x14ac:dyDescent="0.15">
      <c r="A471" s="10" t="str">
        <f t="shared" si="79"/>
        <v>320_1_1_1_polygon</v>
      </c>
      <c r="B471" s="2">
        <v>320</v>
      </c>
      <c r="C471" s="30" t="str">
        <f>VLOOKUP(B471,gachas!A:C,3)</f>
        <v>ノーマルガチャ&lt;日本昔話追加&gt;</v>
      </c>
      <c r="D471" s="21">
        <v>1</v>
      </c>
      <c r="E471" s="2">
        <v>1</v>
      </c>
      <c r="F471" s="2">
        <v>1</v>
      </c>
      <c r="G471" s="3" t="s">
        <v>22</v>
      </c>
      <c r="H471" s="2">
        <v>5</v>
      </c>
      <c r="I471" s="119" t="str">
        <f>I473</f>
        <v>320100</v>
      </c>
      <c r="J471" s="115" t="s">
        <v>84</v>
      </c>
      <c r="K471" s="2" t="s">
        <v>84</v>
      </c>
      <c r="L471" s="2">
        <v>0</v>
      </c>
      <c r="M471" s="2" t="s">
        <v>84</v>
      </c>
      <c r="N471" s="2" t="s">
        <v>84</v>
      </c>
      <c r="O471" s="2" t="s">
        <v>841</v>
      </c>
      <c r="P471" s="2" t="s">
        <v>142</v>
      </c>
    </row>
    <row r="472" spans="1:16" ht="21" customHeight="1" x14ac:dyDescent="0.15">
      <c r="A472" s="10" t="str">
        <f t="shared" si="79"/>
        <v>320_1_0_1_polygon</v>
      </c>
      <c r="B472" s="2">
        <v>320</v>
      </c>
      <c r="C472" s="30" t="str">
        <f>VLOOKUP(B472,gachas!A:C,3)</f>
        <v>ノーマルガチャ&lt;日本昔話追加&gt;</v>
      </c>
      <c r="D472" s="21">
        <v>1</v>
      </c>
      <c r="E472" s="2">
        <v>0</v>
      </c>
      <c r="F472" s="2">
        <v>1</v>
      </c>
      <c r="G472" s="3" t="s">
        <v>22</v>
      </c>
      <c r="H472" s="2">
        <v>5</v>
      </c>
      <c r="I472" s="117" t="str">
        <f t="shared" si="80"/>
        <v>320010</v>
      </c>
      <c r="J472" s="115" t="s">
        <v>84</v>
      </c>
      <c r="K472" s="2" t="s">
        <v>84</v>
      </c>
      <c r="L472" s="2">
        <v>0</v>
      </c>
      <c r="M472" s="2" t="s">
        <v>84</v>
      </c>
      <c r="N472" s="2" t="s">
        <v>84</v>
      </c>
      <c r="O472" s="2" t="s">
        <v>841</v>
      </c>
      <c r="P472" s="2" t="s">
        <v>84</v>
      </c>
    </row>
    <row r="473" spans="1:16" ht="21" customHeight="1" x14ac:dyDescent="0.15">
      <c r="A473" s="10" t="str">
        <f t="shared" si="79"/>
        <v>320_10_0_10_polygon</v>
      </c>
      <c r="B473" s="2">
        <v>320</v>
      </c>
      <c r="C473" s="30" t="str">
        <f>VLOOKUP(B473,gachas!A:C,3)</f>
        <v>ノーマルガチャ&lt;日本昔話追加&gt;</v>
      </c>
      <c r="D473" s="21">
        <v>10</v>
      </c>
      <c r="E473" s="2">
        <v>0</v>
      </c>
      <c r="F473" s="2">
        <v>10</v>
      </c>
      <c r="G473" s="3" t="s">
        <v>22</v>
      </c>
      <c r="H473" s="2">
        <v>50</v>
      </c>
      <c r="I473" s="114" t="str">
        <f t="shared" si="80"/>
        <v>320100</v>
      </c>
      <c r="J473" s="112" t="s">
        <v>84</v>
      </c>
      <c r="K473" s="2" t="s">
        <v>84</v>
      </c>
      <c r="L473" s="2">
        <v>0</v>
      </c>
      <c r="M473" s="2" t="s">
        <v>84</v>
      </c>
      <c r="N473" s="2" t="s">
        <v>84</v>
      </c>
      <c r="O473" s="2" t="s">
        <v>841</v>
      </c>
      <c r="P473" s="2" t="s">
        <v>143</v>
      </c>
    </row>
    <row r="474" spans="1:16" ht="21" customHeight="1" x14ac:dyDescent="0.15">
      <c r="A474" s="10" t="str">
        <f t="shared" si="79"/>
        <v>321_10_1_1_polygon</v>
      </c>
      <c r="B474" s="2">
        <v>321</v>
      </c>
      <c r="C474" s="30" t="str">
        <f>VLOOKUP(B474,gachas!A:C,3)&amp;E474&amp;"回目"</f>
        <v>ステップアップフィーバー&lt;4月頭&gt;1回目</v>
      </c>
      <c r="D474" s="21">
        <v>10</v>
      </c>
      <c r="E474" s="2">
        <v>1</v>
      </c>
      <c r="F474" s="2">
        <v>1</v>
      </c>
      <c r="G474" s="3" t="s">
        <v>22</v>
      </c>
      <c r="H474" s="2">
        <v>3</v>
      </c>
      <c r="I474" s="114" t="str">
        <f>B474&amp;TEXT(D474,"00")&amp;E474</f>
        <v>321101</v>
      </c>
      <c r="J474" s="115" t="s">
        <v>84</v>
      </c>
      <c r="K474" s="2" t="s">
        <v>84</v>
      </c>
      <c r="L474" s="2">
        <v>0</v>
      </c>
      <c r="M474" s="2" t="s">
        <v>84</v>
      </c>
      <c r="N474" s="2" t="s">
        <v>84</v>
      </c>
      <c r="O474" s="2" t="s">
        <v>841</v>
      </c>
      <c r="P474" s="2" t="s">
        <v>709</v>
      </c>
    </row>
    <row r="475" spans="1:16" ht="21" customHeight="1" x14ac:dyDescent="0.15">
      <c r="A475" s="10" t="str">
        <f t="shared" si="79"/>
        <v>321_10_2_3_polygon</v>
      </c>
      <c r="B475" s="2">
        <v>321</v>
      </c>
      <c r="C475" s="30" t="str">
        <f>VLOOKUP(B475,gachas!A:C,3)&amp;E475&amp;"回目"</f>
        <v>ステップアップフィーバー&lt;4月頭&gt;2回目</v>
      </c>
      <c r="D475" s="21">
        <v>10</v>
      </c>
      <c r="E475" s="2">
        <v>2</v>
      </c>
      <c r="F475" s="2">
        <v>3</v>
      </c>
      <c r="G475" s="3" t="s">
        <v>22</v>
      </c>
      <c r="H475" s="2">
        <v>9</v>
      </c>
      <c r="I475" s="114" t="str">
        <f t="shared" si="80"/>
        <v>321102</v>
      </c>
      <c r="J475" s="115" t="s">
        <v>84</v>
      </c>
      <c r="K475" s="2" t="s">
        <v>84</v>
      </c>
      <c r="L475" s="2">
        <v>0</v>
      </c>
      <c r="M475" s="2" t="s">
        <v>84</v>
      </c>
      <c r="N475" s="2" t="s">
        <v>84</v>
      </c>
      <c r="O475" s="2" t="s">
        <v>841</v>
      </c>
      <c r="P475" s="2" t="s">
        <v>710</v>
      </c>
    </row>
    <row r="476" spans="1:16" ht="21" customHeight="1" x14ac:dyDescent="0.15">
      <c r="A476" s="10" t="str">
        <f t="shared" si="79"/>
        <v>321_10_3_5_polygon</v>
      </c>
      <c r="B476" s="2">
        <v>321</v>
      </c>
      <c r="C476" s="30" t="str">
        <f>VLOOKUP(B476,gachas!A:C,3)&amp;E476&amp;"回目"</f>
        <v>ステップアップフィーバー&lt;4月頭&gt;3回目</v>
      </c>
      <c r="D476" s="21">
        <v>10</v>
      </c>
      <c r="E476" s="2">
        <v>3</v>
      </c>
      <c r="F476" s="2">
        <v>5</v>
      </c>
      <c r="G476" s="3" t="s">
        <v>22</v>
      </c>
      <c r="H476" s="2">
        <v>25</v>
      </c>
      <c r="I476" s="114" t="str">
        <f>B476&amp;TEXT(D476,"00")&amp;E476</f>
        <v>321103</v>
      </c>
      <c r="J476" s="112" t="s">
        <v>84</v>
      </c>
      <c r="K476" s="2" t="str">
        <f>B476&amp;TEXT(D476,"00")&amp;E476</f>
        <v>321103</v>
      </c>
      <c r="L476" s="2">
        <v>2</v>
      </c>
      <c r="M476" s="2" t="s">
        <v>84</v>
      </c>
      <c r="N476" s="2" t="s">
        <v>84</v>
      </c>
      <c r="O476" s="2" t="s">
        <v>841</v>
      </c>
      <c r="P476" s="2" t="s">
        <v>711</v>
      </c>
    </row>
    <row r="477" spans="1:16" ht="21" customHeight="1" x14ac:dyDescent="0.15">
      <c r="A477" s="10" t="str">
        <f t="shared" si="79"/>
        <v>321_10_4_10_polygon</v>
      </c>
      <c r="B477" s="2">
        <v>321</v>
      </c>
      <c r="C477" s="30" t="str">
        <f>VLOOKUP(B477,gachas!A:C,3)&amp;E477&amp;"回目"</f>
        <v>ステップアップフィーバー&lt;4月頭&gt;4回目</v>
      </c>
      <c r="D477" s="21">
        <v>10</v>
      </c>
      <c r="E477" s="2">
        <v>4</v>
      </c>
      <c r="F477" s="2">
        <v>10</v>
      </c>
      <c r="G477" s="3" t="s">
        <v>22</v>
      </c>
      <c r="H477" s="2">
        <v>25</v>
      </c>
      <c r="I477" s="114" t="str">
        <f t="shared" si="80"/>
        <v>321104</v>
      </c>
      <c r="J477" s="115" t="s">
        <v>705</v>
      </c>
      <c r="K477" s="2" t="s">
        <v>84</v>
      </c>
      <c r="L477" s="2">
        <v>0</v>
      </c>
      <c r="M477" s="2" t="s">
        <v>84</v>
      </c>
      <c r="N477" s="2" t="s">
        <v>84</v>
      </c>
      <c r="O477" s="2" t="s">
        <v>841</v>
      </c>
      <c r="P477" s="2" t="s">
        <v>712</v>
      </c>
    </row>
    <row r="478" spans="1:16" ht="21" customHeight="1" x14ac:dyDescent="0.15">
      <c r="A478" s="10" t="str">
        <f t="shared" si="79"/>
        <v>321_10_5_10_polygon</v>
      </c>
      <c r="B478" s="2">
        <v>321</v>
      </c>
      <c r="C478" s="30" t="str">
        <f>VLOOKUP(B478,gachas!A:C,3)&amp;E478&amp;"回目"</f>
        <v>ステップアップフィーバー&lt;4月頭&gt;5回目</v>
      </c>
      <c r="D478" s="21">
        <v>10</v>
      </c>
      <c r="E478" s="2">
        <v>5</v>
      </c>
      <c r="F478" s="2">
        <v>10</v>
      </c>
      <c r="G478" s="3" t="s">
        <v>22</v>
      </c>
      <c r="H478" s="2">
        <v>50</v>
      </c>
      <c r="I478" s="114" t="str">
        <f>B478&amp;TEXT(D478,"00")&amp;E478</f>
        <v>321105</v>
      </c>
      <c r="J478" s="115" t="s">
        <v>84</v>
      </c>
      <c r="K478" s="2" t="str">
        <f>B478&amp;TEXT(D478,"00")&amp;E478</f>
        <v>321105</v>
      </c>
      <c r="L478" s="2">
        <v>1</v>
      </c>
      <c r="M478" s="2" t="s">
        <v>84</v>
      </c>
      <c r="N478" s="2" t="s">
        <v>84</v>
      </c>
      <c r="O478" s="2" t="s">
        <v>841</v>
      </c>
      <c r="P478" s="2" t="s">
        <v>713</v>
      </c>
    </row>
    <row r="479" spans="1:16" ht="21" customHeight="1" x14ac:dyDescent="0.15">
      <c r="A479" s="10" t="str">
        <f t="shared" si="79"/>
        <v>321_10_6_1_polygon</v>
      </c>
      <c r="B479" s="2">
        <v>321</v>
      </c>
      <c r="C479" s="30" t="str">
        <f>VLOOKUP(B479,gachas!A:C,3)&amp;E479&amp;"回目"</f>
        <v>ステップアップフィーバー&lt;4月頭&gt;6回目</v>
      </c>
      <c r="D479" s="21">
        <v>10</v>
      </c>
      <c r="E479" s="2">
        <v>6</v>
      </c>
      <c r="F479" s="17">
        <f t="shared" ref="F479" si="81">F474</f>
        <v>1</v>
      </c>
      <c r="G479" s="17" t="str">
        <f t="shared" ref="G479:P479" si="82">G474</f>
        <v>polygon</v>
      </c>
      <c r="H479" s="17">
        <f t="shared" si="82"/>
        <v>3</v>
      </c>
      <c r="I479" s="120" t="str">
        <f t="shared" si="82"/>
        <v>321101</v>
      </c>
      <c r="J479" s="120" t="str">
        <f t="shared" si="82"/>
        <v>null</v>
      </c>
      <c r="K479" s="17" t="str">
        <f t="shared" si="82"/>
        <v>null</v>
      </c>
      <c r="L479" s="17">
        <f t="shared" si="82"/>
        <v>0</v>
      </c>
      <c r="M479" s="17" t="str">
        <f t="shared" si="82"/>
        <v>null</v>
      </c>
      <c r="N479" s="17" t="str">
        <f t="shared" si="82"/>
        <v>null</v>
      </c>
      <c r="O479" s="2" t="s">
        <v>841</v>
      </c>
      <c r="P479" s="17" t="str">
        <f t="shared" si="82"/>
        <v>tips_stepup_01.png</v>
      </c>
    </row>
    <row r="480" spans="1:16" ht="21" customHeight="1" x14ac:dyDescent="0.15">
      <c r="A480" s="10" t="str">
        <f t="shared" si="79"/>
        <v>321_10_7_3_polygon</v>
      </c>
      <c r="B480" s="2">
        <v>321</v>
      </c>
      <c r="C480" s="30" t="str">
        <f>VLOOKUP(B480,gachas!A:C,3)&amp;E480&amp;"回目"</f>
        <v>ステップアップフィーバー&lt;4月頭&gt;7回目</v>
      </c>
      <c r="D480" s="21">
        <v>10</v>
      </c>
      <c r="E480" s="2">
        <v>7</v>
      </c>
      <c r="F480" s="17">
        <f t="shared" ref="F480" si="83">F475</f>
        <v>3</v>
      </c>
      <c r="G480" s="17" t="str">
        <f t="shared" ref="G480:P480" si="84">G475</f>
        <v>polygon</v>
      </c>
      <c r="H480" s="17">
        <f t="shared" si="84"/>
        <v>9</v>
      </c>
      <c r="I480" s="120" t="str">
        <f t="shared" si="84"/>
        <v>321102</v>
      </c>
      <c r="J480" s="120" t="str">
        <f t="shared" si="84"/>
        <v>null</v>
      </c>
      <c r="K480" s="17" t="str">
        <f t="shared" si="84"/>
        <v>null</v>
      </c>
      <c r="L480" s="17">
        <f t="shared" si="84"/>
        <v>0</v>
      </c>
      <c r="M480" s="17" t="str">
        <f t="shared" si="84"/>
        <v>null</v>
      </c>
      <c r="N480" s="17" t="str">
        <f t="shared" si="84"/>
        <v>null</v>
      </c>
      <c r="O480" s="2" t="s">
        <v>841</v>
      </c>
      <c r="P480" s="17" t="str">
        <f t="shared" si="84"/>
        <v>tips_stepup_02.png</v>
      </c>
    </row>
    <row r="481" spans="1:16" ht="21" customHeight="1" x14ac:dyDescent="0.15">
      <c r="A481" s="10" t="str">
        <f t="shared" si="79"/>
        <v>321_10_8_5_polygon</v>
      </c>
      <c r="B481" s="2">
        <v>321</v>
      </c>
      <c r="C481" s="30" t="str">
        <f>VLOOKUP(B481,gachas!A:C,3)&amp;E481&amp;"回目"</f>
        <v>ステップアップフィーバー&lt;4月頭&gt;8回目</v>
      </c>
      <c r="D481" s="21">
        <v>10</v>
      </c>
      <c r="E481" s="2">
        <v>8</v>
      </c>
      <c r="F481" s="17">
        <f t="shared" ref="F481" si="85">F476</f>
        <v>5</v>
      </c>
      <c r="G481" s="17" t="str">
        <f t="shared" ref="G481:P481" si="86">G476</f>
        <v>polygon</v>
      </c>
      <c r="H481" s="17">
        <f t="shared" si="86"/>
        <v>25</v>
      </c>
      <c r="I481" s="120" t="str">
        <f t="shared" si="86"/>
        <v>321103</v>
      </c>
      <c r="J481" s="120" t="str">
        <f t="shared" si="86"/>
        <v>null</v>
      </c>
      <c r="K481" s="17" t="str">
        <f t="shared" si="86"/>
        <v>321103</v>
      </c>
      <c r="L481" s="17">
        <f t="shared" si="86"/>
        <v>2</v>
      </c>
      <c r="M481" s="17" t="str">
        <f t="shared" si="86"/>
        <v>null</v>
      </c>
      <c r="N481" s="17" t="str">
        <f t="shared" si="86"/>
        <v>null</v>
      </c>
      <c r="O481" s="2" t="s">
        <v>841</v>
      </c>
      <c r="P481" s="17" t="str">
        <f t="shared" si="86"/>
        <v>tips_stepup_03.png</v>
      </c>
    </row>
    <row r="482" spans="1:16" ht="21" customHeight="1" x14ac:dyDescent="0.15">
      <c r="A482" s="10" t="str">
        <f t="shared" si="79"/>
        <v>321_10_9_10_polygon</v>
      </c>
      <c r="B482" s="2">
        <v>321</v>
      </c>
      <c r="C482" s="30" t="str">
        <f>VLOOKUP(B482,gachas!A:C,3)&amp;E482&amp;"回目"</f>
        <v>ステップアップフィーバー&lt;4月頭&gt;9回目</v>
      </c>
      <c r="D482" s="21">
        <v>10</v>
      </c>
      <c r="E482" s="2">
        <v>9</v>
      </c>
      <c r="F482" s="17">
        <f t="shared" ref="F482" si="87">F477</f>
        <v>10</v>
      </c>
      <c r="G482" s="17" t="str">
        <f t="shared" ref="G482:P482" si="88">G477</f>
        <v>polygon</v>
      </c>
      <c r="H482" s="17">
        <f t="shared" si="88"/>
        <v>25</v>
      </c>
      <c r="I482" s="120" t="str">
        <f t="shared" si="88"/>
        <v>321104</v>
      </c>
      <c r="J482" s="120" t="str">
        <f t="shared" si="88"/>
        <v>null</v>
      </c>
      <c r="K482" s="17" t="str">
        <f t="shared" si="88"/>
        <v>null</v>
      </c>
      <c r="L482" s="17">
        <f t="shared" si="88"/>
        <v>0</v>
      </c>
      <c r="M482" s="17" t="str">
        <f t="shared" si="88"/>
        <v>null</v>
      </c>
      <c r="N482" s="17" t="str">
        <f t="shared" si="88"/>
        <v>null</v>
      </c>
      <c r="O482" s="2" t="s">
        <v>841</v>
      </c>
      <c r="P482" s="17" t="str">
        <f t="shared" si="88"/>
        <v>tips_stepup_04.png</v>
      </c>
    </row>
    <row r="483" spans="1:16" ht="21" customHeight="1" x14ac:dyDescent="0.15">
      <c r="A483" s="10" t="str">
        <f t="shared" si="79"/>
        <v>321_10_10_10_polygon</v>
      </c>
      <c r="B483" s="2">
        <v>321</v>
      </c>
      <c r="C483" s="30" t="str">
        <f>VLOOKUP(B483,gachas!A:C,3)&amp;E483&amp;"回目"</f>
        <v>ステップアップフィーバー&lt;4月頭&gt;10回目</v>
      </c>
      <c r="D483" s="21">
        <v>10</v>
      </c>
      <c r="E483" s="2">
        <v>10</v>
      </c>
      <c r="F483" s="17">
        <f t="shared" ref="F483" si="89">F478</f>
        <v>10</v>
      </c>
      <c r="G483" s="17" t="str">
        <f t="shared" ref="G483:P483" si="90">G478</f>
        <v>polygon</v>
      </c>
      <c r="H483" s="17">
        <f t="shared" si="90"/>
        <v>50</v>
      </c>
      <c r="I483" s="120" t="str">
        <f t="shared" si="90"/>
        <v>321105</v>
      </c>
      <c r="J483" s="120" t="str">
        <f t="shared" si="90"/>
        <v>null</v>
      </c>
      <c r="K483" s="17" t="str">
        <f t="shared" si="90"/>
        <v>321105</v>
      </c>
      <c r="L483" s="17">
        <f t="shared" si="90"/>
        <v>1</v>
      </c>
      <c r="M483" s="17" t="str">
        <f t="shared" si="90"/>
        <v>null</v>
      </c>
      <c r="N483" s="17" t="str">
        <f t="shared" si="90"/>
        <v>null</v>
      </c>
      <c r="O483" s="2" t="s">
        <v>841</v>
      </c>
      <c r="P483" s="17" t="str">
        <f t="shared" si="90"/>
        <v>tips_stepup_05.png</v>
      </c>
    </row>
    <row r="484" spans="1:16" ht="21" customHeight="1" x14ac:dyDescent="0.15">
      <c r="A484" s="10" t="str">
        <f t="shared" si="79"/>
        <v>321_10_11_1_polygon</v>
      </c>
      <c r="B484" s="2">
        <v>321</v>
      </c>
      <c r="C484" s="30" t="str">
        <f>VLOOKUP(B484,gachas!A:C,3)&amp;E484&amp;"回目"</f>
        <v>ステップアップフィーバー&lt;4月頭&gt;11回目</v>
      </c>
      <c r="D484" s="21">
        <v>10</v>
      </c>
      <c r="E484" s="2">
        <v>11</v>
      </c>
      <c r="F484" s="17">
        <f t="shared" ref="F484:P484" si="91">F479</f>
        <v>1</v>
      </c>
      <c r="G484" s="17" t="str">
        <f t="shared" si="91"/>
        <v>polygon</v>
      </c>
      <c r="H484" s="17">
        <f t="shared" si="91"/>
        <v>3</v>
      </c>
      <c r="I484" s="120" t="str">
        <f t="shared" si="91"/>
        <v>321101</v>
      </c>
      <c r="J484" s="120" t="str">
        <f t="shared" si="91"/>
        <v>null</v>
      </c>
      <c r="K484" s="17" t="str">
        <f t="shared" si="91"/>
        <v>null</v>
      </c>
      <c r="L484" s="17">
        <f t="shared" si="91"/>
        <v>0</v>
      </c>
      <c r="M484" s="17" t="str">
        <f t="shared" si="91"/>
        <v>null</v>
      </c>
      <c r="N484" s="17" t="str">
        <f t="shared" si="91"/>
        <v>null</v>
      </c>
      <c r="O484" s="2" t="s">
        <v>841</v>
      </c>
      <c r="P484" s="17" t="str">
        <f t="shared" si="91"/>
        <v>tips_stepup_01.png</v>
      </c>
    </row>
    <row r="485" spans="1:16" ht="21" customHeight="1" x14ac:dyDescent="0.15">
      <c r="A485" s="10" t="str">
        <f t="shared" si="79"/>
        <v>321_10_12_3_polygon</v>
      </c>
      <c r="B485" s="2">
        <v>321</v>
      </c>
      <c r="C485" s="30" t="str">
        <f>VLOOKUP(B485,gachas!A:C,3)&amp;E485&amp;"回目"</f>
        <v>ステップアップフィーバー&lt;4月頭&gt;12回目</v>
      </c>
      <c r="D485" s="21">
        <v>10</v>
      </c>
      <c r="E485" s="2">
        <v>12</v>
      </c>
      <c r="F485" s="17">
        <f t="shared" ref="F485:P485" si="92">F480</f>
        <v>3</v>
      </c>
      <c r="G485" s="17" t="str">
        <f t="shared" si="92"/>
        <v>polygon</v>
      </c>
      <c r="H485" s="17">
        <f t="shared" si="92"/>
        <v>9</v>
      </c>
      <c r="I485" s="120" t="str">
        <f t="shared" si="92"/>
        <v>321102</v>
      </c>
      <c r="J485" s="120" t="str">
        <f t="shared" si="92"/>
        <v>null</v>
      </c>
      <c r="K485" s="17" t="str">
        <f t="shared" si="92"/>
        <v>null</v>
      </c>
      <c r="L485" s="17">
        <f t="shared" si="92"/>
        <v>0</v>
      </c>
      <c r="M485" s="17" t="str">
        <f t="shared" si="92"/>
        <v>null</v>
      </c>
      <c r="N485" s="17" t="str">
        <f t="shared" si="92"/>
        <v>null</v>
      </c>
      <c r="O485" s="2" t="s">
        <v>841</v>
      </c>
      <c r="P485" s="17" t="str">
        <f t="shared" si="92"/>
        <v>tips_stepup_02.png</v>
      </c>
    </row>
    <row r="486" spans="1:16" ht="21" customHeight="1" x14ac:dyDescent="0.15">
      <c r="A486" s="10" t="str">
        <f t="shared" si="79"/>
        <v>321_10_13_5_polygon</v>
      </c>
      <c r="B486" s="2">
        <v>321</v>
      </c>
      <c r="C486" s="30" t="str">
        <f>VLOOKUP(B486,gachas!A:C,3)&amp;E486&amp;"回目"</f>
        <v>ステップアップフィーバー&lt;4月頭&gt;13回目</v>
      </c>
      <c r="D486" s="21">
        <v>10</v>
      </c>
      <c r="E486" s="2">
        <v>13</v>
      </c>
      <c r="F486" s="17">
        <f t="shared" ref="F486:P486" si="93">F481</f>
        <v>5</v>
      </c>
      <c r="G486" s="17" t="str">
        <f t="shared" si="93"/>
        <v>polygon</v>
      </c>
      <c r="H486" s="17">
        <f t="shared" si="93"/>
        <v>25</v>
      </c>
      <c r="I486" s="120" t="str">
        <f t="shared" si="93"/>
        <v>321103</v>
      </c>
      <c r="J486" s="120" t="str">
        <f t="shared" si="93"/>
        <v>null</v>
      </c>
      <c r="K486" s="17" t="str">
        <f t="shared" si="93"/>
        <v>321103</v>
      </c>
      <c r="L486" s="17">
        <f t="shared" si="93"/>
        <v>2</v>
      </c>
      <c r="M486" s="17" t="str">
        <f t="shared" si="93"/>
        <v>null</v>
      </c>
      <c r="N486" s="17" t="str">
        <f t="shared" si="93"/>
        <v>null</v>
      </c>
      <c r="O486" s="2" t="s">
        <v>841</v>
      </c>
      <c r="P486" s="17" t="str">
        <f t="shared" si="93"/>
        <v>tips_stepup_03.png</v>
      </c>
    </row>
    <row r="487" spans="1:16" ht="21" customHeight="1" x14ac:dyDescent="0.15">
      <c r="A487" s="10" t="str">
        <f t="shared" si="79"/>
        <v>321_10_14_10_polygon</v>
      </c>
      <c r="B487" s="2">
        <v>321</v>
      </c>
      <c r="C487" s="30" t="str">
        <f>VLOOKUP(B487,gachas!A:C,3)&amp;E487&amp;"回目"</f>
        <v>ステップアップフィーバー&lt;4月頭&gt;14回目</v>
      </c>
      <c r="D487" s="21">
        <v>10</v>
      </c>
      <c r="E487" s="2">
        <v>14</v>
      </c>
      <c r="F487" s="17">
        <f t="shared" ref="F487:P487" si="94">F482</f>
        <v>10</v>
      </c>
      <c r="G487" s="17" t="str">
        <f t="shared" si="94"/>
        <v>polygon</v>
      </c>
      <c r="H487" s="17">
        <f t="shared" si="94"/>
        <v>25</v>
      </c>
      <c r="I487" s="120" t="str">
        <f t="shared" si="94"/>
        <v>321104</v>
      </c>
      <c r="J487" s="120" t="str">
        <f t="shared" si="94"/>
        <v>null</v>
      </c>
      <c r="K487" s="17" t="str">
        <f t="shared" si="94"/>
        <v>null</v>
      </c>
      <c r="L487" s="17">
        <f t="shared" si="94"/>
        <v>0</v>
      </c>
      <c r="M487" s="17" t="str">
        <f t="shared" si="94"/>
        <v>null</v>
      </c>
      <c r="N487" s="17" t="str">
        <f t="shared" si="94"/>
        <v>null</v>
      </c>
      <c r="O487" s="2" t="s">
        <v>841</v>
      </c>
      <c r="P487" s="17" t="str">
        <f t="shared" si="94"/>
        <v>tips_stepup_04.png</v>
      </c>
    </row>
    <row r="488" spans="1:16" ht="21" customHeight="1" x14ac:dyDescent="0.15">
      <c r="A488" s="10" t="str">
        <f t="shared" si="79"/>
        <v>321_10_15_10_polygon</v>
      </c>
      <c r="B488" s="2">
        <v>321</v>
      </c>
      <c r="C488" s="30" t="str">
        <f>VLOOKUP(B488,gachas!A:C,3)&amp;E488&amp;"回目"</f>
        <v>ステップアップフィーバー&lt;4月頭&gt;15回目</v>
      </c>
      <c r="D488" s="21">
        <v>10</v>
      </c>
      <c r="E488" s="2">
        <v>15</v>
      </c>
      <c r="F488" s="17">
        <f t="shared" ref="F488:P488" si="95">F483</f>
        <v>10</v>
      </c>
      <c r="G488" s="17" t="str">
        <f t="shared" si="95"/>
        <v>polygon</v>
      </c>
      <c r="H488" s="17">
        <f t="shared" si="95"/>
        <v>50</v>
      </c>
      <c r="I488" s="120" t="str">
        <f t="shared" si="95"/>
        <v>321105</v>
      </c>
      <c r="J488" s="120" t="str">
        <f t="shared" si="95"/>
        <v>null</v>
      </c>
      <c r="K488" s="17" t="str">
        <f t="shared" si="95"/>
        <v>321105</v>
      </c>
      <c r="L488" s="17">
        <f t="shared" si="95"/>
        <v>1</v>
      </c>
      <c r="M488" s="17" t="str">
        <f t="shared" si="95"/>
        <v>null</v>
      </c>
      <c r="N488" s="17" t="str">
        <f t="shared" si="95"/>
        <v>null</v>
      </c>
      <c r="O488" s="2" t="s">
        <v>841</v>
      </c>
      <c r="P488" s="17" t="str">
        <f t="shared" si="95"/>
        <v>tips_stepup_05.png</v>
      </c>
    </row>
    <row r="489" spans="1:16" ht="21" customHeight="1" x14ac:dyDescent="0.15">
      <c r="A489" s="10" t="str">
        <f t="shared" si="79"/>
        <v>321_10_0_10_polygon</v>
      </c>
      <c r="B489" s="2">
        <v>321</v>
      </c>
      <c r="C489" s="30" t="str">
        <f>VLOOKUP(B489,gachas!A:C,3)&amp;"周回終了"</f>
        <v>ステップアップフィーバー&lt;4月頭&gt;周回終了</v>
      </c>
      <c r="D489" s="21">
        <v>10</v>
      </c>
      <c r="E489" s="2">
        <v>0</v>
      </c>
      <c r="F489" s="2">
        <v>10</v>
      </c>
      <c r="G489" s="3" t="s">
        <v>22</v>
      </c>
      <c r="H489" s="2">
        <v>50</v>
      </c>
      <c r="I489" s="121" t="s">
        <v>706</v>
      </c>
      <c r="J489" s="112" t="s">
        <v>84</v>
      </c>
      <c r="K489" s="2" t="s">
        <v>84</v>
      </c>
      <c r="L489" s="2">
        <v>0</v>
      </c>
      <c r="M489" s="2" t="s">
        <v>84</v>
      </c>
      <c r="N489" s="2" t="s">
        <v>84</v>
      </c>
      <c r="O489" s="2" t="s">
        <v>841</v>
      </c>
      <c r="P489" s="2" t="s">
        <v>538</v>
      </c>
    </row>
    <row r="490" spans="1:16" ht="21" customHeight="1" x14ac:dyDescent="0.15">
      <c r="A490" s="10" t="str">
        <f t="shared" si="79"/>
        <v>322_1_0_1_polygon</v>
      </c>
      <c r="B490" s="2">
        <v>322</v>
      </c>
      <c r="C490" s="30" t="str">
        <f>VLOOKUP(B490,gachas!A:C,3)</f>
        <v>ピックアップフィーバー&lt;ランス&amp;近藤&gt;</v>
      </c>
      <c r="D490" s="21">
        <v>1</v>
      </c>
      <c r="E490" s="2">
        <v>0</v>
      </c>
      <c r="F490" s="2">
        <v>1</v>
      </c>
      <c r="G490" s="3" t="s">
        <v>22</v>
      </c>
      <c r="H490" s="2">
        <v>5</v>
      </c>
      <c r="I490" s="114" t="str">
        <f>B490&amp;TEXT(D490,"00")&amp;E490</f>
        <v>322010</v>
      </c>
      <c r="J490" s="112" t="s">
        <v>84</v>
      </c>
      <c r="K490" s="2" t="s">
        <v>84</v>
      </c>
      <c r="L490" s="2">
        <v>0</v>
      </c>
      <c r="M490" s="2" t="s">
        <v>84</v>
      </c>
      <c r="N490" s="2" t="s">
        <v>84</v>
      </c>
      <c r="O490" s="2" t="s">
        <v>841</v>
      </c>
      <c r="P490" s="2" t="s">
        <v>84</v>
      </c>
    </row>
    <row r="491" spans="1:16" ht="21" customHeight="1" x14ac:dyDescent="0.15">
      <c r="A491" s="10" t="str">
        <f t="shared" si="79"/>
        <v>322_10_1_10_polygon</v>
      </c>
      <c r="B491" s="2">
        <v>322</v>
      </c>
      <c r="C491" s="30" t="str">
        <f>VLOOKUP(B491,gachas!A:C,3)</f>
        <v>ピックアップフィーバー&lt;ランス&amp;近藤&gt;</v>
      </c>
      <c r="D491" s="21">
        <v>10</v>
      </c>
      <c r="E491" s="2">
        <v>1</v>
      </c>
      <c r="F491" s="2">
        <v>10</v>
      </c>
      <c r="G491" s="3" t="s">
        <v>22</v>
      </c>
      <c r="H491" s="2">
        <v>15</v>
      </c>
      <c r="I491" s="119" t="str">
        <f>I493</f>
        <v>322100</v>
      </c>
      <c r="J491" s="112" t="s">
        <v>84</v>
      </c>
      <c r="K491" s="2" t="s">
        <v>84</v>
      </c>
      <c r="L491" s="2">
        <v>0</v>
      </c>
      <c r="M491" s="2" t="s">
        <v>84</v>
      </c>
      <c r="N491" s="2" t="s">
        <v>84</v>
      </c>
      <c r="O491" s="2" t="s">
        <v>841</v>
      </c>
      <c r="P491" s="2" t="s">
        <v>547</v>
      </c>
    </row>
    <row r="492" spans="1:16" ht="21" customHeight="1" x14ac:dyDescent="0.15">
      <c r="A492" s="10" t="str">
        <f t="shared" ref="A492" si="96">B492&amp;"_"&amp;D492&amp;"_"&amp;E492&amp;"_"&amp;F492&amp;"_"&amp;G492</f>
        <v>322_10_2_10_polygon</v>
      </c>
      <c r="B492" s="2">
        <v>322</v>
      </c>
      <c r="C492" s="30" t="str">
        <f>VLOOKUP(B492,gachas!A:C,3)</f>
        <v>ピックアップフィーバー&lt;ランス&amp;近藤&gt;</v>
      </c>
      <c r="D492" s="21">
        <v>10</v>
      </c>
      <c r="E492" s="2">
        <v>2</v>
      </c>
      <c r="F492" s="2">
        <v>10</v>
      </c>
      <c r="G492" s="3" t="s">
        <v>22</v>
      </c>
      <c r="H492" s="2">
        <v>25</v>
      </c>
      <c r="I492" s="119" t="str">
        <f>I493</f>
        <v>322100</v>
      </c>
      <c r="J492" s="112" t="s">
        <v>84</v>
      </c>
      <c r="K492" s="2" t="s">
        <v>84</v>
      </c>
      <c r="L492" s="2">
        <v>0</v>
      </c>
      <c r="M492" s="2" t="s">
        <v>84</v>
      </c>
      <c r="N492" s="2" t="s">
        <v>84</v>
      </c>
      <c r="O492" s="2" t="s">
        <v>841</v>
      </c>
      <c r="P492" s="59" t="s">
        <v>602</v>
      </c>
    </row>
    <row r="493" spans="1:16" ht="21" customHeight="1" x14ac:dyDescent="0.15">
      <c r="A493" s="10" t="str">
        <f t="shared" si="79"/>
        <v>322_10_0_10_polygon</v>
      </c>
      <c r="B493" s="2">
        <v>322</v>
      </c>
      <c r="C493" s="30" t="str">
        <f>VLOOKUP(B493,gachas!A:C,3)</f>
        <v>ピックアップフィーバー&lt;ランス&amp;近藤&gt;</v>
      </c>
      <c r="D493" s="21">
        <v>10</v>
      </c>
      <c r="E493" s="2">
        <v>0</v>
      </c>
      <c r="F493" s="2">
        <v>10</v>
      </c>
      <c r="G493" s="3" t="s">
        <v>22</v>
      </c>
      <c r="H493" s="2">
        <v>50</v>
      </c>
      <c r="I493" s="114" t="str">
        <f t="shared" ref="I493:I494" si="97">B493&amp;TEXT(D493,"00")&amp;E493</f>
        <v>322100</v>
      </c>
      <c r="J493" s="112" t="s">
        <v>84</v>
      </c>
      <c r="K493" s="2" t="s">
        <v>84</v>
      </c>
      <c r="L493" s="2">
        <v>0</v>
      </c>
      <c r="M493" s="2" t="s">
        <v>84</v>
      </c>
      <c r="N493" s="2" t="s">
        <v>84</v>
      </c>
      <c r="O493" s="2" t="s">
        <v>841</v>
      </c>
      <c r="P493" s="2" t="s">
        <v>143</v>
      </c>
    </row>
    <row r="494" spans="1:16" ht="21" customHeight="1" x14ac:dyDescent="0.15">
      <c r="A494" s="10" t="str">
        <f t="shared" ref="A494:A498" si="98">B494&amp;"_"&amp;D494&amp;"_"&amp;E494&amp;"_"&amp;F494&amp;"_"&amp;G494</f>
        <v>323_1_0_1_polygon</v>
      </c>
      <c r="B494" s="2">
        <v>323</v>
      </c>
      <c r="C494" s="30" t="str">
        <f>VLOOKUP(B494,gachas!A:C,3)</f>
        <v>イエローフェス&lt;5月フーリエ&gt;</v>
      </c>
      <c r="D494" s="21">
        <v>1</v>
      </c>
      <c r="E494" s="2">
        <v>0</v>
      </c>
      <c r="F494" s="2">
        <v>1</v>
      </c>
      <c r="G494" s="3" t="s">
        <v>22</v>
      </c>
      <c r="H494" s="2">
        <v>5</v>
      </c>
      <c r="I494" s="114" t="str">
        <f t="shared" si="97"/>
        <v>323010</v>
      </c>
      <c r="J494" s="112" t="s">
        <v>84</v>
      </c>
      <c r="K494" s="2" t="s">
        <v>84</v>
      </c>
      <c r="L494" s="2">
        <v>0</v>
      </c>
      <c r="M494" s="2" t="s">
        <v>84</v>
      </c>
      <c r="N494" s="2" t="s">
        <v>84</v>
      </c>
      <c r="O494" s="2" t="s">
        <v>841</v>
      </c>
      <c r="P494" s="2" t="s">
        <v>84</v>
      </c>
    </row>
    <row r="495" spans="1:16" ht="21" customHeight="1" x14ac:dyDescent="0.15">
      <c r="A495" s="10" t="str">
        <f t="shared" si="98"/>
        <v>323_10_0_10_polygon</v>
      </c>
      <c r="B495" s="2">
        <v>323</v>
      </c>
      <c r="C495" s="30" t="str">
        <f>VLOOKUP(B495,gachas!A:C,3)</f>
        <v>イエローフェス&lt;5月フーリエ&gt;</v>
      </c>
      <c r="D495" s="21">
        <v>10</v>
      </c>
      <c r="E495" s="2">
        <v>0</v>
      </c>
      <c r="F495" s="2">
        <v>10</v>
      </c>
      <c r="G495" s="3" t="s">
        <v>22</v>
      </c>
      <c r="H495" s="2">
        <v>50</v>
      </c>
      <c r="I495" s="114" t="str">
        <f>B495&amp;TEXT(D495,"00")&amp;E495</f>
        <v>323100</v>
      </c>
      <c r="J495" s="112" t="s">
        <v>84</v>
      </c>
      <c r="K495" s="2" t="str">
        <f>B495&amp;TEXT(D495,"00")&amp;E495</f>
        <v>323100</v>
      </c>
      <c r="L495" s="2">
        <v>1</v>
      </c>
      <c r="M495" s="2" t="s">
        <v>84</v>
      </c>
      <c r="N495" s="2" t="s">
        <v>84</v>
      </c>
      <c r="O495" s="2" t="s">
        <v>841</v>
      </c>
      <c r="P495" s="2" t="s">
        <v>517</v>
      </c>
    </row>
    <row r="496" spans="1:16" ht="21" customHeight="1" x14ac:dyDescent="0.15">
      <c r="A496" s="10" t="str">
        <f t="shared" si="98"/>
        <v>324_1_0_1_polygon</v>
      </c>
      <c r="B496" s="2">
        <v>324</v>
      </c>
      <c r="C496" s="30" t="str">
        <f>VLOOKUP(B496,gachas!A:C,3)</f>
        <v>★6開放記念ガチャ&lt;オイフォイ&gt;</v>
      </c>
      <c r="D496" s="21">
        <v>1</v>
      </c>
      <c r="E496" s="2">
        <v>0</v>
      </c>
      <c r="F496" s="2">
        <v>1</v>
      </c>
      <c r="G496" s="3" t="s">
        <v>22</v>
      </c>
      <c r="H496" s="2">
        <v>5</v>
      </c>
      <c r="I496" s="114" t="str">
        <f>B496&amp;TEXT(D496,"00")&amp;E496</f>
        <v>324010</v>
      </c>
      <c r="J496" s="112" t="s">
        <v>84</v>
      </c>
      <c r="K496" s="2" t="s">
        <v>84</v>
      </c>
      <c r="L496" s="2">
        <v>0</v>
      </c>
      <c r="M496" s="2" t="s">
        <v>84</v>
      </c>
      <c r="N496" s="2" t="s">
        <v>84</v>
      </c>
      <c r="O496" s="2" t="s">
        <v>841</v>
      </c>
      <c r="P496" s="2" t="s">
        <v>84</v>
      </c>
    </row>
    <row r="497" spans="1:16" ht="21" customHeight="1" x14ac:dyDescent="0.15">
      <c r="A497" s="10" t="str">
        <f t="shared" si="98"/>
        <v>324_10_1_10_polygon</v>
      </c>
      <c r="B497" s="2">
        <v>324</v>
      </c>
      <c r="C497" s="30" t="str">
        <f>VLOOKUP(B497,gachas!A:C,3)</f>
        <v>★6開放記念ガチャ&lt;オイフォイ&gt;</v>
      </c>
      <c r="D497" s="21">
        <v>10</v>
      </c>
      <c r="E497" s="2">
        <v>1</v>
      </c>
      <c r="F497" s="2">
        <v>10</v>
      </c>
      <c r="G497" s="3" t="s">
        <v>22</v>
      </c>
      <c r="H497" s="2">
        <v>25</v>
      </c>
      <c r="I497" s="119" t="str">
        <f>I498</f>
        <v>324100</v>
      </c>
      <c r="J497" s="112" t="s">
        <v>84</v>
      </c>
      <c r="K497" s="2" t="s">
        <v>84</v>
      </c>
      <c r="L497" s="2">
        <v>0</v>
      </c>
      <c r="M497" s="2" t="s">
        <v>84</v>
      </c>
      <c r="N497" s="2" t="s">
        <v>84</v>
      </c>
      <c r="O497" s="2" t="s">
        <v>841</v>
      </c>
      <c r="P497" s="59" t="s">
        <v>602</v>
      </c>
    </row>
    <row r="498" spans="1:16" ht="22" customHeight="1" x14ac:dyDescent="0.15">
      <c r="A498" s="10" t="str">
        <f t="shared" si="98"/>
        <v>324_10_0_10_polygon</v>
      </c>
      <c r="B498" s="2">
        <v>324</v>
      </c>
      <c r="C498" s="30" t="str">
        <f>VLOOKUP(B498,gachas!A:C,3)</f>
        <v>★6開放記念ガチャ&lt;オイフォイ&gt;</v>
      </c>
      <c r="D498" s="21">
        <v>10</v>
      </c>
      <c r="E498" s="2">
        <v>0</v>
      </c>
      <c r="F498" s="2">
        <v>10</v>
      </c>
      <c r="G498" s="3" t="s">
        <v>22</v>
      </c>
      <c r="H498" s="2">
        <v>50</v>
      </c>
      <c r="I498" s="114" t="str">
        <f>B498&amp;TEXT(D498,"00")&amp;E498</f>
        <v>324100</v>
      </c>
      <c r="J498" s="112" t="s">
        <v>84</v>
      </c>
      <c r="K498" s="2" t="s">
        <v>84</v>
      </c>
      <c r="L498" s="2">
        <v>0</v>
      </c>
      <c r="M498" s="2" t="s">
        <v>84</v>
      </c>
      <c r="N498" s="2" t="s">
        <v>84</v>
      </c>
      <c r="O498" s="2" t="s">
        <v>841</v>
      </c>
      <c r="P498" s="2" t="s">
        <v>143</v>
      </c>
    </row>
    <row r="499" spans="1:16" ht="21" customHeight="1" x14ac:dyDescent="0.15">
      <c r="A499" s="10" t="str">
        <f t="shared" ref="A499:A514" si="99">B499&amp;"_"&amp;D499&amp;"_"&amp;E499&amp;"_"&amp;F499&amp;"_"&amp;G499</f>
        <v>325_10_1_1_polygon</v>
      </c>
      <c r="B499" s="2">
        <v>325</v>
      </c>
      <c r="C499" s="30" t="str">
        <f>VLOOKUP(B499,gachas!A:C,3)</f>
        <v>ランキング対抗ガチャ&lt;ヘイウェイ&gt;</v>
      </c>
      <c r="D499" s="21">
        <v>10</v>
      </c>
      <c r="E499" s="2">
        <v>1</v>
      </c>
      <c r="F499" s="2">
        <v>1</v>
      </c>
      <c r="G499" s="3" t="s">
        <v>22</v>
      </c>
      <c r="H499" s="2">
        <v>1</v>
      </c>
      <c r="I499" s="114" t="str">
        <f>B499&amp;TEXT(D499,"00")&amp;E499</f>
        <v>325101</v>
      </c>
      <c r="J499" s="112" t="s">
        <v>84</v>
      </c>
      <c r="K499" s="2" t="s">
        <v>84</v>
      </c>
      <c r="L499" s="2">
        <v>0</v>
      </c>
      <c r="M499" s="2" t="s">
        <v>84</v>
      </c>
      <c r="N499" s="2" t="s">
        <v>84</v>
      </c>
      <c r="O499" s="2" t="s">
        <v>841</v>
      </c>
      <c r="P499" s="2" t="s">
        <v>546</v>
      </c>
    </row>
    <row r="500" spans="1:16" ht="21" customHeight="1" x14ac:dyDescent="0.15">
      <c r="A500" s="10" t="str">
        <f t="shared" si="99"/>
        <v>325_10_2_3_polygon</v>
      </c>
      <c r="B500" s="2">
        <v>325</v>
      </c>
      <c r="C500" s="30" t="str">
        <f>VLOOKUP(B500,gachas!A:C,3)</f>
        <v>ランキング対抗ガチャ&lt;ヘイウェイ&gt;</v>
      </c>
      <c r="D500" s="21">
        <v>10</v>
      </c>
      <c r="E500" s="2">
        <v>2</v>
      </c>
      <c r="F500" s="2">
        <v>3</v>
      </c>
      <c r="G500" s="3" t="s">
        <v>22</v>
      </c>
      <c r="H500" s="2">
        <v>9</v>
      </c>
      <c r="I500" s="119" t="str">
        <f>I499</f>
        <v>325101</v>
      </c>
      <c r="J500" s="112" t="s">
        <v>84</v>
      </c>
      <c r="K500" s="2" t="s">
        <v>84</v>
      </c>
      <c r="L500" s="2">
        <v>0</v>
      </c>
      <c r="M500" s="2" t="s">
        <v>84</v>
      </c>
      <c r="N500" s="2" t="s">
        <v>84</v>
      </c>
      <c r="O500" s="2" t="s">
        <v>841</v>
      </c>
      <c r="P500" s="2" t="s">
        <v>527</v>
      </c>
    </row>
    <row r="501" spans="1:16" ht="21" customHeight="1" x14ac:dyDescent="0.15">
      <c r="A501" s="10" t="str">
        <f t="shared" si="99"/>
        <v>325_10_3_10_polygon</v>
      </c>
      <c r="B501" s="2">
        <v>325</v>
      </c>
      <c r="C501" s="30" t="str">
        <f>VLOOKUP(B501,gachas!A:C,3)</f>
        <v>ランキング対抗ガチャ&lt;ヘイウェイ&gt;</v>
      </c>
      <c r="D501" s="21">
        <v>10</v>
      </c>
      <c r="E501" s="2">
        <v>3</v>
      </c>
      <c r="F501" s="2">
        <v>10</v>
      </c>
      <c r="G501" s="3" t="s">
        <v>22</v>
      </c>
      <c r="H501" s="2">
        <v>35</v>
      </c>
      <c r="I501" s="114" t="str">
        <f t="shared" ref="I501:I506" si="100">B501&amp;TEXT(D501,"00")&amp;E501</f>
        <v>325103</v>
      </c>
      <c r="J501" s="112" t="s">
        <v>84</v>
      </c>
      <c r="K501" s="6" t="str">
        <f>I501</f>
        <v>325103</v>
      </c>
      <c r="L501" s="2">
        <v>1</v>
      </c>
      <c r="M501" s="2" t="s">
        <v>84</v>
      </c>
      <c r="N501" s="2" t="s">
        <v>84</v>
      </c>
      <c r="O501" s="2" t="s">
        <v>841</v>
      </c>
      <c r="P501" s="2" t="s">
        <v>746</v>
      </c>
    </row>
    <row r="502" spans="1:16" ht="21" customHeight="1" x14ac:dyDescent="0.15">
      <c r="A502" s="10" t="str">
        <f t="shared" si="99"/>
        <v>325_10_4_10_polygon</v>
      </c>
      <c r="B502" s="2">
        <v>325</v>
      </c>
      <c r="C502" s="30" t="str">
        <f>VLOOKUP(B502,gachas!A:C,3)</f>
        <v>ランキング対抗ガチャ&lt;ヘイウェイ&gt;</v>
      </c>
      <c r="D502" s="21">
        <v>10</v>
      </c>
      <c r="E502" s="2">
        <v>4</v>
      </c>
      <c r="F502" s="2">
        <v>10</v>
      </c>
      <c r="G502" s="3" t="s">
        <v>22</v>
      </c>
      <c r="H502" s="2">
        <v>50</v>
      </c>
      <c r="I502" s="114" t="str">
        <f t="shared" si="100"/>
        <v>325104</v>
      </c>
      <c r="J502" s="122">
        <v>3250</v>
      </c>
      <c r="K502" s="2" t="s">
        <v>84</v>
      </c>
      <c r="L502" s="2">
        <v>0</v>
      </c>
      <c r="M502" s="2" t="s">
        <v>84</v>
      </c>
      <c r="N502" s="2" t="s">
        <v>84</v>
      </c>
      <c r="O502" s="2" t="s">
        <v>841</v>
      </c>
      <c r="P502" s="2" t="s">
        <v>743</v>
      </c>
    </row>
    <row r="503" spans="1:16" ht="21" customHeight="1" x14ac:dyDescent="0.15">
      <c r="A503" s="10" t="str">
        <f t="shared" si="99"/>
        <v>325_10_5_10_polygon</v>
      </c>
      <c r="B503" s="2">
        <v>325</v>
      </c>
      <c r="C503" s="30" t="str">
        <f>VLOOKUP(B503,gachas!A:C,3)</f>
        <v>ランキング対抗ガチャ&lt;ヘイウェイ&gt;</v>
      </c>
      <c r="D503" s="21">
        <v>10</v>
      </c>
      <c r="E503" s="2">
        <v>5</v>
      </c>
      <c r="F503" s="2">
        <v>10</v>
      </c>
      <c r="G503" s="3" t="s">
        <v>22</v>
      </c>
      <c r="H503" s="2">
        <v>50</v>
      </c>
      <c r="I503" s="114" t="str">
        <f t="shared" si="100"/>
        <v>325105</v>
      </c>
      <c r="J503" s="122">
        <v>3251</v>
      </c>
      <c r="K503" s="2" t="s">
        <v>84</v>
      </c>
      <c r="L503" s="2">
        <v>0</v>
      </c>
      <c r="M503" s="2" t="s">
        <v>84</v>
      </c>
      <c r="N503" s="2" t="s">
        <v>84</v>
      </c>
      <c r="O503" s="2" t="s">
        <v>841</v>
      </c>
      <c r="P503" s="2" t="s">
        <v>744</v>
      </c>
    </row>
    <row r="504" spans="1:16" ht="21" customHeight="1" x14ac:dyDescent="0.15">
      <c r="A504" s="10" t="str">
        <f t="shared" si="99"/>
        <v>325_10_0_10_polygon</v>
      </c>
      <c r="B504" s="2">
        <v>325</v>
      </c>
      <c r="C504" s="30" t="str">
        <f>VLOOKUP(B504,gachas!A:C,3)</f>
        <v>ランキング対抗ガチャ&lt;ヘイウェイ&gt;</v>
      </c>
      <c r="D504" s="21">
        <v>10</v>
      </c>
      <c r="E504" s="2">
        <v>0</v>
      </c>
      <c r="F504" s="2">
        <v>10</v>
      </c>
      <c r="G504" s="3" t="s">
        <v>22</v>
      </c>
      <c r="H504" s="2">
        <v>50</v>
      </c>
      <c r="I504" s="114" t="str">
        <f t="shared" si="100"/>
        <v>325100</v>
      </c>
      <c r="J504" s="112" t="s">
        <v>84</v>
      </c>
      <c r="K504" s="2" t="s">
        <v>84</v>
      </c>
      <c r="L504" s="2">
        <v>0</v>
      </c>
      <c r="M504" s="2" t="s">
        <v>84</v>
      </c>
      <c r="N504" s="2" t="s">
        <v>84</v>
      </c>
      <c r="O504" s="2" t="s">
        <v>841</v>
      </c>
      <c r="P504" s="2" t="s">
        <v>745</v>
      </c>
    </row>
    <row r="505" spans="1:16" ht="21" customHeight="1" x14ac:dyDescent="0.15">
      <c r="A505" s="10" t="str">
        <f t="shared" ref="A505" si="101">B505&amp;"_"&amp;D505&amp;"_"&amp;E505&amp;"_"&amp;F505&amp;"_"&amp;G505</f>
        <v>326_10_1_5_polygon</v>
      </c>
      <c r="B505" s="2">
        <v>326</v>
      </c>
      <c r="C505" s="30" t="str">
        <f>VLOOKUP(B505,gachas!A:C,3)</f>
        <v>新キャラ追加&lt;戦国&gt;</v>
      </c>
      <c r="D505" s="21">
        <v>10</v>
      </c>
      <c r="E505" s="2">
        <v>1</v>
      </c>
      <c r="F505" s="2">
        <v>5</v>
      </c>
      <c r="G505" s="3" t="s">
        <v>22</v>
      </c>
      <c r="H505" s="2">
        <v>25</v>
      </c>
      <c r="I505" s="119" t="str">
        <f>I506</f>
        <v>326100</v>
      </c>
      <c r="J505" s="112" t="s">
        <v>84</v>
      </c>
      <c r="K505" s="6" t="str">
        <f>I505</f>
        <v>326100</v>
      </c>
      <c r="L505" s="2">
        <v>1</v>
      </c>
      <c r="M505" s="2" t="s">
        <v>84</v>
      </c>
      <c r="N505" s="2" t="s">
        <v>84</v>
      </c>
      <c r="O505" s="2" t="s">
        <v>841</v>
      </c>
      <c r="P505" s="2" t="s">
        <v>620</v>
      </c>
    </row>
    <row r="506" spans="1:16" ht="21" customHeight="1" x14ac:dyDescent="0.15">
      <c r="A506" s="10" t="str">
        <f t="shared" si="99"/>
        <v>326_10_0_5_polygon</v>
      </c>
      <c r="B506" s="2">
        <v>326</v>
      </c>
      <c r="C506" s="30" t="str">
        <f>VLOOKUP(B506,gachas!A:C,3)</f>
        <v>新キャラ追加&lt;戦国&gt;</v>
      </c>
      <c r="D506" s="21">
        <v>10</v>
      </c>
      <c r="E506" s="2">
        <v>0</v>
      </c>
      <c r="F506" s="2">
        <v>5</v>
      </c>
      <c r="G506" s="3" t="s">
        <v>22</v>
      </c>
      <c r="H506" s="2">
        <v>25</v>
      </c>
      <c r="I506" s="114" t="str">
        <f t="shared" si="100"/>
        <v>326100</v>
      </c>
      <c r="J506" s="112" t="s">
        <v>84</v>
      </c>
      <c r="K506" s="2" t="str">
        <f>I506</f>
        <v>326100</v>
      </c>
      <c r="L506" s="2">
        <v>1</v>
      </c>
      <c r="M506" s="2" t="s">
        <v>84</v>
      </c>
      <c r="N506" s="2" t="s">
        <v>84</v>
      </c>
      <c r="O506" s="2" t="s">
        <v>841</v>
      </c>
      <c r="P506" s="2" t="s">
        <v>620</v>
      </c>
    </row>
    <row r="507" spans="1:16" ht="21" customHeight="1" x14ac:dyDescent="0.15">
      <c r="A507" s="10" t="str">
        <f t="shared" si="99"/>
        <v>327_1_1_1_polygon</v>
      </c>
      <c r="B507" s="2">
        <v>327</v>
      </c>
      <c r="C507" s="30" t="str">
        <f>VLOOKUP(B507,gachas!A:C,3)</f>
        <v>ノーマルガチャ&lt;戦国追加&gt;</v>
      </c>
      <c r="D507" s="21">
        <v>1</v>
      </c>
      <c r="E507" s="2">
        <v>1</v>
      </c>
      <c r="F507" s="2">
        <v>1</v>
      </c>
      <c r="G507" s="3" t="s">
        <v>22</v>
      </c>
      <c r="H507" s="2">
        <v>5</v>
      </c>
      <c r="I507" s="119" t="str">
        <f>I509</f>
        <v>327100</v>
      </c>
      <c r="J507" s="115" t="s">
        <v>84</v>
      </c>
      <c r="K507" s="2" t="s">
        <v>84</v>
      </c>
      <c r="L507" s="2">
        <v>0</v>
      </c>
      <c r="M507" s="2" t="s">
        <v>84</v>
      </c>
      <c r="N507" s="2" t="s">
        <v>84</v>
      </c>
      <c r="O507" s="2" t="s">
        <v>841</v>
      </c>
      <c r="P507" s="2" t="s">
        <v>142</v>
      </c>
    </row>
    <row r="508" spans="1:16" ht="21" customHeight="1" x14ac:dyDescent="0.15">
      <c r="A508" s="10" t="str">
        <f t="shared" si="99"/>
        <v>327_1_0_1_polygon</v>
      </c>
      <c r="B508" s="2">
        <v>327</v>
      </c>
      <c r="C508" s="30" t="str">
        <f>VLOOKUP(B508,gachas!A:C,3)</f>
        <v>ノーマルガチャ&lt;戦国追加&gt;</v>
      </c>
      <c r="D508" s="21">
        <v>1</v>
      </c>
      <c r="E508" s="2">
        <v>0</v>
      </c>
      <c r="F508" s="2">
        <v>1</v>
      </c>
      <c r="G508" s="3" t="s">
        <v>22</v>
      </c>
      <c r="H508" s="2">
        <v>5</v>
      </c>
      <c r="I508" s="117" t="str">
        <f t="shared" ref="I508:I509" si="102">B508&amp;TEXT(D508,"00")&amp;E508</f>
        <v>327010</v>
      </c>
      <c r="J508" s="115" t="s">
        <v>84</v>
      </c>
      <c r="K508" s="2" t="s">
        <v>84</v>
      </c>
      <c r="L508" s="2">
        <v>0</v>
      </c>
      <c r="M508" s="2" t="s">
        <v>84</v>
      </c>
      <c r="N508" s="2" t="s">
        <v>84</v>
      </c>
      <c r="O508" s="2" t="s">
        <v>841</v>
      </c>
      <c r="P508" s="2" t="s">
        <v>84</v>
      </c>
    </row>
    <row r="509" spans="1:16" ht="21" customHeight="1" x14ac:dyDescent="0.15">
      <c r="A509" s="10" t="str">
        <f t="shared" si="99"/>
        <v>327_10_0_10_polygon</v>
      </c>
      <c r="B509" s="2">
        <v>327</v>
      </c>
      <c r="C509" s="30" t="str">
        <f>VLOOKUP(B509,gachas!A:C,3)</f>
        <v>ノーマルガチャ&lt;戦国追加&gt;</v>
      </c>
      <c r="D509" s="21">
        <v>10</v>
      </c>
      <c r="E509" s="2">
        <v>0</v>
      </c>
      <c r="F509" s="2">
        <v>10</v>
      </c>
      <c r="G509" s="3" t="s">
        <v>22</v>
      </c>
      <c r="H509" s="2">
        <v>50</v>
      </c>
      <c r="I509" s="114" t="str">
        <f t="shared" si="102"/>
        <v>327100</v>
      </c>
      <c r="J509" s="112" t="s">
        <v>84</v>
      </c>
      <c r="K509" s="2" t="s">
        <v>84</v>
      </c>
      <c r="L509" s="2">
        <v>0</v>
      </c>
      <c r="M509" s="2" t="s">
        <v>84</v>
      </c>
      <c r="N509" s="2" t="s">
        <v>84</v>
      </c>
      <c r="O509" s="2" t="s">
        <v>841</v>
      </c>
      <c r="P509" s="2" t="s">
        <v>143</v>
      </c>
    </row>
    <row r="510" spans="1:16" ht="21" customHeight="1" x14ac:dyDescent="0.15">
      <c r="A510" s="10" t="str">
        <f t="shared" si="99"/>
        <v>328_1_0_1_polygon</v>
      </c>
      <c r="B510" s="2">
        <v>328</v>
      </c>
      <c r="C510" s="30" t="str">
        <f>VLOOKUP(B510,gachas!A:C,3)</f>
        <v>ブルーフェス&lt;フィボナッチ&gt;</v>
      </c>
      <c r="D510" s="21">
        <v>1</v>
      </c>
      <c r="E510" s="2">
        <v>0</v>
      </c>
      <c r="F510" s="2">
        <v>1</v>
      </c>
      <c r="G510" s="3" t="s">
        <v>22</v>
      </c>
      <c r="H510" s="2">
        <v>5</v>
      </c>
      <c r="I510" s="114" t="str">
        <f>B510&amp;TEXT(D510,"00")&amp;E510</f>
        <v>328010</v>
      </c>
      <c r="J510" s="112" t="s">
        <v>84</v>
      </c>
      <c r="K510" s="2" t="s">
        <v>84</v>
      </c>
      <c r="L510" s="2">
        <v>0</v>
      </c>
      <c r="M510" s="2" t="s">
        <v>84</v>
      </c>
      <c r="N510" s="2" t="s">
        <v>84</v>
      </c>
      <c r="O510" s="2" t="s">
        <v>841</v>
      </c>
      <c r="P510" s="2" t="s">
        <v>86</v>
      </c>
    </row>
    <row r="511" spans="1:16" ht="21" customHeight="1" x14ac:dyDescent="0.15">
      <c r="A511" s="10" t="str">
        <f t="shared" si="99"/>
        <v>328_10_0_10_polygon</v>
      </c>
      <c r="B511" s="2">
        <v>328</v>
      </c>
      <c r="C511" s="30" t="str">
        <f>VLOOKUP(B511,gachas!A:C,3)</f>
        <v>ブルーフェス&lt;フィボナッチ&gt;</v>
      </c>
      <c r="D511" s="21">
        <v>10</v>
      </c>
      <c r="E511" s="2">
        <v>0</v>
      </c>
      <c r="F511" s="2">
        <v>10</v>
      </c>
      <c r="G511" s="3" t="s">
        <v>22</v>
      </c>
      <c r="H511" s="2">
        <v>50</v>
      </c>
      <c r="I511" s="114" t="str">
        <f>B511&amp;TEXT(D511,"00")&amp;E511</f>
        <v>328100</v>
      </c>
      <c r="J511" s="112" t="s">
        <v>84</v>
      </c>
      <c r="K511" s="6" t="str">
        <f>I511</f>
        <v>328100</v>
      </c>
      <c r="L511" s="2">
        <v>1</v>
      </c>
      <c r="M511" s="2" t="s">
        <v>84</v>
      </c>
      <c r="N511" s="2" t="s">
        <v>84</v>
      </c>
      <c r="O511" s="2" t="s">
        <v>841</v>
      </c>
      <c r="P511" s="2" t="s">
        <v>730</v>
      </c>
    </row>
    <row r="512" spans="1:16" ht="21" customHeight="1" x14ac:dyDescent="0.15">
      <c r="A512" s="10" t="str">
        <f t="shared" si="99"/>
        <v>329_1_0_1_polygon</v>
      </c>
      <c r="B512" s="2">
        <v>329</v>
      </c>
      <c r="C512" s="30" t="str">
        <f>VLOOKUP(B512,gachas!A:C,3)</f>
        <v>★6解放ガチャ&lt;沖田親指&gt;</v>
      </c>
      <c r="D512" s="21">
        <v>1</v>
      </c>
      <c r="E512" s="2">
        <v>0</v>
      </c>
      <c r="F512" s="2">
        <v>1</v>
      </c>
      <c r="G512" s="3" t="s">
        <v>22</v>
      </c>
      <c r="H512" s="2">
        <v>5</v>
      </c>
      <c r="I512" s="114" t="str">
        <f>B512&amp;TEXT(D512,"00")&amp;E512</f>
        <v>329010</v>
      </c>
      <c r="J512" s="112" t="s">
        <v>84</v>
      </c>
      <c r="K512" s="2" t="s">
        <v>84</v>
      </c>
      <c r="L512" s="2">
        <v>0</v>
      </c>
      <c r="M512" s="2" t="s">
        <v>84</v>
      </c>
      <c r="N512" s="2" t="s">
        <v>84</v>
      </c>
      <c r="O512" s="2" t="s">
        <v>841</v>
      </c>
      <c r="P512" s="2" t="s">
        <v>84</v>
      </c>
    </row>
    <row r="513" spans="1:16" ht="21" customHeight="1" x14ac:dyDescent="0.15">
      <c r="A513" s="10" t="str">
        <f t="shared" si="99"/>
        <v>329_10_1_10_polygon</v>
      </c>
      <c r="B513" s="2">
        <v>329</v>
      </c>
      <c r="C513" s="30" t="str">
        <f>VLOOKUP(B513,gachas!A:C,3)</f>
        <v>★6解放ガチャ&lt;沖田親指&gt;</v>
      </c>
      <c r="D513" s="21">
        <v>10</v>
      </c>
      <c r="E513" s="2">
        <v>1</v>
      </c>
      <c r="F513" s="2">
        <v>10</v>
      </c>
      <c r="G513" s="3" t="s">
        <v>22</v>
      </c>
      <c r="H513" s="2">
        <v>25</v>
      </c>
      <c r="I513" s="119" t="str">
        <f>I514</f>
        <v>329100</v>
      </c>
      <c r="J513" s="112" t="s">
        <v>84</v>
      </c>
      <c r="K513" s="2" t="s">
        <v>84</v>
      </c>
      <c r="L513" s="2">
        <v>0</v>
      </c>
      <c r="M513" s="2" t="s">
        <v>84</v>
      </c>
      <c r="N513" s="2" t="s">
        <v>84</v>
      </c>
      <c r="O513" s="2" t="s">
        <v>841</v>
      </c>
      <c r="P513" s="59" t="s">
        <v>548</v>
      </c>
    </row>
    <row r="514" spans="1:16" ht="22" customHeight="1" x14ac:dyDescent="0.15">
      <c r="A514" s="10" t="str">
        <f t="shared" si="99"/>
        <v>329_10_0_10_polygon</v>
      </c>
      <c r="B514" s="2">
        <v>329</v>
      </c>
      <c r="C514" s="30" t="str">
        <f>VLOOKUP(B514,gachas!A:C,3)</f>
        <v>★6解放ガチャ&lt;沖田親指&gt;</v>
      </c>
      <c r="D514" s="21">
        <v>10</v>
      </c>
      <c r="E514" s="2">
        <v>0</v>
      </c>
      <c r="F514" s="2">
        <v>10</v>
      </c>
      <c r="G514" s="3" t="s">
        <v>22</v>
      </c>
      <c r="H514" s="2">
        <v>50</v>
      </c>
      <c r="I514" s="114" t="str">
        <f>B514&amp;TEXT(D514,"00")&amp;E514</f>
        <v>329100</v>
      </c>
      <c r="J514" s="112" t="s">
        <v>84</v>
      </c>
      <c r="K514" s="2" t="s">
        <v>84</v>
      </c>
      <c r="L514" s="2">
        <v>0</v>
      </c>
      <c r="M514" s="2" t="s">
        <v>84</v>
      </c>
      <c r="N514" s="2" t="s">
        <v>84</v>
      </c>
      <c r="O514" s="2" t="s">
        <v>841</v>
      </c>
      <c r="P514" s="2" t="s">
        <v>143</v>
      </c>
    </row>
    <row r="515" spans="1:16" ht="21" customHeight="1" x14ac:dyDescent="0.15">
      <c r="A515" s="10" t="str">
        <f t="shared" ref="A515:A520" si="103">B515&amp;"_"&amp;D515&amp;"_"&amp;E515&amp;"_"&amp;F515&amp;"_"&amp;G515</f>
        <v>330_10_1_1_polygon</v>
      </c>
      <c r="B515" s="2">
        <v>330</v>
      </c>
      <c r="C515" s="30" t="str">
        <f>VLOOKUP(B515,gachas!A:C,3)</f>
        <v>デュラララガチャ宵&lt;帝人&gt;</v>
      </c>
      <c r="D515" s="21">
        <v>10</v>
      </c>
      <c r="E515" s="2">
        <v>1</v>
      </c>
      <c r="F515" s="2">
        <v>1</v>
      </c>
      <c r="G515" s="3" t="s">
        <v>22</v>
      </c>
      <c r="H515" s="2">
        <v>1</v>
      </c>
      <c r="I515" s="114" t="str">
        <f>B515&amp;TEXT(D515,"00")&amp;E515</f>
        <v>330101</v>
      </c>
      <c r="J515" s="112" t="s">
        <v>84</v>
      </c>
      <c r="K515" s="2" t="s">
        <v>84</v>
      </c>
      <c r="L515" s="2">
        <v>0</v>
      </c>
      <c r="M515" s="2" t="s">
        <v>84</v>
      </c>
      <c r="N515" s="2" t="s">
        <v>84</v>
      </c>
      <c r="O515" s="2" t="s">
        <v>841</v>
      </c>
      <c r="P515" s="2" t="s">
        <v>546</v>
      </c>
    </row>
    <row r="516" spans="1:16" ht="21" customHeight="1" x14ac:dyDescent="0.15">
      <c r="A516" s="10" t="str">
        <f t="shared" si="103"/>
        <v>330_10_2_3_polygon</v>
      </c>
      <c r="B516" s="2">
        <v>330</v>
      </c>
      <c r="C516" s="30" t="str">
        <f>VLOOKUP(B516,gachas!A:C,3)</f>
        <v>デュラララガチャ宵&lt;帝人&gt;</v>
      </c>
      <c r="D516" s="21">
        <v>10</v>
      </c>
      <c r="E516" s="2">
        <v>2</v>
      </c>
      <c r="F516" s="2">
        <v>3</v>
      </c>
      <c r="G516" s="3" t="s">
        <v>22</v>
      </c>
      <c r="H516" s="2">
        <v>9</v>
      </c>
      <c r="I516" s="119" t="str">
        <f>I515</f>
        <v>330101</v>
      </c>
      <c r="J516" s="112" t="s">
        <v>84</v>
      </c>
      <c r="K516" s="2" t="s">
        <v>84</v>
      </c>
      <c r="L516" s="2">
        <v>0</v>
      </c>
      <c r="M516" s="2" t="s">
        <v>84</v>
      </c>
      <c r="N516" s="2" t="s">
        <v>84</v>
      </c>
      <c r="O516" s="2" t="s">
        <v>841</v>
      </c>
      <c r="P516" s="2" t="s">
        <v>504</v>
      </c>
    </row>
    <row r="517" spans="1:16" ht="21" customHeight="1" x14ac:dyDescent="0.15">
      <c r="A517" s="10" t="str">
        <f t="shared" si="103"/>
        <v>330_10_3_10_polygon</v>
      </c>
      <c r="B517" s="2">
        <v>330</v>
      </c>
      <c r="C517" s="30" t="str">
        <f>VLOOKUP(B517,gachas!A:C,3)</f>
        <v>デュラララガチャ宵&lt;帝人&gt;</v>
      </c>
      <c r="D517" s="21">
        <v>10</v>
      </c>
      <c r="E517" s="2">
        <v>3</v>
      </c>
      <c r="F517" s="2">
        <v>10</v>
      </c>
      <c r="G517" s="3" t="s">
        <v>22</v>
      </c>
      <c r="H517" s="2">
        <v>35</v>
      </c>
      <c r="I517" s="119" t="str">
        <f>I516</f>
        <v>330101</v>
      </c>
      <c r="J517" s="112" t="s">
        <v>84</v>
      </c>
      <c r="K517" s="6">
        <v>330103</v>
      </c>
      <c r="L517" s="2">
        <v>1</v>
      </c>
      <c r="M517" s="2" t="s">
        <v>84</v>
      </c>
      <c r="N517" s="2" t="s">
        <v>84</v>
      </c>
      <c r="O517" s="2" t="s">
        <v>841</v>
      </c>
      <c r="P517" s="2" t="s">
        <v>760</v>
      </c>
    </row>
    <row r="518" spans="1:16" ht="21" customHeight="1" x14ac:dyDescent="0.15">
      <c r="A518" s="10" t="str">
        <f t="shared" si="103"/>
        <v>330_10_4_10_polygon</v>
      </c>
      <c r="B518" s="2">
        <v>330</v>
      </c>
      <c r="C518" s="30" t="str">
        <f>VLOOKUP(B518,gachas!A:C,3)</f>
        <v>デュラララガチャ宵&lt;帝人&gt;</v>
      </c>
      <c r="D518" s="21">
        <v>10</v>
      </c>
      <c r="E518" s="2">
        <v>4</v>
      </c>
      <c r="F518" s="2">
        <v>10</v>
      </c>
      <c r="G518" s="3" t="s">
        <v>22</v>
      </c>
      <c r="H518" s="2">
        <v>50</v>
      </c>
      <c r="I518" s="114" t="str">
        <f>B518&amp;TEXT(D518,"00")&amp;E518</f>
        <v>330104</v>
      </c>
      <c r="J518" s="112" t="s">
        <v>84</v>
      </c>
      <c r="K518" s="2" t="s">
        <v>84</v>
      </c>
      <c r="L518" s="2">
        <v>0</v>
      </c>
      <c r="M518" s="2" t="s">
        <v>84</v>
      </c>
      <c r="N518" s="2" t="s">
        <v>84</v>
      </c>
      <c r="O518" s="2" t="s">
        <v>841</v>
      </c>
      <c r="P518" s="2" t="s">
        <v>761</v>
      </c>
    </row>
    <row r="519" spans="1:16" ht="21" customHeight="1" x14ac:dyDescent="0.15">
      <c r="A519" s="10" t="str">
        <f t="shared" si="103"/>
        <v>330_10_5_10_polygon</v>
      </c>
      <c r="B519" s="2">
        <v>330</v>
      </c>
      <c r="C519" s="30" t="str">
        <f>VLOOKUP(B519,gachas!A:C,3)</f>
        <v>デュラララガチャ宵&lt;帝人&gt;</v>
      </c>
      <c r="D519" s="21">
        <v>10</v>
      </c>
      <c r="E519" s="2">
        <v>5</v>
      </c>
      <c r="F519" s="2">
        <v>10</v>
      </c>
      <c r="G519" s="3" t="s">
        <v>22</v>
      </c>
      <c r="H519" s="2">
        <v>50</v>
      </c>
      <c r="I519" s="114" t="str">
        <f>B519&amp;TEXT(D519,"00")&amp;E519</f>
        <v>330105</v>
      </c>
      <c r="J519" s="112" t="s">
        <v>84</v>
      </c>
      <c r="K519" s="2" t="s">
        <v>84</v>
      </c>
      <c r="L519" s="2">
        <v>0</v>
      </c>
      <c r="M519" s="2" t="s">
        <v>84</v>
      </c>
      <c r="N519" s="2" t="s">
        <v>84</v>
      </c>
      <c r="O519" s="2" t="s">
        <v>841</v>
      </c>
      <c r="P519" s="2" t="s">
        <v>762</v>
      </c>
    </row>
    <row r="520" spans="1:16" ht="21" customHeight="1" x14ac:dyDescent="0.15">
      <c r="A520" s="10" t="str">
        <f t="shared" si="103"/>
        <v>330_10_0_10_polygon</v>
      </c>
      <c r="B520" s="2">
        <v>330</v>
      </c>
      <c r="C520" s="30" t="str">
        <f>VLOOKUP(B520,gachas!A:C,3)</f>
        <v>デュラララガチャ宵&lt;帝人&gt;</v>
      </c>
      <c r="D520" s="21">
        <v>10</v>
      </c>
      <c r="E520" s="2">
        <v>0</v>
      </c>
      <c r="F520" s="2">
        <v>10</v>
      </c>
      <c r="G520" s="3" t="s">
        <v>22</v>
      </c>
      <c r="H520" s="2">
        <v>50</v>
      </c>
      <c r="I520" s="114" t="str">
        <f>B520&amp;TEXT(D520,"00")&amp;E520</f>
        <v>330100</v>
      </c>
      <c r="J520" s="112" t="s">
        <v>84</v>
      </c>
      <c r="K520" s="2" t="s">
        <v>84</v>
      </c>
      <c r="L520" s="2">
        <v>0</v>
      </c>
      <c r="M520" s="2" t="s">
        <v>84</v>
      </c>
      <c r="N520" s="2" t="s">
        <v>84</v>
      </c>
      <c r="O520" s="2" t="s">
        <v>841</v>
      </c>
      <c r="P520" s="2" t="s">
        <v>763</v>
      </c>
    </row>
    <row r="521" spans="1:16" ht="21" customHeight="1" x14ac:dyDescent="0.15">
      <c r="A521" s="10" t="str">
        <f t="shared" ref="A521:A531" si="104">B521&amp;"_"&amp;D521&amp;"_"&amp;E521&amp;"_"&amp;F521&amp;"_"&amp;G521</f>
        <v>331_10_1_1_polygon</v>
      </c>
      <c r="B521" s="2">
        <v>331</v>
      </c>
      <c r="C521" s="30" t="str">
        <f>VLOOKUP(B521,gachas!A:C,3)</f>
        <v>デュラララガチャ暁&lt;静雄&gt;</v>
      </c>
      <c r="D521" s="21">
        <v>10</v>
      </c>
      <c r="E521" s="2">
        <v>1</v>
      </c>
      <c r="F521" s="2">
        <v>1</v>
      </c>
      <c r="G521" s="3" t="s">
        <v>22</v>
      </c>
      <c r="H521" s="2">
        <v>1</v>
      </c>
      <c r="I521" s="114" t="str">
        <f>B521&amp;TEXT(D521,"00")&amp;E521</f>
        <v>331101</v>
      </c>
      <c r="J521" s="112" t="s">
        <v>84</v>
      </c>
      <c r="K521" s="2" t="s">
        <v>84</v>
      </c>
      <c r="L521" s="2">
        <v>0</v>
      </c>
      <c r="M521" s="2" t="s">
        <v>84</v>
      </c>
      <c r="N521" s="2" t="s">
        <v>84</v>
      </c>
      <c r="O521" s="2" t="s">
        <v>841</v>
      </c>
      <c r="P521" s="2" t="s">
        <v>546</v>
      </c>
    </row>
    <row r="522" spans="1:16" ht="21" customHeight="1" x14ac:dyDescent="0.15">
      <c r="A522" s="10" t="str">
        <f t="shared" si="104"/>
        <v>331_10_2_3_polygon</v>
      </c>
      <c r="B522" s="2">
        <v>331</v>
      </c>
      <c r="C522" s="30" t="str">
        <f>VLOOKUP(B522,gachas!A:C,3)</f>
        <v>デュラララガチャ暁&lt;静雄&gt;</v>
      </c>
      <c r="D522" s="21">
        <v>10</v>
      </c>
      <c r="E522" s="2">
        <v>2</v>
      </c>
      <c r="F522" s="2">
        <v>3</v>
      </c>
      <c r="G522" s="3" t="s">
        <v>22</v>
      </c>
      <c r="H522" s="2">
        <v>9</v>
      </c>
      <c r="I522" s="119" t="str">
        <f>I521</f>
        <v>331101</v>
      </c>
      <c r="J522" s="112" t="s">
        <v>84</v>
      </c>
      <c r="K522" s="2" t="s">
        <v>84</v>
      </c>
      <c r="L522" s="2">
        <v>0</v>
      </c>
      <c r="M522" s="2" t="s">
        <v>84</v>
      </c>
      <c r="N522" s="2" t="s">
        <v>84</v>
      </c>
      <c r="O522" s="2" t="s">
        <v>841</v>
      </c>
      <c r="P522" s="2" t="s">
        <v>504</v>
      </c>
    </row>
    <row r="523" spans="1:16" ht="21" customHeight="1" x14ac:dyDescent="0.15">
      <c r="A523" s="10" t="str">
        <f t="shared" si="104"/>
        <v>331_10_3_10_polygon</v>
      </c>
      <c r="B523" s="2">
        <v>331</v>
      </c>
      <c r="C523" s="30" t="str">
        <f>VLOOKUP(B523,gachas!A:C,3)</f>
        <v>デュラララガチャ暁&lt;静雄&gt;</v>
      </c>
      <c r="D523" s="21">
        <v>10</v>
      </c>
      <c r="E523" s="2">
        <v>3</v>
      </c>
      <c r="F523" s="2">
        <v>10</v>
      </c>
      <c r="G523" s="3" t="s">
        <v>22</v>
      </c>
      <c r="H523" s="2">
        <v>35</v>
      </c>
      <c r="I523" s="119" t="str">
        <f>I522</f>
        <v>331101</v>
      </c>
      <c r="J523" s="112" t="s">
        <v>84</v>
      </c>
      <c r="K523" s="6">
        <v>331103</v>
      </c>
      <c r="L523" s="2">
        <v>1</v>
      </c>
      <c r="M523" s="2" t="s">
        <v>84</v>
      </c>
      <c r="N523" s="2" t="s">
        <v>84</v>
      </c>
      <c r="O523" s="2" t="s">
        <v>841</v>
      </c>
      <c r="P523" s="2" t="s">
        <v>778</v>
      </c>
    </row>
    <row r="524" spans="1:16" ht="21" customHeight="1" x14ac:dyDescent="0.15">
      <c r="A524" s="10" t="str">
        <f t="shared" si="104"/>
        <v>331_10_4_10_polygon</v>
      </c>
      <c r="B524" s="2">
        <v>331</v>
      </c>
      <c r="C524" s="30" t="str">
        <f>VLOOKUP(B524,gachas!A:C,3)</f>
        <v>デュラララガチャ暁&lt;静雄&gt;</v>
      </c>
      <c r="D524" s="21">
        <v>10</v>
      </c>
      <c r="E524" s="2">
        <v>4</v>
      </c>
      <c r="F524" s="2">
        <v>10</v>
      </c>
      <c r="G524" s="3" t="s">
        <v>22</v>
      </c>
      <c r="H524" s="2">
        <v>50</v>
      </c>
      <c r="I524" s="114" t="str">
        <f t="shared" ref="I524:I544" si="105">B524&amp;TEXT(D524,"00")&amp;E524</f>
        <v>331104</v>
      </c>
      <c r="J524" s="112" t="s">
        <v>84</v>
      </c>
      <c r="K524" s="2" t="s">
        <v>84</v>
      </c>
      <c r="L524" s="2">
        <v>0</v>
      </c>
      <c r="M524" s="2" t="s">
        <v>84</v>
      </c>
      <c r="N524" s="2" t="s">
        <v>84</v>
      </c>
      <c r="O524" s="2" t="s">
        <v>841</v>
      </c>
      <c r="P524" s="2" t="s">
        <v>779</v>
      </c>
    </row>
    <row r="525" spans="1:16" ht="21" customHeight="1" x14ac:dyDescent="0.15">
      <c r="A525" s="10" t="str">
        <f t="shared" si="104"/>
        <v>331_10_5_10_polygon</v>
      </c>
      <c r="B525" s="2">
        <v>331</v>
      </c>
      <c r="C525" s="30" t="str">
        <f>VLOOKUP(B525,gachas!A:C,3)</f>
        <v>デュラララガチャ暁&lt;静雄&gt;</v>
      </c>
      <c r="D525" s="21">
        <v>10</v>
      </c>
      <c r="E525" s="2">
        <v>5</v>
      </c>
      <c r="F525" s="2">
        <v>10</v>
      </c>
      <c r="G525" s="3" t="s">
        <v>22</v>
      </c>
      <c r="H525" s="2">
        <v>50</v>
      </c>
      <c r="I525" s="114" t="str">
        <f t="shared" si="105"/>
        <v>331105</v>
      </c>
      <c r="J525" s="112" t="s">
        <v>84</v>
      </c>
      <c r="K525" s="2" t="s">
        <v>84</v>
      </c>
      <c r="L525" s="2">
        <v>0</v>
      </c>
      <c r="M525" s="2" t="s">
        <v>84</v>
      </c>
      <c r="N525" s="2" t="s">
        <v>84</v>
      </c>
      <c r="O525" s="2" t="s">
        <v>841</v>
      </c>
      <c r="P525" s="2" t="s">
        <v>780</v>
      </c>
    </row>
    <row r="526" spans="1:16" ht="21" customHeight="1" x14ac:dyDescent="0.15">
      <c r="A526" s="10" t="str">
        <f t="shared" si="104"/>
        <v>331_10_0_10_polygon</v>
      </c>
      <c r="B526" s="2">
        <v>331</v>
      </c>
      <c r="C526" s="30" t="str">
        <f>VLOOKUP(B526,gachas!A:C,3)</f>
        <v>デュラララガチャ暁&lt;静雄&gt;</v>
      </c>
      <c r="D526" s="21">
        <v>10</v>
      </c>
      <c r="E526" s="2">
        <v>0</v>
      </c>
      <c r="F526" s="2">
        <v>10</v>
      </c>
      <c r="G526" s="3" t="s">
        <v>22</v>
      </c>
      <c r="H526" s="2">
        <v>50</v>
      </c>
      <c r="I526" s="114" t="str">
        <f t="shared" si="105"/>
        <v>331100</v>
      </c>
      <c r="J526" s="112" t="s">
        <v>84</v>
      </c>
      <c r="K526" s="2" t="s">
        <v>84</v>
      </c>
      <c r="L526" s="2">
        <v>0</v>
      </c>
      <c r="M526" s="2" t="s">
        <v>84</v>
      </c>
      <c r="N526" s="2" t="s">
        <v>84</v>
      </c>
      <c r="O526" s="2" t="s">
        <v>841</v>
      </c>
      <c r="P526" s="2" t="s">
        <v>781</v>
      </c>
    </row>
    <row r="527" spans="1:16" ht="21" customHeight="1" x14ac:dyDescent="0.15">
      <c r="A527" s="10" t="str">
        <f t="shared" ref="A527" si="106">B527&amp;"_"&amp;D527&amp;"_"&amp;E527&amp;"_"&amp;F527&amp;"_"&amp;G527</f>
        <v>332_1_1_1_polygon</v>
      </c>
      <c r="B527" s="2">
        <v>332</v>
      </c>
      <c r="C527" s="30" t="str">
        <f>VLOOKUP(B527,gachas!A:C,3)</f>
        <v>４月フィーバーフェス&lt;前半&gt;</v>
      </c>
      <c r="D527" s="21">
        <v>1</v>
      </c>
      <c r="E527" s="2">
        <v>1</v>
      </c>
      <c r="F527" s="2">
        <v>1</v>
      </c>
      <c r="G527" s="3" t="s">
        <v>22</v>
      </c>
      <c r="H527" s="2">
        <v>5</v>
      </c>
      <c r="I527" s="119" t="str">
        <f>I528</f>
        <v>332010</v>
      </c>
      <c r="J527" s="112" t="s">
        <v>84</v>
      </c>
      <c r="K527" s="2" t="s">
        <v>684</v>
      </c>
      <c r="L527" s="2">
        <v>0</v>
      </c>
      <c r="M527" s="2" t="s">
        <v>84</v>
      </c>
      <c r="N527" s="2" t="s">
        <v>84</v>
      </c>
      <c r="O527" s="2" t="s">
        <v>841</v>
      </c>
      <c r="P527" s="2" t="s">
        <v>691</v>
      </c>
    </row>
    <row r="528" spans="1:16" ht="21" customHeight="1" x14ac:dyDescent="0.15">
      <c r="A528" s="10" t="str">
        <f t="shared" si="104"/>
        <v>332_1_0_1_polygon</v>
      </c>
      <c r="B528" s="2">
        <v>332</v>
      </c>
      <c r="C528" s="30" t="str">
        <f>VLOOKUP(B528,gachas!A:C,3)</f>
        <v>４月フィーバーフェス&lt;前半&gt;</v>
      </c>
      <c r="D528" s="21">
        <v>1</v>
      </c>
      <c r="E528" s="2">
        <v>0</v>
      </c>
      <c r="F528" s="2">
        <v>1</v>
      </c>
      <c r="G528" s="3" t="s">
        <v>22</v>
      </c>
      <c r="H528" s="2">
        <v>5</v>
      </c>
      <c r="I528" s="114" t="str">
        <f>B528&amp;TEXT(D528,"00")&amp;E528</f>
        <v>332010</v>
      </c>
      <c r="J528" s="112" t="s">
        <v>84</v>
      </c>
      <c r="K528" s="2" t="s">
        <v>684</v>
      </c>
      <c r="L528" s="2">
        <v>0</v>
      </c>
      <c r="M528" s="2" t="s">
        <v>84</v>
      </c>
      <c r="N528" s="2" t="s">
        <v>84</v>
      </c>
      <c r="O528" s="2" t="s">
        <v>841</v>
      </c>
      <c r="P528" s="2" t="s">
        <v>691</v>
      </c>
    </row>
    <row r="529" spans="1:16" ht="21" customHeight="1" x14ac:dyDescent="0.15">
      <c r="A529" s="10" t="str">
        <f t="shared" ref="A529" si="107">B529&amp;"_"&amp;D529&amp;"_"&amp;E529&amp;"_"&amp;F529&amp;"_"&amp;G529</f>
        <v>332_10_1_10_polygon</v>
      </c>
      <c r="B529" s="2">
        <v>332</v>
      </c>
      <c r="C529" s="30" t="str">
        <f>VLOOKUP(B529,gachas!A:C,3)</f>
        <v>４月フィーバーフェス&lt;前半&gt;</v>
      </c>
      <c r="D529" s="21">
        <v>10</v>
      </c>
      <c r="E529" s="2">
        <v>1</v>
      </c>
      <c r="F529" s="2">
        <v>10</v>
      </c>
      <c r="G529" s="3" t="s">
        <v>22</v>
      </c>
      <c r="H529" s="2">
        <v>50</v>
      </c>
      <c r="I529" s="119" t="str">
        <f>I530</f>
        <v>332100</v>
      </c>
      <c r="J529" s="112" t="s">
        <v>84</v>
      </c>
      <c r="K529" s="60" t="str">
        <f>K530</f>
        <v>332100</v>
      </c>
      <c r="L529" s="2">
        <v>1</v>
      </c>
      <c r="M529" s="2" t="s">
        <v>84</v>
      </c>
      <c r="N529" s="2" t="s">
        <v>84</v>
      </c>
      <c r="O529" s="2" t="s">
        <v>841</v>
      </c>
      <c r="P529" s="2" t="s">
        <v>378</v>
      </c>
    </row>
    <row r="530" spans="1:16" ht="21" customHeight="1" x14ac:dyDescent="0.15">
      <c r="A530" s="10" t="str">
        <f t="shared" si="104"/>
        <v>332_10_0_10_polygon</v>
      </c>
      <c r="B530" s="2">
        <v>332</v>
      </c>
      <c r="C530" s="30" t="str">
        <f>VLOOKUP(B530,gachas!A:C,3)</f>
        <v>４月フィーバーフェス&lt;前半&gt;</v>
      </c>
      <c r="D530" s="21">
        <v>10</v>
      </c>
      <c r="E530" s="2">
        <v>0</v>
      </c>
      <c r="F530" s="2">
        <v>10</v>
      </c>
      <c r="G530" s="3" t="s">
        <v>22</v>
      </c>
      <c r="H530" s="2">
        <v>50</v>
      </c>
      <c r="I530" s="114" t="str">
        <f t="shared" si="105"/>
        <v>332100</v>
      </c>
      <c r="J530" s="112" t="s">
        <v>84</v>
      </c>
      <c r="K530" s="6" t="str">
        <f>I530</f>
        <v>332100</v>
      </c>
      <c r="L530" s="2">
        <v>1</v>
      </c>
      <c r="M530" s="2" t="s">
        <v>84</v>
      </c>
      <c r="N530" s="2" t="s">
        <v>84</v>
      </c>
      <c r="O530" s="2" t="s">
        <v>841</v>
      </c>
      <c r="P530" s="2" t="s">
        <v>378</v>
      </c>
    </row>
    <row r="531" spans="1:16" ht="21" customHeight="1" x14ac:dyDescent="0.15">
      <c r="A531" s="10" t="str">
        <f t="shared" si="104"/>
        <v>333_1_1_1_polygon</v>
      </c>
      <c r="B531" s="2">
        <v>333</v>
      </c>
      <c r="C531" s="30" t="str">
        <f>VLOOKUP(B531,gachas!A:C,3)</f>
        <v>４月フィーバーフェス&lt;後半&gt;</v>
      </c>
      <c r="D531" s="21">
        <v>1</v>
      </c>
      <c r="E531" s="2">
        <v>1</v>
      </c>
      <c r="F531" s="2">
        <v>1</v>
      </c>
      <c r="G531" s="3" t="s">
        <v>22</v>
      </c>
      <c r="H531" s="2">
        <v>5</v>
      </c>
      <c r="I531" s="119" t="str">
        <f>I532</f>
        <v>333010</v>
      </c>
      <c r="J531" s="112" t="s">
        <v>84</v>
      </c>
      <c r="K531" s="2" t="s">
        <v>684</v>
      </c>
      <c r="L531" s="2">
        <v>0</v>
      </c>
      <c r="M531" s="2" t="s">
        <v>84</v>
      </c>
      <c r="N531" s="2" t="s">
        <v>84</v>
      </c>
      <c r="O531" s="2" t="s">
        <v>841</v>
      </c>
      <c r="P531" s="2" t="s">
        <v>691</v>
      </c>
    </row>
    <row r="532" spans="1:16" ht="21" customHeight="1" x14ac:dyDescent="0.15">
      <c r="A532" s="10" t="str">
        <f t="shared" ref="A532:A534" si="108">B532&amp;"_"&amp;D532&amp;"_"&amp;E532&amp;"_"&amp;F532&amp;"_"&amp;G532</f>
        <v>333_1_0_1_polygon</v>
      </c>
      <c r="B532" s="2">
        <v>333</v>
      </c>
      <c r="C532" s="30" t="str">
        <f>VLOOKUP(B532,gachas!A:C,3)</f>
        <v>４月フィーバーフェス&lt;後半&gt;</v>
      </c>
      <c r="D532" s="21">
        <v>1</v>
      </c>
      <c r="E532" s="2">
        <v>0</v>
      </c>
      <c r="F532" s="2">
        <v>1</v>
      </c>
      <c r="G532" s="3" t="s">
        <v>22</v>
      </c>
      <c r="H532" s="2">
        <v>5</v>
      </c>
      <c r="I532" s="114" t="str">
        <f t="shared" si="105"/>
        <v>333010</v>
      </c>
      <c r="J532" s="112" t="s">
        <v>84</v>
      </c>
      <c r="K532" s="2" t="s">
        <v>684</v>
      </c>
      <c r="L532" s="2">
        <v>0</v>
      </c>
      <c r="M532" s="2" t="s">
        <v>84</v>
      </c>
      <c r="N532" s="2" t="s">
        <v>84</v>
      </c>
      <c r="O532" s="2" t="s">
        <v>841</v>
      </c>
      <c r="P532" s="2" t="s">
        <v>691</v>
      </c>
    </row>
    <row r="533" spans="1:16" ht="21" customHeight="1" x14ac:dyDescent="0.15">
      <c r="A533" s="10" t="str">
        <f t="shared" ref="A533" si="109">B533&amp;"_"&amp;D533&amp;"_"&amp;E533&amp;"_"&amp;F533&amp;"_"&amp;G533</f>
        <v>333_10_1_10_polygon</v>
      </c>
      <c r="B533" s="2">
        <v>333</v>
      </c>
      <c r="C533" s="30" t="str">
        <f>VLOOKUP(B533,gachas!A:C,3)</f>
        <v>４月フィーバーフェス&lt;後半&gt;</v>
      </c>
      <c r="D533" s="21">
        <v>10</v>
      </c>
      <c r="E533" s="2">
        <v>1</v>
      </c>
      <c r="F533" s="2">
        <v>10</v>
      </c>
      <c r="G533" s="3" t="s">
        <v>22</v>
      </c>
      <c r="H533" s="2">
        <v>50</v>
      </c>
      <c r="I533" s="119" t="str">
        <f>I534</f>
        <v>333100</v>
      </c>
      <c r="J533" s="112" t="s">
        <v>84</v>
      </c>
      <c r="K533" s="60" t="str">
        <f>K534</f>
        <v>333100</v>
      </c>
      <c r="L533" s="2">
        <v>1</v>
      </c>
      <c r="M533" s="2" t="s">
        <v>84</v>
      </c>
      <c r="N533" s="2" t="s">
        <v>84</v>
      </c>
      <c r="O533" s="2" t="s">
        <v>841</v>
      </c>
      <c r="P533" s="2" t="s">
        <v>378</v>
      </c>
    </row>
    <row r="534" spans="1:16" ht="21" customHeight="1" x14ac:dyDescent="0.15">
      <c r="A534" s="10" t="str">
        <f t="shared" si="108"/>
        <v>333_10_0_10_polygon</v>
      </c>
      <c r="B534" s="2">
        <v>333</v>
      </c>
      <c r="C534" s="30" t="str">
        <f>VLOOKUP(B534,gachas!A:C,3)</f>
        <v>４月フィーバーフェス&lt;後半&gt;</v>
      </c>
      <c r="D534" s="21">
        <v>10</v>
      </c>
      <c r="E534" s="2">
        <v>0</v>
      </c>
      <c r="F534" s="2">
        <v>10</v>
      </c>
      <c r="G534" s="3" t="s">
        <v>22</v>
      </c>
      <c r="H534" s="2">
        <v>50</v>
      </c>
      <c r="I534" s="114" t="str">
        <f t="shared" si="105"/>
        <v>333100</v>
      </c>
      <c r="J534" s="112" t="s">
        <v>84</v>
      </c>
      <c r="K534" s="6" t="str">
        <f>I534</f>
        <v>333100</v>
      </c>
      <c r="L534" s="2">
        <v>1</v>
      </c>
      <c r="M534" s="2" t="s">
        <v>84</v>
      </c>
      <c r="N534" s="2" t="s">
        <v>84</v>
      </c>
      <c r="O534" s="2" t="s">
        <v>841</v>
      </c>
      <c r="P534" s="2" t="s">
        <v>378</v>
      </c>
    </row>
    <row r="535" spans="1:16" ht="21" customHeight="1" x14ac:dyDescent="0.15">
      <c r="A535" s="10" t="str">
        <f t="shared" ref="A535:A547" si="110">B535&amp;"_"&amp;D535&amp;"_"&amp;E535&amp;"_"&amp;F535&amp;"_"&amp;G535</f>
        <v>334_10_1_5_polygon</v>
      </c>
      <c r="B535" s="2">
        <v>334</v>
      </c>
      <c r="C535" s="30" t="str">
        <f>VLOOKUP(B535,gachas!A:C,3)</f>
        <v>ハンプティ&lt;初回限定&gt;</v>
      </c>
      <c r="D535" s="21">
        <v>10</v>
      </c>
      <c r="E535" s="2">
        <v>1</v>
      </c>
      <c r="F535" s="2">
        <v>5</v>
      </c>
      <c r="G535" s="3" t="s">
        <v>22</v>
      </c>
      <c r="H535" s="2">
        <v>25</v>
      </c>
      <c r="I535" s="123">
        <v>334100</v>
      </c>
      <c r="J535" s="124">
        <v>334101</v>
      </c>
      <c r="K535" s="47" t="s">
        <v>84</v>
      </c>
      <c r="L535" s="2">
        <v>0</v>
      </c>
      <c r="M535" s="2" t="s">
        <v>84</v>
      </c>
      <c r="N535" s="2" t="s">
        <v>84</v>
      </c>
      <c r="O535" s="2" t="s">
        <v>841</v>
      </c>
      <c r="P535" s="2" t="s">
        <v>796</v>
      </c>
    </row>
    <row r="536" spans="1:16" ht="21" customHeight="1" x14ac:dyDescent="0.15">
      <c r="A536" s="10" t="str">
        <f t="shared" si="110"/>
        <v>334_10_0_5_polygon</v>
      </c>
      <c r="B536" s="2">
        <v>334</v>
      </c>
      <c r="C536" s="30" t="str">
        <f>VLOOKUP(B536,gachas!A:C,3)</f>
        <v>ハンプティ&lt;初回限定&gt;</v>
      </c>
      <c r="D536" s="21">
        <v>10</v>
      </c>
      <c r="E536" s="2">
        <v>0</v>
      </c>
      <c r="F536" s="2">
        <v>5</v>
      </c>
      <c r="G536" s="3" t="s">
        <v>22</v>
      </c>
      <c r="H536" s="2">
        <v>25</v>
      </c>
      <c r="I536" s="114" t="str">
        <f t="shared" si="105"/>
        <v>334100</v>
      </c>
      <c r="J536" s="112" t="s">
        <v>84</v>
      </c>
      <c r="K536" s="47" t="s">
        <v>84</v>
      </c>
      <c r="L536" s="2">
        <v>0</v>
      </c>
      <c r="M536" s="2" t="s">
        <v>84</v>
      </c>
      <c r="N536" s="2" t="s">
        <v>84</v>
      </c>
      <c r="O536" s="2" t="s">
        <v>841</v>
      </c>
      <c r="P536" s="2" t="s">
        <v>817</v>
      </c>
    </row>
    <row r="537" spans="1:16" ht="21" customHeight="1" x14ac:dyDescent="0.15">
      <c r="A537" s="10" t="str">
        <f t="shared" si="110"/>
        <v>335_10_1_1_polygon</v>
      </c>
      <c r="B537" s="2">
        <v>335</v>
      </c>
      <c r="C537" s="30" t="str">
        <f>VLOOKUP(B537,gachas!A:C,3)</f>
        <v>４月ステップアップフィーバー</v>
      </c>
      <c r="D537" s="21">
        <v>10</v>
      </c>
      <c r="E537" s="2">
        <v>1</v>
      </c>
      <c r="F537" s="2">
        <v>1</v>
      </c>
      <c r="G537" s="3" t="s">
        <v>22</v>
      </c>
      <c r="H537" s="2">
        <v>3</v>
      </c>
      <c r="I537" s="114" t="str">
        <f t="shared" si="105"/>
        <v>335101</v>
      </c>
      <c r="J537" s="112" t="s">
        <v>84</v>
      </c>
      <c r="K537" s="47" t="s">
        <v>84</v>
      </c>
      <c r="L537" s="2">
        <v>0</v>
      </c>
      <c r="M537" s="2" t="s">
        <v>84</v>
      </c>
      <c r="N537" s="2" t="s">
        <v>84</v>
      </c>
      <c r="O537" s="2" t="s">
        <v>841</v>
      </c>
      <c r="P537" s="2" t="s">
        <v>709</v>
      </c>
    </row>
    <row r="538" spans="1:16" ht="21" customHeight="1" x14ac:dyDescent="0.15">
      <c r="A538" s="10" t="str">
        <f t="shared" si="110"/>
        <v>335_10_2_3_polygon</v>
      </c>
      <c r="B538" s="2">
        <v>335</v>
      </c>
      <c r="C538" s="30" t="str">
        <f>VLOOKUP(B538,gachas!A:C,3)</f>
        <v>４月ステップアップフィーバー</v>
      </c>
      <c r="D538" s="21">
        <v>10</v>
      </c>
      <c r="E538" s="2">
        <v>2</v>
      </c>
      <c r="F538" s="2">
        <v>3</v>
      </c>
      <c r="G538" s="3" t="s">
        <v>22</v>
      </c>
      <c r="H538" s="2">
        <v>9</v>
      </c>
      <c r="I538" s="119" t="str">
        <f>I537</f>
        <v>335101</v>
      </c>
      <c r="J538" s="112" t="s">
        <v>84</v>
      </c>
      <c r="K538" s="47" t="s">
        <v>84</v>
      </c>
      <c r="L538" s="2">
        <v>0</v>
      </c>
      <c r="M538" s="2" t="s">
        <v>84</v>
      </c>
      <c r="N538" s="2" t="s">
        <v>84</v>
      </c>
      <c r="O538" s="2" t="s">
        <v>841</v>
      </c>
      <c r="P538" s="2" t="s">
        <v>710</v>
      </c>
    </row>
    <row r="539" spans="1:16" ht="21" customHeight="1" x14ac:dyDescent="0.15">
      <c r="A539" s="10" t="str">
        <f t="shared" si="110"/>
        <v>335_10_3_5_polygon</v>
      </c>
      <c r="B539" s="2">
        <v>335</v>
      </c>
      <c r="C539" s="30" t="str">
        <f>VLOOKUP(B539,gachas!A:C,3)</f>
        <v>４月ステップアップフィーバー</v>
      </c>
      <c r="D539" s="21">
        <v>10</v>
      </c>
      <c r="E539" s="2">
        <v>3</v>
      </c>
      <c r="F539" s="2">
        <v>5</v>
      </c>
      <c r="G539" s="3" t="s">
        <v>22</v>
      </c>
      <c r="H539" s="2">
        <v>25</v>
      </c>
      <c r="I539" s="119" t="str">
        <f>I538</f>
        <v>335101</v>
      </c>
      <c r="J539" s="125" t="s">
        <v>812</v>
      </c>
      <c r="K539" s="47" t="s">
        <v>84</v>
      </c>
      <c r="L539" s="2">
        <v>0</v>
      </c>
      <c r="M539" s="2" t="s">
        <v>84</v>
      </c>
      <c r="N539" s="2" t="s">
        <v>84</v>
      </c>
      <c r="O539" s="2" t="s">
        <v>841</v>
      </c>
      <c r="P539" s="2" t="s">
        <v>803</v>
      </c>
    </row>
    <row r="540" spans="1:16" ht="21" customHeight="1" x14ac:dyDescent="0.15">
      <c r="A540" s="10" t="str">
        <f t="shared" si="110"/>
        <v>335_10_4_10_polygon</v>
      </c>
      <c r="B540" s="2">
        <v>335</v>
      </c>
      <c r="C540" s="30" t="str">
        <f>VLOOKUP(B540,gachas!A:C,3)</f>
        <v>４月ステップアップフィーバー</v>
      </c>
      <c r="D540" s="21">
        <v>10</v>
      </c>
      <c r="E540" s="2">
        <v>4</v>
      </c>
      <c r="F540" s="2">
        <v>10</v>
      </c>
      <c r="G540" s="3" t="s">
        <v>22</v>
      </c>
      <c r="H540" s="2">
        <v>25</v>
      </c>
      <c r="I540" s="114" t="str">
        <f t="shared" si="105"/>
        <v>335104</v>
      </c>
      <c r="J540" s="112" t="s">
        <v>84</v>
      </c>
      <c r="K540" s="47" t="s">
        <v>84</v>
      </c>
      <c r="L540" s="2">
        <v>0</v>
      </c>
      <c r="M540" s="2" t="s">
        <v>84</v>
      </c>
      <c r="N540" s="2" t="s">
        <v>84</v>
      </c>
      <c r="O540" s="2" t="s">
        <v>841</v>
      </c>
      <c r="P540" s="2" t="s">
        <v>712</v>
      </c>
    </row>
    <row r="541" spans="1:16" ht="21" customHeight="1" x14ac:dyDescent="0.15">
      <c r="A541" s="10" t="str">
        <f t="shared" si="110"/>
        <v>335_10_5_10_polygon</v>
      </c>
      <c r="B541" s="2">
        <v>335</v>
      </c>
      <c r="C541" s="30" t="str">
        <f>VLOOKUP(B541,gachas!A:C,3)</f>
        <v>４月ステップアップフィーバー</v>
      </c>
      <c r="D541" s="21">
        <v>10</v>
      </c>
      <c r="E541" s="2">
        <v>5</v>
      </c>
      <c r="F541" s="2">
        <v>10</v>
      </c>
      <c r="G541" s="3" t="s">
        <v>22</v>
      </c>
      <c r="H541" s="2">
        <v>50</v>
      </c>
      <c r="I541" s="119" t="str">
        <f>I540</f>
        <v>335104</v>
      </c>
      <c r="J541" s="112" t="s">
        <v>84</v>
      </c>
      <c r="K541" s="68" t="str">
        <f>I541</f>
        <v>335104</v>
      </c>
      <c r="L541" s="2">
        <v>1</v>
      </c>
      <c r="M541" s="2" t="s">
        <v>84</v>
      </c>
      <c r="N541" s="2" t="s">
        <v>84</v>
      </c>
      <c r="O541" s="2" t="s">
        <v>841</v>
      </c>
      <c r="P541" s="2" t="s">
        <v>802</v>
      </c>
    </row>
    <row r="542" spans="1:16" ht="21" customHeight="1" x14ac:dyDescent="0.15">
      <c r="A542" s="10" t="str">
        <f t="shared" si="110"/>
        <v>335_10_0_10_polygon</v>
      </c>
      <c r="B542" s="2">
        <v>335</v>
      </c>
      <c r="C542" s="30" t="str">
        <f>VLOOKUP(B542,gachas!A:C,3)</f>
        <v>４月ステップアップフィーバー</v>
      </c>
      <c r="D542" s="21">
        <v>10</v>
      </c>
      <c r="E542" s="2">
        <v>0</v>
      </c>
      <c r="F542" s="2">
        <v>10</v>
      </c>
      <c r="G542" s="3" t="s">
        <v>22</v>
      </c>
      <c r="H542" s="2">
        <v>50</v>
      </c>
      <c r="I542" s="114" t="str">
        <f t="shared" si="105"/>
        <v>335100</v>
      </c>
      <c r="J542" s="112" t="s">
        <v>84</v>
      </c>
      <c r="K542" s="47" t="s">
        <v>84</v>
      </c>
      <c r="L542" s="2">
        <v>0</v>
      </c>
      <c r="M542" s="2" t="s">
        <v>84</v>
      </c>
      <c r="N542" s="2" t="s">
        <v>84</v>
      </c>
      <c r="O542" s="2" t="s">
        <v>841</v>
      </c>
      <c r="P542" s="2" t="s">
        <v>538</v>
      </c>
    </row>
    <row r="543" spans="1:16" ht="21" customHeight="1" x14ac:dyDescent="0.15">
      <c r="A543" s="10" t="str">
        <f t="shared" si="110"/>
        <v>5000_1_0_1_ticket_R6_50p</v>
      </c>
      <c r="B543" s="2">
        <v>5000</v>
      </c>
      <c r="C543" s="30" t="str">
        <f>VLOOKUP(B543,gachas!A:C,3)</f>
        <v>４月ステップアップ&lt;50%券&gt;</v>
      </c>
      <c r="D543" s="21">
        <v>1</v>
      </c>
      <c r="E543" s="2">
        <v>0</v>
      </c>
      <c r="F543" s="2">
        <v>1</v>
      </c>
      <c r="G543" s="64" t="s">
        <v>804</v>
      </c>
      <c r="H543" s="2">
        <v>1</v>
      </c>
      <c r="I543" s="114">
        <v>5000</v>
      </c>
      <c r="J543" s="112" t="s">
        <v>84</v>
      </c>
      <c r="K543" s="47" t="s">
        <v>84</v>
      </c>
      <c r="L543" s="2">
        <v>0</v>
      </c>
      <c r="M543" s="2" t="s">
        <v>84</v>
      </c>
      <c r="N543" s="2" t="s">
        <v>84</v>
      </c>
      <c r="O543" s="2" t="s">
        <v>841</v>
      </c>
      <c r="P543" s="2" t="s">
        <v>805</v>
      </c>
    </row>
    <row r="544" spans="1:16" ht="21" customHeight="1" x14ac:dyDescent="0.15">
      <c r="A544" s="10" t="str">
        <f t="shared" si="110"/>
        <v>336_10_0_5_polygon</v>
      </c>
      <c r="B544" s="2">
        <v>336</v>
      </c>
      <c r="C544" s="30" t="str">
        <f>VLOOKUP(B544,gachas!A:C,3)</f>
        <v>新キャラ追加&lt;天使悪魔&gt;</v>
      </c>
      <c r="D544" s="21">
        <v>10</v>
      </c>
      <c r="E544" s="2">
        <v>0</v>
      </c>
      <c r="F544" s="2">
        <v>5</v>
      </c>
      <c r="G544" s="3" t="s">
        <v>22</v>
      </c>
      <c r="H544" s="2">
        <v>25</v>
      </c>
      <c r="I544" s="114" t="str">
        <f t="shared" si="105"/>
        <v>336100</v>
      </c>
      <c r="J544" s="112" t="s">
        <v>84</v>
      </c>
      <c r="K544" s="68" t="str">
        <f>I544</f>
        <v>336100</v>
      </c>
      <c r="L544" s="2">
        <v>1</v>
      </c>
      <c r="M544" s="2" t="s">
        <v>84</v>
      </c>
      <c r="N544" s="2" t="s">
        <v>84</v>
      </c>
      <c r="O544" s="2" t="s">
        <v>841</v>
      </c>
      <c r="P544" s="2" t="s">
        <v>620</v>
      </c>
    </row>
    <row r="545" spans="1:16" ht="21" customHeight="1" x14ac:dyDescent="0.15">
      <c r="A545" s="10" t="str">
        <f t="shared" si="110"/>
        <v>337_1_1_1_polygon</v>
      </c>
      <c r="B545" s="2">
        <v>337</v>
      </c>
      <c r="C545" s="30" t="str">
        <f>VLOOKUP(B545,gachas!A:C,3)</f>
        <v>ノーマルガチャ&lt;天使in&gt;</v>
      </c>
      <c r="D545" s="21">
        <v>1</v>
      </c>
      <c r="E545" s="2">
        <v>1</v>
      </c>
      <c r="F545" s="2">
        <v>1</v>
      </c>
      <c r="G545" s="3" t="s">
        <v>22</v>
      </c>
      <c r="H545" s="2">
        <v>5</v>
      </c>
      <c r="I545" s="119" t="str">
        <f>I547</f>
        <v>337100</v>
      </c>
      <c r="J545" s="115" t="s">
        <v>84</v>
      </c>
      <c r="K545" s="2" t="s">
        <v>84</v>
      </c>
      <c r="L545" s="2">
        <v>0</v>
      </c>
      <c r="M545" s="2" t="s">
        <v>84</v>
      </c>
      <c r="N545" s="2" t="s">
        <v>84</v>
      </c>
      <c r="O545" s="2" t="s">
        <v>841</v>
      </c>
      <c r="P545" s="2" t="s">
        <v>142</v>
      </c>
    </row>
    <row r="546" spans="1:16" ht="21" customHeight="1" x14ac:dyDescent="0.15">
      <c r="A546" s="10" t="str">
        <f t="shared" si="110"/>
        <v>337_1_0_1_polygon</v>
      </c>
      <c r="B546" s="2">
        <v>337</v>
      </c>
      <c r="C546" s="30" t="str">
        <f>VLOOKUP(B546,gachas!A:C,3)</f>
        <v>ノーマルガチャ&lt;天使in&gt;</v>
      </c>
      <c r="D546" s="21">
        <v>1</v>
      </c>
      <c r="E546" s="2">
        <v>0</v>
      </c>
      <c r="F546" s="2">
        <v>1</v>
      </c>
      <c r="G546" s="3" t="s">
        <v>22</v>
      </c>
      <c r="H546" s="2">
        <v>5</v>
      </c>
      <c r="I546" s="117" t="str">
        <f t="shared" ref="I546:I547" si="111">B546&amp;TEXT(D546,"00")&amp;E546</f>
        <v>337010</v>
      </c>
      <c r="J546" s="115" t="s">
        <v>84</v>
      </c>
      <c r="K546" s="2" t="s">
        <v>84</v>
      </c>
      <c r="L546" s="2">
        <v>0</v>
      </c>
      <c r="M546" s="2" t="s">
        <v>84</v>
      </c>
      <c r="N546" s="2" t="s">
        <v>84</v>
      </c>
      <c r="O546" s="2" t="s">
        <v>841</v>
      </c>
      <c r="P546" s="2" t="s">
        <v>84</v>
      </c>
    </row>
    <row r="547" spans="1:16" ht="21" customHeight="1" x14ac:dyDescent="0.15">
      <c r="A547" s="10" t="str">
        <f t="shared" si="110"/>
        <v>337_10_0_10_polygon</v>
      </c>
      <c r="B547" s="2">
        <v>337</v>
      </c>
      <c r="C547" s="30" t="str">
        <f>VLOOKUP(B547,gachas!A:C,3)</f>
        <v>ノーマルガチャ&lt;天使in&gt;</v>
      </c>
      <c r="D547" s="21">
        <v>10</v>
      </c>
      <c r="E547" s="2">
        <v>0</v>
      </c>
      <c r="F547" s="2">
        <v>10</v>
      </c>
      <c r="G547" s="3" t="s">
        <v>22</v>
      </c>
      <c r="H547" s="2">
        <v>50</v>
      </c>
      <c r="I547" s="114" t="str">
        <f t="shared" si="111"/>
        <v>337100</v>
      </c>
      <c r="J547" s="112" t="s">
        <v>84</v>
      </c>
      <c r="K547" s="2" t="s">
        <v>84</v>
      </c>
      <c r="L547" s="2">
        <v>0</v>
      </c>
      <c r="M547" s="2" t="s">
        <v>84</v>
      </c>
      <c r="N547" s="2" t="s">
        <v>84</v>
      </c>
      <c r="O547" s="2" t="s">
        <v>841</v>
      </c>
      <c r="P547" s="2" t="s">
        <v>143</v>
      </c>
    </row>
    <row r="548" spans="1:16" ht="21" customHeight="1" x14ac:dyDescent="0.15">
      <c r="A548" s="10" t="str">
        <f t="shared" ref="A548" si="112">B548&amp;"_"&amp;D548&amp;"_"&amp;E548&amp;"_"&amp;F548&amp;"_"&amp;G548</f>
        <v>338_10_0_10_polygon</v>
      </c>
      <c r="B548" s="2">
        <v>338</v>
      </c>
      <c r="C548" s="30" t="str">
        <f>VLOOKUP(B548,gachas!A:C,3)</f>
        <v>TVCM放送記念10連限定ガチャ</v>
      </c>
      <c r="D548" s="21">
        <v>10</v>
      </c>
      <c r="E548" s="2">
        <v>0</v>
      </c>
      <c r="F548" s="2">
        <v>10</v>
      </c>
      <c r="G548" s="3" t="s">
        <v>22</v>
      </c>
      <c r="H548" s="2">
        <v>50</v>
      </c>
      <c r="I548" s="114" t="str">
        <f t="shared" ref="I548" si="113">B548&amp;TEXT(D548,"00")&amp;E548</f>
        <v>338100</v>
      </c>
      <c r="J548" s="112" t="s">
        <v>84</v>
      </c>
      <c r="K548" s="2" t="str">
        <f>I548</f>
        <v>338100</v>
      </c>
      <c r="L548" s="2">
        <v>1</v>
      </c>
      <c r="M548" s="2" t="s">
        <v>84</v>
      </c>
      <c r="N548" s="2" t="s">
        <v>84</v>
      </c>
      <c r="O548" s="2" t="s">
        <v>841</v>
      </c>
      <c r="P548" s="2" t="s">
        <v>1440</v>
      </c>
    </row>
    <row r="549" spans="1:16" ht="21" customHeight="1" x14ac:dyDescent="0.15">
      <c r="A549" s="10" t="str">
        <f t="shared" ref="A549:A551" si="114">B549&amp;"_"&amp;D549&amp;"_"&amp;E549&amp;"_"&amp;F549&amp;"_"&amp;G549</f>
        <v>339_1_0_1_polygon</v>
      </c>
      <c r="B549" s="2">
        <v>339</v>
      </c>
      <c r="C549" s="30" t="str">
        <f>VLOOKUP(B549,gachas!A:C,3)</f>
        <v>ピックアップフィーバー&lt;八咫烏、ヘングレ&gt;</v>
      </c>
      <c r="D549" s="21">
        <v>1</v>
      </c>
      <c r="E549" s="2">
        <v>0</v>
      </c>
      <c r="F549" s="2">
        <v>1</v>
      </c>
      <c r="G549" s="3" t="s">
        <v>22</v>
      </c>
      <c r="H549" s="2">
        <v>5</v>
      </c>
      <c r="I549" s="114" t="str">
        <f t="shared" ref="I549:I551" si="115">B549&amp;TEXT(D549,"00")&amp;E549</f>
        <v>339010</v>
      </c>
      <c r="J549" s="115" t="s">
        <v>84</v>
      </c>
      <c r="K549" s="2" t="s">
        <v>84</v>
      </c>
      <c r="L549" s="2">
        <v>0</v>
      </c>
      <c r="M549" s="2" t="s">
        <v>84</v>
      </c>
      <c r="N549" s="2" t="s">
        <v>84</v>
      </c>
      <c r="O549" s="2" t="s">
        <v>841</v>
      </c>
      <c r="P549" s="2" t="s">
        <v>84</v>
      </c>
    </row>
    <row r="550" spans="1:16" ht="21" customHeight="1" x14ac:dyDescent="0.15">
      <c r="A550" s="10" t="str">
        <f t="shared" si="114"/>
        <v>339_10_1_10_polygon</v>
      </c>
      <c r="B550" s="2">
        <v>339</v>
      </c>
      <c r="C550" s="30" t="str">
        <f>VLOOKUP(B550,gachas!A:C,3)</f>
        <v>ピックアップフィーバー&lt;八咫烏、ヘングレ&gt;</v>
      </c>
      <c r="D550" s="21">
        <v>10</v>
      </c>
      <c r="E550" s="2">
        <v>1</v>
      </c>
      <c r="F550" s="2">
        <v>10</v>
      </c>
      <c r="G550" s="3" t="s">
        <v>22</v>
      </c>
      <c r="H550" s="2">
        <v>25</v>
      </c>
      <c r="I550" s="114" t="str">
        <f>I551</f>
        <v>339100</v>
      </c>
      <c r="J550" s="112" t="s">
        <v>84</v>
      </c>
      <c r="K550" s="2" t="s">
        <v>84</v>
      </c>
      <c r="L550" s="2">
        <v>0</v>
      </c>
      <c r="M550" s="2" t="s">
        <v>84</v>
      </c>
      <c r="N550" s="2" t="s">
        <v>84</v>
      </c>
      <c r="O550" s="2" t="s">
        <v>841</v>
      </c>
      <c r="P550" s="59" t="s">
        <v>548</v>
      </c>
    </row>
    <row r="551" spans="1:16" ht="21" customHeight="1" x14ac:dyDescent="0.15">
      <c r="A551" s="10" t="str">
        <f t="shared" si="114"/>
        <v>339_10_0_10_polygon</v>
      </c>
      <c r="B551" s="2">
        <v>339</v>
      </c>
      <c r="C551" s="30" t="str">
        <f>VLOOKUP(B551,gachas!A:C,3)</f>
        <v>ピックアップフィーバー&lt;八咫烏、ヘングレ&gt;</v>
      </c>
      <c r="D551" s="21">
        <v>10</v>
      </c>
      <c r="E551" s="2">
        <v>0</v>
      </c>
      <c r="F551" s="2">
        <v>10</v>
      </c>
      <c r="G551" s="3" t="s">
        <v>22</v>
      </c>
      <c r="H551" s="2">
        <v>50</v>
      </c>
      <c r="I551" s="114" t="str">
        <f t="shared" si="115"/>
        <v>339100</v>
      </c>
      <c r="J551" s="112" t="s">
        <v>84</v>
      </c>
      <c r="K551" s="2" t="s">
        <v>84</v>
      </c>
      <c r="L551" s="2">
        <v>0</v>
      </c>
      <c r="M551" s="2" t="s">
        <v>84</v>
      </c>
      <c r="N551" s="2" t="s">
        <v>84</v>
      </c>
      <c r="O551" s="2" t="s">
        <v>841</v>
      </c>
      <c r="P551" s="2" t="s">
        <v>143</v>
      </c>
    </row>
    <row r="552" spans="1:16" ht="21" customHeight="1" x14ac:dyDescent="0.15">
      <c r="A552" s="10" t="str">
        <f t="shared" ref="A552:A553" si="116">B552&amp;"_"&amp;D552&amp;"_"&amp;E552&amp;"_"&amp;F552&amp;"_"&amp;G552</f>
        <v>340_1_0_1_polygon</v>
      </c>
      <c r="B552" s="2">
        <v>340</v>
      </c>
      <c r="C552" s="30" t="str">
        <f>VLOOKUP(B552,gachas!A:C,3)</f>
        <v>TVCM放送記念フェス&lt;ファラ、ハーシェル&gt;</v>
      </c>
      <c r="D552" s="21">
        <v>1</v>
      </c>
      <c r="E552" s="2">
        <v>0</v>
      </c>
      <c r="F552" s="2">
        <v>1</v>
      </c>
      <c r="G552" s="3" t="s">
        <v>22</v>
      </c>
      <c r="H552" s="2">
        <v>5</v>
      </c>
      <c r="I552" s="119" t="str">
        <f>I553</f>
        <v>340100</v>
      </c>
      <c r="J552" s="112" t="s">
        <v>84</v>
      </c>
      <c r="K552" s="2" t="s">
        <v>84</v>
      </c>
      <c r="L552" s="2">
        <v>0</v>
      </c>
      <c r="M552" s="2" t="s">
        <v>84</v>
      </c>
      <c r="N552" s="2" t="s">
        <v>84</v>
      </c>
      <c r="O552" s="2" t="s">
        <v>841</v>
      </c>
      <c r="P552" s="2" t="s">
        <v>691</v>
      </c>
    </row>
    <row r="553" spans="1:16" ht="21" customHeight="1" x14ac:dyDescent="0.15">
      <c r="A553" s="10" t="str">
        <f t="shared" si="116"/>
        <v>340_10_0_10_polygon</v>
      </c>
      <c r="B553" s="2">
        <v>340</v>
      </c>
      <c r="C553" s="30" t="str">
        <f>VLOOKUP(B553,gachas!A:C,3)</f>
        <v>TVCM放送記念フェス&lt;ファラ、ハーシェル&gt;</v>
      </c>
      <c r="D553" s="21">
        <v>10</v>
      </c>
      <c r="E553" s="2">
        <v>0</v>
      </c>
      <c r="F553" s="2">
        <v>10</v>
      </c>
      <c r="G553" s="3" t="s">
        <v>22</v>
      </c>
      <c r="H553" s="2">
        <v>50</v>
      </c>
      <c r="I553" s="114" t="str">
        <f>B553&amp;TEXT(D553,"00")&amp;E553</f>
        <v>340100</v>
      </c>
      <c r="J553" s="112" t="s">
        <v>84</v>
      </c>
      <c r="K553" s="2" t="str">
        <f>I553</f>
        <v>340100</v>
      </c>
      <c r="L553" s="2">
        <v>1</v>
      </c>
      <c r="M553" s="2" t="s">
        <v>84</v>
      </c>
      <c r="N553" s="2" t="s">
        <v>84</v>
      </c>
      <c r="O553" s="2" t="s">
        <v>841</v>
      </c>
      <c r="P553" s="2" t="s">
        <v>378</v>
      </c>
    </row>
    <row r="554" spans="1:16" ht="21" customHeight="1" x14ac:dyDescent="0.15">
      <c r="A554" s="10" t="str">
        <f t="shared" ref="A554:A555" si="117">B554&amp;"_"&amp;D554&amp;"_"&amp;E554&amp;"_"&amp;F554&amp;"_"&amp;G554</f>
        <v>341_1_0_1_polygon</v>
      </c>
      <c r="B554" s="2">
        <v>341</v>
      </c>
      <c r="C554" s="30" t="str">
        <f>VLOOKUP(B554,gachas!A:C,3)</f>
        <v>TVCM放送記念フェス&lt;ハイゼン、メビ&gt;</v>
      </c>
      <c r="D554" s="21">
        <v>1</v>
      </c>
      <c r="E554" s="2">
        <v>0</v>
      </c>
      <c r="F554" s="2">
        <v>1</v>
      </c>
      <c r="G554" s="3" t="s">
        <v>22</v>
      </c>
      <c r="H554" s="2">
        <v>5</v>
      </c>
      <c r="I554" s="119" t="str">
        <f>I555</f>
        <v>341100</v>
      </c>
      <c r="J554" s="112" t="s">
        <v>84</v>
      </c>
      <c r="K554" s="2" t="s">
        <v>84</v>
      </c>
      <c r="L554" s="2">
        <v>0</v>
      </c>
      <c r="M554" s="2" t="s">
        <v>84</v>
      </c>
      <c r="N554" s="2" t="s">
        <v>84</v>
      </c>
      <c r="O554" s="2" t="s">
        <v>841</v>
      </c>
      <c r="P554" s="2" t="s">
        <v>691</v>
      </c>
    </row>
    <row r="555" spans="1:16" ht="21" customHeight="1" x14ac:dyDescent="0.15">
      <c r="A555" s="10" t="str">
        <f t="shared" si="117"/>
        <v>341_10_0_10_polygon</v>
      </c>
      <c r="B555" s="2">
        <v>341</v>
      </c>
      <c r="C555" s="30" t="str">
        <f>VLOOKUP(B555,gachas!A:C,3)</f>
        <v>TVCM放送記念フェス&lt;ハイゼン、メビ&gt;</v>
      </c>
      <c r="D555" s="21">
        <v>10</v>
      </c>
      <c r="E555" s="2">
        <v>0</v>
      </c>
      <c r="F555" s="2">
        <v>10</v>
      </c>
      <c r="G555" s="3" t="s">
        <v>22</v>
      </c>
      <c r="H555" s="2">
        <v>50</v>
      </c>
      <c r="I555" s="114" t="str">
        <f>B555&amp;TEXT(D555,"00")&amp;E555</f>
        <v>341100</v>
      </c>
      <c r="J555" s="112" t="s">
        <v>84</v>
      </c>
      <c r="K555" s="2" t="str">
        <f>I555</f>
        <v>341100</v>
      </c>
      <c r="L555" s="2">
        <v>1</v>
      </c>
      <c r="M555" s="2" t="s">
        <v>84</v>
      </c>
      <c r="N555" s="2" t="s">
        <v>84</v>
      </c>
      <c r="O555" s="2" t="s">
        <v>841</v>
      </c>
      <c r="P555" s="2" t="s">
        <v>378</v>
      </c>
    </row>
    <row r="556" spans="1:16" ht="21" customHeight="1" x14ac:dyDescent="0.15">
      <c r="A556" s="10" t="str">
        <f t="shared" ref="A556:A557" si="118">B556&amp;"_"&amp;D556&amp;"_"&amp;E556&amp;"_"&amp;F556&amp;"_"&amp;G556</f>
        <v>342_1_0_1_polygon</v>
      </c>
      <c r="B556" s="2">
        <v>342</v>
      </c>
      <c r="C556" s="30" t="str">
        <f>VLOOKUP(B556,gachas!A:C,3)</f>
        <v>超フィーバーフェス（オイラーUP）</v>
      </c>
      <c r="D556" s="21">
        <v>1</v>
      </c>
      <c r="E556" s="2">
        <v>0</v>
      </c>
      <c r="F556" s="2">
        <v>1</v>
      </c>
      <c r="G556" s="3" t="s">
        <v>22</v>
      </c>
      <c r="H556" s="2">
        <v>5</v>
      </c>
      <c r="I556" s="119" t="str">
        <f>I557</f>
        <v>342100</v>
      </c>
      <c r="J556" s="112" t="s">
        <v>84</v>
      </c>
      <c r="K556" s="2" t="s">
        <v>84</v>
      </c>
      <c r="L556" s="2">
        <v>0</v>
      </c>
      <c r="M556" s="2" t="s">
        <v>84</v>
      </c>
      <c r="N556" s="2" t="s">
        <v>84</v>
      </c>
      <c r="O556" s="2" t="s">
        <v>841</v>
      </c>
      <c r="P556" s="2" t="s">
        <v>691</v>
      </c>
    </row>
    <row r="557" spans="1:16" ht="21" customHeight="1" x14ac:dyDescent="0.15">
      <c r="A557" s="10" t="str">
        <f t="shared" si="118"/>
        <v>342_10_0_10_polygon</v>
      </c>
      <c r="B557" s="2">
        <v>342</v>
      </c>
      <c r="C557" s="30" t="str">
        <f>VLOOKUP(B557,gachas!A:C,3)</f>
        <v>超フィーバーフェス（オイラーUP）</v>
      </c>
      <c r="D557" s="21">
        <v>10</v>
      </c>
      <c r="E557" s="2">
        <v>0</v>
      </c>
      <c r="F557" s="2">
        <v>10</v>
      </c>
      <c r="G557" s="3" t="s">
        <v>22</v>
      </c>
      <c r="H557" s="2">
        <v>50</v>
      </c>
      <c r="I557" s="114" t="str">
        <f>B557&amp;TEXT(D557,"00")&amp;E557</f>
        <v>342100</v>
      </c>
      <c r="J557" s="112" t="s">
        <v>84</v>
      </c>
      <c r="K557" s="2" t="str">
        <f>I557</f>
        <v>342100</v>
      </c>
      <c r="L557" s="2">
        <v>1</v>
      </c>
      <c r="M557" s="2" t="s">
        <v>84</v>
      </c>
      <c r="N557" s="2" t="s">
        <v>84</v>
      </c>
      <c r="O557" s="2" t="s">
        <v>841</v>
      </c>
      <c r="P557" s="2" t="s">
        <v>378</v>
      </c>
    </row>
    <row r="558" spans="1:16" ht="21" customHeight="1" x14ac:dyDescent="0.15">
      <c r="A558" s="10" t="str">
        <f t="shared" ref="A558:A561" si="119">B558&amp;"_"&amp;D558&amp;"_"&amp;E558&amp;"_"&amp;F558&amp;"_"&amp;G558</f>
        <v>343_1_0_1_polygon</v>
      </c>
      <c r="B558" s="2">
        <v>343</v>
      </c>
      <c r="C558" s="30" t="str">
        <f>VLOOKUP(B558,gachas!A:C,3)</f>
        <v>超フィーバーフェス（クロネッカーUP）</v>
      </c>
      <c r="D558" s="21">
        <v>1</v>
      </c>
      <c r="E558" s="2">
        <v>0</v>
      </c>
      <c r="F558" s="2">
        <v>1</v>
      </c>
      <c r="G558" s="3" t="s">
        <v>22</v>
      </c>
      <c r="H558" s="2">
        <v>5</v>
      </c>
      <c r="I558" s="119" t="str">
        <f>I559</f>
        <v>343100</v>
      </c>
      <c r="J558" s="112" t="s">
        <v>84</v>
      </c>
      <c r="K558" s="2" t="s">
        <v>84</v>
      </c>
      <c r="L558" s="2">
        <v>0</v>
      </c>
      <c r="M558" s="2" t="s">
        <v>84</v>
      </c>
      <c r="N558" s="2" t="s">
        <v>84</v>
      </c>
      <c r="O558" s="2" t="s">
        <v>841</v>
      </c>
      <c r="P558" s="2" t="s">
        <v>691</v>
      </c>
    </row>
    <row r="559" spans="1:16" ht="21" customHeight="1" x14ac:dyDescent="0.15">
      <c r="A559" s="10" t="str">
        <f t="shared" si="119"/>
        <v>343_10_0_10_polygon</v>
      </c>
      <c r="B559" s="2">
        <v>343</v>
      </c>
      <c r="C559" s="30" t="str">
        <f>VLOOKUP(B559,gachas!A:C,3)</f>
        <v>超フィーバーフェス（クロネッカーUP）</v>
      </c>
      <c r="D559" s="21">
        <v>10</v>
      </c>
      <c r="E559" s="2">
        <v>0</v>
      </c>
      <c r="F559" s="2">
        <v>10</v>
      </c>
      <c r="G559" s="3" t="s">
        <v>22</v>
      </c>
      <c r="H559" s="2">
        <v>50</v>
      </c>
      <c r="I559" s="114" t="str">
        <f>B559&amp;TEXT(D559,"00")&amp;E559</f>
        <v>343100</v>
      </c>
      <c r="J559" s="112" t="s">
        <v>84</v>
      </c>
      <c r="K559" s="2" t="str">
        <f>I559</f>
        <v>343100</v>
      </c>
      <c r="L559" s="2">
        <v>1</v>
      </c>
      <c r="M559" s="2" t="s">
        <v>84</v>
      </c>
      <c r="N559" s="2" t="s">
        <v>84</v>
      </c>
      <c r="O559" s="2" t="s">
        <v>841</v>
      </c>
      <c r="P559" s="2" t="s">
        <v>378</v>
      </c>
    </row>
    <row r="560" spans="1:16" ht="21" customHeight="1" x14ac:dyDescent="0.15">
      <c r="A560" s="10" t="str">
        <f t="shared" si="119"/>
        <v>344_1_0_1_polygon</v>
      </c>
      <c r="B560" s="2">
        <v>344</v>
      </c>
      <c r="C560" s="30" t="str">
        <f>VLOOKUP(B560,gachas!A:C,3)</f>
        <v>超フィーバーフェス（ユークリッドUP）</v>
      </c>
      <c r="D560" s="21">
        <v>1</v>
      </c>
      <c r="E560" s="2">
        <v>0</v>
      </c>
      <c r="F560" s="2">
        <v>1</v>
      </c>
      <c r="G560" s="3" t="s">
        <v>22</v>
      </c>
      <c r="H560" s="2">
        <v>5</v>
      </c>
      <c r="I560" s="119" t="str">
        <f>I561</f>
        <v>344100</v>
      </c>
      <c r="J560" s="112" t="s">
        <v>84</v>
      </c>
      <c r="K560" s="2" t="s">
        <v>84</v>
      </c>
      <c r="L560" s="2">
        <v>0</v>
      </c>
      <c r="M560" s="2" t="s">
        <v>84</v>
      </c>
      <c r="N560" s="2" t="s">
        <v>84</v>
      </c>
      <c r="O560" s="2" t="s">
        <v>841</v>
      </c>
      <c r="P560" s="2" t="s">
        <v>691</v>
      </c>
    </row>
    <row r="561" spans="1:16" ht="21" customHeight="1" x14ac:dyDescent="0.15">
      <c r="A561" s="10" t="str">
        <f t="shared" si="119"/>
        <v>344_10_0_10_polygon</v>
      </c>
      <c r="B561" s="2">
        <v>344</v>
      </c>
      <c r="C561" s="30" t="str">
        <f>VLOOKUP(B561,gachas!A:C,3)</f>
        <v>超フィーバーフェス（ユークリッドUP）</v>
      </c>
      <c r="D561" s="21">
        <v>10</v>
      </c>
      <c r="E561" s="2">
        <v>0</v>
      </c>
      <c r="F561" s="2">
        <v>10</v>
      </c>
      <c r="G561" s="3" t="s">
        <v>22</v>
      </c>
      <c r="H561" s="2">
        <v>50</v>
      </c>
      <c r="I561" s="114" t="str">
        <f>B561&amp;TEXT(D561,"00")&amp;E561</f>
        <v>344100</v>
      </c>
      <c r="J561" s="112" t="s">
        <v>84</v>
      </c>
      <c r="K561" s="2" t="str">
        <f>I561</f>
        <v>344100</v>
      </c>
      <c r="L561" s="2">
        <v>1</v>
      </c>
      <c r="M561" s="2" t="s">
        <v>84</v>
      </c>
      <c r="N561" s="2" t="s">
        <v>84</v>
      </c>
      <c r="O561" s="2" t="s">
        <v>841</v>
      </c>
      <c r="P561" s="2" t="s">
        <v>378</v>
      </c>
    </row>
    <row r="562" spans="1:16" ht="21" customHeight="1" x14ac:dyDescent="0.15">
      <c r="A562" s="10" t="str">
        <f t="shared" ref="A562:A563" si="120">B562&amp;"_"&amp;D562&amp;"_"&amp;E562&amp;"_"&amp;F562&amp;"_"&amp;G562</f>
        <v>345_1_0_1_polygon</v>
      </c>
      <c r="B562" s="2">
        <v>345</v>
      </c>
      <c r="C562" s="30" t="str">
        <f>VLOOKUP(B562,gachas!A:C,3)</f>
        <v>超フィーバーフェス（ラグランジュUP）</v>
      </c>
      <c r="D562" s="21">
        <v>1</v>
      </c>
      <c r="E562" s="2">
        <v>0</v>
      </c>
      <c r="F562" s="2">
        <v>1</v>
      </c>
      <c r="G562" s="3" t="s">
        <v>22</v>
      </c>
      <c r="H562" s="2">
        <v>5</v>
      </c>
      <c r="I562" s="119" t="str">
        <f>I563</f>
        <v>345100</v>
      </c>
      <c r="J562" s="112" t="s">
        <v>84</v>
      </c>
      <c r="K562" s="2" t="s">
        <v>84</v>
      </c>
      <c r="L562" s="2">
        <v>0</v>
      </c>
      <c r="M562" s="2" t="s">
        <v>84</v>
      </c>
      <c r="N562" s="2" t="s">
        <v>84</v>
      </c>
      <c r="O562" s="2" t="s">
        <v>841</v>
      </c>
      <c r="P562" s="2" t="s">
        <v>691</v>
      </c>
    </row>
    <row r="563" spans="1:16" ht="21" customHeight="1" x14ac:dyDescent="0.15">
      <c r="A563" s="10" t="str">
        <f t="shared" si="120"/>
        <v>345_10_0_10_polygon</v>
      </c>
      <c r="B563" s="2">
        <v>345</v>
      </c>
      <c r="C563" s="30" t="str">
        <f>VLOOKUP(B563,gachas!A:C,3)</f>
        <v>超フィーバーフェス（ラグランジュUP）</v>
      </c>
      <c r="D563" s="21">
        <v>10</v>
      </c>
      <c r="E563" s="2">
        <v>0</v>
      </c>
      <c r="F563" s="2">
        <v>10</v>
      </c>
      <c r="G563" s="3" t="s">
        <v>22</v>
      </c>
      <c r="H563" s="2">
        <v>50</v>
      </c>
      <c r="I563" s="114" t="str">
        <f>B563&amp;TEXT(D563,"00")&amp;E563</f>
        <v>345100</v>
      </c>
      <c r="J563" s="112" t="s">
        <v>84</v>
      </c>
      <c r="K563" s="2" t="str">
        <f>I563</f>
        <v>345100</v>
      </c>
      <c r="L563" s="2">
        <v>1</v>
      </c>
      <c r="M563" s="2" t="s">
        <v>84</v>
      </c>
      <c r="N563" s="2" t="s">
        <v>84</v>
      </c>
      <c r="O563" s="2" t="s">
        <v>841</v>
      </c>
      <c r="P563" s="2" t="s">
        <v>378</v>
      </c>
    </row>
    <row r="564" spans="1:16" ht="21" customHeight="1" x14ac:dyDescent="0.15">
      <c r="A564" s="10" t="str">
        <f t="shared" ref="A564:A578" si="121">B564&amp;"_"&amp;D564&amp;"_"&amp;E564&amp;"_"&amp;F564&amp;"_"&amp;G564</f>
        <v>346_10_0_5_polygon</v>
      </c>
      <c r="B564" s="2">
        <v>346</v>
      </c>
      <c r="C564" s="30" t="str">
        <f>VLOOKUP(B564,gachas!A:C,3)</f>
        <v>新キャラ追加&lt;グリム&gt;</v>
      </c>
      <c r="D564" s="21">
        <v>10</v>
      </c>
      <c r="E564" s="2">
        <v>0</v>
      </c>
      <c r="F564" s="2">
        <v>5</v>
      </c>
      <c r="G564" s="3" t="s">
        <v>22</v>
      </c>
      <c r="H564" s="2">
        <v>25</v>
      </c>
      <c r="I564" s="114" t="str">
        <f>B564&amp;TEXT(D564,"00")&amp;E564</f>
        <v>346100</v>
      </c>
      <c r="J564" s="112" t="s">
        <v>84</v>
      </c>
      <c r="K564" s="2" t="str">
        <f>I564</f>
        <v>346100</v>
      </c>
      <c r="L564" s="2">
        <v>1</v>
      </c>
      <c r="M564" s="2" t="s">
        <v>84</v>
      </c>
      <c r="N564" s="2" t="s">
        <v>84</v>
      </c>
      <c r="O564" s="2" t="s">
        <v>841</v>
      </c>
      <c r="P564" s="2" t="s">
        <v>620</v>
      </c>
    </row>
    <row r="565" spans="1:16" ht="21" customHeight="1" x14ac:dyDescent="0.15">
      <c r="A565" s="10" t="str">
        <f t="shared" si="121"/>
        <v>347_1_1_1_polygon</v>
      </c>
      <c r="B565" s="2">
        <v>347</v>
      </c>
      <c r="C565" s="30" t="str">
        <f>VLOOKUP(B565,gachas!A:C,3)</f>
        <v>ノーマルガチャ&lt;グリム2in&gt;</v>
      </c>
      <c r="D565" s="21">
        <v>1</v>
      </c>
      <c r="E565" s="2">
        <v>1</v>
      </c>
      <c r="F565" s="2">
        <v>1</v>
      </c>
      <c r="G565" s="3" t="s">
        <v>22</v>
      </c>
      <c r="H565" s="2">
        <v>5</v>
      </c>
      <c r="I565" s="119" t="str">
        <f>I567</f>
        <v>347100</v>
      </c>
      <c r="J565" s="115" t="s">
        <v>84</v>
      </c>
      <c r="K565" s="2" t="s">
        <v>84</v>
      </c>
      <c r="L565" s="2">
        <v>0</v>
      </c>
      <c r="M565" s="2" t="s">
        <v>84</v>
      </c>
      <c r="N565" s="2" t="s">
        <v>84</v>
      </c>
      <c r="O565" s="2" t="s">
        <v>841</v>
      </c>
      <c r="P565" s="2" t="s">
        <v>142</v>
      </c>
    </row>
    <row r="566" spans="1:16" ht="21" customHeight="1" x14ac:dyDescent="0.15">
      <c r="A566" s="10" t="str">
        <f t="shared" si="121"/>
        <v>347_1_0_1_polygon</v>
      </c>
      <c r="B566" s="2">
        <v>347</v>
      </c>
      <c r="C566" s="30" t="str">
        <f>VLOOKUP(B566,gachas!A:C,3)</f>
        <v>ノーマルガチャ&lt;グリム2in&gt;</v>
      </c>
      <c r="D566" s="21">
        <v>1</v>
      </c>
      <c r="E566" s="2">
        <v>0</v>
      </c>
      <c r="F566" s="2">
        <v>1</v>
      </c>
      <c r="G566" s="3" t="s">
        <v>22</v>
      </c>
      <c r="H566" s="2">
        <v>5</v>
      </c>
      <c r="I566" s="117" t="str">
        <f t="shared" ref="I566:I568" si="122">B566&amp;TEXT(D566,"00")&amp;E566</f>
        <v>347010</v>
      </c>
      <c r="J566" s="115" t="s">
        <v>84</v>
      </c>
      <c r="K566" s="2" t="s">
        <v>84</v>
      </c>
      <c r="L566" s="2">
        <v>0</v>
      </c>
      <c r="M566" s="2" t="s">
        <v>84</v>
      </c>
      <c r="N566" s="2" t="s">
        <v>84</v>
      </c>
      <c r="O566" s="2" t="s">
        <v>841</v>
      </c>
      <c r="P566" s="2" t="s">
        <v>84</v>
      </c>
    </row>
    <row r="567" spans="1:16" ht="21" customHeight="1" x14ac:dyDescent="0.15">
      <c r="A567" s="10" t="str">
        <f t="shared" si="121"/>
        <v>347_10_0_10_polygon</v>
      </c>
      <c r="B567" s="2">
        <v>347</v>
      </c>
      <c r="C567" s="30" t="str">
        <f>VLOOKUP(B567,gachas!A:C,3)</f>
        <v>ノーマルガチャ&lt;グリム2in&gt;</v>
      </c>
      <c r="D567" s="21">
        <v>10</v>
      </c>
      <c r="E567" s="2">
        <v>0</v>
      </c>
      <c r="F567" s="2">
        <v>10</v>
      </c>
      <c r="G567" s="3" t="s">
        <v>22</v>
      </c>
      <c r="H567" s="2">
        <v>50</v>
      </c>
      <c r="I567" s="114" t="str">
        <f t="shared" si="122"/>
        <v>347100</v>
      </c>
      <c r="J567" s="112" t="s">
        <v>84</v>
      </c>
      <c r="K567" s="2" t="s">
        <v>84</v>
      </c>
      <c r="L567" s="2">
        <v>0</v>
      </c>
      <c r="M567" s="2" t="s">
        <v>84</v>
      </c>
      <c r="N567" s="2" t="s">
        <v>84</v>
      </c>
      <c r="O567" s="2" t="s">
        <v>841</v>
      </c>
      <c r="P567" s="2" t="s">
        <v>143</v>
      </c>
    </row>
    <row r="568" spans="1:16" ht="21" customHeight="1" x14ac:dyDescent="0.15">
      <c r="A568" s="10" t="str">
        <f t="shared" si="121"/>
        <v>348_1_0_1_polygon</v>
      </c>
      <c r="B568" s="2">
        <v>348</v>
      </c>
      <c r="C568" s="30" t="str">
        <f>VLOOKUP(B568,gachas!A:C,3)</f>
        <v>ピックアップ&lt;モルド、D.R.T.H&gt;</v>
      </c>
      <c r="D568" s="21">
        <v>1</v>
      </c>
      <c r="E568" s="2">
        <v>0</v>
      </c>
      <c r="F568" s="2">
        <v>1</v>
      </c>
      <c r="G568" s="3" t="s">
        <v>22</v>
      </c>
      <c r="H568" s="2">
        <v>5</v>
      </c>
      <c r="I568" s="114" t="str">
        <f t="shared" si="122"/>
        <v>348010</v>
      </c>
      <c r="J568" s="115" t="s">
        <v>84</v>
      </c>
      <c r="K568" s="2" t="s">
        <v>84</v>
      </c>
      <c r="L568" s="2">
        <v>0</v>
      </c>
      <c r="M568" s="2" t="s">
        <v>84</v>
      </c>
      <c r="N568" s="2" t="s">
        <v>84</v>
      </c>
      <c r="O568" s="2" t="s">
        <v>841</v>
      </c>
      <c r="P568" s="2" t="s">
        <v>84</v>
      </c>
    </row>
    <row r="569" spans="1:16" ht="21" customHeight="1" x14ac:dyDescent="0.15">
      <c r="A569" s="10" t="str">
        <f t="shared" si="121"/>
        <v>348_10_1_10_polygon</v>
      </c>
      <c r="B569" s="2">
        <v>348</v>
      </c>
      <c r="C569" s="30" t="str">
        <f>VLOOKUP(B569,gachas!A:C,3)</f>
        <v>ピックアップ&lt;モルド、D.R.T.H&gt;</v>
      </c>
      <c r="D569" s="21">
        <v>10</v>
      </c>
      <c r="E569" s="2">
        <v>1</v>
      </c>
      <c r="F569" s="2">
        <v>10</v>
      </c>
      <c r="G569" s="3" t="s">
        <v>22</v>
      </c>
      <c r="H569" s="2">
        <v>25</v>
      </c>
      <c r="I569" s="114" t="str">
        <f>I570</f>
        <v>348100</v>
      </c>
      <c r="J569" s="112" t="s">
        <v>84</v>
      </c>
      <c r="K569" s="2" t="s">
        <v>84</v>
      </c>
      <c r="L569" s="2">
        <v>0</v>
      </c>
      <c r="M569" s="2" t="s">
        <v>84</v>
      </c>
      <c r="N569" s="2" t="s">
        <v>84</v>
      </c>
      <c r="O569" s="2" t="s">
        <v>841</v>
      </c>
      <c r="P569" s="59" t="s">
        <v>548</v>
      </c>
    </row>
    <row r="570" spans="1:16" ht="21" customHeight="1" x14ac:dyDescent="0.15">
      <c r="A570" s="10" t="str">
        <f t="shared" si="121"/>
        <v>348_10_0_10_polygon</v>
      </c>
      <c r="B570" s="2">
        <v>348</v>
      </c>
      <c r="C570" s="30" t="str">
        <f>VLOOKUP(B570,gachas!A:C,3)</f>
        <v>ピックアップ&lt;モルド、D.R.T.H&gt;</v>
      </c>
      <c r="D570" s="21">
        <v>10</v>
      </c>
      <c r="E570" s="2">
        <v>0</v>
      </c>
      <c r="F570" s="2">
        <v>10</v>
      </c>
      <c r="G570" s="3" t="s">
        <v>22</v>
      </c>
      <c r="H570" s="2">
        <v>50</v>
      </c>
      <c r="I570" s="114" t="str">
        <f t="shared" ref="I570" si="123">B570&amp;TEXT(D570,"00")&amp;E570</f>
        <v>348100</v>
      </c>
      <c r="J570" s="112" t="s">
        <v>84</v>
      </c>
      <c r="K570" s="2" t="s">
        <v>84</v>
      </c>
      <c r="L570" s="2">
        <v>0</v>
      </c>
      <c r="M570" s="2" t="s">
        <v>84</v>
      </c>
      <c r="N570" s="2" t="s">
        <v>84</v>
      </c>
      <c r="O570" s="2" t="s">
        <v>841</v>
      </c>
      <c r="P570" s="2" t="s">
        <v>143</v>
      </c>
    </row>
    <row r="571" spans="1:16" ht="21" customHeight="1" x14ac:dyDescent="0.15">
      <c r="A571" s="10" t="str">
        <f t="shared" si="121"/>
        <v>349_10_1_1_polygon</v>
      </c>
      <c r="B571" s="2">
        <v>349</v>
      </c>
      <c r="C571" s="30" t="str">
        <f>VLOOKUP(B571,gachas!A:C,3)</f>
        <v>ステップアップ&lt;ブール&gt;</v>
      </c>
      <c r="D571" s="21">
        <v>10</v>
      </c>
      <c r="E571" s="2">
        <v>1</v>
      </c>
      <c r="F571" s="2">
        <v>1</v>
      </c>
      <c r="G571" s="3" t="s">
        <v>22</v>
      </c>
      <c r="H571" s="2">
        <v>1</v>
      </c>
      <c r="I571" s="114" t="str">
        <f>B571&amp;TEXT(D571,"00")&amp;E571</f>
        <v>349101</v>
      </c>
      <c r="J571" s="112" t="s">
        <v>84</v>
      </c>
      <c r="K571" s="47" t="s">
        <v>84</v>
      </c>
      <c r="L571" s="2">
        <v>0</v>
      </c>
      <c r="M571" s="2" t="s">
        <v>84</v>
      </c>
      <c r="N571" s="2" t="s">
        <v>84</v>
      </c>
      <c r="O571" s="2" t="s">
        <v>841</v>
      </c>
      <c r="P571" s="2" t="s">
        <v>546</v>
      </c>
    </row>
    <row r="572" spans="1:16" ht="21" customHeight="1" x14ac:dyDescent="0.15">
      <c r="A572" s="10" t="str">
        <f t="shared" si="121"/>
        <v>349_10_2_3_polygon</v>
      </c>
      <c r="B572" s="2">
        <v>349</v>
      </c>
      <c r="C572" s="30" t="str">
        <f>VLOOKUP(B572,gachas!A:C,3)</f>
        <v>ステップアップ&lt;ブール&gt;</v>
      </c>
      <c r="D572" s="21">
        <v>10</v>
      </c>
      <c r="E572" s="2">
        <v>2</v>
      </c>
      <c r="F572" s="2">
        <v>3</v>
      </c>
      <c r="G572" s="3" t="s">
        <v>22</v>
      </c>
      <c r="H572" s="2">
        <v>9</v>
      </c>
      <c r="I572" s="119" t="str">
        <f>I571</f>
        <v>349101</v>
      </c>
      <c r="J572" s="112" t="s">
        <v>84</v>
      </c>
      <c r="K572" s="47" t="s">
        <v>84</v>
      </c>
      <c r="L572" s="2">
        <v>0</v>
      </c>
      <c r="M572" s="2" t="s">
        <v>84</v>
      </c>
      <c r="N572" s="2" t="s">
        <v>84</v>
      </c>
      <c r="O572" s="2" t="s">
        <v>841</v>
      </c>
      <c r="P572" s="2" t="s">
        <v>527</v>
      </c>
    </row>
    <row r="573" spans="1:16" ht="21" customHeight="1" x14ac:dyDescent="0.15">
      <c r="A573" s="10" t="str">
        <f t="shared" si="121"/>
        <v>349_10_3_10_polygon</v>
      </c>
      <c r="B573" s="2">
        <v>349</v>
      </c>
      <c r="C573" s="30" t="str">
        <f>VLOOKUP(B573,gachas!A:C,3)</f>
        <v>ステップアップ&lt;ブール&gt;</v>
      </c>
      <c r="D573" s="21">
        <v>10</v>
      </c>
      <c r="E573" s="2">
        <v>3</v>
      </c>
      <c r="F573" s="2">
        <v>10</v>
      </c>
      <c r="G573" s="3" t="s">
        <v>22</v>
      </c>
      <c r="H573" s="2">
        <v>35</v>
      </c>
      <c r="I573" s="114" t="str">
        <f>B573&amp;TEXT(D573,"00")&amp;E573</f>
        <v>349103</v>
      </c>
      <c r="J573" s="125" t="s">
        <v>907</v>
      </c>
      <c r="K573" s="47" t="s">
        <v>905</v>
      </c>
      <c r="L573" s="2">
        <v>1</v>
      </c>
      <c r="M573" s="2" t="s">
        <v>84</v>
      </c>
      <c r="N573" s="2" t="s">
        <v>84</v>
      </c>
      <c r="O573" s="2" t="s">
        <v>841</v>
      </c>
      <c r="P573" s="2" t="s">
        <v>528</v>
      </c>
    </row>
    <row r="574" spans="1:16" ht="21" customHeight="1" x14ac:dyDescent="0.15">
      <c r="A574" s="10" t="str">
        <f t="shared" si="121"/>
        <v>349_10_4_10_polygon</v>
      </c>
      <c r="B574" s="2">
        <v>349</v>
      </c>
      <c r="C574" s="30" t="str">
        <f>VLOOKUP(B574,gachas!A:C,3)</f>
        <v>ステップアップ&lt;ブール&gt;</v>
      </c>
      <c r="D574" s="21">
        <v>10</v>
      </c>
      <c r="E574" s="2">
        <v>4</v>
      </c>
      <c r="F574" s="2">
        <v>10</v>
      </c>
      <c r="G574" s="3" t="s">
        <v>22</v>
      </c>
      <c r="H574" s="2">
        <v>50</v>
      </c>
      <c r="I574" s="114" t="str">
        <f t="shared" ref="I574:I575" si="124">B574&amp;TEXT(D574,"00")&amp;E574</f>
        <v>349104</v>
      </c>
      <c r="J574" s="125" t="str">
        <f t="shared" ref="J574:J575" si="125">I574</f>
        <v>349104</v>
      </c>
      <c r="K574" s="47" t="s">
        <v>84</v>
      </c>
      <c r="L574" s="2">
        <v>0</v>
      </c>
      <c r="M574" s="2" t="s">
        <v>84</v>
      </c>
      <c r="N574" s="2" t="s">
        <v>84</v>
      </c>
      <c r="O574" s="2" t="s">
        <v>841</v>
      </c>
      <c r="P574" s="2" t="s">
        <v>909</v>
      </c>
    </row>
    <row r="575" spans="1:16" ht="21" customHeight="1" x14ac:dyDescent="0.15">
      <c r="A575" s="10" t="str">
        <f t="shared" si="121"/>
        <v>349_10_5_10_polygon</v>
      </c>
      <c r="B575" s="2">
        <v>349</v>
      </c>
      <c r="C575" s="30" t="str">
        <f>VLOOKUP(B575,gachas!A:C,3)</f>
        <v>ステップアップ&lt;ブール&gt;</v>
      </c>
      <c r="D575" s="21">
        <v>10</v>
      </c>
      <c r="E575" s="2">
        <v>5</v>
      </c>
      <c r="F575" s="2">
        <v>10</v>
      </c>
      <c r="G575" s="3" t="s">
        <v>22</v>
      </c>
      <c r="H575" s="2">
        <v>50</v>
      </c>
      <c r="I575" s="114" t="str">
        <f t="shared" si="124"/>
        <v>349105</v>
      </c>
      <c r="J575" s="125" t="str">
        <f t="shared" si="125"/>
        <v>349105</v>
      </c>
      <c r="K575" s="76" t="s">
        <v>906</v>
      </c>
      <c r="L575" s="2">
        <v>0</v>
      </c>
      <c r="M575" s="2" t="s">
        <v>84</v>
      </c>
      <c r="N575" s="2" t="s">
        <v>84</v>
      </c>
      <c r="O575" s="2" t="s">
        <v>841</v>
      </c>
      <c r="P575" s="2" t="s">
        <v>910</v>
      </c>
    </row>
    <row r="576" spans="1:16" ht="21" customHeight="1" x14ac:dyDescent="0.15">
      <c r="A576" s="10" t="str">
        <f t="shared" si="121"/>
        <v>349_10_0_10_polygon</v>
      </c>
      <c r="B576" s="2">
        <v>349</v>
      </c>
      <c r="C576" s="30" t="str">
        <f>VLOOKUP(B576,gachas!A:C,3)</f>
        <v>ステップアップ&lt;ブール&gt;</v>
      </c>
      <c r="D576" s="21">
        <v>10</v>
      </c>
      <c r="E576" s="2">
        <v>0</v>
      </c>
      <c r="F576" s="2">
        <v>10</v>
      </c>
      <c r="G576" s="3" t="s">
        <v>22</v>
      </c>
      <c r="H576" s="2">
        <v>50</v>
      </c>
      <c r="I576" s="114" t="str">
        <f t="shared" ref="I576" si="126">B576&amp;TEXT(D576,"00")&amp;E576</f>
        <v>349100</v>
      </c>
      <c r="J576" s="112" t="s">
        <v>84</v>
      </c>
      <c r="K576" s="47" t="s">
        <v>84</v>
      </c>
      <c r="L576" s="2">
        <v>0</v>
      </c>
      <c r="M576" s="2" t="s">
        <v>84</v>
      </c>
      <c r="N576" s="2" t="s">
        <v>84</v>
      </c>
      <c r="O576" s="2" t="s">
        <v>841</v>
      </c>
      <c r="P576" s="2" t="s">
        <v>911</v>
      </c>
    </row>
    <row r="577" spans="1:16" ht="21" customHeight="1" x14ac:dyDescent="0.15">
      <c r="A577" s="10" t="str">
        <f t="shared" si="121"/>
        <v>350_1_0_1_polygon</v>
      </c>
      <c r="B577" s="2">
        <v>350</v>
      </c>
      <c r="C577" s="30" t="str">
        <f>VLOOKUP(B577,gachas!A:C,3)</f>
        <v>フィーバーフェス(フロイト、ラグランジュ)</v>
      </c>
      <c r="D577" s="21">
        <v>1</v>
      </c>
      <c r="E577" s="2">
        <v>0</v>
      </c>
      <c r="F577" s="2">
        <v>1</v>
      </c>
      <c r="G577" s="3" t="s">
        <v>22</v>
      </c>
      <c r="H577" s="2">
        <v>5</v>
      </c>
      <c r="I577" s="119" t="str">
        <f>I578</f>
        <v>350100</v>
      </c>
      <c r="J577" s="112" t="s">
        <v>84</v>
      </c>
      <c r="K577" s="2" t="s">
        <v>84</v>
      </c>
      <c r="L577" s="2">
        <v>0</v>
      </c>
      <c r="M577" s="2" t="s">
        <v>84</v>
      </c>
      <c r="N577" s="2" t="s">
        <v>84</v>
      </c>
      <c r="O577" s="2" t="s">
        <v>841</v>
      </c>
      <c r="P577" s="2" t="s">
        <v>691</v>
      </c>
    </row>
    <row r="578" spans="1:16" ht="21" customHeight="1" x14ac:dyDescent="0.15">
      <c r="A578" s="10" t="str">
        <f t="shared" si="121"/>
        <v>350_10_0_10_polygon</v>
      </c>
      <c r="B578" s="2">
        <v>350</v>
      </c>
      <c r="C578" s="30" t="str">
        <f>VLOOKUP(B578,gachas!A:C,3)</f>
        <v>フィーバーフェス(フロイト、ラグランジュ)</v>
      </c>
      <c r="D578" s="21">
        <v>10</v>
      </c>
      <c r="E578" s="2">
        <v>0</v>
      </c>
      <c r="F578" s="2">
        <v>10</v>
      </c>
      <c r="G578" s="3" t="s">
        <v>22</v>
      </c>
      <c r="H578" s="2">
        <v>50</v>
      </c>
      <c r="I578" s="114" t="str">
        <f>B578&amp;TEXT(D578,"00")&amp;E578</f>
        <v>350100</v>
      </c>
      <c r="J578" s="112" t="s">
        <v>84</v>
      </c>
      <c r="K578" s="2" t="str">
        <f>I578</f>
        <v>350100</v>
      </c>
      <c r="L578" s="2">
        <v>1</v>
      </c>
      <c r="M578" s="2" t="s">
        <v>84</v>
      </c>
      <c r="N578" s="2" t="s">
        <v>84</v>
      </c>
      <c r="O578" s="2" t="s">
        <v>841</v>
      </c>
      <c r="P578" s="2" t="s">
        <v>1078</v>
      </c>
    </row>
    <row r="579" spans="1:16" ht="21" customHeight="1" x14ac:dyDescent="0.15">
      <c r="A579" s="10" t="str">
        <f t="shared" ref="A579:A594" si="127">B579&amp;"_"&amp;D579&amp;"_"&amp;E579&amp;"_"&amp;F579&amp;"_"&amp;G579</f>
        <v>351_10_1_1_polygon</v>
      </c>
      <c r="B579" s="2">
        <v>351</v>
      </c>
      <c r="C579" s="30" t="str">
        <f>VLOOKUP(B579,gachas!A:C,3)</f>
        <v>300万DL突破記念ガチャ</v>
      </c>
      <c r="D579" s="21">
        <v>10</v>
      </c>
      <c r="E579" s="2">
        <v>1</v>
      </c>
      <c r="F579" s="2">
        <v>1</v>
      </c>
      <c r="G579" s="3" t="s">
        <v>22</v>
      </c>
      <c r="H579" s="2">
        <v>3</v>
      </c>
      <c r="I579" s="114" t="str">
        <f>B579&amp;TEXT(D579,"00")&amp;E579</f>
        <v>351101</v>
      </c>
      <c r="J579" s="112" t="s">
        <v>973</v>
      </c>
      <c r="K579" s="47" t="s">
        <v>84</v>
      </c>
      <c r="L579" s="2">
        <v>0</v>
      </c>
      <c r="M579" s="2" t="s">
        <v>84</v>
      </c>
      <c r="N579" s="2" t="s">
        <v>84</v>
      </c>
      <c r="O579" s="2" t="s">
        <v>841</v>
      </c>
      <c r="P579" s="2" t="s">
        <v>977</v>
      </c>
    </row>
    <row r="580" spans="1:16" ht="21" customHeight="1" x14ac:dyDescent="0.15">
      <c r="A580" s="10" t="str">
        <f t="shared" si="127"/>
        <v>351_10_2_3_polygon</v>
      </c>
      <c r="B580" s="2">
        <v>351</v>
      </c>
      <c r="C580" s="30" t="str">
        <f>VLOOKUP(B580,gachas!A:C,3)</f>
        <v>300万DL突破記念ガチャ</v>
      </c>
      <c r="D580" s="21">
        <v>10</v>
      </c>
      <c r="E580" s="2">
        <v>2</v>
      </c>
      <c r="F580" s="2">
        <v>3</v>
      </c>
      <c r="G580" s="3" t="s">
        <v>22</v>
      </c>
      <c r="H580" s="2">
        <v>9</v>
      </c>
      <c r="I580" s="119" t="str">
        <f>I579</f>
        <v>351101</v>
      </c>
      <c r="J580" s="112" t="s">
        <v>974</v>
      </c>
      <c r="K580" s="47" t="s">
        <v>84</v>
      </c>
      <c r="L580" s="2">
        <v>0</v>
      </c>
      <c r="M580" s="2" t="s">
        <v>84</v>
      </c>
      <c r="N580" s="2" t="s">
        <v>84</v>
      </c>
      <c r="O580" s="2" t="s">
        <v>841</v>
      </c>
      <c r="P580" s="2" t="s">
        <v>978</v>
      </c>
    </row>
    <row r="581" spans="1:16" ht="21" customHeight="1" x14ac:dyDescent="0.15">
      <c r="A581" s="10" t="str">
        <f t="shared" si="127"/>
        <v>351_10_3_5_polygon</v>
      </c>
      <c r="B581" s="2">
        <v>351</v>
      </c>
      <c r="C581" s="30" t="str">
        <f>VLOOKUP(B581,gachas!A:C,3)</f>
        <v>300万DL突破記念ガチャ</v>
      </c>
      <c r="D581" s="21">
        <v>10</v>
      </c>
      <c r="E581" s="2">
        <v>3</v>
      </c>
      <c r="F581" s="2">
        <v>5</v>
      </c>
      <c r="G581" s="3" t="s">
        <v>22</v>
      </c>
      <c r="H581" s="2">
        <v>25</v>
      </c>
      <c r="I581" s="119" t="str">
        <f t="shared" ref="I581:I582" si="128">I580</f>
        <v>351101</v>
      </c>
      <c r="J581" s="112" t="s">
        <v>975</v>
      </c>
      <c r="K581" s="47" t="s">
        <v>257</v>
      </c>
      <c r="L581" s="2">
        <v>0</v>
      </c>
      <c r="M581" s="2" t="s">
        <v>84</v>
      </c>
      <c r="N581" s="2" t="s">
        <v>84</v>
      </c>
      <c r="O581" s="2" t="s">
        <v>841</v>
      </c>
      <c r="P581" s="2" t="s">
        <v>979</v>
      </c>
    </row>
    <row r="582" spans="1:16" ht="21" customHeight="1" x14ac:dyDescent="0.15">
      <c r="A582" s="10" t="str">
        <f t="shared" si="127"/>
        <v>351_10_4_5_polygon</v>
      </c>
      <c r="B582" s="2">
        <v>351</v>
      </c>
      <c r="C582" s="30" t="str">
        <f>VLOOKUP(B582,gachas!A:C,3)</f>
        <v>300万DL突破記念ガチャ</v>
      </c>
      <c r="D582" s="21">
        <v>10</v>
      </c>
      <c r="E582" s="2">
        <v>4</v>
      </c>
      <c r="F582" s="2">
        <v>5</v>
      </c>
      <c r="G582" s="3" t="s">
        <v>22</v>
      </c>
      <c r="H582" s="2">
        <v>25</v>
      </c>
      <c r="I582" s="119" t="str">
        <f t="shared" si="128"/>
        <v>351101</v>
      </c>
      <c r="J582" s="112" t="s">
        <v>976</v>
      </c>
      <c r="K582" s="47" t="s">
        <v>84</v>
      </c>
      <c r="L582" s="2">
        <v>0</v>
      </c>
      <c r="M582" s="2" t="s">
        <v>84</v>
      </c>
      <c r="N582" s="2" t="s">
        <v>84</v>
      </c>
      <c r="O582" s="2" t="s">
        <v>841</v>
      </c>
      <c r="P582" s="2" t="s">
        <v>980</v>
      </c>
    </row>
    <row r="583" spans="1:16" ht="21" customHeight="1" x14ac:dyDescent="0.15">
      <c r="A583" s="10" t="str">
        <f t="shared" si="127"/>
        <v>351_10_0_10_polygon</v>
      </c>
      <c r="B583" s="2">
        <v>351</v>
      </c>
      <c r="C583" s="30" t="str">
        <f>VLOOKUP(B583,gachas!A:C,3)</f>
        <v>300万DL突破記念ガチャ</v>
      </c>
      <c r="D583" s="21">
        <v>10</v>
      </c>
      <c r="E583" s="2">
        <v>0</v>
      </c>
      <c r="F583" s="2">
        <v>10</v>
      </c>
      <c r="G583" s="3" t="s">
        <v>22</v>
      </c>
      <c r="H583" s="2">
        <v>50</v>
      </c>
      <c r="I583" s="114" t="str">
        <f t="shared" ref="I583" si="129">B583&amp;TEXT(D583,"00")&amp;E583</f>
        <v>351100</v>
      </c>
      <c r="J583" s="112" t="s">
        <v>982</v>
      </c>
      <c r="K583" s="76" t="str">
        <f>I583</f>
        <v>351100</v>
      </c>
      <c r="L583" s="2">
        <v>1</v>
      </c>
      <c r="M583" s="2" t="s">
        <v>84</v>
      </c>
      <c r="N583" s="2" t="s">
        <v>84</v>
      </c>
      <c r="O583" s="2" t="s">
        <v>841</v>
      </c>
      <c r="P583" s="2" t="s">
        <v>981</v>
      </c>
    </row>
    <row r="584" spans="1:16" ht="21" customHeight="1" x14ac:dyDescent="0.15">
      <c r="A584" s="10" t="str">
        <f t="shared" si="127"/>
        <v>352_10_1_1_polygon</v>
      </c>
      <c r="B584" s="2">
        <v>352</v>
      </c>
      <c r="C584" s="30" t="str">
        <f>VLOOKUP(B584,gachas!A:C,3)</f>
        <v>ランキング対抗ガチャ&lt;シュヴァルツシルト&gt;</v>
      </c>
      <c r="D584" s="21">
        <v>10</v>
      </c>
      <c r="E584" s="2">
        <v>1</v>
      </c>
      <c r="F584" s="2">
        <v>1</v>
      </c>
      <c r="G584" s="3" t="s">
        <v>22</v>
      </c>
      <c r="H584" s="2">
        <v>1</v>
      </c>
      <c r="I584" s="114" t="str">
        <f>B584&amp;TEXT(D584,"00")&amp;E584</f>
        <v>352101</v>
      </c>
      <c r="J584" s="112" t="s">
        <v>84</v>
      </c>
      <c r="K584" s="2" t="s">
        <v>84</v>
      </c>
      <c r="L584" s="2">
        <v>0</v>
      </c>
      <c r="M584" s="2" t="s">
        <v>84</v>
      </c>
      <c r="N584" s="2" t="s">
        <v>84</v>
      </c>
      <c r="O584" s="2" t="s">
        <v>841</v>
      </c>
      <c r="P584" s="2" t="s">
        <v>546</v>
      </c>
    </row>
    <row r="585" spans="1:16" ht="21" customHeight="1" x14ac:dyDescent="0.15">
      <c r="A585" s="10" t="str">
        <f t="shared" si="127"/>
        <v>352_10_2_3_polygon</v>
      </c>
      <c r="B585" s="2">
        <v>352</v>
      </c>
      <c r="C585" s="30" t="str">
        <f>VLOOKUP(B585,gachas!A:C,3)</f>
        <v>ランキング対抗ガチャ&lt;シュヴァルツシルト&gt;</v>
      </c>
      <c r="D585" s="21">
        <v>10</v>
      </c>
      <c r="E585" s="2">
        <v>2</v>
      </c>
      <c r="F585" s="2">
        <v>3</v>
      </c>
      <c r="G585" s="3" t="s">
        <v>22</v>
      </c>
      <c r="H585" s="2">
        <v>9</v>
      </c>
      <c r="I585" s="119" t="str">
        <f>I584</f>
        <v>352101</v>
      </c>
      <c r="J585" s="112" t="s">
        <v>84</v>
      </c>
      <c r="K585" s="2" t="s">
        <v>84</v>
      </c>
      <c r="L585" s="2">
        <v>0</v>
      </c>
      <c r="M585" s="2" t="s">
        <v>84</v>
      </c>
      <c r="N585" s="2" t="s">
        <v>84</v>
      </c>
      <c r="O585" s="2" t="s">
        <v>841</v>
      </c>
      <c r="P585" s="2" t="s">
        <v>527</v>
      </c>
    </row>
    <row r="586" spans="1:16" ht="21" customHeight="1" x14ac:dyDescent="0.15">
      <c r="A586" s="10" t="str">
        <f t="shared" si="127"/>
        <v>352_10_3_10_polygon</v>
      </c>
      <c r="B586" s="2">
        <v>352</v>
      </c>
      <c r="C586" s="30" t="str">
        <f>VLOOKUP(B586,gachas!A:C,3)</f>
        <v>ランキング対抗ガチャ&lt;シュヴァルツシルト&gt;</v>
      </c>
      <c r="D586" s="21">
        <v>10</v>
      </c>
      <c r="E586" s="2">
        <v>3</v>
      </c>
      <c r="F586" s="2">
        <v>10</v>
      </c>
      <c r="G586" s="3" t="s">
        <v>22</v>
      </c>
      <c r="H586" s="2">
        <v>35</v>
      </c>
      <c r="I586" s="114" t="str">
        <f t="shared" ref="I586:I592" si="130">B586&amp;TEXT(D586,"00")&amp;E586</f>
        <v>352103</v>
      </c>
      <c r="J586" s="112" t="s">
        <v>84</v>
      </c>
      <c r="K586" s="6" t="str">
        <f>I586</f>
        <v>352103</v>
      </c>
      <c r="L586" s="2">
        <v>1</v>
      </c>
      <c r="M586" s="2" t="s">
        <v>84</v>
      </c>
      <c r="N586" s="2" t="s">
        <v>84</v>
      </c>
      <c r="O586" s="2" t="s">
        <v>841</v>
      </c>
      <c r="P586" s="2" t="s">
        <v>998</v>
      </c>
    </row>
    <row r="587" spans="1:16" ht="21" customHeight="1" x14ac:dyDescent="0.15">
      <c r="A587" s="10" t="str">
        <f t="shared" si="127"/>
        <v>352_10_4_10_polygon</v>
      </c>
      <c r="B587" s="2">
        <v>352</v>
      </c>
      <c r="C587" s="30" t="str">
        <f>VLOOKUP(B587,gachas!A:C,3)</f>
        <v>ランキング対抗ガチャ&lt;シュヴァルツシルト&gt;</v>
      </c>
      <c r="D587" s="21">
        <v>10</v>
      </c>
      <c r="E587" s="2">
        <v>4</v>
      </c>
      <c r="F587" s="2">
        <v>10</v>
      </c>
      <c r="G587" s="3" t="s">
        <v>22</v>
      </c>
      <c r="H587" s="2">
        <v>50</v>
      </c>
      <c r="I587" s="114" t="str">
        <f t="shared" si="130"/>
        <v>352104</v>
      </c>
      <c r="J587" s="122" t="s">
        <v>983</v>
      </c>
      <c r="K587" s="2" t="s">
        <v>84</v>
      </c>
      <c r="L587" s="2">
        <v>0</v>
      </c>
      <c r="M587" s="2" t="s">
        <v>84</v>
      </c>
      <c r="N587" s="2" t="s">
        <v>84</v>
      </c>
      <c r="O587" s="2" t="s">
        <v>841</v>
      </c>
      <c r="P587" s="2" t="s">
        <v>999</v>
      </c>
    </row>
    <row r="588" spans="1:16" ht="21" customHeight="1" x14ac:dyDescent="0.15">
      <c r="A588" s="10" t="str">
        <f t="shared" si="127"/>
        <v>352_10_5_10_polygon</v>
      </c>
      <c r="B588" s="2">
        <v>352</v>
      </c>
      <c r="C588" s="30" t="str">
        <f>VLOOKUP(B588,gachas!A:C,3)</f>
        <v>ランキング対抗ガチャ&lt;シュヴァルツシルト&gt;</v>
      </c>
      <c r="D588" s="21">
        <v>10</v>
      </c>
      <c r="E588" s="2">
        <v>5</v>
      </c>
      <c r="F588" s="2">
        <v>10</v>
      </c>
      <c r="G588" s="3" t="s">
        <v>22</v>
      </c>
      <c r="H588" s="2">
        <v>50</v>
      </c>
      <c r="I588" s="114" t="str">
        <f t="shared" si="130"/>
        <v>352105</v>
      </c>
      <c r="J588" s="122" t="s">
        <v>984</v>
      </c>
      <c r="K588" s="2" t="s">
        <v>84</v>
      </c>
      <c r="L588" s="2">
        <v>0</v>
      </c>
      <c r="M588" s="2" t="s">
        <v>84</v>
      </c>
      <c r="N588" s="2" t="s">
        <v>84</v>
      </c>
      <c r="O588" s="2" t="s">
        <v>841</v>
      </c>
      <c r="P588" s="2" t="s">
        <v>1006</v>
      </c>
    </row>
    <row r="589" spans="1:16" ht="21" customHeight="1" x14ac:dyDescent="0.15">
      <c r="A589" s="10" t="str">
        <f t="shared" ref="A589" si="131">B589&amp;"_"&amp;D589&amp;"_"&amp;E589&amp;"_"&amp;F589&amp;"_"&amp;G589</f>
        <v>352_10_6_10_polygon</v>
      </c>
      <c r="B589" s="2">
        <v>352</v>
      </c>
      <c r="C589" s="30" t="str">
        <f>VLOOKUP(B589,gachas!A:C,3)</f>
        <v>ランキング対抗ガチャ&lt;シュヴァルツシルト&gt;</v>
      </c>
      <c r="D589" s="21">
        <v>10</v>
      </c>
      <c r="E589" s="2">
        <v>6</v>
      </c>
      <c r="F589" s="2">
        <v>10</v>
      </c>
      <c r="G589" s="3" t="s">
        <v>22</v>
      </c>
      <c r="H589" s="2">
        <v>50</v>
      </c>
      <c r="I589" s="126" t="s">
        <v>1005</v>
      </c>
      <c r="J589" s="112" t="s">
        <v>84</v>
      </c>
      <c r="K589" s="2" t="s">
        <v>84</v>
      </c>
      <c r="L589" s="2">
        <v>0</v>
      </c>
      <c r="M589" s="2" t="s">
        <v>84</v>
      </c>
      <c r="N589" s="2" t="s">
        <v>84</v>
      </c>
      <c r="O589" s="2" t="s">
        <v>841</v>
      </c>
      <c r="P589" s="2" t="s">
        <v>1007</v>
      </c>
    </row>
    <row r="590" spans="1:16" ht="21" customHeight="1" x14ac:dyDescent="0.15">
      <c r="A590" s="10" t="str">
        <f t="shared" si="127"/>
        <v>352_10_0_10_polygon</v>
      </c>
      <c r="B590" s="2">
        <v>352</v>
      </c>
      <c r="C590" s="30" t="str">
        <f>VLOOKUP(B590,gachas!A:C,3)</f>
        <v>ランキング対抗ガチャ&lt;シュヴァルツシルト&gt;</v>
      </c>
      <c r="D590" s="21">
        <v>10</v>
      </c>
      <c r="E590" s="2">
        <v>0</v>
      </c>
      <c r="F590" s="2">
        <v>10</v>
      </c>
      <c r="G590" s="3" t="s">
        <v>22</v>
      </c>
      <c r="H590" s="2">
        <v>50</v>
      </c>
      <c r="I590" s="114" t="str">
        <f t="shared" si="130"/>
        <v>352100</v>
      </c>
      <c r="J590" s="112" t="s">
        <v>84</v>
      </c>
      <c r="K590" s="2" t="s">
        <v>84</v>
      </c>
      <c r="L590" s="2">
        <v>0</v>
      </c>
      <c r="M590" s="2" t="s">
        <v>84</v>
      </c>
      <c r="N590" s="2" t="s">
        <v>84</v>
      </c>
      <c r="O590" s="2" t="s">
        <v>841</v>
      </c>
      <c r="P590" s="2" t="s">
        <v>1000</v>
      </c>
    </row>
    <row r="591" spans="1:16" ht="21" customHeight="1" x14ac:dyDescent="0.15">
      <c r="A591" s="10" t="str">
        <f t="shared" si="127"/>
        <v>353_10_0_5_polygon</v>
      </c>
      <c r="B591" s="2">
        <v>353</v>
      </c>
      <c r="C591" s="30" t="str">
        <f>VLOOKUP(B591,gachas!A:C,3)</f>
        <v>ハンプティおまけガチャ&lt;1回のみ&gt;</v>
      </c>
      <c r="D591" s="21">
        <v>10</v>
      </c>
      <c r="E591" s="2">
        <v>0</v>
      </c>
      <c r="F591" s="2">
        <v>5</v>
      </c>
      <c r="G591" s="3" t="s">
        <v>22</v>
      </c>
      <c r="H591" s="2">
        <v>25</v>
      </c>
      <c r="I591" s="114" t="str">
        <f t="shared" si="130"/>
        <v>353100</v>
      </c>
      <c r="J591" s="112" t="str">
        <f>I591</f>
        <v>353100</v>
      </c>
      <c r="K591" s="47" t="s">
        <v>84</v>
      </c>
      <c r="L591" s="2">
        <v>0</v>
      </c>
      <c r="M591" s="2" t="s">
        <v>84</v>
      </c>
      <c r="N591" s="2" t="s">
        <v>84</v>
      </c>
      <c r="O591" s="2" t="s">
        <v>841</v>
      </c>
      <c r="P591" s="2" t="s">
        <v>1001</v>
      </c>
    </row>
    <row r="592" spans="1:16" ht="21" customHeight="1" x14ac:dyDescent="0.15">
      <c r="A592" s="10" t="str">
        <f t="shared" si="127"/>
        <v>354_1_0_1_polygon</v>
      </c>
      <c r="B592" s="2">
        <v>354</v>
      </c>
      <c r="C592" s="30" t="str">
        <f>VLOOKUP(B592,gachas!A:C,3)</f>
        <v>ピックアップ&lt;ペロー、ハーメルン&gt;</v>
      </c>
      <c r="D592" s="21">
        <v>1</v>
      </c>
      <c r="E592" s="2">
        <v>0</v>
      </c>
      <c r="F592" s="2">
        <v>1</v>
      </c>
      <c r="G592" s="3" t="s">
        <v>22</v>
      </c>
      <c r="H592" s="2">
        <v>5</v>
      </c>
      <c r="I592" s="114" t="str">
        <f t="shared" si="130"/>
        <v>354010</v>
      </c>
      <c r="J592" s="115" t="s">
        <v>84</v>
      </c>
      <c r="K592" s="2" t="s">
        <v>84</v>
      </c>
      <c r="L592" s="2">
        <v>0</v>
      </c>
      <c r="M592" s="2" t="s">
        <v>84</v>
      </c>
      <c r="N592" s="2" t="s">
        <v>84</v>
      </c>
      <c r="O592" s="2" t="s">
        <v>841</v>
      </c>
      <c r="P592" s="2" t="s">
        <v>84</v>
      </c>
    </row>
    <row r="593" spans="1:16" ht="21" customHeight="1" x14ac:dyDescent="0.15">
      <c r="A593" s="10" t="str">
        <f t="shared" si="127"/>
        <v>354_10_1_10_polygon</v>
      </c>
      <c r="B593" s="2">
        <v>354</v>
      </c>
      <c r="C593" s="30" t="str">
        <f>VLOOKUP(B593,gachas!A:C,3)</f>
        <v>ピックアップ&lt;ペロー、ハーメルン&gt;</v>
      </c>
      <c r="D593" s="21">
        <v>10</v>
      </c>
      <c r="E593" s="2">
        <v>1</v>
      </c>
      <c r="F593" s="2">
        <v>10</v>
      </c>
      <c r="G593" s="3" t="s">
        <v>22</v>
      </c>
      <c r="H593" s="2">
        <v>25</v>
      </c>
      <c r="I593" s="114" t="str">
        <f>I594</f>
        <v>354100</v>
      </c>
      <c r="J593" s="112" t="s">
        <v>84</v>
      </c>
      <c r="K593" s="2" t="s">
        <v>84</v>
      </c>
      <c r="L593" s="2">
        <v>0</v>
      </c>
      <c r="M593" s="2" t="s">
        <v>84</v>
      </c>
      <c r="N593" s="2" t="s">
        <v>84</v>
      </c>
      <c r="O593" s="2" t="s">
        <v>841</v>
      </c>
      <c r="P593" s="59" t="s">
        <v>548</v>
      </c>
    </row>
    <row r="594" spans="1:16" ht="21" customHeight="1" x14ac:dyDescent="0.15">
      <c r="A594" s="10" t="str">
        <f t="shared" si="127"/>
        <v>354_10_0_10_polygon</v>
      </c>
      <c r="B594" s="2">
        <v>354</v>
      </c>
      <c r="C594" s="30" t="str">
        <f>VLOOKUP(B594,gachas!A:C,3)</f>
        <v>ピックアップ&lt;ペロー、ハーメルン&gt;</v>
      </c>
      <c r="D594" s="21">
        <v>10</v>
      </c>
      <c r="E594" s="2">
        <v>0</v>
      </c>
      <c r="F594" s="2">
        <v>10</v>
      </c>
      <c r="G594" s="3" t="s">
        <v>22</v>
      </c>
      <c r="H594" s="2">
        <v>50</v>
      </c>
      <c r="I594" s="114" t="str">
        <f t="shared" ref="I594:I597" si="132">B594&amp;TEXT(D594,"00")&amp;E594</f>
        <v>354100</v>
      </c>
      <c r="J594" s="112" t="s">
        <v>84</v>
      </c>
      <c r="K594" s="2" t="s">
        <v>84</v>
      </c>
      <c r="L594" s="2">
        <v>0</v>
      </c>
      <c r="M594" s="2" t="s">
        <v>84</v>
      </c>
      <c r="N594" s="2" t="s">
        <v>84</v>
      </c>
      <c r="O594" s="2" t="s">
        <v>841</v>
      </c>
      <c r="P594" s="2" t="s">
        <v>143</v>
      </c>
    </row>
    <row r="595" spans="1:16" ht="21" customHeight="1" x14ac:dyDescent="0.15">
      <c r="A595" s="10" t="str">
        <f t="shared" ref="A595:A598" si="133">B595&amp;"_"&amp;D595&amp;"_"&amp;E595&amp;"_"&amp;F595&amp;"_"&amp;G595</f>
        <v>355_1_0_1_polygon</v>
      </c>
      <c r="B595" s="2">
        <v>355</v>
      </c>
      <c r="C595" s="30" t="str">
        <f>VLOOKUP(B595,gachas!A:C,3)</f>
        <v>サンリオガチャ前半</v>
      </c>
      <c r="D595" s="21">
        <v>1</v>
      </c>
      <c r="E595" s="2">
        <v>0</v>
      </c>
      <c r="F595" s="2">
        <v>1</v>
      </c>
      <c r="G595" s="3" t="s">
        <v>22</v>
      </c>
      <c r="H595" s="2">
        <v>5</v>
      </c>
      <c r="I595" s="114" t="str">
        <f t="shared" si="132"/>
        <v>355010</v>
      </c>
      <c r="J595" s="115" t="s">
        <v>84</v>
      </c>
      <c r="K595" s="2" t="s">
        <v>84</v>
      </c>
      <c r="L595" s="2">
        <v>0</v>
      </c>
      <c r="M595" s="2" t="s">
        <v>84</v>
      </c>
      <c r="N595" s="2" t="s">
        <v>84</v>
      </c>
      <c r="O595" s="2" t="s">
        <v>841</v>
      </c>
      <c r="P595" s="2" t="s">
        <v>84</v>
      </c>
    </row>
    <row r="596" spans="1:16" ht="21" customHeight="1" x14ac:dyDescent="0.15">
      <c r="A596" s="10" t="str">
        <f t="shared" si="133"/>
        <v>355_10_0_5_polygon</v>
      </c>
      <c r="B596" s="2">
        <v>355</v>
      </c>
      <c r="C596" s="30" t="str">
        <f>VLOOKUP(B596,gachas!A:C,3)</f>
        <v>サンリオガチャ前半</v>
      </c>
      <c r="D596" s="21">
        <v>10</v>
      </c>
      <c r="E596" s="2">
        <v>0</v>
      </c>
      <c r="F596" s="2">
        <v>5</v>
      </c>
      <c r="G596" s="3" t="s">
        <v>22</v>
      </c>
      <c r="H596" s="2">
        <v>25</v>
      </c>
      <c r="I596" s="114" t="str">
        <f t="shared" si="132"/>
        <v>355100</v>
      </c>
      <c r="J596" s="112" t="s">
        <v>84</v>
      </c>
      <c r="K596" s="2" t="str">
        <f>I596</f>
        <v>355100</v>
      </c>
      <c r="L596" s="2">
        <v>1</v>
      </c>
      <c r="M596" s="2" t="s">
        <v>84</v>
      </c>
      <c r="N596" s="2" t="s">
        <v>84</v>
      </c>
      <c r="O596" s="2" t="s">
        <v>841</v>
      </c>
      <c r="P596" s="59" t="s">
        <v>1014</v>
      </c>
    </row>
    <row r="597" spans="1:16" ht="21" customHeight="1" x14ac:dyDescent="0.15">
      <c r="A597" s="10" t="str">
        <f t="shared" si="133"/>
        <v>356_1_0_1_polygon</v>
      </c>
      <c r="B597" s="2">
        <v>356</v>
      </c>
      <c r="C597" s="30" t="str">
        <f>VLOOKUP(B597,gachas!A:C,3)</f>
        <v>ダブルカラーフェス&lt;レッド、グリーン&gt;</v>
      </c>
      <c r="D597" s="21">
        <v>1</v>
      </c>
      <c r="E597" s="2">
        <v>0</v>
      </c>
      <c r="F597" s="2">
        <v>1</v>
      </c>
      <c r="G597" s="3" t="s">
        <v>22</v>
      </c>
      <c r="H597" s="2">
        <v>5</v>
      </c>
      <c r="I597" s="114" t="str">
        <f t="shared" si="132"/>
        <v>356010</v>
      </c>
      <c r="J597" s="112" t="s">
        <v>84</v>
      </c>
      <c r="K597" s="2" t="s">
        <v>84</v>
      </c>
      <c r="L597" s="2">
        <v>0</v>
      </c>
      <c r="M597" s="2" t="s">
        <v>84</v>
      </c>
      <c r="N597" s="2" t="s">
        <v>84</v>
      </c>
      <c r="O597" s="2" t="s">
        <v>841</v>
      </c>
      <c r="P597" s="2" t="s">
        <v>685</v>
      </c>
    </row>
    <row r="598" spans="1:16" ht="21" customHeight="1" x14ac:dyDescent="0.15">
      <c r="A598" s="10" t="str">
        <f t="shared" si="133"/>
        <v>356_10_0_10_polygon</v>
      </c>
      <c r="B598" s="2">
        <v>356</v>
      </c>
      <c r="C598" s="30" t="str">
        <f>VLOOKUP(B598,gachas!A:C,3)</f>
        <v>ダブルカラーフェス&lt;レッド、グリーン&gt;</v>
      </c>
      <c r="D598" s="21">
        <v>10</v>
      </c>
      <c r="E598" s="2">
        <v>0</v>
      </c>
      <c r="F598" s="2">
        <v>10</v>
      </c>
      <c r="G598" s="3" t="s">
        <v>22</v>
      </c>
      <c r="H598" s="2">
        <v>50</v>
      </c>
      <c r="I598" s="114" t="str">
        <f>B598&amp;TEXT(D598,"00")&amp;E598</f>
        <v>356100</v>
      </c>
      <c r="J598" s="112" t="s">
        <v>84</v>
      </c>
      <c r="K598" s="2" t="str">
        <f>I598</f>
        <v>356100</v>
      </c>
      <c r="L598" s="2">
        <v>1</v>
      </c>
      <c r="M598" s="2" t="s">
        <v>84</v>
      </c>
      <c r="N598" s="2" t="s">
        <v>84</v>
      </c>
      <c r="O598" s="2" t="s">
        <v>841</v>
      </c>
      <c r="P598" s="2" t="s">
        <v>1015</v>
      </c>
    </row>
    <row r="599" spans="1:16" ht="21" customHeight="1" x14ac:dyDescent="0.15">
      <c r="A599" s="10" t="str">
        <f t="shared" ref="A599:A604" si="134">B599&amp;"_"&amp;D599&amp;"_"&amp;E599&amp;"_"&amp;F599&amp;"_"&amp;G599</f>
        <v>357_1_0_1_polygon</v>
      </c>
      <c r="B599" s="2">
        <v>357</v>
      </c>
      <c r="C599" s="30" t="str">
        <f>VLOOKUP(B599,gachas!A:C,3)</f>
        <v>サンリオガチャ後半</v>
      </c>
      <c r="D599" s="21">
        <v>1</v>
      </c>
      <c r="E599" s="2">
        <v>0</v>
      </c>
      <c r="F599" s="2">
        <v>1</v>
      </c>
      <c r="G599" s="3" t="s">
        <v>22</v>
      </c>
      <c r="H599" s="2">
        <v>5</v>
      </c>
      <c r="I599" s="114" t="str">
        <f t="shared" ref="I599:I600" si="135">B599&amp;TEXT(D599,"00")&amp;E599</f>
        <v>357010</v>
      </c>
      <c r="J599" s="115" t="s">
        <v>84</v>
      </c>
      <c r="K599" s="2" t="s">
        <v>84</v>
      </c>
      <c r="L599" s="2">
        <v>0</v>
      </c>
      <c r="M599" s="2" t="s">
        <v>84</v>
      </c>
      <c r="N599" s="2" t="s">
        <v>84</v>
      </c>
      <c r="O599" s="2" t="s">
        <v>841</v>
      </c>
      <c r="P599" s="2" t="s">
        <v>84</v>
      </c>
    </row>
    <row r="600" spans="1:16" ht="21" customHeight="1" x14ac:dyDescent="0.15">
      <c r="A600" s="10" t="str">
        <f t="shared" si="134"/>
        <v>357_10_0_5_polygon</v>
      </c>
      <c r="B600" s="2">
        <v>357</v>
      </c>
      <c r="C600" s="30" t="str">
        <f>VLOOKUP(B600,gachas!A:C,3)</f>
        <v>サンリオガチャ後半</v>
      </c>
      <c r="D600" s="21">
        <v>10</v>
      </c>
      <c r="E600" s="2">
        <v>0</v>
      </c>
      <c r="F600" s="2">
        <v>5</v>
      </c>
      <c r="G600" s="3" t="s">
        <v>22</v>
      </c>
      <c r="H600" s="2">
        <v>25</v>
      </c>
      <c r="I600" s="114" t="str">
        <f t="shared" si="135"/>
        <v>357100</v>
      </c>
      <c r="J600" s="112" t="s">
        <v>84</v>
      </c>
      <c r="K600" s="2" t="str">
        <f>I600</f>
        <v>357100</v>
      </c>
      <c r="L600" s="2">
        <v>1</v>
      </c>
      <c r="M600" s="2" t="s">
        <v>84</v>
      </c>
      <c r="N600" s="2" t="s">
        <v>84</v>
      </c>
      <c r="O600" s="2" t="s">
        <v>841</v>
      </c>
      <c r="P600" s="59" t="s">
        <v>1014</v>
      </c>
    </row>
    <row r="601" spans="1:16" ht="21" customHeight="1" x14ac:dyDescent="0.15">
      <c r="A601" s="10" t="str">
        <f t="shared" si="134"/>
        <v>358_1_0_1_polygon</v>
      </c>
      <c r="B601" s="2">
        <v>358</v>
      </c>
      <c r="C601" s="30" t="str">
        <f>VLOOKUP(B601,gachas!A:C,3)</f>
        <v>400万DL突破記念ガチャ</v>
      </c>
      <c r="D601" s="21">
        <v>1</v>
      </c>
      <c r="E601" s="2">
        <v>0</v>
      </c>
      <c r="F601" s="2">
        <v>1</v>
      </c>
      <c r="G601" s="3" t="s">
        <v>22</v>
      </c>
      <c r="H601" s="2">
        <v>5</v>
      </c>
      <c r="I601" s="119" t="str">
        <f>I602</f>
        <v>358100</v>
      </c>
      <c r="J601" s="112" t="s">
        <v>84</v>
      </c>
      <c r="K601" s="2" t="s">
        <v>84</v>
      </c>
      <c r="L601" s="2">
        <v>0</v>
      </c>
      <c r="M601" s="2" t="s">
        <v>84</v>
      </c>
      <c r="N601" s="2" t="s">
        <v>84</v>
      </c>
      <c r="O601" s="2" t="s">
        <v>841</v>
      </c>
      <c r="P601" s="2" t="s">
        <v>1077</v>
      </c>
    </row>
    <row r="602" spans="1:16" ht="21" customHeight="1" x14ac:dyDescent="0.15">
      <c r="A602" s="10" t="str">
        <f t="shared" si="134"/>
        <v>358_10_0_10_polygon</v>
      </c>
      <c r="B602" s="2">
        <v>358</v>
      </c>
      <c r="C602" s="30" t="str">
        <f>VLOOKUP(B602,gachas!A:C,3)</f>
        <v>400万DL突破記念ガチャ</v>
      </c>
      <c r="D602" s="21">
        <v>10</v>
      </c>
      <c r="E602" s="2">
        <v>0</v>
      </c>
      <c r="F602" s="2">
        <v>10</v>
      </c>
      <c r="G602" s="3" t="s">
        <v>22</v>
      </c>
      <c r="H602" s="2">
        <v>50</v>
      </c>
      <c r="I602" s="114" t="str">
        <f>B602&amp;TEXT(D602,"00")&amp;E602</f>
        <v>358100</v>
      </c>
      <c r="J602" s="112" t="s">
        <v>84</v>
      </c>
      <c r="K602" s="2" t="str">
        <f>I602</f>
        <v>358100</v>
      </c>
      <c r="L602" s="2">
        <v>1</v>
      </c>
      <c r="M602" s="2" t="s">
        <v>84</v>
      </c>
      <c r="N602" s="2" t="s">
        <v>84</v>
      </c>
      <c r="O602" s="2" t="s">
        <v>841</v>
      </c>
      <c r="P602" s="2" t="s">
        <v>378</v>
      </c>
    </row>
    <row r="603" spans="1:16" ht="21" customHeight="1" x14ac:dyDescent="0.15">
      <c r="A603" s="10" t="str">
        <f t="shared" si="134"/>
        <v>359_1_0_1_polygon</v>
      </c>
      <c r="B603" s="2">
        <v>359</v>
      </c>
      <c r="C603" s="30" t="str">
        <f>VLOOKUP(B603,gachas!A:C,3)</f>
        <v>Wカラーフェス&lt;青、黄&gt;</v>
      </c>
      <c r="D603" s="21">
        <v>1</v>
      </c>
      <c r="E603" s="2">
        <v>0</v>
      </c>
      <c r="F603" s="2">
        <v>1</v>
      </c>
      <c r="G603" s="3" t="s">
        <v>22</v>
      </c>
      <c r="H603" s="2">
        <v>5</v>
      </c>
      <c r="I603" s="114" t="str">
        <f t="shared" ref="I603" si="136">B603&amp;TEXT(D603,"00")&amp;E603</f>
        <v>359010</v>
      </c>
      <c r="J603" s="112" t="s">
        <v>84</v>
      </c>
      <c r="K603" s="2" t="s">
        <v>84</v>
      </c>
      <c r="L603" s="2">
        <v>0</v>
      </c>
      <c r="M603" s="2" t="s">
        <v>84</v>
      </c>
      <c r="N603" s="2" t="s">
        <v>84</v>
      </c>
      <c r="O603" s="2" t="s">
        <v>841</v>
      </c>
      <c r="P603" s="2" t="s">
        <v>84</v>
      </c>
    </row>
    <row r="604" spans="1:16" ht="21" customHeight="1" x14ac:dyDescent="0.15">
      <c r="A604" s="10" t="str">
        <f t="shared" si="134"/>
        <v>359_10_0_10_polygon</v>
      </c>
      <c r="B604" s="2">
        <v>359</v>
      </c>
      <c r="C604" s="30" t="str">
        <f>VLOOKUP(B604,gachas!A:C,3)</f>
        <v>Wカラーフェス&lt;青、黄&gt;</v>
      </c>
      <c r="D604" s="21">
        <v>10</v>
      </c>
      <c r="E604" s="2">
        <v>0</v>
      </c>
      <c r="F604" s="2">
        <v>10</v>
      </c>
      <c r="G604" s="3" t="s">
        <v>22</v>
      </c>
      <c r="H604" s="2">
        <v>50</v>
      </c>
      <c r="I604" s="114" t="str">
        <f>B604&amp;TEXT(D604,"00")&amp;E604</f>
        <v>359100</v>
      </c>
      <c r="J604" s="112" t="s">
        <v>84</v>
      </c>
      <c r="K604" s="2" t="str">
        <f>I604</f>
        <v>359100</v>
      </c>
      <c r="L604" s="2">
        <v>1</v>
      </c>
      <c r="M604" s="2" t="s">
        <v>84</v>
      </c>
      <c r="N604" s="2" t="s">
        <v>84</v>
      </c>
      <c r="O604" s="2" t="s">
        <v>841</v>
      </c>
      <c r="P604" s="2" t="s">
        <v>1094</v>
      </c>
    </row>
    <row r="605" spans="1:16" ht="21" customHeight="1" x14ac:dyDescent="0.15">
      <c r="A605" s="10" t="str">
        <f t="shared" ref="A605:A651" si="137">B605&amp;"_"&amp;D605&amp;"_"&amp;E605&amp;"_"&amp;F605&amp;"_"&amp;G605</f>
        <v>360_10_0_5_polygon</v>
      </c>
      <c r="B605" s="2">
        <v>360</v>
      </c>
      <c r="C605" s="30" t="str">
        <f>VLOOKUP(B605,gachas!A:C,3)</f>
        <v>ギリシャ神話ガチャ（新キャラ）</v>
      </c>
      <c r="D605" s="21">
        <v>10</v>
      </c>
      <c r="E605" s="2">
        <v>0</v>
      </c>
      <c r="F605" s="2">
        <v>5</v>
      </c>
      <c r="G605" s="3" t="s">
        <v>22</v>
      </c>
      <c r="H605" s="2">
        <v>25</v>
      </c>
      <c r="I605" s="126" t="s">
        <v>1111</v>
      </c>
      <c r="J605" s="112" t="s">
        <v>84</v>
      </c>
      <c r="K605" s="106" t="s">
        <v>1110</v>
      </c>
      <c r="L605" s="2">
        <v>1</v>
      </c>
      <c r="M605" s="2" t="s">
        <v>84</v>
      </c>
      <c r="N605" s="2" t="s">
        <v>84</v>
      </c>
      <c r="O605" s="2" t="s">
        <v>841</v>
      </c>
      <c r="P605" s="2" t="s">
        <v>620</v>
      </c>
    </row>
    <row r="606" spans="1:16" ht="21" customHeight="1" x14ac:dyDescent="0.15">
      <c r="A606" s="10" t="str">
        <f t="shared" si="137"/>
        <v>361_1_1_1_polygon</v>
      </c>
      <c r="B606" s="2">
        <v>361</v>
      </c>
      <c r="C606" s="30" t="str">
        <f>VLOOKUP(B606,gachas!A:C,3)</f>
        <v>レアガチャ&lt;ギリシャin&gt;</v>
      </c>
      <c r="D606" s="21">
        <v>1</v>
      </c>
      <c r="E606" s="2">
        <v>1</v>
      </c>
      <c r="F606" s="2">
        <v>1</v>
      </c>
      <c r="G606" s="3" t="s">
        <v>22</v>
      </c>
      <c r="H606" s="2">
        <v>5</v>
      </c>
      <c r="I606" s="119" t="str">
        <f>I608</f>
        <v>361100</v>
      </c>
      <c r="J606" s="115" t="s">
        <v>84</v>
      </c>
      <c r="K606" s="2" t="s">
        <v>84</v>
      </c>
      <c r="L606" s="2">
        <v>0</v>
      </c>
      <c r="M606" s="2" t="s">
        <v>84</v>
      </c>
      <c r="N606" s="2" t="s">
        <v>84</v>
      </c>
      <c r="O606" s="2" t="s">
        <v>841</v>
      </c>
      <c r="P606" s="2" t="s">
        <v>142</v>
      </c>
    </row>
    <row r="607" spans="1:16" ht="21" customHeight="1" x14ac:dyDescent="0.15">
      <c r="A607" s="10" t="str">
        <f t="shared" si="137"/>
        <v>361_1_0_1_polygon</v>
      </c>
      <c r="B607" s="2">
        <v>361</v>
      </c>
      <c r="C607" s="30" t="str">
        <f>VLOOKUP(B607,gachas!A:C,3)</f>
        <v>レアガチャ&lt;ギリシャin&gt;</v>
      </c>
      <c r="D607" s="21">
        <v>1</v>
      </c>
      <c r="E607" s="2">
        <v>0</v>
      </c>
      <c r="F607" s="2">
        <v>1</v>
      </c>
      <c r="G607" s="3" t="s">
        <v>22</v>
      </c>
      <c r="H607" s="2">
        <v>5</v>
      </c>
      <c r="I607" s="117" t="str">
        <f t="shared" ref="I607:I608" si="138">B607&amp;TEXT(D607,"00")&amp;E607</f>
        <v>361010</v>
      </c>
      <c r="J607" s="115" t="s">
        <v>84</v>
      </c>
      <c r="K607" s="2" t="s">
        <v>84</v>
      </c>
      <c r="L607" s="2">
        <v>0</v>
      </c>
      <c r="M607" s="2" t="s">
        <v>84</v>
      </c>
      <c r="N607" s="2" t="s">
        <v>84</v>
      </c>
      <c r="O607" s="2" t="s">
        <v>841</v>
      </c>
      <c r="P607" s="2" t="s">
        <v>84</v>
      </c>
    </row>
    <row r="608" spans="1:16" ht="21" customHeight="1" x14ac:dyDescent="0.15">
      <c r="A608" s="10" t="str">
        <f t="shared" si="137"/>
        <v>361_10_0_10_polygon</v>
      </c>
      <c r="B608" s="2">
        <v>361</v>
      </c>
      <c r="C608" s="30" t="str">
        <f>VLOOKUP(B608,gachas!A:C,3)</f>
        <v>レアガチャ&lt;ギリシャin&gt;</v>
      </c>
      <c r="D608" s="21">
        <v>10</v>
      </c>
      <c r="E608" s="2">
        <v>0</v>
      </c>
      <c r="F608" s="2">
        <v>10</v>
      </c>
      <c r="G608" s="3" t="s">
        <v>22</v>
      </c>
      <c r="H608" s="2">
        <v>50</v>
      </c>
      <c r="I608" s="114" t="str">
        <f t="shared" si="138"/>
        <v>361100</v>
      </c>
      <c r="J608" s="112" t="s">
        <v>84</v>
      </c>
      <c r="K608" s="2" t="s">
        <v>84</v>
      </c>
      <c r="L608" s="2">
        <v>0</v>
      </c>
      <c r="M608" s="2" t="s">
        <v>84</v>
      </c>
      <c r="N608" s="2" t="s">
        <v>84</v>
      </c>
      <c r="O608" s="2" t="s">
        <v>841</v>
      </c>
      <c r="P608" s="2" t="s">
        <v>143</v>
      </c>
    </row>
    <row r="609" spans="1:16" ht="21" customHeight="1" x14ac:dyDescent="0.15">
      <c r="A609" s="10" t="str">
        <f t="shared" si="137"/>
        <v>362_1_0_1_polygon</v>
      </c>
      <c r="B609" s="2">
        <v>362</v>
      </c>
      <c r="C609" s="30" t="str">
        <f>VLOOKUP(B609,gachas!A:C,3)</f>
        <v>フィーバーフェス&lt;ポアソン、クロネッカー&gt;</v>
      </c>
      <c r="D609" s="21">
        <v>1</v>
      </c>
      <c r="E609" s="2">
        <v>0</v>
      </c>
      <c r="F609" s="2">
        <v>1</v>
      </c>
      <c r="G609" s="3" t="s">
        <v>22</v>
      </c>
      <c r="H609" s="2">
        <v>5</v>
      </c>
      <c r="I609" s="119" t="str">
        <f>I610</f>
        <v>362100</v>
      </c>
      <c r="J609" s="112" t="s">
        <v>84</v>
      </c>
      <c r="K609" s="2" t="s">
        <v>84</v>
      </c>
      <c r="L609" s="2">
        <v>0</v>
      </c>
      <c r="M609" s="2" t="s">
        <v>84</v>
      </c>
      <c r="N609" s="2" t="s">
        <v>84</v>
      </c>
      <c r="O609" s="2" t="s">
        <v>841</v>
      </c>
      <c r="P609" s="2" t="s">
        <v>691</v>
      </c>
    </row>
    <row r="610" spans="1:16" ht="21" customHeight="1" x14ac:dyDescent="0.15">
      <c r="A610" s="10" t="str">
        <f t="shared" si="137"/>
        <v>362_10_0_10_polygon</v>
      </c>
      <c r="B610" s="2">
        <v>362</v>
      </c>
      <c r="C610" s="30" t="str">
        <f>VLOOKUP(B610,gachas!A:C,3)</f>
        <v>フィーバーフェス&lt;ポアソン、クロネッカー&gt;</v>
      </c>
      <c r="D610" s="21">
        <v>10</v>
      </c>
      <c r="E610" s="2">
        <v>0</v>
      </c>
      <c r="F610" s="2">
        <v>10</v>
      </c>
      <c r="G610" s="3" t="s">
        <v>22</v>
      </c>
      <c r="H610" s="2">
        <v>50</v>
      </c>
      <c r="I610" s="114" t="str">
        <f>B610&amp;TEXT(D610,"00")&amp;E610</f>
        <v>362100</v>
      </c>
      <c r="J610" s="112" t="s">
        <v>84</v>
      </c>
      <c r="K610" s="2" t="str">
        <f>I610</f>
        <v>362100</v>
      </c>
      <c r="L610" s="2">
        <v>1</v>
      </c>
      <c r="M610" s="2" t="s">
        <v>84</v>
      </c>
      <c r="N610" s="2" t="s">
        <v>84</v>
      </c>
      <c r="O610" s="2" t="s">
        <v>841</v>
      </c>
      <c r="P610" s="2" t="s">
        <v>1078</v>
      </c>
    </row>
    <row r="611" spans="1:16" ht="21" customHeight="1" x14ac:dyDescent="0.15">
      <c r="A611" s="10" t="str">
        <f t="shared" ref="A611" si="139">B611&amp;"_"&amp;D611&amp;"_"&amp;E611&amp;"_"&amp;F611&amp;"_"&amp;G611</f>
        <v>363_1_0_1_polygon</v>
      </c>
      <c r="B611" s="2">
        <v>363</v>
      </c>
      <c r="C611" s="30" t="str">
        <f>VLOOKUP(B611,gachas!A:C,3)</f>
        <v>フランス革命ガチャ</v>
      </c>
      <c r="D611" s="21">
        <v>1</v>
      </c>
      <c r="E611" s="2">
        <v>0</v>
      </c>
      <c r="F611" s="2">
        <v>1</v>
      </c>
      <c r="G611" s="3" t="s">
        <v>22</v>
      </c>
      <c r="H611" s="2">
        <v>5</v>
      </c>
      <c r="I611" s="114" t="str">
        <f>B611&amp;TEXT(D611,"00")&amp;E611</f>
        <v>363010</v>
      </c>
      <c r="J611" s="112" t="s">
        <v>84</v>
      </c>
      <c r="K611" s="109" t="s">
        <v>1155</v>
      </c>
      <c r="L611" s="2">
        <v>0</v>
      </c>
      <c r="M611" s="2" t="s">
        <v>84</v>
      </c>
      <c r="N611" s="2" t="s">
        <v>84</v>
      </c>
      <c r="O611" s="2" t="s">
        <v>841</v>
      </c>
      <c r="P611" s="59" t="s">
        <v>1156</v>
      </c>
    </row>
    <row r="612" spans="1:16" ht="21" customHeight="1" x14ac:dyDescent="0.15">
      <c r="A612" s="10" t="str">
        <f t="shared" si="137"/>
        <v>363_10_1_10_polygon</v>
      </c>
      <c r="B612" s="2">
        <v>363</v>
      </c>
      <c r="C612" s="30" t="str">
        <f>VLOOKUP(B612,gachas!A:C,3)</f>
        <v>フランス革命ガチャ</v>
      </c>
      <c r="D612" s="21">
        <v>10</v>
      </c>
      <c r="E612" s="2">
        <v>1</v>
      </c>
      <c r="F612" s="2">
        <v>10</v>
      </c>
      <c r="G612" s="3" t="s">
        <v>22</v>
      </c>
      <c r="H612" s="2">
        <v>25</v>
      </c>
      <c r="I612" s="117" t="str">
        <f>I613</f>
        <v>363100</v>
      </c>
      <c r="J612" s="112" t="s">
        <v>84</v>
      </c>
      <c r="K612" s="106" t="str">
        <f>I612</f>
        <v>363100</v>
      </c>
      <c r="L612" s="2">
        <v>1</v>
      </c>
      <c r="M612" s="2" t="s">
        <v>84</v>
      </c>
      <c r="N612" s="2" t="s">
        <v>84</v>
      </c>
      <c r="O612" s="2" t="s">
        <v>841</v>
      </c>
      <c r="P612" s="59" t="s">
        <v>548</v>
      </c>
    </row>
    <row r="613" spans="1:16" ht="21" customHeight="1" x14ac:dyDescent="0.15">
      <c r="A613" s="10" t="str">
        <f t="shared" ref="A613" si="140">B613&amp;"_"&amp;D613&amp;"_"&amp;E613&amp;"_"&amp;F613&amp;"_"&amp;G613</f>
        <v>363_10_0_10_polygon</v>
      </c>
      <c r="B613" s="2">
        <v>363</v>
      </c>
      <c r="C613" s="30" t="str">
        <f>VLOOKUP(B613,gachas!A:C,3)</f>
        <v>フランス革命ガチャ</v>
      </c>
      <c r="D613" s="21">
        <v>10</v>
      </c>
      <c r="E613" s="2">
        <v>0</v>
      </c>
      <c r="F613" s="2">
        <v>10</v>
      </c>
      <c r="G613" s="3" t="s">
        <v>22</v>
      </c>
      <c r="H613" s="2">
        <v>50</v>
      </c>
      <c r="I613" s="117" t="str">
        <f t="shared" ref="I613:I616" si="141">B613&amp;TEXT(D613,"00")&amp;E613</f>
        <v>363100</v>
      </c>
      <c r="J613" s="112" t="s">
        <v>84</v>
      </c>
      <c r="K613" s="106" t="str">
        <f>I613</f>
        <v>363100</v>
      </c>
      <c r="L613" s="2">
        <v>1</v>
      </c>
      <c r="M613" s="2" t="s">
        <v>84</v>
      </c>
      <c r="N613" s="2" t="s">
        <v>84</v>
      </c>
      <c r="O613" s="2" t="s">
        <v>841</v>
      </c>
      <c r="P613" s="2" t="s">
        <v>288</v>
      </c>
    </row>
    <row r="614" spans="1:16" ht="21" customHeight="1" x14ac:dyDescent="0.15">
      <c r="A614" s="10" t="str">
        <f t="shared" ref="A614:A616" si="142">B614&amp;"_"&amp;D614&amp;"_"&amp;E614&amp;"_"&amp;F614&amp;"_"&amp;G614</f>
        <v>364_1_1_1_polygon</v>
      </c>
      <c r="B614" s="2">
        <v>364</v>
      </c>
      <c r="C614" s="30" t="str">
        <f>VLOOKUP(B614,gachas!A:C,3)</f>
        <v>レアガチャ&lt;フランス革命in&gt;</v>
      </c>
      <c r="D614" s="21">
        <v>1</v>
      </c>
      <c r="E614" s="2">
        <v>1</v>
      </c>
      <c r="F614" s="2">
        <v>1</v>
      </c>
      <c r="G614" s="3" t="s">
        <v>22</v>
      </c>
      <c r="H614" s="2">
        <v>5</v>
      </c>
      <c r="I614" s="119" t="str">
        <f>I616</f>
        <v>364100</v>
      </c>
      <c r="J614" s="115" t="s">
        <v>84</v>
      </c>
      <c r="K614" s="2" t="s">
        <v>84</v>
      </c>
      <c r="L614" s="2">
        <v>0</v>
      </c>
      <c r="M614" s="2" t="s">
        <v>84</v>
      </c>
      <c r="N614" s="2" t="s">
        <v>84</v>
      </c>
      <c r="O614" s="2" t="s">
        <v>841</v>
      </c>
      <c r="P614" s="2" t="s">
        <v>142</v>
      </c>
    </row>
    <row r="615" spans="1:16" ht="21" customHeight="1" x14ac:dyDescent="0.15">
      <c r="A615" s="10" t="str">
        <f t="shared" si="142"/>
        <v>364_1_0_1_polygon</v>
      </c>
      <c r="B615" s="2">
        <v>364</v>
      </c>
      <c r="C615" s="30" t="str">
        <f>VLOOKUP(B615,gachas!A:C,3)</f>
        <v>レアガチャ&lt;フランス革命in&gt;</v>
      </c>
      <c r="D615" s="21">
        <v>1</v>
      </c>
      <c r="E615" s="2">
        <v>0</v>
      </c>
      <c r="F615" s="2">
        <v>1</v>
      </c>
      <c r="G615" s="3" t="s">
        <v>22</v>
      </c>
      <c r="H615" s="2">
        <v>5</v>
      </c>
      <c r="I615" s="117" t="str">
        <f t="shared" si="141"/>
        <v>364010</v>
      </c>
      <c r="J615" s="115" t="s">
        <v>84</v>
      </c>
      <c r="K615" s="2" t="s">
        <v>84</v>
      </c>
      <c r="L615" s="2">
        <v>0</v>
      </c>
      <c r="M615" s="2" t="s">
        <v>84</v>
      </c>
      <c r="N615" s="2" t="s">
        <v>84</v>
      </c>
      <c r="O615" s="2" t="s">
        <v>841</v>
      </c>
      <c r="P615" s="2" t="s">
        <v>84</v>
      </c>
    </row>
    <row r="616" spans="1:16" ht="21" customHeight="1" x14ac:dyDescent="0.15">
      <c r="A616" s="10" t="str">
        <f t="shared" si="142"/>
        <v>364_10_0_10_polygon</v>
      </c>
      <c r="B616" s="2">
        <v>364</v>
      </c>
      <c r="C616" s="30" t="str">
        <f>VLOOKUP(B616,gachas!A:C,3)</f>
        <v>レアガチャ&lt;フランス革命in&gt;</v>
      </c>
      <c r="D616" s="21">
        <v>10</v>
      </c>
      <c r="E616" s="2">
        <v>0</v>
      </c>
      <c r="F616" s="2">
        <v>10</v>
      </c>
      <c r="G616" s="3" t="s">
        <v>22</v>
      </c>
      <c r="H616" s="2">
        <v>50</v>
      </c>
      <c r="I616" s="114" t="str">
        <f t="shared" si="141"/>
        <v>364100</v>
      </c>
      <c r="J616" s="112" t="s">
        <v>84</v>
      </c>
      <c r="K616" s="2" t="s">
        <v>84</v>
      </c>
      <c r="L616" s="2">
        <v>0</v>
      </c>
      <c r="M616" s="2" t="s">
        <v>84</v>
      </c>
      <c r="N616" s="2" t="s">
        <v>84</v>
      </c>
      <c r="O616" s="2" t="s">
        <v>841</v>
      </c>
      <c r="P616" s="2" t="s">
        <v>143</v>
      </c>
    </row>
    <row r="617" spans="1:16" ht="21" customHeight="1" x14ac:dyDescent="0.15">
      <c r="A617" s="10" t="str">
        <f t="shared" si="137"/>
        <v>365_10_1_1_polygon</v>
      </c>
      <c r="B617" s="2">
        <v>365</v>
      </c>
      <c r="C617" s="30" t="str">
        <f>VLOOKUP(B617,gachas!A:C,3)</f>
        <v>七夕ステップアップガチャ</v>
      </c>
      <c r="D617" s="21">
        <v>10</v>
      </c>
      <c r="E617" s="2">
        <v>1</v>
      </c>
      <c r="F617" s="2">
        <v>1</v>
      </c>
      <c r="G617" s="3" t="s">
        <v>22</v>
      </c>
      <c r="H617" s="2">
        <v>1</v>
      </c>
      <c r="I617" s="114" t="str">
        <f>B617&amp;TEXT(D617,"00")&amp;E617</f>
        <v>365101</v>
      </c>
      <c r="J617" s="112" t="s">
        <v>84</v>
      </c>
      <c r="K617" s="2" t="s">
        <v>84</v>
      </c>
      <c r="L617" s="2">
        <v>0</v>
      </c>
      <c r="M617" s="2" t="s">
        <v>84</v>
      </c>
      <c r="N617" s="2" t="s">
        <v>84</v>
      </c>
      <c r="O617" s="2" t="s">
        <v>841</v>
      </c>
      <c r="P617" s="2" t="s">
        <v>546</v>
      </c>
    </row>
    <row r="618" spans="1:16" ht="21" customHeight="1" x14ac:dyDescent="0.15">
      <c r="A618" s="10" t="str">
        <f t="shared" si="137"/>
        <v>365_10_2_3_polygon</v>
      </c>
      <c r="B618" s="2">
        <v>365</v>
      </c>
      <c r="C618" s="30" t="str">
        <f>VLOOKUP(B618,gachas!A:C,3)</f>
        <v>七夕ステップアップガチャ</v>
      </c>
      <c r="D618" s="21">
        <v>10</v>
      </c>
      <c r="E618" s="2">
        <v>2</v>
      </c>
      <c r="F618" s="2">
        <v>3</v>
      </c>
      <c r="G618" s="3" t="s">
        <v>22</v>
      </c>
      <c r="H618" s="2">
        <v>9</v>
      </c>
      <c r="I618" s="119" t="str">
        <f>I617</f>
        <v>365101</v>
      </c>
      <c r="J618" s="112" t="s">
        <v>84</v>
      </c>
      <c r="K618" s="2" t="s">
        <v>84</v>
      </c>
      <c r="L618" s="2">
        <v>0</v>
      </c>
      <c r="M618" s="2" t="s">
        <v>84</v>
      </c>
      <c r="N618" s="2" t="s">
        <v>84</v>
      </c>
      <c r="O618" s="2" t="s">
        <v>841</v>
      </c>
      <c r="P618" s="2" t="s">
        <v>527</v>
      </c>
    </row>
    <row r="619" spans="1:16" ht="21" customHeight="1" x14ac:dyDescent="0.15">
      <c r="A619" s="10" t="str">
        <f t="shared" si="137"/>
        <v>365_10_3_10_polygon</v>
      </c>
      <c r="B619" s="2">
        <v>365</v>
      </c>
      <c r="C619" s="30" t="str">
        <f>VLOOKUP(B619,gachas!A:C,3)</f>
        <v>七夕ステップアップガチャ</v>
      </c>
      <c r="D619" s="21">
        <v>10</v>
      </c>
      <c r="E619" s="2">
        <v>3</v>
      </c>
      <c r="F619" s="2">
        <v>10</v>
      </c>
      <c r="G619" s="3" t="s">
        <v>22</v>
      </c>
      <c r="H619" s="2">
        <v>35</v>
      </c>
      <c r="I619" s="114" t="str">
        <f t="shared" ref="I619:I621" si="143">B619&amp;TEXT(D619,"00")&amp;E619</f>
        <v>365103</v>
      </c>
      <c r="J619" s="112" t="s">
        <v>84</v>
      </c>
      <c r="K619" s="6" t="str">
        <f>I619</f>
        <v>365103</v>
      </c>
      <c r="L619" s="2">
        <v>1</v>
      </c>
      <c r="M619" s="2" t="s">
        <v>84</v>
      </c>
      <c r="N619" s="2" t="s">
        <v>84</v>
      </c>
      <c r="O619" s="2" t="s">
        <v>841</v>
      </c>
      <c r="P619" s="2" t="s">
        <v>1126</v>
      </c>
    </row>
    <row r="620" spans="1:16" ht="21" customHeight="1" x14ac:dyDescent="0.15">
      <c r="A620" s="10" t="str">
        <f t="shared" si="137"/>
        <v>365_10_4_10_polygon</v>
      </c>
      <c r="B620" s="2">
        <v>365</v>
      </c>
      <c r="C620" s="30" t="str">
        <f>VLOOKUP(B620,gachas!A:C,3)</f>
        <v>七夕ステップアップガチャ</v>
      </c>
      <c r="D620" s="21">
        <v>10</v>
      </c>
      <c r="E620" s="2">
        <v>4</v>
      </c>
      <c r="F620" s="2">
        <v>10</v>
      </c>
      <c r="G620" s="3" t="s">
        <v>22</v>
      </c>
      <c r="H620" s="2">
        <v>50</v>
      </c>
      <c r="I620" s="114" t="str">
        <f t="shared" si="143"/>
        <v>365104</v>
      </c>
      <c r="J620" s="122" t="s">
        <v>1125</v>
      </c>
      <c r="K620" s="2" t="s">
        <v>84</v>
      </c>
      <c r="L620" s="2">
        <v>0</v>
      </c>
      <c r="M620" s="2" t="s">
        <v>84</v>
      </c>
      <c r="N620" s="2" t="s">
        <v>84</v>
      </c>
      <c r="O620" s="2" t="s">
        <v>841</v>
      </c>
      <c r="P620" s="2" t="s">
        <v>1127</v>
      </c>
    </row>
    <row r="621" spans="1:16" ht="21" customHeight="1" x14ac:dyDescent="0.15">
      <c r="A621" s="10" t="str">
        <f t="shared" si="137"/>
        <v>365_10_5_10_polygon</v>
      </c>
      <c r="B621" s="2">
        <v>365</v>
      </c>
      <c r="C621" s="30" t="str">
        <f>VLOOKUP(B621,gachas!A:C,3)</f>
        <v>七夕ステップアップガチャ</v>
      </c>
      <c r="D621" s="21">
        <v>10</v>
      </c>
      <c r="E621" s="2">
        <v>5</v>
      </c>
      <c r="F621" s="2">
        <v>10</v>
      </c>
      <c r="G621" s="3" t="s">
        <v>22</v>
      </c>
      <c r="H621" s="2">
        <v>50</v>
      </c>
      <c r="I621" s="114" t="str">
        <f t="shared" si="143"/>
        <v>365105</v>
      </c>
      <c r="J621" s="122" t="s">
        <v>1124</v>
      </c>
      <c r="K621" s="2" t="s">
        <v>84</v>
      </c>
      <c r="L621" s="2">
        <v>0</v>
      </c>
      <c r="M621" s="2" t="s">
        <v>84</v>
      </c>
      <c r="N621" s="2" t="s">
        <v>84</v>
      </c>
      <c r="O621" s="2" t="s">
        <v>841</v>
      </c>
      <c r="P621" s="2" t="s">
        <v>1128</v>
      </c>
    </row>
    <row r="622" spans="1:16" ht="21" customHeight="1" x14ac:dyDescent="0.15">
      <c r="A622" s="10" t="str">
        <f t="shared" si="137"/>
        <v>365_10_6_10_polygon</v>
      </c>
      <c r="B622" s="2">
        <v>365</v>
      </c>
      <c r="C622" s="30" t="str">
        <f>VLOOKUP(B622,gachas!A:C,3)</f>
        <v>七夕ステップアップガチャ</v>
      </c>
      <c r="D622" s="21">
        <v>10</v>
      </c>
      <c r="E622" s="2">
        <v>6</v>
      </c>
      <c r="F622" s="2">
        <v>10</v>
      </c>
      <c r="G622" s="3" t="s">
        <v>22</v>
      </c>
      <c r="H622" s="2">
        <v>50</v>
      </c>
      <c r="I622" s="127" t="s">
        <v>1123</v>
      </c>
      <c r="J622" s="112" t="s">
        <v>84</v>
      </c>
      <c r="K622" s="2" t="s">
        <v>84</v>
      </c>
      <c r="L622" s="2">
        <v>0</v>
      </c>
      <c r="M622" s="2" t="s">
        <v>84</v>
      </c>
      <c r="N622" s="2" t="s">
        <v>84</v>
      </c>
      <c r="O622" s="2" t="s">
        <v>841</v>
      </c>
      <c r="P622" s="2" t="s">
        <v>1129</v>
      </c>
    </row>
    <row r="623" spans="1:16" ht="21" customHeight="1" x14ac:dyDescent="0.15">
      <c r="A623" s="10" t="str">
        <f t="shared" si="137"/>
        <v>365_10_0_10_polygon</v>
      </c>
      <c r="B623" s="2">
        <v>365</v>
      </c>
      <c r="C623" s="30" t="str">
        <f>VLOOKUP(B623,gachas!A:C,3)</f>
        <v>七夕ステップアップガチャ</v>
      </c>
      <c r="D623" s="21">
        <v>10</v>
      </c>
      <c r="E623" s="2">
        <v>0</v>
      </c>
      <c r="F623" s="2">
        <v>10</v>
      </c>
      <c r="G623" s="3" t="s">
        <v>22</v>
      </c>
      <c r="H623" s="2">
        <v>50</v>
      </c>
      <c r="I623" s="114" t="str">
        <f t="shared" ref="I623:I624" si="144">B623&amp;TEXT(D623,"00")&amp;E623</f>
        <v>365100</v>
      </c>
      <c r="J623" s="112" t="s">
        <v>84</v>
      </c>
      <c r="K623" s="2" t="s">
        <v>84</v>
      </c>
      <c r="L623" s="2">
        <v>0</v>
      </c>
      <c r="M623" s="2" t="s">
        <v>84</v>
      </c>
      <c r="N623" s="2" t="s">
        <v>84</v>
      </c>
      <c r="O623" s="2" t="s">
        <v>841</v>
      </c>
      <c r="P623" s="2" t="s">
        <v>1130</v>
      </c>
    </row>
    <row r="624" spans="1:16" ht="21" customHeight="1" x14ac:dyDescent="0.15">
      <c r="A624" s="10" t="str">
        <f t="shared" si="137"/>
        <v>366_10_1_1_polygon</v>
      </c>
      <c r="B624" s="2">
        <v>366</v>
      </c>
      <c r="C624" s="30" t="str">
        <f>VLOOKUP(B624,gachas!A:C,3)</f>
        <v>7月ステップアップフィーバー</v>
      </c>
      <c r="D624" s="21">
        <v>10</v>
      </c>
      <c r="E624" s="2">
        <v>1</v>
      </c>
      <c r="F624" s="2">
        <v>1</v>
      </c>
      <c r="G624" s="3" t="s">
        <v>22</v>
      </c>
      <c r="H624" s="2">
        <v>3</v>
      </c>
      <c r="I624" s="114" t="str">
        <f t="shared" si="144"/>
        <v>366101</v>
      </c>
      <c r="J624" s="112" t="s">
        <v>84</v>
      </c>
      <c r="K624" s="47" t="s">
        <v>84</v>
      </c>
      <c r="L624" s="2">
        <v>0</v>
      </c>
      <c r="M624" s="2" t="s">
        <v>84</v>
      </c>
      <c r="N624" s="2" t="s">
        <v>84</v>
      </c>
      <c r="O624" s="2" t="s">
        <v>841</v>
      </c>
      <c r="P624" s="2" t="s">
        <v>709</v>
      </c>
    </row>
    <row r="625" spans="1:16" ht="21" customHeight="1" x14ac:dyDescent="0.15">
      <c r="A625" s="10" t="str">
        <f t="shared" si="137"/>
        <v>366_10_2_3_polygon</v>
      </c>
      <c r="B625" s="2">
        <v>366</v>
      </c>
      <c r="C625" s="30" t="str">
        <f>VLOOKUP(B625,gachas!A:C,3)</f>
        <v>7月ステップアップフィーバー</v>
      </c>
      <c r="D625" s="21">
        <v>10</v>
      </c>
      <c r="E625" s="2">
        <v>2</v>
      </c>
      <c r="F625" s="2">
        <v>3</v>
      </c>
      <c r="G625" s="3" t="s">
        <v>22</v>
      </c>
      <c r="H625" s="2">
        <v>9</v>
      </c>
      <c r="I625" s="119" t="str">
        <f>I624</f>
        <v>366101</v>
      </c>
      <c r="J625" s="112" t="s">
        <v>84</v>
      </c>
      <c r="K625" s="47" t="s">
        <v>84</v>
      </c>
      <c r="L625" s="2">
        <v>0</v>
      </c>
      <c r="M625" s="2" t="s">
        <v>84</v>
      </c>
      <c r="N625" s="2" t="s">
        <v>84</v>
      </c>
      <c r="O625" s="2" t="s">
        <v>841</v>
      </c>
      <c r="P625" s="2" t="s">
        <v>710</v>
      </c>
    </row>
    <row r="626" spans="1:16" ht="21" customHeight="1" x14ac:dyDescent="0.15">
      <c r="A626" s="10" t="str">
        <f t="shared" si="137"/>
        <v>366_10_3_5_polygon</v>
      </c>
      <c r="B626" s="2">
        <v>366</v>
      </c>
      <c r="C626" s="30" t="str">
        <f>VLOOKUP(B626,gachas!A:C,3)</f>
        <v>7月ステップアップフィーバー</v>
      </c>
      <c r="D626" s="21">
        <v>10</v>
      </c>
      <c r="E626" s="2">
        <v>3</v>
      </c>
      <c r="F626" s="2">
        <v>5</v>
      </c>
      <c r="G626" s="3" t="s">
        <v>22</v>
      </c>
      <c r="H626" s="2">
        <v>25</v>
      </c>
      <c r="I626" s="119" t="str">
        <f>I625</f>
        <v>366101</v>
      </c>
      <c r="J626" s="125" t="s">
        <v>1151</v>
      </c>
      <c r="K626" s="47" t="s">
        <v>84</v>
      </c>
      <c r="L626" s="2">
        <v>0</v>
      </c>
      <c r="M626" s="2" t="s">
        <v>84</v>
      </c>
      <c r="N626" s="2" t="s">
        <v>84</v>
      </c>
      <c r="O626" s="2" t="s">
        <v>841</v>
      </c>
      <c r="P626" s="2" t="s">
        <v>1154</v>
      </c>
    </row>
    <row r="627" spans="1:16" ht="21" customHeight="1" x14ac:dyDescent="0.15">
      <c r="A627" s="10" t="str">
        <f t="shared" si="137"/>
        <v>366_10_4_10_polygon</v>
      </c>
      <c r="B627" s="2">
        <v>366</v>
      </c>
      <c r="C627" s="30" t="str">
        <f>VLOOKUP(B627,gachas!A:C,3)</f>
        <v>7月ステップアップフィーバー</v>
      </c>
      <c r="D627" s="21">
        <v>10</v>
      </c>
      <c r="E627" s="2">
        <v>4</v>
      </c>
      <c r="F627" s="2">
        <v>10</v>
      </c>
      <c r="G627" s="3" t="s">
        <v>22</v>
      </c>
      <c r="H627" s="2">
        <v>25</v>
      </c>
      <c r="I627" s="126" t="s">
        <v>1152</v>
      </c>
      <c r="J627" s="112" t="s">
        <v>84</v>
      </c>
      <c r="K627" s="47" t="s">
        <v>84</v>
      </c>
      <c r="L627" s="2">
        <v>0</v>
      </c>
      <c r="M627" s="2" t="s">
        <v>84</v>
      </c>
      <c r="N627" s="2" t="s">
        <v>84</v>
      </c>
      <c r="O627" s="2" t="s">
        <v>841</v>
      </c>
      <c r="P627" s="2" t="s">
        <v>712</v>
      </c>
    </row>
    <row r="628" spans="1:16" ht="21" customHeight="1" x14ac:dyDescent="0.15">
      <c r="A628" s="10" t="str">
        <f t="shared" si="137"/>
        <v>366_10_5_10_polygon</v>
      </c>
      <c r="B628" s="2">
        <v>366</v>
      </c>
      <c r="C628" s="30" t="str">
        <f>VLOOKUP(B628,gachas!A:C,3)</f>
        <v>7月ステップアップフィーバー</v>
      </c>
      <c r="D628" s="21">
        <v>10</v>
      </c>
      <c r="E628" s="2">
        <v>5</v>
      </c>
      <c r="F628" s="2">
        <v>10</v>
      </c>
      <c r="G628" s="3" t="s">
        <v>22</v>
      </c>
      <c r="H628" s="2">
        <v>50</v>
      </c>
      <c r="I628" s="119" t="str">
        <f>I627</f>
        <v>366104</v>
      </c>
      <c r="J628" s="112" t="s">
        <v>84</v>
      </c>
      <c r="K628" s="68" t="s">
        <v>1153</v>
      </c>
      <c r="L628" s="2">
        <v>1</v>
      </c>
      <c r="M628" s="2" t="s">
        <v>84</v>
      </c>
      <c r="N628" s="2" t="s">
        <v>84</v>
      </c>
      <c r="O628" s="2" t="s">
        <v>841</v>
      </c>
      <c r="P628" s="2" t="s">
        <v>802</v>
      </c>
    </row>
    <row r="629" spans="1:16" ht="21" customHeight="1" x14ac:dyDescent="0.15">
      <c r="A629" s="10" t="str">
        <f t="shared" ref="A629:A633" si="145">B629&amp;"_"&amp;D629&amp;"_"&amp;E629&amp;"_"&amp;F629&amp;"_"&amp;G629</f>
        <v>366_10_6_1_polygon</v>
      </c>
      <c r="B629" s="2">
        <v>366</v>
      </c>
      <c r="C629" s="30" t="str">
        <f>VLOOKUP(B629,gachas!A:C,3)</f>
        <v>7月ステップアップフィーバー</v>
      </c>
      <c r="D629" s="21">
        <v>10</v>
      </c>
      <c r="E629" s="2">
        <v>6</v>
      </c>
      <c r="F629" s="2">
        <v>1</v>
      </c>
      <c r="G629" s="3" t="s">
        <v>22</v>
      </c>
      <c r="H629" s="2">
        <v>3</v>
      </c>
      <c r="I629" s="126" t="s">
        <v>1167</v>
      </c>
      <c r="J629" s="112" t="s">
        <v>84</v>
      </c>
      <c r="K629" s="47" t="s">
        <v>84</v>
      </c>
      <c r="L629" s="2">
        <v>0</v>
      </c>
      <c r="M629" s="2" t="s">
        <v>84</v>
      </c>
      <c r="N629" s="2" t="s">
        <v>84</v>
      </c>
      <c r="O629" s="2" t="s">
        <v>841</v>
      </c>
      <c r="P629" s="2" t="s">
        <v>709</v>
      </c>
    </row>
    <row r="630" spans="1:16" ht="21" customHeight="1" x14ac:dyDescent="0.15">
      <c r="A630" s="10" t="str">
        <f t="shared" si="145"/>
        <v>366_10_7_3_polygon</v>
      </c>
      <c r="B630" s="2">
        <v>366</v>
      </c>
      <c r="C630" s="30" t="str">
        <f>VLOOKUP(B630,gachas!A:C,3)</f>
        <v>7月ステップアップフィーバー</v>
      </c>
      <c r="D630" s="21">
        <v>10</v>
      </c>
      <c r="E630" s="2">
        <v>7</v>
      </c>
      <c r="F630" s="2">
        <v>3</v>
      </c>
      <c r="G630" s="3" t="s">
        <v>22</v>
      </c>
      <c r="H630" s="2">
        <v>9</v>
      </c>
      <c r="I630" s="119" t="str">
        <f>I629</f>
        <v>366101</v>
      </c>
      <c r="J630" s="112" t="s">
        <v>84</v>
      </c>
      <c r="K630" s="47" t="s">
        <v>84</v>
      </c>
      <c r="L630" s="2">
        <v>0</v>
      </c>
      <c r="M630" s="2" t="s">
        <v>84</v>
      </c>
      <c r="N630" s="2" t="s">
        <v>84</v>
      </c>
      <c r="O630" s="2" t="s">
        <v>841</v>
      </c>
      <c r="P630" s="2" t="s">
        <v>710</v>
      </c>
    </row>
    <row r="631" spans="1:16" ht="21" customHeight="1" x14ac:dyDescent="0.15">
      <c r="A631" s="10" t="str">
        <f t="shared" si="145"/>
        <v>366_10_8_5_polygon</v>
      </c>
      <c r="B631" s="2">
        <v>366</v>
      </c>
      <c r="C631" s="30" t="str">
        <f>VLOOKUP(B631,gachas!A:C,3)</f>
        <v>7月ステップアップフィーバー</v>
      </c>
      <c r="D631" s="21">
        <v>10</v>
      </c>
      <c r="E631" s="2">
        <v>8</v>
      </c>
      <c r="F631" s="2">
        <v>5</v>
      </c>
      <c r="G631" s="3" t="s">
        <v>22</v>
      </c>
      <c r="H631" s="2">
        <v>25</v>
      </c>
      <c r="I631" s="119" t="str">
        <f>I630</f>
        <v>366101</v>
      </c>
      <c r="J631" s="125" t="s">
        <v>1151</v>
      </c>
      <c r="K631" s="47" t="s">
        <v>84</v>
      </c>
      <c r="L631" s="2">
        <v>0</v>
      </c>
      <c r="M631" s="2" t="s">
        <v>84</v>
      </c>
      <c r="N631" s="2" t="s">
        <v>84</v>
      </c>
      <c r="O631" s="2" t="s">
        <v>841</v>
      </c>
      <c r="P631" s="2" t="s">
        <v>1154</v>
      </c>
    </row>
    <row r="632" spans="1:16" ht="21" customHeight="1" x14ac:dyDescent="0.15">
      <c r="A632" s="10" t="str">
        <f t="shared" si="145"/>
        <v>366_10_9_10_polygon</v>
      </c>
      <c r="B632" s="2">
        <v>366</v>
      </c>
      <c r="C632" s="30" t="str">
        <f>VLOOKUP(B632,gachas!A:C,3)</f>
        <v>7月ステップアップフィーバー</v>
      </c>
      <c r="D632" s="21">
        <v>10</v>
      </c>
      <c r="E632" s="2">
        <v>9</v>
      </c>
      <c r="F632" s="2">
        <v>10</v>
      </c>
      <c r="G632" s="3" t="s">
        <v>22</v>
      </c>
      <c r="H632" s="2">
        <v>25</v>
      </c>
      <c r="I632" s="126" t="s">
        <v>1152</v>
      </c>
      <c r="J632" s="112" t="s">
        <v>84</v>
      </c>
      <c r="K632" s="47" t="s">
        <v>84</v>
      </c>
      <c r="L632" s="2">
        <v>0</v>
      </c>
      <c r="M632" s="2" t="s">
        <v>84</v>
      </c>
      <c r="N632" s="2" t="s">
        <v>84</v>
      </c>
      <c r="O632" s="2" t="s">
        <v>841</v>
      </c>
      <c r="P632" s="2" t="s">
        <v>712</v>
      </c>
    </row>
    <row r="633" spans="1:16" ht="21" customHeight="1" x14ac:dyDescent="0.15">
      <c r="A633" s="10" t="str">
        <f t="shared" si="145"/>
        <v>366_10_10_10_polygon</v>
      </c>
      <c r="B633" s="2">
        <v>366</v>
      </c>
      <c r="C633" s="30" t="str">
        <f>VLOOKUP(B633,gachas!A:C,3)</f>
        <v>7月ステップアップフィーバー</v>
      </c>
      <c r="D633" s="21">
        <v>10</v>
      </c>
      <c r="E633" s="2">
        <v>10</v>
      </c>
      <c r="F633" s="2">
        <v>10</v>
      </c>
      <c r="G633" s="3" t="s">
        <v>22</v>
      </c>
      <c r="H633" s="2">
        <v>50</v>
      </c>
      <c r="I633" s="119" t="str">
        <f>I632</f>
        <v>366104</v>
      </c>
      <c r="J633" s="112" t="s">
        <v>84</v>
      </c>
      <c r="K633" s="68" t="s">
        <v>1153</v>
      </c>
      <c r="L633" s="2">
        <v>1</v>
      </c>
      <c r="M633" s="2" t="s">
        <v>84</v>
      </c>
      <c r="N633" s="2" t="s">
        <v>84</v>
      </c>
      <c r="O633" s="2" t="s">
        <v>841</v>
      </c>
      <c r="P633" s="2" t="s">
        <v>802</v>
      </c>
    </row>
    <row r="634" spans="1:16" ht="21" customHeight="1" x14ac:dyDescent="0.15">
      <c r="A634" s="10" t="str">
        <f t="shared" ref="A634:A638" si="146">B634&amp;"_"&amp;D634&amp;"_"&amp;E634&amp;"_"&amp;F634&amp;"_"&amp;G634</f>
        <v>366_10_11_1_polygon</v>
      </c>
      <c r="B634" s="2">
        <v>366</v>
      </c>
      <c r="C634" s="30" t="str">
        <f>VLOOKUP(B634,gachas!A:C,3)</f>
        <v>7月ステップアップフィーバー</v>
      </c>
      <c r="D634" s="21">
        <v>10</v>
      </c>
      <c r="E634" s="2">
        <v>11</v>
      </c>
      <c r="F634" s="2">
        <v>1</v>
      </c>
      <c r="G634" s="3" t="s">
        <v>22</v>
      </c>
      <c r="H634" s="2">
        <v>3</v>
      </c>
      <c r="I634" s="126" t="s">
        <v>1167</v>
      </c>
      <c r="J634" s="112" t="s">
        <v>84</v>
      </c>
      <c r="K634" s="47" t="s">
        <v>84</v>
      </c>
      <c r="L634" s="2">
        <v>0</v>
      </c>
      <c r="M634" s="2" t="s">
        <v>84</v>
      </c>
      <c r="N634" s="2" t="s">
        <v>84</v>
      </c>
      <c r="O634" s="2" t="s">
        <v>841</v>
      </c>
      <c r="P634" s="2" t="s">
        <v>709</v>
      </c>
    </row>
    <row r="635" spans="1:16" ht="21" customHeight="1" x14ac:dyDescent="0.15">
      <c r="A635" s="10" t="str">
        <f t="shared" si="146"/>
        <v>366_10_12_3_polygon</v>
      </c>
      <c r="B635" s="2">
        <v>366</v>
      </c>
      <c r="C635" s="30" t="str">
        <f>VLOOKUP(B635,gachas!A:C,3)</f>
        <v>7月ステップアップフィーバー</v>
      </c>
      <c r="D635" s="21">
        <v>10</v>
      </c>
      <c r="E635" s="2">
        <v>12</v>
      </c>
      <c r="F635" s="2">
        <v>3</v>
      </c>
      <c r="G635" s="3" t="s">
        <v>22</v>
      </c>
      <c r="H635" s="2">
        <v>9</v>
      </c>
      <c r="I635" s="119" t="str">
        <f>I634</f>
        <v>366101</v>
      </c>
      <c r="J635" s="112" t="s">
        <v>84</v>
      </c>
      <c r="K635" s="47" t="s">
        <v>84</v>
      </c>
      <c r="L635" s="2">
        <v>0</v>
      </c>
      <c r="M635" s="2" t="s">
        <v>84</v>
      </c>
      <c r="N635" s="2" t="s">
        <v>84</v>
      </c>
      <c r="O635" s="2" t="s">
        <v>841</v>
      </c>
      <c r="P635" s="2" t="s">
        <v>710</v>
      </c>
    </row>
    <row r="636" spans="1:16" ht="21" customHeight="1" x14ac:dyDescent="0.15">
      <c r="A636" s="10" t="str">
        <f t="shared" si="146"/>
        <v>366_10_13_5_polygon</v>
      </c>
      <c r="B636" s="2">
        <v>366</v>
      </c>
      <c r="C636" s="30" t="str">
        <f>VLOOKUP(B636,gachas!A:C,3)</f>
        <v>7月ステップアップフィーバー</v>
      </c>
      <c r="D636" s="21">
        <v>10</v>
      </c>
      <c r="E636" s="2">
        <v>13</v>
      </c>
      <c r="F636" s="2">
        <v>5</v>
      </c>
      <c r="G636" s="3" t="s">
        <v>22</v>
      </c>
      <c r="H636" s="2">
        <v>25</v>
      </c>
      <c r="I636" s="119" t="str">
        <f>I635</f>
        <v>366101</v>
      </c>
      <c r="J636" s="125" t="s">
        <v>1151</v>
      </c>
      <c r="K636" s="47" t="s">
        <v>84</v>
      </c>
      <c r="L636" s="2">
        <v>0</v>
      </c>
      <c r="M636" s="2" t="s">
        <v>84</v>
      </c>
      <c r="N636" s="2" t="s">
        <v>84</v>
      </c>
      <c r="O636" s="2" t="s">
        <v>841</v>
      </c>
      <c r="P636" s="2" t="s">
        <v>1154</v>
      </c>
    </row>
    <row r="637" spans="1:16" ht="21" customHeight="1" x14ac:dyDescent="0.15">
      <c r="A637" s="10" t="str">
        <f t="shared" si="146"/>
        <v>366_10_14_10_polygon</v>
      </c>
      <c r="B637" s="2">
        <v>366</v>
      </c>
      <c r="C637" s="30" t="str">
        <f>VLOOKUP(B637,gachas!A:C,3)</f>
        <v>7月ステップアップフィーバー</v>
      </c>
      <c r="D637" s="21">
        <v>10</v>
      </c>
      <c r="E637" s="2">
        <v>14</v>
      </c>
      <c r="F637" s="2">
        <v>10</v>
      </c>
      <c r="G637" s="3" t="s">
        <v>22</v>
      </c>
      <c r="H637" s="2">
        <v>25</v>
      </c>
      <c r="I637" s="126" t="s">
        <v>1152</v>
      </c>
      <c r="J637" s="112" t="s">
        <v>84</v>
      </c>
      <c r="K637" s="47" t="s">
        <v>84</v>
      </c>
      <c r="L637" s="2">
        <v>0</v>
      </c>
      <c r="M637" s="2" t="s">
        <v>84</v>
      </c>
      <c r="N637" s="2" t="s">
        <v>84</v>
      </c>
      <c r="O637" s="2" t="s">
        <v>841</v>
      </c>
      <c r="P637" s="2" t="s">
        <v>712</v>
      </c>
    </row>
    <row r="638" spans="1:16" ht="21" customHeight="1" x14ac:dyDescent="0.15">
      <c r="A638" s="10" t="str">
        <f t="shared" si="146"/>
        <v>366_10_15_10_polygon</v>
      </c>
      <c r="B638" s="2">
        <v>366</v>
      </c>
      <c r="C638" s="30" t="str">
        <f>VLOOKUP(B638,gachas!A:C,3)</f>
        <v>7月ステップアップフィーバー</v>
      </c>
      <c r="D638" s="21">
        <v>10</v>
      </c>
      <c r="E638" s="2">
        <v>15</v>
      </c>
      <c r="F638" s="2">
        <v>10</v>
      </c>
      <c r="G638" s="3" t="s">
        <v>22</v>
      </c>
      <c r="H638" s="2">
        <v>50</v>
      </c>
      <c r="I638" s="119" t="str">
        <f>I637</f>
        <v>366104</v>
      </c>
      <c r="J638" s="112" t="s">
        <v>84</v>
      </c>
      <c r="K638" s="68" t="s">
        <v>1153</v>
      </c>
      <c r="L638" s="2">
        <v>1</v>
      </c>
      <c r="M638" s="2" t="s">
        <v>84</v>
      </c>
      <c r="N638" s="2" t="s">
        <v>84</v>
      </c>
      <c r="O638" s="2" t="s">
        <v>841</v>
      </c>
      <c r="P638" s="2" t="s">
        <v>802</v>
      </c>
    </row>
    <row r="639" spans="1:16" ht="21" customHeight="1" x14ac:dyDescent="0.15">
      <c r="A639" s="10" t="str">
        <f t="shared" si="137"/>
        <v>366_10_0_10_polygon</v>
      </c>
      <c r="B639" s="2">
        <v>366</v>
      </c>
      <c r="C639" s="30" t="str">
        <f>VLOOKUP(B639,gachas!A:C,3)</f>
        <v>7月ステップアップフィーバー</v>
      </c>
      <c r="D639" s="21">
        <v>10</v>
      </c>
      <c r="E639" s="2">
        <v>0</v>
      </c>
      <c r="F639" s="2">
        <v>10</v>
      </c>
      <c r="G639" s="3" t="s">
        <v>22</v>
      </c>
      <c r="H639" s="2">
        <v>50</v>
      </c>
      <c r="I639" s="114" t="str">
        <f t="shared" ref="I639" si="147">B639&amp;TEXT(D639,"00")&amp;E639</f>
        <v>366100</v>
      </c>
      <c r="J639" s="112" t="s">
        <v>84</v>
      </c>
      <c r="K639" s="47" t="s">
        <v>84</v>
      </c>
      <c r="L639" s="2">
        <v>0</v>
      </c>
      <c r="M639" s="2" t="s">
        <v>84</v>
      </c>
      <c r="N639" s="2" t="s">
        <v>84</v>
      </c>
      <c r="O639" s="2" t="s">
        <v>841</v>
      </c>
      <c r="P639" s="2" t="s">
        <v>458</v>
      </c>
    </row>
    <row r="640" spans="1:16" ht="21" customHeight="1" x14ac:dyDescent="0.15">
      <c r="A640" s="10" t="str">
        <f t="shared" si="137"/>
        <v>367_10_1_1_polygon</v>
      </c>
      <c r="B640" s="2">
        <v>367</v>
      </c>
      <c r="C640" s="30" t="str">
        <f>VLOOKUP(B640,gachas!A:C,3)</f>
        <v>ランキング対抗ガチャ&lt;フレネル&gt;</v>
      </c>
      <c r="D640" s="21">
        <v>10</v>
      </c>
      <c r="E640" s="2">
        <v>1</v>
      </c>
      <c r="F640" s="2">
        <v>1</v>
      </c>
      <c r="G640" s="3" t="s">
        <v>22</v>
      </c>
      <c r="H640" s="2">
        <v>1</v>
      </c>
      <c r="I640" s="114" t="str">
        <f>B640&amp;TEXT(D640,"00")&amp;E640</f>
        <v>367101</v>
      </c>
      <c r="J640" s="112" t="s">
        <v>84</v>
      </c>
      <c r="K640" s="2" t="s">
        <v>84</v>
      </c>
      <c r="L640" s="2">
        <v>0</v>
      </c>
      <c r="M640" s="2" t="s">
        <v>84</v>
      </c>
      <c r="N640" s="2" t="s">
        <v>84</v>
      </c>
      <c r="O640" s="2" t="s">
        <v>841</v>
      </c>
      <c r="P640" s="2" t="s">
        <v>546</v>
      </c>
    </row>
    <row r="641" spans="1:16" ht="21" customHeight="1" x14ac:dyDescent="0.15">
      <c r="A641" s="10" t="str">
        <f t="shared" si="137"/>
        <v>367_10_2_3_polygon</v>
      </c>
      <c r="B641" s="2">
        <v>367</v>
      </c>
      <c r="C641" s="30" t="str">
        <f>VLOOKUP(B641,gachas!A:C,3)</f>
        <v>ランキング対抗ガチャ&lt;フレネル&gt;</v>
      </c>
      <c r="D641" s="21">
        <v>10</v>
      </c>
      <c r="E641" s="2">
        <v>2</v>
      </c>
      <c r="F641" s="2">
        <v>3</v>
      </c>
      <c r="G641" s="3" t="s">
        <v>22</v>
      </c>
      <c r="H641" s="2">
        <v>9</v>
      </c>
      <c r="I641" s="114" t="str">
        <f>I640</f>
        <v>367101</v>
      </c>
      <c r="J641" s="112" t="s">
        <v>84</v>
      </c>
      <c r="K641" s="2" t="s">
        <v>84</v>
      </c>
      <c r="L641" s="2">
        <v>0</v>
      </c>
      <c r="M641" s="2" t="s">
        <v>84</v>
      </c>
      <c r="N641" s="2" t="s">
        <v>84</v>
      </c>
      <c r="O641" s="2" t="s">
        <v>841</v>
      </c>
      <c r="P641" s="2" t="s">
        <v>527</v>
      </c>
    </row>
    <row r="642" spans="1:16" ht="21" customHeight="1" x14ac:dyDescent="0.15">
      <c r="A642" s="10" t="str">
        <f t="shared" si="137"/>
        <v>367_10_3_10_polygon</v>
      </c>
      <c r="B642" s="2">
        <v>367</v>
      </c>
      <c r="C642" s="30" t="str">
        <f>VLOOKUP(B642,gachas!A:C,3)</f>
        <v>ランキング対抗ガチャ&lt;フレネル&gt;</v>
      </c>
      <c r="D642" s="21">
        <v>10</v>
      </c>
      <c r="E642" s="2">
        <v>3</v>
      </c>
      <c r="F642" s="2">
        <v>10</v>
      </c>
      <c r="G642" s="3" t="s">
        <v>22</v>
      </c>
      <c r="H642" s="2">
        <v>35</v>
      </c>
      <c r="I642" s="114" t="str">
        <f t="shared" ref="I642:I644" si="148">B642&amp;TEXT(D642,"00")&amp;E642</f>
        <v>367103</v>
      </c>
      <c r="J642" s="112" t="s">
        <v>84</v>
      </c>
      <c r="K642" s="18" t="str">
        <f>I642</f>
        <v>367103</v>
      </c>
      <c r="L642" s="2">
        <v>1</v>
      </c>
      <c r="M642" s="2" t="s">
        <v>84</v>
      </c>
      <c r="N642" s="2" t="s">
        <v>84</v>
      </c>
      <c r="O642" s="2" t="s">
        <v>841</v>
      </c>
      <c r="P642" s="2" t="str">
        <f>"tips_stepup"&amp;B642&amp;"_"&amp;TEXT(E642,"00")&amp;".png"</f>
        <v>tips_stepup367_03.png</v>
      </c>
    </row>
    <row r="643" spans="1:16" ht="21" customHeight="1" x14ac:dyDescent="0.15">
      <c r="A643" s="10" t="str">
        <f t="shared" si="137"/>
        <v>367_10_4_10_polygon</v>
      </c>
      <c r="B643" s="2">
        <v>367</v>
      </c>
      <c r="C643" s="30" t="str">
        <f>VLOOKUP(B643,gachas!A:C,3)</f>
        <v>ランキング対抗ガチャ&lt;フレネル&gt;</v>
      </c>
      <c r="D643" s="21">
        <v>10</v>
      </c>
      <c r="E643" s="2">
        <v>4</v>
      </c>
      <c r="F643" s="2">
        <v>10</v>
      </c>
      <c r="G643" s="3" t="s">
        <v>22</v>
      </c>
      <c r="H643" s="2">
        <v>50</v>
      </c>
      <c r="I643" s="114" t="str">
        <f t="shared" si="148"/>
        <v>367104</v>
      </c>
      <c r="J643" s="128" t="str">
        <f>I643</f>
        <v>367104</v>
      </c>
      <c r="K643" s="2" t="s">
        <v>84</v>
      </c>
      <c r="L643" s="2">
        <v>0</v>
      </c>
      <c r="M643" s="2" t="s">
        <v>84</v>
      </c>
      <c r="N643" s="2" t="s">
        <v>84</v>
      </c>
      <c r="O643" s="2" t="s">
        <v>841</v>
      </c>
      <c r="P643" s="2" t="str">
        <f t="shared" ref="P643:P650" si="149">"tips_stepup"&amp;B643&amp;"_"&amp;TEXT(E643,"00")&amp;".png"</f>
        <v>tips_stepup367_04.png</v>
      </c>
    </row>
    <row r="644" spans="1:16" ht="21" customHeight="1" x14ac:dyDescent="0.15">
      <c r="A644" s="10" t="str">
        <f t="shared" si="137"/>
        <v>367_10_5_10_polygon</v>
      </c>
      <c r="B644" s="2">
        <v>367</v>
      </c>
      <c r="C644" s="30" t="str">
        <f>VLOOKUP(B644,gachas!A:C,3)</f>
        <v>ランキング対抗ガチャ&lt;フレネル&gt;</v>
      </c>
      <c r="D644" s="21">
        <v>10</v>
      </c>
      <c r="E644" s="2">
        <v>5</v>
      </c>
      <c r="F644" s="2">
        <v>10</v>
      </c>
      <c r="G644" s="3" t="s">
        <v>22</v>
      </c>
      <c r="H644" s="2">
        <v>50</v>
      </c>
      <c r="I644" s="114" t="str">
        <f t="shared" si="148"/>
        <v>367105</v>
      </c>
      <c r="J644" s="128" t="str">
        <f>I644</f>
        <v>367105</v>
      </c>
      <c r="K644" s="2" t="s">
        <v>84</v>
      </c>
      <c r="L644" s="2">
        <v>0</v>
      </c>
      <c r="M644" s="2" t="s">
        <v>84</v>
      </c>
      <c r="N644" s="2" t="s">
        <v>84</v>
      </c>
      <c r="O644" s="2" t="s">
        <v>841</v>
      </c>
      <c r="P644" s="2" t="str">
        <f t="shared" si="149"/>
        <v>tips_stepup367_05.png</v>
      </c>
    </row>
    <row r="645" spans="1:16" ht="21" customHeight="1" x14ac:dyDescent="0.15">
      <c r="A645" s="10" t="str">
        <f t="shared" si="137"/>
        <v>367_10_6_10_polygon</v>
      </c>
      <c r="B645" s="2">
        <v>367</v>
      </c>
      <c r="C645" s="30" t="str">
        <f>VLOOKUP(B645,gachas!A:C,3)</f>
        <v>ランキング対抗ガチャ&lt;フレネル&gt;</v>
      </c>
      <c r="D645" s="21">
        <v>10</v>
      </c>
      <c r="E645" s="2">
        <v>6</v>
      </c>
      <c r="F645" s="2">
        <v>10</v>
      </c>
      <c r="G645" s="3" t="s">
        <v>22</v>
      </c>
      <c r="H645" s="2">
        <v>50</v>
      </c>
      <c r="I645" s="126" t="str">
        <f>I646</f>
        <v>367100</v>
      </c>
      <c r="J645" s="112" t="s">
        <v>84</v>
      </c>
      <c r="K645" s="2" t="s">
        <v>84</v>
      </c>
      <c r="L645" s="2">
        <v>0</v>
      </c>
      <c r="M645" s="2" t="s">
        <v>84</v>
      </c>
      <c r="N645" s="2" t="s">
        <v>84</v>
      </c>
      <c r="O645" s="2" t="s">
        <v>841</v>
      </c>
      <c r="P645" s="2" t="str">
        <f t="shared" si="149"/>
        <v>tips_stepup367_06.png</v>
      </c>
    </row>
    <row r="646" spans="1:16" ht="21" customHeight="1" x14ac:dyDescent="0.15">
      <c r="A646" s="10" t="str">
        <f t="shared" si="137"/>
        <v>367_10_0_10_polygon</v>
      </c>
      <c r="B646" s="2">
        <v>367</v>
      </c>
      <c r="C646" s="30" t="str">
        <f>VLOOKUP(B646,gachas!A:C,3)</f>
        <v>ランキング対抗ガチャ&lt;フレネル&gt;</v>
      </c>
      <c r="D646" s="21">
        <v>10</v>
      </c>
      <c r="E646" s="2">
        <v>0</v>
      </c>
      <c r="F646" s="2">
        <v>10</v>
      </c>
      <c r="G646" s="3" t="s">
        <v>22</v>
      </c>
      <c r="H646" s="2">
        <v>50</v>
      </c>
      <c r="I646" s="114" t="str">
        <f t="shared" ref="I646" si="150">B646&amp;TEXT(D646,"00")&amp;E646</f>
        <v>367100</v>
      </c>
      <c r="J646" s="112" t="s">
        <v>84</v>
      </c>
      <c r="K646" s="2" t="s">
        <v>84</v>
      </c>
      <c r="L646" s="2">
        <v>0</v>
      </c>
      <c r="M646" s="2" t="s">
        <v>84</v>
      </c>
      <c r="N646" s="2" t="s">
        <v>84</v>
      </c>
      <c r="O646" s="2" t="s">
        <v>841</v>
      </c>
      <c r="P646" s="2" t="str">
        <f t="shared" si="149"/>
        <v>tips_stepup367_00.png</v>
      </c>
    </row>
    <row r="647" spans="1:16" ht="21" customHeight="1" x14ac:dyDescent="0.15">
      <c r="A647" s="10" t="str">
        <f t="shared" si="137"/>
        <v>368_10_1_1_polygon</v>
      </c>
      <c r="B647" s="2">
        <v>368</v>
      </c>
      <c r="C647" s="30" t="str">
        <f>VLOOKUP(B647,gachas!A:C,3)</f>
        <v>1周年記念ステップアップ</v>
      </c>
      <c r="D647" s="21">
        <v>10</v>
      </c>
      <c r="E647" s="2">
        <v>1</v>
      </c>
      <c r="F647" s="2">
        <v>1</v>
      </c>
      <c r="G647" s="3" t="s">
        <v>22</v>
      </c>
      <c r="H647" s="2">
        <v>3</v>
      </c>
      <c r="I647" s="114" t="str">
        <f>B647&amp;TEXT(D647,"00")&amp;E647</f>
        <v>368101</v>
      </c>
      <c r="J647" s="112" t="str">
        <f>B647&amp;TEXT(D647,"00")&amp;E647</f>
        <v>368101</v>
      </c>
      <c r="K647" s="47" t="s">
        <v>84</v>
      </c>
      <c r="L647" s="2">
        <v>0</v>
      </c>
      <c r="M647" s="2" t="s">
        <v>84</v>
      </c>
      <c r="N647" s="2" t="s">
        <v>84</v>
      </c>
      <c r="O647" s="2" t="s">
        <v>841</v>
      </c>
      <c r="P647" s="2" t="str">
        <f t="shared" si="149"/>
        <v>tips_stepup368_01.png</v>
      </c>
    </row>
    <row r="648" spans="1:16" ht="21" customHeight="1" x14ac:dyDescent="0.15">
      <c r="A648" s="10" t="str">
        <f t="shared" si="137"/>
        <v>368_10_2_3_polygon</v>
      </c>
      <c r="B648" s="2">
        <v>368</v>
      </c>
      <c r="C648" s="30" t="str">
        <f>VLOOKUP(B648,gachas!A:C,3)</f>
        <v>1周年記念ステップアップ</v>
      </c>
      <c r="D648" s="21">
        <v>10</v>
      </c>
      <c r="E648" s="2">
        <v>2</v>
      </c>
      <c r="F648" s="2">
        <v>3</v>
      </c>
      <c r="G648" s="3" t="s">
        <v>22</v>
      </c>
      <c r="H648" s="2">
        <v>9</v>
      </c>
      <c r="I648" s="114" t="str">
        <f>I647</f>
        <v>368101</v>
      </c>
      <c r="J648" s="112" t="str">
        <f t="shared" ref="J648:J650" si="151">B648&amp;TEXT(D648,"00")&amp;E648</f>
        <v>368102</v>
      </c>
      <c r="K648" s="47" t="s">
        <v>84</v>
      </c>
      <c r="L648" s="2">
        <v>0</v>
      </c>
      <c r="M648" s="2" t="s">
        <v>84</v>
      </c>
      <c r="N648" s="2" t="s">
        <v>84</v>
      </c>
      <c r="O648" s="2" t="s">
        <v>841</v>
      </c>
      <c r="P648" s="2" t="str">
        <f t="shared" si="149"/>
        <v>tips_stepup368_02.png</v>
      </c>
    </row>
    <row r="649" spans="1:16" ht="21" customHeight="1" x14ac:dyDescent="0.15">
      <c r="A649" s="10" t="str">
        <f t="shared" si="137"/>
        <v>368_10_3_5_polygon</v>
      </c>
      <c r="B649" s="2">
        <v>368</v>
      </c>
      <c r="C649" s="30" t="str">
        <f>VLOOKUP(B649,gachas!A:C,3)</f>
        <v>1周年記念ステップアップ</v>
      </c>
      <c r="D649" s="21">
        <v>10</v>
      </c>
      <c r="E649" s="2">
        <v>3</v>
      </c>
      <c r="F649" s="2">
        <v>5</v>
      </c>
      <c r="G649" s="3" t="s">
        <v>22</v>
      </c>
      <c r="H649" s="2">
        <v>25</v>
      </c>
      <c r="I649" s="114" t="str">
        <f t="shared" ref="I649:I650" si="152">I648</f>
        <v>368101</v>
      </c>
      <c r="J649" s="112" t="str">
        <f t="shared" si="151"/>
        <v>368103</v>
      </c>
      <c r="K649" s="47" t="s">
        <v>86</v>
      </c>
      <c r="L649" s="2">
        <v>0</v>
      </c>
      <c r="M649" s="2" t="s">
        <v>84</v>
      </c>
      <c r="N649" s="2" t="s">
        <v>84</v>
      </c>
      <c r="O649" s="2" t="s">
        <v>841</v>
      </c>
      <c r="P649" s="2" t="str">
        <f t="shared" si="149"/>
        <v>tips_stepup368_03.png</v>
      </c>
    </row>
    <row r="650" spans="1:16" ht="21" customHeight="1" x14ac:dyDescent="0.15">
      <c r="A650" s="10" t="str">
        <f t="shared" si="137"/>
        <v>368_10_4_5_polygon</v>
      </c>
      <c r="B650" s="2">
        <v>368</v>
      </c>
      <c r="C650" s="30" t="str">
        <f>VLOOKUP(B650,gachas!A:C,3)</f>
        <v>1周年記念ステップアップ</v>
      </c>
      <c r="D650" s="21">
        <v>10</v>
      </c>
      <c r="E650" s="2">
        <v>4</v>
      </c>
      <c r="F650" s="2">
        <v>5</v>
      </c>
      <c r="G650" s="3" t="s">
        <v>22</v>
      </c>
      <c r="H650" s="2">
        <v>25</v>
      </c>
      <c r="I650" s="114" t="str">
        <f t="shared" si="152"/>
        <v>368101</v>
      </c>
      <c r="J650" s="112" t="str">
        <f t="shared" si="151"/>
        <v>368104</v>
      </c>
      <c r="K650" s="47" t="s">
        <v>84</v>
      </c>
      <c r="L650" s="2">
        <v>0</v>
      </c>
      <c r="M650" s="2" t="s">
        <v>84</v>
      </c>
      <c r="N650" s="2" t="s">
        <v>84</v>
      </c>
      <c r="O650" s="2" t="s">
        <v>841</v>
      </c>
      <c r="P650" s="2" t="str">
        <f t="shared" si="149"/>
        <v>tips_stepup368_04.png</v>
      </c>
    </row>
    <row r="651" spans="1:16" ht="21" customHeight="1" x14ac:dyDescent="0.15">
      <c r="A651" s="10" t="str">
        <f t="shared" si="137"/>
        <v>368_10_0_10_polygon</v>
      </c>
      <c r="B651" s="2">
        <v>368</v>
      </c>
      <c r="C651" s="30" t="str">
        <f>VLOOKUP(B651,gachas!A:C,3)</f>
        <v>1周年記念ステップアップ</v>
      </c>
      <c r="D651" s="21">
        <v>10</v>
      </c>
      <c r="E651" s="2">
        <v>0</v>
      </c>
      <c r="F651" s="2">
        <v>10</v>
      </c>
      <c r="G651" s="3" t="s">
        <v>22</v>
      </c>
      <c r="H651" s="2">
        <v>50</v>
      </c>
      <c r="I651" s="114" t="str">
        <f t="shared" ref="I651" si="153">B651&amp;TEXT(D651,"00")&amp;E651</f>
        <v>368100</v>
      </c>
      <c r="J651" s="112" t="s">
        <v>86</v>
      </c>
      <c r="K651" s="76" t="str">
        <f>I651</f>
        <v>368100</v>
      </c>
      <c r="L651" s="2">
        <v>2</v>
      </c>
      <c r="M651" s="2" t="s">
        <v>84</v>
      </c>
      <c r="N651" s="2" t="s">
        <v>84</v>
      </c>
      <c r="O651" s="2" t="s">
        <v>841</v>
      </c>
      <c r="P651" s="6" t="s">
        <v>1184</v>
      </c>
    </row>
    <row r="652" spans="1:16" ht="21" customHeight="1" x14ac:dyDescent="0.15">
      <c r="A652" s="10" t="str">
        <f t="shared" ref="A652" si="154">B652&amp;"_"&amp;D652&amp;"_"&amp;E652&amp;"_"&amp;F652&amp;"_"&amp;G652</f>
        <v>369_1_0_1_polygon</v>
      </c>
      <c r="B652" s="2">
        <v>369</v>
      </c>
      <c r="C652" s="30" t="str">
        <f>VLOOKUP(B652,gachas!A:C,3)</f>
        <v>超覚醒記念ガチャ</v>
      </c>
      <c r="D652" s="21">
        <v>1</v>
      </c>
      <c r="E652" s="2">
        <v>0</v>
      </c>
      <c r="F652" s="2">
        <v>1</v>
      </c>
      <c r="G652" s="3" t="s">
        <v>22</v>
      </c>
      <c r="H652" s="2">
        <v>5</v>
      </c>
      <c r="I652" s="114" t="str">
        <f t="shared" ref="I652" si="155">B652&amp;TEXT(D652,"00")&amp;E652</f>
        <v>369010</v>
      </c>
      <c r="J652" s="112" t="s">
        <v>86</v>
      </c>
      <c r="K652" s="76" t="s">
        <v>84</v>
      </c>
      <c r="L652" s="2">
        <v>0</v>
      </c>
      <c r="M652" s="2" t="s">
        <v>84</v>
      </c>
      <c r="N652" s="2" t="s">
        <v>84</v>
      </c>
      <c r="O652" s="2" t="s">
        <v>841</v>
      </c>
      <c r="P652" s="18" t="s">
        <v>84</v>
      </c>
    </row>
    <row r="653" spans="1:16" ht="21" customHeight="1" x14ac:dyDescent="0.15">
      <c r="A653" s="10" t="str">
        <f t="shared" ref="A653" si="156">B653&amp;"_"&amp;D653&amp;"_"&amp;E653&amp;"_"&amp;F653&amp;"_"&amp;G653</f>
        <v>369_10_0_10_polygon</v>
      </c>
      <c r="B653" s="2">
        <v>369</v>
      </c>
      <c r="C653" s="30" t="str">
        <f>VLOOKUP(B653,gachas!A:C,3)</f>
        <v>超覚醒記念ガチャ</v>
      </c>
      <c r="D653" s="21">
        <v>10</v>
      </c>
      <c r="E653" s="2">
        <v>0</v>
      </c>
      <c r="F653" s="2">
        <v>10</v>
      </c>
      <c r="G653" s="3" t="s">
        <v>22</v>
      </c>
      <c r="H653" s="2">
        <v>50</v>
      </c>
      <c r="I653" s="114" t="str">
        <f t="shared" ref="I653" si="157">B653&amp;TEXT(D653,"00")&amp;E653</f>
        <v>369100</v>
      </c>
      <c r="J653" s="112" t="s">
        <v>86</v>
      </c>
      <c r="K653" s="76" t="str">
        <f>I653</f>
        <v>369100</v>
      </c>
      <c r="L653" s="2">
        <v>1</v>
      </c>
      <c r="M653" s="2" t="s">
        <v>84</v>
      </c>
      <c r="N653" s="2" t="s">
        <v>84</v>
      </c>
      <c r="O653" s="2" t="s">
        <v>841</v>
      </c>
      <c r="P653" s="2" t="s">
        <v>1231</v>
      </c>
    </row>
    <row r="654" spans="1:16" ht="21" customHeight="1" x14ac:dyDescent="0.15">
      <c r="A654" s="10" t="str">
        <f t="shared" ref="A654" si="158">B654&amp;"_"&amp;D654&amp;"_"&amp;E654&amp;"_"&amp;F654&amp;"_"&amp;G654</f>
        <v>370_1_0_1_polygon</v>
      </c>
      <c r="B654" s="2">
        <v>370</v>
      </c>
      <c r="C654" s="30" t="str">
        <f>VLOOKUP(B654,gachas!A:C,3)</f>
        <v>新クラファーコレクション</v>
      </c>
      <c r="D654" s="21">
        <v>1</v>
      </c>
      <c r="E654" s="2">
        <v>0</v>
      </c>
      <c r="F654" s="2">
        <v>1</v>
      </c>
      <c r="G654" s="3" t="s">
        <v>22</v>
      </c>
      <c r="H654" s="2">
        <v>5</v>
      </c>
      <c r="I654" s="114" t="str">
        <f t="shared" ref="I654" si="159">B654&amp;TEXT(D654,"00")&amp;E654</f>
        <v>370010</v>
      </c>
      <c r="J654" s="112" t="s">
        <v>86</v>
      </c>
      <c r="K654" s="76" t="s">
        <v>84</v>
      </c>
      <c r="L654" s="2">
        <v>0</v>
      </c>
      <c r="M654" s="2" t="s">
        <v>84</v>
      </c>
      <c r="N654" s="2" t="s">
        <v>84</v>
      </c>
      <c r="O654" s="2" t="s">
        <v>841</v>
      </c>
      <c r="P654" s="18" t="s">
        <v>1218</v>
      </c>
    </row>
    <row r="655" spans="1:16" ht="21" customHeight="1" x14ac:dyDescent="0.15">
      <c r="A655" s="10" t="str">
        <f t="shared" ref="A655:A656" si="160">B655&amp;"_"&amp;D655&amp;"_"&amp;E655&amp;"_"&amp;F655&amp;"_"&amp;G655</f>
        <v>370_10_0_10_polygon</v>
      </c>
      <c r="B655" s="2">
        <v>370</v>
      </c>
      <c r="C655" s="30" t="str">
        <f>VLOOKUP(B655,gachas!A:C,3)</f>
        <v>新クラファーコレクション</v>
      </c>
      <c r="D655" s="21">
        <v>10</v>
      </c>
      <c r="E655" s="2">
        <v>0</v>
      </c>
      <c r="F655" s="2">
        <v>10</v>
      </c>
      <c r="G655" s="3" t="s">
        <v>22</v>
      </c>
      <c r="H655" s="2">
        <v>50</v>
      </c>
      <c r="I655" s="114" t="str">
        <f t="shared" ref="I655" si="161">B655&amp;TEXT(D655,"00")&amp;E655</f>
        <v>370100</v>
      </c>
      <c r="J655" s="112" t="s">
        <v>86</v>
      </c>
      <c r="K655" s="76" t="s">
        <v>84</v>
      </c>
      <c r="L655" s="2">
        <v>0</v>
      </c>
      <c r="M655" s="2" t="s">
        <v>84</v>
      </c>
      <c r="N655" s="2" t="s">
        <v>84</v>
      </c>
      <c r="O655" s="2" t="s">
        <v>841</v>
      </c>
      <c r="P655" s="2" t="s">
        <v>1077</v>
      </c>
    </row>
    <row r="656" spans="1:16" ht="21" customHeight="1" x14ac:dyDescent="0.15">
      <c r="A656" s="10" t="str">
        <f t="shared" si="160"/>
        <v>371_1_0_1_polygon</v>
      </c>
      <c r="B656" s="2">
        <v>371</v>
      </c>
      <c r="C656" s="30" t="str">
        <f>VLOOKUP(B656,gachas!A:C,3)</f>
        <v>水着ガチャ&lt;SideA&gt;</v>
      </c>
      <c r="D656" s="21">
        <v>1</v>
      </c>
      <c r="E656" s="2">
        <v>0</v>
      </c>
      <c r="F656" s="2">
        <v>1</v>
      </c>
      <c r="G656" s="3" t="s">
        <v>22</v>
      </c>
      <c r="H656" s="2">
        <v>5</v>
      </c>
      <c r="I656" s="114" t="str">
        <f>I657</f>
        <v>371100</v>
      </c>
      <c r="J656" s="112" t="s">
        <v>86</v>
      </c>
      <c r="K656" s="76" t="s">
        <v>84</v>
      </c>
      <c r="L656" s="2">
        <v>0</v>
      </c>
      <c r="M656" s="2" t="s">
        <v>84</v>
      </c>
      <c r="N656" s="2" t="s">
        <v>84</v>
      </c>
      <c r="O656" s="2" t="s">
        <v>841</v>
      </c>
      <c r="P656" s="2" t="s">
        <v>1077</v>
      </c>
    </row>
    <row r="657" spans="1:16" ht="21" customHeight="1" x14ac:dyDescent="0.15">
      <c r="A657" s="10" t="str">
        <f t="shared" ref="A657:A658" si="162">B657&amp;"_"&amp;D657&amp;"_"&amp;E657&amp;"_"&amp;F657&amp;"_"&amp;G657</f>
        <v>371_10_0_10_polygon</v>
      </c>
      <c r="B657" s="2">
        <v>371</v>
      </c>
      <c r="C657" s="30" t="str">
        <f>VLOOKUP(B657,gachas!A:C,3)</f>
        <v>水着ガチャ&lt;SideA&gt;</v>
      </c>
      <c r="D657" s="21">
        <v>10</v>
      </c>
      <c r="E657" s="2">
        <v>0</v>
      </c>
      <c r="F657" s="2">
        <v>10</v>
      </c>
      <c r="G657" s="3" t="s">
        <v>22</v>
      </c>
      <c r="H657" s="2">
        <v>50</v>
      </c>
      <c r="I657" s="114" t="str">
        <f t="shared" ref="I657" si="163">B657&amp;TEXT(D657,"00")&amp;E657</f>
        <v>371100</v>
      </c>
      <c r="J657" s="112" t="s">
        <v>86</v>
      </c>
      <c r="K657" s="76" t="s">
        <v>1217</v>
      </c>
      <c r="L657" s="2">
        <v>1</v>
      </c>
      <c r="M657" s="2" t="s">
        <v>84</v>
      </c>
      <c r="N657" s="2" t="s">
        <v>84</v>
      </c>
      <c r="O657" s="2" t="s">
        <v>841</v>
      </c>
      <c r="P657" s="2" t="s">
        <v>1228</v>
      </c>
    </row>
    <row r="658" spans="1:16" ht="21" customHeight="1" x14ac:dyDescent="0.15">
      <c r="A658" s="10" t="str">
        <f t="shared" si="162"/>
        <v>372_1_0_1_polygon</v>
      </c>
      <c r="B658" s="2">
        <v>372</v>
      </c>
      <c r="C658" s="30" t="str">
        <f>VLOOKUP(B658,gachas!A:C,3)</f>
        <v>水着ガチャ&lt;SideB&gt;</v>
      </c>
      <c r="D658" s="21">
        <v>1</v>
      </c>
      <c r="E658" s="2">
        <v>0</v>
      </c>
      <c r="F658" s="2">
        <v>1</v>
      </c>
      <c r="G658" s="3" t="s">
        <v>22</v>
      </c>
      <c r="H658" s="2">
        <v>5</v>
      </c>
      <c r="I658" s="114" t="str">
        <f>I659</f>
        <v>372100</v>
      </c>
      <c r="J658" s="112" t="s">
        <v>86</v>
      </c>
      <c r="K658" s="76" t="s">
        <v>84</v>
      </c>
      <c r="L658" s="2">
        <v>0</v>
      </c>
      <c r="M658" s="2" t="s">
        <v>84</v>
      </c>
      <c r="N658" s="2" t="s">
        <v>84</v>
      </c>
      <c r="O658" s="2" t="s">
        <v>841</v>
      </c>
      <c r="P658" s="2" t="s">
        <v>1077</v>
      </c>
    </row>
    <row r="659" spans="1:16" ht="21" customHeight="1" x14ac:dyDescent="0.15">
      <c r="A659" s="10" t="str">
        <f t="shared" ref="A659:A668" si="164">B659&amp;"_"&amp;D659&amp;"_"&amp;E659&amp;"_"&amp;F659&amp;"_"&amp;G659</f>
        <v>372_10_0_10_polygon</v>
      </c>
      <c r="B659" s="2">
        <v>372</v>
      </c>
      <c r="C659" s="30" t="str">
        <f>VLOOKUP(B659,gachas!A:C,3)</f>
        <v>水着ガチャ&lt;SideB&gt;</v>
      </c>
      <c r="D659" s="21">
        <v>10</v>
      </c>
      <c r="E659" s="2">
        <v>0</v>
      </c>
      <c r="F659" s="2">
        <v>10</v>
      </c>
      <c r="G659" s="3" t="s">
        <v>22</v>
      </c>
      <c r="H659" s="2">
        <v>50</v>
      </c>
      <c r="I659" s="114" t="str">
        <f t="shared" ref="I659" si="165">B659&amp;TEXT(D659,"00")&amp;E659</f>
        <v>372100</v>
      </c>
      <c r="J659" s="112" t="s">
        <v>86</v>
      </c>
      <c r="K659" s="76" t="s">
        <v>1219</v>
      </c>
      <c r="L659" s="2">
        <v>1</v>
      </c>
      <c r="M659" s="2" t="s">
        <v>84</v>
      </c>
      <c r="N659" s="2" t="s">
        <v>84</v>
      </c>
      <c r="O659" s="2" t="s">
        <v>841</v>
      </c>
      <c r="P659" s="2" t="s">
        <v>1229</v>
      </c>
    </row>
    <row r="660" spans="1:16" ht="21" customHeight="1" x14ac:dyDescent="0.15">
      <c r="A660" s="10" t="str">
        <f t="shared" si="164"/>
        <v>373_1_0_1_polygon</v>
      </c>
      <c r="B660" s="2">
        <v>373</v>
      </c>
      <c r="C660" s="30" t="str">
        <f>VLOOKUP(B660,gachas!A:C,3)</f>
        <v>復刻ピックアップ&lt;沖田、親指&gt;</v>
      </c>
      <c r="D660" s="21">
        <v>1</v>
      </c>
      <c r="E660" s="2">
        <v>0</v>
      </c>
      <c r="F660" s="2">
        <v>1</v>
      </c>
      <c r="G660" s="3" t="s">
        <v>22</v>
      </c>
      <c r="H660" s="2">
        <v>5</v>
      </c>
      <c r="I660" s="114" t="str">
        <f>B660&amp;TEXT(D660,"00")&amp;E660</f>
        <v>373010</v>
      </c>
      <c r="J660" s="112" t="s">
        <v>84</v>
      </c>
      <c r="K660" s="2" t="s">
        <v>84</v>
      </c>
      <c r="L660" s="2">
        <v>0</v>
      </c>
      <c r="M660" s="2" t="s">
        <v>84</v>
      </c>
      <c r="N660" s="2" t="s">
        <v>84</v>
      </c>
      <c r="O660" s="2" t="s">
        <v>841</v>
      </c>
      <c r="P660" s="2" t="s">
        <v>84</v>
      </c>
    </row>
    <row r="661" spans="1:16" ht="21" customHeight="1" x14ac:dyDescent="0.15">
      <c r="A661" s="10" t="str">
        <f t="shared" si="164"/>
        <v>373_10_1_10_polygon</v>
      </c>
      <c r="B661" s="2">
        <v>373</v>
      </c>
      <c r="C661" s="30" t="str">
        <f>VLOOKUP(B661,gachas!A:C,3)</f>
        <v>復刻ピックアップ&lt;沖田、親指&gt;</v>
      </c>
      <c r="D661" s="21">
        <v>10</v>
      </c>
      <c r="E661" s="2">
        <v>1</v>
      </c>
      <c r="F661" s="2">
        <v>10</v>
      </c>
      <c r="G661" s="3" t="s">
        <v>22</v>
      </c>
      <c r="H661" s="2">
        <v>25</v>
      </c>
      <c r="I661" s="129" t="str">
        <f>I662</f>
        <v>373100</v>
      </c>
      <c r="J661" s="112" t="s">
        <v>84</v>
      </c>
      <c r="K661" s="2" t="s">
        <v>84</v>
      </c>
      <c r="L661" s="2">
        <v>0</v>
      </c>
      <c r="M661" s="2" t="s">
        <v>84</v>
      </c>
      <c r="N661" s="2" t="s">
        <v>84</v>
      </c>
      <c r="O661" s="2" t="s">
        <v>841</v>
      </c>
      <c r="P661" s="59" t="s">
        <v>548</v>
      </c>
    </row>
    <row r="662" spans="1:16" ht="22" customHeight="1" x14ac:dyDescent="0.15">
      <c r="A662" s="10" t="str">
        <f t="shared" si="164"/>
        <v>373_10_0_10_polygon</v>
      </c>
      <c r="B662" s="2">
        <v>373</v>
      </c>
      <c r="C662" s="30" t="str">
        <f>VLOOKUP(B662,gachas!A:C,3)</f>
        <v>復刻ピックアップ&lt;沖田、親指&gt;</v>
      </c>
      <c r="D662" s="21">
        <v>10</v>
      </c>
      <c r="E662" s="2">
        <v>0</v>
      </c>
      <c r="F662" s="2">
        <v>10</v>
      </c>
      <c r="G662" s="3" t="s">
        <v>22</v>
      </c>
      <c r="H662" s="2">
        <v>50</v>
      </c>
      <c r="I662" s="114" t="str">
        <f>B662&amp;TEXT(D662,"00")&amp;E662</f>
        <v>373100</v>
      </c>
      <c r="J662" s="112" t="s">
        <v>84</v>
      </c>
      <c r="K662" s="2" t="s">
        <v>84</v>
      </c>
      <c r="L662" s="2">
        <v>0</v>
      </c>
      <c r="M662" s="2" t="s">
        <v>84</v>
      </c>
      <c r="N662" s="2" t="s">
        <v>84</v>
      </c>
      <c r="O662" s="2" t="s">
        <v>841</v>
      </c>
      <c r="P662" s="2" t="s">
        <v>143</v>
      </c>
    </row>
    <row r="663" spans="1:16" ht="21" customHeight="1" x14ac:dyDescent="0.15">
      <c r="A663" s="10" t="str">
        <f t="shared" si="164"/>
        <v>374_1_0_1_polygon</v>
      </c>
      <c r="B663" s="2">
        <v>374</v>
      </c>
      <c r="C663" s="30" t="str">
        <f>VLOOKUP(B663,gachas!A:C,3)</f>
        <v>復刻ピックアップ&lt;モルド、DRTH&gt;</v>
      </c>
      <c r="D663" s="21">
        <v>1</v>
      </c>
      <c r="E663" s="2">
        <v>0</v>
      </c>
      <c r="F663" s="2">
        <v>1</v>
      </c>
      <c r="G663" s="3" t="s">
        <v>22</v>
      </c>
      <c r="H663" s="2">
        <v>5</v>
      </c>
      <c r="I663" s="114" t="str">
        <f t="shared" ref="I663" si="166">B663&amp;TEXT(D663,"00")&amp;E663</f>
        <v>374010</v>
      </c>
      <c r="J663" s="115" t="s">
        <v>84</v>
      </c>
      <c r="K663" s="2" t="s">
        <v>84</v>
      </c>
      <c r="L663" s="2">
        <v>0</v>
      </c>
      <c r="M663" s="2" t="s">
        <v>84</v>
      </c>
      <c r="N663" s="2" t="s">
        <v>84</v>
      </c>
      <c r="O663" s="2" t="s">
        <v>841</v>
      </c>
      <c r="P663" s="2" t="s">
        <v>84</v>
      </c>
    </row>
    <row r="664" spans="1:16" ht="21" customHeight="1" x14ac:dyDescent="0.15">
      <c r="A664" s="10" t="str">
        <f t="shared" si="164"/>
        <v>374_10_1_10_polygon</v>
      </c>
      <c r="B664" s="2">
        <v>374</v>
      </c>
      <c r="C664" s="30" t="str">
        <f>VLOOKUP(B664,gachas!A:C,3)</f>
        <v>復刻ピックアップ&lt;モルド、DRTH&gt;</v>
      </c>
      <c r="D664" s="21">
        <v>10</v>
      </c>
      <c r="E664" s="2">
        <v>1</v>
      </c>
      <c r="F664" s="2">
        <v>10</v>
      </c>
      <c r="G664" s="3" t="s">
        <v>22</v>
      </c>
      <c r="H664" s="2">
        <v>25</v>
      </c>
      <c r="I664" s="114" t="str">
        <f>I665</f>
        <v>374100</v>
      </c>
      <c r="J664" s="112" t="s">
        <v>84</v>
      </c>
      <c r="K664" s="2" t="s">
        <v>84</v>
      </c>
      <c r="L664" s="2">
        <v>0</v>
      </c>
      <c r="M664" s="2" t="s">
        <v>84</v>
      </c>
      <c r="N664" s="2" t="s">
        <v>84</v>
      </c>
      <c r="O664" s="2" t="s">
        <v>841</v>
      </c>
      <c r="P664" s="59" t="s">
        <v>548</v>
      </c>
    </row>
    <row r="665" spans="1:16" ht="21" customHeight="1" x14ac:dyDescent="0.15">
      <c r="A665" s="10" t="str">
        <f t="shared" si="164"/>
        <v>374_10_0_10_polygon</v>
      </c>
      <c r="B665" s="2">
        <v>374</v>
      </c>
      <c r="C665" s="30" t="str">
        <f>VLOOKUP(B665,gachas!A:C,3)</f>
        <v>復刻ピックアップ&lt;モルド、DRTH&gt;</v>
      </c>
      <c r="D665" s="21">
        <v>10</v>
      </c>
      <c r="E665" s="2">
        <v>0</v>
      </c>
      <c r="F665" s="2">
        <v>10</v>
      </c>
      <c r="G665" s="3" t="s">
        <v>22</v>
      </c>
      <c r="H665" s="2">
        <v>50</v>
      </c>
      <c r="I665" s="114" t="str">
        <f t="shared" ref="I665:I666" si="167">B665&amp;TEXT(D665,"00")&amp;E665</f>
        <v>374100</v>
      </c>
      <c r="J665" s="112" t="s">
        <v>84</v>
      </c>
      <c r="K665" s="2" t="s">
        <v>84</v>
      </c>
      <c r="L665" s="2">
        <v>0</v>
      </c>
      <c r="M665" s="2" t="s">
        <v>84</v>
      </c>
      <c r="N665" s="2" t="s">
        <v>84</v>
      </c>
      <c r="O665" s="2" t="s">
        <v>841</v>
      </c>
      <c r="P665" s="2" t="s">
        <v>143</v>
      </c>
    </row>
    <row r="666" spans="1:16" ht="21" customHeight="1" x14ac:dyDescent="0.15">
      <c r="A666" s="10" t="str">
        <f t="shared" si="164"/>
        <v>375_1_0_1_polygon</v>
      </c>
      <c r="B666" s="2">
        <v>375</v>
      </c>
      <c r="C666" s="30" t="str">
        <f>VLOOKUP(B666,gachas!A:C,3)</f>
        <v>復刻ピックアップ&lt;ペロー、ハーメルン&gt;</v>
      </c>
      <c r="D666" s="21">
        <v>1</v>
      </c>
      <c r="E666" s="2">
        <v>0</v>
      </c>
      <c r="F666" s="2">
        <v>1</v>
      </c>
      <c r="G666" s="3" t="s">
        <v>22</v>
      </c>
      <c r="H666" s="2">
        <v>5</v>
      </c>
      <c r="I666" s="114" t="str">
        <f t="shared" si="167"/>
        <v>375010</v>
      </c>
      <c r="J666" s="115" t="s">
        <v>84</v>
      </c>
      <c r="K666" s="2" t="s">
        <v>84</v>
      </c>
      <c r="L666" s="2">
        <v>0</v>
      </c>
      <c r="M666" s="2" t="s">
        <v>84</v>
      </c>
      <c r="N666" s="2" t="s">
        <v>84</v>
      </c>
      <c r="O666" s="2" t="s">
        <v>841</v>
      </c>
      <c r="P666" s="2" t="s">
        <v>84</v>
      </c>
    </row>
    <row r="667" spans="1:16" ht="21" customHeight="1" x14ac:dyDescent="0.15">
      <c r="A667" s="10" t="str">
        <f t="shared" si="164"/>
        <v>375_10_1_10_polygon</v>
      </c>
      <c r="B667" s="2">
        <v>375</v>
      </c>
      <c r="C667" s="30" t="str">
        <f>VLOOKUP(B667,gachas!A:C,3)</f>
        <v>復刻ピックアップ&lt;ペロー、ハーメルン&gt;</v>
      </c>
      <c r="D667" s="21">
        <v>10</v>
      </c>
      <c r="E667" s="2">
        <v>1</v>
      </c>
      <c r="F667" s="2">
        <v>10</v>
      </c>
      <c r="G667" s="3" t="s">
        <v>22</v>
      </c>
      <c r="H667" s="2">
        <v>25</v>
      </c>
      <c r="I667" s="114" t="str">
        <f>I668</f>
        <v>375100</v>
      </c>
      <c r="J667" s="112" t="s">
        <v>84</v>
      </c>
      <c r="K667" s="2" t="s">
        <v>84</v>
      </c>
      <c r="L667" s="2">
        <v>0</v>
      </c>
      <c r="M667" s="2" t="s">
        <v>84</v>
      </c>
      <c r="N667" s="2" t="s">
        <v>84</v>
      </c>
      <c r="O667" s="2" t="s">
        <v>841</v>
      </c>
      <c r="P667" s="59" t="s">
        <v>548</v>
      </c>
    </row>
    <row r="668" spans="1:16" ht="21" customHeight="1" x14ac:dyDescent="0.15">
      <c r="A668" s="10" t="str">
        <f t="shared" si="164"/>
        <v>375_10_0_10_polygon</v>
      </c>
      <c r="B668" s="2">
        <v>375</v>
      </c>
      <c r="C668" s="30" t="str">
        <f>VLOOKUP(B668,gachas!A:C,3)</f>
        <v>復刻ピックアップ&lt;ペロー、ハーメルン&gt;</v>
      </c>
      <c r="D668" s="21">
        <v>10</v>
      </c>
      <c r="E668" s="2">
        <v>0</v>
      </c>
      <c r="F668" s="2">
        <v>10</v>
      </c>
      <c r="G668" s="3" t="s">
        <v>22</v>
      </c>
      <c r="H668" s="2">
        <v>50</v>
      </c>
      <c r="I668" s="114" t="str">
        <f t="shared" ref="I668:I669" si="168">B668&amp;TEXT(D668,"00")&amp;E668</f>
        <v>375100</v>
      </c>
      <c r="J668" s="112" t="s">
        <v>84</v>
      </c>
      <c r="K668" s="2" t="s">
        <v>84</v>
      </c>
      <c r="L668" s="2">
        <v>0</v>
      </c>
      <c r="M668" s="2" t="s">
        <v>84</v>
      </c>
      <c r="N668" s="2" t="s">
        <v>84</v>
      </c>
      <c r="O668" s="2" t="s">
        <v>841</v>
      </c>
      <c r="P668" s="2" t="s">
        <v>143</v>
      </c>
    </row>
    <row r="669" spans="1:16" ht="21" customHeight="1" x14ac:dyDescent="0.15">
      <c r="A669" s="10" t="str">
        <f t="shared" ref="A669:A686" si="169">B669&amp;"_"&amp;D669&amp;"_"&amp;E669&amp;"_"&amp;F669&amp;"_"&amp;G669</f>
        <v>376_1_0_1_polygon</v>
      </c>
      <c r="B669" s="2">
        <v>376</v>
      </c>
      <c r="C669" s="30" t="str">
        <f>VLOOKUP(B669,gachas!A:C,3)</f>
        <v>R6解放ピックアップ&lt;クルミ、フウガ、ラプ、フレイヤ&gt;</v>
      </c>
      <c r="D669" s="21">
        <v>1</v>
      </c>
      <c r="E669" s="2">
        <v>0</v>
      </c>
      <c r="F669" s="2">
        <v>1</v>
      </c>
      <c r="G669" s="3" t="s">
        <v>22</v>
      </c>
      <c r="H669" s="2">
        <v>5</v>
      </c>
      <c r="I669" s="114" t="str">
        <f t="shared" si="168"/>
        <v>376010</v>
      </c>
      <c r="J669" s="115" t="s">
        <v>84</v>
      </c>
      <c r="K669" s="2" t="s">
        <v>84</v>
      </c>
      <c r="L669" s="2">
        <v>0</v>
      </c>
      <c r="M669" s="2" t="s">
        <v>84</v>
      </c>
      <c r="N669" s="2" t="s">
        <v>84</v>
      </c>
      <c r="O669" s="2" t="s">
        <v>841</v>
      </c>
      <c r="P669" s="2" t="s">
        <v>84</v>
      </c>
    </row>
    <row r="670" spans="1:16" ht="21" customHeight="1" x14ac:dyDescent="0.15">
      <c r="A670" s="10" t="str">
        <f t="shared" si="169"/>
        <v>376_10_1_10_polygon</v>
      </c>
      <c r="B670" s="2">
        <v>376</v>
      </c>
      <c r="C670" s="30" t="str">
        <f>VLOOKUP(B670,gachas!A:C,3)</f>
        <v>R6解放ピックアップ&lt;クルミ、フウガ、ラプ、フレイヤ&gt;</v>
      </c>
      <c r="D670" s="21">
        <v>10</v>
      </c>
      <c r="E670" s="2">
        <v>1</v>
      </c>
      <c r="F670" s="2">
        <v>10</v>
      </c>
      <c r="G670" s="3" t="s">
        <v>22</v>
      </c>
      <c r="H670" s="2">
        <v>25</v>
      </c>
      <c r="I670" s="114" t="str">
        <f>I671</f>
        <v>376100</v>
      </c>
      <c r="J670" s="112" t="s">
        <v>84</v>
      </c>
      <c r="K670" s="2" t="s">
        <v>84</v>
      </c>
      <c r="L670" s="2">
        <v>0</v>
      </c>
      <c r="M670" s="2" t="s">
        <v>84</v>
      </c>
      <c r="N670" s="2" t="s">
        <v>84</v>
      </c>
      <c r="O670" s="2" t="s">
        <v>841</v>
      </c>
      <c r="P670" s="59" t="s">
        <v>548</v>
      </c>
    </row>
    <row r="671" spans="1:16" ht="21" customHeight="1" x14ac:dyDescent="0.15">
      <c r="A671" s="10" t="str">
        <f t="shared" si="169"/>
        <v>376_10_0_10_polygon</v>
      </c>
      <c r="B671" s="2">
        <v>376</v>
      </c>
      <c r="C671" s="30" t="str">
        <f>VLOOKUP(B671,gachas!A:C,3)</f>
        <v>R6解放ピックアップ&lt;クルミ、フウガ、ラプ、フレイヤ&gt;</v>
      </c>
      <c r="D671" s="21">
        <v>10</v>
      </c>
      <c r="E671" s="2">
        <v>0</v>
      </c>
      <c r="F671" s="2">
        <v>10</v>
      </c>
      <c r="G671" s="3" t="s">
        <v>22</v>
      </c>
      <c r="H671" s="2">
        <v>50</v>
      </c>
      <c r="I671" s="114" t="str">
        <f t="shared" ref="I671" si="170">B671&amp;TEXT(D671,"00")&amp;E671</f>
        <v>376100</v>
      </c>
      <c r="J671" s="112" t="s">
        <v>84</v>
      </c>
      <c r="K671" s="2" t="s">
        <v>84</v>
      </c>
      <c r="L671" s="2">
        <v>0</v>
      </c>
      <c r="M671" s="2" t="s">
        <v>84</v>
      </c>
      <c r="N671" s="2" t="s">
        <v>84</v>
      </c>
      <c r="O671" s="2" t="s">
        <v>841</v>
      </c>
      <c r="P671" s="2" t="s">
        <v>143</v>
      </c>
    </row>
    <row r="672" spans="1:16" ht="21" customHeight="1" x14ac:dyDescent="0.15">
      <c r="A672" s="10" t="str">
        <f t="shared" si="169"/>
        <v>377_10_1_1_polygon</v>
      </c>
      <c r="B672" s="2">
        <v>377</v>
      </c>
      <c r="C672" s="30" t="str">
        <f>VLOOKUP(B672,gachas!A:C,3)</f>
        <v>ランキング対抗ガチャ&lt;ヘイウェイ&gt;</v>
      </c>
      <c r="D672" s="21">
        <v>10</v>
      </c>
      <c r="E672" s="2">
        <v>1</v>
      </c>
      <c r="F672" s="2">
        <v>1</v>
      </c>
      <c r="G672" s="3" t="s">
        <v>22</v>
      </c>
      <c r="H672" s="2">
        <v>1</v>
      </c>
      <c r="I672" s="114" t="str">
        <f>B672&amp;TEXT(D672,"00")&amp;E672</f>
        <v>377101</v>
      </c>
      <c r="J672" s="112" t="s">
        <v>84</v>
      </c>
      <c r="K672" s="2" t="s">
        <v>84</v>
      </c>
      <c r="L672" s="2">
        <v>0</v>
      </c>
      <c r="M672" s="2" t="s">
        <v>84</v>
      </c>
      <c r="N672" s="2" t="s">
        <v>84</v>
      </c>
      <c r="O672" s="2" t="s">
        <v>841</v>
      </c>
      <c r="P672" s="2" t="s">
        <v>1278</v>
      </c>
    </row>
    <row r="673" spans="1:16" ht="21" customHeight="1" x14ac:dyDescent="0.15">
      <c r="A673" s="10" t="str">
        <f t="shared" si="169"/>
        <v>377_10_2_3_polygon</v>
      </c>
      <c r="B673" s="2">
        <v>377</v>
      </c>
      <c r="C673" s="30" t="str">
        <f>VLOOKUP(B673,gachas!A:C,3)</f>
        <v>ランキング対抗ガチャ&lt;ヘイウェイ&gt;</v>
      </c>
      <c r="D673" s="21">
        <v>10</v>
      </c>
      <c r="E673" s="2">
        <v>2</v>
      </c>
      <c r="F673" s="2">
        <v>3</v>
      </c>
      <c r="G673" s="3" t="s">
        <v>22</v>
      </c>
      <c r="H673" s="2">
        <v>9</v>
      </c>
      <c r="I673" s="114" t="str">
        <f>I672</f>
        <v>377101</v>
      </c>
      <c r="J673" s="112" t="s">
        <v>84</v>
      </c>
      <c r="K673" s="2" t="s">
        <v>84</v>
      </c>
      <c r="L673" s="2">
        <v>0</v>
      </c>
      <c r="M673" s="2" t="s">
        <v>84</v>
      </c>
      <c r="N673" s="2" t="s">
        <v>84</v>
      </c>
      <c r="O673" s="2" t="s">
        <v>841</v>
      </c>
      <c r="P673" s="2" t="s">
        <v>1273</v>
      </c>
    </row>
    <row r="674" spans="1:16" ht="21" customHeight="1" x14ac:dyDescent="0.15">
      <c r="A674" s="10" t="str">
        <f t="shared" si="169"/>
        <v>377_10_3_10_polygon</v>
      </c>
      <c r="B674" s="2">
        <v>377</v>
      </c>
      <c r="C674" s="30" t="str">
        <f>VLOOKUP(B674,gachas!A:C,3)</f>
        <v>ランキング対抗ガチャ&lt;ヘイウェイ&gt;</v>
      </c>
      <c r="D674" s="21">
        <v>10</v>
      </c>
      <c r="E674" s="2">
        <v>3</v>
      </c>
      <c r="F674" s="2">
        <v>10</v>
      </c>
      <c r="G674" s="3" t="s">
        <v>22</v>
      </c>
      <c r="H674" s="2">
        <v>35</v>
      </c>
      <c r="I674" s="114" t="str">
        <f t="shared" ref="I674:I676" si="171">B674&amp;TEXT(D674,"00")&amp;E674</f>
        <v>377103</v>
      </c>
      <c r="J674" s="112" t="s">
        <v>84</v>
      </c>
      <c r="K674" s="18" t="str">
        <f>I674</f>
        <v>377103</v>
      </c>
      <c r="L674" s="2">
        <v>1</v>
      </c>
      <c r="M674" s="2" t="s">
        <v>84</v>
      </c>
      <c r="N674" s="2" t="s">
        <v>84</v>
      </c>
      <c r="O674" s="2" t="s">
        <v>841</v>
      </c>
      <c r="P674" s="2" t="s">
        <v>1274</v>
      </c>
    </row>
    <row r="675" spans="1:16" ht="21" customHeight="1" x14ac:dyDescent="0.15">
      <c r="A675" s="10" t="str">
        <f t="shared" si="169"/>
        <v>377_10_4_10_polygon</v>
      </c>
      <c r="B675" s="2">
        <v>377</v>
      </c>
      <c r="C675" s="30" t="str">
        <f>VLOOKUP(B675,gachas!A:C,3)</f>
        <v>ランキング対抗ガチャ&lt;ヘイウェイ&gt;</v>
      </c>
      <c r="D675" s="21">
        <v>10</v>
      </c>
      <c r="E675" s="2">
        <v>4</v>
      </c>
      <c r="F675" s="2">
        <v>10</v>
      </c>
      <c r="G675" s="3" t="s">
        <v>22</v>
      </c>
      <c r="H675" s="2">
        <v>50</v>
      </c>
      <c r="I675" s="114" t="str">
        <f t="shared" si="171"/>
        <v>377104</v>
      </c>
      <c r="J675" s="128" t="str">
        <f>I675</f>
        <v>377104</v>
      </c>
      <c r="K675" s="2" t="s">
        <v>84</v>
      </c>
      <c r="L675" s="2">
        <v>0</v>
      </c>
      <c r="M675" s="2" t="s">
        <v>84</v>
      </c>
      <c r="N675" s="2" t="s">
        <v>84</v>
      </c>
      <c r="O675" s="2" t="s">
        <v>841</v>
      </c>
      <c r="P675" s="2" t="s">
        <v>1275</v>
      </c>
    </row>
    <row r="676" spans="1:16" ht="21" customHeight="1" x14ac:dyDescent="0.15">
      <c r="A676" s="10" t="str">
        <f t="shared" si="169"/>
        <v>377_10_5_10_polygon</v>
      </c>
      <c r="B676" s="2">
        <v>377</v>
      </c>
      <c r="C676" s="30" t="str">
        <f>VLOOKUP(B676,gachas!A:C,3)</f>
        <v>ランキング対抗ガチャ&lt;ヘイウェイ&gt;</v>
      </c>
      <c r="D676" s="21">
        <v>10</v>
      </c>
      <c r="E676" s="2">
        <v>5</v>
      </c>
      <c r="F676" s="2">
        <v>10</v>
      </c>
      <c r="G676" s="3" t="s">
        <v>22</v>
      </c>
      <c r="H676" s="2">
        <v>50</v>
      </c>
      <c r="I676" s="114" t="str">
        <f t="shared" si="171"/>
        <v>377105</v>
      </c>
      <c r="J676" s="128" t="str">
        <f>I676</f>
        <v>377105</v>
      </c>
      <c r="K676" s="2" t="s">
        <v>84</v>
      </c>
      <c r="L676" s="2">
        <v>0</v>
      </c>
      <c r="M676" s="2" t="s">
        <v>84</v>
      </c>
      <c r="N676" s="2" t="s">
        <v>84</v>
      </c>
      <c r="O676" s="2" t="s">
        <v>841</v>
      </c>
      <c r="P676" s="2" t="s">
        <v>1276</v>
      </c>
    </row>
    <row r="677" spans="1:16" ht="21" customHeight="1" x14ac:dyDescent="0.15">
      <c r="A677" s="10" t="str">
        <f t="shared" si="169"/>
        <v>377_10_6_10_polygon</v>
      </c>
      <c r="B677" s="2">
        <v>377</v>
      </c>
      <c r="C677" s="30" t="str">
        <f>VLOOKUP(B677,gachas!A:C,3)</f>
        <v>ランキング対抗ガチャ&lt;ヘイウェイ&gt;</v>
      </c>
      <c r="D677" s="21">
        <v>10</v>
      </c>
      <c r="E677" s="2">
        <v>6</v>
      </c>
      <c r="F677" s="2">
        <v>10</v>
      </c>
      <c r="G677" s="3" t="s">
        <v>22</v>
      </c>
      <c r="H677" s="2">
        <v>50</v>
      </c>
      <c r="I677" s="126" t="str">
        <f>I678</f>
        <v>377100</v>
      </c>
      <c r="J677" s="112" t="s">
        <v>84</v>
      </c>
      <c r="K677" s="2" t="s">
        <v>84</v>
      </c>
      <c r="L677" s="2">
        <v>0</v>
      </c>
      <c r="M677" s="2" t="s">
        <v>84</v>
      </c>
      <c r="N677" s="2" t="s">
        <v>84</v>
      </c>
      <c r="O677" s="2" t="s">
        <v>841</v>
      </c>
      <c r="P677" s="2" t="s">
        <v>1277</v>
      </c>
    </row>
    <row r="678" spans="1:16" ht="21" customHeight="1" x14ac:dyDescent="0.15">
      <c r="A678" s="10" t="str">
        <f t="shared" si="169"/>
        <v>377_10_0_10_polygon</v>
      </c>
      <c r="B678" s="2">
        <v>377</v>
      </c>
      <c r="C678" s="30" t="str">
        <f>VLOOKUP(B678,gachas!A:C,3)</f>
        <v>ランキング対抗ガチャ&lt;ヘイウェイ&gt;</v>
      </c>
      <c r="D678" s="21">
        <v>10</v>
      </c>
      <c r="E678" s="2">
        <v>0</v>
      </c>
      <c r="F678" s="2">
        <v>10</v>
      </c>
      <c r="G678" s="3" t="s">
        <v>22</v>
      </c>
      <c r="H678" s="2">
        <v>50</v>
      </c>
      <c r="I678" s="114" t="str">
        <f t="shared" ref="I678" si="172">B678&amp;TEXT(D678,"00")&amp;E678</f>
        <v>377100</v>
      </c>
      <c r="J678" s="112" t="s">
        <v>84</v>
      </c>
      <c r="K678" s="2" t="s">
        <v>84</v>
      </c>
      <c r="L678" s="2">
        <v>0</v>
      </c>
      <c r="M678" s="2" t="s">
        <v>84</v>
      </c>
      <c r="N678" s="2" t="s">
        <v>84</v>
      </c>
      <c r="O678" s="2" t="s">
        <v>841</v>
      </c>
      <c r="P678" s="2" t="s">
        <v>1277</v>
      </c>
    </row>
    <row r="679" spans="1:16" ht="21" customHeight="1" x14ac:dyDescent="0.15">
      <c r="A679" s="10" t="str">
        <f t="shared" si="169"/>
        <v>378_1_0_1_polygon</v>
      </c>
      <c r="B679" s="2">
        <v>378</v>
      </c>
      <c r="C679" s="30" t="str">
        <f>VLOOKUP(B679,gachas!A:C,3)</f>
        <v>7月フィーバーフェス</v>
      </c>
      <c r="D679" s="21">
        <v>1</v>
      </c>
      <c r="E679" s="2">
        <v>0</v>
      </c>
      <c r="F679" s="2">
        <v>1</v>
      </c>
      <c r="G679" s="3" t="s">
        <v>22</v>
      </c>
      <c r="H679" s="2">
        <v>5</v>
      </c>
      <c r="I679" s="119" t="str">
        <f>I680</f>
        <v>378100</v>
      </c>
      <c r="J679" s="112" t="s">
        <v>84</v>
      </c>
      <c r="K679" s="2" t="s">
        <v>84</v>
      </c>
      <c r="L679" s="2">
        <v>0</v>
      </c>
      <c r="M679" s="2" t="s">
        <v>84</v>
      </c>
      <c r="N679" s="2" t="s">
        <v>84</v>
      </c>
      <c r="O679" s="2" t="s">
        <v>841</v>
      </c>
      <c r="P679" s="2" t="s">
        <v>691</v>
      </c>
    </row>
    <row r="680" spans="1:16" ht="21" customHeight="1" x14ac:dyDescent="0.15">
      <c r="A680" s="10" t="str">
        <f t="shared" si="169"/>
        <v>378_10_0_10_polygon</v>
      </c>
      <c r="B680" s="2">
        <v>378</v>
      </c>
      <c r="C680" s="30" t="str">
        <f>VLOOKUP(B680,gachas!A:C,3)</f>
        <v>7月フィーバーフェス</v>
      </c>
      <c r="D680" s="21">
        <v>10</v>
      </c>
      <c r="E680" s="2">
        <v>0</v>
      </c>
      <c r="F680" s="2">
        <v>10</v>
      </c>
      <c r="G680" s="3" t="s">
        <v>22</v>
      </c>
      <c r="H680" s="2">
        <v>50</v>
      </c>
      <c r="I680" s="114" t="str">
        <f>B680&amp;TEXT(D680,"00")&amp;E680</f>
        <v>378100</v>
      </c>
      <c r="J680" s="112" t="s">
        <v>84</v>
      </c>
      <c r="K680" s="2" t="str">
        <f>I680</f>
        <v>378100</v>
      </c>
      <c r="L680" s="2">
        <v>1</v>
      </c>
      <c r="M680" s="2" t="s">
        <v>84</v>
      </c>
      <c r="N680" s="2" t="s">
        <v>84</v>
      </c>
      <c r="O680" s="2" t="s">
        <v>841</v>
      </c>
      <c r="P680" s="2" t="s">
        <v>1078</v>
      </c>
    </row>
    <row r="681" spans="1:16" ht="21" customHeight="1" x14ac:dyDescent="0.15">
      <c r="A681" s="10" t="str">
        <f t="shared" si="169"/>
        <v>379_1_0_1_polygon</v>
      </c>
      <c r="B681" s="2">
        <v>379</v>
      </c>
      <c r="C681" s="30" t="str">
        <f>VLOOKUP(B681,gachas!A:C,3)</f>
        <v>エジプトガチャ</v>
      </c>
      <c r="D681" s="21">
        <v>1</v>
      </c>
      <c r="E681" s="2">
        <v>0</v>
      </c>
      <c r="F681" s="2">
        <v>1</v>
      </c>
      <c r="G681" s="3" t="s">
        <v>22</v>
      </c>
      <c r="H681" s="2">
        <v>5</v>
      </c>
      <c r="I681" s="114" t="str">
        <f>B681&amp;TEXT(D681,"00")&amp;E681</f>
        <v>379010</v>
      </c>
      <c r="J681" s="112" t="s">
        <v>84</v>
      </c>
      <c r="K681" s="109" t="s">
        <v>257</v>
      </c>
      <c r="L681" s="2">
        <v>0</v>
      </c>
      <c r="M681" s="2" t="s">
        <v>84</v>
      </c>
      <c r="N681" s="2" t="s">
        <v>84</v>
      </c>
      <c r="O681" s="2" t="s">
        <v>841</v>
      </c>
      <c r="P681" s="59" t="s">
        <v>257</v>
      </c>
    </row>
    <row r="682" spans="1:16" ht="21" customHeight="1" x14ac:dyDescent="0.15">
      <c r="A682" s="10" t="str">
        <f t="shared" si="169"/>
        <v>379_10_1_10_polygon</v>
      </c>
      <c r="B682" s="2">
        <v>379</v>
      </c>
      <c r="C682" s="30" t="str">
        <f>VLOOKUP(B682,gachas!A:C,3)</f>
        <v>エジプトガチャ</v>
      </c>
      <c r="D682" s="21">
        <v>10</v>
      </c>
      <c r="E682" s="2">
        <v>1</v>
      </c>
      <c r="F682" s="2">
        <v>10</v>
      </c>
      <c r="G682" s="3" t="s">
        <v>22</v>
      </c>
      <c r="H682" s="2">
        <v>25</v>
      </c>
      <c r="I682" s="117" t="str">
        <f>I683</f>
        <v>379100</v>
      </c>
      <c r="J682" s="112" t="s">
        <v>84</v>
      </c>
      <c r="K682" s="106" t="str">
        <f>I682</f>
        <v>379100</v>
      </c>
      <c r="L682" s="2">
        <v>1</v>
      </c>
      <c r="M682" s="2" t="s">
        <v>84</v>
      </c>
      <c r="N682" s="2" t="s">
        <v>84</v>
      </c>
      <c r="O682" s="2" t="s">
        <v>841</v>
      </c>
      <c r="P682" s="59" t="s">
        <v>548</v>
      </c>
    </row>
    <row r="683" spans="1:16" ht="21" customHeight="1" x14ac:dyDescent="0.15">
      <c r="A683" s="10" t="str">
        <f t="shared" si="169"/>
        <v>379_10_0_10_polygon</v>
      </c>
      <c r="B683" s="2">
        <v>379</v>
      </c>
      <c r="C683" s="30" t="str">
        <f>VLOOKUP(B683,gachas!A:C,3)</f>
        <v>エジプトガチャ</v>
      </c>
      <c r="D683" s="21">
        <v>10</v>
      </c>
      <c r="E683" s="2">
        <v>0</v>
      </c>
      <c r="F683" s="2">
        <v>10</v>
      </c>
      <c r="G683" s="3" t="s">
        <v>22</v>
      </c>
      <c r="H683" s="2">
        <v>50</v>
      </c>
      <c r="I683" s="117" t="str">
        <f t="shared" ref="I683" si="173">B683&amp;TEXT(D683,"00")&amp;E683</f>
        <v>379100</v>
      </c>
      <c r="J683" s="112" t="s">
        <v>84</v>
      </c>
      <c r="K683" s="106" t="str">
        <f>I683</f>
        <v>379100</v>
      </c>
      <c r="L683" s="2">
        <v>1</v>
      </c>
      <c r="M683" s="2" t="s">
        <v>84</v>
      </c>
      <c r="N683" s="2" t="s">
        <v>84</v>
      </c>
      <c r="O683" s="2" t="s">
        <v>841</v>
      </c>
      <c r="P683" s="2" t="s">
        <v>288</v>
      </c>
    </row>
    <row r="684" spans="1:16" ht="21" customHeight="1" x14ac:dyDescent="0.15">
      <c r="A684" s="10" t="str">
        <f t="shared" si="169"/>
        <v>380_1_1_1_polygon</v>
      </c>
      <c r="B684" s="2">
        <v>380</v>
      </c>
      <c r="C684" s="30" t="str">
        <f>VLOOKUP(B684,gachas!A:C,3)</f>
        <v>レアガチャ&lt;エジプトin&gt;</v>
      </c>
      <c r="D684" s="21">
        <v>1</v>
      </c>
      <c r="E684" s="2">
        <v>1</v>
      </c>
      <c r="F684" s="2">
        <v>1</v>
      </c>
      <c r="G684" s="3" t="s">
        <v>22</v>
      </c>
      <c r="H684" s="2">
        <v>5</v>
      </c>
      <c r="I684" s="119" t="str">
        <f>I686</f>
        <v>380100</v>
      </c>
      <c r="J684" s="115" t="s">
        <v>84</v>
      </c>
      <c r="K684" s="2" t="s">
        <v>84</v>
      </c>
      <c r="L684" s="2">
        <v>0</v>
      </c>
      <c r="M684" s="2" t="s">
        <v>84</v>
      </c>
      <c r="N684" s="2" t="s">
        <v>84</v>
      </c>
      <c r="O684" s="2" t="s">
        <v>841</v>
      </c>
      <c r="P684" s="2" t="s">
        <v>142</v>
      </c>
    </row>
    <row r="685" spans="1:16" ht="21" customHeight="1" x14ac:dyDescent="0.15">
      <c r="A685" s="10" t="str">
        <f t="shared" si="169"/>
        <v>380_1_0_1_polygon</v>
      </c>
      <c r="B685" s="2">
        <v>380</v>
      </c>
      <c r="C685" s="30" t="str">
        <f>VLOOKUP(B685,gachas!A:C,3)</f>
        <v>レアガチャ&lt;エジプトin&gt;</v>
      </c>
      <c r="D685" s="21">
        <v>1</v>
      </c>
      <c r="E685" s="2">
        <v>0</v>
      </c>
      <c r="F685" s="2">
        <v>1</v>
      </c>
      <c r="G685" s="3" t="s">
        <v>22</v>
      </c>
      <c r="H685" s="2">
        <v>5</v>
      </c>
      <c r="I685" s="117" t="str">
        <f t="shared" ref="I685:I687" si="174">B685&amp;TEXT(D685,"00")&amp;E685</f>
        <v>380010</v>
      </c>
      <c r="J685" s="115" t="s">
        <v>84</v>
      </c>
      <c r="K685" s="2" t="s">
        <v>84</v>
      </c>
      <c r="L685" s="2">
        <v>0</v>
      </c>
      <c r="M685" s="2" t="s">
        <v>84</v>
      </c>
      <c r="N685" s="2" t="s">
        <v>84</v>
      </c>
      <c r="O685" s="2" t="s">
        <v>841</v>
      </c>
      <c r="P685" s="2" t="s">
        <v>84</v>
      </c>
    </row>
    <row r="686" spans="1:16" ht="21" customHeight="1" x14ac:dyDescent="0.15">
      <c r="A686" s="10" t="str">
        <f t="shared" si="169"/>
        <v>380_10_0_10_polygon</v>
      </c>
      <c r="B686" s="2">
        <v>380</v>
      </c>
      <c r="C686" s="30" t="str">
        <f>VLOOKUP(B686,gachas!A:C,3)</f>
        <v>レアガチャ&lt;エジプトin&gt;</v>
      </c>
      <c r="D686" s="21">
        <v>10</v>
      </c>
      <c r="E686" s="2">
        <v>0</v>
      </c>
      <c r="F686" s="2">
        <v>10</v>
      </c>
      <c r="G686" s="3" t="s">
        <v>22</v>
      </c>
      <c r="H686" s="2">
        <v>50</v>
      </c>
      <c r="I686" s="114" t="str">
        <f t="shared" si="174"/>
        <v>380100</v>
      </c>
      <c r="J686" s="112" t="s">
        <v>84</v>
      </c>
      <c r="K686" s="2" t="s">
        <v>84</v>
      </c>
      <c r="L686" s="2">
        <v>0</v>
      </c>
      <c r="M686" s="2" t="s">
        <v>84</v>
      </c>
      <c r="N686" s="2" t="s">
        <v>84</v>
      </c>
      <c r="O686" s="2" t="s">
        <v>841</v>
      </c>
      <c r="P686" s="2" t="s">
        <v>143</v>
      </c>
    </row>
    <row r="687" spans="1:16" ht="21" customHeight="1" x14ac:dyDescent="0.15">
      <c r="A687" s="10" t="str">
        <f t="shared" ref="A687:A689" si="175">B687&amp;"_"&amp;D687&amp;"_"&amp;E687&amp;"_"&amp;F687&amp;"_"&amp;G687</f>
        <v>381_1_0_1_polygon</v>
      </c>
      <c r="B687" s="2">
        <v>381</v>
      </c>
      <c r="C687" s="30" t="str">
        <f>VLOOKUP(B687,gachas!A:C,3)</f>
        <v>近藤ランスピックアップ</v>
      </c>
      <c r="D687" s="21">
        <v>1</v>
      </c>
      <c r="E687" s="2">
        <v>0</v>
      </c>
      <c r="F687" s="2">
        <v>1</v>
      </c>
      <c r="G687" s="3" t="s">
        <v>22</v>
      </c>
      <c r="H687" s="2">
        <v>5</v>
      </c>
      <c r="I687" s="114" t="str">
        <f t="shared" si="174"/>
        <v>381010</v>
      </c>
      <c r="J687" s="115" t="s">
        <v>84</v>
      </c>
      <c r="K687" s="2" t="s">
        <v>84</v>
      </c>
      <c r="L687" s="2">
        <v>0</v>
      </c>
      <c r="M687" s="2" t="s">
        <v>84</v>
      </c>
      <c r="N687" s="2" t="s">
        <v>84</v>
      </c>
      <c r="O687" s="2" t="s">
        <v>841</v>
      </c>
      <c r="P687" s="2" t="s">
        <v>84</v>
      </c>
    </row>
    <row r="688" spans="1:16" ht="21" customHeight="1" x14ac:dyDescent="0.15">
      <c r="A688" s="10" t="str">
        <f t="shared" si="175"/>
        <v>381_10_1_10_polygon</v>
      </c>
      <c r="B688" s="2">
        <v>381</v>
      </c>
      <c r="C688" s="30" t="str">
        <f>VLOOKUP(B688,gachas!A:C,3)</f>
        <v>近藤ランスピックアップ</v>
      </c>
      <c r="D688" s="21">
        <v>10</v>
      </c>
      <c r="E688" s="2">
        <v>1</v>
      </c>
      <c r="F688" s="2">
        <v>10</v>
      </c>
      <c r="G688" s="3" t="s">
        <v>22</v>
      </c>
      <c r="H688" s="2">
        <v>25</v>
      </c>
      <c r="I688" s="114" t="str">
        <f>I689</f>
        <v>381100</v>
      </c>
      <c r="J688" s="112" t="s">
        <v>84</v>
      </c>
      <c r="K688" s="2" t="s">
        <v>84</v>
      </c>
      <c r="L688" s="2">
        <v>0</v>
      </c>
      <c r="M688" s="2" t="s">
        <v>84</v>
      </c>
      <c r="N688" s="2" t="s">
        <v>84</v>
      </c>
      <c r="O688" s="2" t="s">
        <v>841</v>
      </c>
      <c r="P688" s="59" t="s">
        <v>548</v>
      </c>
    </row>
    <row r="689" spans="1:16" ht="21" customHeight="1" x14ac:dyDescent="0.15">
      <c r="A689" s="10" t="str">
        <f t="shared" si="175"/>
        <v>381_10_0_10_polygon</v>
      </c>
      <c r="B689" s="2">
        <v>381</v>
      </c>
      <c r="C689" s="30" t="str">
        <f>VLOOKUP(B689,gachas!A:C,3)</f>
        <v>近藤ランスピックアップ</v>
      </c>
      <c r="D689" s="21">
        <v>10</v>
      </c>
      <c r="E689" s="2">
        <v>0</v>
      </c>
      <c r="F689" s="2">
        <v>10</v>
      </c>
      <c r="G689" s="3" t="s">
        <v>22</v>
      </c>
      <c r="H689" s="2">
        <v>50</v>
      </c>
      <c r="I689" s="114" t="str">
        <f t="shared" ref="I689:I690" si="176">B689&amp;TEXT(D689,"00")&amp;E689</f>
        <v>381100</v>
      </c>
      <c r="J689" s="112" t="s">
        <v>84</v>
      </c>
      <c r="K689" s="2" t="s">
        <v>84</v>
      </c>
      <c r="L689" s="2">
        <v>0</v>
      </c>
      <c r="M689" s="2" t="s">
        <v>84</v>
      </c>
      <c r="N689" s="2" t="s">
        <v>84</v>
      </c>
      <c r="O689" s="2" t="s">
        <v>841</v>
      </c>
      <c r="P689" s="2" t="s">
        <v>143</v>
      </c>
    </row>
    <row r="690" spans="1:16" ht="21" customHeight="1" x14ac:dyDescent="0.15">
      <c r="A690" s="10" t="str">
        <f t="shared" ref="A690:A692" si="177">B690&amp;"_"&amp;D690&amp;"_"&amp;E690&amp;"_"&amp;F690&amp;"_"&amp;G690</f>
        <v>382_1_0_1_polygon</v>
      </c>
      <c r="B690" s="2">
        <v>382</v>
      </c>
      <c r="C690" s="30" t="str">
        <f>VLOOKUP(B690,gachas!A:C,3)</f>
        <v>1周年記念スペシャルガチャ</v>
      </c>
      <c r="D690" s="21">
        <v>1</v>
      </c>
      <c r="E690" s="2">
        <v>0</v>
      </c>
      <c r="F690" s="2">
        <v>1</v>
      </c>
      <c r="G690" s="3" t="s">
        <v>22</v>
      </c>
      <c r="H690" s="2">
        <v>5</v>
      </c>
      <c r="I690" s="114" t="str">
        <f t="shared" si="176"/>
        <v>382010</v>
      </c>
      <c r="J690" s="115" t="s">
        <v>84</v>
      </c>
      <c r="K690" s="2" t="s">
        <v>84</v>
      </c>
      <c r="L690" s="2">
        <v>0</v>
      </c>
      <c r="M690" s="2" t="s">
        <v>84</v>
      </c>
      <c r="N690" s="2" t="s">
        <v>84</v>
      </c>
      <c r="O690" s="2" t="s">
        <v>841</v>
      </c>
      <c r="P690" s="2" t="s">
        <v>84</v>
      </c>
    </row>
    <row r="691" spans="1:16" ht="21" customHeight="1" x14ac:dyDescent="0.15">
      <c r="A691" s="10" t="str">
        <f t="shared" si="177"/>
        <v>382_10_1_10_polygon</v>
      </c>
      <c r="B691" s="2">
        <v>382</v>
      </c>
      <c r="C691" s="30" t="str">
        <f>VLOOKUP(B691,gachas!A:C,3)</f>
        <v>1周年記念スペシャルガチャ</v>
      </c>
      <c r="D691" s="21">
        <v>10</v>
      </c>
      <c r="E691" s="2">
        <v>1</v>
      </c>
      <c r="F691" s="2">
        <v>10</v>
      </c>
      <c r="G691" s="3" t="s">
        <v>22</v>
      </c>
      <c r="H691" s="2">
        <v>50</v>
      </c>
      <c r="I691" s="127" t="s">
        <v>1340</v>
      </c>
      <c r="J691" s="112" t="s">
        <v>84</v>
      </c>
      <c r="K691" s="2" t="s">
        <v>84</v>
      </c>
      <c r="L691" s="2">
        <v>0</v>
      </c>
      <c r="M691" s="2" t="s">
        <v>84</v>
      </c>
      <c r="N691" s="2" t="s">
        <v>84</v>
      </c>
      <c r="O691" s="2" t="s">
        <v>841</v>
      </c>
      <c r="P691" s="59" t="s">
        <v>1367</v>
      </c>
    </row>
    <row r="692" spans="1:16" ht="21" customHeight="1" x14ac:dyDescent="0.15">
      <c r="A692" s="10" t="str">
        <f t="shared" si="177"/>
        <v>382_10_2_10_polygon</v>
      </c>
      <c r="B692" s="2">
        <v>382</v>
      </c>
      <c r="C692" s="30" t="str">
        <f>VLOOKUP(B692,gachas!A:C,3)</f>
        <v>1周年記念スペシャルガチャ</v>
      </c>
      <c r="D692" s="21">
        <v>10</v>
      </c>
      <c r="E692" s="2">
        <f>E691+1</f>
        <v>2</v>
      </c>
      <c r="F692" s="2">
        <v>10</v>
      </c>
      <c r="G692" s="3" t="s">
        <v>22</v>
      </c>
      <c r="H692" s="2">
        <v>50</v>
      </c>
      <c r="I692" s="127" t="s">
        <v>1340</v>
      </c>
      <c r="J692" s="112" t="s">
        <v>84</v>
      </c>
      <c r="K692" s="2" t="s">
        <v>84</v>
      </c>
      <c r="L692" s="2">
        <v>0</v>
      </c>
      <c r="M692" s="2" t="s">
        <v>84</v>
      </c>
      <c r="N692" s="2" t="s">
        <v>84</v>
      </c>
      <c r="O692" s="2" t="s">
        <v>841</v>
      </c>
      <c r="P692" s="59" t="s">
        <v>1368</v>
      </c>
    </row>
    <row r="693" spans="1:16" ht="21" customHeight="1" x14ac:dyDescent="0.15">
      <c r="A693" s="10" t="str">
        <f t="shared" ref="A693" si="178">B693&amp;"_"&amp;D693&amp;"_"&amp;E693&amp;"_"&amp;F693&amp;"_"&amp;G693</f>
        <v>382_10_3_10_polygon</v>
      </c>
      <c r="B693" s="2">
        <v>382</v>
      </c>
      <c r="C693" s="30" t="str">
        <f>VLOOKUP(B693,gachas!A:C,3)</f>
        <v>1周年記念スペシャルガチャ</v>
      </c>
      <c r="D693" s="21">
        <v>10</v>
      </c>
      <c r="E693" s="2">
        <f t="shared" ref="E693:E710" si="179">E692+1</f>
        <v>3</v>
      </c>
      <c r="F693" s="2">
        <v>10</v>
      </c>
      <c r="G693" s="3" t="s">
        <v>22</v>
      </c>
      <c r="H693" s="2">
        <v>50</v>
      </c>
      <c r="I693" s="127" t="s">
        <v>1340</v>
      </c>
      <c r="J693" s="112" t="s">
        <v>84</v>
      </c>
      <c r="K693" s="2" t="s">
        <v>84</v>
      </c>
      <c r="L693" s="2">
        <v>0</v>
      </c>
      <c r="M693" s="2" t="s">
        <v>84</v>
      </c>
      <c r="N693" s="2" t="s">
        <v>84</v>
      </c>
      <c r="O693" s="2" t="s">
        <v>841</v>
      </c>
      <c r="P693" s="59" t="s">
        <v>1369</v>
      </c>
    </row>
    <row r="694" spans="1:16" ht="21" customHeight="1" x14ac:dyDescent="0.15">
      <c r="A694" s="10" t="str">
        <f t="shared" ref="A694:A697" si="180">B694&amp;"_"&amp;D694&amp;"_"&amp;E694&amp;"_"&amp;F694&amp;"_"&amp;G694</f>
        <v>382_10_4_10_polygon</v>
      </c>
      <c r="B694" s="2">
        <v>382</v>
      </c>
      <c r="C694" s="30" t="str">
        <f>VLOOKUP(B694,gachas!A:C,3)</f>
        <v>1周年記念スペシャルガチャ</v>
      </c>
      <c r="D694" s="21">
        <v>10</v>
      </c>
      <c r="E694" s="2">
        <f t="shared" si="179"/>
        <v>4</v>
      </c>
      <c r="F694" s="2">
        <v>10</v>
      </c>
      <c r="G694" s="3" t="s">
        <v>22</v>
      </c>
      <c r="H694" s="2">
        <v>0</v>
      </c>
      <c r="I694" s="127" t="s">
        <v>1340</v>
      </c>
      <c r="J694" s="112" t="s">
        <v>84</v>
      </c>
      <c r="K694" s="2" t="s">
        <v>84</v>
      </c>
      <c r="L694" s="2">
        <v>0</v>
      </c>
      <c r="M694" s="2" t="s">
        <v>84</v>
      </c>
      <c r="N694" s="2" t="s">
        <v>84</v>
      </c>
      <c r="O694" s="2" t="s">
        <v>841</v>
      </c>
      <c r="P694" s="59" t="s">
        <v>1370</v>
      </c>
    </row>
    <row r="695" spans="1:16" ht="21" customHeight="1" x14ac:dyDescent="0.15">
      <c r="A695" s="10" t="str">
        <f t="shared" si="180"/>
        <v>382_10_5_10_polygon</v>
      </c>
      <c r="B695" s="2">
        <v>382</v>
      </c>
      <c r="C695" s="30" t="str">
        <f>VLOOKUP(B695,gachas!A:C,3)</f>
        <v>1周年記念スペシャルガチャ</v>
      </c>
      <c r="D695" s="21">
        <v>10</v>
      </c>
      <c r="E695" s="2">
        <f t="shared" si="179"/>
        <v>5</v>
      </c>
      <c r="F695" s="2">
        <v>10</v>
      </c>
      <c r="G695" s="3" t="s">
        <v>22</v>
      </c>
      <c r="H695" s="2">
        <v>50</v>
      </c>
      <c r="I695" s="127" t="s">
        <v>1340</v>
      </c>
      <c r="J695" s="112" t="s">
        <v>84</v>
      </c>
      <c r="K695" s="2" t="s">
        <v>84</v>
      </c>
      <c r="L695" s="2">
        <v>0</v>
      </c>
      <c r="M695" s="2" t="s">
        <v>84</v>
      </c>
      <c r="N695" s="2" t="s">
        <v>84</v>
      </c>
      <c r="O695" s="2" t="s">
        <v>841</v>
      </c>
      <c r="P695" s="59" t="s">
        <v>1348</v>
      </c>
    </row>
    <row r="696" spans="1:16" ht="21" customHeight="1" x14ac:dyDescent="0.15">
      <c r="A696" s="10" t="str">
        <f t="shared" si="180"/>
        <v>382_10_6_10_polygon</v>
      </c>
      <c r="B696" s="2">
        <v>382</v>
      </c>
      <c r="C696" s="30" t="str">
        <f>VLOOKUP(B696,gachas!A:C,3)</f>
        <v>1周年記念スペシャルガチャ</v>
      </c>
      <c r="D696" s="21">
        <v>10</v>
      </c>
      <c r="E696" s="2">
        <f t="shared" si="179"/>
        <v>6</v>
      </c>
      <c r="F696" s="2">
        <v>10</v>
      </c>
      <c r="G696" s="3" t="s">
        <v>22</v>
      </c>
      <c r="H696" s="2">
        <v>50</v>
      </c>
      <c r="I696" s="127" t="s">
        <v>1340</v>
      </c>
      <c r="J696" s="112" t="s">
        <v>84</v>
      </c>
      <c r="K696" s="2" t="s">
        <v>84</v>
      </c>
      <c r="L696" s="2">
        <v>0</v>
      </c>
      <c r="M696" s="2" t="s">
        <v>84</v>
      </c>
      <c r="N696" s="2" t="s">
        <v>84</v>
      </c>
      <c r="O696" s="2" t="s">
        <v>841</v>
      </c>
      <c r="P696" s="59" t="s">
        <v>1349</v>
      </c>
    </row>
    <row r="697" spans="1:16" ht="21" customHeight="1" x14ac:dyDescent="0.15">
      <c r="A697" s="10" t="str">
        <f t="shared" si="180"/>
        <v>382_10_7_10_polygon</v>
      </c>
      <c r="B697" s="2">
        <v>382</v>
      </c>
      <c r="C697" s="30" t="str">
        <f>VLOOKUP(B697,gachas!A:C,3)</f>
        <v>1周年記念スペシャルガチャ</v>
      </c>
      <c r="D697" s="21">
        <v>10</v>
      </c>
      <c r="E697" s="2">
        <f t="shared" si="179"/>
        <v>7</v>
      </c>
      <c r="F697" s="2">
        <v>10</v>
      </c>
      <c r="G697" s="3" t="s">
        <v>22</v>
      </c>
      <c r="H697" s="2">
        <v>50</v>
      </c>
      <c r="I697" s="127" t="s">
        <v>1340</v>
      </c>
      <c r="J697" s="112" t="s">
        <v>84</v>
      </c>
      <c r="K697" s="2" t="s">
        <v>84</v>
      </c>
      <c r="L697" s="2">
        <v>0</v>
      </c>
      <c r="M697" s="2" t="s">
        <v>84</v>
      </c>
      <c r="N697" s="2" t="s">
        <v>84</v>
      </c>
      <c r="O697" s="2" t="s">
        <v>841</v>
      </c>
      <c r="P697" s="59" t="s">
        <v>1350</v>
      </c>
    </row>
    <row r="698" spans="1:16" ht="21" customHeight="1" x14ac:dyDescent="0.15">
      <c r="A698" s="10" t="str">
        <f t="shared" ref="A698:A701" si="181">B698&amp;"_"&amp;D698&amp;"_"&amp;E698&amp;"_"&amp;F698&amp;"_"&amp;G698</f>
        <v>382_10_8_10_polygon</v>
      </c>
      <c r="B698" s="2">
        <v>382</v>
      </c>
      <c r="C698" s="30" t="str">
        <f>VLOOKUP(B698,gachas!A:C,3)</f>
        <v>1周年記念スペシャルガチャ</v>
      </c>
      <c r="D698" s="21">
        <v>10</v>
      </c>
      <c r="E698" s="2">
        <f t="shared" si="179"/>
        <v>8</v>
      </c>
      <c r="F698" s="2">
        <v>10</v>
      </c>
      <c r="G698" s="3" t="s">
        <v>22</v>
      </c>
      <c r="H698" s="2">
        <v>0</v>
      </c>
      <c r="I698" s="127" t="s">
        <v>1340</v>
      </c>
      <c r="J698" s="112" t="s">
        <v>84</v>
      </c>
      <c r="K698" s="2" t="s">
        <v>84</v>
      </c>
      <c r="L698" s="2">
        <v>0</v>
      </c>
      <c r="M698" s="2" t="s">
        <v>84</v>
      </c>
      <c r="N698" s="2" t="s">
        <v>84</v>
      </c>
      <c r="O698" s="2" t="s">
        <v>841</v>
      </c>
      <c r="P698" s="59" t="s">
        <v>1351</v>
      </c>
    </row>
    <row r="699" spans="1:16" ht="21" customHeight="1" x14ac:dyDescent="0.15">
      <c r="A699" s="10" t="str">
        <f t="shared" si="181"/>
        <v>382_10_9_10_polygon</v>
      </c>
      <c r="B699" s="2">
        <v>382</v>
      </c>
      <c r="C699" s="30" t="str">
        <f>VLOOKUP(B699,gachas!A:C,3)</f>
        <v>1周年記念スペシャルガチャ</v>
      </c>
      <c r="D699" s="21">
        <v>10</v>
      </c>
      <c r="E699" s="2">
        <f t="shared" si="179"/>
        <v>9</v>
      </c>
      <c r="F699" s="2">
        <v>10</v>
      </c>
      <c r="G699" s="3" t="s">
        <v>22</v>
      </c>
      <c r="H699" s="2">
        <v>50</v>
      </c>
      <c r="I699" s="127" t="s">
        <v>1340</v>
      </c>
      <c r="J699" s="112" t="s">
        <v>84</v>
      </c>
      <c r="K699" s="2" t="s">
        <v>84</v>
      </c>
      <c r="L699" s="2">
        <v>0</v>
      </c>
      <c r="M699" s="2" t="s">
        <v>84</v>
      </c>
      <c r="N699" s="2" t="s">
        <v>84</v>
      </c>
      <c r="O699" s="2" t="s">
        <v>841</v>
      </c>
      <c r="P699" s="59" t="s">
        <v>1348</v>
      </c>
    </row>
    <row r="700" spans="1:16" ht="21" customHeight="1" x14ac:dyDescent="0.15">
      <c r="A700" s="10" t="str">
        <f t="shared" si="181"/>
        <v>382_10_10_10_polygon</v>
      </c>
      <c r="B700" s="2">
        <v>382</v>
      </c>
      <c r="C700" s="30" t="str">
        <f>VLOOKUP(B700,gachas!A:C,3)</f>
        <v>1周年記念スペシャルガチャ</v>
      </c>
      <c r="D700" s="21">
        <v>10</v>
      </c>
      <c r="E700" s="2">
        <f t="shared" si="179"/>
        <v>10</v>
      </c>
      <c r="F700" s="2">
        <v>10</v>
      </c>
      <c r="G700" s="3" t="s">
        <v>22</v>
      </c>
      <c r="H700" s="2">
        <v>50</v>
      </c>
      <c r="I700" s="127" t="s">
        <v>1340</v>
      </c>
      <c r="J700" s="112" t="s">
        <v>84</v>
      </c>
      <c r="K700" s="2" t="s">
        <v>84</v>
      </c>
      <c r="L700" s="2">
        <v>0</v>
      </c>
      <c r="M700" s="2" t="s">
        <v>84</v>
      </c>
      <c r="N700" s="2" t="s">
        <v>84</v>
      </c>
      <c r="O700" s="2" t="s">
        <v>841</v>
      </c>
      <c r="P700" s="59" t="s">
        <v>1349</v>
      </c>
    </row>
    <row r="701" spans="1:16" ht="21" customHeight="1" x14ac:dyDescent="0.15">
      <c r="A701" s="10" t="str">
        <f t="shared" si="181"/>
        <v>382_10_11_10_polygon</v>
      </c>
      <c r="B701" s="2">
        <v>382</v>
      </c>
      <c r="C701" s="30" t="str">
        <f>VLOOKUP(B701,gachas!A:C,3)</f>
        <v>1周年記念スペシャルガチャ</v>
      </c>
      <c r="D701" s="21">
        <v>10</v>
      </c>
      <c r="E701" s="2">
        <f t="shared" si="179"/>
        <v>11</v>
      </c>
      <c r="F701" s="2">
        <v>10</v>
      </c>
      <c r="G701" s="3" t="s">
        <v>22</v>
      </c>
      <c r="H701" s="2">
        <v>50</v>
      </c>
      <c r="I701" s="127" t="s">
        <v>1340</v>
      </c>
      <c r="J701" s="112" t="s">
        <v>84</v>
      </c>
      <c r="K701" s="2" t="s">
        <v>84</v>
      </c>
      <c r="L701" s="2">
        <v>0</v>
      </c>
      <c r="M701" s="2" t="s">
        <v>84</v>
      </c>
      <c r="N701" s="2" t="s">
        <v>84</v>
      </c>
      <c r="O701" s="2" t="s">
        <v>841</v>
      </c>
      <c r="P701" s="59" t="s">
        <v>1350</v>
      </c>
    </row>
    <row r="702" spans="1:16" ht="21" customHeight="1" x14ac:dyDescent="0.15">
      <c r="A702" s="10" t="str">
        <f t="shared" ref="A702:A705" si="182">B702&amp;"_"&amp;D702&amp;"_"&amp;E702&amp;"_"&amp;F702&amp;"_"&amp;G702</f>
        <v>382_10_12_10_polygon</v>
      </c>
      <c r="B702" s="2">
        <v>382</v>
      </c>
      <c r="C702" s="30" t="str">
        <f>VLOOKUP(B702,gachas!A:C,3)</f>
        <v>1周年記念スペシャルガチャ</v>
      </c>
      <c r="D702" s="21">
        <v>10</v>
      </c>
      <c r="E702" s="2">
        <f t="shared" si="179"/>
        <v>12</v>
      </c>
      <c r="F702" s="2">
        <v>10</v>
      </c>
      <c r="G702" s="3" t="s">
        <v>22</v>
      </c>
      <c r="H702" s="2">
        <v>0</v>
      </c>
      <c r="I702" s="127" t="s">
        <v>1340</v>
      </c>
      <c r="J702" s="112" t="s">
        <v>84</v>
      </c>
      <c r="K702" s="2" t="s">
        <v>84</v>
      </c>
      <c r="L702" s="2">
        <v>0</v>
      </c>
      <c r="M702" s="2" t="s">
        <v>84</v>
      </c>
      <c r="N702" s="2" t="s">
        <v>84</v>
      </c>
      <c r="O702" s="2" t="s">
        <v>841</v>
      </c>
      <c r="P702" s="59" t="s">
        <v>1351</v>
      </c>
    </row>
    <row r="703" spans="1:16" ht="21" customHeight="1" x14ac:dyDescent="0.15">
      <c r="A703" s="10" t="str">
        <f t="shared" si="182"/>
        <v>382_10_13_10_polygon</v>
      </c>
      <c r="B703" s="2">
        <v>382</v>
      </c>
      <c r="C703" s="30" t="str">
        <f>VLOOKUP(B703,gachas!A:C,3)</f>
        <v>1周年記念スペシャルガチャ</v>
      </c>
      <c r="D703" s="21">
        <v>10</v>
      </c>
      <c r="E703" s="2">
        <f t="shared" si="179"/>
        <v>13</v>
      </c>
      <c r="F703" s="2">
        <v>10</v>
      </c>
      <c r="G703" s="3" t="s">
        <v>22</v>
      </c>
      <c r="H703" s="2">
        <v>50</v>
      </c>
      <c r="I703" s="127" t="s">
        <v>1340</v>
      </c>
      <c r="J703" s="112" t="s">
        <v>84</v>
      </c>
      <c r="K703" s="2" t="s">
        <v>84</v>
      </c>
      <c r="L703" s="2">
        <v>0</v>
      </c>
      <c r="M703" s="2" t="s">
        <v>84</v>
      </c>
      <c r="N703" s="2" t="s">
        <v>84</v>
      </c>
      <c r="O703" s="2" t="s">
        <v>841</v>
      </c>
      <c r="P703" s="59" t="s">
        <v>1348</v>
      </c>
    </row>
    <row r="704" spans="1:16" ht="21" customHeight="1" x14ac:dyDescent="0.15">
      <c r="A704" s="10" t="str">
        <f t="shared" si="182"/>
        <v>382_10_14_10_polygon</v>
      </c>
      <c r="B704" s="2">
        <v>382</v>
      </c>
      <c r="C704" s="30" t="str">
        <f>VLOOKUP(B704,gachas!A:C,3)</f>
        <v>1周年記念スペシャルガチャ</v>
      </c>
      <c r="D704" s="21">
        <v>10</v>
      </c>
      <c r="E704" s="2">
        <f t="shared" si="179"/>
        <v>14</v>
      </c>
      <c r="F704" s="2">
        <v>10</v>
      </c>
      <c r="G704" s="3" t="s">
        <v>22</v>
      </c>
      <c r="H704" s="2">
        <v>50</v>
      </c>
      <c r="I704" s="127" t="s">
        <v>1340</v>
      </c>
      <c r="J704" s="112" t="s">
        <v>84</v>
      </c>
      <c r="K704" s="2" t="s">
        <v>84</v>
      </c>
      <c r="L704" s="2">
        <v>0</v>
      </c>
      <c r="M704" s="2" t="s">
        <v>84</v>
      </c>
      <c r="N704" s="2" t="s">
        <v>84</v>
      </c>
      <c r="O704" s="2" t="s">
        <v>841</v>
      </c>
      <c r="P704" s="59" t="s">
        <v>1349</v>
      </c>
    </row>
    <row r="705" spans="1:16" ht="21" customHeight="1" x14ac:dyDescent="0.15">
      <c r="A705" s="10" t="str">
        <f t="shared" si="182"/>
        <v>382_10_15_10_polygon</v>
      </c>
      <c r="B705" s="2">
        <v>382</v>
      </c>
      <c r="C705" s="30" t="str">
        <f>VLOOKUP(B705,gachas!A:C,3)</f>
        <v>1周年記念スペシャルガチャ</v>
      </c>
      <c r="D705" s="21">
        <v>10</v>
      </c>
      <c r="E705" s="2">
        <f t="shared" si="179"/>
        <v>15</v>
      </c>
      <c r="F705" s="2">
        <v>10</v>
      </c>
      <c r="G705" s="3" t="s">
        <v>22</v>
      </c>
      <c r="H705" s="2">
        <v>50</v>
      </c>
      <c r="I705" s="127" t="s">
        <v>1340</v>
      </c>
      <c r="J705" s="112" t="s">
        <v>84</v>
      </c>
      <c r="K705" s="2" t="s">
        <v>84</v>
      </c>
      <c r="L705" s="2">
        <v>0</v>
      </c>
      <c r="M705" s="2" t="s">
        <v>84</v>
      </c>
      <c r="N705" s="2" t="s">
        <v>84</v>
      </c>
      <c r="O705" s="2" t="s">
        <v>841</v>
      </c>
      <c r="P705" s="59" t="s">
        <v>1350</v>
      </c>
    </row>
    <row r="706" spans="1:16" ht="21" customHeight="1" x14ac:dyDescent="0.15">
      <c r="A706" s="10" t="str">
        <f t="shared" ref="A706:A709" si="183">B706&amp;"_"&amp;D706&amp;"_"&amp;E706&amp;"_"&amp;F706&amp;"_"&amp;G706</f>
        <v>382_10_16_10_polygon</v>
      </c>
      <c r="B706" s="2">
        <v>382</v>
      </c>
      <c r="C706" s="30" t="str">
        <f>VLOOKUP(B706,gachas!A:C,3)</f>
        <v>1周年記念スペシャルガチャ</v>
      </c>
      <c r="D706" s="21">
        <v>10</v>
      </c>
      <c r="E706" s="2">
        <f t="shared" si="179"/>
        <v>16</v>
      </c>
      <c r="F706" s="2">
        <v>10</v>
      </c>
      <c r="G706" s="3" t="s">
        <v>22</v>
      </c>
      <c r="H706" s="2">
        <v>0</v>
      </c>
      <c r="I706" s="127" t="s">
        <v>1340</v>
      </c>
      <c r="J706" s="112" t="s">
        <v>84</v>
      </c>
      <c r="K706" s="2" t="s">
        <v>84</v>
      </c>
      <c r="L706" s="2">
        <v>0</v>
      </c>
      <c r="M706" s="2" t="s">
        <v>84</v>
      </c>
      <c r="N706" s="2" t="s">
        <v>84</v>
      </c>
      <c r="O706" s="2" t="s">
        <v>841</v>
      </c>
      <c r="P706" s="59" t="s">
        <v>1351</v>
      </c>
    </row>
    <row r="707" spans="1:16" ht="21" customHeight="1" x14ac:dyDescent="0.15">
      <c r="A707" s="10" t="str">
        <f t="shared" si="183"/>
        <v>382_10_17_10_polygon</v>
      </c>
      <c r="B707" s="2">
        <v>382</v>
      </c>
      <c r="C707" s="30" t="str">
        <f>VLOOKUP(B707,gachas!A:C,3)</f>
        <v>1周年記念スペシャルガチャ</v>
      </c>
      <c r="D707" s="21">
        <v>10</v>
      </c>
      <c r="E707" s="2">
        <f t="shared" si="179"/>
        <v>17</v>
      </c>
      <c r="F707" s="2">
        <v>10</v>
      </c>
      <c r="G707" s="3" t="s">
        <v>22</v>
      </c>
      <c r="H707" s="2">
        <v>50</v>
      </c>
      <c r="I707" s="127" t="s">
        <v>1340</v>
      </c>
      <c r="J707" s="112" t="s">
        <v>84</v>
      </c>
      <c r="K707" s="2" t="s">
        <v>84</v>
      </c>
      <c r="L707" s="2">
        <v>0</v>
      </c>
      <c r="M707" s="2" t="s">
        <v>84</v>
      </c>
      <c r="N707" s="2" t="s">
        <v>84</v>
      </c>
      <c r="O707" s="2" t="s">
        <v>841</v>
      </c>
      <c r="P707" s="59" t="s">
        <v>1348</v>
      </c>
    </row>
    <row r="708" spans="1:16" ht="21" customHeight="1" x14ac:dyDescent="0.15">
      <c r="A708" s="10" t="str">
        <f t="shared" si="183"/>
        <v>382_10_18_10_polygon</v>
      </c>
      <c r="B708" s="2">
        <v>382</v>
      </c>
      <c r="C708" s="30" t="str">
        <f>VLOOKUP(B708,gachas!A:C,3)</f>
        <v>1周年記念スペシャルガチャ</v>
      </c>
      <c r="D708" s="21">
        <v>10</v>
      </c>
      <c r="E708" s="2">
        <f t="shared" si="179"/>
        <v>18</v>
      </c>
      <c r="F708" s="2">
        <v>10</v>
      </c>
      <c r="G708" s="3" t="s">
        <v>22</v>
      </c>
      <c r="H708" s="2">
        <v>50</v>
      </c>
      <c r="I708" s="127" t="s">
        <v>1340</v>
      </c>
      <c r="J708" s="112" t="s">
        <v>84</v>
      </c>
      <c r="K708" s="2" t="s">
        <v>84</v>
      </c>
      <c r="L708" s="2">
        <v>0</v>
      </c>
      <c r="M708" s="2" t="s">
        <v>84</v>
      </c>
      <c r="N708" s="2" t="s">
        <v>84</v>
      </c>
      <c r="O708" s="2" t="s">
        <v>841</v>
      </c>
      <c r="P708" s="59" t="s">
        <v>1349</v>
      </c>
    </row>
    <row r="709" spans="1:16" ht="21" customHeight="1" x14ac:dyDescent="0.15">
      <c r="A709" s="10" t="str">
        <f t="shared" si="183"/>
        <v>382_10_19_10_polygon</v>
      </c>
      <c r="B709" s="2">
        <v>382</v>
      </c>
      <c r="C709" s="30" t="str">
        <f>VLOOKUP(B709,gachas!A:C,3)</f>
        <v>1周年記念スペシャルガチャ</v>
      </c>
      <c r="D709" s="21">
        <v>10</v>
      </c>
      <c r="E709" s="2">
        <f t="shared" si="179"/>
        <v>19</v>
      </c>
      <c r="F709" s="2">
        <v>10</v>
      </c>
      <c r="G709" s="3" t="s">
        <v>22</v>
      </c>
      <c r="H709" s="2">
        <v>50</v>
      </c>
      <c r="I709" s="127" t="s">
        <v>1340</v>
      </c>
      <c r="J709" s="112" t="s">
        <v>84</v>
      </c>
      <c r="K709" s="2" t="s">
        <v>84</v>
      </c>
      <c r="L709" s="2">
        <v>0</v>
      </c>
      <c r="M709" s="2" t="s">
        <v>84</v>
      </c>
      <c r="N709" s="2" t="s">
        <v>84</v>
      </c>
      <c r="O709" s="2" t="s">
        <v>841</v>
      </c>
      <c r="P709" s="59" t="s">
        <v>1350</v>
      </c>
    </row>
    <row r="710" spans="1:16" ht="21" customHeight="1" x14ac:dyDescent="0.15">
      <c r="A710" s="10" t="str">
        <f t="shared" ref="A710:A729" si="184">B710&amp;"_"&amp;D710&amp;"_"&amp;E710&amp;"_"&amp;F710&amp;"_"&amp;G710</f>
        <v>382_10_20_10_polygon</v>
      </c>
      <c r="B710" s="2">
        <v>382</v>
      </c>
      <c r="C710" s="30" t="str">
        <f>VLOOKUP(B710,gachas!A:C,3)</f>
        <v>1周年記念スペシャルガチャ</v>
      </c>
      <c r="D710" s="21">
        <v>10</v>
      </c>
      <c r="E710" s="2">
        <f t="shared" si="179"/>
        <v>20</v>
      </c>
      <c r="F710" s="2">
        <v>10</v>
      </c>
      <c r="G710" s="3" t="s">
        <v>22</v>
      </c>
      <c r="H710" s="2">
        <v>0</v>
      </c>
      <c r="I710" s="127" t="s">
        <v>1340</v>
      </c>
      <c r="J710" s="112" t="s">
        <v>84</v>
      </c>
      <c r="K710" s="2" t="s">
        <v>84</v>
      </c>
      <c r="L710" s="2">
        <v>0</v>
      </c>
      <c r="M710" s="2" t="s">
        <v>84</v>
      </c>
      <c r="N710" s="2" t="s">
        <v>84</v>
      </c>
      <c r="O710" s="2" t="s">
        <v>841</v>
      </c>
      <c r="P710" s="59" t="s">
        <v>1351</v>
      </c>
    </row>
    <row r="711" spans="1:16" ht="21" customHeight="1" x14ac:dyDescent="0.15">
      <c r="A711" s="10" t="str">
        <f t="shared" si="184"/>
        <v>382_10_21_10_polygon</v>
      </c>
      <c r="B711" s="2">
        <v>382</v>
      </c>
      <c r="C711" s="30" t="str">
        <f>VLOOKUP(B711,gachas!A:C,3)</f>
        <v>1周年記念スペシャルガチャ</v>
      </c>
      <c r="D711" s="21">
        <v>10</v>
      </c>
      <c r="E711" s="2">
        <f>E710+1</f>
        <v>21</v>
      </c>
      <c r="F711" s="2">
        <v>10</v>
      </c>
      <c r="G711" s="3" t="s">
        <v>22</v>
      </c>
      <c r="H711" s="2">
        <v>50</v>
      </c>
      <c r="I711" s="127" t="s">
        <v>1340</v>
      </c>
      <c r="J711" s="112" t="s">
        <v>84</v>
      </c>
      <c r="K711" s="2" t="s">
        <v>84</v>
      </c>
      <c r="L711" s="2">
        <v>0</v>
      </c>
      <c r="M711" s="2" t="s">
        <v>84</v>
      </c>
      <c r="N711" s="2" t="s">
        <v>84</v>
      </c>
      <c r="O711" s="2" t="s">
        <v>841</v>
      </c>
      <c r="P711" s="59" t="s">
        <v>1348</v>
      </c>
    </row>
    <row r="712" spans="1:16" ht="21" customHeight="1" x14ac:dyDescent="0.15">
      <c r="A712" s="10" t="str">
        <f t="shared" si="184"/>
        <v>382_10_22_10_polygon</v>
      </c>
      <c r="B712" s="2">
        <v>382</v>
      </c>
      <c r="C712" s="30" t="str">
        <f>VLOOKUP(B712,gachas!A:C,3)</f>
        <v>1周年記念スペシャルガチャ</v>
      </c>
      <c r="D712" s="21">
        <v>10</v>
      </c>
      <c r="E712" s="2">
        <f>E711+1</f>
        <v>22</v>
      </c>
      <c r="F712" s="2">
        <v>10</v>
      </c>
      <c r="G712" s="3" t="s">
        <v>22</v>
      </c>
      <c r="H712" s="2">
        <v>50</v>
      </c>
      <c r="I712" s="127" t="s">
        <v>1340</v>
      </c>
      <c r="J712" s="112" t="s">
        <v>84</v>
      </c>
      <c r="K712" s="2" t="s">
        <v>84</v>
      </c>
      <c r="L712" s="2">
        <v>0</v>
      </c>
      <c r="M712" s="2" t="s">
        <v>84</v>
      </c>
      <c r="N712" s="2" t="s">
        <v>84</v>
      </c>
      <c r="O712" s="2" t="s">
        <v>841</v>
      </c>
      <c r="P712" s="59" t="s">
        <v>1349</v>
      </c>
    </row>
    <row r="713" spans="1:16" ht="21" customHeight="1" x14ac:dyDescent="0.15">
      <c r="A713" s="10" t="str">
        <f t="shared" si="184"/>
        <v>382_10_23_10_polygon</v>
      </c>
      <c r="B713" s="2">
        <v>382</v>
      </c>
      <c r="C713" s="30" t="str">
        <f>VLOOKUP(B713,gachas!A:C,3)</f>
        <v>1周年記念スペシャルガチャ</v>
      </c>
      <c r="D713" s="21">
        <v>10</v>
      </c>
      <c r="E713" s="2">
        <f t="shared" ref="E713:E730" si="185">E712+1</f>
        <v>23</v>
      </c>
      <c r="F713" s="2">
        <v>10</v>
      </c>
      <c r="G713" s="3" t="s">
        <v>22</v>
      </c>
      <c r="H713" s="2">
        <v>50</v>
      </c>
      <c r="I713" s="127" t="s">
        <v>1340</v>
      </c>
      <c r="J713" s="112" t="s">
        <v>84</v>
      </c>
      <c r="K713" s="2" t="s">
        <v>84</v>
      </c>
      <c r="L713" s="2">
        <v>0</v>
      </c>
      <c r="M713" s="2" t="s">
        <v>84</v>
      </c>
      <c r="N713" s="2" t="s">
        <v>84</v>
      </c>
      <c r="O713" s="2" t="s">
        <v>841</v>
      </c>
      <c r="P713" s="59" t="s">
        <v>1350</v>
      </c>
    </row>
    <row r="714" spans="1:16" ht="21" customHeight="1" x14ac:dyDescent="0.15">
      <c r="A714" s="10" t="str">
        <f t="shared" si="184"/>
        <v>382_10_24_10_polygon</v>
      </c>
      <c r="B714" s="2">
        <v>382</v>
      </c>
      <c r="C714" s="30" t="str">
        <f>VLOOKUP(B714,gachas!A:C,3)</f>
        <v>1周年記念スペシャルガチャ</v>
      </c>
      <c r="D714" s="21">
        <v>10</v>
      </c>
      <c r="E714" s="2">
        <f t="shared" si="185"/>
        <v>24</v>
      </c>
      <c r="F714" s="2">
        <v>10</v>
      </c>
      <c r="G714" s="3" t="s">
        <v>22</v>
      </c>
      <c r="H714" s="2">
        <v>0</v>
      </c>
      <c r="I714" s="127" t="s">
        <v>1340</v>
      </c>
      <c r="J714" s="112" t="s">
        <v>84</v>
      </c>
      <c r="K714" s="2" t="s">
        <v>84</v>
      </c>
      <c r="L714" s="2">
        <v>0</v>
      </c>
      <c r="M714" s="2" t="s">
        <v>84</v>
      </c>
      <c r="N714" s="2" t="s">
        <v>84</v>
      </c>
      <c r="O714" s="2" t="s">
        <v>841</v>
      </c>
      <c r="P714" s="59" t="s">
        <v>1351</v>
      </c>
    </row>
    <row r="715" spans="1:16" ht="21" customHeight="1" x14ac:dyDescent="0.15">
      <c r="A715" s="10" t="str">
        <f t="shared" si="184"/>
        <v>382_10_25_10_polygon</v>
      </c>
      <c r="B715" s="2">
        <v>382</v>
      </c>
      <c r="C715" s="30" t="str">
        <f>VLOOKUP(B715,gachas!A:C,3)</f>
        <v>1周年記念スペシャルガチャ</v>
      </c>
      <c r="D715" s="21">
        <v>10</v>
      </c>
      <c r="E715" s="2">
        <f t="shared" si="185"/>
        <v>25</v>
      </c>
      <c r="F715" s="2">
        <v>10</v>
      </c>
      <c r="G715" s="3" t="s">
        <v>22</v>
      </c>
      <c r="H715" s="2">
        <v>50</v>
      </c>
      <c r="I715" s="127" t="s">
        <v>1340</v>
      </c>
      <c r="J715" s="112" t="s">
        <v>84</v>
      </c>
      <c r="K715" s="2" t="s">
        <v>84</v>
      </c>
      <c r="L715" s="2">
        <v>0</v>
      </c>
      <c r="M715" s="2" t="s">
        <v>84</v>
      </c>
      <c r="N715" s="2" t="s">
        <v>84</v>
      </c>
      <c r="O715" s="2" t="s">
        <v>841</v>
      </c>
      <c r="P715" s="59" t="s">
        <v>1348</v>
      </c>
    </row>
    <row r="716" spans="1:16" ht="21" customHeight="1" x14ac:dyDescent="0.15">
      <c r="A716" s="10" t="str">
        <f t="shared" si="184"/>
        <v>382_10_26_10_polygon</v>
      </c>
      <c r="B716" s="2">
        <v>382</v>
      </c>
      <c r="C716" s="30" t="str">
        <f>VLOOKUP(B716,gachas!A:C,3)</f>
        <v>1周年記念スペシャルガチャ</v>
      </c>
      <c r="D716" s="21">
        <v>10</v>
      </c>
      <c r="E716" s="2">
        <f t="shared" si="185"/>
        <v>26</v>
      </c>
      <c r="F716" s="2">
        <v>10</v>
      </c>
      <c r="G716" s="3" t="s">
        <v>22</v>
      </c>
      <c r="H716" s="2">
        <v>50</v>
      </c>
      <c r="I716" s="127" t="s">
        <v>1340</v>
      </c>
      <c r="J716" s="112" t="s">
        <v>84</v>
      </c>
      <c r="K716" s="2" t="s">
        <v>84</v>
      </c>
      <c r="L716" s="2">
        <v>0</v>
      </c>
      <c r="M716" s="2" t="s">
        <v>84</v>
      </c>
      <c r="N716" s="2" t="s">
        <v>84</v>
      </c>
      <c r="O716" s="2" t="s">
        <v>841</v>
      </c>
      <c r="P716" s="59" t="s">
        <v>1349</v>
      </c>
    </row>
    <row r="717" spans="1:16" ht="21" customHeight="1" x14ac:dyDescent="0.15">
      <c r="A717" s="10" t="str">
        <f t="shared" si="184"/>
        <v>382_10_27_10_polygon</v>
      </c>
      <c r="B717" s="2">
        <v>382</v>
      </c>
      <c r="C717" s="30" t="str">
        <f>VLOOKUP(B717,gachas!A:C,3)</f>
        <v>1周年記念スペシャルガチャ</v>
      </c>
      <c r="D717" s="21">
        <v>10</v>
      </c>
      <c r="E717" s="2">
        <f t="shared" si="185"/>
        <v>27</v>
      </c>
      <c r="F717" s="2">
        <v>10</v>
      </c>
      <c r="G717" s="3" t="s">
        <v>22</v>
      </c>
      <c r="H717" s="2">
        <v>50</v>
      </c>
      <c r="I717" s="127" t="s">
        <v>1340</v>
      </c>
      <c r="J717" s="112" t="s">
        <v>84</v>
      </c>
      <c r="K717" s="2" t="s">
        <v>84</v>
      </c>
      <c r="L717" s="2">
        <v>0</v>
      </c>
      <c r="M717" s="2" t="s">
        <v>84</v>
      </c>
      <c r="N717" s="2" t="s">
        <v>84</v>
      </c>
      <c r="O717" s="2" t="s">
        <v>841</v>
      </c>
      <c r="P717" s="59" t="s">
        <v>1350</v>
      </c>
    </row>
    <row r="718" spans="1:16" ht="21" customHeight="1" x14ac:dyDescent="0.15">
      <c r="A718" s="10" t="str">
        <f t="shared" si="184"/>
        <v>382_10_28_10_polygon</v>
      </c>
      <c r="B718" s="2">
        <v>382</v>
      </c>
      <c r="C718" s="30" t="str">
        <f>VLOOKUP(B718,gachas!A:C,3)</f>
        <v>1周年記念スペシャルガチャ</v>
      </c>
      <c r="D718" s="21">
        <v>10</v>
      </c>
      <c r="E718" s="2">
        <f t="shared" si="185"/>
        <v>28</v>
      </c>
      <c r="F718" s="2">
        <v>10</v>
      </c>
      <c r="G718" s="3" t="s">
        <v>22</v>
      </c>
      <c r="H718" s="2">
        <v>0</v>
      </c>
      <c r="I718" s="127" t="s">
        <v>1340</v>
      </c>
      <c r="J718" s="112" t="s">
        <v>84</v>
      </c>
      <c r="K718" s="2" t="s">
        <v>84</v>
      </c>
      <c r="L718" s="2">
        <v>0</v>
      </c>
      <c r="M718" s="2" t="s">
        <v>84</v>
      </c>
      <c r="N718" s="2" t="s">
        <v>84</v>
      </c>
      <c r="O718" s="2" t="s">
        <v>841</v>
      </c>
      <c r="P718" s="59" t="s">
        <v>1351</v>
      </c>
    </row>
    <row r="719" spans="1:16" ht="21" customHeight="1" x14ac:dyDescent="0.15">
      <c r="A719" s="10" t="str">
        <f t="shared" si="184"/>
        <v>382_10_29_10_polygon</v>
      </c>
      <c r="B719" s="2">
        <v>382</v>
      </c>
      <c r="C719" s="30" t="str">
        <f>VLOOKUP(B719,gachas!A:C,3)</f>
        <v>1周年記念スペシャルガチャ</v>
      </c>
      <c r="D719" s="21">
        <v>10</v>
      </c>
      <c r="E719" s="2">
        <f t="shared" si="185"/>
        <v>29</v>
      </c>
      <c r="F719" s="2">
        <v>10</v>
      </c>
      <c r="G719" s="3" t="s">
        <v>22</v>
      </c>
      <c r="H719" s="2">
        <v>50</v>
      </c>
      <c r="I719" s="127" t="s">
        <v>1340</v>
      </c>
      <c r="J719" s="112" t="s">
        <v>84</v>
      </c>
      <c r="K719" s="2" t="s">
        <v>84</v>
      </c>
      <c r="L719" s="2">
        <v>0</v>
      </c>
      <c r="M719" s="2" t="s">
        <v>84</v>
      </c>
      <c r="N719" s="2" t="s">
        <v>84</v>
      </c>
      <c r="O719" s="2" t="s">
        <v>841</v>
      </c>
      <c r="P719" s="59" t="s">
        <v>1348</v>
      </c>
    </row>
    <row r="720" spans="1:16" ht="21" customHeight="1" x14ac:dyDescent="0.15">
      <c r="A720" s="10" t="str">
        <f t="shared" si="184"/>
        <v>382_10_30_10_polygon</v>
      </c>
      <c r="B720" s="2">
        <v>382</v>
      </c>
      <c r="C720" s="30" t="str">
        <f>VLOOKUP(B720,gachas!A:C,3)</f>
        <v>1周年記念スペシャルガチャ</v>
      </c>
      <c r="D720" s="21">
        <v>10</v>
      </c>
      <c r="E720" s="2">
        <f t="shared" si="185"/>
        <v>30</v>
      </c>
      <c r="F720" s="2">
        <v>10</v>
      </c>
      <c r="G720" s="3" t="s">
        <v>22</v>
      </c>
      <c r="H720" s="2">
        <v>50</v>
      </c>
      <c r="I720" s="127" t="s">
        <v>1340</v>
      </c>
      <c r="J720" s="112" t="s">
        <v>84</v>
      </c>
      <c r="K720" s="2" t="s">
        <v>84</v>
      </c>
      <c r="L720" s="2">
        <v>0</v>
      </c>
      <c r="M720" s="2" t="s">
        <v>84</v>
      </c>
      <c r="N720" s="2" t="s">
        <v>84</v>
      </c>
      <c r="O720" s="2" t="s">
        <v>841</v>
      </c>
      <c r="P720" s="59" t="s">
        <v>1349</v>
      </c>
    </row>
    <row r="721" spans="1:16" ht="21" customHeight="1" x14ac:dyDescent="0.15">
      <c r="A721" s="10" t="str">
        <f t="shared" si="184"/>
        <v>382_10_31_10_polygon</v>
      </c>
      <c r="B721" s="2">
        <v>382</v>
      </c>
      <c r="C721" s="30" t="str">
        <f>VLOOKUP(B721,gachas!A:C,3)</f>
        <v>1周年記念スペシャルガチャ</v>
      </c>
      <c r="D721" s="21">
        <v>10</v>
      </c>
      <c r="E721" s="2">
        <f t="shared" si="185"/>
        <v>31</v>
      </c>
      <c r="F721" s="2">
        <v>10</v>
      </c>
      <c r="G721" s="3" t="s">
        <v>22</v>
      </c>
      <c r="H721" s="2">
        <v>50</v>
      </c>
      <c r="I721" s="127" t="s">
        <v>1340</v>
      </c>
      <c r="J721" s="112" t="s">
        <v>84</v>
      </c>
      <c r="K721" s="2" t="s">
        <v>84</v>
      </c>
      <c r="L721" s="2">
        <v>0</v>
      </c>
      <c r="M721" s="2" t="s">
        <v>84</v>
      </c>
      <c r="N721" s="2" t="s">
        <v>84</v>
      </c>
      <c r="O721" s="2" t="s">
        <v>841</v>
      </c>
      <c r="P721" s="59" t="s">
        <v>1350</v>
      </c>
    </row>
    <row r="722" spans="1:16" ht="21" customHeight="1" x14ac:dyDescent="0.15">
      <c r="A722" s="10" t="str">
        <f t="shared" si="184"/>
        <v>382_10_32_10_polygon</v>
      </c>
      <c r="B722" s="2">
        <v>382</v>
      </c>
      <c r="C722" s="30" t="str">
        <f>VLOOKUP(B722,gachas!A:C,3)</f>
        <v>1周年記念スペシャルガチャ</v>
      </c>
      <c r="D722" s="21">
        <v>10</v>
      </c>
      <c r="E722" s="2">
        <f t="shared" si="185"/>
        <v>32</v>
      </c>
      <c r="F722" s="2">
        <v>10</v>
      </c>
      <c r="G722" s="3" t="s">
        <v>22</v>
      </c>
      <c r="H722" s="2">
        <v>0</v>
      </c>
      <c r="I722" s="127" t="s">
        <v>1340</v>
      </c>
      <c r="J722" s="112" t="s">
        <v>84</v>
      </c>
      <c r="K722" s="2" t="s">
        <v>84</v>
      </c>
      <c r="L722" s="2">
        <v>0</v>
      </c>
      <c r="M722" s="2" t="s">
        <v>84</v>
      </c>
      <c r="N722" s="2" t="s">
        <v>84</v>
      </c>
      <c r="O722" s="2" t="s">
        <v>841</v>
      </c>
      <c r="P722" s="59" t="s">
        <v>1351</v>
      </c>
    </row>
    <row r="723" spans="1:16" ht="21" customHeight="1" x14ac:dyDescent="0.15">
      <c r="A723" s="10" t="str">
        <f t="shared" si="184"/>
        <v>382_10_33_10_polygon</v>
      </c>
      <c r="B723" s="2">
        <v>382</v>
      </c>
      <c r="C723" s="30" t="str">
        <f>VLOOKUP(B723,gachas!A:C,3)</f>
        <v>1周年記念スペシャルガチャ</v>
      </c>
      <c r="D723" s="21">
        <v>10</v>
      </c>
      <c r="E723" s="2">
        <f t="shared" si="185"/>
        <v>33</v>
      </c>
      <c r="F723" s="2">
        <v>10</v>
      </c>
      <c r="G723" s="3" t="s">
        <v>22</v>
      </c>
      <c r="H723" s="2">
        <v>50</v>
      </c>
      <c r="I723" s="127" t="s">
        <v>1340</v>
      </c>
      <c r="J723" s="112" t="s">
        <v>84</v>
      </c>
      <c r="K723" s="2" t="s">
        <v>84</v>
      </c>
      <c r="L723" s="2">
        <v>0</v>
      </c>
      <c r="M723" s="2" t="s">
        <v>84</v>
      </c>
      <c r="N723" s="2" t="s">
        <v>84</v>
      </c>
      <c r="O723" s="2" t="s">
        <v>841</v>
      </c>
      <c r="P723" s="59" t="s">
        <v>1348</v>
      </c>
    </row>
    <row r="724" spans="1:16" ht="21" customHeight="1" x14ac:dyDescent="0.15">
      <c r="A724" s="10" t="str">
        <f t="shared" si="184"/>
        <v>382_10_34_10_polygon</v>
      </c>
      <c r="B724" s="2">
        <v>382</v>
      </c>
      <c r="C724" s="30" t="str">
        <f>VLOOKUP(B724,gachas!A:C,3)</f>
        <v>1周年記念スペシャルガチャ</v>
      </c>
      <c r="D724" s="21">
        <v>10</v>
      </c>
      <c r="E724" s="2">
        <f t="shared" si="185"/>
        <v>34</v>
      </c>
      <c r="F724" s="2">
        <v>10</v>
      </c>
      <c r="G724" s="3" t="s">
        <v>22</v>
      </c>
      <c r="H724" s="2">
        <v>50</v>
      </c>
      <c r="I724" s="127" t="s">
        <v>1340</v>
      </c>
      <c r="J724" s="112" t="s">
        <v>84</v>
      </c>
      <c r="K724" s="2" t="s">
        <v>84</v>
      </c>
      <c r="L724" s="2">
        <v>0</v>
      </c>
      <c r="M724" s="2" t="s">
        <v>84</v>
      </c>
      <c r="N724" s="2" t="s">
        <v>84</v>
      </c>
      <c r="O724" s="2" t="s">
        <v>841</v>
      </c>
      <c r="P724" s="59" t="s">
        <v>1349</v>
      </c>
    </row>
    <row r="725" spans="1:16" ht="21" customHeight="1" x14ac:dyDescent="0.15">
      <c r="A725" s="10" t="str">
        <f t="shared" si="184"/>
        <v>382_10_35_10_polygon</v>
      </c>
      <c r="B725" s="2">
        <v>382</v>
      </c>
      <c r="C725" s="30" t="str">
        <f>VLOOKUP(B725,gachas!A:C,3)</f>
        <v>1周年記念スペシャルガチャ</v>
      </c>
      <c r="D725" s="21">
        <v>10</v>
      </c>
      <c r="E725" s="2">
        <f t="shared" si="185"/>
        <v>35</v>
      </c>
      <c r="F725" s="2">
        <v>10</v>
      </c>
      <c r="G725" s="3" t="s">
        <v>22</v>
      </c>
      <c r="H725" s="2">
        <v>50</v>
      </c>
      <c r="I725" s="127" t="s">
        <v>1340</v>
      </c>
      <c r="J725" s="112" t="s">
        <v>84</v>
      </c>
      <c r="K725" s="2" t="s">
        <v>84</v>
      </c>
      <c r="L725" s="2">
        <v>0</v>
      </c>
      <c r="M725" s="2" t="s">
        <v>84</v>
      </c>
      <c r="N725" s="2" t="s">
        <v>84</v>
      </c>
      <c r="O725" s="2" t="s">
        <v>841</v>
      </c>
      <c r="P725" s="59" t="s">
        <v>1350</v>
      </c>
    </row>
    <row r="726" spans="1:16" ht="21" customHeight="1" x14ac:dyDescent="0.15">
      <c r="A726" s="10" t="str">
        <f t="shared" si="184"/>
        <v>382_10_36_10_polygon</v>
      </c>
      <c r="B726" s="2">
        <v>382</v>
      </c>
      <c r="C726" s="30" t="str">
        <f>VLOOKUP(B726,gachas!A:C,3)</f>
        <v>1周年記念スペシャルガチャ</v>
      </c>
      <c r="D726" s="21">
        <v>10</v>
      </c>
      <c r="E726" s="2">
        <f t="shared" si="185"/>
        <v>36</v>
      </c>
      <c r="F726" s="2">
        <v>10</v>
      </c>
      <c r="G726" s="3" t="s">
        <v>22</v>
      </c>
      <c r="H726" s="2">
        <v>0</v>
      </c>
      <c r="I726" s="127" t="s">
        <v>1340</v>
      </c>
      <c r="J726" s="112" t="s">
        <v>84</v>
      </c>
      <c r="K726" s="2" t="s">
        <v>84</v>
      </c>
      <c r="L726" s="2">
        <v>0</v>
      </c>
      <c r="M726" s="2" t="s">
        <v>84</v>
      </c>
      <c r="N726" s="2" t="s">
        <v>84</v>
      </c>
      <c r="O726" s="2" t="s">
        <v>841</v>
      </c>
      <c r="P726" s="59" t="s">
        <v>1351</v>
      </c>
    </row>
    <row r="727" spans="1:16" ht="21" customHeight="1" x14ac:dyDescent="0.15">
      <c r="A727" s="10" t="str">
        <f t="shared" si="184"/>
        <v>382_10_37_10_polygon</v>
      </c>
      <c r="B727" s="2">
        <v>382</v>
      </c>
      <c r="C727" s="30" t="str">
        <f>VLOOKUP(B727,gachas!A:C,3)</f>
        <v>1周年記念スペシャルガチャ</v>
      </c>
      <c r="D727" s="21">
        <v>10</v>
      </c>
      <c r="E727" s="2">
        <f t="shared" si="185"/>
        <v>37</v>
      </c>
      <c r="F727" s="2">
        <v>10</v>
      </c>
      <c r="G727" s="3" t="s">
        <v>22</v>
      </c>
      <c r="H727" s="2">
        <v>50</v>
      </c>
      <c r="I727" s="127" t="s">
        <v>1340</v>
      </c>
      <c r="J727" s="112" t="s">
        <v>84</v>
      </c>
      <c r="K727" s="2" t="s">
        <v>84</v>
      </c>
      <c r="L727" s="2">
        <v>0</v>
      </c>
      <c r="M727" s="2" t="s">
        <v>84</v>
      </c>
      <c r="N727" s="2" t="s">
        <v>84</v>
      </c>
      <c r="O727" s="2" t="s">
        <v>841</v>
      </c>
      <c r="P727" s="59" t="s">
        <v>1348</v>
      </c>
    </row>
    <row r="728" spans="1:16" ht="21" customHeight="1" x14ac:dyDescent="0.15">
      <c r="A728" s="10" t="str">
        <f t="shared" si="184"/>
        <v>382_10_38_10_polygon</v>
      </c>
      <c r="B728" s="2">
        <v>382</v>
      </c>
      <c r="C728" s="30" t="str">
        <f>VLOOKUP(B728,gachas!A:C,3)</f>
        <v>1周年記念スペシャルガチャ</v>
      </c>
      <c r="D728" s="21">
        <v>10</v>
      </c>
      <c r="E728" s="2">
        <f t="shared" si="185"/>
        <v>38</v>
      </c>
      <c r="F728" s="2">
        <v>10</v>
      </c>
      <c r="G728" s="3" t="s">
        <v>22</v>
      </c>
      <c r="H728" s="2">
        <v>50</v>
      </c>
      <c r="I728" s="127" t="s">
        <v>1340</v>
      </c>
      <c r="J728" s="112" t="s">
        <v>84</v>
      </c>
      <c r="K728" s="2" t="s">
        <v>84</v>
      </c>
      <c r="L728" s="2">
        <v>0</v>
      </c>
      <c r="M728" s="2" t="s">
        <v>84</v>
      </c>
      <c r="N728" s="2" t="s">
        <v>84</v>
      </c>
      <c r="O728" s="2" t="s">
        <v>841</v>
      </c>
      <c r="P728" s="59" t="s">
        <v>1349</v>
      </c>
    </row>
    <row r="729" spans="1:16" ht="21" customHeight="1" x14ac:dyDescent="0.15">
      <c r="A729" s="10" t="str">
        <f t="shared" si="184"/>
        <v>382_10_39_10_polygon</v>
      </c>
      <c r="B729" s="2">
        <v>382</v>
      </c>
      <c r="C729" s="30" t="str">
        <f>VLOOKUP(B729,gachas!A:C,3)</f>
        <v>1周年記念スペシャルガチャ</v>
      </c>
      <c r="D729" s="21">
        <v>10</v>
      </c>
      <c r="E729" s="2">
        <f t="shared" si="185"/>
        <v>39</v>
      </c>
      <c r="F729" s="2">
        <v>10</v>
      </c>
      <c r="G729" s="3" t="s">
        <v>22</v>
      </c>
      <c r="H729" s="2">
        <v>50</v>
      </c>
      <c r="I729" s="127" t="s">
        <v>1340</v>
      </c>
      <c r="J729" s="112" t="s">
        <v>84</v>
      </c>
      <c r="K729" s="2" t="s">
        <v>84</v>
      </c>
      <c r="L729" s="2">
        <v>0</v>
      </c>
      <c r="M729" s="2" t="s">
        <v>84</v>
      </c>
      <c r="N729" s="2" t="s">
        <v>84</v>
      </c>
      <c r="O729" s="2" t="s">
        <v>841</v>
      </c>
      <c r="P729" s="59" t="s">
        <v>1350</v>
      </c>
    </row>
    <row r="730" spans="1:16" ht="21" customHeight="1" x14ac:dyDescent="0.15">
      <c r="A730" s="10" t="str">
        <f t="shared" ref="A730" si="186">B730&amp;"_"&amp;D730&amp;"_"&amp;E730&amp;"_"&amp;F730&amp;"_"&amp;G730</f>
        <v>382_10_40_10_polygon</v>
      </c>
      <c r="B730" s="2">
        <v>382</v>
      </c>
      <c r="C730" s="30" t="str">
        <f>VLOOKUP(B730,gachas!A:C,3)</f>
        <v>1周年記念スペシャルガチャ</v>
      </c>
      <c r="D730" s="21">
        <v>10</v>
      </c>
      <c r="E730" s="2">
        <f t="shared" si="185"/>
        <v>40</v>
      </c>
      <c r="F730" s="2">
        <v>10</v>
      </c>
      <c r="G730" s="3" t="s">
        <v>22</v>
      </c>
      <c r="H730" s="2">
        <v>0</v>
      </c>
      <c r="I730" s="127" t="s">
        <v>1340</v>
      </c>
      <c r="J730" s="112" t="s">
        <v>84</v>
      </c>
      <c r="K730" s="2" t="s">
        <v>84</v>
      </c>
      <c r="L730" s="2">
        <v>0</v>
      </c>
      <c r="M730" s="2" t="s">
        <v>84</v>
      </c>
      <c r="N730" s="2" t="s">
        <v>84</v>
      </c>
      <c r="O730" s="2" t="s">
        <v>841</v>
      </c>
      <c r="P730" s="59" t="s">
        <v>1370</v>
      </c>
    </row>
    <row r="731" spans="1:16" ht="21" customHeight="1" x14ac:dyDescent="0.15">
      <c r="A731" s="10" t="str">
        <f t="shared" ref="A731:A734" si="187">B731&amp;"_"&amp;D731&amp;"_"&amp;E731&amp;"_"&amp;F731&amp;"_"&amp;G731</f>
        <v>382_10_0_10_polygon</v>
      </c>
      <c r="B731" s="2">
        <v>382</v>
      </c>
      <c r="C731" s="30" t="str">
        <f>VLOOKUP(B731,gachas!A:C,3)</f>
        <v>1周年記念スペシャルガチャ</v>
      </c>
      <c r="D731" s="21">
        <v>10</v>
      </c>
      <c r="E731" s="2">
        <v>0</v>
      </c>
      <c r="F731" s="2">
        <v>10</v>
      </c>
      <c r="G731" s="3" t="s">
        <v>22</v>
      </c>
      <c r="H731" s="2">
        <v>50</v>
      </c>
      <c r="I731" s="127" t="s">
        <v>1340</v>
      </c>
      <c r="J731" s="112" t="s">
        <v>84</v>
      </c>
      <c r="K731" s="2" t="s">
        <v>84</v>
      </c>
      <c r="L731" s="2">
        <v>0</v>
      </c>
      <c r="M731" s="2" t="s">
        <v>84</v>
      </c>
      <c r="N731" s="2" t="s">
        <v>84</v>
      </c>
      <c r="O731" s="2" t="s">
        <v>841</v>
      </c>
      <c r="P731" s="2" t="s">
        <v>143</v>
      </c>
    </row>
    <row r="732" spans="1:16" ht="21" customHeight="1" x14ac:dyDescent="0.15">
      <c r="A732" s="10" t="str">
        <f t="shared" si="187"/>
        <v>383_1_0_1_polygon</v>
      </c>
      <c r="B732" s="2">
        <v>383</v>
      </c>
      <c r="C732" s="30" t="str">
        <f>VLOOKUP(B732,gachas!A:C,3)</f>
        <v>R6解放ピックアップ&lt;ヴィシュヌ、サラスヴァティ&gt;</v>
      </c>
      <c r="D732" s="21">
        <v>1</v>
      </c>
      <c r="E732" s="2">
        <v>0</v>
      </c>
      <c r="F732" s="2">
        <v>1</v>
      </c>
      <c r="G732" s="3" t="s">
        <v>22</v>
      </c>
      <c r="H732" s="2">
        <v>5</v>
      </c>
      <c r="I732" s="114" t="str">
        <f t="shared" ref="I732" si="188">B732&amp;TEXT(D732,"00")&amp;E732</f>
        <v>383010</v>
      </c>
      <c r="J732" s="115" t="s">
        <v>84</v>
      </c>
      <c r="K732" s="2" t="s">
        <v>84</v>
      </c>
      <c r="L732" s="2">
        <v>0</v>
      </c>
      <c r="M732" s="2" t="s">
        <v>84</v>
      </c>
      <c r="N732" s="2" t="s">
        <v>84</v>
      </c>
      <c r="O732" s="2" t="s">
        <v>841</v>
      </c>
      <c r="P732" s="2" t="s">
        <v>84</v>
      </c>
    </row>
    <row r="733" spans="1:16" ht="21" customHeight="1" x14ac:dyDescent="0.15">
      <c r="A733" s="10" t="str">
        <f t="shared" si="187"/>
        <v>383_10_1_10_polygon</v>
      </c>
      <c r="B733" s="2">
        <v>383</v>
      </c>
      <c r="C733" s="30" t="str">
        <f>VLOOKUP(B733,gachas!A:C,3)</f>
        <v>R6解放ピックアップ&lt;ヴィシュヌ、サラスヴァティ&gt;</v>
      </c>
      <c r="D733" s="21">
        <v>10</v>
      </c>
      <c r="E733" s="2">
        <v>1</v>
      </c>
      <c r="F733" s="2">
        <v>10</v>
      </c>
      <c r="G733" s="3" t="s">
        <v>22</v>
      </c>
      <c r="H733" s="2">
        <v>25</v>
      </c>
      <c r="I733" s="114" t="str">
        <f>I734</f>
        <v>383100</v>
      </c>
      <c r="J733" s="112" t="s">
        <v>84</v>
      </c>
      <c r="K733" s="2" t="s">
        <v>84</v>
      </c>
      <c r="L733" s="2">
        <v>0</v>
      </c>
      <c r="M733" s="2" t="s">
        <v>84</v>
      </c>
      <c r="N733" s="2" t="s">
        <v>84</v>
      </c>
      <c r="O733" s="2" t="s">
        <v>841</v>
      </c>
      <c r="P733" s="59" t="s">
        <v>548</v>
      </c>
    </row>
    <row r="734" spans="1:16" ht="21" customHeight="1" x14ac:dyDescent="0.15">
      <c r="A734" s="10" t="str">
        <f t="shared" si="187"/>
        <v>383_10_0_10_polygon</v>
      </c>
      <c r="B734" s="2">
        <v>383</v>
      </c>
      <c r="C734" s="30" t="str">
        <f>VLOOKUP(B734,gachas!A:C,3)</f>
        <v>R6解放ピックアップ&lt;ヴィシュヌ、サラスヴァティ&gt;</v>
      </c>
      <c r="D734" s="21">
        <v>10</v>
      </c>
      <c r="E734" s="2">
        <v>0</v>
      </c>
      <c r="F734" s="2">
        <v>10</v>
      </c>
      <c r="G734" s="3" t="s">
        <v>22</v>
      </c>
      <c r="H734" s="2">
        <v>50</v>
      </c>
      <c r="I734" s="114" t="str">
        <f t="shared" ref="I734" si="189">B734&amp;TEXT(D734,"00")&amp;E734</f>
        <v>383100</v>
      </c>
      <c r="J734" s="112" t="s">
        <v>84</v>
      </c>
      <c r="K734" s="2" t="s">
        <v>84</v>
      </c>
      <c r="L734" s="2">
        <v>0</v>
      </c>
      <c r="M734" s="2" t="s">
        <v>84</v>
      </c>
      <c r="N734" s="2" t="s">
        <v>84</v>
      </c>
      <c r="O734" s="2" t="s">
        <v>841</v>
      </c>
      <c r="P734" s="2" t="s">
        <v>143</v>
      </c>
    </row>
    <row r="735" spans="1:16" ht="21" customHeight="1" x14ac:dyDescent="0.15">
      <c r="A735" s="10" t="str">
        <f t="shared" ref="A735" si="190">B735&amp;"_"&amp;D735&amp;"_"&amp;E735&amp;"_"&amp;F735&amp;"_"&amp;G735</f>
        <v>384_10_1_10_polygon</v>
      </c>
      <c r="B735" s="2">
        <v>384</v>
      </c>
      <c r="C735" s="30" t="str">
        <f>VLOOKUP(B735,gachas!A:C,3)</f>
        <v>サマーセール特集記念ステップアップ</v>
      </c>
      <c r="D735" s="21">
        <v>10</v>
      </c>
      <c r="E735" s="2">
        <v>1</v>
      </c>
      <c r="F735" s="2">
        <v>10</v>
      </c>
      <c r="G735" s="3" t="s">
        <v>22</v>
      </c>
      <c r="H735" s="2">
        <v>25</v>
      </c>
      <c r="I735" s="127" t="s">
        <v>1341</v>
      </c>
      <c r="J735" s="112" t="s">
        <v>84</v>
      </c>
      <c r="K735" s="2" t="s">
        <v>84</v>
      </c>
      <c r="L735" s="2">
        <v>0</v>
      </c>
      <c r="M735" s="2" t="s">
        <v>84</v>
      </c>
      <c r="N735" s="2" t="s">
        <v>84</v>
      </c>
      <c r="O735" s="2" t="s">
        <v>841</v>
      </c>
      <c r="P735" s="2" t="str">
        <f>"tips_stepup384_0" &amp; E735 &amp; ".png"</f>
        <v>tips_stepup384_01.png</v>
      </c>
    </row>
    <row r="736" spans="1:16" ht="21" customHeight="1" x14ac:dyDescent="0.15">
      <c r="A736" s="10" t="str">
        <f t="shared" ref="A736:A737" si="191">B736&amp;"_"&amp;D736&amp;"_"&amp;E736&amp;"_"&amp;F736&amp;"_"&amp;G736</f>
        <v>384_10_2_10_polygon</v>
      </c>
      <c r="B736" s="2">
        <v>384</v>
      </c>
      <c r="C736" s="30" t="str">
        <f>VLOOKUP(B736,gachas!A:C,3)</f>
        <v>サマーセール特集記念ステップアップ</v>
      </c>
      <c r="D736" s="21">
        <v>10</v>
      </c>
      <c r="E736" s="2">
        <v>2</v>
      </c>
      <c r="F736" s="2">
        <v>10</v>
      </c>
      <c r="G736" s="3" t="s">
        <v>22</v>
      </c>
      <c r="H736" s="2">
        <v>50</v>
      </c>
      <c r="I736" s="114" t="str">
        <f t="shared" ref="I736:I742" si="192">I735</f>
        <v>384100</v>
      </c>
      <c r="J736" s="125">
        <v>384102</v>
      </c>
      <c r="K736" s="2" t="s">
        <v>84</v>
      </c>
      <c r="L736" s="2">
        <v>0</v>
      </c>
      <c r="M736" s="2" t="s">
        <v>84</v>
      </c>
      <c r="N736" s="2" t="s">
        <v>84</v>
      </c>
      <c r="O736" s="2" t="s">
        <v>841</v>
      </c>
      <c r="P736" s="2" t="str">
        <f t="shared" ref="P736:P741" si="193">"tips_stepup384_0" &amp; E736 &amp; ".png"</f>
        <v>tips_stepup384_02.png</v>
      </c>
    </row>
    <row r="737" spans="1:16" ht="21" customHeight="1" x14ac:dyDescent="0.15">
      <c r="A737" s="10" t="str">
        <f t="shared" si="191"/>
        <v>384_10_3_10_polygon</v>
      </c>
      <c r="B737" s="2">
        <v>384</v>
      </c>
      <c r="C737" s="30" t="str">
        <f>VLOOKUP(B737,gachas!A:C,3)</f>
        <v>サマーセール特集記念ステップアップ</v>
      </c>
      <c r="D737" s="21">
        <v>10</v>
      </c>
      <c r="E737" s="2">
        <v>3</v>
      </c>
      <c r="F737" s="2">
        <v>10</v>
      </c>
      <c r="G737" s="3" t="s">
        <v>22</v>
      </c>
      <c r="H737" s="2">
        <v>50</v>
      </c>
      <c r="I737" s="114" t="str">
        <f t="shared" si="192"/>
        <v>384100</v>
      </c>
      <c r="J737" s="125">
        <v>384103</v>
      </c>
      <c r="K737" s="2" t="s">
        <v>84</v>
      </c>
      <c r="L737" s="2">
        <v>0</v>
      </c>
      <c r="M737" s="2" t="s">
        <v>84</v>
      </c>
      <c r="N737" s="2" t="s">
        <v>84</v>
      </c>
      <c r="O737" s="2" t="s">
        <v>841</v>
      </c>
      <c r="P737" s="2" t="str">
        <f t="shared" si="193"/>
        <v>tips_stepup384_03.png</v>
      </c>
    </row>
    <row r="738" spans="1:16" ht="21" customHeight="1" x14ac:dyDescent="0.15">
      <c r="A738" s="10" t="str">
        <f t="shared" ref="A738:A740" si="194">B738&amp;"_"&amp;D738&amp;"_"&amp;E738&amp;"_"&amp;F738&amp;"_"&amp;G738</f>
        <v>384_10_4_10_polygon</v>
      </c>
      <c r="B738" s="2">
        <v>384</v>
      </c>
      <c r="C738" s="30" t="str">
        <f>VLOOKUP(B738,gachas!A:C,3)</f>
        <v>サマーセール特集記念ステップアップ</v>
      </c>
      <c r="D738" s="21">
        <v>10</v>
      </c>
      <c r="E738" s="2">
        <v>4</v>
      </c>
      <c r="F738" s="2">
        <v>10</v>
      </c>
      <c r="G738" s="3" t="s">
        <v>22</v>
      </c>
      <c r="H738" s="2">
        <v>50</v>
      </c>
      <c r="I738" s="114" t="str">
        <f t="shared" si="192"/>
        <v>384100</v>
      </c>
      <c r="J738" s="112" t="s">
        <v>84</v>
      </c>
      <c r="K738" s="110" t="s">
        <v>1343</v>
      </c>
      <c r="L738" s="2">
        <v>2</v>
      </c>
      <c r="M738" s="2" t="s">
        <v>84</v>
      </c>
      <c r="N738" s="2" t="s">
        <v>84</v>
      </c>
      <c r="O738" s="2" t="s">
        <v>841</v>
      </c>
      <c r="P738" s="2" t="str">
        <f t="shared" si="193"/>
        <v>tips_stepup384_04.png</v>
      </c>
    </row>
    <row r="739" spans="1:16" ht="21" customHeight="1" x14ac:dyDescent="0.15">
      <c r="A739" s="10" t="str">
        <f t="shared" si="194"/>
        <v>384_10_5_10_polygon</v>
      </c>
      <c r="B739" s="2">
        <v>384</v>
      </c>
      <c r="C739" s="30" t="str">
        <f>VLOOKUP(B739,gachas!A:C,3)</f>
        <v>サマーセール特集記念ステップアップ</v>
      </c>
      <c r="D739" s="21">
        <v>10</v>
      </c>
      <c r="E739" s="2">
        <v>5</v>
      </c>
      <c r="F739" s="2">
        <v>10</v>
      </c>
      <c r="G739" s="3" t="s">
        <v>22</v>
      </c>
      <c r="H739" s="2">
        <v>50</v>
      </c>
      <c r="I739" s="114" t="str">
        <f t="shared" si="192"/>
        <v>384100</v>
      </c>
      <c r="J739" s="125">
        <v>384105</v>
      </c>
      <c r="K739" s="2" t="s">
        <v>84</v>
      </c>
      <c r="L739" s="2">
        <v>0</v>
      </c>
      <c r="M739" s="2" t="s">
        <v>84</v>
      </c>
      <c r="N739" s="2" t="s">
        <v>84</v>
      </c>
      <c r="O739" s="2" t="s">
        <v>841</v>
      </c>
      <c r="P739" s="2" t="str">
        <f t="shared" si="193"/>
        <v>tips_stepup384_05.png</v>
      </c>
    </row>
    <row r="740" spans="1:16" ht="21" customHeight="1" x14ac:dyDescent="0.15">
      <c r="A740" s="10" t="str">
        <f t="shared" si="194"/>
        <v>384_10_6_10_polygon</v>
      </c>
      <c r="B740" s="2">
        <v>384</v>
      </c>
      <c r="C740" s="30" t="str">
        <f>VLOOKUP(B740,gachas!A:C,3)</f>
        <v>サマーセール特集記念ステップアップ</v>
      </c>
      <c r="D740" s="21">
        <v>10</v>
      </c>
      <c r="E740" s="2">
        <v>6</v>
      </c>
      <c r="F740" s="2">
        <v>10</v>
      </c>
      <c r="G740" s="3" t="s">
        <v>22</v>
      </c>
      <c r="H740" s="2">
        <v>50</v>
      </c>
      <c r="I740" s="114" t="str">
        <f t="shared" si="192"/>
        <v>384100</v>
      </c>
      <c r="J740" s="125">
        <v>384106</v>
      </c>
      <c r="K740" s="2" t="s">
        <v>84</v>
      </c>
      <c r="L740" s="2">
        <v>0</v>
      </c>
      <c r="M740" s="2" t="s">
        <v>84</v>
      </c>
      <c r="N740" s="2" t="s">
        <v>84</v>
      </c>
      <c r="O740" s="2" t="s">
        <v>841</v>
      </c>
      <c r="P740" s="2" t="str">
        <f t="shared" si="193"/>
        <v>tips_stepup384_06.png</v>
      </c>
    </row>
    <row r="741" spans="1:16" ht="21" customHeight="1" x14ac:dyDescent="0.15">
      <c r="A741" s="10" t="str">
        <f t="shared" ref="A741" si="195">B741&amp;"_"&amp;D741&amp;"_"&amp;E741&amp;"_"&amp;F741&amp;"_"&amp;G741</f>
        <v>384_10_7_10_polygon</v>
      </c>
      <c r="B741" s="2">
        <v>384</v>
      </c>
      <c r="C741" s="30" t="str">
        <f>VLOOKUP(B741,gachas!A:C,3)</f>
        <v>サマーセール特集記念ステップアップ</v>
      </c>
      <c r="D741" s="21">
        <v>10</v>
      </c>
      <c r="E741" s="2">
        <v>7</v>
      </c>
      <c r="F741" s="2">
        <v>10</v>
      </c>
      <c r="G741" s="3" t="s">
        <v>22</v>
      </c>
      <c r="H741" s="2">
        <v>50</v>
      </c>
      <c r="I741" s="114" t="str">
        <f t="shared" si="192"/>
        <v>384100</v>
      </c>
      <c r="J741" s="112" t="s">
        <v>84</v>
      </c>
      <c r="K741" s="110" t="s">
        <v>1342</v>
      </c>
      <c r="L741" s="2">
        <v>1</v>
      </c>
      <c r="M741" s="2" t="s">
        <v>84</v>
      </c>
      <c r="N741" s="2" t="s">
        <v>84</v>
      </c>
      <c r="O741" s="2" t="s">
        <v>841</v>
      </c>
      <c r="P741" s="2" t="str">
        <f t="shared" si="193"/>
        <v>tips_stepup384_07.png</v>
      </c>
    </row>
    <row r="742" spans="1:16" ht="21" customHeight="1" x14ac:dyDescent="0.15">
      <c r="A742" s="10" t="str">
        <f t="shared" ref="A742:A767" si="196">B742&amp;"_"&amp;D742&amp;"_"&amp;E742&amp;"_"&amp;F742&amp;"_"&amp;G742</f>
        <v>384_10_0_10_polygon</v>
      </c>
      <c r="B742" s="2">
        <v>384</v>
      </c>
      <c r="C742" s="30" t="str">
        <f>VLOOKUP(B742,gachas!A:C,3)</f>
        <v>サマーセール特集記念ステップアップ</v>
      </c>
      <c r="D742" s="21">
        <v>10</v>
      </c>
      <c r="E742" s="2">
        <v>0</v>
      </c>
      <c r="F742" s="2">
        <v>10</v>
      </c>
      <c r="G742" s="3" t="s">
        <v>22</v>
      </c>
      <c r="H742" s="2">
        <v>50</v>
      </c>
      <c r="I742" s="114" t="str">
        <f t="shared" si="192"/>
        <v>384100</v>
      </c>
      <c r="J742" s="112" t="s">
        <v>84</v>
      </c>
      <c r="K742" s="2" t="s">
        <v>84</v>
      </c>
      <c r="L742" s="2">
        <v>0</v>
      </c>
      <c r="M742" s="2" t="s">
        <v>84</v>
      </c>
      <c r="N742" s="2" t="s">
        <v>84</v>
      </c>
      <c r="O742" s="2" t="s">
        <v>841</v>
      </c>
      <c r="P742" s="2" t="s">
        <v>1344</v>
      </c>
    </row>
    <row r="743" spans="1:16" ht="21" customHeight="1" x14ac:dyDescent="0.15">
      <c r="A743" s="10" t="str">
        <f t="shared" si="196"/>
        <v>385_10_1_1_polygon</v>
      </c>
      <c r="B743" s="2">
        <v>385</v>
      </c>
      <c r="C743" s="30" t="str">
        <f>VLOOKUP(B743,gachas!A:C,3)</f>
        <v>進撃コラボ前半</v>
      </c>
      <c r="D743" s="21">
        <v>10</v>
      </c>
      <c r="E743" s="2">
        <v>1</v>
      </c>
      <c r="F743" s="2">
        <v>1</v>
      </c>
      <c r="G743" s="3" t="s">
        <v>22</v>
      </c>
      <c r="H743" s="2">
        <v>1</v>
      </c>
      <c r="I743" s="114" t="str">
        <f>B743&amp;TEXT(D743,"00")&amp;E743</f>
        <v>385101</v>
      </c>
      <c r="J743" s="112" t="s">
        <v>84</v>
      </c>
      <c r="K743" s="2" t="s">
        <v>84</v>
      </c>
      <c r="L743" s="2">
        <v>0</v>
      </c>
      <c r="M743" s="2" t="s">
        <v>84</v>
      </c>
      <c r="N743" s="2" t="s">
        <v>84</v>
      </c>
      <c r="O743" s="2" t="s">
        <v>841</v>
      </c>
      <c r="P743" s="2" t="str">
        <f>P521</f>
        <v>tit_stepup188_01.png</v>
      </c>
    </row>
    <row r="744" spans="1:16" ht="21" customHeight="1" x14ac:dyDescent="0.15">
      <c r="A744" s="10" t="str">
        <f t="shared" si="196"/>
        <v>385_10_2_3_polygon</v>
      </c>
      <c r="B744" s="2">
        <v>385</v>
      </c>
      <c r="C744" s="30" t="str">
        <f>VLOOKUP(B744,gachas!A:C,3)</f>
        <v>進撃コラボ前半</v>
      </c>
      <c r="D744" s="21">
        <v>10</v>
      </c>
      <c r="E744" s="2">
        <v>2</v>
      </c>
      <c r="F744" s="2">
        <v>3</v>
      </c>
      <c r="G744" s="3" t="s">
        <v>22</v>
      </c>
      <c r="H744" s="2">
        <v>9</v>
      </c>
      <c r="I744" s="119" t="str">
        <f>I743</f>
        <v>385101</v>
      </c>
      <c r="J744" s="112" t="s">
        <v>84</v>
      </c>
      <c r="K744" s="2" t="s">
        <v>84</v>
      </c>
      <c r="L744" s="2">
        <v>0</v>
      </c>
      <c r="M744" s="2" t="s">
        <v>84</v>
      </c>
      <c r="N744" s="2" t="s">
        <v>84</v>
      </c>
      <c r="O744" s="2" t="s">
        <v>841</v>
      </c>
      <c r="P744" s="2" t="str">
        <f>P522</f>
        <v>tit_miku_stepup_02.png</v>
      </c>
    </row>
    <row r="745" spans="1:16" ht="21" customHeight="1" x14ac:dyDescent="0.15">
      <c r="A745" s="10" t="str">
        <f t="shared" si="196"/>
        <v>385_10_3_10_polygon</v>
      </c>
      <c r="B745" s="2">
        <v>385</v>
      </c>
      <c r="C745" s="30" t="str">
        <f>VLOOKUP(B745,gachas!A:C,3)</f>
        <v>進撃コラボ前半</v>
      </c>
      <c r="D745" s="21">
        <v>10</v>
      </c>
      <c r="E745" s="2">
        <v>3</v>
      </c>
      <c r="F745" s="2">
        <v>10</v>
      </c>
      <c r="G745" s="3" t="s">
        <v>22</v>
      </c>
      <c r="H745" s="2">
        <v>35</v>
      </c>
      <c r="I745" s="114" t="str">
        <f t="shared" ref="I745:I747" si="197">B745&amp;TEXT(D745,"00")&amp;E745</f>
        <v>385103</v>
      </c>
      <c r="J745" s="125">
        <v>385103</v>
      </c>
      <c r="K745" s="18" t="s">
        <v>1371</v>
      </c>
      <c r="L745" s="2">
        <v>0</v>
      </c>
      <c r="M745" s="2" t="s">
        <v>84</v>
      </c>
      <c r="N745" s="2" t="s">
        <v>84</v>
      </c>
      <c r="O745" s="2" t="s">
        <v>841</v>
      </c>
      <c r="P745" s="2" t="str">
        <f>"tips_stepup385_0" &amp; E745 &amp; ".png"</f>
        <v>tips_stepup385_03.png</v>
      </c>
    </row>
    <row r="746" spans="1:16" ht="21" customHeight="1" x14ac:dyDescent="0.15">
      <c r="A746" s="10" t="str">
        <f t="shared" si="196"/>
        <v>385_10_4_10_polygon</v>
      </c>
      <c r="B746" s="2">
        <v>385</v>
      </c>
      <c r="C746" s="30" t="str">
        <f>VLOOKUP(B746,gachas!A:C,3)</f>
        <v>進撃コラボ前半</v>
      </c>
      <c r="D746" s="21">
        <v>10</v>
      </c>
      <c r="E746" s="2">
        <v>4</v>
      </c>
      <c r="F746" s="2">
        <v>10</v>
      </c>
      <c r="G746" s="3" t="s">
        <v>22</v>
      </c>
      <c r="H746" s="2">
        <v>50</v>
      </c>
      <c r="I746" s="114" t="str">
        <f t="shared" si="197"/>
        <v>385104</v>
      </c>
      <c r="J746" s="112" t="s">
        <v>84</v>
      </c>
      <c r="K746" s="2" t="s">
        <v>84</v>
      </c>
      <c r="L746" s="2">
        <v>0</v>
      </c>
      <c r="M746" s="2" t="s">
        <v>84</v>
      </c>
      <c r="N746" s="2" t="s">
        <v>84</v>
      </c>
      <c r="O746" s="2" t="s">
        <v>841</v>
      </c>
      <c r="P746" s="2" t="str">
        <f t="shared" ref="P746:P749" si="198">"tips_stepup385_0" &amp; E746 &amp; ".png"</f>
        <v>tips_stepup385_04.png</v>
      </c>
    </row>
    <row r="747" spans="1:16" ht="21" customHeight="1" x14ac:dyDescent="0.15">
      <c r="A747" s="10" t="str">
        <f t="shared" si="196"/>
        <v>385_10_5_10_polygon</v>
      </c>
      <c r="B747" s="2">
        <v>385</v>
      </c>
      <c r="C747" s="30" t="str">
        <f>VLOOKUP(B747,gachas!A:C,3)</f>
        <v>進撃コラボ前半</v>
      </c>
      <c r="D747" s="21">
        <v>10</v>
      </c>
      <c r="E747" s="2">
        <v>5</v>
      </c>
      <c r="F747" s="2">
        <v>10</v>
      </c>
      <c r="G747" s="3" t="s">
        <v>22</v>
      </c>
      <c r="H747" s="2">
        <v>50</v>
      </c>
      <c r="I747" s="114" t="str">
        <f t="shared" si="197"/>
        <v>385105</v>
      </c>
      <c r="J747" s="112" t="s">
        <v>84</v>
      </c>
      <c r="K747" s="2" t="s">
        <v>84</v>
      </c>
      <c r="L747" s="2">
        <v>0</v>
      </c>
      <c r="M747" s="2" t="s">
        <v>84</v>
      </c>
      <c r="N747" s="2" t="s">
        <v>84</v>
      </c>
      <c r="O747" s="2" t="s">
        <v>841</v>
      </c>
      <c r="P747" s="2" t="str">
        <f t="shared" si="198"/>
        <v>tips_stepup385_05.png</v>
      </c>
    </row>
    <row r="748" spans="1:16" ht="21" customHeight="1" x14ac:dyDescent="0.15">
      <c r="A748" s="10" t="str">
        <f t="shared" si="196"/>
        <v>385_10_6_10_polygon</v>
      </c>
      <c r="B748" s="2">
        <v>385</v>
      </c>
      <c r="C748" s="30" t="str">
        <f>VLOOKUP(B748,gachas!A:C,3)</f>
        <v>進撃コラボ前半</v>
      </c>
      <c r="D748" s="21">
        <v>10</v>
      </c>
      <c r="E748" s="2">
        <v>6</v>
      </c>
      <c r="F748" s="2">
        <v>10</v>
      </c>
      <c r="G748" s="3" t="s">
        <v>22</v>
      </c>
      <c r="H748" s="2">
        <v>50</v>
      </c>
      <c r="I748" s="127" t="s">
        <v>1347</v>
      </c>
      <c r="J748" s="112" t="s">
        <v>84</v>
      </c>
      <c r="K748" s="2" t="s">
        <v>84</v>
      </c>
      <c r="L748" s="2">
        <v>0</v>
      </c>
      <c r="M748" s="2" t="s">
        <v>84</v>
      </c>
      <c r="N748" s="2" t="s">
        <v>84</v>
      </c>
      <c r="O748" s="2" t="s">
        <v>841</v>
      </c>
      <c r="P748" s="2" t="str">
        <f t="shared" si="198"/>
        <v>tips_stepup385_06.png</v>
      </c>
    </row>
    <row r="749" spans="1:16" ht="21" customHeight="1" x14ac:dyDescent="0.15">
      <c r="A749" s="10" t="str">
        <f t="shared" si="196"/>
        <v>385_10_0_10_polygon</v>
      </c>
      <c r="B749" s="2">
        <v>385</v>
      </c>
      <c r="C749" s="30" t="str">
        <f>VLOOKUP(B749,gachas!A:C,3)</f>
        <v>進撃コラボ前半</v>
      </c>
      <c r="D749" s="21">
        <v>10</v>
      </c>
      <c r="E749" s="2">
        <v>0</v>
      </c>
      <c r="F749" s="2">
        <v>10</v>
      </c>
      <c r="G749" s="3" t="s">
        <v>22</v>
      </c>
      <c r="H749" s="2">
        <v>50</v>
      </c>
      <c r="I749" s="114" t="str">
        <f t="shared" ref="I749" si="199">B749&amp;TEXT(D749,"00")&amp;E749</f>
        <v>385100</v>
      </c>
      <c r="J749" s="112" t="s">
        <v>84</v>
      </c>
      <c r="K749" s="2" t="s">
        <v>84</v>
      </c>
      <c r="L749" s="2">
        <v>0</v>
      </c>
      <c r="M749" s="2" t="s">
        <v>84</v>
      </c>
      <c r="N749" s="2" t="s">
        <v>84</v>
      </c>
      <c r="O749" s="2" t="s">
        <v>841</v>
      </c>
      <c r="P749" s="2" t="str">
        <f t="shared" si="198"/>
        <v>tips_stepup385_00.png</v>
      </c>
    </row>
    <row r="750" spans="1:16" ht="21" customHeight="1" x14ac:dyDescent="0.15">
      <c r="A750" s="10" t="str">
        <f t="shared" si="196"/>
        <v>386_1_0_1_polygon</v>
      </c>
      <c r="B750" s="2">
        <v>386</v>
      </c>
      <c r="C750" s="30" t="str">
        <f>VLOOKUP(B750,gachas!A:C,3)</f>
        <v>進撃コラボ後半</v>
      </c>
      <c r="D750" s="21">
        <v>1</v>
      </c>
      <c r="E750" s="2">
        <v>0</v>
      </c>
      <c r="F750" s="2">
        <v>1</v>
      </c>
      <c r="G750" s="3" t="s">
        <v>22</v>
      </c>
      <c r="H750" s="2">
        <v>5</v>
      </c>
      <c r="I750" s="114" t="str">
        <f>B750&amp;TEXT(D750,"00")&amp;E750</f>
        <v>386010</v>
      </c>
      <c r="J750" s="112" t="s">
        <v>84</v>
      </c>
      <c r="K750" s="109" t="s">
        <v>257</v>
      </c>
      <c r="L750" s="2">
        <v>0</v>
      </c>
      <c r="M750" s="2" t="s">
        <v>84</v>
      </c>
      <c r="N750" s="2" t="s">
        <v>84</v>
      </c>
      <c r="O750" s="2" t="s">
        <v>841</v>
      </c>
      <c r="P750" s="59" t="s">
        <v>257</v>
      </c>
    </row>
    <row r="751" spans="1:16" ht="21" customHeight="1" x14ac:dyDescent="0.15">
      <c r="A751" s="10" t="str">
        <f t="shared" si="196"/>
        <v>386_10_0_10_polygon</v>
      </c>
      <c r="B751" s="2">
        <v>386</v>
      </c>
      <c r="C751" s="30" t="str">
        <f>VLOOKUP(B751,gachas!A:C,3)</f>
        <v>進撃コラボ後半</v>
      </c>
      <c r="D751" s="21">
        <v>10</v>
      </c>
      <c r="E751" s="2">
        <v>0</v>
      </c>
      <c r="F751" s="2">
        <v>10</v>
      </c>
      <c r="G751" s="3" t="s">
        <v>22</v>
      </c>
      <c r="H751" s="2">
        <v>50</v>
      </c>
      <c r="I751" s="117" t="str">
        <f t="shared" ref="I751" si="200">B751&amp;TEXT(D751,"00")&amp;E751</f>
        <v>386100</v>
      </c>
      <c r="J751" s="112" t="s">
        <v>84</v>
      </c>
      <c r="K751" s="106" t="s">
        <v>1353</v>
      </c>
      <c r="L751" s="2">
        <v>0</v>
      </c>
      <c r="M751" s="2" t="s">
        <v>84</v>
      </c>
      <c r="N751" s="2" t="s">
        <v>84</v>
      </c>
      <c r="O751" s="2" t="s">
        <v>841</v>
      </c>
      <c r="P751" s="2" t="s">
        <v>1352</v>
      </c>
    </row>
    <row r="752" spans="1:16" ht="21" customHeight="1" x14ac:dyDescent="0.15">
      <c r="A752" s="10" t="str">
        <f t="shared" si="196"/>
        <v>387_1_0_1_polygon</v>
      </c>
      <c r="B752" s="2">
        <v>387</v>
      </c>
      <c r="C752" s="30" t="str">
        <f>VLOOKUP(B752,gachas!A:C,3)</f>
        <v>R6解放ピックアップ&lt;ハヅル、イナバ&gt;</v>
      </c>
      <c r="D752" s="21">
        <v>1</v>
      </c>
      <c r="E752" s="2">
        <v>0</v>
      </c>
      <c r="F752" s="2">
        <v>1</v>
      </c>
      <c r="G752" s="3" t="s">
        <v>22</v>
      </c>
      <c r="H752" s="2">
        <v>5</v>
      </c>
      <c r="I752" s="114" t="str">
        <f>B752&amp;TEXT(D752,"00")&amp;E752</f>
        <v>387010</v>
      </c>
      <c r="J752" s="115" t="s">
        <v>84</v>
      </c>
      <c r="K752" s="2" t="s">
        <v>84</v>
      </c>
      <c r="L752" s="2">
        <v>0</v>
      </c>
      <c r="M752" s="2" t="s">
        <v>84</v>
      </c>
      <c r="N752" s="2" t="s">
        <v>84</v>
      </c>
      <c r="O752" s="2" t="s">
        <v>841</v>
      </c>
      <c r="P752" s="2" t="s">
        <v>84</v>
      </c>
    </row>
    <row r="753" spans="1:16" ht="21" customHeight="1" x14ac:dyDescent="0.15">
      <c r="A753" s="10" t="str">
        <f t="shared" si="196"/>
        <v>387_10_1_10_polygon</v>
      </c>
      <c r="B753" s="2">
        <v>387</v>
      </c>
      <c r="C753" s="30" t="str">
        <f>VLOOKUP(B753,gachas!A:C,3)</f>
        <v>R6解放ピックアップ&lt;ハヅル、イナバ&gt;</v>
      </c>
      <c r="D753" s="21">
        <v>10</v>
      </c>
      <c r="E753" s="2">
        <v>1</v>
      </c>
      <c r="F753" s="2">
        <v>10</v>
      </c>
      <c r="G753" s="3" t="s">
        <v>22</v>
      </c>
      <c r="H753" s="2">
        <v>25</v>
      </c>
      <c r="I753" s="114" t="str">
        <f>I754</f>
        <v>387100</v>
      </c>
      <c r="J753" s="112" t="s">
        <v>84</v>
      </c>
      <c r="K753" s="2" t="s">
        <v>84</v>
      </c>
      <c r="L753" s="2">
        <v>0</v>
      </c>
      <c r="M753" s="2" t="s">
        <v>84</v>
      </c>
      <c r="N753" s="2" t="s">
        <v>84</v>
      </c>
      <c r="O753" s="2" t="s">
        <v>841</v>
      </c>
      <c r="P753" s="59" t="s">
        <v>548</v>
      </c>
    </row>
    <row r="754" spans="1:16" ht="21" customHeight="1" x14ac:dyDescent="0.15">
      <c r="A754" s="10" t="str">
        <f t="shared" si="196"/>
        <v>387_10_0_10_polygon</v>
      </c>
      <c r="B754" s="2">
        <v>387</v>
      </c>
      <c r="C754" s="30" t="str">
        <f>VLOOKUP(B754,gachas!A:C,3)</f>
        <v>R6解放ピックアップ&lt;ハヅル、イナバ&gt;</v>
      </c>
      <c r="D754" s="21">
        <v>10</v>
      </c>
      <c r="E754" s="2">
        <v>0</v>
      </c>
      <c r="F754" s="2">
        <v>10</v>
      </c>
      <c r="G754" s="3" t="s">
        <v>22</v>
      </c>
      <c r="H754" s="2">
        <v>50</v>
      </c>
      <c r="I754" s="114" t="str">
        <f t="shared" ref="I754" si="201">B754&amp;TEXT(D754,"00")&amp;E754</f>
        <v>387100</v>
      </c>
      <c r="J754" s="112" t="s">
        <v>84</v>
      </c>
      <c r="K754" s="2" t="s">
        <v>84</v>
      </c>
      <c r="L754" s="2">
        <v>0</v>
      </c>
      <c r="M754" s="2" t="s">
        <v>84</v>
      </c>
      <c r="N754" s="2" t="s">
        <v>84</v>
      </c>
      <c r="O754" s="2" t="s">
        <v>841</v>
      </c>
      <c r="P754" s="2" t="s">
        <v>143</v>
      </c>
    </row>
    <row r="755" spans="1:16" ht="21" customHeight="1" x14ac:dyDescent="0.15">
      <c r="A755" s="10" t="str">
        <f t="shared" si="196"/>
        <v>388_10_1_1_polygon</v>
      </c>
      <c r="B755" s="2">
        <v>388</v>
      </c>
      <c r="C755" s="30" t="str">
        <f>VLOOKUP(B755,gachas!A:C,3)</f>
        <v>ランキング対抗&lt;ド・モルガン&gt;</v>
      </c>
      <c r="D755" s="21">
        <v>10</v>
      </c>
      <c r="E755" s="2">
        <v>1</v>
      </c>
      <c r="F755" s="2">
        <v>1</v>
      </c>
      <c r="G755" s="3" t="s">
        <v>22</v>
      </c>
      <c r="H755" s="2">
        <v>1</v>
      </c>
      <c r="I755" s="114" t="str">
        <f>B755&amp;TEXT(D755,"00")&amp;E755</f>
        <v>388101</v>
      </c>
      <c r="J755" s="112" t="s">
        <v>84</v>
      </c>
      <c r="K755" s="2" t="s">
        <v>84</v>
      </c>
      <c r="L755" s="2">
        <v>0</v>
      </c>
      <c r="M755" s="2" t="s">
        <v>84</v>
      </c>
      <c r="N755" s="2" t="s">
        <v>84</v>
      </c>
      <c r="O755" s="2" t="s">
        <v>841</v>
      </c>
      <c r="P755" s="2" t="s">
        <v>1278</v>
      </c>
    </row>
    <row r="756" spans="1:16" ht="21" customHeight="1" x14ac:dyDescent="0.15">
      <c r="A756" s="10" t="str">
        <f t="shared" si="196"/>
        <v>388_10_2_3_polygon</v>
      </c>
      <c r="B756" s="2">
        <v>388</v>
      </c>
      <c r="C756" s="30" t="str">
        <f>VLOOKUP(B756,gachas!A:C,3)</f>
        <v>ランキング対抗&lt;ド・モルガン&gt;</v>
      </c>
      <c r="D756" s="21">
        <v>10</v>
      </c>
      <c r="E756" s="2">
        <v>2</v>
      </c>
      <c r="F756" s="2">
        <v>3</v>
      </c>
      <c r="G756" s="3" t="s">
        <v>22</v>
      </c>
      <c r="H756" s="2">
        <v>9</v>
      </c>
      <c r="I756" s="114" t="str">
        <f>I755</f>
        <v>388101</v>
      </c>
      <c r="J756" s="112" t="s">
        <v>84</v>
      </c>
      <c r="K756" s="2" t="s">
        <v>84</v>
      </c>
      <c r="L756" s="2">
        <v>0</v>
      </c>
      <c r="M756" s="2" t="s">
        <v>84</v>
      </c>
      <c r="N756" s="2" t="s">
        <v>84</v>
      </c>
      <c r="O756" s="2" t="s">
        <v>841</v>
      </c>
      <c r="P756" s="2" t="s">
        <v>1273</v>
      </c>
    </row>
    <row r="757" spans="1:16" ht="21" customHeight="1" x14ac:dyDescent="0.15">
      <c r="A757" s="10" t="str">
        <f t="shared" si="196"/>
        <v>388_10_3_10_polygon</v>
      </c>
      <c r="B757" s="2">
        <v>388</v>
      </c>
      <c r="C757" s="30" t="str">
        <f>VLOOKUP(B757,gachas!A:C,3)</f>
        <v>ランキング対抗&lt;ド・モルガン&gt;</v>
      </c>
      <c r="D757" s="21">
        <v>10</v>
      </c>
      <c r="E757" s="2">
        <v>3</v>
      </c>
      <c r="F757" s="2">
        <v>10</v>
      </c>
      <c r="G757" s="3" t="s">
        <v>22</v>
      </c>
      <c r="H757" s="2">
        <v>35</v>
      </c>
      <c r="I757" s="114" t="str">
        <f t="shared" ref="I757:I759" si="202">B757&amp;TEXT(D757,"00")&amp;E757</f>
        <v>388103</v>
      </c>
      <c r="J757" s="112" t="s">
        <v>84</v>
      </c>
      <c r="K757" s="18" t="str">
        <f>I757</f>
        <v>388103</v>
      </c>
      <c r="L757" s="2">
        <v>1</v>
      </c>
      <c r="M757" s="2" t="s">
        <v>84</v>
      </c>
      <c r="N757" s="2" t="s">
        <v>84</v>
      </c>
      <c r="O757" s="2" t="s">
        <v>841</v>
      </c>
      <c r="P757" s="2" t="s">
        <v>1392</v>
      </c>
    </row>
    <row r="758" spans="1:16" ht="21" customHeight="1" x14ac:dyDescent="0.15">
      <c r="A758" s="10" t="str">
        <f t="shared" si="196"/>
        <v>388_10_4_10_polygon</v>
      </c>
      <c r="B758" s="2">
        <v>388</v>
      </c>
      <c r="C758" s="30" t="str">
        <f>VLOOKUP(B758,gachas!A:C,3)</f>
        <v>ランキング対抗&lt;ド・モルガン&gt;</v>
      </c>
      <c r="D758" s="21">
        <v>10</v>
      </c>
      <c r="E758" s="2">
        <v>4</v>
      </c>
      <c r="F758" s="2">
        <v>10</v>
      </c>
      <c r="G758" s="3" t="s">
        <v>22</v>
      </c>
      <c r="H758" s="2">
        <v>50</v>
      </c>
      <c r="I758" s="114" t="str">
        <f t="shared" si="202"/>
        <v>388104</v>
      </c>
      <c r="J758" s="128" t="str">
        <f>I758</f>
        <v>388104</v>
      </c>
      <c r="K758" s="2" t="s">
        <v>84</v>
      </c>
      <c r="L758" s="2">
        <v>0</v>
      </c>
      <c r="M758" s="2" t="s">
        <v>84</v>
      </c>
      <c r="N758" s="2" t="s">
        <v>84</v>
      </c>
      <c r="O758" s="2" t="s">
        <v>841</v>
      </c>
      <c r="P758" s="2" t="s">
        <v>1393</v>
      </c>
    </row>
    <row r="759" spans="1:16" ht="21" customHeight="1" x14ac:dyDescent="0.15">
      <c r="A759" s="10" t="str">
        <f t="shared" si="196"/>
        <v>388_10_5_10_polygon</v>
      </c>
      <c r="B759" s="2">
        <v>388</v>
      </c>
      <c r="C759" s="30" t="str">
        <f>VLOOKUP(B759,gachas!A:C,3)</f>
        <v>ランキング対抗&lt;ド・モルガン&gt;</v>
      </c>
      <c r="D759" s="21">
        <v>10</v>
      </c>
      <c r="E759" s="2">
        <v>5</v>
      </c>
      <c r="F759" s="2">
        <v>10</v>
      </c>
      <c r="G759" s="3" t="s">
        <v>22</v>
      </c>
      <c r="H759" s="2">
        <v>50</v>
      </c>
      <c r="I759" s="114" t="str">
        <f t="shared" si="202"/>
        <v>388105</v>
      </c>
      <c r="J759" s="128" t="str">
        <f>I759</f>
        <v>388105</v>
      </c>
      <c r="K759" s="2" t="s">
        <v>84</v>
      </c>
      <c r="L759" s="2">
        <v>0</v>
      </c>
      <c r="M759" s="2" t="s">
        <v>84</v>
      </c>
      <c r="N759" s="2" t="s">
        <v>84</v>
      </c>
      <c r="O759" s="2" t="s">
        <v>841</v>
      </c>
      <c r="P759" s="2" t="s">
        <v>1394</v>
      </c>
    </row>
    <row r="760" spans="1:16" ht="21" customHeight="1" x14ac:dyDescent="0.15">
      <c r="A760" s="10" t="str">
        <f t="shared" si="196"/>
        <v>388_10_6_10_polygon</v>
      </c>
      <c r="B760" s="2">
        <v>388</v>
      </c>
      <c r="C760" s="30" t="str">
        <f>VLOOKUP(B760,gachas!A:C,3)</f>
        <v>ランキング対抗&lt;ド・モルガン&gt;</v>
      </c>
      <c r="D760" s="21">
        <v>10</v>
      </c>
      <c r="E760" s="2">
        <v>6</v>
      </c>
      <c r="F760" s="2">
        <v>10</v>
      </c>
      <c r="G760" s="3" t="s">
        <v>22</v>
      </c>
      <c r="H760" s="2">
        <v>50</v>
      </c>
      <c r="I760" s="126" t="str">
        <f>I761</f>
        <v>388100</v>
      </c>
      <c r="J760" s="112" t="s">
        <v>84</v>
      </c>
      <c r="K760" s="2" t="s">
        <v>84</v>
      </c>
      <c r="L760" s="2">
        <v>0</v>
      </c>
      <c r="M760" s="2" t="s">
        <v>84</v>
      </c>
      <c r="N760" s="2" t="s">
        <v>84</v>
      </c>
      <c r="O760" s="2" t="s">
        <v>841</v>
      </c>
      <c r="P760" s="2" t="s">
        <v>1395</v>
      </c>
    </row>
    <row r="761" spans="1:16" ht="21" customHeight="1" x14ac:dyDescent="0.15">
      <c r="A761" s="10" t="str">
        <f t="shared" si="196"/>
        <v>388_10_0_10_polygon</v>
      </c>
      <c r="B761" s="2">
        <v>388</v>
      </c>
      <c r="C761" s="30" t="str">
        <f>VLOOKUP(B761,gachas!A:C,3)</f>
        <v>ランキング対抗&lt;ド・モルガン&gt;</v>
      </c>
      <c r="D761" s="21">
        <v>10</v>
      </c>
      <c r="E761" s="2">
        <v>0</v>
      </c>
      <c r="F761" s="2">
        <v>10</v>
      </c>
      <c r="G761" s="3" t="s">
        <v>22</v>
      </c>
      <c r="H761" s="2">
        <v>50</v>
      </c>
      <c r="I761" s="114" t="str">
        <f t="shared" ref="I761:I763" si="203">B761&amp;TEXT(D761,"00")&amp;E761</f>
        <v>388100</v>
      </c>
      <c r="J761" s="112" t="s">
        <v>84</v>
      </c>
      <c r="K761" s="2" t="s">
        <v>84</v>
      </c>
      <c r="L761" s="2">
        <v>0</v>
      </c>
      <c r="M761" s="2" t="s">
        <v>84</v>
      </c>
      <c r="N761" s="2" t="s">
        <v>84</v>
      </c>
      <c r="O761" s="2" t="s">
        <v>841</v>
      </c>
      <c r="P761" s="2" t="s">
        <v>1396</v>
      </c>
    </row>
    <row r="762" spans="1:16" ht="21" customHeight="1" x14ac:dyDescent="0.15">
      <c r="A762" s="10" t="str">
        <f t="shared" si="196"/>
        <v>389_1_0_1_polygon</v>
      </c>
      <c r="B762" s="2">
        <v>389</v>
      </c>
      <c r="C762" s="30" t="str">
        <f>VLOOKUP(B762,gachas!A:C,3)</f>
        <v>Wカラーフェス&lt;青、黄&gt;</v>
      </c>
      <c r="D762" s="21">
        <v>1</v>
      </c>
      <c r="E762" s="2">
        <v>0</v>
      </c>
      <c r="F762" s="2">
        <v>1</v>
      </c>
      <c r="G762" s="3" t="s">
        <v>22</v>
      </c>
      <c r="H762" s="2">
        <v>5</v>
      </c>
      <c r="I762" s="114" t="str">
        <f t="shared" si="203"/>
        <v>389010</v>
      </c>
      <c r="J762" s="112" t="s">
        <v>84</v>
      </c>
      <c r="K762" s="2" t="s">
        <v>84</v>
      </c>
      <c r="L762" s="2">
        <v>0</v>
      </c>
      <c r="M762" s="2" t="s">
        <v>84</v>
      </c>
      <c r="N762" s="2" t="s">
        <v>84</v>
      </c>
      <c r="O762" s="2" t="s">
        <v>841</v>
      </c>
      <c r="P762" s="2" t="s">
        <v>84</v>
      </c>
    </row>
    <row r="763" spans="1:16" ht="21" customHeight="1" x14ac:dyDescent="0.15">
      <c r="A763" s="10" t="str">
        <f t="shared" si="196"/>
        <v>389_10_0_10_polygon</v>
      </c>
      <c r="B763" s="2">
        <v>389</v>
      </c>
      <c r="C763" s="30" t="str">
        <f>VLOOKUP(B763,gachas!A:C,3)</f>
        <v>Wカラーフェス&lt;青、黄&gt;</v>
      </c>
      <c r="D763" s="21">
        <v>10</v>
      </c>
      <c r="E763" s="2">
        <v>0</v>
      </c>
      <c r="F763" s="2">
        <v>10</v>
      </c>
      <c r="G763" s="3" t="s">
        <v>22</v>
      </c>
      <c r="H763" s="2">
        <v>50</v>
      </c>
      <c r="I763" s="114" t="str">
        <f t="shared" si="203"/>
        <v>389100</v>
      </c>
      <c r="J763" s="112" t="s">
        <v>84</v>
      </c>
      <c r="K763" s="2">
        <v>389100</v>
      </c>
      <c r="L763" s="2">
        <v>1</v>
      </c>
      <c r="M763" s="2" t="s">
        <v>84</v>
      </c>
      <c r="N763" s="2" t="s">
        <v>84</v>
      </c>
      <c r="O763" s="2" t="s">
        <v>841</v>
      </c>
      <c r="P763" s="2" t="s">
        <v>1094</v>
      </c>
    </row>
    <row r="764" spans="1:16" ht="21" customHeight="1" x14ac:dyDescent="0.15">
      <c r="A764" s="10" t="str">
        <f t="shared" si="196"/>
        <v>390_1_0_1_polygon</v>
      </c>
      <c r="B764" s="2">
        <v>390</v>
      </c>
      <c r="C764" s="30" t="str">
        <f>VLOOKUP(B764,gachas!A:C,3)</f>
        <v>平安ガチャ</v>
      </c>
      <c r="D764" s="21">
        <v>1</v>
      </c>
      <c r="E764" s="2">
        <v>0</v>
      </c>
      <c r="F764" s="2">
        <v>1</v>
      </c>
      <c r="G764" s="3" t="s">
        <v>22</v>
      </c>
      <c r="H764" s="2">
        <v>5</v>
      </c>
      <c r="I764" s="114" t="str">
        <f>B764&amp;TEXT(D764,"00")&amp;E764</f>
        <v>390010</v>
      </c>
      <c r="J764" s="112" t="s">
        <v>84</v>
      </c>
      <c r="K764" s="109" t="s">
        <v>257</v>
      </c>
      <c r="L764" s="2">
        <v>0</v>
      </c>
      <c r="M764" s="2" t="s">
        <v>84</v>
      </c>
      <c r="N764" s="2" t="s">
        <v>84</v>
      </c>
      <c r="O764" s="2" t="s">
        <v>841</v>
      </c>
      <c r="P764" s="59" t="s">
        <v>257</v>
      </c>
    </row>
    <row r="765" spans="1:16" ht="21" customHeight="1" x14ac:dyDescent="0.15">
      <c r="A765" s="10" t="str">
        <f t="shared" si="196"/>
        <v>390_10_1_10_polygon</v>
      </c>
      <c r="B765" s="2">
        <v>390</v>
      </c>
      <c r="C765" s="30" t="str">
        <f>VLOOKUP(B765,gachas!A:C,3)</f>
        <v>平安ガチャ</v>
      </c>
      <c r="D765" s="21">
        <v>10</v>
      </c>
      <c r="E765" s="2">
        <v>1</v>
      </c>
      <c r="F765" s="2">
        <v>10</v>
      </c>
      <c r="G765" s="3" t="s">
        <v>22</v>
      </c>
      <c r="H765" s="2">
        <v>25</v>
      </c>
      <c r="I765" s="117" t="str">
        <f>I766</f>
        <v>390100</v>
      </c>
      <c r="J765" s="112" t="s">
        <v>84</v>
      </c>
      <c r="K765" s="106" t="str">
        <f>I765</f>
        <v>390100</v>
      </c>
      <c r="L765" s="2">
        <v>1</v>
      </c>
      <c r="M765" s="2" t="s">
        <v>84</v>
      </c>
      <c r="N765" s="2" t="s">
        <v>84</v>
      </c>
      <c r="O765" s="2" t="s">
        <v>841</v>
      </c>
      <c r="P765" s="59" t="s">
        <v>548</v>
      </c>
    </row>
    <row r="766" spans="1:16" ht="21" customHeight="1" x14ac:dyDescent="0.15">
      <c r="A766" s="10" t="str">
        <f t="shared" si="196"/>
        <v>390_10_0_10_polygon</v>
      </c>
      <c r="B766" s="2">
        <v>390</v>
      </c>
      <c r="C766" s="30" t="str">
        <f>VLOOKUP(B766,gachas!A:C,3)</f>
        <v>平安ガチャ</v>
      </c>
      <c r="D766" s="21">
        <v>10</v>
      </c>
      <c r="E766" s="2">
        <v>0</v>
      </c>
      <c r="F766" s="2">
        <v>10</v>
      </c>
      <c r="G766" s="3" t="s">
        <v>22</v>
      </c>
      <c r="H766" s="2">
        <v>50</v>
      </c>
      <c r="I766" s="117" t="str">
        <f t="shared" ref="I766" si="204">B766&amp;TEXT(D766,"00")&amp;E766</f>
        <v>390100</v>
      </c>
      <c r="J766" s="112" t="s">
        <v>84</v>
      </c>
      <c r="K766" s="106" t="str">
        <f>I766</f>
        <v>390100</v>
      </c>
      <c r="L766" s="2">
        <v>1</v>
      </c>
      <c r="M766" s="2" t="s">
        <v>84</v>
      </c>
      <c r="N766" s="2" t="s">
        <v>84</v>
      </c>
      <c r="O766" s="2" t="s">
        <v>841</v>
      </c>
      <c r="P766" s="2" t="s">
        <v>288</v>
      </c>
    </row>
    <row r="767" spans="1:16" ht="21" customHeight="1" x14ac:dyDescent="0.15">
      <c r="A767" s="10" t="str">
        <f t="shared" si="196"/>
        <v>391_1_1_1_polygon</v>
      </c>
      <c r="B767" s="2">
        <v>391</v>
      </c>
      <c r="C767" s="30" t="str">
        <f>VLOOKUP(B767,gachas!A:C,3)</f>
        <v>レアガチャ（平安in）</v>
      </c>
      <c r="D767" s="21">
        <v>1</v>
      </c>
      <c r="E767" s="2">
        <v>1</v>
      </c>
      <c r="F767" s="2">
        <v>1</v>
      </c>
      <c r="G767" s="3" t="s">
        <v>22</v>
      </c>
      <c r="H767" s="2">
        <v>5</v>
      </c>
      <c r="I767" s="117" t="str">
        <f>I769</f>
        <v>391100</v>
      </c>
      <c r="J767" s="112" t="s">
        <v>84</v>
      </c>
      <c r="K767" s="2" t="s">
        <v>84</v>
      </c>
      <c r="L767" s="2">
        <v>0</v>
      </c>
      <c r="M767" s="2" t="s">
        <v>84</v>
      </c>
      <c r="N767" s="2" t="s">
        <v>84</v>
      </c>
      <c r="O767" s="2" t="s">
        <v>841</v>
      </c>
      <c r="P767" s="2" t="s">
        <v>142</v>
      </c>
    </row>
    <row r="768" spans="1:16" ht="21" customHeight="1" x14ac:dyDescent="0.15">
      <c r="A768" s="10" t="str">
        <f t="shared" ref="A768:A781" si="205">B768&amp;"_"&amp;D768&amp;"_"&amp;E768&amp;"_"&amp;F768&amp;"_"&amp;G768</f>
        <v>391_1_0_1_polygon</v>
      </c>
      <c r="B768" s="2">
        <v>391</v>
      </c>
      <c r="C768" s="30" t="str">
        <f>VLOOKUP(B768,gachas!A:C,3)</f>
        <v>レアガチャ（平安in）</v>
      </c>
      <c r="D768" s="21">
        <v>1</v>
      </c>
      <c r="E768" s="2">
        <v>0</v>
      </c>
      <c r="F768" s="2">
        <v>1</v>
      </c>
      <c r="G768" s="3" t="s">
        <v>22</v>
      </c>
      <c r="H768" s="2">
        <v>5</v>
      </c>
      <c r="I768" s="117" t="str">
        <f t="shared" ref="I768" si="206">B768&amp;TEXT(D768,"00")&amp;E768</f>
        <v>391010</v>
      </c>
      <c r="J768" s="112" t="s">
        <v>84</v>
      </c>
      <c r="K768" s="2" t="s">
        <v>84</v>
      </c>
      <c r="L768" s="2">
        <v>0</v>
      </c>
      <c r="M768" s="2" t="s">
        <v>84</v>
      </c>
      <c r="N768" s="2" t="s">
        <v>84</v>
      </c>
      <c r="O768" s="2" t="s">
        <v>841</v>
      </c>
      <c r="P768" s="2" t="s">
        <v>84</v>
      </c>
    </row>
    <row r="769" spans="1:16" ht="21" customHeight="1" x14ac:dyDescent="0.15">
      <c r="A769" s="10" t="str">
        <f t="shared" si="205"/>
        <v>391_10_0_10_polygon</v>
      </c>
      <c r="B769" s="2">
        <v>391</v>
      </c>
      <c r="C769" s="30" t="str">
        <f>VLOOKUP(B769,gachas!A:C,3)</f>
        <v>レアガチャ（平安in）</v>
      </c>
      <c r="D769" s="21">
        <v>10</v>
      </c>
      <c r="E769" s="2">
        <v>0</v>
      </c>
      <c r="F769" s="2">
        <v>10</v>
      </c>
      <c r="G769" s="3" t="s">
        <v>22</v>
      </c>
      <c r="H769" s="2">
        <v>50</v>
      </c>
      <c r="I769" s="117" t="str">
        <f>B769&amp;TEXT(D769,"00")&amp;E769</f>
        <v>391100</v>
      </c>
      <c r="J769" s="112" t="s">
        <v>84</v>
      </c>
      <c r="K769" s="2" t="s">
        <v>84</v>
      </c>
      <c r="L769" s="2">
        <v>0</v>
      </c>
      <c r="M769" s="2" t="s">
        <v>84</v>
      </c>
      <c r="N769" s="2" t="s">
        <v>84</v>
      </c>
      <c r="O769" s="2" t="s">
        <v>841</v>
      </c>
      <c r="P769" s="2" t="s">
        <v>143</v>
      </c>
    </row>
    <row r="770" spans="1:16" ht="21" customHeight="1" x14ac:dyDescent="0.15">
      <c r="A770" s="10" t="str">
        <f t="shared" ref="A770:A771" si="207">B770&amp;"_"&amp;D770&amp;"_"&amp;E770&amp;"_"&amp;F770&amp;"_"&amp;G770</f>
        <v>392_1_0_1_polygon</v>
      </c>
      <c r="B770" s="2">
        <v>392</v>
      </c>
      <c r="C770" s="30" t="str">
        <f>VLOOKUP(B770,gachas!A:C,3)</f>
        <v>復刻ピックアップ&lt;円卓&gt;</v>
      </c>
      <c r="D770" s="21">
        <v>1</v>
      </c>
      <c r="E770" s="2">
        <v>0</v>
      </c>
      <c r="F770" s="2">
        <v>1</v>
      </c>
      <c r="G770" s="3" t="s">
        <v>22</v>
      </c>
      <c r="H770" s="2">
        <v>5</v>
      </c>
      <c r="I770" s="117" t="str">
        <f t="shared" ref="I770:I771" si="208">B770&amp;TEXT(D770,"00")&amp;E770</f>
        <v>392010</v>
      </c>
      <c r="J770" s="112" t="s">
        <v>84</v>
      </c>
      <c r="K770" s="2" t="s">
        <v>84</v>
      </c>
      <c r="L770" s="2">
        <v>0</v>
      </c>
      <c r="M770" s="2" t="s">
        <v>84</v>
      </c>
      <c r="N770" s="2" t="s">
        <v>84</v>
      </c>
      <c r="O770" s="2" t="s">
        <v>841</v>
      </c>
      <c r="P770" s="2" t="s">
        <v>1431</v>
      </c>
    </row>
    <row r="771" spans="1:16" ht="21" customHeight="1" x14ac:dyDescent="0.15">
      <c r="A771" s="10" t="str">
        <f t="shared" si="207"/>
        <v>392_10_0_10_polygon</v>
      </c>
      <c r="B771" s="2">
        <v>392</v>
      </c>
      <c r="C771" s="30" t="str">
        <f>VLOOKUP(B771,gachas!A:C,3)</f>
        <v>復刻ピックアップ&lt;円卓&gt;</v>
      </c>
      <c r="D771" s="21">
        <v>10</v>
      </c>
      <c r="E771" s="2">
        <v>0</v>
      </c>
      <c r="F771" s="2">
        <v>10</v>
      </c>
      <c r="G771" s="3" t="s">
        <v>22</v>
      </c>
      <c r="H771" s="2">
        <v>50</v>
      </c>
      <c r="I771" s="117" t="str">
        <f t="shared" si="208"/>
        <v>392100</v>
      </c>
      <c r="J771" s="112" t="s">
        <v>84</v>
      </c>
      <c r="K771" s="2">
        <v>392100</v>
      </c>
      <c r="L771" s="2">
        <v>1</v>
      </c>
      <c r="M771" s="2" t="s">
        <v>84</v>
      </c>
      <c r="N771" s="2" t="s">
        <v>84</v>
      </c>
      <c r="O771" s="2" t="s">
        <v>841</v>
      </c>
      <c r="P771" s="2" t="s">
        <v>1461</v>
      </c>
    </row>
    <row r="772" spans="1:16" ht="21" customHeight="1" x14ac:dyDescent="0.15">
      <c r="A772" s="10" t="str">
        <f t="shared" si="205"/>
        <v>393_1_0_1_polygon</v>
      </c>
      <c r="B772" s="2">
        <v>393</v>
      </c>
      <c r="C772" s="30" t="str">
        <f>VLOOKUP(B772,gachas!A:C,3)</f>
        <v>8月フィーバーフェス</v>
      </c>
      <c r="D772" s="21">
        <v>1</v>
      </c>
      <c r="E772" s="2">
        <v>0</v>
      </c>
      <c r="F772" s="2">
        <v>1</v>
      </c>
      <c r="G772" s="3" t="s">
        <v>22</v>
      </c>
      <c r="H772" s="2">
        <v>5</v>
      </c>
      <c r="I772" s="119" t="str">
        <f>I773</f>
        <v>393100</v>
      </c>
      <c r="J772" s="112" t="s">
        <v>84</v>
      </c>
      <c r="K772" s="2" t="s">
        <v>84</v>
      </c>
      <c r="L772" s="2">
        <v>0</v>
      </c>
      <c r="M772" s="2" t="s">
        <v>84</v>
      </c>
      <c r="N772" s="2" t="s">
        <v>84</v>
      </c>
      <c r="O772" s="2" t="s">
        <v>841</v>
      </c>
      <c r="P772" s="2" t="s">
        <v>691</v>
      </c>
    </row>
    <row r="773" spans="1:16" ht="21" customHeight="1" x14ac:dyDescent="0.15">
      <c r="A773" s="10" t="str">
        <f t="shared" si="205"/>
        <v>393_10_0_10_polygon</v>
      </c>
      <c r="B773" s="2">
        <v>393</v>
      </c>
      <c r="C773" s="30" t="str">
        <f>VLOOKUP(B773,gachas!A:C,3)</f>
        <v>8月フィーバーフェス</v>
      </c>
      <c r="D773" s="21">
        <v>10</v>
      </c>
      <c r="E773" s="2">
        <v>0</v>
      </c>
      <c r="F773" s="2">
        <v>10</v>
      </c>
      <c r="G773" s="3" t="s">
        <v>22</v>
      </c>
      <c r="H773" s="2">
        <v>50</v>
      </c>
      <c r="I773" s="114" t="str">
        <f>B773&amp;TEXT(D773,"00")&amp;E773</f>
        <v>393100</v>
      </c>
      <c r="J773" s="112" t="s">
        <v>84</v>
      </c>
      <c r="K773" s="2" t="str">
        <f>I773</f>
        <v>393100</v>
      </c>
      <c r="L773" s="2">
        <v>1</v>
      </c>
      <c r="M773" s="2" t="s">
        <v>84</v>
      </c>
      <c r="N773" s="2" t="s">
        <v>84</v>
      </c>
      <c r="O773" s="2" t="s">
        <v>841</v>
      </c>
      <c r="P773" s="2" t="s">
        <v>1078</v>
      </c>
    </row>
    <row r="774" spans="1:16" ht="21" customHeight="1" x14ac:dyDescent="0.15">
      <c r="A774" s="10" t="str">
        <f t="shared" si="205"/>
        <v>394_10_1_1_polygon</v>
      </c>
      <c r="B774" s="2">
        <v>394</v>
      </c>
      <c r="C774" s="30" t="str">
        <f>VLOOKUP(B774,gachas!A:C,3)</f>
        <v>ランキング対抗&lt;シュヴァルツシルト&gt;</v>
      </c>
      <c r="D774" s="21">
        <v>10</v>
      </c>
      <c r="E774" s="2">
        <v>1</v>
      </c>
      <c r="F774" s="2">
        <v>1</v>
      </c>
      <c r="G774" s="3" t="s">
        <v>22</v>
      </c>
      <c r="H774" s="2">
        <v>1</v>
      </c>
      <c r="I774" s="114" t="str">
        <f>B774&amp;TEXT(D774,"00")&amp;E774</f>
        <v>394101</v>
      </c>
      <c r="J774" s="112" t="s">
        <v>84</v>
      </c>
      <c r="K774" s="2" t="s">
        <v>84</v>
      </c>
      <c r="L774" s="2">
        <v>0</v>
      </c>
      <c r="M774" s="2" t="s">
        <v>84</v>
      </c>
      <c r="N774" s="2" t="s">
        <v>84</v>
      </c>
      <c r="O774" s="2" t="s">
        <v>841</v>
      </c>
      <c r="P774" s="2" t="s">
        <v>1278</v>
      </c>
    </row>
    <row r="775" spans="1:16" ht="21" customHeight="1" x14ac:dyDescent="0.15">
      <c r="A775" s="10" t="str">
        <f t="shared" si="205"/>
        <v>394_10_2_3_polygon</v>
      </c>
      <c r="B775" s="2">
        <v>394</v>
      </c>
      <c r="C775" s="30" t="str">
        <f>VLOOKUP(B775,gachas!A:C,3)</f>
        <v>ランキング対抗&lt;シュヴァルツシルト&gt;</v>
      </c>
      <c r="D775" s="21">
        <v>10</v>
      </c>
      <c r="E775" s="2">
        <v>2</v>
      </c>
      <c r="F775" s="2">
        <v>3</v>
      </c>
      <c r="G775" s="3" t="s">
        <v>22</v>
      </c>
      <c r="H775" s="2">
        <v>9</v>
      </c>
      <c r="I775" s="114" t="str">
        <f>I774</f>
        <v>394101</v>
      </c>
      <c r="J775" s="112" t="s">
        <v>84</v>
      </c>
      <c r="K775" s="2" t="s">
        <v>84</v>
      </c>
      <c r="L775" s="2">
        <v>0</v>
      </c>
      <c r="M775" s="2" t="s">
        <v>84</v>
      </c>
      <c r="N775" s="2" t="s">
        <v>84</v>
      </c>
      <c r="O775" s="2" t="s">
        <v>841</v>
      </c>
      <c r="P775" s="2" t="s">
        <v>1273</v>
      </c>
    </row>
    <row r="776" spans="1:16" ht="21" customHeight="1" x14ac:dyDescent="0.15">
      <c r="A776" s="10" t="str">
        <f t="shared" si="205"/>
        <v>394_10_3_10_polygon</v>
      </c>
      <c r="B776" s="2">
        <v>394</v>
      </c>
      <c r="C776" s="30" t="str">
        <f>VLOOKUP(B776,gachas!A:C,3)</f>
        <v>ランキング対抗&lt;シュヴァルツシルト&gt;</v>
      </c>
      <c r="D776" s="21">
        <v>10</v>
      </c>
      <c r="E776" s="2">
        <v>3</v>
      </c>
      <c r="F776" s="2">
        <v>10</v>
      </c>
      <c r="G776" s="3" t="s">
        <v>22</v>
      </c>
      <c r="H776" s="2">
        <v>35</v>
      </c>
      <c r="I776" s="114" t="str">
        <f t="shared" ref="I776:I778" si="209">B776&amp;TEXT(D776,"00")&amp;E776</f>
        <v>394103</v>
      </c>
      <c r="J776" s="112" t="s">
        <v>84</v>
      </c>
      <c r="K776" s="18" t="str">
        <f>I776</f>
        <v>394103</v>
      </c>
      <c r="L776" s="2">
        <v>1</v>
      </c>
      <c r="M776" s="2" t="s">
        <v>84</v>
      </c>
      <c r="N776" s="2" t="s">
        <v>84</v>
      </c>
      <c r="O776" s="2" t="s">
        <v>841</v>
      </c>
      <c r="P776" s="2" t="s">
        <v>998</v>
      </c>
    </row>
    <row r="777" spans="1:16" ht="21" customHeight="1" x14ac:dyDescent="0.15">
      <c r="A777" s="10" t="str">
        <f t="shared" si="205"/>
        <v>394_10_4_10_polygon</v>
      </c>
      <c r="B777" s="2">
        <v>394</v>
      </c>
      <c r="C777" s="30" t="str">
        <f>VLOOKUP(B777,gachas!A:C,3)</f>
        <v>ランキング対抗&lt;シュヴァルツシルト&gt;</v>
      </c>
      <c r="D777" s="21">
        <v>10</v>
      </c>
      <c r="E777" s="2">
        <v>4</v>
      </c>
      <c r="F777" s="2">
        <v>10</v>
      </c>
      <c r="G777" s="3" t="s">
        <v>22</v>
      </c>
      <c r="H777" s="2">
        <v>50</v>
      </c>
      <c r="I777" s="114" t="str">
        <f t="shared" si="209"/>
        <v>394104</v>
      </c>
      <c r="J777" s="128" t="str">
        <f>I777</f>
        <v>394104</v>
      </c>
      <c r="K777" s="2" t="s">
        <v>84</v>
      </c>
      <c r="L777" s="2">
        <v>0</v>
      </c>
      <c r="M777" s="2" t="s">
        <v>84</v>
      </c>
      <c r="N777" s="2" t="s">
        <v>84</v>
      </c>
      <c r="O777" s="2" t="s">
        <v>841</v>
      </c>
      <c r="P777" s="2" t="s">
        <v>999</v>
      </c>
    </row>
    <row r="778" spans="1:16" ht="21" customHeight="1" x14ac:dyDescent="0.15">
      <c r="A778" s="10" t="str">
        <f t="shared" si="205"/>
        <v>394_10_5_10_polygon</v>
      </c>
      <c r="B778" s="2">
        <v>394</v>
      </c>
      <c r="C778" s="30" t="str">
        <f>VLOOKUP(B778,gachas!A:C,3)</f>
        <v>ランキング対抗&lt;シュヴァルツシルト&gt;</v>
      </c>
      <c r="D778" s="21">
        <v>10</v>
      </c>
      <c r="E778" s="2">
        <v>5</v>
      </c>
      <c r="F778" s="2">
        <v>10</v>
      </c>
      <c r="G778" s="3" t="s">
        <v>22</v>
      </c>
      <c r="H778" s="2">
        <v>50</v>
      </c>
      <c r="I778" s="114" t="str">
        <f t="shared" si="209"/>
        <v>394105</v>
      </c>
      <c r="J778" s="128" t="str">
        <f>I778</f>
        <v>394105</v>
      </c>
      <c r="K778" s="2" t="s">
        <v>84</v>
      </c>
      <c r="L778" s="2">
        <v>0</v>
      </c>
      <c r="M778" s="2" t="s">
        <v>84</v>
      </c>
      <c r="N778" s="2" t="s">
        <v>84</v>
      </c>
      <c r="O778" s="2" t="s">
        <v>841</v>
      </c>
      <c r="P778" s="2" t="s">
        <v>1006</v>
      </c>
    </row>
    <row r="779" spans="1:16" ht="21" customHeight="1" x14ac:dyDescent="0.15">
      <c r="A779" s="10" t="str">
        <f t="shared" si="205"/>
        <v>394_10_6_10_polygon</v>
      </c>
      <c r="B779" s="2">
        <v>394</v>
      </c>
      <c r="C779" s="30" t="str">
        <f>VLOOKUP(B779,gachas!A:C,3)</f>
        <v>ランキング対抗&lt;シュヴァルツシルト&gt;</v>
      </c>
      <c r="D779" s="21">
        <v>10</v>
      </c>
      <c r="E779" s="2">
        <v>6</v>
      </c>
      <c r="F779" s="2">
        <v>10</v>
      </c>
      <c r="G779" s="3" t="s">
        <v>22</v>
      </c>
      <c r="H779" s="2">
        <v>50</v>
      </c>
      <c r="I779" s="126" t="str">
        <f>I780</f>
        <v>394100</v>
      </c>
      <c r="J779" s="112" t="s">
        <v>84</v>
      </c>
      <c r="K779" s="2" t="s">
        <v>84</v>
      </c>
      <c r="L779" s="2">
        <v>0</v>
      </c>
      <c r="M779" s="2" t="s">
        <v>84</v>
      </c>
      <c r="N779" s="2" t="s">
        <v>84</v>
      </c>
      <c r="O779" s="2" t="s">
        <v>841</v>
      </c>
      <c r="P779" s="2" t="s">
        <v>1007</v>
      </c>
    </row>
    <row r="780" spans="1:16" ht="21" customHeight="1" x14ac:dyDescent="0.15">
      <c r="A780" s="10" t="str">
        <f t="shared" si="205"/>
        <v>394_10_0_10_polygon</v>
      </c>
      <c r="B780" s="2">
        <v>394</v>
      </c>
      <c r="C780" s="30" t="str">
        <f>VLOOKUP(B780,gachas!A:C,3)</f>
        <v>ランキング対抗&lt;シュヴァルツシルト&gt;</v>
      </c>
      <c r="D780" s="21">
        <v>10</v>
      </c>
      <c r="E780" s="2">
        <v>0</v>
      </c>
      <c r="F780" s="2">
        <v>10</v>
      </c>
      <c r="G780" s="3" t="s">
        <v>22</v>
      </c>
      <c r="H780" s="2">
        <v>50</v>
      </c>
      <c r="I780" s="114" t="str">
        <f t="shared" ref="I780" si="210">B780&amp;TEXT(D780,"00")&amp;E780</f>
        <v>394100</v>
      </c>
      <c r="J780" s="112" t="s">
        <v>84</v>
      </c>
      <c r="K780" s="2" t="s">
        <v>84</v>
      </c>
      <c r="L780" s="2">
        <v>0</v>
      </c>
      <c r="M780" s="2" t="s">
        <v>84</v>
      </c>
      <c r="N780" s="2" t="s">
        <v>84</v>
      </c>
      <c r="O780" s="2" t="s">
        <v>841</v>
      </c>
      <c r="P780" s="2" t="s">
        <v>1000</v>
      </c>
    </row>
    <row r="781" spans="1:16" ht="21" customHeight="1" x14ac:dyDescent="0.15">
      <c r="A781" s="10" t="str">
        <f t="shared" si="205"/>
        <v>395_1_0_1_polygon</v>
      </c>
      <c r="B781" s="2">
        <v>395</v>
      </c>
      <c r="C781" s="30" t="str">
        <f>VLOOKUP(B781,gachas!A:C,3)</f>
        <v>TVCM第2弾放送記念 1日1回無料レアガチャ</v>
      </c>
      <c r="D781" s="21">
        <v>1</v>
      </c>
      <c r="E781" s="2">
        <v>0</v>
      </c>
      <c r="F781" s="2">
        <v>1</v>
      </c>
      <c r="G781" s="3" t="s">
        <v>22</v>
      </c>
      <c r="H781" s="2">
        <v>0</v>
      </c>
      <c r="I781" s="114" t="str">
        <f t="shared" ref="I781" si="211">B781&amp;TEXT(D781,"00")&amp;E781</f>
        <v>395010</v>
      </c>
      <c r="J781" s="112" t="s">
        <v>84</v>
      </c>
      <c r="K781" s="2" t="s">
        <v>84</v>
      </c>
      <c r="L781" s="2">
        <v>0</v>
      </c>
      <c r="M781" s="2" t="s">
        <v>84</v>
      </c>
      <c r="N781" s="2" t="s">
        <v>84</v>
      </c>
      <c r="O781" s="2" t="s">
        <v>841</v>
      </c>
      <c r="P781" s="2" t="s">
        <v>1351</v>
      </c>
    </row>
    <row r="782" spans="1:16" ht="21" customHeight="1" x14ac:dyDescent="0.15">
      <c r="A782" s="10" t="str">
        <f t="shared" ref="A782" si="212">B782&amp;"_"&amp;D782&amp;"_"&amp;E782&amp;"_"&amp;F782&amp;"_"&amp;G782</f>
        <v>396_10_0_10_polygon</v>
      </c>
      <c r="B782" s="2">
        <v>396</v>
      </c>
      <c r="C782" s="30" t="str">
        <f>VLOOKUP(B782,gachas!A:C,3)</f>
        <v>TVCM第2弾記念ガチャ１</v>
      </c>
      <c r="D782" s="21">
        <v>10</v>
      </c>
      <c r="E782" s="2">
        <v>0</v>
      </c>
      <c r="F782" s="2">
        <v>10</v>
      </c>
      <c r="G782" s="3" t="s">
        <v>22</v>
      </c>
      <c r="H782" s="2">
        <v>50</v>
      </c>
      <c r="I782" s="114" t="str">
        <f>B782&amp;TEXT(D782,"00")&amp;E782</f>
        <v>396100</v>
      </c>
      <c r="J782" s="112" t="s">
        <v>84</v>
      </c>
      <c r="K782" s="2">
        <v>396100</v>
      </c>
      <c r="L782" s="2">
        <v>1</v>
      </c>
      <c r="M782" s="2" t="s">
        <v>84</v>
      </c>
      <c r="N782" s="2" t="s">
        <v>84</v>
      </c>
      <c r="O782" s="2" t="s">
        <v>841</v>
      </c>
      <c r="P782" s="2" t="s">
        <v>1439</v>
      </c>
    </row>
    <row r="783" spans="1:16" ht="21" customHeight="1" x14ac:dyDescent="0.15">
      <c r="A783" s="10" t="str">
        <f t="shared" ref="A783:A788" si="213">B783&amp;"_"&amp;D783&amp;"_"&amp;E783&amp;"_"&amp;F783&amp;"_"&amp;G783</f>
        <v>397_1_0_1_polygon</v>
      </c>
      <c r="B783" s="2">
        <v>397</v>
      </c>
      <c r="C783" s="30" t="str">
        <f>VLOOKUP(B783,gachas!A:C,3)</f>
        <v>メソポタミアガチャ</v>
      </c>
      <c r="D783" s="21">
        <v>1</v>
      </c>
      <c r="E783" s="2">
        <v>0</v>
      </c>
      <c r="F783" s="2">
        <v>1</v>
      </c>
      <c r="G783" s="3" t="s">
        <v>22</v>
      </c>
      <c r="H783" s="2">
        <v>5</v>
      </c>
      <c r="I783" s="114" t="str">
        <f>B783&amp;TEXT(D783,"00")&amp;E783</f>
        <v>397010</v>
      </c>
      <c r="J783" s="112" t="s">
        <v>84</v>
      </c>
      <c r="K783" s="109" t="s">
        <v>257</v>
      </c>
      <c r="L783" s="2">
        <v>0</v>
      </c>
      <c r="M783" s="2" t="s">
        <v>84</v>
      </c>
      <c r="N783" s="2" t="s">
        <v>84</v>
      </c>
      <c r="O783" s="2" t="s">
        <v>841</v>
      </c>
      <c r="P783" s="59" t="s">
        <v>257</v>
      </c>
    </row>
    <row r="784" spans="1:16" ht="21" customHeight="1" x14ac:dyDescent="0.15">
      <c r="A784" s="10" t="str">
        <f t="shared" si="213"/>
        <v>397_10_1_10_polygon</v>
      </c>
      <c r="B784" s="2">
        <v>397</v>
      </c>
      <c r="C784" s="30" t="str">
        <f>VLOOKUP(B784,gachas!A:C,3)</f>
        <v>メソポタミアガチャ</v>
      </c>
      <c r="D784" s="21">
        <v>10</v>
      </c>
      <c r="E784" s="2">
        <v>1</v>
      </c>
      <c r="F784" s="2">
        <v>10</v>
      </c>
      <c r="G784" s="3" t="s">
        <v>22</v>
      </c>
      <c r="H784" s="2">
        <v>25</v>
      </c>
      <c r="I784" s="117" t="str">
        <f>I785</f>
        <v>397100</v>
      </c>
      <c r="J784" s="112" t="s">
        <v>84</v>
      </c>
      <c r="K784" s="106" t="s">
        <v>85</v>
      </c>
      <c r="L784" s="2">
        <v>0</v>
      </c>
      <c r="M784" s="2" t="s">
        <v>84</v>
      </c>
      <c r="N784" s="2" t="s">
        <v>84</v>
      </c>
      <c r="O784" s="2" t="s">
        <v>841</v>
      </c>
      <c r="P784" s="59" t="s">
        <v>548</v>
      </c>
    </row>
    <row r="785" spans="1:16" ht="21" customHeight="1" x14ac:dyDescent="0.15">
      <c r="A785" s="10" t="str">
        <f t="shared" si="213"/>
        <v>397_10_0_10_polygon</v>
      </c>
      <c r="B785" s="2">
        <v>397</v>
      </c>
      <c r="C785" s="30" t="str">
        <f>VLOOKUP(B785,gachas!A:C,3)</f>
        <v>メソポタミアガチャ</v>
      </c>
      <c r="D785" s="21">
        <v>10</v>
      </c>
      <c r="E785" s="2">
        <v>0</v>
      </c>
      <c r="F785" s="2">
        <v>10</v>
      </c>
      <c r="G785" s="3" t="s">
        <v>22</v>
      </c>
      <c r="H785" s="2">
        <v>50</v>
      </c>
      <c r="I785" s="117" t="str">
        <f t="shared" ref="I785" si="214">B785&amp;TEXT(D785,"00")&amp;E785</f>
        <v>397100</v>
      </c>
      <c r="J785" s="112" t="s">
        <v>84</v>
      </c>
      <c r="K785" s="106" t="s">
        <v>1466</v>
      </c>
      <c r="L785" s="2">
        <v>0</v>
      </c>
      <c r="M785" s="2" t="s">
        <v>84</v>
      </c>
      <c r="N785" s="2" t="s">
        <v>84</v>
      </c>
      <c r="O785" s="2" t="s">
        <v>841</v>
      </c>
      <c r="P785" s="2" t="s">
        <v>1352</v>
      </c>
    </row>
    <row r="786" spans="1:16" ht="21" customHeight="1" x14ac:dyDescent="0.15">
      <c r="A786" s="10" t="str">
        <f t="shared" si="213"/>
        <v>398_1_1_1_polygon</v>
      </c>
      <c r="B786" s="2">
        <v>398</v>
      </c>
      <c r="C786" s="30" t="str">
        <f>VLOOKUP(B786,gachas!A:C,3)</f>
        <v>レアガチャ（メソポタミアin）</v>
      </c>
      <c r="D786" s="21">
        <v>1</v>
      </c>
      <c r="E786" s="2">
        <v>1</v>
      </c>
      <c r="F786" s="2">
        <v>1</v>
      </c>
      <c r="G786" s="3" t="s">
        <v>22</v>
      </c>
      <c r="H786" s="2">
        <v>5</v>
      </c>
      <c r="I786" s="117" t="str">
        <f>I788</f>
        <v>398100</v>
      </c>
      <c r="J786" s="112" t="s">
        <v>84</v>
      </c>
      <c r="K786" s="2" t="s">
        <v>84</v>
      </c>
      <c r="L786" s="2">
        <v>0</v>
      </c>
      <c r="M786" s="2" t="s">
        <v>84</v>
      </c>
      <c r="N786" s="2" t="s">
        <v>84</v>
      </c>
      <c r="O786" s="2" t="s">
        <v>841</v>
      </c>
      <c r="P786" s="2" t="s">
        <v>142</v>
      </c>
    </row>
    <row r="787" spans="1:16" ht="21" customHeight="1" x14ac:dyDescent="0.15">
      <c r="A787" s="10" t="str">
        <f t="shared" si="213"/>
        <v>398_1_0_1_polygon</v>
      </c>
      <c r="B787" s="2">
        <v>398</v>
      </c>
      <c r="C787" s="30" t="str">
        <f>VLOOKUP(B787,gachas!A:C,3)</f>
        <v>レアガチャ（メソポタミアin）</v>
      </c>
      <c r="D787" s="21">
        <v>1</v>
      </c>
      <c r="E787" s="2">
        <v>0</v>
      </c>
      <c r="F787" s="2">
        <v>1</v>
      </c>
      <c r="G787" s="3" t="s">
        <v>22</v>
      </c>
      <c r="H787" s="2">
        <v>5</v>
      </c>
      <c r="I787" s="117" t="str">
        <f t="shared" ref="I787" si="215">B787&amp;TEXT(D787,"00")&amp;E787</f>
        <v>398010</v>
      </c>
      <c r="J787" s="112" t="s">
        <v>84</v>
      </c>
      <c r="K787" s="2" t="s">
        <v>84</v>
      </c>
      <c r="L787" s="2">
        <v>0</v>
      </c>
      <c r="M787" s="2" t="s">
        <v>84</v>
      </c>
      <c r="N787" s="2" t="s">
        <v>84</v>
      </c>
      <c r="O787" s="2" t="s">
        <v>841</v>
      </c>
      <c r="P787" s="2" t="s">
        <v>84</v>
      </c>
    </row>
    <row r="788" spans="1:16" ht="21" customHeight="1" x14ac:dyDescent="0.15">
      <c r="A788" s="10" t="str">
        <f t="shared" si="213"/>
        <v>398_10_0_10_polygon</v>
      </c>
      <c r="B788" s="2">
        <v>398</v>
      </c>
      <c r="C788" s="30" t="str">
        <f>VLOOKUP(B788,gachas!A:C,3)</f>
        <v>レアガチャ（メソポタミアin）</v>
      </c>
      <c r="D788" s="21">
        <v>10</v>
      </c>
      <c r="E788" s="2">
        <v>0</v>
      </c>
      <c r="F788" s="2">
        <v>10</v>
      </c>
      <c r="G788" s="3" t="s">
        <v>22</v>
      </c>
      <c r="H788" s="2">
        <v>50</v>
      </c>
      <c r="I788" s="117" t="str">
        <f>B788&amp;TEXT(D788,"00")&amp;E788</f>
        <v>398100</v>
      </c>
      <c r="J788" s="112" t="s">
        <v>84</v>
      </c>
      <c r="K788" s="2" t="s">
        <v>84</v>
      </c>
      <c r="L788" s="2">
        <v>0</v>
      </c>
      <c r="M788" s="2" t="s">
        <v>84</v>
      </c>
      <c r="N788" s="2" t="s">
        <v>84</v>
      </c>
      <c r="O788" s="2" t="s">
        <v>841</v>
      </c>
      <c r="P788" s="2" t="s">
        <v>143</v>
      </c>
    </row>
    <row r="789" spans="1:16" ht="21" customHeight="1" x14ac:dyDescent="0.15">
      <c r="A789" s="10" t="str">
        <f t="shared" ref="A789:A790" si="216">B789&amp;"_"&amp;D789&amp;"_"&amp;E789&amp;"_"&amp;F789&amp;"_"&amp;G789</f>
        <v>399_1_0_1_polygon</v>
      </c>
      <c r="B789" s="2">
        <v>399</v>
      </c>
      <c r="C789" s="30" t="str">
        <f>VLOOKUP(B789,gachas!A:C,3)</f>
        <v>TVCM第2弾放送記念ガチャ2</v>
      </c>
      <c r="D789" s="21">
        <v>1</v>
      </c>
      <c r="E789" s="2">
        <v>0</v>
      </c>
      <c r="F789" s="2">
        <v>1</v>
      </c>
      <c r="G789" s="3" t="s">
        <v>22</v>
      </c>
      <c r="H789" s="2">
        <v>5</v>
      </c>
      <c r="I789" s="117" t="str">
        <f t="shared" ref="I789:I790" si="217">B789&amp;TEXT(D789,"00")&amp;E789</f>
        <v>399010</v>
      </c>
      <c r="J789" s="112" t="s">
        <v>84</v>
      </c>
      <c r="K789" s="2" t="s">
        <v>84</v>
      </c>
      <c r="L789" s="2">
        <v>0</v>
      </c>
      <c r="M789" s="2" t="s">
        <v>84</v>
      </c>
      <c r="N789" s="2" t="s">
        <v>84</v>
      </c>
      <c r="O789" s="2" t="s">
        <v>841</v>
      </c>
      <c r="P789" s="2" t="s">
        <v>1467</v>
      </c>
    </row>
    <row r="790" spans="1:16" ht="21" customHeight="1" x14ac:dyDescent="0.15">
      <c r="A790" s="10" t="str">
        <f t="shared" si="216"/>
        <v>399_10_0_10_polygon</v>
      </c>
      <c r="B790" s="2">
        <v>399</v>
      </c>
      <c r="C790" s="30" t="str">
        <f>VLOOKUP(B790,gachas!A:C,3)</f>
        <v>TVCM第2弾放送記念ガチャ2</v>
      </c>
      <c r="D790" s="21">
        <v>10</v>
      </c>
      <c r="E790" s="2">
        <v>0</v>
      </c>
      <c r="F790" s="2">
        <v>10</v>
      </c>
      <c r="G790" s="3" t="s">
        <v>22</v>
      </c>
      <c r="H790" s="2">
        <v>50</v>
      </c>
      <c r="I790" s="117" t="str">
        <f t="shared" si="217"/>
        <v>399100</v>
      </c>
      <c r="J790" s="112" t="s">
        <v>84</v>
      </c>
      <c r="K790" s="2" t="s">
        <v>84</v>
      </c>
      <c r="L790" s="2">
        <v>0</v>
      </c>
      <c r="M790" s="2" t="s">
        <v>84</v>
      </c>
      <c r="N790" s="2" t="s">
        <v>84</v>
      </c>
      <c r="O790" s="2" t="s">
        <v>841</v>
      </c>
      <c r="P790" s="2" t="s">
        <v>143</v>
      </c>
    </row>
    <row r="791" spans="1:16" ht="21" customHeight="1" x14ac:dyDescent="0.15">
      <c r="A791" s="10" t="str">
        <f t="shared" ref="A791:A797" si="218">B791&amp;"_"&amp;D791&amp;"_"&amp;E791&amp;"_"&amp;F791&amp;"_"&amp;G791</f>
        <v>400_10_1_1_polygon</v>
      </c>
      <c r="B791" s="2">
        <v>400</v>
      </c>
      <c r="C791" s="30" t="str">
        <f>VLOOKUP(B791,gachas!A:C,3)</f>
        <v>ランキング対抗&lt;ウィグナー&gt;</v>
      </c>
      <c r="D791" s="21">
        <v>10</v>
      </c>
      <c r="E791" s="2">
        <v>1</v>
      </c>
      <c r="F791" s="2">
        <v>1</v>
      </c>
      <c r="G791" s="3" t="s">
        <v>22</v>
      </c>
      <c r="H791" s="2">
        <v>1</v>
      </c>
      <c r="I791" s="117" t="str">
        <f t="shared" ref="I791:I798" si="219">B791&amp;TEXT(D791,"00")&amp;E791</f>
        <v>400101</v>
      </c>
      <c r="J791" s="112" t="s">
        <v>84</v>
      </c>
      <c r="K791" s="2" t="s">
        <v>84</v>
      </c>
      <c r="L791" s="2">
        <v>0</v>
      </c>
      <c r="M791" s="2" t="s">
        <v>84</v>
      </c>
      <c r="N791" s="2" t="s">
        <v>84</v>
      </c>
      <c r="O791" s="2" t="s">
        <v>841</v>
      </c>
      <c r="P791" s="2" t="s">
        <v>1278</v>
      </c>
    </row>
    <row r="792" spans="1:16" ht="21" customHeight="1" x14ac:dyDescent="0.15">
      <c r="A792" s="10" t="str">
        <f t="shared" si="218"/>
        <v>400_10_2_3_polygon</v>
      </c>
      <c r="B792" s="2">
        <v>400</v>
      </c>
      <c r="C792" s="30" t="str">
        <f>VLOOKUP(B792,gachas!A:C,3)</f>
        <v>ランキング対抗&lt;ウィグナー&gt;</v>
      </c>
      <c r="D792" s="21">
        <v>10</v>
      </c>
      <c r="E792" s="2">
        <v>2</v>
      </c>
      <c r="F792" s="2">
        <v>3</v>
      </c>
      <c r="G792" s="3" t="s">
        <v>22</v>
      </c>
      <c r="H792" s="2">
        <v>9</v>
      </c>
      <c r="I792" s="117">
        <v>400101</v>
      </c>
      <c r="J792" s="112" t="s">
        <v>84</v>
      </c>
      <c r="K792" s="2" t="s">
        <v>84</v>
      </c>
      <c r="L792" s="2">
        <v>0</v>
      </c>
      <c r="M792" s="2" t="s">
        <v>84</v>
      </c>
      <c r="N792" s="2" t="s">
        <v>84</v>
      </c>
      <c r="O792" s="2" t="s">
        <v>841</v>
      </c>
      <c r="P792" s="2" t="s">
        <v>1273</v>
      </c>
    </row>
    <row r="793" spans="1:16" ht="21" customHeight="1" x14ac:dyDescent="0.15">
      <c r="A793" s="10" t="str">
        <f t="shared" si="218"/>
        <v>400_10_3_10_polygon</v>
      </c>
      <c r="B793" s="2">
        <v>400</v>
      </c>
      <c r="C793" s="30" t="str">
        <f>VLOOKUP(B793,gachas!A:C,3)</f>
        <v>ランキング対抗&lt;ウィグナー&gt;</v>
      </c>
      <c r="D793" s="21">
        <v>10</v>
      </c>
      <c r="E793" s="2">
        <v>3</v>
      </c>
      <c r="F793" s="2">
        <v>10</v>
      </c>
      <c r="G793" s="3" t="s">
        <v>22</v>
      </c>
      <c r="H793" s="2">
        <v>35</v>
      </c>
      <c r="I793" s="117" t="str">
        <f t="shared" si="219"/>
        <v>400103</v>
      </c>
      <c r="J793" s="112" t="s">
        <v>84</v>
      </c>
      <c r="K793" s="2">
        <v>400103</v>
      </c>
      <c r="L793" s="2">
        <v>1</v>
      </c>
      <c r="M793" s="2" t="s">
        <v>84</v>
      </c>
      <c r="N793" s="2" t="s">
        <v>84</v>
      </c>
      <c r="O793" s="2" t="s">
        <v>841</v>
      </c>
      <c r="P793" s="2" t="s">
        <v>1505</v>
      </c>
    </row>
    <row r="794" spans="1:16" ht="21" customHeight="1" x14ac:dyDescent="0.15">
      <c r="A794" s="10" t="str">
        <f t="shared" si="218"/>
        <v>400_10_4_10_polygon</v>
      </c>
      <c r="B794" s="2">
        <v>400</v>
      </c>
      <c r="C794" s="30" t="str">
        <f>VLOOKUP(B794,gachas!A:C,3)</f>
        <v>ランキング対抗&lt;ウィグナー&gt;</v>
      </c>
      <c r="D794" s="21">
        <v>10</v>
      </c>
      <c r="E794" s="2">
        <v>4</v>
      </c>
      <c r="F794" s="2">
        <v>10</v>
      </c>
      <c r="G794" s="3" t="s">
        <v>22</v>
      </c>
      <c r="H794" s="2">
        <v>50</v>
      </c>
      <c r="I794" s="117" t="str">
        <f t="shared" si="219"/>
        <v>400104</v>
      </c>
      <c r="J794" s="128" t="str">
        <f>I794</f>
        <v>400104</v>
      </c>
      <c r="K794" s="2" t="s">
        <v>84</v>
      </c>
      <c r="L794" s="2">
        <v>0</v>
      </c>
      <c r="M794" s="2" t="s">
        <v>84</v>
      </c>
      <c r="N794" s="2" t="s">
        <v>84</v>
      </c>
      <c r="O794" s="2" t="s">
        <v>841</v>
      </c>
      <c r="P794" s="2" t="s">
        <v>1502</v>
      </c>
    </row>
    <row r="795" spans="1:16" ht="21" customHeight="1" x14ac:dyDescent="0.15">
      <c r="A795" s="10" t="str">
        <f t="shared" si="218"/>
        <v>400_10_5_10_polygon</v>
      </c>
      <c r="B795" s="2">
        <v>400</v>
      </c>
      <c r="C795" s="30" t="str">
        <f>VLOOKUP(B795,gachas!A:C,3)</f>
        <v>ランキング対抗&lt;ウィグナー&gt;</v>
      </c>
      <c r="D795" s="21">
        <v>10</v>
      </c>
      <c r="E795" s="2">
        <v>5</v>
      </c>
      <c r="F795" s="2">
        <v>10</v>
      </c>
      <c r="G795" s="3" t="s">
        <v>22</v>
      </c>
      <c r="H795" s="2">
        <v>50</v>
      </c>
      <c r="I795" s="117" t="str">
        <f t="shared" si="219"/>
        <v>400105</v>
      </c>
      <c r="J795" s="128" t="str">
        <f>I795</f>
        <v>400105</v>
      </c>
      <c r="K795" s="2" t="s">
        <v>84</v>
      </c>
      <c r="L795" s="2">
        <v>0</v>
      </c>
      <c r="M795" s="2" t="s">
        <v>84</v>
      </c>
      <c r="N795" s="2" t="s">
        <v>84</v>
      </c>
      <c r="O795" s="2" t="s">
        <v>841</v>
      </c>
      <c r="P795" s="2" t="s">
        <v>1503</v>
      </c>
    </row>
    <row r="796" spans="1:16" ht="21" customHeight="1" x14ac:dyDescent="0.15">
      <c r="A796" s="10" t="str">
        <f t="shared" si="218"/>
        <v>400_10_6_10_polygon</v>
      </c>
      <c r="B796" s="2">
        <v>400</v>
      </c>
      <c r="C796" s="30" t="str">
        <f>VLOOKUP(B796,gachas!A:C,3)</f>
        <v>ランキング対抗&lt;ウィグナー&gt;</v>
      </c>
      <c r="D796" s="21">
        <v>10</v>
      </c>
      <c r="E796" s="2">
        <v>6</v>
      </c>
      <c r="F796" s="2">
        <v>10</v>
      </c>
      <c r="G796" s="3" t="s">
        <v>22</v>
      </c>
      <c r="H796" s="2">
        <v>50</v>
      </c>
      <c r="I796" s="117">
        <v>400100</v>
      </c>
      <c r="J796" s="112" t="s">
        <v>84</v>
      </c>
      <c r="K796" s="2" t="s">
        <v>84</v>
      </c>
      <c r="L796" s="2">
        <v>0</v>
      </c>
      <c r="M796" s="2" t="s">
        <v>84</v>
      </c>
      <c r="N796" s="2" t="s">
        <v>84</v>
      </c>
      <c r="O796" s="2" t="s">
        <v>841</v>
      </c>
      <c r="P796" s="2" t="s">
        <v>1504</v>
      </c>
    </row>
    <row r="797" spans="1:16" ht="21" customHeight="1" x14ac:dyDescent="0.15">
      <c r="A797" s="10" t="str">
        <f t="shared" si="218"/>
        <v>400_10_0_10_polygon</v>
      </c>
      <c r="B797" s="2">
        <v>400</v>
      </c>
      <c r="C797" s="30" t="str">
        <f>VLOOKUP(B797,gachas!A:C,3)</f>
        <v>ランキング対抗&lt;ウィグナー&gt;</v>
      </c>
      <c r="D797" s="21">
        <v>10</v>
      </c>
      <c r="E797" s="2">
        <v>0</v>
      </c>
      <c r="F797" s="2">
        <v>10</v>
      </c>
      <c r="G797" s="3" t="s">
        <v>22</v>
      </c>
      <c r="H797" s="2">
        <v>50</v>
      </c>
      <c r="I797" s="117" t="str">
        <f t="shared" si="219"/>
        <v>400100</v>
      </c>
      <c r="J797" s="112" t="s">
        <v>84</v>
      </c>
      <c r="K797" s="2" t="s">
        <v>84</v>
      </c>
      <c r="L797" s="2">
        <v>0</v>
      </c>
      <c r="M797" s="2" t="s">
        <v>84</v>
      </c>
      <c r="N797" s="2" t="s">
        <v>84</v>
      </c>
      <c r="O797" s="2" t="s">
        <v>841</v>
      </c>
      <c r="P797" s="2" t="s">
        <v>1508</v>
      </c>
    </row>
    <row r="798" spans="1:16" ht="21" customHeight="1" x14ac:dyDescent="0.15">
      <c r="A798" s="10" t="str">
        <f t="shared" ref="A798" si="220">B798&amp;"_"&amp;D798&amp;"_"&amp;E798&amp;"_"&amp;F798&amp;"_"&amp;G798</f>
        <v>401_1_0_1_polygon</v>
      </c>
      <c r="B798" s="2">
        <v>401</v>
      </c>
      <c r="C798" s="30" t="str">
        <f>VLOOKUP(B798,gachas!A:C,3)</f>
        <v>TVCM第2弾放送記念 1日1回無料レアガチャ</v>
      </c>
      <c r="D798" s="21">
        <v>1</v>
      </c>
      <c r="E798" s="2">
        <v>0</v>
      </c>
      <c r="F798" s="2">
        <v>1</v>
      </c>
      <c r="G798" s="3" t="s">
        <v>22</v>
      </c>
      <c r="H798" s="2">
        <v>0</v>
      </c>
      <c r="I798" s="114" t="str">
        <f t="shared" si="219"/>
        <v>401010</v>
      </c>
      <c r="J798" s="112" t="s">
        <v>84</v>
      </c>
      <c r="K798" s="2" t="s">
        <v>84</v>
      </c>
      <c r="L798" s="2">
        <v>0</v>
      </c>
      <c r="M798" s="2" t="s">
        <v>84</v>
      </c>
      <c r="N798" s="2" t="s">
        <v>84</v>
      </c>
      <c r="O798" s="2" t="s">
        <v>841</v>
      </c>
      <c r="P798" s="2" t="s">
        <v>1507</v>
      </c>
    </row>
    <row r="799" spans="1:16" ht="21" customHeight="1" x14ac:dyDescent="0.15">
      <c r="A799" s="10" t="str">
        <f t="shared" ref="A799:A878" si="221">B799&amp;"_"&amp;D799&amp;"_"&amp;E799&amp;"_"&amp;F799&amp;"_"&amp;G799</f>
        <v>402_1_0_1_polygon</v>
      </c>
      <c r="B799" s="2">
        <v>402</v>
      </c>
      <c r="C799" s="30" t="str">
        <f>VLOOKUP(B799,gachas!A:C,3)</f>
        <v>R6解放ピックアップ&lt;ドライグ、アルフヘイム&gt;</v>
      </c>
      <c r="D799" s="21">
        <v>1</v>
      </c>
      <c r="E799" s="2">
        <v>0</v>
      </c>
      <c r="F799" s="2">
        <v>1</v>
      </c>
      <c r="G799" s="3" t="s">
        <v>22</v>
      </c>
      <c r="H799" s="2">
        <v>5</v>
      </c>
      <c r="I799" s="114" t="str">
        <f t="shared" ref="I799:I801" si="222">B799&amp;TEXT(D799,"00")&amp;E799</f>
        <v>402010</v>
      </c>
      <c r="J799" s="115" t="s">
        <v>84</v>
      </c>
      <c r="K799" s="2" t="s">
        <v>84</v>
      </c>
      <c r="L799" s="2">
        <v>0</v>
      </c>
      <c r="M799" s="2" t="s">
        <v>84</v>
      </c>
      <c r="N799" s="2" t="s">
        <v>84</v>
      </c>
      <c r="O799" s="2" t="s">
        <v>841</v>
      </c>
      <c r="P799" s="2" t="s">
        <v>84</v>
      </c>
    </row>
    <row r="800" spans="1:16" ht="21" customHeight="1" x14ac:dyDescent="0.15">
      <c r="A800" s="10" t="str">
        <f t="shared" si="221"/>
        <v>402_10_1_10_polygon</v>
      </c>
      <c r="B800" s="2">
        <v>402</v>
      </c>
      <c r="C800" s="30" t="str">
        <f>VLOOKUP(B800,gachas!A:C,3)</f>
        <v>R6解放ピックアップ&lt;ドライグ、アルフヘイム&gt;</v>
      </c>
      <c r="D800" s="21">
        <v>10</v>
      </c>
      <c r="E800" s="2">
        <v>1</v>
      </c>
      <c r="F800" s="2">
        <v>10</v>
      </c>
      <c r="G800" s="3" t="s">
        <v>22</v>
      </c>
      <c r="H800" s="2">
        <v>25</v>
      </c>
      <c r="I800" s="114">
        <v>402100</v>
      </c>
      <c r="J800" s="112" t="s">
        <v>84</v>
      </c>
      <c r="K800" s="2" t="s">
        <v>84</v>
      </c>
      <c r="L800" s="2">
        <v>0</v>
      </c>
      <c r="M800" s="2" t="s">
        <v>84</v>
      </c>
      <c r="N800" s="2" t="s">
        <v>84</v>
      </c>
      <c r="O800" s="2" t="s">
        <v>841</v>
      </c>
      <c r="P800" s="59" t="s">
        <v>548</v>
      </c>
    </row>
    <row r="801" spans="1:16" ht="21" customHeight="1" x14ac:dyDescent="0.15">
      <c r="A801" s="10" t="str">
        <f t="shared" si="221"/>
        <v>402_10_0_10_polygon</v>
      </c>
      <c r="B801" s="2">
        <v>402</v>
      </c>
      <c r="C801" s="30" t="str">
        <f>VLOOKUP(B801,gachas!A:C,3)</f>
        <v>R6解放ピックアップ&lt;ドライグ、アルフヘイム&gt;</v>
      </c>
      <c r="D801" s="21">
        <v>10</v>
      </c>
      <c r="E801" s="2">
        <v>0</v>
      </c>
      <c r="F801" s="2">
        <v>10</v>
      </c>
      <c r="G801" s="3" t="s">
        <v>22</v>
      </c>
      <c r="H801" s="2">
        <v>50</v>
      </c>
      <c r="I801" s="114" t="str">
        <f t="shared" si="222"/>
        <v>402100</v>
      </c>
      <c r="J801" s="112" t="s">
        <v>84</v>
      </c>
      <c r="K801" s="2" t="s">
        <v>84</v>
      </c>
      <c r="L801" s="2">
        <v>0</v>
      </c>
      <c r="M801" s="2" t="s">
        <v>84</v>
      </c>
      <c r="N801" s="2" t="s">
        <v>84</v>
      </c>
      <c r="O801" s="2" t="s">
        <v>841</v>
      </c>
      <c r="P801" s="2" t="s">
        <v>143</v>
      </c>
    </row>
    <row r="802" spans="1:16" ht="21" customHeight="1" x14ac:dyDescent="0.15">
      <c r="A802" s="10" t="str">
        <f t="shared" si="221"/>
        <v>403_1_0_1_polygon</v>
      </c>
      <c r="B802" s="2">
        <v>403</v>
      </c>
      <c r="C802" s="30" t="str">
        <f>VLOOKUP(B802,gachas!A:C,3)</f>
        <v>R6解放ピックアップ&lt;ヤマタノオロチ、リヴァイアサン&gt;</v>
      </c>
      <c r="D802" s="21">
        <v>1</v>
      </c>
      <c r="E802" s="2">
        <v>0</v>
      </c>
      <c r="F802" s="2">
        <v>1</v>
      </c>
      <c r="G802" s="3" t="s">
        <v>22</v>
      </c>
      <c r="H802" s="2">
        <v>5</v>
      </c>
      <c r="I802" s="114" t="str">
        <f t="shared" ref="I802" si="223">B802&amp;TEXT(D802,"00")&amp;E802</f>
        <v>403010</v>
      </c>
      <c r="J802" s="115" t="s">
        <v>84</v>
      </c>
      <c r="K802" s="2" t="s">
        <v>84</v>
      </c>
      <c r="L802" s="2">
        <v>0</v>
      </c>
      <c r="M802" s="2" t="s">
        <v>84</v>
      </c>
      <c r="N802" s="2" t="s">
        <v>84</v>
      </c>
      <c r="O802" s="2" t="s">
        <v>841</v>
      </c>
      <c r="P802" s="2" t="s">
        <v>84</v>
      </c>
    </row>
    <row r="803" spans="1:16" ht="21" customHeight="1" x14ac:dyDescent="0.15">
      <c r="A803" s="10" t="str">
        <f t="shared" si="221"/>
        <v>403_10_1_10_polygon</v>
      </c>
      <c r="B803" s="2">
        <v>403</v>
      </c>
      <c r="C803" s="30" t="str">
        <f>VLOOKUP(B803,gachas!A:C,3)</f>
        <v>R6解放ピックアップ&lt;ヤマタノオロチ、リヴァイアサン&gt;</v>
      </c>
      <c r="D803" s="21">
        <v>10</v>
      </c>
      <c r="E803" s="2">
        <v>1</v>
      </c>
      <c r="F803" s="2">
        <v>10</v>
      </c>
      <c r="G803" s="3" t="s">
        <v>22</v>
      </c>
      <c r="H803" s="2">
        <v>25</v>
      </c>
      <c r="I803" s="114">
        <v>403100</v>
      </c>
      <c r="J803" s="112" t="s">
        <v>84</v>
      </c>
      <c r="K803" s="2" t="s">
        <v>84</v>
      </c>
      <c r="L803" s="2">
        <v>0</v>
      </c>
      <c r="M803" s="2" t="s">
        <v>84</v>
      </c>
      <c r="N803" s="2" t="s">
        <v>84</v>
      </c>
      <c r="O803" s="2" t="s">
        <v>841</v>
      </c>
      <c r="P803" s="59" t="s">
        <v>548</v>
      </c>
    </row>
    <row r="804" spans="1:16" ht="21" customHeight="1" x14ac:dyDescent="0.15">
      <c r="A804" s="10" t="str">
        <f t="shared" si="221"/>
        <v>403_10_0_10_polygon</v>
      </c>
      <c r="B804" s="2">
        <v>403</v>
      </c>
      <c r="C804" s="30" t="str">
        <f>VLOOKUP(B804,gachas!A:C,3)</f>
        <v>R6解放ピックアップ&lt;ヤマタノオロチ、リヴァイアサン&gt;</v>
      </c>
      <c r="D804" s="21">
        <v>10</v>
      </c>
      <c r="E804" s="2">
        <v>0</v>
      </c>
      <c r="F804" s="2">
        <v>10</v>
      </c>
      <c r="G804" s="3" t="s">
        <v>22</v>
      </c>
      <c r="H804" s="2">
        <v>50</v>
      </c>
      <c r="I804" s="114" t="str">
        <f t="shared" ref="I804:I805" si="224">B804&amp;TEXT(D804,"00")&amp;E804</f>
        <v>403100</v>
      </c>
      <c r="J804" s="112" t="s">
        <v>84</v>
      </c>
      <c r="K804" s="2" t="s">
        <v>84</v>
      </c>
      <c r="L804" s="2">
        <v>0</v>
      </c>
      <c r="M804" s="2" t="s">
        <v>84</v>
      </c>
      <c r="N804" s="2" t="s">
        <v>84</v>
      </c>
      <c r="O804" s="2" t="s">
        <v>841</v>
      </c>
      <c r="P804" s="2" t="s">
        <v>143</v>
      </c>
    </row>
    <row r="805" spans="1:16" ht="21" customHeight="1" x14ac:dyDescent="0.15">
      <c r="A805" s="10" t="str">
        <f t="shared" si="221"/>
        <v>404_1_0_1_polygon</v>
      </c>
      <c r="B805" s="2">
        <v>404</v>
      </c>
      <c r="C805" s="30" t="str">
        <f>VLOOKUP(B805,gachas!A:C,3)</f>
        <v>ニューフェイスガチャ(画家)</v>
      </c>
      <c r="D805" s="21">
        <v>1</v>
      </c>
      <c r="E805" s="2">
        <v>0</v>
      </c>
      <c r="F805" s="2">
        <v>1</v>
      </c>
      <c r="G805" s="3" t="s">
        <v>22</v>
      </c>
      <c r="H805" s="2">
        <v>5</v>
      </c>
      <c r="I805" s="114" t="str">
        <f t="shared" si="224"/>
        <v>404010</v>
      </c>
      <c r="J805" s="115" t="s">
        <v>84</v>
      </c>
      <c r="K805" s="2" t="s">
        <v>84</v>
      </c>
      <c r="L805" s="2">
        <v>0</v>
      </c>
      <c r="M805" s="2" t="s">
        <v>84</v>
      </c>
      <c r="N805" s="2" t="s">
        <v>84</v>
      </c>
      <c r="O805" s="2" t="s">
        <v>841</v>
      </c>
      <c r="P805" s="2" t="s">
        <v>84</v>
      </c>
    </row>
    <row r="806" spans="1:16" ht="21" customHeight="1" x14ac:dyDescent="0.15">
      <c r="A806" s="10" t="str">
        <f t="shared" si="221"/>
        <v>404_10_1_10_polygon</v>
      </c>
      <c r="B806" s="2">
        <v>404</v>
      </c>
      <c r="C806" s="30" t="str">
        <f>VLOOKUP(B806,gachas!A:C,3)</f>
        <v>ニューフェイスガチャ(画家)</v>
      </c>
      <c r="D806" s="21">
        <v>10</v>
      </c>
      <c r="E806" s="2">
        <v>1</v>
      </c>
      <c r="F806" s="2">
        <v>10</v>
      </c>
      <c r="G806" s="3" t="s">
        <v>22</v>
      </c>
      <c r="H806" s="2">
        <v>25</v>
      </c>
      <c r="I806" s="114">
        <v>404100</v>
      </c>
      <c r="J806" s="112" t="s">
        <v>84</v>
      </c>
      <c r="K806" s="2" t="s">
        <v>84</v>
      </c>
      <c r="L806" s="2">
        <v>0</v>
      </c>
      <c r="M806" s="2" t="s">
        <v>84</v>
      </c>
      <c r="N806" s="2" t="s">
        <v>84</v>
      </c>
      <c r="O806" s="2" t="s">
        <v>841</v>
      </c>
      <c r="P806" s="59" t="s">
        <v>548</v>
      </c>
    </row>
    <row r="807" spans="1:16" ht="21" customHeight="1" x14ac:dyDescent="0.15">
      <c r="A807" s="10" t="str">
        <f t="shared" si="221"/>
        <v>404_10_0_10_polygon</v>
      </c>
      <c r="B807" s="2">
        <v>404</v>
      </c>
      <c r="C807" s="30" t="str">
        <f>VLOOKUP(B807,gachas!A:C,3)</f>
        <v>ニューフェイスガチャ(画家)</v>
      </c>
      <c r="D807" s="21">
        <v>10</v>
      </c>
      <c r="E807" s="2">
        <v>0</v>
      </c>
      <c r="F807" s="2">
        <v>10</v>
      </c>
      <c r="G807" s="3" t="s">
        <v>22</v>
      </c>
      <c r="H807" s="2">
        <v>50</v>
      </c>
      <c r="I807" s="114" t="str">
        <f t="shared" ref="I807" si="225">B807&amp;TEXT(D807,"00")&amp;E807</f>
        <v>404100</v>
      </c>
      <c r="J807" s="112" t="s">
        <v>84</v>
      </c>
      <c r="K807" s="2" t="s">
        <v>84</v>
      </c>
      <c r="L807" s="2">
        <v>0</v>
      </c>
      <c r="M807" s="2" t="s">
        <v>84</v>
      </c>
      <c r="N807" s="2" t="s">
        <v>84</v>
      </c>
      <c r="O807" s="2" t="s">
        <v>841</v>
      </c>
      <c r="P807" s="2" t="s">
        <v>143</v>
      </c>
    </row>
    <row r="808" spans="1:16" ht="21" customHeight="1" x14ac:dyDescent="0.15">
      <c r="A808" s="10" t="str">
        <f t="shared" si="221"/>
        <v>405_1_1_1_polygon</v>
      </c>
      <c r="B808" s="2">
        <v>405</v>
      </c>
      <c r="C808" s="30" t="str">
        <f>VLOOKUP(B808,gachas!A:C,3)</f>
        <v>レアガチャ（画家in）</v>
      </c>
      <c r="D808" s="21">
        <v>1</v>
      </c>
      <c r="E808" s="2">
        <v>1</v>
      </c>
      <c r="F808" s="2">
        <v>1</v>
      </c>
      <c r="G808" s="3" t="s">
        <v>22</v>
      </c>
      <c r="H808" s="2">
        <v>5</v>
      </c>
      <c r="I808" s="117" t="str">
        <f>I810</f>
        <v>405100</v>
      </c>
      <c r="J808" s="112" t="s">
        <v>84</v>
      </c>
      <c r="K808" s="2" t="s">
        <v>84</v>
      </c>
      <c r="L808" s="2">
        <v>0</v>
      </c>
      <c r="M808" s="2" t="s">
        <v>84</v>
      </c>
      <c r="N808" s="2" t="s">
        <v>84</v>
      </c>
      <c r="O808" s="2" t="s">
        <v>841</v>
      </c>
      <c r="P808" s="2" t="s">
        <v>142</v>
      </c>
    </row>
    <row r="809" spans="1:16" ht="21" customHeight="1" x14ac:dyDescent="0.15">
      <c r="A809" s="10" t="str">
        <f t="shared" si="221"/>
        <v>405_1_0_1_polygon</v>
      </c>
      <c r="B809" s="2">
        <v>405</v>
      </c>
      <c r="C809" s="30" t="str">
        <f>VLOOKUP(B809,gachas!A:C,3)</f>
        <v>レアガチャ（画家in）</v>
      </c>
      <c r="D809" s="21">
        <v>1</v>
      </c>
      <c r="E809" s="2">
        <v>0</v>
      </c>
      <c r="F809" s="2">
        <v>1</v>
      </c>
      <c r="G809" s="3" t="s">
        <v>22</v>
      </c>
      <c r="H809" s="2">
        <v>5</v>
      </c>
      <c r="I809" s="117" t="str">
        <f t="shared" ref="I809" si="226">B809&amp;TEXT(D809,"00")&amp;E809</f>
        <v>405010</v>
      </c>
      <c r="J809" s="112" t="s">
        <v>84</v>
      </c>
      <c r="K809" s="2" t="s">
        <v>84</v>
      </c>
      <c r="L809" s="2">
        <v>0</v>
      </c>
      <c r="M809" s="2" t="s">
        <v>84</v>
      </c>
      <c r="N809" s="2" t="s">
        <v>84</v>
      </c>
      <c r="O809" s="2" t="s">
        <v>841</v>
      </c>
      <c r="P809" s="2" t="s">
        <v>84</v>
      </c>
    </row>
    <row r="810" spans="1:16" ht="21" customHeight="1" x14ac:dyDescent="0.15">
      <c r="A810" s="10" t="str">
        <f t="shared" si="221"/>
        <v>405_10_0_10_polygon</v>
      </c>
      <c r="B810" s="2">
        <v>405</v>
      </c>
      <c r="C810" s="30" t="str">
        <f>VLOOKUP(B810,gachas!A:C,3)</f>
        <v>レアガチャ（画家in）</v>
      </c>
      <c r="D810" s="21">
        <v>10</v>
      </c>
      <c r="E810" s="2">
        <v>0</v>
      </c>
      <c r="F810" s="2">
        <v>10</v>
      </c>
      <c r="G810" s="3" t="s">
        <v>22</v>
      </c>
      <c r="H810" s="2">
        <v>50</v>
      </c>
      <c r="I810" s="117" t="str">
        <f>B810&amp;TEXT(D810,"00")&amp;E810</f>
        <v>405100</v>
      </c>
      <c r="J810" s="112" t="s">
        <v>84</v>
      </c>
      <c r="K810" s="2" t="s">
        <v>84</v>
      </c>
      <c r="L810" s="2">
        <v>0</v>
      </c>
      <c r="M810" s="2" t="s">
        <v>84</v>
      </c>
      <c r="N810" s="2" t="s">
        <v>84</v>
      </c>
      <c r="O810" s="2" t="s">
        <v>841</v>
      </c>
      <c r="P810" s="2" t="s">
        <v>143</v>
      </c>
    </row>
    <row r="811" spans="1:16" ht="21" customHeight="1" x14ac:dyDescent="0.15">
      <c r="A811" s="10" t="str">
        <f t="shared" si="221"/>
        <v>406_1_0_1_polygon</v>
      </c>
      <c r="B811" s="2">
        <v>406</v>
      </c>
      <c r="C811" s="30" t="str">
        <f>VLOOKUP(B811,gachas!A:C,3)</f>
        <v>復刻ピックアップ&lt;ヘングレ、親指、マルドゥク、メタトロン&gt;</v>
      </c>
      <c r="D811" s="21">
        <v>1</v>
      </c>
      <c r="E811" s="2">
        <v>0</v>
      </c>
      <c r="F811" s="2">
        <v>1</v>
      </c>
      <c r="G811" s="3" t="s">
        <v>22</v>
      </c>
      <c r="H811" s="2">
        <v>5</v>
      </c>
      <c r="I811" s="114" t="str">
        <f t="shared" ref="I811" si="227">B811&amp;TEXT(D811,"00")&amp;E811</f>
        <v>406010</v>
      </c>
      <c r="J811" s="115" t="s">
        <v>84</v>
      </c>
      <c r="K811" s="2" t="s">
        <v>84</v>
      </c>
      <c r="L811" s="2">
        <v>0</v>
      </c>
      <c r="M811" s="2" t="s">
        <v>84</v>
      </c>
      <c r="N811" s="2" t="s">
        <v>84</v>
      </c>
      <c r="O811" s="2" t="s">
        <v>841</v>
      </c>
      <c r="P811" s="2" t="s">
        <v>84</v>
      </c>
    </row>
    <row r="812" spans="1:16" ht="21" customHeight="1" x14ac:dyDescent="0.15">
      <c r="A812" s="10" t="str">
        <f t="shared" si="221"/>
        <v>406_10_1_10_polygon</v>
      </c>
      <c r="B812" s="2">
        <v>406</v>
      </c>
      <c r="C812" s="30" t="str">
        <f>VLOOKUP(B812,gachas!A:C,3)</f>
        <v>復刻ピックアップ&lt;ヘングレ、親指、マルドゥク、メタトロン&gt;</v>
      </c>
      <c r="D812" s="21">
        <v>10</v>
      </c>
      <c r="E812" s="2">
        <v>1</v>
      </c>
      <c r="F812" s="2">
        <v>10</v>
      </c>
      <c r="G812" s="3" t="s">
        <v>22</v>
      </c>
      <c r="H812" s="2">
        <v>25</v>
      </c>
      <c r="I812" s="114">
        <v>406100</v>
      </c>
      <c r="J812" s="112" t="s">
        <v>84</v>
      </c>
      <c r="K812" s="2" t="s">
        <v>84</v>
      </c>
      <c r="L812" s="2">
        <v>0</v>
      </c>
      <c r="M812" s="2" t="s">
        <v>84</v>
      </c>
      <c r="N812" s="2" t="s">
        <v>84</v>
      </c>
      <c r="O812" s="2" t="s">
        <v>841</v>
      </c>
      <c r="P812" s="59" t="s">
        <v>548</v>
      </c>
    </row>
    <row r="813" spans="1:16" ht="21" customHeight="1" x14ac:dyDescent="0.15">
      <c r="A813" s="10" t="str">
        <f t="shared" si="221"/>
        <v>406_10_0_10_polygon</v>
      </c>
      <c r="B813" s="2">
        <v>406</v>
      </c>
      <c r="C813" s="30" t="str">
        <f>VLOOKUP(B813,gachas!A:C,3)</f>
        <v>復刻ピックアップ&lt;ヘングレ、親指、マルドゥク、メタトロン&gt;</v>
      </c>
      <c r="D813" s="21">
        <v>10</v>
      </c>
      <c r="E813" s="2">
        <v>0</v>
      </c>
      <c r="F813" s="2">
        <v>10</v>
      </c>
      <c r="G813" s="3" t="s">
        <v>22</v>
      </c>
      <c r="H813" s="2">
        <v>50</v>
      </c>
      <c r="I813" s="114" t="str">
        <f t="shared" ref="I813" si="228">B813&amp;TEXT(D813,"00")&amp;E813</f>
        <v>406100</v>
      </c>
      <c r="J813" s="112" t="s">
        <v>84</v>
      </c>
      <c r="K813" s="2" t="s">
        <v>84</v>
      </c>
      <c r="L813" s="2">
        <v>0</v>
      </c>
      <c r="M813" s="2" t="s">
        <v>84</v>
      </c>
      <c r="N813" s="2" t="s">
        <v>84</v>
      </c>
      <c r="O813" s="2" t="s">
        <v>841</v>
      </c>
      <c r="P813" s="2" t="s">
        <v>143</v>
      </c>
    </row>
    <row r="814" spans="1:16" ht="21" customHeight="1" x14ac:dyDescent="0.15">
      <c r="A814" s="10" t="str">
        <f t="shared" ref="A814" si="229">B814&amp;"_"&amp;D814&amp;"_"&amp;E814&amp;"_"&amp;F814&amp;"_"&amp;G814</f>
        <v>407_10_1_5_polygon</v>
      </c>
      <c r="B814" s="2">
        <v>407</v>
      </c>
      <c r="C814" s="30" t="str">
        <f>VLOOKUP(B814,gachas!A:C,3)</f>
        <v>ハンプティおまけガチャ</v>
      </c>
      <c r="D814" s="21">
        <v>10</v>
      </c>
      <c r="E814" s="2">
        <v>1</v>
      </c>
      <c r="F814" s="2">
        <v>5</v>
      </c>
      <c r="G814" s="3" t="s">
        <v>22</v>
      </c>
      <c r="H814" s="2">
        <v>15</v>
      </c>
      <c r="I814" s="119">
        <v>407100</v>
      </c>
      <c r="J814" s="119">
        <v>407100</v>
      </c>
      <c r="K814" s="2" t="s">
        <v>84</v>
      </c>
      <c r="L814" s="2">
        <v>0</v>
      </c>
      <c r="M814" s="2" t="s">
        <v>84</v>
      </c>
      <c r="N814" s="2" t="s">
        <v>84</v>
      </c>
      <c r="O814" s="2" t="s">
        <v>841</v>
      </c>
      <c r="P814" s="2" t="s">
        <v>1559</v>
      </c>
    </row>
    <row r="815" spans="1:16" ht="21" customHeight="1" x14ac:dyDescent="0.15">
      <c r="A815" s="10" t="str">
        <f t="shared" si="221"/>
        <v>407_10_0_5_polygon</v>
      </c>
      <c r="B815" s="2">
        <v>407</v>
      </c>
      <c r="C815" s="30" t="str">
        <f>VLOOKUP(B815,gachas!A:C,3)</f>
        <v>ハンプティおまけガチャ</v>
      </c>
      <c r="D815" s="21">
        <v>10</v>
      </c>
      <c r="E815" s="2">
        <v>0</v>
      </c>
      <c r="F815" s="2">
        <v>5</v>
      </c>
      <c r="G815" s="3" t="s">
        <v>22</v>
      </c>
      <c r="H815" s="2">
        <v>25</v>
      </c>
      <c r="I815" s="114" t="str">
        <f t="shared" ref="I815" si="230">B815&amp;TEXT(D815,"00")&amp;E815</f>
        <v>407100</v>
      </c>
      <c r="J815" s="114" t="str">
        <f>I815</f>
        <v>407100</v>
      </c>
      <c r="K815" s="2" t="s">
        <v>84</v>
      </c>
      <c r="L815" s="2">
        <v>0</v>
      </c>
      <c r="M815" s="2" t="s">
        <v>84</v>
      </c>
      <c r="N815" s="2" t="s">
        <v>84</v>
      </c>
      <c r="O815" s="2" t="s">
        <v>841</v>
      </c>
      <c r="P815" s="2" t="s">
        <v>1560</v>
      </c>
    </row>
    <row r="816" spans="1:16" ht="21" customHeight="1" x14ac:dyDescent="0.15">
      <c r="A816" s="10" t="s">
        <v>1570</v>
      </c>
      <c r="B816" s="2">
        <v>408</v>
      </c>
      <c r="C816" s="30" t="s">
        <v>1565</v>
      </c>
      <c r="D816" s="21">
        <v>1</v>
      </c>
      <c r="E816" s="2">
        <v>1</v>
      </c>
      <c r="F816" s="2">
        <v>1</v>
      </c>
      <c r="G816" s="3" t="s">
        <v>1566</v>
      </c>
      <c r="H816" s="2">
        <v>0</v>
      </c>
      <c r="I816" s="119">
        <v>405010</v>
      </c>
      <c r="J816" s="114" t="s">
        <v>1571</v>
      </c>
      <c r="K816" s="2" t="s">
        <v>1571</v>
      </c>
      <c r="L816" s="2">
        <v>0</v>
      </c>
      <c r="M816" s="2" t="s">
        <v>1571</v>
      </c>
      <c r="N816" s="2" t="s">
        <v>1571</v>
      </c>
      <c r="O816" s="2" t="s">
        <v>118</v>
      </c>
      <c r="P816" s="2" t="s">
        <v>1598</v>
      </c>
    </row>
    <row r="817" spans="1:16" ht="21" customHeight="1" x14ac:dyDescent="0.15">
      <c r="A817" s="10" t="s">
        <v>1572</v>
      </c>
      <c r="B817" s="2">
        <v>408</v>
      </c>
      <c r="C817" s="30" t="s">
        <v>1565</v>
      </c>
      <c r="D817" s="21">
        <v>1</v>
      </c>
      <c r="E817" s="2">
        <v>2</v>
      </c>
      <c r="F817" s="2">
        <v>1</v>
      </c>
      <c r="G817" s="3" t="s">
        <v>1566</v>
      </c>
      <c r="H817" s="2">
        <v>0</v>
      </c>
      <c r="I817" s="119">
        <v>405010</v>
      </c>
      <c r="J817" s="114" t="s">
        <v>1571</v>
      </c>
      <c r="K817" s="2" t="s">
        <v>1571</v>
      </c>
      <c r="L817" s="2">
        <v>0</v>
      </c>
      <c r="M817" s="2" t="s">
        <v>1571</v>
      </c>
      <c r="N817" s="2" t="s">
        <v>1571</v>
      </c>
      <c r="O817" s="2" t="s">
        <v>118</v>
      </c>
      <c r="P817" s="2" t="s">
        <v>1598</v>
      </c>
    </row>
    <row r="818" spans="1:16" ht="21" customHeight="1" x14ac:dyDescent="0.15">
      <c r="A818" s="10" t="s">
        <v>1573</v>
      </c>
      <c r="B818" s="2">
        <v>408</v>
      </c>
      <c r="C818" s="30" t="s">
        <v>1565</v>
      </c>
      <c r="D818" s="21">
        <v>1</v>
      </c>
      <c r="E818" s="2">
        <v>3</v>
      </c>
      <c r="F818" s="2">
        <v>1</v>
      </c>
      <c r="G818" s="3" t="s">
        <v>1566</v>
      </c>
      <c r="H818" s="2">
        <v>0</v>
      </c>
      <c r="I818" s="119">
        <v>405010</v>
      </c>
      <c r="J818" s="114">
        <v>408013</v>
      </c>
      <c r="K818" s="2" t="s">
        <v>1571</v>
      </c>
      <c r="L818" s="2">
        <v>0</v>
      </c>
      <c r="M818" s="2" t="s">
        <v>1571</v>
      </c>
      <c r="N818" s="2" t="s">
        <v>1571</v>
      </c>
      <c r="O818" s="2" t="s">
        <v>118</v>
      </c>
      <c r="P818" s="2" t="s">
        <v>1599</v>
      </c>
    </row>
    <row r="819" spans="1:16" ht="21" customHeight="1" x14ac:dyDescent="0.15">
      <c r="A819" s="10" t="s">
        <v>1574</v>
      </c>
      <c r="B819" s="2">
        <v>408</v>
      </c>
      <c r="C819" s="30" t="s">
        <v>1565</v>
      </c>
      <c r="D819" s="21">
        <v>1</v>
      </c>
      <c r="E819" s="2">
        <v>4</v>
      </c>
      <c r="F819" s="2">
        <v>1</v>
      </c>
      <c r="G819" s="3" t="s">
        <v>1566</v>
      </c>
      <c r="H819" s="2">
        <v>0</v>
      </c>
      <c r="I819" s="119">
        <v>405010</v>
      </c>
      <c r="J819" s="114" t="s">
        <v>1571</v>
      </c>
      <c r="K819" s="2" t="s">
        <v>1571</v>
      </c>
      <c r="L819" s="2">
        <v>0</v>
      </c>
      <c r="M819" s="2" t="s">
        <v>1571</v>
      </c>
      <c r="N819" s="2" t="s">
        <v>1571</v>
      </c>
      <c r="O819" s="2" t="s">
        <v>118</v>
      </c>
      <c r="P819" s="2" t="s">
        <v>1598</v>
      </c>
    </row>
    <row r="820" spans="1:16" ht="21" customHeight="1" x14ac:dyDescent="0.15">
      <c r="A820" s="10" t="s">
        <v>1575</v>
      </c>
      <c r="B820" s="2">
        <v>408</v>
      </c>
      <c r="C820" s="30" t="s">
        <v>1565</v>
      </c>
      <c r="D820" s="21">
        <v>1</v>
      </c>
      <c r="E820" s="2">
        <v>5</v>
      </c>
      <c r="F820" s="2">
        <v>1</v>
      </c>
      <c r="G820" s="3" t="s">
        <v>1566</v>
      </c>
      <c r="H820" s="2">
        <v>0</v>
      </c>
      <c r="I820" s="119">
        <v>405010</v>
      </c>
      <c r="J820" s="114">
        <v>408015</v>
      </c>
      <c r="K820" s="2" t="s">
        <v>1571</v>
      </c>
      <c r="L820" s="2">
        <v>0</v>
      </c>
      <c r="M820" s="2" t="s">
        <v>1571</v>
      </c>
      <c r="N820" s="2" t="s">
        <v>1571</v>
      </c>
      <c r="O820" s="2" t="s">
        <v>118</v>
      </c>
      <c r="P820" s="2" t="s">
        <v>1600</v>
      </c>
    </row>
    <row r="821" spans="1:16" ht="21" customHeight="1" x14ac:dyDescent="0.15">
      <c r="A821" s="10" t="s">
        <v>1576</v>
      </c>
      <c r="B821" s="2">
        <v>408</v>
      </c>
      <c r="C821" s="30" t="s">
        <v>1565</v>
      </c>
      <c r="D821" s="21">
        <v>1</v>
      </c>
      <c r="E821" s="2">
        <v>6</v>
      </c>
      <c r="F821" s="2">
        <v>1</v>
      </c>
      <c r="G821" s="3" t="s">
        <v>1566</v>
      </c>
      <c r="H821" s="2">
        <v>0</v>
      </c>
      <c r="I821" s="119">
        <v>405010</v>
      </c>
      <c r="J821" s="114" t="s">
        <v>1571</v>
      </c>
      <c r="K821" s="2" t="s">
        <v>1571</v>
      </c>
      <c r="L821" s="2">
        <v>0</v>
      </c>
      <c r="M821" s="2" t="s">
        <v>1571</v>
      </c>
      <c r="N821" s="2" t="s">
        <v>1571</v>
      </c>
      <c r="O821" s="2" t="s">
        <v>118</v>
      </c>
      <c r="P821" s="2" t="s">
        <v>1601</v>
      </c>
    </row>
    <row r="822" spans="1:16" ht="21" customHeight="1" x14ac:dyDescent="0.15">
      <c r="A822" s="10" t="s">
        <v>1577</v>
      </c>
      <c r="B822" s="2">
        <v>408</v>
      </c>
      <c r="C822" s="30" t="s">
        <v>1565</v>
      </c>
      <c r="D822" s="21">
        <v>1</v>
      </c>
      <c r="E822" s="2">
        <v>7</v>
      </c>
      <c r="F822" s="2">
        <v>1</v>
      </c>
      <c r="G822" s="3" t="s">
        <v>1566</v>
      </c>
      <c r="H822" s="2">
        <v>0</v>
      </c>
      <c r="I822" s="119">
        <v>405010</v>
      </c>
      <c r="J822" s="114">
        <v>408017</v>
      </c>
      <c r="K822" s="2" t="s">
        <v>1571</v>
      </c>
      <c r="L822" s="2">
        <v>0</v>
      </c>
      <c r="M822" s="2" t="s">
        <v>1571</v>
      </c>
      <c r="N822" s="2" t="s">
        <v>1571</v>
      </c>
      <c r="O822" s="2" t="s">
        <v>118</v>
      </c>
      <c r="P822" s="2" t="s">
        <v>1614</v>
      </c>
    </row>
    <row r="823" spans="1:16" ht="21" customHeight="1" x14ac:dyDescent="0.15">
      <c r="A823" s="10" t="s">
        <v>1578</v>
      </c>
      <c r="B823" s="2">
        <v>408</v>
      </c>
      <c r="C823" s="30" t="s">
        <v>1565</v>
      </c>
      <c r="D823" s="21">
        <v>1</v>
      </c>
      <c r="E823" s="2">
        <v>8</v>
      </c>
      <c r="F823" s="2">
        <v>1</v>
      </c>
      <c r="G823" s="3" t="s">
        <v>1566</v>
      </c>
      <c r="H823" s="2">
        <v>0</v>
      </c>
      <c r="I823" s="119">
        <v>405010</v>
      </c>
      <c r="J823" s="114" t="s">
        <v>1571</v>
      </c>
      <c r="K823" s="2" t="s">
        <v>1571</v>
      </c>
      <c r="L823" s="2">
        <v>0</v>
      </c>
      <c r="M823" s="2" t="s">
        <v>1571</v>
      </c>
      <c r="N823" s="2" t="s">
        <v>1571</v>
      </c>
      <c r="O823" s="2" t="s">
        <v>118</v>
      </c>
      <c r="P823" s="2" t="s">
        <v>1598</v>
      </c>
    </row>
    <row r="824" spans="1:16" ht="21" customHeight="1" x14ac:dyDescent="0.15">
      <c r="A824" s="10" t="s">
        <v>1579</v>
      </c>
      <c r="B824" s="2">
        <v>408</v>
      </c>
      <c r="C824" s="30" t="s">
        <v>1565</v>
      </c>
      <c r="D824" s="21">
        <v>1</v>
      </c>
      <c r="E824" s="2">
        <v>9</v>
      </c>
      <c r="F824" s="2">
        <v>1</v>
      </c>
      <c r="G824" s="3" t="s">
        <v>1566</v>
      </c>
      <c r="H824" s="2">
        <v>0</v>
      </c>
      <c r="I824" s="119">
        <v>405010</v>
      </c>
      <c r="J824" s="114">
        <v>408019</v>
      </c>
      <c r="K824" s="2" t="s">
        <v>1588</v>
      </c>
      <c r="L824" s="2">
        <v>0</v>
      </c>
      <c r="M824" s="2" t="s">
        <v>1571</v>
      </c>
      <c r="N824" s="2" t="s">
        <v>1571</v>
      </c>
      <c r="O824" s="2" t="s">
        <v>118</v>
      </c>
      <c r="P824" s="2" t="s">
        <v>1614</v>
      </c>
    </row>
    <row r="825" spans="1:16" ht="21" customHeight="1" x14ac:dyDescent="0.15">
      <c r="A825" s="10" t="s">
        <v>1580</v>
      </c>
      <c r="B825" s="2">
        <v>408</v>
      </c>
      <c r="C825" s="30" t="s">
        <v>1565</v>
      </c>
      <c r="D825" s="21">
        <v>1</v>
      </c>
      <c r="E825" s="2">
        <v>0</v>
      </c>
      <c r="F825" s="2">
        <v>1</v>
      </c>
      <c r="G825" s="3" t="s">
        <v>1566</v>
      </c>
      <c r="H825" s="2">
        <v>0</v>
      </c>
      <c r="I825" s="119">
        <v>405010</v>
      </c>
      <c r="J825" s="114" t="s">
        <v>1571</v>
      </c>
      <c r="K825" s="2" t="s">
        <v>1571</v>
      </c>
      <c r="L825" s="2">
        <v>0</v>
      </c>
      <c r="M825" s="2" t="s">
        <v>1571</v>
      </c>
      <c r="N825" s="2" t="s">
        <v>1571</v>
      </c>
      <c r="O825" s="2" t="s">
        <v>118</v>
      </c>
      <c r="P825" s="2" t="s">
        <v>1613</v>
      </c>
    </row>
    <row r="826" spans="1:16" ht="21" customHeight="1" x14ac:dyDescent="0.15">
      <c r="A826" s="10" t="str">
        <f t="shared" ref="A826" si="231">B826&amp;"_"&amp;D826&amp;"_"&amp;E826&amp;"_"&amp;F826&amp;"_"&amp;G826</f>
        <v>409_1_0_1_polygon</v>
      </c>
      <c r="B826" s="2">
        <v>409</v>
      </c>
      <c r="C826" s="30" t="str">
        <f>VLOOKUP(B826,gachas!A:C,3)</f>
        <v>600万DLガチャ1（カラーフェス限）</v>
      </c>
      <c r="D826" s="21">
        <v>1</v>
      </c>
      <c r="E826" s="2">
        <v>0</v>
      </c>
      <c r="F826" s="2">
        <v>1</v>
      </c>
      <c r="G826" s="3" t="s">
        <v>1566</v>
      </c>
      <c r="H826" s="2">
        <v>5</v>
      </c>
      <c r="I826" s="114" t="str">
        <f t="shared" ref="I826" si="232">B826&amp;TEXT(D826,"00")&amp;E826</f>
        <v>409010</v>
      </c>
      <c r="J826" s="114" t="s">
        <v>1571</v>
      </c>
      <c r="K826" s="2" t="s">
        <v>1571</v>
      </c>
      <c r="L826" s="2">
        <v>0</v>
      </c>
      <c r="M826" s="2" t="s">
        <v>1571</v>
      </c>
      <c r="N826" s="2" t="s">
        <v>1571</v>
      </c>
      <c r="O826" s="2" t="s">
        <v>118</v>
      </c>
      <c r="P826" s="2" t="s">
        <v>84</v>
      </c>
    </row>
    <row r="827" spans="1:16" ht="21" customHeight="1" x14ac:dyDescent="0.15">
      <c r="A827" s="10" t="str">
        <f t="shared" si="221"/>
        <v>409_10_1_10_polygon</v>
      </c>
      <c r="B827" s="2">
        <v>409</v>
      </c>
      <c r="C827" s="30" t="str">
        <f>VLOOKUP(B827,gachas!A:C,3)</f>
        <v>600万DLガチャ1（カラーフェス限）</v>
      </c>
      <c r="D827" s="21">
        <v>10</v>
      </c>
      <c r="E827" s="2">
        <v>1</v>
      </c>
      <c r="F827" s="2">
        <v>10</v>
      </c>
      <c r="G827" s="3" t="s">
        <v>1566</v>
      </c>
      <c r="H827" s="2">
        <v>50</v>
      </c>
      <c r="I827" s="114">
        <v>409100</v>
      </c>
      <c r="J827" s="114" t="s">
        <v>1571</v>
      </c>
      <c r="K827" s="2" t="s">
        <v>1571</v>
      </c>
      <c r="L827" s="2">
        <v>0</v>
      </c>
      <c r="M827" s="2" t="s">
        <v>1571</v>
      </c>
      <c r="N827" s="2" t="s">
        <v>1571</v>
      </c>
      <c r="O827" s="2" t="s">
        <v>118</v>
      </c>
      <c r="P827" s="2" t="s">
        <v>1603</v>
      </c>
    </row>
    <row r="828" spans="1:16" ht="21" customHeight="1" x14ac:dyDescent="0.15">
      <c r="A828" s="10" t="str">
        <f t="shared" si="221"/>
        <v>409_10_2_10_polygon</v>
      </c>
      <c r="B828" s="2">
        <v>409</v>
      </c>
      <c r="C828" s="30" t="str">
        <f>VLOOKUP(B828,gachas!A:C,3)</f>
        <v>600万DLガチャ1（カラーフェス限）</v>
      </c>
      <c r="D828" s="21">
        <v>10</v>
      </c>
      <c r="E828" s="2">
        <v>2</v>
      </c>
      <c r="F828" s="2">
        <v>10</v>
      </c>
      <c r="G828" s="3" t="s">
        <v>1566</v>
      </c>
      <c r="H828" s="2">
        <v>50</v>
      </c>
      <c r="I828" s="114">
        <v>409100</v>
      </c>
      <c r="J828" s="114" t="s">
        <v>1571</v>
      </c>
      <c r="K828" s="2" t="s">
        <v>1571</v>
      </c>
      <c r="L828" s="2">
        <v>0</v>
      </c>
      <c r="M828" s="2" t="s">
        <v>1571</v>
      </c>
      <c r="N828" s="2" t="s">
        <v>1571</v>
      </c>
      <c r="O828" s="2" t="s">
        <v>118</v>
      </c>
      <c r="P828" s="2" t="s">
        <v>1604</v>
      </c>
    </row>
    <row r="829" spans="1:16" ht="21" customHeight="1" x14ac:dyDescent="0.15">
      <c r="A829" s="10" t="str">
        <f t="shared" si="221"/>
        <v>409_10_3_10_polygon</v>
      </c>
      <c r="B829" s="2">
        <v>409</v>
      </c>
      <c r="C829" s="30" t="str">
        <f>VLOOKUP(B829,gachas!A:C,3)</f>
        <v>600万DLガチャ1（カラーフェス限）</v>
      </c>
      <c r="D829" s="21">
        <v>10</v>
      </c>
      <c r="E829" s="2">
        <v>3</v>
      </c>
      <c r="F829" s="2">
        <v>10</v>
      </c>
      <c r="G829" s="3" t="s">
        <v>1566</v>
      </c>
      <c r="H829" s="2">
        <v>50</v>
      </c>
      <c r="I829" s="114">
        <v>409100</v>
      </c>
      <c r="J829" s="114" t="s">
        <v>1571</v>
      </c>
      <c r="K829" s="2" t="s">
        <v>1571</v>
      </c>
      <c r="L829" s="2">
        <v>0</v>
      </c>
      <c r="M829" s="2" t="s">
        <v>1571</v>
      </c>
      <c r="N829" s="2" t="s">
        <v>1571</v>
      </c>
      <c r="O829" s="2" t="s">
        <v>118</v>
      </c>
      <c r="P829" s="2" t="s">
        <v>1605</v>
      </c>
    </row>
    <row r="830" spans="1:16" ht="21" customHeight="1" x14ac:dyDescent="0.15">
      <c r="A830" s="10" t="str">
        <f t="shared" si="221"/>
        <v>409_10_4_10_polygon</v>
      </c>
      <c r="B830" s="2">
        <v>409</v>
      </c>
      <c r="C830" s="30" t="str">
        <f>VLOOKUP(B830,gachas!A:C,3)</f>
        <v>600万DLガチャ1（カラーフェス限）</v>
      </c>
      <c r="D830" s="21">
        <v>10</v>
      </c>
      <c r="E830" s="2">
        <v>4</v>
      </c>
      <c r="F830" s="2">
        <v>10</v>
      </c>
      <c r="G830" s="3" t="s">
        <v>1566</v>
      </c>
      <c r="H830" s="2">
        <v>50</v>
      </c>
      <c r="I830" s="114">
        <v>409100</v>
      </c>
      <c r="J830" s="114" t="s">
        <v>1571</v>
      </c>
      <c r="K830" s="2" t="s">
        <v>1571</v>
      </c>
      <c r="L830" s="2">
        <v>0</v>
      </c>
      <c r="M830" s="2" t="s">
        <v>1571</v>
      </c>
      <c r="N830" s="2" t="s">
        <v>1571</v>
      </c>
      <c r="O830" s="2" t="s">
        <v>118</v>
      </c>
      <c r="P830" s="2" t="s">
        <v>1606</v>
      </c>
    </row>
    <row r="831" spans="1:16" ht="21" customHeight="1" x14ac:dyDescent="0.15">
      <c r="A831" s="10" t="str">
        <f t="shared" si="221"/>
        <v>409_10_5_10_polygon</v>
      </c>
      <c r="B831" s="2">
        <v>409</v>
      </c>
      <c r="C831" s="30" t="str">
        <f>VLOOKUP(B831,gachas!A:C,3)</f>
        <v>600万DLガチャ1（カラーフェス限）</v>
      </c>
      <c r="D831" s="21">
        <v>10</v>
      </c>
      <c r="E831" s="2">
        <v>5</v>
      </c>
      <c r="F831" s="2">
        <v>10</v>
      </c>
      <c r="G831" s="3" t="s">
        <v>1566</v>
      </c>
      <c r="H831" s="2">
        <v>50</v>
      </c>
      <c r="I831" s="114">
        <v>409100</v>
      </c>
      <c r="J831" s="114">
        <v>409105</v>
      </c>
      <c r="K831" s="2" t="s">
        <v>1571</v>
      </c>
      <c r="L831" s="2">
        <v>0</v>
      </c>
      <c r="M831" s="2" t="s">
        <v>1571</v>
      </c>
      <c r="N831" s="2" t="s">
        <v>1571</v>
      </c>
      <c r="O831" s="2" t="s">
        <v>118</v>
      </c>
      <c r="P831" s="2" t="s">
        <v>1607</v>
      </c>
    </row>
    <row r="832" spans="1:16" ht="21" customHeight="1" x14ac:dyDescent="0.15">
      <c r="A832" s="10" t="str">
        <f t="shared" si="221"/>
        <v>409_10_6_10_polygon</v>
      </c>
      <c r="B832" s="2">
        <v>409</v>
      </c>
      <c r="C832" s="30" t="str">
        <f>VLOOKUP(B832,gachas!A:C,3)</f>
        <v>600万DLガチャ1（カラーフェス限）</v>
      </c>
      <c r="D832" s="21">
        <v>10</v>
      </c>
      <c r="E832" s="2">
        <v>6</v>
      </c>
      <c r="F832" s="2">
        <v>10</v>
      </c>
      <c r="G832" s="3" t="s">
        <v>1566</v>
      </c>
      <c r="H832" s="2">
        <v>50</v>
      </c>
      <c r="I832" s="114">
        <v>409100</v>
      </c>
      <c r="J832" s="114" t="s">
        <v>1571</v>
      </c>
      <c r="K832" s="2" t="s">
        <v>1571</v>
      </c>
      <c r="L832" s="2">
        <v>0</v>
      </c>
      <c r="M832" s="2" t="s">
        <v>1571</v>
      </c>
      <c r="N832" s="2" t="s">
        <v>1571</v>
      </c>
      <c r="O832" s="2" t="s">
        <v>118</v>
      </c>
      <c r="P832" s="2" t="s">
        <v>1603</v>
      </c>
    </row>
    <row r="833" spans="1:16" ht="21" customHeight="1" x14ac:dyDescent="0.15">
      <c r="A833" s="10" t="str">
        <f t="shared" si="221"/>
        <v>409_10_7_10_polygon</v>
      </c>
      <c r="B833" s="2">
        <v>409</v>
      </c>
      <c r="C833" s="30" t="str">
        <f>VLOOKUP(B833,gachas!A:C,3)</f>
        <v>600万DLガチャ1（カラーフェス限）</v>
      </c>
      <c r="D833" s="21">
        <v>10</v>
      </c>
      <c r="E833" s="2">
        <v>7</v>
      </c>
      <c r="F833" s="2">
        <v>10</v>
      </c>
      <c r="G833" s="3" t="s">
        <v>1566</v>
      </c>
      <c r="H833" s="2">
        <v>50</v>
      </c>
      <c r="I833" s="114">
        <v>409100</v>
      </c>
      <c r="J833" s="114" t="s">
        <v>1571</v>
      </c>
      <c r="K833" s="2" t="s">
        <v>1571</v>
      </c>
      <c r="L833" s="2">
        <v>0</v>
      </c>
      <c r="M833" s="2" t="s">
        <v>1571</v>
      </c>
      <c r="N833" s="2" t="s">
        <v>1571</v>
      </c>
      <c r="O833" s="2" t="s">
        <v>118</v>
      </c>
      <c r="P833" s="2" t="s">
        <v>1604</v>
      </c>
    </row>
    <row r="834" spans="1:16" ht="21" customHeight="1" x14ac:dyDescent="0.15">
      <c r="A834" s="10" t="str">
        <f t="shared" si="221"/>
        <v>409_10_8_10_polygon</v>
      </c>
      <c r="B834" s="2">
        <v>409</v>
      </c>
      <c r="C834" s="30" t="str">
        <f>VLOOKUP(B834,gachas!A:C,3)</f>
        <v>600万DLガチャ1（カラーフェス限）</v>
      </c>
      <c r="D834" s="21">
        <v>10</v>
      </c>
      <c r="E834" s="2">
        <v>8</v>
      </c>
      <c r="F834" s="2">
        <v>10</v>
      </c>
      <c r="G834" s="3" t="s">
        <v>1566</v>
      </c>
      <c r="H834" s="2">
        <v>50</v>
      </c>
      <c r="I834" s="114">
        <v>409100</v>
      </c>
      <c r="J834" s="114" t="s">
        <v>1571</v>
      </c>
      <c r="K834" s="2" t="s">
        <v>1571</v>
      </c>
      <c r="L834" s="2">
        <v>0</v>
      </c>
      <c r="M834" s="2" t="s">
        <v>1571</v>
      </c>
      <c r="N834" s="2" t="s">
        <v>1571</v>
      </c>
      <c r="O834" s="2" t="s">
        <v>118</v>
      </c>
      <c r="P834" s="2" t="s">
        <v>1605</v>
      </c>
    </row>
    <row r="835" spans="1:16" ht="21" customHeight="1" x14ac:dyDescent="0.15">
      <c r="A835" s="10" t="str">
        <f t="shared" si="221"/>
        <v>409_10_9_10_polygon</v>
      </c>
      <c r="B835" s="2">
        <v>409</v>
      </c>
      <c r="C835" s="30" t="str">
        <f>VLOOKUP(B835,gachas!A:C,3)</f>
        <v>600万DLガチャ1（カラーフェス限）</v>
      </c>
      <c r="D835" s="21">
        <v>10</v>
      </c>
      <c r="E835" s="2">
        <v>9</v>
      </c>
      <c r="F835" s="2">
        <v>10</v>
      </c>
      <c r="G835" s="3" t="s">
        <v>1566</v>
      </c>
      <c r="H835" s="2">
        <v>50</v>
      </c>
      <c r="I835" s="114">
        <v>409100</v>
      </c>
      <c r="J835" s="114" t="s">
        <v>1571</v>
      </c>
      <c r="K835" s="2" t="s">
        <v>1571</v>
      </c>
      <c r="L835" s="2">
        <v>0</v>
      </c>
      <c r="M835" s="2" t="s">
        <v>1571</v>
      </c>
      <c r="N835" s="2" t="s">
        <v>1571</v>
      </c>
      <c r="O835" s="2" t="s">
        <v>118</v>
      </c>
      <c r="P835" s="2" t="s">
        <v>1606</v>
      </c>
    </row>
    <row r="836" spans="1:16" ht="21" customHeight="1" x14ac:dyDescent="0.15">
      <c r="A836" s="10" t="str">
        <f t="shared" si="221"/>
        <v>409_10_10_10_polygon</v>
      </c>
      <c r="B836" s="2">
        <v>409</v>
      </c>
      <c r="C836" s="30" t="str">
        <f>VLOOKUP(B836,gachas!A:C,3)</f>
        <v>600万DLガチャ1（カラーフェス限）</v>
      </c>
      <c r="D836" s="21">
        <v>10</v>
      </c>
      <c r="E836" s="2">
        <v>10</v>
      </c>
      <c r="F836" s="2">
        <v>10</v>
      </c>
      <c r="G836" s="3" t="s">
        <v>1566</v>
      </c>
      <c r="H836" s="2">
        <v>50</v>
      </c>
      <c r="I836" s="114">
        <v>409100</v>
      </c>
      <c r="J836" s="114">
        <v>409105</v>
      </c>
      <c r="K836" s="2" t="s">
        <v>1571</v>
      </c>
      <c r="L836" s="2">
        <v>0</v>
      </c>
      <c r="M836" s="2" t="s">
        <v>1571</v>
      </c>
      <c r="N836" s="2" t="s">
        <v>1571</v>
      </c>
      <c r="O836" s="2" t="s">
        <v>118</v>
      </c>
      <c r="P836" s="2" t="s">
        <v>1607</v>
      </c>
    </row>
    <row r="837" spans="1:16" ht="21" customHeight="1" x14ac:dyDescent="0.15">
      <c r="A837" s="10" t="str">
        <f t="shared" si="221"/>
        <v>409_10_11_10_polygon</v>
      </c>
      <c r="B837" s="2">
        <v>409</v>
      </c>
      <c r="C837" s="30" t="str">
        <f>VLOOKUP(B837,gachas!A:C,3)</f>
        <v>600万DLガチャ1（カラーフェス限）</v>
      </c>
      <c r="D837" s="21">
        <v>10</v>
      </c>
      <c r="E837" s="2">
        <v>11</v>
      </c>
      <c r="F837" s="2">
        <v>10</v>
      </c>
      <c r="G837" s="3" t="s">
        <v>1566</v>
      </c>
      <c r="H837" s="2">
        <v>50</v>
      </c>
      <c r="I837" s="114">
        <v>409100</v>
      </c>
      <c r="J837" s="114" t="s">
        <v>1571</v>
      </c>
      <c r="K837" s="2" t="s">
        <v>1571</v>
      </c>
      <c r="L837" s="2">
        <v>0</v>
      </c>
      <c r="M837" s="2" t="s">
        <v>1571</v>
      </c>
      <c r="N837" s="2" t="s">
        <v>1571</v>
      </c>
      <c r="O837" s="2" t="s">
        <v>118</v>
      </c>
      <c r="P837" s="2" t="s">
        <v>1603</v>
      </c>
    </row>
    <row r="838" spans="1:16" ht="21" customHeight="1" x14ac:dyDescent="0.15">
      <c r="A838" s="10" t="str">
        <f t="shared" si="221"/>
        <v>409_10_12_10_polygon</v>
      </c>
      <c r="B838" s="2">
        <v>409</v>
      </c>
      <c r="C838" s="30" t="str">
        <f>VLOOKUP(B838,gachas!A:C,3)</f>
        <v>600万DLガチャ1（カラーフェス限）</v>
      </c>
      <c r="D838" s="21">
        <v>10</v>
      </c>
      <c r="E838" s="2">
        <v>12</v>
      </c>
      <c r="F838" s="2">
        <v>10</v>
      </c>
      <c r="G838" s="3" t="s">
        <v>1566</v>
      </c>
      <c r="H838" s="2">
        <v>50</v>
      </c>
      <c r="I838" s="114">
        <v>409100</v>
      </c>
      <c r="J838" s="114" t="s">
        <v>1571</v>
      </c>
      <c r="K838" s="2" t="s">
        <v>1571</v>
      </c>
      <c r="L838" s="2">
        <v>0</v>
      </c>
      <c r="M838" s="2" t="s">
        <v>1571</v>
      </c>
      <c r="N838" s="2" t="s">
        <v>1571</v>
      </c>
      <c r="O838" s="2" t="s">
        <v>118</v>
      </c>
      <c r="P838" s="2" t="s">
        <v>1604</v>
      </c>
    </row>
    <row r="839" spans="1:16" ht="21" customHeight="1" x14ac:dyDescent="0.15">
      <c r="A839" s="10" t="str">
        <f t="shared" si="221"/>
        <v>409_10_13_10_polygon</v>
      </c>
      <c r="B839" s="2">
        <v>409</v>
      </c>
      <c r="C839" s="30" t="str">
        <f>VLOOKUP(B839,gachas!A:C,3)</f>
        <v>600万DLガチャ1（カラーフェス限）</v>
      </c>
      <c r="D839" s="21">
        <v>10</v>
      </c>
      <c r="E839" s="2">
        <v>13</v>
      </c>
      <c r="F839" s="2">
        <v>10</v>
      </c>
      <c r="G839" s="3" t="s">
        <v>1566</v>
      </c>
      <c r="H839" s="2">
        <v>50</v>
      </c>
      <c r="I839" s="114">
        <v>409100</v>
      </c>
      <c r="J839" s="114" t="s">
        <v>1571</v>
      </c>
      <c r="K839" s="2" t="s">
        <v>1571</v>
      </c>
      <c r="L839" s="2">
        <v>0</v>
      </c>
      <c r="M839" s="2" t="s">
        <v>1571</v>
      </c>
      <c r="N839" s="2" t="s">
        <v>1571</v>
      </c>
      <c r="O839" s="2" t="s">
        <v>118</v>
      </c>
      <c r="P839" s="2" t="s">
        <v>1605</v>
      </c>
    </row>
    <row r="840" spans="1:16" ht="21" customHeight="1" x14ac:dyDescent="0.15">
      <c r="A840" s="10" t="str">
        <f t="shared" si="221"/>
        <v>409_10_14_10_polygon</v>
      </c>
      <c r="B840" s="2">
        <v>409</v>
      </c>
      <c r="C840" s="30" t="str">
        <f>VLOOKUP(B840,gachas!A:C,3)</f>
        <v>600万DLガチャ1（カラーフェス限）</v>
      </c>
      <c r="D840" s="21">
        <v>10</v>
      </c>
      <c r="E840" s="2">
        <v>14</v>
      </c>
      <c r="F840" s="2">
        <v>10</v>
      </c>
      <c r="G840" s="3" t="s">
        <v>1566</v>
      </c>
      <c r="H840" s="2">
        <v>50</v>
      </c>
      <c r="I840" s="114">
        <v>409100</v>
      </c>
      <c r="J840" s="114" t="s">
        <v>1571</v>
      </c>
      <c r="K840" s="2" t="s">
        <v>1571</v>
      </c>
      <c r="L840" s="2">
        <v>0</v>
      </c>
      <c r="M840" s="2" t="s">
        <v>1571</v>
      </c>
      <c r="N840" s="2" t="s">
        <v>1571</v>
      </c>
      <c r="O840" s="2" t="s">
        <v>118</v>
      </c>
      <c r="P840" s="2" t="s">
        <v>1606</v>
      </c>
    </row>
    <row r="841" spans="1:16" ht="21" customHeight="1" x14ac:dyDescent="0.15">
      <c r="A841" s="10" t="str">
        <f t="shared" si="221"/>
        <v>409_10_15_10_polygon</v>
      </c>
      <c r="B841" s="2">
        <v>409</v>
      </c>
      <c r="C841" s="30" t="str">
        <f>VLOOKUP(B841,gachas!A:C,3)</f>
        <v>600万DLガチャ1（カラーフェス限）</v>
      </c>
      <c r="D841" s="21">
        <v>10</v>
      </c>
      <c r="E841" s="2">
        <v>15</v>
      </c>
      <c r="F841" s="2">
        <v>10</v>
      </c>
      <c r="G841" s="3" t="s">
        <v>1566</v>
      </c>
      <c r="H841" s="2">
        <v>50</v>
      </c>
      <c r="I841" s="114">
        <v>409100</v>
      </c>
      <c r="J841" s="114">
        <v>409105</v>
      </c>
      <c r="K841" s="2" t="s">
        <v>1571</v>
      </c>
      <c r="L841" s="2">
        <v>0</v>
      </c>
      <c r="M841" s="2" t="s">
        <v>1571</v>
      </c>
      <c r="N841" s="2" t="s">
        <v>1571</v>
      </c>
      <c r="O841" s="2" t="s">
        <v>118</v>
      </c>
      <c r="P841" s="2" t="s">
        <v>1607</v>
      </c>
    </row>
    <row r="842" spans="1:16" ht="21" customHeight="1" x14ac:dyDescent="0.15">
      <c r="A842" s="10" t="str">
        <f t="shared" si="221"/>
        <v>409_10_16_10_polygon</v>
      </c>
      <c r="B842" s="2">
        <v>409</v>
      </c>
      <c r="C842" s="30" t="str">
        <f>VLOOKUP(B842,gachas!A:C,3)</f>
        <v>600万DLガチャ1（カラーフェス限）</v>
      </c>
      <c r="D842" s="21">
        <v>10</v>
      </c>
      <c r="E842" s="2">
        <v>16</v>
      </c>
      <c r="F842" s="2">
        <v>10</v>
      </c>
      <c r="G842" s="3" t="s">
        <v>1566</v>
      </c>
      <c r="H842" s="2">
        <v>50</v>
      </c>
      <c r="I842" s="114">
        <v>409100</v>
      </c>
      <c r="J842" s="114" t="s">
        <v>1571</v>
      </c>
      <c r="K842" s="2" t="s">
        <v>1571</v>
      </c>
      <c r="L842" s="2">
        <v>0</v>
      </c>
      <c r="M842" s="2" t="s">
        <v>1571</v>
      </c>
      <c r="N842" s="2" t="s">
        <v>1571</v>
      </c>
      <c r="O842" s="2" t="s">
        <v>118</v>
      </c>
      <c r="P842" s="2" t="s">
        <v>1603</v>
      </c>
    </row>
    <row r="843" spans="1:16" ht="21" customHeight="1" x14ac:dyDescent="0.15">
      <c r="A843" s="10" t="str">
        <f t="shared" si="221"/>
        <v>409_10_17_10_polygon</v>
      </c>
      <c r="B843" s="2">
        <v>409</v>
      </c>
      <c r="C843" s="30" t="str">
        <f>VLOOKUP(B843,gachas!A:C,3)</f>
        <v>600万DLガチャ1（カラーフェス限）</v>
      </c>
      <c r="D843" s="21">
        <v>10</v>
      </c>
      <c r="E843" s="2">
        <v>17</v>
      </c>
      <c r="F843" s="2">
        <v>10</v>
      </c>
      <c r="G843" s="3" t="s">
        <v>1566</v>
      </c>
      <c r="H843" s="2">
        <v>50</v>
      </c>
      <c r="I843" s="114">
        <v>409100</v>
      </c>
      <c r="J843" s="114" t="s">
        <v>1571</v>
      </c>
      <c r="K843" s="2" t="s">
        <v>1571</v>
      </c>
      <c r="L843" s="2">
        <v>0</v>
      </c>
      <c r="M843" s="2" t="s">
        <v>1571</v>
      </c>
      <c r="N843" s="2" t="s">
        <v>1571</v>
      </c>
      <c r="O843" s="2" t="s">
        <v>118</v>
      </c>
      <c r="P843" s="2" t="s">
        <v>1604</v>
      </c>
    </row>
    <row r="844" spans="1:16" ht="21" customHeight="1" x14ac:dyDescent="0.15">
      <c r="A844" s="10" t="str">
        <f t="shared" si="221"/>
        <v>409_10_18_10_polygon</v>
      </c>
      <c r="B844" s="2">
        <v>409</v>
      </c>
      <c r="C844" s="30" t="str">
        <f>VLOOKUP(B844,gachas!A:C,3)</f>
        <v>600万DLガチャ1（カラーフェス限）</v>
      </c>
      <c r="D844" s="21">
        <v>10</v>
      </c>
      <c r="E844" s="2">
        <v>18</v>
      </c>
      <c r="F844" s="2">
        <v>10</v>
      </c>
      <c r="G844" s="3" t="s">
        <v>1566</v>
      </c>
      <c r="H844" s="2">
        <v>50</v>
      </c>
      <c r="I844" s="114">
        <v>409100</v>
      </c>
      <c r="J844" s="114" t="s">
        <v>1571</v>
      </c>
      <c r="K844" s="2" t="s">
        <v>1571</v>
      </c>
      <c r="L844" s="2">
        <v>0</v>
      </c>
      <c r="M844" s="2" t="s">
        <v>1571</v>
      </c>
      <c r="N844" s="2" t="s">
        <v>1571</v>
      </c>
      <c r="O844" s="2" t="s">
        <v>118</v>
      </c>
      <c r="P844" s="2" t="s">
        <v>1605</v>
      </c>
    </row>
    <row r="845" spans="1:16" ht="21" customHeight="1" x14ac:dyDescent="0.15">
      <c r="A845" s="10" t="str">
        <f t="shared" si="221"/>
        <v>409_10_19_10_polygon</v>
      </c>
      <c r="B845" s="2">
        <v>409</v>
      </c>
      <c r="C845" s="30" t="str">
        <f>VLOOKUP(B845,gachas!A:C,3)</f>
        <v>600万DLガチャ1（カラーフェス限）</v>
      </c>
      <c r="D845" s="21">
        <v>10</v>
      </c>
      <c r="E845" s="2">
        <v>19</v>
      </c>
      <c r="F845" s="2">
        <v>10</v>
      </c>
      <c r="G845" s="3" t="s">
        <v>1566</v>
      </c>
      <c r="H845" s="2">
        <v>50</v>
      </c>
      <c r="I845" s="114">
        <v>409100</v>
      </c>
      <c r="J845" s="114" t="s">
        <v>1571</v>
      </c>
      <c r="K845" s="2" t="s">
        <v>1571</v>
      </c>
      <c r="L845" s="2">
        <v>0</v>
      </c>
      <c r="M845" s="2" t="s">
        <v>1571</v>
      </c>
      <c r="N845" s="2" t="s">
        <v>1571</v>
      </c>
      <c r="O845" s="2" t="s">
        <v>118</v>
      </c>
      <c r="P845" s="2" t="s">
        <v>1606</v>
      </c>
    </row>
    <row r="846" spans="1:16" ht="21" customHeight="1" x14ac:dyDescent="0.15">
      <c r="A846" s="10" t="str">
        <f t="shared" si="221"/>
        <v>409_10_20_10_polygon</v>
      </c>
      <c r="B846" s="2">
        <v>409</v>
      </c>
      <c r="C846" s="30" t="str">
        <f>VLOOKUP(B846,gachas!A:C,3)</f>
        <v>600万DLガチャ1（カラーフェス限）</v>
      </c>
      <c r="D846" s="21">
        <v>10</v>
      </c>
      <c r="E846" s="2">
        <v>20</v>
      </c>
      <c r="F846" s="2">
        <v>10</v>
      </c>
      <c r="G846" s="3" t="s">
        <v>1566</v>
      </c>
      <c r="H846" s="2">
        <v>50</v>
      </c>
      <c r="I846" s="114">
        <v>409100</v>
      </c>
      <c r="J846" s="114">
        <v>409105</v>
      </c>
      <c r="K846" s="2" t="s">
        <v>1571</v>
      </c>
      <c r="L846" s="2">
        <v>0</v>
      </c>
      <c r="M846" s="2" t="s">
        <v>1571</v>
      </c>
      <c r="N846" s="2" t="s">
        <v>1571</v>
      </c>
      <c r="O846" s="2" t="s">
        <v>118</v>
      </c>
      <c r="P846" s="2" t="s">
        <v>1607</v>
      </c>
    </row>
    <row r="847" spans="1:16" ht="21" customHeight="1" x14ac:dyDescent="0.15">
      <c r="A847" s="10" t="str">
        <f t="shared" si="221"/>
        <v>409_10_21_10_polygon</v>
      </c>
      <c r="B847" s="2">
        <v>409</v>
      </c>
      <c r="C847" s="30" t="str">
        <f>VLOOKUP(B847,gachas!A:C,3)</f>
        <v>600万DLガチャ1（カラーフェス限）</v>
      </c>
      <c r="D847" s="21">
        <v>10</v>
      </c>
      <c r="E847" s="2">
        <v>21</v>
      </c>
      <c r="F847" s="2">
        <v>10</v>
      </c>
      <c r="G847" s="3" t="s">
        <v>1566</v>
      </c>
      <c r="H847" s="2">
        <v>50</v>
      </c>
      <c r="I847" s="114">
        <v>409100</v>
      </c>
      <c r="J847" s="114" t="s">
        <v>1571</v>
      </c>
      <c r="K847" s="2" t="s">
        <v>1571</v>
      </c>
      <c r="L847" s="2">
        <v>0</v>
      </c>
      <c r="M847" s="2" t="s">
        <v>1571</v>
      </c>
      <c r="N847" s="2" t="s">
        <v>1571</v>
      </c>
      <c r="O847" s="2" t="s">
        <v>118</v>
      </c>
      <c r="P847" s="2" t="s">
        <v>1603</v>
      </c>
    </row>
    <row r="848" spans="1:16" ht="21" customHeight="1" x14ac:dyDescent="0.15">
      <c r="A848" s="10" t="str">
        <f t="shared" si="221"/>
        <v>409_10_22_10_polygon</v>
      </c>
      <c r="B848" s="2">
        <v>409</v>
      </c>
      <c r="C848" s="30" t="str">
        <f>VLOOKUP(B848,gachas!A:C,3)</f>
        <v>600万DLガチャ1（カラーフェス限）</v>
      </c>
      <c r="D848" s="21">
        <v>10</v>
      </c>
      <c r="E848" s="2">
        <v>22</v>
      </c>
      <c r="F848" s="2">
        <v>10</v>
      </c>
      <c r="G848" s="3" t="s">
        <v>1566</v>
      </c>
      <c r="H848" s="2">
        <v>50</v>
      </c>
      <c r="I848" s="114">
        <v>409100</v>
      </c>
      <c r="J848" s="114" t="s">
        <v>1571</v>
      </c>
      <c r="K848" s="2" t="s">
        <v>1571</v>
      </c>
      <c r="L848" s="2">
        <v>0</v>
      </c>
      <c r="M848" s="2" t="s">
        <v>1571</v>
      </c>
      <c r="N848" s="2" t="s">
        <v>1571</v>
      </c>
      <c r="O848" s="2" t="s">
        <v>118</v>
      </c>
      <c r="P848" s="2" t="s">
        <v>1604</v>
      </c>
    </row>
    <row r="849" spans="1:16" ht="21" customHeight="1" x14ac:dyDescent="0.15">
      <c r="A849" s="10" t="str">
        <f t="shared" si="221"/>
        <v>409_10_23_10_polygon</v>
      </c>
      <c r="B849" s="2">
        <v>409</v>
      </c>
      <c r="C849" s="30" t="str">
        <f>VLOOKUP(B849,gachas!A:C,3)</f>
        <v>600万DLガチャ1（カラーフェス限）</v>
      </c>
      <c r="D849" s="21">
        <v>10</v>
      </c>
      <c r="E849" s="2">
        <v>23</v>
      </c>
      <c r="F849" s="2">
        <v>10</v>
      </c>
      <c r="G849" s="3" t="s">
        <v>1566</v>
      </c>
      <c r="H849" s="2">
        <v>50</v>
      </c>
      <c r="I849" s="114">
        <v>409100</v>
      </c>
      <c r="J849" s="114" t="s">
        <v>1571</v>
      </c>
      <c r="K849" s="2" t="s">
        <v>1571</v>
      </c>
      <c r="L849" s="2">
        <v>0</v>
      </c>
      <c r="M849" s="2" t="s">
        <v>1571</v>
      </c>
      <c r="N849" s="2" t="s">
        <v>1571</v>
      </c>
      <c r="O849" s="2" t="s">
        <v>118</v>
      </c>
      <c r="P849" s="2" t="s">
        <v>1605</v>
      </c>
    </row>
    <row r="850" spans="1:16" ht="21" customHeight="1" x14ac:dyDescent="0.15">
      <c r="A850" s="10" t="str">
        <f t="shared" si="221"/>
        <v>409_10_24_10_polygon</v>
      </c>
      <c r="B850" s="2">
        <v>409</v>
      </c>
      <c r="C850" s="30" t="str">
        <f>VLOOKUP(B850,gachas!A:C,3)</f>
        <v>600万DLガチャ1（カラーフェス限）</v>
      </c>
      <c r="D850" s="21">
        <v>10</v>
      </c>
      <c r="E850" s="2">
        <v>24</v>
      </c>
      <c r="F850" s="2">
        <v>10</v>
      </c>
      <c r="G850" s="3" t="s">
        <v>1566</v>
      </c>
      <c r="H850" s="2">
        <v>50</v>
      </c>
      <c r="I850" s="114">
        <v>409100</v>
      </c>
      <c r="J850" s="114" t="s">
        <v>1571</v>
      </c>
      <c r="K850" s="2" t="s">
        <v>1571</v>
      </c>
      <c r="L850" s="2">
        <v>0</v>
      </c>
      <c r="M850" s="2" t="s">
        <v>1571</v>
      </c>
      <c r="N850" s="2" t="s">
        <v>1571</v>
      </c>
      <c r="O850" s="2" t="s">
        <v>118</v>
      </c>
      <c r="P850" s="2" t="s">
        <v>1606</v>
      </c>
    </row>
    <row r="851" spans="1:16" ht="21" customHeight="1" x14ac:dyDescent="0.15">
      <c r="A851" s="10" t="str">
        <f t="shared" si="221"/>
        <v>409_10_25_10_polygon</v>
      </c>
      <c r="B851" s="2">
        <v>409</v>
      </c>
      <c r="C851" s="30" t="str">
        <f>VLOOKUP(B851,gachas!A:C,3)</f>
        <v>600万DLガチャ1（カラーフェス限）</v>
      </c>
      <c r="D851" s="21">
        <v>10</v>
      </c>
      <c r="E851" s="2">
        <v>25</v>
      </c>
      <c r="F851" s="2">
        <v>10</v>
      </c>
      <c r="G851" s="3" t="s">
        <v>1566</v>
      </c>
      <c r="H851" s="2">
        <v>50</v>
      </c>
      <c r="I851" s="114">
        <v>409100</v>
      </c>
      <c r="J851" s="114">
        <v>409105</v>
      </c>
      <c r="K851" s="2" t="s">
        <v>1571</v>
      </c>
      <c r="L851" s="2">
        <v>0</v>
      </c>
      <c r="M851" s="2" t="s">
        <v>1571</v>
      </c>
      <c r="N851" s="2" t="s">
        <v>1571</v>
      </c>
      <c r="O851" s="2" t="s">
        <v>118</v>
      </c>
      <c r="P851" s="2" t="s">
        <v>1607</v>
      </c>
    </row>
    <row r="852" spans="1:16" ht="21" customHeight="1" x14ac:dyDescent="0.15">
      <c r="A852" s="10" t="str">
        <f t="shared" si="221"/>
        <v>409_10_26_10_polygon</v>
      </c>
      <c r="B852" s="2">
        <v>409</v>
      </c>
      <c r="C852" s="30" t="str">
        <f>VLOOKUP(B852,gachas!A:C,3)</f>
        <v>600万DLガチャ1（カラーフェス限）</v>
      </c>
      <c r="D852" s="21">
        <v>10</v>
      </c>
      <c r="E852" s="2">
        <v>26</v>
      </c>
      <c r="F852" s="2">
        <v>10</v>
      </c>
      <c r="G852" s="3" t="s">
        <v>1566</v>
      </c>
      <c r="H852" s="2">
        <v>50</v>
      </c>
      <c r="I852" s="114">
        <v>409100</v>
      </c>
      <c r="J852" s="114" t="s">
        <v>1571</v>
      </c>
      <c r="K852" s="2" t="s">
        <v>1571</v>
      </c>
      <c r="L852" s="2">
        <v>0</v>
      </c>
      <c r="M852" s="2" t="s">
        <v>1571</v>
      </c>
      <c r="N852" s="2" t="s">
        <v>1571</v>
      </c>
      <c r="O852" s="2" t="s">
        <v>118</v>
      </c>
      <c r="P852" s="2" t="s">
        <v>1603</v>
      </c>
    </row>
    <row r="853" spans="1:16" ht="21" customHeight="1" x14ac:dyDescent="0.15">
      <c r="A853" s="10" t="str">
        <f t="shared" si="221"/>
        <v>409_10_27_10_polygon</v>
      </c>
      <c r="B853" s="2">
        <v>409</v>
      </c>
      <c r="C853" s="30" t="str">
        <f>VLOOKUP(B853,gachas!A:C,3)</f>
        <v>600万DLガチャ1（カラーフェス限）</v>
      </c>
      <c r="D853" s="21">
        <v>10</v>
      </c>
      <c r="E853" s="2">
        <v>27</v>
      </c>
      <c r="F853" s="2">
        <v>10</v>
      </c>
      <c r="G853" s="3" t="s">
        <v>1566</v>
      </c>
      <c r="H853" s="2">
        <v>50</v>
      </c>
      <c r="I853" s="114">
        <v>409100</v>
      </c>
      <c r="J853" s="114" t="s">
        <v>1571</v>
      </c>
      <c r="K853" s="2" t="s">
        <v>1571</v>
      </c>
      <c r="L853" s="2">
        <v>0</v>
      </c>
      <c r="M853" s="2" t="s">
        <v>1571</v>
      </c>
      <c r="N853" s="2" t="s">
        <v>1571</v>
      </c>
      <c r="O853" s="2" t="s">
        <v>118</v>
      </c>
      <c r="P853" s="2" t="s">
        <v>1604</v>
      </c>
    </row>
    <row r="854" spans="1:16" ht="21" customHeight="1" x14ac:dyDescent="0.15">
      <c r="A854" s="10" t="str">
        <f t="shared" si="221"/>
        <v>409_10_28_10_polygon</v>
      </c>
      <c r="B854" s="2">
        <v>409</v>
      </c>
      <c r="C854" s="30" t="str">
        <f>VLOOKUP(B854,gachas!A:C,3)</f>
        <v>600万DLガチャ1（カラーフェス限）</v>
      </c>
      <c r="D854" s="21">
        <v>10</v>
      </c>
      <c r="E854" s="2">
        <v>28</v>
      </c>
      <c r="F854" s="2">
        <v>10</v>
      </c>
      <c r="G854" s="3" t="s">
        <v>1566</v>
      </c>
      <c r="H854" s="2">
        <v>50</v>
      </c>
      <c r="I854" s="114">
        <v>409100</v>
      </c>
      <c r="J854" s="114" t="s">
        <v>1571</v>
      </c>
      <c r="K854" s="2" t="s">
        <v>1571</v>
      </c>
      <c r="L854" s="2">
        <v>0</v>
      </c>
      <c r="M854" s="2" t="s">
        <v>1571</v>
      </c>
      <c r="N854" s="2" t="s">
        <v>1571</v>
      </c>
      <c r="O854" s="2" t="s">
        <v>118</v>
      </c>
      <c r="P854" s="2" t="s">
        <v>1605</v>
      </c>
    </row>
    <row r="855" spans="1:16" ht="21" customHeight="1" x14ac:dyDescent="0.15">
      <c r="A855" s="10" t="str">
        <f t="shared" si="221"/>
        <v>409_10_29_10_polygon</v>
      </c>
      <c r="B855" s="2">
        <v>409</v>
      </c>
      <c r="C855" s="30" t="str">
        <f>VLOOKUP(B855,gachas!A:C,3)</f>
        <v>600万DLガチャ1（カラーフェス限）</v>
      </c>
      <c r="D855" s="21">
        <v>10</v>
      </c>
      <c r="E855" s="2">
        <v>29</v>
      </c>
      <c r="F855" s="2">
        <v>10</v>
      </c>
      <c r="G855" s="3" t="s">
        <v>1566</v>
      </c>
      <c r="H855" s="2">
        <v>50</v>
      </c>
      <c r="I855" s="114">
        <v>409100</v>
      </c>
      <c r="J855" s="114" t="s">
        <v>1571</v>
      </c>
      <c r="K855" s="2" t="s">
        <v>1571</v>
      </c>
      <c r="L855" s="2">
        <v>0</v>
      </c>
      <c r="M855" s="2" t="s">
        <v>1571</v>
      </c>
      <c r="N855" s="2" t="s">
        <v>1571</v>
      </c>
      <c r="O855" s="2" t="s">
        <v>118</v>
      </c>
      <c r="P855" s="2" t="s">
        <v>1606</v>
      </c>
    </row>
    <row r="856" spans="1:16" ht="21" customHeight="1" x14ac:dyDescent="0.15">
      <c r="A856" s="10" t="str">
        <f t="shared" si="221"/>
        <v>409_10_30_10_polygon</v>
      </c>
      <c r="B856" s="2">
        <v>409</v>
      </c>
      <c r="C856" s="30" t="str">
        <f>VLOOKUP(B856,gachas!A:C,3)</f>
        <v>600万DLガチャ1（カラーフェス限）</v>
      </c>
      <c r="D856" s="21">
        <v>10</v>
      </c>
      <c r="E856" s="2">
        <v>30</v>
      </c>
      <c r="F856" s="2">
        <v>10</v>
      </c>
      <c r="G856" s="3" t="s">
        <v>1566</v>
      </c>
      <c r="H856" s="2">
        <v>50</v>
      </c>
      <c r="I856" s="114">
        <v>409100</v>
      </c>
      <c r="J856" s="114">
        <v>409105</v>
      </c>
      <c r="K856" s="2" t="s">
        <v>1571</v>
      </c>
      <c r="L856" s="2">
        <v>0</v>
      </c>
      <c r="M856" s="2" t="s">
        <v>1571</v>
      </c>
      <c r="N856" s="2" t="s">
        <v>1571</v>
      </c>
      <c r="O856" s="2" t="s">
        <v>118</v>
      </c>
      <c r="P856" s="2" t="s">
        <v>1607</v>
      </c>
    </row>
    <row r="857" spans="1:16" ht="21" customHeight="1" x14ac:dyDescent="0.15">
      <c r="A857" s="10" t="str">
        <f t="shared" si="221"/>
        <v>409_10_31_10_polygon</v>
      </c>
      <c r="B857" s="2">
        <v>409</v>
      </c>
      <c r="C857" s="30" t="str">
        <f>VLOOKUP(B857,gachas!A:C,3)</f>
        <v>600万DLガチャ1（カラーフェス限）</v>
      </c>
      <c r="D857" s="21">
        <v>10</v>
      </c>
      <c r="E857" s="2">
        <v>31</v>
      </c>
      <c r="F857" s="2">
        <v>10</v>
      </c>
      <c r="G857" s="3" t="s">
        <v>1566</v>
      </c>
      <c r="H857" s="2">
        <v>50</v>
      </c>
      <c r="I857" s="114">
        <v>409100</v>
      </c>
      <c r="J857" s="114" t="s">
        <v>1571</v>
      </c>
      <c r="K857" s="2" t="s">
        <v>1571</v>
      </c>
      <c r="L857" s="2">
        <v>0</v>
      </c>
      <c r="M857" s="2" t="s">
        <v>1571</v>
      </c>
      <c r="N857" s="2" t="s">
        <v>1571</v>
      </c>
      <c r="O857" s="2" t="s">
        <v>118</v>
      </c>
      <c r="P857" s="2" t="s">
        <v>1603</v>
      </c>
    </row>
    <row r="858" spans="1:16" ht="21" customHeight="1" x14ac:dyDescent="0.15">
      <c r="A858" s="10" t="str">
        <f t="shared" si="221"/>
        <v>409_10_32_10_polygon</v>
      </c>
      <c r="B858" s="2">
        <v>409</v>
      </c>
      <c r="C858" s="30" t="str">
        <f>VLOOKUP(B858,gachas!A:C,3)</f>
        <v>600万DLガチャ1（カラーフェス限）</v>
      </c>
      <c r="D858" s="21">
        <v>10</v>
      </c>
      <c r="E858" s="2">
        <v>32</v>
      </c>
      <c r="F858" s="2">
        <v>10</v>
      </c>
      <c r="G858" s="3" t="s">
        <v>1566</v>
      </c>
      <c r="H858" s="2">
        <v>50</v>
      </c>
      <c r="I858" s="114">
        <v>409100</v>
      </c>
      <c r="J858" s="114" t="s">
        <v>1571</v>
      </c>
      <c r="K858" s="2" t="s">
        <v>1571</v>
      </c>
      <c r="L858" s="2">
        <v>0</v>
      </c>
      <c r="M858" s="2" t="s">
        <v>1571</v>
      </c>
      <c r="N858" s="2" t="s">
        <v>1571</v>
      </c>
      <c r="O858" s="2" t="s">
        <v>118</v>
      </c>
      <c r="P858" s="2" t="s">
        <v>1604</v>
      </c>
    </row>
    <row r="859" spans="1:16" ht="21" customHeight="1" x14ac:dyDescent="0.15">
      <c r="A859" s="10" t="str">
        <f t="shared" si="221"/>
        <v>409_10_33_10_polygon</v>
      </c>
      <c r="B859" s="2">
        <v>409</v>
      </c>
      <c r="C859" s="30" t="str">
        <f>VLOOKUP(B859,gachas!A:C,3)</f>
        <v>600万DLガチャ1（カラーフェス限）</v>
      </c>
      <c r="D859" s="21">
        <v>10</v>
      </c>
      <c r="E859" s="2">
        <v>33</v>
      </c>
      <c r="F859" s="2">
        <v>10</v>
      </c>
      <c r="G859" s="3" t="s">
        <v>1566</v>
      </c>
      <c r="H859" s="2">
        <v>50</v>
      </c>
      <c r="I859" s="114">
        <v>409100</v>
      </c>
      <c r="J859" s="114" t="s">
        <v>1571</v>
      </c>
      <c r="K859" s="2" t="s">
        <v>1571</v>
      </c>
      <c r="L859" s="2">
        <v>0</v>
      </c>
      <c r="M859" s="2" t="s">
        <v>1571</v>
      </c>
      <c r="N859" s="2" t="s">
        <v>1571</v>
      </c>
      <c r="O859" s="2" t="s">
        <v>118</v>
      </c>
      <c r="P859" s="2" t="s">
        <v>1605</v>
      </c>
    </row>
    <row r="860" spans="1:16" ht="21" customHeight="1" x14ac:dyDescent="0.15">
      <c r="A860" s="10" t="str">
        <f t="shared" si="221"/>
        <v>409_10_34_10_polygon</v>
      </c>
      <c r="B860" s="2">
        <v>409</v>
      </c>
      <c r="C860" s="30" t="str">
        <f>VLOOKUP(B860,gachas!A:C,3)</f>
        <v>600万DLガチャ1（カラーフェス限）</v>
      </c>
      <c r="D860" s="21">
        <v>10</v>
      </c>
      <c r="E860" s="2">
        <v>34</v>
      </c>
      <c r="F860" s="2">
        <v>10</v>
      </c>
      <c r="G860" s="3" t="s">
        <v>1566</v>
      </c>
      <c r="H860" s="2">
        <v>50</v>
      </c>
      <c r="I860" s="114">
        <v>409100</v>
      </c>
      <c r="J860" s="114" t="s">
        <v>1571</v>
      </c>
      <c r="K860" s="2" t="s">
        <v>1571</v>
      </c>
      <c r="L860" s="2">
        <v>0</v>
      </c>
      <c r="M860" s="2" t="s">
        <v>1571</v>
      </c>
      <c r="N860" s="2" t="s">
        <v>1571</v>
      </c>
      <c r="O860" s="2" t="s">
        <v>118</v>
      </c>
      <c r="P860" s="2" t="s">
        <v>1606</v>
      </c>
    </row>
    <row r="861" spans="1:16" ht="21" customHeight="1" x14ac:dyDescent="0.15">
      <c r="A861" s="10" t="str">
        <f t="shared" si="221"/>
        <v>409_10_35_10_polygon</v>
      </c>
      <c r="B861" s="2">
        <v>409</v>
      </c>
      <c r="C861" s="30" t="str">
        <f>VLOOKUP(B861,gachas!A:C,3)</f>
        <v>600万DLガチャ1（カラーフェス限）</v>
      </c>
      <c r="D861" s="21">
        <v>10</v>
      </c>
      <c r="E861" s="2">
        <v>35</v>
      </c>
      <c r="F861" s="2">
        <v>10</v>
      </c>
      <c r="G861" s="3" t="s">
        <v>1566</v>
      </c>
      <c r="H861" s="2">
        <v>50</v>
      </c>
      <c r="I861" s="114">
        <v>409100</v>
      </c>
      <c r="J861" s="114">
        <v>409105</v>
      </c>
      <c r="K861" s="2" t="s">
        <v>1571</v>
      </c>
      <c r="L861" s="2">
        <v>0</v>
      </c>
      <c r="M861" s="2" t="s">
        <v>1571</v>
      </c>
      <c r="N861" s="2" t="s">
        <v>1571</v>
      </c>
      <c r="O861" s="2" t="s">
        <v>118</v>
      </c>
      <c r="P861" s="2" t="s">
        <v>1607</v>
      </c>
    </row>
    <row r="862" spans="1:16" ht="21" customHeight="1" x14ac:dyDescent="0.15">
      <c r="A862" s="10" t="str">
        <f t="shared" si="221"/>
        <v>409_10_36_10_polygon</v>
      </c>
      <c r="B862" s="2">
        <v>409</v>
      </c>
      <c r="C862" s="30" t="str">
        <f>VLOOKUP(B862,gachas!A:C,3)</f>
        <v>600万DLガチャ1（カラーフェス限）</v>
      </c>
      <c r="D862" s="21">
        <v>10</v>
      </c>
      <c r="E862" s="2">
        <v>36</v>
      </c>
      <c r="F862" s="2">
        <v>10</v>
      </c>
      <c r="G862" s="3" t="s">
        <v>1566</v>
      </c>
      <c r="H862" s="2">
        <v>50</v>
      </c>
      <c r="I862" s="114">
        <v>409100</v>
      </c>
      <c r="J862" s="114" t="s">
        <v>1571</v>
      </c>
      <c r="K862" s="2" t="s">
        <v>1571</v>
      </c>
      <c r="L862" s="2">
        <v>0</v>
      </c>
      <c r="M862" s="2" t="s">
        <v>1571</v>
      </c>
      <c r="N862" s="2" t="s">
        <v>1571</v>
      </c>
      <c r="O862" s="2" t="s">
        <v>118</v>
      </c>
      <c r="P862" s="2" t="s">
        <v>1603</v>
      </c>
    </row>
    <row r="863" spans="1:16" ht="21" customHeight="1" x14ac:dyDescent="0.15">
      <c r="A863" s="10" t="str">
        <f t="shared" si="221"/>
        <v>409_10_37_10_polygon</v>
      </c>
      <c r="B863" s="2">
        <v>409</v>
      </c>
      <c r="C863" s="30" t="str">
        <f>VLOOKUP(B863,gachas!A:C,3)</f>
        <v>600万DLガチャ1（カラーフェス限）</v>
      </c>
      <c r="D863" s="21">
        <v>10</v>
      </c>
      <c r="E863" s="2">
        <v>37</v>
      </c>
      <c r="F863" s="2">
        <v>10</v>
      </c>
      <c r="G863" s="3" t="s">
        <v>1566</v>
      </c>
      <c r="H863" s="2">
        <v>50</v>
      </c>
      <c r="I863" s="114">
        <v>409100</v>
      </c>
      <c r="J863" s="114" t="s">
        <v>1571</v>
      </c>
      <c r="K863" s="2" t="s">
        <v>1571</v>
      </c>
      <c r="L863" s="2">
        <v>0</v>
      </c>
      <c r="M863" s="2" t="s">
        <v>1571</v>
      </c>
      <c r="N863" s="2" t="s">
        <v>1571</v>
      </c>
      <c r="O863" s="2" t="s">
        <v>118</v>
      </c>
      <c r="P863" s="2" t="s">
        <v>1604</v>
      </c>
    </row>
    <row r="864" spans="1:16" ht="21" customHeight="1" x14ac:dyDescent="0.15">
      <c r="A864" s="10" t="str">
        <f t="shared" si="221"/>
        <v>409_10_38_10_polygon</v>
      </c>
      <c r="B864" s="2">
        <v>409</v>
      </c>
      <c r="C864" s="30" t="str">
        <f>VLOOKUP(B864,gachas!A:C,3)</f>
        <v>600万DLガチャ1（カラーフェス限）</v>
      </c>
      <c r="D864" s="21">
        <v>10</v>
      </c>
      <c r="E864" s="2">
        <v>38</v>
      </c>
      <c r="F864" s="2">
        <v>10</v>
      </c>
      <c r="G864" s="3" t="s">
        <v>1566</v>
      </c>
      <c r="H864" s="2">
        <v>50</v>
      </c>
      <c r="I864" s="114">
        <v>409100</v>
      </c>
      <c r="J864" s="114" t="s">
        <v>1571</v>
      </c>
      <c r="K864" s="2" t="s">
        <v>1571</v>
      </c>
      <c r="L864" s="2">
        <v>0</v>
      </c>
      <c r="M864" s="2" t="s">
        <v>1571</v>
      </c>
      <c r="N864" s="2" t="s">
        <v>1571</v>
      </c>
      <c r="O864" s="2" t="s">
        <v>118</v>
      </c>
      <c r="P864" s="2" t="s">
        <v>1605</v>
      </c>
    </row>
    <row r="865" spans="1:16" ht="21" customHeight="1" x14ac:dyDescent="0.15">
      <c r="A865" s="10" t="str">
        <f t="shared" si="221"/>
        <v>409_10_39_10_polygon</v>
      </c>
      <c r="B865" s="2">
        <v>409</v>
      </c>
      <c r="C865" s="30" t="str">
        <f>VLOOKUP(B865,gachas!A:C,3)</f>
        <v>600万DLガチャ1（カラーフェス限）</v>
      </c>
      <c r="D865" s="21">
        <v>10</v>
      </c>
      <c r="E865" s="2">
        <v>39</v>
      </c>
      <c r="F865" s="2">
        <v>10</v>
      </c>
      <c r="G865" s="3" t="s">
        <v>1566</v>
      </c>
      <c r="H865" s="2">
        <v>50</v>
      </c>
      <c r="I865" s="114">
        <v>409100</v>
      </c>
      <c r="J865" s="114" t="s">
        <v>1571</v>
      </c>
      <c r="K865" s="2" t="s">
        <v>1571</v>
      </c>
      <c r="L865" s="2">
        <v>0</v>
      </c>
      <c r="M865" s="2" t="s">
        <v>1571</v>
      </c>
      <c r="N865" s="2" t="s">
        <v>1571</v>
      </c>
      <c r="O865" s="2" t="s">
        <v>118</v>
      </c>
      <c r="P865" s="2" t="s">
        <v>1606</v>
      </c>
    </row>
    <row r="866" spans="1:16" ht="21" customHeight="1" x14ac:dyDescent="0.15">
      <c r="A866" s="10" t="str">
        <f t="shared" si="221"/>
        <v>409_10_40_10_polygon</v>
      </c>
      <c r="B866" s="2">
        <v>409</v>
      </c>
      <c r="C866" s="30" t="str">
        <f>VLOOKUP(B866,gachas!A:C,3)</f>
        <v>600万DLガチャ1（カラーフェス限）</v>
      </c>
      <c r="D866" s="21">
        <v>10</v>
      </c>
      <c r="E866" s="2">
        <v>40</v>
      </c>
      <c r="F866" s="2">
        <v>10</v>
      </c>
      <c r="G866" s="3" t="s">
        <v>1566</v>
      </c>
      <c r="H866" s="2">
        <v>50</v>
      </c>
      <c r="I866" s="114">
        <v>409100</v>
      </c>
      <c r="J866" s="114">
        <v>409105</v>
      </c>
      <c r="K866" s="2" t="s">
        <v>1571</v>
      </c>
      <c r="L866" s="2">
        <v>0</v>
      </c>
      <c r="M866" s="2" t="s">
        <v>1571</v>
      </c>
      <c r="N866" s="2" t="s">
        <v>1571</v>
      </c>
      <c r="O866" s="2" t="s">
        <v>118</v>
      </c>
      <c r="P866" s="2" t="s">
        <v>1607</v>
      </c>
    </row>
    <row r="867" spans="1:16" ht="21" customHeight="1" x14ac:dyDescent="0.15">
      <c r="A867" s="10" t="str">
        <f t="shared" si="221"/>
        <v>409_10_41_10_polygon</v>
      </c>
      <c r="B867" s="2">
        <v>409</v>
      </c>
      <c r="C867" s="30" t="str">
        <f>VLOOKUP(B867,gachas!A:C,3)</f>
        <v>600万DLガチャ1（カラーフェス限）</v>
      </c>
      <c r="D867" s="21">
        <v>10</v>
      </c>
      <c r="E867" s="2">
        <v>41</v>
      </c>
      <c r="F867" s="2">
        <v>10</v>
      </c>
      <c r="G867" s="3" t="s">
        <v>1566</v>
      </c>
      <c r="H867" s="2">
        <v>50</v>
      </c>
      <c r="I867" s="114">
        <v>409100</v>
      </c>
      <c r="J867" s="114" t="s">
        <v>1571</v>
      </c>
      <c r="K867" s="2" t="s">
        <v>1571</v>
      </c>
      <c r="L867" s="2">
        <v>0</v>
      </c>
      <c r="M867" s="2" t="s">
        <v>1571</v>
      </c>
      <c r="N867" s="2" t="s">
        <v>1571</v>
      </c>
      <c r="O867" s="2" t="s">
        <v>118</v>
      </c>
      <c r="P867" s="2" t="s">
        <v>1603</v>
      </c>
    </row>
    <row r="868" spans="1:16" ht="21" customHeight="1" x14ac:dyDescent="0.15">
      <c r="A868" s="10" t="str">
        <f t="shared" si="221"/>
        <v>409_10_42_10_polygon</v>
      </c>
      <c r="B868" s="2">
        <v>409</v>
      </c>
      <c r="C868" s="30" t="str">
        <f>VLOOKUP(B868,gachas!A:C,3)</f>
        <v>600万DLガチャ1（カラーフェス限）</v>
      </c>
      <c r="D868" s="21">
        <v>10</v>
      </c>
      <c r="E868" s="2">
        <v>42</v>
      </c>
      <c r="F868" s="2">
        <v>10</v>
      </c>
      <c r="G868" s="3" t="s">
        <v>1566</v>
      </c>
      <c r="H868" s="2">
        <v>50</v>
      </c>
      <c r="I868" s="114">
        <v>409100</v>
      </c>
      <c r="J868" s="114" t="s">
        <v>1571</v>
      </c>
      <c r="K868" s="2" t="s">
        <v>1571</v>
      </c>
      <c r="L868" s="2">
        <v>0</v>
      </c>
      <c r="M868" s="2" t="s">
        <v>1571</v>
      </c>
      <c r="N868" s="2" t="s">
        <v>1571</v>
      </c>
      <c r="O868" s="2" t="s">
        <v>118</v>
      </c>
      <c r="P868" s="2" t="s">
        <v>1604</v>
      </c>
    </row>
    <row r="869" spans="1:16" ht="21" customHeight="1" x14ac:dyDescent="0.15">
      <c r="A869" s="10" t="str">
        <f t="shared" si="221"/>
        <v>409_10_43_10_polygon</v>
      </c>
      <c r="B869" s="2">
        <v>409</v>
      </c>
      <c r="C869" s="30" t="str">
        <f>VLOOKUP(B869,gachas!A:C,3)</f>
        <v>600万DLガチャ1（カラーフェス限）</v>
      </c>
      <c r="D869" s="21">
        <v>10</v>
      </c>
      <c r="E869" s="2">
        <v>43</v>
      </c>
      <c r="F869" s="2">
        <v>10</v>
      </c>
      <c r="G869" s="3" t="s">
        <v>1566</v>
      </c>
      <c r="H869" s="2">
        <v>50</v>
      </c>
      <c r="I869" s="114">
        <v>409100</v>
      </c>
      <c r="J869" s="114" t="s">
        <v>1571</v>
      </c>
      <c r="K869" s="2" t="s">
        <v>1571</v>
      </c>
      <c r="L869" s="2">
        <v>0</v>
      </c>
      <c r="M869" s="2" t="s">
        <v>1571</v>
      </c>
      <c r="N869" s="2" t="s">
        <v>1571</v>
      </c>
      <c r="O869" s="2" t="s">
        <v>118</v>
      </c>
      <c r="P869" s="2" t="s">
        <v>1605</v>
      </c>
    </row>
    <row r="870" spans="1:16" ht="21" customHeight="1" x14ac:dyDescent="0.15">
      <c r="A870" s="10" t="str">
        <f t="shared" si="221"/>
        <v>409_10_44_10_polygon</v>
      </c>
      <c r="B870" s="2">
        <v>409</v>
      </c>
      <c r="C870" s="30" t="str">
        <f>VLOOKUP(B870,gachas!A:C,3)</f>
        <v>600万DLガチャ1（カラーフェス限）</v>
      </c>
      <c r="D870" s="21">
        <v>10</v>
      </c>
      <c r="E870" s="2">
        <v>44</v>
      </c>
      <c r="F870" s="2">
        <v>10</v>
      </c>
      <c r="G870" s="3" t="s">
        <v>1566</v>
      </c>
      <c r="H870" s="2">
        <v>50</v>
      </c>
      <c r="I870" s="114">
        <v>409100</v>
      </c>
      <c r="J870" s="114" t="s">
        <v>1571</v>
      </c>
      <c r="K870" s="2" t="s">
        <v>1571</v>
      </c>
      <c r="L870" s="2">
        <v>0</v>
      </c>
      <c r="M870" s="2" t="s">
        <v>1571</v>
      </c>
      <c r="N870" s="2" t="s">
        <v>1571</v>
      </c>
      <c r="O870" s="2" t="s">
        <v>118</v>
      </c>
      <c r="P870" s="2" t="s">
        <v>1606</v>
      </c>
    </row>
    <row r="871" spans="1:16" ht="21" customHeight="1" x14ac:dyDescent="0.15">
      <c r="A871" s="10" t="str">
        <f t="shared" si="221"/>
        <v>409_10_45_10_polygon</v>
      </c>
      <c r="B871" s="2">
        <v>409</v>
      </c>
      <c r="C871" s="30" t="str">
        <f>VLOOKUP(B871,gachas!A:C,3)</f>
        <v>600万DLガチャ1（カラーフェス限）</v>
      </c>
      <c r="D871" s="21">
        <v>10</v>
      </c>
      <c r="E871" s="2">
        <v>45</v>
      </c>
      <c r="F871" s="2">
        <v>10</v>
      </c>
      <c r="G871" s="3" t="s">
        <v>1566</v>
      </c>
      <c r="H871" s="2">
        <v>50</v>
      </c>
      <c r="I871" s="114">
        <v>409100</v>
      </c>
      <c r="J871" s="114">
        <v>409105</v>
      </c>
      <c r="K871" s="2" t="s">
        <v>1571</v>
      </c>
      <c r="L871" s="2">
        <v>0</v>
      </c>
      <c r="M871" s="2" t="s">
        <v>1571</v>
      </c>
      <c r="N871" s="2" t="s">
        <v>1571</v>
      </c>
      <c r="O871" s="2" t="s">
        <v>118</v>
      </c>
      <c r="P871" s="2" t="s">
        <v>1607</v>
      </c>
    </row>
    <row r="872" spans="1:16" ht="21" customHeight="1" x14ac:dyDescent="0.15">
      <c r="A872" s="10" t="str">
        <f t="shared" si="221"/>
        <v>409_10_46_10_polygon</v>
      </c>
      <c r="B872" s="2">
        <v>409</v>
      </c>
      <c r="C872" s="30" t="str">
        <f>VLOOKUP(B872,gachas!A:C,3)</f>
        <v>600万DLガチャ1（カラーフェス限）</v>
      </c>
      <c r="D872" s="21">
        <v>10</v>
      </c>
      <c r="E872" s="2">
        <v>46</v>
      </c>
      <c r="F872" s="2">
        <v>10</v>
      </c>
      <c r="G872" s="3" t="s">
        <v>1566</v>
      </c>
      <c r="H872" s="2">
        <v>50</v>
      </c>
      <c r="I872" s="114">
        <v>409100</v>
      </c>
      <c r="J872" s="114" t="s">
        <v>1571</v>
      </c>
      <c r="K872" s="2" t="s">
        <v>1571</v>
      </c>
      <c r="L872" s="2">
        <v>0</v>
      </c>
      <c r="M872" s="2" t="s">
        <v>1571</v>
      </c>
      <c r="N872" s="2" t="s">
        <v>1571</v>
      </c>
      <c r="O872" s="2" t="s">
        <v>118</v>
      </c>
      <c r="P872" s="2" t="s">
        <v>1603</v>
      </c>
    </row>
    <row r="873" spans="1:16" ht="21" customHeight="1" x14ac:dyDescent="0.15">
      <c r="A873" s="10" t="str">
        <f t="shared" si="221"/>
        <v>409_10_47_10_polygon</v>
      </c>
      <c r="B873" s="2">
        <v>409</v>
      </c>
      <c r="C873" s="30" t="str">
        <f>VLOOKUP(B873,gachas!A:C,3)</f>
        <v>600万DLガチャ1（カラーフェス限）</v>
      </c>
      <c r="D873" s="21">
        <v>10</v>
      </c>
      <c r="E873" s="2">
        <v>47</v>
      </c>
      <c r="F873" s="2">
        <v>10</v>
      </c>
      <c r="G873" s="3" t="s">
        <v>1566</v>
      </c>
      <c r="H873" s="2">
        <v>50</v>
      </c>
      <c r="I873" s="114">
        <v>409100</v>
      </c>
      <c r="J873" s="114" t="s">
        <v>1571</v>
      </c>
      <c r="K873" s="2" t="s">
        <v>1571</v>
      </c>
      <c r="L873" s="2">
        <v>0</v>
      </c>
      <c r="M873" s="2" t="s">
        <v>1571</v>
      </c>
      <c r="N873" s="2" t="s">
        <v>1571</v>
      </c>
      <c r="O873" s="2" t="s">
        <v>118</v>
      </c>
      <c r="P873" s="2" t="s">
        <v>1604</v>
      </c>
    </row>
    <row r="874" spans="1:16" ht="21" customHeight="1" x14ac:dyDescent="0.15">
      <c r="A874" s="10" t="str">
        <f t="shared" si="221"/>
        <v>409_10_48_10_polygon</v>
      </c>
      <c r="B874" s="2">
        <v>409</v>
      </c>
      <c r="C874" s="30" t="str">
        <f>VLOOKUP(B874,gachas!A:C,3)</f>
        <v>600万DLガチャ1（カラーフェス限）</v>
      </c>
      <c r="D874" s="21">
        <v>10</v>
      </c>
      <c r="E874" s="2">
        <v>48</v>
      </c>
      <c r="F874" s="2">
        <v>10</v>
      </c>
      <c r="G874" s="3" t="s">
        <v>1566</v>
      </c>
      <c r="H874" s="2">
        <v>50</v>
      </c>
      <c r="I874" s="114">
        <v>409100</v>
      </c>
      <c r="J874" s="114" t="s">
        <v>1571</v>
      </c>
      <c r="K874" s="2" t="s">
        <v>1571</v>
      </c>
      <c r="L874" s="2">
        <v>0</v>
      </c>
      <c r="M874" s="2" t="s">
        <v>1571</v>
      </c>
      <c r="N874" s="2" t="s">
        <v>1571</v>
      </c>
      <c r="O874" s="2" t="s">
        <v>118</v>
      </c>
      <c r="P874" s="2" t="s">
        <v>1605</v>
      </c>
    </row>
    <row r="875" spans="1:16" ht="21" customHeight="1" x14ac:dyDescent="0.15">
      <c r="A875" s="10" t="str">
        <f t="shared" si="221"/>
        <v>409_10_49_10_polygon</v>
      </c>
      <c r="B875" s="2">
        <v>409</v>
      </c>
      <c r="C875" s="30" t="str">
        <f>VLOOKUP(B875,gachas!A:C,3)</f>
        <v>600万DLガチャ1（カラーフェス限）</v>
      </c>
      <c r="D875" s="21">
        <v>10</v>
      </c>
      <c r="E875" s="2">
        <v>49</v>
      </c>
      <c r="F875" s="2">
        <v>10</v>
      </c>
      <c r="G875" s="3" t="s">
        <v>1566</v>
      </c>
      <c r="H875" s="2">
        <v>50</v>
      </c>
      <c r="I875" s="114">
        <v>409100</v>
      </c>
      <c r="J875" s="114" t="s">
        <v>1571</v>
      </c>
      <c r="K875" s="2" t="s">
        <v>1571</v>
      </c>
      <c r="L875" s="2">
        <v>0</v>
      </c>
      <c r="M875" s="2" t="s">
        <v>1571</v>
      </c>
      <c r="N875" s="2" t="s">
        <v>1571</v>
      </c>
      <c r="O875" s="2" t="s">
        <v>118</v>
      </c>
      <c r="P875" s="2" t="s">
        <v>1606</v>
      </c>
    </row>
    <row r="876" spans="1:16" ht="21" customHeight="1" x14ac:dyDescent="0.15">
      <c r="A876" s="10" t="str">
        <f t="shared" si="221"/>
        <v>409_10_50_10_polygon</v>
      </c>
      <c r="B876" s="2">
        <v>409</v>
      </c>
      <c r="C876" s="30" t="str">
        <f>VLOOKUP(B876,gachas!A:C,3)</f>
        <v>600万DLガチャ1（カラーフェス限）</v>
      </c>
      <c r="D876" s="21">
        <v>10</v>
      </c>
      <c r="E876" s="2">
        <v>50</v>
      </c>
      <c r="F876" s="2">
        <v>10</v>
      </c>
      <c r="G876" s="3" t="s">
        <v>1566</v>
      </c>
      <c r="H876" s="2">
        <v>50</v>
      </c>
      <c r="I876" s="114">
        <v>409100</v>
      </c>
      <c r="J876" s="114">
        <v>409105</v>
      </c>
      <c r="K876" s="2" t="s">
        <v>1571</v>
      </c>
      <c r="L876" s="2">
        <v>0</v>
      </c>
      <c r="M876" s="2" t="s">
        <v>1571</v>
      </c>
      <c r="N876" s="2" t="s">
        <v>1571</v>
      </c>
      <c r="O876" s="2" t="s">
        <v>118</v>
      </c>
      <c r="P876" s="2" t="s">
        <v>1607</v>
      </c>
    </row>
    <row r="877" spans="1:16" ht="21" customHeight="1" x14ac:dyDescent="0.15">
      <c r="A877" s="10" t="str">
        <f t="shared" si="221"/>
        <v>409_10_0_10_polygon</v>
      </c>
      <c r="B877" s="2">
        <v>409</v>
      </c>
      <c r="C877" s="30" t="str">
        <f>VLOOKUP(B877,gachas!A:C,3)</f>
        <v>600万DLガチャ1（カラーフェス限）</v>
      </c>
      <c r="D877" s="21">
        <v>10</v>
      </c>
      <c r="E877" s="2">
        <v>0</v>
      </c>
      <c r="F877" s="2">
        <v>10</v>
      </c>
      <c r="G877" s="3" t="s">
        <v>1566</v>
      </c>
      <c r="H877" s="2">
        <v>50</v>
      </c>
      <c r="I877" s="114">
        <v>409100</v>
      </c>
      <c r="J877" s="114" t="s">
        <v>1571</v>
      </c>
      <c r="K877" s="2" t="s">
        <v>1571</v>
      </c>
      <c r="L877" s="2">
        <v>0</v>
      </c>
      <c r="M877" s="2" t="s">
        <v>1571</v>
      </c>
      <c r="N877" s="2" t="s">
        <v>1571</v>
      </c>
      <c r="O877" s="2" t="s">
        <v>118</v>
      </c>
      <c r="P877" s="2" t="s">
        <v>143</v>
      </c>
    </row>
    <row r="878" spans="1:16" ht="21" customHeight="1" x14ac:dyDescent="0.15">
      <c r="A878" s="10" t="str">
        <f t="shared" si="221"/>
        <v>410_10_1_1_polygon</v>
      </c>
      <c r="B878" s="2">
        <v>410</v>
      </c>
      <c r="C878" s="30" t="str">
        <f>VLOOKUP(B878,gachas!A:C,3)</f>
        <v>600万DLガチャ2（パレート）</v>
      </c>
      <c r="D878" s="21">
        <v>10</v>
      </c>
      <c r="E878" s="2">
        <v>1</v>
      </c>
      <c r="F878" s="2">
        <v>1</v>
      </c>
      <c r="G878" s="3" t="s">
        <v>1566</v>
      </c>
      <c r="H878" s="2">
        <v>1</v>
      </c>
      <c r="I878" s="114" t="str">
        <f>B878&amp;TEXT(D878,"00")&amp;E878</f>
        <v>410101</v>
      </c>
      <c r="J878" s="112" t="s">
        <v>84</v>
      </c>
      <c r="K878" s="2" t="s">
        <v>84</v>
      </c>
      <c r="L878" s="2">
        <v>0</v>
      </c>
      <c r="M878" s="2" t="s">
        <v>84</v>
      </c>
      <c r="N878" s="2" t="s">
        <v>84</v>
      </c>
      <c r="O878" s="2" t="s">
        <v>841</v>
      </c>
      <c r="P878" s="2" t="s">
        <v>546</v>
      </c>
    </row>
    <row r="879" spans="1:16" ht="21" customHeight="1" x14ac:dyDescent="0.15">
      <c r="A879" s="10" t="str">
        <f t="shared" ref="A879:A884" si="233">B879&amp;"_"&amp;D879&amp;"_"&amp;E879&amp;"_"&amp;F879&amp;"_"&amp;G879</f>
        <v>410_10_2_3_polygon</v>
      </c>
      <c r="B879" s="2">
        <v>410</v>
      </c>
      <c r="C879" s="30" t="str">
        <f>VLOOKUP(B879,gachas!A:C,3)</f>
        <v>600万DLガチャ2（パレート）</v>
      </c>
      <c r="D879" s="21">
        <v>10</v>
      </c>
      <c r="E879" s="2">
        <v>2</v>
      </c>
      <c r="F879" s="2">
        <v>3</v>
      </c>
      <c r="G879" s="3" t="s">
        <v>1566</v>
      </c>
      <c r="H879" s="2">
        <v>9</v>
      </c>
      <c r="I879" s="114" t="str">
        <f>I878</f>
        <v>410101</v>
      </c>
      <c r="J879" s="112" t="s">
        <v>84</v>
      </c>
      <c r="K879" s="2" t="s">
        <v>84</v>
      </c>
      <c r="L879" s="2">
        <v>0</v>
      </c>
      <c r="M879" s="2" t="s">
        <v>84</v>
      </c>
      <c r="N879" s="2" t="s">
        <v>84</v>
      </c>
      <c r="O879" s="2" t="s">
        <v>841</v>
      </c>
      <c r="P879" s="2" t="s">
        <v>527</v>
      </c>
    </row>
    <row r="880" spans="1:16" ht="21" customHeight="1" x14ac:dyDescent="0.15">
      <c r="A880" s="10" t="str">
        <f t="shared" si="233"/>
        <v>410_10_3_10_polygon</v>
      </c>
      <c r="B880" s="2">
        <v>410</v>
      </c>
      <c r="C880" s="30" t="str">
        <f>VLOOKUP(B880,gachas!A:C,3)</f>
        <v>600万DLガチャ2（パレート）</v>
      </c>
      <c r="D880" s="21">
        <v>10</v>
      </c>
      <c r="E880" s="2">
        <v>3</v>
      </c>
      <c r="F880" s="2">
        <v>10</v>
      </c>
      <c r="G880" s="3" t="s">
        <v>1566</v>
      </c>
      <c r="H880" s="2">
        <v>35</v>
      </c>
      <c r="I880" s="114" t="str">
        <f t="shared" ref="I880:I883" si="234">B880&amp;TEXT(D880,"00")&amp;E880</f>
        <v>410103</v>
      </c>
      <c r="J880" s="128" t="str">
        <f>I880</f>
        <v>410103</v>
      </c>
      <c r="K880" s="18" t="s">
        <v>84</v>
      </c>
      <c r="L880" s="2">
        <v>0</v>
      </c>
      <c r="M880" s="2" t="s">
        <v>84</v>
      </c>
      <c r="N880" s="2" t="s">
        <v>84</v>
      </c>
      <c r="O880" s="2" t="s">
        <v>841</v>
      </c>
      <c r="P880" s="2" t="s">
        <v>1608</v>
      </c>
    </row>
    <row r="881" spans="1:16" ht="21" customHeight="1" x14ac:dyDescent="0.15">
      <c r="A881" s="10" t="str">
        <f t="shared" si="233"/>
        <v>410_10_4_10_polygon</v>
      </c>
      <c r="B881" s="2">
        <v>410</v>
      </c>
      <c r="C881" s="30" t="str">
        <f>VLOOKUP(B881,gachas!A:C,3)</f>
        <v>600万DLガチャ2（パレート）</v>
      </c>
      <c r="D881" s="21">
        <v>10</v>
      </c>
      <c r="E881" s="2">
        <v>4</v>
      </c>
      <c r="F881" s="2">
        <v>10</v>
      </c>
      <c r="G881" s="3" t="s">
        <v>1566</v>
      </c>
      <c r="H881" s="2">
        <v>50</v>
      </c>
      <c r="I881" s="114" t="str">
        <f t="shared" si="234"/>
        <v>410104</v>
      </c>
      <c r="J881" s="128" t="str">
        <f>I881</f>
        <v>410104</v>
      </c>
      <c r="K881" s="2" t="s">
        <v>84</v>
      </c>
      <c r="L881" s="2">
        <v>0</v>
      </c>
      <c r="M881" s="2" t="s">
        <v>84</v>
      </c>
      <c r="N881" s="2" t="s">
        <v>84</v>
      </c>
      <c r="O881" s="2" t="s">
        <v>841</v>
      </c>
      <c r="P881" s="2" t="s">
        <v>1609</v>
      </c>
    </row>
    <row r="882" spans="1:16" ht="21" customHeight="1" x14ac:dyDescent="0.15">
      <c r="A882" s="10" t="str">
        <f t="shared" si="233"/>
        <v>410_10_5_10_polygon</v>
      </c>
      <c r="B882" s="2">
        <v>410</v>
      </c>
      <c r="C882" s="30" t="str">
        <f>VLOOKUP(B882,gachas!A:C,3)</f>
        <v>600万DLガチャ2（パレート）</v>
      </c>
      <c r="D882" s="21">
        <v>10</v>
      </c>
      <c r="E882" s="2">
        <v>5</v>
      </c>
      <c r="F882" s="2">
        <v>10</v>
      </c>
      <c r="G882" s="3" t="s">
        <v>1566</v>
      </c>
      <c r="H882" s="2">
        <v>50</v>
      </c>
      <c r="I882" s="114" t="str">
        <f t="shared" si="234"/>
        <v>410105</v>
      </c>
      <c r="J882" s="128" t="str">
        <f>I882</f>
        <v>410105</v>
      </c>
      <c r="K882" s="2" t="s">
        <v>84</v>
      </c>
      <c r="L882" s="2">
        <v>0</v>
      </c>
      <c r="M882" s="2" t="s">
        <v>84</v>
      </c>
      <c r="N882" s="2" t="s">
        <v>84</v>
      </c>
      <c r="O882" s="2" t="s">
        <v>841</v>
      </c>
      <c r="P882" s="2" t="s">
        <v>1610</v>
      </c>
    </row>
    <row r="883" spans="1:16" ht="21" customHeight="1" x14ac:dyDescent="0.15">
      <c r="A883" s="10" t="str">
        <f t="shared" si="233"/>
        <v>410_10_0_10_polygon</v>
      </c>
      <c r="B883" s="2">
        <v>410</v>
      </c>
      <c r="C883" s="30" t="str">
        <f>VLOOKUP(B883,gachas!A:C,3)</f>
        <v>600万DLガチャ2（パレート）</v>
      </c>
      <c r="D883" s="21">
        <v>10</v>
      </c>
      <c r="E883" s="2">
        <v>0</v>
      </c>
      <c r="F883" s="2">
        <v>10</v>
      </c>
      <c r="G883" s="3" t="s">
        <v>1566</v>
      </c>
      <c r="H883" s="2">
        <v>50</v>
      </c>
      <c r="I883" s="114" t="str">
        <f t="shared" si="234"/>
        <v>410100</v>
      </c>
      <c r="J883" s="114" t="s">
        <v>84</v>
      </c>
      <c r="K883" s="2" t="s">
        <v>84</v>
      </c>
      <c r="L883" s="2">
        <v>0</v>
      </c>
      <c r="M883" s="2" t="s">
        <v>1589</v>
      </c>
      <c r="N883" s="2" t="s">
        <v>1590</v>
      </c>
      <c r="O883" s="2" t="s">
        <v>1591</v>
      </c>
      <c r="P883" s="2" t="s">
        <v>1611</v>
      </c>
    </row>
    <row r="884" spans="1:16" ht="21" customHeight="1" x14ac:dyDescent="0.15">
      <c r="A884" s="10" t="str">
        <f t="shared" si="233"/>
        <v>411_1_0_1_polygon</v>
      </c>
      <c r="B884" s="2">
        <v>411</v>
      </c>
      <c r="C884" s="30" t="s">
        <v>1565</v>
      </c>
      <c r="D884" s="21">
        <v>1</v>
      </c>
      <c r="E884" s="2">
        <v>0</v>
      </c>
      <c r="F884" s="2">
        <v>1</v>
      </c>
      <c r="G884" s="3" t="s">
        <v>1566</v>
      </c>
      <c r="H884" s="2">
        <v>0</v>
      </c>
      <c r="I884" s="119">
        <v>405010</v>
      </c>
      <c r="J884" s="114">
        <v>411001</v>
      </c>
      <c r="K884" s="2" t="s">
        <v>1571</v>
      </c>
      <c r="L884" s="2">
        <v>0</v>
      </c>
      <c r="M884" s="2" t="s">
        <v>1571</v>
      </c>
      <c r="N884" s="2" t="s">
        <v>1571</v>
      </c>
      <c r="O884" s="2" t="s">
        <v>118</v>
      </c>
      <c r="P884" s="2" t="s">
        <v>1598</v>
      </c>
    </row>
    <row r="885" spans="1:16" ht="21" customHeight="1" x14ac:dyDescent="0.15">
      <c r="A885" s="10" t="str">
        <f t="shared" ref="A885:A893" si="235">B885&amp;"_"&amp;D885&amp;"_"&amp;E885&amp;"_"&amp;F885&amp;"_"&amp;G885</f>
        <v>412_1_0_1_polygon</v>
      </c>
      <c r="B885" s="2">
        <v>412</v>
      </c>
      <c r="C885" s="30" t="s">
        <v>1565</v>
      </c>
      <c r="D885" s="21">
        <v>1</v>
      </c>
      <c r="E885" s="2">
        <v>0</v>
      </c>
      <c r="F885" s="2">
        <v>1</v>
      </c>
      <c r="G885" s="3" t="s">
        <v>1566</v>
      </c>
      <c r="H885" s="2">
        <v>0</v>
      </c>
      <c r="I885" s="119">
        <v>405010</v>
      </c>
      <c r="J885" s="114">
        <v>411002</v>
      </c>
      <c r="K885" s="2" t="s">
        <v>1571</v>
      </c>
      <c r="L885" s="2">
        <v>0</v>
      </c>
      <c r="M885" s="2" t="s">
        <v>1571</v>
      </c>
      <c r="N885" s="2" t="s">
        <v>1571</v>
      </c>
      <c r="O885" s="2" t="s">
        <v>118</v>
      </c>
      <c r="P885" s="2" t="s">
        <v>1598</v>
      </c>
    </row>
    <row r="886" spans="1:16" ht="21" customHeight="1" x14ac:dyDescent="0.15">
      <c r="A886" s="10" t="str">
        <f t="shared" si="235"/>
        <v>413_1_0_1_polygon</v>
      </c>
      <c r="B886" s="2">
        <v>413</v>
      </c>
      <c r="C886" s="30" t="s">
        <v>1565</v>
      </c>
      <c r="D886" s="21">
        <v>1</v>
      </c>
      <c r="E886" s="2">
        <v>0</v>
      </c>
      <c r="F886" s="2">
        <v>1</v>
      </c>
      <c r="G886" s="3" t="s">
        <v>1566</v>
      </c>
      <c r="H886" s="2">
        <v>0</v>
      </c>
      <c r="I886" s="119">
        <v>405010</v>
      </c>
      <c r="J886" s="114">
        <v>411003</v>
      </c>
      <c r="K886" s="2" t="s">
        <v>1571</v>
      </c>
      <c r="L886" s="2">
        <v>0</v>
      </c>
      <c r="M886" s="2" t="s">
        <v>1571</v>
      </c>
      <c r="N886" s="2" t="s">
        <v>1571</v>
      </c>
      <c r="O886" s="2" t="s">
        <v>118</v>
      </c>
      <c r="P886" s="2" t="s">
        <v>1628</v>
      </c>
    </row>
    <row r="887" spans="1:16" ht="21" customHeight="1" x14ac:dyDescent="0.15">
      <c r="A887" s="10" t="str">
        <f t="shared" si="235"/>
        <v>414_1_0_1_polygon</v>
      </c>
      <c r="B887" s="2">
        <v>414</v>
      </c>
      <c r="C887" s="30" t="s">
        <v>1565</v>
      </c>
      <c r="D887" s="21">
        <v>1</v>
      </c>
      <c r="E887" s="2">
        <v>0</v>
      </c>
      <c r="F887" s="2">
        <v>1</v>
      </c>
      <c r="G887" s="3" t="s">
        <v>1566</v>
      </c>
      <c r="H887" s="2">
        <v>0</v>
      </c>
      <c r="I887" s="119">
        <v>405010</v>
      </c>
      <c r="J887" s="114">
        <v>411004</v>
      </c>
      <c r="K887" s="2" t="s">
        <v>1571</v>
      </c>
      <c r="L887" s="2">
        <v>0</v>
      </c>
      <c r="M887" s="2" t="s">
        <v>1571</v>
      </c>
      <c r="N887" s="2" t="s">
        <v>1571</v>
      </c>
      <c r="O887" s="2" t="s">
        <v>118</v>
      </c>
      <c r="P887" s="2" t="s">
        <v>1598</v>
      </c>
    </row>
    <row r="888" spans="1:16" ht="21" customHeight="1" x14ac:dyDescent="0.15">
      <c r="A888" s="10" t="str">
        <f t="shared" si="235"/>
        <v>415_1_0_1_polygon</v>
      </c>
      <c r="B888" s="2">
        <v>415</v>
      </c>
      <c r="C888" s="30" t="s">
        <v>1565</v>
      </c>
      <c r="D888" s="21">
        <v>1</v>
      </c>
      <c r="E888" s="2">
        <v>0</v>
      </c>
      <c r="F888" s="2">
        <v>1</v>
      </c>
      <c r="G888" s="3" t="s">
        <v>1566</v>
      </c>
      <c r="H888" s="2">
        <v>0</v>
      </c>
      <c r="I888" s="119">
        <v>405010</v>
      </c>
      <c r="J888" s="114">
        <v>411005</v>
      </c>
      <c r="K888" s="2" t="s">
        <v>1571</v>
      </c>
      <c r="L888" s="2">
        <v>0</v>
      </c>
      <c r="M888" s="2" t="s">
        <v>1571</v>
      </c>
      <c r="N888" s="2" t="s">
        <v>1571</v>
      </c>
      <c r="O888" s="2" t="s">
        <v>118</v>
      </c>
      <c r="P888" s="2" t="s">
        <v>1600</v>
      </c>
    </row>
    <row r="889" spans="1:16" ht="21" customHeight="1" x14ac:dyDescent="0.15">
      <c r="A889" s="10" t="str">
        <f t="shared" si="235"/>
        <v>416_1_0_1_polygon</v>
      </c>
      <c r="B889" s="2">
        <v>416</v>
      </c>
      <c r="C889" s="30" t="s">
        <v>1565</v>
      </c>
      <c r="D889" s="21">
        <v>1</v>
      </c>
      <c r="E889" s="2">
        <v>0</v>
      </c>
      <c r="F889" s="2">
        <v>1</v>
      </c>
      <c r="G889" s="3" t="s">
        <v>1566</v>
      </c>
      <c r="H889" s="2">
        <v>0</v>
      </c>
      <c r="I889" s="119">
        <v>405010</v>
      </c>
      <c r="J889" s="114">
        <v>411006</v>
      </c>
      <c r="K889" s="2" t="s">
        <v>1571</v>
      </c>
      <c r="L889" s="2">
        <v>0</v>
      </c>
      <c r="M889" s="2" t="s">
        <v>1571</v>
      </c>
      <c r="N889" s="2" t="s">
        <v>1571</v>
      </c>
      <c r="O889" s="2" t="s">
        <v>118</v>
      </c>
      <c r="P889" s="2" t="s">
        <v>1598</v>
      </c>
    </row>
    <row r="890" spans="1:16" ht="21" customHeight="1" x14ac:dyDescent="0.15">
      <c r="A890" s="10" t="str">
        <f t="shared" si="235"/>
        <v>417_1_0_1_polygon</v>
      </c>
      <c r="B890" s="2">
        <v>417</v>
      </c>
      <c r="C890" s="30" t="s">
        <v>1565</v>
      </c>
      <c r="D890" s="21">
        <v>1</v>
      </c>
      <c r="E890" s="2">
        <v>0</v>
      </c>
      <c r="F890" s="2">
        <v>1</v>
      </c>
      <c r="G890" s="3" t="s">
        <v>1566</v>
      </c>
      <c r="H890" s="2">
        <v>0</v>
      </c>
      <c r="I890" s="119">
        <v>405010</v>
      </c>
      <c r="J890" s="114">
        <v>411007</v>
      </c>
      <c r="K890" s="2" t="s">
        <v>1571</v>
      </c>
      <c r="L890" s="2">
        <v>0</v>
      </c>
      <c r="M890" s="2" t="s">
        <v>1571</v>
      </c>
      <c r="N890" s="2" t="s">
        <v>1571</v>
      </c>
      <c r="O890" s="2" t="s">
        <v>118</v>
      </c>
      <c r="P890" s="2" t="s">
        <v>1629</v>
      </c>
    </row>
    <row r="891" spans="1:16" ht="21" customHeight="1" x14ac:dyDescent="0.15">
      <c r="A891" s="10" t="str">
        <f t="shared" si="235"/>
        <v>418_1_0_1_polygon</v>
      </c>
      <c r="B891" s="2">
        <v>418</v>
      </c>
      <c r="C891" s="30" t="s">
        <v>1565</v>
      </c>
      <c r="D891" s="21">
        <v>1</v>
      </c>
      <c r="E891" s="2">
        <v>0</v>
      </c>
      <c r="F891" s="2">
        <v>1</v>
      </c>
      <c r="G891" s="3" t="s">
        <v>1566</v>
      </c>
      <c r="H891" s="2">
        <v>0</v>
      </c>
      <c r="I891" s="119">
        <v>405010</v>
      </c>
      <c r="J891" s="114">
        <v>411008</v>
      </c>
      <c r="K891" s="2" t="s">
        <v>1571</v>
      </c>
      <c r="L891" s="2">
        <v>0</v>
      </c>
      <c r="M891" s="2" t="s">
        <v>1571</v>
      </c>
      <c r="N891" s="2" t="s">
        <v>1571</v>
      </c>
      <c r="O891" s="2" t="s">
        <v>118</v>
      </c>
      <c r="P891" s="2" t="s">
        <v>1598</v>
      </c>
    </row>
    <row r="892" spans="1:16" ht="21" customHeight="1" x14ac:dyDescent="0.15">
      <c r="A892" s="10" t="str">
        <f t="shared" si="235"/>
        <v>419_1_0_1_polygon</v>
      </c>
      <c r="B892" s="2">
        <v>419</v>
      </c>
      <c r="C892" s="30" t="s">
        <v>1565</v>
      </c>
      <c r="D892" s="21">
        <v>1</v>
      </c>
      <c r="E892" s="2">
        <v>0</v>
      </c>
      <c r="F892" s="2">
        <v>1</v>
      </c>
      <c r="G892" s="3" t="s">
        <v>1566</v>
      </c>
      <c r="H892" s="2">
        <v>0</v>
      </c>
      <c r="I892" s="119">
        <v>405010</v>
      </c>
      <c r="J892" s="114">
        <v>411009</v>
      </c>
      <c r="K892" s="2" t="s">
        <v>1571</v>
      </c>
      <c r="L892" s="2">
        <v>0</v>
      </c>
      <c r="M892" s="2" t="s">
        <v>1571</v>
      </c>
      <c r="N892" s="2" t="s">
        <v>1571</v>
      </c>
      <c r="O892" s="2" t="s">
        <v>118</v>
      </c>
      <c r="P892" s="2" t="s">
        <v>1629</v>
      </c>
    </row>
    <row r="893" spans="1:16" ht="21" customHeight="1" x14ac:dyDescent="0.15">
      <c r="A893" s="10" t="str">
        <f t="shared" si="235"/>
        <v>420_1_0_1_polygon</v>
      </c>
      <c r="B893" s="2">
        <v>420</v>
      </c>
      <c r="C893" s="30" t="s">
        <v>1565</v>
      </c>
      <c r="D893" s="21">
        <v>1</v>
      </c>
      <c r="E893" s="2">
        <v>0</v>
      </c>
      <c r="F893" s="2">
        <v>1</v>
      </c>
      <c r="G893" s="3" t="s">
        <v>1566</v>
      </c>
      <c r="H893" s="2">
        <v>0</v>
      </c>
      <c r="I893" s="119">
        <v>405010</v>
      </c>
      <c r="J893" s="114">
        <v>411010</v>
      </c>
      <c r="K893" s="2" t="s">
        <v>1571</v>
      </c>
      <c r="L893" s="2">
        <v>0</v>
      </c>
      <c r="M893" s="2" t="s">
        <v>1571</v>
      </c>
      <c r="N893" s="2" t="s">
        <v>1571</v>
      </c>
      <c r="O893" s="2" t="s">
        <v>118</v>
      </c>
      <c r="P893" s="2" t="s">
        <v>1598</v>
      </c>
    </row>
    <row r="894" spans="1:16" ht="21" customHeight="1" x14ac:dyDescent="0.15">
      <c r="A894" s="10" t="str">
        <f t="shared" ref="A894" si="236">B894&amp;"_"&amp;D894&amp;"_"&amp;E894&amp;"_"&amp;F894&amp;"_"&amp;G894</f>
        <v>421_1_0_1_polygon</v>
      </c>
      <c r="B894" s="2">
        <v>421</v>
      </c>
      <c r="C894" s="30" t="str">
        <f>VLOOKUP(B894,gachas!A:C,3)</f>
        <v>9月フィーバーフェスティバル</v>
      </c>
      <c r="D894" s="21">
        <v>1</v>
      </c>
      <c r="E894" s="2">
        <v>0</v>
      </c>
      <c r="F894" s="2">
        <v>1</v>
      </c>
      <c r="G894" s="3" t="s">
        <v>22</v>
      </c>
      <c r="H894" s="2">
        <v>5</v>
      </c>
      <c r="I894" s="119">
        <v>421100</v>
      </c>
      <c r="J894" s="116" t="s">
        <v>1571</v>
      </c>
      <c r="K894" s="2" t="s">
        <v>1571</v>
      </c>
      <c r="L894" s="2">
        <v>0</v>
      </c>
      <c r="M894" s="2" t="s">
        <v>1571</v>
      </c>
      <c r="N894" s="2" t="s">
        <v>1571</v>
      </c>
      <c r="O894" s="2" t="s">
        <v>118</v>
      </c>
      <c r="P894" s="2" t="s">
        <v>691</v>
      </c>
    </row>
    <row r="895" spans="1:16" ht="21" customHeight="1" x14ac:dyDescent="0.15">
      <c r="A895" s="10" t="str">
        <f t="shared" ref="A895" si="237">B895&amp;"_"&amp;D895&amp;"_"&amp;E895&amp;"_"&amp;F895&amp;"_"&amp;G895</f>
        <v>421_10_0_10_polygon</v>
      </c>
      <c r="B895" s="2">
        <v>421</v>
      </c>
      <c r="C895" s="30" t="str">
        <f>VLOOKUP(B895,gachas!A:C,3)</f>
        <v>9月フィーバーフェスティバル</v>
      </c>
      <c r="D895" s="21">
        <v>10</v>
      </c>
      <c r="E895" s="2">
        <v>0</v>
      </c>
      <c r="F895" s="2">
        <v>10</v>
      </c>
      <c r="G895" s="3" t="s">
        <v>22</v>
      </c>
      <c r="H895" s="2">
        <v>50</v>
      </c>
      <c r="I895" s="114" t="str">
        <f t="shared" ref="I895" si="238">B895&amp;TEXT(D895,"00")&amp;E895</f>
        <v>421100</v>
      </c>
      <c r="J895" s="116" t="s">
        <v>1571</v>
      </c>
      <c r="K895" s="2">
        <v>421100</v>
      </c>
      <c r="L895" s="2">
        <v>1</v>
      </c>
      <c r="M895" s="2" t="s">
        <v>1571</v>
      </c>
      <c r="N895" s="2" t="s">
        <v>1571</v>
      </c>
      <c r="O895" s="2" t="s">
        <v>118</v>
      </c>
      <c r="P895" s="2" t="s">
        <v>1078</v>
      </c>
    </row>
    <row r="896" spans="1:16" ht="21" customHeight="1" x14ac:dyDescent="0.15">
      <c r="A896" s="10" t="str">
        <f t="shared" ref="A896:A899" si="239">B896&amp;"_"&amp;D896&amp;"_"&amp;E896&amp;"_"&amp;F896&amp;"_"&amp;G896</f>
        <v>422_1_1_1_polygon</v>
      </c>
      <c r="B896" s="2">
        <v>422</v>
      </c>
      <c r="C896" s="30" t="str">
        <f>VLOOKUP(B896,gachas!A:C,3)</f>
        <v>レアガチャ(三国志in)</v>
      </c>
      <c r="D896" s="21">
        <v>1</v>
      </c>
      <c r="E896" s="2">
        <v>1</v>
      </c>
      <c r="F896" s="2">
        <v>1</v>
      </c>
      <c r="G896" s="3" t="s">
        <v>22</v>
      </c>
      <c r="H896" s="2">
        <v>5</v>
      </c>
      <c r="I896" s="117" t="str">
        <f>I898</f>
        <v>422100</v>
      </c>
      <c r="J896" s="112" t="s">
        <v>84</v>
      </c>
      <c r="K896" s="2" t="s">
        <v>84</v>
      </c>
      <c r="L896" s="2">
        <v>0</v>
      </c>
      <c r="M896" s="2" t="s">
        <v>84</v>
      </c>
      <c r="N896" s="2" t="s">
        <v>84</v>
      </c>
      <c r="O896" s="2" t="s">
        <v>841</v>
      </c>
      <c r="P896" s="2" t="s">
        <v>142</v>
      </c>
    </row>
    <row r="897" spans="1:16" ht="21" customHeight="1" x14ac:dyDescent="0.15">
      <c r="A897" s="10" t="str">
        <f t="shared" si="239"/>
        <v>422_1_0_1_polygon</v>
      </c>
      <c r="B897" s="2">
        <v>422</v>
      </c>
      <c r="C897" s="30" t="str">
        <f>VLOOKUP(B897,gachas!A:C,3)</f>
        <v>レアガチャ(三国志in)</v>
      </c>
      <c r="D897" s="21">
        <v>1</v>
      </c>
      <c r="E897" s="2">
        <v>0</v>
      </c>
      <c r="F897" s="2">
        <v>1</v>
      </c>
      <c r="G897" s="3" t="s">
        <v>22</v>
      </c>
      <c r="H897" s="2">
        <v>5</v>
      </c>
      <c r="I897" s="117" t="str">
        <f t="shared" ref="I897" si="240">B897&amp;TEXT(D897,"00")&amp;E897</f>
        <v>422010</v>
      </c>
      <c r="J897" s="112" t="s">
        <v>84</v>
      </c>
      <c r="K897" s="2" t="s">
        <v>84</v>
      </c>
      <c r="L897" s="2">
        <v>0</v>
      </c>
      <c r="M897" s="2" t="s">
        <v>84</v>
      </c>
      <c r="N897" s="2" t="s">
        <v>84</v>
      </c>
      <c r="O897" s="2" t="s">
        <v>841</v>
      </c>
      <c r="P897" s="2" t="s">
        <v>84</v>
      </c>
    </row>
    <row r="898" spans="1:16" ht="21" customHeight="1" x14ac:dyDescent="0.15">
      <c r="A898" s="10" t="str">
        <f t="shared" si="239"/>
        <v>422_10_0_10_polygon</v>
      </c>
      <c r="B898" s="2">
        <v>422</v>
      </c>
      <c r="C898" s="30" t="str">
        <f>VLOOKUP(B898,gachas!A:C,3)</f>
        <v>レアガチャ(三国志in)</v>
      </c>
      <c r="D898" s="21">
        <v>10</v>
      </c>
      <c r="E898" s="2">
        <v>0</v>
      </c>
      <c r="F898" s="2">
        <v>10</v>
      </c>
      <c r="G898" s="3" t="s">
        <v>22</v>
      </c>
      <c r="H898" s="2">
        <v>50</v>
      </c>
      <c r="I898" s="117" t="str">
        <f t="shared" ref="I898" si="241">B898&amp;TEXT(D898,"00")&amp;E898</f>
        <v>422100</v>
      </c>
      <c r="J898" s="112" t="s">
        <v>84</v>
      </c>
      <c r="K898" s="106" t="s">
        <v>87</v>
      </c>
      <c r="L898" s="2">
        <v>0</v>
      </c>
      <c r="M898" s="2" t="s">
        <v>84</v>
      </c>
      <c r="N898" s="2" t="s">
        <v>84</v>
      </c>
      <c r="O898" s="2" t="s">
        <v>841</v>
      </c>
      <c r="P898" s="2" t="s">
        <v>143</v>
      </c>
    </row>
    <row r="899" spans="1:16" ht="21" customHeight="1" x14ac:dyDescent="0.15">
      <c r="A899" s="10" t="str">
        <f t="shared" si="239"/>
        <v>423_10_1_5_polygon</v>
      </c>
      <c r="B899" s="2">
        <v>423</v>
      </c>
      <c r="C899" s="30" t="str">
        <f>VLOOKUP(B899,gachas!A:C,3)</f>
        <v>ニューフェイスガチャ(三国志)</v>
      </c>
      <c r="D899" s="21">
        <v>10</v>
      </c>
      <c r="E899" s="2">
        <v>1</v>
      </c>
      <c r="F899" s="2">
        <v>5</v>
      </c>
      <c r="G899" s="3" t="s">
        <v>22</v>
      </c>
      <c r="H899" s="2">
        <v>15</v>
      </c>
      <c r="I899" s="117">
        <v>423100</v>
      </c>
      <c r="J899" s="112" t="s">
        <v>84</v>
      </c>
      <c r="K899" s="2" t="s">
        <v>84</v>
      </c>
      <c r="L899" s="2">
        <v>0</v>
      </c>
      <c r="M899" s="2" t="s">
        <v>84</v>
      </c>
      <c r="N899" s="2" t="s">
        <v>84</v>
      </c>
      <c r="O899" s="2" t="s">
        <v>841</v>
      </c>
      <c r="P899" s="2" t="s">
        <v>1695</v>
      </c>
    </row>
    <row r="900" spans="1:16" ht="21" customHeight="1" x14ac:dyDescent="0.15">
      <c r="A900" s="10" t="str">
        <f t="shared" ref="A900" si="242">B900&amp;"_"&amp;D900&amp;"_"&amp;E900&amp;"_"&amp;F900&amp;"_"&amp;G900</f>
        <v>423_10_2_10_polygon</v>
      </c>
      <c r="B900" s="2">
        <v>423</v>
      </c>
      <c r="C900" s="30" t="str">
        <f>VLOOKUP(B900,gachas!A:C,3)</f>
        <v>ニューフェイスガチャ(三国志)</v>
      </c>
      <c r="D900" s="21">
        <v>10</v>
      </c>
      <c r="E900" s="2">
        <f>E899+1</f>
        <v>2</v>
      </c>
      <c r="F900" s="2">
        <v>10</v>
      </c>
      <c r="G900" s="3" t="s">
        <v>22</v>
      </c>
      <c r="H900" s="2">
        <v>35</v>
      </c>
      <c r="I900" s="117">
        <v>423100</v>
      </c>
      <c r="J900" s="112">
        <v>423102</v>
      </c>
      <c r="K900" s="2" t="s">
        <v>84</v>
      </c>
      <c r="L900" s="2">
        <v>0</v>
      </c>
      <c r="M900" s="2" t="s">
        <v>84</v>
      </c>
      <c r="N900" s="2" t="s">
        <v>84</v>
      </c>
      <c r="O900" s="2" t="s">
        <v>841</v>
      </c>
      <c r="P900" s="2" t="s">
        <v>1696</v>
      </c>
    </row>
    <row r="901" spans="1:16" ht="21" customHeight="1" x14ac:dyDescent="0.15">
      <c r="A901" s="10" t="str">
        <f t="shared" ref="A901" si="243">B901&amp;"_"&amp;D901&amp;"_"&amp;E901&amp;"_"&amp;F901&amp;"_"&amp;G901</f>
        <v>423_10_3_10_polygon</v>
      </c>
      <c r="B901" s="2">
        <v>423</v>
      </c>
      <c r="C901" s="30" t="str">
        <f>VLOOKUP(B901,gachas!A:C,3)</f>
        <v>ニューフェイスガチャ(三国志)</v>
      </c>
      <c r="D901" s="21">
        <v>10</v>
      </c>
      <c r="E901" s="2">
        <f>E900+1</f>
        <v>3</v>
      </c>
      <c r="F901" s="2">
        <v>10</v>
      </c>
      <c r="G901" s="3" t="s">
        <v>22</v>
      </c>
      <c r="H901" s="2">
        <v>40</v>
      </c>
      <c r="I901" s="117">
        <v>423100</v>
      </c>
      <c r="J901" s="112">
        <v>423103</v>
      </c>
      <c r="K901" s="2" t="s">
        <v>84</v>
      </c>
      <c r="L901" s="2">
        <v>0</v>
      </c>
      <c r="M901" s="2" t="s">
        <v>84</v>
      </c>
      <c r="N901" s="2" t="s">
        <v>84</v>
      </c>
      <c r="O901" s="2" t="s">
        <v>841</v>
      </c>
      <c r="P901" s="2" t="s">
        <v>1697</v>
      </c>
    </row>
    <row r="902" spans="1:16" ht="21" customHeight="1" x14ac:dyDescent="0.15">
      <c r="A902" s="10" t="str">
        <f t="shared" ref="A902" si="244">B902&amp;"_"&amp;D902&amp;"_"&amp;E902&amp;"_"&amp;F902&amp;"_"&amp;G902</f>
        <v>423_10_4_10_polygon</v>
      </c>
      <c r="B902" s="2">
        <v>423</v>
      </c>
      <c r="C902" s="30" t="str">
        <f>VLOOKUP(B902,gachas!A:C,3)</f>
        <v>ニューフェイスガチャ(三国志)</v>
      </c>
      <c r="D902" s="21">
        <v>10</v>
      </c>
      <c r="E902" s="2">
        <f>E901+1</f>
        <v>4</v>
      </c>
      <c r="F902" s="2">
        <v>10</v>
      </c>
      <c r="G902" s="3" t="s">
        <v>22</v>
      </c>
      <c r="H902" s="2">
        <v>50</v>
      </c>
      <c r="I902" s="117">
        <v>423100</v>
      </c>
      <c r="J902" s="112">
        <v>423104</v>
      </c>
      <c r="K902" s="2" t="s">
        <v>84</v>
      </c>
      <c r="L902" s="2">
        <v>0</v>
      </c>
      <c r="M902" s="2" t="s">
        <v>84</v>
      </c>
      <c r="N902" s="2" t="s">
        <v>84</v>
      </c>
      <c r="O902" s="2" t="s">
        <v>841</v>
      </c>
      <c r="P902" s="2" t="s">
        <v>1698</v>
      </c>
    </row>
    <row r="903" spans="1:16" ht="21" customHeight="1" x14ac:dyDescent="0.15">
      <c r="A903" s="10" t="str">
        <f t="shared" ref="A903" si="245">B903&amp;"_"&amp;D903&amp;"_"&amp;E903&amp;"_"&amp;F903&amp;"_"&amp;G903</f>
        <v>423_10_5_10_polygon</v>
      </c>
      <c r="B903" s="2">
        <v>423</v>
      </c>
      <c r="C903" s="30" t="str">
        <f>VLOOKUP(B903,gachas!A:C,3)</f>
        <v>ニューフェイスガチャ(三国志)</v>
      </c>
      <c r="D903" s="21">
        <v>10</v>
      </c>
      <c r="E903" s="2">
        <f>E902+1</f>
        <v>5</v>
      </c>
      <c r="F903" s="2">
        <v>10</v>
      </c>
      <c r="G903" s="3" t="s">
        <v>22</v>
      </c>
      <c r="H903" s="2">
        <v>50</v>
      </c>
      <c r="I903" s="117">
        <v>423100</v>
      </c>
      <c r="J903" s="112" t="s">
        <v>84</v>
      </c>
      <c r="K903" s="2">
        <v>423105</v>
      </c>
      <c r="L903" s="2">
        <v>1</v>
      </c>
      <c r="M903" s="2" t="s">
        <v>84</v>
      </c>
      <c r="N903" s="2" t="s">
        <v>84</v>
      </c>
      <c r="O903" s="2" t="s">
        <v>841</v>
      </c>
      <c r="P903" s="2" t="s">
        <v>1699</v>
      </c>
    </row>
    <row r="904" spans="1:16" ht="21" customHeight="1" x14ac:dyDescent="0.15">
      <c r="A904" s="10" t="str">
        <f t="shared" ref="A904:A949" si="246">B904&amp;"_"&amp;D904&amp;"_"&amp;E904&amp;"_"&amp;F904&amp;"_"&amp;G904</f>
        <v>423_10_6_5_polygon</v>
      </c>
      <c r="B904" s="2">
        <v>423</v>
      </c>
      <c r="C904" s="30" t="str">
        <f>VLOOKUP(B904,gachas!A:C,3)</f>
        <v>ニューフェイスガチャ(三国志)</v>
      </c>
      <c r="D904" s="21">
        <v>10</v>
      </c>
      <c r="E904" s="2">
        <f t="shared" ref="E904:E948" si="247">E903+1</f>
        <v>6</v>
      </c>
      <c r="F904" s="2">
        <v>5</v>
      </c>
      <c r="G904" s="3" t="s">
        <v>22</v>
      </c>
      <c r="H904" s="2">
        <v>15</v>
      </c>
      <c r="I904" s="117">
        <v>423100</v>
      </c>
      <c r="J904" s="112" t="s">
        <v>84</v>
      </c>
      <c r="K904" s="2" t="s">
        <v>84</v>
      </c>
      <c r="L904" s="2">
        <v>0</v>
      </c>
      <c r="M904" s="2" t="s">
        <v>84</v>
      </c>
      <c r="N904" s="2" t="s">
        <v>84</v>
      </c>
      <c r="O904" s="2" t="s">
        <v>841</v>
      </c>
      <c r="P904" s="2" t="s">
        <v>1695</v>
      </c>
    </row>
    <row r="905" spans="1:16" ht="21" customHeight="1" x14ac:dyDescent="0.15">
      <c r="A905" s="10" t="str">
        <f t="shared" si="246"/>
        <v>423_10_7_10_polygon</v>
      </c>
      <c r="B905" s="2">
        <v>423</v>
      </c>
      <c r="C905" s="30" t="str">
        <f>VLOOKUP(B905,gachas!A:C,3)</f>
        <v>ニューフェイスガチャ(三国志)</v>
      </c>
      <c r="D905" s="21">
        <v>10</v>
      </c>
      <c r="E905" s="2">
        <f t="shared" si="247"/>
        <v>7</v>
      </c>
      <c r="F905" s="2">
        <v>10</v>
      </c>
      <c r="G905" s="3" t="s">
        <v>22</v>
      </c>
      <c r="H905" s="2">
        <v>35</v>
      </c>
      <c r="I905" s="117">
        <v>423100</v>
      </c>
      <c r="J905" s="112">
        <v>423102</v>
      </c>
      <c r="K905" s="2" t="s">
        <v>84</v>
      </c>
      <c r="L905" s="2">
        <v>0</v>
      </c>
      <c r="M905" s="2" t="s">
        <v>84</v>
      </c>
      <c r="N905" s="2" t="s">
        <v>84</v>
      </c>
      <c r="O905" s="2" t="s">
        <v>841</v>
      </c>
      <c r="P905" s="2" t="s">
        <v>1696</v>
      </c>
    </row>
    <row r="906" spans="1:16" ht="21" customHeight="1" x14ac:dyDescent="0.15">
      <c r="A906" s="10" t="str">
        <f t="shared" si="246"/>
        <v>423_10_8_10_polygon</v>
      </c>
      <c r="B906" s="2">
        <v>423</v>
      </c>
      <c r="C906" s="30" t="str">
        <f>VLOOKUP(B906,gachas!A:C,3)</f>
        <v>ニューフェイスガチャ(三国志)</v>
      </c>
      <c r="D906" s="21">
        <v>10</v>
      </c>
      <c r="E906" s="2">
        <f t="shared" si="247"/>
        <v>8</v>
      </c>
      <c r="F906" s="2">
        <v>10</v>
      </c>
      <c r="G906" s="3" t="s">
        <v>22</v>
      </c>
      <c r="H906" s="2">
        <v>40</v>
      </c>
      <c r="I906" s="117">
        <v>423100</v>
      </c>
      <c r="J906" s="112">
        <v>423103</v>
      </c>
      <c r="K906" s="2" t="s">
        <v>84</v>
      </c>
      <c r="L906" s="2">
        <v>0</v>
      </c>
      <c r="M906" s="2" t="s">
        <v>84</v>
      </c>
      <c r="N906" s="2" t="s">
        <v>84</v>
      </c>
      <c r="O906" s="2" t="s">
        <v>841</v>
      </c>
      <c r="P906" s="2" t="s">
        <v>1697</v>
      </c>
    </row>
    <row r="907" spans="1:16" ht="21" customHeight="1" x14ac:dyDescent="0.15">
      <c r="A907" s="10" t="str">
        <f t="shared" si="246"/>
        <v>423_10_9_10_polygon</v>
      </c>
      <c r="B907" s="2">
        <v>423</v>
      </c>
      <c r="C907" s="30" t="str">
        <f>VLOOKUP(B907,gachas!A:C,3)</f>
        <v>ニューフェイスガチャ(三国志)</v>
      </c>
      <c r="D907" s="21">
        <v>10</v>
      </c>
      <c r="E907" s="2">
        <f t="shared" si="247"/>
        <v>9</v>
      </c>
      <c r="F907" s="2">
        <v>10</v>
      </c>
      <c r="G907" s="3" t="s">
        <v>22</v>
      </c>
      <c r="H907" s="2">
        <v>50</v>
      </c>
      <c r="I907" s="117">
        <v>423100</v>
      </c>
      <c r="J907" s="112">
        <v>423104</v>
      </c>
      <c r="K907" s="2" t="s">
        <v>84</v>
      </c>
      <c r="L907" s="2">
        <v>0</v>
      </c>
      <c r="M907" s="2" t="s">
        <v>84</v>
      </c>
      <c r="N907" s="2" t="s">
        <v>84</v>
      </c>
      <c r="O907" s="2" t="s">
        <v>841</v>
      </c>
      <c r="P907" s="2" t="s">
        <v>1698</v>
      </c>
    </row>
    <row r="908" spans="1:16" ht="21" customHeight="1" x14ac:dyDescent="0.15">
      <c r="A908" s="10" t="str">
        <f t="shared" si="246"/>
        <v>423_10_10_10_polygon</v>
      </c>
      <c r="B908" s="2">
        <v>423</v>
      </c>
      <c r="C908" s="30" t="str">
        <f>VLOOKUP(B908,gachas!A:C,3)</f>
        <v>ニューフェイスガチャ(三国志)</v>
      </c>
      <c r="D908" s="21">
        <v>10</v>
      </c>
      <c r="E908" s="2">
        <f t="shared" si="247"/>
        <v>10</v>
      </c>
      <c r="F908" s="2">
        <v>10</v>
      </c>
      <c r="G908" s="3" t="s">
        <v>22</v>
      </c>
      <c r="H908" s="2">
        <v>50</v>
      </c>
      <c r="I908" s="117">
        <v>423100</v>
      </c>
      <c r="J908" s="112" t="s">
        <v>84</v>
      </c>
      <c r="K908" s="2">
        <v>423105</v>
      </c>
      <c r="L908" s="2">
        <v>1</v>
      </c>
      <c r="M908" s="2" t="s">
        <v>84</v>
      </c>
      <c r="N908" s="2" t="s">
        <v>84</v>
      </c>
      <c r="O908" s="2" t="s">
        <v>841</v>
      </c>
      <c r="P908" s="2" t="s">
        <v>1699</v>
      </c>
    </row>
    <row r="909" spans="1:16" ht="21" customHeight="1" x14ac:dyDescent="0.15">
      <c r="A909" s="10" t="str">
        <f t="shared" si="246"/>
        <v>423_10_11_5_polygon</v>
      </c>
      <c r="B909" s="2">
        <v>423</v>
      </c>
      <c r="C909" s="30" t="str">
        <f>VLOOKUP(B909,gachas!A:C,3)</f>
        <v>ニューフェイスガチャ(三国志)</v>
      </c>
      <c r="D909" s="21">
        <v>10</v>
      </c>
      <c r="E909" s="2">
        <f t="shared" si="247"/>
        <v>11</v>
      </c>
      <c r="F909" s="2">
        <v>5</v>
      </c>
      <c r="G909" s="3" t="s">
        <v>22</v>
      </c>
      <c r="H909" s="2">
        <v>15</v>
      </c>
      <c r="I909" s="117">
        <v>423100</v>
      </c>
      <c r="J909" s="112" t="s">
        <v>84</v>
      </c>
      <c r="K909" s="2" t="s">
        <v>84</v>
      </c>
      <c r="L909" s="2">
        <v>0</v>
      </c>
      <c r="M909" s="2" t="s">
        <v>84</v>
      </c>
      <c r="N909" s="2" t="s">
        <v>84</v>
      </c>
      <c r="O909" s="2" t="s">
        <v>841</v>
      </c>
      <c r="P909" s="2" t="s">
        <v>1695</v>
      </c>
    </row>
    <row r="910" spans="1:16" ht="21" customHeight="1" x14ac:dyDescent="0.15">
      <c r="A910" s="10" t="str">
        <f t="shared" si="246"/>
        <v>423_10_12_10_polygon</v>
      </c>
      <c r="B910" s="2">
        <v>423</v>
      </c>
      <c r="C910" s="30" t="str">
        <f>VLOOKUP(B910,gachas!A:C,3)</f>
        <v>ニューフェイスガチャ(三国志)</v>
      </c>
      <c r="D910" s="21">
        <v>10</v>
      </c>
      <c r="E910" s="2">
        <f t="shared" si="247"/>
        <v>12</v>
      </c>
      <c r="F910" s="2">
        <v>10</v>
      </c>
      <c r="G910" s="3" t="s">
        <v>22</v>
      </c>
      <c r="H910" s="2">
        <v>35</v>
      </c>
      <c r="I910" s="117">
        <v>423100</v>
      </c>
      <c r="J910" s="112">
        <v>423102</v>
      </c>
      <c r="K910" s="2" t="s">
        <v>84</v>
      </c>
      <c r="L910" s="2">
        <v>0</v>
      </c>
      <c r="M910" s="2" t="s">
        <v>84</v>
      </c>
      <c r="N910" s="2" t="s">
        <v>84</v>
      </c>
      <c r="O910" s="2" t="s">
        <v>841</v>
      </c>
      <c r="P910" s="2" t="s">
        <v>1696</v>
      </c>
    </row>
    <row r="911" spans="1:16" ht="21" customHeight="1" x14ac:dyDescent="0.15">
      <c r="A911" s="10" t="str">
        <f t="shared" si="246"/>
        <v>423_10_13_10_polygon</v>
      </c>
      <c r="B911" s="2">
        <v>423</v>
      </c>
      <c r="C911" s="30" t="str">
        <f>VLOOKUP(B911,gachas!A:C,3)</f>
        <v>ニューフェイスガチャ(三国志)</v>
      </c>
      <c r="D911" s="21">
        <v>10</v>
      </c>
      <c r="E911" s="2">
        <f t="shared" si="247"/>
        <v>13</v>
      </c>
      <c r="F911" s="2">
        <v>10</v>
      </c>
      <c r="G911" s="3" t="s">
        <v>22</v>
      </c>
      <c r="H911" s="2">
        <v>40</v>
      </c>
      <c r="I911" s="117">
        <v>423100</v>
      </c>
      <c r="J911" s="112">
        <v>423103</v>
      </c>
      <c r="K911" s="2" t="s">
        <v>84</v>
      </c>
      <c r="L911" s="2">
        <v>0</v>
      </c>
      <c r="M911" s="2" t="s">
        <v>84</v>
      </c>
      <c r="N911" s="2" t="s">
        <v>84</v>
      </c>
      <c r="O911" s="2" t="s">
        <v>841</v>
      </c>
      <c r="P911" s="2" t="s">
        <v>1697</v>
      </c>
    </row>
    <row r="912" spans="1:16" ht="21" customHeight="1" x14ac:dyDescent="0.15">
      <c r="A912" s="10" t="str">
        <f t="shared" si="246"/>
        <v>423_10_14_10_polygon</v>
      </c>
      <c r="B912" s="2">
        <v>423</v>
      </c>
      <c r="C912" s="30" t="str">
        <f>VLOOKUP(B912,gachas!A:C,3)</f>
        <v>ニューフェイスガチャ(三国志)</v>
      </c>
      <c r="D912" s="21">
        <v>10</v>
      </c>
      <c r="E912" s="2">
        <f t="shared" si="247"/>
        <v>14</v>
      </c>
      <c r="F912" s="2">
        <v>10</v>
      </c>
      <c r="G912" s="3" t="s">
        <v>22</v>
      </c>
      <c r="H912" s="2">
        <v>50</v>
      </c>
      <c r="I912" s="117">
        <v>423100</v>
      </c>
      <c r="J912" s="112">
        <v>423104</v>
      </c>
      <c r="K912" s="2" t="s">
        <v>84</v>
      </c>
      <c r="L912" s="2">
        <v>0</v>
      </c>
      <c r="M912" s="2" t="s">
        <v>84</v>
      </c>
      <c r="N912" s="2" t="s">
        <v>84</v>
      </c>
      <c r="O912" s="2" t="s">
        <v>841</v>
      </c>
      <c r="P912" s="2" t="s">
        <v>1698</v>
      </c>
    </row>
    <row r="913" spans="1:16" ht="21" customHeight="1" x14ac:dyDescent="0.15">
      <c r="A913" s="10" t="str">
        <f t="shared" si="246"/>
        <v>423_10_15_10_polygon</v>
      </c>
      <c r="B913" s="2">
        <v>423</v>
      </c>
      <c r="C913" s="30" t="str">
        <f>VLOOKUP(B913,gachas!A:C,3)</f>
        <v>ニューフェイスガチャ(三国志)</v>
      </c>
      <c r="D913" s="21">
        <v>10</v>
      </c>
      <c r="E913" s="2">
        <f t="shared" si="247"/>
        <v>15</v>
      </c>
      <c r="F913" s="2">
        <v>10</v>
      </c>
      <c r="G913" s="3" t="s">
        <v>22</v>
      </c>
      <c r="H913" s="2">
        <v>50</v>
      </c>
      <c r="I913" s="117">
        <v>423100</v>
      </c>
      <c r="J913" s="112" t="s">
        <v>84</v>
      </c>
      <c r="K913" s="2">
        <v>423105</v>
      </c>
      <c r="L913" s="2">
        <v>1</v>
      </c>
      <c r="M913" s="2" t="s">
        <v>84</v>
      </c>
      <c r="N913" s="2" t="s">
        <v>84</v>
      </c>
      <c r="O913" s="2" t="s">
        <v>841</v>
      </c>
      <c r="P913" s="2" t="s">
        <v>1699</v>
      </c>
    </row>
    <row r="914" spans="1:16" ht="21" customHeight="1" x14ac:dyDescent="0.15">
      <c r="A914" s="10" t="str">
        <f t="shared" si="246"/>
        <v>423_10_16_5_polygon</v>
      </c>
      <c r="B914" s="2">
        <v>423</v>
      </c>
      <c r="C914" s="30" t="str">
        <f>VLOOKUP(B914,gachas!A:C,3)</f>
        <v>ニューフェイスガチャ(三国志)</v>
      </c>
      <c r="D914" s="21">
        <v>10</v>
      </c>
      <c r="E914" s="2">
        <f t="shared" si="247"/>
        <v>16</v>
      </c>
      <c r="F914" s="2">
        <v>5</v>
      </c>
      <c r="G914" s="3" t="s">
        <v>22</v>
      </c>
      <c r="H914" s="2">
        <v>15</v>
      </c>
      <c r="I914" s="117">
        <v>423100</v>
      </c>
      <c r="J914" s="112" t="s">
        <v>84</v>
      </c>
      <c r="K914" s="2" t="s">
        <v>84</v>
      </c>
      <c r="L914" s="2">
        <v>0</v>
      </c>
      <c r="M914" s="2" t="s">
        <v>84</v>
      </c>
      <c r="N914" s="2" t="s">
        <v>84</v>
      </c>
      <c r="O914" s="2" t="s">
        <v>841</v>
      </c>
      <c r="P914" s="2" t="s">
        <v>1695</v>
      </c>
    </row>
    <row r="915" spans="1:16" ht="21" customHeight="1" x14ac:dyDescent="0.15">
      <c r="A915" s="10" t="str">
        <f t="shared" si="246"/>
        <v>423_10_17_10_polygon</v>
      </c>
      <c r="B915" s="2">
        <v>423</v>
      </c>
      <c r="C915" s="30" t="str">
        <f>VLOOKUP(B915,gachas!A:C,3)</f>
        <v>ニューフェイスガチャ(三国志)</v>
      </c>
      <c r="D915" s="21">
        <v>10</v>
      </c>
      <c r="E915" s="2">
        <f t="shared" si="247"/>
        <v>17</v>
      </c>
      <c r="F915" s="2">
        <v>10</v>
      </c>
      <c r="G915" s="3" t="s">
        <v>22</v>
      </c>
      <c r="H915" s="2">
        <v>35</v>
      </c>
      <c r="I915" s="117">
        <v>423100</v>
      </c>
      <c r="J915" s="112">
        <v>423102</v>
      </c>
      <c r="K915" s="2" t="s">
        <v>84</v>
      </c>
      <c r="L915" s="2">
        <v>0</v>
      </c>
      <c r="M915" s="2" t="s">
        <v>84</v>
      </c>
      <c r="N915" s="2" t="s">
        <v>84</v>
      </c>
      <c r="O915" s="2" t="s">
        <v>841</v>
      </c>
      <c r="P915" s="2" t="s">
        <v>1696</v>
      </c>
    </row>
    <row r="916" spans="1:16" ht="21" customHeight="1" x14ac:dyDescent="0.15">
      <c r="A916" s="10" t="str">
        <f t="shared" si="246"/>
        <v>423_10_18_10_polygon</v>
      </c>
      <c r="B916" s="2">
        <v>423</v>
      </c>
      <c r="C916" s="30" t="str">
        <f>VLOOKUP(B916,gachas!A:C,3)</f>
        <v>ニューフェイスガチャ(三国志)</v>
      </c>
      <c r="D916" s="21">
        <v>10</v>
      </c>
      <c r="E916" s="2">
        <f t="shared" si="247"/>
        <v>18</v>
      </c>
      <c r="F916" s="2">
        <v>10</v>
      </c>
      <c r="G916" s="3" t="s">
        <v>22</v>
      </c>
      <c r="H916" s="2">
        <v>40</v>
      </c>
      <c r="I916" s="117">
        <v>423100</v>
      </c>
      <c r="J916" s="112">
        <v>423103</v>
      </c>
      <c r="K916" s="2" t="s">
        <v>84</v>
      </c>
      <c r="L916" s="2">
        <v>0</v>
      </c>
      <c r="M916" s="2" t="s">
        <v>84</v>
      </c>
      <c r="N916" s="2" t="s">
        <v>84</v>
      </c>
      <c r="O916" s="2" t="s">
        <v>841</v>
      </c>
      <c r="P916" s="2" t="s">
        <v>1697</v>
      </c>
    </row>
    <row r="917" spans="1:16" ht="21" customHeight="1" x14ac:dyDescent="0.15">
      <c r="A917" s="10" t="str">
        <f t="shared" si="246"/>
        <v>423_10_19_10_polygon</v>
      </c>
      <c r="B917" s="2">
        <v>423</v>
      </c>
      <c r="C917" s="30" t="str">
        <f>VLOOKUP(B917,gachas!A:C,3)</f>
        <v>ニューフェイスガチャ(三国志)</v>
      </c>
      <c r="D917" s="21">
        <v>10</v>
      </c>
      <c r="E917" s="2">
        <f t="shared" si="247"/>
        <v>19</v>
      </c>
      <c r="F917" s="2">
        <v>10</v>
      </c>
      <c r="G917" s="3" t="s">
        <v>22</v>
      </c>
      <c r="H917" s="2">
        <v>50</v>
      </c>
      <c r="I917" s="117">
        <v>423100</v>
      </c>
      <c r="J917" s="112">
        <v>423104</v>
      </c>
      <c r="K917" s="2" t="s">
        <v>84</v>
      </c>
      <c r="L917" s="2">
        <v>0</v>
      </c>
      <c r="M917" s="2" t="s">
        <v>84</v>
      </c>
      <c r="N917" s="2" t="s">
        <v>84</v>
      </c>
      <c r="O917" s="2" t="s">
        <v>841</v>
      </c>
      <c r="P917" s="2" t="s">
        <v>1698</v>
      </c>
    </row>
    <row r="918" spans="1:16" ht="21" customHeight="1" x14ac:dyDescent="0.15">
      <c r="A918" s="10" t="str">
        <f t="shared" si="246"/>
        <v>423_10_20_10_polygon</v>
      </c>
      <c r="B918" s="2">
        <v>423</v>
      </c>
      <c r="C918" s="30" t="str">
        <f>VLOOKUP(B918,gachas!A:C,3)</f>
        <v>ニューフェイスガチャ(三国志)</v>
      </c>
      <c r="D918" s="21">
        <v>10</v>
      </c>
      <c r="E918" s="2">
        <f t="shared" si="247"/>
        <v>20</v>
      </c>
      <c r="F918" s="2">
        <v>10</v>
      </c>
      <c r="G918" s="3" t="s">
        <v>22</v>
      </c>
      <c r="H918" s="2">
        <v>50</v>
      </c>
      <c r="I918" s="117">
        <v>423100</v>
      </c>
      <c r="J918" s="112" t="s">
        <v>84</v>
      </c>
      <c r="K918" s="2">
        <v>423105</v>
      </c>
      <c r="L918" s="2">
        <v>1</v>
      </c>
      <c r="M918" s="2" t="s">
        <v>84</v>
      </c>
      <c r="N918" s="2" t="s">
        <v>84</v>
      </c>
      <c r="O918" s="2" t="s">
        <v>841</v>
      </c>
      <c r="P918" s="2" t="s">
        <v>1699</v>
      </c>
    </row>
    <row r="919" spans="1:16" ht="21" customHeight="1" x14ac:dyDescent="0.15">
      <c r="A919" s="10" t="str">
        <f t="shared" si="246"/>
        <v>423_10_21_5_polygon</v>
      </c>
      <c r="B919" s="2">
        <v>423</v>
      </c>
      <c r="C919" s="30" t="str">
        <f>VLOOKUP(B919,gachas!A:C,3)</f>
        <v>ニューフェイスガチャ(三国志)</v>
      </c>
      <c r="D919" s="21">
        <v>10</v>
      </c>
      <c r="E919" s="2">
        <f t="shared" si="247"/>
        <v>21</v>
      </c>
      <c r="F919" s="2">
        <v>5</v>
      </c>
      <c r="G919" s="3" t="s">
        <v>22</v>
      </c>
      <c r="H919" s="2">
        <v>15</v>
      </c>
      <c r="I919" s="117">
        <v>423100</v>
      </c>
      <c r="J919" s="112" t="s">
        <v>84</v>
      </c>
      <c r="K919" s="2" t="s">
        <v>84</v>
      </c>
      <c r="L919" s="2">
        <v>0</v>
      </c>
      <c r="M919" s="2" t="s">
        <v>84</v>
      </c>
      <c r="N919" s="2" t="s">
        <v>84</v>
      </c>
      <c r="O919" s="2" t="s">
        <v>841</v>
      </c>
      <c r="P919" s="2" t="s">
        <v>1695</v>
      </c>
    </row>
    <row r="920" spans="1:16" ht="21" customHeight="1" x14ac:dyDescent="0.15">
      <c r="A920" s="10" t="str">
        <f t="shared" si="246"/>
        <v>423_10_22_10_polygon</v>
      </c>
      <c r="B920" s="2">
        <v>423</v>
      </c>
      <c r="C920" s="30" t="str">
        <f>VLOOKUP(B920,gachas!A:C,3)</f>
        <v>ニューフェイスガチャ(三国志)</v>
      </c>
      <c r="D920" s="21">
        <v>10</v>
      </c>
      <c r="E920" s="2">
        <f t="shared" si="247"/>
        <v>22</v>
      </c>
      <c r="F920" s="2">
        <v>10</v>
      </c>
      <c r="G920" s="3" t="s">
        <v>22</v>
      </c>
      <c r="H920" s="2">
        <v>35</v>
      </c>
      <c r="I920" s="117">
        <v>423100</v>
      </c>
      <c r="J920" s="112">
        <v>423102</v>
      </c>
      <c r="K920" s="2" t="s">
        <v>84</v>
      </c>
      <c r="L920" s="2">
        <v>0</v>
      </c>
      <c r="M920" s="2" t="s">
        <v>84</v>
      </c>
      <c r="N920" s="2" t="s">
        <v>84</v>
      </c>
      <c r="O920" s="2" t="s">
        <v>841</v>
      </c>
      <c r="P920" s="2" t="s">
        <v>1696</v>
      </c>
    </row>
    <row r="921" spans="1:16" ht="21" customHeight="1" x14ac:dyDescent="0.15">
      <c r="A921" s="10" t="str">
        <f t="shared" si="246"/>
        <v>423_10_23_10_polygon</v>
      </c>
      <c r="B921" s="2">
        <v>423</v>
      </c>
      <c r="C921" s="30" t="str">
        <f>VLOOKUP(B921,gachas!A:C,3)</f>
        <v>ニューフェイスガチャ(三国志)</v>
      </c>
      <c r="D921" s="21">
        <v>10</v>
      </c>
      <c r="E921" s="2">
        <f t="shared" si="247"/>
        <v>23</v>
      </c>
      <c r="F921" s="2">
        <v>10</v>
      </c>
      <c r="G921" s="3" t="s">
        <v>22</v>
      </c>
      <c r="H921" s="2">
        <v>40</v>
      </c>
      <c r="I921" s="117">
        <v>423100</v>
      </c>
      <c r="J921" s="112">
        <v>423103</v>
      </c>
      <c r="K921" s="2" t="s">
        <v>84</v>
      </c>
      <c r="L921" s="2">
        <v>0</v>
      </c>
      <c r="M921" s="2" t="s">
        <v>84</v>
      </c>
      <c r="N921" s="2" t="s">
        <v>84</v>
      </c>
      <c r="O921" s="2" t="s">
        <v>841</v>
      </c>
      <c r="P921" s="2" t="s">
        <v>1697</v>
      </c>
    </row>
    <row r="922" spans="1:16" ht="21" customHeight="1" x14ac:dyDescent="0.15">
      <c r="A922" s="10" t="str">
        <f t="shared" si="246"/>
        <v>423_10_24_10_polygon</v>
      </c>
      <c r="B922" s="2">
        <v>423</v>
      </c>
      <c r="C922" s="30" t="str">
        <f>VLOOKUP(B922,gachas!A:C,3)</f>
        <v>ニューフェイスガチャ(三国志)</v>
      </c>
      <c r="D922" s="21">
        <v>10</v>
      </c>
      <c r="E922" s="2">
        <f t="shared" si="247"/>
        <v>24</v>
      </c>
      <c r="F922" s="2">
        <v>10</v>
      </c>
      <c r="G922" s="3" t="s">
        <v>22</v>
      </c>
      <c r="H922" s="2">
        <v>50</v>
      </c>
      <c r="I922" s="117">
        <v>423100</v>
      </c>
      <c r="J922" s="112">
        <v>423104</v>
      </c>
      <c r="K922" s="2" t="s">
        <v>84</v>
      </c>
      <c r="L922" s="2">
        <v>0</v>
      </c>
      <c r="M922" s="2" t="s">
        <v>84</v>
      </c>
      <c r="N922" s="2" t="s">
        <v>84</v>
      </c>
      <c r="O922" s="2" t="s">
        <v>841</v>
      </c>
      <c r="P922" s="2" t="s">
        <v>1698</v>
      </c>
    </row>
    <row r="923" spans="1:16" ht="21" customHeight="1" x14ac:dyDescent="0.15">
      <c r="A923" s="10" t="str">
        <f t="shared" si="246"/>
        <v>423_10_25_10_polygon</v>
      </c>
      <c r="B923" s="2">
        <v>423</v>
      </c>
      <c r="C923" s="30" t="str">
        <f>VLOOKUP(B923,gachas!A:C,3)</f>
        <v>ニューフェイスガチャ(三国志)</v>
      </c>
      <c r="D923" s="21">
        <v>10</v>
      </c>
      <c r="E923" s="2">
        <f t="shared" si="247"/>
        <v>25</v>
      </c>
      <c r="F923" s="2">
        <v>10</v>
      </c>
      <c r="G923" s="3" t="s">
        <v>22</v>
      </c>
      <c r="H923" s="2">
        <v>50</v>
      </c>
      <c r="I923" s="117">
        <v>423100</v>
      </c>
      <c r="J923" s="112" t="s">
        <v>84</v>
      </c>
      <c r="K923" s="2">
        <v>423105</v>
      </c>
      <c r="L923" s="2">
        <v>1</v>
      </c>
      <c r="M923" s="2" t="s">
        <v>84</v>
      </c>
      <c r="N923" s="2" t="s">
        <v>84</v>
      </c>
      <c r="O923" s="2" t="s">
        <v>841</v>
      </c>
      <c r="P923" s="2" t="s">
        <v>1699</v>
      </c>
    </row>
    <row r="924" spans="1:16" ht="21" customHeight="1" x14ac:dyDescent="0.15">
      <c r="A924" s="10" t="str">
        <f t="shared" si="246"/>
        <v>423_10_26_5_polygon</v>
      </c>
      <c r="B924" s="2">
        <v>423</v>
      </c>
      <c r="C924" s="30" t="str">
        <f>VLOOKUP(B924,gachas!A:C,3)</f>
        <v>ニューフェイスガチャ(三国志)</v>
      </c>
      <c r="D924" s="21">
        <v>10</v>
      </c>
      <c r="E924" s="2">
        <f t="shared" si="247"/>
        <v>26</v>
      </c>
      <c r="F924" s="2">
        <v>5</v>
      </c>
      <c r="G924" s="3" t="s">
        <v>22</v>
      </c>
      <c r="H924" s="2">
        <v>15</v>
      </c>
      <c r="I924" s="117">
        <v>423100</v>
      </c>
      <c r="J924" s="112" t="s">
        <v>84</v>
      </c>
      <c r="K924" s="2" t="s">
        <v>84</v>
      </c>
      <c r="L924" s="2">
        <v>0</v>
      </c>
      <c r="M924" s="2" t="s">
        <v>84</v>
      </c>
      <c r="N924" s="2" t="s">
        <v>84</v>
      </c>
      <c r="O924" s="2" t="s">
        <v>841</v>
      </c>
      <c r="P924" s="2" t="s">
        <v>1695</v>
      </c>
    </row>
    <row r="925" spans="1:16" ht="21" customHeight="1" x14ac:dyDescent="0.15">
      <c r="A925" s="10" t="str">
        <f t="shared" si="246"/>
        <v>423_10_27_10_polygon</v>
      </c>
      <c r="B925" s="2">
        <v>423</v>
      </c>
      <c r="C925" s="30" t="str">
        <f>VLOOKUP(B925,gachas!A:C,3)</f>
        <v>ニューフェイスガチャ(三国志)</v>
      </c>
      <c r="D925" s="21">
        <v>10</v>
      </c>
      <c r="E925" s="2">
        <f t="shared" si="247"/>
        <v>27</v>
      </c>
      <c r="F925" s="2">
        <v>10</v>
      </c>
      <c r="G925" s="3" t="s">
        <v>22</v>
      </c>
      <c r="H925" s="2">
        <v>35</v>
      </c>
      <c r="I925" s="117">
        <v>423100</v>
      </c>
      <c r="J925" s="112">
        <v>423102</v>
      </c>
      <c r="K925" s="2" t="s">
        <v>84</v>
      </c>
      <c r="L925" s="2">
        <v>0</v>
      </c>
      <c r="M925" s="2" t="s">
        <v>84</v>
      </c>
      <c r="N925" s="2" t="s">
        <v>84</v>
      </c>
      <c r="O925" s="2" t="s">
        <v>841</v>
      </c>
      <c r="P925" s="2" t="s">
        <v>1696</v>
      </c>
    </row>
    <row r="926" spans="1:16" ht="21" customHeight="1" x14ac:dyDescent="0.15">
      <c r="A926" s="10" t="str">
        <f t="shared" si="246"/>
        <v>423_10_28_10_polygon</v>
      </c>
      <c r="B926" s="2">
        <v>423</v>
      </c>
      <c r="C926" s="30" t="str">
        <f>VLOOKUP(B926,gachas!A:C,3)</f>
        <v>ニューフェイスガチャ(三国志)</v>
      </c>
      <c r="D926" s="21">
        <v>10</v>
      </c>
      <c r="E926" s="2">
        <f t="shared" si="247"/>
        <v>28</v>
      </c>
      <c r="F926" s="2">
        <v>10</v>
      </c>
      <c r="G926" s="3" t="s">
        <v>22</v>
      </c>
      <c r="H926" s="2">
        <v>40</v>
      </c>
      <c r="I926" s="117">
        <v>423100</v>
      </c>
      <c r="J926" s="112">
        <v>423103</v>
      </c>
      <c r="K926" s="2" t="s">
        <v>84</v>
      </c>
      <c r="L926" s="2">
        <v>0</v>
      </c>
      <c r="M926" s="2" t="s">
        <v>84</v>
      </c>
      <c r="N926" s="2" t="s">
        <v>84</v>
      </c>
      <c r="O926" s="2" t="s">
        <v>841</v>
      </c>
      <c r="P926" s="2" t="s">
        <v>1697</v>
      </c>
    </row>
    <row r="927" spans="1:16" ht="21" customHeight="1" x14ac:dyDescent="0.15">
      <c r="A927" s="10" t="str">
        <f t="shared" si="246"/>
        <v>423_10_29_10_polygon</v>
      </c>
      <c r="B927" s="2">
        <v>423</v>
      </c>
      <c r="C927" s="30" t="str">
        <f>VLOOKUP(B927,gachas!A:C,3)</f>
        <v>ニューフェイスガチャ(三国志)</v>
      </c>
      <c r="D927" s="21">
        <v>10</v>
      </c>
      <c r="E927" s="2">
        <f t="shared" si="247"/>
        <v>29</v>
      </c>
      <c r="F927" s="2">
        <v>10</v>
      </c>
      <c r="G927" s="3" t="s">
        <v>22</v>
      </c>
      <c r="H927" s="2">
        <v>50</v>
      </c>
      <c r="I927" s="117">
        <v>423100</v>
      </c>
      <c r="J927" s="112">
        <v>423104</v>
      </c>
      <c r="K927" s="2" t="s">
        <v>84</v>
      </c>
      <c r="L927" s="2">
        <v>0</v>
      </c>
      <c r="M927" s="2" t="s">
        <v>84</v>
      </c>
      <c r="N927" s="2" t="s">
        <v>84</v>
      </c>
      <c r="O927" s="2" t="s">
        <v>841</v>
      </c>
      <c r="P927" s="2" t="s">
        <v>1698</v>
      </c>
    </row>
    <row r="928" spans="1:16" ht="21" customHeight="1" x14ac:dyDescent="0.15">
      <c r="A928" s="10" t="str">
        <f t="shared" si="246"/>
        <v>423_10_30_10_polygon</v>
      </c>
      <c r="B928" s="2">
        <v>423</v>
      </c>
      <c r="C928" s="30" t="str">
        <f>VLOOKUP(B928,gachas!A:C,3)</f>
        <v>ニューフェイスガチャ(三国志)</v>
      </c>
      <c r="D928" s="21">
        <v>10</v>
      </c>
      <c r="E928" s="2">
        <f t="shared" si="247"/>
        <v>30</v>
      </c>
      <c r="F928" s="2">
        <v>10</v>
      </c>
      <c r="G928" s="3" t="s">
        <v>22</v>
      </c>
      <c r="H928" s="2">
        <v>50</v>
      </c>
      <c r="I928" s="117">
        <v>423100</v>
      </c>
      <c r="J928" s="112" t="s">
        <v>84</v>
      </c>
      <c r="K928" s="2">
        <v>423105</v>
      </c>
      <c r="L928" s="2">
        <v>1</v>
      </c>
      <c r="M928" s="2" t="s">
        <v>84</v>
      </c>
      <c r="N928" s="2" t="s">
        <v>84</v>
      </c>
      <c r="O928" s="2" t="s">
        <v>841</v>
      </c>
      <c r="P928" s="2" t="s">
        <v>1699</v>
      </c>
    </row>
    <row r="929" spans="1:16" ht="21" customHeight="1" x14ac:dyDescent="0.15">
      <c r="A929" s="10" t="str">
        <f t="shared" si="246"/>
        <v>423_10_31_5_polygon</v>
      </c>
      <c r="B929" s="2">
        <v>423</v>
      </c>
      <c r="C929" s="30" t="str">
        <f>VLOOKUP(B929,gachas!A:C,3)</f>
        <v>ニューフェイスガチャ(三国志)</v>
      </c>
      <c r="D929" s="21">
        <v>10</v>
      </c>
      <c r="E929" s="2">
        <f t="shared" si="247"/>
        <v>31</v>
      </c>
      <c r="F929" s="2">
        <v>5</v>
      </c>
      <c r="G929" s="3" t="s">
        <v>22</v>
      </c>
      <c r="H929" s="2">
        <v>15</v>
      </c>
      <c r="I929" s="117">
        <v>423100</v>
      </c>
      <c r="J929" s="112" t="s">
        <v>84</v>
      </c>
      <c r="K929" s="2" t="s">
        <v>84</v>
      </c>
      <c r="L929" s="2">
        <v>0</v>
      </c>
      <c r="M929" s="2" t="s">
        <v>84</v>
      </c>
      <c r="N929" s="2" t="s">
        <v>84</v>
      </c>
      <c r="O929" s="2" t="s">
        <v>841</v>
      </c>
      <c r="P929" s="2" t="s">
        <v>1695</v>
      </c>
    </row>
    <row r="930" spans="1:16" ht="21" customHeight="1" x14ac:dyDescent="0.15">
      <c r="A930" s="10" t="str">
        <f t="shared" si="246"/>
        <v>423_10_32_10_polygon</v>
      </c>
      <c r="B930" s="2">
        <v>423</v>
      </c>
      <c r="C930" s="30" t="str">
        <f>VLOOKUP(B930,gachas!A:C,3)</f>
        <v>ニューフェイスガチャ(三国志)</v>
      </c>
      <c r="D930" s="21">
        <v>10</v>
      </c>
      <c r="E930" s="2">
        <f t="shared" si="247"/>
        <v>32</v>
      </c>
      <c r="F930" s="2">
        <v>10</v>
      </c>
      <c r="G930" s="3" t="s">
        <v>22</v>
      </c>
      <c r="H930" s="2">
        <v>35</v>
      </c>
      <c r="I930" s="117">
        <v>423100</v>
      </c>
      <c r="J930" s="112">
        <v>423102</v>
      </c>
      <c r="K930" s="2" t="s">
        <v>84</v>
      </c>
      <c r="L930" s="2">
        <v>0</v>
      </c>
      <c r="M930" s="2" t="s">
        <v>84</v>
      </c>
      <c r="N930" s="2" t="s">
        <v>84</v>
      </c>
      <c r="O930" s="2" t="s">
        <v>841</v>
      </c>
      <c r="P930" s="2" t="s">
        <v>1696</v>
      </c>
    </row>
    <row r="931" spans="1:16" ht="21" customHeight="1" x14ac:dyDescent="0.15">
      <c r="A931" s="10" t="str">
        <f t="shared" si="246"/>
        <v>423_10_33_10_polygon</v>
      </c>
      <c r="B931" s="2">
        <v>423</v>
      </c>
      <c r="C931" s="30" t="str">
        <f>VLOOKUP(B931,gachas!A:C,3)</f>
        <v>ニューフェイスガチャ(三国志)</v>
      </c>
      <c r="D931" s="21">
        <v>10</v>
      </c>
      <c r="E931" s="2">
        <f t="shared" si="247"/>
        <v>33</v>
      </c>
      <c r="F931" s="2">
        <v>10</v>
      </c>
      <c r="G931" s="3" t="s">
        <v>22</v>
      </c>
      <c r="H931" s="2">
        <v>40</v>
      </c>
      <c r="I931" s="117">
        <v>423100</v>
      </c>
      <c r="J931" s="112">
        <v>423103</v>
      </c>
      <c r="K931" s="2" t="s">
        <v>84</v>
      </c>
      <c r="L931" s="2">
        <v>0</v>
      </c>
      <c r="M931" s="2" t="s">
        <v>84</v>
      </c>
      <c r="N931" s="2" t="s">
        <v>84</v>
      </c>
      <c r="O931" s="2" t="s">
        <v>841</v>
      </c>
      <c r="P931" s="2" t="s">
        <v>1697</v>
      </c>
    </row>
    <row r="932" spans="1:16" ht="21" customHeight="1" x14ac:dyDescent="0.15">
      <c r="A932" s="10" t="str">
        <f t="shared" si="246"/>
        <v>423_10_34_10_polygon</v>
      </c>
      <c r="B932" s="2">
        <v>423</v>
      </c>
      <c r="C932" s="30" t="str">
        <f>VLOOKUP(B932,gachas!A:C,3)</f>
        <v>ニューフェイスガチャ(三国志)</v>
      </c>
      <c r="D932" s="21">
        <v>10</v>
      </c>
      <c r="E932" s="2">
        <f t="shared" si="247"/>
        <v>34</v>
      </c>
      <c r="F932" s="2">
        <v>10</v>
      </c>
      <c r="G932" s="3" t="s">
        <v>22</v>
      </c>
      <c r="H932" s="2">
        <v>50</v>
      </c>
      <c r="I932" s="117">
        <v>423100</v>
      </c>
      <c r="J932" s="112">
        <v>423104</v>
      </c>
      <c r="K932" s="2" t="s">
        <v>84</v>
      </c>
      <c r="L932" s="2">
        <v>0</v>
      </c>
      <c r="M932" s="2" t="s">
        <v>84</v>
      </c>
      <c r="N932" s="2" t="s">
        <v>84</v>
      </c>
      <c r="O932" s="2" t="s">
        <v>841</v>
      </c>
      <c r="P932" s="2" t="s">
        <v>1698</v>
      </c>
    </row>
    <row r="933" spans="1:16" ht="21" customHeight="1" x14ac:dyDescent="0.15">
      <c r="A933" s="10" t="str">
        <f t="shared" si="246"/>
        <v>423_10_35_10_polygon</v>
      </c>
      <c r="B933" s="2">
        <v>423</v>
      </c>
      <c r="C933" s="30" t="str">
        <f>VLOOKUP(B933,gachas!A:C,3)</f>
        <v>ニューフェイスガチャ(三国志)</v>
      </c>
      <c r="D933" s="21">
        <v>10</v>
      </c>
      <c r="E933" s="2">
        <f t="shared" si="247"/>
        <v>35</v>
      </c>
      <c r="F933" s="2">
        <v>10</v>
      </c>
      <c r="G933" s="3" t="s">
        <v>22</v>
      </c>
      <c r="H933" s="2">
        <v>50</v>
      </c>
      <c r="I933" s="117">
        <v>423100</v>
      </c>
      <c r="J933" s="112" t="s">
        <v>84</v>
      </c>
      <c r="K933" s="2">
        <v>423105</v>
      </c>
      <c r="L933" s="2">
        <v>1</v>
      </c>
      <c r="M933" s="2" t="s">
        <v>84</v>
      </c>
      <c r="N933" s="2" t="s">
        <v>84</v>
      </c>
      <c r="O933" s="2" t="s">
        <v>841</v>
      </c>
      <c r="P933" s="2" t="s">
        <v>1699</v>
      </c>
    </row>
    <row r="934" spans="1:16" ht="21" customHeight="1" x14ac:dyDescent="0.15">
      <c r="A934" s="10" t="str">
        <f t="shared" si="246"/>
        <v>423_10_36_5_polygon</v>
      </c>
      <c r="B934" s="2">
        <v>423</v>
      </c>
      <c r="C934" s="30" t="str">
        <f>VLOOKUP(B934,gachas!A:C,3)</f>
        <v>ニューフェイスガチャ(三国志)</v>
      </c>
      <c r="D934" s="21">
        <v>10</v>
      </c>
      <c r="E934" s="2">
        <f t="shared" si="247"/>
        <v>36</v>
      </c>
      <c r="F934" s="2">
        <v>5</v>
      </c>
      <c r="G934" s="3" t="s">
        <v>22</v>
      </c>
      <c r="H934" s="2">
        <v>15</v>
      </c>
      <c r="I934" s="117">
        <v>423100</v>
      </c>
      <c r="J934" s="112" t="s">
        <v>84</v>
      </c>
      <c r="K934" s="2" t="s">
        <v>84</v>
      </c>
      <c r="L934" s="2">
        <v>0</v>
      </c>
      <c r="M934" s="2" t="s">
        <v>84</v>
      </c>
      <c r="N934" s="2" t="s">
        <v>84</v>
      </c>
      <c r="O934" s="2" t="s">
        <v>841</v>
      </c>
      <c r="P934" s="2" t="s">
        <v>1695</v>
      </c>
    </row>
    <row r="935" spans="1:16" ht="21" customHeight="1" x14ac:dyDescent="0.15">
      <c r="A935" s="10" t="str">
        <f t="shared" si="246"/>
        <v>423_10_37_10_polygon</v>
      </c>
      <c r="B935" s="2">
        <v>423</v>
      </c>
      <c r="C935" s="30" t="str">
        <f>VLOOKUP(B935,gachas!A:C,3)</f>
        <v>ニューフェイスガチャ(三国志)</v>
      </c>
      <c r="D935" s="21">
        <v>10</v>
      </c>
      <c r="E935" s="2">
        <f t="shared" si="247"/>
        <v>37</v>
      </c>
      <c r="F935" s="2">
        <v>10</v>
      </c>
      <c r="G935" s="3" t="s">
        <v>22</v>
      </c>
      <c r="H935" s="2">
        <v>35</v>
      </c>
      <c r="I935" s="117">
        <v>423100</v>
      </c>
      <c r="J935" s="112">
        <v>423102</v>
      </c>
      <c r="K935" s="2" t="s">
        <v>84</v>
      </c>
      <c r="L935" s="2">
        <v>0</v>
      </c>
      <c r="M935" s="2" t="s">
        <v>84</v>
      </c>
      <c r="N935" s="2" t="s">
        <v>84</v>
      </c>
      <c r="O935" s="2" t="s">
        <v>841</v>
      </c>
      <c r="P935" s="2" t="s">
        <v>1696</v>
      </c>
    </row>
    <row r="936" spans="1:16" ht="21" customHeight="1" x14ac:dyDescent="0.15">
      <c r="A936" s="10" t="str">
        <f t="shared" si="246"/>
        <v>423_10_38_10_polygon</v>
      </c>
      <c r="B936" s="2">
        <v>423</v>
      </c>
      <c r="C936" s="30" t="str">
        <f>VLOOKUP(B936,gachas!A:C,3)</f>
        <v>ニューフェイスガチャ(三国志)</v>
      </c>
      <c r="D936" s="21">
        <v>10</v>
      </c>
      <c r="E936" s="2">
        <f t="shared" si="247"/>
        <v>38</v>
      </c>
      <c r="F936" s="2">
        <v>10</v>
      </c>
      <c r="G936" s="3" t="s">
        <v>22</v>
      </c>
      <c r="H936" s="2">
        <v>40</v>
      </c>
      <c r="I936" s="117">
        <v>423100</v>
      </c>
      <c r="J936" s="112">
        <v>423103</v>
      </c>
      <c r="K936" s="2" t="s">
        <v>84</v>
      </c>
      <c r="L936" s="2">
        <v>0</v>
      </c>
      <c r="M936" s="2" t="s">
        <v>84</v>
      </c>
      <c r="N936" s="2" t="s">
        <v>84</v>
      </c>
      <c r="O936" s="2" t="s">
        <v>841</v>
      </c>
      <c r="P936" s="2" t="s">
        <v>1697</v>
      </c>
    </row>
    <row r="937" spans="1:16" ht="21" customHeight="1" x14ac:dyDescent="0.15">
      <c r="A937" s="10" t="str">
        <f t="shared" si="246"/>
        <v>423_10_39_10_polygon</v>
      </c>
      <c r="B937" s="2">
        <v>423</v>
      </c>
      <c r="C937" s="30" t="str">
        <f>VLOOKUP(B937,gachas!A:C,3)</f>
        <v>ニューフェイスガチャ(三国志)</v>
      </c>
      <c r="D937" s="21">
        <v>10</v>
      </c>
      <c r="E937" s="2">
        <f t="shared" si="247"/>
        <v>39</v>
      </c>
      <c r="F937" s="2">
        <v>10</v>
      </c>
      <c r="G937" s="3" t="s">
        <v>22</v>
      </c>
      <c r="H937" s="2">
        <v>50</v>
      </c>
      <c r="I937" s="117">
        <v>423100</v>
      </c>
      <c r="J937" s="112">
        <v>423104</v>
      </c>
      <c r="K937" s="2" t="s">
        <v>84</v>
      </c>
      <c r="L937" s="2">
        <v>0</v>
      </c>
      <c r="M937" s="2" t="s">
        <v>84</v>
      </c>
      <c r="N937" s="2" t="s">
        <v>84</v>
      </c>
      <c r="O937" s="2" t="s">
        <v>841</v>
      </c>
      <c r="P937" s="2" t="s">
        <v>1698</v>
      </c>
    </row>
    <row r="938" spans="1:16" ht="21" customHeight="1" x14ac:dyDescent="0.15">
      <c r="A938" s="10" t="str">
        <f t="shared" si="246"/>
        <v>423_10_40_10_polygon</v>
      </c>
      <c r="B938" s="2">
        <v>423</v>
      </c>
      <c r="C938" s="30" t="str">
        <f>VLOOKUP(B938,gachas!A:C,3)</f>
        <v>ニューフェイスガチャ(三国志)</v>
      </c>
      <c r="D938" s="21">
        <v>10</v>
      </c>
      <c r="E938" s="2">
        <f t="shared" si="247"/>
        <v>40</v>
      </c>
      <c r="F938" s="2">
        <v>10</v>
      </c>
      <c r="G938" s="3" t="s">
        <v>22</v>
      </c>
      <c r="H938" s="2">
        <v>50</v>
      </c>
      <c r="I938" s="117">
        <v>423100</v>
      </c>
      <c r="J938" s="112" t="s">
        <v>84</v>
      </c>
      <c r="K938" s="2">
        <v>423105</v>
      </c>
      <c r="L938" s="2">
        <v>1</v>
      </c>
      <c r="M938" s="2" t="s">
        <v>84</v>
      </c>
      <c r="N938" s="2" t="s">
        <v>84</v>
      </c>
      <c r="O938" s="2" t="s">
        <v>841</v>
      </c>
      <c r="P938" s="2" t="s">
        <v>1699</v>
      </c>
    </row>
    <row r="939" spans="1:16" ht="21" customHeight="1" x14ac:dyDescent="0.15">
      <c r="A939" s="10" t="str">
        <f t="shared" si="246"/>
        <v>423_10_41_5_polygon</v>
      </c>
      <c r="B939" s="2">
        <v>423</v>
      </c>
      <c r="C939" s="30" t="str">
        <f>VLOOKUP(B939,gachas!A:C,3)</f>
        <v>ニューフェイスガチャ(三国志)</v>
      </c>
      <c r="D939" s="21">
        <v>10</v>
      </c>
      <c r="E939" s="2">
        <f t="shared" si="247"/>
        <v>41</v>
      </c>
      <c r="F939" s="2">
        <v>5</v>
      </c>
      <c r="G939" s="3" t="s">
        <v>22</v>
      </c>
      <c r="H939" s="2">
        <v>15</v>
      </c>
      <c r="I939" s="117">
        <v>423100</v>
      </c>
      <c r="J939" s="112" t="s">
        <v>84</v>
      </c>
      <c r="K939" s="2" t="s">
        <v>84</v>
      </c>
      <c r="L939" s="2">
        <v>0</v>
      </c>
      <c r="M939" s="2" t="s">
        <v>84</v>
      </c>
      <c r="N939" s="2" t="s">
        <v>84</v>
      </c>
      <c r="O939" s="2" t="s">
        <v>841</v>
      </c>
      <c r="P939" s="2" t="s">
        <v>1695</v>
      </c>
    </row>
    <row r="940" spans="1:16" ht="21" customHeight="1" x14ac:dyDescent="0.15">
      <c r="A940" s="10" t="str">
        <f t="shared" si="246"/>
        <v>423_10_42_10_polygon</v>
      </c>
      <c r="B940" s="2">
        <v>423</v>
      </c>
      <c r="C940" s="30" t="str">
        <f>VLOOKUP(B940,gachas!A:C,3)</f>
        <v>ニューフェイスガチャ(三国志)</v>
      </c>
      <c r="D940" s="21">
        <v>10</v>
      </c>
      <c r="E940" s="2">
        <f t="shared" si="247"/>
        <v>42</v>
      </c>
      <c r="F940" s="2">
        <v>10</v>
      </c>
      <c r="G940" s="3" t="s">
        <v>22</v>
      </c>
      <c r="H940" s="2">
        <v>35</v>
      </c>
      <c r="I940" s="117">
        <v>423100</v>
      </c>
      <c r="J940" s="112">
        <v>423102</v>
      </c>
      <c r="K940" s="2" t="s">
        <v>84</v>
      </c>
      <c r="L940" s="2">
        <v>0</v>
      </c>
      <c r="M940" s="2" t="s">
        <v>84</v>
      </c>
      <c r="N940" s="2" t="s">
        <v>84</v>
      </c>
      <c r="O940" s="2" t="s">
        <v>841</v>
      </c>
      <c r="P940" s="2" t="s">
        <v>1696</v>
      </c>
    </row>
    <row r="941" spans="1:16" ht="21" customHeight="1" x14ac:dyDescent="0.15">
      <c r="A941" s="10" t="str">
        <f t="shared" si="246"/>
        <v>423_10_43_10_polygon</v>
      </c>
      <c r="B941" s="2">
        <v>423</v>
      </c>
      <c r="C941" s="30" t="str">
        <f>VLOOKUP(B941,gachas!A:C,3)</f>
        <v>ニューフェイスガチャ(三国志)</v>
      </c>
      <c r="D941" s="21">
        <v>10</v>
      </c>
      <c r="E941" s="2">
        <f t="shared" si="247"/>
        <v>43</v>
      </c>
      <c r="F941" s="2">
        <v>10</v>
      </c>
      <c r="G941" s="3" t="s">
        <v>22</v>
      </c>
      <c r="H941" s="2">
        <v>40</v>
      </c>
      <c r="I941" s="117">
        <v>423100</v>
      </c>
      <c r="J941" s="112">
        <v>423103</v>
      </c>
      <c r="K941" s="2" t="s">
        <v>84</v>
      </c>
      <c r="L941" s="2">
        <v>0</v>
      </c>
      <c r="M941" s="2" t="s">
        <v>84</v>
      </c>
      <c r="N941" s="2" t="s">
        <v>84</v>
      </c>
      <c r="O941" s="2" t="s">
        <v>841</v>
      </c>
      <c r="P941" s="2" t="s">
        <v>1697</v>
      </c>
    </row>
    <row r="942" spans="1:16" ht="21" customHeight="1" x14ac:dyDescent="0.15">
      <c r="A942" s="10" t="str">
        <f t="shared" si="246"/>
        <v>423_10_44_10_polygon</v>
      </c>
      <c r="B942" s="2">
        <v>423</v>
      </c>
      <c r="C942" s="30" t="str">
        <f>VLOOKUP(B942,gachas!A:C,3)</f>
        <v>ニューフェイスガチャ(三国志)</v>
      </c>
      <c r="D942" s="21">
        <v>10</v>
      </c>
      <c r="E942" s="2">
        <f t="shared" si="247"/>
        <v>44</v>
      </c>
      <c r="F942" s="2">
        <v>10</v>
      </c>
      <c r="G942" s="3" t="s">
        <v>22</v>
      </c>
      <c r="H942" s="2">
        <v>50</v>
      </c>
      <c r="I942" s="117">
        <v>423100</v>
      </c>
      <c r="J942" s="112">
        <v>423104</v>
      </c>
      <c r="K942" s="2" t="s">
        <v>84</v>
      </c>
      <c r="L942" s="2">
        <v>0</v>
      </c>
      <c r="M942" s="2" t="s">
        <v>84</v>
      </c>
      <c r="N942" s="2" t="s">
        <v>84</v>
      </c>
      <c r="O942" s="2" t="s">
        <v>841</v>
      </c>
      <c r="P942" s="2" t="s">
        <v>1698</v>
      </c>
    </row>
    <row r="943" spans="1:16" ht="21" customHeight="1" x14ac:dyDescent="0.15">
      <c r="A943" s="10" t="str">
        <f t="shared" si="246"/>
        <v>423_10_45_10_polygon</v>
      </c>
      <c r="B943" s="2">
        <v>423</v>
      </c>
      <c r="C943" s="30" t="str">
        <f>VLOOKUP(B943,gachas!A:C,3)</f>
        <v>ニューフェイスガチャ(三国志)</v>
      </c>
      <c r="D943" s="21">
        <v>10</v>
      </c>
      <c r="E943" s="2">
        <f t="shared" si="247"/>
        <v>45</v>
      </c>
      <c r="F943" s="2">
        <v>10</v>
      </c>
      <c r="G943" s="3" t="s">
        <v>22</v>
      </c>
      <c r="H943" s="2">
        <v>50</v>
      </c>
      <c r="I943" s="117">
        <v>423100</v>
      </c>
      <c r="J943" s="112" t="s">
        <v>84</v>
      </c>
      <c r="K943" s="2">
        <v>423105</v>
      </c>
      <c r="L943" s="2">
        <v>1</v>
      </c>
      <c r="M943" s="2" t="s">
        <v>84</v>
      </c>
      <c r="N943" s="2" t="s">
        <v>84</v>
      </c>
      <c r="O943" s="2" t="s">
        <v>841</v>
      </c>
      <c r="P943" s="2" t="s">
        <v>1699</v>
      </c>
    </row>
    <row r="944" spans="1:16" ht="21" customHeight="1" x14ac:dyDescent="0.15">
      <c r="A944" s="10" t="str">
        <f t="shared" si="246"/>
        <v>423_10_46_5_polygon</v>
      </c>
      <c r="B944" s="2">
        <v>423</v>
      </c>
      <c r="C944" s="30" t="str">
        <f>VLOOKUP(B944,gachas!A:C,3)</f>
        <v>ニューフェイスガチャ(三国志)</v>
      </c>
      <c r="D944" s="21">
        <v>10</v>
      </c>
      <c r="E944" s="2">
        <f t="shared" si="247"/>
        <v>46</v>
      </c>
      <c r="F944" s="2">
        <v>5</v>
      </c>
      <c r="G944" s="3" t="s">
        <v>22</v>
      </c>
      <c r="H944" s="2">
        <v>15</v>
      </c>
      <c r="I944" s="117">
        <v>423100</v>
      </c>
      <c r="J944" s="112" t="s">
        <v>84</v>
      </c>
      <c r="K944" s="2" t="s">
        <v>84</v>
      </c>
      <c r="L944" s="2">
        <v>0</v>
      </c>
      <c r="M944" s="2" t="s">
        <v>84</v>
      </c>
      <c r="N944" s="2" t="s">
        <v>84</v>
      </c>
      <c r="O944" s="2" t="s">
        <v>841</v>
      </c>
      <c r="P944" s="2" t="s">
        <v>1695</v>
      </c>
    </row>
    <row r="945" spans="1:16" ht="21" customHeight="1" x14ac:dyDescent="0.15">
      <c r="A945" s="10" t="str">
        <f t="shared" si="246"/>
        <v>423_10_47_10_polygon</v>
      </c>
      <c r="B945" s="2">
        <v>423</v>
      </c>
      <c r="C945" s="30" t="str">
        <f>VLOOKUP(B945,gachas!A:C,3)</f>
        <v>ニューフェイスガチャ(三国志)</v>
      </c>
      <c r="D945" s="21">
        <v>10</v>
      </c>
      <c r="E945" s="2">
        <f t="shared" si="247"/>
        <v>47</v>
      </c>
      <c r="F945" s="2">
        <v>10</v>
      </c>
      <c r="G945" s="3" t="s">
        <v>22</v>
      </c>
      <c r="H945" s="2">
        <v>35</v>
      </c>
      <c r="I945" s="117">
        <v>423100</v>
      </c>
      <c r="J945" s="112">
        <v>423102</v>
      </c>
      <c r="K945" s="2" t="s">
        <v>84</v>
      </c>
      <c r="L945" s="2">
        <v>0</v>
      </c>
      <c r="M945" s="2" t="s">
        <v>84</v>
      </c>
      <c r="N945" s="2" t="s">
        <v>84</v>
      </c>
      <c r="O945" s="2" t="s">
        <v>841</v>
      </c>
      <c r="P945" s="2" t="s">
        <v>1696</v>
      </c>
    </row>
    <row r="946" spans="1:16" ht="21" customHeight="1" x14ac:dyDescent="0.15">
      <c r="A946" s="10" t="str">
        <f t="shared" si="246"/>
        <v>423_10_48_10_polygon</v>
      </c>
      <c r="B946" s="2">
        <v>423</v>
      </c>
      <c r="C946" s="30" t="str">
        <f>VLOOKUP(B946,gachas!A:C,3)</f>
        <v>ニューフェイスガチャ(三国志)</v>
      </c>
      <c r="D946" s="21">
        <v>10</v>
      </c>
      <c r="E946" s="2">
        <f t="shared" si="247"/>
        <v>48</v>
      </c>
      <c r="F946" s="2">
        <v>10</v>
      </c>
      <c r="G946" s="3" t="s">
        <v>22</v>
      </c>
      <c r="H946" s="2">
        <v>40</v>
      </c>
      <c r="I946" s="117">
        <v>423100</v>
      </c>
      <c r="J946" s="112">
        <v>423103</v>
      </c>
      <c r="K946" s="2" t="s">
        <v>84</v>
      </c>
      <c r="L946" s="2">
        <v>0</v>
      </c>
      <c r="M946" s="2" t="s">
        <v>84</v>
      </c>
      <c r="N946" s="2" t="s">
        <v>84</v>
      </c>
      <c r="O946" s="2" t="s">
        <v>841</v>
      </c>
      <c r="P946" s="2" t="s">
        <v>1697</v>
      </c>
    </row>
    <row r="947" spans="1:16" ht="21" customHeight="1" x14ac:dyDescent="0.15">
      <c r="A947" s="10" t="str">
        <f t="shared" si="246"/>
        <v>423_10_49_10_polygon</v>
      </c>
      <c r="B947" s="2">
        <v>423</v>
      </c>
      <c r="C947" s="30" t="str">
        <f>VLOOKUP(B947,gachas!A:C,3)</f>
        <v>ニューフェイスガチャ(三国志)</v>
      </c>
      <c r="D947" s="21">
        <v>10</v>
      </c>
      <c r="E947" s="2">
        <f t="shared" si="247"/>
        <v>49</v>
      </c>
      <c r="F947" s="2">
        <v>10</v>
      </c>
      <c r="G947" s="3" t="s">
        <v>22</v>
      </c>
      <c r="H947" s="2">
        <v>50</v>
      </c>
      <c r="I947" s="117">
        <v>423100</v>
      </c>
      <c r="J947" s="112">
        <v>423104</v>
      </c>
      <c r="K947" s="2" t="s">
        <v>84</v>
      </c>
      <c r="L947" s="2">
        <v>0</v>
      </c>
      <c r="M947" s="2" t="s">
        <v>84</v>
      </c>
      <c r="N947" s="2" t="s">
        <v>84</v>
      </c>
      <c r="O947" s="2" t="s">
        <v>841</v>
      </c>
      <c r="P947" s="2" t="s">
        <v>1698</v>
      </c>
    </row>
    <row r="948" spans="1:16" ht="21" customHeight="1" x14ac:dyDescent="0.15">
      <c r="A948" s="10" t="str">
        <f t="shared" si="246"/>
        <v>423_10_50_10_polygon</v>
      </c>
      <c r="B948" s="2">
        <v>423</v>
      </c>
      <c r="C948" s="30" t="str">
        <f>VLOOKUP(B948,gachas!A:C,3)</f>
        <v>ニューフェイスガチャ(三国志)</v>
      </c>
      <c r="D948" s="21">
        <v>10</v>
      </c>
      <c r="E948" s="2">
        <f t="shared" si="247"/>
        <v>50</v>
      </c>
      <c r="F948" s="2">
        <v>10</v>
      </c>
      <c r="G948" s="3" t="s">
        <v>22</v>
      </c>
      <c r="H948" s="2">
        <v>50</v>
      </c>
      <c r="I948" s="117">
        <v>423100</v>
      </c>
      <c r="J948" s="112" t="s">
        <v>84</v>
      </c>
      <c r="K948" s="2">
        <v>423105</v>
      </c>
      <c r="L948" s="2">
        <v>1</v>
      </c>
      <c r="M948" s="2" t="s">
        <v>84</v>
      </c>
      <c r="N948" s="2" t="s">
        <v>84</v>
      </c>
      <c r="O948" s="2" t="s">
        <v>841</v>
      </c>
      <c r="P948" s="2" t="s">
        <v>1699</v>
      </c>
    </row>
    <row r="949" spans="1:16" ht="21" customHeight="1" x14ac:dyDescent="0.15">
      <c r="A949" s="10" t="str">
        <f t="shared" si="246"/>
        <v>423_10_0_10_polygon</v>
      </c>
      <c r="B949" s="2">
        <v>423</v>
      </c>
      <c r="C949" s="30" t="str">
        <f>VLOOKUP(B949,gachas!A:C,3)</f>
        <v>ニューフェイスガチャ(三国志)</v>
      </c>
      <c r="D949" s="21">
        <v>10</v>
      </c>
      <c r="E949" s="2">
        <v>0</v>
      </c>
      <c r="F949" s="2">
        <v>10</v>
      </c>
      <c r="G949" s="3" t="s">
        <v>22</v>
      </c>
      <c r="H949" s="2">
        <v>50</v>
      </c>
      <c r="I949" s="117">
        <v>423100</v>
      </c>
      <c r="J949" s="112" t="s">
        <v>1681</v>
      </c>
      <c r="K949" s="2" t="s">
        <v>1680</v>
      </c>
      <c r="L949" s="2">
        <v>0</v>
      </c>
      <c r="M949" s="2" t="s">
        <v>1680</v>
      </c>
      <c r="N949" s="2" t="s">
        <v>1680</v>
      </c>
      <c r="O949" s="2" t="s">
        <v>1682</v>
      </c>
      <c r="P949" s="2" t="s">
        <v>1700</v>
      </c>
    </row>
    <row r="950" spans="1:16" ht="21" customHeight="1" x14ac:dyDescent="0.15">
      <c r="A950" s="10" t="str">
        <f t="shared" ref="A950" si="248">B950&amp;"_"&amp;D950&amp;"_"&amp;E950&amp;"_"&amp;F950&amp;"_"&amp;G950</f>
        <v>424_10_0_10_polygon</v>
      </c>
      <c r="B950" s="2">
        <v>424</v>
      </c>
      <c r="C950" s="30" t="str">
        <f>VLOOKUP(B950,gachas!A:C,3)</f>
        <v>ウィザード対抗確定ガチャ&lt;近藤、モルドレッド、八咫烏、バステト&gt;</v>
      </c>
      <c r="D950" s="21">
        <v>10</v>
      </c>
      <c r="E950" s="2">
        <v>0</v>
      </c>
      <c r="F950" s="2">
        <v>10</v>
      </c>
      <c r="G950" s="3" t="s">
        <v>22</v>
      </c>
      <c r="H950" s="2">
        <v>50</v>
      </c>
      <c r="I950" s="117">
        <v>424100</v>
      </c>
      <c r="J950" s="112" t="s">
        <v>116</v>
      </c>
      <c r="K950" s="2">
        <v>424105</v>
      </c>
      <c r="L950" s="2">
        <v>1</v>
      </c>
      <c r="M950" s="2" t="s">
        <v>116</v>
      </c>
      <c r="N950" s="2" t="s">
        <v>116</v>
      </c>
      <c r="O950" s="2" t="s">
        <v>949</v>
      </c>
      <c r="P950" s="2" t="s">
        <v>1702</v>
      </c>
    </row>
    <row r="951" spans="1:16" ht="21" customHeight="1" x14ac:dyDescent="0.15">
      <c r="A951" s="10" t="str">
        <f t="shared" ref="A951:A956" si="249">B951&amp;"_"&amp;D951&amp;"_"&amp;E951&amp;"_"&amp;F951&amp;"_"&amp;G951</f>
        <v>425_10_1_1_polygon</v>
      </c>
      <c r="B951" s="2">
        <v>425</v>
      </c>
      <c r="C951" s="30" t="str">
        <f>VLOOKUP(B951,gachas!A:C,3)</f>
        <v>ランキング対抗ガチャ&lt;フレネル&gt;</v>
      </c>
      <c r="D951" s="21">
        <v>10</v>
      </c>
      <c r="E951" s="2">
        <v>1</v>
      </c>
      <c r="F951" s="2">
        <v>1</v>
      </c>
      <c r="G951" s="3" t="s">
        <v>22</v>
      </c>
      <c r="H951" s="2">
        <v>1</v>
      </c>
      <c r="I951" s="117" t="str">
        <f t="shared" ref="I951" si="250">B951&amp;TEXT(D951,"00")&amp;E951</f>
        <v>425101</v>
      </c>
      <c r="J951" s="112" t="s">
        <v>84</v>
      </c>
      <c r="K951" s="2" t="s">
        <v>84</v>
      </c>
      <c r="L951" s="2">
        <v>0</v>
      </c>
      <c r="M951" s="2" t="s">
        <v>84</v>
      </c>
      <c r="N951" s="2" t="s">
        <v>84</v>
      </c>
      <c r="O951" s="2" t="s">
        <v>841</v>
      </c>
      <c r="P951" s="2" t="s">
        <v>1278</v>
      </c>
    </row>
    <row r="952" spans="1:16" ht="21" customHeight="1" x14ac:dyDescent="0.15">
      <c r="A952" s="10" t="str">
        <f t="shared" si="249"/>
        <v>425_10_2_3_polygon</v>
      </c>
      <c r="B952" s="2">
        <v>425</v>
      </c>
      <c r="C952" s="30" t="str">
        <f>VLOOKUP(B952,gachas!A:C,3)</f>
        <v>ランキング対抗ガチャ&lt;フレネル&gt;</v>
      </c>
      <c r="D952" s="21">
        <v>10</v>
      </c>
      <c r="E952" s="2">
        <v>2</v>
      </c>
      <c r="F952" s="2">
        <v>3</v>
      </c>
      <c r="G952" s="3" t="s">
        <v>22</v>
      </c>
      <c r="H952" s="2">
        <v>9</v>
      </c>
      <c r="I952" s="117">
        <v>425101</v>
      </c>
      <c r="J952" s="112" t="s">
        <v>84</v>
      </c>
      <c r="K952" s="2" t="s">
        <v>84</v>
      </c>
      <c r="L952" s="2">
        <v>0</v>
      </c>
      <c r="M952" s="2" t="s">
        <v>84</v>
      </c>
      <c r="N952" s="2" t="s">
        <v>84</v>
      </c>
      <c r="O952" s="2" t="s">
        <v>841</v>
      </c>
      <c r="P952" s="2" t="s">
        <v>1273</v>
      </c>
    </row>
    <row r="953" spans="1:16" ht="21" customHeight="1" x14ac:dyDescent="0.15">
      <c r="A953" s="10" t="str">
        <f t="shared" si="249"/>
        <v>425_10_3_10_polygon</v>
      </c>
      <c r="B953" s="2">
        <v>425</v>
      </c>
      <c r="C953" s="30" t="str">
        <f>VLOOKUP(B953,gachas!A:C,3)</f>
        <v>ランキング対抗ガチャ&lt;フレネル&gt;</v>
      </c>
      <c r="D953" s="21">
        <v>10</v>
      </c>
      <c r="E953" s="2">
        <v>3</v>
      </c>
      <c r="F953" s="2">
        <v>10</v>
      </c>
      <c r="G953" s="3" t="s">
        <v>22</v>
      </c>
      <c r="H953" s="2">
        <v>35</v>
      </c>
      <c r="I953" s="117" t="str">
        <f t="shared" ref="I953:I955" si="251">B953&amp;TEXT(D953,"00")&amp;E953</f>
        <v>425103</v>
      </c>
      <c r="J953" s="112" t="s">
        <v>84</v>
      </c>
      <c r="K953" s="2">
        <v>425103</v>
      </c>
      <c r="L953" s="2">
        <v>1</v>
      </c>
      <c r="M953" s="2" t="s">
        <v>84</v>
      </c>
      <c r="N953" s="2" t="s">
        <v>84</v>
      </c>
      <c r="O953" s="2" t="s">
        <v>841</v>
      </c>
      <c r="P953" s="2" t="s">
        <v>1716</v>
      </c>
    </row>
    <row r="954" spans="1:16" ht="21" customHeight="1" x14ac:dyDescent="0.15">
      <c r="A954" s="10" t="str">
        <f t="shared" si="249"/>
        <v>425_10_4_10_polygon</v>
      </c>
      <c r="B954" s="2">
        <v>425</v>
      </c>
      <c r="C954" s="30" t="str">
        <f>VLOOKUP(B954,gachas!A:C,3)</f>
        <v>ランキング対抗ガチャ&lt;フレネル&gt;</v>
      </c>
      <c r="D954" s="21">
        <v>10</v>
      </c>
      <c r="E954" s="2">
        <v>4</v>
      </c>
      <c r="F954" s="2">
        <v>10</v>
      </c>
      <c r="G954" s="3" t="s">
        <v>22</v>
      </c>
      <c r="H954" s="2">
        <v>50</v>
      </c>
      <c r="I954" s="117" t="str">
        <f t="shared" si="251"/>
        <v>425104</v>
      </c>
      <c r="J954" s="128" t="str">
        <f>I954</f>
        <v>425104</v>
      </c>
      <c r="K954" s="2" t="s">
        <v>84</v>
      </c>
      <c r="L954" s="2">
        <v>0</v>
      </c>
      <c r="M954" s="2" t="s">
        <v>84</v>
      </c>
      <c r="N954" s="2" t="s">
        <v>84</v>
      </c>
      <c r="O954" s="2" t="s">
        <v>841</v>
      </c>
      <c r="P954" s="2" t="s">
        <v>1717</v>
      </c>
    </row>
    <row r="955" spans="1:16" ht="21" customHeight="1" x14ac:dyDescent="0.15">
      <c r="A955" s="10" t="str">
        <f t="shared" si="249"/>
        <v>425_10_5_10_polygon</v>
      </c>
      <c r="B955" s="2">
        <v>425</v>
      </c>
      <c r="C955" s="30" t="str">
        <f>VLOOKUP(B955,gachas!A:C,3)</f>
        <v>ランキング対抗ガチャ&lt;フレネル&gt;</v>
      </c>
      <c r="D955" s="21">
        <v>10</v>
      </c>
      <c r="E955" s="2">
        <v>5</v>
      </c>
      <c r="F955" s="2">
        <v>10</v>
      </c>
      <c r="G955" s="3" t="s">
        <v>22</v>
      </c>
      <c r="H955" s="2">
        <v>50</v>
      </c>
      <c r="I955" s="117" t="str">
        <f t="shared" si="251"/>
        <v>425105</v>
      </c>
      <c r="J955" s="128" t="str">
        <f>I955</f>
        <v>425105</v>
      </c>
      <c r="K955" s="2" t="s">
        <v>84</v>
      </c>
      <c r="L955" s="2">
        <v>0</v>
      </c>
      <c r="M955" s="2" t="s">
        <v>84</v>
      </c>
      <c r="N955" s="2" t="s">
        <v>84</v>
      </c>
      <c r="O955" s="2" t="s">
        <v>841</v>
      </c>
      <c r="P955" s="2" t="s">
        <v>1718</v>
      </c>
    </row>
    <row r="956" spans="1:16" ht="22" customHeight="1" x14ac:dyDescent="0.15">
      <c r="A956" s="10" t="str">
        <f t="shared" si="249"/>
        <v>425_10_6_10_polygon</v>
      </c>
      <c r="B956" s="2">
        <v>425</v>
      </c>
      <c r="C956" s="30" t="str">
        <f>VLOOKUP(B956,gachas!A:C,3)</f>
        <v>ランキング対抗ガチャ&lt;フレネル&gt;</v>
      </c>
      <c r="D956" s="21">
        <v>10</v>
      </c>
      <c r="E956" s="2">
        <v>6</v>
      </c>
      <c r="F956" s="2">
        <v>10</v>
      </c>
      <c r="G956" s="3" t="s">
        <v>22</v>
      </c>
      <c r="H956" s="2">
        <v>50</v>
      </c>
      <c r="I956" s="117">
        <v>425100</v>
      </c>
      <c r="J956" s="112" t="s">
        <v>84</v>
      </c>
      <c r="K956" s="2" t="s">
        <v>84</v>
      </c>
      <c r="L956" s="2">
        <v>0</v>
      </c>
      <c r="M956" s="2" t="s">
        <v>84</v>
      </c>
      <c r="N956" s="2" t="s">
        <v>84</v>
      </c>
      <c r="O956" s="2" t="s">
        <v>841</v>
      </c>
      <c r="P956" s="2" t="s">
        <v>1719</v>
      </c>
    </row>
    <row r="957" spans="1:16" ht="22" customHeight="1" x14ac:dyDescent="0.15">
      <c r="A957" s="10" t="str">
        <f t="shared" ref="A957" si="252">B957&amp;"_"&amp;D957&amp;"_"&amp;E957&amp;"_"&amp;F957&amp;"_"&amp;G957</f>
        <v>425_10_0_10_polygon</v>
      </c>
      <c r="B957" s="2">
        <v>425</v>
      </c>
      <c r="C957" s="30" t="str">
        <f>VLOOKUP(B957,gachas!A:C,3)</f>
        <v>ランキング対抗ガチャ&lt;フレネル&gt;</v>
      </c>
      <c r="D957" s="21">
        <v>10</v>
      </c>
      <c r="E957" s="2">
        <v>0</v>
      </c>
      <c r="F957" s="2">
        <v>10</v>
      </c>
      <c r="G957" s="3" t="s">
        <v>22</v>
      </c>
      <c r="H957" s="2">
        <v>50</v>
      </c>
      <c r="I957" s="117" t="str">
        <f t="shared" ref="I957:I984" si="253">B957&amp;TEXT(D957,"00")&amp;E957</f>
        <v>425100</v>
      </c>
      <c r="J957" s="112" t="s">
        <v>84</v>
      </c>
      <c r="K957" s="2" t="s">
        <v>84</v>
      </c>
      <c r="L957" s="2">
        <v>0</v>
      </c>
      <c r="M957" s="2" t="s">
        <v>84</v>
      </c>
      <c r="N957" s="2" t="s">
        <v>84</v>
      </c>
      <c r="O957" s="2" t="s">
        <v>841</v>
      </c>
      <c r="P957" s="2" t="s">
        <v>1720</v>
      </c>
    </row>
    <row r="958" spans="1:16" ht="22" customHeight="1" x14ac:dyDescent="0.15">
      <c r="A958" s="10" t="str">
        <f t="shared" ref="A958:A982" si="254">B958&amp;"_"&amp;D958&amp;"_"&amp;E958&amp;"_"&amp;F958&amp;"_"&amp;G958</f>
        <v>426_10_1_5_polygon</v>
      </c>
      <c r="B958" s="2">
        <v>426</v>
      </c>
      <c r="C958" s="30" t="str">
        <f>VLOOKUP(B958,gachas!A:C,3)</f>
        <v>確定ステップアップガチャ</v>
      </c>
      <c r="D958" s="21">
        <v>10</v>
      </c>
      <c r="E958" s="2">
        <v>1</v>
      </c>
      <c r="F958" s="2">
        <v>5</v>
      </c>
      <c r="G958" s="3" t="s">
        <v>22</v>
      </c>
      <c r="H958" s="2">
        <v>15</v>
      </c>
      <c r="I958" s="112">
        <v>426101</v>
      </c>
      <c r="J958" s="112">
        <v>426101</v>
      </c>
      <c r="K958" s="112" t="s">
        <v>84</v>
      </c>
      <c r="L958" s="2">
        <v>0</v>
      </c>
      <c r="M958" s="2" t="s">
        <v>84</v>
      </c>
      <c r="N958" s="2" t="s">
        <v>84</v>
      </c>
      <c r="O958" s="2" t="s">
        <v>841</v>
      </c>
      <c r="P958" s="2" t="s">
        <v>1746</v>
      </c>
    </row>
    <row r="959" spans="1:16" ht="22" customHeight="1" x14ac:dyDescent="0.15">
      <c r="A959" s="10" t="str">
        <f t="shared" si="254"/>
        <v>426_10_2_5_polygon</v>
      </c>
      <c r="B959" s="2">
        <v>426</v>
      </c>
      <c r="C959" s="30" t="str">
        <f>VLOOKUP(B959,gachas!A:C,3)</f>
        <v>確定ステップアップガチャ</v>
      </c>
      <c r="D959" s="21">
        <v>10</v>
      </c>
      <c r="E959" s="2">
        <v>2</v>
      </c>
      <c r="F959" s="2">
        <v>5</v>
      </c>
      <c r="G959" s="3" t="s">
        <v>22</v>
      </c>
      <c r="H959" s="2">
        <v>20</v>
      </c>
      <c r="I959" s="112">
        <v>426101</v>
      </c>
      <c r="J959" s="112">
        <v>426102</v>
      </c>
      <c r="K959" s="112" t="s">
        <v>84</v>
      </c>
      <c r="L959" s="2">
        <v>0</v>
      </c>
      <c r="M959" s="2" t="s">
        <v>84</v>
      </c>
      <c r="N959" s="2" t="s">
        <v>84</v>
      </c>
      <c r="O959" s="2" t="s">
        <v>841</v>
      </c>
      <c r="P959" s="2" t="s">
        <v>1747</v>
      </c>
    </row>
    <row r="960" spans="1:16" ht="22" customHeight="1" x14ac:dyDescent="0.15">
      <c r="A960" s="10" t="str">
        <f t="shared" si="254"/>
        <v>426_10_3_10_polygon</v>
      </c>
      <c r="B960" s="2">
        <v>426</v>
      </c>
      <c r="C960" s="30" t="str">
        <f>VLOOKUP(B960,gachas!A:C,3)</f>
        <v>確定ステップアップガチャ</v>
      </c>
      <c r="D960" s="21">
        <v>10</v>
      </c>
      <c r="E960" s="2">
        <v>3</v>
      </c>
      <c r="F960" s="2">
        <v>10</v>
      </c>
      <c r="G960" s="3" t="s">
        <v>22</v>
      </c>
      <c r="H960" s="2">
        <v>35</v>
      </c>
      <c r="I960" s="112">
        <v>426100</v>
      </c>
      <c r="J960" s="112">
        <v>426103</v>
      </c>
      <c r="K960" s="112" t="s">
        <v>84</v>
      </c>
      <c r="L960" s="2">
        <v>0</v>
      </c>
      <c r="M960" s="2" t="s">
        <v>84</v>
      </c>
      <c r="N960" s="2" t="s">
        <v>84</v>
      </c>
      <c r="O960" s="2" t="s">
        <v>841</v>
      </c>
      <c r="P960" s="2" t="s">
        <v>1748</v>
      </c>
    </row>
    <row r="961" spans="1:16" ht="22" customHeight="1" x14ac:dyDescent="0.15">
      <c r="A961" s="10" t="str">
        <f t="shared" si="254"/>
        <v>426_10_4_10_polygon</v>
      </c>
      <c r="B961" s="2">
        <v>426</v>
      </c>
      <c r="C961" s="30" t="str">
        <f>VLOOKUP(B961,gachas!A:C,3)</f>
        <v>確定ステップアップガチャ</v>
      </c>
      <c r="D961" s="21">
        <v>10</v>
      </c>
      <c r="E961" s="2">
        <v>4</v>
      </c>
      <c r="F961" s="2">
        <v>10</v>
      </c>
      <c r="G961" s="3" t="s">
        <v>22</v>
      </c>
      <c r="H961" s="2">
        <v>50</v>
      </c>
      <c r="I961" s="112">
        <v>426100</v>
      </c>
      <c r="J961" s="112">
        <v>426104</v>
      </c>
      <c r="K961" s="112" t="s">
        <v>84</v>
      </c>
      <c r="L961" s="2">
        <v>0</v>
      </c>
      <c r="M961" s="2" t="s">
        <v>84</v>
      </c>
      <c r="N961" s="2" t="s">
        <v>84</v>
      </c>
      <c r="O961" s="2" t="s">
        <v>841</v>
      </c>
      <c r="P961" s="2" t="s">
        <v>1749</v>
      </c>
    </row>
    <row r="962" spans="1:16" ht="22" customHeight="1" x14ac:dyDescent="0.15">
      <c r="A962" s="10" t="str">
        <f t="shared" si="254"/>
        <v>426_10_5_10_polygon</v>
      </c>
      <c r="B962" s="2">
        <v>426</v>
      </c>
      <c r="C962" s="30" t="str">
        <f>VLOOKUP(B962,gachas!A:C,3)</f>
        <v>確定ステップアップガチャ</v>
      </c>
      <c r="D962" s="21">
        <v>10</v>
      </c>
      <c r="E962" s="2">
        <v>5</v>
      </c>
      <c r="F962" s="2">
        <v>10</v>
      </c>
      <c r="G962" s="3" t="s">
        <v>22</v>
      </c>
      <c r="H962" s="2">
        <v>50</v>
      </c>
      <c r="I962" s="112">
        <v>426100</v>
      </c>
      <c r="J962" s="112" t="s">
        <v>1736</v>
      </c>
      <c r="K962" s="112">
        <v>426105</v>
      </c>
      <c r="L962" s="2">
        <v>1</v>
      </c>
      <c r="M962" s="2" t="s">
        <v>84</v>
      </c>
      <c r="N962" s="2" t="s">
        <v>84</v>
      </c>
      <c r="O962" s="2" t="s">
        <v>841</v>
      </c>
      <c r="P962" s="2" t="s">
        <v>1750</v>
      </c>
    </row>
    <row r="963" spans="1:16" ht="22" customHeight="1" x14ac:dyDescent="0.15">
      <c r="A963" s="10" t="str">
        <f t="shared" si="254"/>
        <v>426_10_6_5_polygon</v>
      </c>
      <c r="B963" s="2">
        <v>426</v>
      </c>
      <c r="C963" s="30" t="str">
        <f>VLOOKUP(B963,gachas!A:C,3)</f>
        <v>確定ステップアップガチャ</v>
      </c>
      <c r="D963" s="21">
        <v>10</v>
      </c>
      <c r="E963" s="2">
        <v>6</v>
      </c>
      <c r="F963" s="2">
        <v>5</v>
      </c>
      <c r="G963" s="3" t="s">
        <v>22</v>
      </c>
      <c r="H963" s="2">
        <v>15</v>
      </c>
      <c r="I963" s="112">
        <v>426101</v>
      </c>
      <c r="J963" s="112">
        <v>426101</v>
      </c>
      <c r="K963" s="112" t="s">
        <v>84</v>
      </c>
      <c r="L963" s="2">
        <v>0</v>
      </c>
      <c r="M963" s="2" t="s">
        <v>84</v>
      </c>
      <c r="N963" s="2" t="s">
        <v>84</v>
      </c>
      <c r="O963" s="2" t="s">
        <v>841</v>
      </c>
      <c r="P963" s="2" t="s">
        <v>1746</v>
      </c>
    </row>
    <row r="964" spans="1:16" ht="22" customHeight="1" x14ac:dyDescent="0.15">
      <c r="A964" s="10" t="str">
        <f t="shared" si="254"/>
        <v>426_10_7_5_polygon</v>
      </c>
      <c r="B964" s="2">
        <v>426</v>
      </c>
      <c r="C964" s="30" t="str">
        <f>VLOOKUP(B964,gachas!A:C,3)</f>
        <v>確定ステップアップガチャ</v>
      </c>
      <c r="D964" s="21">
        <v>10</v>
      </c>
      <c r="E964" s="2">
        <v>7</v>
      </c>
      <c r="F964" s="2">
        <v>5</v>
      </c>
      <c r="G964" s="3" t="s">
        <v>22</v>
      </c>
      <c r="H964" s="2">
        <v>20</v>
      </c>
      <c r="I964" s="112">
        <v>426101</v>
      </c>
      <c r="J964" s="112">
        <v>426102</v>
      </c>
      <c r="K964" s="112" t="s">
        <v>84</v>
      </c>
      <c r="L964" s="2">
        <v>0</v>
      </c>
      <c r="M964" s="2" t="s">
        <v>84</v>
      </c>
      <c r="N964" s="2" t="s">
        <v>84</v>
      </c>
      <c r="O964" s="2" t="s">
        <v>841</v>
      </c>
      <c r="P964" s="2" t="s">
        <v>1747</v>
      </c>
    </row>
    <row r="965" spans="1:16" ht="22" customHeight="1" x14ac:dyDescent="0.15">
      <c r="A965" s="10" t="str">
        <f t="shared" si="254"/>
        <v>426_10_8_10_polygon</v>
      </c>
      <c r="B965" s="2">
        <v>426</v>
      </c>
      <c r="C965" s="30" t="str">
        <f>VLOOKUP(B965,gachas!A:C,3)</f>
        <v>確定ステップアップガチャ</v>
      </c>
      <c r="D965" s="21">
        <v>10</v>
      </c>
      <c r="E965" s="2">
        <v>8</v>
      </c>
      <c r="F965" s="2">
        <v>10</v>
      </c>
      <c r="G965" s="3" t="s">
        <v>22</v>
      </c>
      <c r="H965" s="2">
        <v>35</v>
      </c>
      <c r="I965" s="112">
        <v>426100</v>
      </c>
      <c r="J965" s="112">
        <v>426103</v>
      </c>
      <c r="K965" s="112" t="s">
        <v>84</v>
      </c>
      <c r="L965" s="2">
        <v>0</v>
      </c>
      <c r="M965" s="2" t="s">
        <v>84</v>
      </c>
      <c r="N965" s="2" t="s">
        <v>84</v>
      </c>
      <c r="O965" s="2" t="s">
        <v>841</v>
      </c>
      <c r="P965" s="2" t="s">
        <v>1748</v>
      </c>
    </row>
    <row r="966" spans="1:16" ht="22" customHeight="1" x14ac:dyDescent="0.15">
      <c r="A966" s="10" t="str">
        <f t="shared" si="254"/>
        <v>426_10_9_10_polygon</v>
      </c>
      <c r="B966" s="2">
        <v>426</v>
      </c>
      <c r="C966" s="30" t="str">
        <f>VLOOKUP(B966,gachas!A:C,3)</f>
        <v>確定ステップアップガチャ</v>
      </c>
      <c r="D966" s="21">
        <v>10</v>
      </c>
      <c r="E966" s="2">
        <v>9</v>
      </c>
      <c r="F966" s="2">
        <v>10</v>
      </c>
      <c r="G966" s="3" t="s">
        <v>22</v>
      </c>
      <c r="H966" s="2">
        <v>50</v>
      </c>
      <c r="I966" s="112">
        <v>426100</v>
      </c>
      <c r="J966" s="112">
        <v>426104</v>
      </c>
      <c r="K966" s="112" t="s">
        <v>84</v>
      </c>
      <c r="L966" s="2">
        <v>0</v>
      </c>
      <c r="M966" s="2" t="s">
        <v>84</v>
      </c>
      <c r="N966" s="2" t="s">
        <v>84</v>
      </c>
      <c r="O966" s="2" t="s">
        <v>841</v>
      </c>
      <c r="P966" s="2" t="s">
        <v>1749</v>
      </c>
    </row>
    <row r="967" spans="1:16" ht="22" customHeight="1" x14ac:dyDescent="0.15">
      <c r="A967" s="10" t="str">
        <f t="shared" si="254"/>
        <v>426_10_10_10_polygon</v>
      </c>
      <c r="B967" s="2">
        <v>426</v>
      </c>
      <c r="C967" s="30" t="str">
        <f>VLOOKUP(B967,gachas!A:C,3)</f>
        <v>確定ステップアップガチャ</v>
      </c>
      <c r="D967" s="21">
        <v>10</v>
      </c>
      <c r="E967" s="2">
        <v>10</v>
      </c>
      <c r="F967" s="2">
        <v>10</v>
      </c>
      <c r="G967" s="3" t="s">
        <v>22</v>
      </c>
      <c r="H967" s="2">
        <v>50</v>
      </c>
      <c r="I967" s="112">
        <v>426100</v>
      </c>
      <c r="J967" s="112" t="s">
        <v>1736</v>
      </c>
      <c r="K967" s="112">
        <v>426105</v>
      </c>
      <c r="L967" s="2">
        <v>1</v>
      </c>
      <c r="M967" s="2" t="s">
        <v>84</v>
      </c>
      <c r="N967" s="2" t="s">
        <v>84</v>
      </c>
      <c r="O967" s="2" t="s">
        <v>841</v>
      </c>
      <c r="P967" s="2" t="s">
        <v>1750</v>
      </c>
    </row>
    <row r="968" spans="1:16" ht="22" customHeight="1" x14ac:dyDescent="0.15">
      <c r="A968" s="10" t="str">
        <f t="shared" si="254"/>
        <v>426_10_11_5_polygon</v>
      </c>
      <c r="B968" s="2">
        <v>426</v>
      </c>
      <c r="C968" s="30" t="str">
        <f>VLOOKUP(B968,gachas!A:C,3)</f>
        <v>確定ステップアップガチャ</v>
      </c>
      <c r="D968" s="21">
        <v>10</v>
      </c>
      <c r="E968" s="2">
        <v>11</v>
      </c>
      <c r="F968" s="2">
        <v>5</v>
      </c>
      <c r="G968" s="3" t="s">
        <v>22</v>
      </c>
      <c r="H968" s="2">
        <v>15</v>
      </c>
      <c r="I968" s="112">
        <v>426101</v>
      </c>
      <c r="J968" s="112">
        <v>426101</v>
      </c>
      <c r="K968" s="112" t="s">
        <v>84</v>
      </c>
      <c r="L968" s="2">
        <v>0</v>
      </c>
      <c r="M968" s="2" t="s">
        <v>84</v>
      </c>
      <c r="N968" s="2" t="s">
        <v>84</v>
      </c>
      <c r="O968" s="2" t="s">
        <v>841</v>
      </c>
      <c r="P968" s="2" t="s">
        <v>1746</v>
      </c>
    </row>
    <row r="969" spans="1:16" ht="22" customHeight="1" x14ac:dyDescent="0.15">
      <c r="A969" s="10" t="str">
        <f t="shared" si="254"/>
        <v>426_10_12_5_polygon</v>
      </c>
      <c r="B969" s="2">
        <v>426</v>
      </c>
      <c r="C969" s="30" t="str">
        <f>VLOOKUP(B969,gachas!A:C,3)</f>
        <v>確定ステップアップガチャ</v>
      </c>
      <c r="D969" s="21">
        <v>10</v>
      </c>
      <c r="E969" s="2">
        <v>12</v>
      </c>
      <c r="F969" s="2">
        <v>5</v>
      </c>
      <c r="G969" s="3" t="s">
        <v>22</v>
      </c>
      <c r="H969" s="2">
        <v>20</v>
      </c>
      <c r="I969" s="112">
        <v>426101</v>
      </c>
      <c r="J969" s="112">
        <v>426102</v>
      </c>
      <c r="K969" s="112" t="s">
        <v>84</v>
      </c>
      <c r="L969" s="2">
        <v>0</v>
      </c>
      <c r="M969" s="2" t="s">
        <v>84</v>
      </c>
      <c r="N969" s="2" t="s">
        <v>84</v>
      </c>
      <c r="O969" s="2" t="s">
        <v>841</v>
      </c>
      <c r="P969" s="2" t="s">
        <v>1747</v>
      </c>
    </row>
    <row r="970" spans="1:16" ht="22" customHeight="1" x14ac:dyDescent="0.15">
      <c r="A970" s="10" t="str">
        <f t="shared" si="254"/>
        <v>426_10_13_10_polygon</v>
      </c>
      <c r="B970" s="2">
        <v>426</v>
      </c>
      <c r="C970" s="30" t="str">
        <f>VLOOKUP(B970,gachas!A:C,3)</f>
        <v>確定ステップアップガチャ</v>
      </c>
      <c r="D970" s="21">
        <v>10</v>
      </c>
      <c r="E970" s="2">
        <v>13</v>
      </c>
      <c r="F970" s="2">
        <v>10</v>
      </c>
      <c r="G970" s="3" t="s">
        <v>22</v>
      </c>
      <c r="H970" s="2">
        <v>35</v>
      </c>
      <c r="I970" s="112">
        <v>426100</v>
      </c>
      <c r="J970" s="112">
        <v>426103</v>
      </c>
      <c r="K970" s="112" t="s">
        <v>84</v>
      </c>
      <c r="L970" s="2">
        <v>0</v>
      </c>
      <c r="M970" s="2" t="s">
        <v>84</v>
      </c>
      <c r="N970" s="2" t="s">
        <v>84</v>
      </c>
      <c r="O970" s="2" t="s">
        <v>841</v>
      </c>
      <c r="P970" s="2" t="s">
        <v>1748</v>
      </c>
    </row>
    <row r="971" spans="1:16" ht="22" customHeight="1" x14ac:dyDescent="0.15">
      <c r="A971" s="10" t="str">
        <f t="shared" si="254"/>
        <v>426_10_14_10_polygon</v>
      </c>
      <c r="B971" s="2">
        <v>426</v>
      </c>
      <c r="C971" s="30" t="str">
        <f>VLOOKUP(B971,gachas!A:C,3)</f>
        <v>確定ステップアップガチャ</v>
      </c>
      <c r="D971" s="21">
        <v>10</v>
      </c>
      <c r="E971" s="2">
        <v>14</v>
      </c>
      <c r="F971" s="2">
        <v>10</v>
      </c>
      <c r="G971" s="3" t="s">
        <v>22</v>
      </c>
      <c r="H971" s="2">
        <v>50</v>
      </c>
      <c r="I971" s="112">
        <v>426100</v>
      </c>
      <c r="J971" s="112">
        <v>426104</v>
      </c>
      <c r="K971" s="112" t="s">
        <v>84</v>
      </c>
      <c r="L971" s="2">
        <v>0</v>
      </c>
      <c r="M971" s="2" t="s">
        <v>84</v>
      </c>
      <c r="N971" s="2" t="s">
        <v>84</v>
      </c>
      <c r="O971" s="2" t="s">
        <v>841</v>
      </c>
      <c r="P971" s="2" t="s">
        <v>1749</v>
      </c>
    </row>
    <row r="972" spans="1:16" ht="22" customHeight="1" x14ac:dyDescent="0.15">
      <c r="A972" s="10" t="str">
        <f t="shared" si="254"/>
        <v>426_10_15_10_polygon</v>
      </c>
      <c r="B972" s="2">
        <v>426</v>
      </c>
      <c r="C972" s="30" t="str">
        <f>VLOOKUP(B972,gachas!A:C,3)</f>
        <v>確定ステップアップガチャ</v>
      </c>
      <c r="D972" s="21">
        <v>10</v>
      </c>
      <c r="E972" s="2">
        <v>15</v>
      </c>
      <c r="F972" s="2">
        <v>10</v>
      </c>
      <c r="G972" s="3" t="s">
        <v>22</v>
      </c>
      <c r="H972" s="2">
        <v>50</v>
      </c>
      <c r="I972" s="112">
        <v>426100</v>
      </c>
      <c r="J972" s="112" t="s">
        <v>1736</v>
      </c>
      <c r="K972" s="112">
        <v>426105</v>
      </c>
      <c r="L972" s="2">
        <v>1</v>
      </c>
      <c r="M972" s="2" t="s">
        <v>84</v>
      </c>
      <c r="N972" s="2" t="s">
        <v>84</v>
      </c>
      <c r="O972" s="2" t="s">
        <v>841</v>
      </c>
      <c r="P972" s="2" t="s">
        <v>1750</v>
      </c>
    </row>
    <row r="973" spans="1:16" ht="22" customHeight="1" x14ac:dyDescent="0.15">
      <c r="A973" s="10" t="str">
        <f t="shared" si="254"/>
        <v>426_10_16_5_polygon</v>
      </c>
      <c r="B973" s="2">
        <v>426</v>
      </c>
      <c r="C973" s="30" t="str">
        <f>VLOOKUP(B973,gachas!A:C,3)</f>
        <v>確定ステップアップガチャ</v>
      </c>
      <c r="D973" s="21">
        <v>10</v>
      </c>
      <c r="E973" s="2">
        <v>16</v>
      </c>
      <c r="F973" s="2">
        <v>5</v>
      </c>
      <c r="G973" s="3" t="s">
        <v>22</v>
      </c>
      <c r="H973" s="2">
        <v>15</v>
      </c>
      <c r="I973" s="112">
        <v>426101</v>
      </c>
      <c r="J973" s="112">
        <v>426101</v>
      </c>
      <c r="K973" s="112" t="s">
        <v>84</v>
      </c>
      <c r="L973" s="2">
        <v>0</v>
      </c>
      <c r="M973" s="2" t="s">
        <v>84</v>
      </c>
      <c r="N973" s="2" t="s">
        <v>84</v>
      </c>
      <c r="O973" s="2" t="s">
        <v>841</v>
      </c>
      <c r="P973" s="2" t="s">
        <v>1746</v>
      </c>
    </row>
    <row r="974" spans="1:16" ht="22" customHeight="1" x14ac:dyDescent="0.15">
      <c r="A974" s="10" t="str">
        <f t="shared" si="254"/>
        <v>426_10_17_5_polygon</v>
      </c>
      <c r="B974" s="2">
        <v>426</v>
      </c>
      <c r="C974" s="30" t="str">
        <f>VLOOKUP(B974,gachas!A:C,3)</f>
        <v>確定ステップアップガチャ</v>
      </c>
      <c r="D974" s="21">
        <v>10</v>
      </c>
      <c r="E974" s="2">
        <v>17</v>
      </c>
      <c r="F974" s="2">
        <v>5</v>
      </c>
      <c r="G974" s="3" t="s">
        <v>22</v>
      </c>
      <c r="H974" s="2">
        <v>20</v>
      </c>
      <c r="I974" s="112">
        <v>426101</v>
      </c>
      <c r="J974" s="112">
        <v>426102</v>
      </c>
      <c r="K974" s="112" t="s">
        <v>84</v>
      </c>
      <c r="L974" s="2">
        <v>0</v>
      </c>
      <c r="M974" s="2" t="s">
        <v>84</v>
      </c>
      <c r="N974" s="2" t="s">
        <v>84</v>
      </c>
      <c r="O974" s="2" t="s">
        <v>841</v>
      </c>
      <c r="P974" s="2" t="s">
        <v>1747</v>
      </c>
    </row>
    <row r="975" spans="1:16" ht="22" customHeight="1" x14ac:dyDescent="0.15">
      <c r="A975" s="10" t="str">
        <f t="shared" si="254"/>
        <v>426_10_18_10_polygon</v>
      </c>
      <c r="B975" s="2">
        <v>426</v>
      </c>
      <c r="C975" s="30" t="str">
        <f>VLOOKUP(B975,gachas!A:C,3)</f>
        <v>確定ステップアップガチャ</v>
      </c>
      <c r="D975" s="21">
        <v>10</v>
      </c>
      <c r="E975" s="2">
        <v>18</v>
      </c>
      <c r="F975" s="2">
        <v>10</v>
      </c>
      <c r="G975" s="3" t="s">
        <v>22</v>
      </c>
      <c r="H975" s="2">
        <v>35</v>
      </c>
      <c r="I975" s="112">
        <v>426100</v>
      </c>
      <c r="J975" s="112">
        <v>426103</v>
      </c>
      <c r="K975" s="112" t="s">
        <v>84</v>
      </c>
      <c r="L975" s="2">
        <v>0</v>
      </c>
      <c r="M975" s="2" t="s">
        <v>84</v>
      </c>
      <c r="N975" s="2" t="s">
        <v>84</v>
      </c>
      <c r="O975" s="2" t="s">
        <v>841</v>
      </c>
      <c r="P975" s="2" t="s">
        <v>1748</v>
      </c>
    </row>
    <row r="976" spans="1:16" ht="22" customHeight="1" x14ac:dyDescent="0.15">
      <c r="A976" s="10" t="str">
        <f t="shared" si="254"/>
        <v>426_10_19_10_polygon</v>
      </c>
      <c r="B976" s="2">
        <v>426</v>
      </c>
      <c r="C976" s="30" t="str">
        <f>VLOOKUP(B976,gachas!A:C,3)</f>
        <v>確定ステップアップガチャ</v>
      </c>
      <c r="D976" s="21">
        <v>10</v>
      </c>
      <c r="E976" s="2">
        <v>19</v>
      </c>
      <c r="F976" s="2">
        <v>10</v>
      </c>
      <c r="G976" s="3" t="s">
        <v>22</v>
      </c>
      <c r="H976" s="2">
        <v>50</v>
      </c>
      <c r="I976" s="112">
        <v>426100</v>
      </c>
      <c r="J976" s="112">
        <v>426104</v>
      </c>
      <c r="K976" s="112" t="s">
        <v>84</v>
      </c>
      <c r="L976" s="2">
        <v>0</v>
      </c>
      <c r="M976" s="2" t="s">
        <v>84</v>
      </c>
      <c r="N976" s="2" t="s">
        <v>84</v>
      </c>
      <c r="O976" s="2" t="s">
        <v>841</v>
      </c>
      <c r="P976" s="2" t="s">
        <v>1749</v>
      </c>
    </row>
    <row r="977" spans="1:16" ht="22" customHeight="1" x14ac:dyDescent="0.15">
      <c r="A977" s="10" t="str">
        <f t="shared" si="254"/>
        <v>426_10_20_10_polygon</v>
      </c>
      <c r="B977" s="2">
        <v>426</v>
      </c>
      <c r="C977" s="30" t="str">
        <f>VLOOKUP(B977,gachas!A:C,3)</f>
        <v>確定ステップアップガチャ</v>
      </c>
      <c r="D977" s="21">
        <v>10</v>
      </c>
      <c r="E977" s="2">
        <v>20</v>
      </c>
      <c r="F977" s="2">
        <v>10</v>
      </c>
      <c r="G977" s="3" t="s">
        <v>22</v>
      </c>
      <c r="H977" s="2">
        <v>50</v>
      </c>
      <c r="I977" s="112">
        <v>426100</v>
      </c>
      <c r="J977" s="112" t="s">
        <v>1736</v>
      </c>
      <c r="K977" s="112">
        <v>426105</v>
      </c>
      <c r="L977" s="2">
        <v>1</v>
      </c>
      <c r="M977" s="2" t="s">
        <v>84</v>
      </c>
      <c r="N977" s="2" t="s">
        <v>84</v>
      </c>
      <c r="O977" s="2" t="s">
        <v>841</v>
      </c>
      <c r="P977" s="2" t="s">
        <v>1750</v>
      </c>
    </row>
    <row r="978" spans="1:16" ht="22" customHeight="1" x14ac:dyDescent="0.15">
      <c r="A978" s="10" t="str">
        <f t="shared" si="254"/>
        <v>426_10_21_5_polygon</v>
      </c>
      <c r="B978" s="2">
        <v>426</v>
      </c>
      <c r="C978" s="30" t="str">
        <f>VLOOKUP(B978,gachas!A:C,3)</f>
        <v>確定ステップアップガチャ</v>
      </c>
      <c r="D978" s="21">
        <v>10</v>
      </c>
      <c r="E978" s="2">
        <v>21</v>
      </c>
      <c r="F978" s="2">
        <v>5</v>
      </c>
      <c r="G978" s="3" t="s">
        <v>22</v>
      </c>
      <c r="H978" s="2">
        <v>15</v>
      </c>
      <c r="I978" s="112">
        <v>426101</v>
      </c>
      <c r="J978" s="112">
        <v>426101</v>
      </c>
      <c r="K978" s="112" t="s">
        <v>84</v>
      </c>
      <c r="L978" s="2">
        <v>0</v>
      </c>
      <c r="M978" s="2" t="s">
        <v>84</v>
      </c>
      <c r="N978" s="2" t="s">
        <v>84</v>
      </c>
      <c r="O978" s="2" t="s">
        <v>841</v>
      </c>
      <c r="P978" s="2" t="s">
        <v>1746</v>
      </c>
    </row>
    <row r="979" spans="1:16" ht="22" customHeight="1" x14ac:dyDescent="0.15">
      <c r="A979" s="10" t="str">
        <f t="shared" si="254"/>
        <v>426_10_22_5_polygon</v>
      </c>
      <c r="B979" s="2">
        <v>426</v>
      </c>
      <c r="C979" s="30" t="str">
        <f>VLOOKUP(B979,gachas!A:C,3)</f>
        <v>確定ステップアップガチャ</v>
      </c>
      <c r="D979" s="21">
        <v>10</v>
      </c>
      <c r="E979" s="2">
        <v>22</v>
      </c>
      <c r="F979" s="2">
        <v>5</v>
      </c>
      <c r="G979" s="3" t="s">
        <v>22</v>
      </c>
      <c r="H979" s="2">
        <v>20</v>
      </c>
      <c r="I979" s="112">
        <v>426101</v>
      </c>
      <c r="J979" s="112">
        <v>426102</v>
      </c>
      <c r="K979" s="112" t="s">
        <v>84</v>
      </c>
      <c r="L979" s="2">
        <v>0</v>
      </c>
      <c r="M979" s="2" t="s">
        <v>84</v>
      </c>
      <c r="N979" s="2" t="s">
        <v>84</v>
      </c>
      <c r="O979" s="2" t="s">
        <v>841</v>
      </c>
      <c r="P979" s="2" t="s">
        <v>1747</v>
      </c>
    </row>
    <row r="980" spans="1:16" ht="22" customHeight="1" x14ac:dyDescent="0.15">
      <c r="A980" s="10" t="str">
        <f t="shared" si="254"/>
        <v>426_10_23_10_polygon</v>
      </c>
      <c r="B980" s="2">
        <v>426</v>
      </c>
      <c r="C980" s="30" t="str">
        <f>VLOOKUP(B980,gachas!A:C,3)</f>
        <v>確定ステップアップガチャ</v>
      </c>
      <c r="D980" s="21">
        <v>10</v>
      </c>
      <c r="E980" s="2">
        <v>23</v>
      </c>
      <c r="F980" s="2">
        <v>10</v>
      </c>
      <c r="G980" s="3" t="s">
        <v>22</v>
      </c>
      <c r="H980" s="2">
        <v>35</v>
      </c>
      <c r="I980" s="112">
        <v>426100</v>
      </c>
      <c r="J980" s="112">
        <v>426103</v>
      </c>
      <c r="K980" s="112" t="s">
        <v>84</v>
      </c>
      <c r="L980" s="2">
        <v>0</v>
      </c>
      <c r="M980" s="2" t="s">
        <v>84</v>
      </c>
      <c r="N980" s="2" t="s">
        <v>84</v>
      </c>
      <c r="O980" s="2" t="s">
        <v>841</v>
      </c>
      <c r="P980" s="2" t="s">
        <v>1748</v>
      </c>
    </row>
    <row r="981" spans="1:16" ht="22" customHeight="1" x14ac:dyDescent="0.15">
      <c r="A981" s="10" t="str">
        <f t="shared" si="254"/>
        <v>426_10_24_10_polygon</v>
      </c>
      <c r="B981" s="2">
        <v>426</v>
      </c>
      <c r="C981" s="30" t="str">
        <f>VLOOKUP(B981,gachas!A:C,3)</f>
        <v>確定ステップアップガチャ</v>
      </c>
      <c r="D981" s="21">
        <v>10</v>
      </c>
      <c r="E981" s="2">
        <v>24</v>
      </c>
      <c r="F981" s="2">
        <v>10</v>
      </c>
      <c r="G981" s="3" t="s">
        <v>22</v>
      </c>
      <c r="H981" s="2">
        <v>50</v>
      </c>
      <c r="I981" s="112">
        <v>426100</v>
      </c>
      <c r="J981" s="112">
        <v>426104</v>
      </c>
      <c r="K981" s="112" t="s">
        <v>84</v>
      </c>
      <c r="L981" s="2">
        <v>0</v>
      </c>
      <c r="M981" s="2" t="s">
        <v>84</v>
      </c>
      <c r="N981" s="2" t="s">
        <v>84</v>
      </c>
      <c r="O981" s="2" t="s">
        <v>841</v>
      </c>
      <c r="P981" s="2" t="s">
        <v>1749</v>
      </c>
    </row>
    <row r="982" spans="1:16" ht="22" customHeight="1" x14ac:dyDescent="0.15">
      <c r="A982" s="10" t="str">
        <f t="shared" si="254"/>
        <v>426_10_25_10_polygon</v>
      </c>
      <c r="B982" s="2">
        <v>426</v>
      </c>
      <c r="C982" s="30" t="str">
        <f>VLOOKUP(B982,gachas!A:C,3)</f>
        <v>確定ステップアップガチャ</v>
      </c>
      <c r="D982" s="21">
        <v>10</v>
      </c>
      <c r="E982" s="2">
        <v>25</v>
      </c>
      <c r="F982" s="2">
        <v>10</v>
      </c>
      <c r="G982" s="3" t="s">
        <v>22</v>
      </c>
      <c r="H982" s="2">
        <v>50</v>
      </c>
      <c r="I982" s="112">
        <v>426100</v>
      </c>
      <c r="J982" s="112" t="s">
        <v>1736</v>
      </c>
      <c r="K982" s="112">
        <v>426105</v>
      </c>
      <c r="L982" s="2">
        <v>1</v>
      </c>
      <c r="M982" s="2" t="s">
        <v>84</v>
      </c>
      <c r="N982" s="2" t="s">
        <v>84</v>
      </c>
      <c r="O982" s="2" t="s">
        <v>841</v>
      </c>
      <c r="P982" s="2" t="s">
        <v>1750</v>
      </c>
    </row>
    <row r="983" spans="1:16" ht="22" customHeight="1" x14ac:dyDescent="0.15">
      <c r="A983" s="10" t="str">
        <f t="shared" ref="A983" si="255">B983&amp;"_"&amp;D983&amp;"_"&amp;E983&amp;"_"&amp;F983&amp;"_"&amp;G983</f>
        <v>426_10_0_10_polygon</v>
      </c>
      <c r="B983" s="2">
        <v>426</v>
      </c>
      <c r="C983" s="30" t="str">
        <f>VLOOKUP(B983,gachas!A:C,3)</f>
        <v>確定ステップアップガチャ</v>
      </c>
      <c r="D983" s="21">
        <v>10</v>
      </c>
      <c r="E983" s="2">
        <v>0</v>
      </c>
      <c r="F983" s="2">
        <v>10</v>
      </c>
      <c r="G983" s="3" t="s">
        <v>22</v>
      </c>
      <c r="H983" s="2">
        <v>50</v>
      </c>
      <c r="I983" s="112">
        <v>426100</v>
      </c>
      <c r="J983" s="112" t="s">
        <v>84</v>
      </c>
      <c r="K983" s="112" t="s">
        <v>84</v>
      </c>
      <c r="L983" s="2">
        <v>0</v>
      </c>
      <c r="M983" s="2" t="s">
        <v>84</v>
      </c>
      <c r="N983" s="2" t="s">
        <v>84</v>
      </c>
      <c r="O983" s="2" t="s">
        <v>841</v>
      </c>
      <c r="P983" s="2" t="s">
        <v>1751</v>
      </c>
    </row>
    <row r="984" spans="1:16" ht="22" customHeight="1" x14ac:dyDescent="0.15">
      <c r="A984" s="10" t="str">
        <f t="shared" ref="A984:A985" si="256">B984&amp;"_"&amp;D984&amp;"_"&amp;E984&amp;"_"&amp;F984&amp;"_"&amp;G984</f>
        <v>427_1_0_1_polygon</v>
      </c>
      <c r="B984" s="2">
        <v>427</v>
      </c>
      <c r="C984" s="30" t="str">
        <f>VLOOKUP(B984,gachas!A:C,3)</f>
        <v>新クラファーコレクション</v>
      </c>
      <c r="D984" s="21">
        <v>1</v>
      </c>
      <c r="E984" s="2">
        <v>0</v>
      </c>
      <c r="F984" s="2">
        <v>1</v>
      </c>
      <c r="G984" s="3" t="s">
        <v>22</v>
      </c>
      <c r="H984" s="2">
        <v>5</v>
      </c>
      <c r="I984" s="117" t="str">
        <f t="shared" si="253"/>
        <v>427010</v>
      </c>
      <c r="J984" s="112" t="s">
        <v>84</v>
      </c>
      <c r="K984" s="2" t="s">
        <v>84</v>
      </c>
      <c r="L984" s="2">
        <v>0</v>
      </c>
      <c r="M984" s="2" t="s">
        <v>84</v>
      </c>
      <c r="N984" s="2" t="s">
        <v>84</v>
      </c>
      <c r="O984" s="2" t="s">
        <v>841</v>
      </c>
      <c r="P984" s="2" t="s">
        <v>84</v>
      </c>
    </row>
    <row r="985" spans="1:16" ht="22" customHeight="1" x14ac:dyDescent="0.15">
      <c r="A985" s="10" t="str">
        <f t="shared" si="256"/>
        <v>427_10_0_10_polygon</v>
      </c>
      <c r="B985" s="2">
        <v>427</v>
      </c>
      <c r="C985" s="30" t="str">
        <f>VLOOKUP(B985,gachas!A:C,3)</f>
        <v>新クラファーコレクション</v>
      </c>
      <c r="D985" s="21">
        <v>10</v>
      </c>
      <c r="E985" s="2">
        <v>0</v>
      </c>
      <c r="F985" s="2">
        <v>10</v>
      </c>
      <c r="G985" s="3" t="s">
        <v>22</v>
      </c>
      <c r="H985" s="2">
        <v>50</v>
      </c>
      <c r="I985" s="117" t="str">
        <f>B985&amp;TEXT(D985,"00")&amp;E985</f>
        <v>427100</v>
      </c>
      <c r="J985" s="112" t="s">
        <v>84</v>
      </c>
      <c r="K985" s="2" t="s">
        <v>84</v>
      </c>
      <c r="L985" s="2">
        <v>0</v>
      </c>
      <c r="M985" s="2" t="s">
        <v>84</v>
      </c>
      <c r="N985" s="2" t="s">
        <v>84</v>
      </c>
      <c r="O985" s="2" t="s">
        <v>841</v>
      </c>
      <c r="P985" s="2" t="s">
        <v>143</v>
      </c>
    </row>
    <row r="986" spans="1:16" ht="22" customHeight="1" x14ac:dyDescent="0.15">
      <c r="A986" s="10" t="str">
        <f t="shared" ref="A986:A1037" si="257">B986&amp;"_"&amp;D986&amp;"_"&amp;E986&amp;"_"&amp;F986&amp;"_"&amp;G986</f>
        <v>428_1_0_1_polygon</v>
      </c>
      <c r="B986" s="2">
        <v>428</v>
      </c>
      <c r="C986" s="30" t="str">
        <f>VLOOKUP(B986,gachas!A:C,3)</f>
        <v>フィーバーフェスティバル</v>
      </c>
      <c r="D986" s="21">
        <v>1</v>
      </c>
      <c r="E986" s="2">
        <v>0</v>
      </c>
      <c r="F986" s="2">
        <v>1</v>
      </c>
      <c r="G986" s="3" t="s">
        <v>22</v>
      </c>
      <c r="H986" s="2">
        <v>5</v>
      </c>
      <c r="I986" s="117" t="str">
        <f t="shared" ref="I986:I1037" si="258">B986&amp;TEXT(D986,"00")&amp;E986</f>
        <v>428010</v>
      </c>
      <c r="J986" s="112" t="s">
        <v>84</v>
      </c>
      <c r="K986" s="2" t="s">
        <v>84</v>
      </c>
      <c r="L986" s="2">
        <v>0</v>
      </c>
      <c r="M986" s="2" t="s">
        <v>84</v>
      </c>
      <c r="N986" s="2" t="s">
        <v>84</v>
      </c>
      <c r="O986" s="2" t="s">
        <v>841</v>
      </c>
      <c r="P986" s="2" t="s">
        <v>691</v>
      </c>
    </row>
    <row r="987" spans="1:16" ht="22" customHeight="1" x14ac:dyDescent="0.15">
      <c r="A987" s="10" t="str">
        <f t="shared" ref="A987" si="259">B987&amp;"_"&amp;D987&amp;"_"&amp;E987&amp;"_"&amp;F987&amp;"_"&amp;G987</f>
        <v>428_10_1_10_polygon</v>
      </c>
      <c r="B987" s="2">
        <v>428</v>
      </c>
      <c r="C987" s="30" t="str">
        <f>VLOOKUP(B987,gachas!A:C,3)</f>
        <v>フィーバーフェスティバル</v>
      </c>
      <c r="D987" s="21">
        <v>10</v>
      </c>
      <c r="E987" s="2">
        <v>1</v>
      </c>
      <c r="F987" s="2">
        <v>10</v>
      </c>
      <c r="G987" s="3" t="s">
        <v>22</v>
      </c>
      <c r="H987" s="2">
        <v>50</v>
      </c>
      <c r="I987" s="117">
        <v>428100</v>
      </c>
      <c r="J987" s="112" t="s">
        <v>84</v>
      </c>
      <c r="K987" s="117">
        <v>428100</v>
      </c>
      <c r="L987" s="2">
        <v>1</v>
      </c>
      <c r="M987" s="2" t="s">
        <v>84</v>
      </c>
      <c r="N987" s="2" t="s">
        <v>84</v>
      </c>
      <c r="O987" s="2" t="s">
        <v>841</v>
      </c>
      <c r="P987" s="2" t="s">
        <v>1078</v>
      </c>
    </row>
    <row r="988" spans="1:16" ht="22" customHeight="1" x14ac:dyDescent="0.15">
      <c r="A988" s="10" t="str">
        <f t="shared" si="257"/>
        <v>428_10_2_10_polygon</v>
      </c>
      <c r="B988" s="2">
        <v>428</v>
      </c>
      <c r="C988" s="30" t="str">
        <f>VLOOKUP(B988,gachas!A:C,3)</f>
        <v>フィーバーフェスティバル</v>
      </c>
      <c r="D988" s="21">
        <v>10</v>
      </c>
      <c r="E988" s="2">
        <v>2</v>
      </c>
      <c r="F988" s="2">
        <v>10</v>
      </c>
      <c r="G988" s="3" t="s">
        <v>22</v>
      </c>
      <c r="H988" s="2">
        <v>50</v>
      </c>
      <c r="I988" s="117">
        <v>428100</v>
      </c>
      <c r="J988" s="112" t="s">
        <v>84</v>
      </c>
      <c r="K988" s="117">
        <v>428100</v>
      </c>
      <c r="L988" s="2">
        <v>1</v>
      </c>
      <c r="M988" s="2" t="s">
        <v>84</v>
      </c>
      <c r="N988" s="2" t="s">
        <v>84</v>
      </c>
      <c r="O988" s="2" t="s">
        <v>841</v>
      </c>
      <c r="P988" s="2" t="s">
        <v>1078</v>
      </c>
    </row>
    <row r="989" spans="1:16" ht="22" customHeight="1" x14ac:dyDescent="0.15">
      <c r="A989" s="10" t="str">
        <f t="shared" si="257"/>
        <v>428_10_3_10_polygon</v>
      </c>
      <c r="B989" s="2">
        <v>428</v>
      </c>
      <c r="C989" s="30" t="str">
        <f>VLOOKUP(B989,gachas!A:C,3)</f>
        <v>フィーバーフェスティバル</v>
      </c>
      <c r="D989" s="21">
        <v>10</v>
      </c>
      <c r="E989" s="2">
        <v>3</v>
      </c>
      <c r="F989" s="2">
        <v>10</v>
      </c>
      <c r="G989" s="3" t="s">
        <v>22</v>
      </c>
      <c r="H989" s="2">
        <v>50</v>
      </c>
      <c r="I989" s="117">
        <v>428100</v>
      </c>
      <c r="J989" s="112" t="s">
        <v>84</v>
      </c>
      <c r="K989" s="117">
        <v>428100</v>
      </c>
      <c r="L989" s="2">
        <v>1</v>
      </c>
      <c r="M989" s="2" t="s">
        <v>84</v>
      </c>
      <c r="N989" s="2" t="s">
        <v>84</v>
      </c>
      <c r="O989" s="2" t="s">
        <v>841</v>
      </c>
      <c r="P989" s="2" t="s">
        <v>1078</v>
      </c>
    </row>
    <row r="990" spans="1:16" ht="22" customHeight="1" x14ac:dyDescent="0.15">
      <c r="A990" s="10" t="str">
        <f t="shared" si="257"/>
        <v>428_10_4_10_polygon</v>
      </c>
      <c r="B990" s="2">
        <v>428</v>
      </c>
      <c r="C990" s="30" t="str">
        <f>VLOOKUP(B990,gachas!A:C,3)</f>
        <v>フィーバーフェスティバル</v>
      </c>
      <c r="D990" s="21">
        <v>10</v>
      </c>
      <c r="E990" s="2">
        <v>4</v>
      </c>
      <c r="F990" s="2">
        <v>10</v>
      </c>
      <c r="G990" s="3" t="s">
        <v>22</v>
      </c>
      <c r="H990" s="2">
        <v>50</v>
      </c>
      <c r="I990" s="117">
        <v>428100</v>
      </c>
      <c r="J990" s="112" t="s">
        <v>84</v>
      </c>
      <c r="K990" s="117">
        <v>428100</v>
      </c>
      <c r="L990" s="2">
        <v>1</v>
      </c>
      <c r="M990" s="2" t="s">
        <v>84</v>
      </c>
      <c r="N990" s="2" t="s">
        <v>84</v>
      </c>
      <c r="O990" s="2" t="s">
        <v>841</v>
      </c>
      <c r="P990" s="2" t="s">
        <v>1078</v>
      </c>
    </row>
    <row r="991" spans="1:16" ht="22" customHeight="1" x14ac:dyDescent="0.15">
      <c r="A991" s="10" t="str">
        <f t="shared" si="257"/>
        <v>428_10_5_10_polygon</v>
      </c>
      <c r="B991" s="2">
        <v>428</v>
      </c>
      <c r="C991" s="30" t="str">
        <f>VLOOKUP(B991,gachas!A:C,3)</f>
        <v>フィーバーフェスティバル</v>
      </c>
      <c r="D991" s="21">
        <v>10</v>
      </c>
      <c r="E991" s="2">
        <v>5</v>
      </c>
      <c r="F991" s="2">
        <v>10</v>
      </c>
      <c r="G991" s="3" t="s">
        <v>22</v>
      </c>
      <c r="H991" s="2">
        <v>50</v>
      </c>
      <c r="I991" s="117">
        <v>428100</v>
      </c>
      <c r="J991" s="112">
        <v>428105</v>
      </c>
      <c r="K991" s="117">
        <v>428100</v>
      </c>
      <c r="L991" s="2">
        <v>1</v>
      </c>
      <c r="M991" s="2" t="s">
        <v>84</v>
      </c>
      <c r="N991" s="2" t="s">
        <v>84</v>
      </c>
      <c r="O991" s="2" t="s">
        <v>841</v>
      </c>
      <c r="P991" s="2" t="s">
        <v>1763</v>
      </c>
    </row>
    <row r="992" spans="1:16" ht="22" customHeight="1" x14ac:dyDescent="0.15">
      <c r="A992" s="10" t="str">
        <f t="shared" ref="A992:A1023" si="260">B992&amp;"_"&amp;D992&amp;"_"&amp;E992&amp;"_"&amp;F992&amp;"_"&amp;G992</f>
        <v>428_10_6_10_polygon</v>
      </c>
      <c r="B992" s="2">
        <v>428</v>
      </c>
      <c r="C992" s="30" t="str">
        <f>VLOOKUP(B992,gachas!A:C,3)</f>
        <v>フィーバーフェスティバル</v>
      </c>
      <c r="D992" s="21">
        <v>10</v>
      </c>
      <c r="E992" s="2">
        <v>6</v>
      </c>
      <c r="F992" s="2">
        <v>10</v>
      </c>
      <c r="G992" s="3" t="s">
        <v>22</v>
      </c>
      <c r="H992" s="2">
        <v>50</v>
      </c>
      <c r="I992" s="117">
        <v>428100</v>
      </c>
      <c r="J992" s="112" t="s">
        <v>84</v>
      </c>
      <c r="K992" s="117">
        <v>428100</v>
      </c>
      <c r="L992" s="2">
        <v>1</v>
      </c>
      <c r="M992" s="2" t="s">
        <v>84</v>
      </c>
      <c r="N992" s="2" t="s">
        <v>84</v>
      </c>
      <c r="O992" s="2" t="s">
        <v>841</v>
      </c>
      <c r="P992" s="2" t="s">
        <v>1078</v>
      </c>
    </row>
    <row r="993" spans="1:16" ht="22" customHeight="1" x14ac:dyDescent="0.15">
      <c r="A993" s="10" t="str">
        <f t="shared" si="260"/>
        <v>428_10_7_10_polygon</v>
      </c>
      <c r="B993" s="2">
        <v>428</v>
      </c>
      <c r="C993" s="30" t="str">
        <f>VLOOKUP(B993,gachas!A:C,3)</f>
        <v>フィーバーフェスティバル</v>
      </c>
      <c r="D993" s="21">
        <v>10</v>
      </c>
      <c r="E993" s="2">
        <v>7</v>
      </c>
      <c r="F993" s="2">
        <v>10</v>
      </c>
      <c r="G993" s="3" t="s">
        <v>22</v>
      </c>
      <c r="H993" s="2">
        <v>50</v>
      </c>
      <c r="I993" s="117">
        <v>428100</v>
      </c>
      <c r="J993" s="112" t="s">
        <v>84</v>
      </c>
      <c r="K993" s="117">
        <v>428100</v>
      </c>
      <c r="L993" s="2">
        <v>1</v>
      </c>
      <c r="M993" s="2" t="s">
        <v>84</v>
      </c>
      <c r="N993" s="2" t="s">
        <v>84</v>
      </c>
      <c r="O993" s="2" t="s">
        <v>841</v>
      </c>
      <c r="P993" s="2" t="s">
        <v>1078</v>
      </c>
    </row>
    <row r="994" spans="1:16" ht="22" customHeight="1" x14ac:dyDescent="0.15">
      <c r="A994" s="10" t="str">
        <f t="shared" si="260"/>
        <v>428_10_8_10_polygon</v>
      </c>
      <c r="B994" s="2">
        <v>428</v>
      </c>
      <c r="C994" s="30" t="str">
        <f>VLOOKUP(B994,gachas!A:C,3)</f>
        <v>フィーバーフェスティバル</v>
      </c>
      <c r="D994" s="21">
        <v>10</v>
      </c>
      <c r="E994" s="2">
        <v>8</v>
      </c>
      <c r="F994" s="2">
        <v>10</v>
      </c>
      <c r="G994" s="3" t="s">
        <v>22</v>
      </c>
      <c r="H994" s="2">
        <v>50</v>
      </c>
      <c r="I994" s="117">
        <v>428100</v>
      </c>
      <c r="J994" s="112" t="s">
        <v>84</v>
      </c>
      <c r="K994" s="117">
        <v>428100</v>
      </c>
      <c r="L994" s="2">
        <v>1</v>
      </c>
      <c r="M994" s="2" t="s">
        <v>84</v>
      </c>
      <c r="N994" s="2" t="s">
        <v>84</v>
      </c>
      <c r="O994" s="2" t="s">
        <v>841</v>
      </c>
      <c r="P994" s="2" t="s">
        <v>1078</v>
      </c>
    </row>
    <row r="995" spans="1:16" ht="22" customHeight="1" x14ac:dyDescent="0.15">
      <c r="A995" s="10" t="str">
        <f t="shared" si="260"/>
        <v>428_10_9_10_polygon</v>
      </c>
      <c r="B995" s="2">
        <v>428</v>
      </c>
      <c r="C995" s="30" t="str">
        <f>VLOOKUP(B995,gachas!A:C,3)</f>
        <v>フィーバーフェスティバル</v>
      </c>
      <c r="D995" s="21">
        <v>10</v>
      </c>
      <c r="E995" s="2">
        <v>9</v>
      </c>
      <c r="F995" s="2">
        <v>10</v>
      </c>
      <c r="G995" s="3" t="s">
        <v>22</v>
      </c>
      <c r="H995" s="2">
        <v>50</v>
      </c>
      <c r="I995" s="117">
        <v>428100</v>
      </c>
      <c r="J995" s="112" t="s">
        <v>84</v>
      </c>
      <c r="K995" s="117">
        <v>428100</v>
      </c>
      <c r="L995" s="2">
        <v>1</v>
      </c>
      <c r="M995" s="2" t="s">
        <v>84</v>
      </c>
      <c r="N995" s="2" t="s">
        <v>84</v>
      </c>
      <c r="O995" s="2" t="s">
        <v>841</v>
      </c>
      <c r="P995" s="2" t="s">
        <v>1078</v>
      </c>
    </row>
    <row r="996" spans="1:16" ht="22" customHeight="1" x14ac:dyDescent="0.15">
      <c r="A996" s="10" t="str">
        <f t="shared" si="260"/>
        <v>428_10_10_10_polygon</v>
      </c>
      <c r="B996" s="2">
        <v>428</v>
      </c>
      <c r="C996" s="30" t="str">
        <f>VLOOKUP(B996,gachas!A:C,3)</f>
        <v>フィーバーフェスティバル</v>
      </c>
      <c r="D996" s="21">
        <v>10</v>
      </c>
      <c r="E996" s="2">
        <v>10</v>
      </c>
      <c r="F996" s="2">
        <v>10</v>
      </c>
      <c r="G996" s="3" t="s">
        <v>22</v>
      </c>
      <c r="H996" s="2">
        <v>50</v>
      </c>
      <c r="I996" s="117">
        <v>428100</v>
      </c>
      <c r="J996" s="112">
        <v>428105</v>
      </c>
      <c r="K996" s="117">
        <v>428100</v>
      </c>
      <c r="L996" s="2">
        <v>1</v>
      </c>
      <c r="M996" s="2" t="s">
        <v>84</v>
      </c>
      <c r="N996" s="2" t="s">
        <v>84</v>
      </c>
      <c r="O996" s="2" t="s">
        <v>841</v>
      </c>
      <c r="P996" s="2" t="s">
        <v>1763</v>
      </c>
    </row>
    <row r="997" spans="1:16" ht="22" customHeight="1" x14ac:dyDescent="0.15">
      <c r="A997" s="10" t="str">
        <f t="shared" si="260"/>
        <v>428_10_11_10_polygon</v>
      </c>
      <c r="B997" s="2">
        <v>428</v>
      </c>
      <c r="C997" s="30" t="str">
        <f>VLOOKUP(B997,gachas!A:C,3)</f>
        <v>フィーバーフェスティバル</v>
      </c>
      <c r="D997" s="21">
        <v>10</v>
      </c>
      <c r="E997" s="2">
        <v>11</v>
      </c>
      <c r="F997" s="2">
        <v>10</v>
      </c>
      <c r="G997" s="3" t="s">
        <v>22</v>
      </c>
      <c r="H997" s="2">
        <v>50</v>
      </c>
      <c r="I997" s="117">
        <v>428100</v>
      </c>
      <c r="J997" s="112" t="s">
        <v>84</v>
      </c>
      <c r="K997" s="117">
        <v>428100</v>
      </c>
      <c r="L997" s="2">
        <v>1</v>
      </c>
      <c r="M997" s="2" t="s">
        <v>84</v>
      </c>
      <c r="N997" s="2" t="s">
        <v>84</v>
      </c>
      <c r="O997" s="2" t="s">
        <v>841</v>
      </c>
      <c r="P997" s="2" t="s">
        <v>1078</v>
      </c>
    </row>
    <row r="998" spans="1:16" ht="22" customHeight="1" x14ac:dyDescent="0.15">
      <c r="A998" s="10" t="str">
        <f t="shared" si="260"/>
        <v>428_10_12_10_polygon</v>
      </c>
      <c r="B998" s="2">
        <v>428</v>
      </c>
      <c r="C998" s="30" t="str">
        <f>VLOOKUP(B998,gachas!A:C,3)</f>
        <v>フィーバーフェスティバル</v>
      </c>
      <c r="D998" s="21">
        <v>10</v>
      </c>
      <c r="E998" s="2">
        <v>12</v>
      </c>
      <c r="F998" s="2">
        <v>10</v>
      </c>
      <c r="G998" s="3" t="s">
        <v>22</v>
      </c>
      <c r="H998" s="2">
        <v>50</v>
      </c>
      <c r="I998" s="117">
        <v>428100</v>
      </c>
      <c r="J998" s="112" t="s">
        <v>84</v>
      </c>
      <c r="K998" s="117">
        <v>428100</v>
      </c>
      <c r="L998" s="2">
        <v>1</v>
      </c>
      <c r="M998" s="2" t="s">
        <v>84</v>
      </c>
      <c r="N998" s="2" t="s">
        <v>84</v>
      </c>
      <c r="O998" s="2" t="s">
        <v>841</v>
      </c>
      <c r="P998" s="2" t="s">
        <v>1078</v>
      </c>
    </row>
    <row r="999" spans="1:16" ht="22" customHeight="1" x14ac:dyDescent="0.15">
      <c r="A999" s="10" t="str">
        <f t="shared" si="260"/>
        <v>428_10_13_10_polygon</v>
      </c>
      <c r="B999" s="2">
        <v>428</v>
      </c>
      <c r="C999" s="30" t="str">
        <f>VLOOKUP(B999,gachas!A:C,3)</f>
        <v>フィーバーフェスティバル</v>
      </c>
      <c r="D999" s="21">
        <v>10</v>
      </c>
      <c r="E999" s="2">
        <v>13</v>
      </c>
      <c r="F999" s="2">
        <v>10</v>
      </c>
      <c r="G999" s="3" t="s">
        <v>22</v>
      </c>
      <c r="H999" s="2">
        <v>50</v>
      </c>
      <c r="I999" s="117">
        <v>428100</v>
      </c>
      <c r="J999" s="112" t="s">
        <v>84</v>
      </c>
      <c r="K999" s="117">
        <v>428100</v>
      </c>
      <c r="L999" s="2">
        <v>1</v>
      </c>
      <c r="M999" s="2" t="s">
        <v>84</v>
      </c>
      <c r="N999" s="2" t="s">
        <v>84</v>
      </c>
      <c r="O999" s="2" t="s">
        <v>841</v>
      </c>
      <c r="P999" s="2" t="s">
        <v>1078</v>
      </c>
    </row>
    <row r="1000" spans="1:16" ht="22" customHeight="1" x14ac:dyDescent="0.15">
      <c r="A1000" s="10" t="str">
        <f t="shared" si="260"/>
        <v>428_10_14_10_polygon</v>
      </c>
      <c r="B1000" s="2">
        <v>428</v>
      </c>
      <c r="C1000" s="30" t="str">
        <f>VLOOKUP(B1000,gachas!A:C,3)</f>
        <v>フィーバーフェスティバル</v>
      </c>
      <c r="D1000" s="21">
        <v>10</v>
      </c>
      <c r="E1000" s="2">
        <v>14</v>
      </c>
      <c r="F1000" s="2">
        <v>10</v>
      </c>
      <c r="G1000" s="3" t="s">
        <v>22</v>
      </c>
      <c r="H1000" s="2">
        <v>50</v>
      </c>
      <c r="I1000" s="117">
        <v>428100</v>
      </c>
      <c r="J1000" s="112" t="s">
        <v>84</v>
      </c>
      <c r="K1000" s="117">
        <v>428100</v>
      </c>
      <c r="L1000" s="2">
        <v>1</v>
      </c>
      <c r="M1000" s="2" t="s">
        <v>84</v>
      </c>
      <c r="N1000" s="2" t="s">
        <v>84</v>
      </c>
      <c r="O1000" s="2" t="s">
        <v>841</v>
      </c>
      <c r="P1000" s="2" t="s">
        <v>1078</v>
      </c>
    </row>
    <row r="1001" spans="1:16" ht="22" customHeight="1" x14ac:dyDescent="0.15">
      <c r="A1001" s="10" t="str">
        <f t="shared" si="260"/>
        <v>428_10_15_10_polygon</v>
      </c>
      <c r="B1001" s="2">
        <v>428</v>
      </c>
      <c r="C1001" s="30" t="str">
        <f>VLOOKUP(B1001,gachas!A:C,3)</f>
        <v>フィーバーフェスティバル</v>
      </c>
      <c r="D1001" s="21">
        <v>10</v>
      </c>
      <c r="E1001" s="2">
        <v>15</v>
      </c>
      <c r="F1001" s="2">
        <v>10</v>
      </c>
      <c r="G1001" s="3" t="s">
        <v>22</v>
      </c>
      <c r="H1001" s="2">
        <v>50</v>
      </c>
      <c r="I1001" s="117">
        <v>428100</v>
      </c>
      <c r="J1001" s="112">
        <v>428105</v>
      </c>
      <c r="K1001" s="117">
        <v>428100</v>
      </c>
      <c r="L1001" s="2">
        <v>1</v>
      </c>
      <c r="M1001" s="2" t="s">
        <v>84</v>
      </c>
      <c r="N1001" s="2" t="s">
        <v>84</v>
      </c>
      <c r="O1001" s="2" t="s">
        <v>841</v>
      </c>
      <c r="P1001" s="2" t="s">
        <v>1763</v>
      </c>
    </row>
    <row r="1002" spans="1:16" ht="22" customHeight="1" x14ac:dyDescent="0.15">
      <c r="A1002" s="10" t="str">
        <f t="shared" si="260"/>
        <v>428_10_16_10_polygon</v>
      </c>
      <c r="B1002" s="2">
        <v>428</v>
      </c>
      <c r="C1002" s="30" t="str">
        <f>VLOOKUP(B1002,gachas!A:C,3)</f>
        <v>フィーバーフェスティバル</v>
      </c>
      <c r="D1002" s="21">
        <v>10</v>
      </c>
      <c r="E1002" s="2">
        <v>16</v>
      </c>
      <c r="F1002" s="2">
        <v>10</v>
      </c>
      <c r="G1002" s="3" t="s">
        <v>22</v>
      </c>
      <c r="H1002" s="2">
        <v>50</v>
      </c>
      <c r="I1002" s="117">
        <v>428100</v>
      </c>
      <c r="J1002" s="112" t="s">
        <v>84</v>
      </c>
      <c r="K1002" s="117">
        <v>428100</v>
      </c>
      <c r="L1002" s="2">
        <v>1</v>
      </c>
      <c r="M1002" s="2" t="s">
        <v>84</v>
      </c>
      <c r="N1002" s="2" t="s">
        <v>84</v>
      </c>
      <c r="O1002" s="2" t="s">
        <v>841</v>
      </c>
      <c r="P1002" s="2" t="s">
        <v>1078</v>
      </c>
    </row>
    <row r="1003" spans="1:16" ht="22" customHeight="1" x14ac:dyDescent="0.15">
      <c r="A1003" s="10" t="str">
        <f t="shared" si="260"/>
        <v>428_10_17_10_polygon</v>
      </c>
      <c r="B1003" s="2">
        <v>428</v>
      </c>
      <c r="C1003" s="30" t="str">
        <f>VLOOKUP(B1003,gachas!A:C,3)</f>
        <v>フィーバーフェスティバル</v>
      </c>
      <c r="D1003" s="21">
        <v>10</v>
      </c>
      <c r="E1003" s="2">
        <v>17</v>
      </c>
      <c r="F1003" s="2">
        <v>10</v>
      </c>
      <c r="G1003" s="3" t="s">
        <v>22</v>
      </c>
      <c r="H1003" s="2">
        <v>50</v>
      </c>
      <c r="I1003" s="117">
        <v>428100</v>
      </c>
      <c r="J1003" s="112" t="s">
        <v>84</v>
      </c>
      <c r="K1003" s="117">
        <v>428100</v>
      </c>
      <c r="L1003" s="2">
        <v>1</v>
      </c>
      <c r="M1003" s="2" t="s">
        <v>84</v>
      </c>
      <c r="N1003" s="2" t="s">
        <v>84</v>
      </c>
      <c r="O1003" s="2" t="s">
        <v>841</v>
      </c>
      <c r="P1003" s="2" t="s">
        <v>1078</v>
      </c>
    </row>
    <row r="1004" spans="1:16" ht="22" customHeight="1" x14ac:dyDescent="0.15">
      <c r="A1004" s="10" t="str">
        <f t="shared" si="260"/>
        <v>428_10_18_10_polygon</v>
      </c>
      <c r="B1004" s="2">
        <v>428</v>
      </c>
      <c r="C1004" s="30" t="str">
        <f>VLOOKUP(B1004,gachas!A:C,3)</f>
        <v>フィーバーフェスティバル</v>
      </c>
      <c r="D1004" s="21">
        <v>10</v>
      </c>
      <c r="E1004" s="2">
        <v>18</v>
      </c>
      <c r="F1004" s="2">
        <v>10</v>
      </c>
      <c r="G1004" s="3" t="s">
        <v>22</v>
      </c>
      <c r="H1004" s="2">
        <v>50</v>
      </c>
      <c r="I1004" s="117">
        <v>428100</v>
      </c>
      <c r="J1004" s="112" t="s">
        <v>84</v>
      </c>
      <c r="K1004" s="117">
        <v>428100</v>
      </c>
      <c r="L1004" s="2">
        <v>1</v>
      </c>
      <c r="M1004" s="2" t="s">
        <v>84</v>
      </c>
      <c r="N1004" s="2" t="s">
        <v>84</v>
      </c>
      <c r="O1004" s="2" t="s">
        <v>841</v>
      </c>
      <c r="P1004" s="2" t="s">
        <v>1078</v>
      </c>
    </row>
    <row r="1005" spans="1:16" ht="22" customHeight="1" x14ac:dyDescent="0.15">
      <c r="A1005" s="10" t="str">
        <f t="shared" si="260"/>
        <v>428_10_19_10_polygon</v>
      </c>
      <c r="B1005" s="2">
        <v>428</v>
      </c>
      <c r="C1005" s="30" t="str">
        <f>VLOOKUP(B1005,gachas!A:C,3)</f>
        <v>フィーバーフェスティバル</v>
      </c>
      <c r="D1005" s="21">
        <v>10</v>
      </c>
      <c r="E1005" s="2">
        <v>19</v>
      </c>
      <c r="F1005" s="2">
        <v>10</v>
      </c>
      <c r="G1005" s="3" t="s">
        <v>22</v>
      </c>
      <c r="H1005" s="2">
        <v>50</v>
      </c>
      <c r="I1005" s="117">
        <v>428100</v>
      </c>
      <c r="J1005" s="112" t="s">
        <v>84</v>
      </c>
      <c r="K1005" s="117">
        <v>428100</v>
      </c>
      <c r="L1005" s="2">
        <v>1</v>
      </c>
      <c r="M1005" s="2" t="s">
        <v>84</v>
      </c>
      <c r="N1005" s="2" t="s">
        <v>84</v>
      </c>
      <c r="O1005" s="2" t="s">
        <v>841</v>
      </c>
      <c r="P1005" s="2" t="s">
        <v>1078</v>
      </c>
    </row>
    <row r="1006" spans="1:16" ht="22" customHeight="1" x14ac:dyDescent="0.15">
      <c r="A1006" s="10" t="str">
        <f t="shared" si="260"/>
        <v>428_10_20_10_polygon</v>
      </c>
      <c r="B1006" s="2">
        <v>428</v>
      </c>
      <c r="C1006" s="30" t="str">
        <f>VLOOKUP(B1006,gachas!A:C,3)</f>
        <v>フィーバーフェスティバル</v>
      </c>
      <c r="D1006" s="21">
        <v>10</v>
      </c>
      <c r="E1006" s="2">
        <v>20</v>
      </c>
      <c r="F1006" s="2">
        <v>10</v>
      </c>
      <c r="G1006" s="3" t="s">
        <v>22</v>
      </c>
      <c r="H1006" s="2">
        <v>50</v>
      </c>
      <c r="I1006" s="117">
        <v>428100</v>
      </c>
      <c r="J1006" s="112">
        <v>428105</v>
      </c>
      <c r="K1006" s="117">
        <v>428100</v>
      </c>
      <c r="L1006" s="2">
        <v>1</v>
      </c>
      <c r="M1006" s="2" t="s">
        <v>84</v>
      </c>
      <c r="N1006" s="2" t="s">
        <v>84</v>
      </c>
      <c r="O1006" s="2" t="s">
        <v>841</v>
      </c>
      <c r="P1006" s="2" t="s">
        <v>1763</v>
      </c>
    </row>
    <row r="1007" spans="1:16" ht="22" customHeight="1" x14ac:dyDescent="0.15">
      <c r="A1007" s="10" t="str">
        <f t="shared" si="260"/>
        <v>428_10_21_10_polygon</v>
      </c>
      <c r="B1007" s="2">
        <v>428</v>
      </c>
      <c r="C1007" s="30" t="str">
        <f>VLOOKUP(B1007,gachas!A:C,3)</f>
        <v>フィーバーフェスティバル</v>
      </c>
      <c r="D1007" s="21">
        <v>10</v>
      </c>
      <c r="E1007" s="2">
        <v>21</v>
      </c>
      <c r="F1007" s="2">
        <v>10</v>
      </c>
      <c r="G1007" s="3" t="s">
        <v>22</v>
      </c>
      <c r="H1007" s="2">
        <v>50</v>
      </c>
      <c r="I1007" s="117">
        <v>428100</v>
      </c>
      <c r="J1007" s="112" t="s">
        <v>84</v>
      </c>
      <c r="K1007" s="117">
        <v>428100</v>
      </c>
      <c r="L1007" s="2">
        <v>1</v>
      </c>
      <c r="M1007" s="2" t="s">
        <v>84</v>
      </c>
      <c r="N1007" s="2" t="s">
        <v>84</v>
      </c>
      <c r="O1007" s="2" t="s">
        <v>841</v>
      </c>
      <c r="P1007" s="2" t="s">
        <v>1078</v>
      </c>
    </row>
    <row r="1008" spans="1:16" ht="22" customHeight="1" x14ac:dyDescent="0.15">
      <c r="A1008" s="10" t="str">
        <f t="shared" si="260"/>
        <v>428_10_22_10_polygon</v>
      </c>
      <c r="B1008" s="2">
        <v>428</v>
      </c>
      <c r="C1008" s="30" t="str">
        <f>VLOOKUP(B1008,gachas!A:C,3)</f>
        <v>フィーバーフェスティバル</v>
      </c>
      <c r="D1008" s="21">
        <v>10</v>
      </c>
      <c r="E1008" s="2">
        <v>22</v>
      </c>
      <c r="F1008" s="2">
        <v>10</v>
      </c>
      <c r="G1008" s="3" t="s">
        <v>22</v>
      </c>
      <c r="H1008" s="2">
        <v>50</v>
      </c>
      <c r="I1008" s="117">
        <v>428100</v>
      </c>
      <c r="J1008" s="112" t="s">
        <v>84</v>
      </c>
      <c r="K1008" s="117">
        <v>428100</v>
      </c>
      <c r="L1008" s="2">
        <v>1</v>
      </c>
      <c r="M1008" s="2" t="s">
        <v>84</v>
      </c>
      <c r="N1008" s="2" t="s">
        <v>84</v>
      </c>
      <c r="O1008" s="2" t="s">
        <v>841</v>
      </c>
      <c r="P1008" s="2" t="s">
        <v>1078</v>
      </c>
    </row>
    <row r="1009" spans="1:16" ht="22" customHeight="1" x14ac:dyDescent="0.15">
      <c r="A1009" s="10" t="str">
        <f t="shared" si="260"/>
        <v>428_10_23_10_polygon</v>
      </c>
      <c r="B1009" s="2">
        <v>428</v>
      </c>
      <c r="C1009" s="30" t="str">
        <f>VLOOKUP(B1009,gachas!A:C,3)</f>
        <v>フィーバーフェスティバル</v>
      </c>
      <c r="D1009" s="21">
        <v>10</v>
      </c>
      <c r="E1009" s="2">
        <v>23</v>
      </c>
      <c r="F1009" s="2">
        <v>10</v>
      </c>
      <c r="G1009" s="3" t="s">
        <v>22</v>
      </c>
      <c r="H1009" s="2">
        <v>50</v>
      </c>
      <c r="I1009" s="117">
        <v>428100</v>
      </c>
      <c r="J1009" s="112" t="s">
        <v>84</v>
      </c>
      <c r="K1009" s="117">
        <v>428100</v>
      </c>
      <c r="L1009" s="2">
        <v>1</v>
      </c>
      <c r="M1009" s="2" t="s">
        <v>84</v>
      </c>
      <c r="N1009" s="2" t="s">
        <v>84</v>
      </c>
      <c r="O1009" s="2" t="s">
        <v>841</v>
      </c>
      <c r="P1009" s="2" t="s">
        <v>1078</v>
      </c>
    </row>
    <row r="1010" spans="1:16" ht="22" customHeight="1" x14ac:dyDescent="0.15">
      <c r="A1010" s="10" t="str">
        <f t="shared" si="260"/>
        <v>428_10_24_10_polygon</v>
      </c>
      <c r="B1010" s="2">
        <v>428</v>
      </c>
      <c r="C1010" s="30" t="str">
        <f>VLOOKUP(B1010,gachas!A:C,3)</f>
        <v>フィーバーフェスティバル</v>
      </c>
      <c r="D1010" s="21">
        <v>10</v>
      </c>
      <c r="E1010" s="2">
        <v>24</v>
      </c>
      <c r="F1010" s="2">
        <v>10</v>
      </c>
      <c r="G1010" s="3" t="s">
        <v>22</v>
      </c>
      <c r="H1010" s="2">
        <v>50</v>
      </c>
      <c r="I1010" s="117">
        <v>428100</v>
      </c>
      <c r="J1010" s="112" t="s">
        <v>84</v>
      </c>
      <c r="K1010" s="117">
        <v>428100</v>
      </c>
      <c r="L1010" s="2">
        <v>1</v>
      </c>
      <c r="M1010" s="2" t="s">
        <v>84</v>
      </c>
      <c r="N1010" s="2" t="s">
        <v>84</v>
      </c>
      <c r="O1010" s="2" t="s">
        <v>841</v>
      </c>
      <c r="P1010" s="2" t="s">
        <v>1078</v>
      </c>
    </row>
    <row r="1011" spans="1:16" ht="22" customHeight="1" x14ac:dyDescent="0.15">
      <c r="A1011" s="10" t="str">
        <f t="shared" si="260"/>
        <v>428_10_25_10_polygon</v>
      </c>
      <c r="B1011" s="2">
        <v>428</v>
      </c>
      <c r="C1011" s="30" t="str">
        <f>VLOOKUP(B1011,gachas!A:C,3)</f>
        <v>フィーバーフェスティバル</v>
      </c>
      <c r="D1011" s="21">
        <v>10</v>
      </c>
      <c r="E1011" s="2">
        <v>25</v>
      </c>
      <c r="F1011" s="2">
        <v>10</v>
      </c>
      <c r="G1011" s="3" t="s">
        <v>22</v>
      </c>
      <c r="H1011" s="2">
        <v>50</v>
      </c>
      <c r="I1011" s="117">
        <v>428100</v>
      </c>
      <c r="J1011" s="112">
        <v>428105</v>
      </c>
      <c r="K1011" s="117">
        <v>428100</v>
      </c>
      <c r="L1011" s="2">
        <v>1</v>
      </c>
      <c r="M1011" s="2" t="s">
        <v>84</v>
      </c>
      <c r="N1011" s="2" t="s">
        <v>84</v>
      </c>
      <c r="O1011" s="2" t="s">
        <v>841</v>
      </c>
      <c r="P1011" s="2" t="s">
        <v>1763</v>
      </c>
    </row>
    <row r="1012" spans="1:16" ht="22" customHeight="1" x14ac:dyDescent="0.15">
      <c r="A1012" s="10" t="str">
        <f t="shared" si="260"/>
        <v>428_10_26_10_polygon</v>
      </c>
      <c r="B1012" s="2">
        <v>428</v>
      </c>
      <c r="C1012" s="30" t="str">
        <f>VLOOKUP(B1012,gachas!A:C,3)</f>
        <v>フィーバーフェスティバル</v>
      </c>
      <c r="D1012" s="21">
        <v>10</v>
      </c>
      <c r="E1012" s="2">
        <v>26</v>
      </c>
      <c r="F1012" s="2">
        <v>10</v>
      </c>
      <c r="G1012" s="3" t="s">
        <v>22</v>
      </c>
      <c r="H1012" s="2">
        <v>50</v>
      </c>
      <c r="I1012" s="117">
        <v>428100</v>
      </c>
      <c r="J1012" s="112" t="s">
        <v>84</v>
      </c>
      <c r="K1012" s="117">
        <v>428100</v>
      </c>
      <c r="L1012" s="2">
        <v>1</v>
      </c>
      <c r="M1012" s="2" t="s">
        <v>84</v>
      </c>
      <c r="N1012" s="2" t="s">
        <v>84</v>
      </c>
      <c r="O1012" s="2" t="s">
        <v>841</v>
      </c>
      <c r="P1012" s="2" t="s">
        <v>1078</v>
      </c>
    </row>
    <row r="1013" spans="1:16" ht="22" customHeight="1" x14ac:dyDescent="0.15">
      <c r="A1013" s="10" t="str">
        <f t="shared" si="260"/>
        <v>428_10_27_10_polygon</v>
      </c>
      <c r="B1013" s="2">
        <v>428</v>
      </c>
      <c r="C1013" s="30" t="str">
        <f>VLOOKUP(B1013,gachas!A:C,3)</f>
        <v>フィーバーフェスティバル</v>
      </c>
      <c r="D1013" s="21">
        <v>10</v>
      </c>
      <c r="E1013" s="2">
        <v>27</v>
      </c>
      <c r="F1013" s="2">
        <v>10</v>
      </c>
      <c r="G1013" s="3" t="s">
        <v>22</v>
      </c>
      <c r="H1013" s="2">
        <v>50</v>
      </c>
      <c r="I1013" s="117">
        <v>428100</v>
      </c>
      <c r="J1013" s="112" t="s">
        <v>84</v>
      </c>
      <c r="K1013" s="117">
        <v>428100</v>
      </c>
      <c r="L1013" s="2">
        <v>1</v>
      </c>
      <c r="M1013" s="2" t="s">
        <v>84</v>
      </c>
      <c r="N1013" s="2" t="s">
        <v>84</v>
      </c>
      <c r="O1013" s="2" t="s">
        <v>841</v>
      </c>
      <c r="P1013" s="2" t="s">
        <v>1078</v>
      </c>
    </row>
    <row r="1014" spans="1:16" ht="22" customHeight="1" x14ac:dyDescent="0.15">
      <c r="A1014" s="10" t="str">
        <f t="shared" si="260"/>
        <v>428_10_28_10_polygon</v>
      </c>
      <c r="B1014" s="2">
        <v>428</v>
      </c>
      <c r="C1014" s="30" t="str">
        <f>VLOOKUP(B1014,gachas!A:C,3)</f>
        <v>フィーバーフェスティバル</v>
      </c>
      <c r="D1014" s="21">
        <v>10</v>
      </c>
      <c r="E1014" s="2">
        <v>28</v>
      </c>
      <c r="F1014" s="2">
        <v>10</v>
      </c>
      <c r="G1014" s="3" t="s">
        <v>22</v>
      </c>
      <c r="H1014" s="2">
        <v>50</v>
      </c>
      <c r="I1014" s="117">
        <v>428100</v>
      </c>
      <c r="J1014" s="112" t="s">
        <v>84</v>
      </c>
      <c r="K1014" s="117">
        <v>428100</v>
      </c>
      <c r="L1014" s="2">
        <v>1</v>
      </c>
      <c r="M1014" s="2" t="s">
        <v>84</v>
      </c>
      <c r="N1014" s="2" t="s">
        <v>84</v>
      </c>
      <c r="O1014" s="2" t="s">
        <v>841</v>
      </c>
      <c r="P1014" s="2" t="s">
        <v>1078</v>
      </c>
    </row>
    <row r="1015" spans="1:16" ht="22" customHeight="1" x14ac:dyDescent="0.15">
      <c r="A1015" s="10" t="str">
        <f t="shared" si="260"/>
        <v>428_10_29_10_polygon</v>
      </c>
      <c r="B1015" s="2">
        <v>428</v>
      </c>
      <c r="C1015" s="30" t="str">
        <f>VLOOKUP(B1015,gachas!A:C,3)</f>
        <v>フィーバーフェスティバル</v>
      </c>
      <c r="D1015" s="21">
        <v>10</v>
      </c>
      <c r="E1015" s="2">
        <v>29</v>
      </c>
      <c r="F1015" s="2">
        <v>10</v>
      </c>
      <c r="G1015" s="3" t="s">
        <v>22</v>
      </c>
      <c r="H1015" s="2">
        <v>50</v>
      </c>
      <c r="I1015" s="117">
        <v>428100</v>
      </c>
      <c r="J1015" s="112" t="s">
        <v>84</v>
      </c>
      <c r="K1015" s="117">
        <v>428100</v>
      </c>
      <c r="L1015" s="2">
        <v>1</v>
      </c>
      <c r="M1015" s="2" t="s">
        <v>84</v>
      </c>
      <c r="N1015" s="2" t="s">
        <v>84</v>
      </c>
      <c r="O1015" s="2" t="s">
        <v>841</v>
      </c>
      <c r="P1015" s="2" t="s">
        <v>1078</v>
      </c>
    </row>
    <row r="1016" spans="1:16" ht="22" customHeight="1" x14ac:dyDescent="0.15">
      <c r="A1016" s="10" t="str">
        <f t="shared" si="260"/>
        <v>428_10_30_10_polygon</v>
      </c>
      <c r="B1016" s="2">
        <v>428</v>
      </c>
      <c r="C1016" s="30" t="str">
        <f>VLOOKUP(B1016,gachas!A:C,3)</f>
        <v>フィーバーフェスティバル</v>
      </c>
      <c r="D1016" s="21">
        <v>10</v>
      </c>
      <c r="E1016" s="2">
        <v>30</v>
      </c>
      <c r="F1016" s="2">
        <v>10</v>
      </c>
      <c r="G1016" s="3" t="s">
        <v>22</v>
      </c>
      <c r="H1016" s="2">
        <v>50</v>
      </c>
      <c r="I1016" s="117">
        <v>428100</v>
      </c>
      <c r="J1016" s="112">
        <v>428105</v>
      </c>
      <c r="K1016" s="117">
        <v>428100</v>
      </c>
      <c r="L1016" s="2">
        <v>1</v>
      </c>
      <c r="M1016" s="2" t="s">
        <v>84</v>
      </c>
      <c r="N1016" s="2" t="s">
        <v>84</v>
      </c>
      <c r="O1016" s="2" t="s">
        <v>841</v>
      </c>
      <c r="P1016" s="2" t="s">
        <v>1763</v>
      </c>
    </row>
    <row r="1017" spans="1:16" ht="22" customHeight="1" x14ac:dyDescent="0.15">
      <c r="A1017" s="10" t="str">
        <f t="shared" si="260"/>
        <v>428_10_31_10_polygon</v>
      </c>
      <c r="B1017" s="2">
        <v>428</v>
      </c>
      <c r="C1017" s="30" t="str">
        <f>VLOOKUP(B1017,gachas!A:C,3)</f>
        <v>フィーバーフェスティバル</v>
      </c>
      <c r="D1017" s="21">
        <v>10</v>
      </c>
      <c r="E1017" s="2">
        <v>31</v>
      </c>
      <c r="F1017" s="2">
        <v>10</v>
      </c>
      <c r="G1017" s="3" t="s">
        <v>22</v>
      </c>
      <c r="H1017" s="2">
        <v>50</v>
      </c>
      <c r="I1017" s="117">
        <v>428100</v>
      </c>
      <c r="J1017" s="112" t="s">
        <v>84</v>
      </c>
      <c r="K1017" s="117">
        <v>428100</v>
      </c>
      <c r="L1017" s="2">
        <v>1</v>
      </c>
      <c r="M1017" s="2" t="s">
        <v>84</v>
      </c>
      <c r="N1017" s="2" t="s">
        <v>84</v>
      </c>
      <c r="O1017" s="2" t="s">
        <v>841</v>
      </c>
      <c r="P1017" s="2" t="s">
        <v>1078</v>
      </c>
    </row>
    <row r="1018" spans="1:16" ht="22" customHeight="1" x14ac:dyDescent="0.15">
      <c r="A1018" s="10" t="str">
        <f t="shared" si="260"/>
        <v>428_10_32_10_polygon</v>
      </c>
      <c r="B1018" s="2">
        <v>428</v>
      </c>
      <c r="C1018" s="30" t="str">
        <f>VLOOKUP(B1018,gachas!A:C,3)</f>
        <v>フィーバーフェスティバル</v>
      </c>
      <c r="D1018" s="21">
        <v>10</v>
      </c>
      <c r="E1018" s="2">
        <v>32</v>
      </c>
      <c r="F1018" s="2">
        <v>10</v>
      </c>
      <c r="G1018" s="3" t="s">
        <v>22</v>
      </c>
      <c r="H1018" s="2">
        <v>50</v>
      </c>
      <c r="I1018" s="117">
        <v>428100</v>
      </c>
      <c r="J1018" s="112" t="s">
        <v>84</v>
      </c>
      <c r="K1018" s="117">
        <v>428100</v>
      </c>
      <c r="L1018" s="2">
        <v>1</v>
      </c>
      <c r="M1018" s="2" t="s">
        <v>84</v>
      </c>
      <c r="N1018" s="2" t="s">
        <v>84</v>
      </c>
      <c r="O1018" s="2" t="s">
        <v>841</v>
      </c>
      <c r="P1018" s="2" t="s">
        <v>1078</v>
      </c>
    </row>
    <row r="1019" spans="1:16" ht="22" customHeight="1" x14ac:dyDescent="0.15">
      <c r="A1019" s="10" t="str">
        <f t="shared" si="260"/>
        <v>428_10_33_10_polygon</v>
      </c>
      <c r="B1019" s="2">
        <v>428</v>
      </c>
      <c r="C1019" s="30" t="str">
        <f>VLOOKUP(B1019,gachas!A:C,3)</f>
        <v>フィーバーフェスティバル</v>
      </c>
      <c r="D1019" s="21">
        <v>10</v>
      </c>
      <c r="E1019" s="2">
        <v>33</v>
      </c>
      <c r="F1019" s="2">
        <v>10</v>
      </c>
      <c r="G1019" s="3" t="s">
        <v>22</v>
      </c>
      <c r="H1019" s="2">
        <v>50</v>
      </c>
      <c r="I1019" s="117">
        <v>428100</v>
      </c>
      <c r="J1019" s="112" t="s">
        <v>84</v>
      </c>
      <c r="K1019" s="117">
        <v>428100</v>
      </c>
      <c r="L1019" s="2">
        <v>1</v>
      </c>
      <c r="M1019" s="2" t="s">
        <v>84</v>
      </c>
      <c r="N1019" s="2" t="s">
        <v>84</v>
      </c>
      <c r="O1019" s="2" t="s">
        <v>841</v>
      </c>
      <c r="P1019" s="2" t="s">
        <v>1078</v>
      </c>
    </row>
    <row r="1020" spans="1:16" ht="22" customHeight="1" x14ac:dyDescent="0.15">
      <c r="A1020" s="10" t="str">
        <f t="shared" si="260"/>
        <v>428_10_34_10_polygon</v>
      </c>
      <c r="B1020" s="2">
        <v>428</v>
      </c>
      <c r="C1020" s="30" t="str">
        <f>VLOOKUP(B1020,gachas!A:C,3)</f>
        <v>フィーバーフェスティバル</v>
      </c>
      <c r="D1020" s="21">
        <v>10</v>
      </c>
      <c r="E1020" s="2">
        <v>34</v>
      </c>
      <c r="F1020" s="2">
        <v>10</v>
      </c>
      <c r="G1020" s="3" t="s">
        <v>22</v>
      </c>
      <c r="H1020" s="2">
        <v>50</v>
      </c>
      <c r="I1020" s="117">
        <v>428100</v>
      </c>
      <c r="J1020" s="112" t="s">
        <v>84</v>
      </c>
      <c r="K1020" s="117">
        <v>428100</v>
      </c>
      <c r="L1020" s="2">
        <v>1</v>
      </c>
      <c r="M1020" s="2" t="s">
        <v>84</v>
      </c>
      <c r="N1020" s="2" t="s">
        <v>84</v>
      </c>
      <c r="O1020" s="2" t="s">
        <v>841</v>
      </c>
      <c r="P1020" s="2" t="s">
        <v>1078</v>
      </c>
    </row>
    <row r="1021" spans="1:16" ht="22" customHeight="1" x14ac:dyDescent="0.15">
      <c r="A1021" s="10" t="str">
        <f t="shared" si="260"/>
        <v>428_10_35_10_polygon</v>
      </c>
      <c r="B1021" s="2">
        <v>428</v>
      </c>
      <c r="C1021" s="30" t="str">
        <f>VLOOKUP(B1021,gachas!A:C,3)</f>
        <v>フィーバーフェスティバル</v>
      </c>
      <c r="D1021" s="21">
        <v>10</v>
      </c>
      <c r="E1021" s="2">
        <v>35</v>
      </c>
      <c r="F1021" s="2">
        <v>10</v>
      </c>
      <c r="G1021" s="3" t="s">
        <v>22</v>
      </c>
      <c r="H1021" s="2">
        <v>50</v>
      </c>
      <c r="I1021" s="117">
        <v>428100</v>
      </c>
      <c r="J1021" s="112">
        <v>428105</v>
      </c>
      <c r="K1021" s="117">
        <v>428100</v>
      </c>
      <c r="L1021" s="2">
        <v>1</v>
      </c>
      <c r="M1021" s="2" t="s">
        <v>84</v>
      </c>
      <c r="N1021" s="2" t="s">
        <v>84</v>
      </c>
      <c r="O1021" s="2" t="s">
        <v>841</v>
      </c>
      <c r="P1021" s="2" t="s">
        <v>1763</v>
      </c>
    </row>
    <row r="1022" spans="1:16" ht="22" customHeight="1" x14ac:dyDescent="0.15">
      <c r="A1022" s="10" t="str">
        <f t="shared" si="260"/>
        <v>428_10_36_10_polygon</v>
      </c>
      <c r="B1022" s="2">
        <v>428</v>
      </c>
      <c r="C1022" s="30" t="str">
        <f>VLOOKUP(B1022,gachas!A:C,3)</f>
        <v>フィーバーフェスティバル</v>
      </c>
      <c r="D1022" s="21">
        <v>10</v>
      </c>
      <c r="E1022" s="2">
        <v>36</v>
      </c>
      <c r="F1022" s="2">
        <v>10</v>
      </c>
      <c r="G1022" s="3" t="s">
        <v>22</v>
      </c>
      <c r="H1022" s="2">
        <v>50</v>
      </c>
      <c r="I1022" s="117">
        <v>428100</v>
      </c>
      <c r="J1022" s="112" t="s">
        <v>84</v>
      </c>
      <c r="K1022" s="117">
        <v>428100</v>
      </c>
      <c r="L1022" s="2">
        <v>1</v>
      </c>
      <c r="M1022" s="2" t="s">
        <v>84</v>
      </c>
      <c r="N1022" s="2" t="s">
        <v>84</v>
      </c>
      <c r="O1022" s="2" t="s">
        <v>841</v>
      </c>
      <c r="P1022" s="2" t="s">
        <v>1078</v>
      </c>
    </row>
    <row r="1023" spans="1:16" ht="22" customHeight="1" x14ac:dyDescent="0.15">
      <c r="A1023" s="10" t="str">
        <f t="shared" si="260"/>
        <v>428_10_37_10_polygon</v>
      </c>
      <c r="B1023" s="2">
        <v>428</v>
      </c>
      <c r="C1023" s="30" t="str">
        <f>VLOOKUP(B1023,gachas!A:C,3)</f>
        <v>フィーバーフェスティバル</v>
      </c>
      <c r="D1023" s="21">
        <v>10</v>
      </c>
      <c r="E1023" s="2">
        <v>37</v>
      </c>
      <c r="F1023" s="2">
        <v>10</v>
      </c>
      <c r="G1023" s="3" t="s">
        <v>22</v>
      </c>
      <c r="H1023" s="2">
        <v>50</v>
      </c>
      <c r="I1023" s="117">
        <v>428100</v>
      </c>
      <c r="J1023" s="112" t="s">
        <v>84</v>
      </c>
      <c r="K1023" s="117">
        <v>428100</v>
      </c>
      <c r="L1023" s="2">
        <v>1</v>
      </c>
      <c r="M1023" s="2" t="s">
        <v>84</v>
      </c>
      <c r="N1023" s="2" t="s">
        <v>84</v>
      </c>
      <c r="O1023" s="2" t="s">
        <v>841</v>
      </c>
      <c r="P1023" s="2" t="s">
        <v>1078</v>
      </c>
    </row>
    <row r="1024" spans="1:16" ht="22" customHeight="1" x14ac:dyDescent="0.15">
      <c r="A1024" s="10" t="str">
        <f t="shared" ref="A1024:A1036" si="261">B1024&amp;"_"&amp;D1024&amp;"_"&amp;E1024&amp;"_"&amp;F1024&amp;"_"&amp;G1024</f>
        <v>428_10_38_10_polygon</v>
      </c>
      <c r="B1024" s="2">
        <v>428</v>
      </c>
      <c r="C1024" s="30" t="str">
        <f>VLOOKUP(B1024,gachas!A:C,3)</f>
        <v>フィーバーフェスティバル</v>
      </c>
      <c r="D1024" s="21">
        <v>10</v>
      </c>
      <c r="E1024" s="2">
        <v>38</v>
      </c>
      <c r="F1024" s="2">
        <v>10</v>
      </c>
      <c r="G1024" s="3" t="s">
        <v>22</v>
      </c>
      <c r="H1024" s="2">
        <v>50</v>
      </c>
      <c r="I1024" s="117">
        <v>428100</v>
      </c>
      <c r="J1024" s="112" t="s">
        <v>84</v>
      </c>
      <c r="K1024" s="117">
        <v>428100</v>
      </c>
      <c r="L1024" s="2">
        <v>1</v>
      </c>
      <c r="M1024" s="2" t="s">
        <v>84</v>
      </c>
      <c r="N1024" s="2" t="s">
        <v>84</v>
      </c>
      <c r="O1024" s="2" t="s">
        <v>841</v>
      </c>
      <c r="P1024" s="2" t="s">
        <v>1078</v>
      </c>
    </row>
    <row r="1025" spans="1:16" ht="22" customHeight="1" x14ac:dyDescent="0.15">
      <c r="A1025" s="10" t="str">
        <f t="shared" si="261"/>
        <v>428_10_39_10_polygon</v>
      </c>
      <c r="B1025" s="2">
        <v>428</v>
      </c>
      <c r="C1025" s="30" t="str">
        <f>VLOOKUP(B1025,gachas!A:C,3)</f>
        <v>フィーバーフェスティバル</v>
      </c>
      <c r="D1025" s="21">
        <v>10</v>
      </c>
      <c r="E1025" s="2">
        <v>39</v>
      </c>
      <c r="F1025" s="2">
        <v>10</v>
      </c>
      <c r="G1025" s="3" t="s">
        <v>22</v>
      </c>
      <c r="H1025" s="2">
        <v>50</v>
      </c>
      <c r="I1025" s="117">
        <v>428100</v>
      </c>
      <c r="J1025" s="112" t="s">
        <v>84</v>
      </c>
      <c r="K1025" s="117">
        <v>428100</v>
      </c>
      <c r="L1025" s="2">
        <v>1</v>
      </c>
      <c r="M1025" s="2" t="s">
        <v>84</v>
      </c>
      <c r="N1025" s="2" t="s">
        <v>84</v>
      </c>
      <c r="O1025" s="2" t="s">
        <v>841</v>
      </c>
      <c r="P1025" s="2" t="s">
        <v>1078</v>
      </c>
    </row>
    <row r="1026" spans="1:16" ht="22" customHeight="1" x14ac:dyDescent="0.15">
      <c r="A1026" s="10" t="str">
        <f t="shared" si="261"/>
        <v>428_10_40_10_polygon</v>
      </c>
      <c r="B1026" s="2">
        <v>428</v>
      </c>
      <c r="C1026" s="30" t="str">
        <f>VLOOKUP(B1026,gachas!A:C,3)</f>
        <v>フィーバーフェスティバル</v>
      </c>
      <c r="D1026" s="21">
        <v>10</v>
      </c>
      <c r="E1026" s="2">
        <v>40</v>
      </c>
      <c r="F1026" s="2">
        <v>10</v>
      </c>
      <c r="G1026" s="3" t="s">
        <v>22</v>
      </c>
      <c r="H1026" s="2">
        <v>50</v>
      </c>
      <c r="I1026" s="117">
        <v>428100</v>
      </c>
      <c r="J1026" s="112">
        <v>428105</v>
      </c>
      <c r="K1026" s="117">
        <v>428100</v>
      </c>
      <c r="L1026" s="2">
        <v>1</v>
      </c>
      <c r="M1026" s="2" t="s">
        <v>84</v>
      </c>
      <c r="N1026" s="2" t="s">
        <v>84</v>
      </c>
      <c r="O1026" s="2" t="s">
        <v>841</v>
      </c>
      <c r="P1026" s="2" t="s">
        <v>1763</v>
      </c>
    </row>
    <row r="1027" spans="1:16" ht="22" customHeight="1" x14ac:dyDescent="0.15">
      <c r="A1027" s="10" t="str">
        <f t="shared" si="261"/>
        <v>428_10_41_10_polygon</v>
      </c>
      <c r="B1027" s="2">
        <v>428</v>
      </c>
      <c r="C1027" s="30" t="str">
        <f>VLOOKUP(B1027,gachas!A:C,3)</f>
        <v>フィーバーフェスティバル</v>
      </c>
      <c r="D1027" s="21">
        <v>10</v>
      </c>
      <c r="E1027" s="2">
        <v>41</v>
      </c>
      <c r="F1027" s="2">
        <v>10</v>
      </c>
      <c r="G1027" s="3" t="s">
        <v>22</v>
      </c>
      <c r="H1027" s="2">
        <v>50</v>
      </c>
      <c r="I1027" s="117">
        <v>428100</v>
      </c>
      <c r="J1027" s="112" t="s">
        <v>84</v>
      </c>
      <c r="K1027" s="117">
        <v>428100</v>
      </c>
      <c r="L1027" s="2">
        <v>1</v>
      </c>
      <c r="M1027" s="2" t="s">
        <v>84</v>
      </c>
      <c r="N1027" s="2" t="s">
        <v>84</v>
      </c>
      <c r="O1027" s="2" t="s">
        <v>841</v>
      </c>
      <c r="P1027" s="2" t="s">
        <v>1078</v>
      </c>
    </row>
    <row r="1028" spans="1:16" ht="22" customHeight="1" x14ac:dyDescent="0.15">
      <c r="A1028" s="10" t="str">
        <f t="shared" si="261"/>
        <v>428_10_42_10_polygon</v>
      </c>
      <c r="B1028" s="2">
        <v>428</v>
      </c>
      <c r="C1028" s="30" t="str">
        <f>VLOOKUP(B1028,gachas!A:C,3)</f>
        <v>フィーバーフェスティバル</v>
      </c>
      <c r="D1028" s="21">
        <v>10</v>
      </c>
      <c r="E1028" s="2">
        <v>42</v>
      </c>
      <c r="F1028" s="2">
        <v>10</v>
      </c>
      <c r="G1028" s="3" t="s">
        <v>22</v>
      </c>
      <c r="H1028" s="2">
        <v>50</v>
      </c>
      <c r="I1028" s="117">
        <v>428100</v>
      </c>
      <c r="J1028" s="112" t="s">
        <v>84</v>
      </c>
      <c r="K1028" s="117">
        <v>428100</v>
      </c>
      <c r="L1028" s="2">
        <v>1</v>
      </c>
      <c r="M1028" s="2" t="s">
        <v>84</v>
      </c>
      <c r="N1028" s="2" t="s">
        <v>84</v>
      </c>
      <c r="O1028" s="2" t="s">
        <v>841</v>
      </c>
      <c r="P1028" s="2" t="s">
        <v>1078</v>
      </c>
    </row>
    <row r="1029" spans="1:16" ht="22" customHeight="1" x14ac:dyDescent="0.15">
      <c r="A1029" s="10" t="str">
        <f t="shared" si="261"/>
        <v>428_10_43_10_polygon</v>
      </c>
      <c r="B1029" s="2">
        <v>428</v>
      </c>
      <c r="C1029" s="30" t="str">
        <f>VLOOKUP(B1029,gachas!A:C,3)</f>
        <v>フィーバーフェスティバル</v>
      </c>
      <c r="D1029" s="21">
        <v>10</v>
      </c>
      <c r="E1029" s="2">
        <v>43</v>
      </c>
      <c r="F1029" s="2">
        <v>10</v>
      </c>
      <c r="G1029" s="3" t="s">
        <v>22</v>
      </c>
      <c r="H1029" s="2">
        <v>50</v>
      </c>
      <c r="I1029" s="117">
        <v>428100</v>
      </c>
      <c r="J1029" s="112" t="s">
        <v>84</v>
      </c>
      <c r="K1029" s="117">
        <v>428100</v>
      </c>
      <c r="L1029" s="2">
        <v>1</v>
      </c>
      <c r="M1029" s="2" t="s">
        <v>84</v>
      </c>
      <c r="N1029" s="2" t="s">
        <v>84</v>
      </c>
      <c r="O1029" s="2" t="s">
        <v>841</v>
      </c>
      <c r="P1029" s="2" t="s">
        <v>1078</v>
      </c>
    </row>
    <row r="1030" spans="1:16" ht="22" customHeight="1" x14ac:dyDescent="0.15">
      <c r="A1030" s="10" t="str">
        <f t="shared" si="261"/>
        <v>428_10_44_10_polygon</v>
      </c>
      <c r="B1030" s="2">
        <v>428</v>
      </c>
      <c r="C1030" s="30" t="str">
        <f>VLOOKUP(B1030,gachas!A:C,3)</f>
        <v>フィーバーフェスティバル</v>
      </c>
      <c r="D1030" s="21">
        <v>10</v>
      </c>
      <c r="E1030" s="2">
        <v>44</v>
      </c>
      <c r="F1030" s="2">
        <v>10</v>
      </c>
      <c r="G1030" s="3" t="s">
        <v>22</v>
      </c>
      <c r="H1030" s="2">
        <v>50</v>
      </c>
      <c r="I1030" s="117">
        <v>428100</v>
      </c>
      <c r="J1030" s="112" t="s">
        <v>84</v>
      </c>
      <c r="K1030" s="117">
        <v>428100</v>
      </c>
      <c r="L1030" s="2">
        <v>1</v>
      </c>
      <c r="M1030" s="2" t="s">
        <v>84</v>
      </c>
      <c r="N1030" s="2" t="s">
        <v>84</v>
      </c>
      <c r="O1030" s="2" t="s">
        <v>841</v>
      </c>
      <c r="P1030" s="2" t="s">
        <v>1078</v>
      </c>
    </row>
    <row r="1031" spans="1:16" ht="22" customHeight="1" x14ac:dyDescent="0.15">
      <c r="A1031" s="10" t="str">
        <f t="shared" si="261"/>
        <v>428_10_45_10_polygon</v>
      </c>
      <c r="B1031" s="2">
        <v>428</v>
      </c>
      <c r="C1031" s="30" t="str">
        <f>VLOOKUP(B1031,gachas!A:C,3)</f>
        <v>フィーバーフェスティバル</v>
      </c>
      <c r="D1031" s="21">
        <v>10</v>
      </c>
      <c r="E1031" s="2">
        <v>45</v>
      </c>
      <c r="F1031" s="2">
        <v>10</v>
      </c>
      <c r="G1031" s="3" t="s">
        <v>22</v>
      </c>
      <c r="H1031" s="2">
        <v>50</v>
      </c>
      <c r="I1031" s="117">
        <v>428100</v>
      </c>
      <c r="J1031" s="112">
        <v>428105</v>
      </c>
      <c r="K1031" s="117">
        <v>428100</v>
      </c>
      <c r="L1031" s="2">
        <v>1</v>
      </c>
      <c r="M1031" s="2" t="s">
        <v>84</v>
      </c>
      <c r="N1031" s="2" t="s">
        <v>84</v>
      </c>
      <c r="O1031" s="2" t="s">
        <v>841</v>
      </c>
      <c r="P1031" s="2" t="s">
        <v>1763</v>
      </c>
    </row>
    <row r="1032" spans="1:16" ht="22" customHeight="1" x14ac:dyDescent="0.15">
      <c r="A1032" s="10" t="str">
        <f t="shared" si="261"/>
        <v>428_10_46_10_polygon</v>
      </c>
      <c r="B1032" s="2">
        <v>428</v>
      </c>
      <c r="C1032" s="30" t="str">
        <f>VLOOKUP(B1032,gachas!A:C,3)</f>
        <v>フィーバーフェスティバル</v>
      </c>
      <c r="D1032" s="21">
        <v>10</v>
      </c>
      <c r="E1032" s="2">
        <v>46</v>
      </c>
      <c r="F1032" s="2">
        <v>10</v>
      </c>
      <c r="G1032" s="3" t="s">
        <v>22</v>
      </c>
      <c r="H1032" s="2">
        <v>50</v>
      </c>
      <c r="I1032" s="117">
        <v>428100</v>
      </c>
      <c r="J1032" s="112" t="s">
        <v>84</v>
      </c>
      <c r="K1032" s="117">
        <v>428100</v>
      </c>
      <c r="L1032" s="2">
        <v>1</v>
      </c>
      <c r="M1032" s="2" t="s">
        <v>84</v>
      </c>
      <c r="N1032" s="2" t="s">
        <v>84</v>
      </c>
      <c r="O1032" s="2" t="s">
        <v>841</v>
      </c>
      <c r="P1032" s="2" t="s">
        <v>1078</v>
      </c>
    </row>
    <row r="1033" spans="1:16" ht="22" customHeight="1" x14ac:dyDescent="0.15">
      <c r="A1033" s="10" t="str">
        <f t="shared" si="261"/>
        <v>428_10_47_10_polygon</v>
      </c>
      <c r="B1033" s="2">
        <v>428</v>
      </c>
      <c r="C1033" s="30" t="str">
        <f>VLOOKUP(B1033,gachas!A:C,3)</f>
        <v>フィーバーフェスティバル</v>
      </c>
      <c r="D1033" s="21">
        <v>10</v>
      </c>
      <c r="E1033" s="2">
        <v>47</v>
      </c>
      <c r="F1033" s="2">
        <v>10</v>
      </c>
      <c r="G1033" s="3" t="s">
        <v>22</v>
      </c>
      <c r="H1033" s="2">
        <v>50</v>
      </c>
      <c r="I1033" s="117">
        <v>428100</v>
      </c>
      <c r="J1033" s="112" t="s">
        <v>84</v>
      </c>
      <c r="K1033" s="117">
        <v>428100</v>
      </c>
      <c r="L1033" s="2">
        <v>1</v>
      </c>
      <c r="M1033" s="2" t="s">
        <v>84</v>
      </c>
      <c r="N1033" s="2" t="s">
        <v>84</v>
      </c>
      <c r="O1033" s="2" t="s">
        <v>841</v>
      </c>
      <c r="P1033" s="2" t="s">
        <v>1078</v>
      </c>
    </row>
    <row r="1034" spans="1:16" ht="22" customHeight="1" x14ac:dyDescent="0.15">
      <c r="A1034" s="10" t="str">
        <f t="shared" si="261"/>
        <v>428_10_48_10_polygon</v>
      </c>
      <c r="B1034" s="2">
        <v>428</v>
      </c>
      <c r="C1034" s="30" t="str">
        <f>VLOOKUP(B1034,gachas!A:C,3)</f>
        <v>フィーバーフェスティバル</v>
      </c>
      <c r="D1034" s="21">
        <v>10</v>
      </c>
      <c r="E1034" s="2">
        <v>48</v>
      </c>
      <c r="F1034" s="2">
        <v>10</v>
      </c>
      <c r="G1034" s="3" t="s">
        <v>22</v>
      </c>
      <c r="H1034" s="2">
        <v>50</v>
      </c>
      <c r="I1034" s="117">
        <v>428100</v>
      </c>
      <c r="J1034" s="112" t="s">
        <v>84</v>
      </c>
      <c r="K1034" s="117">
        <v>428100</v>
      </c>
      <c r="L1034" s="2">
        <v>1</v>
      </c>
      <c r="M1034" s="2" t="s">
        <v>84</v>
      </c>
      <c r="N1034" s="2" t="s">
        <v>84</v>
      </c>
      <c r="O1034" s="2" t="s">
        <v>841</v>
      </c>
      <c r="P1034" s="2" t="s">
        <v>1078</v>
      </c>
    </row>
    <row r="1035" spans="1:16" ht="22" customHeight="1" x14ac:dyDescent="0.15">
      <c r="A1035" s="10" t="str">
        <f t="shared" si="261"/>
        <v>428_10_49_10_polygon</v>
      </c>
      <c r="B1035" s="2">
        <v>428</v>
      </c>
      <c r="C1035" s="30" t="str">
        <f>VLOOKUP(B1035,gachas!A:C,3)</f>
        <v>フィーバーフェスティバル</v>
      </c>
      <c r="D1035" s="21">
        <v>10</v>
      </c>
      <c r="E1035" s="2">
        <v>49</v>
      </c>
      <c r="F1035" s="2">
        <v>10</v>
      </c>
      <c r="G1035" s="3" t="s">
        <v>22</v>
      </c>
      <c r="H1035" s="2">
        <v>50</v>
      </c>
      <c r="I1035" s="117">
        <v>428100</v>
      </c>
      <c r="J1035" s="112" t="s">
        <v>84</v>
      </c>
      <c r="K1035" s="117">
        <v>428100</v>
      </c>
      <c r="L1035" s="2">
        <v>1</v>
      </c>
      <c r="M1035" s="2" t="s">
        <v>84</v>
      </c>
      <c r="N1035" s="2" t="s">
        <v>84</v>
      </c>
      <c r="O1035" s="2" t="s">
        <v>841</v>
      </c>
      <c r="P1035" s="2" t="s">
        <v>1078</v>
      </c>
    </row>
    <row r="1036" spans="1:16" ht="22" customHeight="1" x14ac:dyDescent="0.15">
      <c r="A1036" s="10" t="str">
        <f t="shared" si="261"/>
        <v>428_10_50_10_polygon</v>
      </c>
      <c r="B1036" s="2">
        <v>428</v>
      </c>
      <c r="C1036" s="30" t="str">
        <f>VLOOKUP(B1036,gachas!A:C,3)</f>
        <v>フィーバーフェスティバル</v>
      </c>
      <c r="D1036" s="21">
        <v>10</v>
      </c>
      <c r="E1036" s="2">
        <v>50</v>
      </c>
      <c r="F1036" s="2">
        <v>10</v>
      </c>
      <c r="G1036" s="3" t="s">
        <v>22</v>
      </c>
      <c r="H1036" s="2">
        <v>50</v>
      </c>
      <c r="I1036" s="117">
        <v>428100</v>
      </c>
      <c r="J1036" s="112">
        <v>428105</v>
      </c>
      <c r="K1036" s="117">
        <v>428100</v>
      </c>
      <c r="L1036" s="2">
        <v>1</v>
      </c>
      <c r="M1036" s="2" t="s">
        <v>84</v>
      </c>
      <c r="N1036" s="2" t="s">
        <v>84</v>
      </c>
      <c r="O1036" s="2" t="s">
        <v>841</v>
      </c>
      <c r="P1036" s="2" t="s">
        <v>1763</v>
      </c>
    </row>
    <row r="1037" spans="1:16" ht="22" customHeight="1" x14ac:dyDescent="0.15">
      <c r="A1037" s="10" t="str">
        <f t="shared" si="257"/>
        <v>428_10_0_10_polygon</v>
      </c>
      <c r="B1037" s="2">
        <v>428</v>
      </c>
      <c r="C1037" s="30" t="str">
        <f>VLOOKUP(B1037,gachas!A:C,3)</f>
        <v>フィーバーフェスティバル</v>
      </c>
      <c r="D1037" s="21">
        <v>10</v>
      </c>
      <c r="E1037" s="2">
        <v>0</v>
      </c>
      <c r="F1037" s="2">
        <v>10</v>
      </c>
      <c r="G1037" s="3" t="s">
        <v>22</v>
      </c>
      <c r="H1037" s="2">
        <v>50</v>
      </c>
      <c r="I1037" s="117" t="str">
        <f t="shared" si="258"/>
        <v>428100</v>
      </c>
      <c r="J1037" s="112" t="s">
        <v>84</v>
      </c>
      <c r="K1037" s="117">
        <v>428100</v>
      </c>
      <c r="L1037" s="2">
        <v>1</v>
      </c>
      <c r="M1037" s="2" t="s">
        <v>84</v>
      </c>
      <c r="N1037" s="2" t="s">
        <v>84</v>
      </c>
      <c r="O1037" s="2" t="s">
        <v>841</v>
      </c>
      <c r="P1037" s="2" t="s">
        <v>143</v>
      </c>
    </row>
    <row r="1038" spans="1:16" ht="22" customHeight="1" x14ac:dyDescent="0.15">
      <c r="A1038" s="10" t="str">
        <f t="shared" ref="A1038:A1040" si="262">B1038&amp;"_"&amp;D1038&amp;"_"&amp;E1038&amp;"_"&amp;F1038&amp;"_"&amp;G1038</f>
        <v>429_1_1_1_polygon</v>
      </c>
      <c r="B1038" s="2">
        <v>429</v>
      </c>
      <c r="C1038" s="30" t="str">
        <f>VLOOKUP(B1038,gachas!A:C,3)</f>
        <v>レアガチャ（インド第2弾in）</v>
      </c>
      <c r="D1038" s="21">
        <v>1</v>
      </c>
      <c r="E1038" s="2">
        <v>1</v>
      </c>
      <c r="F1038" s="2">
        <v>1</v>
      </c>
      <c r="G1038" s="3" t="s">
        <v>22</v>
      </c>
      <c r="H1038" s="2">
        <v>5</v>
      </c>
      <c r="I1038" s="117" t="str">
        <f>I1040</f>
        <v>429100</v>
      </c>
      <c r="J1038" s="112" t="s">
        <v>84</v>
      </c>
      <c r="K1038" s="2" t="s">
        <v>84</v>
      </c>
      <c r="L1038" s="2">
        <v>0</v>
      </c>
      <c r="M1038" s="2" t="s">
        <v>84</v>
      </c>
      <c r="N1038" s="2" t="s">
        <v>84</v>
      </c>
      <c r="O1038" s="2" t="s">
        <v>841</v>
      </c>
      <c r="P1038" s="2" t="s">
        <v>142</v>
      </c>
    </row>
    <row r="1039" spans="1:16" ht="22" customHeight="1" x14ac:dyDescent="0.15">
      <c r="A1039" s="10" t="str">
        <f t="shared" si="262"/>
        <v>429_1_0_1_polygon</v>
      </c>
      <c r="B1039" s="2">
        <v>429</v>
      </c>
      <c r="C1039" s="30" t="str">
        <f>VLOOKUP(B1039,gachas!A:C,3)</f>
        <v>レアガチャ（インド第2弾in）</v>
      </c>
      <c r="D1039" s="21">
        <v>1</v>
      </c>
      <c r="E1039" s="2">
        <v>0</v>
      </c>
      <c r="F1039" s="2">
        <v>1</v>
      </c>
      <c r="G1039" s="3" t="s">
        <v>22</v>
      </c>
      <c r="H1039" s="2">
        <v>5</v>
      </c>
      <c r="I1039" s="117" t="str">
        <f t="shared" ref="I1039:I1040" si="263">B1039&amp;TEXT(D1039,"00")&amp;E1039</f>
        <v>429010</v>
      </c>
      <c r="J1039" s="112" t="s">
        <v>84</v>
      </c>
      <c r="K1039" s="2" t="s">
        <v>84</v>
      </c>
      <c r="L1039" s="2">
        <v>0</v>
      </c>
      <c r="M1039" s="2" t="s">
        <v>84</v>
      </c>
      <c r="N1039" s="2" t="s">
        <v>84</v>
      </c>
      <c r="O1039" s="2" t="s">
        <v>841</v>
      </c>
      <c r="P1039" s="2" t="s">
        <v>84</v>
      </c>
    </row>
    <row r="1040" spans="1:16" ht="22" customHeight="1" x14ac:dyDescent="0.15">
      <c r="A1040" s="10" t="str">
        <f t="shared" si="262"/>
        <v>429_10_0_10_polygon</v>
      </c>
      <c r="B1040" s="2">
        <v>429</v>
      </c>
      <c r="C1040" s="30" t="str">
        <f>VLOOKUP(B1040,gachas!A:C,3)</f>
        <v>レアガチャ（インド第2弾in）</v>
      </c>
      <c r="D1040" s="21">
        <v>10</v>
      </c>
      <c r="E1040" s="2">
        <v>0</v>
      </c>
      <c r="F1040" s="2">
        <v>10</v>
      </c>
      <c r="G1040" s="3" t="s">
        <v>22</v>
      </c>
      <c r="H1040" s="2">
        <v>50</v>
      </c>
      <c r="I1040" s="117" t="str">
        <f t="shared" si="263"/>
        <v>429100</v>
      </c>
      <c r="J1040" s="112" t="s">
        <v>84</v>
      </c>
      <c r="K1040" s="109" t="s">
        <v>87</v>
      </c>
      <c r="L1040" s="2">
        <v>0</v>
      </c>
      <c r="M1040" s="2" t="s">
        <v>84</v>
      </c>
      <c r="N1040" s="2" t="s">
        <v>84</v>
      </c>
      <c r="O1040" s="2" t="s">
        <v>841</v>
      </c>
      <c r="P1040" s="2" t="s">
        <v>143</v>
      </c>
    </row>
    <row r="1041" spans="1:16" ht="22" customHeight="1" x14ac:dyDescent="0.15">
      <c r="A1041" s="10" t="str">
        <f t="shared" ref="A1041" si="264">B1041&amp;"_"&amp;D1041&amp;"_"&amp;E1041&amp;"_"&amp;F1041&amp;"_"&amp;G1041</f>
        <v>430_1_0_1_polygon</v>
      </c>
      <c r="B1041" s="2">
        <v>430</v>
      </c>
      <c r="C1041" s="30" t="str">
        <f>VLOOKUP(B1041,gachas!A:C,3)</f>
        <v>アビリティピックアップガチャ</v>
      </c>
      <c r="D1041" s="21">
        <v>1</v>
      </c>
      <c r="E1041" s="2">
        <v>0</v>
      </c>
      <c r="F1041" s="2">
        <v>1</v>
      </c>
      <c r="G1041" s="3" t="s">
        <v>22</v>
      </c>
      <c r="H1041" s="2">
        <v>5</v>
      </c>
      <c r="I1041" s="117" t="str">
        <f t="shared" ref="I1041" si="265">B1041&amp;TEXT(D1041,"00")&amp;E1041</f>
        <v>430010</v>
      </c>
      <c r="J1041" s="112" t="s">
        <v>84</v>
      </c>
      <c r="K1041" s="109" t="s">
        <v>87</v>
      </c>
      <c r="L1041" s="2">
        <v>0</v>
      </c>
      <c r="M1041" s="2" t="s">
        <v>84</v>
      </c>
      <c r="N1041" s="2" t="s">
        <v>84</v>
      </c>
      <c r="O1041" s="2" t="s">
        <v>841</v>
      </c>
      <c r="P1041" s="2" t="s">
        <v>87</v>
      </c>
    </row>
    <row r="1042" spans="1:16" ht="22" customHeight="1" x14ac:dyDescent="0.15">
      <c r="A1042" s="10" t="str">
        <f t="shared" ref="A1042" si="266">B1042&amp;"_"&amp;D1042&amp;"_"&amp;E1042&amp;"_"&amp;F1042&amp;"_"&amp;G1042</f>
        <v>430_10_0_10_polygon</v>
      </c>
      <c r="B1042" s="2">
        <v>430</v>
      </c>
      <c r="C1042" s="30" t="str">
        <f>VLOOKUP(B1042,gachas!A:C,3)</f>
        <v>アビリティピックアップガチャ</v>
      </c>
      <c r="D1042" s="21">
        <v>10</v>
      </c>
      <c r="E1042" s="2">
        <v>0</v>
      </c>
      <c r="F1042" s="2">
        <v>10</v>
      </c>
      <c r="G1042" s="3" t="s">
        <v>22</v>
      </c>
      <c r="H1042" s="2">
        <v>50</v>
      </c>
      <c r="I1042" s="117" t="str">
        <f t="shared" ref="I1042" si="267">B1042&amp;TEXT(D1042,"00")&amp;E1042</f>
        <v>430100</v>
      </c>
      <c r="J1042" s="112" t="s">
        <v>84</v>
      </c>
      <c r="K1042" s="109" t="s">
        <v>87</v>
      </c>
      <c r="L1042" s="2">
        <v>0</v>
      </c>
      <c r="M1042" s="2" t="s">
        <v>84</v>
      </c>
      <c r="N1042" s="2" t="s">
        <v>84</v>
      </c>
      <c r="O1042" s="2" t="s">
        <v>841</v>
      </c>
      <c r="P1042" s="2" t="s">
        <v>143</v>
      </c>
    </row>
    <row r="1043" spans="1:16" ht="22" customHeight="1" x14ac:dyDescent="0.15">
      <c r="A1043" s="10" t="str">
        <f t="shared" ref="A1043" si="268">B1043&amp;"_"&amp;D1043&amp;"_"&amp;E1043&amp;"_"&amp;F1043&amp;"_"&amp;G1043</f>
        <v>430_10_1_10_polygon</v>
      </c>
      <c r="B1043" s="2">
        <v>430</v>
      </c>
      <c r="C1043" s="30" t="str">
        <f>VLOOKUP(B1043,gachas!A:C,3)</f>
        <v>アビリティピックアップガチャ</v>
      </c>
      <c r="D1043" s="21">
        <v>10</v>
      </c>
      <c r="E1043" s="2">
        <f>E1042+1</f>
        <v>1</v>
      </c>
      <c r="F1043" s="2">
        <v>10</v>
      </c>
      <c r="G1043" s="3" t="s">
        <v>22</v>
      </c>
      <c r="H1043" s="2">
        <v>25</v>
      </c>
      <c r="I1043" s="117">
        <v>430100</v>
      </c>
      <c r="J1043" s="112" t="s">
        <v>84</v>
      </c>
      <c r="K1043" s="109" t="s">
        <v>87</v>
      </c>
      <c r="L1043" s="2">
        <v>0</v>
      </c>
      <c r="M1043" s="2" t="s">
        <v>84</v>
      </c>
      <c r="N1043" s="2" t="s">
        <v>84</v>
      </c>
      <c r="O1043" s="2" t="s">
        <v>841</v>
      </c>
      <c r="P1043" s="59" t="s">
        <v>1783</v>
      </c>
    </row>
    <row r="1044" spans="1:16" ht="22" customHeight="1" x14ac:dyDescent="0.15">
      <c r="A1044" s="10" t="str">
        <f t="shared" ref="A1044:A1092" si="269">B1044&amp;"_"&amp;D1044&amp;"_"&amp;E1044&amp;"_"&amp;F1044&amp;"_"&amp;G1044</f>
        <v>430_10_2_10_polygon</v>
      </c>
      <c r="B1044" s="2">
        <v>430</v>
      </c>
      <c r="C1044" s="30" t="str">
        <f>VLOOKUP(B1044,gachas!A:C,3)</f>
        <v>アビリティピックアップガチャ</v>
      </c>
      <c r="D1044" s="21">
        <v>10</v>
      </c>
      <c r="E1044" s="2">
        <f t="shared" ref="E1044:E1092" si="270">E1043+1</f>
        <v>2</v>
      </c>
      <c r="F1044" s="2">
        <v>10</v>
      </c>
      <c r="G1044" s="3" t="s">
        <v>22</v>
      </c>
      <c r="H1044" s="2">
        <v>50</v>
      </c>
      <c r="I1044" s="117">
        <v>430100</v>
      </c>
      <c r="J1044" s="112" t="s">
        <v>84</v>
      </c>
      <c r="K1044" s="109" t="s">
        <v>87</v>
      </c>
      <c r="L1044" s="2">
        <v>0</v>
      </c>
      <c r="M1044" s="2" t="s">
        <v>84</v>
      </c>
      <c r="N1044" s="2" t="s">
        <v>84</v>
      </c>
      <c r="O1044" s="2" t="s">
        <v>841</v>
      </c>
      <c r="P1044" s="2" t="s">
        <v>143</v>
      </c>
    </row>
    <row r="1045" spans="1:16" ht="22" customHeight="1" x14ac:dyDescent="0.15">
      <c r="A1045" s="10" t="str">
        <f t="shared" si="269"/>
        <v>430_10_3_10_polygon</v>
      </c>
      <c r="B1045" s="2">
        <v>430</v>
      </c>
      <c r="C1045" s="30" t="str">
        <f>VLOOKUP(B1045,gachas!A:C,3)</f>
        <v>アビリティピックアップガチャ</v>
      </c>
      <c r="D1045" s="21">
        <v>10</v>
      </c>
      <c r="E1045" s="2">
        <f t="shared" si="270"/>
        <v>3</v>
      </c>
      <c r="F1045" s="2">
        <v>10</v>
      </c>
      <c r="G1045" s="3" t="s">
        <v>22</v>
      </c>
      <c r="H1045" s="2">
        <v>50</v>
      </c>
      <c r="I1045" s="117">
        <v>430100</v>
      </c>
      <c r="J1045" s="112" t="s">
        <v>84</v>
      </c>
      <c r="K1045" s="109" t="s">
        <v>87</v>
      </c>
      <c r="L1045" s="2">
        <v>0</v>
      </c>
      <c r="M1045" s="2" t="s">
        <v>84</v>
      </c>
      <c r="N1045" s="2" t="s">
        <v>84</v>
      </c>
      <c r="O1045" s="2" t="s">
        <v>841</v>
      </c>
      <c r="P1045" s="2" t="s">
        <v>143</v>
      </c>
    </row>
    <row r="1046" spans="1:16" ht="22" customHeight="1" x14ac:dyDescent="0.15">
      <c r="A1046" s="10" t="str">
        <f t="shared" si="269"/>
        <v>430_10_4_10_polygon</v>
      </c>
      <c r="B1046" s="2">
        <v>430</v>
      </c>
      <c r="C1046" s="30" t="str">
        <f>VLOOKUP(B1046,gachas!A:C,3)</f>
        <v>アビリティピックアップガチャ</v>
      </c>
      <c r="D1046" s="21">
        <v>10</v>
      </c>
      <c r="E1046" s="2">
        <f t="shared" si="270"/>
        <v>4</v>
      </c>
      <c r="F1046" s="2">
        <v>10</v>
      </c>
      <c r="G1046" s="3" t="s">
        <v>22</v>
      </c>
      <c r="H1046" s="2">
        <v>50</v>
      </c>
      <c r="I1046" s="117">
        <v>430100</v>
      </c>
      <c r="J1046" s="112" t="s">
        <v>84</v>
      </c>
      <c r="K1046" s="109" t="s">
        <v>87</v>
      </c>
      <c r="L1046" s="2">
        <v>0</v>
      </c>
      <c r="M1046" s="2" t="s">
        <v>84</v>
      </c>
      <c r="N1046" s="2" t="s">
        <v>84</v>
      </c>
      <c r="O1046" s="2" t="s">
        <v>841</v>
      </c>
      <c r="P1046" s="2" t="s">
        <v>143</v>
      </c>
    </row>
    <row r="1047" spans="1:16" ht="22" customHeight="1" x14ac:dyDescent="0.15">
      <c r="A1047" s="10" t="str">
        <f t="shared" si="269"/>
        <v>430_10_5_10_polygon</v>
      </c>
      <c r="B1047" s="2">
        <v>430</v>
      </c>
      <c r="C1047" s="30" t="str">
        <f>VLOOKUP(B1047,gachas!A:C,3)</f>
        <v>アビリティピックアップガチャ</v>
      </c>
      <c r="D1047" s="21">
        <v>10</v>
      </c>
      <c r="E1047" s="2">
        <f t="shared" si="270"/>
        <v>5</v>
      </c>
      <c r="F1047" s="2">
        <v>10</v>
      </c>
      <c r="G1047" s="3" t="s">
        <v>22</v>
      </c>
      <c r="H1047" s="2">
        <v>50</v>
      </c>
      <c r="I1047" s="117">
        <v>430100</v>
      </c>
      <c r="J1047" s="112" t="s">
        <v>84</v>
      </c>
      <c r="K1047" s="109">
        <v>430105</v>
      </c>
      <c r="L1047" s="2">
        <v>1</v>
      </c>
      <c r="M1047" s="2" t="s">
        <v>84</v>
      </c>
      <c r="N1047" s="2" t="s">
        <v>84</v>
      </c>
      <c r="O1047" s="2" t="s">
        <v>841</v>
      </c>
      <c r="P1047" s="2" t="s">
        <v>1781</v>
      </c>
    </row>
    <row r="1048" spans="1:16" ht="22" customHeight="1" x14ac:dyDescent="0.15">
      <c r="A1048" s="10" t="str">
        <f t="shared" si="269"/>
        <v>430_10_6_10_polygon</v>
      </c>
      <c r="B1048" s="2">
        <v>430</v>
      </c>
      <c r="C1048" s="30" t="str">
        <f>VLOOKUP(B1048,gachas!A:C,3)</f>
        <v>アビリティピックアップガチャ</v>
      </c>
      <c r="D1048" s="21">
        <v>10</v>
      </c>
      <c r="E1048" s="2">
        <f t="shared" si="270"/>
        <v>6</v>
      </c>
      <c r="F1048" s="2">
        <v>10</v>
      </c>
      <c r="G1048" s="3" t="s">
        <v>22</v>
      </c>
      <c r="H1048" s="2">
        <v>25</v>
      </c>
      <c r="I1048" s="117">
        <v>430100</v>
      </c>
      <c r="J1048" s="112" t="s">
        <v>84</v>
      </c>
      <c r="K1048" s="109" t="s">
        <v>87</v>
      </c>
      <c r="L1048" s="2">
        <v>0</v>
      </c>
      <c r="M1048" s="2" t="s">
        <v>84</v>
      </c>
      <c r="N1048" s="2" t="s">
        <v>84</v>
      </c>
      <c r="O1048" s="2" t="s">
        <v>841</v>
      </c>
      <c r="P1048" s="59" t="s">
        <v>1783</v>
      </c>
    </row>
    <row r="1049" spans="1:16" ht="22" customHeight="1" x14ac:dyDescent="0.15">
      <c r="A1049" s="10" t="str">
        <f t="shared" si="269"/>
        <v>430_10_7_10_polygon</v>
      </c>
      <c r="B1049" s="2">
        <v>430</v>
      </c>
      <c r="C1049" s="30" t="str">
        <f>VLOOKUP(B1049,gachas!A:C,3)</f>
        <v>アビリティピックアップガチャ</v>
      </c>
      <c r="D1049" s="21">
        <v>10</v>
      </c>
      <c r="E1049" s="2">
        <f t="shared" si="270"/>
        <v>7</v>
      </c>
      <c r="F1049" s="2">
        <v>10</v>
      </c>
      <c r="G1049" s="3" t="s">
        <v>22</v>
      </c>
      <c r="H1049" s="2">
        <v>50</v>
      </c>
      <c r="I1049" s="117">
        <v>430100</v>
      </c>
      <c r="J1049" s="112" t="s">
        <v>84</v>
      </c>
      <c r="K1049" s="109" t="s">
        <v>87</v>
      </c>
      <c r="L1049" s="2">
        <v>0</v>
      </c>
      <c r="M1049" s="2" t="s">
        <v>84</v>
      </c>
      <c r="N1049" s="2" t="s">
        <v>84</v>
      </c>
      <c r="O1049" s="2" t="s">
        <v>841</v>
      </c>
      <c r="P1049" s="2" t="s">
        <v>143</v>
      </c>
    </row>
    <row r="1050" spans="1:16" ht="22" customHeight="1" x14ac:dyDescent="0.15">
      <c r="A1050" s="10" t="str">
        <f t="shared" si="269"/>
        <v>430_10_8_10_polygon</v>
      </c>
      <c r="B1050" s="2">
        <v>430</v>
      </c>
      <c r="C1050" s="30" t="str">
        <f>VLOOKUP(B1050,gachas!A:C,3)</f>
        <v>アビリティピックアップガチャ</v>
      </c>
      <c r="D1050" s="21">
        <v>10</v>
      </c>
      <c r="E1050" s="2">
        <f t="shared" si="270"/>
        <v>8</v>
      </c>
      <c r="F1050" s="2">
        <v>10</v>
      </c>
      <c r="G1050" s="3" t="s">
        <v>22</v>
      </c>
      <c r="H1050" s="2">
        <v>50</v>
      </c>
      <c r="I1050" s="117">
        <v>430100</v>
      </c>
      <c r="J1050" s="112" t="s">
        <v>84</v>
      </c>
      <c r="K1050" s="109" t="s">
        <v>87</v>
      </c>
      <c r="L1050" s="2">
        <v>0</v>
      </c>
      <c r="M1050" s="2" t="s">
        <v>84</v>
      </c>
      <c r="N1050" s="2" t="s">
        <v>84</v>
      </c>
      <c r="O1050" s="2" t="s">
        <v>841</v>
      </c>
      <c r="P1050" s="2" t="s">
        <v>143</v>
      </c>
    </row>
    <row r="1051" spans="1:16" ht="22" customHeight="1" x14ac:dyDescent="0.15">
      <c r="A1051" s="10" t="str">
        <f t="shared" si="269"/>
        <v>430_10_9_10_polygon</v>
      </c>
      <c r="B1051" s="2">
        <v>430</v>
      </c>
      <c r="C1051" s="30" t="str">
        <f>VLOOKUP(B1051,gachas!A:C,3)</f>
        <v>アビリティピックアップガチャ</v>
      </c>
      <c r="D1051" s="21">
        <v>10</v>
      </c>
      <c r="E1051" s="2">
        <f t="shared" si="270"/>
        <v>9</v>
      </c>
      <c r="F1051" s="2">
        <v>10</v>
      </c>
      <c r="G1051" s="3" t="s">
        <v>22</v>
      </c>
      <c r="H1051" s="2">
        <v>50</v>
      </c>
      <c r="I1051" s="117">
        <v>430100</v>
      </c>
      <c r="J1051" s="112" t="s">
        <v>84</v>
      </c>
      <c r="K1051" s="109" t="s">
        <v>87</v>
      </c>
      <c r="L1051" s="2">
        <v>0</v>
      </c>
      <c r="M1051" s="2" t="s">
        <v>84</v>
      </c>
      <c r="N1051" s="2" t="s">
        <v>84</v>
      </c>
      <c r="O1051" s="2" t="s">
        <v>841</v>
      </c>
      <c r="P1051" s="2" t="s">
        <v>143</v>
      </c>
    </row>
    <row r="1052" spans="1:16" ht="22" customHeight="1" x14ac:dyDescent="0.15">
      <c r="A1052" s="10" t="str">
        <f t="shared" si="269"/>
        <v>430_10_10_10_polygon</v>
      </c>
      <c r="B1052" s="2">
        <v>430</v>
      </c>
      <c r="C1052" s="30" t="str">
        <f>VLOOKUP(B1052,gachas!A:C,3)</f>
        <v>アビリティピックアップガチャ</v>
      </c>
      <c r="D1052" s="21">
        <v>10</v>
      </c>
      <c r="E1052" s="2">
        <f t="shared" si="270"/>
        <v>10</v>
      </c>
      <c r="F1052" s="2">
        <v>10</v>
      </c>
      <c r="G1052" s="3" t="s">
        <v>22</v>
      </c>
      <c r="H1052" s="2">
        <v>50</v>
      </c>
      <c r="I1052" s="117">
        <v>430100</v>
      </c>
      <c r="J1052" s="112" t="s">
        <v>84</v>
      </c>
      <c r="K1052" s="109">
        <v>430105</v>
      </c>
      <c r="L1052" s="2">
        <v>1</v>
      </c>
      <c r="M1052" s="2" t="s">
        <v>84</v>
      </c>
      <c r="N1052" s="2" t="s">
        <v>84</v>
      </c>
      <c r="O1052" s="2" t="s">
        <v>841</v>
      </c>
      <c r="P1052" s="2" t="s">
        <v>1781</v>
      </c>
    </row>
    <row r="1053" spans="1:16" ht="22" customHeight="1" x14ac:dyDescent="0.15">
      <c r="A1053" s="10" t="str">
        <f t="shared" si="269"/>
        <v>430_10_11_10_polygon</v>
      </c>
      <c r="B1053" s="2">
        <v>430</v>
      </c>
      <c r="C1053" s="30" t="str">
        <f>VLOOKUP(B1053,gachas!A:C,3)</f>
        <v>アビリティピックアップガチャ</v>
      </c>
      <c r="D1053" s="21">
        <v>10</v>
      </c>
      <c r="E1053" s="2">
        <f t="shared" si="270"/>
        <v>11</v>
      </c>
      <c r="F1053" s="2">
        <v>10</v>
      </c>
      <c r="G1053" s="3" t="s">
        <v>22</v>
      </c>
      <c r="H1053" s="2">
        <v>25</v>
      </c>
      <c r="I1053" s="117">
        <v>430100</v>
      </c>
      <c r="J1053" s="112" t="s">
        <v>84</v>
      </c>
      <c r="K1053" s="109" t="s">
        <v>87</v>
      </c>
      <c r="L1053" s="2">
        <v>0</v>
      </c>
      <c r="M1053" s="2" t="s">
        <v>84</v>
      </c>
      <c r="N1053" s="2" t="s">
        <v>84</v>
      </c>
      <c r="O1053" s="2" t="s">
        <v>841</v>
      </c>
      <c r="P1053" s="59" t="s">
        <v>1783</v>
      </c>
    </row>
    <row r="1054" spans="1:16" ht="22" customHeight="1" x14ac:dyDescent="0.15">
      <c r="A1054" s="10" t="str">
        <f t="shared" si="269"/>
        <v>430_10_12_10_polygon</v>
      </c>
      <c r="B1054" s="2">
        <v>430</v>
      </c>
      <c r="C1054" s="30" t="str">
        <f>VLOOKUP(B1054,gachas!A:C,3)</f>
        <v>アビリティピックアップガチャ</v>
      </c>
      <c r="D1054" s="21">
        <v>10</v>
      </c>
      <c r="E1054" s="2">
        <f t="shared" si="270"/>
        <v>12</v>
      </c>
      <c r="F1054" s="2">
        <v>10</v>
      </c>
      <c r="G1054" s="3" t="s">
        <v>22</v>
      </c>
      <c r="H1054" s="2">
        <v>50</v>
      </c>
      <c r="I1054" s="117">
        <v>430100</v>
      </c>
      <c r="J1054" s="112" t="s">
        <v>84</v>
      </c>
      <c r="K1054" s="109" t="s">
        <v>87</v>
      </c>
      <c r="L1054" s="2">
        <v>0</v>
      </c>
      <c r="M1054" s="2" t="s">
        <v>84</v>
      </c>
      <c r="N1054" s="2" t="s">
        <v>84</v>
      </c>
      <c r="O1054" s="2" t="s">
        <v>841</v>
      </c>
      <c r="P1054" s="2" t="s">
        <v>143</v>
      </c>
    </row>
    <row r="1055" spans="1:16" ht="22" customHeight="1" x14ac:dyDescent="0.15">
      <c r="A1055" s="10" t="str">
        <f t="shared" si="269"/>
        <v>430_10_13_10_polygon</v>
      </c>
      <c r="B1055" s="2">
        <v>430</v>
      </c>
      <c r="C1055" s="30" t="str">
        <f>VLOOKUP(B1055,gachas!A:C,3)</f>
        <v>アビリティピックアップガチャ</v>
      </c>
      <c r="D1055" s="21">
        <v>10</v>
      </c>
      <c r="E1055" s="2">
        <f t="shared" si="270"/>
        <v>13</v>
      </c>
      <c r="F1055" s="2">
        <v>10</v>
      </c>
      <c r="G1055" s="3" t="s">
        <v>22</v>
      </c>
      <c r="H1055" s="2">
        <v>50</v>
      </c>
      <c r="I1055" s="117">
        <v>430100</v>
      </c>
      <c r="J1055" s="112" t="s">
        <v>84</v>
      </c>
      <c r="K1055" s="109" t="s">
        <v>87</v>
      </c>
      <c r="L1055" s="2">
        <v>0</v>
      </c>
      <c r="M1055" s="2" t="s">
        <v>84</v>
      </c>
      <c r="N1055" s="2" t="s">
        <v>84</v>
      </c>
      <c r="O1055" s="2" t="s">
        <v>841</v>
      </c>
      <c r="P1055" s="2" t="s">
        <v>143</v>
      </c>
    </row>
    <row r="1056" spans="1:16" ht="22" customHeight="1" x14ac:dyDescent="0.15">
      <c r="A1056" s="10" t="str">
        <f t="shared" si="269"/>
        <v>430_10_14_10_polygon</v>
      </c>
      <c r="B1056" s="2">
        <v>430</v>
      </c>
      <c r="C1056" s="30" t="str">
        <f>VLOOKUP(B1056,gachas!A:C,3)</f>
        <v>アビリティピックアップガチャ</v>
      </c>
      <c r="D1056" s="21">
        <v>10</v>
      </c>
      <c r="E1056" s="2">
        <f t="shared" si="270"/>
        <v>14</v>
      </c>
      <c r="F1056" s="2">
        <v>10</v>
      </c>
      <c r="G1056" s="3" t="s">
        <v>22</v>
      </c>
      <c r="H1056" s="2">
        <v>50</v>
      </c>
      <c r="I1056" s="117">
        <v>430100</v>
      </c>
      <c r="J1056" s="112" t="s">
        <v>84</v>
      </c>
      <c r="K1056" s="109" t="s">
        <v>87</v>
      </c>
      <c r="L1056" s="2">
        <v>0</v>
      </c>
      <c r="M1056" s="2" t="s">
        <v>84</v>
      </c>
      <c r="N1056" s="2" t="s">
        <v>84</v>
      </c>
      <c r="O1056" s="2" t="s">
        <v>841</v>
      </c>
      <c r="P1056" s="2" t="s">
        <v>143</v>
      </c>
    </row>
    <row r="1057" spans="1:16" ht="22" customHeight="1" x14ac:dyDescent="0.15">
      <c r="A1057" s="10" t="str">
        <f t="shared" si="269"/>
        <v>430_10_15_10_polygon</v>
      </c>
      <c r="B1057" s="2">
        <v>430</v>
      </c>
      <c r="C1057" s="30" t="str">
        <f>VLOOKUP(B1057,gachas!A:C,3)</f>
        <v>アビリティピックアップガチャ</v>
      </c>
      <c r="D1057" s="21">
        <v>10</v>
      </c>
      <c r="E1057" s="2">
        <f t="shared" si="270"/>
        <v>15</v>
      </c>
      <c r="F1057" s="2">
        <v>10</v>
      </c>
      <c r="G1057" s="3" t="s">
        <v>22</v>
      </c>
      <c r="H1057" s="2">
        <v>50</v>
      </c>
      <c r="I1057" s="117">
        <v>430100</v>
      </c>
      <c r="J1057" s="112" t="s">
        <v>84</v>
      </c>
      <c r="K1057" s="109">
        <v>430105</v>
      </c>
      <c r="L1057" s="2">
        <v>1</v>
      </c>
      <c r="M1057" s="2" t="s">
        <v>84</v>
      </c>
      <c r="N1057" s="2" t="s">
        <v>84</v>
      </c>
      <c r="O1057" s="2" t="s">
        <v>841</v>
      </c>
      <c r="P1057" s="2" t="s">
        <v>1781</v>
      </c>
    </row>
    <row r="1058" spans="1:16" ht="22" customHeight="1" x14ac:dyDescent="0.15">
      <c r="A1058" s="10" t="str">
        <f t="shared" si="269"/>
        <v>430_10_16_10_polygon</v>
      </c>
      <c r="B1058" s="2">
        <v>430</v>
      </c>
      <c r="C1058" s="30" t="str">
        <f>VLOOKUP(B1058,gachas!A:C,3)</f>
        <v>アビリティピックアップガチャ</v>
      </c>
      <c r="D1058" s="21">
        <v>10</v>
      </c>
      <c r="E1058" s="2">
        <f t="shared" si="270"/>
        <v>16</v>
      </c>
      <c r="F1058" s="2">
        <v>10</v>
      </c>
      <c r="G1058" s="3" t="s">
        <v>22</v>
      </c>
      <c r="H1058" s="2">
        <v>25</v>
      </c>
      <c r="I1058" s="117">
        <v>430100</v>
      </c>
      <c r="J1058" s="112" t="s">
        <v>84</v>
      </c>
      <c r="K1058" s="109" t="s">
        <v>87</v>
      </c>
      <c r="L1058" s="2">
        <v>0</v>
      </c>
      <c r="M1058" s="2" t="s">
        <v>84</v>
      </c>
      <c r="N1058" s="2" t="s">
        <v>84</v>
      </c>
      <c r="O1058" s="2" t="s">
        <v>841</v>
      </c>
      <c r="P1058" s="59" t="s">
        <v>1783</v>
      </c>
    </row>
    <row r="1059" spans="1:16" ht="22" customHeight="1" x14ac:dyDescent="0.15">
      <c r="A1059" s="10" t="str">
        <f t="shared" si="269"/>
        <v>430_10_17_10_polygon</v>
      </c>
      <c r="B1059" s="2">
        <v>430</v>
      </c>
      <c r="C1059" s="30" t="str">
        <f>VLOOKUP(B1059,gachas!A:C,3)</f>
        <v>アビリティピックアップガチャ</v>
      </c>
      <c r="D1059" s="21">
        <v>10</v>
      </c>
      <c r="E1059" s="2">
        <f t="shared" si="270"/>
        <v>17</v>
      </c>
      <c r="F1059" s="2">
        <v>10</v>
      </c>
      <c r="G1059" s="3" t="s">
        <v>22</v>
      </c>
      <c r="H1059" s="2">
        <v>50</v>
      </c>
      <c r="I1059" s="117">
        <v>430100</v>
      </c>
      <c r="J1059" s="112" t="s">
        <v>84</v>
      </c>
      <c r="K1059" s="109" t="s">
        <v>87</v>
      </c>
      <c r="L1059" s="2">
        <v>0</v>
      </c>
      <c r="M1059" s="2" t="s">
        <v>84</v>
      </c>
      <c r="N1059" s="2" t="s">
        <v>84</v>
      </c>
      <c r="O1059" s="2" t="s">
        <v>841</v>
      </c>
      <c r="P1059" s="2" t="s">
        <v>143</v>
      </c>
    </row>
    <row r="1060" spans="1:16" ht="22" customHeight="1" x14ac:dyDescent="0.15">
      <c r="A1060" s="10" t="str">
        <f t="shared" si="269"/>
        <v>430_10_18_10_polygon</v>
      </c>
      <c r="B1060" s="2">
        <v>430</v>
      </c>
      <c r="C1060" s="30" t="str">
        <f>VLOOKUP(B1060,gachas!A:C,3)</f>
        <v>アビリティピックアップガチャ</v>
      </c>
      <c r="D1060" s="21">
        <v>10</v>
      </c>
      <c r="E1060" s="2">
        <f t="shared" si="270"/>
        <v>18</v>
      </c>
      <c r="F1060" s="2">
        <v>10</v>
      </c>
      <c r="G1060" s="3" t="s">
        <v>22</v>
      </c>
      <c r="H1060" s="2">
        <v>50</v>
      </c>
      <c r="I1060" s="117">
        <v>430100</v>
      </c>
      <c r="J1060" s="112" t="s">
        <v>84</v>
      </c>
      <c r="K1060" s="109" t="s">
        <v>87</v>
      </c>
      <c r="L1060" s="2">
        <v>0</v>
      </c>
      <c r="M1060" s="2" t="s">
        <v>84</v>
      </c>
      <c r="N1060" s="2" t="s">
        <v>84</v>
      </c>
      <c r="O1060" s="2" t="s">
        <v>841</v>
      </c>
      <c r="P1060" s="2" t="s">
        <v>143</v>
      </c>
    </row>
    <row r="1061" spans="1:16" ht="22" customHeight="1" x14ac:dyDescent="0.15">
      <c r="A1061" s="10" t="str">
        <f t="shared" si="269"/>
        <v>430_10_19_10_polygon</v>
      </c>
      <c r="B1061" s="2">
        <v>430</v>
      </c>
      <c r="C1061" s="30" t="str">
        <f>VLOOKUP(B1061,gachas!A:C,3)</f>
        <v>アビリティピックアップガチャ</v>
      </c>
      <c r="D1061" s="21">
        <v>10</v>
      </c>
      <c r="E1061" s="2">
        <f t="shared" si="270"/>
        <v>19</v>
      </c>
      <c r="F1061" s="2">
        <v>10</v>
      </c>
      <c r="G1061" s="3" t="s">
        <v>22</v>
      </c>
      <c r="H1061" s="2">
        <v>50</v>
      </c>
      <c r="I1061" s="117">
        <v>430100</v>
      </c>
      <c r="J1061" s="112" t="s">
        <v>84</v>
      </c>
      <c r="K1061" s="109" t="s">
        <v>87</v>
      </c>
      <c r="L1061" s="2">
        <v>0</v>
      </c>
      <c r="M1061" s="2" t="s">
        <v>84</v>
      </c>
      <c r="N1061" s="2" t="s">
        <v>84</v>
      </c>
      <c r="O1061" s="2" t="s">
        <v>841</v>
      </c>
      <c r="P1061" s="2" t="s">
        <v>143</v>
      </c>
    </row>
    <row r="1062" spans="1:16" ht="22" customHeight="1" x14ac:dyDescent="0.15">
      <c r="A1062" s="10" t="str">
        <f t="shared" si="269"/>
        <v>430_10_20_10_polygon</v>
      </c>
      <c r="B1062" s="2">
        <v>430</v>
      </c>
      <c r="C1062" s="30" t="str">
        <f>VLOOKUP(B1062,gachas!A:C,3)</f>
        <v>アビリティピックアップガチャ</v>
      </c>
      <c r="D1062" s="21">
        <v>10</v>
      </c>
      <c r="E1062" s="2">
        <f t="shared" si="270"/>
        <v>20</v>
      </c>
      <c r="F1062" s="2">
        <v>10</v>
      </c>
      <c r="G1062" s="3" t="s">
        <v>22</v>
      </c>
      <c r="H1062" s="2">
        <v>50</v>
      </c>
      <c r="I1062" s="117">
        <v>430100</v>
      </c>
      <c r="J1062" s="112" t="s">
        <v>84</v>
      </c>
      <c r="K1062" s="109">
        <v>430105</v>
      </c>
      <c r="L1062" s="2">
        <v>1</v>
      </c>
      <c r="M1062" s="2" t="s">
        <v>84</v>
      </c>
      <c r="N1062" s="2" t="s">
        <v>84</v>
      </c>
      <c r="O1062" s="2" t="s">
        <v>841</v>
      </c>
      <c r="P1062" s="2" t="s">
        <v>1781</v>
      </c>
    </row>
    <row r="1063" spans="1:16" ht="22" customHeight="1" x14ac:dyDescent="0.15">
      <c r="A1063" s="10" t="str">
        <f t="shared" si="269"/>
        <v>430_10_21_10_polygon</v>
      </c>
      <c r="B1063" s="2">
        <v>430</v>
      </c>
      <c r="C1063" s="30" t="str">
        <f>VLOOKUP(B1063,gachas!A:C,3)</f>
        <v>アビリティピックアップガチャ</v>
      </c>
      <c r="D1063" s="21">
        <v>10</v>
      </c>
      <c r="E1063" s="2">
        <f t="shared" si="270"/>
        <v>21</v>
      </c>
      <c r="F1063" s="2">
        <v>10</v>
      </c>
      <c r="G1063" s="3" t="s">
        <v>22</v>
      </c>
      <c r="H1063" s="2">
        <v>25</v>
      </c>
      <c r="I1063" s="117">
        <v>430100</v>
      </c>
      <c r="J1063" s="112" t="s">
        <v>84</v>
      </c>
      <c r="K1063" s="109" t="s">
        <v>87</v>
      </c>
      <c r="L1063" s="2">
        <v>0</v>
      </c>
      <c r="M1063" s="2" t="s">
        <v>84</v>
      </c>
      <c r="N1063" s="2" t="s">
        <v>84</v>
      </c>
      <c r="O1063" s="2" t="s">
        <v>841</v>
      </c>
      <c r="P1063" s="59" t="s">
        <v>1783</v>
      </c>
    </row>
    <row r="1064" spans="1:16" ht="22" customHeight="1" x14ac:dyDescent="0.15">
      <c r="A1064" s="10" t="str">
        <f t="shared" si="269"/>
        <v>430_10_22_10_polygon</v>
      </c>
      <c r="B1064" s="2">
        <v>430</v>
      </c>
      <c r="C1064" s="30" t="str">
        <f>VLOOKUP(B1064,gachas!A:C,3)</f>
        <v>アビリティピックアップガチャ</v>
      </c>
      <c r="D1064" s="21">
        <v>10</v>
      </c>
      <c r="E1064" s="2">
        <f t="shared" si="270"/>
        <v>22</v>
      </c>
      <c r="F1064" s="2">
        <v>10</v>
      </c>
      <c r="G1064" s="3" t="s">
        <v>22</v>
      </c>
      <c r="H1064" s="2">
        <v>50</v>
      </c>
      <c r="I1064" s="117">
        <v>430100</v>
      </c>
      <c r="J1064" s="112" t="s">
        <v>84</v>
      </c>
      <c r="K1064" s="109" t="s">
        <v>87</v>
      </c>
      <c r="L1064" s="2">
        <v>0</v>
      </c>
      <c r="M1064" s="2" t="s">
        <v>84</v>
      </c>
      <c r="N1064" s="2" t="s">
        <v>84</v>
      </c>
      <c r="O1064" s="2" t="s">
        <v>841</v>
      </c>
      <c r="P1064" s="2" t="s">
        <v>143</v>
      </c>
    </row>
    <row r="1065" spans="1:16" ht="22" customHeight="1" x14ac:dyDescent="0.15">
      <c r="A1065" s="10" t="str">
        <f t="shared" si="269"/>
        <v>430_10_23_10_polygon</v>
      </c>
      <c r="B1065" s="2">
        <v>430</v>
      </c>
      <c r="C1065" s="30" t="str">
        <f>VLOOKUP(B1065,gachas!A:C,3)</f>
        <v>アビリティピックアップガチャ</v>
      </c>
      <c r="D1065" s="21">
        <v>10</v>
      </c>
      <c r="E1065" s="2">
        <f t="shared" si="270"/>
        <v>23</v>
      </c>
      <c r="F1065" s="2">
        <v>10</v>
      </c>
      <c r="G1065" s="3" t="s">
        <v>22</v>
      </c>
      <c r="H1065" s="2">
        <v>50</v>
      </c>
      <c r="I1065" s="117">
        <v>430100</v>
      </c>
      <c r="J1065" s="112" t="s">
        <v>84</v>
      </c>
      <c r="K1065" s="109" t="s">
        <v>87</v>
      </c>
      <c r="L1065" s="2">
        <v>0</v>
      </c>
      <c r="M1065" s="2" t="s">
        <v>84</v>
      </c>
      <c r="N1065" s="2" t="s">
        <v>84</v>
      </c>
      <c r="O1065" s="2" t="s">
        <v>841</v>
      </c>
      <c r="P1065" s="2" t="s">
        <v>143</v>
      </c>
    </row>
    <row r="1066" spans="1:16" ht="22" customHeight="1" x14ac:dyDescent="0.15">
      <c r="A1066" s="10" t="str">
        <f t="shared" si="269"/>
        <v>430_10_24_10_polygon</v>
      </c>
      <c r="B1066" s="2">
        <v>430</v>
      </c>
      <c r="C1066" s="30" t="str">
        <f>VLOOKUP(B1066,gachas!A:C,3)</f>
        <v>アビリティピックアップガチャ</v>
      </c>
      <c r="D1066" s="21">
        <v>10</v>
      </c>
      <c r="E1066" s="2">
        <f t="shared" si="270"/>
        <v>24</v>
      </c>
      <c r="F1066" s="2">
        <v>10</v>
      </c>
      <c r="G1066" s="3" t="s">
        <v>22</v>
      </c>
      <c r="H1066" s="2">
        <v>50</v>
      </c>
      <c r="I1066" s="117">
        <v>430100</v>
      </c>
      <c r="J1066" s="112" t="s">
        <v>84</v>
      </c>
      <c r="K1066" s="109" t="s">
        <v>87</v>
      </c>
      <c r="L1066" s="2">
        <v>0</v>
      </c>
      <c r="M1066" s="2" t="s">
        <v>84</v>
      </c>
      <c r="N1066" s="2" t="s">
        <v>84</v>
      </c>
      <c r="O1066" s="2" t="s">
        <v>841</v>
      </c>
      <c r="P1066" s="2" t="s">
        <v>143</v>
      </c>
    </row>
    <row r="1067" spans="1:16" ht="22" customHeight="1" x14ac:dyDescent="0.15">
      <c r="A1067" s="10" t="str">
        <f t="shared" si="269"/>
        <v>430_10_25_10_polygon</v>
      </c>
      <c r="B1067" s="2">
        <v>430</v>
      </c>
      <c r="C1067" s="30" t="str">
        <f>VLOOKUP(B1067,gachas!A:C,3)</f>
        <v>アビリティピックアップガチャ</v>
      </c>
      <c r="D1067" s="21">
        <v>10</v>
      </c>
      <c r="E1067" s="2">
        <f t="shared" si="270"/>
        <v>25</v>
      </c>
      <c r="F1067" s="2">
        <v>10</v>
      </c>
      <c r="G1067" s="3" t="s">
        <v>22</v>
      </c>
      <c r="H1067" s="2">
        <v>50</v>
      </c>
      <c r="I1067" s="117">
        <v>430100</v>
      </c>
      <c r="J1067" s="112" t="s">
        <v>84</v>
      </c>
      <c r="K1067" s="109">
        <v>430105</v>
      </c>
      <c r="L1067" s="2">
        <v>1</v>
      </c>
      <c r="M1067" s="2" t="s">
        <v>84</v>
      </c>
      <c r="N1067" s="2" t="s">
        <v>84</v>
      </c>
      <c r="O1067" s="2" t="s">
        <v>841</v>
      </c>
      <c r="P1067" s="2" t="s">
        <v>1781</v>
      </c>
    </row>
    <row r="1068" spans="1:16" ht="22" customHeight="1" x14ac:dyDescent="0.15">
      <c r="A1068" s="10" t="str">
        <f t="shared" si="269"/>
        <v>430_10_26_10_polygon</v>
      </c>
      <c r="B1068" s="2">
        <v>430</v>
      </c>
      <c r="C1068" s="30" t="str">
        <f>VLOOKUP(B1068,gachas!A:C,3)</f>
        <v>アビリティピックアップガチャ</v>
      </c>
      <c r="D1068" s="21">
        <v>10</v>
      </c>
      <c r="E1068" s="2">
        <f t="shared" si="270"/>
        <v>26</v>
      </c>
      <c r="F1068" s="2">
        <v>10</v>
      </c>
      <c r="G1068" s="3" t="s">
        <v>22</v>
      </c>
      <c r="H1068" s="2">
        <v>25</v>
      </c>
      <c r="I1068" s="117">
        <v>430100</v>
      </c>
      <c r="J1068" s="112" t="s">
        <v>84</v>
      </c>
      <c r="K1068" s="109" t="s">
        <v>87</v>
      </c>
      <c r="L1068" s="2">
        <v>0</v>
      </c>
      <c r="M1068" s="2" t="s">
        <v>84</v>
      </c>
      <c r="N1068" s="2" t="s">
        <v>84</v>
      </c>
      <c r="O1068" s="2" t="s">
        <v>841</v>
      </c>
      <c r="P1068" s="59" t="s">
        <v>1783</v>
      </c>
    </row>
    <row r="1069" spans="1:16" ht="22" customHeight="1" x14ac:dyDescent="0.15">
      <c r="A1069" s="10" t="str">
        <f t="shared" si="269"/>
        <v>430_10_27_10_polygon</v>
      </c>
      <c r="B1069" s="2">
        <v>430</v>
      </c>
      <c r="C1069" s="30" t="str">
        <f>VLOOKUP(B1069,gachas!A:C,3)</f>
        <v>アビリティピックアップガチャ</v>
      </c>
      <c r="D1069" s="21">
        <v>10</v>
      </c>
      <c r="E1069" s="2">
        <f t="shared" si="270"/>
        <v>27</v>
      </c>
      <c r="F1069" s="2">
        <v>10</v>
      </c>
      <c r="G1069" s="3" t="s">
        <v>22</v>
      </c>
      <c r="H1069" s="2">
        <v>50</v>
      </c>
      <c r="I1069" s="117">
        <v>430100</v>
      </c>
      <c r="J1069" s="112" t="s">
        <v>84</v>
      </c>
      <c r="K1069" s="109" t="s">
        <v>87</v>
      </c>
      <c r="L1069" s="2">
        <v>0</v>
      </c>
      <c r="M1069" s="2" t="s">
        <v>84</v>
      </c>
      <c r="N1069" s="2" t="s">
        <v>84</v>
      </c>
      <c r="O1069" s="2" t="s">
        <v>841</v>
      </c>
      <c r="P1069" s="2" t="s">
        <v>143</v>
      </c>
    </row>
    <row r="1070" spans="1:16" ht="22" customHeight="1" x14ac:dyDescent="0.15">
      <c r="A1070" s="10" t="str">
        <f t="shared" si="269"/>
        <v>430_10_28_10_polygon</v>
      </c>
      <c r="B1070" s="2">
        <v>430</v>
      </c>
      <c r="C1070" s="30" t="str">
        <f>VLOOKUP(B1070,gachas!A:C,3)</f>
        <v>アビリティピックアップガチャ</v>
      </c>
      <c r="D1070" s="21">
        <v>10</v>
      </c>
      <c r="E1070" s="2">
        <f t="shared" si="270"/>
        <v>28</v>
      </c>
      <c r="F1070" s="2">
        <v>10</v>
      </c>
      <c r="G1070" s="3" t="s">
        <v>22</v>
      </c>
      <c r="H1070" s="2">
        <v>50</v>
      </c>
      <c r="I1070" s="117">
        <v>430100</v>
      </c>
      <c r="J1070" s="112" t="s">
        <v>84</v>
      </c>
      <c r="K1070" s="109" t="s">
        <v>87</v>
      </c>
      <c r="L1070" s="2">
        <v>0</v>
      </c>
      <c r="M1070" s="2" t="s">
        <v>84</v>
      </c>
      <c r="N1070" s="2" t="s">
        <v>84</v>
      </c>
      <c r="O1070" s="2" t="s">
        <v>841</v>
      </c>
      <c r="P1070" s="2" t="s">
        <v>143</v>
      </c>
    </row>
    <row r="1071" spans="1:16" ht="22" customHeight="1" x14ac:dyDescent="0.15">
      <c r="A1071" s="10" t="str">
        <f t="shared" si="269"/>
        <v>430_10_29_10_polygon</v>
      </c>
      <c r="B1071" s="2">
        <v>430</v>
      </c>
      <c r="C1071" s="30" t="str">
        <f>VLOOKUP(B1071,gachas!A:C,3)</f>
        <v>アビリティピックアップガチャ</v>
      </c>
      <c r="D1071" s="21">
        <v>10</v>
      </c>
      <c r="E1071" s="2">
        <f t="shared" si="270"/>
        <v>29</v>
      </c>
      <c r="F1071" s="2">
        <v>10</v>
      </c>
      <c r="G1071" s="3" t="s">
        <v>22</v>
      </c>
      <c r="H1071" s="2">
        <v>50</v>
      </c>
      <c r="I1071" s="117">
        <v>430100</v>
      </c>
      <c r="J1071" s="112" t="s">
        <v>84</v>
      </c>
      <c r="K1071" s="109" t="s">
        <v>87</v>
      </c>
      <c r="L1071" s="2">
        <v>0</v>
      </c>
      <c r="M1071" s="2" t="s">
        <v>84</v>
      </c>
      <c r="N1071" s="2" t="s">
        <v>84</v>
      </c>
      <c r="O1071" s="2" t="s">
        <v>841</v>
      </c>
      <c r="P1071" s="2" t="s">
        <v>143</v>
      </c>
    </row>
    <row r="1072" spans="1:16" ht="22" customHeight="1" x14ac:dyDescent="0.15">
      <c r="A1072" s="10" t="str">
        <f t="shared" si="269"/>
        <v>430_10_30_10_polygon</v>
      </c>
      <c r="B1072" s="2">
        <v>430</v>
      </c>
      <c r="C1072" s="30" t="str">
        <f>VLOOKUP(B1072,gachas!A:C,3)</f>
        <v>アビリティピックアップガチャ</v>
      </c>
      <c r="D1072" s="21">
        <v>10</v>
      </c>
      <c r="E1072" s="2">
        <f t="shared" si="270"/>
        <v>30</v>
      </c>
      <c r="F1072" s="2">
        <v>10</v>
      </c>
      <c r="G1072" s="3" t="s">
        <v>22</v>
      </c>
      <c r="H1072" s="2">
        <v>50</v>
      </c>
      <c r="I1072" s="117">
        <v>430100</v>
      </c>
      <c r="J1072" s="112" t="s">
        <v>84</v>
      </c>
      <c r="K1072" s="109">
        <v>430105</v>
      </c>
      <c r="L1072" s="2">
        <v>1</v>
      </c>
      <c r="M1072" s="2" t="s">
        <v>84</v>
      </c>
      <c r="N1072" s="2" t="s">
        <v>84</v>
      </c>
      <c r="O1072" s="2" t="s">
        <v>841</v>
      </c>
      <c r="P1072" s="2" t="s">
        <v>1781</v>
      </c>
    </row>
    <row r="1073" spans="1:16" ht="22" customHeight="1" x14ac:dyDescent="0.15">
      <c r="A1073" s="10" t="str">
        <f t="shared" si="269"/>
        <v>430_10_31_10_polygon</v>
      </c>
      <c r="B1073" s="2">
        <v>430</v>
      </c>
      <c r="C1073" s="30" t="str">
        <f>VLOOKUP(B1073,gachas!A:C,3)</f>
        <v>アビリティピックアップガチャ</v>
      </c>
      <c r="D1073" s="21">
        <v>10</v>
      </c>
      <c r="E1073" s="2">
        <f t="shared" si="270"/>
        <v>31</v>
      </c>
      <c r="F1073" s="2">
        <v>10</v>
      </c>
      <c r="G1073" s="3" t="s">
        <v>22</v>
      </c>
      <c r="H1073" s="2">
        <v>25</v>
      </c>
      <c r="I1073" s="117">
        <v>430100</v>
      </c>
      <c r="J1073" s="112" t="s">
        <v>84</v>
      </c>
      <c r="K1073" s="109" t="s">
        <v>87</v>
      </c>
      <c r="L1073" s="2">
        <v>0</v>
      </c>
      <c r="M1073" s="2" t="s">
        <v>84</v>
      </c>
      <c r="N1073" s="2" t="s">
        <v>84</v>
      </c>
      <c r="O1073" s="2" t="s">
        <v>841</v>
      </c>
      <c r="P1073" s="59" t="s">
        <v>1783</v>
      </c>
    </row>
    <row r="1074" spans="1:16" ht="22" customHeight="1" x14ac:dyDescent="0.15">
      <c r="A1074" s="10" t="str">
        <f t="shared" si="269"/>
        <v>430_10_32_10_polygon</v>
      </c>
      <c r="B1074" s="2">
        <v>430</v>
      </c>
      <c r="C1074" s="30" t="str">
        <f>VLOOKUP(B1074,gachas!A:C,3)</f>
        <v>アビリティピックアップガチャ</v>
      </c>
      <c r="D1074" s="21">
        <v>10</v>
      </c>
      <c r="E1074" s="2">
        <f t="shared" si="270"/>
        <v>32</v>
      </c>
      <c r="F1074" s="2">
        <v>10</v>
      </c>
      <c r="G1074" s="3" t="s">
        <v>22</v>
      </c>
      <c r="H1074" s="2">
        <v>50</v>
      </c>
      <c r="I1074" s="117">
        <v>430100</v>
      </c>
      <c r="J1074" s="112" t="s">
        <v>84</v>
      </c>
      <c r="K1074" s="109" t="s">
        <v>87</v>
      </c>
      <c r="L1074" s="2">
        <v>0</v>
      </c>
      <c r="M1074" s="2" t="s">
        <v>84</v>
      </c>
      <c r="N1074" s="2" t="s">
        <v>84</v>
      </c>
      <c r="O1074" s="2" t="s">
        <v>841</v>
      </c>
      <c r="P1074" s="2" t="s">
        <v>143</v>
      </c>
    </row>
    <row r="1075" spans="1:16" ht="22" customHeight="1" x14ac:dyDescent="0.15">
      <c r="A1075" s="10" t="str">
        <f t="shared" si="269"/>
        <v>430_10_33_10_polygon</v>
      </c>
      <c r="B1075" s="2">
        <v>430</v>
      </c>
      <c r="C1075" s="30" t="str">
        <f>VLOOKUP(B1075,gachas!A:C,3)</f>
        <v>アビリティピックアップガチャ</v>
      </c>
      <c r="D1075" s="21">
        <v>10</v>
      </c>
      <c r="E1075" s="2">
        <f t="shared" si="270"/>
        <v>33</v>
      </c>
      <c r="F1075" s="2">
        <v>10</v>
      </c>
      <c r="G1075" s="3" t="s">
        <v>22</v>
      </c>
      <c r="H1075" s="2">
        <v>50</v>
      </c>
      <c r="I1075" s="117">
        <v>430100</v>
      </c>
      <c r="J1075" s="112" t="s">
        <v>84</v>
      </c>
      <c r="K1075" s="109" t="s">
        <v>87</v>
      </c>
      <c r="L1075" s="2">
        <v>0</v>
      </c>
      <c r="M1075" s="2" t="s">
        <v>84</v>
      </c>
      <c r="N1075" s="2" t="s">
        <v>84</v>
      </c>
      <c r="O1075" s="2" t="s">
        <v>841</v>
      </c>
      <c r="P1075" s="2" t="s">
        <v>143</v>
      </c>
    </row>
    <row r="1076" spans="1:16" ht="22" customHeight="1" x14ac:dyDescent="0.15">
      <c r="A1076" s="10" t="str">
        <f t="shared" si="269"/>
        <v>430_10_34_10_polygon</v>
      </c>
      <c r="B1076" s="2">
        <v>430</v>
      </c>
      <c r="C1076" s="30" t="str">
        <f>VLOOKUP(B1076,gachas!A:C,3)</f>
        <v>アビリティピックアップガチャ</v>
      </c>
      <c r="D1076" s="21">
        <v>10</v>
      </c>
      <c r="E1076" s="2">
        <f t="shared" si="270"/>
        <v>34</v>
      </c>
      <c r="F1076" s="2">
        <v>10</v>
      </c>
      <c r="G1076" s="3" t="s">
        <v>22</v>
      </c>
      <c r="H1076" s="2">
        <v>50</v>
      </c>
      <c r="I1076" s="117">
        <v>430100</v>
      </c>
      <c r="J1076" s="112" t="s">
        <v>84</v>
      </c>
      <c r="K1076" s="109" t="s">
        <v>87</v>
      </c>
      <c r="L1076" s="2">
        <v>0</v>
      </c>
      <c r="M1076" s="2" t="s">
        <v>84</v>
      </c>
      <c r="N1076" s="2" t="s">
        <v>84</v>
      </c>
      <c r="O1076" s="2" t="s">
        <v>841</v>
      </c>
      <c r="P1076" s="2" t="s">
        <v>143</v>
      </c>
    </row>
    <row r="1077" spans="1:16" ht="22" customHeight="1" x14ac:dyDescent="0.15">
      <c r="A1077" s="10" t="str">
        <f t="shared" si="269"/>
        <v>430_10_35_10_polygon</v>
      </c>
      <c r="B1077" s="2">
        <v>430</v>
      </c>
      <c r="C1077" s="30" t="str">
        <f>VLOOKUP(B1077,gachas!A:C,3)</f>
        <v>アビリティピックアップガチャ</v>
      </c>
      <c r="D1077" s="21">
        <v>10</v>
      </c>
      <c r="E1077" s="2">
        <f t="shared" si="270"/>
        <v>35</v>
      </c>
      <c r="F1077" s="2">
        <v>10</v>
      </c>
      <c r="G1077" s="3" t="s">
        <v>22</v>
      </c>
      <c r="H1077" s="2">
        <v>50</v>
      </c>
      <c r="I1077" s="117">
        <v>430100</v>
      </c>
      <c r="J1077" s="112" t="s">
        <v>84</v>
      </c>
      <c r="K1077" s="109">
        <v>430105</v>
      </c>
      <c r="L1077" s="2">
        <v>1</v>
      </c>
      <c r="M1077" s="2" t="s">
        <v>84</v>
      </c>
      <c r="N1077" s="2" t="s">
        <v>84</v>
      </c>
      <c r="O1077" s="2" t="s">
        <v>841</v>
      </c>
      <c r="P1077" s="2" t="s">
        <v>1781</v>
      </c>
    </row>
    <row r="1078" spans="1:16" ht="22" customHeight="1" x14ac:dyDescent="0.15">
      <c r="A1078" s="10" t="str">
        <f t="shared" si="269"/>
        <v>430_10_36_10_polygon</v>
      </c>
      <c r="B1078" s="2">
        <v>430</v>
      </c>
      <c r="C1078" s="30" t="str">
        <f>VLOOKUP(B1078,gachas!A:C,3)</f>
        <v>アビリティピックアップガチャ</v>
      </c>
      <c r="D1078" s="21">
        <v>10</v>
      </c>
      <c r="E1078" s="2">
        <f t="shared" si="270"/>
        <v>36</v>
      </c>
      <c r="F1078" s="2">
        <v>10</v>
      </c>
      <c r="G1078" s="3" t="s">
        <v>22</v>
      </c>
      <c r="H1078" s="2">
        <v>25</v>
      </c>
      <c r="I1078" s="117">
        <v>430100</v>
      </c>
      <c r="J1078" s="112" t="s">
        <v>84</v>
      </c>
      <c r="K1078" s="109" t="s">
        <v>87</v>
      </c>
      <c r="L1078" s="2">
        <v>0</v>
      </c>
      <c r="M1078" s="2" t="s">
        <v>84</v>
      </c>
      <c r="N1078" s="2" t="s">
        <v>84</v>
      </c>
      <c r="O1078" s="2" t="s">
        <v>841</v>
      </c>
      <c r="P1078" s="59" t="s">
        <v>1783</v>
      </c>
    </row>
    <row r="1079" spans="1:16" ht="22" customHeight="1" x14ac:dyDescent="0.15">
      <c r="A1079" s="10" t="str">
        <f t="shared" si="269"/>
        <v>430_10_37_10_polygon</v>
      </c>
      <c r="B1079" s="2">
        <v>430</v>
      </c>
      <c r="C1079" s="30" t="str">
        <f>VLOOKUP(B1079,gachas!A:C,3)</f>
        <v>アビリティピックアップガチャ</v>
      </c>
      <c r="D1079" s="21">
        <v>10</v>
      </c>
      <c r="E1079" s="2">
        <f t="shared" si="270"/>
        <v>37</v>
      </c>
      <c r="F1079" s="2">
        <v>10</v>
      </c>
      <c r="G1079" s="3" t="s">
        <v>22</v>
      </c>
      <c r="H1079" s="2">
        <v>50</v>
      </c>
      <c r="I1079" s="117">
        <v>430100</v>
      </c>
      <c r="J1079" s="112" t="s">
        <v>84</v>
      </c>
      <c r="K1079" s="109" t="s">
        <v>87</v>
      </c>
      <c r="L1079" s="2">
        <v>0</v>
      </c>
      <c r="M1079" s="2" t="s">
        <v>84</v>
      </c>
      <c r="N1079" s="2" t="s">
        <v>84</v>
      </c>
      <c r="O1079" s="2" t="s">
        <v>841</v>
      </c>
      <c r="P1079" s="2" t="s">
        <v>143</v>
      </c>
    </row>
    <row r="1080" spans="1:16" ht="22" customHeight="1" x14ac:dyDescent="0.15">
      <c r="A1080" s="10" t="str">
        <f t="shared" si="269"/>
        <v>430_10_38_10_polygon</v>
      </c>
      <c r="B1080" s="2">
        <v>430</v>
      </c>
      <c r="C1080" s="30" t="str">
        <f>VLOOKUP(B1080,gachas!A:C,3)</f>
        <v>アビリティピックアップガチャ</v>
      </c>
      <c r="D1080" s="21">
        <v>10</v>
      </c>
      <c r="E1080" s="2">
        <f t="shared" si="270"/>
        <v>38</v>
      </c>
      <c r="F1080" s="2">
        <v>10</v>
      </c>
      <c r="G1080" s="3" t="s">
        <v>22</v>
      </c>
      <c r="H1080" s="2">
        <v>50</v>
      </c>
      <c r="I1080" s="117">
        <v>430100</v>
      </c>
      <c r="J1080" s="112" t="s">
        <v>84</v>
      </c>
      <c r="K1080" s="109" t="s">
        <v>87</v>
      </c>
      <c r="L1080" s="2">
        <v>0</v>
      </c>
      <c r="M1080" s="2" t="s">
        <v>84</v>
      </c>
      <c r="N1080" s="2" t="s">
        <v>84</v>
      </c>
      <c r="O1080" s="2" t="s">
        <v>841</v>
      </c>
      <c r="P1080" s="2" t="s">
        <v>143</v>
      </c>
    </row>
    <row r="1081" spans="1:16" ht="22" customHeight="1" x14ac:dyDescent="0.15">
      <c r="A1081" s="10" t="str">
        <f t="shared" si="269"/>
        <v>430_10_39_10_polygon</v>
      </c>
      <c r="B1081" s="2">
        <v>430</v>
      </c>
      <c r="C1081" s="30" t="str">
        <f>VLOOKUP(B1081,gachas!A:C,3)</f>
        <v>アビリティピックアップガチャ</v>
      </c>
      <c r="D1081" s="21">
        <v>10</v>
      </c>
      <c r="E1081" s="2">
        <f t="shared" si="270"/>
        <v>39</v>
      </c>
      <c r="F1081" s="2">
        <v>10</v>
      </c>
      <c r="G1081" s="3" t="s">
        <v>22</v>
      </c>
      <c r="H1081" s="2">
        <v>50</v>
      </c>
      <c r="I1081" s="117">
        <v>430100</v>
      </c>
      <c r="J1081" s="112" t="s">
        <v>84</v>
      </c>
      <c r="K1081" s="109" t="s">
        <v>87</v>
      </c>
      <c r="L1081" s="2">
        <v>0</v>
      </c>
      <c r="M1081" s="2" t="s">
        <v>84</v>
      </c>
      <c r="N1081" s="2" t="s">
        <v>84</v>
      </c>
      <c r="O1081" s="2" t="s">
        <v>841</v>
      </c>
      <c r="P1081" s="2" t="s">
        <v>143</v>
      </c>
    </row>
    <row r="1082" spans="1:16" ht="22" customHeight="1" x14ac:dyDescent="0.15">
      <c r="A1082" s="10" t="str">
        <f t="shared" si="269"/>
        <v>430_10_40_10_polygon</v>
      </c>
      <c r="B1082" s="2">
        <v>430</v>
      </c>
      <c r="C1082" s="30" t="str">
        <f>VLOOKUP(B1082,gachas!A:C,3)</f>
        <v>アビリティピックアップガチャ</v>
      </c>
      <c r="D1082" s="21">
        <v>10</v>
      </c>
      <c r="E1082" s="2">
        <f t="shared" si="270"/>
        <v>40</v>
      </c>
      <c r="F1082" s="2">
        <v>10</v>
      </c>
      <c r="G1082" s="3" t="s">
        <v>22</v>
      </c>
      <c r="H1082" s="2">
        <v>50</v>
      </c>
      <c r="I1082" s="117">
        <v>430100</v>
      </c>
      <c r="J1082" s="112" t="s">
        <v>84</v>
      </c>
      <c r="K1082" s="109">
        <v>430105</v>
      </c>
      <c r="L1082" s="2">
        <v>1</v>
      </c>
      <c r="M1082" s="2" t="s">
        <v>84</v>
      </c>
      <c r="N1082" s="2" t="s">
        <v>84</v>
      </c>
      <c r="O1082" s="2" t="s">
        <v>841</v>
      </c>
      <c r="P1082" s="2" t="s">
        <v>1781</v>
      </c>
    </row>
    <row r="1083" spans="1:16" ht="22" customHeight="1" x14ac:dyDescent="0.15">
      <c r="A1083" s="10" t="str">
        <f t="shared" si="269"/>
        <v>430_10_41_10_polygon</v>
      </c>
      <c r="B1083" s="2">
        <v>430</v>
      </c>
      <c r="C1083" s="30" t="str">
        <f>VLOOKUP(B1083,gachas!A:C,3)</f>
        <v>アビリティピックアップガチャ</v>
      </c>
      <c r="D1083" s="21">
        <v>10</v>
      </c>
      <c r="E1083" s="2">
        <f t="shared" si="270"/>
        <v>41</v>
      </c>
      <c r="F1083" s="2">
        <v>10</v>
      </c>
      <c r="G1083" s="3" t="s">
        <v>22</v>
      </c>
      <c r="H1083" s="2">
        <v>25</v>
      </c>
      <c r="I1083" s="117">
        <v>430100</v>
      </c>
      <c r="J1083" s="112" t="s">
        <v>84</v>
      </c>
      <c r="K1083" s="109" t="s">
        <v>87</v>
      </c>
      <c r="L1083" s="2">
        <v>0</v>
      </c>
      <c r="M1083" s="2" t="s">
        <v>84</v>
      </c>
      <c r="N1083" s="2" t="s">
        <v>84</v>
      </c>
      <c r="O1083" s="2" t="s">
        <v>841</v>
      </c>
      <c r="P1083" s="59" t="s">
        <v>1783</v>
      </c>
    </row>
    <row r="1084" spans="1:16" ht="22" customHeight="1" x14ac:dyDescent="0.15">
      <c r="A1084" s="10" t="str">
        <f t="shared" si="269"/>
        <v>430_10_42_10_polygon</v>
      </c>
      <c r="B1084" s="2">
        <v>430</v>
      </c>
      <c r="C1084" s="30" t="str">
        <f>VLOOKUP(B1084,gachas!A:C,3)</f>
        <v>アビリティピックアップガチャ</v>
      </c>
      <c r="D1084" s="21">
        <v>10</v>
      </c>
      <c r="E1084" s="2">
        <f t="shared" si="270"/>
        <v>42</v>
      </c>
      <c r="F1084" s="2">
        <v>10</v>
      </c>
      <c r="G1084" s="3" t="s">
        <v>22</v>
      </c>
      <c r="H1084" s="2">
        <v>50</v>
      </c>
      <c r="I1084" s="117">
        <v>430100</v>
      </c>
      <c r="J1084" s="112" t="s">
        <v>84</v>
      </c>
      <c r="K1084" s="109" t="s">
        <v>87</v>
      </c>
      <c r="L1084" s="2">
        <v>0</v>
      </c>
      <c r="M1084" s="2" t="s">
        <v>84</v>
      </c>
      <c r="N1084" s="2" t="s">
        <v>84</v>
      </c>
      <c r="O1084" s="2" t="s">
        <v>841</v>
      </c>
      <c r="P1084" s="2" t="s">
        <v>143</v>
      </c>
    </row>
    <row r="1085" spans="1:16" ht="22" customHeight="1" x14ac:dyDescent="0.15">
      <c r="A1085" s="10" t="str">
        <f t="shared" si="269"/>
        <v>430_10_43_10_polygon</v>
      </c>
      <c r="B1085" s="2">
        <v>430</v>
      </c>
      <c r="C1085" s="30" t="str">
        <f>VLOOKUP(B1085,gachas!A:C,3)</f>
        <v>アビリティピックアップガチャ</v>
      </c>
      <c r="D1085" s="21">
        <v>10</v>
      </c>
      <c r="E1085" s="2">
        <f t="shared" si="270"/>
        <v>43</v>
      </c>
      <c r="F1085" s="2">
        <v>10</v>
      </c>
      <c r="G1085" s="3" t="s">
        <v>22</v>
      </c>
      <c r="H1085" s="2">
        <v>50</v>
      </c>
      <c r="I1085" s="117">
        <v>430100</v>
      </c>
      <c r="J1085" s="112" t="s">
        <v>84</v>
      </c>
      <c r="K1085" s="109" t="s">
        <v>87</v>
      </c>
      <c r="L1085" s="2">
        <v>0</v>
      </c>
      <c r="M1085" s="2" t="s">
        <v>84</v>
      </c>
      <c r="N1085" s="2" t="s">
        <v>84</v>
      </c>
      <c r="O1085" s="2" t="s">
        <v>841</v>
      </c>
      <c r="P1085" s="2" t="s">
        <v>143</v>
      </c>
    </row>
    <row r="1086" spans="1:16" ht="22" customHeight="1" x14ac:dyDescent="0.15">
      <c r="A1086" s="10" t="str">
        <f t="shared" si="269"/>
        <v>430_10_44_10_polygon</v>
      </c>
      <c r="B1086" s="2">
        <v>430</v>
      </c>
      <c r="C1086" s="30" t="str">
        <f>VLOOKUP(B1086,gachas!A:C,3)</f>
        <v>アビリティピックアップガチャ</v>
      </c>
      <c r="D1086" s="21">
        <v>10</v>
      </c>
      <c r="E1086" s="2">
        <f t="shared" si="270"/>
        <v>44</v>
      </c>
      <c r="F1086" s="2">
        <v>10</v>
      </c>
      <c r="G1086" s="3" t="s">
        <v>22</v>
      </c>
      <c r="H1086" s="2">
        <v>50</v>
      </c>
      <c r="I1086" s="117">
        <v>430100</v>
      </c>
      <c r="J1086" s="112" t="s">
        <v>84</v>
      </c>
      <c r="K1086" s="109" t="s">
        <v>87</v>
      </c>
      <c r="L1086" s="2">
        <v>0</v>
      </c>
      <c r="M1086" s="2" t="s">
        <v>84</v>
      </c>
      <c r="N1086" s="2" t="s">
        <v>84</v>
      </c>
      <c r="O1086" s="2" t="s">
        <v>841</v>
      </c>
      <c r="P1086" s="2" t="s">
        <v>143</v>
      </c>
    </row>
    <row r="1087" spans="1:16" ht="22" customHeight="1" x14ac:dyDescent="0.15">
      <c r="A1087" s="10" t="str">
        <f t="shared" si="269"/>
        <v>430_10_45_10_polygon</v>
      </c>
      <c r="B1087" s="2">
        <v>430</v>
      </c>
      <c r="C1087" s="30" t="str">
        <f>VLOOKUP(B1087,gachas!A:C,3)</f>
        <v>アビリティピックアップガチャ</v>
      </c>
      <c r="D1087" s="21">
        <v>10</v>
      </c>
      <c r="E1087" s="2">
        <f t="shared" si="270"/>
        <v>45</v>
      </c>
      <c r="F1087" s="2">
        <v>10</v>
      </c>
      <c r="G1087" s="3" t="s">
        <v>22</v>
      </c>
      <c r="H1087" s="2">
        <v>50</v>
      </c>
      <c r="I1087" s="117">
        <v>430100</v>
      </c>
      <c r="J1087" s="112" t="s">
        <v>84</v>
      </c>
      <c r="K1087" s="109">
        <v>430105</v>
      </c>
      <c r="L1087" s="2">
        <v>1</v>
      </c>
      <c r="M1087" s="2" t="s">
        <v>84</v>
      </c>
      <c r="N1087" s="2" t="s">
        <v>84</v>
      </c>
      <c r="O1087" s="2" t="s">
        <v>841</v>
      </c>
      <c r="P1087" s="2" t="s">
        <v>1781</v>
      </c>
    </row>
    <row r="1088" spans="1:16" ht="22" customHeight="1" x14ac:dyDescent="0.15">
      <c r="A1088" s="10" t="str">
        <f t="shared" si="269"/>
        <v>430_10_46_10_polygon</v>
      </c>
      <c r="B1088" s="2">
        <v>430</v>
      </c>
      <c r="C1088" s="30" t="str">
        <f>VLOOKUP(B1088,gachas!A:C,3)</f>
        <v>アビリティピックアップガチャ</v>
      </c>
      <c r="D1088" s="21">
        <v>10</v>
      </c>
      <c r="E1088" s="2">
        <f t="shared" si="270"/>
        <v>46</v>
      </c>
      <c r="F1088" s="2">
        <v>10</v>
      </c>
      <c r="G1088" s="3" t="s">
        <v>22</v>
      </c>
      <c r="H1088" s="2">
        <v>25</v>
      </c>
      <c r="I1088" s="117">
        <v>430100</v>
      </c>
      <c r="J1088" s="112" t="s">
        <v>84</v>
      </c>
      <c r="K1088" s="109" t="s">
        <v>87</v>
      </c>
      <c r="L1088" s="2">
        <v>0</v>
      </c>
      <c r="M1088" s="2" t="s">
        <v>84</v>
      </c>
      <c r="N1088" s="2" t="s">
        <v>84</v>
      </c>
      <c r="O1088" s="2" t="s">
        <v>841</v>
      </c>
      <c r="P1088" s="59" t="s">
        <v>1783</v>
      </c>
    </row>
    <row r="1089" spans="1:16" ht="22" customHeight="1" x14ac:dyDescent="0.15">
      <c r="A1089" s="10" t="str">
        <f t="shared" si="269"/>
        <v>430_10_47_10_polygon</v>
      </c>
      <c r="B1089" s="2">
        <v>430</v>
      </c>
      <c r="C1089" s="30" t="str">
        <f>VLOOKUP(B1089,gachas!A:C,3)</f>
        <v>アビリティピックアップガチャ</v>
      </c>
      <c r="D1089" s="21">
        <v>10</v>
      </c>
      <c r="E1089" s="2">
        <f t="shared" si="270"/>
        <v>47</v>
      </c>
      <c r="F1089" s="2">
        <v>10</v>
      </c>
      <c r="G1089" s="3" t="s">
        <v>22</v>
      </c>
      <c r="H1089" s="2">
        <v>50</v>
      </c>
      <c r="I1089" s="117">
        <v>430100</v>
      </c>
      <c r="J1089" s="112" t="s">
        <v>84</v>
      </c>
      <c r="K1089" s="109" t="s">
        <v>87</v>
      </c>
      <c r="L1089" s="2">
        <v>0</v>
      </c>
      <c r="M1089" s="2" t="s">
        <v>84</v>
      </c>
      <c r="N1089" s="2" t="s">
        <v>84</v>
      </c>
      <c r="O1089" s="2" t="s">
        <v>841</v>
      </c>
      <c r="P1089" s="2" t="s">
        <v>143</v>
      </c>
    </row>
    <row r="1090" spans="1:16" ht="22" customHeight="1" x14ac:dyDescent="0.15">
      <c r="A1090" s="10" t="str">
        <f t="shared" si="269"/>
        <v>430_10_48_10_polygon</v>
      </c>
      <c r="B1090" s="2">
        <v>430</v>
      </c>
      <c r="C1090" s="30" t="str">
        <f>VLOOKUP(B1090,gachas!A:C,3)</f>
        <v>アビリティピックアップガチャ</v>
      </c>
      <c r="D1090" s="21">
        <v>10</v>
      </c>
      <c r="E1090" s="2">
        <f t="shared" si="270"/>
        <v>48</v>
      </c>
      <c r="F1090" s="2">
        <v>10</v>
      </c>
      <c r="G1090" s="3" t="s">
        <v>22</v>
      </c>
      <c r="H1090" s="2">
        <v>50</v>
      </c>
      <c r="I1090" s="117">
        <v>430100</v>
      </c>
      <c r="J1090" s="112" t="s">
        <v>84</v>
      </c>
      <c r="K1090" s="109" t="s">
        <v>87</v>
      </c>
      <c r="L1090" s="2">
        <v>0</v>
      </c>
      <c r="M1090" s="2" t="s">
        <v>84</v>
      </c>
      <c r="N1090" s="2" t="s">
        <v>84</v>
      </c>
      <c r="O1090" s="2" t="s">
        <v>841</v>
      </c>
      <c r="P1090" s="2" t="s">
        <v>143</v>
      </c>
    </row>
    <row r="1091" spans="1:16" ht="22" customHeight="1" x14ac:dyDescent="0.15">
      <c r="A1091" s="10" t="str">
        <f t="shared" si="269"/>
        <v>430_10_49_10_polygon</v>
      </c>
      <c r="B1091" s="2">
        <v>430</v>
      </c>
      <c r="C1091" s="30" t="str">
        <f>VLOOKUP(B1091,gachas!A:C,3)</f>
        <v>アビリティピックアップガチャ</v>
      </c>
      <c r="D1091" s="21">
        <v>10</v>
      </c>
      <c r="E1091" s="2">
        <f t="shared" si="270"/>
        <v>49</v>
      </c>
      <c r="F1091" s="2">
        <v>10</v>
      </c>
      <c r="G1091" s="3" t="s">
        <v>22</v>
      </c>
      <c r="H1091" s="2">
        <v>50</v>
      </c>
      <c r="I1091" s="117">
        <v>430100</v>
      </c>
      <c r="J1091" s="112" t="s">
        <v>84</v>
      </c>
      <c r="K1091" s="109" t="s">
        <v>87</v>
      </c>
      <c r="L1091" s="2">
        <v>0</v>
      </c>
      <c r="M1091" s="2" t="s">
        <v>84</v>
      </c>
      <c r="N1091" s="2" t="s">
        <v>84</v>
      </c>
      <c r="O1091" s="2" t="s">
        <v>841</v>
      </c>
      <c r="P1091" s="2" t="s">
        <v>143</v>
      </c>
    </row>
    <row r="1092" spans="1:16" ht="22" customHeight="1" x14ac:dyDescent="0.15">
      <c r="A1092" s="10" t="str">
        <f t="shared" si="269"/>
        <v>430_10_50_10_polygon</v>
      </c>
      <c r="B1092" s="2">
        <v>430</v>
      </c>
      <c r="C1092" s="30" t="str">
        <f>VLOOKUP(B1092,gachas!A:C,3)</f>
        <v>アビリティピックアップガチャ</v>
      </c>
      <c r="D1092" s="21">
        <v>10</v>
      </c>
      <c r="E1092" s="2">
        <f t="shared" si="270"/>
        <v>50</v>
      </c>
      <c r="F1092" s="2">
        <v>10</v>
      </c>
      <c r="G1092" s="3" t="s">
        <v>22</v>
      </c>
      <c r="H1092" s="2">
        <v>50</v>
      </c>
      <c r="I1092" s="117">
        <v>430100</v>
      </c>
      <c r="J1092" s="112" t="s">
        <v>84</v>
      </c>
      <c r="K1092" s="109">
        <v>430105</v>
      </c>
      <c r="L1092" s="2">
        <v>1</v>
      </c>
      <c r="M1092" s="2" t="s">
        <v>84</v>
      </c>
      <c r="N1092" s="2" t="s">
        <v>84</v>
      </c>
      <c r="O1092" s="2" t="s">
        <v>841</v>
      </c>
      <c r="P1092" s="2" t="s">
        <v>1781</v>
      </c>
    </row>
    <row r="1093" spans="1:16" ht="22" customHeight="1" x14ac:dyDescent="0.15">
      <c r="A1093" s="10" t="str">
        <f t="shared" ref="A1093" si="271">B1093&amp;"_"&amp;D1093&amp;"_"&amp;E1093&amp;"_"&amp;F1093&amp;"_"&amp;G1093</f>
        <v>431_10_1_5_polygon</v>
      </c>
      <c r="B1093" s="2">
        <v>431</v>
      </c>
      <c r="C1093" s="30" t="str">
        <f>VLOOKUP(B1093,gachas!A:C,3)</f>
        <v>ニューフェイスガチャ（インド第2弾）</v>
      </c>
      <c r="D1093" s="21">
        <v>10</v>
      </c>
      <c r="E1093" s="2">
        <v>1</v>
      </c>
      <c r="F1093" s="2">
        <v>5</v>
      </c>
      <c r="G1093" s="3" t="s">
        <v>22</v>
      </c>
      <c r="H1093" s="2">
        <v>15</v>
      </c>
      <c r="I1093" s="117">
        <v>431100</v>
      </c>
      <c r="J1093" s="112" t="s">
        <v>84</v>
      </c>
      <c r="K1093" s="2" t="s">
        <v>84</v>
      </c>
      <c r="L1093" s="2">
        <v>0</v>
      </c>
      <c r="M1093" s="2" t="s">
        <v>84</v>
      </c>
      <c r="N1093" s="2" t="s">
        <v>84</v>
      </c>
      <c r="O1093" s="2" t="s">
        <v>841</v>
      </c>
      <c r="P1093" s="2" t="s">
        <v>1695</v>
      </c>
    </row>
    <row r="1094" spans="1:16" ht="22" customHeight="1" x14ac:dyDescent="0.15">
      <c r="A1094" s="10" t="str">
        <f t="shared" ref="A1094:A1143" si="272">B1094&amp;"_"&amp;D1094&amp;"_"&amp;E1094&amp;"_"&amp;F1094&amp;"_"&amp;G1094</f>
        <v>431_10_2_10_polygon</v>
      </c>
      <c r="B1094" s="2">
        <v>431</v>
      </c>
      <c r="C1094" s="30" t="str">
        <f>VLOOKUP(B1094,gachas!A:C,3)</f>
        <v>ニューフェイスガチャ（インド第2弾）</v>
      </c>
      <c r="D1094" s="21">
        <v>10</v>
      </c>
      <c r="E1094" s="2">
        <f>E1093+1</f>
        <v>2</v>
      </c>
      <c r="F1094" s="2">
        <v>10</v>
      </c>
      <c r="G1094" s="3" t="s">
        <v>22</v>
      </c>
      <c r="H1094" s="2">
        <v>35</v>
      </c>
      <c r="I1094" s="117">
        <v>431100</v>
      </c>
      <c r="J1094" s="112">
        <v>431102</v>
      </c>
      <c r="K1094" s="2" t="s">
        <v>84</v>
      </c>
      <c r="L1094" s="2">
        <v>0</v>
      </c>
      <c r="M1094" s="2" t="s">
        <v>84</v>
      </c>
      <c r="N1094" s="2" t="s">
        <v>84</v>
      </c>
      <c r="O1094" s="2" t="s">
        <v>841</v>
      </c>
      <c r="P1094" s="2" t="s">
        <v>1696</v>
      </c>
    </row>
    <row r="1095" spans="1:16" ht="22" customHeight="1" x14ac:dyDescent="0.15">
      <c r="A1095" s="10" t="str">
        <f t="shared" si="272"/>
        <v>431_10_3_10_polygon</v>
      </c>
      <c r="B1095" s="2">
        <v>431</v>
      </c>
      <c r="C1095" s="30" t="str">
        <f>VLOOKUP(B1095,gachas!A:C,3)</f>
        <v>ニューフェイスガチャ（インド第2弾）</v>
      </c>
      <c r="D1095" s="21">
        <v>10</v>
      </c>
      <c r="E1095" s="2">
        <f>E1094+1</f>
        <v>3</v>
      </c>
      <c r="F1095" s="2">
        <v>10</v>
      </c>
      <c r="G1095" s="3" t="s">
        <v>22</v>
      </c>
      <c r="H1095" s="2">
        <v>40</v>
      </c>
      <c r="I1095" s="117">
        <v>431100</v>
      </c>
      <c r="J1095" s="112">
        <v>431103</v>
      </c>
      <c r="K1095" s="2" t="s">
        <v>84</v>
      </c>
      <c r="L1095" s="2">
        <v>0</v>
      </c>
      <c r="M1095" s="2" t="s">
        <v>84</v>
      </c>
      <c r="N1095" s="2" t="s">
        <v>84</v>
      </c>
      <c r="O1095" s="2" t="s">
        <v>841</v>
      </c>
      <c r="P1095" s="2" t="s">
        <v>1697</v>
      </c>
    </row>
    <row r="1096" spans="1:16" ht="22" customHeight="1" x14ac:dyDescent="0.15">
      <c r="A1096" s="10" t="str">
        <f t="shared" si="272"/>
        <v>431_10_4_10_polygon</v>
      </c>
      <c r="B1096" s="2">
        <v>431</v>
      </c>
      <c r="C1096" s="30" t="str">
        <f>VLOOKUP(B1096,gachas!A:C,3)</f>
        <v>ニューフェイスガチャ（インド第2弾）</v>
      </c>
      <c r="D1096" s="21">
        <v>10</v>
      </c>
      <c r="E1096" s="2">
        <f>E1095+1</f>
        <v>4</v>
      </c>
      <c r="F1096" s="2">
        <v>10</v>
      </c>
      <c r="G1096" s="3" t="s">
        <v>22</v>
      </c>
      <c r="H1096" s="2">
        <v>50</v>
      </c>
      <c r="I1096" s="117">
        <v>431100</v>
      </c>
      <c r="J1096" s="112">
        <v>431104</v>
      </c>
      <c r="K1096" s="2" t="s">
        <v>84</v>
      </c>
      <c r="L1096" s="2">
        <v>0</v>
      </c>
      <c r="M1096" s="2" t="s">
        <v>84</v>
      </c>
      <c r="N1096" s="2" t="s">
        <v>84</v>
      </c>
      <c r="O1096" s="2" t="s">
        <v>841</v>
      </c>
      <c r="P1096" s="2" t="s">
        <v>1698</v>
      </c>
    </row>
    <row r="1097" spans="1:16" ht="22" customHeight="1" x14ac:dyDescent="0.15">
      <c r="A1097" s="10" t="str">
        <f t="shared" si="272"/>
        <v>431_10_5_10_polygon</v>
      </c>
      <c r="B1097" s="2">
        <v>431</v>
      </c>
      <c r="C1097" s="30" t="str">
        <f>VLOOKUP(B1097,gachas!A:C,3)</f>
        <v>ニューフェイスガチャ（インド第2弾）</v>
      </c>
      <c r="D1097" s="21">
        <v>10</v>
      </c>
      <c r="E1097" s="2">
        <f>E1096+1</f>
        <v>5</v>
      </c>
      <c r="F1097" s="2">
        <v>10</v>
      </c>
      <c r="G1097" s="3" t="s">
        <v>22</v>
      </c>
      <c r="H1097" s="2">
        <v>50</v>
      </c>
      <c r="I1097" s="117">
        <v>431100</v>
      </c>
      <c r="J1097" s="112" t="s">
        <v>84</v>
      </c>
      <c r="K1097" s="2">
        <v>431105</v>
      </c>
      <c r="L1097" s="2">
        <v>1</v>
      </c>
      <c r="M1097" s="2" t="s">
        <v>84</v>
      </c>
      <c r="N1097" s="2" t="s">
        <v>84</v>
      </c>
      <c r="O1097" s="2" t="s">
        <v>841</v>
      </c>
      <c r="P1097" s="2" t="s">
        <v>1699</v>
      </c>
    </row>
    <row r="1098" spans="1:16" ht="22" customHeight="1" x14ac:dyDescent="0.15">
      <c r="A1098" s="10" t="str">
        <f t="shared" si="272"/>
        <v>431_10_6_5_polygon</v>
      </c>
      <c r="B1098" s="2">
        <v>431</v>
      </c>
      <c r="C1098" s="30" t="str">
        <f>VLOOKUP(B1098,gachas!A:C,3)</f>
        <v>ニューフェイスガチャ（インド第2弾）</v>
      </c>
      <c r="D1098" s="21">
        <v>10</v>
      </c>
      <c r="E1098" s="2">
        <f t="shared" ref="E1098:E1142" si="273">E1097+1</f>
        <v>6</v>
      </c>
      <c r="F1098" s="2">
        <v>5</v>
      </c>
      <c r="G1098" s="3" t="s">
        <v>22</v>
      </c>
      <c r="H1098" s="2">
        <v>15</v>
      </c>
      <c r="I1098" s="117">
        <v>431100</v>
      </c>
      <c r="J1098" s="112" t="s">
        <v>84</v>
      </c>
      <c r="K1098" s="2" t="s">
        <v>84</v>
      </c>
      <c r="L1098" s="2">
        <v>0</v>
      </c>
      <c r="M1098" s="2" t="s">
        <v>84</v>
      </c>
      <c r="N1098" s="2" t="s">
        <v>84</v>
      </c>
      <c r="O1098" s="2" t="s">
        <v>841</v>
      </c>
      <c r="P1098" s="2" t="s">
        <v>1695</v>
      </c>
    </row>
    <row r="1099" spans="1:16" ht="22" customHeight="1" x14ac:dyDescent="0.15">
      <c r="A1099" s="10" t="str">
        <f t="shared" si="272"/>
        <v>431_10_7_10_polygon</v>
      </c>
      <c r="B1099" s="2">
        <v>431</v>
      </c>
      <c r="C1099" s="30" t="str">
        <f>VLOOKUP(B1099,gachas!A:C,3)</f>
        <v>ニューフェイスガチャ（インド第2弾）</v>
      </c>
      <c r="D1099" s="21">
        <v>10</v>
      </c>
      <c r="E1099" s="2">
        <f t="shared" si="273"/>
        <v>7</v>
      </c>
      <c r="F1099" s="2">
        <v>10</v>
      </c>
      <c r="G1099" s="3" t="s">
        <v>22</v>
      </c>
      <c r="H1099" s="2">
        <v>35</v>
      </c>
      <c r="I1099" s="117">
        <v>431100</v>
      </c>
      <c r="J1099" s="112">
        <v>431102</v>
      </c>
      <c r="K1099" s="2" t="s">
        <v>84</v>
      </c>
      <c r="L1099" s="2">
        <v>0</v>
      </c>
      <c r="M1099" s="2" t="s">
        <v>84</v>
      </c>
      <c r="N1099" s="2" t="s">
        <v>84</v>
      </c>
      <c r="O1099" s="2" t="s">
        <v>841</v>
      </c>
      <c r="P1099" s="2" t="s">
        <v>1696</v>
      </c>
    </row>
    <row r="1100" spans="1:16" ht="22" customHeight="1" x14ac:dyDescent="0.15">
      <c r="A1100" s="10" t="str">
        <f t="shared" si="272"/>
        <v>431_10_8_10_polygon</v>
      </c>
      <c r="B1100" s="2">
        <v>431</v>
      </c>
      <c r="C1100" s="30" t="str">
        <f>VLOOKUP(B1100,gachas!A:C,3)</f>
        <v>ニューフェイスガチャ（インド第2弾）</v>
      </c>
      <c r="D1100" s="21">
        <v>10</v>
      </c>
      <c r="E1100" s="2">
        <f t="shared" si="273"/>
        <v>8</v>
      </c>
      <c r="F1100" s="2">
        <v>10</v>
      </c>
      <c r="G1100" s="3" t="s">
        <v>22</v>
      </c>
      <c r="H1100" s="2">
        <v>40</v>
      </c>
      <c r="I1100" s="117">
        <v>431100</v>
      </c>
      <c r="J1100" s="112">
        <v>431103</v>
      </c>
      <c r="K1100" s="2" t="s">
        <v>84</v>
      </c>
      <c r="L1100" s="2">
        <v>0</v>
      </c>
      <c r="M1100" s="2" t="s">
        <v>84</v>
      </c>
      <c r="N1100" s="2" t="s">
        <v>84</v>
      </c>
      <c r="O1100" s="2" t="s">
        <v>841</v>
      </c>
      <c r="P1100" s="2" t="s">
        <v>1697</v>
      </c>
    </row>
    <row r="1101" spans="1:16" ht="22" customHeight="1" x14ac:dyDescent="0.15">
      <c r="A1101" s="10" t="str">
        <f t="shared" si="272"/>
        <v>431_10_9_10_polygon</v>
      </c>
      <c r="B1101" s="2">
        <v>431</v>
      </c>
      <c r="C1101" s="30" t="str">
        <f>VLOOKUP(B1101,gachas!A:C,3)</f>
        <v>ニューフェイスガチャ（インド第2弾）</v>
      </c>
      <c r="D1101" s="21">
        <v>10</v>
      </c>
      <c r="E1101" s="2">
        <f t="shared" si="273"/>
        <v>9</v>
      </c>
      <c r="F1101" s="2">
        <v>10</v>
      </c>
      <c r="G1101" s="3" t="s">
        <v>22</v>
      </c>
      <c r="H1101" s="2">
        <v>50</v>
      </c>
      <c r="I1101" s="117">
        <v>431100</v>
      </c>
      <c r="J1101" s="112">
        <v>431104</v>
      </c>
      <c r="K1101" s="2" t="s">
        <v>84</v>
      </c>
      <c r="L1101" s="2">
        <v>0</v>
      </c>
      <c r="M1101" s="2" t="s">
        <v>84</v>
      </c>
      <c r="N1101" s="2" t="s">
        <v>84</v>
      </c>
      <c r="O1101" s="2" t="s">
        <v>841</v>
      </c>
      <c r="P1101" s="2" t="s">
        <v>1698</v>
      </c>
    </row>
    <row r="1102" spans="1:16" ht="22" customHeight="1" x14ac:dyDescent="0.15">
      <c r="A1102" s="10" t="str">
        <f t="shared" si="272"/>
        <v>431_10_10_10_polygon</v>
      </c>
      <c r="B1102" s="2">
        <v>431</v>
      </c>
      <c r="C1102" s="30" t="str">
        <f>VLOOKUP(B1102,gachas!A:C,3)</f>
        <v>ニューフェイスガチャ（インド第2弾）</v>
      </c>
      <c r="D1102" s="21">
        <v>10</v>
      </c>
      <c r="E1102" s="2">
        <f t="shared" si="273"/>
        <v>10</v>
      </c>
      <c r="F1102" s="2">
        <v>10</v>
      </c>
      <c r="G1102" s="3" t="s">
        <v>22</v>
      </c>
      <c r="H1102" s="2">
        <v>50</v>
      </c>
      <c r="I1102" s="117">
        <v>431100</v>
      </c>
      <c r="J1102" s="112" t="s">
        <v>84</v>
      </c>
      <c r="K1102" s="2">
        <v>431105</v>
      </c>
      <c r="L1102" s="2">
        <v>1</v>
      </c>
      <c r="M1102" s="2" t="s">
        <v>84</v>
      </c>
      <c r="N1102" s="2" t="s">
        <v>84</v>
      </c>
      <c r="O1102" s="2" t="s">
        <v>841</v>
      </c>
      <c r="P1102" s="2" t="s">
        <v>1699</v>
      </c>
    </row>
    <row r="1103" spans="1:16" ht="22" customHeight="1" x14ac:dyDescent="0.15">
      <c r="A1103" s="10" t="str">
        <f t="shared" si="272"/>
        <v>431_10_11_5_polygon</v>
      </c>
      <c r="B1103" s="2">
        <v>431</v>
      </c>
      <c r="C1103" s="30" t="str">
        <f>VLOOKUP(B1103,gachas!A:C,3)</f>
        <v>ニューフェイスガチャ（インド第2弾）</v>
      </c>
      <c r="D1103" s="21">
        <v>10</v>
      </c>
      <c r="E1103" s="2">
        <f t="shared" si="273"/>
        <v>11</v>
      </c>
      <c r="F1103" s="2">
        <v>5</v>
      </c>
      <c r="G1103" s="3" t="s">
        <v>22</v>
      </c>
      <c r="H1103" s="2">
        <v>15</v>
      </c>
      <c r="I1103" s="117">
        <v>431100</v>
      </c>
      <c r="J1103" s="112" t="s">
        <v>84</v>
      </c>
      <c r="K1103" s="2" t="s">
        <v>84</v>
      </c>
      <c r="L1103" s="2">
        <v>0</v>
      </c>
      <c r="M1103" s="2" t="s">
        <v>84</v>
      </c>
      <c r="N1103" s="2" t="s">
        <v>84</v>
      </c>
      <c r="O1103" s="2" t="s">
        <v>841</v>
      </c>
      <c r="P1103" s="2" t="s">
        <v>1695</v>
      </c>
    </row>
    <row r="1104" spans="1:16" ht="22" customHeight="1" x14ac:dyDescent="0.15">
      <c r="A1104" s="10" t="str">
        <f t="shared" si="272"/>
        <v>431_10_12_10_polygon</v>
      </c>
      <c r="B1104" s="2">
        <v>431</v>
      </c>
      <c r="C1104" s="30" t="str">
        <f>VLOOKUP(B1104,gachas!A:C,3)</f>
        <v>ニューフェイスガチャ（インド第2弾）</v>
      </c>
      <c r="D1104" s="21">
        <v>10</v>
      </c>
      <c r="E1104" s="2">
        <f t="shared" si="273"/>
        <v>12</v>
      </c>
      <c r="F1104" s="2">
        <v>10</v>
      </c>
      <c r="G1104" s="3" t="s">
        <v>22</v>
      </c>
      <c r="H1104" s="2">
        <v>35</v>
      </c>
      <c r="I1104" s="117">
        <v>431100</v>
      </c>
      <c r="J1104" s="112">
        <v>431102</v>
      </c>
      <c r="K1104" s="2" t="s">
        <v>84</v>
      </c>
      <c r="L1104" s="2">
        <v>0</v>
      </c>
      <c r="M1104" s="2" t="s">
        <v>84</v>
      </c>
      <c r="N1104" s="2" t="s">
        <v>84</v>
      </c>
      <c r="O1104" s="2" t="s">
        <v>841</v>
      </c>
      <c r="P1104" s="2" t="s">
        <v>1696</v>
      </c>
    </row>
    <row r="1105" spans="1:16" ht="22" customHeight="1" x14ac:dyDescent="0.15">
      <c r="A1105" s="10" t="str">
        <f t="shared" si="272"/>
        <v>431_10_13_10_polygon</v>
      </c>
      <c r="B1105" s="2">
        <v>431</v>
      </c>
      <c r="C1105" s="30" t="str">
        <f>VLOOKUP(B1105,gachas!A:C,3)</f>
        <v>ニューフェイスガチャ（インド第2弾）</v>
      </c>
      <c r="D1105" s="21">
        <v>10</v>
      </c>
      <c r="E1105" s="2">
        <f t="shared" si="273"/>
        <v>13</v>
      </c>
      <c r="F1105" s="2">
        <v>10</v>
      </c>
      <c r="G1105" s="3" t="s">
        <v>22</v>
      </c>
      <c r="H1105" s="2">
        <v>40</v>
      </c>
      <c r="I1105" s="117">
        <v>431100</v>
      </c>
      <c r="J1105" s="112">
        <v>431103</v>
      </c>
      <c r="K1105" s="2" t="s">
        <v>84</v>
      </c>
      <c r="L1105" s="2">
        <v>0</v>
      </c>
      <c r="M1105" s="2" t="s">
        <v>84</v>
      </c>
      <c r="N1105" s="2" t="s">
        <v>84</v>
      </c>
      <c r="O1105" s="2" t="s">
        <v>841</v>
      </c>
      <c r="P1105" s="2" t="s">
        <v>1697</v>
      </c>
    </row>
    <row r="1106" spans="1:16" ht="22" customHeight="1" x14ac:dyDescent="0.15">
      <c r="A1106" s="10" t="str">
        <f t="shared" si="272"/>
        <v>431_10_14_10_polygon</v>
      </c>
      <c r="B1106" s="2">
        <v>431</v>
      </c>
      <c r="C1106" s="30" t="str">
        <f>VLOOKUP(B1106,gachas!A:C,3)</f>
        <v>ニューフェイスガチャ（インド第2弾）</v>
      </c>
      <c r="D1106" s="21">
        <v>10</v>
      </c>
      <c r="E1106" s="2">
        <f t="shared" si="273"/>
        <v>14</v>
      </c>
      <c r="F1106" s="2">
        <v>10</v>
      </c>
      <c r="G1106" s="3" t="s">
        <v>22</v>
      </c>
      <c r="H1106" s="2">
        <v>50</v>
      </c>
      <c r="I1106" s="117">
        <v>431100</v>
      </c>
      <c r="J1106" s="112">
        <v>431104</v>
      </c>
      <c r="K1106" s="2" t="s">
        <v>84</v>
      </c>
      <c r="L1106" s="2">
        <v>0</v>
      </c>
      <c r="M1106" s="2" t="s">
        <v>84</v>
      </c>
      <c r="N1106" s="2" t="s">
        <v>84</v>
      </c>
      <c r="O1106" s="2" t="s">
        <v>841</v>
      </c>
      <c r="P1106" s="2" t="s">
        <v>1698</v>
      </c>
    </row>
    <row r="1107" spans="1:16" ht="22" customHeight="1" x14ac:dyDescent="0.15">
      <c r="A1107" s="10" t="str">
        <f t="shared" si="272"/>
        <v>431_10_15_10_polygon</v>
      </c>
      <c r="B1107" s="2">
        <v>431</v>
      </c>
      <c r="C1107" s="30" t="str">
        <f>VLOOKUP(B1107,gachas!A:C,3)</f>
        <v>ニューフェイスガチャ（インド第2弾）</v>
      </c>
      <c r="D1107" s="21">
        <v>10</v>
      </c>
      <c r="E1107" s="2">
        <f t="shared" si="273"/>
        <v>15</v>
      </c>
      <c r="F1107" s="2">
        <v>10</v>
      </c>
      <c r="G1107" s="3" t="s">
        <v>22</v>
      </c>
      <c r="H1107" s="2">
        <v>50</v>
      </c>
      <c r="I1107" s="117">
        <v>431100</v>
      </c>
      <c r="J1107" s="112" t="s">
        <v>84</v>
      </c>
      <c r="K1107" s="2">
        <v>431105</v>
      </c>
      <c r="L1107" s="2">
        <v>1</v>
      </c>
      <c r="M1107" s="2" t="s">
        <v>84</v>
      </c>
      <c r="N1107" s="2" t="s">
        <v>84</v>
      </c>
      <c r="O1107" s="2" t="s">
        <v>841</v>
      </c>
      <c r="P1107" s="2" t="s">
        <v>1699</v>
      </c>
    </row>
    <row r="1108" spans="1:16" ht="22" customHeight="1" x14ac:dyDescent="0.15">
      <c r="A1108" s="10" t="str">
        <f t="shared" si="272"/>
        <v>431_10_16_5_polygon</v>
      </c>
      <c r="B1108" s="2">
        <v>431</v>
      </c>
      <c r="C1108" s="30" t="str">
        <f>VLOOKUP(B1108,gachas!A:C,3)</f>
        <v>ニューフェイスガチャ（インド第2弾）</v>
      </c>
      <c r="D1108" s="21">
        <v>10</v>
      </c>
      <c r="E1108" s="2">
        <f t="shared" si="273"/>
        <v>16</v>
      </c>
      <c r="F1108" s="2">
        <v>5</v>
      </c>
      <c r="G1108" s="3" t="s">
        <v>22</v>
      </c>
      <c r="H1108" s="2">
        <v>15</v>
      </c>
      <c r="I1108" s="117">
        <v>431100</v>
      </c>
      <c r="J1108" s="112" t="s">
        <v>84</v>
      </c>
      <c r="K1108" s="2" t="s">
        <v>84</v>
      </c>
      <c r="L1108" s="2">
        <v>0</v>
      </c>
      <c r="M1108" s="2" t="s">
        <v>84</v>
      </c>
      <c r="N1108" s="2" t="s">
        <v>84</v>
      </c>
      <c r="O1108" s="2" t="s">
        <v>841</v>
      </c>
      <c r="P1108" s="2" t="s">
        <v>1695</v>
      </c>
    </row>
    <row r="1109" spans="1:16" ht="22" customHeight="1" x14ac:dyDescent="0.15">
      <c r="A1109" s="10" t="str">
        <f t="shared" si="272"/>
        <v>431_10_17_10_polygon</v>
      </c>
      <c r="B1109" s="2">
        <v>431</v>
      </c>
      <c r="C1109" s="30" t="str">
        <f>VLOOKUP(B1109,gachas!A:C,3)</f>
        <v>ニューフェイスガチャ（インド第2弾）</v>
      </c>
      <c r="D1109" s="21">
        <v>10</v>
      </c>
      <c r="E1109" s="2">
        <f t="shared" si="273"/>
        <v>17</v>
      </c>
      <c r="F1109" s="2">
        <v>10</v>
      </c>
      <c r="G1109" s="3" t="s">
        <v>22</v>
      </c>
      <c r="H1109" s="2">
        <v>35</v>
      </c>
      <c r="I1109" s="117">
        <v>431100</v>
      </c>
      <c r="J1109" s="112">
        <v>431102</v>
      </c>
      <c r="K1109" s="2" t="s">
        <v>84</v>
      </c>
      <c r="L1109" s="2">
        <v>0</v>
      </c>
      <c r="M1109" s="2" t="s">
        <v>84</v>
      </c>
      <c r="N1109" s="2" t="s">
        <v>84</v>
      </c>
      <c r="O1109" s="2" t="s">
        <v>841</v>
      </c>
      <c r="P1109" s="2" t="s">
        <v>1696</v>
      </c>
    </row>
    <row r="1110" spans="1:16" ht="22" customHeight="1" x14ac:dyDescent="0.15">
      <c r="A1110" s="10" t="str">
        <f t="shared" si="272"/>
        <v>431_10_18_10_polygon</v>
      </c>
      <c r="B1110" s="2">
        <v>431</v>
      </c>
      <c r="C1110" s="30" t="str">
        <f>VLOOKUP(B1110,gachas!A:C,3)</f>
        <v>ニューフェイスガチャ（インド第2弾）</v>
      </c>
      <c r="D1110" s="21">
        <v>10</v>
      </c>
      <c r="E1110" s="2">
        <f t="shared" si="273"/>
        <v>18</v>
      </c>
      <c r="F1110" s="2">
        <v>10</v>
      </c>
      <c r="G1110" s="3" t="s">
        <v>22</v>
      </c>
      <c r="H1110" s="2">
        <v>40</v>
      </c>
      <c r="I1110" s="117">
        <v>431100</v>
      </c>
      <c r="J1110" s="112">
        <v>431103</v>
      </c>
      <c r="K1110" s="2" t="s">
        <v>84</v>
      </c>
      <c r="L1110" s="2">
        <v>0</v>
      </c>
      <c r="M1110" s="2" t="s">
        <v>84</v>
      </c>
      <c r="N1110" s="2" t="s">
        <v>84</v>
      </c>
      <c r="O1110" s="2" t="s">
        <v>841</v>
      </c>
      <c r="P1110" s="2" t="s">
        <v>1697</v>
      </c>
    </row>
    <row r="1111" spans="1:16" ht="22" customHeight="1" x14ac:dyDescent="0.15">
      <c r="A1111" s="10" t="str">
        <f t="shared" si="272"/>
        <v>431_10_19_10_polygon</v>
      </c>
      <c r="B1111" s="2">
        <v>431</v>
      </c>
      <c r="C1111" s="30" t="str">
        <f>VLOOKUP(B1111,gachas!A:C,3)</f>
        <v>ニューフェイスガチャ（インド第2弾）</v>
      </c>
      <c r="D1111" s="21">
        <v>10</v>
      </c>
      <c r="E1111" s="2">
        <f t="shared" si="273"/>
        <v>19</v>
      </c>
      <c r="F1111" s="2">
        <v>10</v>
      </c>
      <c r="G1111" s="3" t="s">
        <v>22</v>
      </c>
      <c r="H1111" s="2">
        <v>50</v>
      </c>
      <c r="I1111" s="117">
        <v>431100</v>
      </c>
      <c r="J1111" s="112">
        <v>431104</v>
      </c>
      <c r="K1111" s="2" t="s">
        <v>84</v>
      </c>
      <c r="L1111" s="2">
        <v>0</v>
      </c>
      <c r="M1111" s="2" t="s">
        <v>84</v>
      </c>
      <c r="N1111" s="2" t="s">
        <v>84</v>
      </c>
      <c r="O1111" s="2" t="s">
        <v>841</v>
      </c>
      <c r="P1111" s="2" t="s">
        <v>1698</v>
      </c>
    </row>
    <row r="1112" spans="1:16" ht="22" customHeight="1" x14ac:dyDescent="0.15">
      <c r="A1112" s="10" t="str">
        <f t="shared" si="272"/>
        <v>431_10_20_10_polygon</v>
      </c>
      <c r="B1112" s="2">
        <v>431</v>
      </c>
      <c r="C1112" s="30" t="str">
        <f>VLOOKUP(B1112,gachas!A:C,3)</f>
        <v>ニューフェイスガチャ（インド第2弾）</v>
      </c>
      <c r="D1112" s="21">
        <v>10</v>
      </c>
      <c r="E1112" s="2">
        <f t="shared" si="273"/>
        <v>20</v>
      </c>
      <c r="F1112" s="2">
        <v>10</v>
      </c>
      <c r="G1112" s="3" t="s">
        <v>22</v>
      </c>
      <c r="H1112" s="2">
        <v>50</v>
      </c>
      <c r="I1112" s="117">
        <v>431100</v>
      </c>
      <c r="J1112" s="112" t="s">
        <v>84</v>
      </c>
      <c r="K1112" s="2">
        <v>431105</v>
      </c>
      <c r="L1112" s="2">
        <v>1</v>
      </c>
      <c r="M1112" s="2" t="s">
        <v>84</v>
      </c>
      <c r="N1112" s="2" t="s">
        <v>84</v>
      </c>
      <c r="O1112" s="2" t="s">
        <v>841</v>
      </c>
      <c r="P1112" s="2" t="s">
        <v>1699</v>
      </c>
    </row>
    <row r="1113" spans="1:16" ht="22" customHeight="1" x14ac:dyDescent="0.15">
      <c r="A1113" s="10" t="str">
        <f t="shared" si="272"/>
        <v>431_10_21_5_polygon</v>
      </c>
      <c r="B1113" s="2">
        <v>431</v>
      </c>
      <c r="C1113" s="30" t="str">
        <f>VLOOKUP(B1113,gachas!A:C,3)</f>
        <v>ニューフェイスガチャ（インド第2弾）</v>
      </c>
      <c r="D1113" s="21">
        <v>10</v>
      </c>
      <c r="E1113" s="2">
        <f t="shared" si="273"/>
        <v>21</v>
      </c>
      <c r="F1113" s="2">
        <v>5</v>
      </c>
      <c r="G1113" s="3" t="s">
        <v>22</v>
      </c>
      <c r="H1113" s="2">
        <v>15</v>
      </c>
      <c r="I1113" s="117">
        <v>431100</v>
      </c>
      <c r="J1113" s="112" t="s">
        <v>84</v>
      </c>
      <c r="K1113" s="2" t="s">
        <v>84</v>
      </c>
      <c r="L1113" s="2">
        <v>0</v>
      </c>
      <c r="M1113" s="2" t="s">
        <v>84</v>
      </c>
      <c r="N1113" s="2" t="s">
        <v>84</v>
      </c>
      <c r="O1113" s="2" t="s">
        <v>841</v>
      </c>
      <c r="P1113" s="2" t="s">
        <v>1695</v>
      </c>
    </row>
    <row r="1114" spans="1:16" ht="22" customHeight="1" x14ac:dyDescent="0.15">
      <c r="A1114" s="10" t="str">
        <f t="shared" si="272"/>
        <v>431_10_22_10_polygon</v>
      </c>
      <c r="B1114" s="2">
        <v>431</v>
      </c>
      <c r="C1114" s="30" t="str">
        <f>VLOOKUP(B1114,gachas!A:C,3)</f>
        <v>ニューフェイスガチャ（インド第2弾）</v>
      </c>
      <c r="D1114" s="21">
        <v>10</v>
      </c>
      <c r="E1114" s="2">
        <f t="shared" si="273"/>
        <v>22</v>
      </c>
      <c r="F1114" s="2">
        <v>10</v>
      </c>
      <c r="G1114" s="3" t="s">
        <v>22</v>
      </c>
      <c r="H1114" s="2">
        <v>35</v>
      </c>
      <c r="I1114" s="117">
        <v>431100</v>
      </c>
      <c r="J1114" s="112">
        <v>431102</v>
      </c>
      <c r="K1114" s="2" t="s">
        <v>84</v>
      </c>
      <c r="L1114" s="2">
        <v>0</v>
      </c>
      <c r="M1114" s="2" t="s">
        <v>84</v>
      </c>
      <c r="N1114" s="2" t="s">
        <v>84</v>
      </c>
      <c r="O1114" s="2" t="s">
        <v>841</v>
      </c>
      <c r="P1114" s="2" t="s">
        <v>1696</v>
      </c>
    </row>
    <row r="1115" spans="1:16" ht="22" customHeight="1" x14ac:dyDescent="0.15">
      <c r="A1115" s="10" t="str">
        <f t="shared" si="272"/>
        <v>431_10_23_10_polygon</v>
      </c>
      <c r="B1115" s="2">
        <v>431</v>
      </c>
      <c r="C1115" s="30" t="str">
        <f>VLOOKUP(B1115,gachas!A:C,3)</f>
        <v>ニューフェイスガチャ（インド第2弾）</v>
      </c>
      <c r="D1115" s="21">
        <v>10</v>
      </c>
      <c r="E1115" s="2">
        <f t="shared" si="273"/>
        <v>23</v>
      </c>
      <c r="F1115" s="2">
        <v>10</v>
      </c>
      <c r="G1115" s="3" t="s">
        <v>22</v>
      </c>
      <c r="H1115" s="2">
        <v>40</v>
      </c>
      <c r="I1115" s="117">
        <v>431100</v>
      </c>
      <c r="J1115" s="112">
        <v>431103</v>
      </c>
      <c r="K1115" s="2" t="s">
        <v>84</v>
      </c>
      <c r="L1115" s="2">
        <v>0</v>
      </c>
      <c r="M1115" s="2" t="s">
        <v>84</v>
      </c>
      <c r="N1115" s="2" t="s">
        <v>84</v>
      </c>
      <c r="O1115" s="2" t="s">
        <v>841</v>
      </c>
      <c r="P1115" s="2" t="s">
        <v>1697</v>
      </c>
    </row>
    <row r="1116" spans="1:16" ht="22" customHeight="1" x14ac:dyDescent="0.15">
      <c r="A1116" s="10" t="str">
        <f t="shared" si="272"/>
        <v>431_10_24_10_polygon</v>
      </c>
      <c r="B1116" s="2">
        <v>431</v>
      </c>
      <c r="C1116" s="30" t="str">
        <f>VLOOKUP(B1116,gachas!A:C,3)</f>
        <v>ニューフェイスガチャ（インド第2弾）</v>
      </c>
      <c r="D1116" s="21">
        <v>10</v>
      </c>
      <c r="E1116" s="2">
        <f t="shared" si="273"/>
        <v>24</v>
      </c>
      <c r="F1116" s="2">
        <v>10</v>
      </c>
      <c r="G1116" s="3" t="s">
        <v>22</v>
      </c>
      <c r="H1116" s="2">
        <v>50</v>
      </c>
      <c r="I1116" s="117">
        <v>431100</v>
      </c>
      <c r="J1116" s="112">
        <v>431104</v>
      </c>
      <c r="K1116" s="2" t="s">
        <v>84</v>
      </c>
      <c r="L1116" s="2">
        <v>0</v>
      </c>
      <c r="M1116" s="2" t="s">
        <v>84</v>
      </c>
      <c r="N1116" s="2" t="s">
        <v>84</v>
      </c>
      <c r="O1116" s="2" t="s">
        <v>841</v>
      </c>
      <c r="P1116" s="2" t="s">
        <v>1698</v>
      </c>
    </row>
    <row r="1117" spans="1:16" ht="22" customHeight="1" x14ac:dyDescent="0.15">
      <c r="A1117" s="10" t="str">
        <f t="shared" si="272"/>
        <v>431_10_25_10_polygon</v>
      </c>
      <c r="B1117" s="2">
        <v>431</v>
      </c>
      <c r="C1117" s="30" t="str">
        <f>VLOOKUP(B1117,gachas!A:C,3)</f>
        <v>ニューフェイスガチャ（インド第2弾）</v>
      </c>
      <c r="D1117" s="21">
        <v>10</v>
      </c>
      <c r="E1117" s="2">
        <f t="shared" si="273"/>
        <v>25</v>
      </c>
      <c r="F1117" s="2">
        <v>10</v>
      </c>
      <c r="G1117" s="3" t="s">
        <v>22</v>
      </c>
      <c r="H1117" s="2">
        <v>50</v>
      </c>
      <c r="I1117" s="117">
        <v>431100</v>
      </c>
      <c r="J1117" s="112" t="s">
        <v>84</v>
      </c>
      <c r="K1117" s="2">
        <v>431105</v>
      </c>
      <c r="L1117" s="2">
        <v>1</v>
      </c>
      <c r="M1117" s="2" t="s">
        <v>84</v>
      </c>
      <c r="N1117" s="2" t="s">
        <v>84</v>
      </c>
      <c r="O1117" s="2" t="s">
        <v>841</v>
      </c>
      <c r="P1117" s="2" t="s">
        <v>1699</v>
      </c>
    </row>
    <row r="1118" spans="1:16" ht="22" customHeight="1" x14ac:dyDescent="0.15">
      <c r="A1118" s="10" t="str">
        <f t="shared" si="272"/>
        <v>431_10_26_5_polygon</v>
      </c>
      <c r="B1118" s="2">
        <v>431</v>
      </c>
      <c r="C1118" s="30" t="str">
        <f>VLOOKUP(B1118,gachas!A:C,3)</f>
        <v>ニューフェイスガチャ（インド第2弾）</v>
      </c>
      <c r="D1118" s="21">
        <v>10</v>
      </c>
      <c r="E1118" s="2">
        <f t="shared" si="273"/>
        <v>26</v>
      </c>
      <c r="F1118" s="2">
        <v>5</v>
      </c>
      <c r="G1118" s="3" t="s">
        <v>22</v>
      </c>
      <c r="H1118" s="2">
        <v>15</v>
      </c>
      <c r="I1118" s="117">
        <v>431100</v>
      </c>
      <c r="J1118" s="112" t="s">
        <v>84</v>
      </c>
      <c r="K1118" s="2" t="s">
        <v>84</v>
      </c>
      <c r="L1118" s="2">
        <v>0</v>
      </c>
      <c r="M1118" s="2" t="s">
        <v>84</v>
      </c>
      <c r="N1118" s="2" t="s">
        <v>84</v>
      </c>
      <c r="O1118" s="2" t="s">
        <v>841</v>
      </c>
      <c r="P1118" s="2" t="s">
        <v>1695</v>
      </c>
    </row>
    <row r="1119" spans="1:16" ht="22" customHeight="1" x14ac:dyDescent="0.15">
      <c r="A1119" s="10" t="str">
        <f t="shared" si="272"/>
        <v>431_10_27_10_polygon</v>
      </c>
      <c r="B1119" s="2">
        <v>431</v>
      </c>
      <c r="C1119" s="30" t="str">
        <f>VLOOKUP(B1119,gachas!A:C,3)</f>
        <v>ニューフェイスガチャ（インド第2弾）</v>
      </c>
      <c r="D1119" s="21">
        <v>10</v>
      </c>
      <c r="E1119" s="2">
        <f t="shared" si="273"/>
        <v>27</v>
      </c>
      <c r="F1119" s="2">
        <v>10</v>
      </c>
      <c r="G1119" s="3" t="s">
        <v>22</v>
      </c>
      <c r="H1119" s="2">
        <v>35</v>
      </c>
      <c r="I1119" s="117">
        <v>431100</v>
      </c>
      <c r="J1119" s="112">
        <v>431102</v>
      </c>
      <c r="K1119" s="2" t="s">
        <v>84</v>
      </c>
      <c r="L1119" s="2">
        <v>0</v>
      </c>
      <c r="M1119" s="2" t="s">
        <v>84</v>
      </c>
      <c r="N1119" s="2" t="s">
        <v>84</v>
      </c>
      <c r="O1119" s="2" t="s">
        <v>841</v>
      </c>
      <c r="P1119" s="2" t="s">
        <v>1696</v>
      </c>
    </row>
    <row r="1120" spans="1:16" ht="22" customHeight="1" x14ac:dyDescent="0.15">
      <c r="A1120" s="10" t="str">
        <f t="shared" si="272"/>
        <v>431_10_28_10_polygon</v>
      </c>
      <c r="B1120" s="2">
        <v>431</v>
      </c>
      <c r="C1120" s="30" t="str">
        <f>VLOOKUP(B1120,gachas!A:C,3)</f>
        <v>ニューフェイスガチャ（インド第2弾）</v>
      </c>
      <c r="D1120" s="21">
        <v>10</v>
      </c>
      <c r="E1120" s="2">
        <f t="shared" si="273"/>
        <v>28</v>
      </c>
      <c r="F1120" s="2">
        <v>10</v>
      </c>
      <c r="G1120" s="3" t="s">
        <v>22</v>
      </c>
      <c r="H1120" s="2">
        <v>40</v>
      </c>
      <c r="I1120" s="117">
        <v>431100</v>
      </c>
      <c r="J1120" s="112">
        <v>431103</v>
      </c>
      <c r="K1120" s="2" t="s">
        <v>84</v>
      </c>
      <c r="L1120" s="2">
        <v>0</v>
      </c>
      <c r="M1120" s="2" t="s">
        <v>84</v>
      </c>
      <c r="N1120" s="2" t="s">
        <v>84</v>
      </c>
      <c r="O1120" s="2" t="s">
        <v>841</v>
      </c>
      <c r="P1120" s="2" t="s">
        <v>1697</v>
      </c>
    </row>
    <row r="1121" spans="1:16" ht="22" customHeight="1" x14ac:dyDescent="0.15">
      <c r="A1121" s="10" t="str">
        <f t="shared" si="272"/>
        <v>431_10_29_10_polygon</v>
      </c>
      <c r="B1121" s="2">
        <v>431</v>
      </c>
      <c r="C1121" s="30" t="str">
        <f>VLOOKUP(B1121,gachas!A:C,3)</f>
        <v>ニューフェイスガチャ（インド第2弾）</v>
      </c>
      <c r="D1121" s="21">
        <v>10</v>
      </c>
      <c r="E1121" s="2">
        <f t="shared" si="273"/>
        <v>29</v>
      </c>
      <c r="F1121" s="2">
        <v>10</v>
      </c>
      <c r="G1121" s="3" t="s">
        <v>22</v>
      </c>
      <c r="H1121" s="2">
        <v>50</v>
      </c>
      <c r="I1121" s="117">
        <v>431100</v>
      </c>
      <c r="J1121" s="112">
        <v>431104</v>
      </c>
      <c r="K1121" s="2" t="s">
        <v>84</v>
      </c>
      <c r="L1121" s="2">
        <v>0</v>
      </c>
      <c r="M1121" s="2" t="s">
        <v>84</v>
      </c>
      <c r="N1121" s="2" t="s">
        <v>84</v>
      </c>
      <c r="O1121" s="2" t="s">
        <v>841</v>
      </c>
      <c r="P1121" s="2" t="s">
        <v>1698</v>
      </c>
    </row>
    <row r="1122" spans="1:16" ht="22" customHeight="1" x14ac:dyDescent="0.15">
      <c r="A1122" s="10" t="str">
        <f t="shared" si="272"/>
        <v>431_10_30_10_polygon</v>
      </c>
      <c r="B1122" s="2">
        <v>431</v>
      </c>
      <c r="C1122" s="30" t="str">
        <f>VLOOKUP(B1122,gachas!A:C,3)</f>
        <v>ニューフェイスガチャ（インド第2弾）</v>
      </c>
      <c r="D1122" s="21">
        <v>10</v>
      </c>
      <c r="E1122" s="2">
        <f t="shared" si="273"/>
        <v>30</v>
      </c>
      <c r="F1122" s="2">
        <v>10</v>
      </c>
      <c r="G1122" s="3" t="s">
        <v>22</v>
      </c>
      <c r="H1122" s="2">
        <v>50</v>
      </c>
      <c r="I1122" s="117">
        <v>431100</v>
      </c>
      <c r="J1122" s="112" t="s">
        <v>84</v>
      </c>
      <c r="K1122" s="2">
        <v>431105</v>
      </c>
      <c r="L1122" s="2">
        <v>1</v>
      </c>
      <c r="M1122" s="2" t="s">
        <v>84</v>
      </c>
      <c r="N1122" s="2" t="s">
        <v>84</v>
      </c>
      <c r="O1122" s="2" t="s">
        <v>841</v>
      </c>
      <c r="P1122" s="2" t="s">
        <v>1699</v>
      </c>
    </row>
    <row r="1123" spans="1:16" ht="22" customHeight="1" x14ac:dyDescent="0.15">
      <c r="A1123" s="10" t="str">
        <f t="shared" si="272"/>
        <v>431_10_31_5_polygon</v>
      </c>
      <c r="B1123" s="2">
        <v>431</v>
      </c>
      <c r="C1123" s="30" t="str">
        <f>VLOOKUP(B1123,gachas!A:C,3)</f>
        <v>ニューフェイスガチャ（インド第2弾）</v>
      </c>
      <c r="D1123" s="21">
        <v>10</v>
      </c>
      <c r="E1123" s="2">
        <f t="shared" si="273"/>
        <v>31</v>
      </c>
      <c r="F1123" s="2">
        <v>5</v>
      </c>
      <c r="G1123" s="3" t="s">
        <v>22</v>
      </c>
      <c r="H1123" s="2">
        <v>15</v>
      </c>
      <c r="I1123" s="117">
        <v>431100</v>
      </c>
      <c r="J1123" s="112" t="s">
        <v>84</v>
      </c>
      <c r="K1123" s="2" t="s">
        <v>84</v>
      </c>
      <c r="L1123" s="2">
        <v>0</v>
      </c>
      <c r="M1123" s="2" t="s">
        <v>84</v>
      </c>
      <c r="N1123" s="2" t="s">
        <v>84</v>
      </c>
      <c r="O1123" s="2" t="s">
        <v>841</v>
      </c>
      <c r="P1123" s="2" t="s">
        <v>1695</v>
      </c>
    </row>
    <row r="1124" spans="1:16" ht="22" customHeight="1" x14ac:dyDescent="0.15">
      <c r="A1124" s="10" t="str">
        <f t="shared" si="272"/>
        <v>431_10_32_10_polygon</v>
      </c>
      <c r="B1124" s="2">
        <v>431</v>
      </c>
      <c r="C1124" s="30" t="str">
        <f>VLOOKUP(B1124,gachas!A:C,3)</f>
        <v>ニューフェイスガチャ（インド第2弾）</v>
      </c>
      <c r="D1124" s="21">
        <v>10</v>
      </c>
      <c r="E1124" s="2">
        <f t="shared" si="273"/>
        <v>32</v>
      </c>
      <c r="F1124" s="2">
        <v>10</v>
      </c>
      <c r="G1124" s="3" t="s">
        <v>22</v>
      </c>
      <c r="H1124" s="2">
        <v>35</v>
      </c>
      <c r="I1124" s="117">
        <v>431100</v>
      </c>
      <c r="J1124" s="112">
        <v>431102</v>
      </c>
      <c r="K1124" s="2" t="s">
        <v>84</v>
      </c>
      <c r="L1124" s="2">
        <v>0</v>
      </c>
      <c r="M1124" s="2" t="s">
        <v>84</v>
      </c>
      <c r="N1124" s="2" t="s">
        <v>84</v>
      </c>
      <c r="O1124" s="2" t="s">
        <v>841</v>
      </c>
      <c r="P1124" s="2" t="s">
        <v>1696</v>
      </c>
    </row>
    <row r="1125" spans="1:16" ht="22" customHeight="1" x14ac:dyDescent="0.15">
      <c r="A1125" s="10" t="str">
        <f t="shared" si="272"/>
        <v>431_10_33_10_polygon</v>
      </c>
      <c r="B1125" s="2">
        <v>431</v>
      </c>
      <c r="C1125" s="30" t="str">
        <f>VLOOKUP(B1125,gachas!A:C,3)</f>
        <v>ニューフェイスガチャ（インド第2弾）</v>
      </c>
      <c r="D1125" s="21">
        <v>10</v>
      </c>
      <c r="E1125" s="2">
        <f t="shared" si="273"/>
        <v>33</v>
      </c>
      <c r="F1125" s="2">
        <v>10</v>
      </c>
      <c r="G1125" s="3" t="s">
        <v>22</v>
      </c>
      <c r="H1125" s="2">
        <v>40</v>
      </c>
      <c r="I1125" s="117">
        <v>431100</v>
      </c>
      <c r="J1125" s="112">
        <v>431103</v>
      </c>
      <c r="K1125" s="2" t="s">
        <v>84</v>
      </c>
      <c r="L1125" s="2">
        <v>0</v>
      </c>
      <c r="M1125" s="2" t="s">
        <v>84</v>
      </c>
      <c r="N1125" s="2" t="s">
        <v>84</v>
      </c>
      <c r="O1125" s="2" t="s">
        <v>841</v>
      </c>
      <c r="P1125" s="2" t="s">
        <v>1697</v>
      </c>
    </row>
    <row r="1126" spans="1:16" ht="22" customHeight="1" x14ac:dyDescent="0.15">
      <c r="A1126" s="10" t="str">
        <f t="shared" si="272"/>
        <v>431_10_34_10_polygon</v>
      </c>
      <c r="B1126" s="2">
        <v>431</v>
      </c>
      <c r="C1126" s="30" t="str">
        <f>VLOOKUP(B1126,gachas!A:C,3)</f>
        <v>ニューフェイスガチャ（インド第2弾）</v>
      </c>
      <c r="D1126" s="21">
        <v>10</v>
      </c>
      <c r="E1126" s="2">
        <f t="shared" si="273"/>
        <v>34</v>
      </c>
      <c r="F1126" s="2">
        <v>10</v>
      </c>
      <c r="G1126" s="3" t="s">
        <v>22</v>
      </c>
      <c r="H1126" s="2">
        <v>50</v>
      </c>
      <c r="I1126" s="117">
        <v>431100</v>
      </c>
      <c r="J1126" s="112">
        <v>431104</v>
      </c>
      <c r="K1126" s="2" t="s">
        <v>84</v>
      </c>
      <c r="L1126" s="2">
        <v>0</v>
      </c>
      <c r="M1126" s="2" t="s">
        <v>84</v>
      </c>
      <c r="N1126" s="2" t="s">
        <v>84</v>
      </c>
      <c r="O1126" s="2" t="s">
        <v>841</v>
      </c>
      <c r="P1126" s="2" t="s">
        <v>1698</v>
      </c>
    </row>
    <row r="1127" spans="1:16" ht="22" customHeight="1" x14ac:dyDescent="0.15">
      <c r="A1127" s="10" t="str">
        <f t="shared" si="272"/>
        <v>431_10_35_10_polygon</v>
      </c>
      <c r="B1127" s="2">
        <v>431</v>
      </c>
      <c r="C1127" s="30" t="str">
        <f>VLOOKUP(B1127,gachas!A:C,3)</f>
        <v>ニューフェイスガチャ（インド第2弾）</v>
      </c>
      <c r="D1127" s="21">
        <v>10</v>
      </c>
      <c r="E1127" s="2">
        <f t="shared" si="273"/>
        <v>35</v>
      </c>
      <c r="F1127" s="2">
        <v>10</v>
      </c>
      <c r="G1127" s="3" t="s">
        <v>22</v>
      </c>
      <c r="H1127" s="2">
        <v>50</v>
      </c>
      <c r="I1127" s="117">
        <v>431100</v>
      </c>
      <c r="J1127" s="112" t="s">
        <v>84</v>
      </c>
      <c r="K1127" s="2">
        <v>431105</v>
      </c>
      <c r="L1127" s="2">
        <v>1</v>
      </c>
      <c r="M1127" s="2" t="s">
        <v>84</v>
      </c>
      <c r="N1127" s="2" t="s">
        <v>84</v>
      </c>
      <c r="O1127" s="2" t="s">
        <v>841</v>
      </c>
      <c r="P1127" s="2" t="s">
        <v>1699</v>
      </c>
    </row>
    <row r="1128" spans="1:16" ht="22" customHeight="1" x14ac:dyDescent="0.15">
      <c r="A1128" s="10" t="str">
        <f t="shared" si="272"/>
        <v>431_10_36_5_polygon</v>
      </c>
      <c r="B1128" s="2">
        <v>431</v>
      </c>
      <c r="C1128" s="30" t="str">
        <f>VLOOKUP(B1128,gachas!A:C,3)</f>
        <v>ニューフェイスガチャ（インド第2弾）</v>
      </c>
      <c r="D1128" s="21">
        <v>10</v>
      </c>
      <c r="E1128" s="2">
        <f t="shared" si="273"/>
        <v>36</v>
      </c>
      <c r="F1128" s="2">
        <v>5</v>
      </c>
      <c r="G1128" s="3" t="s">
        <v>22</v>
      </c>
      <c r="H1128" s="2">
        <v>15</v>
      </c>
      <c r="I1128" s="117">
        <v>431100</v>
      </c>
      <c r="J1128" s="112" t="s">
        <v>84</v>
      </c>
      <c r="K1128" s="2" t="s">
        <v>84</v>
      </c>
      <c r="L1128" s="2">
        <v>0</v>
      </c>
      <c r="M1128" s="2" t="s">
        <v>84</v>
      </c>
      <c r="N1128" s="2" t="s">
        <v>84</v>
      </c>
      <c r="O1128" s="2" t="s">
        <v>841</v>
      </c>
      <c r="P1128" s="2" t="s">
        <v>1695</v>
      </c>
    </row>
    <row r="1129" spans="1:16" ht="22" customHeight="1" x14ac:dyDescent="0.15">
      <c r="A1129" s="10" t="str">
        <f t="shared" si="272"/>
        <v>431_10_37_10_polygon</v>
      </c>
      <c r="B1129" s="2">
        <v>431</v>
      </c>
      <c r="C1129" s="30" t="str">
        <f>VLOOKUP(B1129,gachas!A:C,3)</f>
        <v>ニューフェイスガチャ（インド第2弾）</v>
      </c>
      <c r="D1129" s="21">
        <v>10</v>
      </c>
      <c r="E1129" s="2">
        <f t="shared" si="273"/>
        <v>37</v>
      </c>
      <c r="F1129" s="2">
        <v>10</v>
      </c>
      <c r="G1129" s="3" t="s">
        <v>22</v>
      </c>
      <c r="H1129" s="2">
        <v>35</v>
      </c>
      <c r="I1129" s="117">
        <v>431100</v>
      </c>
      <c r="J1129" s="112">
        <v>431102</v>
      </c>
      <c r="K1129" s="2" t="s">
        <v>84</v>
      </c>
      <c r="L1129" s="2">
        <v>0</v>
      </c>
      <c r="M1129" s="2" t="s">
        <v>84</v>
      </c>
      <c r="N1129" s="2" t="s">
        <v>84</v>
      </c>
      <c r="O1129" s="2" t="s">
        <v>841</v>
      </c>
      <c r="P1129" s="2" t="s">
        <v>1696</v>
      </c>
    </row>
    <row r="1130" spans="1:16" ht="22" customHeight="1" x14ac:dyDescent="0.15">
      <c r="A1130" s="10" t="str">
        <f t="shared" si="272"/>
        <v>431_10_38_10_polygon</v>
      </c>
      <c r="B1130" s="2">
        <v>431</v>
      </c>
      <c r="C1130" s="30" t="str">
        <f>VLOOKUP(B1130,gachas!A:C,3)</f>
        <v>ニューフェイスガチャ（インド第2弾）</v>
      </c>
      <c r="D1130" s="21">
        <v>10</v>
      </c>
      <c r="E1130" s="2">
        <f t="shared" si="273"/>
        <v>38</v>
      </c>
      <c r="F1130" s="2">
        <v>10</v>
      </c>
      <c r="G1130" s="3" t="s">
        <v>22</v>
      </c>
      <c r="H1130" s="2">
        <v>40</v>
      </c>
      <c r="I1130" s="117">
        <v>431100</v>
      </c>
      <c r="J1130" s="112">
        <v>431103</v>
      </c>
      <c r="K1130" s="2" t="s">
        <v>84</v>
      </c>
      <c r="L1130" s="2">
        <v>0</v>
      </c>
      <c r="M1130" s="2" t="s">
        <v>84</v>
      </c>
      <c r="N1130" s="2" t="s">
        <v>84</v>
      </c>
      <c r="O1130" s="2" t="s">
        <v>841</v>
      </c>
      <c r="P1130" s="2" t="s">
        <v>1697</v>
      </c>
    </row>
    <row r="1131" spans="1:16" ht="22" customHeight="1" x14ac:dyDescent="0.15">
      <c r="A1131" s="10" t="str">
        <f t="shared" si="272"/>
        <v>431_10_39_10_polygon</v>
      </c>
      <c r="B1131" s="2">
        <v>431</v>
      </c>
      <c r="C1131" s="30" t="str">
        <f>VLOOKUP(B1131,gachas!A:C,3)</f>
        <v>ニューフェイスガチャ（インド第2弾）</v>
      </c>
      <c r="D1131" s="21">
        <v>10</v>
      </c>
      <c r="E1131" s="2">
        <f t="shared" si="273"/>
        <v>39</v>
      </c>
      <c r="F1131" s="2">
        <v>10</v>
      </c>
      <c r="G1131" s="3" t="s">
        <v>22</v>
      </c>
      <c r="H1131" s="2">
        <v>50</v>
      </c>
      <c r="I1131" s="117">
        <v>431100</v>
      </c>
      <c r="J1131" s="112">
        <v>431104</v>
      </c>
      <c r="K1131" s="2" t="s">
        <v>84</v>
      </c>
      <c r="L1131" s="2">
        <v>0</v>
      </c>
      <c r="M1131" s="2" t="s">
        <v>84</v>
      </c>
      <c r="N1131" s="2" t="s">
        <v>84</v>
      </c>
      <c r="O1131" s="2" t="s">
        <v>841</v>
      </c>
      <c r="P1131" s="2" t="s">
        <v>1698</v>
      </c>
    </row>
    <row r="1132" spans="1:16" ht="22" customHeight="1" x14ac:dyDescent="0.15">
      <c r="A1132" s="10" t="str">
        <f t="shared" si="272"/>
        <v>431_10_40_10_polygon</v>
      </c>
      <c r="B1132" s="2">
        <v>431</v>
      </c>
      <c r="C1132" s="30" t="str">
        <f>VLOOKUP(B1132,gachas!A:C,3)</f>
        <v>ニューフェイスガチャ（インド第2弾）</v>
      </c>
      <c r="D1132" s="21">
        <v>10</v>
      </c>
      <c r="E1132" s="2">
        <f t="shared" si="273"/>
        <v>40</v>
      </c>
      <c r="F1132" s="2">
        <v>10</v>
      </c>
      <c r="G1132" s="3" t="s">
        <v>22</v>
      </c>
      <c r="H1132" s="2">
        <v>50</v>
      </c>
      <c r="I1132" s="117">
        <v>431100</v>
      </c>
      <c r="J1132" s="112" t="s">
        <v>84</v>
      </c>
      <c r="K1132" s="2">
        <v>431105</v>
      </c>
      <c r="L1132" s="2">
        <v>1</v>
      </c>
      <c r="M1132" s="2" t="s">
        <v>84</v>
      </c>
      <c r="N1132" s="2" t="s">
        <v>84</v>
      </c>
      <c r="O1132" s="2" t="s">
        <v>841</v>
      </c>
      <c r="P1132" s="2" t="s">
        <v>1699</v>
      </c>
    </row>
    <row r="1133" spans="1:16" ht="22" customHeight="1" x14ac:dyDescent="0.15">
      <c r="A1133" s="10" t="str">
        <f t="shared" si="272"/>
        <v>431_10_41_5_polygon</v>
      </c>
      <c r="B1133" s="2">
        <v>431</v>
      </c>
      <c r="C1133" s="30" t="str">
        <f>VLOOKUP(B1133,gachas!A:C,3)</f>
        <v>ニューフェイスガチャ（インド第2弾）</v>
      </c>
      <c r="D1133" s="21">
        <v>10</v>
      </c>
      <c r="E1133" s="2">
        <f t="shared" si="273"/>
        <v>41</v>
      </c>
      <c r="F1133" s="2">
        <v>5</v>
      </c>
      <c r="G1133" s="3" t="s">
        <v>22</v>
      </c>
      <c r="H1133" s="2">
        <v>15</v>
      </c>
      <c r="I1133" s="117">
        <v>431100</v>
      </c>
      <c r="J1133" s="112" t="s">
        <v>84</v>
      </c>
      <c r="K1133" s="2" t="s">
        <v>84</v>
      </c>
      <c r="L1133" s="2">
        <v>0</v>
      </c>
      <c r="M1133" s="2" t="s">
        <v>84</v>
      </c>
      <c r="N1133" s="2" t="s">
        <v>84</v>
      </c>
      <c r="O1133" s="2" t="s">
        <v>841</v>
      </c>
      <c r="P1133" s="2" t="s">
        <v>1695</v>
      </c>
    </row>
    <row r="1134" spans="1:16" ht="22" customHeight="1" x14ac:dyDescent="0.15">
      <c r="A1134" s="10" t="str">
        <f t="shared" si="272"/>
        <v>431_10_42_10_polygon</v>
      </c>
      <c r="B1134" s="2">
        <v>431</v>
      </c>
      <c r="C1134" s="30" t="str">
        <f>VLOOKUP(B1134,gachas!A:C,3)</f>
        <v>ニューフェイスガチャ（インド第2弾）</v>
      </c>
      <c r="D1134" s="21">
        <v>10</v>
      </c>
      <c r="E1134" s="2">
        <f t="shared" si="273"/>
        <v>42</v>
      </c>
      <c r="F1134" s="2">
        <v>10</v>
      </c>
      <c r="G1134" s="3" t="s">
        <v>22</v>
      </c>
      <c r="H1134" s="2">
        <v>35</v>
      </c>
      <c r="I1134" s="117">
        <v>431100</v>
      </c>
      <c r="J1134" s="112">
        <v>431102</v>
      </c>
      <c r="K1134" s="2" t="s">
        <v>84</v>
      </c>
      <c r="L1134" s="2">
        <v>0</v>
      </c>
      <c r="M1134" s="2" t="s">
        <v>84</v>
      </c>
      <c r="N1134" s="2" t="s">
        <v>84</v>
      </c>
      <c r="O1134" s="2" t="s">
        <v>841</v>
      </c>
      <c r="P1134" s="2" t="s">
        <v>1696</v>
      </c>
    </row>
    <row r="1135" spans="1:16" ht="22" customHeight="1" x14ac:dyDescent="0.15">
      <c r="A1135" s="10" t="str">
        <f t="shared" si="272"/>
        <v>431_10_43_10_polygon</v>
      </c>
      <c r="B1135" s="2">
        <v>431</v>
      </c>
      <c r="C1135" s="30" t="str">
        <f>VLOOKUP(B1135,gachas!A:C,3)</f>
        <v>ニューフェイスガチャ（インド第2弾）</v>
      </c>
      <c r="D1135" s="21">
        <v>10</v>
      </c>
      <c r="E1135" s="2">
        <f t="shared" si="273"/>
        <v>43</v>
      </c>
      <c r="F1135" s="2">
        <v>10</v>
      </c>
      <c r="G1135" s="3" t="s">
        <v>22</v>
      </c>
      <c r="H1135" s="2">
        <v>40</v>
      </c>
      <c r="I1135" s="117">
        <v>431100</v>
      </c>
      <c r="J1135" s="112">
        <v>431103</v>
      </c>
      <c r="K1135" s="2" t="s">
        <v>84</v>
      </c>
      <c r="L1135" s="2">
        <v>0</v>
      </c>
      <c r="M1135" s="2" t="s">
        <v>84</v>
      </c>
      <c r="N1135" s="2" t="s">
        <v>84</v>
      </c>
      <c r="O1135" s="2" t="s">
        <v>841</v>
      </c>
      <c r="P1135" s="2" t="s">
        <v>1697</v>
      </c>
    </row>
    <row r="1136" spans="1:16" ht="22" customHeight="1" x14ac:dyDescent="0.15">
      <c r="A1136" s="10" t="str">
        <f t="shared" si="272"/>
        <v>431_10_44_10_polygon</v>
      </c>
      <c r="B1136" s="2">
        <v>431</v>
      </c>
      <c r="C1136" s="30" t="str">
        <f>VLOOKUP(B1136,gachas!A:C,3)</f>
        <v>ニューフェイスガチャ（インド第2弾）</v>
      </c>
      <c r="D1136" s="21">
        <v>10</v>
      </c>
      <c r="E1136" s="2">
        <f t="shared" si="273"/>
        <v>44</v>
      </c>
      <c r="F1136" s="2">
        <v>10</v>
      </c>
      <c r="G1136" s="3" t="s">
        <v>22</v>
      </c>
      <c r="H1136" s="2">
        <v>50</v>
      </c>
      <c r="I1136" s="117">
        <v>431100</v>
      </c>
      <c r="J1136" s="112">
        <v>431104</v>
      </c>
      <c r="K1136" s="2" t="s">
        <v>84</v>
      </c>
      <c r="L1136" s="2">
        <v>0</v>
      </c>
      <c r="M1136" s="2" t="s">
        <v>84</v>
      </c>
      <c r="N1136" s="2" t="s">
        <v>84</v>
      </c>
      <c r="O1136" s="2" t="s">
        <v>841</v>
      </c>
      <c r="P1136" s="2" t="s">
        <v>1698</v>
      </c>
    </row>
    <row r="1137" spans="1:16" ht="22" customHeight="1" x14ac:dyDescent="0.15">
      <c r="A1137" s="10" t="str">
        <f t="shared" si="272"/>
        <v>431_10_45_10_polygon</v>
      </c>
      <c r="B1137" s="2">
        <v>431</v>
      </c>
      <c r="C1137" s="30" t="str">
        <f>VLOOKUP(B1137,gachas!A:C,3)</f>
        <v>ニューフェイスガチャ（インド第2弾）</v>
      </c>
      <c r="D1137" s="21">
        <v>10</v>
      </c>
      <c r="E1137" s="2">
        <f t="shared" si="273"/>
        <v>45</v>
      </c>
      <c r="F1137" s="2">
        <v>10</v>
      </c>
      <c r="G1137" s="3" t="s">
        <v>22</v>
      </c>
      <c r="H1137" s="2">
        <v>50</v>
      </c>
      <c r="I1137" s="117">
        <v>431100</v>
      </c>
      <c r="J1137" s="112" t="s">
        <v>84</v>
      </c>
      <c r="K1137" s="2">
        <v>431105</v>
      </c>
      <c r="L1137" s="2">
        <v>1</v>
      </c>
      <c r="M1137" s="2" t="s">
        <v>84</v>
      </c>
      <c r="N1137" s="2" t="s">
        <v>84</v>
      </c>
      <c r="O1137" s="2" t="s">
        <v>841</v>
      </c>
      <c r="P1137" s="2" t="s">
        <v>1699</v>
      </c>
    </row>
    <row r="1138" spans="1:16" ht="22" customHeight="1" x14ac:dyDescent="0.15">
      <c r="A1138" s="10" t="str">
        <f t="shared" si="272"/>
        <v>431_10_46_5_polygon</v>
      </c>
      <c r="B1138" s="2">
        <v>431</v>
      </c>
      <c r="C1138" s="30" t="str">
        <f>VLOOKUP(B1138,gachas!A:C,3)</f>
        <v>ニューフェイスガチャ（インド第2弾）</v>
      </c>
      <c r="D1138" s="21">
        <v>10</v>
      </c>
      <c r="E1138" s="2">
        <f t="shared" si="273"/>
        <v>46</v>
      </c>
      <c r="F1138" s="2">
        <v>5</v>
      </c>
      <c r="G1138" s="3" t="s">
        <v>22</v>
      </c>
      <c r="H1138" s="2">
        <v>15</v>
      </c>
      <c r="I1138" s="117">
        <v>431100</v>
      </c>
      <c r="J1138" s="112" t="s">
        <v>84</v>
      </c>
      <c r="K1138" s="2" t="s">
        <v>84</v>
      </c>
      <c r="L1138" s="2">
        <v>0</v>
      </c>
      <c r="M1138" s="2" t="s">
        <v>84</v>
      </c>
      <c r="N1138" s="2" t="s">
        <v>84</v>
      </c>
      <c r="O1138" s="2" t="s">
        <v>841</v>
      </c>
      <c r="P1138" s="2" t="s">
        <v>1695</v>
      </c>
    </row>
    <row r="1139" spans="1:16" ht="22" customHeight="1" x14ac:dyDescent="0.15">
      <c r="A1139" s="10" t="str">
        <f t="shared" si="272"/>
        <v>431_10_47_10_polygon</v>
      </c>
      <c r="B1139" s="2">
        <v>431</v>
      </c>
      <c r="C1139" s="30" t="str">
        <f>VLOOKUP(B1139,gachas!A:C,3)</f>
        <v>ニューフェイスガチャ（インド第2弾）</v>
      </c>
      <c r="D1139" s="21">
        <v>10</v>
      </c>
      <c r="E1139" s="2">
        <f t="shared" si="273"/>
        <v>47</v>
      </c>
      <c r="F1139" s="2">
        <v>10</v>
      </c>
      <c r="G1139" s="3" t="s">
        <v>22</v>
      </c>
      <c r="H1139" s="2">
        <v>35</v>
      </c>
      <c r="I1139" s="117">
        <v>431100</v>
      </c>
      <c r="J1139" s="112">
        <v>431102</v>
      </c>
      <c r="K1139" s="2" t="s">
        <v>84</v>
      </c>
      <c r="L1139" s="2">
        <v>0</v>
      </c>
      <c r="M1139" s="2" t="s">
        <v>84</v>
      </c>
      <c r="N1139" s="2" t="s">
        <v>84</v>
      </c>
      <c r="O1139" s="2" t="s">
        <v>841</v>
      </c>
      <c r="P1139" s="2" t="s">
        <v>1696</v>
      </c>
    </row>
    <row r="1140" spans="1:16" ht="22" customHeight="1" x14ac:dyDescent="0.15">
      <c r="A1140" s="10" t="str">
        <f t="shared" si="272"/>
        <v>431_10_48_10_polygon</v>
      </c>
      <c r="B1140" s="2">
        <v>431</v>
      </c>
      <c r="C1140" s="30" t="str">
        <f>VLOOKUP(B1140,gachas!A:C,3)</f>
        <v>ニューフェイスガチャ（インド第2弾）</v>
      </c>
      <c r="D1140" s="21">
        <v>10</v>
      </c>
      <c r="E1140" s="2">
        <f t="shared" si="273"/>
        <v>48</v>
      </c>
      <c r="F1140" s="2">
        <v>10</v>
      </c>
      <c r="G1140" s="3" t="s">
        <v>22</v>
      </c>
      <c r="H1140" s="2">
        <v>40</v>
      </c>
      <c r="I1140" s="117">
        <v>431100</v>
      </c>
      <c r="J1140" s="112">
        <v>431103</v>
      </c>
      <c r="K1140" s="2" t="s">
        <v>84</v>
      </c>
      <c r="L1140" s="2">
        <v>0</v>
      </c>
      <c r="M1140" s="2" t="s">
        <v>84</v>
      </c>
      <c r="N1140" s="2" t="s">
        <v>84</v>
      </c>
      <c r="O1140" s="2" t="s">
        <v>841</v>
      </c>
      <c r="P1140" s="2" t="s">
        <v>1697</v>
      </c>
    </row>
    <row r="1141" spans="1:16" ht="22" customHeight="1" x14ac:dyDescent="0.15">
      <c r="A1141" s="10" t="str">
        <f t="shared" si="272"/>
        <v>431_10_49_10_polygon</v>
      </c>
      <c r="B1141" s="2">
        <v>431</v>
      </c>
      <c r="C1141" s="30" t="str">
        <f>VLOOKUP(B1141,gachas!A:C,3)</f>
        <v>ニューフェイスガチャ（インド第2弾）</v>
      </c>
      <c r="D1141" s="21">
        <v>10</v>
      </c>
      <c r="E1141" s="2">
        <f t="shared" si="273"/>
        <v>49</v>
      </c>
      <c r="F1141" s="2">
        <v>10</v>
      </c>
      <c r="G1141" s="3" t="s">
        <v>22</v>
      </c>
      <c r="H1141" s="2">
        <v>50</v>
      </c>
      <c r="I1141" s="117">
        <v>431100</v>
      </c>
      <c r="J1141" s="112">
        <v>431104</v>
      </c>
      <c r="K1141" s="2" t="s">
        <v>84</v>
      </c>
      <c r="L1141" s="2">
        <v>0</v>
      </c>
      <c r="M1141" s="2" t="s">
        <v>84</v>
      </c>
      <c r="N1141" s="2" t="s">
        <v>84</v>
      </c>
      <c r="O1141" s="2" t="s">
        <v>841</v>
      </c>
      <c r="P1141" s="2" t="s">
        <v>1698</v>
      </c>
    </row>
    <row r="1142" spans="1:16" ht="22" customHeight="1" x14ac:dyDescent="0.15">
      <c r="A1142" s="10" t="str">
        <f t="shared" si="272"/>
        <v>431_10_50_10_polygon</v>
      </c>
      <c r="B1142" s="2">
        <v>431</v>
      </c>
      <c r="C1142" s="30" t="str">
        <f>VLOOKUP(B1142,gachas!A:C,3)</f>
        <v>ニューフェイスガチャ（インド第2弾）</v>
      </c>
      <c r="D1142" s="21">
        <v>10</v>
      </c>
      <c r="E1142" s="2">
        <f t="shared" si="273"/>
        <v>50</v>
      </c>
      <c r="F1142" s="2">
        <v>10</v>
      </c>
      <c r="G1142" s="3" t="s">
        <v>22</v>
      </c>
      <c r="H1142" s="2">
        <v>50</v>
      </c>
      <c r="I1142" s="117">
        <v>431100</v>
      </c>
      <c r="J1142" s="112" t="s">
        <v>84</v>
      </c>
      <c r="K1142" s="2">
        <v>431105</v>
      </c>
      <c r="L1142" s="2">
        <v>1</v>
      </c>
      <c r="M1142" s="2" t="s">
        <v>84</v>
      </c>
      <c r="N1142" s="2" t="s">
        <v>84</v>
      </c>
      <c r="O1142" s="2" t="s">
        <v>841</v>
      </c>
      <c r="P1142" s="2" t="s">
        <v>1699</v>
      </c>
    </row>
    <row r="1143" spans="1:16" ht="22" customHeight="1" x14ac:dyDescent="0.15">
      <c r="A1143" s="10" t="str">
        <f t="shared" si="272"/>
        <v>431_10_0_10_polygon</v>
      </c>
      <c r="B1143" s="2">
        <v>431</v>
      </c>
      <c r="C1143" s="30" t="str">
        <f>VLOOKUP(B1143,gachas!A:C,3)</f>
        <v>ニューフェイスガチャ（インド第2弾）</v>
      </c>
      <c r="D1143" s="21">
        <v>10</v>
      </c>
      <c r="E1143" s="2">
        <v>0</v>
      </c>
      <c r="F1143" s="2">
        <v>10</v>
      </c>
      <c r="G1143" s="3" t="s">
        <v>22</v>
      </c>
      <c r="H1143" s="2">
        <v>50</v>
      </c>
      <c r="I1143" s="117">
        <v>431100</v>
      </c>
      <c r="J1143" s="112" t="s">
        <v>1681</v>
      </c>
      <c r="K1143" s="2" t="s">
        <v>1680</v>
      </c>
      <c r="L1143" s="2">
        <v>0</v>
      </c>
      <c r="M1143" s="2" t="s">
        <v>1680</v>
      </c>
      <c r="N1143" s="2" t="s">
        <v>1680</v>
      </c>
      <c r="O1143" s="2" t="s">
        <v>1682</v>
      </c>
      <c r="P1143" s="2" t="s">
        <v>1700</v>
      </c>
    </row>
    <row r="1144" spans="1:16" ht="22" customHeight="1" x14ac:dyDescent="0.15">
      <c r="A1144" s="10" t="str">
        <f t="shared" ref="A1144:A1146" si="274">B1144&amp;"_"&amp;D1144&amp;"_"&amp;E1144&amp;"_"&amp;F1144&amp;"_"&amp;G1144</f>
        <v>432_1_0_1_polygon</v>
      </c>
      <c r="B1144" s="2">
        <v>432</v>
      </c>
      <c r="C1144" s="30" t="str">
        <f>VLOOKUP(B1144,gachas!A:C,3)</f>
        <v>ピックアップカラーガチャ（赤）</v>
      </c>
      <c r="D1144" s="21">
        <v>1</v>
      </c>
      <c r="E1144" s="2">
        <v>0</v>
      </c>
      <c r="F1144" s="2">
        <v>1</v>
      </c>
      <c r="G1144" s="3" t="s">
        <v>22</v>
      </c>
      <c r="H1144" s="2">
        <v>5</v>
      </c>
      <c r="I1144" s="117" t="str">
        <f t="shared" ref="I1144:I1145" si="275">B1144&amp;TEXT(D1144,"00")&amp;E1144</f>
        <v>432010</v>
      </c>
      <c r="J1144" s="112" t="s">
        <v>84</v>
      </c>
      <c r="K1144" s="109" t="s">
        <v>84</v>
      </c>
      <c r="L1144" s="2">
        <v>0</v>
      </c>
      <c r="M1144" s="2" t="s">
        <v>84</v>
      </c>
      <c r="N1144" s="2" t="s">
        <v>84</v>
      </c>
      <c r="O1144" s="2" t="s">
        <v>841</v>
      </c>
      <c r="P1144" s="2" t="s">
        <v>84</v>
      </c>
    </row>
    <row r="1145" spans="1:16" ht="22" customHeight="1" x14ac:dyDescent="0.15">
      <c r="A1145" s="10" t="str">
        <f t="shared" si="274"/>
        <v>432_10_0_10_polygon</v>
      </c>
      <c r="B1145" s="2">
        <v>432</v>
      </c>
      <c r="C1145" s="30" t="str">
        <f>VLOOKUP(B1145,gachas!A:C,3)</f>
        <v>ピックアップカラーガチャ（赤）</v>
      </c>
      <c r="D1145" s="21">
        <v>10</v>
      </c>
      <c r="E1145" s="2">
        <v>0</v>
      </c>
      <c r="F1145" s="2">
        <v>10</v>
      </c>
      <c r="G1145" s="3" t="s">
        <v>22</v>
      </c>
      <c r="H1145" s="2">
        <v>50</v>
      </c>
      <c r="I1145" s="117" t="str">
        <f t="shared" si="275"/>
        <v>432100</v>
      </c>
      <c r="J1145" s="112" t="s">
        <v>84</v>
      </c>
      <c r="K1145" s="109" t="s">
        <v>84</v>
      </c>
      <c r="L1145" s="2">
        <v>0</v>
      </c>
      <c r="M1145" s="2" t="s">
        <v>84</v>
      </c>
      <c r="N1145" s="2" t="s">
        <v>84</v>
      </c>
      <c r="O1145" s="2" t="s">
        <v>841</v>
      </c>
      <c r="P1145" s="2" t="s">
        <v>143</v>
      </c>
    </row>
    <row r="1146" spans="1:16" ht="22" customHeight="1" x14ac:dyDescent="0.15">
      <c r="A1146" s="10" t="str">
        <f t="shared" si="274"/>
        <v>432_10_1_10_polygon</v>
      </c>
      <c r="B1146" s="2">
        <v>432</v>
      </c>
      <c r="C1146" s="30" t="str">
        <f>VLOOKUP(B1146,gachas!A:C,3)</f>
        <v>ピックアップカラーガチャ（赤）</v>
      </c>
      <c r="D1146" s="21">
        <v>10</v>
      </c>
      <c r="E1146" s="2">
        <f>E1145+1</f>
        <v>1</v>
      </c>
      <c r="F1146" s="2">
        <v>10</v>
      </c>
      <c r="G1146" s="3" t="s">
        <v>22</v>
      </c>
      <c r="H1146" s="2">
        <v>25</v>
      </c>
      <c r="I1146" s="117">
        <v>432100</v>
      </c>
      <c r="J1146" s="112" t="s">
        <v>84</v>
      </c>
      <c r="K1146" s="109" t="s">
        <v>84</v>
      </c>
      <c r="L1146" s="2">
        <v>0</v>
      </c>
      <c r="M1146" s="2" t="s">
        <v>84</v>
      </c>
      <c r="N1146" s="2" t="s">
        <v>84</v>
      </c>
      <c r="O1146" s="2" t="s">
        <v>841</v>
      </c>
      <c r="P1146" s="59" t="s">
        <v>1783</v>
      </c>
    </row>
    <row r="1147" spans="1:16" ht="22" customHeight="1" x14ac:dyDescent="0.15">
      <c r="A1147" s="10" t="str">
        <f t="shared" ref="A1147:A1195" si="276">B1147&amp;"_"&amp;D1147&amp;"_"&amp;E1147&amp;"_"&amp;F1147&amp;"_"&amp;G1147</f>
        <v>432_10_2_10_polygon</v>
      </c>
      <c r="B1147" s="2">
        <v>432</v>
      </c>
      <c r="C1147" s="30" t="str">
        <f>VLOOKUP(B1147,gachas!A:C,3)</f>
        <v>ピックアップカラーガチャ（赤）</v>
      </c>
      <c r="D1147" s="21">
        <v>10</v>
      </c>
      <c r="E1147" s="2">
        <f t="shared" ref="E1147:E1195" si="277">E1146+1</f>
        <v>2</v>
      </c>
      <c r="F1147" s="2">
        <v>10</v>
      </c>
      <c r="G1147" s="3" t="s">
        <v>22</v>
      </c>
      <c r="H1147" s="2">
        <v>50</v>
      </c>
      <c r="I1147" s="117">
        <v>432100</v>
      </c>
      <c r="J1147" s="112" t="s">
        <v>84</v>
      </c>
      <c r="K1147" s="109" t="s">
        <v>84</v>
      </c>
      <c r="L1147" s="2">
        <v>0</v>
      </c>
      <c r="M1147" s="2" t="s">
        <v>84</v>
      </c>
      <c r="N1147" s="2" t="s">
        <v>84</v>
      </c>
      <c r="O1147" s="2" t="s">
        <v>841</v>
      </c>
      <c r="P1147" s="2" t="s">
        <v>143</v>
      </c>
    </row>
    <row r="1148" spans="1:16" ht="22" customHeight="1" x14ac:dyDescent="0.15">
      <c r="A1148" s="10" t="str">
        <f t="shared" si="276"/>
        <v>432_10_3_10_polygon</v>
      </c>
      <c r="B1148" s="2">
        <v>432</v>
      </c>
      <c r="C1148" s="30" t="str">
        <f>VLOOKUP(B1148,gachas!A:C,3)</f>
        <v>ピックアップカラーガチャ（赤）</v>
      </c>
      <c r="D1148" s="21">
        <v>10</v>
      </c>
      <c r="E1148" s="2">
        <f t="shared" si="277"/>
        <v>3</v>
      </c>
      <c r="F1148" s="2">
        <v>10</v>
      </c>
      <c r="G1148" s="3" t="s">
        <v>22</v>
      </c>
      <c r="H1148" s="2">
        <v>50</v>
      </c>
      <c r="I1148" s="117">
        <v>432100</v>
      </c>
      <c r="J1148" s="112" t="s">
        <v>84</v>
      </c>
      <c r="K1148" s="109" t="s">
        <v>84</v>
      </c>
      <c r="L1148" s="2">
        <v>0</v>
      </c>
      <c r="M1148" s="2" t="s">
        <v>84</v>
      </c>
      <c r="N1148" s="2" t="s">
        <v>84</v>
      </c>
      <c r="O1148" s="2" t="s">
        <v>841</v>
      </c>
      <c r="P1148" s="2" t="s">
        <v>143</v>
      </c>
    </row>
    <row r="1149" spans="1:16" ht="22" customHeight="1" x14ac:dyDescent="0.15">
      <c r="A1149" s="10" t="str">
        <f t="shared" si="276"/>
        <v>432_10_4_10_polygon</v>
      </c>
      <c r="B1149" s="2">
        <v>432</v>
      </c>
      <c r="C1149" s="30" t="str">
        <f>VLOOKUP(B1149,gachas!A:C,3)</f>
        <v>ピックアップカラーガチャ（赤）</v>
      </c>
      <c r="D1149" s="21">
        <v>10</v>
      </c>
      <c r="E1149" s="2">
        <f t="shared" si="277"/>
        <v>4</v>
      </c>
      <c r="F1149" s="2">
        <v>10</v>
      </c>
      <c r="G1149" s="3" t="s">
        <v>22</v>
      </c>
      <c r="H1149" s="2">
        <v>50</v>
      </c>
      <c r="I1149" s="117">
        <v>432100</v>
      </c>
      <c r="J1149" s="112" t="s">
        <v>84</v>
      </c>
      <c r="K1149" s="109" t="s">
        <v>84</v>
      </c>
      <c r="L1149" s="2">
        <v>0</v>
      </c>
      <c r="M1149" s="2" t="s">
        <v>84</v>
      </c>
      <c r="N1149" s="2" t="s">
        <v>84</v>
      </c>
      <c r="O1149" s="2" t="s">
        <v>841</v>
      </c>
      <c r="P1149" s="2" t="s">
        <v>143</v>
      </c>
    </row>
    <row r="1150" spans="1:16" ht="22" customHeight="1" x14ac:dyDescent="0.15">
      <c r="A1150" s="10" t="str">
        <f t="shared" si="276"/>
        <v>432_10_5_10_polygon</v>
      </c>
      <c r="B1150" s="2">
        <v>432</v>
      </c>
      <c r="C1150" s="30" t="str">
        <f>VLOOKUP(B1150,gachas!A:C,3)</f>
        <v>ピックアップカラーガチャ（赤）</v>
      </c>
      <c r="D1150" s="21">
        <v>10</v>
      </c>
      <c r="E1150" s="2">
        <f t="shared" si="277"/>
        <v>5</v>
      </c>
      <c r="F1150" s="2">
        <v>10</v>
      </c>
      <c r="G1150" s="3" t="s">
        <v>22</v>
      </c>
      <c r="H1150" s="2">
        <v>50</v>
      </c>
      <c r="I1150" s="117">
        <v>432100</v>
      </c>
      <c r="J1150" s="112" t="s">
        <v>84</v>
      </c>
      <c r="K1150" s="109">
        <v>432105</v>
      </c>
      <c r="L1150" s="2">
        <v>1</v>
      </c>
      <c r="M1150" s="2" t="s">
        <v>84</v>
      </c>
      <c r="N1150" s="2" t="s">
        <v>84</v>
      </c>
      <c r="O1150" s="2" t="s">
        <v>841</v>
      </c>
      <c r="P1150" s="2" t="s">
        <v>1781</v>
      </c>
    </row>
    <row r="1151" spans="1:16" ht="22" customHeight="1" x14ac:dyDescent="0.15">
      <c r="A1151" s="10" t="str">
        <f t="shared" si="276"/>
        <v>432_10_6_10_polygon</v>
      </c>
      <c r="B1151" s="2">
        <v>432</v>
      </c>
      <c r="C1151" s="30" t="str">
        <f>VLOOKUP(B1151,gachas!A:C,3)</f>
        <v>ピックアップカラーガチャ（赤）</v>
      </c>
      <c r="D1151" s="21">
        <v>10</v>
      </c>
      <c r="E1151" s="2">
        <f t="shared" si="277"/>
        <v>6</v>
      </c>
      <c r="F1151" s="2">
        <v>10</v>
      </c>
      <c r="G1151" s="3" t="s">
        <v>22</v>
      </c>
      <c r="H1151" s="2">
        <v>25</v>
      </c>
      <c r="I1151" s="117">
        <v>432100</v>
      </c>
      <c r="J1151" s="112" t="s">
        <v>84</v>
      </c>
      <c r="K1151" s="109" t="s">
        <v>84</v>
      </c>
      <c r="L1151" s="2">
        <v>0</v>
      </c>
      <c r="M1151" s="2" t="s">
        <v>84</v>
      </c>
      <c r="N1151" s="2" t="s">
        <v>84</v>
      </c>
      <c r="O1151" s="2" t="s">
        <v>841</v>
      </c>
      <c r="P1151" s="59" t="s">
        <v>1783</v>
      </c>
    </row>
    <row r="1152" spans="1:16" ht="22" customHeight="1" x14ac:dyDescent="0.15">
      <c r="A1152" s="10" t="str">
        <f t="shared" si="276"/>
        <v>432_10_7_10_polygon</v>
      </c>
      <c r="B1152" s="2">
        <v>432</v>
      </c>
      <c r="C1152" s="30" t="str">
        <f>VLOOKUP(B1152,gachas!A:C,3)</f>
        <v>ピックアップカラーガチャ（赤）</v>
      </c>
      <c r="D1152" s="21">
        <v>10</v>
      </c>
      <c r="E1152" s="2">
        <f t="shared" si="277"/>
        <v>7</v>
      </c>
      <c r="F1152" s="2">
        <v>10</v>
      </c>
      <c r="G1152" s="3" t="s">
        <v>22</v>
      </c>
      <c r="H1152" s="2">
        <v>50</v>
      </c>
      <c r="I1152" s="117">
        <v>432100</v>
      </c>
      <c r="J1152" s="112" t="s">
        <v>84</v>
      </c>
      <c r="K1152" s="109" t="s">
        <v>84</v>
      </c>
      <c r="L1152" s="2">
        <v>0</v>
      </c>
      <c r="M1152" s="2" t="s">
        <v>84</v>
      </c>
      <c r="N1152" s="2" t="s">
        <v>84</v>
      </c>
      <c r="O1152" s="2" t="s">
        <v>841</v>
      </c>
      <c r="P1152" s="2" t="s">
        <v>143</v>
      </c>
    </row>
    <row r="1153" spans="1:16" ht="22" customHeight="1" x14ac:dyDescent="0.15">
      <c r="A1153" s="10" t="str">
        <f t="shared" si="276"/>
        <v>432_10_8_10_polygon</v>
      </c>
      <c r="B1153" s="2">
        <v>432</v>
      </c>
      <c r="C1153" s="30" t="str">
        <f>VLOOKUP(B1153,gachas!A:C,3)</f>
        <v>ピックアップカラーガチャ（赤）</v>
      </c>
      <c r="D1153" s="21">
        <v>10</v>
      </c>
      <c r="E1153" s="2">
        <f t="shared" si="277"/>
        <v>8</v>
      </c>
      <c r="F1153" s="2">
        <v>10</v>
      </c>
      <c r="G1153" s="3" t="s">
        <v>22</v>
      </c>
      <c r="H1153" s="2">
        <v>50</v>
      </c>
      <c r="I1153" s="117">
        <v>432100</v>
      </c>
      <c r="J1153" s="112" t="s">
        <v>84</v>
      </c>
      <c r="K1153" s="109" t="s">
        <v>84</v>
      </c>
      <c r="L1153" s="2">
        <v>0</v>
      </c>
      <c r="M1153" s="2" t="s">
        <v>84</v>
      </c>
      <c r="N1153" s="2" t="s">
        <v>84</v>
      </c>
      <c r="O1153" s="2" t="s">
        <v>841</v>
      </c>
      <c r="P1153" s="2" t="s">
        <v>143</v>
      </c>
    </row>
    <row r="1154" spans="1:16" ht="22" customHeight="1" x14ac:dyDescent="0.15">
      <c r="A1154" s="10" t="str">
        <f t="shared" si="276"/>
        <v>432_10_9_10_polygon</v>
      </c>
      <c r="B1154" s="2">
        <v>432</v>
      </c>
      <c r="C1154" s="30" t="str">
        <f>VLOOKUP(B1154,gachas!A:C,3)</f>
        <v>ピックアップカラーガチャ（赤）</v>
      </c>
      <c r="D1154" s="21">
        <v>10</v>
      </c>
      <c r="E1154" s="2">
        <f t="shared" si="277"/>
        <v>9</v>
      </c>
      <c r="F1154" s="2">
        <v>10</v>
      </c>
      <c r="G1154" s="3" t="s">
        <v>22</v>
      </c>
      <c r="H1154" s="2">
        <v>50</v>
      </c>
      <c r="I1154" s="117">
        <v>432100</v>
      </c>
      <c r="J1154" s="112" t="s">
        <v>84</v>
      </c>
      <c r="K1154" s="109" t="s">
        <v>84</v>
      </c>
      <c r="L1154" s="2">
        <v>0</v>
      </c>
      <c r="M1154" s="2" t="s">
        <v>84</v>
      </c>
      <c r="N1154" s="2" t="s">
        <v>84</v>
      </c>
      <c r="O1154" s="2" t="s">
        <v>841</v>
      </c>
      <c r="P1154" s="2" t="s">
        <v>143</v>
      </c>
    </row>
    <row r="1155" spans="1:16" ht="22" customHeight="1" x14ac:dyDescent="0.15">
      <c r="A1155" s="10" t="str">
        <f t="shared" si="276"/>
        <v>432_10_10_10_polygon</v>
      </c>
      <c r="B1155" s="2">
        <v>432</v>
      </c>
      <c r="C1155" s="30" t="str">
        <f>VLOOKUP(B1155,gachas!A:C,3)</f>
        <v>ピックアップカラーガチャ（赤）</v>
      </c>
      <c r="D1155" s="21">
        <v>10</v>
      </c>
      <c r="E1155" s="2">
        <f t="shared" si="277"/>
        <v>10</v>
      </c>
      <c r="F1155" s="2">
        <v>10</v>
      </c>
      <c r="G1155" s="3" t="s">
        <v>22</v>
      </c>
      <c r="H1155" s="2">
        <v>50</v>
      </c>
      <c r="I1155" s="117">
        <v>432100</v>
      </c>
      <c r="J1155" s="112" t="s">
        <v>84</v>
      </c>
      <c r="K1155" s="109">
        <v>432105</v>
      </c>
      <c r="L1155" s="2">
        <v>1</v>
      </c>
      <c r="M1155" s="2" t="s">
        <v>84</v>
      </c>
      <c r="N1155" s="2" t="s">
        <v>84</v>
      </c>
      <c r="O1155" s="2" t="s">
        <v>841</v>
      </c>
      <c r="P1155" s="2" t="s">
        <v>1781</v>
      </c>
    </row>
    <row r="1156" spans="1:16" ht="22" customHeight="1" x14ac:dyDescent="0.15">
      <c r="A1156" s="10" t="str">
        <f t="shared" si="276"/>
        <v>432_10_11_10_polygon</v>
      </c>
      <c r="B1156" s="2">
        <v>432</v>
      </c>
      <c r="C1156" s="30" t="str">
        <f>VLOOKUP(B1156,gachas!A:C,3)</f>
        <v>ピックアップカラーガチャ（赤）</v>
      </c>
      <c r="D1156" s="21">
        <v>10</v>
      </c>
      <c r="E1156" s="2">
        <f t="shared" si="277"/>
        <v>11</v>
      </c>
      <c r="F1156" s="2">
        <v>10</v>
      </c>
      <c r="G1156" s="3" t="s">
        <v>22</v>
      </c>
      <c r="H1156" s="2">
        <v>25</v>
      </c>
      <c r="I1156" s="117">
        <v>432100</v>
      </c>
      <c r="J1156" s="112" t="s">
        <v>84</v>
      </c>
      <c r="K1156" s="109" t="s">
        <v>84</v>
      </c>
      <c r="L1156" s="2">
        <v>0</v>
      </c>
      <c r="M1156" s="2" t="s">
        <v>84</v>
      </c>
      <c r="N1156" s="2" t="s">
        <v>84</v>
      </c>
      <c r="O1156" s="2" t="s">
        <v>841</v>
      </c>
      <c r="P1156" s="59" t="s">
        <v>1783</v>
      </c>
    </row>
    <row r="1157" spans="1:16" ht="22" customHeight="1" x14ac:dyDescent="0.15">
      <c r="A1157" s="10" t="str">
        <f t="shared" si="276"/>
        <v>432_10_12_10_polygon</v>
      </c>
      <c r="B1157" s="2">
        <v>432</v>
      </c>
      <c r="C1157" s="30" t="str">
        <f>VLOOKUP(B1157,gachas!A:C,3)</f>
        <v>ピックアップカラーガチャ（赤）</v>
      </c>
      <c r="D1157" s="21">
        <v>10</v>
      </c>
      <c r="E1157" s="2">
        <f t="shared" si="277"/>
        <v>12</v>
      </c>
      <c r="F1157" s="2">
        <v>10</v>
      </c>
      <c r="G1157" s="3" t="s">
        <v>22</v>
      </c>
      <c r="H1157" s="2">
        <v>50</v>
      </c>
      <c r="I1157" s="117">
        <v>432100</v>
      </c>
      <c r="J1157" s="112" t="s">
        <v>84</v>
      </c>
      <c r="K1157" s="109" t="s">
        <v>84</v>
      </c>
      <c r="L1157" s="2">
        <v>0</v>
      </c>
      <c r="M1157" s="2" t="s">
        <v>84</v>
      </c>
      <c r="N1157" s="2" t="s">
        <v>84</v>
      </c>
      <c r="O1157" s="2" t="s">
        <v>841</v>
      </c>
      <c r="P1157" s="2" t="s">
        <v>143</v>
      </c>
    </row>
    <row r="1158" spans="1:16" ht="22" customHeight="1" x14ac:dyDescent="0.15">
      <c r="A1158" s="10" t="str">
        <f t="shared" si="276"/>
        <v>432_10_13_10_polygon</v>
      </c>
      <c r="B1158" s="2">
        <v>432</v>
      </c>
      <c r="C1158" s="30" t="str">
        <f>VLOOKUP(B1158,gachas!A:C,3)</f>
        <v>ピックアップカラーガチャ（赤）</v>
      </c>
      <c r="D1158" s="21">
        <v>10</v>
      </c>
      <c r="E1158" s="2">
        <f t="shared" si="277"/>
        <v>13</v>
      </c>
      <c r="F1158" s="2">
        <v>10</v>
      </c>
      <c r="G1158" s="3" t="s">
        <v>22</v>
      </c>
      <c r="H1158" s="2">
        <v>50</v>
      </c>
      <c r="I1158" s="117">
        <v>432100</v>
      </c>
      <c r="J1158" s="112" t="s">
        <v>84</v>
      </c>
      <c r="K1158" s="109" t="s">
        <v>84</v>
      </c>
      <c r="L1158" s="2">
        <v>0</v>
      </c>
      <c r="M1158" s="2" t="s">
        <v>84</v>
      </c>
      <c r="N1158" s="2" t="s">
        <v>84</v>
      </c>
      <c r="O1158" s="2" t="s">
        <v>841</v>
      </c>
      <c r="P1158" s="2" t="s">
        <v>143</v>
      </c>
    </row>
    <row r="1159" spans="1:16" ht="22" customHeight="1" x14ac:dyDescent="0.15">
      <c r="A1159" s="10" t="str">
        <f t="shared" si="276"/>
        <v>432_10_14_10_polygon</v>
      </c>
      <c r="B1159" s="2">
        <v>432</v>
      </c>
      <c r="C1159" s="30" t="str">
        <f>VLOOKUP(B1159,gachas!A:C,3)</f>
        <v>ピックアップカラーガチャ（赤）</v>
      </c>
      <c r="D1159" s="21">
        <v>10</v>
      </c>
      <c r="E1159" s="2">
        <f t="shared" si="277"/>
        <v>14</v>
      </c>
      <c r="F1159" s="2">
        <v>10</v>
      </c>
      <c r="G1159" s="3" t="s">
        <v>22</v>
      </c>
      <c r="H1159" s="2">
        <v>50</v>
      </c>
      <c r="I1159" s="117">
        <v>432100</v>
      </c>
      <c r="J1159" s="112" t="s">
        <v>84</v>
      </c>
      <c r="K1159" s="109" t="s">
        <v>84</v>
      </c>
      <c r="L1159" s="2">
        <v>0</v>
      </c>
      <c r="M1159" s="2" t="s">
        <v>84</v>
      </c>
      <c r="N1159" s="2" t="s">
        <v>84</v>
      </c>
      <c r="O1159" s="2" t="s">
        <v>841</v>
      </c>
      <c r="P1159" s="2" t="s">
        <v>143</v>
      </c>
    </row>
    <row r="1160" spans="1:16" ht="22" customHeight="1" x14ac:dyDescent="0.15">
      <c r="A1160" s="10" t="str">
        <f t="shared" si="276"/>
        <v>432_10_15_10_polygon</v>
      </c>
      <c r="B1160" s="2">
        <v>432</v>
      </c>
      <c r="C1160" s="30" t="str">
        <f>VLOOKUP(B1160,gachas!A:C,3)</f>
        <v>ピックアップカラーガチャ（赤）</v>
      </c>
      <c r="D1160" s="21">
        <v>10</v>
      </c>
      <c r="E1160" s="2">
        <f t="shared" si="277"/>
        <v>15</v>
      </c>
      <c r="F1160" s="2">
        <v>10</v>
      </c>
      <c r="G1160" s="3" t="s">
        <v>22</v>
      </c>
      <c r="H1160" s="2">
        <v>50</v>
      </c>
      <c r="I1160" s="117">
        <v>432100</v>
      </c>
      <c r="J1160" s="112" t="s">
        <v>84</v>
      </c>
      <c r="K1160" s="109">
        <v>432105</v>
      </c>
      <c r="L1160" s="2">
        <v>1</v>
      </c>
      <c r="M1160" s="2" t="s">
        <v>84</v>
      </c>
      <c r="N1160" s="2" t="s">
        <v>84</v>
      </c>
      <c r="O1160" s="2" t="s">
        <v>841</v>
      </c>
      <c r="P1160" s="2" t="s">
        <v>1781</v>
      </c>
    </row>
    <row r="1161" spans="1:16" ht="22" customHeight="1" x14ac:dyDescent="0.15">
      <c r="A1161" s="10" t="str">
        <f t="shared" si="276"/>
        <v>432_10_16_10_polygon</v>
      </c>
      <c r="B1161" s="2">
        <v>432</v>
      </c>
      <c r="C1161" s="30" t="str">
        <f>VLOOKUP(B1161,gachas!A:C,3)</f>
        <v>ピックアップカラーガチャ（赤）</v>
      </c>
      <c r="D1161" s="21">
        <v>10</v>
      </c>
      <c r="E1161" s="2">
        <f t="shared" si="277"/>
        <v>16</v>
      </c>
      <c r="F1161" s="2">
        <v>10</v>
      </c>
      <c r="G1161" s="3" t="s">
        <v>22</v>
      </c>
      <c r="H1161" s="2">
        <v>25</v>
      </c>
      <c r="I1161" s="117">
        <v>432100</v>
      </c>
      <c r="J1161" s="112" t="s">
        <v>84</v>
      </c>
      <c r="K1161" s="109" t="s">
        <v>84</v>
      </c>
      <c r="L1161" s="2">
        <v>0</v>
      </c>
      <c r="M1161" s="2" t="s">
        <v>84</v>
      </c>
      <c r="N1161" s="2" t="s">
        <v>84</v>
      </c>
      <c r="O1161" s="2" t="s">
        <v>841</v>
      </c>
      <c r="P1161" s="59" t="s">
        <v>1783</v>
      </c>
    </row>
    <row r="1162" spans="1:16" ht="22" customHeight="1" x14ac:dyDescent="0.15">
      <c r="A1162" s="10" t="str">
        <f t="shared" si="276"/>
        <v>432_10_17_10_polygon</v>
      </c>
      <c r="B1162" s="2">
        <v>432</v>
      </c>
      <c r="C1162" s="30" t="str">
        <f>VLOOKUP(B1162,gachas!A:C,3)</f>
        <v>ピックアップカラーガチャ（赤）</v>
      </c>
      <c r="D1162" s="21">
        <v>10</v>
      </c>
      <c r="E1162" s="2">
        <f t="shared" si="277"/>
        <v>17</v>
      </c>
      <c r="F1162" s="2">
        <v>10</v>
      </c>
      <c r="G1162" s="3" t="s">
        <v>22</v>
      </c>
      <c r="H1162" s="2">
        <v>50</v>
      </c>
      <c r="I1162" s="117">
        <v>432100</v>
      </c>
      <c r="J1162" s="112" t="s">
        <v>84</v>
      </c>
      <c r="K1162" s="109" t="s">
        <v>84</v>
      </c>
      <c r="L1162" s="2">
        <v>0</v>
      </c>
      <c r="M1162" s="2" t="s">
        <v>84</v>
      </c>
      <c r="N1162" s="2" t="s">
        <v>84</v>
      </c>
      <c r="O1162" s="2" t="s">
        <v>841</v>
      </c>
      <c r="P1162" s="2" t="s">
        <v>143</v>
      </c>
    </row>
    <row r="1163" spans="1:16" ht="22" customHeight="1" x14ac:dyDescent="0.15">
      <c r="A1163" s="10" t="str">
        <f t="shared" si="276"/>
        <v>432_10_18_10_polygon</v>
      </c>
      <c r="B1163" s="2">
        <v>432</v>
      </c>
      <c r="C1163" s="30" t="str">
        <f>VLOOKUP(B1163,gachas!A:C,3)</f>
        <v>ピックアップカラーガチャ（赤）</v>
      </c>
      <c r="D1163" s="21">
        <v>10</v>
      </c>
      <c r="E1163" s="2">
        <f t="shared" si="277"/>
        <v>18</v>
      </c>
      <c r="F1163" s="2">
        <v>10</v>
      </c>
      <c r="G1163" s="3" t="s">
        <v>22</v>
      </c>
      <c r="H1163" s="2">
        <v>50</v>
      </c>
      <c r="I1163" s="117">
        <v>432100</v>
      </c>
      <c r="J1163" s="112" t="s">
        <v>84</v>
      </c>
      <c r="K1163" s="109" t="s">
        <v>84</v>
      </c>
      <c r="L1163" s="2">
        <v>0</v>
      </c>
      <c r="M1163" s="2" t="s">
        <v>84</v>
      </c>
      <c r="N1163" s="2" t="s">
        <v>84</v>
      </c>
      <c r="O1163" s="2" t="s">
        <v>841</v>
      </c>
      <c r="P1163" s="2" t="s">
        <v>143</v>
      </c>
    </row>
    <row r="1164" spans="1:16" ht="22" customHeight="1" x14ac:dyDescent="0.15">
      <c r="A1164" s="10" t="str">
        <f t="shared" si="276"/>
        <v>432_10_19_10_polygon</v>
      </c>
      <c r="B1164" s="2">
        <v>432</v>
      </c>
      <c r="C1164" s="30" t="str">
        <f>VLOOKUP(B1164,gachas!A:C,3)</f>
        <v>ピックアップカラーガチャ（赤）</v>
      </c>
      <c r="D1164" s="21">
        <v>10</v>
      </c>
      <c r="E1164" s="2">
        <f t="shared" si="277"/>
        <v>19</v>
      </c>
      <c r="F1164" s="2">
        <v>10</v>
      </c>
      <c r="G1164" s="3" t="s">
        <v>22</v>
      </c>
      <c r="H1164" s="2">
        <v>50</v>
      </c>
      <c r="I1164" s="117">
        <v>432100</v>
      </c>
      <c r="J1164" s="112" t="s">
        <v>84</v>
      </c>
      <c r="K1164" s="109" t="s">
        <v>84</v>
      </c>
      <c r="L1164" s="2">
        <v>0</v>
      </c>
      <c r="M1164" s="2" t="s">
        <v>84</v>
      </c>
      <c r="N1164" s="2" t="s">
        <v>84</v>
      </c>
      <c r="O1164" s="2" t="s">
        <v>841</v>
      </c>
      <c r="P1164" s="2" t="s">
        <v>143</v>
      </c>
    </row>
    <row r="1165" spans="1:16" ht="22" customHeight="1" x14ac:dyDescent="0.15">
      <c r="A1165" s="10" t="str">
        <f t="shared" si="276"/>
        <v>432_10_20_10_polygon</v>
      </c>
      <c r="B1165" s="2">
        <v>432</v>
      </c>
      <c r="C1165" s="30" t="str">
        <f>VLOOKUP(B1165,gachas!A:C,3)</f>
        <v>ピックアップカラーガチャ（赤）</v>
      </c>
      <c r="D1165" s="21">
        <v>10</v>
      </c>
      <c r="E1165" s="2">
        <f t="shared" si="277"/>
        <v>20</v>
      </c>
      <c r="F1165" s="2">
        <v>10</v>
      </c>
      <c r="G1165" s="3" t="s">
        <v>22</v>
      </c>
      <c r="H1165" s="2">
        <v>50</v>
      </c>
      <c r="I1165" s="117">
        <v>432100</v>
      </c>
      <c r="J1165" s="112" t="s">
        <v>84</v>
      </c>
      <c r="K1165" s="109">
        <v>432105</v>
      </c>
      <c r="L1165" s="2">
        <v>1</v>
      </c>
      <c r="M1165" s="2" t="s">
        <v>84</v>
      </c>
      <c r="N1165" s="2" t="s">
        <v>84</v>
      </c>
      <c r="O1165" s="2" t="s">
        <v>841</v>
      </c>
      <c r="P1165" s="2" t="s">
        <v>1781</v>
      </c>
    </row>
    <row r="1166" spans="1:16" ht="22" customHeight="1" x14ac:dyDescent="0.15">
      <c r="A1166" s="10" t="str">
        <f t="shared" si="276"/>
        <v>432_10_21_10_polygon</v>
      </c>
      <c r="B1166" s="2">
        <v>432</v>
      </c>
      <c r="C1166" s="30" t="str">
        <f>VLOOKUP(B1166,gachas!A:C,3)</f>
        <v>ピックアップカラーガチャ（赤）</v>
      </c>
      <c r="D1166" s="21">
        <v>10</v>
      </c>
      <c r="E1166" s="2">
        <f t="shared" si="277"/>
        <v>21</v>
      </c>
      <c r="F1166" s="2">
        <v>10</v>
      </c>
      <c r="G1166" s="3" t="s">
        <v>22</v>
      </c>
      <c r="H1166" s="2">
        <v>25</v>
      </c>
      <c r="I1166" s="117">
        <v>432100</v>
      </c>
      <c r="J1166" s="112" t="s">
        <v>84</v>
      </c>
      <c r="K1166" s="109" t="s">
        <v>84</v>
      </c>
      <c r="L1166" s="2">
        <v>0</v>
      </c>
      <c r="M1166" s="2" t="s">
        <v>84</v>
      </c>
      <c r="N1166" s="2" t="s">
        <v>84</v>
      </c>
      <c r="O1166" s="2" t="s">
        <v>841</v>
      </c>
      <c r="P1166" s="59" t="s">
        <v>1783</v>
      </c>
    </row>
    <row r="1167" spans="1:16" ht="22" customHeight="1" x14ac:dyDescent="0.15">
      <c r="A1167" s="10" t="str">
        <f t="shared" si="276"/>
        <v>432_10_22_10_polygon</v>
      </c>
      <c r="B1167" s="2">
        <v>432</v>
      </c>
      <c r="C1167" s="30" t="str">
        <f>VLOOKUP(B1167,gachas!A:C,3)</f>
        <v>ピックアップカラーガチャ（赤）</v>
      </c>
      <c r="D1167" s="21">
        <v>10</v>
      </c>
      <c r="E1167" s="2">
        <f t="shared" si="277"/>
        <v>22</v>
      </c>
      <c r="F1167" s="2">
        <v>10</v>
      </c>
      <c r="G1167" s="3" t="s">
        <v>22</v>
      </c>
      <c r="H1167" s="2">
        <v>50</v>
      </c>
      <c r="I1167" s="117">
        <v>432100</v>
      </c>
      <c r="J1167" s="112" t="s">
        <v>84</v>
      </c>
      <c r="K1167" s="109" t="s">
        <v>84</v>
      </c>
      <c r="L1167" s="2">
        <v>0</v>
      </c>
      <c r="M1167" s="2" t="s">
        <v>84</v>
      </c>
      <c r="N1167" s="2" t="s">
        <v>84</v>
      </c>
      <c r="O1167" s="2" t="s">
        <v>841</v>
      </c>
      <c r="P1167" s="2" t="s">
        <v>143</v>
      </c>
    </row>
    <row r="1168" spans="1:16" ht="22" customHeight="1" x14ac:dyDescent="0.15">
      <c r="A1168" s="10" t="str">
        <f t="shared" si="276"/>
        <v>432_10_23_10_polygon</v>
      </c>
      <c r="B1168" s="2">
        <v>432</v>
      </c>
      <c r="C1168" s="30" t="str">
        <f>VLOOKUP(B1168,gachas!A:C,3)</f>
        <v>ピックアップカラーガチャ（赤）</v>
      </c>
      <c r="D1168" s="21">
        <v>10</v>
      </c>
      <c r="E1168" s="2">
        <f t="shared" si="277"/>
        <v>23</v>
      </c>
      <c r="F1168" s="2">
        <v>10</v>
      </c>
      <c r="G1168" s="3" t="s">
        <v>22</v>
      </c>
      <c r="H1168" s="2">
        <v>50</v>
      </c>
      <c r="I1168" s="117">
        <v>432100</v>
      </c>
      <c r="J1168" s="112" t="s">
        <v>84</v>
      </c>
      <c r="K1168" s="109" t="s">
        <v>84</v>
      </c>
      <c r="L1168" s="2">
        <v>0</v>
      </c>
      <c r="M1168" s="2" t="s">
        <v>84</v>
      </c>
      <c r="N1168" s="2" t="s">
        <v>84</v>
      </c>
      <c r="O1168" s="2" t="s">
        <v>841</v>
      </c>
      <c r="P1168" s="2" t="s">
        <v>143</v>
      </c>
    </row>
    <row r="1169" spans="1:16" ht="22" customHeight="1" x14ac:dyDescent="0.15">
      <c r="A1169" s="10" t="str">
        <f t="shared" si="276"/>
        <v>432_10_24_10_polygon</v>
      </c>
      <c r="B1169" s="2">
        <v>432</v>
      </c>
      <c r="C1169" s="30" t="str">
        <f>VLOOKUP(B1169,gachas!A:C,3)</f>
        <v>ピックアップカラーガチャ（赤）</v>
      </c>
      <c r="D1169" s="21">
        <v>10</v>
      </c>
      <c r="E1169" s="2">
        <f t="shared" si="277"/>
        <v>24</v>
      </c>
      <c r="F1169" s="2">
        <v>10</v>
      </c>
      <c r="G1169" s="3" t="s">
        <v>22</v>
      </c>
      <c r="H1169" s="2">
        <v>50</v>
      </c>
      <c r="I1169" s="117">
        <v>432100</v>
      </c>
      <c r="J1169" s="112" t="s">
        <v>84</v>
      </c>
      <c r="K1169" s="109" t="s">
        <v>84</v>
      </c>
      <c r="L1169" s="2">
        <v>0</v>
      </c>
      <c r="M1169" s="2" t="s">
        <v>84</v>
      </c>
      <c r="N1169" s="2" t="s">
        <v>84</v>
      </c>
      <c r="O1169" s="2" t="s">
        <v>841</v>
      </c>
      <c r="P1169" s="2" t="s">
        <v>143</v>
      </c>
    </row>
    <row r="1170" spans="1:16" ht="22" customHeight="1" x14ac:dyDescent="0.15">
      <c r="A1170" s="10" t="str">
        <f t="shared" si="276"/>
        <v>432_10_25_10_polygon</v>
      </c>
      <c r="B1170" s="2">
        <v>432</v>
      </c>
      <c r="C1170" s="30" t="str">
        <f>VLOOKUP(B1170,gachas!A:C,3)</f>
        <v>ピックアップカラーガチャ（赤）</v>
      </c>
      <c r="D1170" s="21">
        <v>10</v>
      </c>
      <c r="E1170" s="2">
        <f t="shared" si="277"/>
        <v>25</v>
      </c>
      <c r="F1170" s="2">
        <v>10</v>
      </c>
      <c r="G1170" s="3" t="s">
        <v>22</v>
      </c>
      <c r="H1170" s="2">
        <v>50</v>
      </c>
      <c r="I1170" s="117">
        <v>432100</v>
      </c>
      <c r="J1170" s="112" t="s">
        <v>84</v>
      </c>
      <c r="K1170" s="109">
        <v>432105</v>
      </c>
      <c r="L1170" s="2">
        <v>1</v>
      </c>
      <c r="M1170" s="2" t="s">
        <v>84</v>
      </c>
      <c r="N1170" s="2" t="s">
        <v>84</v>
      </c>
      <c r="O1170" s="2" t="s">
        <v>841</v>
      </c>
      <c r="P1170" s="2" t="s">
        <v>1781</v>
      </c>
    </row>
    <row r="1171" spans="1:16" ht="22" customHeight="1" x14ac:dyDescent="0.15">
      <c r="A1171" s="10" t="str">
        <f t="shared" si="276"/>
        <v>432_10_26_10_polygon</v>
      </c>
      <c r="B1171" s="2">
        <v>432</v>
      </c>
      <c r="C1171" s="30" t="str">
        <f>VLOOKUP(B1171,gachas!A:C,3)</f>
        <v>ピックアップカラーガチャ（赤）</v>
      </c>
      <c r="D1171" s="21">
        <v>10</v>
      </c>
      <c r="E1171" s="2">
        <f t="shared" si="277"/>
        <v>26</v>
      </c>
      <c r="F1171" s="2">
        <v>10</v>
      </c>
      <c r="G1171" s="3" t="s">
        <v>22</v>
      </c>
      <c r="H1171" s="2">
        <v>25</v>
      </c>
      <c r="I1171" s="117">
        <v>432100</v>
      </c>
      <c r="J1171" s="112" t="s">
        <v>84</v>
      </c>
      <c r="K1171" s="109" t="s">
        <v>84</v>
      </c>
      <c r="L1171" s="2">
        <v>0</v>
      </c>
      <c r="M1171" s="2" t="s">
        <v>84</v>
      </c>
      <c r="N1171" s="2" t="s">
        <v>84</v>
      </c>
      <c r="O1171" s="2" t="s">
        <v>841</v>
      </c>
      <c r="P1171" s="59" t="s">
        <v>1783</v>
      </c>
    </row>
    <row r="1172" spans="1:16" ht="22" customHeight="1" x14ac:dyDescent="0.15">
      <c r="A1172" s="10" t="str">
        <f t="shared" si="276"/>
        <v>432_10_27_10_polygon</v>
      </c>
      <c r="B1172" s="2">
        <v>432</v>
      </c>
      <c r="C1172" s="30" t="str">
        <f>VLOOKUP(B1172,gachas!A:C,3)</f>
        <v>ピックアップカラーガチャ（赤）</v>
      </c>
      <c r="D1172" s="21">
        <v>10</v>
      </c>
      <c r="E1172" s="2">
        <f t="shared" si="277"/>
        <v>27</v>
      </c>
      <c r="F1172" s="2">
        <v>10</v>
      </c>
      <c r="G1172" s="3" t="s">
        <v>22</v>
      </c>
      <c r="H1172" s="2">
        <v>50</v>
      </c>
      <c r="I1172" s="117">
        <v>432100</v>
      </c>
      <c r="J1172" s="112" t="s">
        <v>84</v>
      </c>
      <c r="K1172" s="109" t="s">
        <v>84</v>
      </c>
      <c r="L1172" s="2">
        <v>0</v>
      </c>
      <c r="M1172" s="2" t="s">
        <v>84</v>
      </c>
      <c r="N1172" s="2" t="s">
        <v>84</v>
      </c>
      <c r="O1172" s="2" t="s">
        <v>841</v>
      </c>
      <c r="P1172" s="2" t="s">
        <v>143</v>
      </c>
    </row>
    <row r="1173" spans="1:16" ht="22" customHeight="1" x14ac:dyDescent="0.15">
      <c r="A1173" s="10" t="str">
        <f t="shared" si="276"/>
        <v>432_10_28_10_polygon</v>
      </c>
      <c r="B1173" s="2">
        <v>432</v>
      </c>
      <c r="C1173" s="30" t="str">
        <f>VLOOKUP(B1173,gachas!A:C,3)</f>
        <v>ピックアップカラーガチャ（赤）</v>
      </c>
      <c r="D1173" s="21">
        <v>10</v>
      </c>
      <c r="E1173" s="2">
        <f t="shared" si="277"/>
        <v>28</v>
      </c>
      <c r="F1173" s="2">
        <v>10</v>
      </c>
      <c r="G1173" s="3" t="s">
        <v>22</v>
      </c>
      <c r="H1173" s="2">
        <v>50</v>
      </c>
      <c r="I1173" s="117">
        <v>432100</v>
      </c>
      <c r="J1173" s="112" t="s">
        <v>84</v>
      </c>
      <c r="K1173" s="109" t="s">
        <v>84</v>
      </c>
      <c r="L1173" s="2">
        <v>0</v>
      </c>
      <c r="M1173" s="2" t="s">
        <v>84</v>
      </c>
      <c r="N1173" s="2" t="s">
        <v>84</v>
      </c>
      <c r="O1173" s="2" t="s">
        <v>841</v>
      </c>
      <c r="P1173" s="2" t="s">
        <v>143</v>
      </c>
    </row>
    <row r="1174" spans="1:16" ht="22" customHeight="1" x14ac:dyDescent="0.15">
      <c r="A1174" s="10" t="str">
        <f t="shared" si="276"/>
        <v>432_10_29_10_polygon</v>
      </c>
      <c r="B1174" s="2">
        <v>432</v>
      </c>
      <c r="C1174" s="30" t="str">
        <f>VLOOKUP(B1174,gachas!A:C,3)</f>
        <v>ピックアップカラーガチャ（赤）</v>
      </c>
      <c r="D1174" s="21">
        <v>10</v>
      </c>
      <c r="E1174" s="2">
        <f t="shared" si="277"/>
        <v>29</v>
      </c>
      <c r="F1174" s="2">
        <v>10</v>
      </c>
      <c r="G1174" s="3" t="s">
        <v>22</v>
      </c>
      <c r="H1174" s="2">
        <v>50</v>
      </c>
      <c r="I1174" s="117">
        <v>432100</v>
      </c>
      <c r="J1174" s="112" t="s">
        <v>84</v>
      </c>
      <c r="K1174" s="109" t="s">
        <v>84</v>
      </c>
      <c r="L1174" s="2">
        <v>0</v>
      </c>
      <c r="M1174" s="2" t="s">
        <v>84</v>
      </c>
      <c r="N1174" s="2" t="s">
        <v>84</v>
      </c>
      <c r="O1174" s="2" t="s">
        <v>841</v>
      </c>
      <c r="P1174" s="2" t="s">
        <v>143</v>
      </c>
    </row>
    <row r="1175" spans="1:16" ht="22" customHeight="1" x14ac:dyDescent="0.15">
      <c r="A1175" s="10" t="str">
        <f t="shared" si="276"/>
        <v>432_10_30_10_polygon</v>
      </c>
      <c r="B1175" s="2">
        <v>432</v>
      </c>
      <c r="C1175" s="30" t="str">
        <f>VLOOKUP(B1175,gachas!A:C,3)</f>
        <v>ピックアップカラーガチャ（赤）</v>
      </c>
      <c r="D1175" s="21">
        <v>10</v>
      </c>
      <c r="E1175" s="2">
        <f t="shared" si="277"/>
        <v>30</v>
      </c>
      <c r="F1175" s="2">
        <v>10</v>
      </c>
      <c r="G1175" s="3" t="s">
        <v>22</v>
      </c>
      <c r="H1175" s="2">
        <v>50</v>
      </c>
      <c r="I1175" s="117">
        <v>432100</v>
      </c>
      <c r="J1175" s="112" t="s">
        <v>84</v>
      </c>
      <c r="K1175" s="109">
        <v>432105</v>
      </c>
      <c r="L1175" s="2">
        <v>1</v>
      </c>
      <c r="M1175" s="2" t="s">
        <v>84</v>
      </c>
      <c r="N1175" s="2" t="s">
        <v>84</v>
      </c>
      <c r="O1175" s="2" t="s">
        <v>841</v>
      </c>
      <c r="P1175" s="2" t="s">
        <v>1781</v>
      </c>
    </row>
    <row r="1176" spans="1:16" ht="22" customHeight="1" x14ac:dyDescent="0.15">
      <c r="A1176" s="10" t="str">
        <f t="shared" si="276"/>
        <v>432_10_31_10_polygon</v>
      </c>
      <c r="B1176" s="2">
        <v>432</v>
      </c>
      <c r="C1176" s="30" t="str">
        <f>VLOOKUP(B1176,gachas!A:C,3)</f>
        <v>ピックアップカラーガチャ（赤）</v>
      </c>
      <c r="D1176" s="21">
        <v>10</v>
      </c>
      <c r="E1176" s="2">
        <f t="shared" si="277"/>
        <v>31</v>
      </c>
      <c r="F1176" s="2">
        <v>10</v>
      </c>
      <c r="G1176" s="3" t="s">
        <v>22</v>
      </c>
      <c r="H1176" s="2">
        <v>25</v>
      </c>
      <c r="I1176" s="117">
        <v>432100</v>
      </c>
      <c r="J1176" s="112" t="s">
        <v>84</v>
      </c>
      <c r="K1176" s="109" t="s">
        <v>84</v>
      </c>
      <c r="L1176" s="2">
        <v>0</v>
      </c>
      <c r="M1176" s="2" t="s">
        <v>84</v>
      </c>
      <c r="N1176" s="2" t="s">
        <v>84</v>
      </c>
      <c r="O1176" s="2" t="s">
        <v>841</v>
      </c>
      <c r="P1176" s="59" t="s">
        <v>1783</v>
      </c>
    </row>
    <row r="1177" spans="1:16" ht="22" customHeight="1" x14ac:dyDescent="0.15">
      <c r="A1177" s="10" t="str">
        <f t="shared" si="276"/>
        <v>432_10_32_10_polygon</v>
      </c>
      <c r="B1177" s="2">
        <v>432</v>
      </c>
      <c r="C1177" s="30" t="str">
        <f>VLOOKUP(B1177,gachas!A:C,3)</f>
        <v>ピックアップカラーガチャ（赤）</v>
      </c>
      <c r="D1177" s="21">
        <v>10</v>
      </c>
      <c r="E1177" s="2">
        <f t="shared" si="277"/>
        <v>32</v>
      </c>
      <c r="F1177" s="2">
        <v>10</v>
      </c>
      <c r="G1177" s="3" t="s">
        <v>22</v>
      </c>
      <c r="H1177" s="2">
        <v>50</v>
      </c>
      <c r="I1177" s="117">
        <v>432100</v>
      </c>
      <c r="J1177" s="112" t="s">
        <v>84</v>
      </c>
      <c r="K1177" s="109" t="s">
        <v>84</v>
      </c>
      <c r="L1177" s="2">
        <v>0</v>
      </c>
      <c r="M1177" s="2" t="s">
        <v>84</v>
      </c>
      <c r="N1177" s="2" t="s">
        <v>84</v>
      </c>
      <c r="O1177" s="2" t="s">
        <v>841</v>
      </c>
      <c r="P1177" s="2" t="s">
        <v>143</v>
      </c>
    </row>
    <row r="1178" spans="1:16" ht="22" customHeight="1" x14ac:dyDescent="0.15">
      <c r="A1178" s="10" t="str">
        <f t="shared" si="276"/>
        <v>432_10_33_10_polygon</v>
      </c>
      <c r="B1178" s="2">
        <v>432</v>
      </c>
      <c r="C1178" s="30" t="str">
        <f>VLOOKUP(B1178,gachas!A:C,3)</f>
        <v>ピックアップカラーガチャ（赤）</v>
      </c>
      <c r="D1178" s="21">
        <v>10</v>
      </c>
      <c r="E1178" s="2">
        <f t="shared" si="277"/>
        <v>33</v>
      </c>
      <c r="F1178" s="2">
        <v>10</v>
      </c>
      <c r="G1178" s="3" t="s">
        <v>22</v>
      </c>
      <c r="H1178" s="2">
        <v>50</v>
      </c>
      <c r="I1178" s="117">
        <v>432100</v>
      </c>
      <c r="J1178" s="112" t="s">
        <v>84</v>
      </c>
      <c r="K1178" s="109" t="s">
        <v>84</v>
      </c>
      <c r="L1178" s="2">
        <v>0</v>
      </c>
      <c r="M1178" s="2" t="s">
        <v>84</v>
      </c>
      <c r="N1178" s="2" t="s">
        <v>84</v>
      </c>
      <c r="O1178" s="2" t="s">
        <v>841</v>
      </c>
      <c r="P1178" s="2" t="s">
        <v>143</v>
      </c>
    </row>
    <row r="1179" spans="1:16" ht="22" customHeight="1" x14ac:dyDescent="0.15">
      <c r="A1179" s="10" t="str">
        <f t="shared" si="276"/>
        <v>432_10_34_10_polygon</v>
      </c>
      <c r="B1179" s="2">
        <v>432</v>
      </c>
      <c r="C1179" s="30" t="str">
        <f>VLOOKUP(B1179,gachas!A:C,3)</f>
        <v>ピックアップカラーガチャ（赤）</v>
      </c>
      <c r="D1179" s="21">
        <v>10</v>
      </c>
      <c r="E1179" s="2">
        <f t="shared" si="277"/>
        <v>34</v>
      </c>
      <c r="F1179" s="2">
        <v>10</v>
      </c>
      <c r="G1179" s="3" t="s">
        <v>22</v>
      </c>
      <c r="H1179" s="2">
        <v>50</v>
      </c>
      <c r="I1179" s="117">
        <v>432100</v>
      </c>
      <c r="J1179" s="112" t="s">
        <v>84</v>
      </c>
      <c r="K1179" s="109" t="s">
        <v>84</v>
      </c>
      <c r="L1179" s="2">
        <v>0</v>
      </c>
      <c r="M1179" s="2" t="s">
        <v>84</v>
      </c>
      <c r="N1179" s="2" t="s">
        <v>84</v>
      </c>
      <c r="O1179" s="2" t="s">
        <v>841</v>
      </c>
      <c r="P1179" s="2" t="s">
        <v>143</v>
      </c>
    </row>
    <row r="1180" spans="1:16" ht="22" customHeight="1" x14ac:dyDescent="0.15">
      <c r="A1180" s="10" t="str">
        <f t="shared" si="276"/>
        <v>432_10_35_10_polygon</v>
      </c>
      <c r="B1180" s="2">
        <v>432</v>
      </c>
      <c r="C1180" s="30" t="str">
        <f>VLOOKUP(B1180,gachas!A:C,3)</f>
        <v>ピックアップカラーガチャ（赤）</v>
      </c>
      <c r="D1180" s="21">
        <v>10</v>
      </c>
      <c r="E1180" s="2">
        <f t="shared" si="277"/>
        <v>35</v>
      </c>
      <c r="F1180" s="2">
        <v>10</v>
      </c>
      <c r="G1180" s="3" t="s">
        <v>22</v>
      </c>
      <c r="H1180" s="2">
        <v>50</v>
      </c>
      <c r="I1180" s="117">
        <v>432100</v>
      </c>
      <c r="J1180" s="112" t="s">
        <v>84</v>
      </c>
      <c r="K1180" s="109">
        <v>432105</v>
      </c>
      <c r="L1180" s="2">
        <v>1</v>
      </c>
      <c r="M1180" s="2" t="s">
        <v>84</v>
      </c>
      <c r="N1180" s="2" t="s">
        <v>84</v>
      </c>
      <c r="O1180" s="2" t="s">
        <v>841</v>
      </c>
      <c r="P1180" s="2" t="s">
        <v>1781</v>
      </c>
    </row>
    <row r="1181" spans="1:16" ht="22" customHeight="1" x14ac:dyDescent="0.15">
      <c r="A1181" s="10" t="str">
        <f t="shared" si="276"/>
        <v>432_10_36_10_polygon</v>
      </c>
      <c r="B1181" s="2">
        <v>432</v>
      </c>
      <c r="C1181" s="30" t="str">
        <f>VLOOKUP(B1181,gachas!A:C,3)</f>
        <v>ピックアップカラーガチャ（赤）</v>
      </c>
      <c r="D1181" s="21">
        <v>10</v>
      </c>
      <c r="E1181" s="2">
        <f t="shared" si="277"/>
        <v>36</v>
      </c>
      <c r="F1181" s="2">
        <v>10</v>
      </c>
      <c r="G1181" s="3" t="s">
        <v>22</v>
      </c>
      <c r="H1181" s="2">
        <v>25</v>
      </c>
      <c r="I1181" s="117">
        <v>432100</v>
      </c>
      <c r="J1181" s="112" t="s">
        <v>84</v>
      </c>
      <c r="K1181" s="109" t="s">
        <v>84</v>
      </c>
      <c r="L1181" s="2">
        <v>0</v>
      </c>
      <c r="M1181" s="2" t="s">
        <v>84</v>
      </c>
      <c r="N1181" s="2" t="s">
        <v>84</v>
      </c>
      <c r="O1181" s="2" t="s">
        <v>841</v>
      </c>
      <c r="P1181" s="59" t="s">
        <v>1783</v>
      </c>
    </row>
    <row r="1182" spans="1:16" ht="22" customHeight="1" x14ac:dyDescent="0.15">
      <c r="A1182" s="10" t="str">
        <f t="shared" si="276"/>
        <v>432_10_37_10_polygon</v>
      </c>
      <c r="B1182" s="2">
        <v>432</v>
      </c>
      <c r="C1182" s="30" t="str">
        <f>VLOOKUP(B1182,gachas!A:C,3)</f>
        <v>ピックアップカラーガチャ（赤）</v>
      </c>
      <c r="D1182" s="21">
        <v>10</v>
      </c>
      <c r="E1182" s="2">
        <f t="shared" si="277"/>
        <v>37</v>
      </c>
      <c r="F1182" s="2">
        <v>10</v>
      </c>
      <c r="G1182" s="3" t="s">
        <v>22</v>
      </c>
      <c r="H1182" s="2">
        <v>50</v>
      </c>
      <c r="I1182" s="117">
        <v>432100</v>
      </c>
      <c r="J1182" s="112" t="s">
        <v>84</v>
      </c>
      <c r="K1182" s="109" t="s">
        <v>84</v>
      </c>
      <c r="L1182" s="2">
        <v>0</v>
      </c>
      <c r="M1182" s="2" t="s">
        <v>84</v>
      </c>
      <c r="N1182" s="2" t="s">
        <v>84</v>
      </c>
      <c r="O1182" s="2" t="s">
        <v>841</v>
      </c>
      <c r="P1182" s="2" t="s">
        <v>143</v>
      </c>
    </row>
    <row r="1183" spans="1:16" ht="22" customHeight="1" x14ac:dyDescent="0.15">
      <c r="A1183" s="10" t="str">
        <f t="shared" si="276"/>
        <v>432_10_38_10_polygon</v>
      </c>
      <c r="B1183" s="2">
        <v>432</v>
      </c>
      <c r="C1183" s="30" t="str">
        <f>VLOOKUP(B1183,gachas!A:C,3)</f>
        <v>ピックアップカラーガチャ（赤）</v>
      </c>
      <c r="D1183" s="21">
        <v>10</v>
      </c>
      <c r="E1183" s="2">
        <f t="shared" si="277"/>
        <v>38</v>
      </c>
      <c r="F1183" s="2">
        <v>10</v>
      </c>
      <c r="G1183" s="3" t="s">
        <v>22</v>
      </c>
      <c r="H1183" s="2">
        <v>50</v>
      </c>
      <c r="I1183" s="117">
        <v>432100</v>
      </c>
      <c r="J1183" s="112" t="s">
        <v>84</v>
      </c>
      <c r="K1183" s="109" t="s">
        <v>84</v>
      </c>
      <c r="L1183" s="2">
        <v>0</v>
      </c>
      <c r="M1183" s="2" t="s">
        <v>84</v>
      </c>
      <c r="N1183" s="2" t="s">
        <v>84</v>
      </c>
      <c r="O1183" s="2" t="s">
        <v>841</v>
      </c>
      <c r="P1183" s="2" t="s">
        <v>143</v>
      </c>
    </row>
    <row r="1184" spans="1:16" ht="22" customHeight="1" x14ac:dyDescent="0.15">
      <c r="A1184" s="10" t="str">
        <f t="shared" si="276"/>
        <v>432_10_39_10_polygon</v>
      </c>
      <c r="B1184" s="2">
        <v>432</v>
      </c>
      <c r="C1184" s="30" t="str">
        <f>VLOOKUP(B1184,gachas!A:C,3)</f>
        <v>ピックアップカラーガチャ（赤）</v>
      </c>
      <c r="D1184" s="21">
        <v>10</v>
      </c>
      <c r="E1184" s="2">
        <f t="shared" si="277"/>
        <v>39</v>
      </c>
      <c r="F1184" s="2">
        <v>10</v>
      </c>
      <c r="G1184" s="3" t="s">
        <v>22</v>
      </c>
      <c r="H1184" s="2">
        <v>50</v>
      </c>
      <c r="I1184" s="117">
        <v>432100</v>
      </c>
      <c r="J1184" s="112" t="s">
        <v>84</v>
      </c>
      <c r="K1184" s="109" t="s">
        <v>84</v>
      </c>
      <c r="L1184" s="2">
        <v>0</v>
      </c>
      <c r="M1184" s="2" t="s">
        <v>84</v>
      </c>
      <c r="N1184" s="2" t="s">
        <v>84</v>
      </c>
      <c r="O1184" s="2" t="s">
        <v>841</v>
      </c>
      <c r="P1184" s="2" t="s">
        <v>143</v>
      </c>
    </row>
    <row r="1185" spans="1:16" ht="22" customHeight="1" x14ac:dyDescent="0.15">
      <c r="A1185" s="10" t="str">
        <f t="shared" si="276"/>
        <v>432_10_40_10_polygon</v>
      </c>
      <c r="B1185" s="2">
        <v>432</v>
      </c>
      <c r="C1185" s="30" t="str">
        <f>VLOOKUP(B1185,gachas!A:C,3)</f>
        <v>ピックアップカラーガチャ（赤）</v>
      </c>
      <c r="D1185" s="21">
        <v>10</v>
      </c>
      <c r="E1185" s="2">
        <f t="shared" si="277"/>
        <v>40</v>
      </c>
      <c r="F1185" s="2">
        <v>10</v>
      </c>
      <c r="G1185" s="3" t="s">
        <v>22</v>
      </c>
      <c r="H1185" s="2">
        <v>50</v>
      </c>
      <c r="I1185" s="117">
        <v>432100</v>
      </c>
      <c r="J1185" s="112" t="s">
        <v>84</v>
      </c>
      <c r="K1185" s="109">
        <v>432105</v>
      </c>
      <c r="L1185" s="2">
        <v>1</v>
      </c>
      <c r="M1185" s="2" t="s">
        <v>84</v>
      </c>
      <c r="N1185" s="2" t="s">
        <v>84</v>
      </c>
      <c r="O1185" s="2" t="s">
        <v>841</v>
      </c>
      <c r="P1185" s="2" t="s">
        <v>1781</v>
      </c>
    </row>
    <row r="1186" spans="1:16" ht="22" customHeight="1" x14ac:dyDescent="0.15">
      <c r="A1186" s="10" t="str">
        <f t="shared" si="276"/>
        <v>432_10_41_10_polygon</v>
      </c>
      <c r="B1186" s="2">
        <v>432</v>
      </c>
      <c r="C1186" s="30" t="str">
        <f>VLOOKUP(B1186,gachas!A:C,3)</f>
        <v>ピックアップカラーガチャ（赤）</v>
      </c>
      <c r="D1186" s="21">
        <v>10</v>
      </c>
      <c r="E1186" s="2">
        <f t="shared" si="277"/>
        <v>41</v>
      </c>
      <c r="F1186" s="2">
        <v>10</v>
      </c>
      <c r="G1186" s="3" t="s">
        <v>22</v>
      </c>
      <c r="H1186" s="2">
        <v>25</v>
      </c>
      <c r="I1186" s="117">
        <v>432100</v>
      </c>
      <c r="J1186" s="112" t="s">
        <v>84</v>
      </c>
      <c r="K1186" s="109" t="s">
        <v>84</v>
      </c>
      <c r="L1186" s="2">
        <v>0</v>
      </c>
      <c r="M1186" s="2" t="s">
        <v>84</v>
      </c>
      <c r="N1186" s="2" t="s">
        <v>84</v>
      </c>
      <c r="O1186" s="2" t="s">
        <v>841</v>
      </c>
      <c r="P1186" s="59" t="s">
        <v>1783</v>
      </c>
    </row>
    <row r="1187" spans="1:16" ht="22" customHeight="1" x14ac:dyDescent="0.15">
      <c r="A1187" s="10" t="str">
        <f t="shared" si="276"/>
        <v>432_10_42_10_polygon</v>
      </c>
      <c r="B1187" s="2">
        <v>432</v>
      </c>
      <c r="C1187" s="30" t="str">
        <f>VLOOKUP(B1187,gachas!A:C,3)</f>
        <v>ピックアップカラーガチャ（赤）</v>
      </c>
      <c r="D1187" s="21">
        <v>10</v>
      </c>
      <c r="E1187" s="2">
        <f t="shared" si="277"/>
        <v>42</v>
      </c>
      <c r="F1187" s="2">
        <v>10</v>
      </c>
      <c r="G1187" s="3" t="s">
        <v>22</v>
      </c>
      <c r="H1187" s="2">
        <v>50</v>
      </c>
      <c r="I1187" s="117">
        <v>432100</v>
      </c>
      <c r="J1187" s="112" t="s">
        <v>84</v>
      </c>
      <c r="K1187" s="109" t="s">
        <v>84</v>
      </c>
      <c r="L1187" s="2">
        <v>0</v>
      </c>
      <c r="M1187" s="2" t="s">
        <v>84</v>
      </c>
      <c r="N1187" s="2" t="s">
        <v>84</v>
      </c>
      <c r="O1187" s="2" t="s">
        <v>841</v>
      </c>
      <c r="P1187" s="2" t="s">
        <v>143</v>
      </c>
    </row>
    <row r="1188" spans="1:16" ht="22" customHeight="1" x14ac:dyDescent="0.15">
      <c r="A1188" s="10" t="str">
        <f t="shared" si="276"/>
        <v>432_10_43_10_polygon</v>
      </c>
      <c r="B1188" s="2">
        <v>432</v>
      </c>
      <c r="C1188" s="30" t="str">
        <f>VLOOKUP(B1188,gachas!A:C,3)</f>
        <v>ピックアップカラーガチャ（赤）</v>
      </c>
      <c r="D1188" s="21">
        <v>10</v>
      </c>
      <c r="E1188" s="2">
        <f t="shared" si="277"/>
        <v>43</v>
      </c>
      <c r="F1188" s="2">
        <v>10</v>
      </c>
      <c r="G1188" s="3" t="s">
        <v>22</v>
      </c>
      <c r="H1188" s="2">
        <v>50</v>
      </c>
      <c r="I1188" s="117">
        <v>432100</v>
      </c>
      <c r="J1188" s="112" t="s">
        <v>84</v>
      </c>
      <c r="K1188" s="109" t="s">
        <v>84</v>
      </c>
      <c r="L1188" s="2">
        <v>0</v>
      </c>
      <c r="M1188" s="2" t="s">
        <v>84</v>
      </c>
      <c r="N1188" s="2" t="s">
        <v>84</v>
      </c>
      <c r="O1188" s="2" t="s">
        <v>841</v>
      </c>
      <c r="P1188" s="2" t="s">
        <v>143</v>
      </c>
    </row>
    <row r="1189" spans="1:16" ht="22" customHeight="1" x14ac:dyDescent="0.15">
      <c r="A1189" s="10" t="str">
        <f t="shared" si="276"/>
        <v>432_10_44_10_polygon</v>
      </c>
      <c r="B1189" s="2">
        <v>432</v>
      </c>
      <c r="C1189" s="30" t="str">
        <f>VLOOKUP(B1189,gachas!A:C,3)</f>
        <v>ピックアップカラーガチャ（赤）</v>
      </c>
      <c r="D1189" s="21">
        <v>10</v>
      </c>
      <c r="E1189" s="2">
        <f t="shared" si="277"/>
        <v>44</v>
      </c>
      <c r="F1189" s="2">
        <v>10</v>
      </c>
      <c r="G1189" s="3" t="s">
        <v>22</v>
      </c>
      <c r="H1189" s="2">
        <v>50</v>
      </c>
      <c r="I1189" s="117">
        <v>432100</v>
      </c>
      <c r="J1189" s="112" t="s">
        <v>84</v>
      </c>
      <c r="K1189" s="109" t="s">
        <v>84</v>
      </c>
      <c r="L1189" s="2">
        <v>0</v>
      </c>
      <c r="M1189" s="2" t="s">
        <v>84</v>
      </c>
      <c r="N1189" s="2" t="s">
        <v>84</v>
      </c>
      <c r="O1189" s="2" t="s">
        <v>841</v>
      </c>
      <c r="P1189" s="2" t="s">
        <v>143</v>
      </c>
    </row>
    <row r="1190" spans="1:16" ht="22" customHeight="1" x14ac:dyDescent="0.15">
      <c r="A1190" s="10" t="str">
        <f t="shared" si="276"/>
        <v>432_10_45_10_polygon</v>
      </c>
      <c r="B1190" s="2">
        <v>432</v>
      </c>
      <c r="C1190" s="30" t="str">
        <f>VLOOKUP(B1190,gachas!A:C,3)</f>
        <v>ピックアップカラーガチャ（赤）</v>
      </c>
      <c r="D1190" s="21">
        <v>10</v>
      </c>
      <c r="E1190" s="2">
        <f t="shared" si="277"/>
        <v>45</v>
      </c>
      <c r="F1190" s="2">
        <v>10</v>
      </c>
      <c r="G1190" s="3" t="s">
        <v>22</v>
      </c>
      <c r="H1190" s="2">
        <v>50</v>
      </c>
      <c r="I1190" s="117">
        <v>432100</v>
      </c>
      <c r="J1190" s="112" t="s">
        <v>84</v>
      </c>
      <c r="K1190" s="109">
        <v>432105</v>
      </c>
      <c r="L1190" s="2">
        <v>1</v>
      </c>
      <c r="M1190" s="2" t="s">
        <v>84</v>
      </c>
      <c r="N1190" s="2" t="s">
        <v>84</v>
      </c>
      <c r="O1190" s="2" t="s">
        <v>841</v>
      </c>
      <c r="P1190" s="2" t="s">
        <v>1781</v>
      </c>
    </row>
    <row r="1191" spans="1:16" ht="22" customHeight="1" x14ac:dyDescent="0.15">
      <c r="A1191" s="10" t="str">
        <f t="shared" si="276"/>
        <v>432_10_46_10_polygon</v>
      </c>
      <c r="B1191" s="2">
        <v>432</v>
      </c>
      <c r="C1191" s="30" t="str">
        <f>VLOOKUP(B1191,gachas!A:C,3)</f>
        <v>ピックアップカラーガチャ（赤）</v>
      </c>
      <c r="D1191" s="21">
        <v>10</v>
      </c>
      <c r="E1191" s="2">
        <f t="shared" si="277"/>
        <v>46</v>
      </c>
      <c r="F1191" s="2">
        <v>10</v>
      </c>
      <c r="G1191" s="3" t="s">
        <v>22</v>
      </c>
      <c r="H1191" s="2">
        <v>25</v>
      </c>
      <c r="I1191" s="117">
        <v>432100</v>
      </c>
      <c r="J1191" s="112" t="s">
        <v>84</v>
      </c>
      <c r="K1191" s="109" t="s">
        <v>84</v>
      </c>
      <c r="L1191" s="2">
        <v>0</v>
      </c>
      <c r="M1191" s="2" t="s">
        <v>84</v>
      </c>
      <c r="N1191" s="2" t="s">
        <v>84</v>
      </c>
      <c r="O1191" s="2" t="s">
        <v>841</v>
      </c>
      <c r="P1191" s="59" t="s">
        <v>1783</v>
      </c>
    </row>
    <row r="1192" spans="1:16" ht="22" customHeight="1" x14ac:dyDescent="0.15">
      <c r="A1192" s="10" t="str">
        <f t="shared" si="276"/>
        <v>432_10_47_10_polygon</v>
      </c>
      <c r="B1192" s="2">
        <v>432</v>
      </c>
      <c r="C1192" s="30" t="str">
        <f>VLOOKUP(B1192,gachas!A:C,3)</f>
        <v>ピックアップカラーガチャ（赤）</v>
      </c>
      <c r="D1192" s="21">
        <v>10</v>
      </c>
      <c r="E1192" s="2">
        <f t="shared" si="277"/>
        <v>47</v>
      </c>
      <c r="F1192" s="2">
        <v>10</v>
      </c>
      <c r="G1192" s="3" t="s">
        <v>22</v>
      </c>
      <c r="H1192" s="2">
        <v>50</v>
      </c>
      <c r="I1192" s="117">
        <v>432100</v>
      </c>
      <c r="J1192" s="112" t="s">
        <v>84</v>
      </c>
      <c r="K1192" s="109" t="s">
        <v>84</v>
      </c>
      <c r="L1192" s="2">
        <v>0</v>
      </c>
      <c r="M1192" s="2" t="s">
        <v>84</v>
      </c>
      <c r="N1192" s="2" t="s">
        <v>84</v>
      </c>
      <c r="O1192" s="2" t="s">
        <v>841</v>
      </c>
      <c r="P1192" s="2" t="s">
        <v>143</v>
      </c>
    </row>
    <row r="1193" spans="1:16" ht="22" customHeight="1" x14ac:dyDescent="0.15">
      <c r="A1193" s="10" t="str">
        <f t="shared" si="276"/>
        <v>432_10_48_10_polygon</v>
      </c>
      <c r="B1193" s="2">
        <v>432</v>
      </c>
      <c r="C1193" s="30" t="str">
        <f>VLOOKUP(B1193,gachas!A:C,3)</f>
        <v>ピックアップカラーガチャ（赤）</v>
      </c>
      <c r="D1193" s="21">
        <v>10</v>
      </c>
      <c r="E1193" s="2">
        <f t="shared" si="277"/>
        <v>48</v>
      </c>
      <c r="F1193" s="2">
        <v>10</v>
      </c>
      <c r="G1193" s="3" t="s">
        <v>22</v>
      </c>
      <c r="H1193" s="2">
        <v>50</v>
      </c>
      <c r="I1193" s="117">
        <v>432100</v>
      </c>
      <c r="J1193" s="112" t="s">
        <v>84</v>
      </c>
      <c r="K1193" s="109" t="s">
        <v>84</v>
      </c>
      <c r="L1193" s="2">
        <v>0</v>
      </c>
      <c r="M1193" s="2" t="s">
        <v>84</v>
      </c>
      <c r="N1193" s="2" t="s">
        <v>84</v>
      </c>
      <c r="O1193" s="2" t="s">
        <v>841</v>
      </c>
      <c r="P1193" s="2" t="s">
        <v>143</v>
      </c>
    </row>
    <row r="1194" spans="1:16" ht="22" customHeight="1" x14ac:dyDescent="0.15">
      <c r="A1194" s="10" t="str">
        <f t="shared" si="276"/>
        <v>432_10_49_10_polygon</v>
      </c>
      <c r="B1194" s="2">
        <v>432</v>
      </c>
      <c r="C1194" s="30" t="str">
        <f>VLOOKUP(B1194,gachas!A:C,3)</f>
        <v>ピックアップカラーガチャ（赤）</v>
      </c>
      <c r="D1194" s="21">
        <v>10</v>
      </c>
      <c r="E1194" s="2">
        <f t="shared" si="277"/>
        <v>49</v>
      </c>
      <c r="F1194" s="2">
        <v>10</v>
      </c>
      <c r="G1194" s="3" t="s">
        <v>22</v>
      </c>
      <c r="H1194" s="2">
        <v>50</v>
      </c>
      <c r="I1194" s="117">
        <v>432100</v>
      </c>
      <c r="J1194" s="112" t="s">
        <v>84</v>
      </c>
      <c r="K1194" s="109" t="s">
        <v>84</v>
      </c>
      <c r="L1194" s="2">
        <v>0</v>
      </c>
      <c r="M1194" s="2" t="s">
        <v>84</v>
      </c>
      <c r="N1194" s="2" t="s">
        <v>84</v>
      </c>
      <c r="O1194" s="2" t="s">
        <v>841</v>
      </c>
      <c r="P1194" s="2" t="s">
        <v>143</v>
      </c>
    </row>
    <row r="1195" spans="1:16" ht="22" customHeight="1" x14ac:dyDescent="0.15">
      <c r="A1195" s="10" t="str">
        <f t="shared" si="276"/>
        <v>432_10_50_10_polygon</v>
      </c>
      <c r="B1195" s="2">
        <v>432</v>
      </c>
      <c r="C1195" s="30" t="str">
        <f>VLOOKUP(B1195,gachas!A:C,3)</f>
        <v>ピックアップカラーガチャ（赤）</v>
      </c>
      <c r="D1195" s="21">
        <v>10</v>
      </c>
      <c r="E1195" s="2">
        <f t="shared" si="277"/>
        <v>50</v>
      </c>
      <c r="F1195" s="2">
        <v>10</v>
      </c>
      <c r="G1195" s="3" t="s">
        <v>22</v>
      </c>
      <c r="H1195" s="2">
        <v>50</v>
      </c>
      <c r="I1195" s="117">
        <v>432100</v>
      </c>
      <c r="J1195" s="112" t="s">
        <v>84</v>
      </c>
      <c r="K1195" s="109">
        <v>432105</v>
      </c>
      <c r="L1195" s="2">
        <v>1</v>
      </c>
      <c r="M1195" s="2" t="s">
        <v>84</v>
      </c>
      <c r="N1195" s="2" t="s">
        <v>84</v>
      </c>
      <c r="O1195" s="2" t="s">
        <v>841</v>
      </c>
      <c r="P1195" s="2" t="s">
        <v>1781</v>
      </c>
    </row>
    <row r="1196" spans="1:16" ht="22" customHeight="1" x14ac:dyDescent="0.15">
      <c r="A1196" s="10" t="str">
        <f t="shared" ref="A1196:A1203" si="278">B1196&amp;"_"&amp;D1196&amp;"_"&amp;E1196&amp;"_"&amp;F1196&amp;"_"&amp;G1196</f>
        <v>433_10_1_1_polygon</v>
      </c>
      <c r="B1196" s="2">
        <v>433</v>
      </c>
      <c r="C1196" s="30" t="str">
        <f>VLOOKUP(B1196,gachas!A:C,3)</f>
        <v>ランキング対抗ガチャ&lt;マクローリン&gt;</v>
      </c>
      <c r="D1196" s="21">
        <v>10</v>
      </c>
      <c r="E1196" s="2">
        <v>1</v>
      </c>
      <c r="F1196" s="2">
        <v>1</v>
      </c>
      <c r="G1196" s="3" t="s">
        <v>22</v>
      </c>
      <c r="H1196" s="2">
        <v>1</v>
      </c>
      <c r="I1196" s="117" t="str">
        <f t="shared" ref="I1196" si="279">B1196&amp;TEXT(D1196,"00")&amp;E1196</f>
        <v>433101</v>
      </c>
      <c r="J1196" s="112" t="s">
        <v>84</v>
      </c>
      <c r="K1196" s="2" t="s">
        <v>84</v>
      </c>
      <c r="L1196" s="2">
        <v>0</v>
      </c>
      <c r="M1196" s="2" t="s">
        <v>84</v>
      </c>
      <c r="N1196" s="2" t="s">
        <v>84</v>
      </c>
      <c r="O1196" s="2" t="s">
        <v>841</v>
      </c>
      <c r="P1196" s="2" t="s">
        <v>1278</v>
      </c>
    </row>
    <row r="1197" spans="1:16" ht="22" customHeight="1" x14ac:dyDescent="0.15">
      <c r="A1197" s="10" t="str">
        <f t="shared" si="278"/>
        <v>433_10_2_3_polygon</v>
      </c>
      <c r="B1197" s="2">
        <v>433</v>
      </c>
      <c r="C1197" s="30" t="str">
        <f>VLOOKUP(B1197,gachas!A:C,3)</f>
        <v>ランキング対抗ガチャ&lt;マクローリン&gt;</v>
      </c>
      <c r="D1197" s="21">
        <v>10</v>
      </c>
      <c r="E1197" s="2">
        <v>2</v>
      </c>
      <c r="F1197" s="2">
        <v>3</v>
      </c>
      <c r="G1197" s="3" t="s">
        <v>22</v>
      </c>
      <c r="H1197" s="2">
        <v>9</v>
      </c>
      <c r="I1197" s="117">
        <v>433101</v>
      </c>
      <c r="J1197" s="112" t="s">
        <v>84</v>
      </c>
      <c r="K1197" s="2" t="s">
        <v>84</v>
      </c>
      <c r="L1197" s="2">
        <v>0</v>
      </c>
      <c r="M1197" s="2" t="s">
        <v>84</v>
      </c>
      <c r="N1197" s="2" t="s">
        <v>84</v>
      </c>
      <c r="O1197" s="2" t="s">
        <v>841</v>
      </c>
      <c r="P1197" s="2" t="s">
        <v>1273</v>
      </c>
    </row>
    <row r="1198" spans="1:16" ht="22" customHeight="1" x14ac:dyDescent="0.15">
      <c r="A1198" s="10" t="str">
        <f t="shared" si="278"/>
        <v>433_10_3_10_polygon</v>
      </c>
      <c r="B1198" s="2">
        <v>433</v>
      </c>
      <c r="C1198" s="30" t="str">
        <f>VLOOKUP(B1198,gachas!A:C,3)</f>
        <v>ランキング対抗ガチャ&lt;マクローリン&gt;</v>
      </c>
      <c r="D1198" s="21">
        <v>10</v>
      </c>
      <c r="E1198" s="2">
        <v>3</v>
      </c>
      <c r="F1198" s="2">
        <v>10</v>
      </c>
      <c r="G1198" s="3" t="s">
        <v>22</v>
      </c>
      <c r="H1198" s="2">
        <v>35</v>
      </c>
      <c r="I1198" s="117" t="str">
        <f t="shared" ref="I1198:I1200" si="280">B1198&amp;TEXT(D1198,"00")&amp;E1198</f>
        <v>433103</v>
      </c>
      <c r="J1198" s="112" t="s">
        <v>84</v>
      </c>
      <c r="K1198" s="2">
        <v>433103</v>
      </c>
      <c r="L1198" s="2">
        <v>1</v>
      </c>
      <c r="M1198" s="2" t="s">
        <v>84</v>
      </c>
      <c r="N1198" s="2" t="s">
        <v>84</v>
      </c>
      <c r="O1198" s="2" t="s">
        <v>841</v>
      </c>
      <c r="P1198" s="18" t="s">
        <v>1790</v>
      </c>
    </row>
    <row r="1199" spans="1:16" ht="22" customHeight="1" x14ac:dyDescent="0.15">
      <c r="A1199" s="10" t="str">
        <f t="shared" si="278"/>
        <v>433_10_4_10_polygon</v>
      </c>
      <c r="B1199" s="2">
        <v>433</v>
      </c>
      <c r="C1199" s="30" t="str">
        <f>VLOOKUP(B1199,gachas!A:C,3)</f>
        <v>ランキング対抗ガチャ&lt;マクローリン&gt;</v>
      </c>
      <c r="D1199" s="21">
        <v>10</v>
      </c>
      <c r="E1199" s="2">
        <v>4</v>
      </c>
      <c r="F1199" s="2">
        <v>10</v>
      </c>
      <c r="G1199" s="3" t="s">
        <v>22</v>
      </c>
      <c r="H1199" s="2">
        <v>50</v>
      </c>
      <c r="I1199" s="117" t="str">
        <f t="shared" si="280"/>
        <v>433104</v>
      </c>
      <c r="J1199" s="128" t="str">
        <f>I1199</f>
        <v>433104</v>
      </c>
      <c r="K1199" s="2" t="s">
        <v>84</v>
      </c>
      <c r="L1199" s="2">
        <v>0</v>
      </c>
      <c r="M1199" s="2" t="s">
        <v>84</v>
      </c>
      <c r="N1199" s="2" t="s">
        <v>84</v>
      </c>
      <c r="O1199" s="2" t="s">
        <v>841</v>
      </c>
      <c r="P1199" s="18" t="s">
        <v>1791</v>
      </c>
    </row>
    <row r="1200" spans="1:16" ht="22" customHeight="1" x14ac:dyDescent="0.15">
      <c r="A1200" s="10" t="str">
        <f t="shared" si="278"/>
        <v>433_10_5_10_polygon</v>
      </c>
      <c r="B1200" s="2">
        <v>433</v>
      </c>
      <c r="C1200" s="30" t="str">
        <f>VLOOKUP(B1200,gachas!A:C,3)</f>
        <v>ランキング対抗ガチャ&lt;マクローリン&gt;</v>
      </c>
      <c r="D1200" s="21">
        <v>10</v>
      </c>
      <c r="E1200" s="2">
        <v>5</v>
      </c>
      <c r="F1200" s="2">
        <v>10</v>
      </c>
      <c r="G1200" s="3" t="s">
        <v>22</v>
      </c>
      <c r="H1200" s="2">
        <v>50</v>
      </c>
      <c r="I1200" s="117" t="str">
        <f t="shared" si="280"/>
        <v>433105</v>
      </c>
      <c r="J1200" s="128" t="str">
        <f>I1200</f>
        <v>433105</v>
      </c>
      <c r="K1200" s="2" t="s">
        <v>84</v>
      </c>
      <c r="L1200" s="2">
        <v>0</v>
      </c>
      <c r="M1200" s="2" t="s">
        <v>84</v>
      </c>
      <c r="N1200" s="2" t="s">
        <v>84</v>
      </c>
      <c r="O1200" s="2" t="s">
        <v>841</v>
      </c>
      <c r="P1200" s="18" t="s">
        <v>1792</v>
      </c>
    </row>
    <row r="1201" spans="1:16" ht="22" customHeight="1" x14ac:dyDescent="0.15">
      <c r="A1201" s="10" t="str">
        <f t="shared" si="278"/>
        <v>433_10_6_10_polygon</v>
      </c>
      <c r="B1201" s="2">
        <v>433</v>
      </c>
      <c r="C1201" s="30" t="str">
        <f>VLOOKUP(B1201,gachas!A:C,3)</f>
        <v>ランキング対抗ガチャ&lt;マクローリン&gt;</v>
      </c>
      <c r="D1201" s="21">
        <v>10</v>
      </c>
      <c r="E1201" s="2">
        <v>6</v>
      </c>
      <c r="F1201" s="2">
        <v>10</v>
      </c>
      <c r="G1201" s="3" t="s">
        <v>22</v>
      </c>
      <c r="H1201" s="2">
        <v>50</v>
      </c>
      <c r="I1201" s="117">
        <v>433100</v>
      </c>
      <c r="J1201" s="112" t="s">
        <v>84</v>
      </c>
      <c r="K1201" s="2" t="s">
        <v>84</v>
      </c>
      <c r="L1201" s="2">
        <v>0</v>
      </c>
      <c r="M1201" s="2" t="s">
        <v>84</v>
      </c>
      <c r="N1201" s="2" t="s">
        <v>84</v>
      </c>
      <c r="O1201" s="2" t="s">
        <v>841</v>
      </c>
      <c r="P1201" s="18" t="s">
        <v>1793</v>
      </c>
    </row>
    <row r="1202" spans="1:16" ht="22" customHeight="1" x14ac:dyDescent="0.15">
      <c r="A1202" s="10" t="str">
        <f t="shared" si="278"/>
        <v>433_10_0_10_polygon</v>
      </c>
      <c r="B1202" s="2">
        <v>433</v>
      </c>
      <c r="C1202" s="30" t="str">
        <f>VLOOKUP(B1202,gachas!A:C,3)</f>
        <v>ランキング対抗ガチャ&lt;マクローリン&gt;</v>
      </c>
      <c r="D1202" s="21">
        <v>10</v>
      </c>
      <c r="E1202" s="2">
        <v>0</v>
      </c>
      <c r="F1202" s="2">
        <v>10</v>
      </c>
      <c r="G1202" s="3" t="s">
        <v>22</v>
      </c>
      <c r="H1202" s="2">
        <v>50</v>
      </c>
      <c r="I1202" s="117" t="str">
        <f t="shared" ref="I1202" si="281">B1202&amp;TEXT(D1202,"00")&amp;E1202</f>
        <v>433100</v>
      </c>
      <c r="J1202" s="112" t="s">
        <v>84</v>
      </c>
      <c r="K1202" s="2" t="s">
        <v>84</v>
      </c>
      <c r="L1202" s="2">
        <v>0</v>
      </c>
      <c r="M1202" s="2" t="s">
        <v>84</v>
      </c>
      <c r="N1202" s="2" t="s">
        <v>84</v>
      </c>
      <c r="O1202" s="2" t="s">
        <v>841</v>
      </c>
      <c r="P1202" s="18" t="s">
        <v>1794</v>
      </c>
    </row>
    <row r="1203" spans="1:16" ht="22" customHeight="1" x14ac:dyDescent="0.15">
      <c r="A1203" s="10" t="str">
        <f t="shared" si="278"/>
        <v>434_10_0_10_polygon</v>
      </c>
      <c r="B1203" s="2">
        <v>434</v>
      </c>
      <c r="C1203" s="30" t="str">
        <f>VLOOKUP(B1203,gachas!A:C,3)</f>
        <v>確定ステップアップガチャ</v>
      </c>
      <c r="D1203" s="21">
        <v>10</v>
      </c>
      <c r="E1203" s="2">
        <v>0</v>
      </c>
      <c r="F1203" s="2">
        <v>10</v>
      </c>
      <c r="G1203" s="3" t="s">
        <v>22</v>
      </c>
      <c r="H1203" s="2">
        <v>50</v>
      </c>
      <c r="I1203" s="117">
        <v>434100</v>
      </c>
      <c r="J1203" s="112" t="s">
        <v>1796</v>
      </c>
      <c r="K1203" s="2" t="s">
        <v>1797</v>
      </c>
      <c r="L1203" s="2">
        <v>0</v>
      </c>
      <c r="M1203" s="2" t="s">
        <v>1798</v>
      </c>
      <c r="N1203" s="2" t="s">
        <v>87</v>
      </c>
      <c r="O1203" s="2" t="s">
        <v>1799</v>
      </c>
      <c r="P1203" s="18" t="s">
        <v>1816</v>
      </c>
    </row>
    <row r="1204" spans="1:16" ht="22" customHeight="1" x14ac:dyDescent="0.15">
      <c r="A1204" s="10" t="str">
        <f t="shared" ref="A1204" si="282">B1204&amp;"_"&amp;D1204&amp;"_"&amp;E1204&amp;"_"&amp;F1204&amp;"_"&amp;G1204</f>
        <v>434_10_1_1_polygon</v>
      </c>
      <c r="B1204" s="2">
        <v>434</v>
      </c>
      <c r="C1204" s="30" t="str">
        <f>VLOOKUP(B1204,gachas!A:C,3)</f>
        <v>確定ステップアップガチャ</v>
      </c>
      <c r="D1204" s="21">
        <v>10</v>
      </c>
      <c r="E1204" s="2">
        <f>E1203+1</f>
        <v>1</v>
      </c>
      <c r="F1204" s="2">
        <v>1</v>
      </c>
      <c r="G1204" s="3" t="s">
        <v>22</v>
      </c>
      <c r="H1204" s="2">
        <v>3</v>
      </c>
      <c r="I1204" s="117">
        <v>434101</v>
      </c>
      <c r="J1204" s="112" t="s">
        <v>1796</v>
      </c>
      <c r="K1204" s="2" t="s">
        <v>1797</v>
      </c>
      <c r="L1204" s="2">
        <v>0</v>
      </c>
      <c r="M1204" s="2" t="s">
        <v>1798</v>
      </c>
      <c r="N1204" s="2" t="s">
        <v>87</v>
      </c>
      <c r="O1204" s="2" t="s">
        <v>1799</v>
      </c>
      <c r="P1204" s="18" t="s">
        <v>1817</v>
      </c>
    </row>
    <row r="1205" spans="1:16" ht="22" customHeight="1" x14ac:dyDescent="0.15">
      <c r="A1205" s="10" t="str">
        <f t="shared" ref="A1205" si="283">B1205&amp;"_"&amp;D1205&amp;"_"&amp;E1205&amp;"_"&amp;F1205&amp;"_"&amp;G1205</f>
        <v>434_10_2_3_polygon</v>
      </c>
      <c r="B1205" s="2">
        <v>434</v>
      </c>
      <c r="C1205" s="30" t="str">
        <f>VLOOKUP(B1205,gachas!A:C,3)</f>
        <v>確定ステップアップガチャ</v>
      </c>
      <c r="D1205" s="21">
        <v>10</v>
      </c>
      <c r="E1205" s="2">
        <f>E1204+1</f>
        <v>2</v>
      </c>
      <c r="F1205" s="2">
        <v>3</v>
      </c>
      <c r="G1205" s="3" t="s">
        <v>22</v>
      </c>
      <c r="H1205" s="2">
        <v>9</v>
      </c>
      <c r="I1205" s="117">
        <v>434101</v>
      </c>
      <c r="J1205" s="112">
        <v>434102</v>
      </c>
      <c r="K1205" s="2" t="s">
        <v>1797</v>
      </c>
      <c r="L1205" s="2">
        <v>0</v>
      </c>
      <c r="M1205" s="2" t="s">
        <v>1798</v>
      </c>
      <c r="N1205" s="2" t="s">
        <v>87</v>
      </c>
      <c r="O1205" s="2" t="s">
        <v>1799</v>
      </c>
      <c r="P1205" s="18" t="s">
        <v>1818</v>
      </c>
    </row>
    <row r="1206" spans="1:16" ht="22" customHeight="1" x14ac:dyDescent="0.15">
      <c r="A1206" s="10" t="str">
        <f t="shared" ref="A1206" si="284">B1206&amp;"_"&amp;D1206&amp;"_"&amp;E1206&amp;"_"&amp;F1206&amp;"_"&amp;G1206</f>
        <v>434_10_3_5_polygon</v>
      </c>
      <c r="B1206" s="2">
        <v>434</v>
      </c>
      <c r="C1206" s="30" t="str">
        <f>VLOOKUP(B1206,gachas!A:C,3)</f>
        <v>確定ステップアップガチャ</v>
      </c>
      <c r="D1206" s="21">
        <v>10</v>
      </c>
      <c r="E1206" s="2">
        <f t="shared" ref="E1206:E1253" si="285">E1205+1</f>
        <v>3</v>
      </c>
      <c r="F1206" s="2">
        <v>5</v>
      </c>
      <c r="G1206" s="3" t="s">
        <v>22</v>
      </c>
      <c r="H1206" s="2">
        <v>15</v>
      </c>
      <c r="I1206" s="117">
        <v>434100</v>
      </c>
      <c r="J1206" s="112">
        <v>434103</v>
      </c>
      <c r="K1206" s="2" t="s">
        <v>1797</v>
      </c>
      <c r="L1206" s="2">
        <v>0</v>
      </c>
      <c r="M1206" s="2" t="s">
        <v>1798</v>
      </c>
      <c r="N1206" s="2" t="s">
        <v>87</v>
      </c>
      <c r="O1206" s="2" t="s">
        <v>1799</v>
      </c>
      <c r="P1206" s="18" t="s">
        <v>1819</v>
      </c>
    </row>
    <row r="1207" spans="1:16" ht="22" customHeight="1" x14ac:dyDescent="0.15">
      <c r="A1207" s="10" t="str">
        <f t="shared" ref="A1207" si="286">B1207&amp;"_"&amp;D1207&amp;"_"&amp;E1207&amp;"_"&amp;F1207&amp;"_"&amp;G1207</f>
        <v>434_10_4_10_polygon</v>
      </c>
      <c r="B1207" s="2">
        <v>434</v>
      </c>
      <c r="C1207" s="30" t="str">
        <f>VLOOKUP(B1207,gachas!A:C,3)</f>
        <v>確定ステップアップガチャ</v>
      </c>
      <c r="D1207" s="21">
        <v>10</v>
      </c>
      <c r="E1207" s="2">
        <f t="shared" si="285"/>
        <v>4</v>
      </c>
      <c r="F1207" s="2">
        <v>10</v>
      </c>
      <c r="G1207" s="3" t="s">
        <v>22</v>
      </c>
      <c r="H1207" s="2">
        <v>35</v>
      </c>
      <c r="I1207" s="117">
        <v>434100</v>
      </c>
      <c r="J1207" s="112">
        <v>434104</v>
      </c>
      <c r="K1207" s="2" t="s">
        <v>1797</v>
      </c>
      <c r="L1207" s="2">
        <v>0</v>
      </c>
      <c r="M1207" s="2" t="s">
        <v>1798</v>
      </c>
      <c r="N1207" s="2" t="s">
        <v>87</v>
      </c>
      <c r="O1207" s="2" t="s">
        <v>1799</v>
      </c>
      <c r="P1207" s="18" t="s">
        <v>1820</v>
      </c>
    </row>
    <row r="1208" spans="1:16" ht="22" customHeight="1" x14ac:dyDescent="0.15">
      <c r="A1208" s="10" t="str">
        <f t="shared" ref="A1208" si="287">B1208&amp;"_"&amp;D1208&amp;"_"&amp;E1208&amp;"_"&amp;F1208&amp;"_"&amp;G1208</f>
        <v>434_10_5_10_polygon</v>
      </c>
      <c r="B1208" s="2">
        <v>434</v>
      </c>
      <c r="C1208" s="30" t="str">
        <f>VLOOKUP(B1208,gachas!A:C,3)</f>
        <v>確定ステップアップガチャ</v>
      </c>
      <c r="D1208" s="21">
        <v>10</v>
      </c>
      <c r="E1208" s="2">
        <f t="shared" si="285"/>
        <v>5</v>
      </c>
      <c r="F1208" s="2">
        <v>10</v>
      </c>
      <c r="G1208" s="3" t="s">
        <v>22</v>
      </c>
      <c r="H1208" s="2">
        <v>50</v>
      </c>
      <c r="I1208" s="117">
        <v>434100</v>
      </c>
      <c r="J1208" s="112" t="s">
        <v>1800</v>
      </c>
      <c r="K1208" s="2">
        <v>434105</v>
      </c>
      <c r="L1208" s="2">
        <v>1</v>
      </c>
      <c r="M1208" s="2" t="s">
        <v>1798</v>
      </c>
      <c r="N1208" s="2" t="s">
        <v>87</v>
      </c>
      <c r="O1208" s="2" t="s">
        <v>1799</v>
      </c>
      <c r="P1208" s="18" t="s">
        <v>1821</v>
      </c>
    </row>
    <row r="1209" spans="1:16" ht="22" customHeight="1" x14ac:dyDescent="0.15">
      <c r="A1209" s="10" t="str">
        <f t="shared" ref="A1209:A1254" si="288">B1209&amp;"_"&amp;D1209&amp;"_"&amp;E1209&amp;"_"&amp;F1209&amp;"_"&amp;G1209</f>
        <v>434_10_6_1_polygon</v>
      </c>
      <c r="B1209" s="2">
        <v>434</v>
      </c>
      <c r="C1209" s="30" t="str">
        <f>VLOOKUP(B1209,gachas!A:C,3)</f>
        <v>確定ステップアップガチャ</v>
      </c>
      <c r="D1209" s="21">
        <v>10</v>
      </c>
      <c r="E1209" s="2">
        <f t="shared" si="285"/>
        <v>6</v>
      </c>
      <c r="F1209" s="2">
        <v>1</v>
      </c>
      <c r="G1209" s="3" t="s">
        <v>1566</v>
      </c>
      <c r="H1209" s="2">
        <v>3</v>
      </c>
      <c r="I1209" s="117">
        <v>434101</v>
      </c>
      <c r="J1209" s="112" t="s">
        <v>1571</v>
      </c>
      <c r="K1209" s="2" t="s">
        <v>1571</v>
      </c>
      <c r="L1209" s="2">
        <v>0</v>
      </c>
      <c r="M1209" s="2" t="s">
        <v>1571</v>
      </c>
      <c r="N1209" s="2" t="s">
        <v>1571</v>
      </c>
      <c r="O1209" s="2" t="s">
        <v>118</v>
      </c>
      <c r="P1209" s="18" t="s">
        <v>1817</v>
      </c>
    </row>
    <row r="1210" spans="1:16" ht="22" customHeight="1" x14ac:dyDescent="0.15">
      <c r="A1210" s="10" t="str">
        <f t="shared" si="288"/>
        <v>434_10_7_3_polygon</v>
      </c>
      <c r="B1210" s="2">
        <v>434</v>
      </c>
      <c r="C1210" s="30" t="str">
        <f>VLOOKUP(B1210,gachas!A:C,3)</f>
        <v>確定ステップアップガチャ</v>
      </c>
      <c r="D1210" s="21">
        <v>10</v>
      </c>
      <c r="E1210" s="2">
        <f t="shared" si="285"/>
        <v>7</v>
      </c>
      <c r="F1210" s="2">
        <v>3</v>
      </c>
      <c r="G1210" s="3" t="s">
        <v>1566</v>
      </c>
      <c r="H1210" s="2">
        <v>9</v>
      </c>
      <c r="I1210" s="117">
        <v>434101</v>
      </c>
      <c r="J1210" s="112">
        <v>434102</v>
      </c>
      <c r="K1210" s="2" t="s">
        <v>1571</v>
      </c>
      <c r="L1210" s="2">
        <v>0</v>
      </c>
      <c r="M1210" s="2" t="s">
        <v>1571</v>
      </c>
      <c r="N1210" s="2" t="s">
        <v>1571</v>
      </c>
      <c r="O1210" s="2" t="s">
        <v>118</v>
      </c>
      <c r="P1210" s="18" t="s">
        <v>1818</v>
      </c>
    </row>
    <row r="1211" spans="1:16" ht="22" customHeight="1" x14ac:dyDescent="0.15">
      <c r="A1211" s="10" t="str">
        <f t="shared" si="288"/>
        <v>434_10_8_5_polygon</v>
      </c>
      <c r="B1211" s="2">
        <v>434</v>
      </c>
      <c r="C1211" s="30" t="str">
        <f>VLOOKUP(B1211,gachas!A:C,3)</f>
        <v>確定ステップアップガチャ</v>
      </c>
      <c r="D1211" s="21">
        <v>10</v>
      </c>
      <c r="E1211" s="2">
        <f t="shared" si="285"/>
        <v>8</v>
      </c>
      <c r="F1211" s="2">
        <v>5</v>
      </c>
      <c r="G1211" s="3" t="s">
        <v>1566</v>
      </c>
      <c r="H1211" s="2">
        <v>15</v>
      </c>
      <c r="I1211" s="117">
        <v>434100</v>
      </c>
      <c r="J1211" s="112">
        <v>434103</v>
      </c>
      <c r="K1211" s="2" t="s">
        <v>1571</v>
      </c>
      <c r="L1211" s="2">
        <v>0</v>
      </c>
      <c r="M1211" s="2" t="s">
        <v>1571</v>
      </c>
      <c r="N1211" s="2" t="s">
        <v>1571</v>
      </c>
      <c r="O1211" s="2" t="s">
        <v>118</v>
      </c>
      <c r="P1211" s="18" t="s">
        <v>1819</v>
      </c>
    </row>
    <row r="1212" spans="1:16" ht="22" customHeight="1" x14ac:dyDescent="0.15">
      <c r="A1212" s="10" t="str">
        <f t="shared" si="288"/>
        <v>434_10_9_10_polygon</v>
      </c>
      <c r="B1212" s="2">
        <v>434</v>
      </c>
      <c r="C1212" s="30" t="str">
        <f>VLOOKUP(B1212,gachas!A:C,3)</f>
        <v>確定ステップアップガチャ</v>
      </c>
      <c r="D1212" s="21">
        <v>10</v>
      </c>
      <c r="E1212" s="2">
        <f t="shared" si="285"/>
        <v>9</v>
      </c>
      <c r="F1212" s="2">
        <v>10</v>
      </c>
      <c r="G1212" s="3" t="s">
        <v>1566</v>
      </c>
      <c r="H1212" s="2">
        <v>35</v>
      </c>
      <c r="I1212" s="117">
        <v>434100</v>
      </c>
      <c r="J1212" s="112">
        <v>434104</v>
      </c>
      <c r="K1212" s="2" t="s">
        <v>1571</v>
      </c>
      <c r="L1212" s="2">
        <v>0</v>
      </c>
      <c r="M1212" s="2" t="s">
        <v>1571</v>
      </c>
      <c r="N1212" s="2" t="s">
        <v>1571</v>
      </c>
      <c r="O1212" s="2" t="s">
        <v>118</v>
      </c>
      <c r="P1212" s="18" t="s">
        <v>1820</v>
      </c>
    </row>
    <row r="1213" spans="1:16" ht="22" customHeight="1" x14ac:dyDescent="0.15">
      <c r="A1213" s="10" t="str">
        <f t="shared" si="288"/>
        <v>434_10_10_10_polygon</v>
      </c>
      <c r="B1213" s="2">
        <v>434</v>
      </c>
      <c r="C1213" s="30" t="str">
        <f>VLOOKUP(B1213,gachas!A:C,3)</f>
        <v>確定ステップアップガチャ</v>
      </c>
      <c r="D1213" s="21">
        <v>10</v>
      </c>
      <c r="E1213" s="2">
        <f t="shared" si="285"/>
        <v>10</v>
      </c>
      <c r="F1213" s="2">
        <v>10</v>
      </c>
      <c r="G1213" s="3" t="s">
        <v>1566</v>
      </c>
      <c r="H1213" s="2">
        <v>50</v>
      </c>
      <c r="I1213" s="117">
        <v>434100</v>
      </c>
      <c r="J1213" s="112" t="s">
        <v>1571</v>
      </c>
      <c r="K1213" s="2">
        <v>434105</v>
      </c>
      <c r="L1213" s="2">
        <v>1</v>
      </c>
      <c r="M1213" s="2" t="s">
        <v>1571</v>
      </c>
      <c r="N1213" s="2" t="s">
        <v>1571</v>
      </c>
      <c r="O1213" s="2" t="s">
        <v>118</v>
      </c>
      <c r="P1213" s="18" t="s">
        <v>1821</v>
      </c>
    </row>
    <row r="1214" spans="1:16" ht="22" customHeight="1" x14ac:dyDescent="0.15">
      <c r="A1214" s="10" t="str">
        <f t="shared" si="288"/>
        <v>434_10_11_1_polygon</v>
      </c>
      <c r="B1214" s="2">
        <v>434</v>
      </c>
      <c r="C1214" s="30" t="str">
        <f>VLOOKUP(B1214,gachas!A:C,3)</f>
        <v>確定ステップアップガチャ</v>
      </c>
      <c r="D1214" s="21">
        <v>10</v>
      </c>
      <c r="E1214" s="2">
        <f t="shared" si="285"/>
        <v>11</v>
      </c>
      <c r="F1214" s="2">
        <v>1</v>
      </c>
      <c r="G1214" s="3" t="s">
        <v>1566</v>
      </c>
      <c r="H1214" s="2">
        <v>3</v>
      </c>
      <c r="I1214" s="117">
        <v>434101</v>
      </c>
      <c r="J1214" s="112" t="s">
        <v>1571</v>
      </c>
      <c r="K1214" s="2" t="s">
        <v>1571</v>
      </c>
      <c r="L1214" s="2">
        <v>0</v>
      </c>
      <c r="M1214" s="2" t="s">
        <v>1571</v>
      </c>
      <c r="N1214" s="2" t="s">
        <v>1571</v>
      </c>
      <c r="O1214" s="2" t="s">
        <v>118</v>
      </c>
      <c r="P1214" s="18" t="s">
        <v>1817</v>
      </c>
    </row>
    <row r="1215" spans="1:16" ht="22" customHeight="1" x14ac:dyDescent="0.15">
      <c r="A1215" s="10" t="str">
        <f t="shared" si="288"/>
        <v>434_10_12_3_polygon</v>
      </c>
      <c r="B1215" s="2">
        <v>434</v>
      </c>
      <c r="C1215" s="30" t="str">
        <f>VLOOKUP(B1215,gachas!A:C,3)</f>
        <v>確定ステップアップガチャ</v>
      </c>
      <c r="D1215" s="21">
        <v>10</v>
      </c>
      <c r="E1215" s="2">
        <f t="shared" si="285"/>
        <v>12</v>
      </c>
      <c r="F1215" s="2">
        <v>3</v>
      </c>
      <c r="G1215" s="3" t="s">
        <v>1566</v>
      </c>
      <c r="H1215" s="2">
        <v>9</v>
      </c>
      <c r="I1215" s="117">
        <v>434101</v>
      </c>
      <c r="J1215" s="112">
        <v>434102</v>
      </c>
      <c r="K1215" s="2" t="s">
        <v>1571</v>
      </c>
      <c r="L1215" s="2">
        <v>0</v>
      </c>
      <c r="M1215" s="2" t="s">
        <v>1571</v>
      </c>
      <c r="N1215" s="2" t="s">
        <v>1571</v>
      </c>
      <c r="O1215" s="2" t="s">
        <v>118</v>
      </c>
      <c r="P1215" s="18" t="s">
        <v>1818</v>
      </c>
    </row>
    <row r="1216" spans="1:16" ht="22" customHeight="1" x14ac:dyDescent="0.15">
      <c r="A1216" s="10" t="str">
        <f t="shared" si="288"/>
        <v>434_10_13_5_polygon</v>
      </c>
      <c r="B1216" s="2">
        <v>434</v>
      </c>
      <c r="C1216" s="30" t="str">
        <f>VLOOKUP(B1216,gachas!A:C,3)</f>
        <v>確定ステップアップガチャ</v>
      </c>
      <c r="D1216" s="21">
        <v>10</v>
      </c>
      <c r="E1216" s="2">
        <f t="shared" si="285"/>
        <v>13</v>
      </c>
      <c r="F1216" s="2">
        <v>5</v>
      </c>
      <c r="G1216" s="3" t="s">
        <v>1566</v>
      </c>
      <c r="H1216" s="2">
        <v>15</v>
      </c>
      <c r="I1216" s="117">
        <v>434100</v>
      </c>
      <c r="J1216" s="112">
        <v>434103</v>
      </c>
      <c r="K1216" s="2" t="s">
        <v>1571</v>
      </c>
      <c r="L1216" s="2">
        <v>0</v>
      </c>
      <c r="M1216" s="2" t="s">
        <v>1571</v>
      </c>
      <c r="N1216" s="2" t="s">
        <v>1571</v>
      </c>
      <c r="O1216" s="2" t="s">
        <v>118</v>
      </c>
      <c r="P1216" s="18" t="s">
        <v>1819</v>
      </c>
    </row>
    <row r="1217" spans="1:16" ht="22" customHeight="1" x14ac:dyDescent="0.15">
      <c r="A1217" s="10" t="str">
        <f t="shared" si="288"/>
        <v>434_10_14_10_polygon</v>
      </c>
      <c r="B1217" s="2">
        <v>434</v>
      </c>
      <c r="C1217" s="30" t="str">
        <f>VLOOKUP(B1217,gachas!A:C,3)</f>
        <v>確定ステップアップガチャ</v>
      </c>
      <c r="D1217" s="21">
        <v>10</v>
      </c>
      <c r="E1217" s="2">
        <f t="shared" si="285"/>
        <v>14</v>
      </c>
      <c r="F1217" s="2">
        <v>10</v>
      </c>
      <c r="G1217" s="3" t="s">
        <v>1566</v>
      </c>
      <c r="H1217" s="2">
        <v>35</v>
      </c>
      <c r="I1217" s="117">
        <v>434100</v>
      </c>
      <c r="J1217" s="112">
        <v>434104</v>
      </c>
      <c r="K1217" s="2" t="s">
        <v>1571</v>
      </c>
      <c r="L1217" s="2">
        <v>0</v>
      </c>
      <c r="M1217" s="2" t="s">
        <v>1571</v>
      </c>
      <c r="N1217" s="2" t="s">
        <v>1571</v>
      </c>
      <c r="O1217" s="2" t="s">
        <v>118</v>
      </c>
      <c r="P1217" s="18" t="s">
        <v>1820</v>
      </c>
    </row>
    <row r="1218" spans="1:16" ht="22" customHeight="1" x14ac:dyDescent="0.15">
      <c r="A1218" s="10" t="str">
        <f t="shared" si="288"/>
        <v>434_10_15_10_polygon</v>
      </c>
      <c r="B1218" s="2">
        <v>434</v>
      </c>
      <c r="C1218" s="30" t="str">
        <f>VLOOKUP(B1218,gachas!A:C,3)</f>
        <v>確定ステップアップガチャ</v>
      </c>
      <c r="D1218" s="21">
        <v>10</v>
      </c>
      <c r="E1218" s="2">
        <f t="shared" si="285"/>
        <v>15</v>
      </c>
      <c r="F1218" s="2">
        <v>10</v>
      </c>
      <c r="G1218" s="3" t="s">
        <v>1566</v>
      </c>
      <c r="H1218" s="2">
        <v>50</v>
      </c>
      <c r="I1218" s="117">
        <v>434100</v>
      </c>
      <c r="J1218" s="112" t="s">
        <v>1571</v>
      </c>
      <c r="K1218" s="2">
        <v>434105</v>
      </c>
      <c r="L1218" s="2">
        <v>1</v>
      </c>
      <c r="M1218" s="2" t="s">
        <v>1571</v>
      </c>
      <c r="N1218" s="2" t="s">
        <v>1571</v>
      </c>
      <c r="O1218" s="2" t="s">
        <v>118</v>
      </c>
      <c r="P1218" s="18" t="s">
        <v>1821</v>
      </c>
    </row>
    <row r="1219" spans="1:16" ht="22" customHeight="1" x14ac:dyDescent="0.15">
      <c r="A1219" s="10" t="str">
        <f t="shared" si="288"/>
        <v>434_10_16_1_polygon</v>
      </c>
      <c r="B1219" s="2">
        <v>434</v>
      </c>
      <c r="C1219" s="30" t="str">
        <f>VLOOKUP(B1219,gachas!A:C,3)</f>
        <v>確定ステップアップガチャ</v>
      </c>
      <c r="D1219" s="21">
        <v>10</v>
      </c>
      <c r="E1219" s="2">
        <f t="shared" si="285"/>
        <v>16</v>
      </c>
      <c r="F1219" s="2">
        <v>1</v>
      </c>
      <c r="G1219" s="3" t="s">
        <v>1566</v>
      </c>
      <c r="H1219" s="2">
        <v>3</v>
      </c>
      <c r="I1219" s="117">
        <v>434101</v>
      </c>
      <c r="J1219" s="112" t="s">
        <v>1571</v>
      </c>
      <c r="K1219" s="2" t="s">
        <v>1571</v>
      </c>
      <c r="L1219" s="2">
        <v>0</v>
      </c>
      <c r="M1219" s="2" t="s">
        <v>1571</v>
      </c>
      <c r="N1219" s="2" t="s">
        <v>1571</v>
      </c>
      <c r="O1219" s="2" t="s">
        <v>118</v>
      </c>
      <c r="P1219" s="18" t="s">
        <v>1817</v>
      </c>
    </row>
    <row r="1220" spans="1:16" ht="22" customHeight="1" x14ac:dyDescent="0.15">
      <c r="A1220" s="10" t="str">
        <f t="shared" si="288"/>
        <v>434_10_17_3_polygon</v>
      </c>
      <c r="B1220" s="2">
        <v>434</v>
      </c>
      <c r="C1220" s="30" t="str">
        <f>VLOOKUP(B1220,gachas!A:C,3)</f>
        <v>確定ステップアップガチャ</v>
      </c>
      <c r="D1220" s="21">
        <v>10</v>
      </c>
      <c r="E1220" s="2">
        <f t="shared" si="285"/>
        <v>17</v>
      </c>
      <c r="F1220" s="2">
        <v>3</v>
      </c>
      <c r="G1220" s="3" t="s">
        <v>1566</v>
      </c>
      <c r="H1220" s="2">
        <v>9</v>
      </c>
      <c r="I1220" s="117">
        <v>434101</v>
      </c>
      <c r="J1220" s="112">
        <v>434102</v>
      </c>
      <c r="K1220" s="2" t="s">
        <v>1571</v>
      </c>
      <c r="L1220" s="2">
        <v>0</v>
      </c>
      <c r="M1220" s="2" t="s">
        <v>1571</v>
      </c>
      <c r="N1220" s="2" t="s">
        <v>1571</v>
      </c>
      <c r="O1220" s="2" t="s">
        <v>118</v>
      </c>
      <c r="P1220" s="18" t="s">
        <v>1818</v>
      </c>
    </row>
    <row r="1221" spans="1:16" ht="22" customHeight="1" x14ac:dyDescent="0.15">
      <c r="A1221" s="10" t="str">
        <f t="shared" si="288"/>
        <v>434_10_18_5_polygon</v>
      </c>
      <c r="B1221" s="2">
        <v>434</v>
      </c>
      <c r="C1221" s="30" t="str">
        <f>VLOOKUP(B1221,gachas!A:C,3)</f>
        <v>確定ステップアップガチャ</v>
      </c>
      <c r="D1221" s="21">
        <v>10</v>
      </c>
      <c r="E1221" s="2">
        <f t="shared" si="285"/>
        <v>18</v>
      </c>
      <c r="F1221" s="2">
        <v>5</v>
      </c>
      <c r="G1221" s="3" t="s">
        <v>1566</v>
      </c>
      <c r="H1221" s="2">
        <v>15</v>
      </c>
      <c r="I1221" s="117">
        <v>434100</v>
      </c>
      <c r="J1221" s="112">
        <v>434103</v>
      </c>
      <c r="K1221" s="2" t="s">
        <v>1571</v>
      </c>
      <c r="L1221" s="2">
        <v>0</v>
      </c>
      <c r="M1221" s="2" t="s">
        <v>1571</v>
      </c>
      <c r="N1221" s="2" t="s">
        <v>1571</v>
      </c>
      <c r="O1221" s="2" t="s">
        <v>118</v>
      </c>
      <c r="P1221" s="18" t="s">
        <v>1819</v>
      </c>
    </row>
    <row r="1222" spans="1:16" ht="22" customHeight="1" x14ac:dyDescent="0.15">
      <c r="A1222" s="10" t="str">
        <f t="shared" si="288"/>
        <v>434_10_19_10_polygon</v>
      </c>
      <c r="B1222" s="2">
        <v>434</v>
      </c>
      <c r="C1222" s="30" t="str">
        <f>VLOOKUP(B1222,gachas!A:C,3)</f>
        <v>確定ステップアップガチャ</v>
      </c>
      <c r="D1222" s="21">
        <v>10</v>
      </c>
      <c r="E1222" s="2">
        <f t="shared" si="285"/>
        <v>19</v>
      </c>
      <c r="F1222" s="2">
        <v>10</v>
      </c>
      <c r="G1222" s="3" t="s">
        <v>1566</v>
      </c>
      <c r="H1222" s="2">
        <v>35</v>
      </c>
      <c r="I1222" s="117">
        <v>434100</v>
      </c>
      <c r="J1222" s="112">
        <v>434104</v>
      </c>
      <c r="K1222" s="2" t="s">
        <v>1571</v>
      </c>
      <c r="L1222" s="2">
        <v>0</v>
      </c>
      <c r="M1222" s="2" t="s">
        <v>1571</v>
      </c>
      <c r="N1222" s="2" t="s">
        <v>1571</v>
      </c>
      <c r="O1222" s="2" t="s">
        <v>118</v>
      </c>
      <c r="P1222" s="18" t="s">
        <v>1820</v>
      </c>
    </row>
    <row r="1223" spans="1:16" ht="22" customHeight="1" x14ac:dyDescent="0.15">
      <c r="A1223" s="10" t="str">
        <f t="shared" si="288"/>
        <v>434_10_20_10_polygon</v>
      </c>
      <c r="B1223" s="2">
        <v>434</v>
      </c>
      <c r="C1223" s="30" t="str">
        <f>VLOOKUP(B1223,gachas!A:C,3)</f>
        <v>確定ステップアップガチャ</v>
      </c>
      <c r="D1223" s="21">
        <v>10</v>
      </c>
      <c r="E1223" s="2">
        <f t="shared" si="285"/>
        <v>20</v>
      </c>
      <c r="F1223" s="2">
        <v>10</v>
      </c>
      <c r="G1223" s="3" t="s">
        <v>1566</v>
      </c>
      <c r="H1223" s="2">
        <v>50</v>
      </c>
      <c r="I1223" s="117">
        <v>434100</v>
      </c>
      <c r="J1223" s="112" t="s">
        <v>1571</v>
      </c>
      <c r="K1223" s="2">
        <v>434105</v>
      </c>
      <c r="L1223" s="2">
        <v>1</v>
      </c>
      <c r="M1223" s="2" t="s">
        <v>1571</v>
      </c>
      <c r="N1223" s="2" t="s">
        <v>1571</v>
      </c>
      <c r="O1223" s="2" t="s">
        <v>118</v>
      </c>
      <c r="P1223" s="18" t="s">
        <v>1821</v>
      </c>
    </row>
    <row r="1224" spans="1:16" ht="22" customHeight="1" x14ac:dyDescent="0.15">
      <c r="A1224" s="10" t="str">
        <f t="shared" si="288"/>
        <v>434_10_21_1_polygon</v>
      </c>
      <c r="B1224" s="2">
        <v>434</v>
      </c>
      <c r="C1224" s="30" t="str">
        <f>VLOOKUP(B1224,gachas!A:C,3)</f>
        <v>確定ステップアップガチャ</v>
      </c>
      <c r="D1224" s="21">
        <v>10</v>
      </c>
      <c r="E1224" s="2">
        <f t="shared" si="285"/>
        <v>21</v>
      </c>
      <c r="F1224" s="2">
        <v>1</v>
      </c>
      <c r="G1224" s="3" t="s">
        <v>1566</v>
      </c>
      <c r="H1224" s="2">
        <v>3</v>
      </c>
      <c r="I1224" s="117">
        <v>434101</v>
      </c>
      <c r="J1224" s="112" t="s">
        <v>1571</v>
      </c>
      <c r="K1224" s="2" t="s">
        <v>1571</v>
      </c>
      <c r="L1224" s="2">
        <v>0</v>
      </c>
      <c r="M1224" s="2" t="s">
        <v>1571</v>
      </c>
      <c r="N1224" s="2" t="s">
        <v>1571</v>
      </c>
      <c r="O1224" s="2" t="s">
        <v>118</v>
      </c>
      <c r="P1224" s="18" t="s">
        <v>1817</v>
      </c>
    </row>
    <row r="1225" spans="1:16" ht="22" customHeight="1" x14ac:dyDescent="0.15">
      <c r="A1225" s="10" t="str">
        <f t="shared" si="288"/>
        <v>434_10_22_3_polygon</v>
      </c>
      <c r="B1225" s="2">
        <v>434</v>
      </c>
      <c r="C1225" s="30" t="str">
        <f>VLOOKUP(B1225,gachas!A:C,3)</f>
        <v>確定ステップアップガチャ</v>
      </c>
      <c r="D1225" s="21">
        <v>10</v>
      </c>
      <c r="E1225" s="2">
        <f t="shared" si="285"/>
        <v>22</v>
      </c>
      <c r="F1225" s="2">
        <v>3</v>
      </c>
      <c r="G1225" s="3" t="s">
        <v>1566</v>
      </c>
      <c r="H1225" s="2">
        <v>9</v>
      </c>
      <c r="I1225" s="117">
        <v>434101</v>
      </c>
      <c r="J1225" s="112">
        <v>434102</v>
      </c>
      <c r="K1225" s="2" t="s">
        <v>1571</v>
      </c>
      <c r="L1225" s="2">
        <v>0</v>
      </c>
      <c r="M1225" s="2" t="s">
        <v>1571</v>
      </c>
      <c r="N1225" s="2" t="s">
        <v>1571</v>
      </c>
      <c r="O1225" s="2" t="s">
        <v>118</v>
      </c>
      <c r="P1225" s="18" t="s">
        <v>1818</v>
      </c>
    </row>
    <row r="1226" spans="1:16" ht="22" customHeight="1" x14ac:dyDescent="0.15">
      <c r="A1226" s="10" t="str">
        <f t="shared" si="288"/>
        <v>434_10_23_5_polygon</v>
      </c>
      <c r="B1226" s="2">
        <v>434</v>
      </c>
      <c r="C1226" s="30" t="str">
        <f>VLOOKUP(B1226,gachas!A:C,3)</f>
        <v>確定ステップアップガチャ</v>
      </c>
      <c r="D1226" s="21">
        <v>10</v>
      </c>
      <c r="E1226" s="2">
        <f t="shared" si="285"/>
        <v>23</v>
      </c>
      <c r="F1226" s="2">
        <v>5</v>
      </c>
      <c r="G1226" s="3" t="s">
        <v>1566</v>
      </c>
      <c r="H1226" s="2">
        <v>15</v>
      </c>
      <c r="I1226" s="117">
        <v>434100</v>
      </c>
      <c r="J1226" s="112">
        <v>434103</v>
      </c>
      <c r="K1226" s="2" t="s">
        <v>1571</v>
      </c>
      <c r="L1226" s="2">
        <v>0</v>
      </c>
      <c r="M1226" s="2" t="s">
        <v>1571</v>
      </c>
      <c r="N1226" s="2" t="s">
        <v>1571</v>
      </c>
      <c r="O1226" s="2" t="s">
        <v>118</v>
      </c>
      <c r="P1226" s="18" t="s">
        <v>1819</v>
      </c>
    </row>
    <row r="1227" spans="1:16" ht="22" customHeight="1" x14ac:dyDescent="0.15">
      <c r="A1227" s="10" t="str">
        <f t="shared" si="288"/>
        <v>434_10_24_10_polygon</v>
      </c>
      <c r="B1227" s="2">
        <v>434</v>
      </c>
      <c r="C1227" s="30" t="str">
        <f>VLOOKUP(B1227,gachas!A:C,3)</f>
        <v>確定ステップアップガチャ</v>
      </c>
      <c r="D1227" s="21">
        <v>10</v>
      </c>
      <c r="E1227" s="2">
        <f t="shared" si="285"/>
        <v>24</v>
      </c>
      <c r="F1227" s="2">
        <v>10</v>
      </c>
      <c r="G1227" s="3" t="s">
        <v>1566</v>
      </c>
      <c r="H1227" s="2">
        <v>35</v>
      </c>
      <c r="I1227" s="117">
        <v>434100</v>
      </c>
      <c r="J1227" s="112">
        <v>434104</v>
      </c>
      <c r="K1227" s="2" t="s">
        <v>1571</v>
      </c>
      <c r="L1227" s="2">
        <v>0</v>
      </c>
      <c r="M1227" s="2" t="s">
        <v>1571</v>
      </c>
      <c r="N1227" s="2" t="s">
        <v>1571</v>
      </c>
      <c r="O1227" s="2" t="s">
        <v>118</v>
      </c>
      <c r="P1227" s="18" t="s">
        <v>1820</v>
      </c>
    </row>
    <row r="1228" spans="1:16" ht="22" customHeight="1" x14ac:dyDescent="0.15">
      <c r="A1228" s="10" t="str">
        <f t="shared" si="288"/>
        <v>434_10_25_10_polygon</v>
      </c>
      <c r="B1228" s="2">
        <v>434</v>
      </c>
      <c r="C1228" s="30" t="str">
        <f>VLOOKUP(B1228,gachas!A:C,3)</f>
        <v>確定ステップアップガチャ</v>
      </c>
      <c r="D1228" s="21">
        <v>10</v>
      </c>
      <c r="E1228" s="2">
        <f t="shared" si="285"/>
        <v>25</v>
      </c>
      <c r="F1228" s="2">
        <v>10</v>
      </c>
      <c r="G1228" s="3" t="s">
        <v>1566</v>
      </c>
      <c r="H1228" s="2">
        <v>50</v>
      </c>
      <c r="I1228" s="117">
        <v>434100</v>
      </c>
      <c r="J1228" s="112" t="s">
        <v>1571</v>
      </c>
      <c r="K1228" s="2">
        <v>434105</v>
      </c>
      <c r="L1228" s="2">
        <v>1</v>
      </c>
      <c r="M1228" s="2" t="s">
        <v>1571</v>
      </c>
      <c r="N1228" s="2" t="s">
        <v>1571</v>
      </c>
      <c r="O1228" s="2" t="s">
        <v>118</v>
      </c>
      <c r="P1228" s="18" t="s">
        <v>1821</v>
      </c>
    </row>
    <row r="1229" spans="1:16" ht="22" customHeight="1" x14ac:dyDescent="0.15">
      <c r="A1229" s="10" t="str">
        <f t="shared" si="288"/>
        <v>434_10_26_1_polygon</v>
      </c>
      <c r="B1229" s="2">
        <v>434</v>
      </c>
      <c r="C1229" s="30" t="str">
        <f>VLOOKUP(B1229,gachas!A:C,3)</f>
        <v>確定ステップアップガチャ</v>
      </c>
      <c r="D1229" s="21">
        <v>10</v>
      </c>
      <c r="E1229" s="2">
        <f t="shared" si="285"/>
        <v>26</v>
      </c>
      <c r="F1229" s="2">
        <v>1</v>
      </c>
      <c r="G1229" s="3" t="s">
        <v>1566</v>
      </c>
      <c r="H1229" s="2">
        <v>3</v>
      </c>
      <c r="I1229" s="117">
        <v>434101</v>
      </c>
      <c r="J1229" s="112" t="s">
        <v>1571</v>
      </c>
      <c r="K1229" s="2" t="s">
        <v>1571</v>
      </c>
      <c r="L1229" s="2">
        <v>0</v>
      </c>
      <c r="M1229" s="2" t="s">
        <v>1571</v>
      </c>
      <c r="N1229" s="2" t="s">
        <v>1571</v>
      </c>
      <c r="O1229" s="2" t="s">
        <v>118</v>
      </c>
      <c r="P1229" s="18" t="s">
        <v>1817</v>
      </c>
    </row>
    <row r="1230" spans="1:16" ht="22" customHeight="1" x14ac:dyDescent="0.15">
      <c r="A1230" s="10" t="str">
        <f t="shared" si="288"/>
        <v>434_10_27_3_polygon</v>
      </c>
      <c r="B1230" s="2">
        <v>434</v>
      </c>
      <c r="C1230" s="30" t="str">
        <f>VLOOKUP(B1230,gachas!A:C,3)</f>
        <v>確定ステップアップガチャ</v>
      </c>
      <c r="D1230" s="21">
        <v>10</v>
      </c>
      <c r="E1230" s="2">
        <f t="shared" si="285"/>
        <v>27</v>
      </c>
      <c r="F1230" s="2">
        <v>3</v>
      </c>
      <c r="G1230" s="3" t="s">
        <v>1566</v>
      </c>
      <c r="H1230" s="2">
        <v>9</v>
      </c>
      <c r="I1230" s="117">
        <v>434101</v>
      </c>
      <c r="J1230" s="112">
        <v>434102</v>
      </c>
      <c r="K1230" s="2" t="s">
        <v>1571</v>
      </c>
      <c r="L1230" s="2">
        <v>0</v>
      </c>
      <c r="M1230" s="2" t="s">
        <v>1571</v>
      </c>
      <c r="N1230" s="2" t="s">
        <v>1571</v>
      </c>
      <c r="O1230" s="2" t="s">
        <v>118</v>
      </c>
      <c r="P1230" s="18" t="s">
        <v>1818</v>
      </c>
    </row>
    <row r="1231" spans="1:16" ht="22" customHeight="1" x14ac:dyDescent="0.15">
      <c r="A1231" s="10" t="str">
        <f t="shared" si="288"/>
        <v>434_10_28_5_polygon</v>
      </c>
      <c r="B1231" s="2">
        <v>434</v>
      </c>
      <c r="C1231" s="30" t="str">
        <f>VLOOKUP(B1231,gachas!A:C,3)</f>
        <v>確定ステップアップガチャ</v>
      </c>
      <c r="D1231" s="21">
        <v>10</v>
      </c>
      <c r="E1231" s="2">
        <f t="shared" si="285"/>
        <v>28</v>
      </c>
      <c r="F1231" s="2">
        <v>5</v>
      </c>
      <c r="G1231" s="3" t="s">
        <v>1566</v>
      </c>
      <c r="H1231" s="2">
        <v>15</v>
      </c>
      <c r="I1231" s="117">
        <v>434100</v>
      </c>
      <c r="J1231" s="112">
        <v>434103</v>
      </c>
      <c r="K1231" s="2" t="s">
        <v>1571</v>
      </c>
      <c r="L1231" s="2">
        <v>0</v>
      </c>
      <c r="M1231" s="2" t="s">
        <v>1571</v>
      </c>
      <c r="N1231" s="2" t="s">
        <v>1571</v>
      </c>
      <c r="O1231" s="2" t="s">
        <v>118</v>
      </c>
      <c r="P1231" s="18" t="s">
        <v>1819</v>
      </c>
    </row>
    <row r="1232" spans="1:16" ht="22" customHeight="1" x14ac:dyDescent="0.15">
      <c r="A1232" s="10" t="str">
        <f t="shared" si="288"/>
        <v>434_10_29_10_polygon</v>
      </c>
      <c r="B1232" s="2">
        <v>434</v>
      </c>
      <c r="C1232" s="30" t="str">
        <f>VLOOKUP(B1232,gachas!A:C,3)</f>
        <v>確定ステップアップガチャ</v>
      </c>
      <c r="D1232" s="21">
        <v>10</v>
      </c>
      <c r="E1232" s="2">
        <f t="shared" si="285"/>
        <v>29</v>
      </c>
      <c r="F1232" s="2">
        <v>10</v>
      </c>
      <c r="G1232" s="3" t="s">
        <v>1566</v>
      </c>
      <c r="H1232" s="2">
        <v>35</v>
      </c>
      <c r="I1232" s="117">
        <v>434100</v>
      </c>
      <c r="J1232" s="112">
        <v>434104</v>
      </c>
      <c r="K1232" s="2" t="s">
        <v>1571</v>
      </c>
      <c r="L1232" s="2">
        <v>0</v>
      </c>
      <c r="M1232" s="2" t="s">
        <v>1571</v>
      </c>
      <c r="N1232" s="2" t="s">
        <v>1571</v>
      </c>
      <c r="O1232" s="2" t="s">
        <v>118</v>
      </c>
      <c r="P1232" s="18" t="s">
        <v>1820</v>
      </c>
    </row>
    <row r="1233" spans="1:16" ht="22" customHeight="1" x14ac:dyDescent="0.15">
      <c r="A1233" s="10" t="str">
        <f t="shared" si="288"/>
        <v>434_10_30_10_polygon</v>
      </c>
      <c r="B1233" s="2">
        <v>434</v>
      </c>
      <c r="C1233" s="30" t="str">
        <f>VLOOKUP(B1233,gachas!A:C,3)</f>
        <v>確定ステップアップガチャ</v>
      </c>
      <c r="D1233" s="21">
        <v>10</v>
      </c>
      <c r="E1233" s="2">
        <f t="shared" si="285"/>
        <v>30</v>
      </c>
      <c r="F1233" s="2">
        <v>10</v>
      </c>
      <c r="G1233" s="3" t="s">
        <v>1566</v>
      </c>
      <c r="H1233" s="2">
        <v>50</v>
      </c>
      <c r="I1233" s="117">
        <v>434100</v>
      </c>
      <c r="J1233" s="112" t="s">
        <v>1571</v>
      </c>
      <c r="K1233" s="2">
        <v>434105</v>
      </c>
      <c r="L1233" s="2">
        <v>1</v>
      </c>
      <c r="M1233" s="2" t="s">
        <v>1571</v>
      </c>
      <c r="N1233" s="2" t="s">
        <v>1571</v>
      </c>
      <c r="O1233" s="2" t="s">
        <v>118</v>
      </c>
      <c r="P1233" s="18" t="s">
        <v>1821</v>
      </c>
    </row>
    <row r="1234" spans="1:16" ht="22" customHeight="1" x14ac:dyDescent="0.15">
      <c r="A1234" s="10" t="str">
        <f t="shared" si="288"/>
        <v>434_10_31_1_polygon</v>
      </c>
      <c r="B1234" s="2">
        <v>434</v>
      </c>
      <c r="C1234" s="30" t="str">
        <f>VLOOKUP(B1234,gachas!A:C,3)</f>
        <v>確定ステップアップガチャ</v>
      </c>
      <c r="D1234" s="21">
        <v>10</v>
      </c>
      <c r="E1234" s="2">
        <f t="shared" si="285"/>
        <v>31</v>
      </c>
      <c r="F1234" s="2">
        <v>1</v>
      </c>
      <c r="G1234" s="3" t="s">
        <v>1566</v>
      </c>
      <c r="H1234" s="2">
        <v>3</v>
      </c>
      <c r="I1234" s="117">
        <v>434101</v>
      </c>
      <c r="J1234" s="112" t="s">
        <v>1571</v>
      </c>
      <c r="K1234" s="2" t="s">
        <v>1571</v>
      </c>
      <c r="L1234" s="2">
        <v>0</v>
      </c>
      <c r="M1234" s="2" t="s">
        <v>1571</v>
      </c>
      <c r="N1234" s="2" t="s">
        <v>1571</v>
      </c>
      <c r="O1234" s="2" t="s">
        <v>118</v>
      </c>
      <c r="P1234" s="18" t="s">
        <v>1817</v>
      </c>
    </row>
    <row r="1235" spans="1:16" ht="22" customHeight="1" x14ac:dyDescent="0.15">
      <c r="A1235" s="10" t="str">
        <f t="shared" si="288"/>
        <v>434_10_32_3_polygon</v>
      </c>
      <c r="B1235" s="2">
        <v>434</v>
      </c>
      <c r="C1235" s="30" t="str">
        <f>VLOOKUP(B1235,gachas!A:C,3)</f>
        <v>確定ステップアップガチャ</v>
      </c>
      <c r="D1235" s="21">
        <v>10</v>
      </c>
      <c r="E1235" s="2">
        <f t="shared" si="285"/>
        <v>32</v>
      </c>
      <c r="F1235" s="2">
        <v>3</v>
      </c>
      <c r="G1235" s="3" t="s">
        <v>1566</v>
      </c>
      <c r="H1235" s="2">
        <v>9</v>
      </c>
      <c r="I1235" s="117">
        <v>434101</v>
      </c>
      <c r="J1235" s="112">
        <v>434102</v>
      </c>
      <c r="K1235" s="2" t="s">
        <v>1571</v>
      </c>
      <c r="L1235" s="2">
        <v>0</v>
      </c>
      <c r="M1235" s="2" t="s">
        <v>1571</v>
      </c>
      <c r="N1235" s="2" t="s">
        <v>1571</v>
      </c>
      <c r="O1235" s="2" t="s">
        <v>118</v>
      </c>
      <c r="P1235" s="18" t="s">
        <v>1818</v>
      </c>
    </row>
    <row r="1236" spans="1:16" ht="22" customHeight="1" x14ac:dyDescent="0.15">
      <c r="A1236" s="10" t="str">
        <f t="shared" si="288"/>
        <v>434_10_33_5_polygon</v>
      </c>
      <c r="B1236" s="2">
        <v>434</v>
      </c>
      <c r="C1236" s="30" t="str">
        <f>VLOOKUP(B1236,gachas!A:C,3)</f>
        <v>確定ステップアップガチャ</v>
      </c>
      <c r="D1236" s="21">
        <v>10</v>
      </c>
      <c r="E1236" s="2">
        <f t="shared" si="285"/>
        <v>33</v>
      </c>
      <c r="F1236" s="2">
        <v>5</v>
      </c>
      <c r="G1236" s="3" t="s">
        <v>1566</v>
      </c>
      <c r="H1236" s="2">
        <v>15</v>
      </c>
      <c r="I1236" s="117">
        <v>434100</v>
      </c>
      <c r="J1236" s="112">
        <v>434103</v>
      </c>
      <c r="K1236" s="2" t="s">
        <v>1571</v>
      </c>
      <c r="L1236" s="2">
        <v>0</v>
      </c>
      <c r="M1236" s="2" t="s">
        <v>1571</v>
      </c>
      <c r="N1236" s="2" t="s">
        <v>1571</v>
      </c>
      <c r="O1236" s="2" t="s">
        <v>118</v>
      </c>
      <c r="P1236" s="18" t="s">
        <v>1819</v>
      </c>
    </row>
    <row r="1237" spans="1:16" ht="22" customHeight="1" x14ac:dyDescent="0.15">
      <c r="A1237" s="10" t="str">
        <f t="shared" si="288"/>
        <v>434_10_34_10_polygon</v>
      </c>
      <c r="B1237" s="2">
        <v>434</v>
      </c>
      <c r="C1237" s="30" t="str">
        <f>VLOOKUP(B1237,gachas!A:C,3)</f>
        <v>確定ステップアップガチャ</v>
      </c>
      <c r="D1237" s="21">
        <v>10</v>
      </c>
      <c r="E1237" s="2">
        <f t="shared" si="285"/>
        <v>34</v>
      </c>
      <c r="F1237" s="2">
        <v>10</v>
      </c>
      <c r="G1237" s="3" t="s">
        <v>1566</v>
      </c>
      <c r="H1237" s="2">
        <v>35</v>
      </c>
      <c r="I1237" s="117">
        <v>434100</v>
      </c>
      <c r="J1237" s="112">
        <v>434104</v>
      </c>
      <c r="K1237" s="2" t="s">
        <v>1571</v>
      </c>
      <c r="L1237" s="2">
        <v>0</v>
      </c>
      <c r="M1237" s="2" t="s">
        <v>1571</v>
      </c>
      <c r="N1237" s="2" t="s">
        <v>1571</v>
      </c>
      <c r="O1237" s="2" t="s">
        <v>118</v>
      </c>
      <c r="P1237" s="18" t="s">
        <v>1820</v>
      </c>
    </row>
    <row r="1238" spans="1:16" ht="22" customHeight="1" x14ac:dyDescent="0.15">
      <c r="A1238" s="10" t="str">
        <f t="shared" si="288"/>
        <v>434_10_35_10_polygon</v>
      </c>
      <c r="B1238" s="2">
        <v>434</v>
      </c>
      <c r="C1238" s="30" t="str">
        <f>VLOOKUP(B1238,gachas!A:C,3)</f>
        <v>確定ステップアップガチャ</v>
      </c>
      <c r="D1238" s="21">
        <v>10</v>
      </c>
      <c r="E1238" s="2">
        <f t="shared" si="285"/>
        <v>35</v>
      </c>
      <c r="F1238" s="2">
        <v>10</v>
      </c>
      <c r="G1238" s="3" t="s">
        <v>1566</v>
      </c>
      <c r="H1238" s="2">
        <v>50</v>
      </c>
      <c r="I1238" s="117">
        <v>434100</v>
      </c>
      <c r="J1238" s="112" t="s">
        <v>1571</v>
      </c>
      <c r="K1238" s="2">
        <v>434105</v>
      </c>
      <c r="L1238" s="2">
        <v>1</v>
      </c>
      <c r="M1238" s="2" t="s">
        <v>1571</v>
      </c>
      <c r="N1238" s="2" t="s">
        <v>1571</v>
      </c>
      <c r="O1238" s="2" t="s">
        <v>118</v>
      </c>
      <c r="P1238" s="18" t="s">
        <v>1821</v>
      </c>
    </row>
    <row r="1239" spans="1:16" ht="22" customHeight="1" x14ac:dyDescent="0.15">
      <c r="A1239" s="10" t="str">
        <f t="shared" si="288"/>
        <v>434_10_36_1_polygon</v>
      </c>
      <c r="B1239" s="2">
        <v>434</v>
      </c>
      <c r="C1239" s="30" t="str">
        <f>VLOOKUP(B1239,gachas!A:C,3)</f>
        <v>確定ステップアップガチャ</v>
      </c>
      <c r="D1239" s="21">
        <v>10</v>
      </c>
      <c r="E1239" s="2">
        <f t="shared" si="285"/>
        <v>36</v>
      </c>
      <c r="F1239" s="2">
        <v>1</v>
      </c>
      <c r="G1239" s="3" t="s">
        <v>1566</v>
      </c>
      <c r="H1239" s="2">
        <v>3</v>
      </c>
      <c r="I1239" s="117">
        <v>434101</v>
      </c>
      <c r="J1239" s="112" t="s">
        <v>1571</v>
      </c>
      <c r="K1239" s="2" t="s">
        <v>1571</v>
      </c>
      <c r="L1239" s="2">
        <v>0</v>
      </c>
      <c r="M1239" s="2" t="s">
        <v>1571</v>
      </c>
      <c r="N1239" s="2" t="s">
        <v>1571</v>
      </c>
      <c r="O1239" s="2" t="s">
        <v>118</v>
      </c>
      <c r="P1239" s="18" t="s">
        <v>1817</v>
      </c>
    </row>
    <row r="1240" spans="1:16" ht="22" customHeight="1" x14ac:dyDescent="0.15">
      <c r="A1240" s="10" t="str">
        <f t="shared" si="288"/>
        <v>434_10_37_3_polygon</v>
      </c>
      <c r="B1240" s="2">
        <v>434</v>
      </c>
      <c r="C1240" s="30" t="str">
        <f>VLOOKUP(B1240,gachas!A:C,3)</f>
        <v>確定ステップアップガチャ</v>
      </c>
      <c r="D1240" s="21">
        <v>10</v>
      </c>
      <c r="E1240" s="2">
        <f t="shared" si="285"/>
        <v>37</v>
      </c>
      <c r="F1240" s="2">
        <v>3</v>
      </c>
      <c r="G1240" s="3" t="s">
        <v>1566</v>
      </c>
      <c r="H1240" s="2">
        <v>9</v>
      </c>
      <c r="I1240" s="117">
        <v>434101</v>
      </c>
      <c r="J1240" s="112">
        <v>434102</v>
      </c>
      <c r="K1240" s="2" t="s">
        <v>1571</v>
      </c>
      <c r="L1240" s="2">
        <v>0</v>
      </c>
      <c r="M1240" s="2" t="s">
        <v>1571</v>
      </c>
      <c r="N1240" s="2" t="s">
        <v>1571</v>
      </c>
      <c r="O1240" s="2" t="s">
        <v>118</v>
      </c>
      <c r="P1240" s="18" t="s">
        <v>1818</v>
      </c>
    </row>
    <row r="1241" spans="1:16" ht="22" customHeight="1" x14ac:dyDescent="0.15">
      <c r="A1241" s="10" t="str">
        <f t="shared" si="288"/>
        <v>434_10_38_5_polygon</v>
      </c>
      <c r="B1241" s="2">
        <v>434</v>
      </c>
      <c r="C1241" s="30" t="str">
        <f>VLOOKUP(B1241,gachas!A:C,3)</f>
        <v>確定ステップアップガチャ</v>
      </c>
      <c r="D1241" s="21">
        <v>10</v>
      </c>
      <c r="E1241" s="2">
        <f t="shared" si="285"/>
        <v>38</v>
      </c>
      <c r="F1241" s="2">
        <v>5</v>
      </c>
      <c r="G1241" s="3" t="s">
        <v>1566</v>
      </c>
      <c r="H1241" s="2">
        <v>15</v>
      </c>
      <c r="I1241" s="117">
        <v>434100</v>
      </c>
      <c r="J1241" s="112">
        <v>434103</v>
      </c>
      <c r="K1241" s="2" t="s">
        <v>1571</v>
      </c>
      <c r="L1241" s="2">
        <v>0</v>
      </c>
      <c r="M1241" s="2" t="s">
        <v>1571</v>
      </c>
      <c r="N1241" s="2" t="s">
        <v>1571</v>
      </c>
      <c r="O1241" s="2" t="s">
        <v>118</v>
      </c>
      <c r="P1241" s="18" t="s">
        <v>1819</v>
      </c>
    </row>
    <row r="1242" spans="1:16" ht="22" customHeight="1" x14ac:dyDescent="0.15">
      <c r="A1242" s="10" t="str">
        <f t="shared" si="288"/>
        <v>434_10_39_10_polygon</v>
      </c>
      <c r="B1242" s="2">
        <v>434</v>
      </c>
      <c r="C1242" s="30" t="str">
        <f>VLOOKUP(B1242,gachas!A:C,3)</f>
        <v>確定ステップアップガチャ</v>
      </c>
      <c r="D1242" s="21">
        <v>10</v>
      </c>
      <c r="E1242" s="2">
        <f t="shared" si="285"/>
        <v>39</v>
      </c>
      <c r="F1242" s="2">
        <v>10</v>
      </c>
      <c r="G1242" s="3" t="s">
        <v>1566</v>
      </c>
      <c r="H1242" s="2">
        <v>35</v>
      </c>
      <c r="I1242" s="117">
        <v>434100</v>
      </c>
      <c r="J1242" s="112">
        <v>434104</v>
      </c>
      <c r="K1242" s="2" t="s">
        <v>1571</v>
      </c>
      <c r="L1242" s="2">
        <v>0</v>
      </c>
      <c r="M1242" s="2" t="s">
        <v>1571</v>
      </c>
      <c r="N1242" s="2" t="s">
        <v>1571</v>
      </c>
      <c r="O1242" s="2" t="s">
        <v>118</v>
      </c>
      <c r="P1242" s="18" t="s">
        <v>1820</v>
      </c>
    </row>
    <row r="1243" spans="1:16" ht="22" customHeight="1" x14ac:dyDescent="0.15">
      <c r="A1243" s="10" t="str">
        <f t="shared" si="288"/>
        <v>434_10_40_10_polygon</v>
      </c>
      <c r="B1243" s="2">
        <v>434</v>
      </c>
      <c r="C1243" s="30" t="str">
        <f>VLOOKUP(B1243,gachas!A:C,3)</f>
        <v>確定ステップアップガチャ</v>
      </c>
      <c r="D1243" s="21">
        <v>10</v>
      </c>
      <c r="E1243" s="2">
        <f t="shared" si="285"/>
        <v>40</v>
      </c>
      <c r="F1243" s="2">
        <v>10</v>
      </c>
      <c r="G1243" s="3" t="s">
        <v>1566</v>
      </c>
      <c r="H1243" s="2">
        <v>50</v>
      </c>
      <c r="I1243" s="117">
        <v>434100</v>
      </c>
      <c r="J1243" s="112" t="s">
        <v>1571</v>
      </c>
      <c r="K1243" s="2">
        <v>434105</v>
      </c>
      <c r="L1243" s="2">
        <v>1</v>
      </c>
      <c r="M1243" s="2" t="s">
        <v>1571</v>
      </c>
      <c r="N1243" s="2" t="s">
        <v>1571</v>
      </c>
      <c r="O1243" s="2" t="s">
        <v>118</v>
      </c>
      <c r="P1243" s="18" t="s">
        <v>1821</v>
      </c>
    </row>
    <row r="1244" spans="1:16" ht="22" customHeight="1" x14ac:dyDescent="0.15">
      <c r="A1244" s="10" t="str">
        <f t="shared" si="288"/>
        <v>434_10_41_1_polygon</v>
      </c>
      <c r="B1244" s="2">
        <v>434</v>
      </c>
      <c r="C1244" s="30" t="str">
        <f>VLOOKUP(B1244,gachas!A:C,3)</f>
        <v>確定ステップアップガチャ</v>
      </c>
      <c r="D1244" s="21">
        <v>10</v>
      </c>
      <c r="E1244" s="2">
        <f t="shared" si="285"/>
        <v>41</v>
      </c>
      <c r="F1244" s="2">
        <v>1</v>
      </c>
      <c r="G1244" s="3" t="s">
        <v>1566</v>
      </c>
      <c r="H1244" s="2">
        <v>3</v>
      </c>
      <c r="I1244" s="117">
        <v>434101</v>
      </c>
      <c r="J1244" s="112" t="s">
        <v>1571</v>
      </c>
      <c r="K1244" s="2" t="s">
        <v>1571</v>
      </c>
      <c r="L1244" s="2">
        <v>0</v>
      </c>
      <c r="M1244" s="2" t="s">
        <v>1571</v>
      </c>
      <c r="N1244" s="2" t="s">
        <v>1571</v>
      </c>
      <c r="O1244" s="2" t="s">
        <v>118</v>
      </c>
      <c r="P1244" s="18" t="s">
        <v>1817</v>
      </c>
    </row>
    <row r="1245" spans="1:16" ht="22" customHeight="1" x14ac:dyDescent="0.15">
      <c r="A1245" s="10" t="str">
        <f t="shared" si="288"/>
        <v>434_10_42_3_polygon</v>
      </c>
      <c r="B1245" s="2">
        <v>434</v>
      </c>
      <c r="C1245" s="30" t="str">
        <f>VLOOKUP(B1245,gachas!A:C,3)</f>
        <v>確定ステップアップガチャ</v>
      </c>
      <c r="D1245" s="21">
        <v>10</v>
      </c>
      <c r="E1245" s="2">
        <f t="shared" si="285"/>
        <v>42</v>
      </c>
      <c r="F1245" s="2">
        <v>3</v>
      </c>
      <c r="G1245" s="3" t="s">
        <v>1566</v>
      </c>
      <c r="H1245" s="2">
        <v>9</v>
      </c>
      <c r="I1245" s="117">
        <v>434101</v>
      </c>
      <c r="J1245" s="112">
        <v>434102</v>
      </c>
      <c r="K1245" s="2" t="s">
        <v>1571</v>
      </c>
      <c r="L1245" s="2">
        <v>0</v>
      </c>
      <c r="M1245" s="2" t="s">
        <v>1571</v>
      </c>
      <c r="N1245" s="2" t="s">
        <v>1571</v>
      </c>
      <c r="O1245" s="2" t="s">
        <v>118</v>
      </c>
      <c r="P1245" s="18" t="s">
        <v>1818</v>
      </c>
    </row>
    <row r="1246" spans="1:16" ht="22" customHeight="1" x14ac:dyDescent="0.15">
      <c r="A1246" s="10" t="str">
        <f t="shared" si="288"/>
        <v>434_10_43_5_polygon</v>
      </c>
      <c r="B1246" s="2">
        <v>434</v>
      </c>
      <c r="C1246" s="30" t="str">
        <f>VLOOKUP(B1246,gachas!A:C,3)</f>
        <v>確定ステップアップガチャ</v>
      </c>
      <c r="D1246" s="21">
        <v>10</v>
      </c>
      <c r="E1246" s="2">
        <f t="shared" si="285"/>
        <v>43</v>
      </c>
      <c r="F1246" s="2">
        <v>5</v>
      </c>
      <c r="G1246" s="3" t="s">
        <v>1566</v>
      </c>
      <c r="H1246" s="2">
        <v>15</v>
      </c>
      <c r="I1246" s="117">
        <v>434100</v>
      </c>
      <c r="J1246" s="112">
        <v>434103</v>
      </c>
      <c r="K1246" s="2" t="s">
        <v>1571</v>
      </c>
      <c r="L1246" s="2">
        <v>0</v>
      </c>
      <c r="M1246" s="2" t="s">
        <v>1571</v>
      </c>
      <c r="N1246" s="2" t="s">
        <v>1571</v>
      </c>
      <c r="O1246" s="2" t="s">
        <v>118</v>
      </c>
      <c r="P1246" s="18" t="s">
        <v>1819</v>
      </c>
    </row>
    <row r="1247" spans="1:16" ht="22" customHeight="1" x14ac:dyDescent="0.15">
      <c r="A1247" s="10" t="str">
        <f t="shared" si="288"/>
        <v>434_10_44_10_polygon</v>
      </c>
      <c r="B1247" s="2">
        <v>434</v>
      </c>
      <c r="C1247" s="30" t="str">
        <f>VLOOKUP(B1247,gachas!A:C,3)</f>
        <v>確定ステップアップガチャ</v>
      </c>
      <c r="D1247" s="21">
        <v>10</v>
      </c>
      <c r="E1247" s="2">
        <f t="shared" si="285"/>
        <v>44</v>
      </c>
      <c r="F1247" s="2">
        <v>10</v>
      </c>
      <c r="G1247" s="3" t="s">
        <v>1566</v>
      </c>
      <c r="H1247" s="2">
        <v>35</v>
      </c>
      <c r="I1247" s="117">
        <v>434100</v>
      </c>
      <c r="J1247" s="112">
        <v>434104</v>
      </c>
      <c r="K1247" s="2" t="s">
        <v>1571</v>
      </c>
      <c r="L1247" s="2">
        <v>0</v>
      </c>
      <c r="M1247" s="2" t="s">
        <v>1571</v>
      </c>
      <c r="N1247" s="2" t="s">
        <v>1571</v>
      </c>
      <c r="O1247" s="2" t="s">
        <v>118</v>
      </c>
      <c r="P1247" s="18" t="s">
        <v>1820</v>
      </c>
    </row>
    <row r="1248" spans="1:16" ht="22" customHeight="1" x14ac:dyDescent="0.15">
      <c r="A1248" s="10" t="str">
        <f t="shared" si="288"/>
        <v>434_10_45_10_polygon</v>
      </c>
      <c r="B1248" s="2">
        <v>434</v>
      </c>
      <c r="C1248" s="30" t="str">
        <f>VLOOKUP(B1248,gachas!A:C,3)</f>
        <v>確定ステップアップガチャ</v>
      </c>
      <c r="D1248" s="21">
        <v>10</v>
      </c>
      <c r="E1248" s="2">
        <f t="shared" si="285"/>
        <v>45</v>
      </c>
      <c r="F1248" s="2">
        <v>10</v>
      </c>
      <c r="G1248" s="3" t="s">
        <v>1566</v>
      </c>
      <c r="H1248" s="2">
        <v>50</v>
      </c>
      <c r="I1248" s="117">
        <v>434100</v>
      </c>
      <c r="J1248" s="112" t="s">
        <v>1571</v>
      </c>
      <c r="K1248" s="2">
        <v>434105</v>
      </c>
      <c r="L1248" s="2">
        <v>1</v>
      </c>
      <c r="M1248" s="2" t="s">
        <v>1571</v>
      </c>
      <c r="N1248" s="2" t="s">
        <v>1571</v>
      </c>
      <c r="O1248" s="2" t="s">
        <v>118</v>
      </c>
      <c r="P1248" s="18" t="s">
        <v>1821</v>
      </c>
    </row>
    <row r="1249" spans="1:16" ht="22" customHeight="1" x14ac:dyDescent="0.15">
      <c r="A1249" s="10" t="str">
        <f t="shared" si="288"/>
        <v>434_10_46_1_polygon</v>
      </c>
      <c r="B1249" s="2">
        <v>434</v>
      </c>
      <c r="C1249" s="30" t="str">
        <f>VLOOKUP(B1249,gachas!A:C,3)</f>
        <v>確定ステップアップガチャ</v>
      </c>
      <c r="D1249" s="21">
        <v>10</v>
      </c>
      <c r="E1249" s="2">
        <f t="shared" si="285"/>
        <v>46</v>
      </c>
      <c r="F1249" s="2">
        <v>1</v>
      </c>
      <c r="G1249" s="3" t="s">
        <v>1566</v>
      </c>
      <c r="H1249" s="2">
        <v>3</v>
      </c>
      <c r="I1249" s="117">
        <v>434101</v>
      </c>
      <c r="J1249" s="112" t="s">
        <v>1571</v>
      </c>
      <c r="K1249" s="2" t="s">
        <v>1571</v>
      </c>
      <c r="L1249" s="2">
        <v>0</v>
      </c>
      <c r="M1249" s="2" t="s">
        <v>1571</v>
      </c>
      <c r="N1249" s="2" t="s">
        <v>1571</v>
      </c>
      <c r="O1249" s="2" t="s">
        <v>118</v>
      </c>
      <c r="P1249" s="18" t="s">
        <v>1817</v>
      </c>
    </row>
    <row r="1250" spans="1:16" ht="22" customHeight="1" x14ac:dyDescent="0.15">
      <c r="A1250" s="10" t="str">
        <f t="shared" si="288"/>
        <v>434_10_47_3_polygon</v>
      </c>
      <c r="B1250" s="2">
        <v>434</v>
      </c>
      <c r="C1250" s="30" t="str">
        <f>VLOOKUP(B1250,gachas!A:C,3)</f>
        <v>確定ステップアップガチャ</v>
      </c>
      <c r="D1250" s="21">
        <v>10</v>
      </c>
      <c r="E1250" s="2">
        <f t="shared" si="285"/>
        <v>47</v>
      </c>
      <c r="F1250" s="2">
        <v>3</v>
      </c>
      <c r="G1250" s="3" t="s">
        <v>1566</v>
      </c>
      <c r="H1250" s="2">
        <v>9</v>
      </c>
      <c r="I1250" s="117">
        <v>434101</v>
      </c>
      <c r="J1250" s="112">
        <v>434102</v>
      </c>
      <c r="K1250" s="2" t="s">
        <v>1571</v>
      </c>
      <c r="L1250" s="2">
        <v>0</v>
      </c>
      <c r="M1250" s="2" t="s">
        <v>1571</v>
      </c>
      <c r="N1250" s="2" t="s">
        <v>1571</v>
      </c>
      <c r="O1250" s="2" t="s">
        <v>118</v>
      </c>
      <c r="P1250" s="18" t="s">
        <v>1818</v>
      </c>
    </row>
    <row r="1251" spans="1:16" ht="22" customHeight="1" x14ac:dyDescent="0.15">
      <c r="A1251" s="10" t="str">
        <f t="shared" si="288"/>
        <v>434_10_48_5_polygon</v>
      </c>
      <c r="B1251" s="2">
        <v>434</v>
      </c>
      <c r="C1251" s="30" t="str">
        <f>VLOOKUP(B1251,gachas!A:C,3)</f>
        <v>確定ステップアップガチャ</v>
      </c>
      <c r="D1251" s="21">
        <v>10</v>
      </c>
      <c r="E1251" s="2">
        <f t="shared" si="285"/>
        <v>48</v>
      </c>
      <c r="F1251" s="2">
        <v>5</v>
      </c>
      <c r="G1251" s="3" t="s">
        <v>1566</v>
      </c>
      <c r="H1251" s="2">
        <v>15</v>
      </c>
      <c r="I1251" s="117">
        <v>434100</v>
      </c>
      <c r="J1251" s="112">
        <v>434103</v>
      </c>
      <c r="K1251" s="2" t="s">
        <v>1571</v>
      </c>
      <c r="L1251" s="2">
        <v>0</v>
      </c>
      <c r="M1251" s="2" t="s">
        <v>1571</v>
      </c>
      <c r="N1251" s="2" t="s">
        <v>1571</v>
      </c>
      <c r="O1251" s="2" t="s">
        <v>118</v>
      </c>
      <c r="P1251" s="18" t="s">
        <v>1819</v>
      </c>
    </row>
    <row r="1252" spans="1:16" ht="22" customHeight="1" x14ac:dyDescent="0.15">
      <c r="A1252" s="10" t="str">
        <f t="shared" si="288"/>
        <v>434_10_49_10_polygon</v>
      </c>
      <c r="B1252" s="2">
        <v>434</v>
      </c>
      <c r="C1252" s="30" t="str">
        <f>VLOOKUP(B1252,gachas!A:C,3)</f>
        <v>確定ステップアップガチャ</v>
      </c>
      <c r="D1252" s="21">
        <v>10</v>
      </c>
      <c r="E1252" s="2">
        <f t="shared" si="285"/>
        <v>49</v>
      </c>
      <c r="F1252" s="2">
        <v>10</v>
      </c>
      <c r="G1252" s="3" t="s">
        <v>1566</v>
      </c>
      <c r="H1252" s="2">
        <v>35</v>
      </c>
      <c r="I1252" s="117">
        <v>434100</v>
      </c>
      <c r="J1252" s="112">
        <v>434104</v>
      </c>
      <c r="K1252" s="2" t="s">
        <v>1571</v>
      </c>
      <c r="L1252" s="2">
        <v>0</v>
      </c>
      <c r="M1252" s="2" t="s">
        <v>1571</v>
      </c>
      <c r="N1252" s="2" t="s">
        <v>1571</v>
      </c>
      <c r="O1252" s="2" t="s">
        <v>118</v>
      </c>
      <c r="P1252" s="18" t="s">
        <v>1820</v>
      </c>
    </row>
    <row r="1253" spans="1:16" ht="22" customHeight="1" x14ac:dyDescent="0.15">
      <c r="A1253" s="10" t="str">
        <f t="shared" si="288"/>
        <v>434_10_50_10_polygon</v>
      </c>
      <c r="B1253" s="2">
        <v>434</v>
      </c>
      <c r="C1253" s="30" t="str">
        <f>VLOOKUP(B1253,gachas!A:C,3)</f>
        <v>確定ステップアップガチャ</v>
      </c>
      <c r="D1253" s="21">
        <v>10</v>
      </c>
      <c r="E1253" s="2">
        <f t="shared" si="285"/>
        <v>50</v>
      </c>
      <c r="F1253" s="2">
        <v>10</v>
      </c>
      <c r="G1253" s="3" t="s">
        <v>1566</v>
      </c>
      <c r="H1253" s="2">
        <v>50</v>
      </c>
      <c r="I1253" s="117">
        <v>434100</v>
      </c>
      <c r="J1253" s="112" t="s">
        <v>1571</v>
      </c>
      <c r="K1253" s="2">
        <v>434105</v>
      </c>
      <c r="L1253" s="2">
        <v>1</v>
      </c>
      <c r="M1253" s="2" t="s">
        <v>1571</v>
      </c>
      <c r="N1253" s="2" t="s">
        <v>1571</v>
      </c>
      <c r="O1253" s="2" t="s">
        <v>118</v>
      </c>
      <c r="P1253" s="18" t="s">
        <v>1821</v>
      </c>
    </row>
    <row r="1254" spans="1:16" ht="22" customHeight="1" x14ac:dyDescent="0.15">
      <c r="A1254" s="10" t="str">
        <f t="shared" si="288"/>
        <v>435_1_0_1_polygon</v>
      </c>
      <c r="B1254" s="2">
        <v>435</v>
      </c>
      <c r="C1254" s="30" t="str">
        <f>VLOOKUP(B1254,gachas!A:C,3)</f>
        <v>スペシャルハロウィンガチャ</v>
      </c>
      <c r="D1254" s="21">
        <v>1</v>
      </c>
      <c r="E1254" s="2">
        <v>0</v>
      </c>
      <c r="F1254" s="2">
        <v>1</v>
      </c>
      <c r="G1254" s="3" t="s">
        <v>1566</v>
      </c>
      <c r="H1254" s="2">
        <v>5</v>
      </c>
      <c r="I1254" s="117">
        <v>446010</v>
      </c>
      <c r="J1254" s="112" t="s">
        <v>1571</v>
      </c>
      <c r="K1254" s="2" t="s">
        <v>259</v>
      </c>
      <c r="L1254" s="2">
        <v>0</v>
      </c>
      <c r="M1254" s="2" t="s">
        <v>1571</v>
      </c>
      <c r="N1254" s="2" t="s">
        <v>1571</v>
      </c>
      <c r="O1254" s="2" t="s">
        <v>118</v>
      </c>
      <c r="P1254" s="18" t="s">
        <v>1824</v>
      </c>
    </row>
    <row r="1255" spans="1:16" ht="22" customHeight="1" x14ac:dyDescent="0.15">
      <c r="A1255" s="10" t="str">
        <f t="shared" ref="A1255" si="289">B1255&amp;"_"&amp;D1255&amp;"_"&amp;E1255&amp;"_"&amp;F1255&amp;"_"&amp;G1255</f>
        <v>435_10_0_10_polygon</v>
      </c>
      <c r="B1255" s="2">
        <v>435</v>
      </c>
      <c r="C1255" s="30" t="str">
        <f>VLOOKUP(B1255,gachas!A:C,3)</f>
        <v>スペシャルハロウィンガチャ</v>
      </c>
      <c r="D1255" s="21">
        <v>10</v>
      </c>
      <c r="E1255" s="2">
        <v>0</v>
      </c>
      <c r="F1255" s="2">
        <v>10</v>
      </c>
      <c r="G1255" s="3" t="s">
        <v>1566</v>
      </c>
      <c r="H1255" s="2">
        <v>50</v>
      </c>
      <c r="I1255" s="117">
        <v>446100</v>
      </c>
      <c r="J1255" s="112" t="s">
        <v>1571</v>
      </c>
      <c r="K1255" s="2">
        <v>446100</v>
      </c>
      <c r="L1255" s="2">
        <v>1</v>
      </c>
      <c r="M1255" s="2" t="s">
        <v>1571</v>
      </c>
      <c r="N1255" s="2" t="s">
        <v>1571</v>
      </c>
      <c r="O1255" s="2" t="s">
        <v>118</v>
      </c>
      <c r="P1255" s="18" t="s">
        <v>1822</v>
      </c>
    </row>
    <row r="1256" spans="1:16" ht="22" customHeight="1" x14ac:dyDescent="0.15">
      <c r="A1256" s="10" t="str">
        <f t="shared" ref="A1256" si="290">B1256&amp;"_"&amp;D1256&amp;"_"&amp;E1256&amp;"_"&amp;F1256&amp;"_"&amp;G1256</f>
        <v>435_10_1_10_polygon</v>
      </c>
      <c r="B1256" s="2">
        <v>435</v>
      </c>
      <c r="C1256" s="30" t="str">
        <f>VLOOKUP(B1256,gachas!A:C,3)</f>
        <v>スペシャルハロウィンガチャ</v>
      </c>
      <c r="D1256" s="21">
        <v>10</v>
      </c>
      <c r="E1256" s="2">
        <f>E1255+1</f>
        <v>1</v>
      </c>
      <c r="F1256" s="2">
        <v>10</v>
      </c>
      <c r="G1256" s="3" t="s">
        <v>1566</v>
      </c>
      <c r="H1256" s="2">
        <v>50</v>
      </c>
      <c r="I1256" s="117">
        <v>446100</v>
      </c>
      <c r="J1256" s="112" t="s">
        <v>1571</v>
      </c>
      <c r="K1256" s="2">
        <v>446100</v>
      </c>
      <c r="L1256" s="2">
        <v>1</v>
      </c>
      <c r="M1256" s="2" t="s">
        <v>1571</v>
      </c>
      <c r="N1256" s="2" t="s">
        <v>1571</v>
      </c>
      <c r="O1256" s="2" t="s">
        <v>118</v>
      </c>
      <c r="P1256" s="18" t="s">
        <v>1822</v>
      </c>
    </row>
    <row r="1257" spans="1:16" ht="22" customHeight="1" x14ac:dyDescent="0.15">
      <c r="A1257" s="10" t="str">
        <f t="shared" ref="A1257:A1260" si="291">B1257&amp;"_"&amp;D1257&amp;"_"&amp;E1257&amp;"_"&amp;F1257&amp;"_"&amp;G1257</f>
        <v>435_10_2_10_polygon</v>
      </c>
      <c r="B1257" s="2">
        <v>435</v>
      </c>
      <c r="C1257" s="30" t="str">
        <f>VLOOKUP(B1257,gachas!A:C,3)</f>
        <v>スペシャルハロウィンガチャ</v>
      </c>
      <c r="D1257" s="21">
        <v>10</v>
      </c>
      <c r="E1257" s="2">
        <f t="shared" ref="E1257:E1260" si="292">E1256+1</f>
        <v>2</v>
      </c>
      <c r="F1257" s="2">
        <v>10</v>
      </c>
      <c r="G1257" s="3" t="s">
        <v>1566</v>
      </c>
      <c r="H1257" s="2">
        <v>50</v>
      </c>
      <c r="I1257" s="117">
        <v>446100</v>
      </c>
      <c r="J1257" s="112" t="s">
        <v>1571</v>
      </c>
      <c r="K1257" s="2">
        <v>446100</v>
      </c>
      <c r="L1257" s="2">
        <v>1</v>
      </c>
      <c r="M1257" s="2" t="s">
        <v>1571</v>
      </c>
      <c r="N1257" s="2" t="s">
        <v>1571</v>
      </c>
      <c r="O1257" s="2" t="s">
        <v>118</v>
      </c>
      <c r="P1257" s="18" t="s">
        <v>1822</v>
      </c>
    </row>
    <row r="1258" spans="1:16" ht="22" customHeight="1" x14ac:dyDescent="0.15">
      <c r="A1258" s="10" t="str">
        <f t="shared" si="291"/>
        <v>435_10_3_10_polygon</v>
      </c>
      <c r="B1258" s="2">
        <v>435</v>
      </c>
      <c r="C1258" s="30" t="str">
        <f>VLOOKUP(B1258,gachas!A:C,3)</f>
        <v>スペシャルハロウィンガチャ</v>
      </c>
      <c r="D1258" s="21">
        <v>10</v>
      </c>
      <c r="E1258" s="2">
        <f t="shared" si="292"/>
        <v>3</v>
      </c>
      <c r="F1258" s="2">
        <v>10</v>
      </c>
      <c r="G1258" s="3" t="s">
        <v>1566</v>
      </c>
      <c r="H1258" s="2">
        <v>50</v>
      </c>
      <c r="I1258" s="117">
        <v>446100</v>
      </c>
      <c r="J1258" s="112" t="s">
        <v>1571</v>
      </c>
      <c r="K1258" s="2">
        <v>446100</v>
      </c>
      <c r="L1258" s="2">
        <v>1</v>
      </c>
      <c r="M1258" s="2" t="s">
        <v>1571</v>
      </c>
      <c r="N1258" s="2" t="s">
        <v>1571</v>
      </c>
      <c r="O1258" s="2" t="s">
        <v>118</v>
      </c>
      <c r="P1258" s="18" t="s">
        <v>1822</v>
      </c>
    </row>
    <row r="1259" spans="1:16" ht="22" customHeight="1" x14ac:dyDescent="0.15">
      <c r="A1259" s="10" t="str">
        <f t="shared" si="291"/>
        <v>435_10_4_10_polygon</v>
      </c>
      <c r="B1259" s="2">
        <v>435</v>
      </c>
      <c r="C1259" s="30" t="str">
        <f>VLOOKUP(B1259,gachas!A:C,3)</f>
        <v>スペシャルハロウィンガチャ</v>
      </c>
      <c r="D1259" s="21">
        <v>10</v>
      </c>
      <c r="E1259" s="2">
        <f t="shared" si="292"/>
        <v>4</v>
      </c>
      <c r="F1259" s="2">
        <v>10</v>
      </c>
      <c r="G1259" s="3" t="s">
        <v>1566</v>
      </c>
      <c r="H1259" s="2">
        <v>50</v>
      </c>
      <c r="I1259" s="117">
        <v>446100</v>
      </c>
      <c r="J1259" s="112" t="s">
        <v>1571</v>
      </c>
      <c r="K1259" s="2">
        <v>446100</v>
      </c>
      <c r="L1259" s="2">
        <v>1</v>
      </c>
      <c r="M1259" s="2" t="s">
        <v>1571</v>
      </c>
      <c r="N1259" s="2" t="s">
        <v>1571</v>
      </c>
      <c r="O1259" s="2" t="s">
        <v>118</v>
      </c>
      <c r="P1259" s="18" t="s">
        <v>1822</v>
      </c>
    </row>
    <row r="1260" spans="1:16" ht="22" customHeight="1" x14ac:dyDescent="0.15">
      <c r="A1260" s="10" t="str">
        <f t="shared" si="291"/>
        <v>435_10_5_10_polygon</v>
      </c>
      <c r="B1260" s="2">
        <v>435</v>
      </c>
      <c r="C1260" s="30" t="str">
        <f>VLOOKUP(B1260,gachas!A:C,3)</f>
        <v>スペシャルハロウィンガチャ</v>
      </c>
      <c r="D1260" s="21">
        <v>10</v>
      </c>
      <c r="E1260" s="2">
        <f t="shared" si="292"/>
        <v>5</v>
      </c>
      <c r="F1260" s="2">
        <v>10</v>
      </c>
      <c r="G1260" s="3" t="s">
        <v>1566</v>
      </c>
      <c r="H1260" s="2">
        <v>50</v>
      </c>
      <c r="I1260" s="117">
        <v>446100</v>
      </c>
      <c r="J1260" s="112" t="s">
        <v>1571</v>
      </c>
      <c r="K1260" s="2">
        <v>446105</v>
      </c>
      <c r="L1260" s="2">
        <v>1</v>
      </c>
      <c r="M1260" s="2" t="s">
        <v>1571</v>
      </c>
      <c r="N1260" s="2" t="s">
        <v>1571</v>
      </c>
      <c r="O1260" s="2" t="s">
        <v>118</v>
      </c>
      <c r="P1260" s="18" t="s">
        <v>1823</v>
      </c>
    </row>
    <row r="1261" spans="1:16" ht="22" customHeight="1" x14ac:dyDescent="0.15">
      <c r="A1261" s="10" t="str">
        <f t="shared" ref="A1261:A1305" si="293">B1261&amp;"_"&amp;D1261&amp;"_"&amp;E1261&amp;"_"&amp;F1261&amp;"_"&amp;G1261</f>
        <v>435_10_6_10_polygon</v>
      </c>
      <c r="B1261" s="2">
        <v>435</v>
      </c>
      <c r="C1261" s="30" t="str">
        <f>VLOOKUP(B1261,gachas!A:C,3)</f>
        <v>スペシャルハロウィンガチャ</v>
      </c>
      <c r="D1261" s="21">
        <v>10</v>
      </c>
      <c r="E1261" s="2">
        <f>E1260+1</f>
        <v>6</v>
      </c>
      <c r="F1261" s="2">
        <v>10</v>
      </c>
      <c r="G1261" s="3" t="s">
        <v>1566</v>
      </c>
      <c r="H1261" s="2">
        <v>50</v>
      </c>
      <c r="I1261" s="117">
        <v>446100</v>
      </c>
      <c r="J1261" s="112" t="s">
        <v>1571</v>
      </c>
      <c r="K1261" s="2">
        <v>446100</v>
      </c>
      <c r="L1261" s="2">
        <v>1</v>
      </c>
      <c r="M1261" s="2" t="s">
        <v>1571</v>
      </c>
      <c r="N1261" s="2" t="s">
        <v>1571</v>
      </c>
      <c r="O1261" s="2" t="s">
        <v>118</v>
      </c>
      <c r="P1261" s="18" t="s">
        <v>1822</v>
      </c>
    </row>
    <row r="1262" spans="1:16" ht="22" customHeight="1" x14ac:dyDescent="0.15">
      <c r="A1262" s="10" t="str">
        <f t="shared" si="293"/>
        <v>435_10_7_10_polygon</v>
      </c>
      <c r="B1262" s="2">
        <v>435</v>
      </c>
      <c r="C1262" s="30" t="str">
        <f>VLOOKUP(B1262,gachas!A:C,3)</f>
        <v>スペシャルハロウィンガチャ</v>
      </c>
      <c r="D1262" s="21">
        <v>10</v>
      </c>
      <c r="E1262" s="2">
        <f t="shared" ref="E1262:E1265" si="294">E1261+1</f>
        <v>7</v>
      </c>
      <c r="F1262" s="2">
        <v>10</v>
      </c>
      <c r="G1262" s="3" t="s">
        <v>1566</v>
      </c>
      <c r="H1262" s="2">
        <v>50</v>
      </c>
      <c r="I1262" s="117">
        <v>446100</v>
      </c>
      <c r="J1262" s="112" t="s">
        <v>1571</v>
      </c>
      <c r="K1262" s="2">
        <v>446100</v>
      </c>
      <c r="L1262" s="2">
        <v>1</v>
      </c>
      <c r="M1262" s="2" t="s">
        <v>1571</v>
      </c>
      <c r="N1262" s="2" t="s">
        <v>1571</v>
      </c>
      <c r="O1262" s="2" t="s">
        <v>118</v>
      </c>
      <c r="P1262" s="18" t="s">
        <v>1822</v>
      </c>
    </row>
    <row r="1263" spans="1:16" ht="22" customHeight="1" x14ac:dyDescent="0.15">
      <c r="A1263" s="10" t="str">
        <f t="shared" si="293"/>
        <v>435_10_8_10_polygon</v>
      </c>
      <c r="B1263" s="2">
        <v>435</v>
      </c>
      <c r="C1263" s="30" t="str">
        <f>VLOOKUP(B1263,gachas!A:C,3)</f>
        <v>スペシャルハロウィンガチャ</v>
      </c>
      <c r="D1263" s="21">
        <v>10</v>
      </c>
      <c r="E1263" s="2">
        <f t="shared" si="294"/>
        <v>8</v>
      </c>
      <c r="F1263" s="2">
        <v>10</v>
      </c>
      <c r="G1263" s="3" t="s">
        <v>1566</v>
      </c>
      <c r="H1263" s="2">
        <v>50</v>
      </c>
      <c r="I1263" s="117">
        <v>446100</v>
      </c>
      <c r="J1263" s="112" t="s">
        <v>1571</v>
      </c>
      <c r="K1263" s="2">
        <v>446100</v>
      </c>
      <c r="L1263" s="2">
        <v>1</v>
      </c>
      <c r="M1263" s="2" t="s">
        <v>1571</v>
      </c>
      <c r="N1263" s="2" t="s">
        <v>1571</v>
      </c>
      <c r="O1263" s="2" t="s">
        <v>118</v>
      </c>
      <c r="P1263" s="18" t="s">
        <v>1822</v>
      </c>
    </row>
    <row r="1264" spans="1:16" ht="22" customHeight="1" x14ac:dyDescent="0.15">
      <c r="A1264" s="10" t="str">
        <f t="shared" si="293"/>
        <v>435_10_9_10_polygon</v>
      </c>
      <c r="B1264" s="2">
        <v>435</v>
      </c>
      <c r="C1264" s="30" t="str">
        <f>VLOOKUP(B1264,gachas!A:C,3)</f>
        <v>スペシャルハロウィンガチャ</v>
      </c>
      <c r="D1264" s="21">
        <v>10</v>
      </c>
      <c r="E1264" s="2">
        <f t="shared" si="294"/>
        <v>9</v>
      </c>
      <c r="F1264" s="2">
        <v>10</v>
      </c>
      <c r="G1264" s="3" t="s">
        <v>1566</v>
      </c>
      <c r="H1264" s="2">
        <v>50</v>
      </c>
      <c r="I1264" s="117">
        <v>446100</v>
      </c>
      <c r="J1264" s="112" t="s">
        <v>1571</v>
      </c>
      <c r="K1264" s="2">
        <v>446100</v>
      </c>
      <c r="L1264" s="2">
        <v>1</v>
      </c>
      <c r="M1264" s="2" t="s">
        <v>1571</v>
      </c>
      <c r="N1264" s="2" t="s">
        <v>1571</v>
      </c>
      <c r="O1264" s="2" t="s">
        <v>118</v>
      </c>
      <c r="P1264" s="18" t="s">
        <v>1822</v>
      </c>
    </row>
    <row r="1265" spans="1:16" ht="22" customHeight="1" x14ac:dyDescent="0.15">
      <c r="A1265" s="10" t="str">
        <f t="shared" si="293"/>
        <v>435_10_10_10_polygon</v>
      </c>
      <c r="B1265" s="2">
        <v>435</v>
      </c>
      <c r="C1265" s="30" t="str">
        <f>VLOOKUP(B1265,gachas!A:C,3)</f>
        <v>スペシャルハロウィンガチャ</v>
      </c>
      <c r="D1265" s="21">
        <v>10</v>
      </c>
      <c r="E1265" s="2">
        <f t="shared" si="294"/>
        <v>10</v>
      </c>
      <c r="F1265" s="2">
        <v>10</v>
      </c>
      <c r="G1265" s="3" t="s">
        <v>1566</v>
      </c>
      <c r="H1265" s="2">
        <v>50</v>
      </c>
      <c r="I1265" s="117">
        <v>446100</v>
      </c>
      <c r="J1265" s="112" t="s">
        <v>1571</v>
      </c>
      <c r="K1265" s="2">
        <v>446105</v>
      </c>
      <c r="L1265" s="2">
        <v>1</v>
      </c>
      <c r="M1265" s="2" t="s">
        <v>1571</v>
      </c>
      <c r="N1265" s="2" t="s">
        <v>1571</v>
      </c>
      <c r="O1265" s="2" t="s">
        <v>118</v>
      </c>
      <c r="P1265" s="18" t="s">
        <v>1823</v>
      </c>
    </row>
    <row r="1266" spans="1:16" ht="22" customHeight="1" x14ac:dyDescent="0.15">
      <c r="A1266" s="10" t="str">
        <f t="shared" si="293"/>
        <v>435_10_11_10_polygon</v>
      </c>
      <c r="B1266" s="2">
        <v>435</v>
      </c>
      <c r="C1266" s="30" t="str">
        <f>VLOOKUP(B1266,gachas!A:C,3)</f>
        <v>スペシャルハロウィンガチャ</v>
      </c>
      <c r="D1266" s="21">
        <v>10</v>
      </c>
      <c r="E1266" s="2">
        <f>E1265+1</f>
        <v>11</v>
      </c>
      <c r="F1266" s="2">
        <v>10</v>
      </c>
      <c r="G1266" s="3" t="s">
        <v>1566</v>
      </c>
      <c r="H1266" s="2">
        <v>50</v>
      </c>
      <c r="I1266" s="117">
        <v>446100</v>
      </c>
      <c r="J1266" s="112" t="s">
        <v>1571</v>
      </c>
      <c r="K1266" s="2">
        <v>446100</v>
      </c>
      <c r="L1266" s="2">
        <v>1</v>
      </c>
      <c r="M1266" s="2" t="s">
        <v>1571</v>
      </c>
      <c r="N1266" s="2" t="s">
        <v>1571</v>
      </c>
      <c r="O1266" s="2" t="s">
        <v>118</v>
      </c>
      <c r="P1266" s="18" t="s">
        <v>1822</v>
      </c>
    </row>
    <row r="1267" spans="1:16" ht="22" customHeight="1" x14ac:dyDescent="0.15">
      <c r="A1267" s="10" t="str">
        <f t="shared" si="293"/>
        <v>435_10_12_10_polygon</v>
      </c>
      <c r="B1267" s="2">
        <v>435</v>
      </c>
      <c r="C1267" s="30" t="str">
        <f>VLOOKUP(B1267,gachas!A:C,3)</f>
        <v>スペシャルハロウィンガチャ</v>
      </c>
      <c r="D1267" s="21">
        <v>10</v>
      </c>
      <c r="E1267" s="2">
        <f t="shared" ref="E1267:E1270" si="295">E1266+1</f>
        <v>12</v>
      </c>
      <c r="F1267" s="2">
        <v>10</v>
      </c>
      <c r="G1267" s="3" t="s">
        <v>1566</v>
      </c>
      <c r="H1267" s="2">
        <v>50</v>
      </c>
      <c r="I1267" s="117">
        <v>446100</v>
      </c>
      <c r="J1267" s="112" t="s">
        <v>1571</v>
      </c>
      <c r="K1267" s="2">
        <v>446100</v>
      </c>
      <c r="L1267" s="2">
        <v>1</v>
      </c>
      <c r="M1267" s="2" t="s">
        <v>1571</v>
      </c>
      <c r="N1267" s="2" t="s">
        <v>1571</v>
      </c>
      <c r="O1267" s="2" t="s">
        <v>118</v>
      </c>
      <c r="P1267" s="18" t="s">
        <v>1822</v>
      </c>
    </row>
    <row r="1268" spans="1:16" ht="22" customHeight="1" x14ac:dyDescent="0.15">
      <c r="A1268" s="10" t="str">
        <f t="shared" si="293"/>
        <v>435_10_13_10_polygon</v>
      </c>
      <c r="B1268" s="2">
        <v>435</v>
      </c>
      <c r="C1268" s="30" t="str">
        <f>VLOOKUP(B1268,gachas!A:C,3)</f>
        <v>スペシャルハロウィンガチャ</v>
      </c>
      <c r="D1268" s="21">
        <v>10</v>
      </c>
      <c r="E1268" s="2">
        <f t="shared" si="295"/>
        <v>13</v>
      </c>
      <c r="F1268" s="2">
        <v>10</v>
      </c>
      <c r="G1268" s="3" t="s">
        <v>1566</v>
      </c>
      <c r="H1268" s="2">
        <v>50</v>
      </c>
      <c r="I1268" s="117">
        <v>446100</v>
      </c>
      <c r="J1268" s="112" t="s">
        <v>1571</v>
      </c>
      <c r="K1268" s="2">
        <v>446100</v>
      </c>
      <c r="L1268" s="2">
        <v>1</v>
      </c>
      <c r="M1268" s="2" t="s">
        <v>1571</v>
      </c>
      <c r="N1268" s="2" t="s">
        <v>1571</v>
      </c>
      <c r="O1268" s="2" t="s">
        <v>118</v>
      </c>
      <c r="P1268" s="18" t="s">
        <v>1822</v>
      </c>
    </row>
    <row r="1269" spans="1:16" ht="22" customHeight="1" x14ac:dyDescent="0.15">
      <c r="A1269" s="10" t="str">
        <f t="shared" si="293"/>
        <v>435_10_14_10_polygon</v>
      </c>
      <c r="B1269" s="2">
        <v>435</v>
      </c>
      <c r="C1269" s="30" t="str">
        <f>VLOOKUP(B1269,gachas!A:C,3)</f>
        <v>スペシャルハロウィンガチャ</v>
      </c>
      <c r="D1269" s="21">
        <v>10</v>
      </c>
      <c r="E1269" s="2">
        <f t="shared" si="295"/>
        <v>14</v>
      </c>
      <c r="F1269" s="2">
        <v>10</v>
      </c>
      <c r="G1269" s="3" t="s">
        <v>1566</v>
      </c>
      <c r="H1269" s="2">
        <v>50</v>
      </c>
      <c r="I1269" s="117">
        <v>446100</v>
      </c>
      <c r="J1269" s="112" t="s">
        <v>1571</v>
      </c>
      <c r="K1269" s="2">
        <v>446100</v>
      </c>
      <c r="L1269" s="2">
        <v>1</v>
      </c>
      <c r="M1269" s="2" t="s">
        <v>1571</v>
      </c>
      <c r="N1269" s="2" t="s">
        <v>1571</v>
      </c>
      <c r="O1269" s="2" t="s">
        <v>118</v>
      </c>
      <c r="P1269" s="18" t="s">
        <v>1822</v>
      </c>
    </row>
    <row r="1270" spans="1:16" ht="22" customHeight="1" x14ac:dyDescent="0.15">
      <c r="A1270" s="10" t="str">
        <f t="shared" si="293"/>
        <v>435_10_15_10_polygon</v>
      </c>
      <c r="B1270" s="2">
        <v>435</v>
      </c>
      <c r="C1270" s="30" t="str">
        <f>VLOOKUP(B1270,gachas!A:C,3)</f>
        <v>スペシャルハロウィンガチャ</v>
      </c>
      <c r="D1270" s="21">
        <v>10</v>
      </c>
      <c r="E1270" s="2">
        <f t="shared" si="295"/>
        <v>15</v>
      </c>
      <c r="F1270" s="2">
        <v>10</v>
      </c>
      <c r="G1270" s="3" t="s">
        <v>1566</v>
      </c>
      <c r="H1270" s="2">
        <v>50</v>
      </c>
      <c r="I1270" s="117">
        <v>446100</v>
      </c>
      <c r="J1270" s="112" t="s">
        <v>1571</v>
      </c>
      <c r="K1270" s="2">
        <v>446105</v>
      </c>
      <c r="L1270" s="2">
        <v>1</v>
      </c>
      <c r="M1270" s="2" t="s">
        <v>1571</v>
      </c>
      <c r="N1270" s="2" t="s">
        <v>1571</v>
      </c>
      <c r="O1270" s="2" t="s">
        <v>118</v>
      </c>
      <c r="P1270" s="18" t="s">
        <v>1823</v>
      </c>
    </row>
    <row r="1271" spans="1:16" ht="22" customHeight="1" x14ac:dyDescent="0.15">
      <c r="A1271" s="10" t="str">
        <f t="shared" si="293"/>
        <v>435_10_16_10_polygon</v>
      </c>
      <c r="B1271" s="2">
        <v>435</v>
      </c>
      <c r="C1271" s="30" t="str">
        <f>VLOOKUP(B1271,gachas!A:C,3)</f>
        <v>スペシャルハロウィンガチャ</v>
      </c>
      <c r="D1271" s="21">
        <v>10</v>
      </c>
      <c r="E1271" s="2">
        <f>E1270+1</f>
        <v>16</v>
      </c>
      <c r="F1271" s="2">
        <v>10</v>
      </c>
      <c r="G1271" s="3" t="s">
        <v>1566</v>
      </c>
      <c r="H1271" s="2">
        <v>50</v>
      </c>
      <c r="I1271" s="117">
        <v>446100</v>
      </c>
      <c r="J1271" s="112" t="s">
        <v>1571</v>
      </c>
      <c r="K1271" s="2">
        <v>446100</v>
      </c>
      <c r="L1271" s="2">
        <v>1</v>
      </c>
      <c r="M1271" s="2" t="s">
        <v>1571</v>
      </c>
      <c r="N1271" s="2" t="s">
        <v>1571</v>
      </c>
      <c r="O1271" s="2" t="s">
        <v>118</v>
      </c>
      <c r="P1271" s="18" t="s">
        <v>1822</v>
      </c>
    </row>
    <row r="1272" spans="1:16" ht="22" customHeight="1" x14ac:dyDescent="0.15">
      <c r="A1272" s="10" t="str">
        <f t="shared" si="293"/>
        <v>435_10_17_10_polygon</v>
      </c>
      <c r="B1272" s="2">
        <v>435</v>
      </c>
      <c r="C1272" s="30" t="str">
        <f>VLOOKUP(B1272,gachas!A:C,3)</f>
        <v>スペシャルハロウィンガチャ</v>
      </c>
      <c r="D1272" s="21">
        <v>10</v>
      </c>
      <c r="E1272" s="2">
        <f t="shared" ref="E1272:E1275" si="296">E1271+1</f>
        <v>17</v>
      </c>
      <c r="F1272" s="2">
        <v>10</v>
      </c>
      <c r="G1272" s="3" t="s">
        <v>1566</v>
      </c>
      <c r="H1272" s="2">
        <v>50</v>
      </c>
      <c r="I1272" s="117">
        <v>446100</v>
      </c>
      <c r="J1272" s="112" t="s">
        <v>1571</v>
      </c>
      <c r="K1272" s="2">
        <v>446100</v>
      </c>
      <c r="L1272" s="2">
        <v>1</v>
      </c>
      <c r="M1272" s="2" t="s">
        <v>1571</v>
      </c>
      <c r="N1272" s="2" t="s">
        <v>1571</v>
      </c>
      <c r="O1272" s="2" t="s">
        <v>118</v>
      </c>
      <c r="P1272" s="18" t="s">
        <v>1822</v>
      </c>
    </row>
    <row r="1273" spans="1:16" ht="22" customHeight="1" x14ac:dyDescent="0.15">
      <c r="A1273" s="10" t="str">
        <f t="shared" si="293"/>
        <v>435_10_18_10_polygon</v>
      </c>
      <c r="B1273" s="2">
        <v>435</v>
      </c>
      <c r="C1273" s="30" t="str">
        <f>VLOOKUP(B1273,gachas!A:C,3)</f>
        <v>スペシャルハロウィンガチャ</v>
      </c>
      <c r="D1273" s="21">
        <v>10</v>
      </c>
      <c r="E1273" s="2">
        <f t="shared" si="296"/>
        <v>18</v>
      </c>
      <c r="F1273" s="2">
        <v>10</v>
      </c>
      <c r="G1273" s="3" t="s">
        <v>1566</v>
      </c>
      <c r="H1273" s="2">
        <v>50</v>
      </c>
      <c r="I1273" s="117">
        <v>446100</v>
      </c>
      <c r="J1273" s="112" t="s">
        <v>1571</v>
      </c>
      <c r="K1273" s="2">
        <v>446100</v>
      </c>
      <c r="L1273" s="2">
        <v>1</v>
      </c>
      <c r="M1273" s="2" t="s">
        <v>1571</v>
      </c>
      <c r="N1273" s="2" t="s">
        <v>1571</v>
      </c>
      <c r="O1273" s="2" t="s">
        <v>118</v>
      </c>
      <c r="P1273" s="18" t="s">
        <v>1822</v>
      </c>
    </row>
    <row r="1274" spans="1:16" ht="22" customHeight="1" x14ac:dyDescent="0.15">
      <c r="A1274" s="10" t="str">
        <f t="shared" si="293"/>
        <v>435_10_19_10_polygon</v>
      </c>
      <c r="B1274" s="2">
        <v>435</v>
      </c>
      <c r="C1274" s="30" t="str">
        <f>VLOOKUP(B1274,gachas!A:C,3)</f>
        <v>スペシャルハロウィンガチャ</v>
      </c>
      <c r="D1274" s="21">
        <v>10</v>
      </c>
      <c r="E1274" s="2">
        <f t="shared" si="296"/>
        <v>19</v>
      </c>
      <c r="F1274" s="2">
        <v>10</v>
      </c>
      <c r="G1274" s="3" t="s">
        <v>1566</v>
      </c>
      <c r="H1274" s="2">
        <v>50</v>
      </c>
      <c r="I1274" s="117">
        <v>446100</v>
      </c>
      <c r="J1274" s="112" t="s">
        <v>1571</v>
      </c>
      <c r="K1274" s="2">
        <v>446100</v>
      </c>
      <c r="L1274" s="2">
        <v>1</v>
      </c>
      <c r="M1274" s="2" t="s">
        <v>1571</v>
      </c>
      <c r="N1274" s="2" t="s">
        <v>1571</v>
      </c>
      <c r="O1274" s="2" t="s">
        <v>118</v>
      </c>
      <c r="P1274" s="18" t="s">
        <v>1822</v>
      </c>
    </row>
    <row r="1275" spans="1:16" ht="22" customHeight="1" x14ac:dyDescent="0.15">
      <c r="A1275" s="10" t="str">
        <f t="shared" si="293"/>
        <v>435_10_20_10_polygon</v>
      </c>
      <c r="B1275" s="2">
        <v>435</v>
      </c>
      <c r="C1275" s="30" t="str">
        <f>VLOOKUP(B1275,gachas!A:C,3)</f>
        <v>スペシャルハロウィンガチャ</v>
      </c>
      <c r="D1275" s="21">
        <v>10</v>
      </c>
      <c r="E1275" s="2">
        <f t="shared" si="296"/>
        <v>20</v>
      </c>
      <c r="F1275" s="2">
        <v>10</v>
      </c>
      <c r="G1275" s="3" t="s">
        <v>1566</v>
      </c>
      <c r="H1275" s="2">
        <v>50</v>
      </c>
      <c r="I1275" s="117">
        <v>446100</v>
      </c>
      <c r="J1275" s="112" t="s">
        <v>1571</v>
      </c>
      <c r="K1275" s="2">
        <v>446105</v>
      </c>
      <c r="L1275" s="2">
        <v>1</v>
      </c>
      <c r="M1275" s="2" t="s">
        <v>1571</v>
      </c>
      <c r="N1275" s="2" t="s">
        <v>1571</v>
      </c>
      <c r="O1275" s="2" t="s">
        <v>118</v>
      </c>
      <c r="P1275" s="18" t="s">
        <v>1823</v>
      </c>
    </row>
    <row r="1276" spans="1:16" ht="22" customHeight="1" x14ac:dyDescent="0.15">
      <c r="A1276" s="10" t="str">
        <f t="shared" si="293"/>
        <v>435_10_21_10_polygon</v>
      </c>
      <c r="B1276" s="2">
        <v>435</v>
      </c>
      <c r="C1276" s="30" t="str">
        <f>VLOOKUP(B1276,gachas!A:C,3)</f>
        <v>スペシャルハロウィンガチャ</v>
      </c>
      <c r="D1276" s="21">
        <v>10</v>
      </c>
      <c r="E1276" s="2">
        <f>E1275+1</f>
        <v>21</v>
      </c>
      <c r="F1276" s="2">
        <v>10</v>
      </c>
      <c r="G1276" s="3" t="s">
        <v>1566</v>
      </c>
      <c r="H1276" s="2">
        <v>50</v>
      </c>
      <c r="I1276" s="117">
        <v>446100</v>
      </c>
      <c r="J1276" s="112" t="s">
        <v>1571</v>
      </c>
      <c r="K1276" s="2">
        <v>446100</v>
      </c>
      <c r="L1276" s="2">
        <v>1</v>
      </c>
      <c r="M1276" s="2" t="s">
        <v>1571</v>
      </c>
      <c r="N1276" s="2" t="s">
        <v>1571</v>
      </c>
      <c r="O1276" s="2" t="s">
        <v>118</v>
      </c>
      <c r="P1276" s="18" t="s">
        <v>1822</v>
      </c>
    </row>
    <row r="1277" spans="1:16" ht="22" customHeight="1" x14ac:dyDescent="0.15">
      <c r="A1277" s="10" t="str">
        <f t="shared" si="293"/>
        <v>435_10_22_10_polygon</v>
      </c>
      <c r="B1277" s="2">
        <v>435</v>
      </c>
      <c r="C1277" s="30" t="str">
        <f>VLOOKUP(B1277,gachas!A:C,3)</f>
        <v>スペシャルハロウィンガチャ</v>
      </c>
      <c r="D1277" s="21">
        <v>10</v>
      </c>
      <c r="E1277" s="2">
        <f t="shared" ref="E1277:E1280" si="297">E1276+1</f>
        <v>22</v>
      </c>
      <c r="F1277" s="2">
        <v>10</v>
      </c>
      <c r="G1277" s="3" t="s">
        <v>1566</v>
      </c>
      <c r="H1277" s="2">
        <v>50</v>
      </c>
      <c r="I1277" s="117">
        <v>446100</v>
      </c>
      <c r="J1277" s="112" t="s">
        <v>1571</v>
      </c>
      <c r="K1277" s="2">
        <v>446100</v>
      </c>
      <c r="L1277" s="2">
        <v>1</v>
      </c>
      <c r="M1277" s="2" t="s">
        <v>1571</v>
      </c>
      <c r="N1277" s="2" t="s">
        <v>1571</v>
      </c>
      <c r="O1277" s="2" t="s">
        <v>118</v>
      </c>
      <c r="P1277" s="18" t="s">
        <v>1822</v>
      </c>
    </row>
    <row r="1278" spans="1:16" ht="22" customHeight="1" x14ac:dyDescent="0.15">
      <c r="A1278" s="10" t="str">
        <f t="shared" si="293"/>
        <v>435_10_23_10_polygon</v>
      </c>
      <c r="B1278" s="2">
        <v>435</v>
      </c>
      <c r="C1278" s="30" t="str">
        <f>VLOOKUP(B1278,gachas!A:C,3)</f>
        <v>スペシャルハロウィンガチャ</v>
      </c>
      <c r="D1278" s="21">
        <v>10</v>
      </c>
      <c r="E1278" s="2">
        <f t="shared" si="297"/>
        <v>23</v>
      </c>
      <c r="F1278" s="2">
        <v>10</v>
      </c>
      <c r="G1278" s="3" t="s">
        <v>1566</v>
      </c>
      <c r="H1278" s="2">
        <v>50</v>
      </c>
      <c r="I1278" s="117">
        <v>446100</v>
      </c>
      <c r="J1278" s="112" t="s">
        <v>1571</v>
      </c>
      <c r="K1278" s="2">
        <v>446100</v>
      </c>
      <c r="L1278" s="2">
        <v>1</v>
      </c>
      <c r="M1278" s="2" t="s">
        <v>1571</v>
      </c>
      <c r="N1278" s="2" t="s">
        <v>1571</v>
      </c>
      <c r="O1278" s="2" t="s">
        <v>118</v>
      </c>
      <c r="P1278" s="18" t="s">
        <v>1822</v>
      </c>
    </row>
    <row r="1279" spans="1:16" ht="22" customHeight="1" x14ac:dyDescent="0.15">
      <c r="A1279" s="10" t="str">
        <f t="shared" si="293"/>
        <v>435_10_24_10_polygon</v>
      </c>
      <c r="B1279" s="2">
        <v>435</v>
      </c>
      <c r="C1279" s="30" t="str">
        <f>VLOOKUP(B1279,gachas!A:C,3)</f>
        <v>スペシャルハロウィンガチャ</v>
      </c>
      <c r="D1279" s="21">
        <v>10</v>
      </c>
      <c r="E1279" s="2">
        <f t="shared" si="297"/>
        <v>24</v>
      </c>
      <c r="F1279" s="2">
        <v>10</v>
      </c>
      <c r="G1279" s="3" t="s">
        <v>1566</v>
      </c>
      <c r="H1279" s="2">
        <v>50</v>
      </c>
      <c r="I1279" s="117">
        <v>446100</v>
      </c>
      <c r="J1279" s="112" t="s">
        <v>1571</v>
      </c>
      <c r="K1279" s="2">
        <v>446100</v>
      </c>
      <c r="L1279" s="2">
        <v>1</v>
      </c>
      <c r="M1279" s="2" t="s">
        <v>1571</v>
      </c>
      <c r="N1279" s="2" t="s">
        <v>1571</v>
      </c>
      <c r="O1279" s="2" t="s">
        <v>118</v>
      </c>
      <c r="P1279" s="18" t="s">
        <v>1822</v>
      </c>
    </row>
    <row r="1280" spans="1:16" ht="22" customHeight="1" x14ac:dyDescent="0.15">
      <c r="A1280" s="10" t="str">
        <f t="shared" si="293"/>
        <v>435_10_25_10_polygon</v>
      </c>
      <c r="B1280" s="2">
        <v>435</v>
      </c>
      <c r="C1280" s="30" t="str">
        <f>VLOOKUP(B1280,gachas!A:C,3)</f>
        <v>スペシャルハロウィンガチャ</v>
      </c>
      <c r="D1280" s="21">
        <v>10</v>
      </c>
      <c r="E1280" s="2">
        <f t="shared" si="297"/>
        <v>25</v>
      </c>
      <c r="F1280" s="2">
        <v>10</v>
      </c>
      <c r="G1280" s="3" t="s">
        <v>1566</v>
      </c>
      <c r="H1280" s="2">
        <v>50</v>
      </c>
      <c r="I1280" s="117">
        <v>446100</v>
      </c>
      <c r="J1280" s="112" t="s">
        <v>1571</v>
      </c>
      <c r="K1280" s="2">
        <v>446105</v>
      </c>
      <c r="L1280" s="2">
        <v>1</v>
      </c>
      <c r="M1280" s="2" t="s">
        <v>1571</v>
      </c>
      <c r="N1280" s="2" t="s">
        <v>1571</v>
      </c>
      <c r="O1280" s="2" t="s">
        <v>118</v>
      </c>
      <c r="P1280" s="18" t="s">
        <v>1823</v>
      </c>
    </row>
    <row r="1281" spans="1:16" ht="22" customHeight="1" x14ac:dyDescent="0.15">
      <c r="A1281" s="10" t="str">
        <f t="shared" si="293"/>
        <v>435_10_26_10_polygon</v>
      </c>
      <c r="B1281" s="2">
        <v>435</v>
      </c>
      <c r="C1281" s="30" t="str">
        <f>VLOOKUP(B1281,gachas!A:C,3)</f>
        <v>スペシャルハロウィンガチャ</v>
      </c>
      <c r="D1281" s="21">
        <v>10</v>
      </c>
      <c r="E1281" s="2">
        <f>E1280+1</f>
        <v>26</v>
      </c>
      <c r="F1281" s="2">
        <v>10</v>
      </c>
      <c r="G1281" s="3" t="s">
        <v>1566</v>
      </c>
      <c r="H1281" s="2">
        <v>50</v>
      </c>
      <c r="I1281" s="117">
        <v>446100</v>
      </c>
      <c r="J1281" s="112" t="s">
        <v>1571</v>
      </c>
      <c r="K1281" s="2">
        <v>446100</v>
      </c>
      <c r="L1281" s="2">
        <v>1</v>
      </c>
      <c r="M1281" s="2" t="s">
        <v>1571</v>
      </c>
      <c r="N1281" s="2" t="s">
        <v>1571</v>
      </c>
      <c r="O1281" s="2" t="s">
        <v>118</v>
      </c>
      <c r="P1281" s="18" t="s">
        <v>1822</v>
      </c>
    </row>
    <row r="1282" spans="1:16" ht="22" customHeight="1" x14ac:dyDescent="0.15">
      <c r="A1282" s="10" t="str">
        <f t="shared" si="293"/>
        <v>435_10_27_10_polygon</v>
      </c>
      <c r="B1282" s="2">
        <v>435</v>
      </c>
      <c r="C1282" s="30" t="str">
        <f>VLOOKUP(B1282,gachas!A:C,3)</f>
        <v>スペシャルハロウィンガチャ</v>
      </c>
      <c r="D1282" s="21">
        <v>10</v>
      </c>
      <c r="E1282" s="2">
        <f t="shared" ref="E1282:E1285" si="298">E1281+1</f>
        <v>27</v>
      </c>
      <c r="F1282" s="2">
        <v>10</v>
      </c>
      <c r="G1282" s="3" t="s">
        <v>1566</v>
      </c>
      <c r="H1282" s="2">
        <v>50</v>
      </c>
      <c r="I1282" s="117">
        <v>446100</v>
      </c>
      <c r="J1282" s="112" t="s">
        <v>1571</v>
      </c>
      <c r="K1282" s="2">
        <v>446100</v>
      </c>
      <c r="L1282" s="2">
        <v>1</v>
      </c>
      <c r="M1282" s="2" t="s">
        <v>1571</v>
      </c>
      <c r="N1282" s="2" t="s">
        <v>1571</v>
      </c>
      <c r="O1282" s="2" t="s">
        <v>118</v>
      </c>
      <c r="P1282" s="18" t="s">
        <v>1822</v>
      </c>
    </row>
    <row r="1283" spans="1:16" ht="22" customHeight="1" x14ac:dyDescent="0.15">
      <c r="A1283" s="10" t="str">
        <f t="shared" si="293"/>
        <v>435_10_28_10_polygon</v>
      </c>
      <c r="B1283" s="2">
        <v>435</v>
      </c>
      <c r="C1283" s="30" t="str">
        <f>VLOOKUP(B1283,gachas!A:C,3)</f>
        <v>スペシャルハロウィンガチャ</v>
      </c>
      <c r="D1283" s="21">
        <v>10</v>
      </c>
      <c r="E1283" s="2">
        <f t="shared" si="298"/>
        <v>28</v>
      </c>
      <c r="F1283" s="2">
        <v>10</v>
      </c>
      <c r="G1283" s="3" t="s">
        <v>1566</v>
      </c>
      <c r="H1283" s="2">
        <v>50</v>
      </c>
      <c r="I1283" s="117">
        <v>446100</v>
      </c>
      <c r="J1283" s="112" t="s">
        <v>1571</v>
      </c>
      <c r="K1283" s="2">
        <v>446100</v>
      </c>
      <c r="L1283" s="2">
        <v>1</v>
      </c>
      <c r="M1283" s="2" t="s">
        <v>1571</v>
      </c>
      <c r="N1283" s="2" t="s">
        <v>1571</v>
      </c>
      <c r="O1283" s="2" t="s">
        <v>118</v>
      </c>
      <c r="P1283" s="18" t="s">
        <v>1822</v>
      </c>
    </row>
    <row r="1284" spans="1:16" ht="22" customHeight="1" x14ac:dyDescent="0.15">
      <c r="A1284" s="10" t="str">
        <f t="shared" si="293"/>
        <v>435_10_29_10_polygon</v>
      </c>
      <c r="B1284" s="2">
        <v>435</v>
      </c>
      <c r="C1284" s="30" t="str">
        <f>VLOOKUP(B1284,gachas!A:C,3)</f>
        <v>スペシャルハロウィンガチャ</v>
      </c>
      <c r="D1284" s="21">
        <v>10</v>
      </c>
      <c r="E1284" s="2">
        <f t="shared" si="298"/>
        <v>29</v>
      </c>
      <c r="F1284" s="2">
        <v>10</v>
      </c>
      <c r="G1284" s="3" t="s">
        <v>1566</v>
      </c>
      <c r="H1284" s="2">
        <v>50</v>
      </c>
      <c r="I1284" s="117">
        <v>446100</v>
      </c>
      <c r="J1284" s="112" t="s">
        <v>1571</v>
      </c>
      <c r="K1284" s="2">
        <v>446100</v>
      </c>
      <c r="L1284" s="2">
        <v>1</v>
      </c>
      <c r="M1284" s="2" t="s">
        <v>1571</v>
      </c>
      <c r="N1284" s="2" t="s">
        <v>1571</v>
      </c>
      <c r="O1284" s="2" t="s">
        <v>118</v>
      </c>
      <c r="P1284" s="18" t="s">
        <v>1822</v>
      </c>
    </row>
    <row r="1285" spans="1:16" ht="22" customHeight="1" x14ac:dyDescent="0.15">
      <c r="A1285" s="10" t="str">
        <f t="shared" si="293"/>
        <v>435_10_30_10_polygon</v>
      </c>
      <c r="B1285" s="2">
        <v>435</v>
      </c>
      <c r="C1285" s="30" t="str">
        <f>VLOOKUP(B1285,gachas!A:C,3)</f>
        <v>スペシャルハロウィンガチャ</v>
      </c>
      <c r="D1285" s="21">
        <v>10</v>
      </c>
      <c r="E1285" s="2">
        <f t="shared" si="298"/>
        <v>30</v>
      </c>
      <c r="F1285" s="2">
        <v>10</v>
      </c>
      <c r="G1285" s="3" t="s">
        <v>1566</v>
      </c>
      <c r="H1285" s="2">
        <v>50</v>
      </c>
      <c r="I1285" s="117">
        <v>446100</v>
      </c>
      <c r="J1285" s="112" t="s">
        <v>1571</v>
      </c>
      <c r="K1285" s="2">
        <v>446105</v>
      </c>
      <c r="L1285" s="2">
        <v>1</v>
      </c>
      <c r="M1285" s="2" t="s">
        <v>1571</v>
      </c>
      <c r="N1285" s="2" t="s">
        <v>1571</v>
      </c>
      <c r="O1285" s="2" t="s">
        <v>118</v>
      </c>
      <c r="P1285" s="18" t="s">
        <v>1823</v>
      </c>
    </row>
    <row r="1286" spans="1:16" ht="22" customHeight="1" x14ac:dyDescent="0.15">
      <c r="A1286" s="10" t="str">
        <f t="shared" si="293"/>
        <v>435_10_31_10_polygon</v>
      </c>
      <c r="B1286" s="2">
        <v>435</v>
      </c>
      <c r="C1286" s="30" t="str">
        <f>VLOOKUP(B1286,gachas!A:C,3)</f>
        <v>スペシャルハロウィンガチャ</v>
      </c>
      <c r="D1286" s="21">
        <v>10</v>
      </c>
      <c r="E1286" s="2">
        <f>E1285+1</f>
        <v>31</v>
      </c>
      <c r="F1286" s="2">
        <v>10</v>
      </c>
      <c r="G1286" s="3" t="s">
        <v>1566</v>
      </c>
      <c r="H1286" s="2">
        <v>50</v>
      </c>
      <c r="I1286" s="117">
        <v>446100</v>
      </c>
      <c r="J1286" s="112" t="s">
        <v>1571</v>
      </c>
      <c r="K1286" s="2">
        <v>446100</v>
      </c>
      <c r="L1286" s="2">
        <v>1</v>
      </c>
      <c r="M1286" s="2" t="s">
        <v>1571</v>
      </c>
      <c r="N1286" s="2" t="s">
        <v>1571</v>
      </c>
      <c r="O1286" s="2" t="s">
        <v>118</v>
      </c>
      <c r="P1286" s="18" t="s">
        <v>1822</v>
      </c>
    </row>
    <row r="1287" spans="1:16" ht="22" customHeight="1" x14ac:dyDescent="0.15">
      <c r="A1287" s="10" t="str">
        <f t="shared" si="293"/>
        <v>435_10_32_10_polygon</v>
      </c>
      <c r="B1287" s="2">
        <v>435</v>
      </c>
      <c r="C1287" s="30" t="str">
        <f>VLOOKUP(B1287,gachas!A:C,3)</f>
        <v>スペシャルハロウィンガチャ</v>
      </c>
      <c r="D1287" s="21">
        <v>10</v>
      </c>
      <c r="E1287" s="2">
        <f t="shared" ref="E1287:E1290" si="299">E1286+1</f>
        <v>32</v>
      </c>
      <c r="F1287" s="2">
        <v>10</v>
      </c>
      <c r="G1287" s="3" t="s">
        <v>1566</v>
      </c>
      <c r="H1287" s="2">
        <v>50</v>
      </c>
      <c r="I1287" s="117">
        <v>446100</v>
      </c>
      <c r="J1287" s="112" t="s">
        <v>1571</v>
      </c>
      <c r="K1287" s="2">
        <v>446100</v>
      </c>
      <c r="L1287" s="2">
        <v>1</v>
      </c>
      <c r="M1287" s="2" t="s">
        <v>1571</v>
      </c>
      <c r="N1287" s="2" t="s">
        <v>1571</v>
      </c>
      <c r="O1287" s="2" t="s">
        <v>118</v>
      </c>
      <c r="P1287" s="18" t="s">
        <v>1822</v>
      </c>
    </row>
    <row r="1288" spans="1:16" ht="22" customHeight="1" x14ac:dyDescent="0.15">
      <c r="A1288" s="10" t="str">
        <f t="shared" si="293"/>
        <v>435_10_33_10_polygon</v>
      </c>
      <c r="B1288" s="2">
        <v>435</v>
      </c>
      <c r="C1288" s="30" t="str">
        <f>VLOOKUP(B1288,gachas!A:C,3)</f>
        <v>スペシャルハロウィンガチャ</v>
      </c>
      <c r="D1288" s="21">
        <v>10</v>
      </c>
      <c r="E1288" s="2">
        <f t="shared" si="299"/>
        <v>33</v>
      </c>
      <c r="F1288" s="2">
        <v>10</v>
      </c>
      <c r="G1288" s="3" t="s">
        <v>1566</v>
      </c>
      <c r="H1288" s="2">
        <v>50</v>
      </c>
      <c r="I1288" s="117">
        <v>446100</v>
      </c>
      <c r="J1288" s="112" t="s">
        <v>1571</v>
      </c>
      <c r="K1288" s="2">
        <v>446100</v>
      </c>
      <c r="L1288" s="2">
        <v>1</v>
      </c>
      <c r="M1288" s="2" t="s">
        <v>1571</v>
      </c>
      <c r="N1288" s="2" t="s">
        <v>1571</v>
      </c>
      <c r="O1288" s="2" t="s">
        <v>118</v>
      </c>
      <c r="P1288" s="18" t="s">
        <v>1822</v>
      </c>
    </row>
    <row r="1289" spans="1:16" ht="22" customHeight="1" x14ac:dyDescent="0.15">
      <c r="A1289" s="10" t="str">
        <f t="shared" si="293"/>
        <v>435_10_34_10_polygon</v>
      </c>
      <c r="B1289" s="2">
        <v>435</v>
      </c>
      <c r="C1289" s="30" t="str">
        <f>VLOOKUP(B1289,gachas!A:C,3)</f>
        <v>スペシャルハロウィンガチャ</v>
      </c>
      <c r="D1289" s="21">
        <v>10</v>
      </c>
      <c r="E1289" s="2">
        <f t="shared" si="299"/>
        <v>34</v>
      </c>
      <c r="F1289" s="2">
        <v>10</v>
      </c>
      <c r="G1289" s="3" t="s">
        <v>1566</v>
      </c>
      <c r="H1289" s="2">
        <v>50</v>
      </c>
      <c r="I1289" s="117">
        <v>446100</v>
      </c>
      <c r="J1289" s="112" t="s">
        <v>1571</v>
      </c>
      <c r="K1289" s="2">
        <v>446100</v>
      </c>
      <c r="L1289" s="2">
        <v>1</v>
      </c>
      <c r="M1289" s="2" t="s">
        <v>1571</v>
      </c>
      <c r="N1289" s="2" t="s">
        <v>1571</v>
      </c>
      <c r="O1289" s="2" t="s">
        <v>118</v>
      </c>
      <c r="P1289" s="18" t="s">
        <v>1822</v>
      </c>
    </row>
    <row r="1290" spans="1:16" ht="22" customHeight="1" x14ac:dyDescent="0.15">
      <c r="A1290" s="10" t="str">
        <f t="shared" si="293"/>
        <v>435_10_35_10_polygon</v>
      </c>
      <c r="B1290" s="2">
        <v>435</v>
      </c>
      <c r="C1290" s="30" t="str">
        <f>VLOOKUP(B1290,gachas!A:C,3)</f>
        <v>スペシャルハロウィンガチャ</v>
      </c>
      <c r="D1290" s="21">
        <v>10</v>
      </c>
      <c r="E1290" s="2">
        <f t="shared" si="299"/>
        <v>35</v>
      </c>
      <c r="F1290" s="2">
        <v>10</v>
      </c>
      <c r="G1290" s="3" t="s">
        <v>1566</v>
      </c>
      <c r="H1290" s="2">
        <v>50</v>
      </c>
      <c r="I1290" s="117">
        <v>446100</v>
      </c>
      <c r="J1290" s="112" t="s">
        <v>1571</v>
      </c>
      <c r="K1290" s="2">
        <v>446105</v>
      </c>
      <c r="L1290" s="2">
        <v>1</v>
      </c>
      <c r="M1290" s="2" t="s">
        <v>1571</v>
      </c>
      <c r="N1290" s="2" t="s">
        <v>1571</v>
      </c>
      <c r="O1290" s="2" t="s">
        <v>118</v>
      </c>
      <c r="P1290" s="18" t="s">
        <v>1823</v>
      </c>
    </row>
    <row r="1291" spans="1:16" ht="22" customHeight="1" x14ac:dyDescent="0.15">
      <c r="A1291" s="10" t="str">
        <f t="shared" si="293"/>
        <v>435_10_36_10_polygon</v>
      </c>
      <c r="B1291" s="2">
        <v>435</v>
      </c>
      <c r="C1291" s="30" t="str">
        <f>VLOOKUP(B1291,gachas!A:C,3)</f>
        <v>スペシャルハロウィンガチャ</v>
      </c>
      <c r="D1291" s="21">
        <v>10</v>
      </c>
      <c r="E1291" s="2">
        <f>E1290+1</f>
        <v>36</v>
      </c>
      <c r="F1291" s="2">
        <v>10</v>
      </c>
      <c r="G1291" s="3" t="s">
        <v>1566</v>
      </c>
      <c r="H1291" s="2">
        <v>50</v>
      </c>
      <c r="I1291" s="117">
        <v>446100</v>
      </c>
      <c r="J1291" s="112" t="s">
        <v>1571</v>
      </c>
      <c r="K1291" s="2">
        <v>446100</v>
      </c>
      <c r="L1291" s="2">
        <v>1</v>
      </c>
      <c r="M1291" s="2" t="s">
        <v>1571</v>
      </c>
      <c r="N1291" s="2" t="s">
        <v>1571</v>
      </c>
      <c r="O1291" s="2" t="s">
        <v>118</v>
      </c>
      <c r="P1291" s="18" t="s">
        <v>1822</v>
      </c>
    </row>
    <row r="1292" spans="1:16" ht="22" customHeight="1" x14ac:dyDescent="0.15">
      <c r="A1292" s="10" t="str">
        <f t="shared" si="293"/>
        <v>435_10_37_10_polygon</v>
      </c>
      <c r="B1292" s="2">
        <v>435</v>
      </c>
      <c r="C1292" s="30" t="str">
        <f>VLOOKUP(B1292,gachas!A:C,3)</f>
        <v>スペシャルハロウィンガチャ</v>
      </c>
      <c r="D1292" s="21">
        <v>10</v>
      </c>
      <c r="E1292" s="2">
        <f t="shared" ref="E1292:E1295" si="300">E1291+1</f>
        <v>37</v>
      </c>
      <c r="F1292" s="2">
        <v>10</v>
      </c>
      <c r="G1292" s="3" t="s">
        <v>1566</v>
      </c>
      <c r="H1292" s="2">
        <v>50</v>
      </c>
      <c r="I1292" s="117">
        <v>446100</v>
      </c>
      <c r="J1292" s="112" t="s">
        <v>1571</v>
      </c>
      <c r="K1292" s="2">
        <v>446100</v>
      </c>
      <c r="L1292" s="2">
        <v>1</v>
      </c>
      <c r="M1292" s="2" t="s">
        <v>1571</v>
      </c>
      <c r="N1292" s="2" t="s">
        <v>1571</v>
      </c>
      <c r="O1292" s="2" t="s">
        <v>118</v>
      </c>
      <c r="P1292" s="18" t="s">
        <v>1822</v>
      </c>
    </row>
    <row r="1293" spans="1:16" ht="22" customHeight="1" x14ac:dyDescent="0.15">
      <c r="A1293" s="10" t="str">
        <f t="shared" si="293"/>
        <v>435_10_38_10_polygon</v>
      </c>
      <c r="B1293" s="2">
        <v>435</v>
      </c>
      <c r="C1293" s="30" t="str">
        <f>VLOOKUP(B1293,gachas!A:C,3)</f>
        <v>スペシャルハロウィンガチャ</v>
      </c>
      <c r="D1293" s="21">
        <v>10</v>
      </c>
      <c r="E1293" s="2">
        <f t="shared" si="300"/>
        <v>38</v>
      </c>
      <c r="F1293" s="2">
        <v>10</v>
      </c>
      <c r="G1293" s="3" t="s">
        <v>1566</v>
      </c>
      <c r="H1293" s="2">
        <v>50</v>
      </c>
      <c r="I1293" s="117">
        <v>446100</v>
      </c>
      <c r="J1293" s="112" t="s">
        <v>1571</v>
      </c>
      <c r="K1293" s="2">
        <v>446100</v>
      </c>
      <c r="L1293" s="2">
        <v>1</v>
      </c>
      <c r="M1293" s="2" t="s">
        <v>1571</v>
      </c>
      <c r="N1293" s="2" t="s">
        <v>1571</v>
      </c>
      <c r="O1293" s="2" t="s">
        <v>118</v>
      </c>
      <c r="P1293" s="18" t="s">
        <v>1822</v>
      </c>
    </row>
    <row r="1294" spans="1:16" ht="22" customHeight="1" x14ac:dyDescent="0.15">
      <c r="A1294" s="10" t="str">
        <f t="shared" si="293"/>
        <v>435_10_39_10_polygon</v>
      </c>
      <c r="B1294" s="2">
        <v>435</v>
      </c>
      <c r="C1294" s="30" t="str">
        <f>VLOOKUP(B1294,gachas!A:C,3)</f>
        <v>スペシャルハロウィンガチャ</v>
      </c>
      <c r="D1294" s="21">
        <v>10</v>
      </c>
      <c r="E1294" s="2">
        <f t="shared" si="300"/>
        <v>39</v>
      </c>
      <c r="F1294" s="2">
        <v>10</v>
      </c>
      <c r="G1294" s="3" t="s">
        <v>1566</v>
      </c>
      <c r="H1294" s="2">
        <v>50</v>
      </c>
      <c r="I1294" s="117">
        <v>446100</v>
      </c>
      <c r="J1294" s="112" t="s">
        <v>1571</v>
      </c>
      <c r="K1294" s="2">
        <v>446100</v>
      </c>
      <c r="L1294" s="2">
        <v>1</v>
      </c>
      <c r="M1294" s="2" t="s">
        <v>1571</v>
      </c>
      <c r="N1294" s="2" t="s">
        <v>1571</v>
      </c>
      <c r="O1294" s="2" t="s">
        <v>118</v>
      </c>
      <c r="P1294" s="18" t="s">
        <v>1822</v>
      </c>
    </row>
    <row r="1295" spans="1:16" ht="22" customHeight="1" x14ac:dyDescent="0.15">
      <c r="A1295" s="10" t="str">
        <f t="shared" si="293"/>
        <v>435_10_40_10_polygon</v>
      </c>
      <c r="B1295" s="2">
        <v>435</v>
      </c>
      <c r="C1295" s="30" t="str">
        <f>VLOOKUP(B1295,gachas!A:C,3)</f>
        <v>スペシャルハロウィンガチャ</v>
      </c>
      <c r="D1295" s="21">
        <v>10</v>
      </c>
      <c r="E1295" s="2">
        <f t="shared" si="300"/>
        <v>40</v>
      </c>
      <c r="F1295" s="2">
        <v>10</v>
      </c>
      <c r="G1295" s="3" t="s">
        <v>1566</v>
      </c>
      <c r="H1295" s="2">
        <v>50</v>
      </c>
      <c r="I1295" s="117">
        <v>446100</v>
      </c>
      <c r="J1295" s="112" t="s">
        <v>1571</v>
      </c>
      <c r="K1295" s="2">
        <v>446105</v>
      </c>
      <c r="L1295" s="2">
        <v>1</v>
      </c>
      <c r="M1295" s="2" t="s">
        <v>1571</v>
      </c>
      <c r="N1295" s="2" t="s">
        <v>1571</v>
      </c>
      <c r="O1295" s="2" t="s">
        <v>118</v>
      </c>
      <c r="P1295" s="18" t="s">
        <v>1823</v>
      </c>
    </row>
    <row r="1296" spans="1:16" ht="22" customHeight="1" x14ac:dyDescent="0.15">
      <c r="A1296" s="10" t="str">
        <f t="shared" si="293"/>
        <v>435_10_41_10_polygon</v>
      </c>
      <c r="B1296" s="2">
        <v>435</v>
      </c>
      <c r="C1296" s="30" t="str">
        <f>VLOOKUP(B1296,gachas!A:C,3)</f>
        <v>スペシャルハロウィンガチャ</v>
      </c>
      <c r="D1296" s="21">
        <v>10</v>
      </c>
      <c r="E1296" s="2">
        <f>E1295+1</f>
        <v>41</v>
      </c>
      <c r="F1296" s="2">
        <v>10</v>
      </c>
      <c r="G1296" s="3" t="s">
        <v>1566</v>
      </c>
      <c r="H1296" s="2">
        <v>50</v>
      </c>
      <c r="I1296" s="117">
        <v>446100</v>
      </c>
      <c r="J1296" s="112" t="s">
        <v>1571</v>
      </c>
      <c r="K1296" s="2">
        <v>446100</v>
      </c>
      <c r="L1296" s="2">
        <v>1</v>
      </c>
      <c r="M1296" s="2" t="s">
        <v>1571</v>
      </c>
      <c r="N1296" s="2" t="s">
        <v>1571</v>
      </c>
      <c r="O1296" s="2" t="s">
        <v>118</v>
      </c>
      <c r="P1296" s="18" t="s">
        <v>1822</v>
      </c>
    </row>
    <row r="1297" spans="1:16" ht="22" customHeight="1" x14ac:dyDescent="0.15">
      <c r="A1297" s="10" t="str">
        <f t="shared" si="293"/>
        <v>435_10_42_10_polygon</v>
      </c>
      <c r="B1297" s="2">
        <v>435</v>
      </c>
      <c r="C1297" s="30" t="str">
        <f>VLOOKUP(B1297,gachas!A:C,3)</f>
        <v>スペシャルハロウィンガチャ</v>
      </c>
      <c r="D1297" s="21">
        <v>10</v>
      </c>
      <c r="E1297" s="2">
        <f t="shared" ref="E1297:E1300" si="301">E1296+1</f>
        <v>42</v>
      </c>
      <c r="F1297" s="2">
        <v>10</v>
      </c>
      <c r="G1297" s="3" t="s">
        <v>1566</v>
      </c>
      <c r="H1297" s="2">
        <v>50</v>
      </c>
      <c r="I1297" s="117">
        <v>446100</v>
      </c>
      <c r="J1297" s="112" t="s">
        <v>1571</v>
      </c>
      <c r="K1297" s="2">
        <v>446100</v>
      </c>
      <c r="L1297" s="2">
        <v>1</v>
      </c>
      <c r="M1297" s="2" t="s">
        <v>1571</v>
      </c>
      <c r="N1297" s="2" t="s">
        <v>1571</v>
      </c>
      <c r="O1297" s="2" t="s">
        <v>118</v>
      </c>
      <c r="P1297" s="18" t="s">
        <v>1822</v>
      </c>
    </row>
    <row r="1298" spans="1:16" ht="22" customHeight="1" x14ac:dyDescent="0.15">
      <c r="A1298" s="10" t="str">
        <f t="shared" si="293"/>
        <v>435_10_43_10_polygon</v>
      </c>
      <c r="B1298" s="2">
        <v>435</v>
      </c>
      <c r="C1298" s="30" t="str">
        <f>VLOOKUP(B1298,gachas!A:C,3)</f>
        <v>スペシャルハロウィンガチャ</v>
      </c>
      <c r="D1298" s="21">
        <v>10</v>
      </c>
      <c r="E1298" s="2">
        <f t="shared" si="301"/>
        <v>43</v>
      </c>
      <c r="F1298" s="2">
        <v>10</v>
      </c>
      <c r="G1298" s="3" t="s">
        <v>1566</v>
      </c>
      <c r="H1298" s="2">
        <v>50</v>
      </c>
      <c r="I1298" s="117">
        <v>446100</v>
      </c>
      <c r="J1298" s="112" t="s">
        <v>1571</v>
      </c>
      <c r="K1298" s="2">
        <v>446100</v>
      </c>
      <c r="L1298" s="2">
        <v>1</v>
      </c>
      <c r="M1298" s="2" t="s">
        <v>1571</v>
      </c>
      <c r="N1298" s="2" t="s">
        <v>1571</v>
      </c>
      <c r="O1298" s="2" t="s">
        <v>118</v>
      </c>
      <c r="P1298" s="18" t="s">
        <v>1822</v>
      </c>
    </row>
    <row r="1299" spans="1:16" ht="22" customHeight="1" x14ac:dyDescent="0.15">
      <c r="A1299" s="10" t="str">
        <f t="shared" si="293"/>
        <v>435_10_44_10_polygon</v>
      </c>
      <c r="B1299" s="2">
        <v>435</v>
      </c>
      <c r="C1299" s="30" t="str">
        <f>VLOOKUP(B1299,gachas!A:C,3)</f>
        <v>スペシャルハロウィンガチャ</v>
      </c>
      <c r="D1299" s="21">
        <v>10</v>
      </c>
      <c r="E1299" s="2">
        <f t="shared" si="301"/>
        <v>44</v>
      </c>
      <c r="F1299" s="2">
        <v>10</v>
      </c>
      <c r="G1299" s="3" t="s">
        <v>1566</v>
      </c>
      <c r="H1299" s="2">
        <v>50</v>
      </c>
      <c r="I1299" s="117">
        <v>446100</v>
      </c>
      <c r="J1299" s="112" t="s">
        <v>1571</v>
      </c>
      <c r="K1299" s="2">
        <v>446100</v>
      </c>
      <c r="L1299" s="2">
        <v>1</v>
      </c>
      <c r="M1299" s="2" t="s">
        <v>1571</v>
      </c>
      <c r="N1299" s="2" t="s">
        <v>1571</v>
      </c>
      <c r="O1299" s="2" t="s">
        <v>118</v>
      </c>
      <c r="P1299" s="18" t="s">
        <v>1822</v>
      </c>
    </row>
    <row r="1300" spans="1:16" ht="22" customHeight="1" x14ac:dyDescent="0.15">
      <c r="A1300" s="10" t="str">
        <f t="shared" si="293"/>
        <v>435_10_45_10_polygon</v>
      </c>
      <c r="B1300" s="2">
        <v>435</v>
      </c>
      <c r="C1300" s="30" t="str">
        <f>VLOOKUP(B1300,gachas!A:C,3)</f>
        <v>スペシャルハロウィンガチャ</v>
      </c>
      <c r="D1300" s="21">
        <v>10</v>
      </c>
      <c r="E1300" s="2">
        <f t="shared" si="301"/>
        <v>45</v>
      </c>
      <c r="F1300" s="2">
        <v>10</v>
      </c>
      <c r="G1300" s="3" t="s">
        <v>1566</v>
      </c>
      <c r="H1300" s="2">
        <v>50</v>
      </c>
      <c r="I1300" s="117">
        <v>446100</v>
      </c>
      <c r="J1300" s="112" t="s">
        <v>1571</v>
      </c>
      <c r="K1300" s="2">
        <v>446105</v>
      </c>
      <c r="L1300" s="2">
        <v>1</v>
      </c>
      <c r="M1300" s="2" t="s">
        <v>1571</v>
      </c>
      <c r="N1300" s="2" t="s">
        <v>1571</v>
      </c>
      <c r="O1300" s="2" t="s">
        <v>118</v>
      </c>
      <c r="P1300" s="18" t="s">
        <v>1823</v>
      </c>
    </row>
    <row r="1301" spans="1:16" ht="22" customHeight="1" x14ac:dyDescent="0.15">
      <c r="A1301" s="10" t="str">
        <f t="shared" si="293"/>
        <v>435_10_46_10_polygon</v>
      </c>
      <c r="B1301" s="2">
        <v>435</v>
      </c>
      <c r="C1301" s="30" t="str">
        <f>VLOOKUP(B1301,gachas!A:C,3)</f>
        <v>スペシャルハロウィンガチャ</v>
      </c>
      <c r="D1301" s="21">
        <v>10</v>
      </c>
      <c r="E1301" s="2">
        <f>E1300+1</f>
        <v>46</v>
      </c>
      <c r="F1301" s="2">
        <v>10</v>
      </c>
      <c r="G1301" s="3" t="s">
        <v>1566</v>
      </c>
      <c r="H1301" s="2">
        <v>50</v>
      </c>
      <c r="I1301" s="117">
        <v>446100</v>
      </c>
      <c r="J1301" s="112" t="s">
        <v>1571</v>
      </c>
      <c r="K1301" s="2">
        <v>446100</v>
      </c>
      <c r="L1301" s="2">
        <v>1</v>
      </c>
      <c r="M1301" s="2" t="s">
        <v>1571</v>
      </c>
      <c r="N1301" s="2" t="s">
        <v>1571</v>
      </c>
      <c r="O1301" s="2" t="s">
        <v>118</v>
      </c>
      <c r="P1301" s="18" t="s">
        <v>1822</v>
      </c>
    </row>
    <row r="1302" spans="1:16" ht="22" customHeight="1" x14ac:dyDescent="0.15">
      <c r="A1302" s="10" t="str">
        <f t="shared" si="293"/>
        <v>435_10_47_10_polygon</v>
      </c>
      <c r="B1302" s="2">
        <v>435</v>
      </c>
      <c r="C1302" s="30" t="str">
        <f>VLOOKUP(B1302,gachas!A:C,3)</f>
        <v>スペシャルハロウィンガチャ</v>
      </c>
      <c r="D1302" s="21">
        <v>10</v>
      </c>
      <c r="E1302" s="2">
        <f t="shared" ref="E1302:E1305" si="302">E1301+1</f>
        <v>47</v>
      </c>
      <c r="F1302" s="2">
        <v>10</v>
      </c>
      <c r="G1302" s="3" t="s">
        <v>1566</v>
      </c>
      <c r="H1302" s="2">
        <v>50</v>
      </c>
      <c r="I1302" s="117">
        <v>446100</v>
      </c>
      <c r="J1302" s="112" t="s">
        <v>1571</v>
      </c>
      <c r="K1302" s="2">
        <v>446100</v>
      </c>
      <c r="L1302" s="2">
        <v>1</v>
      </c>
      <c r="M1302" s="2" t="s">
        <v>1571</v>
      </c>
      <c r="N1302" s="2" t="s">
        <v>1571</v>
      </c>
      <c r="O1302" s="2" t="s">
        <v>118</v>
      </c>
      <c r="P1302" s="18" t="s">
        <v>1822</v>
      </c>
    </row>
    <row r="1303" spans="1:16" ht="22" customHeight="1" x14ac:dyDescent="0.15">
      <c r="A1303" s="10" t="str">
        <f t="shared" si="293"/>
        <v>435_10_48_10_polygon</v>
      </c>
      <c r="B1303" s="2">
        <v>435</v>
      </c>
      <c r="C1303" s="30" t="str">
        <f>VLOOKUP(B1303,gachas!A:C,3)</f>
        <v>スペシャルハロウィンガチャ</v>
      </c>
      <c r="D1303" s="21">
        <v>10</v>
      </c>
      <c r="E1303" s="2">
        <f t="shared" si="302"/>
        <v>48</v>
      </c>
      <c r="F1303" s="2">
        <v>10</v>
      </c>
      <c r="G1303" s="3" t="s">
        <v>1566</v>
      </c>
      <c r="H1303" s="2">
        <v>50</v>
      </c>
      <c r="I1303" s="117">
        <v>446100</v>
      </c>
      <c r="J1303" s="112" t="s">
        <v>1571</v>
      </c>
      <c r="K1303" s="2">
        <v>446100</v>
      </c>
      <c r="L1303" s="2">
        <v>1</v>
      </c>
      <c r="M1303" s="2" t="s">
        <v>1571</v>
      </c>
      <c r="N1303" s="2" t="s">
        <v>1571</v>
      </c>
      <c r="O1303" s="2" t="s">
        <v>118</v>
      </c>
      <c r="P1303" s="18" t="s">
        <v>1822</v>
      </c>
    </row>
    <row r="1304" spans="1:16" ht="22" customHeight="1" x14ac:dyDescent="0.15">
      <c r="A1304" s="10" t="str">
        <f t="shared" si="293"/>
        <v>435_10_49_10_polygon</v>
      </c>
      <c r="B1304" s="2">
        <v>435</v>
      </c>
      <c r="C1304" s="30" t="str">
        <f>VLOOKUP(B1304,gachas!A:C,3)</f>
        <v>スペシャルハロウィンガチャ</v>
      </c>
      <c r="D1304" s="21">
        <v>10</v>
      </c>
      <c r="E1304" s="2">
        <f t="shared" si="302"/>
        <v>49</v>
      </c>
      <c r="F1304" s="2">
        <v>10</v>
      </c>
      <c r="G1304" s="3" t="s">
        <v>1566</v>
      </c>
      <c r="H1304" s="2">
        <v>50</v>
      </c>
      <c r="I1304" s="117">
        <v>446100</v>
      </c>
      <c r="J1304" s="112" t="s">
        <v>1571</v>
      </c>
      <c r="K1304" s="2">
        <v>446100</v>
      </c>
      <c r="L1304" s="2">
        <v>1</v>
      </c>
      <c r="M1304" s="2" t="s">
        <v>1571</v>
      </c>
      <c r="N1304" s="2" t="s">
        <v>1571</v>
      </c>
      <c r="O1304" s="2" t="s">
        <v>118</v>
      </c>
      <c r="P1304" s="18" t="s">
        <v>1822</v>
      </c>
    </row>
    <row r="1305" spans="1:16" ht="22" customHeight="1" x14ac:dyDescent="0.15">
      <c r="A1305" s="10" t="str">
        <f t="shared" si="293"/>
        <v>435_10_50_10_polygon</v>
      </c>
      <c r="B1305" s="2">
        <v>435</v>
      </c>
      <c r="C1305" s="30" t="str">
        <f>VLOOKUP(B1305,gachas!A:C,3)</f>
        <v>スペシャルハロウィンガチャ</v>
      </c>
      <c r="D1305" s="21">
        <v>10</v>
      </c>
      <c r="E1305" s="2">
        <f t="shared" si="302"/>
        <v>50</v>
      </c>
      <c r="F1305" s="2">
        <v>10</v>
      </c>
      <c r="G1305" s="3" t="s">
        <v>1566</v>
      </c>
      <c r="H1305" s="2">
        <v>50</v>
      </c>
      <c r="I1305" s="117">
        <v>446100</v>
      </c>
      <c r="J1305" s="112" t="s">
        <v>1571</v>
      </c>
      <c r="K1305" s="2">
        <v>446105</v>
      </c>
      <c r="L1305" s="2">
        <v>1</v>
      </c>
      <c r="M1305" s="2" t="s">
        <v>1571</v>
      </c>
      <c r="N1305" s="2" t="s">
        <v>1571</v>
      </c>
      <c r="O1305" s="2" t="s">
        <v>118</v>
      </c>
      <c r="P1305" s="18" t="s">
        <v>1823</v>
      </c>
    </row>
    <row r="1306" spans="1:16" ht="22" customHeight="1" x14ac:dyDescent="0.15">
      <c r="A1306" s="10" t="str">
        <f t="shared" ref="A1306" si="303">B1306&amp;"_"&amp;D1306&amp;"_"&amp;E1306&amp;"_"&amp;F1306&amp;"_"&amp;G1306</f>
        <v>436_1_0_1_polygon</v>
      </c>
      <c r="B1306" s="2">
        <v>436</v>
      </c>
      <c r="C1306" s="30" t="str">
        <f>VLOOKUP(B1306,gachas!A:C,3)</f>
        <v>毎日1回無料ハロウィンガチャ</v>
      </c>
      <c r="D1306" s="21">
        <v>1</v>
      </c>
      <c r="E1306" s="2">
        <v>0</v>
      </c>
      <c r="F1306" s="2">
        <v>1</v>
      </c>
      <c r="G1306" s="3" t="s">
        <v>1566</v>
      </c>
      <c r="H1306" s="2">
        <v>0</v>
      </c>
      <c r="I1306" s="117">
        <v>435010</v>
      </c>
      <c r="J1306" s="112" t="s">
        <v>1571</v>
      </c>
      <c r="K1306" s="2" t="s">
        <v>1829</v>
      </c>
      <c r="L1306" s="2">
        <v>0</v>
      </c>
      <c r="M1306" s="2" t="s">
        <v>1571</v>
      </c>
      <c r="N1306" s="2" t="s">
        <v>1571</v>
      </c>
      <c r="O1306" s="2" t="s">
        <v>118</v>
      </c>
      <c r="P1306" s="18" t="s">
        <v>1834</v>
      </c>
    </row>
    <row r="1307" spans="1:16" ht="22" customHeight="1" x14ac:dyDescent="0.15">
      <c r="A1307" s="10" t="str">
        <f t="shared" ref="A1307" si="304">B1307&amp;"_"&amp;D1307&amp;"_"&amp;E1307&amp;"_"&amp;F1307&amp;"_"&amp;G1307</f>
        <v>437_1_0_1_polygon</v>
      </c>
      <c r="B1307" s="2">
        <v>437</v>
      </c>
      <c r="C1307" s="30" t="str">
        <f>VLOOKUP(B1307,gachas!A:C,3)</f>
        <v>タワーオブザクイーン攻略応援ガチャ</v>
      </c>
      <c r="D1307" s="21">
        <v>1</v>
      </c>
      <c r="E1307" s="2">
        <v>0</v>
      </c>
      <c r="F1307" s="2">
        <v>1</v>
      </c>
      <c r="G1307" s="3" t="s">
        <v>1566</v>
      </c>
      <c r="H1307" s="2">
        <v>5</v>
      </c>
      <c r="I1307" s="117">
        <v>437010</v>
      </c>
      <c r="J1307" s="112" t="s">
        <v>1571</v>
      </c>
      <c r="K1307" s="2" t="s">
        <v>392</v>
      </c>
      <c r="L1307" s="2">
        <v>0</v>
      </c>
      <c r="M1307" s="2" t="s">
        <v>1571</v>
      </c>
      <c r="N1307" s="2" t="s">
        <v>1571</v>
      </c>
      <c r="O1307" s="2" t="s">
        <v>118</v>
      </c>
      <c r="P1307" s="18" t="s">
        <v>1845</v>
      </c>
    </row>
    <row r="1308" spans="1:16" ht="22" customHeight="1" x14ac:dyDescent="0.15">
      <c r="A1308" s="10" t="str">
        <f t="shared" ref="A1308:A1309" si="305">B1308&amp;"_"&amp;D1308&amp;"_"&amp;E1308&amp;"_"&amp;F1308&amp;"_"&amp;G1308</f>
        <v>437_10_1_10_polygon</v>
      </c>
      <c r="B1308" s="2">
        <v>437</v>
      </c>
      <c r="C1308" s="30" t="str">
        <f>VLOOKUP(B1308,gachas!A:C,3)</f>
        <v>タワーオブザクイーン攻略応援ガチャ</v>
      </c>
      <c r="D1308" s="21">
        <v>10</v>
      </c>
      <c r="E1308" s="2">
        <v>1</v>
      </c>
      <c r="F1308" s="2">
        <v>10</v>
      </c>
      <c r="G1308" s="3" t="s">
        <v>1566</v>
      </c>
      <c r="H1308" s="2">
        <v>25</v>
      </c>
      <c r="I1308" s="117">
        <v>437100</v>
      </c>
      <c r="J1308" s="112" t="s">
        <v>1571</v>
      </c>
      <c r="K1308" s="2">
        <v>437100</v>
      </c>
      <c r="L1308" s="2">
        <v>1</v>
      </c>
      <c r="M1308" s="2" t="s">
        <v>1571</v>
      </c>
      <c r="N1308" s="2" t="s">
        <v>1571</v>
      </c>
      <c r="O1308" s="2" t="s">
        <v>118</v>
      </c>
      <c r="P1308" s="59" t="s">
        <v>548</v>
      </c>
    </row>
    <row r="1309" spans="1:16" ht="22" customHeight="1" x14ac:dyDescent="0.15">
      <c r="A1309" s="10" t="str">
        <f t="shared" si="305"/>
        <v>437_10_0_10_polygon</v>
      </c>
      <c r="B1309" s="2">
        <v>437</v>
      </c>
      <c r="C1309" s="30" t="str">
        <f>VLOOKUP(B1309,gachas!A:C,3)</f>
        <v>タワーオブザクイーン攻略応援ガチャ</v>
      </c>
      <c r="D1309" s="21">
        <v>10</v>
      </c>
      <c r="E1309" s="2">
        <v>0</v>
      </c>
      <c r="F1309" s="2">
        <v>10</v>
      </c>
      <c r="G1309" s="3" t="s">
        <v>1566</v>
      </c>
      <c r="H1309" s="2">
        <v>50</v>
      </c>
      <c r="I1309" s="117">
        <v>437100</v>
      </c>
      <c r="J1309" s="112" t="s">
        <v>1571</v>
      </c>
      <c r="K1309" s="2">
        <v>437100</v>
      </c>
      <c r="L1309" s="2">
        <v>1</v>
      </c>
      <c r="M1309" s="2" t="s">
        <v>1571</v>
      </c>
      <c r="N1309" s="2" t="s">
        <v>1571</v>
      </c>
      <c r="O1309" s="2" t="s">
        <v>118</v>
      </c>
      <c r="P1309" s="2" t="s">
        <v>1078</v>
      </c>
    </row>
    <row r="1310" spans="1:16" ht="22" customHeight="1" x14ac:dyDescent="0.15">
      <c r="A1310" s="10" t="str">
        <f t="shared" ref="A1310:A1313" si="306">B1310&amp;"_"&amp;D1310&amp;"_"&amp;E1310&amp;"_"&amp;F1310&amp;"_"&amp;G1310</f>
        <v>438_1_0_1_polygon</v>
      </c>
      <c r="B1310" s="2">
        <v>438</v>
      </c>
      <c r="C1310" s="30" t="str">
        <f>VLOOKUP(B1310,gachas!A:C,3)</f>
        <v>超フィーバーフィーバーフェスティバル＜ガロア、ディラック＞</v>
      </c>
      <c r="D1310" s="21">
        <v>1</v>
      </c>
      <c r="E1310" s="2">
        <v>0</v>
      </c>
      <c r="F1310" s="2">
        <v>1</v>
      </c>
      <c r="G1310" s="3" t="s">
        <v>1566</v>
      </c>
      <c r="H1310" s="2">
        <v>5</v>
      </c>
      <c r="I1310" s="117">
        <v>438010</v>
      </c>
      <c r="J1310" s="112" t="s">
        <v>1571</v>
      </c>
      <c r="K1310" s="2" t="s">
        <v>281</v>
      </c>
      <c r="L1310" s="2">
        <v>0</v>
      </c>
      <c r="M1310" s="2" t="s">
        <v>1571</v>
      </c>
      <c r="N1310" s="2" t="s">
        <v>1571</v>
      </c>
      <c r="O1310" s="2" t="s">
        <v>118</v>
      </c>
      <c r="P1310" s="2" t="s">
        <v>691</v>
      </c>
    </row>
    <row r="1311" spans="1:16" ht="22" customHeight="1" x14ac:dyDescent="0.15">
      <c r="A1311" s="10" t="str">
        <f t="shared" si="306"/>
        <v>438_10_0_10_polygon</v>
      </c>
      <c r="B1311" s="2">
        <v>438</v>
      </c>
      <c r="C1311" s="30" t="str">
        <f>VLOOKUP(B1311,gachas!A:C,3)</f>
        <v>超フィーバーフィーバーフェスティバル＜ガロア、ディラック＞</v>
      </c>
      <c r="D1311" s="21">
        <v>10</v>
      </c>
      <c r="E1311" s="2">
        <v>0</v>
      </c>
      <c r="F1311" s="2">
        <v>10</v>
      </c>
      <c r="G1311" s="3" t="s">
        <v>1566</v>
      </c>
      <c r="H1311" s="2">
        <v>50</v>
      </c>
      <c r="I1311" s="117">
        <v>438100</v>
      </c>
      <c r="J1311" s="112" t="s">
        <v>1571</v>
      </c>
      <c r="K1311" s="2">
        <v>438100</v>
      </c>
      <c r="L1311" s="2">
        <v>1</v>
      </c>
      <c r="M1311" s="2" t="s">
        <v>1571</v>
      </c>
      <c r="N1311" s="2" t="s">
        <v>1571</v>
      </c>
      <c r="O1311" s="2" t="s">
        <v>118</v>
      </c>
      <c r="P1311" s="2" t="s">
        <v>1078</v>
      </c>
    </row>
    <row r="1312" spans="1:16" ht="22" customHeight="1" x14ac:dyDescent="0.15">
      <c r="A1312" s="10" t="str">
        <f t="shared" si="306"/>
        <v>439_1_0_1_polygon</v>
      </c>
      <c r="B1312" s="2">
        <v>439</v>
      </c>
      <c r="C1312" s="30" t="str">
        <f>VLOOKUP(B1312,gachas!A:C,3)</f>
        <v>超フィーバーフィーバーフェスティバル＜ガロア、クロネッカー＞</v>
      </c>
      <c r="D1312" s="21">
        <v>1</v>
      </c>
      <c r="E1312" s="2">
        <v>0</v>
      </c>
      <c r="F1312" s="2">
        <v>1</v>
      </c>
      <c r="G1312" s="3" t="s">
        <v>1566</v>
      </c>
      <c r="H1312" s="2">
        <v>5</v>
      </c>
      <c r="I1312" s="117">
        <v>439010</v>
      </c>
      <c r="J1312" s="112" t="s">
        <v>1571</v>
      </c>
      <c r="K1312" s="2" t="s">
        <v>281</v>
      </c>
      <c r="L1312" s="2">
        <v>0</v>
      </c>
      <c r="M1312" s="2" t="s">
        <v>1571</v>
      </c>
      <c r="N1312" s="2" t="s">
        <v>1571</v>
      </c>
      <c r="O1312" s="2" t="s">
        <v>118</v>
      </c>
      <c r="P1312" s="2" t="s">
        <v>691</v>
      </c>
    </row>
    <row r="1313" spans="1:16" ht="22" customHeight="1" x14ac:dyDescent="0.15">
      <c r="A1313" s="10" t="str">
        <f t="shared" si="306"/>
        <v>439_10_0_10_polygon</v>
      </c>
      <c r="B1313" s="2">
        <v>439</v>
      </c>
      <c r="C1313" s="30" t="str">
        <f>VLOOKUP(B1313,gachas!A:C,3)</f>
        <v>超フィーバーフィーバーフェスティバル＜ガロア、クロネッカー＞</v>
      </c>
      <c r="D1313" s="21">
        <v>10</v>
      </c>
      <c r="E1313" s="2">
        <v>0</v>
      </c>
      <c r="F1313" s="2">
        <v>10</v>
      </c>
      <c r="G1313" s="3" t="s">
        <v>1566</v>
      </c>
      <c r="H1313" s="2">
        <v>50</v>
      </c>
      <c r="I1313" s="117">
        <v>439100</v>
      </c>
      <c r="J1313" s="112" t="s">
        <v>1571</v>
      </c>
      <c r="K1313" s="2">
        <v>439100</v>
      </c>
      <c r="L1313" s="2">
        <v>1</v>
      </c>
      <c r="M1313" s="2" t="s">
        <v>1571</v>
      </c>
      <c r="N1313" s="2" t="s">
        <v>1571</v>
      </c>
      <c r="O1313" s="2" t="s">
        <v>118</v>
      </c>
      <c r="P1313" s="2" t="s">
        <v>1078</v>
      </c>
    </row>
    <row r="1314" spans="1:16" ht="22" customHeight="1" x14ac:dyDescent="0.15">
      <c r="A1314" s="10" t="str">
        <f t="shared" ref="A1314:A1315" si="307">B1314&amp;"_"&amp;D1314&amp;"_"&amp;E1314&amp;"_"&amp;F1314&amp;"_"&amp;G1314</f>
        <v>440_1_0_1_polygon</v>
      </c>
      <c r="B1314" s="2">
        <v>440</v>
      </c>
      <c r="C1314" s="30" t="str">
        <f>VLOOKUP(B1314,gachas!A:C,3)</f>
        <v>超フィーバーフィーバーフェスティバル＜ガロア、セキ＞</v>
      </c>
      <c r="D1314" s="21">
        <v>1</v>
      </c>
      <c r="E1314" s="2">
        <v>0</v>
      </c>
      <c r="F1314" s="2">
        <v>1</v>
      </c>
      <c r="G1314" s="3" t="s">
        <v>1566</v>
      </c>
      <c r="H1314" s="2">
        <v>5</v>
      </c>
      <c r="I1314" s="117">
        <v>440010</v>
      </c>
      <c r="J1314" s="112" t="s">
        <v>1571</v>
      </c>
      <c r="K1314" s="2" t="s">
        <v>281</v>
      </c>
      <c r="L1314" s="2">
        <v>0</v>
      </c>
      <c r="M1314" s="2" t="s">
        <v>1571</v>
      </c>
      <c r="N1314" s="2" t="s">
        <v>1571</v>
      </c>
      <c r="O1314" s="2" t="s">
        <v>118</v>
      </c>
      <c r="P1314" s="2" t="s">
        <v>691</v>
      </c>
    </row>
    <row r="1315" spans="1:16" ht="22" customHeight="1" x14ac:dyDescent="0.15">
      <c r="A1315" s="10" t="str">
        <f t="shared" si="307"/>
        <v>440_10_0_10_polygon</v>
      </c>
      <c r="B1315" s="2">
        <v>440</v>
      </c>
      <c r="C1315" s="30" t="str">
        <f>VLOOKUP(B1315,gachas!A:C,3)</f>
        <v>超フィーバーフィーバーフェスティバル＜ガロア、セキ＞</v>
      </c>
      <c r="D1315" s="21">
        <v>10</v>
      </c>
      <c r="E1315" s="2">
        <v>0</v>
      </c>
      <c r="F1315" s="2">
        <v>10</v>
      </c>
      <c r="G1315" s="3" t="s">
        <v>1566</v>
      </c>
      <c r="H1315" s="2">
        <v>50</v>
      </c>
      <c r="I1315" s="117">
        <v>440100</v>
      </c>
      <c r="J1315" s="112" t="s">
        <v>1571</v>
      </c>
      <c r="K1315" s="2">
        <v>440100</v>
      </c>
      <c r="L1315" s="2">
        <v>1</v>
      </c>
      <c r="M1315" s="2" t="s">
        <v>1571</v>
      </c>
      <c r="N1315" s="2" t="s">
        <v>1571</v>
      </c>
      <c r="O1315" s="2" t="s">
        <v>118</v>
      </c>
      <c r="P1315" s="2" t="s">
        <v>1078</v>
      </c>
    </row>
    <row r="1316" spans="1:16" ht="22" customHeight="1" x14ac:dyDescent="0.15">
      <c r="A1316" s="10" t="str">
        <f t="shared" ref="A1316" si="308">B1316&amp;"_"&amp;D1316&amp;"_"&amp;E1316&amp;"_"&amp;F1316&amp;"_"&amp;G1316</f>
        <v>441_1_0_1_polygon</v>
      </c>
      <c r="B1316" s="2">
        <v>441</v>
      </c>
      <c r="C1316" s="30" t="str">
        <f>VLOOKUP(B1316,gachas!A:C,3)</f>
        <v>ピックアップカラーガチャ（青）</v>
      </c>
      <c r="D1316" s="21">
        <v>1</v>
      </c>
      <c r="E1316" s="2">
        <v>0</v>
      </c>
      <c r="F1316" s="2">
        <v>1</v>
      </c>
      <c r="G1316" s="3" t="s">
        <v>22</v>
      </c>
      <c r="H1316" s="2">
        <v>5</v>
      </c>
      <c r="I1316" s="117" t="str">
        <f t="shared" ref="I1316:I1317" si="309">B1316&amp;TEXT(D1316,"00")&amp;E1316</f>
        <v>441010</v>
      </c>
      <c r="J1316" s="112" t="s">
        <v>84</v>
      </c>
      <c r="K1316" s="109" t="s">
        <v>84</v>
      </c>
      <c r="L1316" s="2">
        <v>0</v>
      </c>
      <c r="M1316" s="2" t="s">
        <v>84</v>
      </c>
      <c r="N1316" s="2" t="s">
        <v>84</v>
      </c>
      <c r="O1316" s="2" t="s">
        <v>841</v>
      </c>
      <c r="P1316" s="2" t="s">
        <v>84</v>
      </c>
    </row>
    <row r="1317" spans="1:16" ht="22" customHeight="1" x14ac:dyDescent="0.15">
      <c r="A1317" s="10" t="str">
        <f t="shared" ref="A1317:A1366" si="310">B1317&amp;"_"&amp;D1317&amp;"_"&amp;E1317&amp;"_"&amp;F1317&amp;"_"&amp;G1317</f>
        <v>441_10_0_10_polygon</v>
      </c>
      <c r="B1317" s="2">
        <v>441</v>
      </c>
      <c r="C1317" s="30" t="str">
        <f>VLOOKUP(B1317,gachas!A:C,3)</f>
        <v>ピックアップカラーガチャ（青）</v>
      </c>
      <c r="D1317" s="21">
        <v>10</v>
      </c>
      <c r="E1317" s="2">
        <v>0</v>
      </c>
      <c r="F1317" s="2">
        <v>10</v>
      </c>
      <c r="G1317" s="3" t="s">
        <v>22</v>
      </c>
      <c r="H1317" s="2">
        <v>50</v>
      </c>
      <c r="I1317" s="117" t="str">
        <f t="shared" si="309"/>
        <v>441100</v>
      </c>
      <c r="J1317" s="112" t="s">
        <v>84</v>
      </c>
      <c r="K1317" s="109" t="s">
        <v>84</v>
      </c>
      <c r="L1317" s="2">
        <v>0</v>
      </c>
      <c r="M1317" s="2" t="s">
        <v>84</v>
      </c>
      <c r="N1317" s="2" t="s">
        <v>84</v>
      </c>
      <c r="O1317" s="2" t="s">
        <v>841</v>
      </c>
      <c r="P1317" s="2" t="s">
        <v>143</v>
      </c>
    </row>
    <row r="1318" spans="1:16" ht="22" customHeight="1" x14ac:dyDescent="0.15">
      <c r="A1318" s="10" t="str">
        <f t="shared" si="310"/>
        <v>441_10_1_10_polygon</v>
      </c>
      <c r="B1318" s="2">
        <v>441</v>
      </c>
      <c r="C1318" s="30" t="str">
        <f>VLOOKUP(B1318,gachas!A:C,3)</f>
        <v>ピックアップカラーガチャ（青）</v>
      </c>
      <c r="D1318" s="21">
        <v>10</v>
      </c>
      <c r="E1318" s="2">
        <f>E1317+1</f>
        <v>1</v>
      </c>
      <c r="F1318" s="2">
        <v>10</v>
      </c>
      <c r="G1318" s="3" t="s">
        <v>22</v>
      </c>
      <c r="H1318" s="2">
        <v>25</v>
      </c>
      <c r="I1318" s="117">
        <v>441100</v>
      </c>
      <c r="J1318" s="112" t="s">
        <v>84</v>
      </c>
      <c r="K1318" s="109" t="s">
        <v>84</v>
      </c>
      <c r="L1318" s="2">
        <v>0</v>
      </c>
      <c r="M1318" s="2" t="s">
        <v>84</v>
      </c>
      <c r="N1318" s="2" t="s">
        <v>84</v>
      </c>
      <c r="O1318" s="2" t="s">
        <v>841</v>
      </c>
      <c r="P1318" s="59" t="s">
        <v>1783</v>
      </c>
    </row>
    <row r="1319" spans="1:16" ht="22" customHeight="1" x14ac:dyDescent="0.15">
      <c r="A1319" s="10" t="str">
        <f t="shared" si="310"/>
        <v>441_10_2_10_polygon</v>
      </c>
      <c r="B1319" s="2">
        <v>441</v>
      </c>
      <c r="C1319" s="30" t="str">
        <f>VLOOKUP(B1319,gachas!A:C,3)</f>
        <v>ピックアップカラーガチャ（青）</v>
      </c>
      <c r="D1319" s="21">
        <v>10</v>
      </c>
      <c r="E1319" s="2">
        <f t="shared" ref="E1319:E1367" si="311">E1318+1</f>
        <v>2</v>
      </c>
      <c r="F1319" s="2">
        <v>10</v>
      </c>
      <c r="G1319" s="3" t="s">
        <v>22</v>
      </c>
      <c r="H1319" s="2">
        <v>50</v>
      </c>
      <c r="I1319" s="117">
        <v>441100</v>
      </c>
      <c r="J1319" s="112" t="s">
        <v>84</v>
      </c>
      <c r="K1319" s="109" t="s">
        <v>84</v>
      </c>
      <c r="L1319" s="2">
        <v>0</v>
      </c>
      <c r="M1319" s="2" t="s">
        <v>84</v>
      </c>
      <c r="N1319" s="2" t="s">
        <v>84</v>
      </c>
      <c r="O1319" s="2" t="s">
        <v>841</v>
      </c>
      <c r="P1319" s="2" t="s">
        <v>143</v>
      </c>
    </row>
    <row r="1320" spans="1:16" ht="22" customHeight="1" x14ac:dyDescent="0.15">
      <c r="A1320" s="10" t="str">
        <f t="shared" si="310"/>
        <v>441_10_3_10_polygon</v>
      </c>
      <c r="B1320" s="2">
        <v>441</v>
      </c>
      <c r="C1320" s="30" t="str">
        <f>VLOOKUP(B1320,gachas!A:C,3)</f>
        <v>ピックアップカラーガチャ（青）</v>
      </c>
      <c r="D1320" s="21">
        <v>10</v>
      </c>
      <c r="E1320" s="2">
        <f t="shared" si="311"/>
        <v>3</v>
      </c>
      <c r="F1320" s="2">
        <v>10</v>
      </c>
      <c r="G1320" s="3" t="s">
        <v>22</v>
      </c>
      <c r="H1320" s="2">
        <v>50</v>
      </c>
      <c r="I1320" s="117">
        <v>441100</v>
      </c>
      <c r="J1320" s="112" t="s">
        <v>84</v>
      </c>
      <c r="K1320" s="109" t="s">
        <v>84</v>
      </c>
      <c r="L1320" s="2">
        <v>0</v>
      </c>
      <c r="M1320" s="2" t="s">
        <v>84</v>
      </c>
      <c r="N1320" s="2" t="s">
        <v>84</v>
      </c>
      <c r="O1320" s="2" t="s">
        <v>841</v>
      </c>
      <c r="P1320" s="2" t="s">
        <v>143</v>
      </c>
    </row>
    <row r="1321" spans="1:16" ht="22" customHeight="1" x14ac:dyDescent="0.15">
      <c r="A1321" s="10" t="str">
        <f t="shared" si="310"/>
        <v>441_10_4_10_polygon</v>
      </c>
      <c r="B1321" s="2">
        <v>441</v>
      </c>
      <c r="C1321" s="30" t="str">
        <f>VLOOKUP(B1321,gachas!A:C,3)</f>
        <v>ピックアップカラーガチャ（青）</v>
      </c>
      <c r="D1321" s="21">
        <v>10</v>
      </c>
      <c r="E1321" s="2">
        <f t="shared" si="311"/>
        <v>4</v>
      </c>
      <c r="F1321" s="2">
        <v>10</v>
      </c>
      <c r="G1321" s="3" t="s">
        <v>22</v>
      </c>
      <c r="H1321" s="2">
        <v>50</v>
      </c>
      <c r="I1321" s="117">
        <v>441100</v>
      </c>
      <c r="J1321" s="112" t="s">
        <v>84</v>
      </c>
      <c r="K1321" s="109" t="s">
        <v>84</v>
      </c>
      <c r="L1321" s="2">
        <v>0</v>
      </c>
      <c r="M1321" s="2" t="s">
        <v>84</v>
      </c>
      <c r="N1321" s="2" t="s">
        <v>84</v>
      </c>
      <c r="O1321" s="2" t="s">
        <v>841</v>
      </c>
      <c r="P1321" s="2" t="s">
        <v>143</v>
      </c>
    </row>
    <row r="1322" spans="1:16" ht="22" customHeight="1" x14ac:dyDescent="0.15">
      <c r="A1322" s="10" t="str">
        <f t="shared" si="310"/>
        <v>441_10_5_10_polygon</v>
      </c>
      <c r="B1322" s="2">
        <v>441</v>
      </c>
      <c r="C1322" s="30" t="str">
        <f>VLOOKUP(B1322,gachas!A:C,3)</f>
        <v>ピックアップカラーガチャ（青）</v>
      </c>
      <c r="D1322" s="21">
        <v>10</v>
      </c>
      <c r="E1322" s="2">
        <f t="shared" si="311"/>
        <v>5</v>
      </c>
      <c r="F1322" s="2">
        <v>10</v>
      </c>
      <c r="G1322" s="3" t="s">
        <v>22</v>
      </c>
      <c r="H1322" s="2">
        <v>50</v>
      </c>
      <c r="I1322" s="117">
        <v>441100</v>
      </c>
      <c r="J1322" s="112" t="s">
        <v>84</v>
      </c>
      <c r="K1322" s="109">
        <v>441105</v>
      </c>
      <c r="L1322" s="2">
        <v>1</v>
      </c>
      <c r="M1322" s="2" t="s">
        <v>84</v>
      </c>
      <c r="N1322" s="2" t="s">
        <v>84</v>
      </c>
      <c r="O1322" s="2" t="s">
        <v>841</v>
      </c>
      <c r="P1322" s="2" t="s">
        <v>1781</v>
      </c>
    </row>
    <row r="1323" spans="1:16" ht="22" customHeight="1" x14ac:dyDescent="0.15">
      <c r="A1323" s="10" t="str">
        <f t="shared" si="310"/>
        <v>441_10_6_10_polygon</v>
      </c>
      <c r="B1323" s="2">
        <v>441</v>
      </c>
      <c r="C1323" s="30" t="str">
        <f>VLOOKUP(B1323,gachas!A:C,3)</f>
        <v>ピックアップカラーガチャ（青）</v>
      </c>
      <c r="D1323" s="21">
        <v>10</v>
      </c>
      <c r="E1323" s="2">
        <f t="shared" si="311"/>
        <v>6</v>
      </c>
      <c r="F1323" s="2">
        <v>10</v>
      </c>
      <c r="G1323" s="3" t="s">
        <v>22</v>
      </c>
      <c r="H1323" s="2">
        <v>25</v>
      </c>
      <c r="I1323" s="117">
        <v>441100</v>
      </c>
      <c r="J1323" s="112" t="s">
        <v>84</v>
      </c>
      <c r="K1323" s="109" t="s">
        <v>84</v>
      </c>
      <c r="L1323" s="2">
        <v>0</v>
      </c>
      <c r="M1323" s="2" t="s">
        <v>84</v>
      </c>
      <c r="N1323" s="2" t="s">
        <v>84</v>
      </c>
      <c r="O1323" s="2" t="s">
        <v>841</v>
      </c>
      <c r="P1323" s="59" t="s">
        <v>1783</v>
      </c>
    </row>
    <row r="1324" spans="1:16" ht="22" customHeight="1" x14ac:dyDescent="0.15">
      <c r="A1324" s="10" t="str">
        <f t="shared" si="310"/>
        <v>441_10_7_10_polygon</v>
      </c>
      <c r="B1324" s="2">
        <v>441</v>
      </c>
      <c r="C1324" s="30" t="str">
        <f>VLOOKUP(B1324,gachas!A:C,3)</f>
        <v>ピックアップカラーガチャ（青）</v>
      </c>
      <c r="D1324" s="21">
        <v>10</v>
      </c>
      <c r="E1324" s="2">
        <f t="shared" si="311"/>
        <v>7</v>
      </c>
      <c r="F1324" s="2">
        <v>10</v>
      </c>
      <c r="G1324" s="3" t="s">
        <v>22</v>
      </c>
      <c r="H1324" s="2">
        <v>50</v>
      </c>
      <c r="I1324" s="117">
        <v>441100</v>
      </c>
      <c r="J1324" s="112" t="s">
        <v>84</v>
      </c>
      <c r="K1324" s="109" t="s">
        <v>84</v>
      </c>
      <c r="L1324" s="2">
        <v>0</v>
      </c>
      <c r="M1324" s="2" t="s">
        <v>84</v>
      </c>
      <c r="N1324" s="2" t="s">
        <v>84</v>
      </c>
      <c r="O1324" s="2" t="s">
        <v>841</v>
      </c>
      <c r="P1324" s="2" t="s">
        <v>143</v>
      </c>
    </row>
    <row r="1325" spans="1:16" ht="22" customHeight="1" x14ac:dyDescent="0.15">
      <c r="A1325" s="10" t="str">
        <f t="shared" si="310"/>
        <v>441_10_8_10_polygon</v>
      </c>
      <c r="B1325" s="2">
        <v>441</v>
      </c>
      <c r="C1325" s="30" t="str">
        <f>VLOOKUP(B1325,gachas!A:C,3)</f>
        <v>ピックアップカラーガチャ（青）</v>
      </c>
      <c r="D1325" s="21">
        <v>10</v>
      </c>
      <c r="E1325" s="2">
        <f t="shared" si="311"/>
        <v>8</v>
      </c>
      <c r="F1325" s="2">
        <v>10</v>
      </c>
      <c r="G1325" s="3" t="s">
        <v>22</v>
      </c>
      <c r="H1325" s="2">
        <v>50</v>
      </c>
      <c r="I1325" s="117">
        <v>441100</v>
      </c>
      <c r="J1325" s="112" t="s">
        <v>84</v>
      </c>
      <c r="K1325" s="109" t="s">
        <v>84</v>
      </c>
      <c r="L1325" s="2">
        <v>0</v>
      </c>
      <c r="M1325" s="2" t="s">
        <v>84</v>
      </c>
      <c r="N1325" s="2" t="s">
        <v>84</v>
      </c>
      <c r="O1325" s="2" t="s">
        <v>841</v>
      </c>
      <c r="P1325" s="2" t="s">
        <v>143</v>
      </c>
    </row>
    <row r="1326" spans="1:16" ht="22" customHeight="1" x14ac:dyDescent="0.15">
      <c r="A1326" s="10" t="str">
        <f t="shared" si="310"/>
        <v>441_10_9_10_polygon</v>
      </c>
      <c r="B1326" s="2">
        <v>441</v>
      </c>
      <c r="C1326" s="30" t="str">
        <f>VLOOKUP(B1326,gachas!A:C,3)</f>
        <v>ピックアップカラーガチャ（青）</v>
      </c>
      <c r="D1326" s="21">
        <v>10</v>
      </c>
      <c r="E1326" s="2">
        <f t="shared" si="311"/>
        <v>9</v>
      </c>
      <c r="F1326" s="2">
        <v>10</v>
      </c>
      <c r="G1326" s="3" t="s">
        <v>22</v>
      </c>
      <c r="H1326" s="2">
        <v>50</v>
      </c>
      <c r="I1326" s="117">
        <v>441100</v>
      </c>
      <c r="J1326" s="112" t="s">
        <v>84</v>
      </c>
      <c r="K1326" s="109" t="s">
        <v>84</v>
      </c>
      <c r="L1326" s="2">
        <v>0</v>
      </c>
      <c r="M1326" s="2" t="s">
        <v>84</v>
      </c>
      <c r="N1326" s="2" t="s">
        <v>84</v>
      </c>
      <c r="O1326" s="2" t="s">
        <v>841</v>
      </c>
      <c r="P1326" s="2" t="s">
        <v>143</v>
      </c>
    </row>
    <row r="1327" spans="1:16" ht="22" customHeight="1" x14ac:dyDescent="0.15">
      <c r="A1327" s="10" t="str">
        <f t="shared" si="310"/>
        <v>441_10_10_10_polygon</v>
      </c>
      <c r="B1327" s="2">
        <v>441</v>
      </c>
      <c r="C1327" s="30" t="str">
        <f>VLOOKUP(B1327,gachas!A:C,3)</f>
        <v>ピックアップカラーガチャ（青）</v>
      </c>
      <c r="D1327" s="21">
        <v>10</v>
      </c>
      <c r="E1327" s="2">
        <f t="shared" si="311"/>
        <v>10</v>
      </c>
      <c r="F1327" s="2">
        <v>10</v>
      </c>
      <c r="G1327" s="3" t="s">
        <v>22</v>
      </c>
      <c r="H1327" s="2">
        <v>50</v>
      </c>
      <c r="I1327" s="117">
        <v>441100</v>
      </c>
      <c r="J1327" s="112" t="s">
        <v>84</v>
      </c>
      <c r="K1327" s="109">
        <v>441105</v>
      </c>
      <c r="L1327" s="2">
        <v>1</v>
      </c>
      <c r="M1327" s="2" t="s">
        <v>84</v>
      </c>
      <c r="N1327" s="2" t="s">
        <v>84</v>
      </c>
      <c r="O1327" s="2" t="s">
        <v>841</v>
      </c>
      <c r="P1327" s="2" t="s">
        <v>1781</v>
      </c>
    </row>
    <row r="1328" spans="1:16" ht="22" customHeight="1" x14ac:dyDescent="0.15">
      <c r="A1328" s="10" t="str">
        <f t="shared" si="310"/>
        <v>441_10_11_10_polygon</v>
      </c>
      <c r="B1328" s="2">
        <v>441</v>
      </c>
      <c r="C1328" s="30" t="str">
        <f>VLOOKUP(B1328,gachas!A:C,3)</f>
        <v>ピックアップカラーガチャ（青）</v>
      </c>
      <c r="D1328" s="21">
        <v>10</v>
      </c>
      <c r="E1328" s="2">
        <f t="shared" si="311"/>
        <v>11</v>
      </c>
      <c r="F1328" s="2">
        <v>10</v>
      </c>
      <c r="G1328" s="3" t="s">
        <v>22</v>
      </c>
      <c r="H1328" s="2">
        <v>25</v>
      </c>
      <c r="I1328" s="117">
        <v>441100</v>
      </c>
      <c r="J1328" s="112" t="s">
        <v>84</v>
      </c>
      <c r="K1328" s="109" t="s">
        <v>84</v>
      </c>
      <c r="L1328" s="2">
        <v>0</v>
      </c>
      <c r="M1328" s="2" t="s">
        <v>84</v>
      </c>
      <c r="N1328" s="2" t="s">
        <v>84</v>
      </c>
      <c r="O1328" s="2" t="s">
        <v>841</v>
      </c>
      <c r="P1328" s="59" t="s">
        <v>1783</v>
      </c>
    </row>
    <row r="1329" spans="1:16" ht="22" customHeight="1" x14ac:dyDescent="0.15">
      <c r="A1329" s="10" t="str">
        <f t="shared" si="310"/>
        <v>441_10_12_10_polygon</v>
      </c>
      <c r="B1329" s="2">
        <v>441</v>
      </c>
      <c r="C1329" s="30" t="str">
        <f>VLOOKUP(B1329,gachas!A:C,3)</f>
        <v>ピックアップカラーガチャ（青）</v>
      </c>
      <c r="D1329" s="21">
        <v>10</v>
      </c>
      <c r="E1329" s="2">
        <f t="shared" si="311"/>
        <v>12</v>
      </c>
      <c r="F1329" s="2">
        <v>10</v>
      </c>
      <c r="G1329" s="3" t="s">
        <v>22</v>
      </c>
      <c r="H1329" s="2">
        <v>50</v>
      </c>
      <c r="I1329" s="117">
        <v>441100</v>
      </c>
      <c r="J1329" s="112" t="s">
        <v>84</v>
      </c>
      <c r="K1329" s="109" t="s">
        <v>84</v>
      </c>
      <c r="L1329" s="2">
        <v>0</v>
      </c>
      <c r="M1329" s="2" t="s">
        <v>84</v>
      </c>
      <c r="N1329" s="2" t="s">
        <v>84</v>
      </c>
      <c r="O1329" s="2" t="s">
        <v>841</v>
      </c>
      <c r="P1329" s="2" t="s">
        <v>143</v>
      </c>
    </row>
    <row r="1330" spans="1:16" ht="22" customHeight="1" x14ac:dyDescent="0.15">
      <c r="A1330" s="10" t="str">
        <f t="shared" si="310"/>
        <v>441_10_13_10_polygon</v>
      </c>
      <c r="B1330" s="2">
        <v>441</v>
      </c>
      <c r="C1330" s="30" t="str">
        <f>VLOOKUP(B1330,gachas!A:C,3)</f>
        <v>ピックアップカラーガチャ（青）</v>
      </c>
      <c r="D1330" s="21">
        <v>10</v>
      </c>
      <c r="E1330" s="2">
        <f t="shared" si="311"/>
        <v>13</v>
      </c>
      <c r="F1330" s="2">
        <v>10</v>
      </c>
      <c r="G1330" s="3" t="s">
        <v>22</v>
      </c>
      <c r="H1330" s="2">
        <v>50</v>
      </c>
      <c r="I1330" s="117">
        <v>441100</v>
      </c>
      <c r="J1330" s="112" t="s">
        <v>84</v>
      </c>
      <c r="K1330" s="109" t="s">
        <v>84</v>
      </c>
      <c r="L1330" s="2">
        <v>0</v>
      </c>
      <c r="M1330" s="2" t="s">
        <v>84</v>
      </c>
      <c r="N1330" s="2" t="s">
        <v>84</v>
      </c>
      <c r="O1330" s="2" t="s">
        <v>841</v>
      </c>
      <c r="P1330" s="2" t="s">
        <v>143</v>
      </c>
    </row>
    <row r="1331" spans="1:16" ht="22" customHeight="1" x14ac:dyDescent="0.15">
      <c r="A1331" s="10" t="str">
        <f t="shared" si="310"/>
        <v>441_10_14_10_polygon</v>
      </c>
      <c r="B1331" s="2">
        <v>441</v>
      </c>
      <c r="C1331" s="30" t="str">
        <f>VLOOKUP(B1331,gachas!A:C,3)</f>
        <v>ピックアップカラーガチャ（青）</v>
      </c>
      <c r="D1331" s="21">
        <v>10</v>
      </c>
      <c r="E1331" s="2">
        <f t="shared" si="311"/>
        <v>14</v>
      </c>
      <c r="F1331" s="2">
        <v>10</v>
      </c>
      <c r="G1331" s="3" t="s">
        <v>22</v>
      </c>
      <c r="H1331" s="2">
        <v>50</v>
      </c>
      <c r="I1331" s="117">
        <v>441100</v>
      </c>
      <c r="J1331" s="112" t="s">
        <v>84</v>
      </c>
      <c r="K1331" s="109" t="s">
        <v>84</v>
      </c>
      <c r="L1331" s="2">
        <v>0</v>
      </c>
      <c r="M1331" s="2" t="s">
        <v>84</v>
      </c>
      <c r="N1331" s="2" t="s">
        <v>84</v>
      </c>
      <c r="O1331" s="2" t="s">
        <v>841</v>
      </c>
      <c r="P1331" s="2" t="s">
        <v>143</v>
      </c>
    </row>
    <row r="1332" spans="1:16" ht="22" customHeight="1" x14ac:dyDescent="0.15">
      <c r="A1332" s="10" t="str">
        <f t="shared" si="310"/>
        <v>441_10_15_10_polygon</v>
      </c>
      <c r="B1332" s="2">
        <v>441</v>
      </c>
      <c r="C1332" s="30" t="str">
        <f>VLOOKUP(B1332,gachas!A:C,3)</f>
        <v>ピックアップカラーガチャ（青）</v>
      </c>
      <c r="D1332" s="21">
        <v>10</v>
      </c>
      <c r="E1332" s="2">
        <f t="shared" si="311"/>
        <v>15</v>
      </c>
      <c r="F1332" s="2">
        <v>10</v>
      </c>
      <c r="G1332" s="3" t="s">
        <v>22</v>
      </c>
      <c r="H1332" s="2">
        <v>50</v>
      </c>
      <c r="I1332" s="117">
        <v>441100</v>
      </c>
      <c r="J1332" s="112" t="s">
        <v>84</v>
      </c>
      <c r="K1332" s="109">
        <v>441105</v>
      </c>
      <c r="L1332" s="2">
        <v>1</v>
      </c>
      <c r="M1332" s="2" t="s">
        <v>84</v>
      </c>
      <c r="N1332" s="2" t="s">
        <v>84</v>
      </c>
      <c r="O1332" s="2" t="s">
        <v>841</v>
      </c>
      <c r="P1332" s="2" t="s">
        <v>1781</v>
      </c>
    </row>
    <row r="1333" spans="1:16" ht="22" customHeight="1" x14ac:dyDescent="0.15">
      <c r="A1333" s="10" t="str">
        <f t="shared" si="310"/>
        <v>441_10_16_10_polygon</v>
      </c>
      <c r="B1333" s="2">
        <v>441</v>
      </c>
      <c r="C1333" s="30" t="str">
        <f>VLOOKUP(B1333,gachas!A:C,3)</f>
        <v>ピックアップカラーガチャ（青）</v>
      </c>
      <c r="D1333" s="21">
        <v>10</v>
      </c>
      <c r="E1333" s="2">
        <f t="shared" si="311"/>
        <v>16</v>
      </c>
      <c r="F1333" s="2">
        <v>10</v>
      </c>
      <c r="G1333" s="3" t="s">
        <v>22</v>
      </c>
      <c r="H1333" s="2">
        <v>25</v>
      </c>
      <c r="I1333" s="117">
        <v>441100</v>
      </c>
      <c r="J1333" s="112" t="s">
        <v>84</v>
      </c>
      <c r="K1333" s="109" t="s">
        <v>84</v>
      </c>
      <c r="L1333" s="2">
        <v>0</v>
      </c>
      <c r="M1333" s="2" t="s">
        <v>84</v>
      </c>
      <c r="N1333" s="2" t="s">
        <v>84</v>
      </c>
      <c r="O1333" s="2" t="s">
        <v>841</v>
      </c>
      <c r="P1333" s="59" t="s">
        <v>1783</v>
      </c>
    </row>
    <row r="1334" spans="1:16" ht="22" customHeight="1" x14ac:dyDescent="0.15">
      <c r="A1334" s="10" t="str">
        <f t="shared" si="310"/>
        <v>441_10_17_10_polygon</v>
      </c>
      <c r="B1334" s="2">
        <v>441</v>
      </c>
      <c r="C1334" s="30" t="str">
        <f>VLOOKUP(B1334,gachas!A:C,3)</f>
        <v>ピックアップカラーガチャ（青）</v>
      </c>
      <c r="D1334" s="21">
        <v>10</v>
      </c>
      <c r="E1334" s="2">
        <f t="shared" si="311"/>
        <v>17</v>
      </c>
      <c r="F1334" s="2">
        <v>10</v>
      </c>
      <c r="G1334" s="3" t="s">
        <v>22</v>
      </c>
      <c r="H1334" s="2">
        <v>50</v>
      </c>
      <c r="I1334" s="117">
        <v>441100</v>
      </c>
      <c r="J1334" s="112" t="s">
        <v>84</v>
      </c>
      <c r="K1334" s="109" t="s">
        <v>84</v>
      </c>
      <c r="L1334" s="2">
        <v>0</v>
      </c>
      <c r="M1334" s="2" t="s">
        <v>84</v>
      </c>
      <c r="N1334" s="2" t="s">
        <v>84</v>
      </c>
      <c r="O1334" s="2" t="s">
        <v>841</v>
      </c>
      <c r="P1334" s="2" t="s">
        <v>143</v>
      </c>
    </row>
    <row r="1335" spans="1:16" ht="22" customHeight="1" x14ac:dyDescent="0.15">
      <c r="A1335" s="10" t="str">
        <f t="shared" si="310"/>
        <v>441_10_18_10_polygon</v>
      </c>
      <c r="B1335" s="2">
        <v>441</v>
      </c>
      <c r="C1335" s="30" t="str">
        <f>VLOOKUP(B1335,gachas!A:C,3)</f>
        <v>ピックアップカラーガチャ（青）</v>
      </c>
      <c r="D1335" s="21">
        <v>10</v>
      </c>
      <c r="E1335" s="2">
        <f t="shared" si="311"/>
        <v>18</v>
      </c>
      <c r="F1335" s="2">
        <v>10</v>
      </c>
      <c r="G1335" s="3" t="s">
        <v>22</v>
      </c>
      <c r="H1335" s="2">
        <v>50</v>
      </c>
      <c r="I1335" s="117">
        <v>441100</v>
      </c>
      <c r="J1335" s="112" t="s">
        <v>84</v>
      </c>
      <c r="K1335" s="109" t="s">
        <v>84</v>
      </c>
      <c r="L1335" s="2">
        <v>0</v>
      </c>
      <c r="M1335" s="2" t="s">
        <v>84</v>
      </c>
      <c r="N1335" s="2" t="s">
        <v>84</v>
      </c>
      <c r="O1335" s="2" t="s">
        <v>841</v>
      </c>
      <c r="P1335" s="2" t="s">
        <v>143</v>
      </c>
    </row>
    <row r="1336" spans="1:16" ht="22" customHeight="1" x14ac:dyDescent="0.15">
      <c r="A1336" s="10" t="str">
        <f t="shared" si="310"/>
        <v>441_10_19_10_polygon</v>
      </c>
      <c r="B1336" s="2">
        <v>441</v>
      </c>
      <c r="C1336" s="30" t="str">
        <f>VLOOKUP(B1336,gachas!A:C,3)</f>
        <v>ピックアップカラーガチャ（青）</v>
      </c>
      <c r="D1336" s="21">
        <v>10</v>
      </c>
      <c r="E1336" s="2">
        <f t="shared" si="311"/>
        <v>19</v>
      </c>
      <c r="F1336" s="2">
        <v>10</v>
      </c>
      <c r="G1336" s="3" t="s">
        <v>22</v>
      </c>
      <c r="H1336" s="2">
        <v>50</v>
      </c>
      <c r="I1336" s="117">
        <v>441100</v>
      </c>
      <c r="J1336" s="112" t="s">
        <v>84</v>
      </c>
      <c r="K1336" s="109" t="s">
        <v>84</v>
      </c>
      <c r="L1336" s="2">
        <v>0</v>
      </c>
      <c r="M1336" s="2" t="s">
        <v>84</v>
      </c>
      <c r="N1336" s="2" t="s">
        <v>84</v>
      </c>
      <c r="O1336" s="2" t="s">
        <v>841</v>
      </c>
      <c r="P1336" s="2" t="s">
        <v>143</v>
      </c>
    </row>
    <row r="1337" spans="1:16" ht="22" customHeight="1" x14ac:dyDescent="0.15">
      <c r="A1337" s="10" t="str">
        <f t="shared" si="310"/>
        <v>441_10_20_10_polygon</v>
      </c>
      <c r="B1337" s="2">
        <v>441</v>
      </c>
      <c r="C1337" s="30" t="str">
        <f>VLOOKUP(B1337,gachas!A:C,3)</f>
        <v>ピックアップカラーガチャ（青）</v>
      </c>
      <c r="D1337" s="21">
        <v>10</v>
      </c>
      <c r="E1337" s="2">
        <f t="shared" si="311"/>
        <v>20</v>
      </c>
      <c r="F1337" s="2">
        <v>10</v>
      </c>
      <c r="G1337" s="3" t="s">
        <v>22</v>
      </c>
      <c r="H1337" s="2">
        <v>50</v>
      </c>
      <c r="I1337" s="117">
        <v>441100</v>
      </c>
      <c r="J1337" s="112" t="s">
        <v>84</v>
      </c>
      <c r="K1337" s="109">
        <v>441105</v>
      </c>
      <c r="L1337" s="2">
        <v>1</v>
      </c>
      <c r="M1337" s="2" t="s">
        <v>84</v>
      </c>
      <c r="N1337" s="2" t="s">
        <v>84</v>
      </c>
      <c r="O1337" s="2" t="s">
        <v>841</v>
      </c>
      <c r="P1337" s="2" t="s">
        <v>1781</v>
      </c>
    </row>
    <row r="1338" spans="1:16" ht="22" customHeight="1" x14ac:dyDescent="0.15">
      <c r="A1338" s="10" t="str">
        <f t="shared" si="310"/>
        <v>441_10_21_10_polygon</v>
      </c>
      <c r="B1338" s="2">
        <v>441</v>
      </c>
      <c r="C1338" s="30" t="str">
        <f>VLOOKUP(B1338,gachas!A:C,3)</f>
        <v>ピックアップカラーガチャ（青）</v>
      </c>
      <c r="D1338" s="21">
        <v>10</v>
      </c>
      <c r="E1338" s="2">
        <f t="shared" si="311"/>
        <v>21</v>
      </c>
      <c r="F1338" s="2">
        <v>10</v>
      </c>
      <c r="G1338" s="3" t="s">
        <v>22</v>
      </c>
      <c r="H1338" s="2">
        <v>25</v>
      </c>
      <c r="I1338" s="117">
        <v>441100</v>
      </c>
      <c r="J1338" s="112" t="s">
        <v>84</v>
      </c>
      <c r="K1338" s="109" t="s">
        <v>84</v>
      </c>
      <c r="L1338" s="2">
        <v>0</v>
      </c>
      <c r="M1338" s="2" t="s">
        <v>84</v>
      </c>
      <c r="N1338" s="2" t="s">
        <v>84</v>
      </c>
      <c r="O1338" s="2" t="s">
        <v>841</v>
      </c>
      <c r="P1338" s="59" t="s">
        <v>1783</v>
      </c>
    </row>
    <row r="1339" spans="1:16" ht="22" customHeight="1" x14ac:dyDescent="0.15">
      <c r="A1339" s="10" t="str">
        <f t="shared" si="310"/>
        <v>441_10_22_10_polygon</v>
      </c>
      <c r="B1339" s="2">
        <v>441</v>
      </c>
      <c r="C1339" s="30" t="str">
        <f>VLOOKUP(B1339,gachas!A:C,3)</f>
        <v>ピックアップカラーガチャ（青）</v>
      </c>
      <c r="D1339" s="21">
        <v>10</v>
      </c>
      <c r="E1339" s="2">
        <f t="shared" si="311"/>
        <v>22</v>
      </c>
      <c r="F1339" s="2">
        <v>10</v>
      </c>
      <c r="G1339" s="3" t="s">
        <v>22</v>
      </c>
      <c r="H1339" s="2">
        <v>50</v>
      </c>
      <c r="I1339" s="117">
        <v>441100</v>
      </c>
      <c r="J1339" s="112" t="s">
        <v>84</v>
      </c>
      <c r="K1339" s="109" t="s">
        <v>84</v>
      </c>
      <c r="L1339" s="2">
        <v>0</v>
      </c>
      <c r="M1339" s="2" t="s">
        <v>84</v>
      </c>
      <c r="N1339" s="2" t="s">
        <v>84</v>
      </c>
      <c r="O1339" s="2" t="s">
        <v>841</v>
      </c>
      <c r="P1339" s="2" t="s">
        <v>143</v>
      </c>
    </row>
    <row r="1340" spans="1:16" ht="22" customHeight="1" x14ac:dyDescent="0.15">
      <c r="A1340" s="10" t="str">
        <f t="shared" si="310"/>
        <v>441_10_23_10_polygon</v>
      </c>
      <c r="B1340" s="2">
        <v>441</v>
      </c>
      <c r="C1340" s="30" t="str">
        <f>VLOOKUP(B1340,gachas!A:C,3)</f>
        <v>ピックアップカラーガチャ（青）</v>
      </c>
      <c r="D1340" s="21">
        <v>10</v>
      </c>
      <c r="E1340" s="2">
        <f t="shared" si="311"/>
        <v>23</v>
      </c>
      <c r="F1340" s="2">
        <v>10</v>
      </c>
      <c r="G1340" s="3" t="s">
        <v>22</v>
      </c>
      <c r="H1340" s="2">
        <v>50</v>
      </c>
      <c r="I1340" s="117">
        <v>441100</v>
      </c>
      <c r="J1340" s="112" t="s">
        <v>84</v>
      </c>
      <c r="K1340" s="109" t="s">
        <v>84</v>
      </c>
      <c r="L1340" s="2">
        <v>0</v>
      </c>
      <c r="M1340" s="2" t="s">
        <v>84</v>
      </c>
      <c r="N1340" s="2" t="s">
        <v>84</v>
      </c>
      <c r="O1340" s="2" t="s">
        <v>841</v>
      </c>
      <c r="P1340" s="2" t="s">
        <v>143</v>
      </c>
    </row>
    <row r="1341" spans="1:16" ht="22" customHeight="1" x14ac:dyDescent="0.15">
      <c r="A1341" s="10" t="str">
        <f t="shared" si="310"/>
        <v>441_10_24_10_polygon</v>
      </c>
      <c r="B1341" s="2">
        <v>441</v>
      </c>
      <c r="C1341" s="30" t="str">
        <f>VLOOKUP(B1341,gachas!A:C,3)</f>
        <v>ピックアップカラーガチャ（青）</v>
      </c>
      <c r="D1341" s="21">
        <v>10</v>
      </c>
      <c r="E1341" s="2">
        <f t="shared" si="311"/>
        <v>24</v>
      </c>
      <c r="F1341" s="2">
        <v>10</v>
      </c>
      <c r="G1341" s="3" t="s">
        <v>22</v>
      </c>
      <c r="H1341" s="2">
        <v>50</v>
      </c>
      <c r="I1341" s="117">
        <v>441100</v>
      </c>
      <c r="J1341" s="112" t="s">
        <v>84</v>
      </c>
      <c r="K1341" s="109" t="s">
        <v>84</v>
      </c>
      <c r="L1341" s="2">
        <v>0</v>
      </c>
      <c r="M1341" s="2" t="s">
        <v>84</v>
      </c>
      <c r="N1341" s="2" t="s">
        <v>84</v>
      </c>
      <c r="O1341" s="2" t="s">
        <v>841</v>
      </c>
      <c r="P1341" s="2" t="s">
        <v>143</v>
      </c>
    </row>
    <row r="1342" spans="1:16" ht="22" customHeight="1" x14ac:dyDescent="0.15">
      <c r="A1342" s="10" t="str">
        <f t="shared" si="310"/>
        <v>441_10_25_10_polygon</v>
      </c>
      <c r="B1342" s="2">
        <v>441</v>
      </c>
      <c r="C1342" s="30" t="str">
        <f>VLOOKUP(B1342,gachas!A:C,3)</f>
        <v>ピックアップカラーガチャ（青）</v>
      </c>
      <c r="D1342" s="21">
        <v>10</v>
      </c>
      <c r="E1342" s="2">
        <f t="shared" si="311"/>
        <v>25</v>
      </c>
      <c r="F1342" s="2">
        <v>10</v>
      </c>
      <c r="G1342" s="3" t="s">
        <v>22</v>
      </c>
      <c r="H1342" s="2">
        <v>50</v>
      </c>
      <c r="I1342" s="117">
        <v>441100</v>
      </c>
      <c r="J1342" s="112" t="s">
        <v>84</v>
      </c>
      <c r="K1342" s="109">
        <v>441105</v>
      </c>
      <c r="L1342" s="2">
        <v>1</v>
      </c>
      <c r="M1342" s="2" t="s">
        <v>84</v>
      </c>
      <c r="N1342" s="2" t="s">
        <v>84</v>
      </c>
      <c r="O1342" s="2" t="s">
        <v>841</v>
      </c>
      <c r="P1342" s="2" t="s">
        <v>1781</v>
      </c>
    </row>
    <row r="1343" spans="1:16" ht="22" customHeight="1" x14ac:dyDescent="0.15">
      <c r="A1343" s="10" t="str">
        <f t="shared" si="310"/>
        <v>441_10_26_10_polygon</v>
      </c>
      <c r="B1343" s="2">
        <v>441</v>
      </c>
      <c r="C1343" s="30" t="str">
        <f>VLOOKUP(B1343,gachas!A:C,3)</f>
        <v>ピックアップカラーガチャ（青）</v>
      </c>
      <c r="D1343" s="21">
        <v>10</v>
      </c>
      <c r="E1343" s="2">
        <f t="shared" si="311"/>
        <v>26</v>
      </c>
      <c r="F1343" s="2">
        <v>10</v>
      </c>
      <c r="G1343" s="3" t="s">
        <v>22</v>
      </c>
      <c r="H1343" s="2">
        <v>25</v>
      </c>
      <c r="I1343" s="117">
        <v>441100</v>
      </c>
      <c r="J1343" s="112" t="s">
        <v>84</v>
      </c>
      <c r="K1343" s="109" t="s">
        <v>84</v>
      </c>
      <c r="L1343" s="2">
        <v>0</v>
      </c>
      <c r="M1343" s="2" t="s">
        <v>84</v>
      </c>
      <c r="N1343" s="2" t="s">
        <v>84</v>
      </c>
      <c r="O1343" s="2" t="s">
        <v>841</v>
      </c>
      <c r="P1343" s="59" t="s">
        <v>1783</v>
      </c>
    </row>
    <row r="1344" spans="1:16" ht="22" customHeight="1" x14ac:dyDescent="0.15">
      <c r="A1344" s="10" t="str">
        <f t="shared" si="310"/>
        <v>441_10_27_10_polygon</v>
      </c>
      <c r="B1344" s="2">
        <v>441</v>
      </c>
      <c r="C1344" s="30" t="str">
        <f>VLOOKUP(B1344,gachas!A:C,3)</f>
        <v>ピックアップカラーガチャ（青）</v>
      </c>
      <c r="D1344" s="21">
        <v>10</v>
      </c>
      <c r="E1344" s="2">
        <f t="shared" si="311"/>
        <v>27</v>
      </c>
      <c r="F1344" s="2">
        <v>10</v>
      </c>
      <c r="G1344" s="3" t="s">
        <v>22</v>
      </c>
      <c r="H1344" s="2">
        <v>50</v>
      </c>
      <c r="I1344" s="117">
        <v>441100</v>
      </c>
      <c r="J1344" s="112" t="s">
        <v>84</v>
      </c>
      <c r="K1344" s="109" t="s">
        <v>84</v>
      </c>
      <c r="L1344" s="2">
        <v>0</v>
      </c>
      <c r="M1344" s="2" t="s">
        <v>84</v>
      </c>
      <c r="N1344" s="2" t="s">
        <v>84</v>
      </c>
      <c r="O1344" s="2" t="s">
        <v>841</v>
      </c>
      <c r="P1344" s="2" t="s">
        <v>143</v>
      </c>
    </row>
    <row r="1345" spans="1:16" ht="22" customHeight="1" x14ac:dyDescent="0.15">
      <c r="A1345" s="10" t="str">
        <f t="shared" si="310"/>
        <v>441_10_28_10_polygon</v>
      </c>
      <c r="B1345" s="2">
        <v>441</v>
      </c>
      <c r="C1345" s="30" t="str">
        <f>VLOOKUP(B1345,gachas!A:C,3)</f>
        <v>ピックアップカラーガチャ（青）</v>
      </c>
      <c r="D1345" s="21">
        <v>10</v>
      </c>
      <c r="E1345" s="2">
        <f t="shared" si="311"/>
        <v>28</v>
      </c>
      <c r="F1345" s="2">
        <v>10</v>
      </c>
      <c r="G1345" s="3" t="s">
        <v>22</v>
      </c>
      <c r="H1345" s="2">
        <v>50</v>
      </c>
      <c r="I1345" s="117">
        <v>441100</v>
      </c>
      <c r="J1345" s="112" t="s">
        <v>84</v>
      </c>
      <c r="K1345" s="109" t="s">
        <v>84</v>
      </c>
      <c r="L1345" s="2">
        <v>0</v>
      </c>
      <c r="M1345" s="2" t="s">
        <v>84</v>
      </c>
      <c r="N1345" s="2" t="s">
        <v>84</v>
      </c>
      <c r="O1345" s="2" t="s">
        <v>841</v>
      </c>
      <c r="P1345" s="2" t="s">
        <v>143</v>
      </c>
    </row>
    <row r="1346" spans="1:16" ht="22" customHeight="1" x14ac:dyDescent="0.15">
      <c r="A1346" s="10" t="str">
        <f t="shared" si="310"/>
        <v>441_10_29_10_polygon</v>
      </c>
      <c r="B1346" s="2">
        <v>441</v>
      </c>
      <c r="C1346" s="30" t="str">
        <f>VLOOKUP(B1346,gachas!A:C,3)</f>
        <v>ピックアップカラーガチャ（青）</v>
      </c>
      <c r="D1346" s="21">
        <v>10</v>
      </c>
      <c r="E1346" s="2">
        <f t="shared" si="311"/>
        <v>29</v>
      </c>
      <c r="F1346" s="2">
        <v>10</v>
      </c>
      <c r="G1346" s="3" t="s">
        <v>22</v>
      </c>
      <c r="H1346" s="2">
        <v>50</v>
      </c>
      <c r="I1346" s="117">
        <v>441100</v>
      </c>
      <c r="J1346" s="112" t="s">
        <v>84</v>
      </c>
      <c r="K1346" s="109" t="s">
        <v>84</v>
      </c>
      <c r="L1346" s="2">
        <v>0</v>
      </c>
      <c r="M1346" s="2" t="s">
        <v>84</v>
      </c>
      <c r="N1346" s="2" t="s">
        <v>84</v>
      </c>
      <c r="O1346" s="2" t="s">
        <v>841</v>
      </c>
      <c r="P1346" s="2" t="s">
        <v>143</v>
      </c>
    </row>
    <row r="1347" spans="1:16" ht="22" customHeight="1" x14ac:dyDescent="0.15">
      <c r="A1347" s="10" t="str">
        <f t="shared" si="310"/>
        <v>441_10_30_10_polygon</v>
      </c>
      <c r="B1347" s="2">
        <v>441</v>
      </c>
      <c r="C1347" s="30" t="str">
        <f>VLOOKUP(B1347,gachas!A:C,3)</f>
        <v>ピックアップカラーガチャ（青）</v>
      </c>
      <c r="D1347" s="21">
        <v>10</v>
      </c>
      <c r="E1347" s="2">
        <f t="shared" si="311"/>
        <v>30</v>
      </c>
      <c r="F1347" s="2">
        <v>10</v>
      </c>
      <c r="G1347" s="3" t="s">
        <v>22</v>
      </c>
      <c r="H1347" s="2">
        <v>50</v>
      </c>
      <c r="I1347" s="117">
        <v>441100</v>
      </c>
      <c r="J1347" s="112" t="s">
        <v>84</v>
      </c>
      <c r="K1347" s="109">
        <v>441105</v>
      </c>
      <c r="L1347" s="2">
        <v>1</v>
      </c>
      <c r="M1347" s="2" t="s">
        <v>84</v>
      </c>
      <c r="N1347" s="2" t="s">
        <v>84</v>
      </c>
      <c r="O1347" s="2" t="s">
        <v>841</v>
      </c>
      <c r="P1347" s="2" t="s">
        <v>1781</v>
      </c>
    </row>
    <row r="1348" spans="1:16" ht="22" customHeight="1" x14ac:dyDescent="0.15">
      <c r="A1348" s="10" t="str">
        <f t="shared" si="310"/>
        <v>441_10_31_10_polygon</v>
      </c>
      <c r="B1348" s="2">
        <v>441</v>
      </c>
      <c r="C1348" s="30" t="str">
        <f>VLOOKUP(B1348,gachas!A:C,3)</f>
        <v>ピックアップカラーガチャ（青）</v>
      </c>
      <c r="D1348" s="21">
        <v>10</v>
      </c>
      <c r="E1348" s="2">
        <f t="shared" si="311"/>
        <v>31</v>
      </c>
      <c r="F1348" s="2">
        <v>10</v>
      </c>
      <c r="G1348" s="3" t="s">
        <v>22</v>
      </c>
      <c r="H1348" s="2">
        <v>25</v>
      </c>
      <c r="I1348" s="117">
        <v>441100</v>
      </c>
      <c r="J1348" s="112" t="s">
        <v>84</v>
      </c>
      <c r="K1348" s="109" t="s">
        <v>84</v>
      </c>
      <c r="L1348" s="2">
        <v>0</v>
      </c>
      <c r="M1348" s="2" t="s">
        <v>84</v>
      </c>
      <c r="N1348" s="2" t="s">
        <v>84</v>
      </c>
      <c r="O1348" s="2" t="s">
        <v>841</v>
      </c>
      <c r="P1348" s="59" t="s">
        <v>1783</v>
      </c>
    </row>
    <row r="1349" spans="1:16" ht="22" customHeight="1" x14ac:dyDescent="0.15">
      <c r="A1349" s="10" t="str">
        <f t="shared" si="310"/>
        <v>441_10_32_10_polygon</v>
      </c>
      <c r="B1349" s="2">
        <v>441</v>
      </c>
      <c r="C1349" s="30" t="str">
        <f>VLOOKUP(B1349,gachas!A:C,3)</f>
        <v>ピックアップカラーガチャ（青）</v>
      </c>
      <c r="D1349" s="21">
        <v>10</v>
      </c>
      <c r="E1349" s="2">
        <f t="shared" si="311"/>
        <v>32</v>
      </c>
      <c r="F1349" s="2">
        <v>10</v>
      </c>
      <c r="G1349" s="3" t="s">
        <v>22</v>
      </c>
      <c r="H1349" s="2">
        <v>50</v>
      </c>
      <c r="I1349" s="117">
        <v>441100</v>
      </c>
      <c r="J1349" s="112" t="s">
        <v>84</v>
      </c>
      <c r="K1349" s="109" t="s">
        <v>84</v>
      </c>
      <c r="L1349" s="2">
        <v>0</v>
      </c>
      <c r="M1349" s="2" t="s">
        <v>84</v>
      </c>
      <c r="N1349" s="2" t="s">
        <v>84</v>
      </c>
      <c r="O1349" s="2" t="s">
        <v>841</v>
      </c>
      <c r="P1349" s="2" t="s">
        <v>143</v>
      </c>
    </row>
    <row r="1350" spans="1:16" ht="22" customHeight="1" x14ac:dyDescent="0.15">
      <c r="A1350" s="10" t="str">
        <f t="shared" si="310"/>
        <v>441_10_33_10_polygon</v>
      </c>
      <c r="B1350" s="2">
        <v>441</v>
      </c>
      <c r="C1350" s="30" t="str">
        <f>VLOOKUP(B1350,gachas!A:C,3)</f>
        <v>ピックアップカラーガチャ（青）</v>
      </c>
      <c r="D1350" s="21">
        <v>10</v>
      </c>
      <c r="E1350" s="2">
        <f t="shared" si="311"/>
        <v>33</v>
      </c>
      <c r="F1350" s="2">
        <v>10</v>
      </c>
      <c r="G1350" s="3" t="s">
        <v>22</v>
      </c>
      <c r="H1350" s="2">
        <v>50</v>
      </c>
      <c r="I1350" s="117">
        <v>441100</v>
      </c>
      <c r="J1350" s="112" t="s">
        <v>84</v>
      </c>
      <c r="K1350" s="109" t="s">
        <v>84</v>
      </c>
      <c r="L1350" s="2">
        <v>0</v>
      </c>
      <c r="M1350" s="2" t="s">
        <v>84</v>
      </c>
      <c r="N1350" s="2" t="s">
        <v>84</v>
      </c>
      <c r="O1350" s="2" t="s">
        <v>841</v>
      </c>
      <c r="P1350" s="2" t="s">
        <v>143</v>
      </c>
    </row>
    <row r="1351" spans="1:16" ht="22" customHeight="1" x14ac:dyDescent="0.15">
      <c r="A1351" s="10" t="str">
        <f t="shared" si="310"/>
        <v>441_10_34_10_polygon</v>
      </c>
      <c r="B1351" s="2">
        <v>441</v>
      </c>
      <c r="C1351" s="30" t="str">
        <f>VLOOKUP(B1351,gachas!A:C,3)</f>
        <v>ピックアップカラーガチャ（青）</v>
      </c>
      <c r="D1351" s="21">
        <v>10</v>
      </c>
      <c r="E1351" s="2">
        <f t="shared" si="311"/>
        <v>34</v>
      </c>
      <c r="F1351" s="2">
        <v>10</v>
      </c>
      <c r="G1351" s="3" t="s">
        <v>22</v>
      </c>
      <c r="H1351" s="2">
        <v>50</v>
      </c>
      <c r="I1351" s="117">
        <v>441100</v>
      </c>
      <c r="J1351" s="112" t="s">
        <v>84</v>
      </c>
      <c r="K1351" s="109" t="s">
        <v>84</v>
      </c>
      <c r="L1351" s="2">
        <v>0</v>
      </c>
      <c r="M1351" s="2" t="s">
        <v>84</v>
      </c>
      <c r="N1351" s="2" t="s">
        <v>84</v>
      </c>
      <c r="O1351" s="2" t="s">
        <v>841</v>
      </c>
      <c r="P1351" s="2" t="s">
        <v>143</v>
      </c>
    </row>
    <row r="1352" spans="1:16" ht="22" customHeight="1" x14ac:dyDescent="0.15">
      <c r="A1352" s="10" t="str">
        <f t="shared" si="310"/>
        <v>441_10_35_10_polygon</v>
      </c>
      <c r="B1352" s="2">
        <v>441</v>
      </c>
      <c r="C1352" s="30" t="str">
        <f>VLOOKUP(B1352,gachas!A:C,3)</f>
        <v>ピックアップカラーガチャ（青）</v>
      </c>
      <c r="D1352" s="21">
        <v>10</v>
      </c>
      <c r="E1352" s="2">
        <f t="shared" si="311"/>
        <v>35</v>
      </c>
      <c r="F1352" s="2">
        <v>10</v>
      </c>
      <c r="G1352" s="3" t="s">
        <v>22</v>
      </c>
      <c r="H1352" s="2">
        <v>50</v>
      </c>
      <c r="I1352" s="117">
        <v>441100</v>
      </c>
      <c r="J1352" s="112" t="s">
        <v>84</v>
      </c>
      <c r="K1352" s="109">
        <v>441105</v>
      </c>
      <c r="L1352" s="2">
        <v>1</v>
      </c>
      <c r="M1352" s="2" t="s">
        <v>84</v>
      </c>
      <c r="N1352" s="2" t="s">
        <v>84</v>
      </c>
      <c r="O1352" s="2" t="s">
        <v>841</v>
      </c>
      <c r="P1352" s="2" t="s">
        <v>1781</v>
      </c>
    </row>
    <row r="1353" spans="1:16" ht="22" customHeight="1" x14ac:dyDescent="0.15">
      <c r="A1353" s="10" t="str">
        <f t="shared" si="310"/>
        <v>441_10_36_10_polygon</v>
      </c>
      <c r="B1353" s="2">
        <v>441</v>
      </c>
      <c r="C1353" s="30" t="str">
        <f>VLOOKUP(B1353,gachas!A:C,3)</f>
        <v>ピックアップカラーガチャ（青）</v>
      </c>
      <c r="D1353" s="21">
        <v>10</v>
      </c>
      <c r="E1353" s="2">
        <f t="shared" si="311"/>
        <v>36</v>
      </c>
      <c r="F1353" s="2">
        <v>10</v>
      </c>
      <c r="G1353" s="3" t="s">
        <v>22</v>
      </c>
      <c r="H1353" s="2">
        <v>25</v>
      </c>
      <c r="I1353" s="117">
        <v>441100</v>
      </c>
      <c r="J1353" s="112" t="s">
        <v>84</v>
      </c>
      <c r="K1353" s="109" t="s">
        <v>84</v>
      </c>
      <c r="L1353" s="2">
        <v>0</v>
      </c>
      <c r="M1353" s="2" t="s">
        <v>84</v>
      </c>
      <c r="N1353" s="2" t="s">
        <v>84</v>
      </c>
      <c r="O1353" s="2" t="s">
        <v>841</v>
      </c>
      <c r="P1353" s="59" t="s">
        <v>1783</v>
      </c>
    </row>
    <row r="1354" spans="1:16" ht="22" customHeight="1" x14ac:dyDescent="0.15">
      <c r="A1354" s="10" t="str">
        <f t="shared" si="310"/>
        <v>441_10_37_10_polygon</v>
      </c>
      <c r="B1354" s="2">
        <v>441</v>
      </c>
      <c r="C1354" s="30" t="str">
        <f>VLOOKUP(B1354,gachas!A:C,3)</f>
        <v>ピックアップカラーガチャ（青）</v>
      </c>
      <c r="D1354" s="21">
        <v>10</v>
      </c>
      <c r="E1354" s="2">
        <f t="shared" si="311"/>
        <v>37</v>
      </c>
      <c r="F1354" s="2">
        <v>10</v>
      </c>
      <c r="G1354" s="3" t="s">
        <v>22</v>
      </c>
      <c r="H1354" s="2">
        <v>50</v>
      </c>
      <c r="I1354" s="117">
        <v>441100</v>
      </c>
      <c r="J1354" s="112" t="s">
        <v>84</v>
      </c>
      <c r="K1354" s="109" t="s">
        <v>84</v>
      </c>
      <c r="L1354" s="2">
        <v>0</v>
      </c>
      <c r="M1354" s="2" t="s">
        <v>84</v>
      </c>
      <c r="N1354" s="2" t="s">
        <v>84</v>
      </c>
      <c r="O1354" s="2" t="s">
        <v>841</v>
      </c>
      <c r="P1354" s="2" t="s">
        <v>143</v>
      </c>
    </row>
    <row r="1355" spans="1:16" ht="22" customHeight="1" x14ac:dyDescent="0.15">
      <c r="A1355" s="10" t="str">
        <f t="shared" si="310"/>
        <v>441_10_38_10_polygon</v>
      </c>
      <c r="B1355" s="2">
        <v>441</v>
      </c>
      <c r="C1355" s="30" t="str">
        <f>VLOOKUP(B1355,gachas!A:C,3)</f>
        <v>ピックアップカラーガチャ（青）</v>
      </c>
      <c r="D1355" s="21">
        <v>10</v>
      </c>
      <c r="E1355" s="2">
        <f t="shared" si="311"/>
        <v>38</v>
      </c>
      <c r="F1355" s="2">
        <v>10</v>
      </c>
      <c r="G1355" s="3" t="s">
        <v>22</v>
      </c>
      <c r="H1355" s="2">
        <v>50</v>
      </c>
      <c r="I1355" s="117">
        <v>441100</v>
      </c>
      <c r="J1355" s="112" t="s">
        <v>84</v>
      </c>
      <c r="K1355" s="109" t="s">
        <v>84</v>
      </c>
      <c r="L1355" s="2">
        <v>0</v>
      </c>
      <c r="M1355" s="2" t="s">
        <v>84</v>
      </c>
      <c r="N1355" s="2" t="s">
        <v>84</v>
      </c>
      <c r="O1355" s="2" t="s">
        <v>841</v>
      </c>
      <c r="P1355" s="2" t="s">
        <v>143</v>
      </c>
    </row>
    <row r="1356" spans="1:16" ht="22" customHeight="1" x14ac:dyDescent="0.15">
      <c r="A1356" s="10" t="str">
        <f t="shared" si="310"/>
        <v>441_10_39_10_polygon</v>
      </c>
      <c r="B1356" s="2">
        <v>441</v>
      </c>
      <c r="C1356" s="30" t="str">
        <f>VLOOKUP(B1356,gachas!A:C,3)</f>
        <v>ピックアップカラーガチャ（青）</v>
      </c>
      <c r="D1356" s="21">
        <v>10</v>
      </c>
      <c r="E1356" s="2">
        <f t="shared" si="311"/>
        <v>39</v>
      </c>
      <c r="F1356" s="2">
        <v>10</v>
      </c>
      <c r="G1356" s="3" t="s">
        <v>22</v>
      </c>
      <c r="H1356" s="2">
        <v>50</v>
      </c>
      <c r="I1356" s="117">
        <v>441100</v>
      </c>
      <c r="J1356" s="112" t="s">
        <v>84</v>
      </c>
      <c r="K1356" s="109" t="s">
        <v>84</v>
      </c>
      <c r="L1356" s="2">
        <v>0</v>
      </c>
      <c r="M1356" s="2" t="s">
        <v>84</v>
      </c>
      <c r="N1356" s="2" t="s">
        <v>84</v>
      </c>
      <c r="O1356" s="2" t="s">
        <v>841</v>
      </c>
      <c r="P1356" s="2" t="s">
        <v>143</v>
      </c>
    </row>
    <row r="1357" spans="1:16" ht="22" customHeight="1" x14ac:dyDescent="0.15">
      <c r="A1357" s="10" t="str">
        <f t="shared" si="310"/>
        <v>441_10_40_10_polygon</v>
      </c>
      <c r="B1357" s="2">
        <v>441</v>
      </c>
      <c r="C1357" s="30" t="str">
        <f>VLOOKUP(B1357,gachas!A:C,3)</f>
        <v>ピックアップカラーガチャ（青）</v>
      </c>
      <c r="D1357" s="21">
        <v>10</v>
      </c>
      <c r="E1357" s="2">
        <f t="shared" si="311"/>
        <v>40</v>
      </c>
      <c r="F1357" s="2">
        <v>10</v>
      </c>
      <c r="G1357" s="3" t="s">
        <v>22</v>
      </c>
      <c r="H1357" s="2">
        <v>50</v>
      </c>
      <c r="I1357" s="117">
        <v>441100</v>
      </c>
      <c r="J1357" s="112" t="s">
        <v>84</v>
      </c>
      <c r="K1357" s="109">
        <v>441105</v>
      </c>
      <c r="L1357" s="2">
        <v>1</v>
      </c>
      <c r="M1357" s="2" t="s">
        <v>84</v>
      </c>
      <c r="N1357" s="2" t="s">
        <v>84</v>
      </c>
      <c r="O1357" s="2" t="s">
        <v>841</v>
      </c>
      <c r="P1357" s="2" t="s">
        <v>1781</v>
      </c>
    </row>
    <row r="1358" spans="1:16" ht="22" customHeight="1" x14ac:dyDescent="0.15">
      <c r="A1358" s="10" t="str">
        <f t="shared" si="310"/>
        <v>441_10_41_10_polygon</v>
      </c>
      <c r="B1358" s="2">
        <v>441</v>
      </c>
      <c r="C1358" s="30" t="str">
        <f>VLOOKUP(B1358,gachas!A:C,3)</f>
        <v>ピックアップカラーガチャ（青）</v>
      </c>
      <c r="D1358" s="21">
        <v>10</v>
      </c>
      <c r="E1358" s="2">
        <f t="shared" si="311"/>
        <v>41</v>
      </c>
      <c r="F1358" s="2">
        <v>10</v>
      </c>
      <c r="G1358" s="3" t="s">
        <v>22</v>
      </c>
      <c r="H1358" s="2">
        <v>25</v>
      </c>
      <c r="I1358" s="117">
        <v>441100</v>
      </c>
      <c r="J1358" s="112" t="s">
        <v>84</v>
      </c>
      <c r="K1358" s="109" t="s">
        <v>84</v>
      </c>
      <c r="L1358" s="2">
        <v>0</v>
      </c>
      <c r="M1358" s="2" t="s">
        <v>84</v>
      </c>
      <c r="N1358" s="2" t="s">
        <v>84</v>
      </c>
      <c r="O1358" s="2" t="s">
        <v>841</v>
      </c>
      <c r="P1358" s="59" t="s">
        <v>1783</v>
      </c>
    </row>
    <row r="1359" spans="1:16" ht="22" customHeight="1" x14ac:dyDescent="0.15">
      <c r="A1359" s="10" t="str">
        <f t="shared" si="310"/>
        <v>441_10_42_10_polygon</v>
      </c>
      <c r="B1359" s="2">
        <v>441</v>
      </c>
      <c r="C1359" s="30" t="str">
        <f>VLOOKUP(B1359,gachas!A:C,3)</f>
        <v>ピックアップカラーガチャ（青）</v>
      </c>
      <c r="D1359" s="21">
        <v>10</v>
      </c>
      <c r="E1359" s="2">
        <f t="shared" si="311"/>
        <v>42</v>
      </c>
      <c r="F1359" s="2">
        <v>10</v>
      </c>
      <c r="G1359" s="3" t="s">
        <v>22</v>
      </c>
      <c r="H1359" s="2">
        <v>50</v>
      </c>
      <c r="I1359" s="117">
        <v>441100</v>
      </c>
      <c r="J1359" s="112" t="s">
        <v>84</v>
      </c>
      <c r="K1359" s="109" t="s">
        <v>84</v>
      </c>
      <c r="L1359" s="2">
        <v>0</v>
      </c>
      <c r="M1359" s="2" t="s">
        <v>84</v>
      </c>
      <c r="N1359" s="2" t="s">
        <v>84</v>
      </c>
      <c r="O1359" s="2" t="s">
        <v>841</v>
      </c>
      <c r="P1359" s="2" t="s">
        <v>143</v>
      </c>
    </row>
    <row r="1360" spans="1:16" ht="22" customHeight="1" x14ac:dyDescent="0.15">
      <c r="A1360" s="10" t="str">
        <f t="shared" si="310"/>
        <v>441_10_43_10_polygon</v>
      </c>
      <c r="B1360" s="2">
        <v>441</v>
      </c>
      <c r="C1360" s="30" t="str">
        <f>VLOOKUP(B1360,gachas!A:C,3)</f>
        <v>ピックアップカラーガチャ（青）</v>
      </c>
      <c r="D1360" s="21">
        <v>10</v>
      </c>
      <c r="E1360" s="2">
        <f t="shared" si="311"/>
        <v>43</v>
      </c>
      <c r="F1360" s="2">
        <v>10</v>
      </c>
      <c r="G1360" s="3" t="s">
        <v>22</v>
      </c>
      <c r="H1360" s="2">
        <v>50</v>
      </c>
      <c r="I1360" s="117">
        <v>441100</v>
      </c>
      <c r="J1360" s="112" t="s">
        <v>84</v>
      </c>
      <c r="K1360" s="109" t="s">
        <v>84</v>
      </c>
      <c r="L1360" s="2">
        <v>0</v>
      </c>
      <c r="M1360" s="2" t="s">
        <v>84</v>
      </c>
      <c r="N1360" s="2" t="s">
        <v>84</v>
      </c>
      <c r="O1360" s="2" t="s">
        <v>841</v>
      </c>
      <c r="P1360" s="2" t="s">
        <v>143</v>
      </c>
    </row>
    <row r="1361" spans="1:16" ht="22" customHeight="1" x14ac:dyDescent="0.15">
      <c r="A1361" s="10" t="str">
        <f t="shared" si="310"/>
        <v>441_10_44_10_polygon</v>
      </c>
      <c r="B1361" s="2">
        <v>441</v>
      </c>
      <c r="C1361" s="30" t="str">
        <f>VLOOKUP(B1361,gachas!A:C,3)</f>
        <v>ピックアップカラーガチャ（青）</v>
      </c>
      <c r="D1361" s="21">
        <v>10</v>
      </c>
      <c r="E1361" s="2">
        <f t="shared" si="311"/>
        <v>44</v>
      </c>
      <c r="F1361" s="2">
        <v>10</v>
      </c>
      <c r="G1361" s="3" t="s">
        <v>22</v>
      </c>
      <c r="H1361" s="2">
        <v>50</v>
      </c>
      <c r="I1361" s="117">
        <v>441100</v>
      </c>
      <c r="J1361" s="112" t="s">
        <v>84</v>
      </c>
      <c r="K1361" s="109" t="s">
        <v>84</v>
      </c>
      <c r="L1361" s="2">
        <v>0</v>
      </c>
      <c r="M1361" s="2" t="s">
        <v>84</v>
      </c>
      <c r="N1361" s="2" t="s">
        <v>84</v>
      </c>
      <c r="O1361" s="2" t="s">
        <v>841</v>
      </c>
      <c r="P1361" s="2" t="s">
        <v>143</v>
      </c>
    </row>
    <row r="1362" spans="1:16" ht="22" customHeight="1" x14ac:dyDescent="0.15">
      <c r="A1362" s="10" t="str">
        <f t="shared" si="310"/>
        <v>441_10_45_10_polygon</v>
      </c>
      <c r="B1362" s="2">
        <v>441</v>
      </c>
      <c r="C1362" s="30" t="str">
        <f>VLOOKUP(B1362,gachas!A:C,3)</f>
        <v>ピックアップカラーガチャ（青）</v>
      </c>
      <c r="D1362" s="21">
        <v>10</v>
      </c>
      <c r="E1362" s="2">
        <f t="shared" si="311"/>
        <v>45</v>
      </c>
      <c r="F1362" s="2">
        <v>10</v>
      </c>
      <c r="G1362" s="3" t="s">
        <v>22</v>
      </c>
      <c r="H1362" s="2">
        <v>50</v>
      </c>
      <c r="I1362" s="117">
        <v>441100</v>
      </c>
      <c r="J1362" s="112" t="s">
        <v>84</v>
      </c>
      <c r="K1362" s="109">
        <v>441105</v>
      </c>
      <c r="L1362" s="2">
        <v>1</v>
      </c>
      <c r="M1362" s="2" t="s">
        <v>84</v>
      </c>
      <c r="N1362" s="2" t="s">
        <v>84</v>
      </c>
      <c r="O1362" s="2" t="s">
        <v>841</v>
      </c>
      <c r="P1362" s="2" t="s">
        <v>1781</v>
      </c>
    </row>
    <row r="1363" spans="1:16" ht="22" customHeight="1" x14ac:dyDescent="0.15">
      <c r="A1363" s="10" t="str">
        <f t="shared" si="310"/>
        <v>441_10_46_10_polygon</v>
      </c>
      <c r="B1363" s="2">
        <v>441</v>
      </c>
      <c r="C1363" s="30" t="str">
        <f>VLOOKUP(B1363,gachas!A:C,3)</f>
        <v>ピックアップカラーガチャ（青）</v>
      </c>
      <c r="D1363" s="21">
        <v>10</v>
      </c>
      <c r="E1363" s="2">
        <f t="shared" si="311"/>
        <v>46</v>
      </c>
      <c r="F1363" s="2">
        <v>10</v>
      </c>
      <c r="G1363" s="3" t="s">
        <v>22</v>
      </c>
      <c r="H1363" s="2">
        <v>25</v>
      </c>
      <c r="I1363" s="117">
        <v>441100</v>
      </c>
      <c r="J1363" s="112" t="s">
        <v>84</v>
      </c>
      <c r="K1363" s="109" t="s">
        <v>84</v>
      </c>
      <c r="L1363" s="2">
        <v>0</v>
      </c>
      <c r="M1363" s="2" t="s">
        <v>84</v>
      </c>
      <c r="N1363" s="2" t="s">
        <v>84</v>
      </c>
      <c r="O1363" s="2" t="s">
        <v>841</v>
      </c>
      <c r="P1363" s="59" t="s">
        <v>1783</v>
      </c>
    </row>
    <row r="1364" spans="1:16" ht="22" customHeight="1" x14ac:dyDescent="0.15">
      <c r="A1364" s="10" t="str">
        <f t="shared" si="310"/>
        <v>441_10_47_10_polygon</v>
      </c>
      <c r="B1364" s="2">
        <v>441</v>
      </c>
      <c r="C1364" s="30" t="str">
        <f>VLOOKUP(B1364,gachas!A:C,3)</f>
        <v>ピックアップカラーガチャ（青）</v>
      </c>
      <c r="D1364" s="21">
        <v>10</v>
      </c>
      <c r="E1364" s="2">
        <f t="shared" si="311"/>
        <v>47</v>
      </c>
      <c r="F1364" s="2">
        <v>10</v>
      </c>
      <c r="G1364" s="3" t="s">
        <v>22</v>
      </c>
      <c r="H1364" s="2">
        <v>50</v>
      </c>
      <c r="I1364" s="117">
        <v>441100</v>
      </c>
      <c r="J1364" s="112" t="s">
        <v>84</v>
      </c>
      <c r="K1364" s="109" t="s">
        <v>84</v>
      </c>
      <c r="L1364" s="2">
        <v>0</v>
      </c>
      <c r="M1364" s="2" t="s">
        <v>84</v>
      </c>
      <c r="N1364" s="2" t="s">
        <v>84</v>
      </c>
      <c r="O1364" s="2" t="s">
        <v>841</v>
      </c>
      <c r="P1364" s="2" t="s">
        <v>143</v>
      </c>
    </row>
    <row r="1365" spans="1:16" ht="22" customHeight="1" x14ac:dyDescent="0.15">
      <c r="A1365" s="10" t="str">
        <f t="shared" si="310"/>
        <v>441_10_48_10_polygon</v>
      </c>
      <c r="B1365" s="2">
        <v>441</v>
      </c>
      <c r="C1365" s="30" t="str">
        <f>VLOOKUP(B1365,gachas!A:C,3)</f>
        <v>ピックアップカラーガチャ（青）</v>
      </c>
      <c r="D1365" s="21">
        <v>10</v>
      </c>
      <c r="E1365" s="2">
        <f t="shared" si="311"/>
        <v>48</v>
      </c>
      <c r="F1365" s="2">
        <v>10</v>
      </c>
      <c r="G1365" s="3" t="s">
        <v>22</v>
      </c>
      <c r="H1365" s="2">
        <v>50</v>
      </c>
      <c r="I1365" s="117">
        <v>441100</v>
      </c>
      <c r="J1365" s="112" t="s">
        <v>84</v>
      </c>
      <c r="K1365" s="109" t="s">
        <v>84</v>
      </c>
      <c r="L1365" s="2">
        <v>0</v>
      </c>
      <c r="M1365" s="2" t="s">
        <v>84</v>
      </c>
      <c r="N1365" s="2" t="s">
        <v>84</v>
      </c>
      <c r="O1365" s="2" t="s">
        <v>841</v>
      </c>
      <c r="P1365" s="2" t="s">
        <v>143</v>
      </c>
    </row>
    <row r="1366" spans="1:16" ht="22" customHeight="1" x14ac:dyDescent="0.15">
      <c r="A1366" s="10" t="str">
        <f t="shared" si="310"/>
        <v>441_10_49_10_polygon</v>
      </c>
      <c r="B1366" s="2">
        <v>441</v>
      </c>
      <c r="C1366" s="30" t="str">
        <f>VLOOKUP(B1366,gachas!A:C,3)</f>
        <v>ピックアップカラーガチャ（青）</v>
      </c>
      <c r="D1366" s="21">
        <v>10</v>
      </c>
      <c r="E1366" s="2">
        <f t="shared" si="311"/>
        <v>49</v>
      </c>
      <c r="F1366" s="2">
        <v>10</v>
      </c>
      <c r="G1366" s="3" t="s">
        <v>22</v>
      </c>
      <c r="H1366" s="2">
        <v>50</v>
      </c>
      <c r="I1366" s="117">
        <v>441100</v>
      </c>
      <c r="J1366" s="112" t="s">
        <v>84</v>
      </c>
      <c r="K1366" s="109" t="s">
        <v>84</v>
      </c>
      <c r="L1366" s="2">
        <v>0</v>
      </c>
      <c r="M1366" s="2" t="s">
        <v>84</v>
      </c>
      <c r="N1366" s="2" t="s">
        <v>84</v>
      </c>
      <c r="O1366" s="2" t="s">
        <v>841</v>
      </c>
      <c r="P1366" s="2" t="s">
        <v>143</v>
      </c>
    </row>
    <row r="1367" spans="1:16" ht="22" customHeight="1" x14ac:dyDescent="0.15">
      <c r="A1367" s="10" t="str">
        <f t="shared" ref="A1367:A1374" si="312">B1367&amp;"_"&amp;D1367&amp;"_"&amp;E1367&amp;"_"&amp;F1367&amp;"_"&amp;G1367</f>
        <v>441_10_50_10_polygon</v>
      </c>
      <c r="B1367" s="2">
        <v>441</v>
      </c>
      <c r="C1367" s="30" t="str">
        <f>VLOOKUP(B1367,gachas!A:C,3)</f>
        <v>ピックアップカラーガチャ（青）</v>
      </c>
      <c r="D1367" s="21">
        <v>10</v>
      </c>
      <c r="E1367" s="2">
        <f t="shared" si="311"/>
        <v>50</v>
      </c>
      <c r="F1367" s="2">
        <v>10</v>
      </c>
      <c r="G1367" s="3" t="s">
        <v>22</v>
      </c>
      <c r="H1367" s="2">
        <v>50</v>
      </c>
      <c r="I1367" s="117">
        <v>441100</v>
      </c>
      <c r="J1367" s="112" t="s">
        <v>84</v>
      </c>
      <c r="K1367" s="109">
        <v>441105</v>
      </c>
      <c r="L1367" s="2">
        <v>1</v>
      </c>
      <c r="M1367" s="2" t="s">
        <v>84</v>
      </c>
      <c r="N1367" s="2" t="s">
        <v>84</v>
      </c>
      <c r="O1367" s="2" t="s">
        <v>841</v>
      </c>
      <c r="P1367" s="2" t="s">
        <v>1781</v>
      </c>
    </row>
    <row r="1368" spans="1:16" ht="22" customHeight="1" x14ac:dyDescent="0.15">
      <c r="A1368" s="10" t="str">
        <f t="shared" si="312"/>
        <v>442_10_1_1_polygon</v>
      </c>
      <c r="B1368" s="2">
        <v>442</v>
      </c>
      <c r="C1368" s="30" t="str">
        <f>VLOOKUP(B1368,gachas!A:C,3)</f>
        <v>ランキング対抗ガチャ&lt;ウィグナー&gt;</v>
      </c>
      <c r="D1368" s="21">
        <v>10</v>
      </c>
      <c r="E1368" s="2">
        <v>1</v>
      </c>
      <c r="F1368" s="2">
        <v>1</v>
      </c>
      <c r="G1368" s="3" t="s">
        <v>22</v>
      </c>
      <c r="H1368" s="2">
        <v>1</v>
      </c>
      <c r="I1368" s="117" t="str">
        <f t="shared" ref="I1368" si="313">B1368&amp;TEXT(D1368,"00")&amp;E1368</f>
        <v>442101</v>
      </c>
      <c r="J1368" s="112" t="s">
        <v>84</v>
      </c>
      <c r="K1368" s="2" t="s">
        <v>84</v>
      </c>
      <c r="L1368" s="2">
        <v>0</v>
      </c>
      <c r="M1368" s="2" t="s">
        <v>84</v>
      </c>
      <c r="N1368" s="2" t="s">
        <v>84</v>
      </c>
      <c r="O1368" s="2" t="s">
        <v>841</v>
      </c>
      <c r="P1368" s="2" t="s">
        <v>1278</v>
      </c>
    </row>
    <row r="1369" spans="1:16" ht="22" customHeight="1" x14ac:dyDescent="0.15">
      <c r="A1369" s="10" t="str">
        <f t="shared" si="312"/>
        <v>442_10_2_3_polygon</v>
      </c>
      <c r="B1369" s="2">
        <v>442</v>
      </c>
      <c r="C1369" s="30" t="str">
        <f>VLOOKUP(B1369,gachas!A:C,3)</f>
        <v>ランキング対抗ガチャ&lt;ウィグナー&gt;</v>
      </c>
      <c r="D1369" s="21">
        <v>10</v>
      </c>
      <c r="E1369" s="2">
        <v>2</v>
      </c>
      <c r="F1369" s="2">
        <v>3</v>
      </c>
      <c r="G1369" s="3" t="s">
        <v>22</v>
      </c>
      <c r="H1369" s="2">
        <v>9</v>
      </c>
      <c r="I1369" s="117">
        <v>442101</v>
      </c>
      <c r="J1369" s="112" t="s">
        <v>84</v>
      </c>
      <c r="K1369" s="2" t="s">
        <v>84</v>
      </c>
      <c r="L1369" s="2">
        <v>0</v>
      </c>
      <c r="M1369" s="2" t="s">
        <v>84</v>
      </c>
      <c r="N1369" s="2" t="s">
        <v>84</v>
      </c>
      <c r="O1369" s="2" t="s">
        <v>841</v>
      </c>
      <c r="P1369" s="2" t="s">
        <v>1273</v>
      </c>
    </row>
    <row r="1370" spans="1:16" ht="22" customHeight="1" x14ac:dyDescent="0.15">
      <c r="A1370" s="10" t="str">
        <f t="shared" si="312"/>
        <v>442_10_3_10_polygon</v>
      </c>
      <c r="B1370" s="2">
        <v>442</v>
      </c>
      <c r="C1370" s="30" t="str">
        <f>VLOOKUP(B1370,gachas!A:C,3)</f>
        <v>ランキング対抗ガチャ&lt;ウィグナー&gt;</v>
      </c>
      <c r="D1370" s="21">
        <v>10</v>
      </c>
      <c r="E1370" s="2">
        <v>3</v>
      </c>
      <c r="F1370" s="2">
        <v>10</v>
      </c>
      <c r="G1370" s="3" t="s">
        <v>22</v>
      </c>
      <c r="H1370" s="2">
        <v>35</v>
      </c>
      <c r="I1370" s="117" t="str">
        <f t="shared" ref="I1370:I1372" si="314">B1370&amp;TEXT(D1370,"00")&amp;E1370</f>
        <v>442103</v>
      </c>
      <c r="J1370" s="112" t="s">
        <v>84</v>
      </c>
      <c r="K1370" s="2">
        <v>442103</v>
      </c>
      <c r="L1370" s="2">
        <v>1</v>
      </c>
      <c r="M1370" s="2" t="s">
        <v>84</v>
      </c>
      <c r="N1370" s="2" t="s">
        <v>84</v>
      </c>
      <c r="O1370" s="2" t="s">
        <v>841</v>
      </c>
      <c r="P1370" s="2" t="s">
        <v>1505</v>
      </c>
    </row>
    <row r="1371" spans="1:16" ht="22" customHeight="1" x14ac:dyDescent="0.15">
      <c r="A1371" s="10" t="str">
        <f t="shared" si="312"/>
        <v>442_10_4_10_polygon</v>
      </c>
      <c r="B1371" s="2">
        <v>442</v>
      </c>
      <c r="C1371" s="30" t="str">
        <f>VLOOKUP(B1371,gachas!A:C,3)</f>
        <v>ランキング対抗ガチャ&lt;ウィグナー&gt;</v>
      </c>
      <c r="D1371" s="21">
        <v>10</v>
      </c>
      <c r="E1371" s="2">
        <v>4</v>
      </c>
      <c r="F1371" s="2">
        <v>10</v>
      </c>
      <c r="G1371" s="3" t="s">
        <v>22</v>
      </c>
      <c r="H1371" s="2">
        <v>50</v>
      </c>
      <c r="I1371" s="117" t="str">
        <f t="shared" si="314"/>
        <v>442104</v>
      </c>
      <c r="J1371" s="128" t="str">
        <f>I1371</f>
        <v>442104</v>
      </c>
      <c r="K1371" s="2" t="s">
        <v>84</v>
      </c>
      <c r="L1371" s="2">
        <v>0</v>
      </c>
      <c r="M1371" s="2" t="s">
        <v>84</v>
      </c>
      <c r="N1371" s="2" t="s">
        <v>84</v>
      </c>
      <c r="O1371" s="2" t="s">
        <v>841</v>
      </c>
      <c r="P1371" s="2" t="s">
        <v>1502</v>
      </c>
    </row>
    <row r="1372" spans="1:16" ht="22" customHeight="1" x14ac:dyDescent="0.15">
      <c r="A1372" s="10" t="str">
        <f t="shared" si="312"/>
        <v>442_10_5_10_polygon</v>
      </c>
      <c r="B1372" s="2">
        <v>442</v>
      </c>
      <c r="C1372" s="30" t="str">
        <f>VLOOKUP(B1372,gachas!A:C,3)</f>
        <v>ランキング対抗ガチャ&lt;ウィグナー&gt;</v>
      </c>
      <c r="D1372" s="21">
        <v>10</v>
      </c>
      <c r="E1372" s="2">
        <v>5</v>
      </c>
      <c r="F1372" s="2">
        <v>10</v>
      </c>
      <c r="G1372" s="3" t="s">
        <v>22</v>
      </c>
      <c r="H1372" s="2">
        <v>50</v>
      </c>
      <c r="I1372" s="117" t="str">
        <f t="shared" si="314"/>
        <v>442105</v>
      </c>
      <c r="J1372" s="128" t="str">
        <f>I1372</f>
        <v>442105</v>
      </c>
      <c r="K1372" s="2" t="s">
        <v>84</v>
      </c>
      <c r="L1372" s="2">
        <v>0</v>
      </c>
      <c r="M1372" s="2" t="s">
        <v>84</v>
      </c>
      <c r="N1372" s="2" t="s">
        <v>84</v>
      </c>
      <c r="O1372" s="2" t="s">
        <v>841</v>
      </c>
      <c r="P1372" s="2" t="s">
        <v>1503</v>
      </c>
    </row>
    <row r="1373" spans="1:16" ht="22" customHeight="1" x14ac:dyDescent="0.15">
      <c r="A1373" s="10" t="str">
        <f t="shared" si="312"/>
        <v>442_10_6_10_polygon</v>
      </c>
      <c r="B1373" s="2">
        <v>442</v>
      </c>
      <c r="C1373" s="30" t="str">
        <f>VLOOKUP(B1373,gachas!A:C,3)</f>
        <v>ランキング対抗ガチャ&lt;ウィグナー&gt;</v>
      </c>
      <c r="D1373" s="21">
        <v>10</v>
      </c>
      <c r="E1373" s="2">
        <v>6</v>
      </c>
      <c r="F1373" s="2">
        <v>10</v>
      </c>
      <c r="G1373" s="3" t="s">
        <v>22</v>
      </c>
      <c r="H1373" s="2">
        <v>50</v>
      </c>
      <c r="I1373" s="117">
        <v>442100</v>
      </c>
      <c r="J1373" s="112" t="s">
        <v>84</v>
      </c>
      <c r="K1373" s="2" t="s">
        <v>84</v>
      </c>
      <c r="L1373" s="2">
        <v>0</v>
      </c>
      <c r="M1373" s="2" t="s">
        <v>84</v>
      </c>
      <c r="N1373" s="2" t="s">
        <v>84</v>
      </c>
      <c r="O1373" s="2" t="s">
        <v>841</v>
      </c>
      <c r="P1373" s="2" t="s">
        <v>1504</v>
      </c>
    </row>
    <row r="1374" spans="1:16" ht="22" customHeight="1" x14ac:dyDescent="0.15">
      <c r="A1374" s="10" t="str">
        <f t="shared" si="312"/>
        <v>442_10_0_10_polygon</v>
      </c>
      <c r="B1374" s="2">
        <v>442</v>
      </c>
      <c r="C1374" s="30" t="str">
        <f>VLOOKUP(B1374,gachas!A:C,3)</f>
        <v>ランキング対抗ガチャ&lt;ウィグナー&gt;</v>
      </c>
      <c r="D1374" s="21">
        <v>10</v>
      </c>
      <c r="E1374" s="2">
        <v>0</v>
      </c>
      <c r="F1374" s="2">
        <v>10</v>
      </c>
      <c r="G1374" s="3" t="s">
        <v>22</v>
      </c>
      <c r="H1374" s="2">
        <v>50</v>
      </c>
      <c r="I1374" s="117" t="str">
        <f t="shared" ref="I1374" si="315">B1374&amp;TEXT(D1374,"00")&amp;E1374</f>
        <v>442100</v>
      </c>
      <c r="J1374" s="112" t="s">
        <v>84</v>
      </c>
      <c r="K1374" s="2" t="s">
        <v>84</v>
      </c>
      <c r="L1374" s="2">
        <v>0</v>
      </c>
      <c r="M1374" s="2" t="s">
        <v>84</v>
      </c>
      <c r="N1374" s="2" t="s">
        <v>84</v>
      </c>
      <c r="O1374" s="2" t="s">
        <v>841</v>
      </c>
      <c r="P1374" s="2" t="s">
        <v>1508</v>
      </c>
    </row>
    <row r="1375" spans="1:16" ht="22" customHeight="1" x14ac:dyDescent="0.15">
      <c r="A1375" s="10" t="str">
        <f t="shared" ref="A1375:A1377" si="316">B1375&amp;"_"&amp;D1375&amp;"_"&amp;E1375&amp;"_"&amp;F1375&amp;"_"&amp;G1375</f>
        <v>443_1_0_1_polygon</v>
      </c>
      <c r="B1375" s="2">
        <v>443</v>
      </c>
      <c r="C1375" s="30" t="str">
        <f>VLOOKUP(B1375,gachas!A:C,3)</f>
        <v>ニューフェイスガチャ（ギリシャ神話第2弾）</v>
      </c>
      <c r="D1375" s="21">
        <v>1</v>
      </c>
      <c r="E1375" s="2">
        <v>0</v>
      </c>
      <c r="F1375" s="2">
        <v>1</v>
      </c>
      <c r="G1375" s="3" t="s">
        <v>22</v>
      </c>
      <c r="H1375" s="2">
        <v>5</v>
      </c>
      <c r="I1375" s="117" t="str">
        <f t="shared" ref="I1375:I1376" si="317">B1375&amp;TEXT(D1375,"00")&amp;E1375</f>
        <v>443010</v>
      </c>
      <c r="J1375" s="112" t="s">
        <v>84</v>
      </c>
      <c r="K1375" s="2" t="s">
        <v>84</v>
      </c>
      <c r="L1375" s="2">
        <v>0</v>
      </c>
      <c r="M1375" s="2" t="s">
        <v>84</v>
      </c>
      <c r="N1375" s="2" t="s">
        <v>84</v>
      </c>
      <c r="O1375" s="2" t="s">
        <v>841</v>
      </c>
      <c r="P1375" s="2" t="s">
        <v>1887</v>
      </c>
    </row>
    <row r="1376" spans="1:16" ht="22" customHeight="1" x14ac:dyDescent="0.15">
      <c r="A1376" s="10" t="str">
        <f t="shared" si="316"/>
        <v>443_10_0_10_polygon</v>
      </c>
      <c r="B1376" s="2">
        <v>443</v>
      </c>
      <c r="C1376" s="30" t="str">
        <f>VLOOKUP(B1376,gachas!A:C,3)</f>
        <v>ニューフェイスガチャ（ギリシャ神話第2弾）</v>
      </c>
      <c r="D1376" s="21">
        <v>10</v>
      </c>
      <c r="E1376" s="2">
        <v>0</v>
      </c>
      <c r="F1376" s="2">
        <v>10</v>
      </c>
      <c r="G1376" s="3" t="s">
        <v>22</v>
      </c>
      <c r="H1376" s="2">
        <v>50</v>
      </c>
      <c r="I1376" s="117" t="str">
        <f t="shared" si="317"/>
        <v>443100</v>
      </c>
      <c r="J1376" s="112" t="s">
        <v>84</v>
      </c>
      <c r="K1376" s="2">
        <v>443100</v>
      </c>
      <c r="L1376" s="2">
        <v>1</v>
      </c>
      <c r="M1376" s="2" t="s">
        <v>84</v>
      </c>
      <c r="N1376" s="2" t="s">
        <v>84</v>
      </c>
      <c r="O1376" s="2" t="s">
        <v>841</v>
      </c>
      <c r="P1376" s="2" t="s">
        <v>1919</v>
      </c>
    </row>
    <row r="1377" spans="1:16" ht="22" customHeight="1" x14ac:dyDescent="0.15">
      <c r="A1377" s="10" t="str">
        <f t="shared" si="316"/>
        <v>444_10_1_1_polygon</v>
      </c>
      <c r="B1377" s="2">
        <v>444</v>
      </c>
      <c r="C1377" s="30" t="str">
        <f>VLOOKUP(B1377,gachas!A:C,3)</f>
        <v>確定ステップアップガチャ</v>
      </c>
      <c r="D1377" s="21">
        <v>10</v>
      </c>
      <c r="E1377" s="2">
        <v>1</v>
      </c>
      <c r="F1377" s="2">
        <v>1</v>
      </c>
      <c r="G1377" s="3" t="s">
        <v>22</v>
      </c>
      <c r="H1377" s="2">
        <v>3</v>
      </c>
      <c r="I1377" s="112">
        <v>444101</v>
      </c>
      <c r="J1377" s="112" t="s">
        <v>84</v>
      </c>
      <c r="K1377" s="112" t="s">
        <v>84</v>
      </c>
      <c r="L1377" s="2">
        <v>0</v>
      </c>
      <c r="M1377" s="2" t="s">
        <v>84</v>
      </c>
      <c r="N1377" s="2" t="s">
        <v>84</v>
      </c>
      <c r="O1377" s="2" t="s">
        <v>841</v>
      </c>
      <c r="P1377" s="2" t="s">
        <v>1920</v>
      </c>
    </row>
    <row r="1378" spans="1:16" ht="22" customHeight="1" x14ac:dyDescent="0.15">
      <c r="A1378" s="10" t="str">
        <f t="shared" ref="A1378:A1427" si="318">B1378&amp;"_"&amp;D1378&amp;"_"&amp;E1378&amp;"_"&amp;F1378&amp;"_"&amp;G1378</f>
        <v>444_10_2_3_polygon</v>
      </c>
      <c r="B1378" s="2">
        <v>444</v>
      </c>
      <c r="C1378" s="30" t="str">
        <f>VLOOKUP(B1378,gachas!A:C,3)</f>
        <v>確定ステップアップガチャ</v>
      </c>
      <c r="D1378" s="21">
        <v>10</v>
      </c>
      <c r="E1378" s="2">
        <v>2</v>
      </c>
      <c r="F1378" s="2">
        <v>3</v>
      </c>
      <c r="G1378" s="3" t="s">
        <v>22</v>
      </c>
      <c r="H1378" s="2">
        <v>9</v>
      </c>
      <c r="I1378" s="112">
        <v>444101</v>
      </c>
      <c r="J1378" s="112">
        <v>444102</v>
      </c>
      <c r="K1378" s="112" t="s">
        <v>84</v>
      </c>
      <c r="L1378" s="2">
        <v>0</v>
      </c>
      <c r="M1378" s="2" t="s">
        <v>84</v>
      </c>
      <c r="N1378" s="2" t="s">
        <v>84</v>
      </c>
      <c r="O1378" s="2" t="s">
        <v>841</v>
      </c>
      <c r="P1378" s="2" t="s">
        <v>1921</v>
      </c>
    </row>
    <row r="1379" spans="1:16" ht="22" customHeight="1" x14ac:dyDescent="0.15">
      <c r="A1379" s="10" t="str">
        <f t="shared" si="318"/>
        <v>444_10_3_5_polygon</v>
      </c>
      <c r="B1379" s="2">
        <v>444</v>
      </c>
      <c r="C1379" s="30" t="str">
        <f>VLOOKUP(B1379,gachas!A:C,3)</f>
        <v>確定ステップアップガチャ</v>
      </c>
      <c r="D1379" s="21">
        <v>10</v>
      </c>
      <c r="E1379" s="2">
        <v>3</v>
      </c>
      <c r="F1379" s="2">
        <v>5</v>
      </c>
      <c r="G1379" s="3" t="s">
        <v>22</v>
      </c>
      <c r="H1379" s="2">
        <v>15</v>
      </c>
      <c r="I1379" s="112">
        <v>444100</v>
      </c>
      <c r="J1379" s="112">
        <v>444103</v>
      </c>
      <c r="K1379" s="112" t="s">
        <v>84</v>
      </c>
      <c r="L1379" s="2">
        <v>0</v>
      </c>
      <c r="M1379" s="2" t="s">
        <v>84</v>
      </c>
      <c r="N1379" s="2" t="s">
        <v>84</v>
      </c>
      <c r="O1379" s="2" t="s">
        <v>841</v>
      </c>
      <c r="P1379" s="2" t="s">
        <v>1922</v>
      </c>
    </row>
    <row r="1380" spans="1:16" ht="22" customHeight="1" x14ac:dyDescent="0.15">
      <c r="A1380" s="10" t="str">
        <f t="shared" si="318"/>
        <v>444_10_4_10_polygon</v>
      </c>
      <c r="B1380" s="2">
        <v>444</v>
      </c>
      <c r="C1380" s="30" t="str">
        <f>VLOOKUP(B1380,gachas!A:C,3)</f>
        <v>確定ステップアップガチャ</v>
      </c>
      <c r="D1380" s="21">
        <v>10</v>
      </c>
      <c r="E1380" s="2">
        <v>4</v>
      </c>
      <c r="F1380" s="2">
        <v>10</v>
      </c>
      <c r="G1380" s="3" t="s">
        <v>22</v>
      </c>
      <c r="H1380" s="2">
        <v>35</v>
      </c>
      <c r="I1380" s="112">
        <v>444100</v>
      </c>
      <c r="J1380" s="112">
        <v>444104</v>
      </c>
      <c r="K1380" s="112" t="s">
        <v>84</v>
      </c>
      <c r="L1380" s="2">
        <v>0</v>
      </c>
      <c r="M1380" s="2" t="s">
        <v>84</v>
      </c>
      <c r="N1380" s="2" t="s">
        <v>84</v>
      </c>
      <c r="O1380" s="2" t="s">
        <v>841</v>
      </c>
      <c r="P1380" s="2" t="s">
        <v>1923</v>
      </c>
    </row>
    <row r="1381" spans="1:16" ht="22" customHeight="1" x14ac:dyDescent="0.15">
      <c r="A1381" s="10" t="str">
        <f t="shared" si="318"/>
        <v>444_10_5_10_polygon</v>
      </c>
      <c r="B1381" s="2">
        <v>444</v>
      </c>
      <c r="C1381" s="30" t="str">
        <f>VLOOKUP(B1381,gachas!A:C,3)</f>
        <v>確定ステップアップガチャ</v>
      </c>
      <c r="D1381" s="21">
        <v>10</v>
      </c>
      <c r="E1381" s="2">
        <v>5</v>
      </c>
      <c r="F1381" s="2">
        <v>10</v>
      </c>
      <c r="G1381" s="3" t="s">
        <v>22</v>
      </c>
      <c r="H1381" s="2">
        <v>50</v>
      </c>
      <c r="I1381" s="112">
        <v>444100</v>
      </c>
      <c r="J1381" s="112" t="s">
        <v>1736</v>
      </c>
      <c r="K1381" s="112">
        <v>444105</v>
      </c>
      <c r="L1381" s="2">
        <v>1</v>
      </c>
      <c r="M1381" s="2" t="s">
        <v>84</v>
      </c>
      <c r="N1381" s="2" t="s">
        <v>84</v>
      </c>
      <c r="O1381" s="2" t="s">
        <v>841</v>
      </c>
      <c r="P1381" s="2" t="s">
        <v>1924</v>
      </c>
    </row>
    <row r="1382" spans="1:16" ht="22" customHeight="1" x14ac:dyDescent="0.15">
      <c r="A1382" s="10" t="str">
        <f t="shared" si="318"/>
        <v>444_10_6_1_polygon</v>
      </c>
      <c r="B1382" s="2">
        <v>444</v>
      </c>
      <c r="C1382" s="30" t="str">
        <f>VLOOKUP(B1382,gachas!A:C,3)</f>
        <v>確定ステップアップガチャ</v>
      </c>
      <c r="D1382" s="21">
        <v>10</v>
      </c>
      <c r="E1382" s="2">
        <v>6</v>
      </c>
      <c r="F1382" s="2">
        <v>1</v>
      </c>
      <c r="G1382" s="3" t="s">
        <v>22</v>
      </c>
      <c r="H1382" s="2">
        <v>3</v>
      </c>
      <c r="I1382" s="112">
        <v>444101</v>
      </c>
      <c r="J1382" s="112" t="s">
        <v>84</v>
      </c>
      <c r="K1382" s="112" t="s">
        <v>84</v>
      </c>
      <c r="L1382" s="2">
        <v>0</v>
      </c>
      <c r="M1382" s="2" t="s">
        <v>84</v>
      </c>
      <c r="N1382" s="2" t="s">
        <v>84</v>
      </c>
      <c r="O1382" s="2" t="s">
        <v>841</v>
      </c>
      <c r="P1382" s="2" t="s">
        <v>1920</v>
      </c>
    </row>
    <row r="1383" spans="1:16" ht="22" customHeight="1" x14ac:dyDescent="0.15">
      <c r="A1383" s="10" t="str">
        <f t="shared" si="318"/>
        <v>444_10_7_3_polygon</v>
      </c>
      <c r="B1383" s="2">
        <v>444</v>
      </c>
      <c r="C1383" s="30" t="str">
        <f>VLOOKUP(B1383,gachas!A:C,3)</f>
        <v>確定ステップアップガチャ</v>
      </c>
      <c r="D1383" s="21">
        <v>10</v>
      </c>
      <c r="E1383" s="2">
        <v>7</v>
      </c>
      <c r="F1383" s="2">
        <v>3</v>
      </c>
      <c r="G1383" s="3" t="s">
        <v>22</v>
      </c>
      <c r="H1383" s="2">
        <v>9</v>
      </c>
      <c r="I1383" s="112">
        <v>444101</v>
      </c>
      <c r="J1383" s="112">
        <v>444102</v>
      </c>
      <c r="K1383" s="112" t="s">
        <v>84</v>
      </c>
      <c r="L1383" s="2">
        <v>0</v>
      </c>
      <c r="M1383" s="2" t="s">
        <v>84</v>
      </c>
      <c r="N1383" s="2" t="s">
        <v>84</v>
      </c>
      <c r="O1383" s="2" t="s">
        <v>841</v>
      </c>
      <c r="P1383" s="2" t="s">
        <v>1921</v>
      </c>
    </row>
    <row r="1384" spans="1:16" ht="22" customHeight="1" x14ac:dyDescent="0.15">
      <c r="A1384" s="10" t="str">
        <f t="shared" si="318"/>
        <v>444_10_8_5_polygon</v>
      </c>
      <c r="B1384" s="2">
        <v>444</v>
      </c>
      <c r="C1384" s="30" t="str">
        <f>VLOOKUP(B1384,gachas!A:C,3)</f>
        <v>確定ステップアップガチャ</v>
      </c>
      <c r="D1384" s="21">
        <v>10</v>
      </c>
      <c r="E1384" s="2">
        <v>8</v>
      </c>
      <c r="F1384" s="2">
        <v>5</v>
      </c>
      <c r="G1384" s="3" t="s">
        <v>22</v>
      </c>
      <c r="H1384" s="2">
        <v>15</v>
      </c>
      <c r="I1384" s="112">
        <v>444100</v>
      </c>
      <c r="J1384" s="112">
        <v>444103</v>
      </c>
      <c r="K1384" s="112" t="s">
        <v>84</v>
      </c>
      <c r="L1384" s="2">
        <v>0</v>
      </c>
      <c r="M1384" s="2" t="s">
        <v>84</v>
      </c>
      <c r="N1384" s="2" t="s">
        <v>84</v>
      </c>
      <c r="O1384" s="2" t="s">
        <v>841</v>
      </c>
      <c r="P1384" s="2" t="s">
        <v>1922</v>
      </c>
    </row>
    <row r="1385" spans="1:16" ht="22" customHeight="1" x14ac:dyDescent="0.15">
      <c r="A1385" s="10" t="str">
        <f t="shared" si="318"/>
        <v>444_10_9_10_polygon</v>
      </c>
      <c r="B1385" s="2">
        <v>444</v>
      </c>
      <c r="C1385" s="30" t="str">
        <f>VLOOKUP(B1385,gachas!A:C,3)</f>
        <v>確定ステップアップガチャ</v>
      </c>
      <c r="D1385" s="21">
        <v>10</v>
      </c>
      <c r="E1385" s="2">
        <v>9</v>
      </c>
      <c r="F1385" s="2">
        <v>10</v>
      </c>
      <c r="G1385" s="3" t="s">
        <v>22</v>
      </c>
      <c r="H1385" s="2">
        <v>35</v>
      </c>
      <c r="I1385" s="112">
        <v>444100</v>
      </c>
      <c r="J1385" s="112">
        <v>444104</v>
      </c>
      <c r="K1385" s="112" t="s">
        <v>84</v>
      </c>
      <c r="L1385" s="2">
        <v>0</v>
      </c>
      <c r="M1385" s="2" t="s">
        <v>84</v>
      </c>
      <c r="N1385" s="2" t="s">
        <v>84</v>
      </c>
      <c r="O1385" s="2" t="s">
        <v>841</v>
      </c>
      <c r="P1385" s="2" t="s">
        <v>1923</v>
      </c>
    </row>
    <row r="1386" spans="1:16" ht="22" customHeight="1" x14ac:dyDescent="0.15">
      <c r="A1386" s="10" t="str">
        <f t="shared" si="318"/>
        <v>444_10_10_10_polygon</v>
      </c>
      <c r="B1386" s="2">
        <v>444</v>
      </c>
      <c r="C1386" s="30" t="str">
        <f>VLOOKUP(B1386,gachas!A:C,3)</f>
        <v>確定ステップアップガチャ</v>
      </c>
      <c r="D1386" s="21">
        <v>10</v>
      </c>
      <c r="E1386" s="2">
        <v>10</v>
      </c>
      <c r="F1386" s="2">
        <v>10</v>
      </c>
      <c r="G1386" s="3" t="s">
        <v>22</v>
      </c>
      <c r="H1386" s="2">
        <v>50</v>
      </c>
      <c r="I1386" s="112">
        <v>444100</v>
      </c>
      <c r="J1386" s="112" t="s">
        <v>1736</v>
      </c>
      <c r="K1386" s="112">
        <v>444105</v>
      </c>
      <c r="L1386" s="2">
        <v>1</v>
      </c>
      <c r="M1386" s="2" t="s">
        <v>84</v>
      </c>
      <c r="N1386" s="2" t="s">
        <v>84</v>
      </c>
      <c r="O1386" s="2" t="s">
        <v>841</v>
      </c>
      <c r="P1386" s="2" t="s">
        <v>1924</v>
      </c>
    </row>
    <row r="1387" spans="1:16" ht="22" customHeight="1" x14ac:dyDescent="0.15">
      <c r="A1387" s="10" t="str">
        <f t="shared" si="318"/>
        <v>444_10_11_1_polygon</v>
      </c>
      <c r="B1387" s="2">
        <v>444</v>
      </c>
      <c r="C1387" s="30" t="str">
        <f>VLOOKUP(B1387,gachas!A:C,3)</f>
        <v>確定ステップアップガチャ</v>
      </c>
      <c r="D1387" s="21">
        <v>10</v>
      </c>
      <c r="E1387" s="2">
        <v>11</v>
      </c>
      <c r="F1387" s="2">
        <v>1</v>
      </c>
      <c r="G1387" s="3" t="s">
        <v>22</v>
      </c>
      <c r="H1387" s="2">
        <v>3</v>
      </c>
      <c r="I1387" s="112">
        <v>444101</v>
      </c>
      <c r="J1387" s="112" t="s">
        <v>84</v>
      </c>
      <c r="K1387" s="112" t="s">
        <v>84</v>
      </c>
      <c r="L1387" s="2">
        <v>0</v>
      </c>
      <c r="M1387" s="2" t="s">
        <v>84</v>
      </c>
      <c r="N1387" s="2" t="s">
        <v>84</v>
      </c>
      <c r="O1387" s="2" t="s">
        <v>841</v>
      </c>
      <c r="P1387" s="2" t="s">
        <v>1920</v>
      </c>
    </row>
    <row r="1388" spans="1:16" ht="22" customHeight="1" x14ac:dyDescent="0.15">
      <c r="A1388" s="10" t="str">
        <f t="shared" si="318"/>
        <v>444_10_12_3_polygon</v>
      </c>
      <c r="B1388" s="2">
        <v>444</v>
      </c>
      <c r="C1388" s="30" t="str">
        <f>VLOOKUP(B1388,gachas!A:C,3)</f>
        <v>確定ステップアップガチャ</v>
      </c>
      <c r="D1388" s="21">
        <v>10</v>
      </c>
      <c r="E1388" s="2">
        <v>12</v>
      </c>
      <c r="F1388" s="2">
        <v>3</v>
      </c>
      <c r="G1388" s="3" t="s">
        <v>22</v>
      </c>
      <c r="H1388" s="2">
        <v>9</v>
      </c>
      <c r="I1388" s="112">
        <v>444101</v>
      </c>
      <c r="J1388" s="112">
        <v>444102</v>
      </c>
      <c r="K1388" s="112" t="s">
        <v>84</v>
      </c>
      <c r="L1388" s="2">
        <v>0</v>
      </c>
      <c r="M1388" s="2" t="s">
        <v>84</v>
      </c>
      <c r="N1388" s="2" t="s">
        <v>84</v>
      </c>
      <c r="O1388" s="2" t="s">
        <v>841</v>
      </c>
      <c r="P1388" s="2" t="s">
        <v>1921</v>
      </c>
    </row>
    <row r="1389" spans="1:16" ht="22" customHeight="1" x14ac:dyDescent="0.15">
      <c r="A1389" s="10" t="str">
        <f t="shared" si="318"/>
        <v>444_10_13_5_polygon</v>
      </c>
      <c r="B1389" s="2">
        <v>444</v>
      </c>
      <c r="C1389" s="30" t="str">
        <f>VLOOKUP(B1389,gachas!A:C,3)</f>
        <v>確定ステップアップガチャ</v>
      </c>
      <c r="D1389" s="21">
        <v>10</v>
      </c>
      <c r="E1389" s="2">
        <v>13</v>
      </c>
      <c r="F1389" s="2">
        <v>5</v>
      </c>
      <c r="G1389" s="3" t="s">
        <v>22</v>
      </c>
      <c r="H1389" s="2">
        <v>15</v>
      </c>
      <c r="I1389" s="112">
        <v>444100</v>
      </c>
      <c r="J1389" s="112">
        <v>444103</v>
      </c>
      <c r="K1389" s="112" t="s">
        <v>84</v>
      </c>
      <c r="L1389" s="2">
        <v>0</v>
      </c>
      <c r="M1389" s="2" t="s">
        <v>84</v>
      </c>
      <c r="N1389" s="2" t="s">
        <v>84</v>
      </c>
      <c r="O1389" s="2" t="s">
        <v>841</v>
      </c>
      <c r="P1389" s="2" t="s">
        <v>1922</v>
      </c>
    </row>
    <row r="1390" spans="1:16" ht="22" customHeight="1" x14ac:dyDescent="0.15">
      <c r="A1390" s="10" t="str">
        <f t="shared" si="318"/>
        <v>444_10_14_10_polygon</v>
      </c>
      <c r="B1390" s="2">
        <v>444</v>
      </c>
      <c r="C1390" s="30" t="str">
        <f>VLOOKUP(B1390,gachas!A:C,3)</f>
        <v>確定ステップアップガチャ</v>
      </c>
      <c r="D1390" s="21">
        <v>10</v>
      </c>
      <c r="E1390" s="2">
        <v>14</v>
      </c>
      <c r="F1390" s="2">
        <v>10</v>
      </c>
      <c r="G1390" s="3" t="s">
        <v>22</v>
      </c>
      <c r="H1390" s="2">
        <v>35</v>
      </c>
      <c r="I1390" s="112">
        <v>444100</v>
      </c>
      <c r="J1390" s="112">
        <v>444104</v>
      </c>
      <c r="K1390" s="112" t="s">
        <v>84</v>
      </c>
      <c r="L1390" s="2">
        <v>0</v>
      </c>
      <c r="M1390" s="2" t="s">
        <v>84</v>
      </c>
      <c r="N1390" s="2" t="s">
        <v>84</v>
      </c>
      <c r="O1390" s="2" t="s">
        <v>841</v>
      </c>
      <c r="P1390" s="2" t="s">
        <v>1923</v>
      </c>
    </row>
    <row r="1391" spans="1:16" ht="22" customHeight="1" x14ac:dyDescent="0.15">
      <c r="A1391" s="10" t="str">
        <f t="shared" si="318"/>
        <v>444_10_15_10_polygon</v>
      </c>
      <c r="B1391" s="2">
        <v>444</v>
      </c>
      <c r="C1391" s="30" t="str">
        <f>VLOOKUP(B1391,gachas!A:C,3)</f>
        <v>確定ステップアップガチャ</v>
      </c>
      <c r="D1391" s="21">
        <v>10</v>
      </c>
      <c r="E1391" s="2">
        <v>15</v>
      </c>
      <c r="F1391" s="2">
        <v>10</v>
      </c>
      <c r="G1391" s="3" t="s">
        <v>22</v>
      </c>
      <c r="H1391" s="2">
        <v>50</v>
      </c>
      <c r="I1391" s="112">
        <v>444100</v>
      </c>
      <c r="J1391" s="112" t="s">
        <v>1736</v>
      </c>
      <c r="K1391" s="112">
        <v>444105</v>
      </c>
      <c r="L1391" s="2">
        <v>1</v>
      </c>
      <c r="M1391" s="2" t="s">
        <v>84</v>
      </c>
      <c r="N1391" s="2" t="s">
        <v>84</v>
      </c>
      <c r="O1391" s="2" t="s">
        <v>841</v>
      </c>
      <c r="P1391" s="2" t="s">
        <v>1924</v>
      </c>
    </row>
    <row r="1392" spans="1:16" ht="22" customHeight="1" x14ac:dyDescent="0.15">
      <c r="A1392" s="10" t="str">
        <f t="shared" si="318"/>
        <v>444_10_16_1_polygon</v>
      </c>
      <c r="B1392" s="2">
        <v>444</v>
      </c>
      <c r="C1392" s="30" t="str">
        <f>VLOOKUP(B1392,gachas!A:C,3)</f>
        <v>確定ステップアップガチャ</v>
      </c>
      <c r="D1392" s="21">
        <v>10</v>
      </c>
      <c r="E1392" s="2">
        <v>16</v>
      </c>
      <c r="F1392" s="2">
        <v>1</v>
      </c>
      <c r="G1392" s="3" t="s">
        <v>22</v>
      </c>
      <c r="H1392" s="2">
        <v>3</v>
      </c>
      <c r="I1392" s="112">
        <v>444101</v>
      </c>
      <c r="J1392" s="112" t="s">
        <v>84</v>
      </c>
      <c r="K1392" s="112" t="s">
        <v>84</v>
      </c>
      <c r="L1392" s="2">
        <v>0</v>
      </c>
      <c r="M1392" s="2" t="s">
        <v>84</v>
      </c>
      <c r="N1392" s="2" t="s">
        <v>84</v>
      </c>
      <c r="O1392" s="2" t="s">
        <v>841</v>
      </c>
      <c r="P1392" s="2" t="s">
        <v>1920</v>
      </c>
    </row>
    <row r="1393" spans="1:16" ht="22" customHeight="1" x14ac:dyDescent="0.15">
      <c r="A1393" s="10" t="str">
        <f t="shared" si="318"/>
        <v>444_10_17_3_polygon</v>
      </c>
      <c r="B1393" s="2">
        <v>444</v>
      </c>
      <c r="C1393" s="30" t="str">
        <f>VLOOKUP(B1393,gachas!A:C,3)</f>
        <v>確定ステップアップガチャ</v>
      </c>
      <c r="D1393" s="21">
        <v>10</v>
      </c>
      <c r="E1393" s="2">
        <v>17</v>
      </c>
      <c r="F1393" s="2">
        <v>3</v>
      </c>
      <c r="G1393" s="3" t="s">
        <v>22</v>
      </c>
      <c r="H1393" s="2">
        <v>9</v>
      </c>
      <c r="I1393" s="112">
        <v>444101</v>
      </c>
      <c r="J1393" s="112">
        <v>444102</v>
      </c>
      <c r="K1393" s="112" t="s">
        <v>84</v>
      </c>
      <c r="L1393" s="2">
        <v>0</v>
      </c>
      <c r="M1393" s="2" t="s">
        <v>84</v>
      </c>
      <c r="N1393" s="2" t="s">
        <v>84</v>
      </c>
      <c r="O1393" s="2" t="s">
        <v>841</v>
      </c>
      <c r="P1393" s="2" t="s">
        <v>1921</v>
      </c>
    </row>
    <row r="1394" spans="1:16" ht="22" customHeight="1" x14ac:dyDescent="0.15">
      <c r="A1394" s="10" t="str">
        <f t="shared" si="318"/>
        <v>444_10_18_5_polygon</v>
      </c>
      <c r="B1394" s="2">
        <v>444</v>
      </c>
      <c r="C1394" s="30" t="str">
        <f>VLOOKUP(B1394,gachas!A:C,3)</f>
        <v>確定ステップアップガチャ</v>
      </c>
      <c r="D1394" s="21">
        <v>10</v>
      </c>
      <c r="E1394" s="2">
        <v>18</v>
      </c>
      <c r="F1394" s="2">
        <v>5</v>
      </c>
      <c r="G1394" s="3" t="s">
        <v>22</v>
      </c>
      <c r="H1394" s="2">
        <v>15</v>
      </c>
      <c r="I1394" s="112">
        <v>444100</v>
      </c>
      <c r="J1394" s="112">
        <v>444103</v>
      </c>
      <c r="K1394" s="112" t="s">
        <v>84</v>
      </c>
      <c r="L1394" s="2">
        <v>0</v>
      </c>
      <c r="M1394" s="2" t="s">
        <v>84</v>
      </c>
      <c r="N1394" s="2" t="s">
        <v>84</v>
      </c>
      <c r="O1394" s="2" t="s">
        <v>841</v>
      </c>
      <c r="P1394" s="2" t="s">
        <v>1922</v>
      </c>
    </row>
    <row r="1395" spans="1:16" ht="22" customHeight="1" x14ac:dyDescent="0.15">
      <c r="A1395" s="10" t="str">
        <f t="shared" si="318"/>
        <v>444_10_19_10_polygon</v>
      </c>
      <c r="B1395" s="2">
        <v>444</v>
      </c>
      <c r="C1395" s="30" t="str">
        <f>VLOOKUP(B1395,gachas!A:C,3)</f>
        <v>確定ステップアップガチャ</v>
      </c>
      <c r="D1395" s="21">
        <v>10</v>
      </c>
      <c r="E1395" s="2">
        <v>19</v>
      </c>
      <c r="F1395" s="2">
        <v>10</v>
      </c>
      <c r="G1395" s="3" t="s">
        <v>22</v>
      </c>
      <c r="H1395" s="2">
        <v>35</v>
      </c>
      <c r="I1395" s="112">
        <v>444100</v>
      </c>
      <c r="J1395" s="112">
        <v>444104</v>
      </c>
      <c r="K1395" s="112" t="s">
        <v>84</v>
      </c>
      <c r="L1395" s="2">
        <v>0</v>
      </c>
      <c r="M1395" s="2" t="s">
        <v>84</v>
      </c>
      <c r="N1395" s="2" t="s">
        <v>84</v>
      </c>
      <c r="O1395" s="2" t="s">
        <v>841</v>
      </c>
      <c r="P1395" s="2" t="s">
        <v>1923</v>
      </c>
    </row>
    <row r="1396" spans="1:16" ht="22" customHeight="1" x14ac:dyDescent="0.15">
      <c r="A1396" s="10" t="str">
        <f t="shared" si="318"/>
        <v>444_10_20_10_polygon</v>
      </c>
      <c r="B1396" s="2">
        <v>444</v>
      </c>
      <c r="C1396" s="30" t="str">
        <f>VLOOKUP(B1396,gachas!A:C,3)</f>
        <v>確定ステップアップガチャ</v>
      </c>
      <c r="D1396" s="21">
        <v>10</v>
      </c>
      <c r="E1396" s="2">
        <v>20</v>
      </c>
      <c r="F1396" s="2">
        <v>10</v>
      </c>
      <c r="G1396" s="3" t="s">
        <v>22</v>
      </c>
      <c r="H1396" s="2">
        <v>50</v>
      </c>
      <c r="I1396" s="112">
        <v>444100</v>
      </c>
      <c r="J1396" s="112" t="s">
        <v>1736</v>
      </c>
      <c r="K1396" s="112">
        <v>444105</v>
      </c>
      <c r="L1396" s="2">
        <v>1</v>
      </c>
      <c r="M1396" s="2" t="s">
        <v>84</v>
      </c>
      <c r="N1396" s="2" t="s">
        <v>84</v>
      </c>
      <c r="O1396" s="2" t="s">
        <v>841</v>
      </c>
      <c r="P1396" s="2" t="s">
        <v>1924</v>
      </c>
    </row>
    <row r="1397" spans="1:16" ht="22" customHeight="1" x14ac:dyDescent="0.15">
      <c r="A1397" s="10" t="str">
        <f t="shared" si="318"/>
        <v>444_10_21_1_polygon</v>
      </c>
      <c r="B1397" s="2">
        <v>444</v>
      </c>
      <c r="C1397" s="30" t="str">
        <f>VLOOKUP(B1397,gachas!A:C,3)</f>
        <v>確定ステップアップガチャ</v>
      </c>
      <c r="D1397" s="21">
        <v>10</v>
      </c>
      <c r="E1397" s="2">
        <v>21</v>
      </c>
      <c r="F1397" s="2">
        <v>1</v>
      </c>
      <c r="G1397" s="3" t="s">
        <v>22</v>
      </c>
      <c r="H1397" s="2">
        <v>3</v>
      </c>
      <c r="I1397" s="112">
        <v>444101</v>
      </c>
      <c r="J1397" s="112" t="s">
        <v>84</v>
      </c>
      <c r="K1397" s="112" t="s">
        <v>84</v>
      </c>
      <c r="L1397" s="2">
        <v>0</v>
      </c>
      <c r="M1397" s="2" t="s">
        <v>84</v>
      </c>
      <c r="N1397" s="2" t="s">
        <v>84</v>
      </c>
      <c r="O1397" s="2" t="s">
        <v>841</v>
      </c>
      <c r="P1397" s="2" t="s">
        <v>1920</v>
      </c>
    </row>
    <row r="1398" spans="1:16" ht="22" customHeight="1" x14ac:dyDescent="0.15">
      <c r="A1398" s="10" t="str">
        <f t="shared" si="318"/>
        <v>444_10_22_3_polygon</v>
      </c>
      <c r="B1398" s="2">
        <v>444</v>
      </c>
      <c r="C1398" s="30" t="str">
        <f>VLOOKUP(B1398,gachas!A:C,3)</f>
        <v>確定ステップアップガチャ</v>
      </c>
      <c r="D1398" s="21">
        <v>10</v>
      </c>
      <c r="E1398" s="2">
        <v>22</v>
      </c>
      <c r="F1398" s="2">
        <v>3</v>
      </c>
      <c r="G1398" s="3" t="s">
        <v>22</v>
      </c>
      <c r="H1398" s="2">
        <v>9</v>
      </c>
      <c r="I1398" s="112">
        <v>444101</v>
      </c>
      <c r="J1398" s="112">
        <v>444102</v>
      </c>
      <c r="K1398" s="112" t="s">
        <v>84</v>
      </c>
      <c r="L1398" s="2">
        <v>0</v>
      </c>
      <c r="M1398" s="2" t="s">
        <v>84</v>
      </c>
      <c r="N1398" s="2" t="s">
        <v>84</v>
      </c>
      <c r="O1398" s="2" t="s">
        <v>841</v>
      </c>
      <c r="P1398" s="2" t="s">
        <v>1921</v>
      </c>
    </row>
    <row r="1399" spans="1:16" ht="22" customHeight="1" x14ac:dyDescent="0.15">
      <c r="A1399" s="10" t="str">
        <f t="shared" si="318"/>
        <v>444_10_23_5_polygon</v>
      </c>
      <c r="B1399" s="2">
        <v>444</v>
      </c>
      <c r="C1399" s="30" t="str">
        <f>VLOOKUP(B1399,gachas!A:C,3)</f>
        <v>確定ステップアップガチャ</v>
      </c>
      <c r="D1399" s="21">
        <v>10</v>
      </c>
      <c r="E1399" s="2">
        <v>23</v>
      </c>
      <c r="F1399" s="2">
        <v>5</v>
      </c>
      <c r="G1399" s="3" t="s">
        <v>22</v>
      </c>
      <c r="H1399" s="2">
        <v>15</v>
      </c>
      <c r="I1399" s="112">
        <v>444100</v>
      </c>
      <c r="J1399" s="112">
        <v>444103</v>
      </c>
      <c r="K1399" s="112" t="s">
        <v>84</v>
      </c>
      <c r="L1399" s="2">
        <v>0</v>
      </c>
      <c r="M1399" s="2" t="s">
        <v>84</v>
      </c>
      <c r="N1399" s="2" t="s">
        <v>84</v>
      </c>
      <c r="O1399" s="2" t="s">
        <v>841</v>
      </c>
      <c r="P1399" s="2" t="s">
        <v>1922</v>
      </c>
    </row>
    <row r="1400" spans="1:16" ht="22" customHeight="1" x14ac:dyDescent="0.15">
      <c r="A1400" s="10" t="str">
        <f t="shared" si="318"/>
        <v>444_10_24_10_polygon</v>
      </c>
      <c r="B1400" s="2">
        <v>444</v>
      </c>
      <c r="C1400" s="30" t="str">
        <f>VLOOKUP(B1400,gachas!A:C,3)</f>
        <v>確定ステップアップガチャ</v>
      </c>
      <c r="D1400" s="21">
        <v>10</v>
      </c>
      <c r="E1400" s="2">
        <v>24</v>
      </c>
      <c r="F1400" s="2">
        <v>10</v>
      </c>
      <c r="G1400" s="3" t="s">
        <v>22</v>
      </c>
      <c r="H1400" s="2">
        <v>35</v>
      </c>
      <c r="I1400" s="112">
        <v>444100</v>
      </c>
      <c r="J1400" s="112">
        <v>444104</v>
      </c>
      <c r="K1400" s="112" t="s">
        <v>84</v>
      </c>
      <c r="L1400" s="2">
        <v>0</v>
      </c>
      <c r="M1400" s="2" t="s">
        <v>84</v>
      </c>
      <c r="N1400" s="2" t="s">
        <v>84</v>
      </c>
      <c r="O1400" s="2" t="s">
        <v>841</v>
      </c>
      <c r="P1400" s="2" t="s">
        <v>1923</v>
      </c>
    </row>
    <row r="1401" spans="1:16" ht="22" customHeight="1" x14ac:dyDescent="0.15">
      <c r="A1401" s="10" t="str">
        <f t="shared" si="318"/>
        <v>444_10_25_10_polygon</v>
      </c>
      <c r="B1401" s="2">
        <v>444</v>
      </c>
      <c r="C1401" s="30" t="str">
        <f>VLOOKUP(B1401,gachas!A:C,3)</f>
        <v>確定ステップアップガチャ</v>
      </c>
      <c r="D1401" s="21">
        <v>10</v>
      </c>
      <c r="E1401" s="2">
        <v>25</v>
      </c>
      <c r="F1401" s="2">
        <v>10</v>
      </c>
      <c r="G1401" s="3" t="s">
        <v>22</v>
      </c>
      <c r="H1401" s="2">
        <v>50</v>
      </c>
      <c r="I1401" s="112">
        <v>444100</v>
      </c>
      <c r="J1401" s="112" t="s">
        <v>1736</v>
      </c>
      <c r="K1401" s="112">
        <v>444105</v>
      </c>
      <c r="L1401" s="2">
        <v>1</v>
      </c>
      <c r="M1401" s="2" t="s">
        <v>84</v>
      </c>
      <c r="N1401" s="2" t="s">
        <v>84</v>
      </c>
      <c r="O1401" s="2" t="s">
        <v>841</v>
      </c>
      <c r="P1401" s="2" t="s">
        <v>1924</v>
      </c>
    </row>
    <row r="1402" spans="1:16" ht="22" customHeight="1" x14ac:dyDescent="0.15">
      <c r="A1402" s="10" t="str">
        <f t="shared" si="318"/>
        <v>444_10_26_1_polygon</v>
      </c>
      <c r="B1402" s="2">
        <v>444</v>
      </c>
      <c r="C1402" s="30" t="str">
        <f>VLOOKUP(B1402,gachas!A:C,3)</f>
        <v>確定ステップアップガチャ</v>
      </c>
      <c r="D1402" s="21">
        <v>10</v>
      </c>
      <c r="E1402" s="2">
        <v>26</v>
      </c>
      <c r="F1402" s="2">
        <v>1</v>
      </c>
      <c r="G1402" s="3" t="s">
        <v>22</v>
      </c>
      <c r="H1402" s="2">
        <v>3</v>
      </c>
      <c r="I1402" s="112">
        <v>444101</v>
      </c>
      <c r="J1402" s="112" t="s">
        <v>84</v>
      </c>
      <c r="K1402" s="112" t="s">
        <v>84</v>
      </c>
      <c r="L1402" s="2">
        <v>0</v>
      </c>
      <c r="M1402" s="2" t="s">
        <v>84</v>
      </c>
      <c r="N1402" s="2" t="s">
        <v>84</v>
      </c>
      <c r="O1402" s="2" t="s">
        <v>841</v>
      </c>
      <c r="P1402" s="2" t="s">
        <v>1920</v>
      </c>
    </row>
    <row r="1403" spans="1:16" ht="22" customHeight="1" x14ac:dyDescent="0.15">
      <c r="A1403" s="10" t="str">
        <f t="shared" si="318"/>
        <v>444_10_27_3_polygon</v>
      </c>
      <c r="B1403" s="2">
        <v>444</v>
      </c>
      <c r="C1403" s="30" t="str">
        <f>VLOOKUP(B1403,gachas!A:C,3)</f>
        <v>確定ステップアップガチャ</v>
      </c>
      <c r="D1403" s="21">
        <v>10</v>
      </c>
      <c r="E1403" s="2">
        <v>27</v>
      </c>
      <c r="F1403" s="2">
        <v>3</v>
      </c>
      <c r="G1403" s="3" t="s">
        <v>22</v>
      </c>
      <c r="H1403" s="2">
        <v>9</v>
      </c>
      <c r="I1403" s="112">
        <v>444101</v>
      </c>
      <c r="J1403" s="112">
        <v>444102</v>
      </c>
      <c r="K1403" s="112" t="s">
        <v>84</v>
      </c>
      <c r="L1403" s="2">
        <v>0</v>
      </c>
      <c r="M1403" s="2" t="s">
        <v>84</v>
      </c>
      <c r="N1403" s="2" t="s">
        <v>84</v>
      </c>
      <c r="O1403" s="2" t="s">
        <v>841</v>
      </c>
      <c r="P1403" s="2" t="s">
        <v>1921</v>
      </c>
    </row>
    <row r="1404" spans="1:16" ht="22" customHeight="1" x14ac:dyDescent="0.15">
      <c r="A1404" s="10" t="str">
        <f t="shared" si="318"/>
        <v>444_10_28_5_polygon</v>
      </c>
      <c r="B1404" s="2">
        <v>444</v>
      </c>
      <c r="C1404" s="30" t="str">
        <f>VLOOKUP(B1404,gachas!A:C,3)</f>
        <v>確定ステップアップガチャ</v>
      </c>
      <c r="D1404" s="21">
        <v>10</v>
      </c>
      <c r="E1404" s="2">
        <v>28</v>
      </c>
      <c r="F1404" s="2">
        <v>5</v>
      </c>
      <c r="G1404" s="3" t="s">
        <v>22</v>
      </c>
      <c r="H1404" s="2">
        <v>15</v>
      </c>
      <c r="I1404" s="112">
        <v>444100</v>
      </c>
      <c r="J1404" s="112">
        <v>444103</v>
      </c>
      <c r="K1404" s="112" t="s">
        <v>84</v>
      </c>
      <c r="L1404" s="2">
        <v>0</v>
      </c>
      <c r="M1404" s="2" t="s">
        <v>84</v>
      </c>
      <c r="N1404" s="2" t="s">
        <v>84</v>
      </c>
      <c r="O1404" s="2" t="s">
        <v>841</v>
      </c>
      <c r="P1404" s="2" t="s">
        <v>1922</v>
      </c>
    </row>
    <row r="1405" spans="1:16" ht="22" customHeight="1" x14ac:dyDescent="0.15">
      <c r="A1405" s="10" t="str">
        <f t="shared" si="318"/>
        <v>444_10_29_10_polygon</v>
      </c>
      <c r="B1405" s="2">
        <v>444</v>
      </c>
      <c r="C1405" s="30" t="str">
        <f>VLOOKUP(B1405,gachas!A:C,3)</f>
        <v>確定ステップアップガチャ</v>
      </c>
      <c r="D1405" s="21">
        <v>10</v>
      </c>
      <c r="E1405" s="2">
        <v>29</v>
      </c>
      <c r="F1405" s="2">
        <v>10</v>
      </c>
      <c r="G1405" s="3" t="s">
        <v>22</v>
      </c>
      <c r="H1405" s="2">
        <v>35</v>
      </c>
      <c r="I1405" s="112">
        <v>444100</v>
      </c>
      <c r="J1405" s="112">
        <v>444104</v>
      </c>
      <c r="K1405" s="112" t="s">
        <v>84</v>
      </c>
      <c r="L1405" s="2">
        <v>0</v>
      </c>
      <c r="M1405" s="2" t="s">
        <v>84</v>
      </c>
      <c r="N1405" s="2" t="s">
        <v>84</v>
      </c>
      <c r="O1405" s="2" t="s">
        <v>841</v>
      </c>
      <c r="P1405" s="2" t="s">
        <v>1923</v>
      </c>
    </row>
    <row r="1406" spans="1:16" ht="22" customHeight="1" x14ac:dyDescent="0.15">
      <c r="A1406" s="10" t="str">
        <f t="shared" si="318"/>
        <v>444_10_30_10_polygon</v>
      </c>
      <c r="B1406" s="2">
        <v>444</v>
      </c>
      <c r="C1406" s="30" t="str">
        <f>VLOOKUP(B1406,gachas!A:C,3)</f>
        <v>確定ステップアップガチャ</v>
      </c>
      <c r="D1406" s="21">
        <v>10</v>
      </c>
      <c r="E1406" s="2">
        <v>30</v>
      </c>
      <c r="F1406" s="2">
        <v>10</v>
      </c>
      <c r="G1406" s="3" t="s">
        <v>22</v>
      </c>
      <c r="H1406" s="2">
        <v>50</v>
      </c>
      <c r="I1406" s="112">
        <v>444100</v>
      </c>
      <c r="J1406" s="112" t="s">
        <v>1736</v>
      </c>
      <c r="K1406" s="112">
        <v>444105</v>
      </c>
      <c r="L1406" s="2">
        <v>1</v>
      </c>
      <c r="M1406" s="2" t="s">
        <v>84</v>
      </c>
      <c r="N1406" s="2" t="s">
        <v>84</v>
      </c>
      <c r="O1406" s="2" t="s">
        <v>841</v>
      </c>
      <c r="P1406" s="2" t="s">
        <v>1924</v>
      </c>
    </row>
    <row r="1407" spans="1:16" ht="22" customHeight="1" x14ac:dyDescent="0.15">
      <c r="A1407" s="10" t="str">
        <f t="shared" si="318"/>
        <v>444_10_31_1_polygon</v>
      </c>
      <c r="B1407" s="2">
        <v>444</v>
      </c>
      <c r="C1407" s="30" t="str">
        <f>VLOOKUP(B1407,gachas!A:C,3)</f>
        <v>確定ステップアップガチャ</v>
      </c>
      <c r="D1407" s="21">
        <v>10</v>
      </c>
      <c r="E1407" s="2">
        <v>31</v>
      </c>
      <c r="F1407" s="2">
        <v>1</v>
      </c>
      <c r="G1407" s="3" t="s">
        <v>22</v>
      </c>
      <c r="H1407" s="2">
        <v>3</v>
      </c>
      <c r="I1407" s="112">
        <v>444101</v>
      </c>
      <c r="J1407" s="112" t="s">
        <v>84</v>
      </c>
      <c r="K1407" s="112" t="s">
        <v>84</v>
      </c>
      <c r="L1407" s="2">
        <v>0</v>
      </c>
      <c r="M1407" s="2" t="s">
        <v>84</v>
      </c>
      <c r="N1407" s="2" t="s">
        <v>84</v>
      </c>
      <c r="O1407" s="2" t="s">
        <v>841</v>
      </c>
      <c r="P1407" s="2" t="s">
        <v>1920</v>
      </c>
    </row>
    <row r="1408" spans="1:16" ht="22" customHeight="1" x14ac:dyDescent="0.15">
      <c r="A1408" s="10" t="str">
        <f t="shared" si="318"/>
        <v>444_10_32_3_polygon</v>
      </c>
      <c r="B1408" s="2">
        <v>444</v>
      </c>
      <c r="C1408" s="30" t="str">
        <f>VLOOKUP(B1408,gachas!A:C,3)</f>
        <v>確定ステップアップガチャ</v>
      </c>
      <c r="D1408" s="21">
        <v>10</v>
      </c>
      <c r="E1408" s="2">
        <v>32</v>
      </c>
      <c r="F1408" s="2">
        <v>3</v>
      </c>
      <c r="G1408" s="3" t="s">
        <v>22</v>
      </c>
      <c r="H1408" s="2">
        <v>9</v>
      </c>
      <c r="I1408" s="112">
        <v>444101</v>
      </c>
      <c r="J1408" s="112">
        <v>444102</v>
      </c>
      <c r="K1408" s="112" t="s">
        <v>84</v>
      </c>
      <c r="L1408" s="2">
        <v>0</v>
      </c>
      <c r="M1408" s="2" t="s">
        <v>84</v>
      </c>
      <c r="N1408" s="2" t="s">
        <v>84</v>
      </c>
      <c r="O1408" s="2" t="s">
        <v>841</v>
      </c>
      <c r="P1408" s="2" t="s">
        <v>1921</v>
      </c>
    </row>
    <row r="1409" spans="1:16" ht="22" customHeight="1" x14ac:dyDescent="0.15">
      <c r="A1409" s="10" t="str">
        <f t="shared" si="318"/>
        <v>444_10_33_5_polygon</v>
      </c>
      <c r="B1409" s="2">
        <v>444</v>
      </c>
      <c r="C1409" s="30" t="str">
        <f>VLOOKUP(B1409,gachas!A:C,3)</f>
        <v>確定ステップアップガチャ</v>
      </c>
      <c r="D1409" s="21">
        <v>10</v>
      </c>
      <c r="E1409" s="2">
        <v>33</v>
      </c>
      <c r="F1409" s="2">
        <v>5</v>
      </c>
      <c r="G1409" s="3" t="s">
        <v>22</v>
      </c>
      <c r="H1409" s="2">
        <v>15</v>
      </c>
      <c r="I1409" s="112">
        <v>444100</v>
      </c>
      <c r="J1409" s="112">
        <v>444103</v>
      </c>
      <c r="K1409" s="112" t="s">
        <v>84</v>
      </c>
      <c r="L1409" s="2">
        <v>0</v>
      </c>
      <c r="M1409" s="2" t="s">
        <v>84</v>
      </c>
      <c r="N1409" s="2" t="s">
        <v>84</v>
      </c>
      <c r="O1409" s="2" t="s">
        <v>841</v>
      </c>
      <c r="P1409" s="2" t="s">
        <v>1922</v>
      </c>
    </row>
    <row r="1410" spans="1:16" ht="22" customHeight="1" x14ac:dyDescent="0.15">
      <c r="A1410" s="10" t="str">
        <f t="shared" si="318"/>
        <v>444_10_34_10_polygon</v>
      </c>
      <c r="B1410" s="2">
        <v>444</v>
      </c>
      <c r="C1410" s="30" t="str">
        <f>VLOOKUP(B1410,gachas!A:C,3)</f>
        <v>確定ステップアップガチャ</v>
      </c>
      <c r="D1410" s="21">
        <v>10</v>
      </c>
      <c r="E1410" s="2">
        <v>34</v>
      </c>
      <c r="F1410" s="2">
        <v>10</v>
      </c>
      <c r="G1410" s="3" t="s">
        <v>22</v>
      </c>
      <c r="H1410" s="2">
        <v>35</v>
      </c>
      <c r="I1410" s="112">
        <v>444100</v>
      </c>
      <c r="J1410" s="112">
        <v>444104</v>
      </c>
      <c r="K1410" s="112" t="s">
        <v>84</v>
      </c>
      <c r="L1410" s="2">
        <v>0</v>
      </c>
      <c r="M1410" s="2" t="s">
        <v>84</v>
      </c>
      <c r="N1410" s="2" t="s">
        <v>84</v>
      </c>
      <c r="O1410" s="2" t="s">
        <v>841</v>
      </c>
      <c r="P1410" s="2" t="s">
        <v>1923</v>
      </c>
    </row>
    <row r="1411" spans="1:16" ht="22" customHeight="1" x14ac:dyDescent="0.15">
      <c r="A1411" s="10" t="str">
        <f t="shared" si="318"/>
        <v>444_10_35_10_polygon</v>
      </c>
      <c r="B1411" s="2">
        <v>444</v>
      </c>
      <c r="C1411" s="30" t="str">
        <f>VLOOKUP(B1411,gachas!A:C,3)</f>
        <v>確定ステップアップガチャ</v>
      </c>
      <c r="D1411" s="21">
        <v>10</v>
      </c>
      <c r="E1411" s="2">
        <v>35</v>
      </c>
      <c r="F1411" s="2">
        <v>10</v>
      </c>
      <c r="G1411" s="3" t="s">
        <v>22</v>
      </c>
      <c r="H1411" s="2">
        <v>50</v>
      </c>
      <c r="I1411" s="112">
        <v>444100</v>
      </c>
      <c r="J1411" s="112" t="s">
        <v>1736</v>
      </c>
      <c r="K1411" s="112">
        <v>444105</v>
      </c>
      <c r="L1411" s="2">
        <v>1</v>
      </c>
      <c r="M1411" s="2" t="s">
        <v>84</v>
      </c>
      <c r="N1411" s="2" t="s">
        <v>84</v>
      </c>
      <c r="O1411" s="2" t="s">
        <v>841</v>
      </c>
      <c r="P1411" s="2" t="s">
        <v>1924</v>
      </c>
    </row>
    <row r="1412" spans="1:16" ht="22" customHeight="1" x14ac:dyDescent="0.15">
      <c r="A1412" s="10" t="str">
        <f t="shared" si="318"/>
        <v>444_10_36_1_polygon</v>
      </c>
      <c r="B1412" s="2">
        <v>444</v>
      </c>
      <c r="C1412" s="30" t="str">
        <f>VLOOKUP(B1412,gachas!A:C,3)</f>
        <v>確定ステップアップガチャ</v>
      </c>
      <c r="D1412" s="21">
        <v>10</v>
      </c>
      <c r="E1412" s="2">
        <v>36</v>
      </c>
      <c r="F1412" s="2">
        <v>1</v>
      </c>
      <c r="G1412" s="3" t="s">
        <v>22</v>
      </c>
      <c r="H1412" s="2">
        <v>3</v>
      </c>
      <c r="I1412" s="112">
        <v>444101</v>
      </c>
      <c r="J1412" s="112" t="s">
        <v>84</v>
      </c>
      <c r="K1412" s="112" t="s">
        <v>84</v>
      </c>
      <c r="L1412" s="2">
        <v>0</v>
      </c>
      <c r="M1412" s="2" t="s">
        <v>84</v>
      </c>
      <c r="N1412" s="2" t="s">
        <v>84</v>
      </c>
      <c r="O1412" s="2" t="s">
        <v>841</v>
      </c>
      <c r="P1412" s="2" t="s">
        <v>1920</v>
      </c>
    </row>
    <row r="1413" spans="1:16" ht="22" customHeight="1" x14ac:dyDescent="0.15">
      <c r="A1413" s="10" t="str">
        <f t="shared" si="318"/>
        <v>444_10_37_3_polygon</v>
      </c>
      <c r="B1413" s="2">
        <v>444</v>
      </c>
      <c r="C1413" s="30" t="str">
        <f>VLOOKUP(B1413,gachas!A:C,3)</f>
        <v>確定ステップアップガチャ</v>
      </c>
      <c r="D1413" s="21">
        <v>10</v>
      </c>
      <c r="E1413" s="2">
        <v>37</v>
      </c>
      <c r="F1413" s="2">
        <v>3</v>
      </c>
      <c r="G1413" s="3" t="s">
        <v>22</v>
      </c>
      <c r="H1413" s="2">
        <v>9</v>
      </c>
      <c r="I1413" s="112">
        <v>444101</v>
      </c>
      <c r="J1413" s="112">
        <v>444102</v>
      </c>
      <c r="K1413" s="112" t="s">
        <v>84</v>
      </c>
      <c r="L1413" s="2">
        <v>0</v>
      </c>
      <c r="M1413" s="2" t="s">
        <v>84</v>
      </c>
      <c r="N1413" s="2" t="s">
        <v>84</v>
      </c>
      <c r="O1413" s="2" t="s">
        <v>841</v>
      </c>
      <c r="P1413" s="2" t="s">
        <v>1921</v>
      </c>
    </row>
    <row r="1414" spans="1:16" ht="22" customHeight="1" x14ac:dyDescent="0.15">
      <c r="A1414" s="10" t="str">
        <f t="shared" si="318"/>
        <v>444_10_38_5_polygon</v>
      </c>
      <c r="B1414" s="2">
        <v>444</v>
      </c>
      <c r="C1414" s="30" t="str">
        <f>VLOOKUP(B1414,gachas!A:C,3)</f>
        <v>確定ステップアップガチャ</v>
      </c>
      <c r="D1414" s="21">
        <v>10</v>
      </c>
      <c r="E1414" s="2">
        <v>38</v>
      </c>
      <c r="F1414" s="2">
        <v>5</v>
      </c>
      <c r="G1414" s="3" t="s">
        <v>22</v>
      </c>
      <c r="H1414" s="2">
        <v>15</v>
      </c>
      <c r="I1414" s="112">
        <v>444100</v>
      </c>
      <c r="J1414" s="112">
        <v>444103</v>
      </c>
      <c r="K1414" s="112" t="s">
        <v>84</v>
      </c>
      <c r="L1414" s="2">
        <v>0</v>
      </c>
      <c r="M1414" s="2" t="s">
        <v>84</v>
      </c>
      <c r="N1414" s="2" t="s">
        <v>84</v>
      </c>
      <c r="O1414" s="2" t="s">
        <v>841</v>
      </c>
      <c r="P1414" s="2" t="s">
        <v>1922</v>
      </c>
    </row>
    <row r="1415" spans="1:16" ht="22" customHeight="1" x14ac:dyDescent="0.15">
      <c r="A1415" s="10" t="str">
        <f t="shared" si="318"/>
        <v>444_10_39_10_polygon</v>
      </c>
      <c r="B1415" s="2">
        <v>444</v>
      </c>
      <c r="C1415" s="30" t="str">
        <f>VLOOKUP(B1415,gachas!A:C,3)</f>
        <v>確定ステップアップガチャ</v>
      </c>
      <c r="D1415" s="21">
        <v>10</v>
      </c>
      <c r="E1415" s="2">
        <v>39</v>
      </c>
      <c r="F1415" s="2">
        <v>10</v>
      </c>
      <c r="G1415" s="3" t="s">
        <v>22</v>
      </c>
      <c r="H1415" s="2">
        <v>35</v>
      </c>
      <c r="I1415" s="112">
        <v>444100</v>
      </c>
      <c r="J1415" s="112">
        <v>444104</v>
      </c>
      <c r="K1415" s="112" t="s">
        <v>84</v>
      </c>
      <c r="L1415" s="2">
        <v>0</v>
      </c>
      <c r="M1415" s="2" t="s">
        <v>84</v>
      </c>
      <c r="N1415" s="2" t="s">
        <v>84</v>
      </c>
      <c r="O1415" s="2" t="s">
        <v>841</v>
      </c>
      <c r="P1415" s="2" t="s">
        <v>1923</v>
      </c>
    </row>
    <row r="1416" spans="1:16" ht="22" customHeight="1" x14ac:dyDescent="0.15">
      <c r="A1416" s="10" t="str">
        <f t="shared" si="318"/>
        <v>444_10_40_10_polygon</v>
      </c>
      <c r="B1416" s="2">
        <v>444</v>
      </c>
      <c r="C1416" s="30" t="str">
        <f>VLOOKUP(B1416,gachas!A:C,3)</f>
        <v>確定ステップアップガチャ</v>
      </c>
      <c r="D1416" s="21">
        <v>10</v>
      </c>
      <c r="E1416" s="2">
        <v>40</v>
      </c>
      <c r="F1416" s="2">
        <v>10</v>
      </c>
      <c r="G1416" s="3" t="s">
        <v>22</v>
      </c>
      <c r="H1416" s="2">
        <v>50</v>
      </c>
      <c r="I1416" s="112">
        <v>444100</v>
      </c>
      <c r="J1416" s="112" t="s">
        <v>1736</v>
      </c>
      <c r="K1416" s="112">
        <v>444105</v>
      </c>
      <c r="L1416" s="2">
        <v>1</v>
      </c>
      <c r="M1416" s="2" t="s">
        <v>84</v>
      </c>
      <c r="N1416" s="2" t="s">
        <v>84</v>
      </c>
      <c r="O1416" s="2" t="s">
        <v>841</v>
      </c>
      <c r="P1416" s="2" t="s">
        <v>1924</v>
      </c>
    </row>
    <row r="1417" spans="1:16" ht="22" customHeight="1" x14ac:dyDescent="0.15">
      <c r="A1417" s="10" t="str">
        <f t="shared" si="318"/>
        <v>444_10_41_1_polygon</v>
      </c>
      <c r="B1417" s="2">
        <v>444</v>
      </c>
      <c r="C1417" s="30" t="str">
        <f>VLOOKUP(B1417,gachas!A:C,3)</f>
        <v>確定ステップアップガチャ</v>
      </c>
      <c r="D1417" s="21">
        <v>10</v>
      </c>
      <c r="E1417" s="2">
        <v>41</v>
      </c>
      <c r="F1417" s="2">
        <v>1</v>
      </c>
      <c r="G1417" s="3" t="s">
        <v>22</v>
      </c>
      <c r="H1417" s="2">
        <v>3</v>
      </c>
      <c r="I1417" s="112">
        <v>444101</v>
      </c>
      <c r="J1417" s="112" t="s">
        <v>84</v>
      </c>
      <c r="K1417" s="112" t="s">
        <v>84</v>
      </c>
      <c r="L1417" s="2">
        <v>0</v>
      </c>
      <c r="M1417" s="2" t="s">
        <v>84</v>
      </c>
      <c r="N1417" s="2" t="s">
        <v>84</v>
      </c>
      <c r="O1417" s="2" t="s">
        <v>841</v>
      </c>
      <c r="P1417" s="2" t="s">
        <v>1920</v>
      </c>
    </row>
    <row r="1418" spans="1:16" ht="22" customHeight="1" x14ac:dyDescent="0.15">
      <c r="A1418" s="10" t="str">
        <f t="shared" si="318"/>
        <v>444_10_42_3_polygon</v>
      </c>
      <c r="B1418" s="2">
        <v>444</v>
      </c>
      <c r="C1418" s="30" t="str">
        <f>VLOOKUP(B1418,gachas!A:C,3)</f>
        <v>確定ステップアップガチャ</v>
      </c>
      <c r="D1418" s="21">
        <v>10</v>
      </c>
      <c r="E1418" s="2">
        <v>42</v>
      </c>
      <c r="F1418" s="2">
        <v>3</v>
      </c>
      <c r="G1418" s="3" t="s">
        <v>22</v>
      </c>
      <c r="H1418" s="2">
        <v>9</v>
      </c>
      <c r="I1418" s="112">
        <v>444101</v>
      </c>
      <c r="J1418" s="112">
        <v>444102</v>
      </c>
      <c r="K1418" s="112" t="s">
        <v>84</v>
      </c>
      <c r="L1418" s="2">
        <v>0</v>
      </c>
      <c r="M1418" s="2" t="s">
        <v>84</v>
      </c>
      <c r="N1418" s="2" t="s">
        <v>84</v>
      </c>
      <c r="O1418" s="2" t="s">
        <v>841</v>
      </c>
      <c r="P1418" s="2" t="s">
        <v>1921</v>
      </c>
    </row>
    <row r="1419" spans="1:16" ht="22" customHeight="1" x14ac:dyDescent="0.15">
      <c r="A1419" s="10" t="str">
        <f t="shared" si="318"/>
        <v>444_10_43_5_polygon</v>
      </c>
      <c r="B1419" s="2">
        <v>444</v>
      </c>
      <c r="C1419" s="30" t="str">
        <f>VLOOKUP(B1419,gachas!A:C,3)</f>
        <v>確定ステップアップガチャ</v>
      </c>
      <c r="D1419" s="21">
        <v>10</v>
      </c>
      <c r="E1419" s="2">
        <v>43</v>
      </c>
      <c r="F1419" s="2">
        <v>5</v>
      </c>
      <c r="G1419" s="3" t="s">
        <v>22</v>
      </c>
      <c r="H1419" s="2">
        <v>15</v>
      </c>
      <c r="I1419" s="112">
        <v>444100</v>
      </c>
      <c r="J1419" s="112">
        <v>444103</v>
      </c>
      <c r="K1419" s="112" t="s">
        <v>84</v>
      </c>
      <c r="L1419" s="2">
        <v>0</v>
      </c>
      <c r="M1419" s="2" t="s">
        <v>84</v>
      </c>
      <c r="N1419" s="2" t="s">
        <v>84</v>
      </c>
      <c r="O1419" s="2" t="s">
        <v>841</v>
      </c>
      <c r="P1419" s="2" t="s">
        <v>1922</v>
      </c>
    </row>
    <row r="1420" spans="1:16" ht="22" customHeight="1" x14ac:dyDescent="0.15">
      <c r="A1420" s="10" t="str">
        <f t="shared" si="318"/>
        <v>444_10_44_10_polygon</v>
      </c>
      <c r="B1420" s="2">
        <v>444</v>
      </c>
      <c r="C1420" s="30" t="str">
        <f>VLOOKUP(B1420,gachas!A:C,3)</f>
        <v>確定ステップアップガチャ</v>
      </c>
      <c r="D1420" s="21">
        <v>10</v>
      </c>
      <c r="E1420" s="2">
        <v>44</v>
      </c>
      <c r="F1420" s="2">
        <v>10</v>
      </c>
      <c r="G1420" s="3" t="s">
        <v>22</v>
      </c>
      <c r="H1420" s="2">
        <v>35</v>
      </c>
      <c r="I1420" s="112">
        <v>444100</v>
      </c>
      <c r="J1420" s="112">
        <v>444104</v>
      </c>
      <c r="K1420" s="112" t="s">
        <v>84</v>
      </c>
      <c r="L1420" s="2">
        <v>0</v>
      </c>
      <c r="M1420" s="2" t="s">
        <v>84</v>
      </c>
      <c r="N1420" s="2" t="s">
        <v>84</v>
      </c>
      <c r="O1420" s="2" t="s">
        <v>841</v>
      </c>
      <c r="P1420" s="2" t="s">
        <v>1923</v>
      </c>
    </row>
    <row r="1421" spans="1:16" ht="22" customHeight="1" x14ac:dyDescent="0.15">
      <c r="A1421" s="10" t="str">
        <f t="shared" si="318"/>
        <v>444_10_45_10_polygon</v>
      </c>
      <c r="B1421" s="2">
        <v>444</v>
      </c>
      <c r="C1421" s="30" t="str">
        <f>VLOOKUP(B1421,gachas!A:C,3)</f>
        <v>確定ステップアップガチャ</v>
      </c>
      <c r="D1421" s="21">
        <v>10</v>
      </c>
      <c r="E1421" s="2">
        <v>45</v>
      </c>
      <c r="F1421" s="2">
        <v>10</v>
      </c>
      <c r="G1421" s="3" t="s">
        <v>22</v>
      </c>
      <c r="H1421" s="2">
        <v>50</v>
      </c>
      <c r="I1421" s="112">
        <v>444100</v>
      </c>
      <c r="J1421" s="112" t="s">
        <v>1736</v>
      </c>
      <c r="K1421" s="112">
        <v>444105</v>
      </c>
      <c r="L1421" s="2">
        <v>1</v>
      </c>
      <c r="M1421" s="2" t="s">
        <v>84</v>
      </c>
      <c r="N1421" s="2" t="s">
        <v>84</v>
      </c>
      <c r="O1421" s="2" t="s">
        <v>841</v>
      </c>
      <c r="P1421" s="2" t="s">
        <v>1924</v>
      </c>
    </row>
    <row r="1422" spans="1:16" ht="22" customHeight="1" x14ac:dyDescent="0.15">
      <c r="A1422" s="10" t="str">
        <f t="shared" si="318"/>
        <v>444_10_46_1_polygon</v>
      </c>
      <c r="B1422" s="2">
        <v>444</v>
      </c>
      <c r="C1422" s="30" t="str">
        <f>VLOOKUP(B1422,gachas!A:C,3)</f>
        <v>確定ステップアップガチャ</v>
      </c>
      <c r="D1422" s="21">
        <v>10</v>
      </c>
      <c r="E1422" s="2">
        <v>46</v>
      </c>
      <c r="F1422" s="2">
        <v>1</v>
      </c>
      <c r="G1422" s="3" t="s">
        <v>22</v>
      </c>
      <c r="H1422" s="2">
        <v>3</v>
      </c>
      <c r="I1422" s="112">
        <v>444101</v>
      </c>
      <c r="J1422" s="112" t="s">
        <v>84</v>
      </c>
      <c r="K1422" s="112" t="s">
        <v>84</v>
      </c>
      <c r="L1422" s="2">
        <v>0</v>
      </c>
      <c r="M1422" s="2" t="s">
        <v>84</v>
      </c>
      <c r="N1422" s="2" t="s">
        <v>84</v>
      </c>
      <c r="O1422" s="2" t="s">
        <v>841</v>
      </c>
      <c r="P1422" s="2" t="s">
        <v>1920</v>
      </c>
    </row>
    <row r="1423" spans="1:16" ht="22" customHeight="1" x14ac:dyDescent="0.15">
      <c r="A1423" s="10" t="str">
        <f t="shared" si="318"/>
        <v>444_10_47_3_polygon</v>
      </c>
      <c r="B1423" s="2">
        <v>444</v>
      </c>
      <c r="C1423" s="30" t="str">
        <f>VLOOKUP(B1423,gachas!A:C,3)</f>
        <v>確定ステップアップガチャ</v>
      </c>
      <c r="D1423" s="21">
        <v>10</v>
      </c>
      <c r="E1423" s="2">
        <v>47</v>
      </c>
      <c r="F1423" s="2">
        <v>3</v>
      </c>
      <c r="G1423" s="3" t="s">
        <v>22</v>
      </c>
      <c r="H1423" s="2">
        <v>9</v>
      </c>
      <c r="I1423" s="112">
        <v>444101</v>
      </c>
      <c r="J1423" s="112">
        <v>444102</v>
      </c>
      <c r="K1423" s="112" t="s">
        <v>84</v>
      </c>
      <c r="L1423" s="2">
        <v>0</v>
      </c>
      <c r="M1423" s="2" t="s">
        <v>84</v>
      </c>
      <c r="N1423" s="2" t="s">
        <v>84</v>
      </c>
      <c r="O1423" s="2" t="s">
        <v>841</v>
      </c>
      <c r="P1423" s="2" t="s">
        <v>1921</v>
      </c>
    </row>
    <row r="1424" spans="1:16" ht="22" customHeight="1" x14ac:dyDescent="0.15">
      <c r="A1424" s="10" t="str">
        <f t="shared" si="318"/>
        <v>444_10_48_5_polygon</v>
      </c>
      <c r="B1424" s="2">
        <v>444</v>
      </c>
      <c r="C1424" s="30" t="str">
        <f>VLOOKUP(B1424,gachas!A:C,3)</f>
        <v>確定ステップアップガチャ</v>
      </c>
      <c r="D1424" s="21">
        <v>10</v>
      </c>
      <c r="E1424" s="2">
        <v>48</v>
      </c>
      <c r="F1424" s="2">
        <v>5</v>
      </c>
      <c r="G1424" s="3" t="s">
        <v>22</v>
      </c>
      <c r="H1424" s="2">
        <v>15</v>
      </c>
      <c r="I1424" s="112">
        <v>444100</v>
      </c>
      <c r="J1424" s="112">
        <v>444103</v>
      </c>
      <c r="K1424" s="112" t="s">
        <v>84</v>
      </c>
      <c r="L1424" s="2">
        <v>0</v>
      </c>
      <c r="M1424" s="2" t="s">
        <v>84</v>
      </c>
      <c r="N1424" s="2" t="s">
        <v>84</v>
      </c>
      <c r="O1424" s="2" t="s">
        <v>841</v>
      </c>
      <c r="P1424" s="2" t="s">
        <v>1922</v>
      </c>
    </row>
    <row r="1425" spans="1:16" ht="22" customHeight="1" x14ac:dyDescent="0.15">
      <c r="A1425" s="10" t="str">
        <f t="shared" si="318"/>
        <v>444_10_49_10_polygon</v>
      </c>
      <c r="B1425" s="2">
        <v>444</v>
      </c>
      <c r="C1425" s="30" t="str">
        <f>VLOOKUP(B1425,gachas!A:C,3)</f>
        <v>確定ステップアップガチャ</v>
      </c>
      <c r="D1425" s="21">
        <v>10</v>
      </c>
      <c r="E1425" s="2">
        <v>49</v>
      </c>
      <c r="F1425" s="2">
        <v>10</v>
      </c>
      <c r="G1425" s="3" t="s">
        <v>22</v>
      </c>
      <c r="H1425" s="2">
        <v>35</v>
      </c>
      <c r="I1425" s="112">
        <v>444100</v>
      </c>
      <c r="J1425" s="112">
        <v>444104</v>
      </c>
      <c r="K1425" s="112" t="s">
        <v>84</v>
      </c>
      <c r="L1425" s="2">
        <v>0</v>
      </c>
      <c r="M1425" s="2" t="s">
        <v>84</v>
      </c>
      <c r="N1425" s="2" t="s">
        <v>84</v>
      </c>
      <c r="O1425" s="2" t="s">
        <v>841</v>
      </c>
      <c r="P1425" s="2" t="s">
        <v>1923</v>
      </c>
    </row>
    <row r="1426" spans="1:16" ht="22" customHeight="1" x14ac:dyDescent="0.15">
      <c r="A1426" s="10" t="str">
        <f t="shared" si="318"/>
        <v>444_10_50_10_polygon</v>
      </c>
      <c r="B1426" s="2">
        <v>444</v>
      </c>
      <c r="C1426" s="30" t="str">
        <f>VLOOKUP(B1426,gachas!A:C,3)</f>
        <v>確定ステップアップガチャ</v>
      </c>
      <c r="D1426" s="21">
        <v>10</v>
      </c>
      <c r="E1426" s="2">
        <v>50</v>
      </c>
      <c r="F1426" s="2">
        <v>10</v>
      </c>
      <c r="G1426" s="3" t="s">
        <v>22</v>
      </c>
      <c r="H1426" s="2">
        <v>50</v>
      </c>
      <c r="I1426" s="112">
        <v>444100</v>
      </c>
      <c r="J1426" s="112" t="s">
        <v>1736</v>
      </c>
      <c r="K1426" s="112">
        <v>444105</v>
      </c>
      <c r="L1426" s="2">
        <v>1</v>
      </c>
      <c r="M1426" s="2" t="s">
        <v>84</v>
      </c>
      <c r="N1426" s="2" t="s">
        <v>84</v>
      </c>
      <c r="O1426" s="2" t="s">
        <v>841</v>
      </c>
      <c r="P1426" s="2" t="s">
        <v>1924</v>
      </c>
    </row>
    <row r="1427" spans="1:16" ht="22" customHeight="1" x14ac:dyDescent="0.15">
      <c r="A1427" s="10" t="str">
        <f t="shared" si="318"/>
        <v>444_10_0_10_polygon</v>
      </c>
      <c r="B1427" s="2">
        <v>444</v>
      </c>
      <c r="C1427" s="30" t="str">
        <f>VLOOKUP(B1427,gachas!A:C,3)</f>
        <v>確定ステップアップガチャ</v>
      </c>
      <c r="D1427" s="21">
        <v>10</v>
      </c>
      <c r="E1427" s="2">
        <v>0</v>
      </c>
      <c r="F1427" s="2">
        <v>10</v>
      </c>
      <c r="G1427" s="3" t="s">
        <v>22</v>
      </c>
      <c r="H1427" s="2">
        <v>50</v>
      </c>
      <c r="I1427" s="112">
        <v>444100</v>
      </c>
      <c r="J1427" s="112" t="s">
        <v>84</v>
      </c>
      <c r="K1427" s="112" t="s">
        <v>84</v>
      </c>
      <c r="L1427" s="2">
        <v>0</v>
      </c>
      <c r="M1427" s="2" t="s">
        <v>84</v>
      </c>
      <c r="N1427" s="2" t="s">
        <v>84</v>
      </c>
      <c r="O1427" s="2" t="s">
        <v>841</v>
      </c>
      <c r="P1427" s="2" t="s">
        <v>1925</v>
      </c>
    </row>
    <row r="1428" spans="1:16" ht="22" customHeight="1" x14ac:dyDescent="0.15">
      <c r="A1428" s="10" t="str">
        <f t="shared" ref="A1428:A1594" si="319">B1428&amp;"_"&amp;D1428&amp;"_"&amp;E1428&amp;"_"&amp;F1428&amp;"_"&amp;G1428</f>
        <v>445_1_1_1_polygon</v>
      </c>
      <c r="B1428" s="2">
        <v>445</v>
      </c>
      <c r="C1428" s="30" t="str">
        <f>VLOOKUP(B1428,gachas!A:C,3)</f>
        <v>レアガチャ（ギリシャ神話第2弾in）</v>
      </c>
      <c r="D1428" s="21">
        <v>1</v>
      </c>
      <c r="E1428" s="2">
        <v>1</v>
      </c>
      <c r="F1428" s="2">
        <v>1</v>
      </c>
      <c r="G1428" s="3" t="s">
        <v>22</v>
      </c>
      <c r="H1428" s="2">
        <v>5</v>
      </c>
      <c r="I1428" s="117" t="str">
        <f>I1430</f>
        <v>445100</v>
      </c>
      <c r="J1428" s="112" t="s">
        <v>84</v>
      </c>
      <c r="K1428" s="2" t="s">
        <v>84</v>
      </c>
      <c r="L1428" s="2">
        <v>0</v>
      </c>
      <c r="M1428" s="2" t="s">
        <v>84</v>
      </c>
      <c r="N1428" s="2" t="s">
        <v>84</v>
      </c>
      <c r="O1428" s="2" t="s">
        <v>841</v>
      </c>
      <c r="P1428" s="2" t="s">
        <v>142</v>
      </c>
    </row>
    <row r="1429" spans="1:16" ht="22" customHeight="1" x14ac:dyDescent="0.15">
      <c r="A1429" s="10" t="str">
        <f t="shared" si="319"/>
        <v>445_1_0_1_polygon</v>
      </c>
      <c r="B1429" s="2">
        <v>445</v>
      </c>
      <c r="C1429" s="30" t="str">
        <f>VLOOKUP(B1429,gachas!A:C,3)</f>
        <v>レアガチャ（ギリシャ神話第2弾in）</v>
      </c>
      <c r="D1429" s="21">
        <v>1</v>
      </c>
      <c r="E1429" s="2">
        <v>0</v>
      </c>
      <c r="F1429" s="2">
        <v>1</v>
      </c>
      <c r="G1429" s="3" t="s">
        <v>22</v>
      </c>
      <c r="H1429" s="2">
        <v>5</v>
      </c>
      <c r="I1429" s="117" t="str">
        <f t="shared" ref="I1429:I1430" si="320">B1429&amp;TEXT(D1429,"00")&amp;E1429</f>
        <v>445010</v>
      </c>
      <c r="J1429" s="112" t="s">
        <v>84</v>
      </c>
      <c r="K1429" s="2" t="s">
        <v>84</v>
      </c>
      <c r="L1429" s="2">
        <v>0</v>
      </c>
      <c r="M1429" s="2" t="s">
        <v>84</v>
      </c>
      <c r="N1429" s="2" t="s">
        <v>84</v>
      </c>
      <c r="O1429" s="2" t="s">
        <v>841</v>
      </c>
      <c r="P1429" s="2" t="s">
        <v>84</v>
      </c>
    </row>
    <row r="1430" spans="1:16" ht="22" customHeight="1" x14ac:dyDescent="0.15">
      <c r="A1430" s="10" t="str">
        <f t="shared" si="319"/>
        <v>445_10_0_10_polygon</v>
      </c>
      <c r="B1430" s="2">
        <v>445</v>
      </c>
      <c r="C1430" s="30" t="str">
        <f>VLOOKUP(B1430,gachas!A:C,3)</f>
        <v>レアガチャ（ギリシャ神話第2弾in）</v>
      </c>
      <c r="D1430" s="21">
        <v>10</v>
      </c>
      <c r="E1430" s="2">
        <v>0</v>
      </c>
      <c r="F1430" s="2">
        <v>10</v>
      </c>
      <c r="G1430" s="3" t="s">
        <v>22</v>
      </c>
      <c r="H1430" s="2">
        <v>50</v>
      </c>
      <c r="I1430" s="117" t="str">
        <f t="shared" si="320"/>
        <v>445100</v>
      </c>
      <c r="J1430" s="112" t="s">
        <v>84</v>
      </c>
      <c r="K1430" s="106" t="s">
        <v>87</v>
      </c>
      <c r="L1430" s="2">
        <v>0</v>
      </c>
      <c r="M1430" s="2" t="s">
        <v>84</v>
      </c>
      <c r="N1430" s="2" t="s">
        <v>84</v>
      </c>
      <c r="O1430" s="2" t="s">
        <v>841</v>
      </c>
      <c r="P1430" s="2" t="s">
        <v>143</v>
      </c>
    </row>
    <row r="1431" spans="1:16" ht="22" customHeight="1" x14ac:dyDescent="0.15">
      <c r="A1431" s="10" t="str">
        <f t="shared" si="319"/>
        <v>446_1_0_1_polygon</v>
      </c>
      <c r="B1431" s="2">
        <v>446</v>
      </c>
      <c r="C1431" s="30" t="str">
        <f>VLOOKUP(B1431,gachas!A:C,3)</f>
        <v>超フィーバーフィーバーフェスティバル＜ガロア、ディラック＞再</v>
      </c>
      <c r="D1431" s="21">
        <v>1</v>
      </c>
      <c r="E1431" s="2">
        <v>0</v>
      </c>
      <c r="F1431" s="2">
        <v>1</v>
      </c>
      <c r="G1431" s="3" t="s">
        <v>1566</v>
      </c>
      <c r="H1431" s="2">
        <v>5</v>
      </c>
      <c r="I1431" s="117">
        <v>438010</v>
      </c>
      <c r="J1431" s="112" t="s">
        <v>1571</v>
      </c>
      <c r="K1431" s="2" t="s">
        <v>86</v>
      </c>
      <c r="L1431" s="2">
        <v>0</v>
      </c>
      <c r="M1431" s="2" t="s">
        <v>1571</v>
      </c>
      <c r="N1431" s="2" t="s">
        <v>1571</v>
      </c>
      <c r="O1431" s="2" t="s">
        <v>118</v>
      </c>
      <c r="P1431" s="2" t="s">
        <v>691</v>
      </c>
    </row>
    <row r="1432" spans="1:16" ht="22" customHeight="1" x14ac:dyDescent="0.15">
      <c r="A1432" s="10" t="str">
        <f t="shared" si="319"/>
        <v>446_10_0_10_polygon</v>
      </c>
      <c r="B1432" s="2">
        <v>446</v>
      </c>
      <c r="C1432" s="30" t="str">
        <f>VLOOKUP(B1432,gachas!A:C,3)</f>
        <v>超フィーバーフィーバーフェスティバル＜ガロア、ディラック＞再</v>
      </c>
      <c r="D1432" s="21">
        <v>10</v>
      </c>
      <c r="E1432" s="2">
        <v>0</v>
      </c>
      <c r="F1432" s="2">
        <v>10</v>
      </c>
      <c r="G1432" s="3" t="s">
        <v>1566</v>
      </c>
      <c r="H1432" s="2">
        <v>50</v>
      </c>
      <c r="I1432" s="117">
        <v>438100</v>
      </c>
      <c r="J1432" s="112" t="s">
        <v>1571</v>
      </c>
      <c r="K1432" s="2">
        <v>438100</v>
      </c>
      <c r="L1432" s="2">
        <v>1</v>
      </c>
      <c r="M1432" s="2" t="s">
        <v>1571</v>
      </c>
      <c r="N1432" s="2" t="s">
        <v>1571</v>
      </c>
      <c r="O1432" s="2" t="s">
        <v>118</v>
      </c>
      <c r="P1432" s="2" t="s">
        <v>1078</v>
      </c>
    </row>
    <row r="1433" spans="1:16" ht="22" customHeight="1" x14ac:dyDescent="0.15">
      <c r="A1433" s="10" t="str">
        <f t="shared" si="319"/>
        <v>447_1_0_1_polygon</v>
      </c>
      <c r="B1433" s="2">
        <v>447</v>
      </c>
      <c r="C1433" s="30" t="str">
        <f>VLOOKUP(B1433,gachas!A:C,3)</f>
        <v>超フィーバーフィーバーフェスティバル＜ガロア、クロネッカー＞再</v>
      </c>
      <c r="D1433" s="21">
        <v>1</v>
      </c>
      <c r="E1433" s="2">
        <v>0</v>
      </c>
      <c r="F1433" s="2">
        <v>1</v>
      </c>
      <c r="G1433" s="3" t="s">
        <v>1566</v>
      </c>
      <c r="H1433" s="2">
        <v>5</v>
      </c>
      <c r="I1433" s="117">
        <v>439010</v>
      </c>
      <c r="J1433" s="112" t="s">
        <v>1571</v>
      </c>
      <c r="K1433" s="2" t="s">
        <v>86</v>
      </c>
      <c r="L1433" s="2">
        <v>0</v>
      </c>
      <c r="M1433" s="2" t="s">
        <v>1571</v>
      </c>
      <c r="N1433" s="2" t="s">
        <v>1571</v>
      </c>
      <c r="O1433" s="2" t="s">
        <v>118</v>
      </c>
      <c r="P1433" s="2" t="s">
        <v>691</v>
      </c>
    </row>
    <row r="1434" spans="1:16" ht="22" customHeight="1" x14ac:dyDescent="0.15">
      <c r="A1434" s="10" t="str">
        <f t="shared" si="319"/>
        <v>447_10_0_10_polygon</v>
      </c>
      <c r="B1434" s="2">
        <v>447</v>
      </c>
      <c r="C1434" s="30" t="str">
        <f>VLOOKUP(B1434,gachas!A:C,3)</f>
        <v>超フィーバーフィーバーフェスティバル＜ガロア、クロネッカー＞再</v>
      </c>
      <c r="D1434" s="21">
        <v>10</v>
      </c>
      <c r="E1434" s="2">
        <v>0</v>
      </c>
      <c r="F1434" s="2">
        <v>10</v>
      </c>
      <c r="G1434" s="3" t="s">
        <v>1566</v>
      </c>
      <c r="H1434" s="2">
        <v>50</v>
      </c>
      <c r="I1434" s="117">
        <v>439100</v>
      </c>
      <c r="J1434" s="112" t="s">
        <v>1571</v>
      </c>
      <c r="K1434" s="2">
        <v>439100</v>
      </c>
      <c r="L1434" s="2">
        <v>1</v>
      </c>
      <c r="M1434" s="2" t="s">
        <v>1571</v>
      </c>
      <c r="N1434" s="2" t="s">
        <v>1571</v>
      </c>
      <c r="O1434" s="2" t="s">
        <v>118</v>
      </c>
      <c r="P1434" s="2" t="s">
        <v>1078</v>
      </c>
    </row>
    <row r="1435" spans="1:16" ht="22" customHeight="1" x14ac:dyDescent="0.15">
      <c r="A1435" s="10" t="str">
        <f t="shared" si="319"/>
        <v>448_1_0_1_polygon</v>
      </c>
      <c r="B1435" s="2">
        <v>448</v>
      </c>
      <c r="C1435" s="30" t="str">
        <f>VLOOKUP(B1435,gachas!A:C,3)</f>
        <v>超フィーバーフィーバーフェスティバル＜ガロア、セキ＞再</v>
      </c>
      <c r="D1435" s="21">
        <v>1</v>
      </c>
      <c r="E1435" s="2">
        <v>0</v>
      </c>
      <c r="F1435" s="2">
        <v>1</v>
      </c>
      <c r="G1435" s="3" t="s">
        <v>1566</v>
      </c>
      <c r="H1435" s="2">
        <v>5</v>
      </c>
      <c r="I1435" s="117">
        <v>440010</v>
      </c>
      <c r="J1435" s="112" t="s">
        <v>1571</v>
      </c>
      <c r="K1435" s="2" t="s">
        <v>86</v>
      </c>
      <c r="L1435" s="2">
        <v>0</v>
      </c>
      <c r="M1435" s="2" t="s">
        <v>1571</v>
      </c>
      <c r="N1435" s="2" t="s">
        <v>1571</v>
      </c>
      <c r="O1435" s="2" t="s">
        <v>118</v>
      </c>
      <c r="P1435" s="2" t="s">
        <v>691</v>
      </c>
    </row>
    <row r="1436" spans="1:16" ht="22" customHeight="1" x14ac:dyDescent="0.15">
      <c r="A1436" s="10" t="str">
        <f t="shared" si="319"/>
        <v>448_10_0_10_polygon</v>
      </c>
      <c r="B1436" s="2">
        <v>448</v>
      </c>
      <c r="C1436" s="30" t="str">
        <f>VLOOKUP(B1436,gachas!A:C,3)</f>
        <v>超フィーバーフィーバーフェスティバル＜ガロア、セキ＞再</v>
      </c>
      <c r="D1436" s="21">
        <v>10</v>
      </c>
      <c r="E1436" s="2">
        <v>0</v>
      </c>
      <c r="F1436" s="2">
        <v>10</v>
      </c>
      <c r="G1436" s="3" t="s">
        <v>1566</v>
      </c>
      <c r="H1436" s="2">
        <v>50</v>
      </c>
      <c r="I1436" s="117">
        <v>440100</v>
      </c>
      <c r="J1436" s="112" t="s">
        <v>1571</v>
      </c>
      <c r="K1436" s="2">
        <v>440100</v>
      </c>
      <c r="L1436" s="2">
        <v>1</v>
      </c>
      <c r="M1436" s="2" t="s">
        <v>1571</v>
      </c>
      <c r="N1436" s="2" t="s">
        <v>1571</v>
      </c>
      <c r="O1436" s="2" t="s">
        <v>118</v>
      </c>
      <c r="P1436" s="2" t="s">
        <v>1078</v>
      </c>
    </row>
    <row r="1437" spans="1:16" ht="22" customHeight="1" x14ac:dyDescent="0.15">
      <c r="A1437" s="10" t="str">
        <f t="shared" si="319"/>
        <v>449_1_0_1_polygon</v>
      </c>
      <c r="B1437" s="2">
        <v>449</v>
      </c>
      <c r="C1437" s="30" t="str">
        <f>VLOOKUP(B1437,gachas!A:C,3)</f>
        <v>ウィザード対抗確定ガチャ</v>
      </c>
      <c r="D1437" s="21">
        <v>1</v>
      </c>
      <c r="E1437" s="2">
        <v>0</v>
      </c>
      <c r="F1437" s="2">
        <v>1</v>
      </c>
      <c r="G1437" s="3" t="s">
        <v>1566</v>
      </c>
      <c r="H1437" s="2">
        <v>5</v>
      </c>
      <c r="I1437" s="117">
        <v>449010</v>
      </c>
      <c r="J1437" s="112" t="s">
        <v>1571</v>
      </c>
      <c r="K1437" s="2" t="s">
        <v>362</v>
      </c>
      <c r="L1437" s="2">
        <v>0</v>
      </c>
      <c r="M1437" s="2" t="s">
        <v>1571</v>
      </c>
      <c r="N1437" s="2" t="s">
        <v>1571</v>
      </c>
      <c r="O1437" s="2" t="s">
        <v>118</v>
      </c>
      <c r="P1437" s="2" t="s">
        <v>87</v>
      </c>
    </row>
    <row r="1438" spans="1:16" ht="22" customHeight="1" x14ac:dyDescent="0.15">
      <c r="A1438" s="10" t="str">
        <f t="shared" si="319"/>
        <v>449_10_0_10_polygon</v>
      </c>
      <c r="B1438" s="2">
        <v>449</v>
      </c>
      <c r="C1438" s="30" t="str">
        <f>VLOOKUP(B1438,gachas!A:C,3)</f>
        <v>ウィザード対抗確定ガチャ</v>
      </c>
      <c r="D1438" s="21">
        <v>10</v>
      </c>
      <c r="E1438" s="2">
        <v>0</v>
      </c>
      <c r="F1438" s="2">
        <v>10</v>
      </c>
      <c r="G1438" s="3" t="s">
        <v>1566</v>
      </c>
      <c r="H1438" s="2">
        <v>50</v>
      </c>
      <c r="I1438" s="117">
        <v>449100</v>
      </c>
      <c r="J1438" s="112" t="s">
        <v>1936</v>
      </c>
      <c r="K1438" s="2" t="s">
        <v>1936</v>
      </c>
      <c r="L1438" s="2">
        <v>0</v>
      </c>
      <c r="M1438" s="2" t="s">
        <v>1571</v>
      </c>
      <c r="N1438" s="2" t="s">
        <v>1571</v>
      </c>
      <c r="O1438" s="2" t="s">
        <v>118</v>
      </c>
      <c r="P1438" s="2" t="s">
        <v>143</v>
      </c>
    </row>
    <row r="1439" spans="1:16" ht="22" customHeight="1" x14ac:dyDescent="0.15">
      <c r="A1439" s="10" t="str">
        <f t="shared" si="319"/>
        <v>449_10_1_10_polygon</v>
      </c>
      <c r="B1439" s="2">
        <v>449</v>
      </c>
      <c r="C1439" s="30" t="str">
        <f>VLOOKUP(B1439,gachas!A:C,3)</f>
        <v>ウィザード対抗確定ガチャ</v>
      </c>
      <c r="D1439" s="21">
        <v>10</v>
      </c>
      <c r="E1439" s="2">
        <f>E1438+1</f>
        <v>1</v>
      </c>
      <c r="F1439" s="2">
        <v>10</v>
      </c>
      <c r="G1439" s="3" t="s">
        <v>1566</v>
      </c>
      <c r="H1439" s="2">
        <v>25</v>
      </c>
      <c r="I1439" s="117">
        <v>449100</v>
      </c>
      <c r="J1439" s="112" t="s">
        <v>1936</v>
      </c>
      <c r="K1439" s="2" t="s">
        <v>1936</v>
      </c>
      <c r="L1439" s="2">
        <v>0</v>
      </c>
      <c r="M1439" s="2" t="s">
        <v>1571</v>
      </c>
      <c r="N1439" s="2" t="s">
        <v>1571</v>
      </c>
      <c r="O1439" s="2" t="s">
        <v>118</v>
      </c>
      <c r="P1439" s="59" t="s">
        <v>1783</v>
      </c>
    </row>
    <row r="1440" spans="1:16" ht="22" customHeight="1" x14ac:dyDescent="0.15">
      <c r="A1440" s="10" t="str">
        <f t="shared" si="319"/>
        <v>449_10_2_10_polygon</v>
      </c>
      <c r="B1440" s="2">
        <v>449</v>
      </c>
      <c r="C1440" s="30" t="str">
        <f>VLOOKUP(B1440,gachas!A:C,3)</f>
        <v>ウィザード対抗確定ガチャ</v>
      </c>
      <c r="D1440" s="21">
        <v>10</v>
      </c>
      <c r="E1440" s="2">
        <f>E1439+1</f>
        <v>2</v>
      </c>
      <c r="F1440" s="2">
        <v>10</v>
      </c>
      <c r="G1440" s="3" t="s">
        <v>1566</v>
      </c>
      <c r="H1440" s="2">
        <v>50</v>
      </c>
      <c r="I1440" s="117">
        <v>449100</v>
      </c>
      <c r="J1440" s="112" t="s">
        <v>1936</v>
      </c>
      <c r="K1440" s="2" t="s">
        <v>1936</v>
      </c>
      <c r="L1440" s="2">
        <v>0</v>
      </c>
      <c r="M1440" s="2" t="s">
        <v>1571</v>
      </c>
      <c r="N1440" s="2" t="s">
        <v>1571</v>
      </c>
      <c r="O1440" s="2" t="s">
        <v>118</v>
      </c>
      <c r="P1440" s="2" t="s">
        <v>143</v>
      </c>
    </row>
    <row r="1441" spans="1:16" ht="22" customHeight="1" x14ac:dyDescent="0.15">
      <c r="A1441" s="10" t="str">
        <f t="shared" si="319"/>
        <v>449_10_3_10_polygon</v>
      </c>
      <c r="B1441" s="2">
        <v>449</v>
      </c>
      <c r="C1441" s="30" t="str">
        <f>VLOOKUP(B1441,gachas!A:C,3)</f>
        <v>ウィザード対抗確定ガチャ</v>
      </c>
      <c r="D1441" s="21">
        <v>10</v>
      </c>
      <c r="E1441" s="2">
        <f t="shared" ref="E1441:E1442" si="321">E1440+1</f>
        <v>3</v>
      </c>
      <c r="F1441" s="2">
        <v>10</v>
      </c>
      <c r="G1441" s="3" t="s">
        <v>1566</v>
      </c>
      <c r="H1441" s="2">
        <v>50</v>
      </c>
      <c r="I1441" s="117">
        <v>449100</v>
      </c>
      <c r="J1441" s="112" t="s">
        <v>1936</v>
      </c>
      <c r="K1441" s="2" t="s">
        <v>1936</v>
      </c>
      <c r="L1441" s="2">
        <v>0</v>
      </c>
      <c r="M1441" s="2" t="s">
        <v>1571</v>
      </c>
      <c r="N1441" s="2" t="s">
        <v>1571</v>
      </c>
      <c r="O1441" s="2" t="s">
        <v>118</v>
      </c>
      <c r="P1441" s="2" t="s">
        <v>143</v>
      </c>
    </row>
    <row r="1442" spans="1:16" ht="22" customHeight="1" x14ac:dyDescent="0.15">
      <c r="A1442" s="10" t="str">
        <f t="shared" si="319"/>
        <v>449_10_4_10_polygon</v>
      </c>
      <c r="B1442" s="2">
        <v>449</v>
      </c>
      <c r="C1442" s="30" t="str">
        <f>VLOOKUP(B1442,gachas!A:C,3)</f>
        <v>ウィザード対抗確定ガチャ</v>
      </c>
      <c r="D1442" s="21">
        <v>10</v>
      </c>
      <c r="E1442" s="2">
        <f t="shared" si="321"/>
        <v>4</v>
      </c>
      <c r="F1442" s="2">
        <v>10</v>
      </c>
      <c r="G1442" s="3" t="s">
        <v>1566</v>
      </c>
      <c r="H1442" s="2">
        <v>50</v>
      </c>
      <c r="I1442" s="117">
        <v>449100</v>
      </c>
      <c r="J1442" s="112" t="s">
        <v>1936</v>
      </c>
      <c r="K1442" s="2" t="s">
        <v>1936</v>
      </c>
      <c r="L1442" s="2">
        <v>0</v>
      </c>
      <c r="M1442" s="2" t="s">
        <v>1571</v>
      </c>
      <c r="N1442" s="2" t="s">
        <v>1571</v>
      </c>
      <c r="O1442" s="2" t="s">
        <v>118</v>
      </c>
      <c r="P1442" s="2" t="s">
        <v>143</v>
      </c>
    </row>
    <row r="1443" spans="1:16" ht="22" customHeight="1" x14ac:dyDescent="0.15">
      <c r="A1443" s="10" t="str">
        <f t="shared" si="319"/>
        <v>449_10_5_10_polygon</v>
      </c>
      <c r="B1443" s="2">
        <v>449</v>
      </c>
      <c r="C1443" s="30" t="str">
        <f>VLOOKUP(B1443,gachas!A:C,3)</f>
        <v>ウィザード対抗確定ガチャ</v>
      </c>
      <c r="D1443" s="21">
        <v>10</v>
      </c>
      <c r="E1443" s="2">
        <f t="shared" ref="E1443" si="322">E1442+1</f>
        <v>5</v>
      </c>
      <c r="F1443" s="2">
        <v>10</v>
      </c>
      <c r="G1443" s="3" t="s">
        <v>1566</v>
      </c>
      <c r="H1443" s="2">
        <v>50</v>
      </c>
      <c r="I1443" s="117">
        <v>449100</v>
      </c>
      <c r="J1443" s="112" t="s">
        <v>1936</v>
      </c>
      <c r="K1443" s="2">
        <v>449105</v>
      </c>
      <c r="L1443" s="2">
        <v>1</v>
      </c>
      <c r="M1443" s="2" t="s">
        <v>1571</v>
      </c>
      <c r="N1443" s="2" t="s">
        <v>1571</v>
      </c>
      <c r="O1443" s="2" t="s">
        <v>118</v>
      </c>
      <c r="P1443" s="2" t="s">
        <v>1781</v>
      </c>
    </row>
    <row r="1444" spans="1:16" ht="22" customHeight="1" x14ac:dyDescent="0.15">
      <c r="A1444" s="10" t="str">
        <f t="shared" si="319"/>
        <v>449_10_6_10_polygon</v>
      </c>
      <c r="B1444" s="2">
        <v>449</v>
      </c>
      <c r="C1444" s="30" t="str">
        <f>VLOOKUP(B1444,gachas!A:C,3)</f>
        <v>ウィザード対抗確定ガチャ</v>
      </c>
      <c r="D1444" s="21">
        <v>10</v>
      </c>
      <c r="E1444" s="2">
        <f>E1443+1</f>
        <v>6</v>
      </c>
      <c r="F1444" s="2">
        <v>10</v>
      </c>
      <c r="G1444" s="3" t="s">
        <v>1566</v>
      </c>
      <c r="H1444" s="2">
        <v>25</v>
      </c>
      <c r="I1444" s="117">
        <v>449100</v>
      </c>
      <c r="J1444" s="112" t="s">
        <v>1936</v>
      </c>
      <c r="K1444" s="2" t="s">
        <v>1936</v>
      </c>
      <c r="L1444" s="2">
        <v>0</v>
      </c>
      <c r="M1444" s="2" t="s">
        <v>1571</v>
      </c>
      <c r="N1444" s="2" t="s">
        <v>1571</v>
      </c>
      <c r="O1444" s="2" t="s">
        <v>118</v>
      </c>
      <c r="P1444" s="59" t="s">
        <v>1783</v>
      </c>
    </row>
    <row r="1445" spans="1:16" ht="22" customHeight="1" x14ac:dyDescent="0.15">
      <c r="A1445" s="10" t="str">
        <f t="shared" si="319"/>
        <v>449_10_7_10_polygon</v>
      </c>
      <c r="B1445" s="2">
        <v>449</v>
      </c>
      <c r="C1445" s="30" t="str">
        <f>VLOOKUP(B1445,gachas!A:C,3)</f>
        <v>ウィザード対抗確定ガチャ</v>
      </c>
      <c r="D1445" s="21">
        <v>10</v>
      </c>
      <c r="E1445" s="2">
        <f>E1444+1</f>
        <v>7</v>
      </c>
      <c r="F1445" s="2">
        <v>10</v>
      </c>
      <c r="G1445" s="3" t="s">
        <v>1566</v>
      </c>
      <c r="H1445" s="2">
        <v>50</v>
      </c>
      <c r="I1445" s="117">
        <v>449100</v>
      </c>
      <c r="J1445" s="112" t="s">
        <v>1936</v>
      </c>
      <c r="K1445" s="2" t="s">
        <v>1936</v>
      </c>
      <c r="L1445" s="2">
        <v>0</v>
      </c>
      <c r="M1445" s="2" t="s">
        <v>1571</v>
      </c>
      <c r="N1445" s="2" t="s">
        <v>1571</v>
      </c>
      <c r="O1445" s="2" t="s">
        <v>118</v>
      </c>
      <c r="P1445" s="2" t="s">
        <v>143</v>
      </c>
    </row>
    <row r="1446" spans="1:16" ht="22" customHeight="1" x14ac:dyDescent="0.15">
      <c r="A1446" s="10" t="str">
        <f t="shared" si="319"/>
        <v>449_10_8_10_polygon</v>
      </c>
      <c r="B1446" s="2">
        <v>449</v>
      </c>
      <c r="C1446" s="30" t="str">
        <f>VLOOKUP(B1446,gachas!A:C,3)</f>
        <v>ウィザード対抗確定ガチャ</v>
      </c>
      <c r="D1446" s="21">
        <v>10</v>
      </c>
      <c r="E1446" s="2">
        <f t="shared" ref="E1446:E1448" si="323">E1445+1</f>
        <v>8</v>
      </c>
      <c r="F1446" s="2">
        <v>10</v>
      </c>
      <c r="G1446" s="3" t="s">
        <v>1566</v>
      </c>
      <c r="H1446" s="2">
        <v>50</v>
      </c>
      <c r="I1446" s="117">
        <v>449100</v>
      </c>
      <c r="J1446" s="112" t="s">
        <v>1936</v>
      </c>
      <c r="K1446" s="2" t="s">
        <v>1936</v>
      </c>
      <c r="L1446" s="2">
        <v>0</v>
      </c>
      <c r="M1446" s="2" t="s">
        <v>1571</v>
      </c>
      <c r="N1446" s="2" t="s">
        <v>1571</v>
      </c>
      <c r="O1446" s="2" t="s">
        <v>118</v>
      </c>
      <c r="P1446" s="2" t="s">
        <v>143</v>
      </c>
    </row>
    <row r="1447" spans="1:16" ht="22" customHeight="1" x14ac:dyDescent="0.15">
      <c r="A1447" s="10" t="str">
        <f t="shared" si="319"/>
        <v>449_10_9_10_polygon</v>
      </c>
      <c r="B1447" s="2">
        <v>449</v>
      </c>
      <c r="C1447" s="30" t="str">
        <f>VLOOKUP(B1447,gachas!A:C,3)</f>
        <v>ウィザード対抗確定ガチャ</v>
      </c>
      <c r="D1447" s="21">
        <v>10</v>
      </c>
      <c r="E1447" s="2">
        <f t="shared" si="323"/>
        <v>9</v>
      </c>
      <c r="F1447" s="2">
        <v>10</v>
      </c>
      <c r="G1447" s="3" t="s">
        <v>1566</v>
      </c>
      <c r="H1447" s="2">
        <v>50</v>
      </c>
      <c r="I1447" s="117">
        <v>449100</v>
      </c>
      <c r="J1447" s="112" t="s">
        <v>1936</v>
      </c>
      <c r="K1447" s="2" t="s">
        <v>1936</v>
      </c>
      <c r="L1447" s="2">
        <v>0</v>
      </c>
      <c r="M1447" s="2" t="s">
        <v>1571</v>
      </c>
      <c r="N1447" s="2" t="s">
        <v>1571</v>
      </c>
      <c r="O1447" s="2" t="s">
        <v>118</v>
      </c>
      <c r="P1447" s="2" t="s">
        <v>143</v>
      </c>
    </row>
    <row r="1448" spans="1:16" ht="22" customHeight="1" x14ac:dyDescent="0.15">
      <c r="A1448" s="10" t="str">
        <f t="shared" si="319"/>
        <v>449_10_10_10_polygon</v>
      </c>
      <c r="B1448" s="2">
        <v>449</v>
      </c>
      <c r="C1448" s="30" t="str">
        <f>VLOOKUP(B1448,gachas!A:C,3)</f>
        <v>ウィザード対抗確定ガチャ</v>
      </c>
      <c r="D1448" s="21">
        <v>10</v>
      </c>
      <c r="E1448" s="2">
        <f t="shared" si="323"/>
        <v>10</v>
      </c>
      <c r="F1448" s="2">
        <v>10</v>
      </c>
      <c r="G1448" s="3" t="s">
        <v>1566</v>
      </c>
      <c r="H1448" s="2">
        <v>50</v>
      </c>
      <c r="I1448" s="117">
        <v>449100</v>
      </c>
      <c r="J1448" s="112" t="s">
        <v>1936</v>
      </c>
      <c r="K1448" s="2">
        <v>449105</v>
      </c>
      <c r="L1448" s="2">
        <v>1</v>
      </c>
      <c r="M1448" s="2" t="s">
        <v>1571</v>
      </c>
      <c r="N1448" s="2" t="s">
        <v>1571</v>
      </c>
      <c r="O1448" s="2" t="s">
        <v>118</v>
      </c>
      <c r="P1448" s="2" t="s">
        <v>1781</v>
      </c>
    </row>
    <row r="1449" spans="1:16" ht="22" customHeight="1" x14ac:dyDescent="0.15">
      <c r="A1449" s="10" t="str">
        <f t="shared" si="319"/>
        <v>449_10_11_10_polygon</v>
      </c>
      <c r="B1449" s="2">
        <v>449</v>
      </c>
      <c r="C1449" s="30" t="str">
        <f>VLOOKUP(B1449,gachas!A:C,3)</f>
        <v>ウィザード対抗確定ガチャ</v>
      </c>
      <c r="D1449" s="21">
        <v>10</v>
      </c>
      <c r="E1449" s="2">
        <f>E1448+1</f>
        <v>11</v>
      </c>
      <c r="F1449" s="2">
        <v>10</v>
      </c>
      <c r="G1449" s="3" t="s">
        <v>1566</v>
      </c>
      <c r="H1449" s="2">
        <v>25</v>
      </c>
      <c r="I1449" s="117">
        <v>449100</v>
      </c>
      <c r="J1449" s="112" t="s">
        <v>1936</v>
      </c>
      <c r="K1449" s="2" t="s">
        <v>1936</v>
      </c>
      <c r="L1449" s="2">
        <v>0</v>
      </c>
      <c r="M1449" s="2" t="s">
        <v>1571</v>
      </c>
      <c r="N1449" s="2" t="s">
        <v>1571</v>
      </c>
      <c r="O1449" s="2" t="s">
        <v>118</v>
      </c>
      <c r="P1449" s="59" t="s">
        <v>1783</v>
      </c>
    </row>
    <row r="1450" spans="1:16" ht="22" customHeight="1" x14ac:dyDescent="0.15">
      <c r="A1450" s="10" t="str">
        <f t="shared" si="319"/>
        <v>449_10_12_10_polygon</v>
      </c>
      <c r="B1450" s="2">
        <v>449</v>
      </c>
      <c r="C1450" s="30" t="str">
        <f>VLOOKUP(B1450,gachas!A:C,3)</f>
        <v>ウィザード対抗確定ガチャ</v>
      </c>
      <c r="D1450" s="21">
        <v>10</v>
      </c>
      <c r="E1450" s="2">
        <f>E1449+1</f>
        <v>12</v>
      </c>
      <c r="F1450" s="2">
        <v>10</v>
      </c>
      <c r="G1450" s="3" t="s">
        <v>1566</v>
      </c>
      <c r="H1450" s="2">
        <v>50</v>
      </c>
      <c r="I1450" s="117">
        <v>449100</v>
      </c>
      <c r="J1450" s="112" t="s">
        <v>1936</v>
      </c>
      <c r="K1450" s="2" t="s">
        <v>1936</v>
      </c>
      <c r="L1450" s="2">
        <v>0</v>
      </c>
      <c r="M1450" s="2" t="s">
        <v>1571</v>
      </c>
      <c r="N1450" s="2" t="s">
        <v>1571</v>
      </c>
      <c r="O1450" s="2" t="s">
        <v>118</v>
      </c>
      <c r="P1450" s="2" t="s">
        <v>143</v>
      </c>
    </row>
    <row r="1451" spans="1:16" ht="22" customHeight="1" x14ac:dyDescent="0.15">
      <c r="A1451" s="10" t="str">
        <f t="shared" si="319"/>
        <v>449_10_13_10_polygon</v>
      </c>
      <c r="B1451" s="2">
        <v>449</v>
      </c>
      <c r="C1451" s="30" t="str">
        <f>VLOOKUP(B1451,gachas!A:C,3)</f>
        <v>ウィザード対抗確定ガチャ</v>
      </c>
      <c r="D1451" s="21">
        <v>10</v>
      </c>
      <c r="E1451" s="2">
        <f t="shared" ref="E1451:E1453" si="324">E1450+1</f>
        <v>13</v>
      </c>
      <c r="F1451" s="2">
        <v>10</v>
      </c>
      <c r="G1451" s="3" t="s">
        <v>1566</v>
      </c>
      <c r="H1451" s="2">
        <v>50</v>
      </c>
      <c r="I1451" s="117">
        <v>449100</v>
      </c>
      <c r="J1451" s="112" t="s">
        <v>1936</v>
      </c>
      <c r="K1451" s="2" t="s">
        <v>1936</v>
      </c>
      <c r="L1451" s="2">
        <v>0</v>
      </c>
      <c r="M1451" s="2" t="s">
        <v>1571</v>
      </c>
      <c r="N1451" s="2" t="s">
        <v>1571</v>
      </c>
      <c r="O1451" s="2" t="s">
        <v>118</v>
      </c>
      <c r="P1451" s="2" t="s">
        <v>143</v>
      </c>
    </row>
    <row r="1452" spans="1:16" ht="22" customHeight="1" x14ac:dyDescent="0.15">
      <c r="A1452" s="10" t="str">
        <f t="shared" si="319"/>
        <v>449_10_14_10_polygon</v>
      </c>
      <c r="B1452" s="2">
        <v>449</v>
      </c>
      <c r="C1452" s="30" t="str">
        <f>VLOOKUP(B1452,gachas!A:C,3)</f>
        <v>ウィザード対抗確定ガチャ</v>
      </c>
      <c r="D1452" s="21">
        <v>10</v>
      </c>
      <c r="E1452" s="2">
        <f t="shared" si="324"/>
        <v>14</v>
      </c>
      <c r="F1452" s="2">
        <v>10</v>
      </c>
      <c r="G1452" s="3" t="s">
        <v>1566</v>
      </c>
      <c r="H1452" s="2">
        <v>50</v>
      </c>
      <c r="I1452" s="117">
        <v>449100</v>
      </c>
      <c r="J1452" s="112" t="s">
        <v>1936</v>
      </c>
      <c r="K1452" s="2" t="s">
        <v>1936</v>
      </c>
      <c r="L1452" s="2">
        <v>0</v>
      </c>
      <c r="M1452" s="2" t="s">
        <v>1571</v>
      </c>
      <c r="N1452" s="2" t="s">
        <v>1571</v>
      </c>
      <c r="O1452" s="2" t="s">
        <v>118</v>
      </c>
      <c r="P1452" s="2" t="s">
        <v>143</v>
      </c>
    </row>
    <row r="1453" spans="1:16" ht="22" customHeight="1" x14ac:dyDescent="0.15">
      <c r="A1453" s="10" t="str">
        <f t="shared" si="319"/>
        <v>449_10_15_10_polygon</v>
      </c>
      <c r="B1453" s="2">
        <v>449</v>
      </c>
      <c r="C1453" s="30" t="str">
        <f>VLOOKUP(B1453,gachas!A:C,3)</f>
        <v>ウィザード対抗確定ガチャ</v>
      </c>
      <c r="D1453" s="21">
        <v>10</v>
      </c>
      <c r="E1453" s="2">
        <f t="shared" si="324"/>
        <v>15</v>
      </c>
      <c r="F1453" s="2">
        <v>10</v>
      </c>
      <c r="G1453" s="3" t="s">
        <v>1566</v>
      </c>
      <c r="H1453" s="2">
        <v>50</v>
      </c>
      <c r="I1453" s="117">
        <v>449100</v>
      </c>
      <c r="J1453" s="112" t="s">
        <v>1936</v>
      </c>
      <c r="K1453" s="2">
        <v>449105</v>
      </c>
      <c r="L1453" s="2">
        <v>1</v>
      </c>
      <c r="M1453" s="2" t="s">
        <v>1571</v>
      </c>
      <c r="N1453" s="2" t="s">
        <v>1571</v>
      </c>
      <c r="O1453" s="2" t="s">
        <v>118</v>
      </c>
      <c r="P1453" s="2" t="s">
        <v>1781</v>
      </c>
    </row>
    <row r="1454" spans="1:16" ht="22" customHeight="1" x14ac:dyDescent="0.15">
      <c r="A1454" s="10" t="str">
        <f t="shared" si="319"/>
        <v>449_10_16_10_polygon</v>
      </c>
      <c r="B1454" s="2">
        <v>449</v>
      </c>
      <c r="C1454" s="30" t="str">
        <f>VLOOKUP(B1454,gachas!A:C,3)</f>
        <v>ウィザード対抗確定ガチャ</v>
      </c>
      <c r="D1454" s="21">
        <v>10</v>
      </c>
      <c r="E1454" s="2">
        <f>E1453+1</f>
        <v>16</v>
      </c>
      <c r="F1454" s="2">
        <v>10</v>
      </c>
      <c r="G1454" s="3" t="s">
        <v>1566</v>
      </c>
      <c r="H1454" s="2">
        <v>25</v>
      </c>
      <c r="I1454" s="117">
        <v>449100</v>
      </c>
      <c r="J1454" s="112" t="s">
        <v>1936</v>
      </c>
      <c r="K1454" s="2" t="s">
        <v>1936</v>
      </c>
      <c r="L1454" s="2">
        <v>0</v>
      </c>
      <c r="M1454" s="2" t="s">
        <v>1571</v>
      </c>
      <c r="N1454" s="2" t="s">
        <v>1571</v>
      </c>
      <c r="O1454" s="2" t="s">
        <v>118</v>
      </c>
      <c r="P1454" s="59" t="s">
        <v>1783</v>
      </c>
    </row>
    <row r="1455" spans="1:16" ht="22" customHeight="1" x14ac:dyDescent="0.15">
      <c r="A1455" s="10" t="str">
        <f t="shared" si="319"/>
        <v>449_10_17_10_polygon</v>
      </c>
      <c r="B1455" s="2">
        <v>449</v>
      </c>
      <c r="C1455" s="30" t="str">
        <f>VLOOKUP(B1455,gachas!A:C,3)</f>
        <v>ウィザード対抗確定ガチャ</v>
      </c>
      <c r="D1455" s="21">
        <v>10</v>
      </c>
      <c r="E1455" s="2">
        <f>E1454+1</f>
        <v>17</v>
      </c>
      <c r="F1455" s="2">
        <v>10</v>
      </c>
      <c r="G1455" s="3" t="s">
        <v>1566</v>
      </c>
      <c r="H1455" s="2">
        <v>50</v>
      </c>
      <c r="I1455" s="117">
        <v>449100</v>
      </c>
      <c r="J1455" s="112" t="s">
        <v>1936</v>
      </c>
      <c r="K1455" s="2" t="s">
        <v>1936</v>
      </c>
      <c r="L1455" s="2">
        <v>0</v>
      </c>
      <c r="M1455" s="2" t="s">
        <v>1571</v>
      </c>
      <c r="N1455" s="2" t="s">
        <v>1571</v>
      </c>
      <c r="O1455" s="2" t="s">
        <v>118</v>
      </c>
      <c r="P1455" s="2" t="s">
        <v>143</v>
      </c>
    </row>
    <row r="1456" spans="1:16" ht="22" customHeight="1" x14ac:dyDescent="0.15">
      <c r="A1456" s="10" t="str">
        <f t="shared" si="319"/>
        <v>449_10_18_10_polygon</v>
      </c>
      <c r="B1456" s="2">
        <v>449</v>
      </c>
      <c r="C1456" s="30" t="str">
        <f>VLOOKUP(B1456,gachas!A:C,3)</f>
        <v>ウィザード対抗確定ガチャ</v>
      </c>
      <c r="D1456" s="21">
        <v>10</v>
      </c>
      <c r="E1456" s="2">
        <f t="shared" ref="E1456:E1458" si="325">E1455+1</f>
        <v>18</v>
      </c>
      <c r="F1456" s="2">
        <v>10</v>
      </c>
      <c r="G1456" s="3" t="s">
        <v>1566</v>
      </c>
      <c r="H1456" s="2">
        <v>50</v>
      </c>
      <c r="I1456" s="117">
        <v>449100</v>
      </c>
      <c r="J1456" s="112" t="s">
        <v>1936</v>
      </c>
      <c r="K1456" s="2" t="s">
        <v>1936</v>
      </c>
      <c r="L1456" s="2">
        <v>0</v>
      </c>
      <c r="M1456" s="2" t="s">
        <v>1571</v>
      </c>
      <c r="N1456" s="2" t="s">
        <v>1571</v>
      </c>
      <c r="O1456" s="2" t="s">
        <v>118</v>
      </c>
      <c r="P1456" s="2" t="s">
        <v>143</v>
      </c>
    </row>
    <row r="1457" spans="1:16" ht="22" customHeight="1" x14ac:dyDescent="0.15">
      <c r="A1457" s="10" t="str">
        <f t="shared" si="319"/>
        <v>449_10_19_10_polygon</v>
      </c>
      <c r="B1457" s="2">
        <v>449</v>
      </c>
      <c r="C1457" s="30" t="str">
        <f>VLOOKUP(B1457,gachas!A:C,3)</f>
        <v>ウィザード対抗確定ガチャ</v>
      </c>
      <c r="D1457" s="21">
        <v>10</v>
      </c>
      <c r="E1457" s="2">
        <f t="shared" si="325"/>
        <v>19</v>
      </c>
      <c r="F1457" s="2">
        <v>10</v>
      </c>
      <c r="G1457" s="3" t="s">
        <v>1566</v>
      </c>
      <c r="H1457" s="2">
        <v>50</v>
      </c>
      <c r="I1457" s="117">
        <v>449100</v>
      </c>
      <c r="J1457" s="112" t="s">
        <v>1936</v>
      </c>
      <c r="K1457" s="2" t="s">
        <v>1936</v>
      </c>
      <c r="L1457" s="2">
        <v>0</v>
      </c>
      <c r="M1457" s="2" t="s">
        <v>1571</v>
      </c>
      <c r="N1457" s="2" t="s">
        <v>1571</v>
      </c>
      <c r="O1457" s="2" t="s">
        <v>118</v>
      </c>
      <c r="P1457" s="2" t="s">
        <v>143</v>
      </c>
    </row>
    <row r="1458" spans="1:16" ht="22" customHeight="1" x14ac:dyDescent="0.15">
      <c r="A1458" s="10" t="str">
        <f t="shared" si="319"/>
        <v>449_10_20_10_polygon</v>
      </c>
      <c r="B1458" s="2">
        <v>449</v>
      </c>
      <c r="C1458" s="30" t="str">
        <f>VLOOKUP(B1458,gachas!A:C,3)</f>
        <v>ウィザード対抗確定ガチャ</v>
      </c>
      <c r="D1458" s="21">
        <v>10</v>
      </c>
      <c r="E1458" s="2">
        <f t="shared" si="325"/>
        <v>20</v>
      </c>
      <c r="F1458" s="2">
        <v>10</v>
      </c>
      <c r="G1458" s="3" t="s">
        <v>1566</v>
      </c>
      <c r="H1458" s="2">
        <v>50</v>
      </c>
      <c r="I1458" s="117">
        <v>449100</v>
      </c>
      <c r="J1458" s="112" t="s">
        <v>1936</v>
      </c>
      <c r="K1458" s="2">
        <v>449105</v>
      </c>
      <c r="L1458" s="2">
        <v>1</v>
      </c>
      <c r="M1458" s="2" t="s">
        <v>1571</v>
      </c>
      <c r="N1458" s="2" t="s">
        <v>1571</v>
      </c>
      <c r="O1458" s="2" t="s">
        <v>118</v>
      </c>
      <c r="P1458" s="2" t="s">
        <v>1781</v>
      </c>
    </row>
    <row r="1459" spans="1:16" ht="22" customHeight="1" x14ac:dyDescent="0.15">
      <c r="A1459" s="10" t="str">
        <f t="shared" si="319"/>
        <v>449_10_21_10_polygon</v>
      </c>
      <c r="B1459" s="2">
        <v>449</v>
      </c>
      <c r="C1459" s="30" t="str">
        <f>VLOOKUP(B1459,gachas!A:C,3)</f>
        <v>ウィザード対抗確定ガチャ</v>
      </c>
      <c r="D1459" s="21">
        <v>10</v>
      </c>
      <c r="E1459" s="2">
        <f>E1458+1</f>
        <v>21</v>
      </c>
      <c r="F1459" s="2">
        <v>10</v>
      </c>
      <c r="G1459" s="3" t="s">
        <v>1566</v>
      </c>
      <c r="H1459" s="2">
        <v>25</v>
      </c>
      <c r="I1459" s="117">
        <v>449100</v>
      </c>
      <c r="J1459" s="112" t="s">
        <v>1936</v>
      </c>
      <c r="K1459" s="2" t="s">
        <v>1936</v>
      </c>
      <c r="L1459" s="2">
        <v>0</v>
      </c>
      <c r="M1459" s="2" t="s">
        <v>1571</v>
      </c>
      <c r="N1459" s="2" t="s">
        <v>1571</v>
      </c>
      <c r="O1459" s="2" t="s">
        <v>118</v>
      </c>
      <c r="P1459" s="59" t="s">
        <v>1783</v>
      </c>
    </row>
    <row r="1460" spans="1:16" ht="22" customHeight="1" x14ac:dyDescent="0.15">
      <c r="A1460" s="10" t="str">
        <f t="shared" si="319"/>
        <v>449_10_22_10_polygon</v>
      </c>
      <c r="B1460" s="2">
        <v>449</v>
      </c>
      <c r="C1460" s="30" t="str">
        <f>VLOOKUP(B1460,gachas!A:C,3)</f>
        <v>ウィザード対抗確定ガチャ</v>
      </c>
      <c r="D1460" s="21">
        <v>10</v>
      </c>
      <c r="E1460" s="2">
        <f>E1459+1</f>
        <v>22</v>
      </c>
      <c r="F1460" s="2">
        <v>10</v>
      </c>
      <c r="G1460" s="3" t="s">
        <v>1566</v>
      </c>
      <c r="H1460" s="2">
        <v>50</v>
      </c>
      <c r="I1460" s="117">
        <v>449100</v>
      </c>
      <c r="J1460" s="112" t="s">
        <v>1936</v>
      </c>
      <c r="K1460" s="2" t="s">
        <v>1936</v>
      </c>
      <c r="L1460" s="2">
        <v>0</v>
      </c>
      <c r="M1460" s="2" t="s">
        <v>1571</v>
      </c>
      <c r="N1460" s="2" t="s">
        <v>1571</v>
      </c>
      <c r="O1460" s="2" t="s">
        <v>118</v>
      </c>
      <c r="P1460" s="2" t="s">
        <v>143</v>
      </c>
    </row>
    <row r="1461" spans="1:16" ht="22" customHeight="1" x14ac:dyDescent="0.15">
      <c r="A1461" s="10" t="str">
        <f t="shared" si="319"/>
        <v>449_10_23_10_polygon</v>
      </c>
      <c r="B1461" s="2">
        <v>449</v>
      </c>
      <c r="C1461" s="30" t="str">
        <f>VLOOKUP(B1461,gachas!A:C,3)</f>
        <v>ウィザード対抗確定ガチャ</v>
      </c>
      <c r="D1461" s="21">
        <v>10</v>
      </c>
      <c r="E1461" s="2">
        <f t="shared" ref="E1461:E1463" si="326">E1460+1</f>
        <v>23</v>
      </c>
      <c r="F1461" s="2">
        <v>10</v>
      </c>
      <c r="G1461" s="3" t="s">
        <v>1566</v>
      </c>
      <c r="H1461" s="2">
        <v>50</v>
      </c>
      <c r="I1461" s="117">
        <v>449100</v>
      </c>
      <c r="J1461" s="112" t="s">
        <v>1936</v>
      </c>
      <c r="K1461" s="2" t="s">
        <v>1936</v>
      </c>
      <c r="L1461" s="2">
        <v>0</v>
      </c>
      <c r="M1461" s="2" t="s">
        <v>1571</v>
      </c>
      <c r="N1461" s="2" t="s">
        <v>1571</v>
      </c>
      <c r="O1461" s="2" t="s">
        <v>118</v>
      </c>
      <c r="P1461" s="2" t="s">
        <v>143</v>
      </c>
    </row>
    <row r="1462" spans="1:16" ht="22" customHeight="1" x14ac:dyDescent="0.15">
      <c r="A1462" s="10" t="str">
        <f t="shared" si="319"/>
        <v>449_10_24_10_polygon</v>
      </c>
      <c r="B1462" s="2">
        <v>449</v>
      </c>
      <c r="C1462" s="30" t="str">
        <f>VLOOKUP(B1462,gachas!A:C,3)</f>
        <v>ウィザード対抗確定ガチャ</v>
      </c>
      <c r="D1462" s="21">
        <v>10</v>
      </c>
      <c r="E1462" s="2">
        <f t="shared" si="326"/>
        <v>24</v>
      </c>
      <c r="F1462" s="2">
        <v>10</v>
      </c>
      <c r="G1462" s="3" t="s">
        <v>1566</v>
      </c>
      <c r="H1462" s="2">
        <v>50</v>
      </c>
      <c r="I1462" s="117">
        <v>449100</v>
      </c>
      <c r="J1462" s="112" t="s">
        <v>1936</v>
      </c>
      <c r="K1462" s="2" t="s">
        <v>1936</v>
      </c>
      <c r="L1462" s="2">
        <v>0</v>
      </c>
      <c r="M1462" s="2" t="s">
        <v>1571</v>
      </c>
      <c r="N1462" s="2" t="s">
        <v>1571</v>
      </c>
      <c r="O1462" s="2" t="s">
        <v>118</v>
      </c>
      <c r="P1462" s="2" t="s">
        <v>143</v>
      </c>
    </row>
    <row r="1463" spans="1:16" ht="22" customHeight="1" x14ac:dyDescent="0.15">
      <c r="A1463" s="10" t="str">
        <f t="shared" si="319"/>
        <v>449_10_25_10_polygon</v>
      </c>
      <c r="B1463" s="2">
        <v>449</v>
      </c>
      <c r="C1463" s="30" t="str">
        <f>VLOOKUP(B1463,gachas!A:C,3)</f>
        <v>ウィザード対抗確定ガチャ</v>
      </c>
      <c r="D1463" s="21">
        <v>10</v>
      </c>
      <c r="E1463" s="2">
        <f t="shared" si="326"/>
        <v>25</v>
      </c>
      <c r="F1463" s="2">
        <v>10</v>
      </c>
      <c r="G1463" s="3" t="s">
        <v>1566</v>
      </c>
      <c r="H1463" s="2">
        <v>50</v>
      </c>
      <c r="I1463" s="117">
        <v>449100</v>
      </c>
      <c r="J1463" s="112" t="s">
        <v>1936</v>
      </c>
      <c r="K1463" s="2">
        <v>449105</v>
      </c>
      <c r="L1463" s="2">
        <v>1</v>
      </c>
      <c r="M1463" s="2" t="s">
        <v>1571</v>
      </c>
      <c r="N1463" s="2" t="s">
        <v>1571</v>
      </c>
      <c r="O1463" s="2" t="s">
        <v>118</v>
      </c>
      <c r="P1463" s="2" t="s">
        <v>1781</v>
      </c>
    </row>
    <row r="1464" spans="1:16" ht="22" customHeight="1" x14ac:dyDescent="0.15">
      <c r="A1464" s="10" t="str">
        <f t="shared" si="319"/>
        <v>449_10_26_10_polygon</v>
      </c>
      <c r="B1464" s="2">
        <v>449</v>
      </c>
      <c r="C1464" s="30" t="str">
        <f>VLOOKUP(B1464,gachas!A:C,3)</f>
        <v>ウィザード対抗確定ガチャ</v>
      </c>
      <c r="D1464" s="21">
        <v>10</v>
      </c>
      <c r="E1464" s="2">
        <f>E1463+1</f>
        <v>26</v>
      </c>
      <c r="F1464" s="2">
        <v>10</v>
      </c>
      <c r="G1464" s="3" t="s">
        <v>1566</v>
      </c>
      <c r="H1464" s="2">
        <v>25</v>
      </c>
      <c r="I1464" s="117">
        <v>449100</v>
      </c>
      <c r="J1464" s="112" t="s">
        <v>1936</v>
      </c>
      <c r="K1464" s="2" t="s">
        <v>1936</v>
      </c>
      <c r="L1464" s="2">
        <v>0</v>
      </c>
      <c r="M1464" s="2" t="s">
        <v>1571</v>
      </c>
      <c r="N1464" s="2" t="s">
        <v>1571</v>
      </c>
      <c r="O1464" s="2" t="s">
        <v>118</v>
      </c>
      <c r="P1464" s="59" t="s">
        <v>1783</v>
      </c>
    </row>
    <row r="1465" spans="1:16" ht="22" customHeight="1" x14ac:dyDescent="0.15">
      <c r="A1465" s="10" t="str">
        <f t="shared" si="319"/>
        <v>449_10_27_10_polygon</v>
      </c>
      <c r="B1465" s="2">
        <v>449</v>
      </c>
      <c r="C1465" s="30" t="str">
        <f>VLOOKUP(B1465,gachas!A:C,3)</f>
        <v>ウィザード対抗確定ガチャ</v>
      </c>
      <c r="D1465" s="21">
        <v>10</v>
      </c>
      <c r="E1465" s="2">
        <f>E1464+1</f>
        <v>27</v>
      </c>
      <c r="F1465" s="2">
        <v>10</v>
      </c>
      <c r="G1465" s="3" t="s">
        <v>1566</v>
      </c>
      <c r="H1465" s="2">
        <v>50</v>
      </c>
      <c r="I1465" s="117">
        <v>449100</v>
      </c>
      <c r="J1465" s="112" t="s">
        <v>1936</v>
      </c>
      <c r="K1465" s="2" t="s">
        <v>1936</v>
      </c>
      <c r="L1465" s="2">
        <v>0</v>
      </c>
      <c r="M1465" s="2" t="s">
        <v>1571</v>
      </c>
      <c r="N1465" s="2" t="s">
        <v>1571</v>
      </c>
      <c r="O1465" s="2" t="s">
        <v>118</v>
      </c>
      <c r="P1465" s="2" t="s">
        <v>143</v>
      </c>
    </row>
    <row r="1466" spans="1:16" ht="22" customHeight="1" x14ac:dyDescent="0.15">
      <c r="A1466" s="10" t="str">
        <f t="shared" si="319"/>
        <v>449_10_28_10_polygon</v>
      </c>
      <c r="B1466" s="2">
        <v>449</v>
      </c>
      <c r="C1466" s="30" t="str">
        <f>VLOOKUP(B1466,gachas!A:C,3)</f>
        <v>ウィザード対抗確定ガチャ</v>
      </c>
      <c r="D1466" s="21">
        <v>10</v>
      </c>
      <c r="E1466" s="2">
        <f t="shared" ref="E1466:E1468" si="327">E1465+1</f>
        <v>28</v>
      </c>
      <c r="F1466" s="2">
        <v>10</v>
      </c>
      <c r="G1466" s="3" t="s">
        <v>1566</v>
      </c>
      <c r="H1466" s="2">
        <v>50</v>
      </c>
      <c r="I1466" s="117">
        <v>449100</v>
      </c>
      <c r="J1466" s="112" t="s">
        <v>1936</v>
      </c>
      <c r="K1466" s="2" t="s">
        <v>1936</v>
      </c>
      <c r="L1466" s="2">
        <v>0</v>
      </c>
      <c r="M1466" s="2" t="s">
        <v>1571</v>
      </c>
      <c r="N1466" s="2" t="s">
        <v>1571</v>
      </c>
      <c r="O1466" s="2" t="s">
        <v>118</v>
      </c>
      <c r="P1466" s="2" t="s">
        <v>143</v>
      </c>
    </row>
    <row r="1467" spans="1:16" ht="22" customHeight="1" x14ac:dyDescent="0.15">
      <c r="A1467" s="10" t="str">
        <f t="shared" si="319"/>
        <v>449_10_29_10_polygon</v>
      </c>
      <c r="B1467" s="2">
        <v>449</v>
      </c>
      <c r="C1467" s="30" t="str">
        <f>VLOOKUP(B1467,gachas!A:C,3)</f>
        <v>ウィザード対抗確定ガチャ</v>
      </c>
      <c r="D1467" s="21">
        <v>10</v>
      </c>
      <c r="E1467" s="2">
        <f t="shared" si="327"/>
        <v>29</v>
      </c>
      <c r="F1467" s="2">
        <v>10</v>
      </c>
      <c r="G1467" s="3" t="s">
        <v>1566</v>
      </c>
      <c r="H1467" s="2">
        <v>50</v>
      </c>
      <c r="I1467" s="117">
        <v>449100</v>
      </c>
      <c r="J1467" s="112" t="s">
        <v>1936</v>
      </c>
      <c r="K1467" s="2" t="s">
        <v>1936</v>
      </c>
      <c r="L1467" s="2">
        <v>0</v>
      </c>
      <c r="M1467" s="2" t="s">
        <v>1571</v>
      </c>
      <c r="N1467" s="2" t="s">
        <v>1571</v>
      </c>
      <c r="O1467" s="2" t="s">
        <v>118</v>
      </c>
      <c r="P1467" s="2" t="s">
        <v>143</v>
      </c>
    </row>
    <row r="1468" spans="1:16" ht="22" customHeight="1" x14ac:dyDescent="0.15">
      <c r="A1468" s="10" t="str">
        <f t="shared" si="319"/>
        <v>449_10_30_10_polygon</v>
      </c>
      <c r="B1468" s="2">
        <v>449</v>
      </c>
      <c r="C1468" s="30" t="str">
        <f>VLOOKUP(B1468,gachas!A:C,3)</f>
        <v>ウィザード対抗確定ガチャ</v>
      </c>
      <c r="D1468" s="21">
        <v>10</v>
      </c>
      <c r="E1468" s="2">
        <f t="shared" si="327"/>
        <v>30</v>
      </c>
      <c r="F1468" s="2">
        <v>10</v>
      </c>
      <c r="G1468" s="3" t="s">
        <v>1566</v>
      </c>
      <c r="H1468" s="2">
        <v>50</v>
      </c>
      <c r="I1468" s="117">
        <v>449100</v>
      </c>
      <c r="J1468" s="112" t="s">
        <v>1936</v>
      </c>
      <c r="K1468" s="2">
        <v>449105</v>
      </c>
      <c r="L1468" s="2">
        <v>1</v>
      </c>
      <c r="M1468" s="2" t="s">
        <v>1571</v>
      </c>
      <c r="N1468" s="2" t="s">
        <v>1571</v>
      </c>
      <c r="O1468" s="2" t="s">
        <v>118</v>
      </c>
      <c r="P1468" s="2" t="s">
        <v>1781</v>
      </c>
    </row>
    <row r="1469" spans="1:16" ht="22" customHeight="1" x14ac:dyDescent="0.15">
      <c r="A1469" s="10" t="str">
        <f t="shared" si="319"/>
        <v>449_10_31_10_polygon</v>
      </c>
      <c r="B1469" s="2">
        <v>449</v>
      </c>
      <c r="C1469" s="30" t="str">
        <f>VLOOKUP(B1469,gachas!A:C,3)</f>
        <v>ウィザード対抗確定ガチャ</v>
      </c>
      <c r="D1469" s="21">
        <v>10</v>
      </c>
      <c r="E1469" s="2">
        <f>E1468+1</f>
        <v>31</v>
      </c>
      <c r="F1469" s="2">
        <v>10</v>
      </c>
      <c r="G1469" s="3" t="s">
        <v>1566</v>
      </c>
      <c r="H1469" s="2">
        <v>25</v>
      </c>
      <c r="I1469" s="117">
        <v>449100</v>
      </c>
      <c r="J1469" s="112" t="s">
        <v>1936</v>
      </c>
      <c r="K1469" s="2" t="s">
        <v>1936</v>
      </c>
      <c r="L1469" s="2">
        <v>0</v>
      </c>
      <c r="M1469" s="2" t="s">
        <v>1571</v>
      </c>
      <c r="N1469" s="2" t="s">
        <v>1571</v>
      </c>
      <c r="O1469" s="2" t="s">
        <v>118</v>
      </c>
      <c r="P1469" s="59" t="s">
        <v>1783</v>
      </c>
    </row>
    <row r="1470" spans="1:16" ht="22" customHeight="1" x14ac:dyDescent="0.15">
      <c r="A1470" s="10" t="str">
        <f t="shared" si="319"/>
        <v>449_10_32_10_polygon</v>
      </c>
      <c r="B1470" s="2">
        <v>449</v>
      </c>
      <c r="C1470" s="30" t="str">
        <f>VLOOKUP(B1470,gachas!A:C,3)</f>
        <v>ウィザード対抗確定ガチャ</v>
      </c>
      <c r="D1470" s="21">
        <v>10</v>
      </c>
      <c r="E1470" s="2">
        <f>E1469+1</f>
        <v>32</v>
      </c>
      <c r="F1470" s="2">
        <v>10</v>
      </c>
      <c r="G1470" s="3" t="s">
        <v>1566</v>
      </c>
      <c r="H1470" s="2">
        <v>50</v>
      </c>
      <c r="I1470" s="117">
        <v>449100</v>
      </c>
      <c r="J1470" s="112" t="s">
        <v>1936</v>
      </c>
      <c r="K1470" s="2" t="s">
        <v>1936</v>
      </c>
      <c r="L1470" s="2">
        <v>0</v>
      </c>
      <c r="M1470" s="2" t="s">
        <v>1571</v>
      </c>
      <c r="N1470" s="2" t="s">
        <v>1571</v>
      </c>
      <c r="O1470" s="2" t="s">
        <v>118</v>
      </c>
      <c r="P1470" s="2" t="s">
        <v>143</v>
      </c>
    </row>
    <row r="1471" spans="1:16" ht="22" customHeight="1" x14ac:dyDescent="0.15">
      <c r="A1471" s="10" t="str">
        <f t="shared" si="319"/>
        <v>449_10_33_10_polygon</v>
      </c>
      <c r="B1471" s="2">
        <v>449</v>
      </c>
      <c r="C1471" s="30" t="str">
        <f>VLOOKUP(B1471,gachas!A:C,3)</f>
        <v>ウィザード対抗確定ガチャ</v>
      </c>
      <c r="D1471" s="21">
        <v>10</v>
      </c>
      <c r="E1471" s="2">
        <f t="shared" ref="E1471:E1473" si="328">E1470+1</f>
        <v>33</v>
      </c>
      <c r="F1471" s="2">
        <v>10</v>
      </c>
      <c r="G1471" s="3" t="s">
        <v>1566</v>
      </c>
      <c r="H1471" s="2">
        <v>50</v>
      </c>
      <c r="I1471" s="117">
        <v>449100</v>
      </c>
      <c r="J1471" s="112" t="s">
        <v>1936</v>
      </c>
      <c r="K1471" s="2" t="s">
        <v>1936</v>
      </c>
      <c r="L1471" s="2">
        <v>0</v>
      </c>
      <c r="M1471" s="2" t="s">
        <v>1571</v>
      </c>
      <c r="N1471" s="2" t="s">
        <v>1571</v>
      </c>
      <c r="O1471" s="2" t="s">
        <v>118</v>
      </c>
      <c r="P1471" s="2" t="s">
        <v>143</v>
      </c>
    </row>
    <row r="1472" spans="1:16" ht="22" customHeight="1" x14ac:dyDescent="0.15">
      <c r="A1472" s="10" t="str">
        <f t="shared" si="319"/>
        <v>449_10_34_10_polygon</v>
      </c>
      <c r="B1472" s="2">
        <v>449</v>
      </c>
      <c r="C1472" s="30" t="str">
        <f>VLOOKUP(B1472,gachas!A:C,3)</f>
        <v>ウィザード対抗確定ガチャ</v>
      </c>
      <c r="D1472" s="21">
        <v>10</v>
      </c>
      <c r="E1472" s="2">
        <f t="shared" si="328"/>
        <v>34</v>
      </c>
      <c r="F1472" s="2">
        <v>10</v>
      </c>
      <c r="G1472" s="3" t="s">
        <v>1566</v>
      </c>
      <c r="H1472" s="2">
        <v>50</v>
      </c>
      <c r="I1472" s="117">
        <v>449100</v>
      </c>
      <c r="J1472" s="112" t="s">
        <v>1936</v>
      </c>
      <c r="K1472" s="2" t="s">
        <v>1936</v>
      </c>
      <c r="L1472" s="2">
        <v>0</v>
      </c>
      <c r="M1472" s="2" t="s">
        <v>1571</v>
      </c>
      <c r="N1472" s="2" t="s">
        <v>1571</v>
      </c>
      <c r="O1472" s="2" t="s">
        <v>118</v>
      </c>
      <c r="P1472" s="2" t="s">
        <v>143</v>
      </c>
    </row>
    <row r="1473" spans="1:16" ht="22" customHeight="1" x14ac:dyDescent="0.15">
      <c r="A1473" s="10" t="str">
        <f t="shared" si="319"/>
        <v>449_10_35_10_polygon</v>
      </c>
      <c r="B1473" s="2">
        <v>449</v>
      </c>
      <c r="C1473" s="30" t="str">
        <f>VLOOKUP(B1473,gachas!A:C,3)</f>
        <v>ウィザード対抗確定ガチャ</v>
      </c>
      <c r="D1473" s="21">
        <v>10</v>
      </c>
      <c r="E1473" s="2">
        <f t="shared" si="328"/>
        <v>35</v>
      </c>
      <c r="F1473" s="2">
        <v>10</v>
      </c>
      <c r="G1473" s="3" t="s">
        <v>1566</v>
      </c>
      <c r="H1473" s="2">
        <v>50</v>
      </c>
      <c r="I1473" s="117">
        <v>449100</v>
      </c>
      <c r="J1473" s="112" t="s">
        <v>1936</v>
      </c>
      <c r="K1473" s="2">
        <v>449105</v>
      </c>
      <c r="L1473" s="2">
        <v>1</v>
      </c>
      <c r="M1473" s="2" t="s">
        <v>1571</v>
      </c>
      <c r="N1473" s="2" t="s">
        <v>1571</v>
      </c>
      <c r="O1473" s="2" t="s">
        <v>118</v>
      </c>
      <c r="P1473" s="2" t="s">
        <v>1781</v>
      </c>
    </row>
    <row r="1474" spans="1:16" ht="22" customHeight="1" x14ac:dyDescent="0.15">
      <c r="A1474" s="10" t="str">
        <f t="shared" si="319"/>
        <v>449_10_36_10_polygon</v>
      </c>
      <c r="B1474" s="2">
        <v>449</v>
      </c>
      <c r="C1474" s="30" t="str">
        <f>VLOOKUP(B1474,gachas!A:C,3)</f>
        <v>ウィザード対抗確定ガチャ</v>
      </c>
      <c r="D1474" s="21">
        <v>10</v>
      </c>
      <c r="E1474" s="2">
        <f>E1473+1</f>
        <v>36</v>
      </c>
      <c r="F1474" s="2">
        <v>10</v>
      </c>
      <c r="G1474" s="3" t="s">
        <v>1566</v>
      </c>
      <c r="H1474" s="2">
        <v>25</v>
      </c>
      <c r="I1474" s="117">
        <v>449100</v>
      </c>
      <c r="J1474" s="112" t="s">
        <v>1936</v>
      </c>
      <c r="K1474" s="2" t="s">
        <v>1936</v>
      </c>
      <c r="L1474" s="2">
        <v>0</v>
      </c>
      <c r="M1474" s="2" t="s">
        <v>1571</v>
      </c>
      <c r="N1474" s="2" t="s">
        <v>1571</v>
      </c>
      <c r="O1474" s="2" t="s">
        <v>118</v>
      </c>
      <c r="P1474" s="59" t="s">
        <v>1783</v>
      </c>
    </row>
    <row r="1475" spans="1:16" ht="22" customHeight="1" x14ac:dyDescent="0.15">
      <c r="A1475" s="10" t="str">
        <f t="shared" si="319"/>
        <v>449_10_37_10_polygon</v>
      </c>
      <c r="B1475" s="2">
        <v>449</v>
      </c>
      <c r="C1475" s="30" t="str">
        <f>VLOOKUP(B1475,gachas!A:C,3)</f>
        <v>ウィザード対抗確定ガチャ</v>
      </c>
      <c r="D1475" s="21">
        <v>10</v>
      </c>
      <c r="E1475" s="2">
        <f>E1474+1</f>
        <v>37</v>
      </c>
      <c r="F1475" s="2">
        <v>10</v>
      </c>
      <c r="G1475" s="3" t="s">
        <v>1566</v>
      </c>
      <c r="H1475" s="2">
        <v>50</v>
      </c>
      <c r="I1475" s="117">
        <v>449100</v>
      </c>
      <c r="J1475" s="112" t="s">
        <v>1936</v>
      </c>
      <c r="K1475" s="2" t="s">
        <v>1936</v>
      </c>
      <c r="L1475" s="2">
        <v>0</v>
      </c>
      <c r="M1475" s="2" t="s">
        <v>1571</v>
      </c>
      <c r="N1475" s="2" t="s">
        <v>1571</v>
      </c>
      <c r="O1475" s="2" t="s">
        <v>118</v>
      </c>
      <c r="P1475" s="2" t="s">
        <v>143</v>
      </c>
    </row>
    <row r="1476" spans="1:16" ht="22" customHeight="1" x14ac:dyDescent="0.15">
      <c r="A1476" s="10" t="str">
        <f t="shared" si="319"/>
        <v>449_10_38_10_polygon</v>
      </c>
      <c r="B1476" s="2">
        <v>449</v>
      </c>
      <c r="C1476" s="30" t="str">
        <f>VLOOKUP(B1476,gachas!A:C,3)</f>
        <v>ウィザード対抗確定ガチャ</v>
      </c>
      <c r="D1476" s="21">
        <v>10</v>
      </c>
      <c r="E1476" s="2">
        <f t="shared" ref="E1476:E1478" si="329">E1475+1</f>
        <v>38</v>
      </c>
      <c r="F1476" s="2">
        <v>10</v>
      </c>
      <c r="G1476" s="3" t="s">
        <v>1566</v>
      </c>
      <c r="H1476" s="2">
        <v>50</v>
      </c>
      <c r="I1476" s="117">
        <v>449100</v>
      </c>
      <c r="J1476" s="112" t="s">
        <v>1936</v>
      </c>
      <c r="K1476" s="2" t="s">
        <v>1936</v>
      </c>
      <c r="L1476" s="2">
        <v>0</v>
      </c>
      <c r="M1476" s="2" t="s">
        <v>1571</v>
      </c>
      <c r="N1476" s="2" t="s">
        <v>1571</v>
      </c>
      <c r="O1476" s="2" t="s">
        <v>118</v>
      </c>
      <c r="P1476" s="2" t="s">
        <v>143</v>
      </c>
    </row>
    <row r="1477" spans="1:16" ht="22" customHeight="1" x14ac:dyDescent="0.15">
      <c r="A1477" s="10" t="str">
        <f t="shared" si="319"/>
        <v>449_10_39_10_polygon</v>
      </c>
      <c r="B1477" s="2">
        <v>449</v>
      </c>
      <c r="C1477" s="30" t="str">
        <f>VLOOKUP(B1477,gachas!A:C,3)</f>
        <v>ウィザード対抗確定ガチャ</v>
      </c>
      <c r="D1477" s="21">
        <v>10</v>
      </c>
      <c r="E1477" s="2">
        <f t="shared" si="329"/>
        <v>39</v>
      </c>
      <c r="F1477" s="2">
        <v>10</v>
      </c>
      <c r="G1477" s="3" t="s">
        <v>1566</v>
      </c>
      <c r="H1477" s="2">
        <v>50</v>
      </c>
      <c r="I1477" s="117">
        <v>449100</v>
      </c>
      <c r="J1477" s="112" t="s">
        <v>1936</v>
      </c>
      <c r="K1477" s="2" t="s">
        <v>1936</v>
      </c>
      <c r="L1477" s="2">
        <v>0</v>
      </c>
      <c r="M1477" s="2" t="s">
        <v>1571</v>
      </c>
      <c r="N1477" s="2" t="s">
        <v>1571</v>
      </c>
      <c r="O1477" s="2" t="s">
        <v>118</v>
      </c>
      <c r="P1477" s="2" t="s">
        <v>143</v>
      </c>
    </row>
    <row r="1478" spans="1:16" ht="22" customHeight="1" x14ac:dyDescent="0.15">
      <c r="A1478" s="10" t="str">
        <f t="shared" si="319"/>
        <v>449_10_40_10_polygon</v>
      </c>
      <c r="B1478" s="2">
        <v>449</v>
      </c>
      <c r="C1478" s="30" t="str">
        <f>VLOOKUP(B1478,gachas!A:C,3)</f>
        <v>ウィザード対抗確定ガチャ</v>
      </c>
      <c r="D1478" s="21">
        <v>10</v>
      </c>
      <c r="E1478" s="2">
        <f t="shared" si="329"/>
        <v>40</v>
      </c>
      <c r="F1478" s="2">
        <v>10</v>
      </c>
      <c r="G1478" s="3" t="s">
        <v>1566</v>
      </c>
      <c r="H1478" s="2">
        <v>50</v>
      </c>
      <c r="I1478" s="117">
        <v>449100</v>
      </c>
      <c r="J1478" s="112" t="s">
        <v>1936</v>
      </c>
      <c r="K1478" s="2">
        <v>449105</v>
      </c>
      <c r="L1478" s="2">
        <v>1</v>
      </c>
      <c r="M1478" s="2" t="s">
        <v>1571</v>
      </c>
      <c r="N1478" s="2" t="s">
        <v>1571</v>
      </c>
      <c r="O1478" s="2" t="s">
        <v>118</v>
      </c>
      <c r="P1478" s="2" t="s">
        <v>1781</v>
      </c>
    </row>
    <row r="1479" spans="1:16" ht="22" customHeight="1" x14ac:dyDescent="0.15">
      <c r="A1479" s="10" t="str">
        <f t="shared" si="319"/>
        <v>449_10_41_10_polygon</v>
      </c>
      <c r="B1479" s="2">
        <v>449</v>
      </c>
      <c r="C1479" s="30" t="str">
        <f>VLOOKUP(B1479,gachas!A:C,3)</f>
        <v>ウィザード対抗確定ガチャ</v>
      </c>
      <c r="D1479" s="21">
        <v>10</v>
      </c>
      <c r="E1479" s="2">
        <f>E1478+1</f>
        <v>41</v>
      </c>
      <c r="F1479" s="2">
        <v>10</v>
      </c>
      <c r="G1479" s="3" t="s">
        <v>1566</v>
      </c>
      <c r="H1479" s="2">
        <v>25</v>
      </c>
      <c r="I1479" s="117">
        <v>449100</v>
      </c>
      <c r="J1479" s="112" t="s">
        <v>1936</v>
      </c>
      <c r="K1479" s="2" t="s">
        <v>1936</v>
      </c>
      <c r="L1479" s="2">
        <v>0</v>
      </c>
      <c r="M1479" s="2" t="s">
        <v>1571</v>
      </c>
      <c r="N1479" s="2" t="s">
        <v>1571</v>
      </c>
      <c r="O1479" s="2" t="s">
        <v>118</v>
      </c>
      <c r="P1479" s="59" t="s">
        <v>1783</v>
      </c>
    </row>
    <row r="1480" spans="1:16" ht="22" customHeight="1" x14ac:dyDescent="0.15">
      <c r="A1480" s="10" t="str">
        <f t="shared" si="319"/>
        <v>449_10_42_10_polygon</v>
      </c>
      <c r="B1480" s="2">
        <v>449</v>
      </c>
      <c r="C1480" s="30" t="str">
        <f>VLOOKUP(B1480,gachas!A:C,3)</f>
        <v>ウィザード対抗確定ガチャ</v>
      </c>
      <c r="D1480" s="21">
        <v>10</v>
      </c>
      <c r="E1480" s="2">
        <f>E1479+1</f>
        <v>42</v>
      </c>
      <c r="F1480" s="2">
        <v>10</v>
      </c>
      <c r="G1480" s="3" t="s">
        <v>1566</v>
      </c>
      <c r="H1480" s="2">
        <v>50</v>
      </c>
      <c r="I1480" s="117">
        <v>449100</v>
      </c>
      <c r="J1480" s="112" t="s">
        <v>1936</v>
      </c>
      <c r="K1480" s="2" t="s">
        <v>1936</v>
      </c>
      <c r="L1480" s="2">
        <v>0</v>
      </c>
      <c r="M1480" s="2" t="s">
        <v>1571</v>
      </c>
      <c r="N1480" s="2" t="s">
        <v>1571</v>
      </c>
      <c r="O1480" s="2" t="s">
        <v>118</v>
      </c>
      <c r="P1480" s="2" t="s">
        <v>143</v>
      </c>
    </row>
    <row r="1481" spans="1:16" ht="22" customHeight="1" x14ac:dyDescent="0.15">
      <c r="A1481" s="10" t="str">
        <f t="shared" si="319"/>
        <v>449_10_43_10_polygon</v>
      </c>
      <c r="B1481" s="2">
        <v>449</v>
      </c>
      <c r="C1481" s="30" t="str">
        <f>VLOOKUP(B1481,gachas!A:C,3)</f>
        <v>ウィザード対抗確定ガチャ</v>
      </c>
      <c r="D1481" s="21">
        <v>10</v>
      </c>
      <c r="E1481" s="2">
        <f t="shared" ref="E1481:E1483" si="330">E1480+1</f>
        <v>43</v>
      </c>
      <c r="F1481" s="2">
        <v>10</v>
      </c>
      <c r="G1481" s="3" t="s">
        <v>1566</v>
      </c>
      <c r="H1481" s="2">
        <v>50</v>
      </c>
      <c r="I1481" s="117">
        <v>449100</v>
      </c>
      <c r="J1481" s="112" t="s">
        <v>1936</v>
      </c>
      <c r="K1481" s="2" t="s">
        <v>1936</v>
      </c>
      <c r="L1481" s="2">
        <v>0</v>
      </c>
      <c r="M1481" s="2" t="s">
        <v>1571</v>
      </c>
      <c r="N1481" s="2" t="s">
        <v>1571</v>
      </c>
      <c r="O1481" s="2" t="s">
        <v>118</v>
      </c>
      <c r="P1481" s="2" t="s">
        <v>143</v>
      </c>
    </row>
    <row r="1482" spans="1:16" ht="22" customHeight="1" x14ac:dyDescent="0.15">
      <c r="A1482" s="10" t="str">
        <f t="shared" si="319"/>
        <v>449_10_44_10_polygon</v>
      </c>
      <c r="B1482" s="2">
        <v>449</v>
      </c>
      <c r="C1482" s="30" t="str">
        <f>VLOOKUP(B1482,gachas!A:C,3)</f>
        <v>ウィザード対抗確定ガチャ</v>
      </c>
      <c r="D1482" s="21">
        <v>10</v>
      </c>
      <c r="E1482" s="2">
        <f t="shared" si="330"/>
        <v>44</v>
      </c>
      <c r="F1482" s="2">
        <v>10</v>
      </c>
      <c r="G1482" s="3" t="s">
        <v>1566</v>
      </c>
      <c r="H1482" s="2">
        <v>50</v>
      </c>
      <c r="I1482" s="117">
        <v>449100</v>
      </c>
      <c r="J1482" s="112" t="s">
        <v>1936</v>
      </c>
      <c r="K1482" s="2" t="s">
        <v>1936</v>
      </c>
      <c r="L1482" s="2">
        <v>0</v>
      </c>
      <c r="M1482" s="2" t="s">
        <v>1571</v>
      </c>
      <c r="N1482" s="2" t="s">
        <v>1571</v>
      </c>
      <c r="O1482" s="2" t="s">
        <v>118</v>
      </c>
      <c r="P1482" s="2" t="s">
        <v>143</v>
      </c>
    </row>
    <row r="1483" spans="1:16" ht="22" customHeight="1" x14ac:dyDescent="0.15">
      <c r="A1483" s="10" t="str">
        <f t="shared" si="319"/>
        <v>449_10_45_10_polygon</v>
      </c>
      <c r="B1483" s="2">
        <v>449</v>
      </c>
      <c r="C1483" s="30" t="str">
        <f>VLOOKUP(B1483,gachas!A:C,3)</f>
        <v>ウィザード対抗確定ガチャ</v>
      </c>
      <c r="D1483" s="21">
        <v>10</v>
      </c>
      <c r="E1483" s="2">
        <f t="shared" si="330"/>
        <v>45</v>
      </c>
      <c r="F1483" s="2">
        <v>10</v>
      </c>
      <c r="G1483" s="3" t="s">
        <v>1566</v>
      </c>
      <c r="H1483" s="2">
        <v>50</v>
      </c>
      <c r="I1483" s="117">
        <v>449100</v>
      </c>
      <c r="J1483" s="112" t="s">
        <v>1936</v>
      </c>
      <c r="K1483" s="2">
        <v>449105</v>
      </c>
      <c r="L1483" s="2">
        <v>1</v>
      </c>
      <c r="M1483" s="2" t="s">
        <v>1571</v>
      </c>
      <c r="N1483" s="2" t="s">
        <v>1571</v>
      </c>
      <c r="O1483" s="2" t="s">
        <v>118</v>
      </c>
      <c r="P1483" s="2" t="s">
        <v>1781</v>
      </c>
    </row>
    <row r="1484" spans="1:16" ht="22" customHeight="1" x14ac:dyDescent="0.15">
      <c r="A1484" s="10" t="str">
        <f t="shared" si="319"/>
        <v>449_10_46_10_polygon</v>
      </c>
      <c r="B1484" s="2">
        <v>449</v>
      </c>
      <c r="C1484" s="30" t="str">
        <f>VLOOKUP(B1484,gachas!A:C,3)</f>
        <v>ウィザード対抗確定ガチャ</v>
      </c>
      <c r="D1484" s="21">
        <v>10</v>
      </c>
      <c r="E1484" s="2">
        <f>E1483+1</f>
        <v>46</v>
      </c>
      <c r="F1484" s="2">
        <v>10</v>
      </c>
      <c r="G1484" s="3" t="s">
        <v>1566</v>
      </c>
      <c r="H1484" s="2">
        <v>25</v>
      </c>
      <c r="I1484" s="117">
        <v>449100</v>
      </c>
      <c r="J1484" s="112" t="s">
        <v>1936</v>
      </c>
      <c r="K1484" s="2" t="s">
        <v>1936</v>
      </c>
      <c r="L1484" s="2">
        <v>0</v>
      </c>
      <c r="M1484" s="2" t="s">
        <v>1571</v>
      </c>
      <c r="N1484" s="2" t="s">
        <v>1571</v>
      </c>
      <c r="O1484" s="2" t="s">
        <v>118</v>
      </c>
      <c r="P1484" s="59" t="s">
        <v>1783</v>
      </c>
    </row>
    <row r="1485" spans="1:16" ht="22" customHeight="1" x14ac:dyDescent="0.15">
      <c r="A1485" s="10" t="str">
        <f t="shared" si="319"/>
        <v>449_10_47_10_polygon</v>
      </c>
      <c r="B1485" s="2">
        <v>449</v>
      </c>
      <c r="C1485" s="30" t="str">
        <f>VLOOKUP(B1485,gachas!A:C,3)</f>
        <v>ウィザード対抗確定ガチャ</v>
      </c>
      <c r="D1485" s="21">
        <v>10</v>
      </c>
      <c r="E1485" s="2">
        <f>E1484+1</f>
        <v>47</v>
      </c>
      <c r="F1485" s="2">
        <v>10</v>
      </c>
      <c r="G1485" s="3" t="s">
        <v>1566</v>
      </c>
      <c r="H1485" s="2">
        <v>50</v>
      </c>
      <c r="I1485" s="117">
        <v>449100</v>
      </c>
      <c r="J1485" s="112" t="s">
        <v>1936</v>
      </c>
      <c r="K1485" s="2" t="s">
        <v>1936</v>
      </c>
      <c r="L1485" s="2">
        <v>0</v>
      </c>
      <c r="M1485" s="2" t="s">
        <v>1571</v>
      </c>
      <c r="N1485" s="2" t="s">
        <v>1571</v>
      </c>
      <c r="O1485" s="2" t="s">
        <v>118</v>
      </c>
      <c r="P1485" s="2" t="s">
        <v>143</v>
      </c>
    </row>
    <row r="1486" spans="1:16" ht="22" customHeight="1" x14ac:dyDescent="0.15">
      <c r="A1486" s="10" t="str">
        <f t="shared" si="319"/>
        <v>449_10_48_10_polygon</v>
      </c>
      <c r="B1486" s="2">
        <v>449</v>
      </c>
      <c r="C1486" s="30" t="str">
        <f>VLOOKUP(B1486,gachas!A:C,3)</f>
        <v>ウィザード対抗確定ガチャ</v>
      </c>
      <c r="D1486" s="21">
        <v>10</v>
      </c>
      <c r="E1486" s="2">
        <f t="shared" ref="E1486:E1488" si="331">E1485+1</f>
        <v>48</v>
      </c>
      <c r="F1486" s="2">
        <v>10</v>
      </c>
      <c r="G1486" s="3" t="s">
        <v>1566</v>
      </c>
      <c r="H1486" s="2">
        <v>50</v>
      </c>
      <c r="I1486" s="117">
        <v>449100</v>
      </c>
      <c r="J1486" s="112" t="s">
        <v>1936</v>
      </c>
      <c r="K1486" s="2" t="s">
        <v>1936</v>
      </c>
      <c r="L1486" s="2">
        <v>0</v>
      </c>
      <c r="M1486" s="2" t="s">
        <v>1571</v>
      </c>
      <c r="N1486" s="2" t="s">
        <v>1571</v>
      </c>
      <c r="O1486" s="2" t="s">
        <v>118</v>
      </c>
      <c r="P1486" s="2" t="s">
        <v>143</v>
      </c>
    </row>
    <row r="1487" spans="1:16" ht="22" customHeight="1" x14ac:dyDescent="0.15">
      <c r="A1487" s="10" t="str">
        <f t="shared" si="319"/>
        <v>449_10_49_10_polygon</v>
      </c>
      <c r="B1487" s="2">
        <v>449</v>
      </c>
      <c r="C1487" s="30" t="str">
        <f>VLOOKUP(B1487,gachas!A:C,3)</f>
        <v>ウィザード対抗確定ガチャ</v>
      </c>
      <c r="D1487" s="21">
        <v>10</v>
      </c>
      <c r="E1487" s="2">
        <f t="shared" si="331"/>
        <v>49</v>
      </c>
      <c r="F1487" s="2">
        <v>10</v>
      </c>
      <c r="G1487" s="3" t="s">
        <v>1566</v>
      </c>
      <c r="H1487" s="2">
        <v>50</v>
      </c>
      <c r="I1487" s="117">
        <v>449100</v>
      </c>
      <c r="J1487" s="112" t="s">
        <v>1936</v>
      </c>
      <c r="K1487" s="2" t="s">
        <v>1936</v>
      </c>
      <c r="L1487" s="2">
        <v>0</v>
      </c>
      <c r="M1487" s="2" t="s">
        <v>1571</v>
      </c>
      <c r="N1487" s="2" t="s">
        <v>1571</v>
      </c>
      <c r="O1487" s="2" t="s">
        <v>118</v>
      </c>
      <c r="P1487" s="2" t="s">
        <v>143</v>
      </c>
    </row>
    <row r="1488" spans="1:16" ht="22" customHeight="1" x14ac:dyDescent="0.15">
      <c r="A1488" s="10" t="str">
        <f t="shared" si="319"/>
        <v>449_10_50_10_polygon</v>
      </c>
      <c r="B1488" s="2">
        <v>449</v>
      </c>
      <c r="C1488" s="30" t="str">
        <f>VLOOKUP(B1488,gachas!A:C,3)</f>
        <v>ウィザード対抗確定ガチャ</v>
      </c>
      <c r="D1488" s="21">
        <v>10</v>
      </c>
      <c r="E1488" s="2">
        <f t="shared" si="331"/>
        <v>50</v>
      </c>
      <c r="F1488" s="2">
        <v>10</v>
      </c>
      <c r="G1488" s="3" t="s">
        <v>1566</v>
      </c>
      <c r="H1488" s="2">
        <v>50</v>
      </c>
      <c r="I1488" s="117">
        <v>449100</v>
      </c>
      <c r="J1488" s="112" t="s">
        <v>1936</v>
      </c>
      <c r="K1488" s="2">
        <v>449105</v>
      </c>
      <c r="L1488" s="2">
        <v>1</v>
      </c>
      <c r="M1488" s="2" t="s">
        <v>1571</v>
      </c>
      <c r="N1488" s="2" t="s">
        <v>1571</v>
      </c>
      <c r="O1488" s="2" t="s">
        <v>118</v>
      </c>
      <c r="P1488" s="2" t="s">
        <v>1781</v>
      </c>
    </row>
    <row r="1489" spans="1:16" ht="22" customHeight="1" x14ac:dyDescent="0.15">
      <c r="A1489" s="10" t="str">
        <f t="shared" si="319"/>
        <v>450_1_0_1_polygon</v>
      </c>
      <c r="B1489" s="2">
        <v>450</v>
      </c>
      <c r="C1489" s="30" t="str">
        <f>VLOOKUP(B1489,gachas!A:C,3)</f>
        <v>フィーバーフェスティバル＜ケプラー、チューリング＞</v>
      </c>
      <c r="D1489" s="21">
        <v>1</v>
      </c>
      <c r="E1489" s="2">
        <v>0</v>
      </c>
      <c r="F1489" s="2">
        <v>1</v>
      </c>
      <c r="G1489" s="3" t="s">
        <v>1566</v>
      </c>
      <c r="H1489" s="2">
        <v>5</v>
      </c>
      <c r="I1489" s="117">
        <v>450010</v>
      </c>
      <c r="J1489" s="112" t="s">
        <v>1571</v>
      </c>
      <c r="K1489" s="2" t="s">
        <v>86</v>
      </c>
      <c r="L1489" s="2">
        <v>0</v>
      </c>
      <c r="M1489" s="2" t="s">
        <v>1571</v>
      </c>
      <c r="N1489" s="2" t="s">
        <v>1571</v>
      </c>
      <c r="O1489" s="2" t="s">
        <v>118</v>
      </c>
      <c r="P1489" s="2" t="s">
        <v>1959</v>
      </c>
    </row>
    <row r="1490" spans="1:16" ht="22" customHeight="1" x14ac:dyDescent="0.15">
      <c r="A1490" s="10" t="str">
        <f t="shared" si="319"/>
        <v>450_10_0_10_polygon</v>
      </c>
      <c r="B1490" s="2">
        <v>450</v>
      </c>
      <c r="C1490" s="30" t="str">
        <f>VLOOKUP(B1490,gachas!A:C,3)</f>
        <v>フィーバーフェスティバル＜ケプラー、チューリング＞</v>
      </c>
      <c r="D1490" s="21">
        <v>10</v>
      </c>
      <c r="E1490" s="2">
        <v>0</v>
      </c>
      <c r="F1490" s="2">
        <v>10</v>
      </c>
      <c r="G1490" s="3" t="s">
        <v>1566</v>
      </c>
      <c r="H1490" s="2">
        <v>50</v>
      </c>
      <c r="I1490" s="117">
        <v>450100</v>
      </c>
      <c r="J1490" s="112" t="s">
        <v>1571</v>
      </c>
      <c r="K1490" s="2">
        <v>450100</v>
      </c>
      <c r="L1490" s="2">
        <v>1</v>
      </c>
      <c r="M1490" s="2" t="s">
        <v>1571</v>
      </c>
      <c r="N1490" s="2" t="s">
        <v>1571</v>
      </c>
      <c r="O1490" s="2" t="s">
        <v>118</v>
      </c>
      <c r="P1490" s="2" t="s">
        <v>1078</v>
      </c>
    </row>
    <row r="1491" spans="1:16" ht="22" customHeight="1" x14ac:dyDescent="0.15">
      <c r="A1491" s="10" t="str">
        <f t="shared" ref="A1491" si="332">B1491&amp;"_"&amp;D1491&amp;"_"&amp;E1491&amp;"_"&amp;F1491&amp;"_"&amp;G1491</f>
        <v>450_10_1_10_polygon</v>
      </c>
      <c r="B1491" s="2">
        <v>450</v>
      </c>
      <c r="C1491" s="30" t="str">
        <f>VLOOKUP(B1491,gachas!A:C,3)</f>
        <v>フィーバーフェスティバル＜ケプラー、チューリング＞</v>
      </c>
      <c r="D1491" s="21">
        <v>10</v>
      </c>
      <c r="E1491" s="2">
        <f>E1490+1</f>
        <v>1</v>
      </c>
      <c r="F1491" s="2">
        <v>10</v>
      </c>
      <c r="G1491" s="3" t="s">
        <v>1566</v>
      </c>
      <c r="H1491" s="2">
        <v>50</v>
      </c>
      <c r="I1491" s="117">
        <v>450100</v>
      </c>
      <c r="J1491" s="112" t="s">
        <v>1571</v>
      </c>
      <c r="K1491" s="2">
        <v>450100</v>
      </c>
      <c r="L1491" s="2">
        <v>1</v>
      </c>
      <c r="M1491" s="2" t="s">
        <v>1571</v>
      </c>
      <c r="N1491" s="2" t="s">
        <v>1571</v>
      </c>
      <c r="O1491" s="2" t="s">
        <v>118</v>
      </c>
      <c r="P1491" s="2" t="s">
        <v>1078</v>
      </c>
    </row>
    <row r="1492" spans="1:16" ht="22" customHeight="1" x14ac:dyDescent="0.15">
      <c r="A1492" s="10" t="str">
        <f t="shared" ref="A1492:A1540" si="333">B1492&amp;"_"&amp;D1492&amp;"_"&amp;E1492&amp;"_"&amp;F1492&amp;"_"&amp;G1492</f>
        <v>450_10_2_10_polygon</v>
      </c>
      <c r="B1492" s="2">
        <v>450</v>
      </c>
      <c r="C1492" s="30" t="str">
        <f>VLOOKUP(B1492,gachas!A:C,3)</f>
        <v>フィーバーフェスティバル＜ケプラー、チューリング＞</v>
      </c>
      <c r="D1492" s="21">
        <v>10</v>
      </c>
      <c r="E1492" s="2">
        <f t="shared" ref="E1492:E1495" si="334">E1491+1</f>
        <v>2</v>
      </c>
      <c r="F1492" s="2">
        <v>10</v>
      </c>
      <c r="G1492" s="3" t="s">
        <v>1566</v>
      </c>
      <c r="H1492" s="2">
        <v>50</v>
      </c>
      <c r="I1492" s="117">
        <v>450100</v>
      </c>
      <c r="J1492" s="112" t="s">
        <v>1571</v>
      </c>
      <c r="K1492" s="2">
        <v>450100</v>
      </c>
      <c r="L1492" s="2">
        <v>1</v>
      </c>
      <c r="M1492" s="2" t="s">
        <v>1571</v>
      </c>
      <c r="N1492" s="2" t="s">
        <v>1571</v>
      </c>
      <c r="O1492" s="2" t="s">
        <v>118</v>
      </c>
      <c r="P1492" s="2" t="s">
        <v>1078</v>
      </c>
    </row>
    <row r="1493" spans="1:16" ht="22" customHeight="1" x14ac:dyDescent="0.15">
      <c r="A1493" s="10" t="str">
        <f t="shared" si="333"/>
        <v>450_10_3_10_polygon</v>
      </c>
      <c r="B1493" s="2">
        <v>450</v>
      </c>
      <c r="C1493" s="30" t="str">
        <f>VLOOKUP(B1493,gachas!A:C,3)</f>
        <v>フィーバーフェスティバル＜ケプラー、チューリング＞</v>
      </c>
      <c r="D1493" s="21">
        <v>10</v>
      </c>
      <c r="E1493" s="2">
        <f t="shared" si="334"/>
        <v>3</v>
      </c>
      <c r="F1493" s="2">
        <v>10</v>
      </c>
      <c r="G1493" s="3" t="s">
        <v>1566</v>
      </c>
      <c r="H1493" s="2">
        <v>50</v>
      </c>
      <c r="I1493" s="117">
        <v>450100</v>
      </c>
      <c r="J1493" s="112" t="s">
        <v>1571</v>
      </c>
      <c r="K1493" s="2">
        <v>450100</v>
      </c>
      <c r="L1493" s="2">
        <v>1</v>
      </c>
      <c r="M1493" s="2" t="s">
        <v>1571</v>
      </c>
      <c r="N1493" s="2" t="s">
        <v>1571</v>
      </c>
      <c r="O1493" s="2" t="s">
        <v>118</v>
      </c>
      <c r="P1493" s="2" t="s">
        <v>1078</v>
      </c>
    </row>
    <row r="1494" spans="1:16" ht="22" customHeight="1" x14ac:dyDescent="0.15">
      <c r="A1494" s="10" t="str">
        <f t="shared" si="333"/>
        <v>450_10_4_10_polygon</v>
      </c>
      <c r="B1494" s="2">
        <v>450</v>
      </c>
      <c r="C1494" s="30" t="str">
        <f>VLOOKUP(B1494,gachas!A:C,3)</f>
        <v>フィーバーフェスティバル＜ケプラー、チューリング＞</v>
      </c>
      <c r="D1494" s="21">
        <v>10</v>
      </c>
      <c r="E1494" s="2">
        <f t="shared" si="334"/>
        <v>4</v>
      </c>
      <c r="F1494" s="2">
        <v>10</v>
      </c>
      <c r="G1494" s="3" t="s">
        <v>1566</v>
      </c>
      <c r="H1494" s="2">
        <v>50</v>
      </c>
      <c r="I1494" s="117">
        <v>450100</v>
      </c>
      <c r="J1494" s="112" t="s">
        <v>1571</v>
      </c>
      <c r="K1494" s="2">
        <v>450100</v>
      </c>
      <c r="L1494" s="2">
        <v>1</v>
      </c>
      <c r="M1494" s="2" t="s">
        <v>1571</v>
      </c>
      <c r="N1494" s="2" t="s">
        <v>1571</v>
      </c>
      <c r="O1494" s="2" t="s">
        <v>118</v>
      </c>
      <c r="P1494" s="2" t="s">
        <v>1078</v>
      </c>
    </row>
    <row r="1495" spans="1:16" ht="22" customHeight="1" x14ac:dyDescent="0.15">
      <c r="A1495" s="10" t="str">
        <f t="shared" si="333"/>
        <v>450_10_5_10_polygon</v>
      </c>
      <c r="B1495" s="2">
        <v>450</v>
      </c>
      <c r="C1495" s="30" t="str">
        <f>VLOOKUP(B1495,gachas!A:C,3)</f>
        <v>フィーバーフェスティバル＜ケプラー、チューリング＞</v>
      </c>
      <c r="D1495" s="21">
        <v>10</v>
      </c>
      <c r="E1495" s="2">
        <f t="shared" si="334"/>
        <v>5</v>
      </c>
      <c r="F1495" s="2">
        <v>10</v>
      </c>
      <c r="G1495" s="3" t="s">
        <v>1566</v>
      </c>
      <c r="H1495" s="2">
        <v>50</v>
      </c>
      <c r="I1495" s="117">
        <v>450100</v>
      </c>
      <c r="J1495" s="112">
        <v>450105</v>
      </c>
      <c r="K1495" s="2">
        <v>450100</v>
      </c>
      <c r="L1495" s="2">
        <v>1</v>
      </c>
      <c r="M1495" s="2" t="s">
        <v>1571</v>
      </c>
      <c r="N1495" s="2" t="s">
        <v>1571</v>
      </c>
      <c r="O1495" s="2" t="s">
        <v>118</v>
      </c>
      <c r="P1495" s="2" t="s">
        <v>1763</v>
      </c>
    </row>
    <row r="1496" spans="1:16" ht="22" customHeight="1" x14ac:dyDescent="0.15">
      <c r="A1496" s="10" t="str">
        <f t="shared" si="333"/>
        <v>450_10_6_10_polygon</v>
      </c>
      <c r="B1496" s="2">
        <v>450</v>
      </c>
      <c r="C1496" s="30" t="str">
        <f>VLOOKUP(B1496,gachas!A:C,3)</f>
        <v>フィーバーフェスティバル＜ケプラー、チューリング＞</v>
      </c>
      <c r="D1496" s="21">
        <v>10</v>
      </c>
      <c r="E1496" s="2">
        <f>E1495+1</f>
        <v>6</v>
      </c>
      <c r="F1496" s="2">
        <v>10</v>
      </c>
      <c r="G1496" s="3" t="s">
        <v>1566</v>
      </c>
      <c r="H1496" s="2">
        <v>50</v>
      </c>
      <c r="I1496" s="117">
        <v>450100</v>
      </c>
      <c r="J1496" s="112" t="s">
        <v>1571</v>
      </c>
      <c r="K1496" s="2">
        <v>450100</v>
      </c>
      <c r="L1496" s="2">
        <v>1</v>
      </c>
      <c r="M1496" s="2" t="s">
        <v>1571</v>
      </c>
      <c r="N1496" s="2" t="s">
        <v>1571</v>
      </c>
      <c r="O1496" s="2" t="s">
        <v>118</v>
      </c>
      <c r="P1496" s="2" t="s">
        <v>1078</v>
      </c>
    </row>
    <row r="1497" spans="1:16" ht="22" customHeight="1" x14ac:dyDescent="0.15">
      <c r="A1497" s="10" t="str">
        <f t="shared" si="333"/>
        <v>450_10_7_10_polygon</v>
      </c>
      <c r="B1497" s="2">
        <v>450</v>
      </c>
      <c r="C1497" s="30" t="str">
        <f>VLOOKUP(B1497,gachas!A:C,3)</f>
        <v>フィーバーフェスティバル＜ケプラー、チューリング＞</v>
      </c>
      <c r="D1497" s="21">
        <v>10</v>
      </c>
      <c r="E1497" s="2">
        <f t="shared" ref="E1497:E1500" si="335">E1496+1</f>
        <v>7</v>
      </c>
      <c r="F1497" s="2">
        <v>10</v>
      </c>
      <c r="G1497" s="3" t="s">
        <v>1566</v>
      </c>
      <c r="H1497" s="2">
        <v>50</v>
      </c>
      <c r="I1497" s="117">
        <v>450100</v>
      </c>
      <c r="J1497" s="112" t="s">
        <v>1571</v>
      </c>
      <c r="K1497" s="2">
        <v>450100</v>
      </c>
      <c r="L1497" s="2">
        <v>1</v>
      </c>
      <c r="M1497" s="2" t="s">
        <v>1571</v>
      </c>
      <c r="N1497" s="2" t="s">
        <v>1571</v>
      </c>
      <c r="O1497" s="2" t="s">
        <v>118</v>
      </c>
      <c r="P1497" s="2" t="s">
        <v>1078</v>
      </c>
    </row>
    <row r="1498" spans="1:16" ht="22" customHeight="1" x14ac:dyDescent="0.15">
      <c r="A1498" s="10" t="str">
        <f t="shared" si="333"/>
        <v>450_10_8_10_polygon</v>
      </c>
      <c r="B1498" s="2">
        <v>450</v>
      </c>
      <c r="C1498" s="30" t="str">
        <f>VLOOKUP(B1498,gachas!A:C,3)</f>
        <v>フィーバーフェスティバル＜ケプラー、チューリング＞</v>
      </c>
      <c r="D1498" s="21">
        <v>10</v>
      </c>
      <c r="E1498" s="2">
        <f t="shared" si="335"/>
        <v>8</v>
      </c>
      <c r="F1498" s="2">
        <v>10</v>
      </c>
      <c r="G1498" s="3" t="s">
        <v>1566</v>
      </c>
      <c r="H1498" s="2">
        <v>50</v>
      </c>
      <c r="I1498" s="117">
        <v>450100</v>
      </c>
      <c r="J1498" s="112" t="s">
        <v>1571</v>
      </c>
      <c r="K1498" s="2">
        <v>450100</v>
      </c>
      <c r="L1498" s="2">
        <v>1</v>
      </c>
      <c r="M1498" s="2" t="s">
        <v>1571</v>
      </c>
      <c r="N1498" s="2" t="s">
        <v>1571</v>
      </c>
      <c r="O1498" s="2" t="s">
        <v>118</v>
      </c>
      <c r="P1498" s="2" t="s">
        <v>1078</v>
      </c>
    </row>
    <row r="1499" spans="1:16" ht="22" customHeight="1" x14ac:dyDescent="0.15">
      <c r="A1499" s="10" t="str">
        <f t="shared" si="333"/>
        <v>450_10_9_10_polygon</v>
      </c>
      <c r="B1499" s="2">
        <v>450</v>
      </c>
      <c r="C1499" s="30" t="str">
        <f>VLOOKUP(B1499,gachas!A:C,3)</f>
        <v>フィーバーフェスティバル＜ケプラー、チューリング＞</v>
      </c>
      <c r="D1499" s="21">
        <v>10</v>
      </c>
      <c r="E1499" s="2">
        <f t="shared" si="335"/>
        <v>9</v>
      </c>
      <c r="F1499" s="2">
        <v>10</v>
      </c>
      <c r="G1499" s="3" t="s">
        <v>1566</v>
      </c>
      <c r="H1499" s="2">
        <v>50</v>
      </c>
      <c r="I1499" s="117">
        <v>450100</v>
      </c>
      <c r="J1499" s="112" t="s">
        <v>1571</v>
      </c>
      <c r="K1499" s="2">
        <v>450100</v>
      </c>
      <c r="L1499" s="2">
        <v>1</v>
      </c>
      <c r="M1499" s="2" t="s">
        <v>1571</v>
      </c>
      <c r="N1499" s="2" t="s">
        <v>1571</v>
      </c>
      <c r="O1499" s="2" t="s">
        <v>118</v>
      </c>
      <c r="P1499" s="2" t="s">
        <v>1078</v>
      </c>
    </row>
    <row r="1500" spans="1:16" ht="22" customHeight="1" x14ac:dyDescent="0.15">
      <c r="A1500" s="10" t="str">
        <f t="shared" si="333"/>
        <v>450_10_10_10_polygon</v>
      </c>
      <c r="B1500" s="2">
        <v>450</v>
      </c>
      <c r="C1500" s="30" t="str">
        <f>VLOOKUP(B1500,gachas!A:C,3)</f>
        <v>フィーバーフェスティバル＜ケプラー、チューリング＞</v>
      </c>
      <c r="D1500" s="21">
        <v>10</v>
      </c>
      <c r="E1500" s="2">
        <f t="shared" si="335"/>
        <v>10</v>
      </c>
      <c r="F1500" s="2">
        <v>10</v>
      </c>
      <c r="G1500" s="3" t="s">
        <v>1566</v>
      </c>
      <c r="H1500" s="2">
        <v>50</v>
      </c>
      <c r="I1500" s="117">
        <v>450100</v>
      </c>
      <c r="J1500" s="112">
        <v>450105</v>
      </c>
      <c r="K1500" s="2">
        <v>450100</v>
      </c>
      <c r="L1500" s="2">
        <v>1</v>
      </c>
      <c r="M1500" s="2" t="s">
        <v>1571</v>
      </c>
      <c r="N1500" s="2" t="s">
        <v>1571</v>
      </c>
      <c r="O1500" s="2" t="s">
        <v>118</v>
      </c>
      <c r="P1500" s="2" t="s">
        <v>1763</v>
      </c>
    </row>
    <row r="1501" spans="1:16" ht="22" customHeight="1" x14ac:dyDescent="0.15">
      <c r="A1501" s="10" t="str">
        <f t="shared" si="333"/>
        <v>450_10_11_10_polygon</v>
      </c>
      <c r="B1501" s="2">
        <v>450</v>
      </c>
      <c r="C1501" s="30" t="str">
        <f>VLOOKUP(B1501,gachas!A:C,3)</f>
        <v>フィーバーフェスティバル＜ケプラー、チューリング＞</v>
      </c>
      <c r="D1501" s="21">
        <v>10</v>
      </c>
      <c r="E1501" s="2">
        <f>E1500+1</f>
        <v>11</v>
      </c>
      <c r="F1501" s="2">
        <v>10</v>
      </c>
      <c r="G1501" s="3" t="s">
        <v>1566</v>
      </c>
      <c r="H1501" s="2">
        <v>50</v>
      </c>
      <c r="I1501" s="117">
        <v>450100</v>
      </c>
      <c r="J1501" s="112" t="s">
        <v>1571</v>
      </c>
      <c r="K1501" s="2">
        <v>450100</v>
      </c>
      <c r="L1501" s="2">
        <v>1</v>
      </c>
      <c r="M1501" s="2" t="s">
        <v>1571</v>
      </c>
      <c r="N1501" s="2" t="s">
        <v>1571</v>
      </c>
      <c r="O1501" s="2" t="s">
        <v>118</v>
      </c>
      <c r="P1501" s="2" t="s">
        <v>1078</v>
      </c>
    </row>
    <row r="1502" spans="1:16" ht="22" customHeight="1" x14ac:dyDescent="0.15">
      <c r="A1502" s="10" t="str">
        <f t="shared" si="333"/>
        <v>450_10_12_10_polygon</v>
      </c>
      <c r="B1502" s="2">
        <v>450</v>
      </c>
      <c r="C1502" s="30" t="str">
        <f>VLOOKUP(B1502,gachas!A:C,3)</f>
        <v>フィーバーフェスティバル＜ケプラー、チューリング＞</v>
      </c>
      <c r="D1502" s="21">
        <v>10</v>
      </c>
      <c r="E1502" s="2">
        <f t="shared" ref="E1502:E1505" si="336">E1501+1</f>
        <v>12</v>
      </c>
      <c r="F1502" s="2">
        <v>10</v>
      </c>
      <c r="G1502" s="3" t="s">
        <v>1566</v>
      </c>
      <c r="H1502" s="2">
        <v>50</v>
      </c>
      <c r="I1502" s="117">
        <v>450100</v>
      </c>
      <c r="J1502" s="112" t="s">
        <v>1571</v>
      </c>
      <c r="K1502" s="2">
        <v>450100</v>
      </c>
      <c r="L1502" s="2">
        <v>1</v>
      </c>
      <c r="M1502" s="2" t="s">
        <v>1571</v>
      </c>
      <c r="N1502" s="2" t="s">
        <v>1571</v>
      </c>
      <c r="O1502" s="2" t="s">
        <v>118</v>
      </c>
      <c r="P1502" s="2" t="s">
        <v>1078</v>
      </c>
    </row>
    <row r="1503" spans="1:16" ht="22" customHeight="1" x14ac:dyDescent="0.15">
      <c r="A1503" s="10" t="str">
        <f t="shared" si="333"/>
        <v>450_10_13_10_polygon</v>
      </c>
      <c r="B1503" s="2">
        <v>450</v>
      </c>
      <c r="C1503" s="30" t="str">
        <f>VLOOKUP(B1503,gachas!A:C,3)</f>
        <v>フィーバーフェスティバル＜ケプラー、チューリング＞</v>
      </c>
      <c r="D1503" s="21">
        <v>10</v>
      </c>
      <c r="E1503" s="2">
        <f t="shared" si="336"/>
        <v>13</v>
      </c>
      <c r="F1503" s="2">
        <v>10</v>
      </c>
      <c r="G1503" s="3" t="s">
        <v>1566</v>
      </c>
      <c r="H1503" s="2">
        <v>50</v>
      </c>
      <c r="I1503" s="117">
        <v>450100</v>
      </c>
      <c r="J1503" s="112" t="s">
        <v>1571</v>
      </c>
      <c r="K1503" s="2">
        <v>450100</v>
      </c>
      <c r="L1503" s="2">
        <v>1</v>
      </c>
      <c r="M1503" s="2" t="s">
        <v>1571</v>
      </c>
      <c r="N1503" s="2" t="s">
        <v>1571</v>
      </c>
      <c r="O1503" s="2" t="s">
        <v>118</v>
      </c>
      <c r="P1503" s="2" t="s">
        <v>1078</v>
      </c>
    </row>
    <row r="1504" spans="1:16" ht="22" customHeight="1" x14ac:dyDescent="0.15">
      <c r="A1504" s="10" t="str">
        <f t="shared" si="333"/>
        <v>450_10_14_10_polygon</v>
      </c>
      <c r="B1504" s="2">
        <v>450</v>
      </c>
      <c r="C1504" s="30" t="str">
        <f>VLOOKUP(B1504,gachas!A:C,3)</f>
        <v>フィーバーフェスティバル＜ケプラー、チューリング＞</v>
      </c>
      <c r="D1504" s="21">
        <v>10</v>
      </c>
      <c r="E1504" s="2">
        <f t="shared" si="336"/>
        <v>14</v>
      </c>
      <c r="F1504" s="2">
        <v>10</v>
      </c>
      <c r="G1504" s="3" t="s">
        <v>1566</v>
      </c>
      <c r="H1504" s="2">
        <v>50</v>
      </c>
      <c r="I1504" s="117">
        <v>450100</v>
      </c>
      <c r="J1504" s="112" t="s">
        <v>1571</v>
      </c>
      <c r="K1504" s="2">
        <v>450100</v>
      </c>
      <c r="L1504" s="2">
        <v>1</v>
      </c>
      <c r="M1504" s="2" t="s">
        <v>1571</v>
      </c>
      <c r="N1504" s="2" t="s">
        <v>1571</v>
      </c>
      <c r="O1504" s="2" t="s">
        <v>118</v>
      </c>
      <c r="P1504" s="2" t="s">
        <v>1078</v>
      </c>
    </row>
    <row r="1505" spans="1:16" ht="22" customHeight="1" x14ac:dyDescent="0.15">
      <c r="A1505" s="10" t="str">
        <f t="shared" si="333"/>
        <v>450_10_15_10_polygon</v>
      </c>
      <c r="B1505" s="2">
        <v>450</v>
      </c>
      <c r="C1505" s="30" t="str">
        <f>VLOOKUP(B1505,gachas!A:C,3)</f>
        <v>フィーバーフェスティバル＜ケプラー、チューリング＞</v>
      </c>
      <c r="D1505" s="21">
        <v>10</v>
      </c>
      <c r="E1505" s="2">
        <f t="shared" si="336"/>
        <v>15</v>
      </c>
      <c r="F1505" s="2">
        <v>10</v>
      </c>
      <c r="G1505" s="3" t="s">
        <v>1566</v>
      </c>
      <c r="H1505" s="2">
        <v>50</v>
      </c>
      <c r="I1505" s="117">
        <v>450100</v>
      </c>
      <c r="J1505" s="112">
        <v>450105</v>
      </c>
      <c r="K1505" s="2">
        <v>450100</v>
      </c>
      <c r="L1505" s="2">
        <v>1</v>
      </c>
      <c r="M1505" s="2" t="s">
        <v>1571</v>
      </c>
      <c r="N1505" s="2" t="s">
        <v>1571</v>
      </c>
      <c r="O1505" s="2" t="s">
        <v>118</v>
      </c>
      <c r="P1505" s="2" t="s">
        <v>1763</v>
      </c>
    </row>
    <row r="1506" spans="1:16" ht="22" customHeight="1" x14ac:dyDescent="0.15">
      <c r="A1506" s="10" t="str">
        <f t="shared" si="333"/>
        <v>450_10_16_10_polygon</v>
      </c>
      <c r="B1506" s="2">
        <v>450</v>
      </c>
      <c r="C1506" s="30" t="str">
        <f>VLOOKUP(B1506,gachas!A:C,3)</f>
        <v>フィーバーフェスティバル＜ケプラー、チューリング＞</v>
      </c>
      <c r="D1506" s="21">
        <v>10</v>
      </c>
      <c r="E1506" s="2">
        <f>E1505+1</f>
        <v>16</v>
      </c>
      <c r="F1506" s="2">
        <v>10</v>
      </c>
      <c r="G1506" s="3" t="s">
        <v>1566</v>
      </c>
      <c r="H1506" s="2">
        <v>50</v>
      </c>
      <c r="I1506" s="117">
        <v>450100</v>
      </c>
      <c r="J1506" s="112" t="s">
        <v>1571</v>
      </c>
      <c r="K1506" s="2">
        <v>450100</v>
      </c>
      <c r="L1506" s="2">
        <v>1</v>
      </c>
      <c r="M1506" s="2" t="s">
        <v>1571</v>
      </c>
      <c r="N1506" s="2" t="s">
        <v>1571</v>
      </c>
      <c r="O1506" s="2" t="s">
        <v>118</v>
      </c>
      <c r="P1506" s="2" t="s">
        <v>1078</v>
      </c>
    </row>
    <row r="1507" spans="1:16" ht="22" customHeight="1" x14ac:dyDescent="0.15">
      <c r="A1507" s="10" t="str">
        <f t="shared" si="333"/>
        <v>450_10_17_10_polygon</v>
      </c>
      <c r="B1507" s="2">
        <v>450</v>
      </c>
      <c r="C1507" s="30" t="str">
        <f>VLOOKUP(B1507,gachas!A:C,3)</f>
        <v>フィーバーフェスティバル＜ケプラー、チューリング＞</v>
      </c>
      <c r="D1507" s="21">
        <v>10</v>
      </c>
      <c r="E1507" s="2">
        <f t="shared" ref="E1507:E1510" si="337">E1506+1</f>
        <v>17</v>
      </c>
      <c r="F1507" s="2">
        <v>10</v>
      </c>
      <c r="G1507" s="3" t="s">
        <v>1566</v>
      </c>
      <c r="H1507" s="2">
        <v>50</v>
      </c>
      <c r="I1507" s="117">
        <v>450100</v>
      </c>
      <c r="J1507" s="112" t="s">
        <v>1571</v>
      </c>
      <c r="K1507" s="2">
        <v>450100</v>
      </c>
      <c r="L1507" s="2">
        <v>1</v>
      </c>
      <c r="M1507" s="2" t="s">
        <v>1571</v>
      </c>
      <c r="N1507" s="2" t="s">
        <v>1571</v>
      </c>
      <c r="O1507" s="2" t="s">
        <v>118</v>
      </c>
      <c r="P1507" s="2" t="s">
        <v>1078</v>
      </c>
    </row>
    <row r="1508" spans="1:16" ht="22" customHeight="1" x14ac:dyDescent="0.15">
      <c r="A1508" s="10" t="str">
        <f t="shared" si="333"/>
        <v>450_10_18_10_polygon</v>
      </c>
      <c r="B1508" s="2">
        <v>450</v>
      </c>
      <c r="C1508" s="30" t="str">
        <f>VLOOKUP(B1508,gachas!A:C,3)</f>
        <v>フィーバーフェスティバル＜ケプラー、チューリング＞</v>
      </c>
      <c r="D1508" s="21">
        <v>10</v>
      </c>
      <c r="E1508" s="2">
        <f t="shared" si="337"/>
        <v>18</v>
      </c>
      <c r="F1508" s="2">
        <v>10</v>
      </c>
      <c r="G1508" s="3" t="s">
        <v>1566</v>
      </c>
      <c r="H1508" s="2">
        <v>50</v>
      </c>
      <c r="I1508" s="117">
        <v>450100</v>
      </c>
      <c r="J1508" s="112" t="s">
        <v>1571</v>
      </c>
      <c r="K1508" s="2">
        <v>450100</v>
      </c>
      <c r="L1508" s="2">
        <v>1</v>
      </c>
      <c r="M1508" s="2" t="s">
        <v>1571</v>
      </c>
      <c r="N1508" s="2" t="s">
        <v>1571</v>
      </c>
      <c r="O1508" s="2" t="s">
        <v>118</v>
      </c>
      <c r="P1508" s="2" t="s">
        <v>1078</v>
      </c>
    </row>
    <row r="1509" spans="1:16" ht="22" customHeight="1" x14ac:dyDescent="0.15">
      <c r="A1509" s="10" t="str">
        <f t="shared" si="333"/>
        <v>450_10_19_10_polygon</v>
      </c>
      <c r="B1509" s="2">
        <v>450</v>
      </c>
      <c r="C1509" s="30" t="str">
        <f>VLOOKUP(B1509,gachas!A:C,3)</f>
        <v>フィーバーフェスティバル＜ケプラー、チューリング＞</v>
      </c>
      <c r="D1509" s="21">
        <v>10</v>
      </c>
      <c r="E1509" s="2">
        <f t="shared" si="337"/>
        <v>19</v>
      </c>
      <c r="F1509" s="2">
        <v>10</v>
      </c>
      <c r="G1509" s="3" t="s">
        <v>1566</v>
      </c>
      <c r="H1509" s="2">
        <v>50</v>
      </c>
      <c r="I1509" s="117">
        <v>450100</v>
      </c>
      <c r="J1509" s="112" t="s">
        <v>1571</v>
      </c>
      <c r="K1509" s="2">
        <v>450100</v>
      </c>
      <c r="L1509" s="2">
        <v>1</v>
      </c>
      <c r="M1509" s="2" t="s">
        <v>1571</v>
      </c>
      <c r="N1509" s="2" t="s">
        <v>1571</v>
      </c>
      <c r="O1509" s="2" t="s">
        <v>118</v>
      </c>
      <c r="P1509" s="2" t="s">
        <v>1078</v>
      </c>
    </row>
    <row r="1510" spans="1:16" ht="22" customHeight="1" x14ac:dyDescent="0.15">
      <c r="A1510" s="10" t="str">
        <f t="shared" si="333"/>
        <v>450_10_20_10_polygon</v>
      </c>
      <c r="B1510" s="2">
        <v>450</v>
      </c>
      <c r="C1510" s="30" t="str">
        <f>VLOOKUP(B1510,gachas!A:C,3)</f>
        <v>フィーバーフェスティバル＜ケプラー、チューリング＞</v>
      </c>
      <c r="D1510" s="21">
        <v>10</v>
      </c>
      <c r="E1510" s="2">
        <f t="shared" si="337"/>
        <v>20</v>
      </c>
      <c r="F1510" s="2">
        <v>10</v>
      </c>
      <c r="G1510" s="3" t="s">
        <v>1566</v>
      </c>
      <c r="H1510" s="2">
        <v>50</v>
      </c>
      <c r="I1510" s="117">
        <v>450100</v>
      </c>
      <c r="J1510" s="112">
        <v>450105</v>
      </c>
      <c r="K1510" s="2">
        <v>450100</v>
      </c>
      <c r="L1510" s="2">
        <v>1</v>
      </c>
      <c r="M1510" s="2" t="s">
        <v>1571</v>
      </c>
      <c r="N1510" s="2" t="s">
        <v>1571</v>
      </c>
      <c r="O1510" s="2" t="s">
        <v>118</v>
      </c>
      <c r="P1510" s="2" t="s">
        <v>1763</v>
      </c>
    </row>
    <row r="1511" spans="1:16" ht="22" customHeight="1" x14ac:dyDescent="0.15">
      <c r="A1511" s="10" t="str">
        <f t="shared" si="333"/>
        <v>450_10_21_10_polygon</v>
      </c>
      <c r="B1511" s="2">
        <v>450</v>
      </c>
      <c r="C1511" s="30" t="str">
        <f>VLOOKUP(B1511,gachas!A:C,3)</f>
        <v>フィーバーフェスティバル＜ケプラー、チューリング＞</v>
      </c>
      <c r="D1511" s="21">
        <v>10</v>
      </c>
      <c r="E1511" s="2">
        <f>E1510+1</f>
        <v>21</v>
      </c>
      <c r="F1511" s="2">
        <v>10</v>
      </c>
      <c r="G1511" s="3" t="s">
        <v>1566</v>
      </c>
      <c r="H1511" s="2">
        <v>50</v>
      </c>
      <c r="I1511" s="117">
        <v>450100</v>
      </c>
      <c r="J1511" s="112" t="s">
        <v>1571</v>
      </c>
      <c r="K1511" s="2">
        <v>450100</v>
      </c>
      <c r="L1511" s="2">
        <v>1</v>
      </c>
      <c r="M1511" s="2" t="s">
        <v>1571</v>
      </c>
      <c r="N1511" s="2" t="s">
        <v>1571</v>
      </c>
      <c r="O1511" s="2" t="s">
        <v>118</v>
      </c>
      <c r="P1511" s="2" t="s">
        <v>1078</v>
      </c>
    </row>
    <row r="1512" spans="1:16" ht="22" customHeight="1" x14ac:dyDescent="0.15">
      <c r="A1512" s="10" t="str">
        <f t="shared" si="333"/>
        <v>450_10_22_10_polygon</v>
      </c>
      <c r="B1512" s="2">
        <v>450</v>
      </c>
      <c r="C1512" s="30" t="str">
        <f>VLOOKUP(B1512,gachas!A:C,3)</f>
        <v>フィーバーフェスティバル＜ケプラー、チューリング＞</v>
      </c>
      <c r="D1512" s="21">
        <v>10</v>
      </c>
      <c r="E1512" s="2">
        <f t="shared" ref="E1512:E1515" si="338">E1511+1</f>
        <v>22</v>
      </c>
      <c r="F1512" s="2">
        <v>10</v>
      </c>
      <c r="G1512" s="3" t="s">
        <v>1566</v>
      </c>
      <c r="H1512" s="2">
        <v>50</v>
      </c>
      <c r="I1512" s="117">
        <v>450100</v>
      </c>
      <c r="J1512" s="112" t="s">
        <v>1571</v>
      </c>
      <c r="K1512" s="2">
        <v>450100</v>
      </c>
      <c r="L1512" s="2">
        <v>1</v>
      </c>
      <c r="M1512" s="2" t="s">
        <v>1571</v>
      </c>
      <c r="N1512" s="2" t="s">
        <v>1571</v>
      </c>
      <c r="O1512" s="2" t="s">
        <v>118</v>
      </c>
      <c r="P1512" s="2" t="s">
        <v>1078</v>
      </c>
    </row>
    <row r="1513" spans="1:16" ht="22" customHeight="1" x14ac:dyDescent="0.15">
      <c r="A1513" s="10" t="str">
        <f t="shared" si="333"/>
        <v>450_10_23_10_polygon</v>
      </c>
      <c r="B1513" s="2">
        <v>450</v>
      </c>
      <c r="C1513" s="30" t="str">
        <f>VLOOKUP(B1513,gachas!A:C,3)</f>
        <v>フィーバーフェスティバル＜ケプラー、チューリング＞</v>
      </c>
      <c r="D1513" s="21">
        <v>10</v>
      </c>
      <c r="E1513" s="2">
        <f t="shared" si="338"/>
        <v>23</v>
      </c>
      <c r="F1513" s="2">
        <v>10</v>
      </c>
      <c r="G1513" s="3" t="s">
        <v>1566</v>
      </c>
      <c r="H1513" s="2">
        <v>50</v>
      </c>
      <c r="I1513" s="117">
        <v>450100</v>
      </c>
      <c r="J1513" s="112" t="s">
        <v>1571</v>
      </c>
      <c r="K1513" s="2">
        <v>450100</v>
      </c>
      <c r="L1513" s="2">
        <v>1</v>
      </c>
      <c r="M1513" s="2" t="s">
        <v>1571</v>
      </c>
      <c r="N1513" s="2" t="s">
        <v>1571</v>
      </c>
      <c r="O1513" s="2" t="s">
        <v>118</v>
      </c>
      <c r="P1513" s="2" t="s">
        <v>1078</v>
      </c>
    </row>
    <row r="1514" spans="1:16" ht="22" customHeight="1" x14ac:dyDescent="0.15">
      <c r="A1514" s="10" t="str">
        <f t="shared" si="333"/>
        <v>450_10_24_10_polygon</v>
      </c>
      <c r="B1514" s="2">
        <v>450</v>
      </c>
      <c r="C1514" s="30" t="str">
        <f>VLOOKUP(B1514,gachas!A:C,3)</f>
        <v>フィーバーフェスティバル＜ケプラー、チューリング＞</v>
      </c>
      <c r="D1514" s="21">
        <v>10</v>
      </c>
      <c r="E1514" s="2">
        <f t="shared" si="338"/>
        <v>24</v>
      </c>
      <c r="F1514" s="2">
        <v>10</v>
      </c>
      <c r="G1514" s="3" t="s">
        <v>1566</v>
      </c>
      <c r="H1514" s="2">
        <v>50</v>
      </c>
      <c r="I1514" s="117">
        <v>450100</v>
      </c>
      <c r="J1514" s="112" t="s">
        <v>1571</v>
      </c>
      <c r="K1514" s="2">
        <v>450100</v>
      </c>
      <c r="L1514" s="2">
        <v>1</v>
      </c>
      <c r="M1514" s="2" t="s">
        <v>1571</v>
      </c>
      <c r="N1514" s="2" t="s">
        <v>1571</v>
      </c>
      <c r="O1514" s="2" t="s">
        <v>118</v>
      </c>
      <c r="P1514" s="2" t="s">
        <v>1078</v>
      </c>
    </row>
    <row r="1515" spans="1:16" ht="22" customHeight="1" x14ac:dyDescent="0.15">
      <c r="A1515" s="10" t="str">
        <f t="shared" si="333"/>
        <v>450_10_25_10_polygon</v>
      </c>
      <c r="B1515" s="2">
        <v>450</v>
      </c>
      <c r="C1515" s="30" t="str">
        <f>VLOOKUP(B1515,gachas!A:C,3)</f>
        <v>フィーバーフェスティバル＜ケプラー、チューリング＞</v>
      </c>
      <c r="D1515" s="21">
        <v>10</v>
      </c>
      <c r="E1515" s="2">
        <f t="shared" si="338"/>
        <v>25</v>
      </c>
      <c r="F1515" s="2">
        <v>10</v>
      </c>
      <c r="G1515" s="3" t="s">
        <v>1566</v>
      </c>
      <c r="H1515" s="2">
        <v>50</v>
      </c>
      <c r="I1515" s="117">
        <v>450100</v>
      </c>
      <c r="J1515" s="112">
        <v>450105</v>
      </c>
      <c r="K1515" s="2">
        <v>450100</v>
      </c>
      <c r="L1515" s="2">
        <v>1</v>
      </c>
      <c r="M1515" s="2" t="s">
        <v>1571</v>
      </c>
      <c r="N1515" s="2" t="s">
        <v>1571</v>
      </c>
      <c r="O1515" s="2" t="s">
        <v>118</v>
      </c>
      <c r="P1515" s="2" t="s">
        <v>1763</v>
      </c>
    </row>
    <row r="1516" spans="1:16" ht="22" customHeight="1" x14ac:dyDescent="0.15">
      <c r="A1516" s="10" t="str">
        <f t="shared" si="333"/>
        <v>450_10_26_10_polygon</v>
      </c>
      <c r="B1516" s="2">
        <v>450</v>
      </c>
      <c r="C1516" s="30" t="str">
        <f>VLOOKUP(B1516,gachas!A:C,3)</f>
        <v>フィーバーフェスティバル＜ケプラー、チューリング＞</v>
      </c>
      <c r="D1516" s="21">
        <v>10</v>
      </c>
      <c r="E1516" s="2">
        <f>E1515+1</f>
        <v>26</v>
      </c>
      <c r="F1516" s="2">
        <v>10</v>
      </c>
      <c r="G1516" s="3" t="s">
        <v>1566</v>
      </c>
      <c r="H1516" s="2">
        <v>50</v>
      </c>
      <c r="I1516" s="117">
        <v>450100</v>
      </c>
      <c r="J1516" s="112" t="s">
        <v>1571</v>
      </c>
      <c r="K1516" s="2">
        <v>450100</v>
      </c>
      <c r="L1516" s="2">
        <v>1</v>
      </c>
      <c r="M1516" s="2" t="s">
        <v>1571</v>
      </c>
      <c r="N1516" s="2" t="s">
        <v>1571</v>
      </c>
      <c r="O1516" s="2" t="s">
        <v>118</v>
      </c>
      <c r="P1516" s="2" t="s">
        <v>1078</v>
      </c>
    </row>
    <row r="1517" spans="1:16" ht="22" customHeight="1" x14ac:dyDescent="0.15">
      <c r="A1517" s="10" t="str">
        <f t="shared" si="333"/>
        <v>450_10_27_10_polygon</v>
      </c>
      <c r="B1517" s="2">
        <v>450</v>
      </c>
      <c r="C1517" s="30" t="str">
        <f>VLOOKUP(B1517,gachas!A:C,3)</f>
        <v>フィーバーフェスティバル＜ケプラー、チューリング＞</v>
      </c>
      <c r="D1517" s="21">
        <v>10</v>
      </c>
      <c r="E1517" s="2">
        <f t="shared" ref="E1517:E1520" si="339">E1516+1</f>
        <v>27</v>
      </c>
      <c r="F1517" s="2">
        <v>10</v>
      </c>
      <c r="G1517" s="3" t="s">
        <v>1566</v>
      </c>
      <c r="H1517" s="2">
        <v>50</v>
      </c>
      <c r="I1517" s="117">
        <v>450100</v>
      </c>
      <c r="J1517" s="112" t="s">
        <v>1571</v>
      </c>
      <c r="K1517" s="2">
        <v>450100</v>
      </c>
      <c r="L1517" s="2">
        <v>1</v>
      </c>
      <c r="M1517" s="2" t="s">
        <v>1571</v>
      </c>
      <c r="N1517" s="2" t="s">
        <v>1571</v>
      </c>
      <c r="O1517" s="2" t="s">
        <v>118</v>
      </c>
      <c r="P1517" s="2" t="s">
        <v>1078</v>
      </c>
    </row>
    <row r="1518" spans="1:16" ht="22" customHeight="1" x14ac:dyDescent="0.15">
      <c r="A1518" s="10" t="str">
        <f t="shared" si="333"/>
        <v>450_10_28_10_polygon</v>
      </c>
      <c r="B1518" s="2">
        <v>450</v>
      </c>
      <c r="C1518" s="30" t="str">
        <f>VLOOKUP(B1518,gachas!A:C,3)</f>
        <v>フィーバーフェスティバル＜ケプラー、チューリング＞</v>
      </c>
      <c r="D1518" s="21">
        <v>10</v>
      </c>
      <c r="E1518" s="2">
        <f t="shared" si="339"/>
        <v>28</v>
      </c>
      <c r="F1518" s="2">
        <v>10</v>
      </c>
      <c r="G1518" s="3" t="s">
        <v>1566</v>
      </c>
      <c r="H1518" s="2">
        <v>50</v>
      </c>
      <c r="I1518" s="117">
        <v>450100</v>
      </c>
      <c r="J1518" s="112" t="s">
        <v>1571</v>
      </c>
      <c r="K1518" s="2">
        <v>450100</v>
      </c>
      <c r="L1518" s="2">
        <v>1</v>
      </c>
      <c r="M1518" s="2" t="s">
        <v>1571</v>
      </c>
      <c r="N1518" s="2" t="s">
        <v>1571</v>
      </c>
      <c r="O1518" s="2" t="s">
        <v>118</v>
      </c>
      <c r="P1518" s="2" t="s">
        <v>1078</v>
      </c>
    </row>
    <row r="1519" spans="1:16" ht="22" customHeight="1" x14ac:dyDescent="0.15">
      <c r="A1519" s="10" t="str">
        <f t="shared" si="333"/>
        <v>450_10_29_10_polygon</v>
      </c>
      <c r="B1519" s="2">
        <v>450</v>
      </c>
      <c r="C1519" s="30" t="str">
        <f>VLOOKUP(B1519,gachas!A:C,3)</f>
        <v>フィーバーフェスティバル＜ケプラー、チューリング＞</v>
      </c>
      <c r="D1519" s="21">
        <v>10</v>
      </c>
      <c r="E1519" s="2">
        <f t="shared" si="339"/>
        <v>29</v>
      </c>
      <c r="F1519" s="2">
        <v>10</v>
      </c>
      <c r="G1519" s="3" t="s">
        <v>1566</v>
      </c>
      <c r="H1519" s="2">
        <v>50</v>
      </c>
      <c r="I1519" s="117">
        <v>450100</v>
      </c>
      <c r="J1519" s="112" t="s">
        <v>1571</v>
      </c>
      <c r="K1519" s="2">
        <v>450100</v>
      </c>
      <c r="L1519" s="2">
        <v>1</v>
      </c>
      <c r="M1519" s="2" t="s">
        <v>1571</v>
      </c>
      <c r="N1519" s="2" t="s">
        <v>1571</v>
      </c>
      <c r="O1519" s="2" t="s">
        <v>118</v>
      </c>
      <c r="P1519" s="2" t="s">
        <v>1078</v>
      </c>
    </row>
    <row r="1520" spans="1:16" ht="22" customHeight="1" x14ac:dyDescent="0.15">
      <c r="A1520" s="10" t="str">
        <f t="shared" si="333"/>
        <v>450_10_30_10_polygon</v>
      </c>
      <c r="B1520" s="2">
        <v>450</v>
      </c>
      <c r="C1520" s="30" t="str">
        <f>VLOOKUP(B1520,gachas!A:C,3)</f>
        <v>フィーバーフェスティバル＜ケプラー、チューリング＞</v>
      </c>
      <c r="D1520" s="21">
        <v>10</v>
      </c>
      <c r="E1520" s="2">
        <f t="shared" si="339"/>
        <v>30</v>
      </c>
      <c r="F1520" s="2">
        <v>10</v>
      </c>
      <c r="G1520" s="3" t="s">
        <v>1566</v>
      </c>
      <c r="H1520" s="2">
        <v>50</v>
      </c>
      <c r="I1520" s="117">
        <v>450100</v>
      </c>
      <c r="J1520" s="112">
        <v>450105</v>
      </c>
      <c r="K1520" s="2">
        <v>450100</v>
      </c>
      <c r="L1520" s="2">
        <v>1</v>
      </c>
      <c r="M1520" s="2" t="s">
        <v>1571</v>
      </c>
      <c r="N1520" s="2" t="s">
        <v>1571</v>
      </c>
      <c r="O1520" s="2" t="s">
        <v>118</v>
      </c>
      <c r="P1520" s="2" t="s">
        <v>1763</v>
      </c>
    </row>
    <row r="1521" spans="1:16" ht="22" customHeight="1" x14ac:dyDescent="0.15">
      <c r="A1521" s="10" t="str">
        <f t="shared" si="333"/>
        <v>450_10_31_10_polygon</v>
      </c>
      <c r="B1521" s="2">
        <v>450</v>
      </c>
      <c r="C1521" s="30" t="str">
        <f>VLOOKUP(B1521,gachas!A:C,3)</f>
        <v>フィーバーフェスティバル＜ケプラー、チューリング＞</v>
      </c>
      <c r="D1521" s="21">
        <v>10</v>
      </c>
      <c r="E1521" s="2">
        <f>E1520+1</f>
        <v>31</v>
      </c>
      <c r="F1521" s="2">
        <v>10</v>
      </c>
      <c r="G1521" s="3" t="s">
        <v>1566</v>
      </c>
      <c r="H1521" s="2">
        <v>50</v>
      </c>
      <c r="I1521" s="117">
        <v>450100</v>
      </c>
      <c r="J1521" s="112" t="s">
        <v>1571</v>
      </c>
      <c r="K1521" s="2">
        <v>450100</v>
      </c>
      <c r="L1521" s="2">
        <v>1</v>
      </c>
      <c r="M1521" s="2" t="s">
        <v>1571</v>
      </c>
      <c r="N1521" s="2" t="s">
        <v>1571</v>
      </c>
      <c r="O1521" s="2" t="s">
        <v>118</v>
      </c>
      <c r="P1521" s="2" t="s">
        <v>1078</v>
      </c>
    </row>
    <row r="1522" spans="1:16" ht="22" customHeight="1" x14ac:dyDescent="0.15">
      <c r="A1522" s="10" t="str">
        <f t="shared" si="333"/>
        <v>450_10_32_10_polygon</v>
      </c>
      <c r="B1522" s="2">
        <v>450</v>
      </c>
      <c r="C1522" s="30" t="str">
        <f>VLOOKUP(B1522,gachas!A:C,3)</f>
        <v>フィーバーフェスティバル＜ケプラー、チューリング＞</v>
      </c>
      <c r="D1522" s="21">
        <v>10</v>
      </c>
      <c r="E1522" s="2">
        <f t="shared" ref="E1522:E1525" si="340">E1521+1</f>
        <v>32</v>
      </c>
      <c r="F1522" s="2">
        <v>10</v>
      </c>
      <c r="G1522" s="3" t="s">
        <v>1566</v>
      </c>
      <c r="H1522" s="2">
        <v>50</v>
      </c>
      <c r="I1522" s="117">
        <v>450100</v>
      </c>
      <c r="J1522" s="112" t="s">
        <v>1571</v>
      </c>
      <c r="K1522" s="2">
        <v>450100</v>
      </c>
      <c r="L1522" s="2">
        <v>1</v>
      </c>
      <c r="M1522" s="2" t="s">
        <v>1571</v>
      </c>
      <c r="N1522" s="2" t="s">
        <v>1571</v>
      </c>
      <c r="O1522" s="2" t="s">
        <v>118</v>
      </c>
      <c r="P1522" s="2" t="s">
        <v>1078</v>
      </c>
    </row>
    <row r="1523" spans="1:16" ht="22" customHeight="1" x14ac:dyDescent="0.15">
      <c r="A1523" s="10" t="str">
        <f t="shared" si="333"/>
        <v>450_10_33_10_polygon</v>
      </c>
      <c r="B1523" s="2">
        <v>450</v>
      </c>
      <c r="C1523" s="30" t="str">
        <f>VLOOKUP(B1523,gachas!A:C,3)</f>
        <v>フィーバーフェスティバル＜ケプラー、チューリング＞</v>
      </c>
      <c r="D1523" s="21">
        <v>10</v>
      </c>
      <c r="E1523" s="2">
        <f t="shared" si="340"/>
        <v>33</v>
      </c>
      <c r="F1523" s="2">
        <v>10</v>
      </c>
      <c r="G1523" s="3" t="s">
        <v>1566</v>
      </c>
      <c r="H1523" s="2">
        <v>50</v>
      </c>
      <c r="I1523" s="117">
        <v>450100</v>
      </c>
      <c r="J1523" s="112" t="s">
        <v>1571</v>
      </c>
      <c r="K1523" s="2">
        <v>450100</v>
      </c>
      <c r="L1523" s="2">
        <v>1</v>
      </c>
      <c r="M1523" s="2" t="s">
        <v>1571</v>
      </c>
      <c r="N1523" s="2" t="s">
        <v>1571</v>
      </c>
      <c r="O1523" s="2" t="s">
        <v>118</v>
      </c>
      <c r="P1523" s="2" t="s">
        <v>1078</v>
      </c>
    </row>
    <row r="1524" spans="1:16" ht="22" customHeight="1" x14ac:dyDescent="0.15">
      <c r="A1524" s="10" t="str">
        <f t="shared" si="333"/>
        <v>450_10_34_10_polygon</v>
      </c>
      <c r="B1524" s="2">
        <v>450</v>
      </c>
      <c r="C1524" s="30" t="str">
        <f>VLOOKUP(B1524,gachas!A:C,3)</f>
        <v>フィーバーフェスティバル＜ケプラー、チューリング＞</v>
      </c>
      <c r="D1524" s="21">
        <v>10</v>
      </c>
      <c r="E1524" s="2">
        <f t="shared" si="340"/>
        <v>34</v>
      </c>
      <c r="F1524" s="2">
        <v>10</v>
      </c>
      <c r="G1524" s="3" t="s">
        <v>1566</v>
      </c>
      <c r="H1524" s="2">
        <v>50</v>
      </c>
      <c r="I1524" s="117">
        <v>450100</v>
      </c>
      <c r="J1524" s="112" t="s">
        <v>1571</v>
      </c>
      <c r="K1524" s="2">
        <v>450100</v>
      </c>
      <c r="L1524" s="2">
        <v>1</v>
      </c>
      <c r="M1524" s="2" t="s">
        <v>1571</v>
      </c>
      <c r="N1524" s="2" t="s">
        <v>1571</v>
      </c>
      <c r="O1524" s="2" t="s">
        <v>118</v>
      </c>
      <c r="P1524" s="2" t="s">
        <v>1078</v>
      </c>
    </row>
    <row r="1525" spans="1:16" ht="22" customHeight="1" x14ac:dyDescent="0.15">
      <c r="A1525" s="10" t="str">
        <f t="shared" si="333"/>
        <v>450_10_35_10_polygon</v>
      </c>
      <c r="B1525" s="2">
        <v>450</v>
      </c>
      <c r="C1525" s="30" t="str">
        <f>VLOOKUP(B1525,gachas!A:C,3)</f>
        <v>フィーバーフェスティバル＜ケプラー、チューリング＞</v>
      </c>
      <c r="D1525" s="21">
        <v>10</v>
      </c>
      <c r="E1525" s="2">
        <f t="shared" si="340"/>
        <v>35</v>
      </c>
      <c r="F1525" s="2">
        <v>10</v>
      </c>
      <c r="G1525" s="3" t="s">
        <v>1566</v>
      </c>
      <c r="H1525" s="2">
        <v>50</v>
      </c>
      <c r="I1525" s="117">
        <v>450100</v>
      </c>
      <c r="J1525" s="112">
        <v>450105</v>
      </c>
      <c r="K1525" s="2">
        <v>450100</v>
      </c>
      <c r="L1525" s="2">
        <v>1</v>
      </c>
      <c r="M1525" s="2" t="s">
        <v>1571</v>
      </c>
      <c r="N1525" s="2" t="s">
        <v>1571</v>
      </c>
      <c r="O1525" s="2" t="s">
        <v>118</v>
      </c>
      <c r="P1525" s="2" t="s">
        <v>1763</v>
      </c>
    </row>
    <row r="1526" spans="1:16" ht="22" customHeight="1" x14ac:dyDescent="0.15">
      <c r="A1526" s="10" t="str">
        <f t="shared" si="333"/>
        <v>450_10_36_10_polygon</v>
      </c>
      <c r="B1526" s="2">
        <v>450</v>
      </c>
      <c r="C1526" s="30" t="str">
        <f>VLOOKUP(B1526,gachas!A:C,3)</f>
        <v>フィーバーフェスティバル＜ケプラー、チューリング＞</v>
      </c>
      <c r="D1526" s="21">
        <v>10</v>
      </c>
      <c r="E1526" s="2">
        <f>E1525+1</f>
        <v>36</v>
      </c>
      <c r="F1526" s="2">
        <v>10</v>
      </c>
      <c r="G1526" s="3" t="s">
        <v>1566</v>
      </c>
      <c r="H1526" s="2">
        <v>50</v>
      </c>
      <c r="I1526" s="117">
        <v>450100</v>
      </c>
      <c r="J1526" s="112" t="s">
        <v>1571</v>
      </c>
      <c r="K1526" s="2">
        <v>450100</v>
      </c>
      <c r="L1526" s="2">
        <v>1</v>
      </c>
      <c r="M1526" s="2" t="s">
        <v>1571</v>
      </c>
      <c r="N1526" s="2" t="s">
        <v>1571</v>
      </c>
      <c r="O1526" s="2" t="s">
        <v>118</v>
      </c>
      <c r="P1526" s="2" t="s">
        <v>1078</v>
      </c>
    </row>
    <row r="1527" spans="1:16" ht="22" customHeight="1" x14ac:dyDescent="0.15">
      <c r="A1527" s="10" t="str">
        <f t="shared" si="333"/>
        <v>450_10_37_10_polygon</v>
      </c>
      <c r="B1527" s="2">
        <v>450</v>
      </c>
      <c r="C1527" s="30" t="str">
        <f>VLOOKUP(B1527,gachas!A:C,3)</f>
        <v>フィーバーフェスティバル＜ケプラー、チューリング＞</v>
      </c>
      <c r="D1527" s="21">
        <v>10</v>
      </c>
      <c r="E1527" s="2">
        <f t="shared" ref="E1527:E1530" si="341">E1526+1</f>
        <v>37</v>
      </c>
      <c r="F1527" s="2">
        <v>10</v>
      </c>
      <c r="G1527" s="3" t="s">
        <v>1566</v>
      </c>
      <c r="H1527" s="2">
        <v>50</v>
      </c>
      <c r="I1527" s="117">
        <v>450100</v>
      </c>
      <c r="J1527" s="112" t="s">
        <v>1571</v>
      </c>
      <c r="K1527" s="2">
        <v>450100</v>
      </c>
      <c r="L1527" s="2">
        <v>1</v>
      </c>
      <c r="M1527" s="2" t="s">
        <v>1571</v>
      </c>
      <c r="N1527" s="2" t="s">
        <v>1571</v>
      </c>
      <c r="O1527" s="2" t="s">
        <v>118</v>
      </c>
      <c r="P1527" s="2" t="s">
        <v>1078</v>
      </c>
    </row>
    <row r="1528" spans="1:16" ht="22" customHeight="1" x14ac:dyDescent="0.15">
      <c r="A1528" s="10" t="str">
        <f t="shared" si="333"/>
        <v>450_10_38_10_polygon</v>
      </c>
      <c r="B1528" s="2">
        <v>450</v>
      </c>
      <c r="C1528" s="30" t="str">
        <f>VLOOKUP(B1528,gachas!A:C,3)</f>
        <v>フィーバーフェスティバル＜ケプラー、チューリング＞</v>
      </c>
      <c r="D1528" s="21">
        <v>10</v>
      </c>
      <c r="E1528" s="2">
        <f t="shared" si="341"/>
        <v>38</v>
      </c>
      <c r="F1528" s="2">
        <v>10</v>
      </c>
      <c r="G1528" s="3" t="s">
        <v>1566</v>
      </c>
      <c r="H1528" s="2">
        <v>50</v>
      </c>
      <c r="I1528" s="117">
        <v>450100</v>
      </c>
      <c r="J1528" s="112" t="s">
        <v>1571</v>
      </c>
      <c r="K1528" s="2">
        <v>450100</v>
      </c>
      <c r="L1528" s="2">
        <v>1</v>
      </c>
      <c r="M1528" s="2" t="s">
        <v>1571</v>
      </c>
      <c r="N1528" s="2" t="s">
        <v>1571</v>
      </c>
      <c r="O1528" s="2" t="s">
        <v>118</v>
      </c>
      <c r="P1528" s="2" t="s">
        <v>1078</v>
      </c>
    </row>
    <row r="1529" spans="1:16" ht="22" customHeight="1" x14ac:dyDescent="0.15">
      <c r="A1529" s="10" t="str">
        <f t="shared" si="333"/>
        <v>450_10_39_10_polygon</v>
      </c>
      <c r="B1529" s="2">
        <v>450</v>
      </c>
      <c r="C1529" s="30" t="str">
        <f>VLOOKUP(B1529,gachas!A:C,3)</f>
        <v>フィーバーフェスティバル＜ケプラー、チューリング＞</v>
      </c>
      <c r="D1529" s="21">
        <v>10</v>
      </c>
      <c r="E1529" s="2">
        <f t="shared" si="341"/>
        <v>39</v>
      </c>
      <c r="F1529" s="2">
        <v>10</v>
      </c>
      <c r="G1529" s="3" t="s">
        <v>1566</v>
      </c>
      <c r="H1529" s="2">
        <v>50</v>
      </c>
      <c r="I1529" s="117">
        <v>450100</v>
      </c>
      <c r="J1529" s="112" t="s">
        <v>1571</v>
      </c>
      <c r="K1529" s="2">
        <v>450100</v>
      </c>
      <c r="L1529" s="2">
        <v>1</v>
      </c>
      <c r="M1529" s="2" t="s">
        <v>1571</v>
      </c>
      <c r="N1529" s="2" t="s">
        <v>1571</v>
      </c>
      <c r="O1529" s="2" t="s">
        <v>118</v>
      </c>
      <c r="P1529" s="2" t="s">
        <v>1078</v>
      </c>
    </row>
    <row r="1530" spans="1:16" ht="22" customHeight="1" x14ac:dyDescent="0.15">
      <c r="A1530" s="10" t="str">
        <f t="shared" si="333"/>
        <v>450_10_40_10_polygon</v>
      </c>
      <c r="B1530" s="2">
        <v>450</v>
      </c>
      <c r="C1530" s="30" t="str">
        <f>VLOOKUP(B1530,gachas!A:C,3)</f>
        <v>フィーバーフェスティバル＜ケプラー、チューリング＞</v>
      </c>
      <c r="D1530" s="21">
        <v>10</v>
      </c>
      <c r="E1530" s="2">
        <f t="shared" si="341"/>
        <v>40</v>
      </c>
      <c r="F1530" s="2">
        <v>10</v>
      </c>
      <c r="G1530" s="3" t="s">
        <v>1566</v>
      </c>
      <c r="H1530" s="2">
        <v>50</v>
      </c>
      <c r="I1530" s="117">
        <v>450100</v>
      </c>
      <c r="J1530" s="112">
        <v>450105</v>
      </c>
      <c r="K1530" s="2">
        <v>450100</v>
      </c>
      <c r="L1530" s="2">
        <v>1</v>
      </c>
      <c r="M1530" s="2" t="s">
        <v>1571</v>
      </c>
      <c r="N1530" s="2" t="s">
        <v>1571</v>
      </c>
      <c r="O1530" s="2" t="s">
        <v>118</v>
      </c>
      <c r="P1530" s="2" t="s">
        <v>1763</v>
      </c>
    </row>
    <row r="1531" spans="1:16" ht="22" customHeight="1" x14ac:dyDescent="0.15">
      <c r="A1531" s="10" t="str">
        <f t="shared" si="333"/>
        <v>450_10_41_10_polygon</v>
      </c>
      <c r="B1531" s="2">
        <v>450</v>
      </c>
      <c r="C1531" s="30" t="str">
        <f>VLOOKUP(B1531,gachas!A:C,3)</f>
        <v>フィーバーフェスティバル＜ケプラー、チューリング＞</v>
      </c>
      <c r="D1531" s="21">
        <v>10</v>
      </c>
      <c r="E1531" s="2">
        <f>E1530+1</f>
        <v>41</v>
      </c>
      <c r="F1531" s="2">
        <v>10</v>
      </c>
      <c r="G1531" s="3" t="s">
        <v>1566</v>
      </c>
      <c r="H1531" s="2">
        <v>50</v>
      </c>
      <c r="I1531" s="117">
        <v>450100</v>
      </c>
      <c r="J1531" s="112" t="s">
        <v>1571</v>
      </c>
      <c r="K1531" s="2">
        <v>450100</v>
      </c>
      <c r="L1531" s="2">
        <v>1</v>
      </c>
      <c r="M1531" s="2" t="s">
        <v>1571</v>
      </c>
      <c r="N1531" s="2" t="s">
        <v>1571</v>
      </c>
      <c r="O1531" s="2" t="s">
        <v>118</v>
      </c>
      <c r="P1531" s="2" t="s">
        <v>1078</v>
      </c>
    </row>
    <row r="1532" spans="1:16" ht="22" customHeight="1" x14ac:dyDescent="0.15">
      <c r="A1532" s="10" t="str">
        <f t="shared" si="333"/>
        <v>450_10_42_10_polygon</v>
      </c>
      <c r="B1532" s="2">
        <v>450</v>
      </c>
      <c r="C1532" s="30" t="str">
        <f>VLOOKUP(B1532,gachas!A:C,3)</f>
        <v>フィーバーフェスティバル＜ケプラー、チューリング＞</v>
      </c>
      <c r="D1532" s="21">
        <v>10</v>
      </c>
      <c r="E1532" s="2">
        <f t="shared" ref="E1532:E1535" si="342">E1531+1</f>
        <v>42</v>
      </c>
      <c r="F1532" s="2">
        <v>10</v>
      </c>
      <c r="G1532" s="3" t="s">
        <v>1566</v>
      </c>
      <c r="H1532" s="2">
        <v>50</v>
      </c>
      <c r="I1532" s="117">
        <v>450100</v>
      </c>
      <c r="J1532" s="112" t="s">
        <v>1571</v>
      </c>
      <c r="K1532" s="2">
        <v>450100</v>
      </c>
      <c r="L1532" s="2">
        <v>1</v>
      </c>
      <c r="M1532" s="2" t="s">
        <v>1571</v>
      </c>
      <c r="N1532" s="2" t="s">
        <v>1571</v>
      </c>
      <c r="O1532" s="2" t="s">
        <v>118</v>
      </c>
      <c r="P1532" s="2" t="s">
        <v>1078</v>
      </c>
    </row>
    <row r="1533" spans="1:16" ht="22" customHeight="1" x14ac:dyDescent="0.15">
      <c r="A1533" s="10" t="str">
        <f t="shared" si="333"/>
        <v>450_10_43_10_polygon</v>
      </c>
      <c r="B1533" s="2">
        <v>450</v>
      </c>
      <c r="C1533" s="30" t="str">
        <f>VLOOKUP(B1533,gachas!A:C,3)</f>
        <v>フィーバーフェスティバル＜ケプラー、チューリング＞</v>
      </c>
      <c r="D1533" s="21">
        <v>10</v>
      </c>
      <c r="E1533" s="2">
        <f t="shared" si="342"/>
        <v>43</v>
      </c>
      <c r="F1533" s="2">
        <v>10</v>
      </c>
      <c r="G1533" s="3" t="s">
        <v>1566</v>
      </c>
      <c r="H1533" s="2">
        <v>50</v>
      </c>
      <c r="I1533" s="117">
        <v>450100</v>
      </c>
      <c r="J1533" s="112" t="s">
        <v>1571</v>
      </c>
      <c r="K1533" s="2">
        <v>450100</v>
      </c>
      <c r="L1533" s="2">
        <v>1</v>
      </c>
      <c r="M1533" s="2" t="s">
        <v>1571</v>
      </c>
      <c r="N1533" s="2" t="s">
        <v>1571</v>
      </c>
      <c r="O1533" s="2" t="s">
        <v>118</v>
      </c>
      <c r="P1533" s="2" t="s">
        <v>1078</v>
      </c>
    </row>
    <row r="1534" spans="1:16" ht="22" customHeight="1" x14ac:dyDescent="0.15">
      <c r="A1534" s="10" t="str">
        <f t="shared" si="333"/>
        <v>450_10_44_10_polygon</v>
      </c>
      <c r="B1534" s="2">
        <v>450</v>
      </c>
      <c r="C1534" s="30" t="str">
        <f>VLOOKUP(B1534,gachas!A:C,3)</f>
        <v>フィーバーフェスティバル＜ケプラー、チューリング＞</v>
      </c>
      <c r="D1534" s="21">
        <v>10</v>
      </c>
      <c r="E1534" s="2">
        <f t="shared" si="342"/>
        <v>44</v>
      </c>
      <c r="F1534" s="2">
        <v>10</v>
      </c>
      <c r="G1534" s="3" t="s">
        <v>1566</v>
      </c>
      <c r="H1534" s="2">
        <v>50</v>
      </c>
      <c r="I1534" s="117">
        <v>450100</v>
      </c>
      <c r="J1534" s="112" t="s">
        <v>1571</v>
      </c>
      <c r="K1534" s="2">
        <v>450100</v>
      </c>
      <c r="L1534" s="2">
        <v>1</v>
      </c>
      <c r="M1534" s="2" t="s">
        <v>1571</v>
      </c>
      <c r="N1534" s="2" t="s">
        <v>1571</v>
      </c>
      <c r="O1534" s="2" t="s">
        <v>118</v>
      </c>
      <c r="P1534" s="2" t="s">
        <v>1078</v>
      </c>
    </row>
    <row r="1535" spans="1:16" ht="22" customHeight="1" x14ac:dyDescent="0.15">
      <c r="A1535" s="10" t="str">
        <f t="shared" si="333"/>
        <v>450_10_45_10_polygon</v>
      </c>
      <c r="B1535" s="2">
        <v>450</v>
      </c>
      <c r="C1535" s="30" t="str">
        <f>VLOOKUP(B1535,gachas!A:C,3)</f>
        <v>フィーバーフェスティバル＜ケプラー、チューリング＞</v>
      </c>
      <c r="D1535" s="21">
        <v>10</v>
      </c>
      <c r="E1535" s="2">
        <f t="shared" si="342"/>
        <v>45</v>
      </c>
      <c r="F1535" s="2">
        <v>10</v>
      </c>
      <c r="G1535" s="3" t="s">
        <v>1566</v>
      </c>
      <c r="H1535" s="2">
        <v>50</v>
      </c>
      <c r="I1535" s="117">
        <v>450100</v>
      </c>
      <c r="J1535" s="112">
        <v>450105</v>
      </c>
      <c r="K1535" s="2">
        <v>450100</v>
      </c>
      <c r="L1535" s="2">
        <v>1</v>
      </c>
      <c r="M1535" s="2" t="s">
        <v>1571</v>
      </c>
      <c r="N1535" s="2" t="s">
        <v>1571</v>
      </c>
      <c r="O1535" s="2" t="s">
        <v>118</v>
      </c>
      <c r="P1535" s="2" t="s">
        <v>1763</v>
      </c>
    </row>
    <row r="1536" spans="1:16" ht="22" customHeight="1" x14ac:dyDescent="0.15">
      <c r="A1536" s="10" t="str">
        <f t="shared" si="333"/>
        <v>450_10_46_10_polygon</v>
      </c>
      <c r="B1536" s="2">
        <v>450</v>
      </c>
      <c r="C1536" s="30" t="str">
        <f>VLOOKUP(B1536,gachas!A:C,3)</f>
        <v>フィーバーフェスティバル＜ケプラー、チューリング＞</v>
      </c>
      <c r="D1536" s="21">
        <v>10</v>
      </c>
      <c r="E1536" s="2">
        <f>E1535+1</f>
        <v>46</v>
      </c>
      <c r="F1536" s="2">
        <v>10</v>
      </c>
      <c r="G1536" s="3" t="s">
        <v>1566</v>
      </c>
      <c r="H1536" s="2">
        <v>50</v>
      </c>
      <c r="I1536" s="117">
        <v>450100</v>
      </c>
      <c r="J1536" s="112" t="s">
        <v>1571</v>
      </c>
      <c r="K1536" s="2">
        <v>450100</v>
      </c>
      <c r="L1536" s="2">
        <v>1</v>
      </c>
      <c r="M1536" s="2" t="s">
        <v>1571</v>
      </c>
      <c r="N1536" s="2" t="s">
        <v>1571</v>
      </c>
      <c r="O1536" s="2" t="s">
        <v>118</v>
      </c>
      <c r="P1536" s="2" t="s">
        <v>1078</v>
      </c>
    </row>
    <row r="1537" spans="1:16" ht="22" customHeight="1" x14ac:dyDescent="0.15">
      <c r="A1537" s="10" t="str">
        <f t="shared" si="333"/>
        <v>450_10_47_10_polygon</v>
      </c>
      <c r="B1537" s="2">
        <v>450</v>
      </c>
      <c r="C1537" s="30" t="str">
        <f>VLOOKUP(B1537,gachas!A:C,3)</f>
        <v>フィーバーフェスティバル＜ケプラー、チューリング＞</v>
      </c>
      <c r="D1537" s="21">
        <v>10</v>
      </c>
      <c r="E1537" s="2">
        <f t="shared" ref="E1537:E1540" si="343">E1536+1</f>
        <v>47</v>
      </c>
      <c r="F1537" s="2">
        <v>10</v>
      </c>
      <c r="G1537" s="3" t="s">
        <v>1566</v>
      </c>
      <c r="H1537" s="2">
        <v>50</v>
      </c>
      <c r="I1537" s="117">
        <v>450100</v>
      </c>
      <c r="J1537" s="112" t="s">
        <v>1571</v>
      </c>
      <c r="K1537" s="2">
        <v>450100</v>
      </c>
      <c r="L1537" s="2">
        <v>1</v>
      </c>
      <c r="M1537" s="2" t="s">
        <v>1571</v>
      </c>
      <c r="N1537" s="2" t="s">
        <v>1571</v>
      </c>
      <c r="O1537" s="2" t="s">
        <v>118</v>
      </c>
      <c r="P1537" s="2" t="s">
        <v>1078</v>
      </c>
    </row>
    <row r="1538" spans="1:16" ht="22" customHeight="1" x14ac:dyDescent="0.15">
      <c r="A1538" s="10" t="str">
        <f t="shared" si="333"/>
        <v>450_10_48_10_polygon</v>
      </c>
      <c r="B1538" s="2">
        <v>450</v>
      </c>
      <c r="C1538" s="30" t="str">
        <f>VLOOKUP(B1538,gachas!A:C,3)</f>
        <v>フィーバーフェスティバル＜ケプラー、チューリング＞</v>
      </c>
      <c r="D1538" s="21">
        <v>10</v>
      </c>
      <c r="E1538" s="2">
        <f t="shared" si="343"/>
        <v>48</v>
      </c>
      <c r="F1538" s="2">
        <v>10</v>
      </c>
      <c r="G1538" s="3" t="s">
        <v>1566</v>
      </c>
      <c r="H1538" s="2">
        <v>50</v>
      </c>
      <c r="I1538" s="117">
        <v>450100</v>
      </c>
      <c r="J1538" s="112" t="s">
        <v>1571</v>
      </c>
      <c r="K1538" s="2">
        <v>450100</v>
      </c>
      <c r="L1538" s="2">
        <v>1</v>
      </c>
      <c r="M1538" s="2" t="s">
        <v>1571</v>
      </c>
      <c r="N1538" s="2" t="s">
        <v>1571</v>
      </c>
      <c r="O1538" s="2" t="s">
        <v>118</v>
      </c>
      <c r="P1538" s="2" t="s">
        <v>1078</v>
      </c>
    </row>
    <row r="1539" spans="1:16" ht="22" customHeight="1" x14ac:dyDescent="0.15">
      <c r="A1539" s="10" t="str">
        <f t="shared" si="333"/>
        <v>450_10_49_10_polygon</v>
      </c>
      <c r="B1539" s="2">
        <v>450</v>
      </c>
      <c r="C1539" s="30" t="str">
        <f>VLOOKUP(B1539,gachas!A:C,3)</f>
        <v>フィーバーフェスティバル＜ケプラー、チューリング＞</v>
      </c>
      <c r="D1539" s="21">
        <v>10</v>
      </c>
      <c r="E1539" s="2">
        <f t="shared" si="343"/>
        <v>49</v>
      </c>
      <c r="F1539" s="2">
        <v>10</v>
      </c>
      <c r="G1539" s="3" t="s">
        <v>1566</v>
      </c>
      <c r="H1539" s="2">
        <v>50</v>
      </c>
      <c r="I1539" s="117">
        <v>450100</v>
      </c>
      <c r="J1539" s="112" t="s">
        <v>1571</v>
      </c>
      <c r="K1539" s="2">
        <v>450100</v>
      </c>
      <c r="L1539" s="2">
        <v>1</v>
      </c>
      <c r="M1539" s="2" t="s">
        <v>1571</v>
      </c>
      <c r="N1539" s="2" t="s">
        <v>1571</v>
      </c>
      <c r="O1539" s="2" t="s">
        <v>118</v>
      </c>
      <c r="P1539" s="2" t="s">
        <v>1078</v>
      </c>
    </row>
    <row r="1540" spans="1:16" ht="22" customHeight="1" x14ac:dyDescent="0.15">
      <c r="A1540" s="10" t="str">
        <f t="shared" si="333"/>
        <v>450_10_50_10_polygon</v>
      </c>
      <c r="B1540" s="2">
        <v>450</v>
      </c>
      <c r="C1540" s="30" t="str">
        <f>VLOOKUP(B1540,gachas!A:C,3)</f>
        <v>フィーバーフェスティバル＜ケプラー、チューリング＞</v>
      </c>
      <c r="D1540" s="21">
        <v>10</v>
      </c>
      <c r="E1540" s="2">
        <f t="shared" si="343"/>
        <v>50</v>
      </c>
      <c r="F1540" s="2">
        <v>10</v>
      </c>
      <c r="G1540" s="3" t="s">
        <v>1566</v>
      </c>
      <c r="H1540" s="2">
        <v>50</v>
      </c>
      <c r="I1540" s="117">
        <v>450100</v>
      </c>
      <c r="J1540" s="112">
        <v>450105</v>
      </c>
      <c r="K1540" s="2">
        <v>450100</v>
      </c>
      <c r="L1540" s="2">
        <v>1</v>
      </c>
      <c r="M1540" s="2" t="s">
        <v>1571</v>
      </c>
      <c r="N1540" s="2" t="s">
        <v>1571</v>
      </c>
      <c r="O1540" s="2" t="s">
        <v>118</v>
      </c>
      <c r="P1540" s="2" t="s">
        <v>1763</v>
      </c>
    </row>
    <row r="1541" spans="1:16" ht="22" customHeight="1" x14ac:dyDescent="0.15">
      <c r="A1541" s="10" t="str">
        <f t="shared" si="319"/>
        <v>451_1_0_1_polygon</v>
      </c>
      <c r="B1541" s="2">
        <v>451</v>
      </c>
      <c r="C1541" s="30" t="str">
        <f>VLOOKUP(B1541,gachas!A:C,3)</f>
        <v>フィーバーフェスティバル＜ケプラー、モールス＞</v>
      </c>
      <c r="D1541" s="21">
        <v>1</v>
      </c>
      <c r="E1541" s="2">
        <v>0</v>
      </c>
      <c r="F1541" s="2">
        <v>1</v>
      </c>
      <c r="G1541" s="3" t="s">
        <v>1566</v>
      </c>
      <c r="H1541" s="2">
        <v>5</v>
      </c>
      <c r="I1541" s="117">
        <v>451010</v>
      </c>
      <c r="J1541" s="112" t="s">
        <v>1571</v>
      </c>
      <c r="K1541" s="2" t="s">
        <v>86</v>
      </c>
      <c r="L1541" s="2">
        <v>0</v>
      </c>
      <c r="M1541" s="2" t="s">
        <v>1571</v>
      </c>
      <c r="N1541" s="2" t="s">
        <v>1571</v>
      </c>
      <c r="O1541" s="2" t="s">
        <v>118</v>
      </c>
      <c r="P1541" s="2" t="s">
        <v>1959</v>
      </c>
    </row>
    <row r="1542" spans="1:16" ht="22" customHeight="1" x14ac:dyDescent="0.15">
      <c r="A1542" s="10" t="str">
        <f t="shared" si="319"/>
        <v>451_10_0_10_polygon</v>
      </c>
      <c r="B1542" s="2">
        <v>451</v>
      </c>
      <c r="C1542" s="30" t="str">
        <f>VLOOKUP(B1542,gachas!A:C,3)</f>
        <v>フィーバーフェスティバル＜ケプラー、モールス＞</v>
      </c>
      <c r="D1542" s="21">
        <v>10</v>
      </c>
      <c r="E1542" s="2">
        <v>0</v>
      </c>
      <c r="F1542" s="2">
        <v>10</v>
      </c>
      <c r="G1542" s="3" t="s">
        <v>1566</v>
      </c>
      <c r="H1542" s="2">
        <v>50</v>
      </c>
      <c r="I1542" s="117">
        <v>451100</v>
      </c>
      <c r="J1542" s="112" t="s">
        <v>1571</v>
      </c>
      <c r="K1542" s="2">
        <v>451100</v>
      </c>
      <c r="L1542" s="2">
        <v>1</v>
      </c>
      <c r="M1542" s="2" t="s">
        <v>1571</v>
      </c>
      <c r="N1542" s="2" t="s">
        <v>1571</v>
      </c>
      <c r="O1542" s="2" t="s">
        <v>118</v>
      </c>
      <c r="P1542" s="2" t="s">
        <v>1078</v>
      </c>
    </row>
    <row r="1543" spans="1:16" ht="22" customHeight="1" x14ac:dyDescent="0.15">
      <c r="A1543" s="10" t="str">
        <f t="shared" ref="A1543:A1592" si="344">B1543&amp;"_"&amp;D1543&amp;"_"&amp;E1543&amp;"_"&amp;F1543&amp;"_"&amp;G1543</f>
        <v>451_10_1_10_polygon</v>
      </c>
      <c r="B1543" s="2">
        <v>451</v>
      </c>
      <c r="C1543" s="30" t="str">
        <f>VLOOKUP(B1543,gachas!A:C,3)</f>
        <v>フィーバーフェスティバル＜ケプラー、モールス＞</v>
      </c>
      <c r="D1543" s="21">
        <v>10</v>
      </c>
      <c r="E1543" s="2">
        <f>E1542+1</f>
        <v>1</v>
      </c>
      <c r="F1543" s="2">
        <v>10</v>
      </c>
      <c r="G1543" s="3" t="s">
        <v>1566</v>
      </c>
      <c r="H1543" s="2">
        <v>50</v>
      </c>
      <c r="I1543" s="117">
        <v>451100</v>
      </c>
      <c r="J1543" s="112" t="s">
        <v>1571</v>
      </c>
      <c r="K1543" s="2">
        <v>451100</v>
      </c>
      <c r="L1543" s="2">
        <v>1</v>
      </c>
      <c r="M1543" s="2" t="s">
        <v>1571</v>
      </c>
      <c r="N1543" s="2" t="s">
        <v>1571</v>
      </c>
      <c r="O1543" s="2" t="s">
        <v>118</v>
      </c>
      <c r="P1543" s="2" t="s">
        <v>1078</v>
      </c>
    </row>
    <row r="1544" spans="1:16" ht="22" customHeight="1" x14ac:dyDescent="0.15">
      <c r="A1544" s="10" t="str">
        <f t="shared" si="344"/>
        <v>451_10_2_10_polygon</v>
      </c>
      <c r="B1544" s="2">
        <v>451</v>
      </c>
      <c r="C1544" s="30" t="str">
        <f>VLOOKUP(B1544,gachas!A:C,3)</f>
        <v>フィーバーフェスティバル＜ケプラー、モールス＞</v>
      </c>
      <c r="D1544" s="21">
        <v>10</v>
      </c>
      <c r="E1544" s="2">
        <f t="shared" ref="E1544:E1547" si="345">E1543+1</f>
        <v>2</v>
      </c>
      <c r="F1544" s="2">
        <v>10</v>
      </c>
      <c r="G1544" s="3" t="s">
        <v>1566</v>
      </c>
      <c r="H1544" s="2">
        <v>50</v>
      </c>
      <c r="I1544" s="117">
        <v>451100</v>
      </c>
      <c r="J1544" s="112" t="s">
        <v>1571</v>
      </c>
      <c r="K1544" s="2">
        <v>451100</v>
      </c>
      <c r="L1544" s="2">
        <v>1</v>
      </c>
      <c r="M1544" s="2" t="s">
        <v>1571</v>
      </c>
      <c r="N1544" s="2" t="s">
        <v>1571</v>
      </c>
      <c r="O1544" s="2" t="s">
        <v>118</v>
      </c>
      <c r="P1544" s="2" t="s">
        <v>1078</v>
      </c>
    </row>
    <row r="1545" spans="1:16" ht="22" customHeight="1" x14ac:dyDescent="0.15">
      <c r="A1545" s="10" t="str">
        <f t="shared" si="344"/>
        <v>451_10_3_10_polygon</v>
      </c>
      <c r="B1545" s="2">
        <v>451</v>
      </c>
      <c r="C1545" s="30" t="str">
        <f>VLOOKUP(B1545,gachas!A:C,3)</f>
        <v>フィーバーフェスティバル＜ケプラー、モールス＞</v>
      </c>
      <c r="D1545" s="21">
        <v>10</v>
      </c>
      <c r="E1545" s="2">
        <f t="shared" si="345"/>
        <v>3</v>
      </c>
      <c r="F1545" s="2">
        <v>10</v>
      </c>
      <c r="G1545" s="3" t="s">
        <v>1566</v>
      </c>
      <c r="H1545" s="2">
        <v>50</v>
      </c>
      <c r="I1545" s="117">
        <v>451100</v>
      </c>
      <c r="J1545" s="112" t="s">
        <v>1571</v>
      </c>
      <c r="K1545" s="2">
        <v>451100</v>
      </c>
      <c r="L1545" s="2">
        <v>1</v>
      </c>
      <c r="M1545" s="2" t="s">
        <v>1571</v>
      </c>
      <c r="N1545" s="2" t="s">
        <v>1571</v>
      </c>
      <c r="O1545" s="2" t="s">
        <v>118</v>
      </c>
      <c r="P1545" s="2" t="s">
        <v>1078</v>
      </c>
    </row>
    <row r="1546" spans="1:16" ht="22" customHeight="1" x14ac:dyDescent="0.15">
      <c r="A1546" s="10" t="str">
        <f t="shared" si="344"/>
        <v>451_10_4_10_polygon</v>
      </c>
      <c r="B1546" s="2">
        <v>451</v>
      </c>
      <c r="C1546" s="30" t="str">
        <f>VLOOKUP(B1546,gachas!A:C,3)</f>
        <v>フィーバーフェスティバル＜ケプラー、モールス＞</v>
      </c>
      <c r="D1546" s="21">
        <v>10</v>
      </c>
      <c r="E1546" s="2">
        <f t="shared" si="345"/>
        <v>4</v>
      </c>
      <c r="F1546" s="2">
        <v>10</v>
      </c>
      <c r="G1546" s="3" t="s">
        <v>1566</v>
      </c>
      <c r="H1546" s="2">
        <v>50</v>
      </c>
      <c r="I1546" s="117">
        <v>451100</v>
      </c>
      <c r="J1546" s="112" t="s">
        <v>1571</v>
      </c>
      <c r="K1546" s="2">
        <v>451100</v>
      </c>
      <c r="L1546" s="2">
        <v>1</v>
      </c>
      <c r="M1546" s="2" t="s">
        <v>1571</v>
      </c>
      <c r="N1546" s="2" t="s">
        <v>1571</v>
      </c>
      <c r="O1546" s="2" t="s">
        <v>118</v>
      </c>
      <c r="P1546" s="2" t="s">
        <v>1078</v>
      </c>
    </row>
    <row r="1547" spans="1:16" ht="22" customHeight="1" x14ac:dyDescent="0.15">
      <c r="A1547" s="10" t="str">
        <f t="shared" si="344"/>
        <v>451_10_5_10_polygon</v>
      </c>
      <c r="B1547" s="2">
        <v>451</v>
      </c>
      <c r="C1547" s="30" t="str">
        <f>VLOOKUP(B1547,gachas!A:C,3)</f>
        <v>フィーバーフェスティバル＜ケプラー、モールス＞</v>
      </c>
      <c r="D1547" s="21">
        <v>10</v>
      </c>
      <c r="E1547" s="2">
        <f t="shared" si="345"/>
        <v>5</v>
      </c>
      <c r="F1547" s="2">
        <v>10</v>
      </c>
      <c r="G1547" s="3" t="s">
        <v>1566</v>
      </c>
      <c r="H1547" s="2">
        <v>50</v>
      </c>
      <c r="I1547" s="117">
        <v>451100</v>
      </c>
      <c r="J1547" s="112">
        <v>451105</v>
      </c>
      <c r="K1547" s="2">
        <v>451100</v>
      </c>
      <c r="L1547" s="2">
        <v>1</v>
      </c>
      <c r="M1547" s="2" t="s">
        <v>1571</v>
      </c>
      <c r="N1547" s="2" t="s">
        <v>1571</v>
      </c>
      <c r="O1547" s="2" t="s">
        <v>118</v>
      </c>
      <c r="P1547" s="2" t="s">
        <v>1763</v>
      </c>
    </row>
    <row r="1548" spans="1:16" ht="22" customHeight="1" x14ac:dyDescent="0.15">
      <c r="A1548" s="10" t="str">
        <f t="shared" si="344"/>
        <v>451_10_6_10_polygon</v>
      </c>
      <c r="B1548" s="2">
        <v>451</v>
      </c>
      <c r="C1548" s="30" t="str">
        <f>VLOOKUP(B1548,gachas!A:C,3)</f>
        <v>フィーバーフェスティバル＜ケプラー、モールス＞</v>
      </c>
      <c r="D1548" s="21">
        <v>10</v>
      </c>
      <c r="E1548" s="2">
        <f>E1547+1</f>
        <v>6</v>
      </c>
      <c r="F1548" s="2">
        <v>10</v>
      </c>
      <c r="G1548" s="3" t="s">
        <v>1566</v>
      </c>
      <c r="H1548" s="2">
        <v>50</v>
      </c>
      <c r="I1548" s="117">
        <v>451100</v>
      </c>
      <c r="J1548" s="112" t="s">
        <v>1571</v>
      </c>
      <c r="K1548" s="2">
        <v>451100</v>
      </c>
      <c r="L1548" s="2">
        <v>1</v>
      </c>
      <c r="M1548" s="2" t="s">
        <v>1571</v>
      </c>
      <c r="N1548" s="2" t="s">
        <v>1571</v>
      </c>
      <c r="O1548" s="2" t="s">
        <v>118</v>
      </c>
      <c r="P1548" s="2" t="s">
        <v>1078</v>
      </c>
    </row>
    <row r="1549" spans="1:16" ht="22" customHeight="1" x14ac:dyDescent="0.15">
      <c r="A1549" s="10" t="str">
        <f t="shared" si="344"/>
        <v>451_10_7_10_polygon</v>
      </c>
      <c r="B1549" s="2">
        <v>451</v>
      </c>
      <c r="C1549" s="30" t="str">
        <f>VLOOKUP(B1549,gachas!A:C,3)</f>
        <v>フィーバーフェスティバル＜ケプラー、モールス＞</v>
      </c>
      <c r="D1549" s="21">
        <v>10</v>
      </c>
      <c r="E1549" s="2">
        <f t="shared" ref="E1549:E1552" si="346">E1548+1</f>
        <v>7</v>
      </c>
      <c r="F1549" s="2">
        <v>10</v>
      </c>
      <c r="G1549" s="3" t="s">
        <v>1566</v>
      </c>
      <c r="H1549" s="2">
        <v>50</v>
      </c>
      <c r="I1549" s="117">
        <v>451100</v>
      </c>
      <c r="J1549" s="112" t="s">
        <v>1571</v>
      </c>
      <c r="K1549" s="2">
        <v>451100</v>
      </c>
      <c r="L1549" s="2">
        <v>1</v>
      </c>
      <c r="M1549" s="2" t="s">
        <v>1571</v>
      </c>
      <c r="N1549" s="2" t="s">
        <v>1571</v>
      </c>
      <c r="O1549" s="2" t="s">
        <v>118</v>
      </c>
      <c r="P1549" s="2" t="s">
        <v>1078</v>
      </c>
    </row>
    <row r="1550" spans="1:16" ht="22" customHeight="1" x14ac:dyDescent="0.15">
      <c r="A1550" s="10" t="str">
        <f t="shared" si="344"/>
        <v>451_10_8_10_polygon</v>
      </c>
      <c r="B1550" s="2">
        <v>451</v>
      </c>
      <c r="C1550" s="30" t="str">
        <f>VLOOKUP(B1550,gachas!A:C,3)</f>
        <v>フィーバーフェスティバル＜ケプラー、モールス＞</v>
      </c>
      <c r="D1550" s="21">
        <v>10</v>
      </c>
      <c r="E1550" s="2">
        <f t="shared" si="346"/>
        <v>8</v>
      </c>
      <c r="F1550" s="2">
        <v>10</v>
      </c>
      <c r="G1550" s="3" t="s">
        <v>1566</v>
      </c>
      <c r="H1550" s="2">
        <v>50</v>
      </c>
      <c r="I1550" s="117">
        <v>451100</v>
      </c>
      <c r="J1550" s="112" t="s">
        <v>1571</v>
      </c>
      <c r="K1550" s="2">
        <v>451100</v>
      </c>
      <c r="L1550" s="2">
        <v>1</v>
      </c>
      <c r="M1550" s="2" t="s">
        <v>1571</v>
      </c>
      <c r="N1550" s="2" t="s">
        <v>1571</v>
      </c>
      <c r="O1550" s="2" t="s">
        <v>118</v>
      </c>
      <c r="P1550" s="2" t="s">
        <v>1078</v>
      </c>
    </row>
    <row r="1551" spans="1:16" ht="22" customHeight="1" x14ac:dyDescent="0.15">
      <c r="A1551" s="10" t="str">
        <f t="shared" si="344"/>
        <v>451_10_9_10_polygon</v>
      </c>
      <c r="B1551" s="2">
        <v>451</v>
      </c>
      <c r="C1551" s="30" t="str">
        <f>VLOOKUP(B1551,gachas!A:C,3)</f>
        <v>フィーバーフェスティバル＜ケプラー、モールス＞</v>
      </c>
      <c r="D1551" s="21">
        <v>10</v>
      </c>
      <c r="E1551" s="2">
        <f t="shared" si="346"/>
        <v>9</v>
      </c>
      <c r="F1551" s="2">
        <v>10</v>
      </c>
      <c r="G1551" s="3" t="s">
        <v>1566</v>
      </c>
      <c r="H1551" s="2">
        <v>50</v>
      </c>
      <c r="I1551" s="117">
        <v>451100</v>
      </c>
      <c r="J1551" s="112" t="s">
        <v>1571</v>
      </c>
      <c r="K1551" s="2">
        <v>451100</v>
      </c>
      <c r="L1551" s="2">
        <v>1</v>
      </c>
      <c r="M1551" s="2" t="s">
        <v>1571</v>
      </c>
      <c r="N1551" s="2" t="s">
        <v>1571</v>
      </c>
      <c r="O1551" s="2" t="s">
        <v>118</v>
      </c>
      <c r="P1551" s="2" t="s">
        <v>1078</v>
      </c>
    </row>
    <row r="1552" spans="1:16" ht="22" customHeight="1" x14ac:dyDescent="0.15">
      <c r="A1552" s="10" t="str">
        <f t="shared" si="344"/>
        <v>451_10_10_10_polygon</v>
      </c>
      <c r="B1552" s="2">
        <v>451</v>
      </c>
      <c r="C1552" s="30" t="str">
        <f>VLOOKUP(B1552,gachas!A:C,3)</f>
        <v>フィーバーフェスティバル＜ケプラー、モールス＞</v>
      </c>
      <c r="D1552" s="21">
        <v>10</v>
      </c>
      <c r="E1552" s="2">
        <f t="shared" si="346"/>
        <v>10</v>
      </c>
      <c r="F1552" s="2">
        <v>10</v>
      </c>
      <c r="G1552" s="3" t="s">
        <v>1566</v>
      </c>
      <c r="H1552" s="2">
        <v>50</v>
      </c>
      <c r="I1552" s="117">
        <v>451100</v>
      </c>
      <c r="J1552" s="112">
        <v>451105</v>
      </c>
      <c r="K1552" s="2">
        <v>451100</v>
      </c>
      <c r="L1552" s="2">
        <v>1</v>
      </c>
      <c r="M1552" s="2" t="s">
        <v>1571</v>
      </c>
      <c r="N1552" s="2" t="s">
        <v>1571</v>
      </c>
      <c r="O1552" s="2" t="s">
        <v>118</v>
      </c>
      <c r="P1552" s="2" t="s">
        <v>1763</v>
      </c>
    </row>
    <row r="1553" spans="1:16" ht="22" customHeight="1" x14ac:dyDescent="0.15">
      <c r="A1553" s="10" t="str">
        <f t="shared" si="344"/>
        <v>451_10_11_10_polygon</v>
      </c>
      <c r="B1553" s="2">
        <v>451</v>
      </c>
      <c r="C1553" s="30" t="str">
        <f>VLOOKUP(B1553,gachas!A:C,3)</f>
        <v>フィーバーフェスティバル＜ケプラー、モールス＞</v>
      </c>
      <c r="D1553" s="21">
        <v>10</v>
      </c>
      <c r="E1553" s="2">
        <f>E1552+1</f>
        <v>11</v>
      </c>
      <c r="F1553" s="2">
        <v>10</v>
      </c>
      <c r="G1553" s="3" t="s">
        <v>1566</v>
      </c>
      <c r="H1553" s="2">
        <v>50</v>
      </c>
      <c r="I1553" s="117">
        <v>451100</v>
      </c>
      <c r="J1553" s="112" t="s">
        <v>1571</v>
      </c>
      <c r="K1553" s="2">
        <v>451100</v>
      </c>
      <c r="L1553" s="2">
        <v>1</v>
      </c>
      <c r="M1553" s="2" t="s">
        <v>1571</v>
      </c>
      <c r="N1553" s="2" t="s">
        <v>1571</v>
      </c>
      <c r="O1553" s="2" t="s">
        <v>118</v>
      </c>
      <c r="P1553" s="2" t="s">
        <v>1078</v>
      </c>
    </row>
    <row r="1554" spans="1:16" ht="22" customHeight="1" x14ac:dyDescent="0.15">
      <c r="A1554" s="10" t="str">
        <f t="shared" si="344"/>
        <v>451_10_12_10_polygon</v>
      </c>
      <c r="B1554" s="2">
        <v>451</v>
      </c>
      <c r="C1554" s="30" t="str">
        <f>VLOOKUP(B1554,gachas!A:C,3)</f>
        <v>フィーバーフェスティバル＜ケプラー、モールス＞</v>
      </c>
      <c r="D1554" s="21">
        <v>10</v>
      </c>
      <c r="E1554" s="2">
        <f t="shared" ref="E1554:E1557" si="347">E1553+1</f>
        <v>12</v>
      </c>
      <c r="F1554" s="2">
        <v>10</v>
      </c>
      <c r="G1554" s="3" t="s">
        <v>1566</v>
      </c>
      <c r="H1554" s="2">
        <v>50</v>
      </c>
      <c r="I1554" s="117">
        <v>451100</v>
      </c>
      <c r="J1554" s="112" t="s">
        <v>1571</v>
      </c>
      <c r="K1554" s="2">
        <v>451100</v>
      </c>
      <c r="L1554" s="2">
        <v>1</v>
      </c>
      <c r="M1554" s="2" t="s">
        <v>1571</v>
      </c>
      <c r="N1554" s="2" t="s">
        <v>1571</v>
      </c>
      <c r="O1554" s="2" t="s">
        <v>118</v>
      </c>
      <c r="P1554" s="2" t="s">
        <v>1078</v>
      </c>
    </row>
    <row r="1555" spans="1:16" ht="22" customHeight="1" x14ac:dyDescent="0.15">
      <c r="A1555" s="10" t="str">
        <f t="shared" si="344"/>
        <v>451_10_13_10_polygon</v>
      </c>
      <c r="B1555" s="2">
        <v>451</v>
      </c>
      <c r="C1555" s="30" t="str">
        <f>VLOOKUP(B1555,gachas!A:C,3)</f>
        <v>フィーバーフェスティバル＜ケプラー、モールス＞</v>
      </c>
      <c r="D1555" s="21">
        <v>10</v>
      </c>
      <c r="E1555" s="2">
        <f t="shared" si="347"/>
        <v>13</v>
      </c>
      <c r="F1555" s="2">
        <v>10</v>
      </c>
      <c r="G1555" s="3" t="s">
        <v>1566</v>
      </c>
      <c r="H1555" s="2">
        <v>50</v>
      </c>
      <c r="I1555" s="117">
        <v>451100</v>
      </c>
      <c r="J1555" s="112" t="s">
        <v>1571</v>
      </c>
      <c r="K1555" s="2">
        <v>451100</v>
      </c>
      <c r="L1555" s="2">
        <v>1</v>
      </c>
      <c r="M1555" s="2" t="s">
        <v>1571</v>
      </c>
      <c r="N1555" s="2" t="s">
        <v>1571</v>
      </c>
      <c r="O1555" s="2" t="s">
        <v>118</v>
      </c>
      <c r="P1555" s="2" t="s">
        <v>1078</v>
      </c>
    </row>
    <row r="1556" spans="1:16" ht="22" customHeight="1" x14ac:dyDescent="0.15">
      <c r="A1556" s="10" t="str">
        <f t="shared" si="344"/>
        <v>451_10_14_10_polygon</v>
      </c>
      <c r="B1556" s="2">
        <v>451</v>
      </c>
      <c r="C1556" s="30" t="str">
        <f>VLOOKUP(B1556,gachas!A:C,3)</f>
        <v>フィーバーフェスティバル＜ケプラー、モールス＞</v>
      </c>
      <c r="D1556" s="21">
        <v>10</v>
      </c>
      <c r="E1556" s="2">
        <f t="shared" si="347"/>
        <v>14</v>
      </c>
      <c r="F1556" s="2">
        <v>10</v>
      </c>
      <c r="G1556" s="3" t="s">
        <v>1566</v>
      </c>
      <c r="H1556" s="2">
        <v>50</v>
      </c>
      <c r="I1556" s="117">
        <v>451100</v>
      </c>
      <c r="J1556" s="112" t="s">
        <v>1571</v>
      </c>
      <c r="K1556" s="2">
        <v>451100</v>
      </c>
      <c r="L1556" s="2">
        <v>1</v>
      </c>
      <c r="M1556" s="2" t="s">
        <v>1571</v>
      </c>
      <c r="N1556" s="2" t="s">
        <v>1571</v>
      </c>
      <c r="O1556" s="2" t="s">
        <v>118</v>
      </c>
      <c r="P1556" s="2" t="s">
        <v>1078</v>
      </c>
    </row>
    <row r="1557" spans="1:16" ht="22" customHeight="1" x14ac:dyDescent="0.15">
      <c r="A1557" s="10" t="str">
        <f t="shared" si="344"/>
        <v>451_10_15_10_polygon</v>
      </c>
      <c r="B1557" s="2">
        <v>451</v>
      </c>
      <c r="C1557" s="30" t="str">
        <f>VLOOKUP(B1557,gachas!A:C,3)</f>
        <v>フィーバーフェスティバル＜ケプラー、モールス＞</v>
      </c>
      <c r="D1557" s="21">
        <v>10</v>
      </c>
      <c r="E1557" s="2">
        <f t="shared" si="347"/>
        <v>15</v>
      </c>
      <c r="F1557" s="2">
        <v>10</v>
      </c>
      <c r="G1557" s="3" t="s">
        <v>1566</v>
      </c>
      <c r="H1557" s="2">
        <v>50</v>
      </c>
      <c r="I1557" s="117">
        <v>451100</v>
      </c>
      <c r="J1557" s="112">
        <v>451105</v>
      </c>
      <c r="K1557" s="2">
        <v>451100</v>
      </c>
      <c r="L1557" s="2">
        <v>1</v>
      </c>
      <c r="M1557" s="2" t="s">
        <v>1571</v>
      </c>
      <c r="N1557" s="2" t="s">
        <v>1571</v>
      </c>
      <c r="O1557" s="2" t="s">
        <v>118</v>
      </c>
      <c r="P1557" s="2" t="s">
        <v>1763</v>
      </c>
    </row>
    <row r="1558" spans="1:16" ht="22" customHeight="1" x14ac:dyDescent="0.15">
      <c r="A1558" s="10" t="str">
        <f t="shared" si="344"/>
        <v>451_10_16_10_polygon</v>
      </c>
      <c r="B1558" s="2">
        <v>451</v>
      </c>
      <c r="C1558" s="30" t="str">
        <f>VLOOKUP(B1558,gachas!A:C,3)</f>
        <v>フィーバーフェスティバル＜ケプラー、モールス＞</v>
      </c>
      <c r="D1558" s="21">
        <v>10</v>
      </c>
      <c r="E1558" s="2">
        <f>E1557+1</f>
        <v>16</v>
      </c>
      <c r="F1558" s="2">
        <v>10</v>
      </c>
      <c r="G1558" s="3" t="s">
        <v>1566</v>
      </c>
      <c r="H1558" s="2">
        <v>50</v>
      </c>
      <c r="I1558" s="117">
        <v>451100</v>
      </c>
      <c r="J1558" s="112" t="s">
        <v>1571</v>
      </c>
      <c r="K1558" s="2">
        <v>451100</v>
      </c>
      <c r="L1558" s="2">
        <v>1</v>
      </c>
      <c r="M1558" s="2" t="s">
        <v>1571</v>
      </c>
      <c r="N1558" s="2" t="s">
        <v>1571</v>
      </c>
      <c r="O1558" s="2" t="s">
        <v>118</v>
      </c>
      <c r="P1558" s="2" t="s">
        <v>1078</v>
      </c>
    </row>
    <row r="1559" spans="1:16" ht="22" customHeight="1" x14ac:dyDescent="0.15">
      <c r="A1559" s="10" t="str">
        <f t="shared" si="344"/>
        <v>451_10_17_10_polygon</v>
      </c>
      <c r="B1559" s="2">
        <v>451</v>
      </c>
      <c r="C1559" s="30" t="str">
        <f>VLOOKUP(B1559,gachas!A:C,3)</f>
        <v>フィーバーフェスティバル＜ケプラー、モールス＞</v>
      </c>
      <c r="D1559" s="21">
        <v>10</v>
      </c>
      <c r="E1559" s="2">
        <f t="shared" ref="E1559:E1562" si="348">E1558+1</f>
        <v>17</v>
      </c>
      <c r="F1559" s="2">
        <v>10</v>
      </c>
      <c r="G1559" s="3" t="s">
        <v>1566</v>
      </c>
      <c r="H1559" s="2">
        <v>50</v>
      </c>
      <c r="I1559" s="117">
        <v>451100</v>
      </c>
      <c r="J1559" s="112" t="s">
        <v>1571</v>
      </c>
      <c r="K1559" s="2">
        <v>451100</v>
      </c>
      <c r="L1559" s="2">
        <v>1</v>
      </c>
      <c r="M1559" s="2" t="s">
        <v>1571</v>
      </c>
      <c r="N1559" s="2" t="s">
        <v>1571</v>
      </c>
      <c r="O1559" s="2" t="s">
        <v>118</v>
      </c>
      <c r="P1559" s="2" t="s">
        <v>1078</v>
      </c>
    </row>
    <row r="1560" spans="1:16" ht="22" customHeight="1" x14ac:dyDescent="0.15">
      <c r="A1560" s="10" t="str">
        <f t="shared" si="344"/>
        <v>451_10_18_10_polygon</v>
      </c>
      <c r="B1560" s="2">
        <v>451</v>
      </c>
      <c r="C1560" s="30" t="str">
        <f>VLOOKUP(B1560,gachas!A:C,3)</f>
        <v>フィーバーフェスティバル＜ケプラー、モールス＞</v>
      </c>
      <c r="D1560" s="21">
        <v>10</v>
      </c>
      <c r="E1560" s="2">
        <f t="shared" si="348"/>
        <v>18</v>
      </c>
      <c r="F1560" s="2">
        <v>10</v>
      </c>
      <c r="G1560" s="3" t="s">
        <v>1566</v>
      </c>
      <c r="H1560" s="2">
        <v>50</v>
      </c>
      <c r="I1560" s="117">
        <v>451100</v>
      </c>
      <c r="J1560" s="112" t="s">
        <v>1571</v>
      </c>
      <c r="K1560" s="2">
        <v>451100</v>
      </c>
      <c r="L1560" s="2">
        <v>1</v>
      </c>
      <c r="M1560" s="2" t="s">
        <v>1571</v>
      </c>
      <c r="N1560" s="2" t="s">
        <v>1571</v>
      </c>
      <c r="O1560" s="2" t="s">
        <v>118</v>
      </c>
      <c r="P1560" s="2" t="s">
        <v>1078</v>
      </c>
    </row>
    <row r="1561" spans="1:16" ht="22" customHeight="1" x14ac:dyDescent="0.15">
      <c r="A1561" s="10" t="str">
        <f t="shared" si="344"/>
        <v>451_10_19_10_polygon</v>
      </c>
      <c r="B1561" s="2">
        <v>451</v>
      </c>
      <c r="C1561" s="30" t="str">
        <f>VLOOKUP(B1561,gachas!A:C,3)</f>
        <v>フィーバーフェスティバル＜ケプラー、モールス＞</v>
      </c>
      <c r="D1561" s="21">
        <v>10</v>
      </c>
      <c r="E1561" s="2">
        <f t="shared" si="348"/>
        <v>19</v>
      </c>
      <c r="F1561" s="2">
        <v>10</v>
      </c>
      <c r="G1561" s="3" t="s">
        <v>1566</v>
      </c>
      <c r="H1561" s="2">
        <v>50</v>
      </c>
      <c r="I1561" s="117">
        <v>451100</v>
      </c>
      <c r="J1561" s="112" t="s">
        <v>1571</v>
      </c>
      <c r="K1561" s="2">
        <v>451100</v>
      </c>
      <c r="L1561" s="2">
        <v>1</v>
      </c>
      <c r="M1561" s="2" t="s">
        <v>1571</v>
      </c>
      <c r="N1561" s="2" t="s">
        <v>1571</v>
      </c>
      <c r="O1561" s="2" t="s">
        <v>118</v>
      </c>
      <c r="P1561" s="2" t="s">
        <v>1078</v>
      </c>
    </row>
    <row r="1562" spans="1:16" ht="22" customHeight="1" x14ac:dyDescent="0.15">
      <c r="A1562" s="10" t="str">
        <f t="shared" si="344"/>
        <v>451_10_20_10_polygon</v>
      </c>
      <c r="B1562" s="2">
        <v>451</v>
      </c>
      <c r="C1562" s="30" t="str">
        <f>VLOOKUP(B1562,gachas!A:C,3)</f>
        <v>フィーバーフェスティバル＜ケプラー、モールス＞</v>
      </c>
      <c r="D1562" s="21">
        <v>10</v>
      </c>
      <c r="E1562" s="2">
        <f t="shared" si="348"/>
        <v>20</v>
      </c>
      <c r="F1562" s="2">
        <v>10</v>
      </c>
      <c r="G1562" s="3" t="s">
        <v>1566</v>
      </c>
      <c r="H1562" s="2">
        <v>50</v>
      </c>
      <c r="I1562" s="117">
        <v>451100</v>
      </c>
      <c r="J1562" s="112">
        <v>451105</v>
      </c>
      <c r="K1562" s="2">
        <v>451100</v>
      </c>
      <c r="L1562" s="2">
        <v>1</v>
      </c>
      <c r="M1562" s="2" t="s">
        <v>1571</v>
      </c>
      <c r="N1562" s="2" t="s">
        <v>1571</v>
      </c>
      <c r="O1562" s="2" t="s">
        <v>118</v>
      </c>
      <c r="P1562" s="2" t="s">
        <v>1763</v>
      </c>
    </row>
    <row r="1563" spans="1:16" ht="22" customHeight="1" x14ac:dyDescent="0.15">
      <c r="A1563" s="10" t="str">
        <f t="shared" si="344"/>
        <v>451_10_21_10_polygon</v>
      </c>
      <c r="B1563" s="2">
        <v>451</v>
      </c>
      <c r="C1563" s="30" t="str">
        <f>VLOOKUP(B1563,gachas!A:C,3)</f>
        <v>フィーバーフェスティバル＜ケプラー、モールス＞</v>
      </c>
      <c r="D1563" s="21">
        <v>10</v>
      </c>
      <c r="E1563" s="2">
        <f>E1562+1</f>
        <v>21</v>
      </c>
      <c r="F1563" s="2">
        <v>10</v>
      </c>
      <c r="G1563" s="3" t="s">
        <v>1566</v>
      </c>
      <c r="H1563" s="2">
        <v>50</v>
      </c>
      <c r="I1563" s="117">
        <v>451100</v>
      </c>
      <c r="J1563" s="112" t="s">
        <v>1571</v>
      </c>
      <c r="K1563" s="2">
        <v>451100</v>
      </c>
      <c r="L1563" s="2">
        <v>1</v>
      </c>
      <c r="M1563" s="2" t="s">
        <v>1571</v>
      </c>
      <c r="N1563" s="2" t="s">
        <v>1571</v>
      </c>
      <c r="O1563" s="2" t="s">
        <v>118</v>
      </c>
      <c r="P1563" s="2" t="s">
        <v>1078</v>
      </c>
    </row>
    <row r="1564" spans="1:16" ht="22" customHeight="1" x14ac:dyDescent="0.15">
      <c r="A1564" s="10" t="str">
        <f t="shared" si="344"/>
        <v>451_10_22_10_polygon</v>
      </c>
      <c r="B1564" s="2">
        <v>451</v>
      </c>
      <c r="C1564" s="30" t="str">
        <f>VLOOKUP(B1564,gachas!A:C,3)</f>
        <v>フィーバーフェスティバル＜ケプラー、モールス＞</v>
      </c>
      <c r="D1564" s="21">
        <v>10</v>
      </c>
      <c r="E1564" s="2">
        <f t="shared" ref="E1564:E1567" si="349">E1563+1</f>
        <v>22</v>
      </c>
      <c r="F1564" s="2">
        <v>10</v>
      </c>
      <c r="G1564" s="3" t="s">
        <v>1566</v>
      </c>
      <c r="H1564" s="2">
        <v>50</v>
      </c>
      <c r="I1564" s="117">
        <v>451100</v>
      </c>
      <c r="J1564" s="112" t="s">
        <v>1571</v>
      </c>
      <c r="K1564" s="2">
        <v>451100</v>
      </c>
      <c r="L1564" s="2">
        <v>1</v>
      </c>
      <c r="M1564" s="2" t="s">
        <v>1571</v>
      </c>
      <c r="N1564" s="2" t="s">
        <v>1571</v>
      </c>
      <c r="O1564" s="2" t="s">
        <v>118</v>
      </c>
      <c r="P1564" s="2" t="s">
        <v>1078</v>
      </c>
    </row>
    <row r="1565" spans="1:16" ht="22" customHeight="1" x14ac:dyDescent="0.15">
      <c r="A1565" s="10" t="str">
        <f t="shared" si="344"/>
        <v>451_10_23_10_polygon</v>
      </c>
      <c r="B1565" s="2">
        <v>451</v>
      </c>
      <c r="C1565" s="30" t="str">
        <f>VLOOKUP(B1565,gachas!A:C,3)</f>
        <v>フィーバーフェスティバル＜ケプラー、モールス＞</v>
      </c>
      <c r="D1565" s="21">
        <v>10</v>
      </c>
      <c r="E1565" s="2">
        <f t="shared" si="349"/>
        <v>23</v>
      </c>
      <c r="F1565" s="2">
        <v>10</v>
      </c>
      <c r="G1565" s="3" t="s">
        <v>1566</v>
      </c>
      <c r="H1565" s="2">
        <v>50</v>
      </c>
      <c r="I1565" s="117">
        <v>451100</v>
      </c>
      <c r="J1565" s="112" t="s">
        <v>1571</v>
      </c>
      <c r="K1565" s="2">
        <v>451100</v>
      </c>
      <c r="L1565" s="2">
        <v>1</v>
      </c>
      <c r="M1565" s="2" t="s">
        <v>1571</v>
      </c>
      <c r="N1565" s="2" t="s">
        <v>1571</v>
      </c>
      <c r="O1565" s="2" t="s">
        <v>118</v>
      </c>
      <c r="P1565" s="2" t="s">
        <v>1078</v>
      </c>
    </row>
    <row r="1566" spans="1:16" ht="22" customHeight="1" x14ac:dyDescent="0.15">
      <c r="A1566" s="10" t="str">
        <f t="shared" si="344"/>
        <v>451_10_24_10_polygon</v>
      </c>
      <c r="B1566" s="2">
        <v>451</v>
      </c>
      <c r="C1566" s="30" t="str">
        <f>VLOOKUP(B1566,gachas!A:C,3)</f>
        <v>フィーバーフェスティバル＜ケプラー、モールス＞</v>
      </c>
      <c r="D1566" s="21">
        <v>10</v>
      </c>
      <c r="E1566" s="2">
        <f t="shared" si="349"/>
        <v>24</v>
      </c>
      <c r="F1566" s="2">
        <v>10</v>
      </c>
      <c r="G1566" s="3" t="s">
        <v>1566</v>
      </c>
      <c r="H1566" s="2">
        <v>50</v>
      </c>
      <c r="I1566" s="117">
        <v>451100</v>
      </c>
      <c r="J1566" s="112" t="s">
        <v>1571</v>
      </c>
      <c r="K1566" s="2">
        <v>451100</v>
      </c>
      <c r="L1566" s="2">
        <v>1</v>
      </c>
      <c r="M1566" s="2" t="s">
        <v>1571</v>
      </c>
      <c r="N1566" s="2" t="s">
        <v>1571</v>
      </c>
      <c r="O1566" s="2" t="s">
        <v>118</v>
      </c>
      <c r="P1566" s="2" t="s">
        <v>1078</v>
      </c>
    </row>
    <row r="1567" spans="1:16" ht="22" customHeight="1" x14ac:dyDescent="0.15">
      <c r="A1567" s="10" t="str">
        <f t="shared" si="344"/>
        <v>451_10_25_10_polygon</v>
      </c>
      <c r="B1567" s="2">
        <v>451</v>
      </c>
      <c r="C1567" s="30" t="str">
        <f>VLOOKUP(B1567,gachas!A:C,3)</f>
        <v>フィーバーフェスティバル＜ケプラー、モールス＞</v>
      </c>
      <c r="D1567" s="21">
        <v>10</v>
      </c>
      <c r="E1567" s="2">
        <f t="shared" si="349"/>
        <v>25</v>
      </c>
      <c r="F1567" s="2">
        <v>10</v>
      </c>
      <c r="G1567" s="3" t="s">
        <v>1566</v>
      </c>
      <c r="H1567" s="2">
        <v>50</v>
      </c>
      <c r="I1567" s="117">
        <v>451100</v>
      </c>
      <c r="J1567" s="112">
        <v>451105</v>
      </c>
      <c r="K1567" s="2">
        <v>451100</v>
      </c>
      <c r="L1567" s="2">
        <v>1</v>
      </c>
      <c r="M1567" s="2" t="s">
        <v>1571</v>
      </c>
      <c r="N1567" s="2" t="s">
        <v>1571</v>
      </c>
      <c r="O1567" s="2" t="s">
        <v>118</v>
      </c>
      <c r="P1567" s="2" t="s">
        <v>1763</v>
      </c>
    </row>
    <row r="1568" spans="1:16" ht="22" customHeight="1" x14ac:dyDescent="0.15">
      <c r="A1568" s="10" t="str">
        <f t="shared" si="344"/>
        <v>451_10_26_10_polygon</v>
      </c>
      <c r="B1568" s="2">
        <v>451</v>
      </c>
      <c r="C1568" s="30" t="str">
        <f>VLOOKUP(B1568,gachas!A:C,3)</f>
        <v>フィーバーフェスティバル＜ケプラー、モールス＞</v>
      </c>
      <c r="D1568" s="21">
        <v>10</v>
      </c>
      <c r="E1568" s="2">
        <f>E1567+1</f>
        <v>26</v>
      </c>
      <c r="F1568" s="2">
        <v>10</v>
      </c>
      <c r="G1568" s="3" t="s">
        <v>1566</v>
      </c>
      <c r="H1568" s="2">
        <v>50</v>
      </c>
      <c r="I1568" s="117">
        <v>451100</v>
      </c>
      <c r="J1568" s="112" t="s">
        <v>1571</v>
      </c>
      <c r="K1568" s="2">
        <v>451100</v>
      </c>
      <c r="L1568" s="2">
        <v>1</v>
      </c>
      <c r="M1568" s="2" t="s">
        <v>1571</v>
      </c>
      <c r="N1568" s="2" t="s">
        <v>1571</v>
      </c>
      <c r="O1568" s="2" t="s">
        <v>118</v>
      </c>
      <c r="P1568" s="2" t="s">
        <v>1078</v>
      </c>
    </row>
    <row r="1569" spans="1:16" ht="22" customHeight="1" x14ac:dyDescent="0.15">
      <c r="A1569" s="10" t="str">
        <f t="shared" si="344"/>
        <v>451_10_27_10_polygon</v>
      </c>
      <c r="B1569" s="2">
        <v>451</v>
      </c>
      <c r="C1569" s="30" t="str">
        <f>VLOOKUP(B1569,gachas!A:C,3)</f>
        <v>フィーバーフェスティバル＜ケプラー、モールス＞</v>
      </c>
      <c r="D1569" s="21">
        <v>10</v>
      </c>
      <c r="E1569" s="2">
        <f t="shared" ref="E1569:E1572" si="350">E1568+1</f>
        <v>27</v>
      </c>
      <c r="F1569" s="2">
        <v>10</v>
      </c>
      <c r="G1569" s="3" t="s">
        <v>1566</v>
      </c>
      <c r="H1569" s="2">
        <v>50</v>
      </c>
      <c r="I1569" s="117">
        <v>451100</v>
      </c>
      <c r="J1569" s="112" t="s">
        <v>1571</v>
      </c>
      <c r="K1569" s="2">
        <v>451100</v>
      </c>
      <c r="L1569" s="2">
        <v>1</v>
      </c>
      <c r="M1569" s="2" t="s">
        <v>1571</v>
      </c>
      <c r="N1569" s="2" t="s">
        <v>1571</v>
      </c>
      <c r="O1569" s="2" t="s">
        <v>118</v>
      </c>
      <c r="P1569" s="2" t="s">
        <v>1078</v>
      </c>
    </row>
    <row r="1570" spans="1:16" ht="22" customHeight="1" x14ac:dyDescent="0.15">
      <c r="A1570" s="10" t="str">
        <f t="shared" si="344"/>
        <v>451_10_28_10_polygon</v>
      </c>
      <c r="B1570" s="2">
        <v>451</v>
      </c>
      <c r="C1570" s="30" t="str">
        <f>VLOOKUP(B1570,gachas!A:C,3)</f>
        <v>フィーバーフェスティバル＜ケプラー、モールス＞</v>
      </c>
      <c r="D1570" s="21">
        <v>10</v>
      </c>
      <c r="E1570" s="2">
        <f t="shared" si="350"/>
        <v>28</v>
      </c>
      <c r="F1570" s="2">
        <v>10</v>
      </c>
      <c r="G1570" s="3" t="s">
        <v>1566</v>
      </c>
      <c r="H1570" s="2">
        <v>50</v>
      </c>
      <c r="I1570" s="117">
        <v>451100</v>
      </c>
      <c r="J1570" s="112" t="s">
        <v>1571</v>
      </c>
      <c r="K1570" s="2">
        <v>451100</v>
      </c>
      <c r="L1570" s="2">
        <v>1</v>
      </c>
      <c r="M1570" s="2" t="s">
        <v>1571</v>
      </c>
      <c r="N1570" s="2" t="s">
        <v>1571</v>
      </c>
      <c r="O1570" s="2" t="s">
        <v>118</v>
      </c>
      <c r="P1570" s="2" t="s">
        <v>1078</v>
      </c>
    </row>
    <row r="1571" spans="1:16" ht="22" customHeight="1" x14ac:dyDescent="0.15">
      <c r="A1571" s="10" t="str">
        <f t="shared" si="344"/>
        <v>451_10_29_10_polygon</v>
      </c>
      <c r="B1571" s="2">
        <v>451</v>
      </c>
      <c r="C1571" s="30" t="str">
        <f>VLOOKUP(B1571,gachas!A:C,3)</f>
        <v>フィーバーフェスティバル＜ケプラー、モールス＞</v>
      </c>
      <c r="D1571" s="21">
        <v>10</v>
      </c>
      <c r="E1571" s="2">
        <f t="shared" si="350"/>
        <v>29</v>
      </c>
      <c r="F1571" s="2">
        <v>10</v>
      </c>
      <c r="G1571" s="3" t="s">
        <v>1566</v>
      </c>
      <c r="H1571" s="2">
        <v>50</v>
      </c>
      <c r="I1571" s="117">
        <v>451100</v>
      </c>
      <c r="J1571" s="112" t="s">
        <v>1571</v>
      </c>
      <c r="K1571" s="2">
        <v>451100</v>
      </c>
      <c r="L1571" s="2">
        <v>1</v>
      </c>
      <c r="M1571" s="2" t="s">
        <v>1571</v>
      </c>
      <c r="N1571" s="2" t="s">
        <v>1571</v>
      </c>
      <c r="O1571" s="2" t="s">
        <v>118</v>
      </c>
      <c r="P1571" s="2" t="s">
        <v>1078</v>
      </c>
    </row>
    <row r="1572" spans="1:16" ht="22" customHeight="1" x14ac:dyDescent="0.15">
      <c r="A1572" s="10" t="str">
        <f t="shared" si="344"/>
        <v>451_10_30_10_polygon</v>
      </c>
      <c r="B1572" s="2">
        <v>451</v>
      </c>
      <c r="C1572" s="30" t="str">
        <f>VLOOKUP(B1572,gachas!A:C,3)</f>
        <v>フィーバーフェスティバル＜ケプラー、モールス＞</v>
      </c>
      <c r="D1572" s="21">
        <v>10</v>
      </c>
      <c r="E1572" s="2">
        <f t="shared" si="350"/>
        <v>30</v>
      </c>
      <c r="F1572" s="2">
        <v>10</v>
      </c>
      <c r="G1572" s="3" t="s">
        <v>1566</v>
      </c>
      <c r="H1572" s="2">
        <v>50</v>
      </c>
      <c r="I1572" s="117">
        <v>451100</v>
      </c>
      <c r="J1572" s="112">
        <v>451105</v>
      </c>
      <c r="K1572" s="2">
        <v>451100</v>
      </c>
      <c r="L1572" s="2">
        <v>1</v>
      </c>
      <c r="M1572" s="2" t="s">
        <v>1571</v>
      </c>
      <c r="N1572" s="2" t="s">
        <v>1571</v>
      </c>
      <c r="O1572" s="2" t="s">
        <v>118</v>
      </c>
      <c r="P1572" s="2" t="s">
        <v>1763</v>
      </c>
    </row>
    <row r="1573" spans="1:16" ht="22" customHeight="1" x14ac:dyDescent="0.15">
      <c r="A1573" s="10" t="str">
        <f t="shared" si="344"/>
        <v>451_10_31_10_polygon</v>
      </c>
      <c r="B1573" s="2">
        <v>451</v>
      </c>
      <c r="C1573" s="30" t="str">
        <f>VLOOKUP(B1573,gachas!A:C,3)</f>
        <v>フィーバーフェスティバル＜ケプラー、モールス＞</v>
      </c>
      <c r="D1573" s="21">
        <v>10</v>
      </c>
      <c r="E1573" s="2">
        <f>E1572+1</f>
        <v>31</v>
      </c>
      <c r="F1573" s="2">
        <v>10</v>
      </c>
      <c r="G1573" s="3" t="s">
        <v>1566</v>
      </c>
      <c r="H1573" s="2">
        <v>50</v>
      </c>
      <c r="I1573" s="117">
        <v>451100</v>
      </c>
      <c r="J1573" s="112" t="s">
        <v>1571</v>
      </c>
      <c r="K1573" s="2">
        <v>451100</v>
      </c>
      <c r="L1573" s="2">
        <v>1</v>
      </c>
      <c r="M1573" s="2" t="s">
        <v>1571</v>
      </c>
      <c r="N1573" s="2" t="s">
        <v>1571</v>
      </c>
      <c r="O1573" s="2" t="s">
        <v>118</v>
      </c>
      <c r="P1573" s="2" t="s">
        <v>1078</v>
      </c>
    </row>
    <row r="1574" spans="1:16" ht="22" customHeight="1" x14ac:dyDescent="0.15">
      <c r="A1574" s="10" t="str">
        <f t="shared" si="344"/>
        <v>451_10_32_10_polygon</v>
      </c>
      <c r="B1574" s="2">
        <v>451</v>
      </c>
      <c r="C1574" s="30" t="str">
        <f>VLOOKUP(B1574,gachas!A:C,3)</f>
        <v>フィーバーフェスティバル＜ケプラー、モールス＞</v>
      </c>
      <c r="D1574" s="21">
        <v>10</v>
      </c>
      <c r="E1574" s="2">
        <f t="shared" ref="E1574:E1577" si="351">E1573+1</f>
        <v>32</v>
      </c>
      <c r="F1574" s="2">
        <v>10</v>
      </c>
      <c r="G1574" s="3" t="s">
        <v>1566</v>
      </c>
      <c r="H1574" s="2">
        <v>50</v>
      </c>
      <c r="I1574" s="117">
        <v>451100</v>
      </c>
      <c r="J1574" s="112" t="s">
        <v>1571</v>
      </c>
      <c r="K1574" s="2">
        <v>451100</v>
      </c>
      <c r="L1574" s="2">
        <v>1</v>
      </c>
      <c r="M1574" s="2" t="s">
        <v>1571</v>
      </c>
      <c r="N1574" s="2" t="s">
        <v>1571</v>
      </c>
      <c r="O1574" s="2" t="s">
        <v>118</v>
      </c>
      <c r="P1574" s="2" t="s">
        <v>1078</v>
      </c>
    </row>
    <row r="1575" spans="1:16" ht="22" customHeight="1" x14ac:dyDescent="0.15">
      <c r="A1575" s="10" t="str">
        <f t="shared" si="344"/>
        <v>451_10_33_10_polygon</v>
      </c>
      <c r="B1575" s="2">
        <v>451</v>
      </c>
      <c r="C1575" s="30" t="str">
        <f>VLOOKUP(B1575,gachas!A:C,3)</f>
        <v>フィーバーフェスティバル＜ケプラー、モールス＞</v>
      </c>
      <c r="D1575" s="21">
        <v>10</v>
      </c>
      <c r="E1575" s="2">
        <f t="shared" si="351"/>
        <v>33</v>
      </c>
      <c r="F1575" s="2">
        <v>10</v>
      </c>
      <c r="G1575" s="3" t="s">
        <v>1566</v>
      </c>
      <c r="H1575" s="2">
        <v>50</v>
      </c>
      <c r="I1575" s="117">
        <v>451100</v>
      </c>
      <c r="J1575" s="112" t="s">
        <v>1571</v>
      </c>
      <c r="K1575" s="2">
        <v>451100</v>
      </c>
      <c r="L1575" s="2">
        <v>1</v>
      </c>
      <c r="M1575" s="2" t="s">
        <v>1571</v>
      </c>
      <c r="N1575" s="2" t="s">
        <v>1571</v>
      </c>
      <c r="O1575" s="2" t="s">
        <v>118</v>
      </c>
      <c r="P1575" s="2" t="s">
        <v>1078</v>
      </c>
    </row>
    <row r="1576" spans="1:16" ht="22" customHeight="1" x14ac:dyDescent="0.15">
      <c r="A1576" s="10" t="str">
        <f t="shared" si="344"/>
        <v>451_10_34_10_polygon</v>
      </c>
      <c r="B1576" s="2">
        <v>451</v>
      </c>
      <c r="C1576" s="30" t="str">
        <f>VLOOKUP(B1576,gachas!A:C,3)</f>
        <v>フィーバーフェスティバル＜ケプラー、モールス＞</v>
      </c>
      <c r="D1576" s="21">
        <v>10</v>
      </c>
      <c r="E1576" s="2">
        <f t="shared" si="351"/>
        <v>34</v>
      </c>
      <c r="F1576" s="2">
        <v>10</v>
      </c>
      <c r="G1576" s="3" t="s">
        <v>1566</v>
      </c>
      <c r="H1576" s="2">
        <v>50</v>
      </c>
      <c r="I1576" s="117">
        <v>451100</v>
      </c>
      <c r="J1576" s="112" t="s">
        <v>1571</v>
      </c>
      <c r="K1576" s="2">
        <v>451100</v>
      </c>
      <c r="L1576" s="2">
        <v>1</v>
      </c>
      <c r="M1576" s="2" t="s">
        <v>1571</v>
      </c>
      <c r="N1576" s="2" t="s">
        <v>1571</v>
      </c>
      <c r="O1576" s="2" t="s">
        <v>118</v>
      </c>
      <c r="P1576" s="2" t="s">
        <v>1078</v>
      </c>
    </row>
    <row r="1577" spans="1:16" ht="22" customHeight="1" x14ac:dyDescent="0.15">
      <c r="A1577" s="10" t="str">
        <f t="shared" si="344"/>
        <v>451_10_35_10_polygon</v>
      </c>
      <c r="B1577" s="2">
        <v>451</v>
      </c>
      <c r="C1577" s="30" t="str">
        <f>VLOOKUP(B1577,gachas!A:C,3)</f>
        <v>フィーバーフェスティバル＜ケプラー、モールス＞</v>
      </c>
      <c r="D1577" s="21">
        <v>10</v>
      </c>
      <c r="E1577" s="2">
        <f t="shared" si="351"/>
        <v>35</v>
      </c>
      <c r="F1577" s="2">
        <v>10</v>
      </c>
      <c r="G1577" s="3" t="s">
        <v>1566</v>
      </c>
      <c r="H1577" s="2">
        <v>50</v>
      </c>
      <c r="I1577" s="117">
        <v>451100</v>
      </c>
      <c r="J1577" s="112">
        <v>451105</v>
      </c>
      <c r="K1577" s="2">
        <v>451100</v>
      </c>
      <c r="L1577" s="2">
        <v>1</v>
      </c>
      <c r="M1577" s="2" t="s">
        <v>1571</v>
      </c>
      <c r="N1577" s="2" t="s">
        <v>1571</v>
      </c>
      <c r="O1577" s="2" t="s">
        <v>118</v>
      </c>
      <c r="P1577" s="2" t="s">
        <v>1763</v>
      </c>
    </row>
    <row r="1578" spans="1:16" ht="22" customHeight="1" x14ac:dyDescent="0.15">
      <c r="A1578" s="10" t="str">
        <f t="shared" si="344"/>
        <v>451_10_36_10_polygon</v>
      </c>
      <c r="B1578" s="2">
        <v>451</v>
      </c>
      <c r="C1578" s="30" t="str">
        <f>VLOOKUP(B1578,gachas!A:C,3)</f>
        <v>フィーバーフェスティバル＜ケプラー、モールス＞</v>
      </c>
      <c r="D1578" s="21">
        <v>10</v>
      </c>
      <c r="E1578" s="2">
        <f>E1577+1</f>
        <v>36</v>
      </c>
      <c r="F1578" s="2">
        <v>10</v>
      </c>
      <c r="G1578" s="3" t="s">
        <v>1566</v>
      </c>
      <c r="H1578" s="2">
        <v>50</v>
      </c>
      <c r="I1578" s="117">
        <v>451100</v>
      </c>
      <c r="J1578" s="112" t="s">
        <v>1571</v>
      </c>
      <c r="K1578" s="2">
        <v>451100</v>
      </c>
      <c r="L1578" s="2">
        <v>1</v>
      </c>
      <c r="M1578" s="2" t="s">
        <v>1571</v>
      </c>
      <c r="N1578" s="2" t="s">
        <v>1571</v>
      </c>
      <c r="O1578" s="2" t="s">
        <v>118</v>
      </c>
      <c r="P1578" s="2" t="s">
        <v>1078</v>
      </c>
    </row>
    <row r="1579" spans="1:16" ht="22" customHeight="1" x14ac:dyDescent="0.15">
      <c r="A1579" s="10" t="str">
        <f t="shared" si="344"/>
        <v>451_10_37_10_polygon</v>
      </c>
      <c r="B1579" s="2">
        <v>451</v>
      </c>
      <c r="C1579" s="30" t="str">
        <f>VLOOKUP(B1579,gachas!A:C,3)</f>
        <v>フィーバーフェスティバル＜ケプラー、モールス＞</v>
      </c>
      <c r="D1579" s="21">
        <v>10</v>
      </c>
      <c r="E1579" s="2">
        <f t="shared" ref="E1579:E1582" si="352">E1578+1</f>
        <v>37</v>
      </c>
      <c r="F1579" s="2">
        <v>10</v>
      </c>
      <c r="G1579" s="3" t="s">
        <v>1566</v>
      </c>
      <c r="H1579" s="2">
        <v>50</v>
      </c>
      <c r="I1579" s="117">
        <v>451100</v>
      </c>
      <c r="J1579" s="112" t="s">
        <v>1571</v>
      </c>
      <c r="K1579" s="2">
        <v>451100</v>
      </c>
      <c r="L1579" s="2">
        <v>1</v>
      </c>
      <c r="M1579" s="2" t="s">
        <v>1571</v>
      </c>
      <c r="N1579" s="2" t="s">
        <v>1571</v>
      </c>
      <c r="O1579" s="2" t="s">
        <v>118</v>
      </c>
      <c r="P1579" s="2" t="s">
        <v>1078</v>
      </c>
    </row>
    <row r="1580" spans="1:16" ht="22" customHeight="1" x14ac:dyDescent="0.15">
      <c r="A1580" s="10" t="str">
        <f t="shared" si="344"/>
        <v>451_10_38_10_polygon</v>
      </c>
      <c r="B1580" s="2">
        <v>451</v>
      </c>
      <c r="C1580" s="30" t="str">
        <f>VLOOKUP(B1580,gachas!A:C,3)</f>
        <v>フィーバーフェスティバル＜ケプラー、モールス＞</v>
      </c>
      <c r="D1580" s="21">
        <v>10</v>
      </c>
      <c r="E1580" s="2">
        <f t="shared" si="352"/>
        <v>38</v>
      </c>
      <c r="F1580" s="2">
        <v>10</v>
      </c>
      <c r="G1580" s="3" t="s">
        <v>1566</v>
      </c>
      <c r="H1580" s="2">
        <v>50</v>
      </c>
      <c r="I1580" s="117">
        <v>451100</v>
      </c>
      <c r="J1580" s="112" t="s">
        <v>1571</v>
      </c>
      <c r="K1580" s="2">
        <v>451100</v>
      </c>
      <c r="L1580" s="2">
        <v>1</v>
      </c>
      <c r="M1580" s="2" t="s">
        <v>1571</v>
      </c>
      <c r="N1580" s="2" t="s">
        <v>1571</v>
      </c>
      <c r="O1580" s="2" t="s">
        <v>118</v>
      </c>
      <c r="P1580" s="2" t="s">
        <v>1078</v>
      </c>
    </row>
    <row r="1581" spans="1:16" ht="22" customHeight="1" x14ac:dyDescent="0.15">
      <c r="A1581" s="10" t="str">
        <f t="shared" si="344"/>
        <v>451_10_39_10_polygon</v>
      </c>
      <c r="B1581" s="2">
        <v>451</v>
      </c>
      <c r="C1581" s="30" t="str">
        <f>VLOOKUP(B1581,gachas!A:C,3)</f>
        <v>フィーバーフェスティバル＜ケプラー、モールス＞</v>
      </c>
      <c r="D1581" s="21">
        <v>10</v>
      </c>
      <c r="E1581" s="2">
        <f t="shared" si="352"/>
        <v>39</v>
      </c>
      <c r="F1581" s="2">
        <v>10</v>
      </c>
      <c r="G1581" s="3" t="s">
        <v>1566</v>
      </c>
      <c r="H1581" s="2">
        <v>50</v>
      </c>
      <c r="I1581" s="117">
        <v>451100</v>
      </c>
      <c r="J1581" s="112" t="s">
        <v>1571</v>
      </c>
      <c r="K1581" s="2">
        <v>451100</v>
      </c>
      <c r="L1581" s="2">
        <v>1</v>
      </c>
      <c r="M1581" s="2" t="s">
        <v>1571</v>
      </c>
      <c r="N1581" s="2" t="s">
        <v>1571</v>
      </c>
      <c r="O1581" s="2" t="s">
        <v>118</v>
      </c>
      <c r="P1581" s="2" t="s">
        <v>1078</v>
      </c>
    </row>
    <row r="1582" spans="1:16" ht="22" customHeight="1" x14ac:dyDescent="0.15">
      <c r="A1582" s="10" t="str">
        <f t="shared" si="344"/>
        <v>451_10_40_10_polygon</v>
      </c>
      <c r="B1582" s="2">
        <v>451</v>
      </c>
      <c r="C1582" s="30" t="str">
        <f>VLOOKUP(B1582,gachas!A:C,3)</f>
        <v>フィーバーフェスティバル＜ケプラー、モールス＞</v>
      </c>
      <c r="D1582" s="21">
        <v>10</v>
      </c>
      <c r="E1582" s="2">
        <f t="shared" si="352"/>
        <v>40</v>
      </c>
      <c r="F1582" s="2">
        <v>10</v>
      </c>
      <c r="G1582" s="3" t="s">
        <v>1566</v>
      </c>
      <c r="H1582" s="2">
        <v>50</v>
      </c>
      <c r="I1582" s="117">
        <v>451100</v>
      </c>
      <c r="J1582" s="112">
        <v>451105</v>
      </c>
      <c r="K1582" s="2">
        <v>451100</v>
      </c>
      <c r="L1582" s="2">
        <v>1</v>
      </c>
      <c r="M1582" s="2" t="s">
        <v>1571</v>
      </c>
      <c r="N1582" s="2" t="s">
        <v>1571</v>
      </c>
      <c r="O1582" s="2" t="s">
        <v>118</v>
      </c>
      <c r="P1582" s="2" t="s">
        <v>1763</v>
      </c>
    </row>
    <row r="1583" spans="1:16" ht="22" customHeight="1" x14ac:dyDescent="0.15">
      <c r="A1583" s="10" t="str">
        <f t="shared" si="344"/>
        <v>451_10_41_10_polygon</v>
      </c>
      <c r="B1583" s="2">
        <v>451</v>
      </c>
      <c r="C1583" s="30" t="str">
        <f>VLOOKUP(B1583,gachas!A:C,3)</f>
        <v>フィーバーフェスティバル＜ケプラー、モールス＞</v>
      </c>
      <c r="D1583" s="21">
        <v>10</v>
      </c>
      <c r="E1583" s="2">
        <f>E1582+1</f>
        <v>41</v>
      </c>
      <c r="F1583" s="2">
        <v>10</v>
      </c>
      <c r="G1583" s="3" t="s">
        <v>1566</v>
      </c>
      <c r="H1583" s="2">
        <v>50</v>
      </c>
      <c r="I1583" s="117">
        <v>451100</v>
      </c>
      <c r="J1583" s="112" t="s">
        <v>1571</v>
      </c>
      <c r="K1583" s="2">
        <v>451100</v>
      </c>
      <c r="L1583" s="2">
        <v>1</v>
      </c>
      <c r="M1583" s="2" t="s">
        <v>1571</v>
      </c>
      <c r="N1583" s="2" t="s">
        <v>1571</v>
      </c>
      <c r="O1583" s="2" t="s">
        <v>118</v>
      </c>
      <c r="P1583" s="2" t="s">
        <v>1078</v>
      </c>
    </row>
    <row r="1584" spans="1:16" ht="22" customHeight="1" x14ac:dyDescent="0.15">
      <c r="A1584" s="10" t="str">
        <f t="shared" si="344"/>
        <v>451_10_42_10_polygon</v>
      </c>
      <c r="B1584" s="2">
        <v>451</v>
      </c>
      <c r="C1584" s="30" t="str">
        <f>VLOOKUP(B1584,gachas!A:C,3)</f>
        <v>フィーバーフェスティバル＜ケプラー、モールス＞</v>
      </c>
      <c r="D1584" s="21">
        <v>10</v>
      </c>
      <c r="E1584" s="2">
        <f t="shared" ref="E1584:E1587" si="353">E1583+1</f>
        <v>42</v>
      </c>
      <c r="F1584" s="2">
        <v>10</v>
      </c>
      <c r="G1584" s="3" t="s">
        <v>1566</v>
      </c>
      <c r="H1584" s="2">
        <v>50</v>
      </c>
      <c r="I1584" s="117">
        <v>451100</v>
      </c>
      <c r="J1584" s="112" t="s">
        <v>1571</v>
      </c>
      <c r="K1584" s="2">
        <v>451100</v>
      </c>
      <c r="L1584" s="2">
        <v>1</v>
      </c>
      <c r="M1584" s="2" t="s">
        <v>1571</v>
      </c>
      <c r="N1584" s="2" t="s">
        <v>1571</v>
      </c>
      <c r="O1584" s="2" t="s">
        <v>118</v>
      </c>
      <c r="P1584" s="2" t="s">
        <v>1078</v>
      </c>
    </row>
    <row r="1585" spans="1:16" ht="22" customHeight="1" x14ac:dyDescent="0.15">
      <c r="A1585" s="10" t="str">
        <f t="shared" si="344"/>
        <v>451_10_43_10_polygon</v>
      </c>
      <c r="B1585" s="2">
        <v>451</v>
      </c>
      <c r="C1585" s="30" t="str">
        <f>VLOOKUP(B1585,gachas!A:C,3)</f>
        <v>フィーバーフェスティバル＜ケプラー、モールス＞</v>
      </c>
      <c r="D1585" s="21">
        <v>10</v>
      </c>
      <c r="E1585" s="2">
        <f t="shared" si="353"/>
        <v>43</v>
      </c>
      <c r="F1585" s="2">
        <v>10</v>
      </c>
      <c r="G1585" s="3" t="s">
        <v>1566</v>
      </c>
      <c r="H1585" s="2">
        <v>50</v>
      </c>
      <c r="I1585" s="117">
        <v>451100</v>
      </c>
      <c r="J1585" s="112" t="s">
        <v>1571</v>
      </c>
      <c r="K1585" s="2">
        <v>451100</v>
      </c>
      <c r="L1585" s="2">
        <v>1</v>
      </c>
      <c r="M1585" s="2" t="s">
        <v>1571</v>
      </c>
      <c r="N1585" s="2" t="s">
        <v>1571</v>
      </c>
      <c r="O1585" s="2" t="s">
        <v>118</v>
      </c>
      <c r="P1585" s="2" t="s">
        <v>1078</v>
      </c>
    </row>
    <row r="1586" spans="1:16" ht="22" customHeight="1" x14ac:dyDescent="0.15">
      <c r="A1586" s="10" t="str">
        <f t="shared" si="344"/>
        <v>451_10_44_10_polygon</v>
      </c>
      <c r="B1586" s="2">
        <v>451</v>
      </c>
      <c r="C1586" s="30" t="str">
        <f>VLOOKUP(B1586,gachas!A:C,3)</f>
        <v>フィーバーフェスティバル＜ケプラー、モールス＞</v>
      </c>
      <c r="D1586" s="21">
        <v>10</v>
      </c>
      <c r="E1586" s="2">
        <f t="shared" si="353"/>
        <v>44</v>
      </c>
      <c r="F1586" s="2">
        <v>10</v>
      </c>
      <c r="G1586" s="3" t="s">
        <v>1566</v>
      </c>
      <c r="H1586" s="2">
        <v>50</v>
      </c>
      <c r="I1586" s="117">
        <v>451100</v>
      </c>
      <c r="J1586" s="112" t="s">
        <v>1571</v>
      </c>
      <c r="K1586" s="2">
        <v>451100</v>
      </c>
      <c r="L1586" s="2">
        <v>1</v>
      </c>
      <c r="M1586" s="2" t="s">
        <v>1571</v>
      </c>
      <c r="N1586" s="2" t="s">
        <v>1571</v>
      </c>
      <c r="O1586" s="2" t="s">
        <v>118</v>
      </c>
      <c r="P1586" s="2" t="s">
        <v>1078</v>
      </c>
    </row>
    <row r="1587" spans="1:16" ht="22" customHeight="1" x14ac:dyDescent="0.15">
      <c r="A1587" s="10" t="str">
        <f t="shared" si="344"/>
        <v>451_10_45_10_polygon</v>
      </c>
      <c r="B1587" s="2">
        <v>451</v>
      </c>
      <c r="C1587" s="30" t="str">
        <f>VLOOKUP(B1587,gachas!A:C,3)</f>
        <v>フィーバーフェスティバル＜ケプラー、モールス＞</v>
      </c>
      <c r="D1587" s="21">
        <v>10</v>
      </c>
      <c r="E1587" s="2">
        <f t="shared" si="353"/>
        <v>45</v>
      </c>
      <c r="F1587" s="2">
        <v>10</v>
      </c>
      <c r="G1587" s="3" t="s">
        <v>1566</v>
      </c>
      <c r="H1587" s="2">
        <v>50</v>
      </c>
      <c r="I1587" s="117">
        <v>451100</v>
      </c>
      <c r="J1587" s="112">
        <v>451105</v>
      </c>
      <c r="K1587" s="2">
        <v>451100</v>
      </c>
      <c r="L1587" s="2">
        <v>1</v>
      </c>
      <c r="M1587" s="2" t="s">
        <v>1571</v>
      </c>
      <c r="N1587" s="2" t="s">
        <v>1571</v>
      </c>
      <c r="O1587" s="2" t="s">
        <v>118</v>
      </c>
      <c r="P1587" s="2" t="s">
        <v>1763</v>
      </c>
    </row>
    <row r="1588" spans="1:16" ht="22" customHeight="1" x14ac:dyDescent="0.15">
      <c r="A1588" s="10" t="str">
        <f t="shared" si="344"/>
        <v>451_10_46_10_polygon</v>
      </c>
      <c r="B1588" s="2">
        <v>451</v>
      </c>
      <c r="C1588" s="30" t="str">
        <f>VLOOKUP(B1588,gachas!A:C,3)</f>
        <v>フィーバーフェスティバル＜ケプラー、モールス＞</v>
      </c>
      <c r="D1588" s="21">
        <v>10</v>
      </c>
      <c r="E1588" s="2">
        <f>E1587+1</f>
        <v>46</v>
      </c>
      <c r="F1588" s="2">
        <v>10</v>
      </c>
      <c r="G1588" s="3" t="s">
        <v>1566</v>
      </c>
      <c r="H1588" s="2">
        <v>50</v>
      </c>
      <c r="I1588" s="117">
        <v>451100</v>
      </c>
      <c r="J1588" s="112" t="s">
        <v>1571</v>
      </c>
      <c r="K1588" s="2">
        <v>451100</v>
      </c>
      <c r="L1588" s="2">
        <v>1</v>
      </c>
      <c r="M1588" s="2" t="s">
        <v>1571</v>
      </c>
      <c r="N1588" s="2" t="s">
        <v>1571</v>
      </c>
      <c r="O1588" s="2" t="s">
        <v>118</v>
      </c>
      <c r="P1588" s="2" t="s">
        <v>1078</v>
      </c>
    </row>
    <row r="1589" spans="1:16" ht="22" customHeight="1" x14ac:dyDescent="0.15">
      <c r="A1589" s="10" t="str">
        <f t="shared" si="344"/>
        <v>451_10_47_10_polygon</v>
      </c>
      <c r="B1589" s="2">
        <v>451</v>
      </c>
      <c r="C1589" s="30" t="str">
        <f>VLOOKUP(B1589,gachas!A:C,3)</f>
        <v>フィーバーフェスティバル＜ケプラー、モールス＞</v>
      </c>
      <c r="D1589" s="21">
        <v>10</v>
      </c>
      <c r="E1589" s="2">
        <f t="shared" ref="E1589:E1592" si="354">E1588+1</f>
        <v>47</v>
      </c>
      <c r="F1589" s="2">
        <v>10</v>
      </c>
      <c r="G1589" s="3" t="s">
        <v>1566</v>
      </c>
      <c r="H1589" s="2">
        <v>50</v>
      </c>
      <c r="I1589" s="117">
        <v>451100</v>
      </c>
      <c r="J1589" s="112" t="s">
        <v>1571</v>
      </c>
      <c r="K1589" s="2">
        <v>451100</v>
      </c>
      <c r="L1589" s="2">
        <v>1</v>
      </c>
      <c r="M1589" s="2" t="s">
        <v>1571</v>
      </c>
      <c r="N1589" s="2" t="s">
        <v>1571</v>
      </c>
      <c r="O1589" s="2" t="s">
        <v>118</v>
      </c>
      <c r="P1589" s="2" t="s">
        <v>1078</v>
      </c>
    </row>
    <row r="1590" spans="1:16" ht="22" customHeight="1" x14ac:dyDescent="0.15">
      <c r="A1590" s="10" t="str">
        <f t="shared" si="344"/>
        <v>451_10_48_10_polygon</v>
      </c>
      <c r="B1590" s="2">
        <v>451</v>
      </c>
      <c r="C1590" s="30" t="str">
        <f>VLOOKUP(B1590,gachas!A:C,3)</f>
        <v>フィーバーフェスティバル＜ケプラー、モールス＞</v>
      </c>
      <c r="D1590" s="21">
        <v>10</v>
      </c>
      <c r="E1590" s="2">
        <f t="shared" si="354"/>
        <v>48</v>
      </c>
      <c r="F1590" s="2">
        <v>10</v>
      </c>
      <c r="G1590" s="3" t="s">
        <v>1566</v>
      </c>
      <c r="H1590" s="2">
        <v>50</v>
      </c>
      <c r="I1590" s="117">
        <v>451100</v>
      </c>
      <c r="J1590" s="112" t="s">
        <v>1571</v>
      </c>
      <c r="K1590" s="2">
        <v>451100</v>
      </c>
      <c r="L1590" s="2">
        <v>1</v>
      </c>
      <c r="M1590" s="2" t="s">
        <v>1571</v>
      </c>
      <c r="N1590" s="2" t="s">
        <v>1571</v>
      </c>
      <c r="O1590" s="2" t="s">
        <v>118</v>
      </c>
      <c r="P1590" s="2" t="s">
        <v>1078</v>
      </c>
    </row>
    <row r="1591" spans="1:16" ht="22" customHeight="1" x14ac:dyDescent="0.15">
      <c r="A1591" s="10" t="str">
        <f t="shared" si="344"/>
        <v>451_10_49_10_polygon</v>
      </c>
      <c r="B1591" s="2">
        <v>451</v>
      </c>
      <c r="C1591" s="30" t="str">
        <f>VLOOKUP(B1591,gachas!A:C,3)</f>
        <v>フィーバーフェスティバル＜ケプラー、モールス＞</v>
      </c>
      <c r="D1591" s="21">
        <v>10</v>
      </c>
      <c r="E1591" s="2">
        <f t="shared" si="354"/>
        <v>49</v>
      </c>
      <c r="F1591" s="2">
        <v>10</v>
      </c>
      <c r="G1591" s="3" t="s">
        <v>1566</v>
      </c>
      <c r="H1591" s="2">
        <v>50</v>
      </c>
      <c r="I1591" s="117">
        <v>451100</v>
      </c>
      <c r="J1591" s="112" t="s">
        <v>1571</v>
      </c>
      <c r="K1591" s="2">
        <v>451100</v>
      </c>
      <c r="L1591" s="2">
        <v>1</v>
      </c>
      <c r="M1591" s="2" t="s">
        <v>1571</v>
      </c>
      <c r="N1591" s="2" t="s">
        <v>1571</v>
      </c>
      <c r="O1591" s="2" t="s">
        <v>118</v>
      </c>
      <c r="P1591" s="2" t="s">
        <v>1078</v>
      </c>
    </row>
    <row r="1592" spans="1:16" ht="22" customHeight="1" x14ac:dyDescent="0.15">
      <c r="A1592" s="10" t="str">
        <f t="shared" si="344"/>
        <v>451_10_50_10_polygon</v>
      </c>
      <c r="B1592" s="2">
        <v>451</v>
      </c>
      <c r="C1592" s="30" t="str">
        <f>VLOOKUP(B1592,gachas!A:C,3)</f>
        <v>フィーバーフェスティバル＜ケプラー、モールス＞</v>
      </c>
      <c r="D1592" s="21">
        <v>10</v>
      </c>
      <c r="E1592" s="2">
        <f t="shared" si="354"/>
        <v>50</v>
      </c>
      <c r="F1592" s="2">
        <v>10</v>
      </c>
      <c r="G1592" s="3" t="s">
        <v>1566</v>
      </c>
      <c r="H1592" s="2">
        <v>50</v>
      </c>
      <c r="I1592" s="117">
        <v>451100</v>
      </c>
      <c r="J1592" s="112">
        <v>451105</v>
      </c>
      <c r="K1592" s="2">
        <v>451100</v>
      </c>
      <c r="L1592" s="2">
        <v>1</v>
      </c>
      <c r="M1592" s="2" t="s">
        <v>1571</v>
      </c>
      <c r="N1592" s="2" t="s">
        <v>1571</v>
      </c>
      <c r="O1592" s="2" t="s">
        <v>118</v>
      </c>
      <c r="P1592" s="2" t="s">
        <v>1763</v>
      </c>
    </row>
    <row r="1593" spans="1:16" ht="22" customHeight="1" x14ac:dyDescent="0.15">
      <c r="A1593" s="10" t="str">
        <f t="shared" si="319"/>
        <v>452_1_0_1_polygon</v>
      </c>
      <c r="B1593" s="2">
        <v>452</v>
      </c>
      <c r="C1593" s="30" t="str">
        <f>VLOOKUP(B1593,gachas!A:C,3)</f>
        <v>フィーバーフェスティバル＜ケプラー、フィボナッチ＞</v>
      </c>
      <c r="D1593" s="21">
        <v>1</v>
      </c>
      <c r="E1593" s="2">
        <v>0</v>
      </c>
      <c r="F1593" s="2">
        <v>1</v>
      </c>
      <c r="G1593" s="3" t="s">
        <v>1566</v>
      </c>
      <c r="H1593" s="2">
        <v>5</v>
      </c>
      <c r="I1593" s="117">
        <v>452010</v>
      </c>
      <c r="J1593" s="112" t="s">
        <v>1571</v>
      </c>
      <c r="K1593" s="2" t="s">
        <v>86</v>
      </c>
      <c r="L1593" s="2">
        <v>0</v>
      </c>
      <c r="M1593" s="2" t="s">
        <v>1571</v>
      </c>
      <c r="N1593" s="2" t="s">
        <v>1571</v>
      </c>
      <c r="O1593" s="2" t="s">
        <v>118</v>
      </c>
      <c r="P1593" s="2" t="s">
        <v>1959</v>
      </c>
    </row>
    <row r="1594" spans="1:16" ht="22" customHeight="1" x14ac:dyDescent="0.15">
      <c r="A1594" s="10" t="str">
        <f t="shared" si="319"/>
        <v>452_10_0_10_polygon</v>
      </c>
      <c r="B1594" s="2">
        <v>452</v>
      </c>
      <c r="C1594" s="30" t="str">
        <f>VLOOKUP(B1594,gachas!A:C,3)</f>
        <v>フィーバーフェスティバル＜ケプラー、フィボナッチ＞</v>
      </c>
      <c r="D1594" s="21">
        <v>10</v>
      </c>
      <c r="E1594" s="2">
        <v>0</v>
      </c>
      <c r="F1594" s="2">
        <v>10</v>
      </c>
      <c r="G1594" s="3" t="s">
        <v>1566</v>
      </c>
      <c r="H1594" s="2">
        <v>50</v>
      </c>
      <c r="I1594" s="117">
        <v>452100</v>
      </c>
      <c r="J1594" s="112" t="s">
        <v>1571</v>
      </c>
      <c r="K1594" s="2">
        <v>452100</v>
      </c>
      <c r="L1594" s="2">
        <v>1</v>
      </c>
      <c r="M1594" s="2" t="s">
        <v>1571</v>
      </c>
      <c r="N1594" s="2" t="s">
        <v>1571</v>
      </c>
      <c r="O1594" s="2" t="s">
        <v>118</v>
      </c>
      <c r="P1594" s="2" t="s">
        <v>1078</v>
      </c>
    </row>
    <row r="1595" spans="1:16" ht="22" customHeight="1" x14ac:dyDescent="0.15">
      <c r="A1595" s="10" t="str">
        <f t="shared" ref="A1595:A1644" si="355">B1595&amp;"_"&amp;D1595&amp;"_"&amp;E1595&amp;"_"&amp;F1595&amp;"_"&amp;G1595</f>
        <v>452_10_1_10_polygon</v>
      </c>
      <c r="B1595" s="2">
        <v>452</v>
      </c>
      <c r="C1595" s="30" t="str">
        <f>VLOOKUP(B1595,gachas!A:C,3)</f>
        <v>フィーバーフェスティバル＜ケプラー、フィボナッチ＞</v>
      </c>
      <c r="D1595" s="21">
        <v>10</v>
      </c>
      <c r="E1595" s="2">
        <f>E1594+1</f>
        <v>1</v>
      </c>
      <c r="F1595" s="2">
        <v>10</v>
      </c>
      <c r="G1595" s="3" t="s">
        <v>1566</v>
      </c>
      <c r="H1595" s="2">
        <v>50</v>
      </c>
      <c r="I1595" s="117">
        <v>452100</v>
      </c>
      <c r="J1595" s="112" t="s">
        <v>1571</v>
      </c>
      <c r="K1595" s="2">
        <v>452100</v>
      </c>
      <c r="L1595" s="2">
        <v>1</v>
      </c>
      <c r="M1595" s="2" t="s">
        <v>1571</v>
      </c>
      <c r="N1595" s="2" t="s">
        <v>1571</v>
      </c>
      <c r="O1595" s="2" t="s">
        <v>118</v>
      </c>
      <c r="P1595" s="2" t="s">
        <v>1078</v>
      </c>
    </row>
    <row r="1596" spans="1:16" ht="22" customHeight="1" x14ac:dyDescent="0.15">
      <c r="A1596" s="10" t="str">
        <f t="shared" si="355"/>
        <v>452_10_2_10_polygon</v>
      </c>
      <c r="B1596" s="2">
        <v>452</v>
      </c>
      <c r="C1596" s="30" t="str">
        <f>VLOOKUP(B1596,gachas!A:C,3)</f>
        <v>フィーバーフェスティバル＜ケプラー、フィボナッチ＞</v>
      </c>
      <c r="D1596" s="21">
        <v>10</v>
      </c>
      <c r="E1596" s="2">
        <f t="shared" ref="E1596:E1599" si="356">E1595+1</f>
        <v>2</v>
      </c>
      <c r="F1596" s="2">
        <v>10</v>
      </c>
      <c r="G1596" s="3" t="s">
        <v>1566</v>
      </c>
      <c r="H1596" s="2">
        <v>50</v>
      </c>
      <c r="I1596" s="117">
        <v>452100</v>
      </c>
      <c r="J1596" s="112" t="s">
        <v>1571</v>
      </c>
      <c r="K1596" s="2">
        <v>452100</v>
      </c>
      <c r="L1596" s="2">
        <v>1</v>
      </c>
      <c r="M1596" s="2" t="s">
        <v>1571</v>
      </c>
      <c r="N1596" s="2" t="s">
        <v>1571</v>
      </c>
      <c r="O1596" s="2" t="s">
        <v>118</v>
      </c>
      <c r="P1596" s="2" t="s">
        <v>1078</v>
      </c>
    </row>
    <row r="1597" spans="1:16" ht="22" customHeight="1" x14ac:dyDescent="0.15">
      <c r="A1597" s="10" t="str">
        <f t="shared" si="355"/>
        <v>452_10_3_10_polygon</v>
      </c>
      <c r="B1597" s="2">
        <v>452</v>
      </c>
      <c r="C1597" s="30" t="str">
        <f>VLOOKUP(B1597,gachas!A:C,3)</f>
        <v>フィーバーフェスティバル＜ケプラー、フィボナッチ＞</v>
      </c>
      <c r="D1597" s="21">
        <v>10</v>
      </c>
      <c r="E1597" s="2">
        <f t="shared" si="356"/>
        <v>3</v>
      </c>
      <c r="F1597" s="2">
        <v>10</v>
      </c>
      <c r="G1597" s="3" t="s">
        <v>1566</v>
      </c>
      <c r="H1597" s="2">
        <v>50</v>
      </c>
      <c r="I1597" s="117">
        <v>452100</v>
      </c>
      <c r="J1597" s="112" t="s">
        <v>1571</v>
      </c>
      <c r="K1597" s="2">
        <v>452100</v>
      </c>
      <c r="L1597" s="2">
        <v>1</v>
      </c>
      <c r="M1597" s="2" t="s">
        <v>1571</v>
      </c>
      <c r="N1597" s="2" t="s">
        <v>1571</v>
      </c>
      <c r="O1597" s="2" t="s">
        <v>118</v>
      </c>
      <c r="P1597" s="2" t="s">
        <v>1078</v>
      </c>
    </row>
    <row r="1598" spans="1:16" ht="22" customHeight="1" x14ac:dyDescent="0.15">
      <c r="A1598" s="10" t="str">
        <f t="shared" si="355"/>
        <v>452_10_4_10_polygon</v>
      </c>
      <c r="B1598" s="2">
        <v>452</v>
      </c>
      <c r="C1598" s="30" t="str">
        <f>VLOOKUP(B1598,gachas!A:C,3)</f>
        <v>フィーバーフェスティバル＜ケプラー、フィボナッチ＞</v>
      </c>
      <c r="D1598" s="21">
        <v>10</v>
      </c>
      <c r="E1598" s="2">
        <f t="shared" si="356"/>
        <v>4</v>
      </c>
      <c r="F1598" s="2">
        <v>10</v>
      </c>
      <c r="G1598" s="3" t="s">
        <v>1566</v>
      </c>
      <c r="H1598" s="2">
        <v>50</v>
      </c>
      <c r="I1598" s="117">
        <v>452100</v>
      </c>
      <c r="J1598" s="112" t="s">
        <v>1571</v>
      </c>
      <c r="K1598" s="2">
        <v>452100</v>
      </c>
      <c r="L1598" s="2">
        <v>1</v>
      </c>
      <c r="M1598" s="2" t="s">
        <v>1571</v>
      </c>
      <c r="N1598" s="2" t="s">
        <v>1571</v>
      </c>
      <c r="O1598" s="2" t="s">
        <v>118</v>
      </c>
      <c r="P1598" s="2" t="s">
        <v>1078</v>
      </c>
    </row>
    <row r="1599" spans="1:16" ht="22" customHeight="1" x14ac:dyDescent="0.15">
      <c r="A1599" s="10" t="str">
        <f t="shared" si="355"/>
        <v>452_10_5_10_polygon</v>
      </c>
      <c r="B1599" s="2">
        <v>452</v>
      </c>
      <c r="C1599" s="30" t="str">
        <f>VLOOKUP(B1599,gachas!A:C,3)</f>
        <v>フィーバーフェスティバル＜ケプラー、フィボナッチ＞</v>
      </c>
      <c r="D1599" s="21">
        <v>10</v>
      </c>
      <c r="E1599" s="2">
        <f t="shared" si="356"/>
        <v>5</v>
      </c>
      <c r="F1599" s="2">
        <v>10</v>
      </c>
      <c r="G1599" s="3" t="s">
        <v>1566</v>
      </c>
      <c r="H1599" s="2">
        <v>50</v>
      </c>
      <c r="I1599" s="117">
        <v>452100</v>
      </c>
      <c r="J1599" s="112">
        <v>452105</v>
      </c>
      <c r="K1599" s="2">
        <v>452100</v>
      </c>
      <c r="L1599" s="2">
        <v>1</v>
      </c>
      <c r="M1599" s="2" t="s">
        <v>1571</v>
      </c>
      <c r="N1599" s="2" t="s">
        <v>1571</v>
      </c>
      <c r="O1599" s="2" t="s">
        <v>118</v>
      </c>
      <c r="P1599" s="2" t="s">
        <v>1763</v>
      </c>
    </row>
    <row r="1600" spans="1:16" ht="22" customHeight="1" x14ac:dyDescent="0.15">
      <c r="A1600" s="10" t="str">
        <f t="shared" si="355"/>
        <v>452_10_6_10_polygon</v>
      </c>
      <c r="B1600" s="2">
        <v>452</v>
      </c>
      <c r="C1600" s="30" t="str">
        <f>VLOOKUP(B1600,gachas!A:C,3)</f>
        <v>フィーバーフェスティバル＜ケプラー、フィボナッチ＞</v>
      </c>
      <c r="D1600" s="21">
        <v>10</v>
      </c>
      <c r="E1600" s="2">
        <f>E1599+1</f>
        <v>6</v>
      </c>
      <c r="F1600" s="2">
        <v>10</v>
      </c>
      <c r="G1600" s="3" t="s">
        <v>1566</v>
      </c>
      <c r="H1600" s="2">
        <v>50</v>
      </c>
      <c r="I1600" s="117">
        <v>452100</v>
      </c>
      <c r="J1600" s="112" t="s">
        <v>1571</v>
      </c>
      <c r="K1600" s="2">
        <v>452100</v>
      </c>
      <c r="L1600" s="2">
        <v>1</v>
      </c>
      <c r="M1600" s="2" t="s">
        <v>1571</v>
      </c>
      <c r="N1600" s="2" t="s">
        <v>1571</v>
      </c>
      <c r="O1600" s="2" t="s">
        <v>118</v>
      </c>
      <c r="P1600" s="2" t="s">
        <v>1078</v>
      </c>
    </row>
    <row r="1601" spans="1:16" ht="22" customHeight="1" x14ac:dyDescent="0.15">
      <c r="A1601" s="10" t="str">
        <f t="shared" si="355"/>
        <v>452_10_7_10_polygon</v>
      </c>
      <c r="B1601" s="2">
        <v>452</v>
      </c>
      <c r="C1601" s="30" t="str">
        <f>VLOOKUP(B1601,gachas!A:C,3)</f>
        <v>フィーバーフェスティバル＜ケプラー、フィボナッチ＞</v>
      </c>
      <c r="D1601" s="21">
        <v>10</v>
      </c>
      <c r="E1601" s="2">
        <f t="shared" ref="E1601:E1604" si="357">E1600+1</f>
        <v>7</v>
      </c>
      <c r="F1601" s="2">
        <v>10</v>
      </c>
      <c r="G1601" s="3" t="s">
        <v>1566</v>
      </c>
      <c r="H1601" s="2">
        <v>50</v>
      </c>
      <c r="I1601" s="117">
        <v>452100</v>
      </c>
      <c r="J1601" s="112" t="s">
        <v>1571</v>
      </c>
      <c r="K1601" s="2">
        <v>452100</v>
      </c>
      <c r="L1601" s="2">
        <v>1</v>
      </c>
      <c r="M1601" s="2" t="s">
        <v>1571</v>
      </c>
      <c r="N1601" s="2" t="s">
        <v>1571</v>
      </c>
      <c r="O1601" s="2" t="s">
        <v>118</v>
      </c>
      <c r="P1601" s="2" t="s">
        <v>1078</v>
      </c>
    </row>
    <row r="1602" spans="1:16" ht="22" customHeight="1" x14ac:dyDescent="0.15">
      <c r="A1602" s="10" t="str">
        <f t="shared" si="355"/>
        <v>452_10_8_10_polygon</v>
      </c>
      <c r="B1602" s="2">
        <v>452</v>
      </c>
      <c r="C1602" s="30" t="str">
        <f>VLOOKUP(B1602,gachas!A:C,3)</f>
        <v>フィーバーフェスティバル＜ケプラー、フィボナッチ＞</v>
      </c>
      <c r="D1602" s="21">
        <v>10</v>
      </c>
      <c r="E1602" s="2">
        <f t="shared" si="357"/>
        <v>8</v>
      </c>
      <c r="F1602" s="2">
        <v>10</v>
      </c>
      <c r="G1602" s="3" t="s">
        <v>1566</v>
      </c>
      <c r="H1602" s="2">
        <v>50</v>
      </c>
      <c r="I1602" s="117">
        <v>452100</v>
      </c>
      <c r="J1602" s="112" t="s">
        <v>1571</v>
      </c>
      <c r="K1602" s="2">
        <v>452100</v>
      </c>
      <c r="L1602" s="2">
        <v>1</v>
      </c>
      <c r="M1602" s="2" t="s">
        <v>1571</v>
      </c>
      <c r="N1602" s="2" t="s">
        <v>1571</v>
      </c>
      <c r="O1602" s="2" t="s">
        <v>118</v>
      </c>
      <c r="P1602" s="2" t="s">
        <v>1078</v>
      </c>
    </row>
    <row r="1603" spans="1:16" ht="22" customHeight="1" x14ac:dyDescent="0.15">
      <c r="A1603" s="10" t="str">
        <f t="shared" si="355"/>
        <v>452_10_9_10_polygon</v>
      </c>
      <c r="B1603" s="2">
        <v>452</v>
      </c>
      <c r="C1603" s="30" t="str">
        <f>VLOOKUP(B1603,gachas!A:C,3)</f>
        <v>フィーバーフェスティバル＜ケプラー、フィボナッチ＞</v>
      </c>
      <c r="D1603" s="21">
        <v>10</v>
      </c>
      <c r="E1603" s="2">
        <f t="shared" si="357"/>
        <v>9</v>
      </c>
      <c r="F1603" s="2">
        <v>10</v>
      </c>
      <c r="G1603" s="3" t="s">
        <v>1566</v>
      </c>
      <c r="H1603" s="2">
        <v>50</v>
      </c>
      <c r="I1603" s="117">
        <v>452100</v>
      </c>
      <c r="J1603" s="112" t="s">
        <v>1571</v>
      </c>
      <c r="K1603" s="2">
        <v>452100</v>
      </c>
      <c r="L1603" s="2">
        <v>1</v>
      </c>
      <c r="M1603" s="2" t="s">
        <v>1571</v>
      </c>
      <c r="N1603" s="2" t="s">
        <v>1571</v>
      </c>
      <c r="O1603" s="2" t="s">
        <v>118</v>
      </c>
      <c r="P1603" s="2" t="s">
        <v>1078</v>
      </c>
    </row>
    <row r="1604" spans="1:16" ht="22" customHeight="1" x14ac:dyDescent="0.15">
      <c r="A1604" s="10" t="str">
        <f t="shared" si="355"/>
        <v>452_10_10_10_polygon</v>
      </c>
      <c r="B1604" s="2">
        <v>452</v>
      </c>
      <c r="C1604" s="30" t="str">
        <f>VLOOKUP(B1604,gachas!A:C,3)</f>
        <v>フィーバーフェスティバル＜ケプラー、フィボナッチ＞</v>
      </c>
      <c r="D1604" s="21">
        <v>10</v>
      </c>
      <c r="E1604" s="2">
        <f t="shared" si="357"/>
        <v>10</v>
      </c>
      <c r="F1604" s="2">
        <v>10</v>
      </c>
      <c r="G1604" s="3" t="s">
        <v>1566</v>
      </c>
      <c r="H1604" s="2">
        <v>50</v>
      </c>
      <c r="I1604" s="117">
        <v>452100</v>
      </c>
      <c r="J1604" s="112">
        <v>452105</v>
      </c>
      <c r="K1604" s="2">
        <v>452100</v>
      </c>
      <c r="L1604" s="2">
        <v>1</v>
      </c>
      <c r="M1604" s="2" t="s">
        <v>1571</v>
      </c>
      <c r="N1604" s="2" t="s">
        <v>1571</v>
      </c>
      <c r="O1604" s="2" t="s">
        <v>118</v>
      </c>
      <c r="P1604" s="2" t="s">
        <v>1763</v>
      </c>
    </row>
    <row r="1605" spans="1:16" ht="22" customHeight="1" x14ac:dyDescent="0.15">
      <c r="A1605" s="10" t="str">
        <f t="shared" si="355"/>
        <v>452_10_11_10_polygon</v>
      </c>
      <c r="B1605" s="2">
        <v>452</v>
      </c>
      <c r="C1605" s="30" t="str">
        <f>VLOOKUP(B1605,gachas!A:C,3)</f>
        <v>フィーバーフェスティバル＜ケプラー、フィボナッチ＞</v>
      </c>
      <c r="D1605" s="21">
        <v>10</v>
      </c>
      <c r="E1605" s="2">
        <f>E1604+1</f>
        <v>11</v>
      </c>
      <c r="F1605" s="2">
        <v>10</v>
      </c>
      <c r="G1605" s="3" t="s">
        <v>1566</v>
      </c>
      <c r="H1605" s="2">
        <v>50</v>
      </c>
      <c r="I1605" s="117">
        <v>452100</v>
      </c>
      <c r="J1605" s="112" t="s">
        <v>1571</v>
      </c>
      <c r="K1605" s="2">
        <v>452100</v>
      </c>
      <c r="L1605" s="2">
        <v>1</v>
      </c>
      <c r="M1605" s="2" t="s">
        <v>1571</v>
      </c>
      <c r="N1605" s="2" t="s">
        <v>1571</v>
      </c>
      <c r="O1605" s="2" t="s">
        <v>118</v>
      </c>
      <c r="P1605" s="2" t="s">
        <v>1078</v>
      </c>
    </row>
    <row r="1606" spans="1:16" ht="22" customHeight="1" x14ac:dyDescent="0.15">
      <c r="A1606" s="10" t="str">
        <f t="shared" si="355"/>
        <v>452_10_12_10_polygon</v>
      </c>
      <c r="B1606" s="2">
        <v>452</v>
      </c>
      <c r="C1606" s="30" t="str">
        <f>VLOOKUP(B1606,gachas!A:C,3)</f>
        <v>フィーバーフェスティバル＜ケプラー、フィボナッチ＞</v>
      </c>
      <c r="D1606" s="21">
        <v>10</v>
      </c>
      <c r="E1606" s="2">
        <f t="shared" ref="E1606:E1609" si="358">E1605+1</f>
        <v>12</v>
      </c>
      <c r="F1606" s="2">
        <v>10</v>
      </c>
      <c r="G1606" s="3" t="s">
        <v>1566</v>
      </c>
      <c r="H1606" s="2">
        <v>50</v>
      </c>
      <c r="I1606" s="117">
        <v>452100</v>
      </c>
      <c r="J1606" s="112" t="s">
        <v>1571</v>
      </c>
      <c r="K1606" s="2">
        <v>452100</v>
      </c>
      <c r="L1606" s="2">
        <v>1</v>
      </c>
      <c r="M1606" s="2" t="s">
        <v>1571</v>
      </c>
      <c r="N1606" s="2" t="s">
        <v>1571</v>
      </c>
      <c r="O1606" s="2" t="s">
        <v>118</v>
      </c>
      <c r="P1606" s="2" t="s">
        <v>1078</v>
      </c>
    </row>
    <row r="1607" spans="1:16" ht="22" customHeight="1" x14ac:dyDescent="0.15">
      <c r="A1607" s="10" t="str">
        <f t="shared" si="355"/>
        <v>452_10_13_10_polygon</v>
      </c>
      <c r="B1607" s="2">
        <v>452</v>
      </c>
      <c r="C1607" s="30" t="str">
        <f>VLOOKUP(B1607,gachas!A:C,3)</f>
        <v>フィーバーフェスティバル＜ケプラー、フィボナッチ＞</v>
      </c>
      <c r="D1607" s="21">
        <v>10</v>
      </c>
      <c r="E1607" s="2">
        <f t="shared" si="358"/>
        <v>13</v>
      </c>
      <c r="F1607" s="2">
        <v>10</v>
      </c>
      <c r="G1607" s="3" t="s">
        <v>1566</v>
      </c>
      <c r="H1607" s="2">
        <v>50</v>
      </c>
      <c r="I1607" s="117">
        <v>452100</v>
      </c>
      <c r="J1607" s="112" t="s">
        <v>1571</v>
      </c>
      <c r="K1607" s="2">
        <v>452100</v>
      </c>
      <c r="L1607" s="2">
        <v>1</v>
      </c>
      <c r="M1607" s="2" t="s">
        <v>1571</v>
      </c>
      <c r="N1607" s="2" t="s">
        <v>1571</v>
      </c>
      <c r="O1607" s="2" t="s">
        <v>118</v>
      </c>
      <c r="P1607" s="2" t="s">
        <v>1078</v>
      </c>
    </row>
    <row r="1608" spans="1:16" ht="22" customHeight="1" x14ac:dyDescent="0.15">
      <c r="A1608" s="10" t="str">
        <f t="shared" si="355"/>
        <v>452_10_14_10_polygon</v>
      </c>
      <c r="B1608" s="2">
        <v>452</v>
      </c>
      <c r="C1608" s="30" t="str">
        <f>VLOOKUP(B1608,gachas!A:C,3)</f>
        <v>フィーバーフェスティバル＜ケプラー、フィボナッチ＞</v>
      </c>
      <c r="D1608" s="21">
        <v>10</v>
      </c>
      <c r="E1608" s="2">
        <f t="shared" si="358"/>
        <v>14</v>
      </c>
      <c r="F1608" s="2">
        <v>10</v>
      </c>
      <c r="G1608" s="3" t="s">
        <v>1566</v>
      </c>
      <c r="H1608" s="2">
        <v>50</v>
      </c>
      <c r="I1608" s="117">
        <v>452100</v>
      </c>
      <c r="J1608" s="112" t="s">
        <v>1571</v>
      </c>
      <c r="K1608" s="2">
        <v>452100</v>
      </c>
      <c r="L1608" s="2">
        <v>1</v>
      </c>
      <c r="M1608" s="2" t="s">
        <v>1571</v>
      </c>
      <c r="N1608" s="2" t="s">
        <v>1571</v>
      </c>
      <c r="O1608" s="2" t="s">
        <v>118</v>
      </c>
      <c r="P1608" s="2" t="s">
        <v>1078</v>
      </c>
    </row>
    <row r="1609" spans="1:16" ht="22" customHeight="1" x14ac:dyDescent="0.15">
      <c r="A1609" s="10" t="str">
        <f t="shared" si="355"/>
        <v>452_10_15_10_polygon</v>
      </c>
      <c r="B1609" s="2">
        <v>452</v>
      </c>
      <c r="C1609" s="30" t="str">
        <f>VLOOKUP(B1609,gachas!A:C,3)</f>
        <v>フィーバーフェスティバル＜ケプラー、フィボナッチ＞</v>
      </c>
      <c r="D1609" s="21">
        <v>10</v>
      </c>
      <c r="E1609" s="2">
        <f t="shared" si="358"/>
        <v>15</v>
      </c>
      <c r="F1609" s="2">
        <v>10</v>
      </c>
      <c r="G1609" s="3" t="s">
        <v>1566</v>
      </c>
      <c r="H1609" s="2">
        <v>50</v>
      </c>
      <c r="I1609" s="117">
        <v>452100</v>
      </c>
      <c r="J1609" s="112">
        <v>452105</v>
      </c>
      <c r="K1609" s="2">
        <v>452100</v>
      </c>
      <c r="L1609" s="2">
        <v>1</v>
      </c>
      <c r="M1609" s="2" t="s">
        <v>1571</v>
      </c>
      <c r="N1609" s="2" t="s">
        <v>1571</v>
      </c>
      <c r="O1609" s="2" t="s">
        <v>118</v>
      </c>
      <c r="P1609" s="2" t="s">
        <v>1763</v>
      </c>
    </row>
    <row r="1610" spans="1:16" ht="22" customHeight="1" x14ac:dyDescent="0.15">
      <c r="A1610" s="10" t="str">
        <f t="shared" si="355"/>
        <v>452_10_16_10_polygon</v>
      </c>
      <c r="B1610" s="2">
        <v>452</v>
      </c>
      <c r="C1610" s="30" t="str">
        <f>VLOOKUP(B1610,gachas!A:C,3)</f>
        <v>フィーバーフェスティバル＜ケプラー、フィボナッチ＞</v>
      </c>
      <c r="D1610" s="21">
        <v>10</v>
      </c>
      <c r="E1610" s="2">
        <f>E1609+1</f>
        <v>16</v>
      </c>
      <c r="F1610" s="2">
        <v>10</v>
      </c>
      <c r="G1610" s="3" t="s">
        <v>1566</v>
      </c>
      <c r="H1610" s="2">
        <v>50</v>
      </c>
      <c r="I1610" s="117">
        <v>452100</v>
      </c>
      <c r="J1610" s="112" t="s">
        <v>1571</v>
      </c>
      <c r="K1610" s="2">
        <v>452100</v>
      </c>
      <c r="L1610" s="2">
        <v>1</v>
      </c>
      <c r="M1610" s="2" t="s">
        <v>1571</v>
      </c>
      <c r="N1610" s="2" t="s">
        <v>1571</v>
      </c>
      <c r="O1610" s="2" t="s">
        <v>118</v>
      </c>
      <c r="P1610" s="2" t="s">
        <v>1078</v>
      </c>
    </row>
    <row r="1611" spans="1:16" ht="22" customHeight="1" x14ac:dyDescent="0.15">
      <c r="A1611" s="10" t="str">
        <f t="shared" si="355"/>
        <v>452_10_17_10_polygon</v>
      </c>
      <c r="B1611" s="2">
        <v>452</v>
      </c>
      <c r="C1611" s="30" t="str">
        <f>VLOOKUP(B1611,gachas!A:C,3)</f>
        <v>フィーバーフェスティバル＜ケプラー、フィボナッチ＞</v>
      </c>
      <c r="D1611" s="21">
        <v>10</v>
      </c>
      <c r="E1611" s="2">
        <f t="shared" ref="E1611:E1614" si="359">E1610+1</f>
        <v>17</v>
      </c>
      <c r="F1611" s="2">
        <v>10</v>
      </c>
      <c r="G1611" s="3" t="s">
        <v>1566</v>
      </c>
      <c r="H1611" s="2">
        <v>50</v>
      </c>
      <c r="I1611" s="117">
        <v>452100</v>
      </c>
      <c r="J1611" s="112" t="s">
        <v>1571</v>
      </c>
      <c r="K1611" s="2">
        <v>452100</v>
      </c>
      <c r="L1611" s="2">
        <v>1</v>
      </c>
      <c r="M1611" s="2" t="s">
        <v>1571</v>
      </c>
      <c r="N1611" s="2" t="s">
        <v>1571</v>
      </c>
      <c r="O1611" s="2" t="s">
        <v>118</v>
      </c>
      <c r="P1611" s="2" t="s">
        <v>1078</v>
      </c>
    </row>
    <row r="1612" spans="1:16" ht="22" customHeight="1" x14ac:dyDescent="0.15">
      <c r="A1612" s="10" t="str">
        <f t="shared" si="355"/>
        <v>452_10_18_10_polygon</v>
      </c>
      <c r="B1612" s="2">
        <v>452</v>
      </c>
      <c r="C1612" s="30" t="str">
        <f>VLOOKUP(B1612,gachas!A:C,3)</f>
        <v>フィーバーフェスティバル＜ケプラー、フィボナッチ＞</v>
      </c>
      <c r="D1612" s="21">
        <v>10</v>
      </c>
      <c r="E1612" s="2">
        <f t="shared" si="359"/>
        <v>18</v>
      </c>
      <c r="F1612" s="2">
        <v>10</v>
      </c>
      <c r="G1612" s="3" t="s">
        <v>1566</v>
      </c>
      <c r="H1612" s="2">
        <v>50</v>
      </c>
      <c r="I1612" s="117">
        <v>452100</v>
      </c>
      <c r="J1612" s="112" t="s">
        <v>1571</v>
      </c>
      <c r="K1612" s="2">
        <v>452100</v>
      </c>
      <c r="L1612" s="2">
        <v>1</v>
      </c>
      <c r="M1612" s="2" t="s">
        <v>1571</v>
      </c>
      <c r="N1612" s="2" t="s">
        <v>1571</v>
      </c>
      <c r="O1612" s="2" t="s">
        <v>118</v>
      </c>
      <c r="P1612" s="2" t="s">
        <v>1078</v>
      </c>
    </row>
    <row r="1613" spans="1:16" ht="22" customHeight="1" x14ac:dyDescent="0.15">
      <c r="A1613" s="10" t="str">
        <f t="shared" si="355"/>
        <v>452_10_19_10_polygon</v>
      </c>
      <c r="B1613" s="2">
        <v>452</v>
      </c>
      <c r="C1613" s="30" t="str">
        <f>VLOOKUP(B1613,gachas!A:C,3)</f>
        <v>フィーバーフェスティバル＜ケプラー、フィボナッチ＞</v>
      </c>
      <c r="D1613" s="21">
        <v>10</v>
      </c>
      <c r="E1613" s="2">
        <f t="shared" si="359"/>
        <v>19</v>
      </c>
      <c r="F1613" s="2">
        <v>10</v>
      </c>
      <c r="G1613" s="3" t="s">
        <v>1566</v>
      </c>
      <c r="H1613" s="2">
        <v>50</v>
      </c>
      <c r="I1613" s="117">
        <v>452100</v>
      </c>
      <c r="J1613" s="112" t="s">
        <v>1571</v>
      </c>
      <c r="K1613" s="2">
        <v>452100</v>
      </c>
      <c r="L1613" s="2">
        <v>1</v>
      </c>
      <c r="M1613" s="2" t="s">
        <v>1571</v>
      </c>
      <c r="N1613" s="2" t="s">
        <v>1571</v>
      </c>
      <c r="O1613" s="2" t="s">
        <v>118</v>
      </c>
      <c r="P1613" s="2" t="s">
        <v>1078</v>
      </c>
    </row>
    <row r="1614" spans="1:16" ht="22" customHeight="1" x14ac:dyDescent="0.15">
      <c r="A1614" s="10" t="str">
        <f t="shared" si="355"/>
        <v>452_10_20_10_polygon</v>
      </c>
      <c r="B1614" s="2">
        <v>452</v>
      </c>
      <c r="C1614" s="30" t="str">
        <f>VLOOKUP(B1614,gachas!A:C,3)</f>
        <v>フィーバーフェスティバル＜ケプラー、フィボナッチ＞</v>
      </c>
      <c r="D1614" s="21">
        <v>10</v>
      </c>
      <c r="E1614" s="2">
        <f t="shared" si="359"/>
        <v>20</v>
      </c>
      <c r="F1614" s="2">
        <v>10</v>
      </c>
      <c r="G1614" s="3" t="s">
        <v>1566</v>
      </c>
      <c r="H1614" s="2">
        <v>50</v>
      </c>
      <c r="I1614" s="117">
        <v>452100</v>
      </c>
      <c r="J1614" s="112">
        <v>452105</v>
      </c>
      <c r="K1614" s="2">
        <v>452100</v>
      </c>
      <c r="L1614" s="2">
        <v>1</v>
      </c>
      <c r="M1614" s="2" t="s">
        <v>1571</v>
      </c>
      <c r="N1614" s="2" t="s">
        <v>1571</v>
      </c>
      <c r="O1614" s="2" t="s">
        <v>118</v>
      </c>
      <c r="P1614" s="2" t="s">
        <v>1763</v>
      </c>
    </row>
    <row r="1615" spans="1:16" ht="22" customHeight="1" x14ac:dyDescent="0.15">
      <c r="A1615" s="10" t="str">
        <f t="shared" si="355"/>
        <v>452_10_21_10_polygon</v>
      </c>
      <c r="B1615" s="2">
        <v>452</v>
      </c>
      <c r="C1615" s="30" t="str">
        <f>VLOOKUP(B1615,gachas!A:C,3)</f>
        <v>フィーバーフェスティバル＜ケプラー、フィボナッチ＞</v>
      </c>
      <c r="D1615" s="21">
        <v>10</v>
      </c>
      <c r="E1615" s="2">
        <f>E1614+1</f>
        <v>21</v>
      </c>
      <c r="F1615" s="2">
        <v>10</v>
      </c>
      <c r="G1615" s="3" t="s">
        <v>1566</v>
      </c>
      <c r="H1615" s="2">
        <v>50</v>
      </c>
      <c r="I1615" s="117">
        <v>452100</v>
      </c>
      <c r="J1615" s="112" t="s">
        <v>1571</v>
      </c>
      <c r="K1615" s="2">
        <v>452100</v>
      </c>
      <c r="L1615" s="2">
        <v>1</v>
      </c>
      <c r="M1615" s="2" t="s">
        <v>1571</v>
      </c>
      <c r="N1615" s="2" t="s">
        <v>1571</v>
      </c>
      <c r="O1615" s="2" t="s">
        <v>118</v>
      </c>
      <c r="P1615" s="2" t="s">
        <v>1078</v>
      </c>
    </row>
    <row r="1616" spans="1:16" ht="22" customHeight="1" x14ac:dyDescent="0.15">
      <c r="A1616" s="10" t="str">
        <f t="shared" si="355"/>
        <v>452_10_22_10_polygon</v>
      </c>
      <c r="B1616" s="2">
        <v>452</v>
      </c>
      <c r="C1616" s="30" t="str">
        <f>VLOOKUP(B1616,gachas!A:C,3)</f>
        <v>フィーバーフェスティバル＜ケプラー、フィボナッチ＞</v>
      </c>
      <c r="D1616" s="21">
        <v>10</v>
      </c>
      <c r="E1616" s="2">
        <f t="shared" ref="E1616:E1619" si="360">E1615+1</f>
        <v>22</v>
      </c>
      <c r="F1616" s="2">
        <v>10</v>
      </c>
      <c r="G1616" s="3" t="s">
        <v>1566</v>
      </c>
      <c r="H1616" s="2">
        <v>50</v>
      </c>
      <c r="I1616" s="117">
        <v>452100</v>
      </c>
      <c r="J1616" s="112" t="s">
        <v>1571</v>
      </c>
      <c r="K1616" s="2">
        <v>452100</v>
      </c>
      <c r="L1616" s="2">
        <v>1</v>
      </c>
      <c r="M1616" s="2" t="s">
        <v>1571</v>
      </c>
      <c r="N1616" s="2" t="s">
        <v>1571</v>
      </c>
      <c r="O1616" s="2" t="s">
        <v>118</v>
      </c>
      <c r="P1616" s="2" t="s">
        <v>1078</v>
      </c>
    </row>
    <row r="1617" spans="1:16" ht="22" customHeight="1" x14ac:dyDescent="0.15">
      <c r="A1617" s="10" t="str">
        <f t="shared" si="355"/>
        <v>452_10_23_10_polygon</v>
      </c>
      <c r="B1617" s="2">
        <v>452</v>
      </c>
      <c r="C1617" s="30" t="str">
        <f>VLOOKUP(B1617,gachas!A:C,3)</f>
        <v>フィーバーフェスティバル＜ケプラー、フィボナッチ＞</v>
      </c>
      <c r="D1617" s="21">
        <v>10</v>
      </c>
      <c r="E1617" s="2">
        <f t="shared" si="360"/>
        <v>23</v>
      </c>
      <c r="F1617" s="2">
        <v>10</v>
      </c>
      <c r="G1617" s="3" t="s">
        <v>1566</v>
      </c>
      <c r="H1617" s="2">
        <v>50</v>
      </c>
      <c r="I1617" s="117">
        <v>452100</v>
      </c>
      <c r="J1617" s="112" t="s">
        <v>1571</v>
      </c>
      <c r="K1617" s="2">
        <v>452100</v>
      </c>
      <c r="L1617" s="2">
        <v>1</v>
      </c>
      <c r="M1617" s="2" t="s">
        <v>1571</v>
      </c>
      <c r="N1617" s="2" t="s">
        <v>1571</v>
      </c>
      <c r="O1617" s="2" t="s">
        <v>118</v>
      </c>
      <c r="P1617" s="2" t="s">
        <v>1078</v>
      </c>
    </row>
    <row r="1618" spans="1:16" ht="22" customHeight="1" x14ac:dyDescent="0.15">
      <c r="A1618" s="10" t="str">
        <f t="shared" si="355"/>
        <v>452_10_24_10_polygon</v>
      </c>
      <c r="B1618" s="2">
        <v>452</v>
      </c>
      <c r="C1618" s="30" t="str">
        <f>VLOOKUP(B1618,gachas!A:C,3)</f>
        <v>フィーバーフェスティバル＜ケプラー、フィボナッチ＞</v>
      </c>
      <c r="D1618" s="21">
        <v>10</v>
      </c>
      <c r="E1618" s="2">
        <f t="shared" si="360"/>
        <v>24</v>
      </c>
      <c r="F1618" s="2">
        <v>10</v>
      </c>
      <c r="G1618" s="3" t="s">
        <v>1566</v>
      </c>
      <c r="H1618" s="2">
        <v>50</v>
      </c>
      <c r="I1618" s="117">
        <v>452100</v>
      </c>
      <c r="J1618" s="112" t="s">
        <v>1571</v>
      </c>
      <c r="K1618" s="2">
        <v>452100</v>
      </c>
      <c r="L1618" s="2">
        <v>1</v>
      </c>
      <c r="M1618" s="2" t="s">
        <v>1571</v>
      </c>
      <c r="N1618" s="2" t="s">
        <v>1571</v>
      </c>
      <c r="O1618" s="2" t="s">
        <v>118</v>
      </c>
      <c r="P1618" s="2" t="s">
        <v>1078</v>
      </c>
    </row>
    <row r="1619" spans="1:16" ht="22" customHeight="1" x14ac:dyDescent="0.15">
      <c r="A1619" s="10" t="str">
        <f t="shared" si="355"/>
        <v>452_10_25_10_polygon</v>
      </c>
      <c r="B1619" s="2">
        <v>452</v>
      </c>
      <c r="C1619" s="30" t="str">
        <f>VLOOKUP(B1619,gachas!A:C,3)</f>
        <v>フィーバーフェスティバル＜ケプラー、フィボナッチ＞</v>
      </c>
      <c r="D1619" s="21">
        <v>10</v>
      </c>
      <c r="E1619" s="2">
        <f t="shared" si="360"/>
        <v>25</v>
      </c>
      <c r="F1619" s="2">
        <v>10</v>
      </c>
      <c r="G1619" s="3" t="s">
        <v>1566</v>
      </c>
      <c r="H1619" s="2">
        <v>50</v>
      </c>
      <c r="I1619" s="117">
        <v>452100</v>
      </c>
      <c r="J1619" s="112">
        <v>452105</v>
      </c>
      <c r="K1619" s="2">
        <v>452100</v>
      </c>
      <c r="L1619" s="2">
        <v>1</v>
      </c>
      <c r="M1619" s="2" t="s">
        <v>1571</v>
      </c>
      <c r="N1619" s="2" t="s">
        <v>1571</v>
      </c>
      <c r="O1619" s="2" t="s">
        <v>118</v>
      </c>
      <c r="P1619" s="2" t="s">
        <v>1763</v>
      </c>
    </row>
    <row r="1620" spans="1:16" ht="22" customHeight="1" x14ac:dyDescent="0.15">
      <c r="A1620" s="10" t="str">
        <f t="shared" si="355"/>
        <v>452_10_26_10_polygon</v>
      </c>
      <c r="B1620" s="2">
        <v>452</v>
      </c>
      <c r="C1620" s="30" t="str">
        <f>VLOOKUP(B1620,gachas!A:C,3)</f>
        <v>フィーバーフェスティバル＜ケプラー、フィボナッチ＞</v>
      </c>
      <c r="D1620" s="21">
        <v>10</v>
      </c>
      <c r="E1620" s="2">
        <f>E1619+1</f>
        <v>26</v>
      </c>
      <c r="F1620" s="2">
        <v>10</v>
      </c>
      <c r="G1620" s="3" t="s">
        <v>1566</v>
      </c>
      <c r="H1620" s="2">
        <v>50</v>
      </c>
      <c r="I1620" s="117">
        <v>452100</v>
      </c>
      <c r="J1620" s="112" t="s">
        <v>1571</v>
      </c>
      <c r="K1620" s="2">
        <v>452100</v>
      </c>
      <c r="L1620" s="2">
        <v>1</v>
      </c>
      <c r="M1620" s="2" t="s">
        <v>1571</v>
      </c>
      <c r="N1620" s="2" t="s">
        <v>1571</v>
      </c>
      <c r="O1620" s="2" t="s">
        <v>118</v>
      </c>
      <c r="P1620" s="2" t="s">
        <v>1078</v>
      </c>
    </row>
    <row r="1621" spans="1:16" ht="22" customHeight="1" x14ac:dyDescent="0.15">
      <c r="A1621" s="10" t="str">
        <f t="shared" si="355"/>
        <v>452_10_27_10_polygon</v>
      </c>
      <c r="B1621" s="2">
        <v>452</v>
      </c>
      <c r="C1621" s="30" t="str">
        <f>VLOOKUP(B1621,gachas!A:C,3)</f>
        <v>フィーバーフェスティバル＜ケプラー、フィボナッチ＞</v>
      </c>
      <c r="D1621" s="21">
        <v>10</v>
      </c>
      <c r="E1621" s="2">
        <f t="shared" ref="E1621:E1624" si="361">E1620+1</f>
        <v>27</v>
      </c>
      <c r="F1621" s="2">
        <v>10</v>
      </c>
      <c r="G1621" s="3" t="s">
        <v>1566</v>
      </c>
      <c r="H1621" s="2">
        <v>50</v>
      </c>
      <c r="I1621" s="117">
        <v>452100</v>
      </c>
      <c r="J1621" s="112" t="s">
        <v>1571</v>
      </c>
      <c r="K1621" s="2">
        <v>452100</v>
      </c>
      <c r="L1621" s="2">
        <v>1</v>
      </c>
      <c r="M1621" s="2" t="s">
        <v>1571</v>
      </c>
      <c r="N1621" s="2" t="s">
        <v>1571</v>
      </c>
      <c r="O1621" s="2" t="s">
        <v>118</v>
      </c>
      <c r="P1621" s="2" t="s">
        <v>1078</v>
      </c>
    </row>
    <row r="1622" spans="1:16" ht="22" customHeight="1" x14ac:dyDescent="0.15">
      <c r="A1622" s="10" t="str">
        <f t="shared" si="355"/>
        <v>452_10_28_10_polygon</v>
      </c>
      <c r="B1622" s="2">
        <v>452</v>
      </c>
      <c r="C1622" s="30" t="str">
        <f>VLOOKUP(B1622,gachas!A:C,3)</f>
        <v>フィーバーフェスティバル＜ケプラー、フィボナッチ＞</v>
      </c>
      <c r="D1622" s="21">
        <v>10</v>
      </c>
      <c r="E1622" s="2">
        <f t="shared" si="361"/>
        <v>28</v>
      </c>
      <c r="F1622" s="2">
        <v>10</v>
      </c>
      <c r="G1622" s="3" t="s">
        <v>1566</v>
      </c>
      <c r="H1622" s="2">
        <v>50</v>
      </c>
      <c r="I1622" s="117">
        <v>452100</v>
      </c>
      <c r="J1622" s="112" t="s">
        <v>1571</v>
      </c>
      <c r="K1622" s="2">
        <v>452100</v>
      </c>
      <c r="L1622" s="2">
        <v>1</v>
      </c>
      <c r="M1622" s="2" t="s">
        <v>1571</v>
      </c>
      <c r="N1622" s="2" t="s">
        <v>1571</v>
      </c>
      <c r="O1622" s="2" t="s">
        <v>118</v>
      </c>
      <c r="P1622" s="2" t="s">
        <v>1078</v>
      </c>
    </row>
    <row r="1623" spans="1:16" ht="22" customHeight="1" x14ac:dyDescent="0.15">
      <c r="A1623" s="10" t="str">
        <f t="shared" si="355"/>
        <v>452_10_29_10_polygon</v>
      </c>
      <c r="B1623" s="2">
        <v>452</v>
      </c>
      <c r="C1623" s="30" t="str">
        <f>VLOOKUP(B1623,gachas!A:C,3)</f>
        <v>フィーバーフェスティバル＜ケプラー、フィボナッチ＞</v>
      </c>
      <c r="D1623" s="21">
        <v>10</v>
      </c>
      <c r="E1623" s="2">
        <f t="shared" si="361"/>
        <v>29</v>
      </c>
      <c r="F1623" s="2">
        <v>10</v>
      </c>
      <c r="G1623" s="3" t="s">
        <v>1566</v>
      </c>
      <c r="H1623" s="2">
        <v>50</v>
      </c>
      <c r="I1623" s="117">
        <v>452100</v>
      </c>
      <c r="J1623" s="112" t="s">
        <v>1571</v>
      </c>
      <c r="K1623" s="2">
        <v>452100</v>
      </c>
      <c r="L1623" s="2">
        <v>1</v>
      </c>
      <c r="M1623" s="2" t="s">
        <v>1571</v>
      </c>
      <c r="N1623" s="2" t="s">
        <v>1571</v>
      </c>
      <c r="O1623" s="2" t="s">
        <v>118</v>
      </c>
      <c r="P1623" s="2" t="s">
        <v>1078</v>
      </c>
    </row>
    <row r="1624" spans="1:16" ht="22" customHeight="1" x14ac:dyDescent="0.15">
      <c r="A1624" s="10" t="str">
        <f t="shared" si="355"/>
        <v>452_10_30_10_polygon</v>
      </c>
      <c r="B1624" s="2">
        <v>452</v>
      </c>
      <c r="C1624" s="30" t="str">
        <f>VLOOKUP(B1624,gachas!A:C,3)</f>
        <v>フィーバーフェスティバル＜ケプラー、フィボナッチ＞</v>
      </c>
      <c r="D1624" s="21">
        <v>10</v>
      </c>
      <c r="E1624" s="2">
        <f t="shared" si="361"/>
        <v>30</v>
      </c>
      <c r="F1624" s="2">
        <v>10</v>
      </c>
      <c r="G1624" s="3" t="s">
        <v>1566</v>
      </c>
      <c r="H1624" s="2">
        <v>50</v>
      </c>
      <c r="I1624" s="117">
        <v>452100</v>
      </c>
      <c r="J1624" s="112">
        <v>452105</v>
      </c>
      <c r="K1624" s="2">
        <v>452100</v>
      </c>
      <c r="L1624" s="2">
        <v>1</v>
      </c>
      <c r="M1624" s="2" t="s">
        <v>1571</v>
      </c>
      <c r="N1624" s="2" t="s">
        <v>1571</v>
      </c>
      <c r="O1624" s="2" t="s">
        <v>118</v>
      </c>
      <c r="P1624" s="2" t="s">
        <v>1763</v>
      </c>
    </row>
    <row r="1625" spans="1:16" ht="22" customHeight="1" x14ac:dyDescent="0.15">
      <c r="A1625" s="10" t="str">
        <f t="shared" si="355"/>
        <v>452_10_31_10_polygon</v>
      </c>
      <c r="B1625" s="2">
        <v>452</v>
      </c>
      <c r="C1625" s="30" t="str">
        <f>VLOOKUP(B1625,gachas!A:C,3)</f>
        <v>フィーバーフェスティバル＜ケプラー、フィボナッチ＞</v>
      </c>
      <c r="D1625" s="21">
        <v>10</v>
      </c>
      <c r="E1625" s="2">
        <f>E1624+1</f>
        <v>31</v>
      </c>
      <c r="F1625" s="2">
        <v>10</v>
      </c>
      <c r="G1625" s="3" t="s">
        <v>1566</v>
      </c>
      <c r="H1625" s="2">
        <v>50</v>
      </c>
      <c r="I1625" s="117">
        <v>452100</v>
      </c>
      <c r="J1625" s="112" t="s">
        <v>1571</v>
      </c>
      <c r="K1625" s="2">
        <v>452100</v>
      </c>
      <c r="L1625" s="2">
        <v>1</v>
      </c>
      <c r="M1625" s="2" t="s">
        <v>1571</v>
      </c>
      <c r="N1625" s="2" t="s">
        <v>1571</v>
      </c>
      <c r="O1625" s="2" t="s">
        <v>118</v>
      </c>
      <c r="P1625" s="2" t="s">
        <v>1078</v>
      </c>
    </row>
    <row r="1626" spans="1:16" ht="22" customHeight="1" x14ac:dyDescent="0.15">
      <c r="A1626" s="10" t="str">
        <f t="shared" si="355"/>
        <v>452_10_32_10_polygon</v>
      </c>
      <c r="B1626" s="2">
        <v>452</v>
      </c>
      <c r="C1626" s="30" t="str">
        <f>VLOOKUP(B1626,gachas!A:C,3)</f>
        <v>フィーバーフェスティバル＜ケプラー、フィボナッチ＞</v>
      </c>
      <c r="D1626" s="21">
        <v>10</v>
      </c>
      <c r="E1626" s="2">
        <f t="shared" ref="E1626:E1629" si="362">E1625+1</f>
        <v>32</v>
      </c>
      <c r="F1626" s="2">
        <v>10</v>
      </c>
      <c r="G1626" s="3" t="s">
        <v>1566</v>
      </c>
      <c r="H1626" s="2">
        <v>50</v>
      </c>
      <c r="I1626" s="117">
        <v>452100</v>
      </c>
      <c r="J1626" s="112" t="s">
        <v>1571</v>
      </c>
      <c r="K1626" s="2">
        <v>452100</v>
      </c>
      <c r="L1626" s="2">
        <v>1</v>
      </c>
      <c r="M1626" s="2" t="s">
        <v>1571</v>
      </c>
      <c r="N1626" s="2" t="s">
        <v>1571</v>
      </c>
      <c r="O1626" s="2" t="s">
        <v>118</v>
      </c>
      <c r="P1626" s="2" t="s">
        <v>1078</v>
      </c>
    </row>
    <row r="1627" spans="1:16" ht="22" customHeight="1" x14ac:dyDescent="0.15">
      <c r="A1627" s="10" t="str">
        <f t="shared" si="355"/>
        <v>452_10_33_10_polygon</v>
      </c>
      <c r="B1627" s="2">
        <v>452</v>
      </c>
      <c r="C1627" s="30" t="str">
        <f>VLOOKUP(B1627,gachas!A:C,3)</f>
        <v>フィーバーフェスティバル＜ケプラー、フィボナッチ＞</v>
      </c>
      <c r="D1627" s="21">
        <v>10</v>
      </c>
      <c r="E1627" s="2">
        <f t="shared" si="362"/>
        <v>33</v>
      </c>
      <c r="F1627" s="2">
        <v>10</v>
      </c>
      <c r="G1627" s="3" t="s">
        <v>1566</v>
      </c>
      <c r="H1627" s="2">
        <v>50</v>
      </c>
      <c r="I1627" s="117">
        <v>452100</v>
      </c>
      <c r="J1627" s="112" t="s">
        <v>1571</v>
      </c>
      <c r="K1627" s="2">
        <v>452100</v>
      </c>
      <c r="L1627" s="2">
        <v>1</v>
      </c>
      <c r="M1627" s="2" t="s">
        <v>1571</v>
      </c>
      <c r="N1627" s="2" t="s">
        <v>1571</v>
      </c>
      <c r="O1627" s="2" t="s">
        <v>118</v>
      </c>
      <c r="P1627" s="2" t="s">
        <v>1078</v>
      </c>
    </row>
    <row r="1628" spans="1:16" ht="22" customHeight="1" x14ac:dyDescent="0.15">
      <c r="A1628" s="10" t="str">
        <f t="shared" si="355"/>
        <v>452_10_34_10_polygon</v>
      </c>
      <c r="B1628" s="2">
        <v>452</v>
      </c>
      <c r="C1628" s="30" t="str">
        <f>VLOOKUP(B1628,gachas!A:C,3)</f>
        <v>フィーバーフェスティバル＜ケプラー、フィボナッチ＞</v>
      </c>
      <c r="D1628" s="21">
        <v>10</v>
      </c>
      <c r="E1628" s="2">
        <f t="shared" si="362"/>
        <v>34</v>
      </c>
      <c r="F1628" s="2">
        <v>10</v>
      </c>
      <c r="G1628" s="3" t="s">
        <v>1566</v>
      </c>
      <c r="H1628" s="2">
        <v>50</v>
      </c>
      <c r="I1628" s="117">
        <v>452100</v>
      </c>
      <c r="J1628" s="112" t="s">
        <v>1571</v>
      </c>
      <c r="K1628" s="2">
        <v>452100</v>
      </c>
      <c r="L1628" s="2">
        <v>1</v>
      </c>
      <c r="M1628" s="2" t="s">
        <v>1571</v>
      </c>
      <c r="N1628" s="2" t="s">
        <v>1571</v>
      </c>
      <c r="O1628" s="2" t="s">
        <v>118</v>
      </c>
      <c r="P1628" s="2" t="s">
        <v>1078</v>
      </c>
    </row>
    <row r="1629" spans="1:16" ht="22" customHeight="1" x14ac:dyDescent="0.15">
      <c r="A1629" s="10" t="str">
        <f t="shared" si="355"/>
        <v>452_10_35_10_polygon</v>
      </c>
      <c r="B1629" s="2">
        <v>452</v>
      </c>
      <c r="C1629" s="30" t="str">
        <f>VLOOKUP(B1629,gachas!A:C,3)</f>
        <v>フィーバーフェスティバル＜ケプラー、フィボナッチ＞</v>
      </c>
      <c r="D1629" s="21">
        <v>10</v>
      </c>
      <c r="E1629" s="2">
        <f t="shared" si="362"/>
        <v>35</v>
      </c>
      <c r="F1629" s="2">
        <v>10</v>
      </c>
      <c r="G1629" s="3" t="s">
        <v>1566</v>
      </c>
      <c r="H1629" s="2">
        <v>50</v>
      </c>
      <c r="I1629" s="117">
        <v>452100</v>
      </c>
      <c r="J1629" s="112">
        <v>452105</v>
      </c>
      <c r="K1629" s="2">
        <v>452100</v>
      </c>
      <c r="L1629" s="2">
        <v>1</v>
      </c>
      <c r="M1629" s="2" t="s">
        <v>1571</v>
      </c>
      <c r="N1629" s="2" t="s">
        <v>1571</v>
      </c>
      <c r="O1629" s="2" t="s">
        <v>118</v>
      </c>
      <c r="P1629" s="2" t="s">
        <v>1763</v>
      </c>
    </row>
    <row r="1630" spans="1:16" ht="22" customHeight="1" x14ac:dyDescent="0.15">
      <c r="A1630" s="10" t="str">
        <f t="shared" si="355"/>
        <v>452_10_36_10_polygon</v>
      </c>
      <c r="B1630" s="2">
        <v>452</v>
      </c>
      <c r="C1630" s="30" t="str">
        <f>VLOOKUP(B1630,gachas!A:C,3)</f>
        <v>フィーバーフェスティバル＜ケプラー、フィボナッチ＞</v>
      </c>
      <c r="D1630" s="21">
        <v>10</v>
      </c>
      <c r="E1630" s="2">
        <f>E1629+1</f>
        <v>36</v>
      </c>
      <c r="F1630" s="2">
        <v>10</v>
      </c>
      <c r="G1630" s="3" t="s">
        <v>1566</v>
      </c>
      <c r="H1630" s="2">
        <v>50</v>
      </c>
      <c r="I1630" s="117">
        <v>452100</v>
      </c>
      <c r="J1630" s="112" t="s">
        <v>1571</v>
      </c>
      <c r="K1630" s="2">
        <v>452100</v>
      </c>
      <c r="L1630" s="2">
        <v>1</v>
      </c>
      <c r="M1630" s="2" t="s">
        <v>1571</v>
      </c>
      <c r="N1630" s="2" t="s">
        <v>1571</v>
      </c>
      <c r="O1630" s="2" t="s">
        <v>118</v>
      </c>
      <c r="P1630" s="2" t="s">
        <v>1078</v>
      </c>
    </row>
    <row r="1631" spans="1:16" ht="22" customHeight="1" x14ac:dyDescent="0.15">
      <c r="A1631" s="10" t="str">
        <f t="shared" si="355"/>
        <v>452_10_37_10_polygon</v>
      </c>
      <c r="B1631" s="2">
        <v>452</v>
      </c>
      <c r="C1631" s="30" t="str">
        <f>VLOOKUP(B1631,gachas!A:C,3)</f>
        <v>フィーバーフェスティバル＜ケプラー、フィボナッチ＞</v>
      </c>
      <c r="D1631" s="21">
        <v>10</v>
      </c>
      <c r="E1631" s="2">
        <f t="shared" ref="E1631:E1634" si="363">E1630+1</f>
        <v>37</v>
      </c>
      <c r="F1631" s="2">
        <v>10</v>
      </c>
      <c r="G1631" s="3" t="s">
        <v>1566</v>
      </c>
      <c r="H1631" s="2">
        <v>50</v>
      </c>
      <c r="I1631" s="117">
        <v>452100</v>
      </c>
      <c r="J1631" s="112" t="s">
        <v>1571</v>
      </c>
      <c r="K1631" s="2">
        <v>452100</v>
      </c>
      <c r="L1631" s="2">
        <v>1</v>
      </c>
      <c r="M1631" s="2" t="s">
        <v>1571</v>
      </c>
      <c r="N1631" s="2" t="s">
        <v>1571</v>
      </c>
      <c r="O1631" s="2" t="s">
        <v>118</v>
      </c>
      <c r="P1631" s="2" t="s">
        <v>1078</v>
      </c>
    </row>
    <row r="1632" spans="1:16" ht="22" customHeight="1" x14ac:dyDescent="0.15">
      <c r="A1632" s="10" t="str">
        <f t="shared" si="355"/>
        <v>452_10_38_10_polygon</v>
      </c>
      <c r="B1632" s="2">
        <v>452</v>
      </c>
      <c r="C1632" s="30" t="str">
        <f>VLOOKUP(B1632,gachas!A:C,3)</f>
        <v>フィーバーフェスティバル＜ケプラー、フィボナッチ＞</v>
      </c>
      <c r="D1632" s="21">
        <v>10</v>
      </c>
      <c r="E1632" s="2">
        <f t="shared" si="363"/>
        <v>38</v>
      </c>
      <c r="F1632" s="2">
        <v>10</v>
      </c>
      <c r="G1632" s="3" t="s">
        <v>1566</v>
      </c>
      <c r="H1632" s="2">
        <v>50</v>
      </c>
      <c r="I1632" s="117">
        <v>452100</v>
      </c>
      <c r="J1632" s="112" t="s">
        <v>1571</v>
      </c>
      <c r="K1632" s="2">
        <v>452100</v>
      </c>
      <c r="L1632" s="2">
        <v>1</v>
      </c>
      <c r="M1632" s="2" t="s">
        <v>1571</v>
      </c>
      <c r="N1632" s="2" t="s">
        <v>1571</v>
      </c>
      <c r="O1632" s="2" t="s">
        <v>118</v>
      </c>
      <c r="P1632" s="2" t="s">
        <v>1078</v>
      </c>
    </row>
    <row r="1633" spans="1:16" ht="22" customHeight="1" x14ac:dyDescent="0.15">
      <c r="A1633" s="10" t="str">
        <f t="shared" si="355"/>
        <v>452_10_39_10_polygon</v>
      </c>
      <c r="B1633" s="2">
        <v>452</v>
      </c>
      <c r="C1633" s="30" t="str">
        <f>VLOOKUP(B1633,gachas!A:C,3)</f>
        <v>フィーバーフェスティバル＜ケプラー、フィボナッチ＞</v>
      </c>
      <c r="D1633" s="21">
        <v>10</v>
      </c>
      <c r="E1633" s="2">
        <f t="shared" si="363"/>
        <v>39</v>
      </c>
      <c r="F1633" s="2">
        <v>10</v>
      </c>
      <c r="G1633" s="3" t="s">
        <v>1566</v>
      </c>
      <c r="H1633" s="2">
        <v>50</v>
      </c>
      <c r="I1633" s="117">
        <v>452100</v>
      </c>
      <c r="J1633" s="112" t="s">
        <v>1571</v>
      </c>
      <c r="K1633" s="2">
        <v>452100</v>
      </c>
      <c r="L1633" s="2">
        <v>1</v>
      </c>
      <c r="M1633" s="2" t="s">
        <v>1571</v>
      </c>
      <c r="N1633" s="2" t="s">
        <v>1571</v>
      </c>
      <c r="O1633" s="2" t="s">
        <v>118</v>
      </c>
      <c r="P1633" s="2" t="s">
        <v>1078</v>
      </c>
    </row>
    <row r="1634" spans="1:16" ht="22" customHeight="1" x14ac:dyDescent="0.15">
      <c r="A1634" s="10" t="str">
        <f t="shared" si="355"/>
        <v>452_10_40_10_polygon</v>
      </c>
      <c r="B1634" s="2">
        <v>452</v>
      </c>
      <c r="C1634" s="30" t="str">
        <f>VLOOKUP(B1634,gachas!A:C,3)</f>
        <v>フィーバーフェスティバル＜ケプラー、フィボナッチ＞</v>
      </c>
      <c r="D1634" s="21">
        <v>10</v>
      </c>
      <c r="E1634" s="2">
        <f t="shared" si="363"/>
        <v>40</v>
      </c>
      <c r="F1634" s="2">
        <v>10</v>
      </c>
      <c r="G1634" s="3" t="s">
        <v>1566</v>
      </c>
      <c r="H1634" s="2">
        <v>50</v>
      </c>
      <c r="I1634" s="117">
        <v>452100</v>
      </c>
      <c r="J1634" s="112">
        <v>452105</v>
      </c>
      <c r="K1634" s="2">
        <v>452100</v>
      </c>
      <c r="L1634" s="2">
        <v>1</v>
      </c>
      <c r="M1634" s="2" t="s">
        <v>1571</v>
      </c>
      <c r="N1634" s="2" t="s">
        <v>1571</v>
      </c>
      <c r="O1634" s="2" t="s">
        <v>118</v>
      </c>
      <c r="P1634" s="2" t="s">
        <v>1763</v>
      </c>
    </row>
    <row r="1635" spans="1:16" ht="22" customHeight="1" x14ac:dyDescent="0.15">
      <c r="A1635" s="10" t="str">
        <f t="shared" si="355"/>
        <v>452_10_41_10_polygon</v>
      </c>
      <c r="B1635" s="2">
        <v>452</v>
      </c>
      <c r="C1635" s="30" t="str">
        <f>VLOOKUP(B1635,gachas!A:C,3)</f>
        <v>フィーバーフェスティバル＜ケプラー、フィボナッチ＞</v>
      </c>
      <c r="D1635" s="21">
        <v>10</v>
      </c>
      <c r="E1635" s="2">
        <f>E1634+1</f>
        <v>41</v>
      </c>
      <c r="F1635" s="2">
        <v>10</v>
      </c>
      <c r="G1635" s="3" t="s">
        <v>1566</v>
      </c>
      <c r="H1635" s="2">
        <v>50</v>
      </c>
      <c r="I1635" s="117">
        <v>452100</v>
      </c>
      <c r="J1635" s="112" t="s">
        <v>1571</v>
      </c>
      <c r="K1635" s="2">
        <v>452100</v>
      </c>
      <c r="L1635" s="2">
        <v>1</v>
      </c>
      <c r="M1635" s="2" t="s">
        <v>1571</v>
      </c>
      <c r="N1635" s="2" t="s">
        <v>1571</v>
      </c>
      <c r="O1635" s="2" t="s">
        <v>118</v>
      </c>
      <c r="P1635" s="2" t="s">
        <v>1078</v>
      </c>
    </row>
    <row r="1636" spans="1:16" ht="22" customHeight="1" x14ac:dyDescent="0.15">
      <c r="A1636" s="10" t="str">
        <f t="shared" si="355"/>
        <v>452_10_42_10_polygon</v>
      </c>
      <c r="B1636" s="2">
        <v>452</v>
      </c>
      <c r="C1636" s="30" t="str">
        <f>VLOOKUP(B1636,gachas!A:C,3)</f>
        <v>フィーバーフェスティバル＜ケプラー、フィボナッチ＞</v>
      </c>
      <c r="D1636" s="21">
        <v>10</v>
      </c>
      <c r="E1636" s="2">
        <f t="shared" ref="E1636:E1639" si="364">E1635+1</f>
        <v>42</v>
      </c>
      <c r="F1636" s="2">
        <v>10</v>
      </c>
      <c r="G1636" s="3" t="s">
        <v>1566</v>
      </c>
      <c r="H1636" s="2">
        <v>50</v>
      </c>
      <c r="I1636" s="117">
        <v>452100</v>
      </c>
      <c r="J1636" s="112" t="s">
        <v>1571</v>
      </c>
      <c r="K1636" s="2">
        <v>452100</v>
      </c>
      <c r="L1636" s="2">
        <v>1</v>
      </c>
      <c r="M1636" s="2" t="s">
        <v>1571</v>
      </c>
      <c r="N1636" s="2" t="s">
        <v>1571</v>
      </c>
      <c r="O1636" s="2" t="s">
        <v>118</v>
      </c>
      <c r="P1636" s="2" t="s">
        <v>1078</v>
      </c>
    </row>
    <row r="1637" spans="1:16" ht="22" customHeight="1" x14ac:dyDescent="0.15">
      <c r="A1637" s="10" t="str">
        <f t="shared" si="355"/>
        <v>452_10_43_10_polygon</v>
      </c>
      <c r="B1637" s="2">
        <v>452</v>
      </c>
      <c r="C1637" s="30" t="str">
        <f>VLOOKUP(B1637,gachas!A:C,3)</f>
        <v>フィーバーフェスティバル＜ケプラー、フィボナッチ＞</v>
      </c>
      <c r="D1637" s="21">
        <v>10</v>
      </c>
      <c r="E1637" s="2">
        <f t="shared" si="364"/>
        <v>43</v>
      </c>
      <c r="F1637" s="2">
        <v>10</v>
      </c>
      <c r="G1637" s="3" t="s">
        <v>1566</v>
      </c>
      <c r="H1637" s="2">
        <v>50</v>
      </c>
      <c r="I1637" s="117">
        <v>452100</v>
      </c>
      <c r="J1637" s="112" t="s">
        <v>1571</v>
      </c>
      <c r="K1637" s="2">
        <v>452100</v>
      </c>
      <c r="L1637" s="2">
        <v>1</v>
      </c>
      <c r="M1637" s="2" t="s">
        <v>1571</v>
      </c>
      <c r="N1637" s="2" t="s">
        <v>1571</v>
      </c>
      <c r="O1637" s="2" t="s">
        <v>118</v>
      </c>
      <c r="P1637" s="2" t="s">
        <v>1078</v>
      </c>
    </row>
    <row r="1638" spans="1:16" ht="22" customHeight="1" x14ac:dyDescent="0.15">
      <c r="A1638" s="10" t="str">
        <f t="shared" si="355"/>
        <v>452_10_44_10_polygon</v>
      </c>
      <c r="B1638" s="2">
        <v>452</v>
      </c>
      <c r="C1638" s="30" t="str">
        <f>VLOOKUP(B1638,gachas!A:C,3)</f>
        <v>フィーバーフェスティバル＜ケプラー、フィボナッチ＞</v>
      </c>
      <c r="D1638" s="21">
        <v>10</v>
      </c>
      <c r="E1638" s="2">
        <f t="shared" si="364"/>
        <v>44</v>
      </c>
      <c r="F1638" s="2">
        <v>10</v>
      </c>
      <c r="G1638" s="3" t="s">
        <v>1566</v>
      </c>
      <c r="H1638" s="2">
        <v>50</v>
      </c>
      <c r="I1638" s="117">
        <v>452100</v>
      </c>
      <c r="J1638" s="112" t="s">
        <v>1571</v>
      </c>
      <c r="K1638" s="2">
        <v>452100</v>
      </c>
      <c r="L1638" s="2">
        <v>1</v>
      </c>
      <c r="M1638" s="2" t="s">
        <v>1571</v>
      </c>
      <c r="N1638" s="2" t="s">
        <v>1571</v>
      </c>
      <c r="O1638" s="2" t="s">
        <v>118</v>
      </c>
      <c r="P1638" s="2" t="s">
        <v>1078</v>
      </c>
    </row>
    <row r="1639" spans="1:16" ht="22" customHeight="1" x14ac:dyDescent="0.15">
      <c r="A1639" s="10" t="str">
        <f t="shared" si="355"/>
        <v>452_10_45_10_polygon</v>
      </c>
      <c r="B1639" s="2">
        <v>452</v>
      </c>
      <c r="C1639" s="30" t="str">
        <f>VLOOKUP(B1639,gachas!A:C,3)</f>
        <v>フィーバーフェスティバル＜ケプラー、フィボナッチ＞</v>
      </c>
      <c r="D1639" s="21">
        <v>10</v>
      </c>
      <c r="E1639" s="2">
        <f t="shared" si="364"/>
        <v>45</v>
      </c>
      <c r="F1639" s="2">
        <v>10</v>
      </c>
      <c r="G1639" s="3" t="s">
        <v>1566</v>
      </c>
      <c r="H1639" s="2">
        <v>50</v>
      </c>
      <c r="I1639" s="117">
        <v>452100</v>
      </c>
      <c r="J1639" s="112">
        <v>452105</v>
      </c>
      <c r="K1639" s="2">
        <v>452100</v>
      </c>
      <c r="L1639" s="2">
        <v>1</v>
      </c>
      <c r="M1639" s="2" t="s">
        <v>1571</v>
      </c>
      <c r="N1639" s="2" t="s">
        <v>1571</v>
      </c>
      <c r="O1639" s="2" t="s">
        <v>118</v>
      </c>
      <c r="P1639" s="2" t="s">
        <v>1763</v>
      </c>
    </row>
    <row r="1640" spans="1:16" ht="22" customHeight="1" x14ac:dyDescent="0.15">
      <c r="A1640" s="10" t="str">
        <f t="shared" si="355"/>
        <v>452_10_46_10_polygon</v>
      </c>
      <c r="B1640" s="2">
        <v>452</v>
      </c>
      <c r="C1640" s="30" t="str">
        <f>VLOOKUP(B1640,gachas!A:C,3)</f>
        <v>フィーバーフェスティバル＜ケプラー、フィボナッチ＞</v>
      </c>
      <c r="D1640" s="21">
        <v>10</v>
      </c>
      <c r="E1640" s="2">
        <f>E1639+1</f>
        <v>46</v>
      </c>
      <c r="F1640" s="2">
        <v>10</v>
      </c>
      <c r="G1640" s="3" t="s">
        <v>1566</v>
      </c>
      <c r="H1640" s="2">
        <v>50</v>
      </c>
      <c r="I1640" s="117">
        <v>452100</v>
      </c>
      <c r="J1640" s="112" t="s">
        <v>1571</v>
      </c>
      <c r="K1640" s="2">
        <v>452100</v>
      </c>
      <c r="L1640" s="2">
        <v>1</v>
      </c>
      <c r="M1640" s="2" t="s">
        <v>1571</v>
      </c>
      <c r="N1640" s="2" t="s">
        <v>1571</v>
      </c>
      <c r="O1640" s="2" t="s">
        <v>118</v>
      </c>
      <c r="P1640" s="2" t="s">
        <v>1078</v>
      </c>
    </row>
    <row r="1641" spans="1:16" ht="22" customHeight="1" x14ac:dyDescent="0.15">
      <c r="A1641" s="10" t="str">
        <f t="shared" si="355"/>
        <v>452_10_47_10_polygon</v>
      </c>
      <c r="B1641" s="2">
        <v>452</v>
      </c>
      <c r="C1641" s="30" t="str">
        <f>VLOOKUP(B1641,gachas!A:C,3)</f>
        <v>フィーバーフェスティバル＜ケプラー、フィボナッチ＞</v>
      </c>
      <c r="D1641" s="21">
        <v>10</v>
      </c>
      <c r="E1641" s="2">
        <f t="shared" ref="E1641:E1647" si="365">E1640+1</f>
        <v>47</v>
      </c>
      <c r="F1641" s="2">
        <v>10</v>
      </c>
      <c r="G1641" s="3" t="s">
        <v>1566</v>
      </c>
      <c r="H1641" s="2">
        <v>50</v>
      </c>
      <c r="I1641" s="117">
        <v>452100</v>
      </c>
      <c r="J1641" s="112" t="s">
        <v>1571</v>
      </c>
      <c r="K1641" s="2">
        <v>452100</v>
      </c>
      <c r="L1641" s="2">
        <v>1</v>
      </c>
      <c r="M1641" s="2" t="s">
        <v>1571</v>
      </c>
      <c r="N1641" s="2" t="s">
        <v>1571</v>
      </c>
      <c r="O1641" s="2" t="s">
        <v>118</v>
      </c>
      <c r="P1641" s="2" t="s">
        <v>1078</v>
      </c>
    </row>
    <row r="1642" spans="1:16" ht="22" customHeight="1" x14ac:dyDescent="0.15">
      <c r="A1642" s="10" t="str">
        <f t="shared" si="355"/>
        <v>452_10_48_10_polygon</v>
      </c>
      <c r="B1642" s="2">
        <v>452</v>
      </c>
      <c r="C1642" s="30" t="str">
        <f>VLOOKUP(B1642,gachas!A:C,3)</f>
        <v>フィーバーフェスティバル＜ケプラー、フィボナッチ＞</v>
      </c>
      <c r="D1642" s="21">
        <v>10</v>
      </c>
      <c r="E1642" s="2">
        <f t="shared" si="365"/>
        <v>48</v>
      </c>
      <c r="F1642" s="2">
        <v>10</v>
      </c>
      <c r="G1642" s="3" t="s">
        <v>1566</v>
      </c>
      <c r="H1642" s="2">
        <v>50</v>
      </c>
      <c r="I1642" s="117">
        <v>452100</v>
      </c>
      <c r="J1642" s="112" t="s">
        <v>1571</v>
      </c>
      <c r="K1642" s="2">
        <v>452100</v>
      </c>
      <c r="L1642" s="2">
        <v>1</v>
      </c>
      <c r="M1642" s="2" t="s">
        <v>1571</v>
      </c>
      <c r="N1642" s="2" t="s">
        <v>1571</v>
      </c>
      <c r="O1642" s="2" t="s">
        <v>118</v>
      </c>
      <c r="P1642" s="2" t="s">
        <v>1078</v>
      </c>
    </row>
    <row r="1643" spans="1:16" ht="22" customHeight="1" x14ac:dyDescent="0.15">
      <c r="A1643" s="10" t="str">
        <f t="shared" si="355"/>
        <v>452_10_49_10_polygon</v>
      </c>
      <c r="B1643" s="2">
        <v>452</v>
      </c>
      <c r="C1643" s="30" t="str">
        <f>VLOOKUP(B1643,gachas!A:C,3)</f>
        <v>フィーバーフェスティバル＜ケプラー、フィボナッチ＞</v>
      </c>
      <c r="D1643" s="21">
        <v>10</v>
      </c>
      <c r="E1643" s="2">
        <f t="shared" si="365"/>
        <v>49</v>
      </c>
      <c r="F1643" s="2">
        <v>10</v>
      </c>
      <c r="G1643" s="3" t="s">
        <v>1566</v>
      </c>
      <c r="H1643" s="2">
        <v>50</v>
      </c>
      <c r="I1643" s="117">
        <v>452100</v>
      </c>
      <c r="J1643" s="112" t="s">
        <v>1571</v>
      </c>
      <c r="K1643" s="2">
        <v>452100</v>
      </c>
      <c r="L1643" s="2">
        <v>1</v>
      </c>
      <c r="M1643" s="2" t="s">
        <v>1571</v>
      </c>
      <c r="N1643" s="2" t="s">
        <v>1571</v>
      </c>
      <c r="O1643" s="2" t="s">
        <v>118</v>
      </c>
      <c r="P1643" s="2" t="s">
        <v>1078</v>
      </c>
    </row>
    <row r="1644" spans="1:16" ht="22" customHeight="1" x14ac:dyDescent="0.15">
      <c r="A1644" s="10" t="str">
        <f t="shared" si="355"/>
        <v>452_10_50_10_polygon</v>
      </c>
      <c r="B1644" s="2">
        <v>452</v>
      </c>
      <c r="C1644" s="30" t="str">
        <f>VLOOKUP(B1644,gachas!A:C,3)</f>
        <v>フィーバーフェスティバル＜ケプラー、フィボナッチ＞</v>
      </c>
      <c r="D1644" s="21">
        <v>10</v>
      </c>
      <c r="E1644" s="2">
        <f t="shared" si="365"/>
        <v>50</v>
      </c>
      <c r="F1644" s="2">
        <v>10</v>
      </c>
      <c r="G1644" s="3" t="s">
        <v>1566</v>
      </c>
      <c r="H1644" s="2">
        <v>50</v>
      </c>
      <c r="I1644" s="117">
        <v>452100</v>
      </c>
      <c r="J1644" s="112">
        <v>452105</v>
      </c>
      <c r="K1644" s="2">
        <v>452100</v>
      </c>
      <c r="L1644" s="2">
        <v>1</v>
      </c>
      <c r="M1644" s="2" t="s">
        <v>1571</v>
      </c>
      <c r="N1644" s="2" t="s">
        <v>1571</v>
      </c>
      <c r="O1644" s="2" t="s">
        <v>118</v>
      </c>
      <c r="P1644" s="2" t="s">
        <v>1763</v>
      </c>
    </row>
    <row r="1645" spans="1:16" ht="22" customHeight="1" x14ac:dyDescent="0.15">
      <c r="A1645" s="10" t="str">
        <f t="shared" ref="A1645:A1647" si="366">B1645&amp;"_"&amp;D1645&amp;"_"&amp;E1645&amp;"_"&amp;F1645&amp;"_"&amp;G1645</f>
        <v>453_1_0_1_polygon</v>
      </c>
      <c r="B1645" s="2">
        <v>453</v>
      </c>
      <c r="C1645" s="30" t="str">
        <f>VLOOKUP(B1645,gachas!A:C,3)</f>
        <v>タワーオブザクイーン攻略応援ガチャ</v>
      </c>
      <c r="D1645" s="21">
        <v>1</v>
      </c>
      <c r="E1645" s="2">
        <v>0</v>
      </c>
      <c r="F1645" s="2">
        <v>1</v>
      </c>
      <c r="G1645" s="3" t="s">
        <v>1566</v>
      </c>
      <c r="H1645" s="2">
        <v>5</v>
      </c>
      <c r="I1645" s="117">
        <v>453010</v>
      </c>
      <c r="J1645" s="112" t="s">
        <v>1963</v>
      </c>
      <c r="K1645" s="2" t="s">
        <v>84</v>
      </c>
      <c r="L1645" s="2">
        <v>0</v>
      </c>
      <c r="M1645" s="2" t="s">
        <v>1571</v>
      </c>
      <c r="N1645" s="2" t="s">
        <v>1571</v>
      </c>
      <c r="O1645" s="2" t="s">
        <v>118</v>
      </c>
      <c r="P1645" s="18" t="s">
        <v>291</v>
      </c>
    </row>
    <row r="1646" spans="1:16" ht="22" customHeight="1" x14ac:dyDescent="0.15">
      <c r="A1646" s="10" t="str">
        <f t="shared" si="366"/>
        <v>453_10_0_10_polygon</v>
      </c>
      <c r="B1646" s="2">
        <v>453</v>
      </c>
      <c r="C1646" s="30" t="str">
        <f>VLOOKUP(B1646,gachas!A:C,3)</f>
        <v>タワーオブザクイーン攻略応援ガチャ</v>
      </c>
      <c r="D1646" s="21">
        <v>10</v>
      </c>
      <c r="E1646" s="2">
        <v>0</v>
      </c>
      <c r="F1646" s="2">
        <v>10</v>
      </c>
      <c r="G1646" s="3" t="s">
        <v>1566</v>
      </c>
      <c r="H1646" s="2">
        <v>50</v>
      </c>
      <c r="I1646" s="117">
        <v>453100</v>
      </c>
      <c r="J1646" s="112" t="s">
        <v>1964</v>
      </c>
      <c r="K1646" s="2">
        <v>453100</v>
      </c>
      <c r="L1646" s="2">
        <v>1</v>
      </c>
      <c r="M1646" s="2" t="s">
        <v>1571</v>
      </c>
      <c r="N1646" s="2" t="s">
        <v>1571</v>
      </c>
      <c r="O1646" s="2" t="s">
        <v>118</v>
      </c>
      <c r="P1646" s="2" t="s">
        <v>378</v>
      </c>
    </row>
    <row r="1647" spans="1:16" ht="22" customHeight="1" x14ac:dyDescent="0.15">
      <c r="A1647" s="10" t="str">
        <f t="shared" si="366"/>
        <v>453_10_1_10_polygon</v>
      </c>
      <c r="B1647" s="2">
        <v>453</v>
      </c>
      <c r="C1647" s="30" t="str">
        <f>VLOOKUP(B1647,gachas!A:C,3)</f>
        <v>タワーオブザクイーン攻略応援ガチャ</v>
      </c>
      <c r="D1647" s="21">
        <v>10</v>
      </c>
      <c r="E1647" s="2">
        <f t="shared" si="365"/>
        <v>1</v>
      </c>
      <c r="F1647" s="2">
        <v>10</v>
      </c>
      <c r="G1647" s="3" t="s">
        <v>1566</v>
      </c>
      <c r="H1647" s="2">
        <v>25</v>
      </c>
      <c r="I1647" s="117">
        <v>453100</v>
      </c>
      <c r="J1647" s="112" t="s">
        <v>84</v>
      </c>
      <c r="K1647" s="2">
        <v>453100</v>
      </c>
      <c r="L1647" s="2">
        <v>1</v>
      </c>
      <c r="M1647" s="2" t="s">
        <v>1571</v>
      </c>
      <c r="N1647" s="2" t="s">
        <v>1571</v>
      </c>
      <c r="O1647" s="2" t="s">
        <v>118</v>
      </c>
      <c r="P1647" s="59" t="s">
        <v>548</v>
      </c>
    </row>
    <row r="1648" spans="1:16" ht="22" customHeight="1" x14ac:dyDescent="0.15">
      <c r="A1648" s="10" t="str">
        <f t="shared" ref="A1648:A1652" si="367">B1648&amp;"_"&amp;D1648&amp;"_"&amp;E1648&amp;"_"&amp;F1648&amp;"_"&amp;G1648</f>
        <v>454_1_0_1_polygon</v>
      </c>
      <c r="B1648" s="2">
        <v>454</v>
      </c>
      <c r="C1648" s="30" t="str">
        <f>VLOOKUP(B1648,gachas!A:C,3)</f>
        <v>ニューフェイスガチャ（文豪）</v>
      </c>
      <c r="D1648" s="21">
        <v>1</v>
      </c>
      <c r="E1648" s="2">
        <v>0</v>
      </c>
      <c r="F1648" s="2">
        <v>1</v>
      </c>
      <c r="G1648" s="3" t="s">
        <v>22</v>
      </c>
      <c r="H1648" s="2">
        <v>5</v>
      </c>
      <c r="I1648" s="117" t="str">
        <f t="shared" ref="I1648:I1649" si="368">B1648&amp;TEXT(D1648,"00")&amp;E1648</f>
        <v>454010</v>
      </c>
      <c r="J1648" s="112" t="s">
        <v>84</v>
      </c>
      <c r="K1648" s="2" t="s">
        <v>84</v>
      </c>
      <c r="L1648" s="2">
        <v>0</v>
      </c>
      <c r="M1648" s="2" t="s">
        <v>84</v>
      </c>
      <c r="N1648" s="2" t="s">
        <v>84</v>
      </c>
      <c r="O1648" s="2" t="s">
        <v>841</v>
      </c>
      <c r="P1648" s="2" t="s">
        <v>84</v>
      </c>
    </row>
    <row r="1649" spans="1:16" ht="22" customHeight="1" x14ac:dyDescent="0.15">
      <c r="A1649" s="10" t="str">
        <f t="shared" si="367"/>
        <v>454_10_0_10_polygon</v>
      </c>
      <c r="B1649" s="2">
        <v>454</v>
      </c>
      <c r="C1649" s="30" t="str">
        <f>VLOOKUP(B1649,gachas!A:C,3)</f>
        <v>ニューフェイスガチャ（文豪）</v>
      </c>
      <c r="D1649" s="21">
        <v>10</v>
      </c>
      <c r="E1649" s="2">
        <v>0</v>
      </c>
      <c r="F1649" s="2">
        <v>10</v>
      </c>
      <c r="G1649" s="3" t="s">
        <v>22</v>
      </c>
      <c r="H1649" s="2">
        <v>50</v>
      </c>
      <c r="I1649" s="117" t="str">
        <f t="shared" si="368"/>
        <v>454100</v>
      </c>
      <c r="J1649" s="112" t="s">
        <v>84</v>
      </c>
      <c r="K1649" s="2">
        <v>454100</v>
      </c>
      <c r="L1649" s="2">
        <v>1</v>
      </c>
      <c r="M1649" s="2" t="s">
        <v>84</v>
      </c>
      <c r="N1649" s="2" t="s">
        <v>84</v>
      </c>
      <c r="O1649" s="2" t="s">
        <v>841</v>
      </c>
      <c r="P1649" s="2" t="s">
        <v>1919</v>
      </c>
    </row>
    <row r="1650" spans="1:16" ht="22" customHeight="1" x14ac:dyDescent="0.15">
      <c r="A1650" s="10" t="str">
        <f t="shared" si="367"/>
        <v>455_1_1_1_polygon</v>
      </c>
      <c r="B1650" s="2">
        <v>455</v>
      </c>
      <c r="C1650" s="30" t="str">
        <f>VLOOKUP(B1650,gachas!A:C,3)</f>
        <v>レアガチャ（文豪in）</v>
      </c>
      <c r="D1650" s="21">
        <v>1</v>
      </c>
      <c r="E1650" s="2">
        <v>1</v>
      </c>
      <c r="F1650" s="2">
        <v>1</v>
      </c>
      <c r="G1650" s="3" t="s">
        <v>22</v>
      </c>
      <c r="H1650" s="2">
        <v>5</v>
      </c>
      <c r="I1650" s="117" t="str">
        <f>I1652</f>
        <v>455100</v>
      </c>
      <c r="J1650" s="112" t="s">
        <v>84</v>
      </c>
      <c r="K1650" s="2" t="s">
        <v>84</v>
      </c>
      <c r="L1650" s="2">
        <v>0</v>
      </c>
      <c r="M1650" s="2" t="s">
        <v>84</v>
      </c>
      <c r="N1650" s="2" t="s">
        <v>84</v>
      </c>
      <c r="O1650" s="2" t="s">
        <v>841</v>
      </c>
      <c r="P1650" s="2" t="s">
        <v>142</v>
      </c>
    </row>
    <row r="1651" spans="1:16" ht="22" customHeight="1" x14ac:dyDescent="0.15">
      <c r="A1651" s="10" t="str">
        <f t="shared" si="367"/>
        <v>455_1_0_1_polygon</v>
      </c>
      <c r="B1651" s="2">
        <v>455</v>
      </c>
      <c r="C1651" s="30" t="str">
        <f>VLOOKUP(B1651,gachas!A:C,3)</f>
        <v>レアガチャ（文豪in）</v>
      </c>
      <c r="D1651" s="21">
        <v>1</v>
      </c>
      <c r="E1651" s="2">
        <v>0</v>
      </c>
      <c r="F1651" s="2">
        <v>1</v>
      </c>
      <c r="G1651" s="3" t="s">
        <v>22</v>
      </c>
      <c r="H1651" s="2">
        <v>5</v>
      </c>
      <c r="I1651" s="117" t="str">
        <f t="shared" ref="I1651:I1652" si="369">B1651&amp;TEXT(D1651,"00")&amp;E1651</f>
        <v>455010</v>
      </c>
      <c r="J1651" s="112" t="s">
        <v>84</v>
      </c>
      <c r="K1651" s="2" t="s">
        <v>84</v>
      </c>
      <c r="L1651" s="2">
        <v>0</v>
      </c>
      <c r="M1651" s="2" t="s">
        <v>84</v>
      </c>
      <c r="N1651" s="2" t="s">
        <v>84</v>
      </c>
      <c r="O1651" s="2" t="s">
        <v>841</v>
      </c>
      <c r="P1651" s="2" t="s">
        <v>84</v>
      </c>
    </row>
    <row r="1652" spans="1:16" ht="22" customHeight="1" x14ac:dyDescent="0.15">
      <c r="A1652" s="10" t="str">
        <f t="shared" si="367"/>
        <v>455_10_0_10_polygon</v>
      </c>
      <c r="B1652" s="2">
        <v>455</v>
      </c>
      <c r="C1652" s="30" t="str">
        <f>VLOOKUP(B1652,gachas!A:C,3)</f>
        <v>レアガチャ（文豪in）</v>
      </c>
      <c r="D1652" s="21">
        <v>10</v>
      </c>
      <c r="E1652" s="2">
        <v>0</v>
      </c>
      <c r="F1652" s="2">
        <v>10</v>
      </c>
      <c r="G1652" s="3" t="s">
        <v>22</v>
      </c>
      <c r="H1652" s="2">
        <v>50</v>
      </c>
      <c r="I1652" s="117" t="str">
        <f t="shared" si="369"/>
        <v>455100</v>
      </c>
      <c r="J1652" s="112" t="s">
        <v>84</v>
      </c>
      <c r="K1652" s="2" t="s">
        <v>84</v>
      </c>
      <c r="L1652" s="2">
        <v>0</v>
      </c>
      <c r="M1652" s="2" t="s">
        <v>84</v>
      </c>
      <c r="N1652" s="2" t="s">
        <v>84</v>
      </c>
      <c r="O1652" s="2" t="s">
        <v>841</v>
      </c>
      <c r="P1652" s="2" t="s">
        <v>143</v>
      </c>
    </row>
    <row r="1653" spans="1:16" ht="22" customHeight="1" x14ac:dyDescent="0.15">
      <c r="A1653" s="10" t="str">
        <f t="shared" ref="A1653:A1669" si="370">B1653&amp;"_"&amp;D1653&amp;"_"&amp;E1653&amp;"_"&amp;F1653&amp;"_"&amp;G1653</f>
        <v>456_10_0_10_polygon</v>
      </c>
      <c r="B1653" s="2">
        <v>456</v>
      </c>
      <c r="C1653" s="30" t="str">
        <f>VLOOKUP(B1653,gachas!A:C,3)</f>
        <v>全世界700万DL突破記念フェス限確定ガチャ</v>
      </c>
      <c r="D1653" s="21">
        <v>10</v>
      </c>
      <c r="E1653" s="2">
        <v>0</v>
      </c>
      <c r="F1653" s="2">
        <v>10</v>
      </c>
      <c r="G1653" s="3" t="s">
        <v>22</v>
      </c>
      <c r="H1653" s="2">
        <v>50</v>
      </c>
      <c r="I1653" s="117" t="s">
        <v>2019</v>
      </c>
      <c r="J1653" s="112" t="s">
        <v>84</v>
      </c>
      <c r="K1653" s="2" t="s">
        <v>84</v>
      </c>
      <c r="L1653" s="2">
        <v>0</v>
      </c>
      <c r="M1653" s="2" t="s">
        <v>84</v>
      </c>
      <c r="N1653" s="2" t="s">
        <v>84</v>
      </c>
      <c r="O1653" s="2" t="s">
        <v>841</v>
      </c>
      <c r="P1653" s="18" t="s">
        <v>116</v>
      </c>
    </row>
    <row r="1654" spans="1:16" ht="22" customHeight="1" x14ac:dyDescent="0.15">
      <c r="A1654" s="10" t="str">
        <f t="shared" si="370"/>
        <v>456_10_1_10_polygon</v>
      </c>
      <c r="B1654" s="2">
        <v>456</v>
      </c>
      <c r="C1654" s="30" t="str">
        <f>VLOOKUP(B1654,gachas!A:C,3)</f>
        <v>全世界700万DL突破記念フェス限確定ガチャ</v>
      </c>
      <c r="D1654" s="21">
        <v>10</v>
      </c>
      <c r="E1654" s="2">
        <f>E1653+1</f>
        <v>1</v>
      </c>
      <c r="F1654" s="2">
        <v>10</v>
      </c>
      <c r="G1654" s="3" t="s">
        <v>22</v>
      </c>
      <c r="H1654" s="2">
        <v>25</v>
      </c>
      <c r="I1654" s="117" t="s">
        <v>2019</v>
      </c>
      <c r="J1654" s="112" t="s">
        <v>84</v>
      </c>
      <c r="K1654" s="2" t="s">
        <v>2020</v>
      </c>
      <c r="L1654" s="2">
        <v>0</v>
      </c>
      <c r="M1654" s="2" t="s">
        <v>84</v>
      </c>
      <c r="N1654" s="2" t="s">
        <v>84</v>
      </c>
      <c r="O1654" s="2" t="s">
        <v>841</v>
      </c>
      <c r="P1654" s="18" t="s">
        <v>2066</v>
      </c>
    </row>
    <row r="1655" spans="1:16" ht="22" customHeight="1" x14ac:dyDescent="0.15">
      <c r="A1655" s="10" t="str">
        <f t="shared" si="370"/>
        <v>456_10_2_10_polygon</v>
      </c>
      <c r="B1655" s="2">
        <v>456</v>
      </c>
      <c r="C1655" s="30" t="str">
        <f>VLOOKUP(B1655,gachas!A:C,3)</f>
        <v>全世界700万DL突破記念フェス限確定ガチャ</v>
      </c>
      <c r="D1655" s="21">
        <v>10</v>
      </c>
      <c r="E1655" s="2">
        <f t="shared" ref="E1655:E1660" si="371">E1654+1</f>
        <v>2</v>
      </c>
      <c r="F1655" s="2">
        <v>10</v>
      </c>
      <c r="G1655" s="3" t="s">
        <v>22</v>
      </c>
      <c r="H1655" s="2">
        <v>50</v>
      </c>
      <c r="I1655" s="117" t="s">
        <v>2019</v>
      </c>
      <c r="J1655" s="112">
        <v>456102</v>
      </c>
      <c r="K1655" s="2" t="s">
        <v>84</v>
      </c>
      <c r="L1655" s="2">
        <v>0</v>
      </c>
      <c r="M1655" s="2" t="s">
        <v>84</v>
      </c>
      <c r="N1655" s="2" t="s">
        <v>84</v>
      </c>
      <c r="O1655" s="2" t="s">
        <v>841</v>
      </c>
      <c r="P1655" s="18" t="s">
        <v>2067</v>
      </c>
    </row>
    <row r="1656" spans="1:16" ht="22" customHeight="1" x14ac:dyDescent="0.15">
      <c r="A1656" s="10" t="str">
        <f t="shared" si="370"/>
        <v>456_10_3_10_polygon</v>
      </c>
      <c r="B1656" s="2">
        <v>456</v>
      </c>
      <c r="C1656" s="30" t="str">
        <f>VLOOKUP(B1656,gachas!A:C,3)</f>
        <v>全世界700万DL突破記念フェス限確定ガチャ</v>
      </c>
      <c r="D1656" s="21">
        <v>10</v>
      </c>
      <c r="E1656" s="2">
        <f t="shared" si="371"/>
        <v>3</v>
      </c>
      <c r="F1656" s="2">
        <v>10</v>
      </c>
      <c r="G1656" s="3" t="s">
        <v>22</v>
      </c>
      <c r="H1656" s="2">
        <v>50</v>
      </c>
      <c r="I1656" s="117" t="s">
        <v>2019</v>
      </c>
      <c r="J1656" s="112">
        <v>456103</v>
      </c>
      <c r="K1656" s="2" t="s">
        <v>84</v>
      </c>
      <c r="L1656" s="2">
        <v>0</v>
      </c>
      <c r="M1656" s="2" t="s">
        <v>84</v>
      </c>
      <c r="N1656" s="2" t="s">
        <v>84</v>
      </c>
      <c r="O1656" s="2" t="s">
        <v>841</v>
      </c>
      <c r="P1656" s="18" t="s">
        <v>2068</v>
      </c>
    </row>
    <row r="1657" spans="1:16" ht="22" customHeight="1" x14ac:dyDescent="0.15">
      <c r="A1657" s="10" t="str">
        <f t="shared" si="370"/>
        <v>456_10_4_10_polygon</v>
      </c>
      <c r="B1657" s="2">
        <v>456</v>
      </c>
      <c r="C1657" s="30" t="str">
        <f>VLOOKUP(B1657,gachas!A:C,3)</f>
        <v>全世界700万DL突破記念フェス限確定ガチャ</v>
      </c>
      <c r="D1657" s="21">
        <v>10</v>
      </c>
      <c r="E1657" s="2">
        <f t="shared" si="371"/>
        <v>4</v>
      </c>
      <c r="F1657" s="2">
        <v>10</v>
      </c>
      <c r="G1657" s="3" t="s">
        <v>22</v>
      </c>
      <c r="H1657" s="2">
        <v>50</v>
      </c>
      <c r="I1657" s="117" t="s">
        <v>2019</v>
      </c>
      <c r="J1657" s="112" t="s">
        <v>84</v>
      </c>
      <c r="K1657" s="2">
        <v>456104</v>
      </c>
      <c r="L1657" s="2">
        <v>2</v>
      </c>
      <c r="M1657" s="2" t="s">
        <v>84</v>
      </c>
      <c r="N1657" s="2" t="s">
        <v>84</v>
      </c>
      <c r="O1657" s="2" t="s">
        <v>841</v>
      </c>
      <c r="P1657" s="18" t="s">
        <v>2069</v>
      </c>
    </row>
    <row r="1658" spans="1:16" ht="22" customHeight="1" x14ac:dyDescent="0.15">
      <c r="A1658" s="10" t="str">
        <f t="shared" si="370"/>
        <v>456_10_5_10_polygon</v>
      </c>
      <c r="B1658" s="2">
        <v>456</v>
      </c>
      <c r="C1658" s="30" t="str">
        <f>VLOOKUP(B1658,gachas!A:C,3)</f>
        <v>全世界700万DL突破記念フェス限確定ガチャ</v>
      </c>
      <c r="D1658" s="21">
        <v>10</v>
      </c>
      <c r="E1658" s="2">
        <f t="shared" si="371"/>
        <v>5</v>
      </c>
      <c r="F1658" s="2">
        <v>10</v>
      </c>
      <c r="G1658" s="3" t="s">
        <v>22</v>
      </c>
      <c r="H1658" s="2">
        <v>50</v>
      </c>
      <c r="I1658" s="117" t="s">
        <v>2019</v>
      </c>
      <c r="J1658" s="112">
        <v>456105</v>
      </c>
      <c r="K1658" s="2" t="s">
        <v>84</v>
      </c>
      <c r="L1658" s="2">
        <v>0</v>
      </c>
      <c r="M1658" s="2" t="s">
        <v>84</v>
      </c>
      <c r="N1658" s="2" t="s">
        <v>84</v>
      </c>
      <c r="O1658" s="2" t="s">
        <v>841</v>
      </c>
      <c r="P1658" s="18" t="s">
        <v>2070</v>
      </c>
    </row>
    <row r="1659" spans="1:16" ht="22" customHeight="1" x14ac:dyDescent="0.15">
      <c r="A1659" s="10" t="str">
        <f t="shared" si="370"/>
        <v>456_10_6_10_polygon</v>
      </c>
      <c r="B1659" s="2">
        <v>456</v>
      </c>
      <c r="C1659" s="30" t="str">
        <f>VLOOKUP(B1659,gachas!A:C,3)</f>
        <v>全世界700万DL突破記念フェス限確定ガチャ</v>
      </c>
      <c r="D1659" s="21">
        <v>10</v>
      </c>
      <c r="E1659" s="2">
        <f t="shared" si="371"/>
        <v>6</v>
      </c>
      <c r="F1659" s="2">
        <v>10</v>
      </c>
      <c r="G1659" s="3" t="s">
        <v>22</v>
      </c>
      <c r="H1659" s="2">
        <v>50</v>
      </c>
      <c r="I1659" s="117" t="s">
        <v>2019</v>
      </c>
      <c r="J1659" s="112">
        <v>456106</v>
      </c>
      <c r="K1659" s="2" t="s">
        <v>84</v>
      </c>
      <c r="L1659" s="2">
        <v>0</v>
      </c>
      <c r="M1659" s="2" t="s">
        <v>84</v>
      </c>
      <c r="N1659" s="2" t="s">
        <v>84</v>
      </c>
      <c r="O1659" s="2" t="s">
        <v>841</v>
      </c>
      <c r="P1659" s="18" t="s">
        <v>2071</v>
      </c>
    </row>
    <row r="1660" spans="1:16" ht="22" customHeight="1" x14ac:dyDescent="0.15">
      <c r="A1660" s="10" t="str">
        <f t="shared" si="370"/>
        <v>456_10_7_10_polygon</v>
      </c>
      <c r="B1660" s="2">
        <v>456</v>
      </c>
      <c r="C1660" s="30" t="str">
        <f>VLOOKUP(B1660,gachas!A:C,3)</f>
        <v>全世界700万DL突破記念フェス限確定ガチャ</v>
      </c>
      <c r="D1660" s="21">
        <v>10</v>
      </c>
      <c r="E1660" s="2">
        <f t="shared" si="371"/>
        <v>7</v>
      </c>
      <c r="F1660" s="2">
        <v>10</v>
      </c>
      <c r="G1660" s="3" t="s">
        <v>22</v>
      </c>
      <c r="H1660" s="2">
        <v>50</v>
      </c>
      <c r="I1660" s="117" t="s">
        <v>2019</v>
      </c>
      <c r="J1660" s="112" t="s">
        <v>84</v>
      </c>
      <c r="K1660" s="2">
        <v>456107</v>
      </c>
      <c r="L1660" s="2">
        <v>1</v>
      </c>
      <c r="M1660" s="2" t="s">
        <v>84</v>
      </c>
      <c r="N1660" s="2" t="s">
        <v>84</v>
      </c>
      <c r="O1660" s="2" t="s">
        <v>841</v>
      </c>
      <c r="P1660" s="18" t="s">
        <v>2072</v>
      </c>
    </row>
    <row r="1661" spans="1:16" ht="22" customHeight="1" x14ac:dyDescent="0.15">
      <c r="A1661" s="10" t="str">
        <f t="shared" si="370"/>
        <v>457_1_0_1_polygon</v>
      </c>
      <c r="B1661" s="2">
        <v>457</v>
      </c>
      <c r="C1661" s="30" t="str">
        <f>VLOOKUP(B1661,gachas!A:C,3)</f>
        <v>全世界700万DL突破記念無料レアガチャ1日目</v>
      </c>
      <c r="D1661" s="21">
        <v>1</v>
      </c>
      <c r="E1661" s="2">
        <v>0</v>
      </c>
      <c r="F1661" s="2">
        <v>1</v>
      </c>
      <c r="G1661" s="3" t="s">
        <v>22</v>
      </c>
      <c r="H1661" s="2">
        <v>0</v>
      </c>
      <c r="I1661" s="117">
        <v>457010</v>
      </c>
      <c r="J1661" s="112">
        <v>457011</v>
      </c>
      <c r="K1661" s="2" t="s">
        <v>2024</v>
      </c>
      <c r="L1661" s="2">
        <v>0</v>
      </c>
      <c r="M1661" s="2" t="s">
        <v>84</v>
      </c>
      <c r="N1661" s="2" t="s">
        <v>84</v>
      </c>
      <c r="O1661" s="2" t="s">
        <v>841</v>
      </c>
      <c r="P1661" s="18" t="s">
        <v>2073</v>
      </c>
    </row>
    <row r="1662" spans="1:16" ht="22" customHeight="1" x14ac:dyDescent="0.15">
      <c r="A1662" s="10" t="str">
        <f t="shared" si="370"/>
        <v>458_1_0_1_polygon</v>
      </c>
      <c r="B1662" s="2">
        <v>458</v>
      </c>
      <c r="C1662" s="30" t="str">
        <f>VLOOKUP(B1662,gachas!A:C,3)</f>
        <v>全世界700万DL突破記念無料レアガチャ2日目</v>
      </c>
      <c r="D1662" s="21">
        <v>1</v>
      </c>
      <c r="E1662" s="2">
        <v>0</v>
      </c>
      <c r="F1662" s="2">
        <v>1</v>
      </c>
      <c r="G1662" s="3" t="s">
        <v>22</v>
      </c>
      <c r="H1662" s="2">
        <v>0</v>
      </c>
      <c r="I1662" s="117">
        <v>457010</v>
      </c>
      <c r="J1662" s="112">
        <v>457012</v>
      </c>
      <c r="K1662" s="2" t="s">
        <v>2024</v>
      </c>
      <c r="L1662" s="2">
        <v>0</v>
      </c>
      <c r="M1662" s="2" t="s">
        <v>84</v>
      </c>
      <c r="N1662" s="2" t="s">
        <v>84</v>
      </c>
      <c r="O1662" s="2" t="s">
        <v>841</v>
      </c>
      <c r="P1662" s="18" t="s">
        <v>2074</v>
      </c>
    </row>
    <row r="1663" spans="1:16" ht="22" customHeight="1" x14ac:dyDescent="0.15">
      <c r="A1663" s="10" t="str">
        <f t="shared" si="370"/>
        <v>459_1_0_1_polygon</v>
      </c>
      <c r="B1663" s="2">
        <v>459</v>
      </c>
      <c r="C1663" s="30" t="str">
        <f>VLOOKUP(B1663,gachas!A:C,3)</f>
        <v>全世界700万DL突破記念無料レアガチャ3日目</v>
      </c>
      <c r="D1663" s="21">
        <v>1</v>
      </c>
      <c r="E1663" s="2">
        <v>0</v>
      </c>
      <c r="F1663" s="2">
        <v>1</v>
      </c>
      <c r="G1663" s="3" t="s">
        <v>22</v>
      </c>
      <c r="H1663" s="2">
        <v>0</v>
      </c>
      <c r="I1663" s="117">
        <v>457010</v>
      </c>
      <c r="J1663" s="112">
        <v>457013</v>
      </c>
      <c r="K1663" s="2" t="s">
        <v>2024</v>
      </c>
      <c r="L1663" s="2">
        <v>0</v>
      </c>
      <c r="M1663" s="2" t="s">
        <v>84</v>
      </c>
      <c r="N1663" s="2" t="s">
        <v>84</v>
      </c>
      <c r="O1663" s="2" t="s">
        <v>841</v>
      </c>
      <c r="P1663" s="18" t="s">
        <v>2075</v>
      </c>
    </row>
    <row r="1664" spans="1:16" ht="22" customHeight="1" x14ac:dyDescent="0.15">
      <c r="A1664" s="10" t="str">
        <f t="shared" si="370"/>
        <v>460_1_0_1_polygon</v>
      </c>
      <c r="B1664" s="2">
        <v>460</v>
      </c>
      <c r="C1664" s="30" t="str">
        <f>VLOOKUP(B1664,gachas!A:C,3)</f>
        <v>全世界700万DL突破記念無料レアガチャ4日目</v>
      </c>
      <c r="D1664" s="21">
        <v>1</v>
      </c>
      <c r="E1664" s="2">
        <v>0</v>
      </c>
      <c r="F1664" s="2">
        <v>1</v>
      </c>
      <c r="G1664" s="3" t="s">
        <v>22</v>
      </c>
      <c r="H1664" s="2">
        <v>0</v>
      </c>
      <c r="I1664" s="117">
        <v>457010</v>
      </c>
      <c r="J1664" s="112">
        <v>457014</v>
      </c>
      <c r="K1664" s="2" t="s">
        <v>2024</v>
      </c>
      <c r="L1664" s="2">
        <v>0</v>
      </c>
      <c r="M1664" s="2" t="s">
        <v>84</v>
      </c>
      <c r="N1664" s="2" t="s">
        <v>84</v>
      </c>
      <c r="O1664" s="2" t="s">
        <v>841</v>
      </c>
      <c r="P1664" s="18" t="s">
        <v>2076</v>
      </c>
    </row>
    <row r="1665" spans="1:16" ht="22" customHeight="1" x14ac:dyDescent="0.15">
      <c r="A1665" s="10" t="str">
        <f t="shared" si="370"/>
        <v>461_1_0_1_polygon</v>
      </c>
      <c r="B1665" s="2">
        <v>461</v>
      </c>
      <c r="C1665" s="30" t="str">
        <f>VLOOKUP(B1665,gachas!A:C,3)</f>
        <v>全世界700万DL突破記念無料レアガチャ5日目</v>
      </c>
      <c r="D1665" s="21">
        <v>1</v>
      </c>
      <c r="E1665" s="2">
        <v>0</v>
      </c>
      <c r="F1665" s="2">
        <v>1</v>
      </c>
      <c r="G1665" s="3" t="s">
        <v>22</v>
      </c>
      <c r="H1665" s="2">
        <v>0</v>
      </c>
      <c r="I1665" s="117">
        <v>457010</v>
      </c>
      <c r="J1665" s="112">
        <v>457015</v>
      </c>
      <c r="K1665" s="2" t="s">
        <v>2024</v>
      </c>
      <c r="L1665" s="2">
        <v>0</v>
      </c>
      <c r="M1665" s="2" t="s">
        <v>84</v>
      </c>
      <c r="N1665" s="2" t="s">
        <v>84</v>
      </c>
      <c r="O1665" s="2" t="s">
        <v>841</v>
      </c>
      <c r="P1665" s="18" t="s">
        <v>2077</v>
      </c>
    </row>
    <row r="1666" spans="1:16" ht="22" customHeight="1" x14ac:dyDescent="0.15">
      <c r="A1666" s="10" t="str">
        <f t="shared" si="370"/>
        <v>462_1_0_1_polygon</v>
      </c>
      <c r="B1666" s="2">
        <v>462</v>
      </c>
      <c r="C1666" s="30" t="str">
        <f>VLOOKUP(B1666,gachas!A:C,3)</f>
        <v>全世界700万DL突破記念無料レアガチャ6日目</v>
      </c>
      <c r="D1666" s="21">
        <v>1</v>
      </c>
      <c r="E1666" s="2">
        <v>0</v>
      </c>
      <c r="F1666" s="2">
        <v>1</v>
      </c>
      <c r="G1666" s="3" t="s">
        <v>22</v>
      </c>
      <c r="H1666" s="2">
        <v>0</v>
      </c>
      <c r="I1666" s="117">
        <v>457010</v>
      </c>
      <c r="J1666" s="112">
        <v>457016</v>
      </c>
      <c r="K1666" s="2" t="s">
        <v>2024</v>
      </c>
      <c r="L1666" s="2">
        <v>0</v>
      </c>
      <c r="M1666" s="2" t="s">
        <v>84</v>
      </c>
      <c r="N1666" s="2" t="s">
        <v>84</v>
      </c>
      <c r="O1666" s="2" t="s">
        <v>841</v>
      </c>
      <c r="P1666" s="18" t="s">
        <v>2078</v>
      </c>
    </row>
    <row r="1667" spans="1:16" ht="22" customHeight="1" x14ac:dyDescent="0.15">
      <c r="A1667" s="10" t="str">
        <f t="shared" si="370"/>
        <v>463_1_0_1_polygon</v>
      </c>
      <c r="B1667" s="2">
        <v>463</v>
      </c>
      <c r="C1667" s="30" t="str">
        <f>VLOOKUP(B1667,gachas!A:C,3)</f>
        <v>全世界700万DL突破記念無料レアガチャ7日目</v>
      </c>
      <c r="D1667" s="21">
        <v>1</v>
      </c>
      <c r="E1667" s="2">
        <v>0</v>
      </c>
      <c r="F1667" s="2">
        <v>1</v>
      </c>
      <c r="G1667" s="3" t="s">
        <v>22</v>
      </c>
      <c r="H1667" s="2">
        <v>0</v>
      </c>
      <c r="I1667" s="117">
        <v>457010</v>
      </c>
      <c r="J1667" s="112">
        <v>457017</v>
      </c>
      <c r="K1667" s="2" t="s">
        <v>2024</v>
      </c>
      <c r="L1667" s="2">
        <v>0</v>
      </c>
      <c r="M1667" s="2" t="s">
        <v>84</v>
      </c>
      <c r="N1667" s="2" t="s">
        <v>84</v>
      </c>
      <c r="O1667" s="2" t="s">
        <v>841</v>
      </c>
      <c r="P1667" s="18" t="s">
        <v>2079</v>
      </c>
    </row>
    <row r="1668" spans="1:16" ht="22" customHeight="1" x14ac:dyDescent="0.15">
      <c r="A1668" s="10" t="str">
        <f t="shared" si="370"/>
        <v>464_1_0_1_polygon</v>
      </c>
      <c r="B1668" s="2">
        <v>464</v>
      </c>
      <c r="C1668" s="30" t="str">
        <f>VLOOKUP(B1668,gachas!A:C,3)</f>
        <v>全世界700万DL突破記念無料レアガチャ8日目（★6）</v>
      </c>
      <c r="D1668" s="21">
        <v>1</v>
      </c>
      <c r="E1668" s="2">
        <v>0</v>
      </c>
      <c r="F1668" s="2">
        <v>1</v>
      </c>
      <c r="G1668" s="3" t="s">
        <v>22</v>
      </c>
      <c r="H1668" s="2">
        <v>0</v>
      </c>
      <c r="I1668" s="117">
        <v>457010</v>
      </c>
      <c r="J1668" s="112">
        <v>457019</v>
      </c>
      <c r="K1668" s="2">
        <v>471105</v>
      </c>
      <c r="L1668" s="2">
        <v>1</v>
      </c>
      <c r="M1668" s="2" t="s">
        <v>84</v>
      </c>
      <c r="N1668" s="2" t="s">
        <v>84</v>
      </c>
      <c r="O1668" s="2" t="s">
        <v>841</v>
      </c>
      <c r="P1668" s="59" t="s">
        <v>1370</v>
      </c>
    </row>
    <row r="1669" spans="1:16" ht="22" customHeight="1" x14ac:dyDescent="0.15">
      <c r="A1669" s="10" t="str">
        <f t="shared" si="370"/>
        <v>465_1_0_1_polygon</v>
      </c>
      <c r="B1669" s="2">
        <v>465</v>
      </c>
      <c r="C1669" s="30" t="str">
        <f>VLOOKUP(B1669,gachas!A:C,3)</f>
        <v>全世界700万DL突破記念★6覚醒可能ユニット確定無料ガチャ</v>
      </c>
      <c r="D1669" s="21">
        <v>1</v>
      </c>
      <c r="E1669" s="2">
        <v>0</v>
      </c>
      <c r="F1669" s="2">
        <v>1</v>
      </c>
      <c r="G1669" s="3" t="s">
        <v>22</v>
      </c>
      <c r="H1669" s="2">
        <v>0</v>
      </c>
      <c r="I1669" s="117">
        <v>457010</v>
      </c>
      <c r="J1669" s="112" t="s">
        <v>287</v>
      </c>
      <c r="K1669" s="2">
        <v>456104</v>
      </c>
      <c r="L1669" s="2">
        <v>1</v>
      </c>
      <c r="M1669" s="2" t="s">
        <v>84</v>
      </c>
      <c r="N1669" s="2" t="s">
        <v>84</v>
      </c>
      <c r="O1669" s="2" t="s">
        <v>841</v>
      </c>
      <c r="P1669" s="59" t="s">
        <v>1370</v>
      </c>
    </row>
    <row r="1670" spans="1:16" ht="22" customHeight="1" x14ac:dyDescent="0.15">
      <c r="A1670" s="10" t="str">
        <f t="shared" ref="A1670" si="372">B1670&amp;"_"&amp;D1670&amp;"_"&amp;E1670&amp;"_"&amp;F1670&amp;"_"&amp;G1670</f>
        <v>466_10_1_1_polygon</v>
      </c>
      <c r="B1670" s="2">
        <v>466</v>
      </c>
      <c r="C1670" s="30" t="str">
        <f>VLOOKUP(B1670,gachas!A:C,3)</f>
        <v>全世界700万DL突破記念スペシャルガチャ第1弾</v>
      </c>
      <c r="D1670" s="21">
        <v>10</v>
      </c>
      <c r="E1670" s="2">
        <v>1</v>
      </c>
      <c r="F1670" s="2">
        <v>1</v>
      </c>
      <c r="G1670" s="3" t="s">
        <v>22</v>
      </c>
      <c r="H1670" s="2">
        <v>1</v>
      </c>
      <c r="I1670" s="117">
        <v>466101</v>
      </c>
      <c r="J1670" s="112" t="s">
        <v>84</v>
      </c>
      <c r="K1670" s="2" t="s">
        <v>2049</v>
      </c>
      <c r="L1670" s="2">
        <v>0</v>
      </c>
      <c r="M1670" s="2" t="s">
        <v>84</v>
      </c>
      <c r="N1670" s="2" t="s">
        <v>84</v>
      </c>
      <c r="O1670" s="2" t="s">
        <v>841</v>
      </c>
      <c r="P1670" s="2" t="s">
        <v>546</v>
      </c>
    </row>
    <row r="1671" spans="1:16" ht="22" customHeight="1" x14ac:dyDescent="0.15">
      <c r="A1671" s="10" t="str">
        <f t="shared" ref="A1671:A1676" si="373">B1671&amp;"_"&amp;D1671&amp;"_"&amp;E1671&amp;"_"&amp;F1671&amp;"_"&amp;G1671</f>
        <v>466_10_2_3_polygon</v>
      </c>
      <c r="B1671" s="2">
        <v>466</v>
      </c>
      <c r="C1671" s="30" t="str">
        <f>VLOOKUP(B1671,gachas!A:C,3)</f>
        <v>全世界700万DL突破記念スペシャルガチャ第1弾</v>
      </c>
      <c r="D1671" s="21">
        <v>10</v>
      </c>
      <c r="E1671" s="2">
        <v>2</v>
      </c>
      <c r="F1671" s="2">
        <v>3</v>
      </c>
      <c r="G1671" s="3" t="s">
        <v>22</v>
      </c>
      <c r="H1671" s="2">
        <v>9</v>
      </c>
      <c r="I1671" s="117">
        <v>466101</v>
      </c>
      <c r="J1671" s="112" t="s">
        <v>84</v>
      </c>
      <c r="K1671" s="2" t="s">
        <v>2020</v>
      </c>
      <c r="L1671" s="2">
        <v>0</v>
      </c>
      <c r="M1671" s="2" t="s">
        <v>84</v>
      </c>
      <c r="N1671" s="2" t="s">
        <v>84</v>
      </c>
      <c r="O1671" s="2" t="s">
        <v>841</v>
      </c>
      <c r="P1671" s="2" t="s">
        <v>527</v>
      </c>
    </row>
    <row r="1672" spans="1:16" ht="22" customHeight="1" x14ac:dyDescent="0.15">
      <c r="A1672" s="10" t="str">
        <f t="shared" si="373"/>
        <v>466_10_3_10_polygon</v>
      </c>
      <c r="B1672" s="2">
        <v>466</v>
      </c>
      <c r="C1672" s="30" t="str">
        <f>VLOOKUP(B1672,gachas!A:C,3)</f>
        <v>全世界700万DL突破記念スペシャルガチャ第1弾</v>
      </c>
      <c r="D1672" s="21">
        <v>10</v>
      </c>
      <c r="E1672" s="2">
        <v>3</v>
      </c>
      <c r="F1672" s="2">
        <v>10</v>
      </c>
      <c r="G1672" s="3" t="s">
        <v>22</v>
      </c>
      <c r="H1672" s="2">
        <v>35</v>
      </c>
      <c r="I1672" s="117">
        <v>466103</v>
      </c>
      <c r="J1672" s="117">
        <v>466103</v>
      </c>
      <c r="K1672" s="2" t="s">
        <v>2020</v>
      </c>
      <c r="L1672" s="2">
        <v>0</v>
      </c>
      <c r="M1672" s="2" t="s">
        <v>84</v>
      </c>
      <c r="N1672" s="2" t="s">
        <v>84</v>
      </c>
      <c r="O1672" s="2" t="s">
        <v>841</v>
      </c>
      <c r="P1672" s="2" t="s">
        <v>1608</v>
      </c>
    </row>
    <row r="1673" spans="1:16" ht="22" customHeight="1" x14ac:dyDescent="0.15">
      <c r="A1673" s="10" t="str">
        <f t="shared" si="373"/>
        <v>466_10_4_10_polygon</v>
      </c>
      <c r="B1673" s="2">
        <v>466</v>
      </c>
      <c r="C1673" s="30" t="str">
        <f>VLOOKUP(B1673,gachas!A:C,3)</f>
        <v>全世界700万DL突破記念スペシャルガチャ第1弾</v>
      </c>
      <c r="D1673" s="21">
        <v>10</v>
      </c>
      <c r="E1673" s="2">
        <v>4</v>
      </c>
      <c r="F1673" s="2">
        <v>10</v>
      </c>
      <c r="G1673" s="3" t="s">
        <v>22</v>
      </c>
      <c r="H1673" s="2">
        <v>50</v>
      </c>
      <c r="I1673" s="117">
        <v>466104</v>
      </c>
      <c r="J1673" s="117">
        <v>466104</v>
      </c>
      <c r="K1673" s="2" t="s">
        <v>2020</v>
      </c>
      <c r="L1673" s="2">
        <v>0</v>
      </c>
      <c r="M1673" s="2" t="s">
        <v>84</v>
      </c>
      <c r="N1673" s="2" t="s">
        <v>84</v>
      </c>
      <c r="O1673" s="2" t="s">
        <v>841</v>
      </c>
      <c r="P1673" s="2" t="s">
        <v>1609</v>
      </c>
    </row>
    <row r="1674" spans="1:16" ht="22" customHeight="1" x14ac:dyDescent="0.15">
      <c r="A1674" s="10" t="str">
        <f t="shared" si="373"/>
        <v>466_10_5_10_polygon</v>
      </c>
      <c r="B1674" s="2">
        <v>466</v>
      </c>
      <c r="C1674" s="30" t="str">
        <f>VLOOKUP(B1674,gachas!A:C,3)</f>
        <v>全世界700万DL突破記念スペシャルガチャ第1弾</v>
      </c>
      <c r="D1674" s="21">
        <v>10</v>
      </c>
      <c r="E1674" s="2">
        <v>5</v>
      </c>
      <c r="F1674" s="2">
        <v>10</v>
      </c>
      <c r="G1674" s="3" t="s">
        <v>22</v>
      </c>
      <c r="H1674" s="2">
        <v>50</v>
      </c>
      <c r="I1674" s="117">
        <v>466105</v>
      </c>
      <c r="J1674" s="117">
        <v>466105</v>
      </c>
      <c r="K1674" s="2" t="s">
        <v>2020</v>
      </c>
      <c r="L1674" s="2">
        <v>0</v>
      </c>
      <c r="M1674" s="2" t="s">
        <v>84</v>
      </c>
      <c r="N1674" s="2" t="s">
        <v>84</v>
      </c>
      <c r="O1674" s="2" t="s">
        <v>841</v>
      </c>
      <c r="P1674" s="2" t="s">
        <v>1610</v>
      </c>
    </row>
    <row r="1675" spans="1:16" ht="22" customHeight="1" x14ac:dyDescent="0.15">
      <c r="A1675" s="10" t="str">
        <f t="shared" si="373"/>
        <v>466_10_0_10_polygon</v>
      </c>
      <c r="B1675" s="2">
        <v>466</v>
      </c>
      <c r="C1675" s="30" t="str">
        <f>VLOOKUP(B1675,gachas!A:C,3)</f>
        <v>全世界700万DL突破記念スペシャルガチャ第1弾</v>
      </c>
      <c r="D1675" s="21">
        <v>10</v>
      </c>
      <c r="E1675" s="2">
        <v>0</v>
      </c>
      <c r="F1675" s="2">
        <v>10</v>
      </c>
      <c r="G1675" s="3" t="s">
        <v>22</v>
      </c>
      <c r="H1675" s="2">
        <v>50</v>
      </c>
      <c r="I1675" s="117">
        <v>466100</v>
      </c>
      <c r="J1675" s="112" t="s">
        <v>84</v>
      </c>
      <c r="K1675" s="2" t="s">
        <v>2020</v>
      </c>
      <c r="L1675" s="2">
        <v>0</v>
      </c>
      <c r="M1675" s="2" t="s">
        <v>84</v>
      </c>
      <c r="N1675" s="2" t="s">
        <v>84</v>
      </c>
      <c r="O1675" s="2" t="s">
        <v>841</v>
      </c>
      <c r="P1675" s="2" t="s">
        <v>1611</v>
      </c>
    </row>
    <row r="1676" spans="1:16" ht="22" customHeight="1" x14ac:dyDescent="0.15">
      <c r="A1676" s="10" t="str">
        <f t="shared" si="373"/>
        <v>467_10_1_1_polygon</v>
      </c>
      <c r="B1676" s="2">
        <v>467</v>
      </c>
      <c r="C1676" s="30" t="str">
        <f>VLOOKUP(B1676,gachas!A:C,3)</f>
        <v>全世界700万DL突破記念スペシャルガチャ第2弾</v>
      </c>
      <c r="D1676" s="21">
        <v>10</v>
      </c>
      <c r="E1676" s="2">
        <v>1</v>
      </c>
      <c r="F1676" s="2">
        <v>1</v>
      </c>
      <c r="G1676" s="3" t="s">
        <v>22</v>
      </c>
      <c r="H1676" s="2">
        <v>1</v>
      </c>
      <c r="I1676" s="117">
        <v>467101</v>
      </c>
      <c r="J1676" s="112" t="s">
        <v>84</v>
      </c>
      <c r="K1676" s="2" t="s">
        <v>2049</v>
      </c>
      <c r="L1676" s="2">
        <v>0</v>
      </c>
      <c r="M1676" s="2" t="s">
        <v>84</v>
      </c>
      <c r="N1676" s="2" t="s">
        <v>84</v>
      </c>
      <c r="O1676" s="2" t="s">
        <v>841</v>
      </c>
      <c r="P1676" s="2" t="s">
        <v>2080</v>
      </c>
    </row>
    <row r="1677" spans="1:16" ht="22" customHeight="1" x14ac:dyDescent="0.15">
      <c r="A1677" s="10" t="str">
        <f t="shared" ref="A1677:A1681" si="374">B1677&amp;"_"&amp;D1677&amp;"_"&amp;E1677&amp;"_"&amp;F1677&amp;"_"&amp;G1677</f>
        <v>467_10_2_3_polygon</v>
      </c>
      <c r="B1677" s="2">
        <v>467</v>
      </c>
      <c r="C1677" s="30" t="str">
        <f>VLOOKUP(B1677,gachas!A:C,3)</f>
        <v>全世界700万DL突破記念スペシャルガチャ第2弾</v>
      </c>
      <c r="D1677" s="21">
        <v>10</v>
      </c>
      <c r="E1677" s="2">
        <v>2</v>
      </c>
      <c r="F1677" s="2">
        <v>3</v>
      </c>
      <c r="G1677" s="3" t="s">
        <v>22</v>
      </c>
      <c r="H1677" s="2">
        <v>9</v>
      </c>
      <c r="I1677" s="117">
        <v>467101</v>
      </c>
      <c r="J1677" s="112" t="s">
        <v>84</v>
      </c>
      <c r="K1677" s="2" t="s">
        <v>2020</v>
      </c>
      <c r="L1677" s="2">
        <v>0</v>
      </c>
      <c r="M1677" s="2" t="s">
        <v>84</v>
      </c>
      <c r="N1677" s="2" t="s">
        <v>84</v>
      </c>
      <c r="O1677" s="2" t="s">
        <v>841</v>
      </c>
      <c r="P1677" s="2" t="s">
        <v>1273</v>
      </c>
    </row>
    <row r="1678" spans="1:16" ht="22" customHeight="1" x14ac:dyDescent="0.15">
      <c r="A1678" s="10" t="str">
        <f t="shared" si="374"/>
        <v>467_10_3_10_polygon</v>
      </c>
      <c r="B1678" s="2">
        <v>467</v>
      </c>
      <c r="C1678" s="30" t="str">
        <f>VLOOKUP(B1678,gachas!A:C,3)</f>
        <v>全世界700万DL突破記念スペシャルガチャ第2弾</v>
      </c>
      <c r="D1678" s="21">
        <v>10</v>
      </c>
      <c r="E1678" s="2">
        <v>3</v>
      </c>
      <c r="F1678" s="2">
        <v>10</v>
      </c>
      <c r="G1678" s="3" t="s">
        <v>22</v>
      </c>
      <c r="H1678" s="2">
        <v>35</v>
      </c>
      <c r="I1678" s="117">
        <v>467103</v>
      </c>
      <c r="J1678" s="117">
        <v>467103</v>
      </c>
      <c r="K1678" s="2" t="s">
        <v>2020</v>
      </c>
      <c r="L1678" s="2">
        <v>0</v>
      </c>
      <c r="M1678" s="2" t="s">
        <v>84</v>
      </c>
      <c r="N1678" s="2" t="s">
        <v>84</v>
      </c>
      <c r="O1678" s="2" t="s">
        <v>841</v>
      </c>
      <c r="P1678" s="2" t="s">
        <v>2081</v>
      </c>
    </row>
    <row r="1679" spans="1:16" ht="22" customHeight="1" x14ac:dyDescent="0.15">
      <c r="A1679" s="10" t="str">
        <f t="shared" si="374"/>
        <v>467_10_4_10_polygon</v>
      </c>
      <c r="B1679" s="2">
        <v>467</v>
      </c>
      <c r="C1679" s="30" t="str">
        <f>VLOOKUP(B1679,gachas!A:C,3)</f>
        <v>全世界700万DL突破記念スペシャルガチャ第2弾</v>
      </c>
      <c r="D1679" s="21">
        <v>10</v>
      </c>
      <c r="E1679" s="2">
        <v>4</v>
      </c>
      <c r="F1679" s="2">
        <v>10</v>
      </c>
      <c r="G1679" s="3" t="s">
        <v>22</v>
      </c>
      <c r="H1679" s="2">
        <v>50</v>
      </c>
      <c r="I1679" s="117">
        <v>467104</v>
      </c>
      <c r="J1679" s="117">
        <v>467104</v>
      </c>
      <c r="K1679" s="2" t="s">
        <v>2020</v>
      </c>
      <c r="L1679" s="2">
        <v>0</v>
      </c>
      <c r="M1679" s="2" t="s">
        <v>84</v>
      </c>
      <c r="N1679" s="2" t="s">
        <v>84</v>
      </c>
      <c r="O1679" s="2" t="s">
        <v>841</v>
      </c>
      <c r="P1679" s="2" t="s">
        <v>2082</v>
      </c>
    </row>
    <row r="1680" spans="1:16" ht="22" customHeight="1" x14ac:dyDescent="0.15">
      <c r="A1680" s="10" t="str">
        <f t="shared" si="374"/>
        <v>467_10_5_10_polygon</v>
      </c>
      <c r="B1680" s="2">
        <v>467</v>
      </c>
      <c r="C1680" s="30" t="str">
        <f>VLOOKUP(B1680,gachas!A:C,3)</f>
        <v>全世界700万DL突破記念スペシャルガチャ第2弾</v>
      </c>
      <c r="D1680" s="21">
        <v>10</v>
      </c>
      <c r="E1680" s="2">
        <v>5</v>
      </c>
      <c r="F1680" s="2">
        <v>10</v>
      </c>
      <c r="G1680" s="3" t="s">
        <v>22</v>
      </c>
      <c r="H1680" s="2">
        <v>50</v>
      </c>
      <c r="I1680" s="117">
        <v>467105</v>
      </c>
      <c r="J1680" s="117">
        <v>467105</v>
      </c>
      <c r="K1680" s="2" t="s">
        <v>2020</v>
      </c>
      <c r="L1680" s="2">
        <v>0</v>
      </c>
      <c r="M1680" s="2" t="s">
        <v>84</v>
      </c>
      <c r="N1680" s="2" t="s">
        <v>84</v>
      </c>
      <c r="O1680" s="2" t="s">
        <v>841</v>
      </c>
      <c r="P1680" s="2" t="s">
        <v>2083</v>
      </c>
    </row>
    <row r="1681" spans="1:16" ht="22" customHeight="1" x14ac:dyDescent="0.15">
      <c r="A1681" s="10" t="str">
        <f t="shared" si="374"/>
        <v>467_10_0_10_polygon</v>
      </c>
      <c r="B1681" s="2">
        <v>467</v>
      </c>
      <c r="C1681" s="30" t="str">
        <f>VLOOKUP(B1681,gachas!A:C,3)</f>
        <v>全世界700万DL突破記念スペシャルガチャ第2弾</v>
      </c>
      <c r="D1681" s="21">
        <v>10</v>
      </c>
      <c r="E1681" s="2">
        <v>0</v>
      </c>
      <c r="F1681" s="2">
        <v>10</v>
      </c>
      <c r="G1681" s="3" t="s">
        <v>22</v>
      </c>
      <c r="H1681" s="2">
        <v>50</v>
      </c>
      <c r="I1681" s="117">
        <v>467100</v>
      </c>
      <c r="J1681" s="112" t="s">
        <v>84</v>
      </c>
      <c r="K1681" s="2" t="s">
        <v>2020</v>
      </c>
      <c r="L1681" s="2">
        <v>0</v>
      </c>
      <c r="M1681" s="2" t="s">
        <v>84</v>
      </c>
      <c r="N1681" s="2" t="s">
        <v>84</v>
      </c>
      <c r="O1681" s="2" t="s">
        <v>841</v>
      </c>
      <c r="P1681" s="2" t="s">
        <v>2084</v>
      </c>
    </row>
    <row r="1682" spans="1:16" ht="22" customHeight="1" x14ac:dyDescent="0.15">
      <c r="A1682" s="10" t="str">
        <f t="shared" ref="A1682:A1788" si="375">B1682&amp;"_"&amp;D1682&amp;"_"&amp;E1682&amp;"_"&amp;F1682&amp;"_"&amp;G1682</f>
        <v>468_1_0_1_polygon</v>
      </c>
      <c r="B1682" s="2">
        <v>468</v>
      </c>
      <c r="C1682" s="30" t="str">
        <f>VLOOKUP(B1682,gachas!A:C,3)</f>
        <v>全世界700万DL突破記念スペシャルガチャ第3弾</v>
      </c>
      <c r="D1682" s="21">
        <v>1</v>
      </c>
      <c r="E1682" s="2">
        <v>0</v>
      </c>
      <c r="F1682" s="2">
        <v>1</v>
      </c>
      <c r="G1682" s="3" t="s">
        <v>22</v>
      </c>
      <c r="H1682" s="2">
        <v>5</v>
      </c>
      <c r="I1682" s="117">
        <v>468010</v>
      </c>
      <c r="J1682" s="112" t="s">
        <v>84</v>
      </c>
      <c r="K1682" s="2" t="s">
        <v>116</v>
      </c>
      <c r="L1682" s="2">
        <v>0</v>
      </c>
      <c r="M1682" s="2" t="s">
        <v>84</v>
      </c>
      <c r="N1682" s="2" t="s">
        <v>84</v>
      </c>
      <c r="O1682" s="2" t="s">
        <v>841</v>
      </c>
      <c r="P1682" s="2" t="s">
        <v>116</v>
      </c>
    </row>
    <row r="1683" spans="1:16" ht="22" customHeight="1" x14ac:dyDescent="0.15">
      <c r="A1683" s="10" t="str">
        <f t="shared" si="375"/>
        <v>468_10_0_10_polygon</v>
      </c>
      <c r="B1683" s="2">
        <v>468</v>
      </c>
      <c r="C1683" s="30" t="str">
        <f>VLOOKUP(B1683,gachas!A:C,3)</f>
        <v>全世界700万DL突破記念スペシャルガチャ第3弾</v>
      </c>
      <c r="D1683" s="21">
        <v>10</v>
      </c>
      <c r="E1683" s="2">
        <v>0</v>
      </c>
      <c r="F1683" s="2">
        <v>10</v>
      </c>
      <c r="G1683" s="3" t="s">
        <v>22</v>
      </c>
      <c r="H1683" s="2">
        <v>50</v>
      </c>
      <c r="I1683" s="117">
        <v>468100</v>
      </c>
      <c r="J1683" s="112" t="s">
        <v>84</v>
      </c>
      <c r="K1683" s="2">
        <v>468105</v>
      </c>
      <c r="L1683" s="2">
        <v>1</v>
      </c>
      <c r="M1683" s="2" t="s">
        <v>84</v>
      </c>
      <c r="N1683" s="2" t="s">
        <v>84</v>
      </c>
      <c r="O1683" s="2" t="s">
        <v>841</v>
      </c>
      <c r="P1683" s="2" t="s">
        <v>428</v>
      </c>
    </row>
    <row r="1684" spans="1:16" ht="22" customHeight="1" x14ac:dyDescent="0.15">
      <c r="A1684" s="10" t="str">
        <f t="shared" si="375"/>
        <v>469_1_0_1_polygon</v>
      </c>
      <c r="B1684" s="2">
        <v>469</v>
      </c>
      <c r="C1684" s="30" t="str">
        <f>VLOOKUP(B1684,gachas!A:C,3)</f>
        <v>ピックアップカラーガチャ（黄）</v>
      </c>
      <c r="D1684" s="21">
        <v>1</v>
      </c>
      <c r="E1684" s="2">
        <v>0</v>
      </c>
      <c r="F1684" s="2">
        <v>1</v>
      </c>
      <c r="G1684" s="3" t="s">
        <v>22</v>
      </c>
      <c r="H1684" s="2">
        <v>5</v>
      </c>
      <c r="I1684" s="117">
        <v>469010</v>
      </c>
      <c r="J1684" s="112" t="s">
        <v>116</v>
      </c>
      <c r="K1684" s="2" t="s">
        <v>2065</v>
      </c>
      <c r="L1684" s="2">
        <v>0</v>
      </c>
      <c r="M1684" s="2" t="s">
        <v>84</v>
      </c>
      <c r="N1684" s="2" t="s">
        <v>84</v>
      </c>
      <c r="O1684" s="2" t="s">
        <v>841</v>
      </c>
      <c r="P1684" s="18" t="s">
        <v>116</v>
      </c>
    </row>
    <row r="1685" spans="1:16" ht="22" customHeight="1" x14ac:dyDescent="0.15">
      <c r="A1685" s="10" t="str">
        <f t="shared" si="375"/>
        <v>469_10_0_10_polygon</v>
      </c>
      <c r="B1685" s="2">
        <v>469</v>
      </c>
      <c r="C1685" s="30" t="str">
        <f>VLOOKUP(B1685,gachas!A:C,3)</f>
        <v>ピックアップカラーガチャ（黄）</v>
      </c>
      <c r="D1685" s="21">
        <v>10</v>
      </c>
      <c r="E1685" s="2">
        <v>0</v>
      </c>
      <c r="F1685" s="2">
        <v>10</v>
      </c>
      <c r="G1685" s="3" t="s">
        <v>22</v>
      </c>
      <c r="H1685" s="2">
        <v>50</v>
      </c>
      <c r="I1685" s="117">
        <v>469100</v>
      </c>
      <c r="J1685" s="112" t="s">
        <v>2092</v>
      </c>
      <c r="K1685" s="2" t="s">
        <v>2093</v>
      </c>
      <c r="L1685" s="2">
        <v>0</v>
      </c>
      <c r="M1685" s="2" t="s">
        <v>116</v>
      </c>
      <c r="N1685" s="2" t="s">
        <v>2094</v>
      </c>
      <c r="O1685" s="2" t="s">
        <v>2095</v>
      </c>
      <c r="P1685" s="2" t="s">
        <v>143</v>
      </c>
    </row>
    <row r="1686" spans="1:16" ht="22" customHeight="1" x14ac:dyDescent="0.15">
      <c r="A1686" s="10" t="str">
        <f t="shared" si="375"/>
        <v>469_10_1_10_polygon</v>
      </c>
      <c r="B1686" s="2">
        <v>469</v>
      </c>
      <c r="C1686" s="30" t="str">
        <f>VLOOKUP(B1686,gachas!A:C,3)</f>
        <v>ピックアップカラーガチャ（黄）</v>
      </c>
      <c r="D1686" s="21">
        <v>10</v>
      </c>
      <c r="E1686" s="2">
        <f>E1685+1</f>
        <v>1</v>
      </c>
      <c r="F1686" s="2">
        <v>10</v>
      </c>
      <c r="G1686" s="3" t="s">
        <v>22</v>
      </c>
      <c r="H1686" s="2">
        <v>25</v>
      </c>
      <c r="I1686" s="117">
        <v>469100</v>
      </c>
      <c r="J1686" s="112" t="s">
        <v>2092</v>
      </c>
      <c r="K1686" s="2" t="s">
        <v>2093</v>
      </c>
      <c r="L1686" s="2">
        <v>0</v>
      </c>
      <c r="M1686" s="2" t="s">
        <v>116</v>
      </c>
      <c r="N1686" s="2" t="s">
        <v>2094</v>
      </c>
      <c r="O1686" s="2" t="s">
        <v>2095</v>
      </c>
      <c r="P1686" s="59" t="s">
        <v>1783</v>
      </c>
    </row>
    <row r="1687" spans="1:16" ht="22" customHeight="1" x14ac:dyDescent="0.15">
      <c r="A1687" s="10" t="str">
        <f t="shared" si="375"/>
        <v>469_10_2_10_polygon</v>
      </c>
      <c r="B1687" s="2">
        <v>469</v>
      </c>
      <c r="C1687" s="30" t="str">
        <f>VLOOKUP(B1687,gachas!A:C,3)</f>
        <v>ピックアップカラーガチャ（黄）</v>
      </c>
      <c r="D1687" s="21">
        <v>10</v>
      </c>
      <c r="E1687" s="2">
        <f t="shared" ref="E1687:E1735" si="376">E1686+1</f>
        <v>2</v>
      </c>
      <c r="F1687" s="2">
        <v>10</v>
      </c>
      <c r="G1687" s="3" t="s">
        <v>22</v>
      </c>
      <c r="H1687" s="2">
        <v>50</v>
      </c>
      <c r="I1687" s="117">
        <v>469100</v>
      </c>
      <c r="J1687" s="112" t="s">
        <v>2092</v>
      </c>
      <c r="K1687" s="2" t="s">
        <v>2093</v>
      </c>
      <c r="L1687" s="2">
        <v>0</v>
      </c>
      <c r="M1687" s="2" t="s">
        <v>116</v>
      </c>
      <c r="N1687" s="2" t="s">
        <v>2094</v>
      </c>
      <c r="O1687" s="2" t="s">
        <v>2095</v>
      </c>
      <c r="P1687" s="2" t="s">
        <v>143</v>
      </c>
    </row>
    <row r="1688" spans="1:16" ht="22" customHeight="1" x14ac:dyDescent="0.15">
      <c r="A1688" s="10" t="str">
        <f t="shared" si="375"/>
        <v>469_10_3_10_polygon</v>
      </c>
      <c r="B1688" s="2">
        <v>469</v>
      </c>
      <c r="C1688" s="30" t="str">
        <f>VLOOKUP(B1688,gachas!A:C,3)</f>
        <v>ピックアップカラーガチャ（黄）</v>
      </c>
      <c r="D1688" s="21">
        <v>10</v>
      </c>
      <c r="E1688" s="2">
        <f t="shared" si="376"/>
        <v>3</v>
      </c>
      <c r="F1688" s="2">
        <v>10</v>
      </c>
      <c r="G1688" s="3" t="s">
        <v>22</v>
      </c>
      <c r="H1688" s="2">
        <v>50</v>
      </c>
      <c r="I1688" s="117">
        <v>469100</v>
      </c>
      <c r="J1688" s="112" t="s">
        <v>2092</v>
      </c>
      <c r="K1688" s="2" t="s">
        <v>2093</v>
      </c>
      <c r="L1688" s="2">
        <v>0</v>
      </c>
      <c r="M1688" s="2" t="s">
        <v>116</v>
      </c>
      <c r="N1688" s="2" t="s">
        <v>2094</v>
      </c>
      <c r="O1688" s="2" t="s">
        <v>2095</v>
      </c>
      <c r="P1688" s="2" t="s">
        <v>143</v>
      </c>
    </row>
    <row r="1689" spans="1:16" ht="22" customHeight="1" x14ac:dyDescent="0.15">
      <c r="A1689" s="10" t="str">
        <f t="shared" si="375"/>
        <v>469_10_4_10_polygon</v>
      </c>
      <c r="B1689" s="2">
        <v>469</v>
      </c>
      <c r="C1689" s="30" t="str">
        <f>VLOOKUP(B1689,gachas!A:C,3)</f>
        <v>ピックアップカラーガチャ（黄）</v>
      </c>
      <c r="D1689" s="21">
        <v>10</v>
      </c>
      <c r="E1689" s="2">
        <f t="shared" si="376"/>
        <v>4</v>
      </c>
      <c r="F1689" s="2">
        <v>10</v>
      </c>
      <c r="G1689" s="3" t="s">
        <v>22</v>
      </c>
      <c r="H1689" s="2">
        <v>50</v>
      </c>
      <c r="I1689" s="117">
        <v>469100</v>
      </c>
      <c r="J1689" s="112" t="s">
        <v>2092</v>
      </c>
      <c r="K1689" s="2" t="s">
        <v>2093</v>
      </c>
      <c r="L1689" s="2">
        <v>0</v>
      </c>
      <c r="M1689" s="2" t="s">
        <v>116</v>
      </c>
      <c r="N1689" s="2" t="s">
        <v>2094</v>
      </c>
      <c r="O1689" s="2" t="s">
        <v>2095</v>
      </c>
      <c r="P1689" s="2" t="s">
        <v>143</v>
      </c>
    </row>
    <row r="1690" spans="1:16" ht="22" customHeight="1" x14ac:dyDescent="0.15">
      <c r="A1690" s="10" t="str">
        <f t="shared" si="375"/>
        <v>469_10_5_10_polygon</v>
      </c>
      <c r="B1690" s="2">
        <v>469</v>
      </c>
      <c r="C1690" s="30" t="str">
        <f>VLOOKUP(B1690,gachas!A:C,3)</f>
        <v>ピックアップカラーガチャ（黄）</v>
      </c>
      <c r="D1690" s="21">
        <v>10</v>
      </c>
      <c r="E1690" s="2">
        <f t="shared" si="376"/>
        <v>5</v>
      </c>
      <c r="F1690" s="2">
        <v>10</v>
      </c>
      <c r="G1690" s="3" t="s">
        <v>22</v>
      </c>
      <c r="H1690" s="2">
        <v>50</v>
      </c>
      <c r="I1690" s="117">
        <v>469100</v>
      </c>
      <c r="J1690" s="112" t="s">
        <v>2092</v>
      </c>
      <c r="K1690" s="2">
        <v>469105</v>
      </c>
      <c r="L1690" s="2">
        <v>1</v>
      </c>
      <c r="M1690" s="2" t="s">
        <v>116</v>
      </c>
      <c r="N1690" s="2" t="s">
        <v>2094</v>
      </c>
      <c r="O1690" s="2" t="s">
        <v>2095</v>
      </c>
      <c r="P1690" s="2" t="s">
        <v>1781</v>
      </c>
    </row>
    <row r="1691" spans="1:16" ht="22" customHeight="1" x14ac:dyDescent="0.15">
      <c r="A1691" s="10" t="str">
        <f t="shared" si="375"/>
        <v>469_10_6_10_polygon</v>
      </c>
      <c r="B1691" s="2">
        <v>469</v>
      </c>
      <c r="C1691" s="30" t="str">
        <f>VLOOKUP(B1691,gachas!A:C,3)</f>
        <v>ピックアップカラーガチャ（黄）</v>
      </c>
      <c r="D1691" s="21">
        <v>10</v>
      </c>
      <c r="E1691" s="2">
        <f t="shared" si="376"/>
        <v>6</v>
      </c>
      <c r="F1691" s="2">
        <v>10</v>
      </c>
      <c r="G1691" s="3" t="s">
        <v>22</v>
      </c>
      <c r="H1691" s="2">
        <v>25</v>
      </c>
      <c r="I1691" s="117">
        <v>469100</v>
      </c>
      <c r="J1691" s="112" t="s">
        <v>2092</v>
      </c>
      <c r="K1691" s="2" t="s">
        <v>2093</v>
      </c>
      <c r="L1691" s="2">
        <v>0</v>
      </c>
      <c r="M1691" s="2" t="s">
        <v>116</v>
      </c>
      <c r="N1691" s="2" t="s">
        <v>2094</v>
      </c>
      <c r="O1691" s="2" t="s">
        <v>2095</v>
      </c>
      <c r="P1691" s="59" t="s">
        <v>1783</v>
      </c>
    </row>
    <row r="1692" spans="1:16" ht="22" customHeight="1" x14ac:dyDescent="0.15">
      <c r="A1692" s="10" t="str">
        <f t="shared" si="375"/>
        <v>469_10_7_10_polygon</v>
      </c>
      <c r="B1692" s="2">
        <v>469</v>
      </c>
      <c r="C1692" s="30" t="str">
        <f>VLOOKUP(B1692,gachas!A:C,3)</f>
        <v>ピックアップカラーガチャ（黄）</v>
      </c>
      <c r="D1692" s="21">
        <v>10</v>
      </c>
      <c r="E1692" s="2">
        <f t="shared" si="376"/>
        <v>7</v>
      </c>
      <c r="F1692" s="2">
        <v>10</v>
      </c>
      <c r="G1692" s="3" t="s">
        <v>22</v>
      </c>
      <c r="H1692" s="2">
        <v>50</v>
      </c>
      <c r="I1692" s="117">
        <v>469100</v>
      </c>
      <c r="J1692" s="112" t="s">
        <v>2092</v>
      </c>
      <c r="K1692" s="2" t="s">
        <v>2093</v>
      </c>
      <c r="L1692" s="2">
        <v>0</v>
      </c>
      <c r="M1692" s="2" t="s">
        <v>116</v>
      </c>
      <c r="N1692" s="2" t="s">
        <v>2094</v>
      </c>
      <c r="O1692" s="2" t="s">
        <v>2095</v>
      </c>
      <c r="P1692" s="2" t="s">
        <v>143</v>
      </c>
    </row>
    <row r="1693" spans="1:16" ht="22" customHeight="1" x14ac:dyDescent="0.15">
      <c r="A1693" s="10" t="str">
        <f t="shared" si="375"/>
        <v>469_10_8_10_polygon</v>
      </c>
      <c r="B1693" s="2">
        <v>469</v>
      </c>
      <c r="C1693" s="30" t="str">
        <f>VLOOKUP(B1693,gachas!A:C,3)</f>
        <v>ピックアップカラーガチャ（黄）</v>
      </c>
      <c r="D1693" s="21">
        <v>10</v>
      </c>
      <c r="E1693" s="2">
        <f t="shared" si="376"/>
        <v>8</v>
      </c>
      <c r="F1693" s="2">
        <v>10</v>
      </c>
      <c r="G1693" s="3" t="s">
        <v>22</v>
      </c>
      <c r="H1693" s="2">
        <v>50</v>
      </c>
      <c r="I1693" s="117">
        <v>469100</v>
      </c>
      <c r="J1693" s="112" t="s">
        <v>2092</v>
      </c>
      <c r="K1693" s="2" t="s">
        <v>2093</v>
      </c>
      <c r="L1693" s="2">
        <v>0</v>
      </c>
      <c r="M1693" s="2" t="s">
        <v>116</v>
      </c>
      <c r="N1693" s="2" t="s">
        <v>2094</v>
      </c>
      <c r="O1693" s="2" t="s">
        <v>2095</v>
      </c>
      <c r="P1693" s="2" t="s">
        <v>143</v>
      </c>
    </row>
    <row r="1694" spans="1:16" ht="22" customHeight="1" x14ac:dyDescent="0.15">
      <c r="A1694" s="10" t="str">
        <f t="shared" si="375"/>
        <v>469_10_9_10_polygon</v>
      </c>
      <c r="B1694" s="2">
        <v>469</v>
      </c>
      <c r="C1694" s="30" t="str">
        <f>VLOOKUP(B1694,gachas!A:C,3)</f>
        <v>ピックアップカラーガチャ（黄）</v>
      </c>
      <c r="D1694" s="21">
        <v>10</v>
      </c>
      <c r="E1694" s="2">
        <f t="shared" si="376"/>
        <v>9</v>
      </c>
      <c r="F1694" s="2">
        <v>10</v>
      </c>
      <c r="G1694" s="3" t="s">
        <v>22</v>
      </c>
      <c r="H1694" s="2">
        <v>50</v>
      </c>
      <c r="I1694" s="117">
        <v>469100</v>
      </c>
      <c r="J1694" s="112" t="s">
        <v>2092</v>
      </c>
      <c r="K1694" s="2" t="s">
        <v>2093</v>
      </c>
      <c r="L1694" s="2">
        <v>0</v>
      </c>
      <c r="M1694" s="2" t="s">
        <v>116</v>
      </c>
      <c r="N1694" s="2" t="s">
        <v>2094</v>
      </c>
      <c r="O1694" s="2" t="s">
        <v>2095</v>
      </c>
      <c r="P1694" s="2" t="s">
        <v>143</v>
      </c>
    </row>
    <row r="1695" spans="1:16" ht="22" customHeight="1" x14ac:dyDescent="0.15">
      <c r="A1695" s="10" t="str">
        <f t="shared" si="375"/>
        <v>469_10_10_10_polygon</v>
      </c>
      <c r="B1695" s="2">
        <v>469</v>
      </c>
      <c r="C1695" s="30" t="str">
        <f>VLOOKUP(B1695,gachas!A:C,3)</f>
        <v>ピックアップカラーガチャ（黄）</v>
      </c>
      <c r="D1695" s="21">
        <v>10</v>
      </c>
      <c r="E1695" s="2">
        <f t="shared" si="376"/>
        <v>10</v>
      </c>
      <c r="F1695" s="2">
        <v>10</v>
      </c>
      <c r="G1695" s="3" t="s">
        <v>22</v>
      </c>
      <c r="H1695" s="2">
        <v>50</v>
      </c>
      <c r="I1695" s="117">
        <v>469100</v>
      </c>
      <c r="J1695" s="112" t="s">
        <v>2092</v>
      </c>
      <c r="K1695" s="2">
        <v>469105</v>
      </c>
      <c r="L1695" s="2">
        <v>1</v>
      </c>
      <c r="M1695" s="2" t="s">
        <v>116</v>
      </c>
      <c r="N1695" s="2" t="s">
        <v>2094</v>
      </c>
      <c r="O1695" s="2" t="s">
        <v>2095</v>
      </c>
      <c r="P1695" s="2" t="s">
        <v>1781</v>
      </c>
    </row>
    <row r="1696" spans="1:16" ht="22" customHeight="1" x14ac:dyDescent="0.15">
      <c r="A1696" s="10" t="str">
        <f t="shared" si="375"/>
        <v>469_10_11_10_polygon</v>
      </c>
      <c r="B1696" s="2">
        <v>469</v>
      </c>
      <c r="C1696" s="30" t="str">
        <f>VLOOKUP(B1696,gachas!A:C,3)</f>
        <v>ピックアップカラーガチャ（黄）</v>
      </c>
      <c r="D1696" s="21">
        <v>10</v>
      </c>
      <c r="E1696" s="2">
        <f t="shared" si="376"/>
        <v>11</v>
      </c>
      <c r="F1696" s="2">
        <v>10</v>
      </c>
      <c r="G1696" s="3" t="s">
        <v>22</v>
      </c>
      <c r="H1696" s="2">
        <v>25</v>
      </c>
      <c r="I1696" s="117">
        <v>469100</v>
      </c>
      <c r="J1696" s="112" t="s">
        <v>2092</v>
      </c>
      <c r="K1696" s="2" t="s">
        <v>2093</v>
      </c>
      <c r="L1696" s="2">
        <v>0</v>
      </c>
      <c r="M1696" s="2" t="s">
        <v>116</v>
      </c>
      <c r="N1696" s="2" t="s">
        <v>2094</v>
      </c>
      <c r="O1696" s="2" t="s">
        <v>2095</v>
      </c>
      <c r="P1696" s="59" t="s">
        <v>1783</v>
      </c>
    </row>
    <row r="1697" spans="1:16" ht="22" customHeight="1" x14ac:dyDescent="0.15">
      <c r="A1697" s="10" t="str">
        <f t="shared" si="375"/>
        <v>469_10_12_10_polygon</v>
      </c>
      <c r="B1697" s="2">
        <v>469</v>
      </c>
      <c r="C1697" s="30" t="str">
        <f>VLOOKUP(B1697,gachas!A:C,3)</f>
        <v>ピックアップカラーガチャ（黄）</v>
      </c>
      <c r="D1697" s="21">
        <v>10</v>
      </c>
      <c r="E1697" s="2">
        <f t="shared" si="376"/>
        <v>12</v>
      </c>
      <c r="F1697" s="2">
        <v>10</v>
      </c>
      <c r="G1697" s="3" t="s">
        <v>22</v>
      </c>
      <c r="H1697" s="2">
        <v>50</v>
      </c>
      <c r="I1697" s="117">
        <v>469100</v>
      </c>
      <c r="J1697" s="112" t="s">
        <v>2092</v>
      </c>
      <c r="K1697" s="2" t="s">
        <v>2093</v>
      </c>
      <c r="L1697" s="2">
        <v>0</v>
      </c>
      <c r="M1697" s="2" t="s">
        <v>116</v>
      </c>
      <c r="N1697" s="2" t="s">
        <v>2094</v>
      </c>
      <c r="O1697" s="2" t="s">
        <v>2095</v>
      </c>
      <c r="P1697" s="2" t="s">
        <v>143</v>
      </c>
    </row>
    <row r="1698" spans="1:16" ht="22" customHeight="1" x14ac:dyDescent="0.15">
      <c r="A1698" s="10" t="str">
        <f t="shared" si="375"/>
        <v>469_10_13_10_polygon</v>
      </c>
      <c r="B1698" s="2">
        <v>469</v>
      </c>
      <c r="C1698" s="30" t="str">
        <f>VLOOKUP(B1698,gachas!A:C,3)</f>
        <v>ピックアップカラーガチャ（黄）</v>
      </c>
      <c r="D1698" s="21">
        <v>10</v>
      </c>
      <c r="E1698" s="2">
        <f t="shared" si="376"/>
        <v>13</v>
      </c>
      <c r="F1698" s="2">
        <v>10</v>
      </c>
      <c r="G1698" s="3" t="s">
        <v>22</v>
      </c>
      <c r="H1698" s="2">
        <v>50</v>
      </c>
      <c r="I1698" s="117">
        <v>469100</v>
      </c>
      <c r="J1698" s="112" t="s">
        <v>2092</v>
      </c>
      <c r="K1698" s="2" t="s">
        <v>2093</v>
      </c>
      <c r="L1698" s="2">
        <v>0</v>
      </c>
      <c r="M1698" s="2" t="s">
        <v>116</v>
      </c>
      <c r="N1698" s="2" t="s">
        <v>2094</v>
      </c>
      <c r="O1698" s="2" t="s">
        <v>2095</v>
      </c>
      <c r="P1698" s="2" t="s">
        <v>143</v>
      </c>
    </row>
    <row r="1699" spans="1:16" ht="22" customHeight="1" x14ac:dyDescent="0.15">
      <c r="A1699" s="10" t="str">
        <f t="shared" si="375"/>
        <v>469_10_14_10_polygon</v>
      </c>
      <c r="B1699" s="2">
        <v>469</v>
      </c>
      <c r="C1699" s="30" t="str">
        <f>VLOOKUP(B1699,gachas!A:C,3)</f>
        <v>ピックアップカラーガチャ（黄）</v>
      </c>
      <c r="D1699" s="21">
        <v>10</v>
      </c>
      <c r="E1699" s="2">
        <f t="shared" si="376"/>
        <v>14</v>
      </c>
      <c r="F1699" s="2">
        <v>10</v>
      </c>
      <c r="G1699" s="3" t="s">
        <v>22</v>
      </c>
      <c r="H1699" s="2">
        <v>50</v>
      </c>
      <c r="I1699" s="117">
        <v>469100</v>
      </c>
      <c r="J1699" s="112" t="s">
        <v>2092</v>
      </c>
      <c r="K1699" s="2" t="s">
        <v>2093</v>
      </c>
      <c r="L1699" s="2">
        <v>0</v>
      </c>
      <c r="M1699" s="2" t="s">
        <v>116</v>
      </c>
      <c r="N1699" s="2" t="s">
        <v>2094</v>
      </c>
      <c r="O1699" s="2" t="s">
        <v>2095</v>
      </c>
      <c r="P1699" s="2" t="s">
        <v>143</v>
      </c>
    </row>
    <row r="1700" spans="1:16" ht="22" customHeight="1" x14ac:dyDescent="0.15">
      <c r="A1700" s="10" t="str">
        <f t="shared" si="375"/>
        <v>469_10_15_10_polygon</v>
      </c>
      <c r="B1700" s="2">
        <v>469</v>
      </c>
      <c r="C1700" s="30" t="str">
        <f>VLOOKUP(B1700,gachas!A:C,3)</f>
        <v>ピックアップカラーガチャ（黄）</v>
      </c>
      <c r="D1700" s="21">
        <v>10</v>
      </c>
      <c r="E1700" s="2">
        <f t="shared" si="376"/>
        <v>15</v>
      </c>
      <c r="F1700" s="2">
        <v>10</v>
      </c>
      <c r="G1700" s="3" t="s">
        <v>22</v>
      </c>
      <c r="H1700" s="2">
        <v>50</v>
      </c>
      <c r="I1700" s="117">
        <v>469100</v>
      </c>
      <c r="J1700" s="112" t="s">
        <v>2092</v>
      </c>
      <c r="K1700" s="2">
        <v>469105</v>
      </c>
      <c r="L1700" s="2">
        <v>1</v>
      </c>
      <c r="M1700" s="2" t="s">
        <v>116</v>
      </c>
      <c r="N1700" s="2" t="s">
        <v>2094</v>
      </c>
      <c r="O1700" s="2" t="s">
        <v>2095</v>
      </c>
      <c r="P1700" s="2" t="s">
        <v>1781</v>
      </c>
    </row>
    <row r="1701" spans="1:16" ht="22" customHeight="1" x14ac:dyDescent="0.15">
      <c r="A1701" s="10" t="str">
        <f t="shared" si="375"/>
        <v>469_10_16_10_polygon</v>
      </c>
      <c r="B1701" s="2">
        <v>469</v>
      </c>
      <c r="C1701" s="30" t="str">
        <f>VLOOKUP(B1701,gachas!A:C,3)</f>
        <v>ピックアップカラーガチャ（黄）</v>
      </c>
      <c r="D1701" s="21">
        <v>10</v>
      </c>
      <c r="E1701" s="2">
        <f t="shared" si="376"/>
        <v>16</v>
      </c>
      <c r="F1701" s="2">
        <v>10</v>
      </c>
      <c r="G1701" s="3" t="s">
        <v>22</v>
      </c>
      <c r="H1701" s="2">
        <v>25</v>
      </c>
      <c r="I1701" s="117">
        <v>469100</v>
      </c>
      <c r="J1701" s="112" t="s">
        <v>2092</v>
      </c>
      <c r="K1701" s="2" t="s">
        <v>2093</v>
      </c>
      <c r="L1701" s="2">
        <v>0</v>
      </c>
      <c r="M1701" s="2" t="s">
        <v>116</v>
      </c>
      <c r="N1701" s="2" t="s">
        <v>2094</v>
      </c>
      <c r="O1701" s="2" t="s">
        <v>2095</v>
      </c>
      <c r="P1701" s="59" t="s">
        <v>1783</v>
      </c>
    </row>
    <row r="1702" spans="1:16" ht="22" customHeight="1" x14ac:dyDescent="0.15">
      <c r="A1702" s="10" t="str">
        <f t="shared" si="375"/>
        <v>469_10_17_10_polygon</v>
      </c>
      <c r="B1702" s="2">
        <v>469</v>
      </c>
      <c r="C1702" s="30" t="str">
        <f>VLOOKUP(B1702,gachas!A:C,3)</f>
        <v>ピックアップカラーガチャ（黄）</v>
      </c>
      <c r="D1702" s="21">
        <v>10</v>
      </c>
      <c r="E1702" s="2">
        <f t="shared" si="376"/>
        <v>17</v>
      </c>
      <c r="F1702" s="2">
        <v>10</v>
      </c>
      <c r="G1702" s="3" t="s">
        <v>22</v>
      </c>
      <c r="H1702" s="2">
        <v>50</v>
      </c>
      <c r="I1702" s="117">
        <v>469100</v>
      </c>
      <c r="J1702" s="112" t="s">
        <v>2092</v>
      </c>
      <c r="K1702" s="2" t="s">
        <v>2093</v>
      </c>
      <c r="L1702" s="2">
        <v>0</v>
      </c>
      <c r="M1702" s="2" t="s">
        <v>116</v>
      </c>
      <c r="N1702" s="2" t="s">
        <v>2094</v>
      </c>
      <c r="O1702" s="2" t="s">
        <v>2095</v>
      </c>
      <c r="P1702" s="2" t="s">
        <v>143</v>
      </c>
    </row>
    <row r="1703" spans="1:16" ht="22" customHeight="1" x14ac:dyDescent="0.15">
      <c r="A1703" s="10" t="str">
        <f t="shared" si="375"/>
        <v>469_10_18_10_polygon</v>
      </c>
      <c r="B1703" s="2">
        <v>469</v>
      </c>
      <c r="C1703" s="30" t="str">
        <f>VLOOKUP(B1703,gachas!A:C,3)</f>
        <v>ピックアップカラーガチャ（黄）</v>
      </c>
      <c r="D1703" s="21">
        <v>10</v>
      </c>
      <c r="E1703" s="2">
        <f t="shared" si="376"/>
        <v>18</v>
      </c>
      <c r="F1703" s="2">
        <v>10</v>
      </c>
      <c r="G1703" s="3" t="s">
        <v>22</v>
      </c>
      <c r="H1703" s="2">
        <v>50</v>
      </c>
      <c r="I1703" s="117">
        <v>469100</v>
      </c>
      <c r="J1703" s="112" t="s">
        <v>2092</v>
      </c>
      <c r="K1703" s="2" t="s">
        <v>2093</v>
      </c>
      <c r="L1703" s="2">
        <v>0</v>
      </c>
      <c r="M1703" s="2" t="s">
        <v>116</v>
      </c>
      <c r="N1703" s="2" t="s">
        <v>2094</v>
      </c>
      <c r="O1703" s="2" t="s">
        <v>2095</v>
      </c>
      <c r="P1703" s="2" t="s">
        <v>143</v>
      </c>
    </row>
    <row r="1704" spans="1:16" ht="22" customHeight="1" x14ac:dyDescent="0.15">
      <c r="A1704" s="10" t="str">
        <f t="shared" si="375"/>
        <v>469_10_19_10_polygon</v>
      </c>
      <c r="B1704" s="2">
        <v>469</v>
      </c>
      <c r="C1704" s="30" t="str">
        <f>VLOOKUP(B1704,gachas!A:C,3)</f>
        <v>ピックアップカラーガチャ（黄）</v>
      </c>
      <c r="D1704" s="21">
        <v>10</v>
      </c>
      <c r="E1704" s="2">
        <f t="shared" si="376"/>
        <v>19</v>
      </c>
      <c r="F1704" s="2">
        <v>10</v>
      </c>
      <c r="G1704" s="3" t="s">
        <v>22</v>
      </c>
      <c r="H1704" s="2">
        <v>50</v>
      </c>
      <c r="I1704" s="117">
        <v>469100</v>
      </c>
      <c r="J1704" s="112" t="s">
        <v>2092</v>
      </c>
      <c r="K1704" s="2" t="s">
        <v>2093</v>
      </c>
      <c r="L1704" s="2">
        <v>0</v>
      </c>
      <c r="M1704" s="2" t="s">
        <v>116</v>
      </c>
      <c r="N1704" s="2" t="s">
        <v>2094</v>
      </c>
      <c r="O1704" s="2" t="s">
        <v>2095</v>
      </c>
      <c r="P1704" s="2" t="s">
        <v>143</v>
      </c>
    </row>
    <row r="1705" spans="1:16" ht="22" customHeight="1" x14ac:dyDescent="0.15">
      <c r="A1705" s="10" t="str">
        <f t="shared" si="375"/>
        <v>469_10_20_10_polygon</v>
      </c>
      <c r="B1705" s="2">
        <v>469</v>
      </c>
      <c r="C1705" s="30" t="str">
        <f>VLOOKUP(B1705,gachas!A:C,3)</f>
        <v>ピックアップカラーガチャ（黄）</v>
      </c>
      <c r="D1705" s="21">
        <v>10</v>
      </c>
      <c r="E1705" s="2">
        <f t="shared" si="376"/>
        <v>20</v>
      </c>
      <c r="F1705" s="2">
        <v>10</v>
      </c>
      <c r="G1705" s="3" t="s">
        <v>22</v>
      </c>
      <c r="H1705" s="2">
        <v>50</v>
      </c>
      <c r="I1705" s="117">
        <v>469100</v>
      </c>
      <c r="J1705" s="112" t="s">
        <v>2092</v>
      </c>
      <c r="K1705" s="2">
        <v>469105</v>
      </c>
      <c r="L1705" s="2">
        <v>1</v>
      </c>
      <c r="M1705" s="2" t="s">
        <v>116</v>
      </c>
      <c r="N1705" s="2" t="s">
        <v>2094</v>
      </c>
      <c r="O1705" s="2" t="s">
        <v>2095</v>
      </c>
      <c r="P1705" s="2" t="s">
        <v>1781</v>
      </c>
    </row>
    <row r="1706" spans="1:16" ht="22" customHeight="1" x14ac:dyDescent="0.15">
      <c r="A1706" s="10" t="str">
        <f t="shared" si="375"/>
        <v>469_10_21_10_polygon</v>
      </c>
      <c r="B1706" s="2">
        <v>469</v>
      </c>
      <c r="C1706" s="30" t="str">
        <f>VLOOKUP(B1706,gachas!A:C,3)</f>
        <v>ピックアップカラーガチャ（黄）</v>
      </c>
      <c r="D1706" s="21">
        <v>10</v>
      </c>
      <c r="E1706" s="2">
        <f t="shared" si="376"/>
        <v>21</v>
      </c>
      <c r="F1706" s="2">
        <v>10</v>
      </c>
      <c r="G1706" s="3" t="s">
        <v>22</v>
      </c>
      <c r="H1706" s="2">
        <v>25</v>
      </c>
      <c r="I1706" s="117">
        <v>469100</v>
      </c>
      <c r="J1706" s="112" t="s">
        <v>2092</v>
      </c>
      <c r="K1706" s="2" t="s">
        <v>2093</v>
      </c>
      <c r="L1706" s="2">
        <v>0</v>
      </c>
      <c r="M1706" s="2" t="s">
        <v>116</v>
      </c>
      <c r="N1706" s="2" t="s">
        <v>2094</v>
      </c>
      <c r="O1706" s="2" t="s">
        <v>2095</v>
      </c>
      <c r="P1706" s="59" t="s">
        <v>1783</v>
      </c>
    </row>
    <row r="1707" spans="1:16" ht="22" customHeight="1" x14ac:dyDescent="0.15">
      <c r="A1707" s="10" t="str">
        <f t="shared" si="375"/>
        <v>469_10_22_10_polygon</v>
      </c>
      <c r="B1707" s="2">
        <v>469</v>
      </c>
      <c r="C1707" s="30" t="str">
        <f>VLOOKUP(B1707,gachas!A:C,3)</f>
        <v>ピックアップカラーガチャ（黄）</v>
      </c>
      <c r="D1707" s="21">
        <v>10</v>
      </c>
      <c r="E1707" s="2">
        <f t="shared" si="376"/>
        <v>22</v>
      </c>
      <c r="F1707" s="2">
        <v>10</v>
      </c>
      <c r="G1707" s="3" t="s">
        <v>22</v>
      </c>
      <c r="H1707" s="2">
        <v>50</v>
      </c>
      <c r="I1707" s="117">
        <v>469100</v>
      </c>
      <c r="J1707" s="112" t="s">
        <v>2092</v>
      </c>
      <c r="K1707" s="2" t="s">
        <v>2093</v>
      </c>
      <c r="L1707" s="2">
        <v>0</v>
      </c>
      <c r="M1707" s="2" t="s">
        <v>116</v>
      </c>
      <c r="N1707" s="2" t="s">
        <v>2094</v>
      </c>
      <c r="O1707" s="2" t="s">
        <v>2095</v>
      </c>
      <c r="P1707" s="2" t="s">
        <v>143</v>
      </c>
    </row>
    <row r="1708" spans="1:16" ht="22" customHeight="1" x14ac:dyDescent="0.15">
      <c r="A1708" s="10" t="str">
        <f t="shared" si="375"/>
        <v>469_10_23_10_polygon</v>
      </c>
      <c r="B1708" s="2">
        <v>469</v>
      </c>
      <c r="C1708" s="30" t="str">
        <f>VLOOKUP(B1708,gachas!A:C,3)</f>
        <v>ピックアップカラーガチャ（黄）</v>
      </c>
      <c r="D1708" s="21">
        <v>10</v>
      </c>
      <c r="E1708" s="2">
        <f t="shared" si="376"/>
        <v>23</v>
      </c>
      <c r="F1708" s="2">
        <v>10</v>
      </c>
      <c r="G1708" s="3" t="s">
        <v>22</v>
      </c>
      <c r="H1708" s="2">
        <v>50</v>
      </c>
      <c r="I1708" s="117">
        <v>469100</v>
      </c>
      <c r="J1708" s="112" t="s">
        <v>2092</v>
      </c>
      <c r="K1708" s="2" t="s">
        <v>2093</v>
      </c>
      <c r="L1708" s="2">
        <v>0</v>
      </c>
      <c r="M1708" s="2" t="s">
        <v>116</v>
      </c>
      <c r="N1708" s="2" t="s">
        <v>2094</v>
      </c>
      <c r="O1708" s="2" t="s">
        <v>2095</v>
      </c>
      <c r="P1708" s="2" t="s">
        <v>143</v>
      </c>
    </row>
    <row r="1709" spans="1:16" ht="22" customHeight="1" x14ac:dyDescent="0.15">
      <c r="A1709" s="10" t="str">
        <f t="shared" si="375"/>
        <v>469_10_24_10_polygon</v>
      </c>
      <c r="B1709" s="2">
        <v>469</v>
      </c>
      <c r="C1709" s="30" t="str">
        <f>VLOOKUP(B1709,gachas!A:C,3)</f>
        <v>ピックアップカラーガチャ（黄）</v>
      </c>
      <c r="D1709" s="21">
        <v>10</v>
      </c>
      <c r="E1709" s="2">
        <f t="shared" si="376"/>
        <v>24</v>
      </c>
      <c r="F1709" s="2">
        <v>10</v>
      </c>
      <c r="G1709" s="3" t="s">
        <v>22</v>
      </c>
      <c r="H1709" s="2">
        <v>50</v>
      </c>
      <c r="I1709" s="117">
        <v>469100</v>
      </c>
      <c r="J1709" s="112" t="s">
        <v>2092</v>
      </c>
      <c r="K1709" s="2" t="s">
        <v>2093</v>
      </c>
      <c r="L1709" s="2">
        <v>0</v>
      </c>
      <c r="M1709" s="2" t="s">
        <v>116</v>
      </c>
      <c r="N1709" s="2" t="s">
        <v>2094</v>
      </c>
      <c r="O1709" s="2" t="s">
        <v>2095</v>
      </c>
      <c r="P1709" s="2" t="s">
        <v>143</v>
      </c>
    </row>
    <row r="1710" spans="1:16" ht="22" customHeight="1" x14ac:dyDescent="0.15">
      <c r="A1710" s="10" t="str">
        <f t="shared" si="375"/>
        <v>469_10_25_10_polygon</v>
      </c>
      <c r="B1710" s="2">
        <v>469</v>
      </c>
      <c r="C1710" s="30" t="str">
        <f>VLOOKUP(B1710,gachas!A:C,3)</f>
        <v>ピックアップカラーガチャ（黄）</v>
      </c>
      <c r="D1710" s="21">
        <v>10</v>
      </c>
      <c r="E1710" s="2">
        <f t="shared" si="376"/>
        <v>25</v>
      </c>
      <c r="F1710" s="2">
        <v>10</v>
      </c>
      <c r="G1710" s="3" t="s">
        <v>22</v>
      </c>
      <c r="H1710" s="2">
        <v>50</v>
      </c>
      <c r="I1710" s="117">
        <v>469100</v>
      </c>
      <c r="J1710" s="112" t="s">
        <v>2092</v>
      </c>
      <c r="K1710" s="2">
        <v>469105</v>
      </c>
      <c r="L1710" s="2">
        <v>1</v>
      </c>
      <c r="M1710" s="2" t="s">
        <v>116</v>
      </c>
      <c r="N1710" s="2" t="s">
        <v>2094</v>
      </c>
      <c r="O1710" s="2" t="s">
        <v>2095</v>
      </c>
      <c r="P1710" s="2" t="s">
        <v>1781</v>
      </c>
    </row>
    <row r="1711" spans="1:16" ht="22" customHeight="1" x14ac:dyDescent="0.15">
      <c r="A1711" s="10" t="str">
        <f t="shared" si="375"/>
        <v>469_10_26_10_polygon</v>
      </c>
      <c r="B1711" s="2">
        <v>469</v>
      </c>
      <c r="C1711" s="30" t="str">
        <f>VLOOKUP(B1711,gachas!A:C,3)</f>
        <v>ピックアップカラーガチャ（黄）</v>
      </c>
      <c r="D1711" s="21">
        <v>10</v>
      </c>
      <c r="E1711" s="2">
        <f t="shared" si="376"/>
        <v>26</v>
      </c>
      <c r="F1711" s="2">
        <v>10</v>
      </c>
      <c r="G1711" s="3" t="s">
        <v>22</v>
      </c>
      <c r="H1711" s="2">
        <v>25</v>
      </c>
      <c r="I1711" s="117">
        <v>469100</v>
      </c>
      <c r="J1711" s="112" t="s">
        <v>2092</v>
      </c>
      <c r="K1711" s="2" t="s">
        <v>2093</v>
      </c>
      <c r="L1711" s="2">
        <v>0</v>
      </c>
      <c r="M1711" s="2" t="s">
        <v>116</v>
      </c>
      <c r="N1711" s="2" t="s">
        <v>2094</v>
      </c>
      <c r="O1711" s="2" t="s">
        <v>2095</v>
      </c>
      <c r="P1711" s="59" t="s">
        <v>1783</v>
      </c>
    </row>
    <row r="1712" spans="1:16" ht="22" customHeight="1" x14ac:dyDescent="0.15">
      <c r="A1712" s="10" t="str">
        <f t="shared" si="375"/>
        <v>469_10_27_10_polygon</v>
      </c>
      <c r="B1712" s="2">
        <v>469</v>
      </c>
      <c r="C1712" s="30" t="str">
        <f>VLOOKUP(B1712,gachas!A:C,3)</f>
        <v>ピックアップカラーガチャ（黄）</v>
      </c>
      <c r="D1712" s="21">
        <v>10</v>
      </c>
      <c r="E1712" s="2">
        <f t="shared" si="376"/>
        <v>27</v>
      </c>
      <c r="F1712" s="2">
        <v>10</v>
      </c>
      <c r="G1712" s="3" t="s">
        <v>22</v>
      </c>
      <c r="H1712" s="2">
        <v>50</v>
      </c>
      <c r="I1712" s="117">
        <v>469100</v>
      </c>
      <c r="J1712" s="112" t="s">
        <v>2092</v>
      </c>
      <c r="K1712" s="2" t="s">
        <v>2093</v>
      </c>
      <c r="L1712" s="2">
        <v>0</v>
      </c>
      <c r="M1712" s="2" t="s">
        <v>116</v>
      </c>
      <c r="N1712" s="2" t="s">
        <v>2094</v>
      </c>
      <c r="O1712" s="2" t="s">
        <v>2095</v>
      </c>
      <c r="P1712" s="2" t="s">
        <v>143</v>
      </c>
    </row>
    <row r="1713" spans="1:16" ht="22" customHeight="1" x14ac:dyDescent="0.15">
      <c r="A1713" s="10" t="str">
        <f t="shared" si="375"/>
        <v>469_10_28_10_polygon</v>
      </c>
      <c r="B1713" s="2">
        <v>469</v>
      </c>
      <c r="C1713" s="30" t="str">
        <f>VLOOKUP(B1713,gachas!A:C,3)</f>
        <v>ピックアップカラーガチャ（黄）</v>
      </c>
      <c r="D1713" s="21">
        <v>10</v>
      </c>
      <c r="E1713" s="2">
        <f t="shared" si="376"/>
        <v>28</v>
      </c>
      <c r="F1713" s="2">
        <v>10</v>
      </c>
      <c r="G1713" s="3" t="s">
        <v>22</v>
      </c>
      <c r="H1713" s="2">
        <v>50</v>
      </c>
      <c r="I1713" s="117">
        <v>469100</v>
      </c>
      <c r="J1713" s="112" t="s">
        <v>2092</v>
      </c>
      <c r="K1713" s="2" t="s">
        <v>2093</v>
      </c>
      <c r="L1713" s="2">
        <v>0</v>
      </c>
      <c r="M1713" s="2" t="s">
        <v>116</v>
      </c>
      <c r="N1713" s="2" t="s">
        <v>2094</v>
      </c>
      <c r="O1713" s="2" t="s">
        <v>2095</v>
      </c>
      <c r="P1713" s="2" t="s">
        <v>143</v>
      </c>
    </row>
    <row r="1714" spans="1:16" ht="22" customHeight="1" x14ac:dyDescent="0.15">
      <c r="A1714" s="10" t="str">
        <f t="shared" si="375"/>
        <v>469_10_29_10_polygon</v>
      </c>
      <c r="B1714" s="2">
        <v>469</v>
      </c>
      <c r="C1714" s="30" t="str">
        <f>VLOOKUP(B1714,gachas!A:C,3)</f>
        <v>ピックアップカラーガチャ（黄）</v>
      </c>
      <c r="D1714" s="21">
        <v>10</v>
      </c>
      <c r="E1714" s="2">
        <f t="shared" si="376"/>
        <v>29</v>
      </c>
      <c r="F1714" s="2">
        <v>10</v>
      </c>
      <c r="G1714" s="3" t="s">
        <v>22</v>
      </c>
      <c r="H1714" s="2">
        <v>50</v>
      </c>
      <c r="I1714" s="117">
        <v>469100</v>
      </c>
      <c r="J1714" s="112" t="s">
        <v>2092</v>
      </c>
      <c r="K1714" s="2" t="s">
        <v>2093</v>
      </c>
      <c r="L1714" s="2">
        <v>0</v>
      </c>
      <c r="M1714" s="2" t="s">
        <v>116</v>
      </c>
      <c r="N1714" s="2" t="s">
        <v>2094</v>
      </c>
      <c r="O1714" s="2" t="s">
        <v>2095</v>
      </c>
      <c r="P1714" s="2" t="s">
        <v>143</v>
      </c>
    </row>
    <row r="1715" spans="1:16" ht="22" customHeight="1" x14ac:dyDescent="0.15">
      <c r="A1715" s="10" t="str">
        <f t="shared" si="375"/>
        <v>469_10_30_10_polygon</v>
      </c>
      <c r="B1715" s="2">
        <v>469</v>
      </c>
      <c r="C1715" s="30" t="str">
        <f>VLOOKUP(B1715,gachas!A:C,3)</f>
        <v>ピックアップカラーガチャ（黄）</v>
      </c>
      <c r="D1715" s="21">
        <v>10</v>
      </c>
      <c r="E1715" s="2">
        <f t="shared" si="376"/>
        <v>30</v>
      </c>
      <c r="F1715" s="2">
        <v>10</v>
      </c>
      <c r="G1715" s="3" t="s">
        <v>22</v>
      </c>
      <c r="H1715" s="2">
        <v>50</v>
      </c>
      <c r="I1715" s="117">
        <v>469100</v>
      </c>
      <c r="J1715" s="112" t="s">
        <v>2092</v>
      </c>
      <c r="K1715" s="2">
        <v>469105</v>
      </c>
      <c r="L1715" s="2">
        <v>1</v>
      </c>
      <c r="M1715" s="2" t="s">
        <v>116</v>
      </c>
      <c r="N1715" s="2" t="s">
        <v>2094</v>
      </c>
      <c r="O1715" s="2" t="s">
        <v>2095</v>
      </c>
      <c r="P1715" s="2" t="s">
        <v>1781</v>
      </c>
    </row>
    <row r="1716" spans="1:16" ht="22" customHeight="1" x14ac:dyDescent="0.15">
      <c r="A1716" s="10" t="str">
        <f t="shared" si="375"/>
        <v>469_10_31_10_polygon</v>
      </c>
      <c r="B1716" s="2">
        <v>469</v>
      </c>
      <c r="C1716" s="30" t="str">
        <f>VLOOKUP(B1716,gachas!A:C,3)</f>
        <v>ピックアップカラーガチャ（黄）</v>
      </c>
      <c r="D1716" s="21">
        <v>10</v>
      </c>
      <c r="E1716" s="2">
        <f t="shared" si="376"/>
        <v>31</v>
      </c>
      <c r="F1716" s="2">
        <v>10</v>
      </c>
      <c r="G1716" s="3" t="s">
        <v>22</v>
      </c>
      <c r="H1716" s="2">
        <v>25</v>
      </c>
      <c r="I1716" s="117">
        <v>469100</v>
      </c>
      <c r="J1716" s="112" t="s">
        <v>2092</v>
      </c>
      <c r="K1716" s="2" t="s">
        <v>2093</v>
      </c>
      <c r="L1716" s="2">
        <v>0</v>
      </c>
      <c r="M1716" s="2" t="s">
        <v>116</v>
      </c>
      <c r="N1716" s="2" t="s">
        <v>2094</v>
      </c>
      <c r="O1716" s="2" t="s">
        <v>2095</v>
      </c>
      <c r="P1716" s="59" t="s">
        <v>1783</v>
      </c>
    </row>
    <row r="1717" spans="1:16" ht="22" customHeight="1" x14ac:dyDescent="0.15">
      <c r="A1717" s="10" t="str">
        <f t="shared" si="375"/>
        <v>469_10_32_10_polygon</v>
      </c>
      <c r="B1717" s="2">
        <v>469</v>
      </c>
      <c r="C1717" s="30" t="str">
        <f>VLOOKUP(B1717,gachas!A:C,3)</f>
        <v>ピックアップカラーガチャ（黄）</v>
      </c>
      <c r="D1717" s="21">
        <v>10</v>
      </c>
      <c r="E1717" s="2">
        <f t="shared" si="376"/>
        <v>32</v>
      </c>
      <c r="F1717" s="2">
        <v>10</v>
      </c>
      <c r="G1717" s="3" t="s">
        <v>22</v>
      </c>
      <c r="H1717" s="2">
        <v>50</v>
      </c>
      <c r="I1717" s="117">
        <v>469100</v>
      </c>
      <c r="J1717" s="112" t="s">
        <v>2092</v>
      </c>
      <c r="K1717" s="2" t="s">
        <v>2093</v>
      </c>
      <c r="L1717" s="2">
        <v>0</v>
      </c>
      <c r="M1717" s="2" t="s">
        <v>116</v>
      </c>
      <c r="N1717" s="2" t="s">
        <v>2094</v>
      </c>
      <c r="O1717" s="2" t="s">
        <v>2095</v>
      </c>
      <c r="P1717" s="2" t="s">
        <v>143</v>
      </c>
    </row>
    <row r="1718" spans="1:16" ht="22" customHeight="1" x14ac:dyDescent="0.15">
      <c r="A1718" s="10" t="str">
        <f t="shared" si="375"/>
        <v>469_10_33_10_polygon</v>
      </c>
      <c r="B1718" s="2">
        <v>469</v>
      </c>
      <c r="C1718" s="30" t="str">
        <f>VLOOKUP(B1718,gachas!A:C,3)</f>
        <v>ピックアップカラーガチャ（黄）</v>
      </c>
      <c r="D1718" s="21">
        <v>10</v>
      </c>
      <c r="E1718" s="2">
        <f t="shared" si="376"/>
        <v>33</v>
      </c>
      <c r="F1718" s="2">
        <v>10</v>
      </c>
      <c r="G1718" s="3" t="s">
        <v>22</v>
      </c>
      <c r="H1718" s="2">
        <v>50</v>
      </c>
      <c r="I1718" s="117">
        <v>469100</v>
      </c>
      <c r="J1718" s="112" t="s">
        <v>2092</v>
      </c>
      <c r="K1718" s="2" t="s">
        <v>2093</v>
      </c>
      <c r="L1718" s="2">
        <v>0</v>
      </c>
      <c r="M1718" s="2" t="s">
        <v>116</v>
      </c>
      <c r="N1718" s="2" t="s">
        <v>2094</v>
      </c>
      <c r="O1718" s="2" t="s">
        <v>2095</v>
      </c>
      <c r="P1718" s="2" t="s">
        <v>143</v>
      </c>
    </row>
    <row r="1719" spans="1:16" ht="22" customHeight="1" x14ac:dyDescent="0.15">
      <c r="A1719" s="10" t="str">
        <f t="shared" si="375"/>
        <v>469_10_34_10_polygon</v>
      </c>
      <c r="B1719" s="2">
        <v>469</v>
      </c>
      <c r="C1719" s="30" t="str">
        <f>VLOOKUP(B1719,gachas!A:C,3)</f>
        <v>ピックアップカラーガチャ（黄）</v>
      </c>
      <c r="D1719" s="21">
        <v>10</v>
      </c>
      <c r="E1719" s="2">
        <f t="shared" si="376"/>
        <v>34</v>
      </c>
      <c r="F1719" s="2">
        <v>10</v>
      </c>
      <c r="G1719" s="3" t="s">
        <v>22</v>
      </c>
      <c r="H1719" s="2">
        <v>50</v>
      </c>
      <c r="I1719" s="117">
        <v>469100</v>
      </c>
      <c r="J1719" s="112" t="s">
        <v>2092</v>
      </c>
      <c r="K1719" s="2" t="s">
        <v>2093</v>
      </c>
      <c r="L1719" s="2">
        <v>0</v>
      </c>
      <c r="M1719" s="2" t="s">
        <v>116</v>
      </c>
      <c r="N1719" s="2" t="s">
        <v>2094</v>
      </c>
      <c r="O1719" s="2" t="s">
        <v>2095</v>
      </c>
      <c r="P1719" s="2" t="s">
        <v>143</v>
      </c>
    </row>
    <row r="1720" spans="1:16" ht="22" customHeight="1" x14ac:dyDescent="0.15">
      <c r="A1720" s="10" t="str">
        <f t="shared" si="375"/>
        <v>469_10_35_10_polygon</v>
      </c>
      <c r="B1720" s="2">
        <v>469</v>
      </c>
      <c r="C1720" s="30" t="str">
        <f>VLOOKUP(B1720,gachas!A:C,3)</f>
        <v>ピックアップカラーガチャ（黄）</v>
      </c>
      <c r="D1720" s="21">
        <v>10</v>
      </c>
      <c r="E1720" s="2">
        <f t="shared" si="376"/>
        <v>35</v>
      </c>
      <c r="F1720" s="2">
        <v>10</v>
      </c>
      <c r="G1720" s="3" t="s">
        <v>22</v>
      </c>
      <c r="H1720" s="2">
        <v>50</v>
      </c>
      <c r="I1720" s="117">
        <v>469100</v>
      </c>
      <c r="J1720" s="112" t="s">
        <v>2092</v>
      </c>
      <c r="K1720" s="2">
        <v>469105</v>
      </c>
      <c r="L1720" s="2">
        <v>1</v>
      </c>
      <c r="M1720" s="2" t="s">
        <v>116</v>
      </c>
      <c r="N1720" s="2" t="s">
        <v>2094</v>
      </c>
      <c r="O1720" s="2" t="s">
        <v>2095</v>
      </c>
      <c r="P1720" s="2" t="s">
        <v>1781</v>
      </c>
    </row>
    <row r="1721" spans="1:16" ht="22" customHeight="1" x14ac:dyDescent="0.15">
      <c r="A1721" s="10" t="str">
        <f t="shared" si="375"/>
        <v>469_10_36_10_polygon</v>
      </c>
      <c r="B1721" s="2">
        <v>469</v>
      </c>
      <c r="C1721" s="30" t="str">
        <f>VLOOKUP(B1721,gachas!A:C,3)</f>
        <v>ピックアップカラーガチャ（黄）</v>
      </c>
      <c r="D1721" s="21">
        <v>10</v>
      </c>
      <c r="E1721" s="2">
        <f t="shared" si="376"/>
        <v>36</v>
      </c>
      <c r="F1721" s="2">
        <v>10</v>
      </c>
      <c r="G1721" s="3" t="s">
        <v>22</v>
      </c>
      <c r="H1721" s="2">
        <v>25</v>
      </c>
      <c r="I1721" s="117">
        <v>469100</v>
      </c>
      <c r="J1721" s="112" t="s">
        <v>2092</v>
      </c>
      <c r="K1721" s="2" t="s">
        <v>2093</v>
      </c>
      <c r="L1721" s="2">
        <v>0</v>
      </c>
      <c r="M1721" s="2" t="s">
        <v>116</v>
      </c>
      <c r="N1721" s="2" t="s">
        <v>2094</v>
      </c>
      <c r="O1721" s="2" t="s">
        <v>2095</v>
      </c>
      <c r="P1721" s="59" t="s">
        <v>1783</v>
      </c>
    </row>
    <row r="1722" spans="1:16" ht="22" customHeight="1" x14ac:dyDescent="0.15">
      <c r="A1722" s="10" t="str">
        <f t="shared" si="375"/>
        <v>469_10_37_10_polygon</v>
      </c>
      <c r="B1722" s="2">
        <v>469</v>
      </c>
      <c r="C1722" s="30" t="str">
        <f>VLOOKUP(B1722,gachas!A:C,3)</f>
        <v>ピックアップカラーガチャ（黄）</v>
      </c>
      <c r="D1722" s="21">
        <v>10</v>
      </c>
      <c r="E1722" s="2">
        <f t="shared" si="376"/>
        <v>37</v>
      </c>
      <c r="F1722" s="2">
        <v>10</v>
      </c>
      <c r="G1722" s="3" t="s">
        <v>22</v>
      </c>
      <c r="H1722" s="2">
        <v>50</v>
      </c>
      <c r="I1722" s="117">
        <v>469100</v>
      </c>
      <c r="J1722" s="112" t="s">
        <v>2092</v>
      </c>
      <c r="K1722" s="2" t="s">
        <v>2093</v>
      </c>
      <c r="L1722" s="2">
        <v>0</v>
      </c>
      <c r="M1722" s="2" t="s">
        <v>116</v>
      </c>
      <c r="N1722" s="2" t="s">
        <v>2094</v>
      </c>
      <c r="O1722" s="2" t="s">
        <v>2095</v>
      </c>
      <c r="P1722" s="2" t="s">
        <v>143</v>
      </c>
    </row>
    <row r="1723" spans="1:16" ht="22" customHeight="1" x14ac:dyDescent="0.15">
      <c r="A1723" s="10" t="str">
        <f t="shared" si="375"/>
        <v>469_10_38_10_polygon</v>
      </c>
      <c r="B1723" s="2">
        <v>469</v>
      </c>
      <c r="C1723" s="30" t="str">
        <f>VLOOKUP(B1723,gachas!A:C,3)</f>
        <v>ピックアップカラーガチャ（黄）</v>
      </c>
      <c r="D1723" s="21">
        <v>10</v>
      </c>
      <c r="E1723" s="2">
        <f t="shared" si="376"/>
        <v>38</v>
      </c>
      <c r="F1723" s="2">
        <v>10</v>
      </c>
      <c r="G1723" s="3" t="s">
        <v>22</v>
      </c>
      <c r="H1723" s="2">
        <v>50</v>
      </c>
      <c r="I1723" s="117">
        <v>469100</v>
      </c>
      <c r="J1723" s="112" t="s">
        <v>2092</v>
      </c>
      <c r="K1723" s="2" t="s">
        <v>2093</v>
      </c>
      <c r="L1723" s="2">
        <v>0</v>
      </c>
      <c r="M1723" s="2" t="s">
        <v>116</v>
      </c>
      <c r="N1723" s="2" t="s">
        <v>2094</v>
      </c>
      <c r="O1723" s="2" t="s">
        <v>2095</v>
      </c>
      <c r="P1723" s="2" t="s">
        <v>143</v>
      </c>
    </row>
    <row r="1724" spans="1:16" ht="22" customHeight="1" x14ac:dyDescent="0.15">
      <c r="A1724" s="10" t="str">
        <f t="shared" si="375"/>
        <v>469_10_39_10_polygon</v>
      </c>
      <c r="B1724" s="2">
        <v>469</v>
      </c>
      <c r="C1724" s="30" t="str">
        <f>VLOOKUP(B1724,gachas!A:C,3)</f>
        <v>ピックアップカラーガチャ（黄）</v>
      </c>
      <c r="D1724" s="21">
        <v>10</v>
      </c>
      <c r="E1724" s="2">
        <f t="shared" si="376"/>
        <v>39</v>
      </c>
      <c r="F1724" s="2">
        <v>10</v>
      </c>
      <c r="G1724" s="3" t="s">
        <v>22</v>
      </c>
      <c r="H1724" s="2">
        <v>50</v>
      </c>
      <c r="I1724" s="117">
        <v>469100</v>
      </c>
      <c r="J1724" s="112" t="s">
        <v>2092</v>
      </c>
      <c r="K1724" s="2" t="s">
        <v>2093</v>
      </c>
      <c r="L1724" s="2">
        <v>0</v>
      </c>
      <c r="M1724" s="2" t="s">
        <v>116</v>
      </c>
      <c r="N1724" s="2" t="s">
        <v>2094</v>
      </c>
      <c r="O1724" s="2" t="s">
        <v>2095</v>
      </c>
      <c r="P1724" s="2" t="s">
        <v>143</v>
      </c>
    </row>
    <row r="1725" spans="1:16" ht="22" customHeight="1" x14ac:dyDescent="0.15">
      <c r="A1725" s="10" t="str">
        <f t="shared" si="375"/>
        <v>469_10_40_10_polygon</v>
      </c>
      <c r="B1725" s="2">
        <v>469</v>
      </c>
      <c r="C1725" s="30" t="str">
        <f>VLOOKUP(B1725,gachas!A:C,3)</f>
        <v>ピックアップカラーガチャ（黄）</v>
      </c>
      <c r="D1725" s="21">
        <v>10</v>
      </c>
      <c r="E1725" s="2">
        <f t="shared" si="376"/>
        <v>40</v>
      </c>
      <c r="F1725" s="2">
        <v>10</v>
      </c>
      <c r="G1725" s="3" t="s">
        <v>22</v>
      </c>
      <c r="H1725" s="2">
        <v>50</v>
      </c>
      <c r="I1725" s="117">
        <v>469100</v>
      </c>
      <c r="J1725" s="112" t="s">
        <v>2092</v>
      </c>
      <c r="K1725" s="2">
        <v>469105</v>
      </c>
      <c r="L1725" s="2">
        <v>1</v>
      </c>
      <c r="M1725" s="2" t="s">
        <v>116</v>
      </c>
      <c r="N1725" s="2" t="s">
        <v>2094</v>
      </c>
      <c r="O1725" s="2" t="s">
        <v>2095</v>
      </c>
      <c r="P1725" s="2" t="s">
        <v>1781</v>
      </c>
    </row>
    <row r="1726" spans="1:16" ht="22" customHeight="1" x14ac:dyDescent="0.15">
      <c r="A1726" s="10" t="str">
        <f t="shared" si="375"/>
        <v>469_10_41_10_polygon</v>
      </c>
      <c r="B1726" s="2">
        <v>469</v>
      </c>
      <c r="C1726" s="30" t="str">
        <f>VLOOKUP(B1726,gachas!A:C,3)</f>
        <v>ピックアップカラーガチャ（黄）</v>
      </c>
      <c r="D1726" s="21">
        <v>10</v>
      </c>
      <c r="E1726" s="2">
        <f t="shared" si="376"/>
        <v>41</v>
      </c>
      <c r="F1726" s="2">
        <v>10</v>
      </c>
      <c r="G1726" s="3" t="s">
        <v>22</v>
      </c>
      <c r="H1726" s="2">
        <v>25</v>
      </c>
      <c r="I1726" s="117">
        <v>469100</v>
      </c>
      <c r="J1726" s="112" t="s">
        <v>2092</v>
      </c>
      <c r="K1726" s="2" t="s">
        <v>2093</v>
      </c>
      <c r="L1726" s="2">
        <v>0</v>
      </c>
      <c r="M1726" s="2" t="s">
        <v>116</v>
      </c>
      <c r="N1726" s="2" t="s">
        <v>2094</v>
      </c>
      <c r="O1726" s="2" t="s">
        <v>2095</v>
      </c>
      <c r="P1726" s="59" t="s">
        <v>1783</v>
      </c>
    </row>
    <row r="1727" spans="1:16" ht="22" customHeight="1" x14ac:dyDescent="0.15">
      <c r="A1727" s="10" t="str">
        <f t="shared" si="375"/>
        <v>469_10_42_10_polygon</v>
      </c>
      <c r="B1727" s="2">
        <v>469</v>
      </c>
      <c r="C1727" s="30" t="str">
        <f>VLOOKUP(B1727,gachas!A:C,3)</f>
        <v>ピックアップカラーガチャ（黄）</v>
      </c>
      <c r="D1727" s="21">
        <v>10</v>
      </c>
      <c r="E1727" s="2">
        <f t="shared" si="376"/>
        <v>42</v>
      </c>
      <c r="F1727" s="2">
        <v>10</v>
      </c>
      <c r="G1727" s="3" t="s">
        <v>22</v>
      </c>
      <c r="H1727" s="2">
        <v>50</v>
      </c>
      <c r="I1727" s="117">
        <v>469100</v>
      </c>
      <c r="J1727" s="112" t="s">
        <v>2092</v>
      </c>
      <c r="K1727" s="2" t="s">
        <v>2093</v>
      </c>
      <c r="L1727" s="2">
        <v>0</v>
      </c>
      <c r="M1727" s="2" t="s">
        <v>116</v>
      </c>
      <c r="N1727" s="2" t="s">
        <v>2094</v>
      </c>
      <c r="O1727" s="2" t="s">
        <v>2095</v>
      </c>
      <c r="P1727" s="2" t="s">
        <v>143</v>
      </c>
    </row>
    <row r="1728" spans="1:16" ht="22" customHeight="1" x14ac:dyDescent="0.15">
      <c r="A1728" s="10" t="str">
        <f t="shared" si="375"/>
        <v>469_10_43_10_polygon</v>
      </c>
      <c r="B1728" s="2">
        <v>469</v>
      </c>
      <c r="C1728" s="30" t="str">
        <f>VLOOKUP(B1728,gachas!A:C,3)</f>
        <v>ピックアップカラーガチャ（黄）</v>
      </c>
      <c r="D1728" s="21">
        <v>10</v>
      </c>
      <c r="E1728" s="2">
        <f t="shared" si="376"/>
        <v>43</v>
      </c>
      <c r="F1728" s="2">
        <v>10</v>
      </c>
      <c r="G1728" s="3" t="s">
        <v>22</v>
      </c>
      <c r="H1728" s="2">
        <v>50</v>
      </c>
      <c r="I1728" s="117">
        <v>469100</v>
      </c>
      <c r="J1728" s="112" t="s">
        <v>2092</v>
      </c>
      <c r="K1728" s="2" t="s">
        <v>2093</v>
      </c>
      <c r="L1728" s="2">
        <v>0</v>
      </c>
      <c r="M1728" s="2" t="s">
        <v>116</v>
      </c>
      <c r="N1728" s="2" t="s">
        <v>2094</v>
      </c>
      <c r="O1728" s="2" t="s">
        <v>2095</v>
      </c>
      <c r="P1728" s="2" t="s">
        <v>143</v>
      </c>
    </row>
    <row r="1729" spans="1:16" ht="22" customHeight="1" x14ac:dyDescent="0.15">
      <c r="A1729" s="10" t="str">
        <f t="shared" si="375"/>
        <v>469_10_44_10_polygon</v>
      </c>
      <c r="B1729" s="2">
        <v>469</v>
      </c>
      <c r="C1729" s="30" t="str">
        <f>VLOOKUP(B1729,gachas!A:C,3)</f>
        <v>ピックアップカラーガチャ（黄）</v>
      </c>
      <c r="D1729" s="21">
        <v>10</v>
      </c>
      <c r="E1729" s="2">
        <f t="shared" si="376"/>
        <v>44</v>
      </c>
      <c r="F1729" s="2">
        <v>10</v>
      </c>
      <c r="G1729" s="3" t="s">
        <v>22</v>
      </c>
      <c r="H1729" s="2">
        <v>50</v>
      </c>
      <c r="I1729" s="117">
        <v>469100</v>
      </c>
      <c r="J1729" s="112" t="s">
        <v>2092</v>
      </c>
      <c r="K1729" s="2" t="s">
        <v>2093</v>
      </c>
      <c r="L1729" s="2">
        <v>0</v>
      </c>
      <c r="M1729" s="2" t="s">
        <v>116</v>
      </c>
      <c r="N1729" s="2" t="s">
        <v>2094</v>
      </c>
      <c r="O1729" s="2" t="s">
        <v>2095</v>
      </c>
      <c r="P1729" s="2" t="s">
        <v>143</v>
      </c>
    </row>
    <row r="1730" spans="1:16" ht="22" customHeight="1" x14ac:dyDescent="0.15">
      <c r="A1730" s="10" t="str">
        <f t="shared" si="375"/>
        <v>469_10_45_10_polygon</v>
      </c>
      <c r="B1730" s="2">
        <v>469</v>
      </c>
      <c r="C1730" s="30" t="str">
        <f>VLOOKUP(B1730,gachas!A:C,3)</f>
        <v>ピックアップカラーガチャ（黄）</v>
      </c>
      <c r="D1730" s="21">
        <v>10</v>
      </c>
      <c r="E1730" s="2">
        <f t="shared" si="376"/>
        <v>45</v>
      </c>
      <c r="F1730" s="2">
        <v>10</v>
      </c>
      <c r="G1730" s="3" t="s">
        <v>22</v>
      </c>
      <c r="H1730" s="2">
        <v>50</v>
      </c>
      <c r="I1730" s="117">
        <v>469100</v>
      </c>
      <c r="J1730" s="112" t="s">
        <v>2092</v>
      </c>
      <c r="K1730" s="2">
        <v>469105</v>
      </c>
      <c r="L1730" s="2">
        <v>1</v>
      </c>
      <c r="M1730" s="2" t="s">
        <v>116</v>
      </c>
      <c r="N1730" s="2" t="s">
        <v>2094</v>
      </c>
      <c r="O1730" s="2" t="s">
        <v>2095</v>
      </c>
      <c r="P1730" s="2" t="s">
        <v>1781</v>
      </c>
    </row>
    <row r="1731" spans="1:16" ht="22" customHeight="1" x14ac:dyDescent="0.15">
      <c r="A1731" s="10" t="str">
        <f t="shared" si="375"/>
        <v>469_10_46_10_polygon</v>
      </c>
      <c r="B1731" s="2">
        <v>469</v>
      </c>
      <c r="C1731" s="30" t="str">
        <f>VLOOKUP(B1731,gachas!A:C,3)</f>
        <v>ピックアップカラーガチャ（黄）</v>
      </c>
      <c r="D1731" s="21">
        <v>10</v>
      </c>
      <c r="E1731" s="2">
        <f t="shared" si="376"/>
        <v>46</v>
      </c>
      <c r="F1731" s="2">
        <v>10</v>
      </c>
      <c r="G1731" s="3" t="s">
        <v>22</v>
      </c>
      <c r="H1731" s="2">
        <v>25</v>
      </c>
      <c r="I1731" s="117">
        <v>469100</v>
      </c>
      <c r="J1731" s="112" t="s">
        <v>2092</v>
      </c>
      <c r="K1731" s="2" t="s">
        <v>2093</v>
      </c>
      <c r="L1731" s="2">
        <v>0</v>
      </c>
      <c r="M1731" s="2" t="s">
        <v>116</v>
      </c>
      <c r="N1731" s="2" t="s">
        <v>2094</v>
      </c>
      <c r="O1731" s="2" t="s">
        <v>2095</v>
      </c>
      <c r="P1731" s="59" t="s">
        <v>1783</v>
      </c>
    </row>
    <row r="1732" spans="1:16" ht="22" customHeight="1" x14ac:dyDescent="0.15">
      <c r="A1732" s="10" t="str">
        <f t="shared" si="375"/>
        <v>469_10_47_10_polygon</v>
      </c>
      <c r="B1732" s="2">
        <v>469</v>
      </c>
      <c r="C1732" s="30" t="str">
        <f>VLOOKUP(B1732,gachas!A:C,3)</f>
        <v>ピックアップカラーガチャ（黄）</v>
      </c>
      <c r="D1732" s="21">
        <v>10</v>
      </c>
      <c r="E1732" s="2">
        <f t="shared" si="376"/>
        <v>47</v>
      </c>
      <c r="F1732" s="2">
        <v>10</v>
      </c>
      <c r="G1732" s="3" t="s">
        <v>22</v>
      </c>
      <c r="H1732" s="2">
        <v>50</v>
      </c>
      <c r="I1732" s="117">
        <v>469100</v>
      </c>
      <c r="J1732" s="112" t="s">
        <v>2092</v>
      </c>
      <c r="K1732" s="2" t="s">
        <v>2093</v>
      </c>
      <c r="L1732" s="2">
        <v>0</v>
      </c>
      <c r="M1732" s="2" t="s">
        <v>116</v>
      </c>
      <c r="N1732" s="2" t="s">
        <v>2094</v>
      </c>
      <c r="O1732" s="2" t="s">
        <v>2095</v>
      </c>
      <c r="P1732" s="2" t="s">
        <v>143</v>
      </c>
    </row>
    <row r="1733" spans="1:16" ht="22" customHeight="1" x14ac:dyDescent="0.15">
      <c r="A1733" s="10" t="str">
        <f t="shared" si="375"/>
        <v>469_10_48_10_polygon</v>
      </c>
      <c r="B1733" s="2">
        <v>469</v>
      </c>
      <c r="C1733" s="30" t="str">
        <f>VLOOKUP(B1733,gachas!A:C,3)</f>
        <v>ピックアップカラーガチャ（黄）</v>
      </c>
      <c r="D1733" s="21">
        <v>10</v>
      </c>
      <c r="E1733" s="2">
        <f t="shared" si="376"/>
        <v>48</v>
      </c>
      <c r="F1733" s="2">
        <v>10</v>
      </c>
      <c r="G1733" s="3" t="s">
        <v>22</v>
      </c>
      <c r="H1733" s="2">
        <v>50</v>
      </c>
      <c r="I1733" s="117">
        <v>469100</v>
      </c>
      <c r="J1733" s="112" t="s">
        <v>2092</v>
      </c>
      <c r="K1733" s="2" t="s">
        <v>2093</v>
      </c>
      <c r="L1733" s="2">
        <v>0</v>
      </c>
      <c r="M1733" s="2" t="s">
        <v>116</v>
      </c>
      <c r="N1733" s="2" t="s">
        <v>2094</v>
      </c>
      <c r="O1733" s="2" t="s">
        <v>2095</v>
      </c>
      <c r="P1733" s="2" t="s">
        <v>143</v>
      </c>
    </row>
    <row r="1734" spans="1:16" ht="22" customHeight="1" x14ac:dyDescent="0.15">
      <c r="A1734" s="10" t="str">
        <f t="shared" si="375"/>
        <v>469_10_49_10_polygon</v>
      </c>
      <c r="B1734" s="2">
        <v>469</v>
      </c>
      <c r="C1734" s="30" t="str">
        <f>VLOOKUP(B1734,gachas!A:C,3)</f>
        <v>ピックアップカラーガチャ（黄）</v>
      </c>
      <c r="D1734" s="21">
        <v>10</v>
      </c>
      <c r="E1734" s="2">
        <f t="shared" si="376"/>
        <v>49</v>
      </c>
      <c r="F1734" s="2">
        <v>10</v>
      </c>
      <c r="G1734" s="3" t="s">
        <v>22</v>
      </c>
      <c r="H1734" s="2">
        <v>50</v>
      </c>
      <c r="I1734" s="117">
        <v>469100</v>
      </c>
      <c r="J1734" s="112" t="s">
        <v>2092</v>
      </c>
      <c r="K1734" s="2" t="s">
        <v>2093</v>
      </c>
      <c r="L1734" s="2">
        <v>0</v>
      </c>
      <c r="M1734" s="2" t="s">
        <v>116</v>
      </c>
      <c r="N1734" s="2" t="s">
        <v>2094</v>
      </c>
      <c r="O1734" s="2" t="s">
        <v>2095</v>
      </c>
      <c r="P1734" s="2" t="s">
        <v>143</v>
      </c>
    </row>
    <row r="1735" spans="1:16" ht="22" customHeight="1" x14ac:dyDescent="0.15">
      <c r="A1735" s="10" t="str">
        <f t="shared" si="375"/>
        <v>469_10_50_10_polygon</v>
      </c>
      <c r="B1735" s="2">
        <v>469</v>
      </c>
      <c r="C1735" s="30" t="str">
        <f>VLOOKUP(B1735,gachas!A:C,3)</f>
        <v>ピックアップカラーガチャ（黄）</v>
      </c>
      <c r="D1735" s="21">
        <v>10</v>
      </c>
      <c r="E1735" s="2">
        <f t="shared" si="376"/>
        <v>50</v>
      </c>
      <c r="F1735" s="2">
        <v>10</v>
      </c>
      <c r="G1735" s="3" t="s">
        <v>22</v>
      </c>
      <c r="H1735" s="2">
        <v>50</v>
      </c>
      <c r="I1735" s="117">
        <v>469100</v>
      </c>
      <c r="J1735" s="112" t="s">
        <v>2092</v>
      </c>
      <c r="K1735" s="2">
        <v>469105</v>
      </c>
      <c r="L1735" s="2">
        <v>1</v>
      </c>
      <c r="M1735" s="2" t="s">
        <v>116</v>
      </c>
      <c r="N1735" s="2" t="s">
        <v>2094</v>
      </c>
      <c r="O1735" s="2" t="s">
        <v>2095</v>
      </c>
      <c r="P1735" s="2" t="s">
        <v>1781</v>
      </c>
    </row>
    <row r="1736" spans="1:16" ht="22" customHeight="1" x14ac:dyDescent="0.15">
      <c r="A1736" s="10" t="str">
        <f t="shared" si="375"/>
        <v>470_1_0_1_polygon</v>
      </c>
      <c r="B1736" s="2">
        <v>470</v>
      </c>
      <c r="C1736" s="30" t="str">
        <f>VLOOKUP(B1736,gachas!A:C,3)</f>
        <v>全世界700万DL突破記念台港澳祭典</v>
      </c>
      <c r="D1736" s="21">
        <v>1</v>
      </c>
      <c r="E1736" s="2">
        <v>0</v>
      </c>
      <c r="F1736" s="2">
        <v>1</v>
      </c>
      <c r="G1736" s="3" t="s">
        <v>22</v>
      </c>
      <c r="H1736" s="2">
        <v>5</v>
      </c>
      <c r="I1736" s="117">
        <v>470010</v>
      </c>
      <c r="J1736" s="112" t="s">
        <v>2092</v>
      </c>
      <c r="K1736" s="2" t="s">
        <v>2190</v>
      </c>
      <c r="L1736" s="2">
        <v>0</v>
      </c>
      <c r="M1736" s="2" t="s">
        <v>116</v>
      </c>
      <c r="N1736" s="2" t="s">
        <v>2094</v>
      </c>
      <c r="O1736" s="2" t="s">
        <v>2095</v>
      </c>
      <c r="P1736" s="2" t="s">
        <v>2190</v>
      </c>
    </row>
    <row r="1737" spans="1:16" ht="22" customHeight="1" x14ac:dyDescent="0.15">
      <c r="A1737" s="10" t="str">
        <f t="shared" si="375"/>
        <v>470_10_0_10_polygon</v>
      </c>
      <c r="B1737" s="2">
        <v>470</v>
      </c>
      <c r="C1737" s="30" t="str">
        <f>VLOOKUP(B1737,gachas!A:C,3)</f>
        <v>全世界700万DL突破記念台港澳祭典</v>
      </c>
      <c r="D1737" s="21">
        <v>10</v>
      </c>
      <c r="E1737" s="2">
        <v>0</v>
      </c>
      <c r="F1737" s="2">
        <v>10</v>
      </c>
      <c r="G1737" s="3" t="s">
        <v>22</v>
      </c>
      <c r="H1737" s="2">
        <v>50</v>
      </c>
      <c r="I1737" s="117">
        <v>470100</v>
      </c>
      <c r="J1737" s="112" t="s">
        <v>2092</v>
      </c>
      <c r="K1737" s="2" t="s">
        <v>2190</v>
      </c>
      <c r="L1737" s="2">
        <v>0</v>
      </c>
      <c r="M1737" s="2" t="s">
        <v>116</v>
      </c>
      <c r="N1737" s="2" t="s">
        <v>2094</v>
      </c>
      <c r="O1737" s="2" t="s">
        <v>2095</v>
      </c>
      <c r="P1737" s="2" t="s">
        <v>143</v>
      </c>
    </row>
    <row r="1738" spans="1:16" ht="22" customHeight="1" x14ac:dyDescent="0.15">
      <c r="A1738" s="10" t="str">
        <f t="shared" si="375"/>
        <v>470_10_1_10_polygon</v>
      </c>
      <c r="B1738" s="2">
        <v>470</v>
      </c>
      <c r="C1738" s="30" t="str">
        <f>VLOOKUP(B1738,gachas!A:C,3)</f>
        <v>全世界700万DL突破記念台港澳祭典</v>
      </c>
      <c r="D1738" s="21">
        <v>10</v>
      </c>
      <c r="E1738" s="2">
        <f>E1737+1</f>
        <v>1</v>
      </c>
      <c r="F1738" s="2">
        <v>10</v>
      </c>
      <c r="G1738" s="3" t="s">
        <v>22</v>
      </c>
      <c r="H1738" s="2">
        <v>25</v>
      </c>
      <c r="I1738" s="117">
        <v>470100</v>
      </c>
      <c r="J1738" s="112" t="s">
        <v>2092</v>
      </c>
      <c r="K1738" s="2" t="s">
        <v>2190</v>
      </c>
      <c r="L1738" s="2">
        <v>0</v>
      </c>
      <c r="M1738" s="2" t="s">
        <v>116</v>
      </c>
      <c r="N1738" s="2" t="s">
        <v>2094</v>
      </c>
      <c r="O1738" s="2" t="s">
        <v>2095</v>
      </c>
      <c r="P1738" s="59" t="s">
        <v>1783</v>
      </c>
    </row>
    <row r="1739" spans="1:16" ht="22" customHeight="1" x14ac:dyDescent="0.15">
      <c r="A1739" s="10" t="str">
        <f t="shared" si="375"/>
        <v>470_10_2_10_polygon</v>
      </c>
      <c r="B1739" s="2">
        <v>470</v>
      </c>
      <c r="C1739" s="30" t="str">
        <f>VLOOKUP(B1739,gachas!A:C,3)</f>
        <v>全世界700万DL突破記念台港澳祭典</v>
      </c>
      <c r="D1739" s="21">
        <v>10</v>
      </c>
      <c r="E1739" s="2">
        <f t="shared" ref="E1739:E1787" si="377">E1738+1</f>
        <v>2</v>
      </c>
      <c r="F1739" s="2">
        <v>10</v>
      </c>
      <c r="G1739" s="3" t="s">
        <v>22</v>
      </c>
      <c r="H1739" s="2">
        <v>50</v>
      </c>
      <c r="I1739" s="117">
        <v>470100</v>
      </c>
      <c r="J1739" s="112" t="s">
        <v>2092</v>
      </c>
      <c r="K1739" s="2" t="s">
        <v>2190</v>
      </c>
      <c r="L1739" s="2">
        <v>0</v>
      </c>
      <c r="M1739" s="2" t="s">
        <v>116</v>
      </c>
      <c r="N1739" s="2" t="s">
        <v>2094</v>
      </c>
      <c r="O1739" s="2" t="s">
        <v>2095</v>
      </c>
      <c r="P1739" s="2" t="s">
        <v>143</v>
      </c>
    </row>
    <row r="1740" spans="1:16" ht="22" customHeight="1" x14ac:dyDescent="0.15">
      <c r="A1740" s="10" t="str">
        <f t="shared" si="375"/>
        <v>470_10_3_10_polygon</v>
      </c>
      <c r="B1740" s="2">
        <v>470</v>
      </c>
      <c r="C1740" s="30" t="str">
        <f>VLOOKUP(B1740,gachas!A:C,3)</f>
        <v>全世界700万DL突破記念台港澳祭典</v>
      </c>
      <c r="D1740" s="21">
        <v>10</v>
      </c>
      <c r="E1740" s="2">
        <f t="shared" si="377"/>
        <v>3</v>
      </c>
      <c r="F1740" s="2">
        <v>10</v>
      </c>
      <c r="G1740" s="3" t="s">
        <v>22</v>
      </c>
      <c r="H1740" s="2">
        <v>50</v>
      </c>
      <c r="I1740" s="117">
        <v>470100</v>
      </c>
      <c r="J1740" s="112" t="s">
        <v>2092</v>
      </c>
      <c r="K1740" s="2" t="s">
        <v>2190</v>
      </c>
      <c r="L1740" s="2">
        <v>0</v>
      </c>
      <c r="M1740" s="2" t="s">
        <v>116</v>
      </c>
      <c r="N1740" s="2" t="s">
        <v>2094</v>
      </c>
      <c r="O1740" s="2" t="s">
        <v>2095</v>
      </c>
      <c r="P1740" s="2" t="s">
        <v>143</v>
      </c>
    </row>
    <row r="1741" spans="1:16" ht="22" customHeight="1" x14ac:dyDescent="0.15">
      <c r="A1741" s="10" t="str">
        <f t="shared" si="375"/>
        <v>470_10_4_10_polygon</v>
      </c>
      <c r="B1741" s="2">
        <v>470</v>
      </c>
      <c r="C1741" s="30" t="str">
        <f>VLOOKUP(B1741,gachas!A:C,3)</f>
        <v>全世界700万DL突破記念台港澳祭典</v>
      </c>
      <c r="D1741" s="21">
        <v>10</v>
      </c>
      <c r="E1741" s="2">
        <f t="shared" si="377"/>
        <v>4</v>
      </c>
      <c r="F1741" s="2">
        <v>10</v>
      </c>
      <c r="G1741" s="3" t="s">
        <v>22</v>
      </c>
      <c r="H1741" s="2">
        <v>50</v>
      </c>
      <c r="I1741" s="117">
        <v>470100</v>
      </c>
      <c r="J1741" s="112" t="s">
        <v>2092</v>
      </c>
      <c r="K1741" s="2" t="s">
        <v>2190</v>
      </c>
      <c r="L1741" s="2">
        <v>0</v>
      </c>
      <c r="M1741" s="2" t="s">
        <v>116</v>
      </c>
      <c r="N1741" s="2" t="s">
        <v>2094</v>
      </c>
      <c r="O1741" s="2" t="s">
        <v>2095</v>
      </c>
      <c r="P1741" s="2" t="s">
        <v>143</v>
      </c>
    </row>
    <row r="1742" spans="1:16" ht="22" customHeight="1" x14ac:dyDescent="0.15">
      <c r="A1742" s="10" t="str">
        <f t="shared" si="375"/>
        <v>470_10_5_10_polygon</v>
      </c>
      <c r="B1742" s="2">
        <v>470</v>
      </c>
      <c r="C1742" s="30" t="str">
        <f>VLOOKUP(B1742,gachas!A:C,3)</f>
        <v>全世界700万DL突破記念台港澳祭典</v>
      </c>
      <c r="D1742" s="21">
        <v>10</v>
      </c>
      <c r="E1742" s="2">
        <f t="shared" si="377"/>
        <v>5</v>
      </c>
      <c r="F1742" s="2">
        <v>10</v>
      </c>
      <c r="G1742" s="3" t="s">
        <v>22</v>
      </c>
      <c r="H1742" s="2">
        <v>50</v>
      </c>
      <c r="I1742" s="117">
        <v>470100</v>
      </c>
      <c r="J1742" s="112" t="s">
        <v>2092</v>
      </c>
      <c r="K1742" s="2">
        <v>470105</v>
      </c>
      <c r="L1742" s="2">
        <v>1</v>
      </c>
      <c r="M1742" s="2" t="s">
        <v>116</v>
      </c>
      <c r="N1742" s="2" t="s">
        <v>2094</v>
      </c>
      <c r="O1742" s="2" t="s">
        <v>2095</v>
      </c>
      <c r="P1742" s="2" t="s">
        <v>2191</v>
      </c>
    </row>
    <row r="1743" spans="1:16" ht="22" customHeight="1" x14ac:dyDescent="0.15">
      <c r="A1743" s="10" t="str">
        <f t="shared" si="375"/>
        <v>470_10_6_10_polygon</v>
      </c>
      <c r="B1743" s="2">
        <v>470</v>
      </c>
      <c r="C1743" s="30" t="str">
        <f>VLOOKUP(B1743,gachas!A:C,3)</f>
        <v>全世界700万DL突破記念台港澳祭典</v>
      </c>
      <c r="D1743" s="21">
        <v>10</v>
      </c>
      <c r="E1743" s="2">
        <f t="shared" si="377"/>
        <v>6</v>
      </c>
      <c r="F1743" s="2">
        <v>10</v>
      </c>
      <c r="G1743" s="3" t="s">
        <v>22</v>
      </c>
      <c r="H1743" s="2">
        <v>25</v>
      </c>
      <c r="I1743" s="117">
        <v>470100</v>
      </c>
      <c r="J1743" s="112" t="s">
        <v>2092</v>
      </c>
      <c r="K1743" s="2" t="s">
        <v>2190</v>
      </c>
      <c r="L1743" s="2">
        <v>0</v>
      </c>
      <c r="M1743" s="2" t="s">
        <v>116</v>
      </c>
      <c r="N1743" s="2" t="s">
        <v>2094</v>
      </c>
      <c r="O1743" s="2" t="s">
        <v>2095</v>
      </c>
      <c r="P1743" s="59" t="s">
        <v>1783</v>
      </c>
    </row>
    <row r="1744" spans="1:16" ht="22" customHeight="1" x14ac:dyDescent="0.15">
      <c r="A1744" s="10" t="str">
        <f t="shared" si="375"/>
        <v>470_10_7_10_polygon</v>
      </c>
      <c r="B1744" s="2">
        <v>470</v>
      </c>
      <c r="C1744" s="30" t="str">
        <f>VLOOKUP(B1744,gachas!A:C,3)</f>
        <v>全世界700万DL突破記念台港澳祭典</v>
      </c>
      <c r="D1744" s="21">
        <v>10</v>
      </c>
      <c r="E1744" s="2">
        <f t="shared" si="377"/>
        <v>7</v>
      </c>
      <c r="F1744" s="2">
        <v>10</v>
      </c>
      <c r="G1744" s="3" t="s">
        <v>22</v>
      </c>
      <c r="H1744" s="2">
        <v>50</v>
      </c>
      <c r="I1744" s="117">
        <v>470100</v>
      </c>
      <c r="J1744" s="112" t="s">
        <v>2092</v>
      </c>
      <c r="K1744" s="2" t="s">
        <v>2190</v>
      </c>
      <c r="L1744" s="2">
        <v>0</v>
      </c>
      <c r="M1744" s="2" t="s">
        <v>116</v>
      </c>
      <c r="N1744" s="2" t="s">
        <v>2094</v>
      </c>
      <c r="O1744" s="2" t="s">
        <v>2095</v>
      </c>
      <c r="P1744" s="2" t="s">
        <v>143</v>
      </c>
    </row>
    <row r="1745" spans="1:16" ht="22" customHeight="1" x14ac:dyDescent="0.15">
      <c r="A1745" s="10" t="str">
        <f t="shared" si="375"/>
        <v>470_10_8_10_polygon</v>
      </c>
      <c r="B1745" s="2">
        <v>470</v>
      </c>
      <c r="C1745" s="30" t="str">
        <f>VLOOKUP(B1745,gachas!A:C,3)</f>
        <v>全世界700万DL突破記念台港澳祭典</v>
      </c>
      <c r="D1745" s="21">
        <v>10</v>
      </c>
      <c r="E1745" s="2">
        <f t="shared" si="377"/>
        <v>8</v>
      </c>
      <c r="F1745" s="2">
        <v>10</v>
      </c>
      <c r="G1745" s="3" t="s">
        <v>22</v>
      </c>
      <c r="H1745" s="2">
        <v>50</v>
      </c>
      <c r="I1745" s="117">
        <v>470100</v>
      </c>
      <c r="J1745" s="112" t="s">
        <v>2092</v>
      </c>
      <c r="K1745" s="2" t="s">
        <v>2190</v>
      </c>
      <c r="L1745" s="2">
        <v>0</v>
      </c>
      <c r="M1745" s="2" t="s">
        <v>116</v>
      </c>
      <c r="N1745" s="2" t="s">
        <v>2094</v>
      </c>
      <c r="O1745" s="2" t="s">
        <v>2095</v>
      </c>
      <c r="P1745" s="2" t="s">
        <v>143</v>
      </c>
    </row>
    <row r="1746" spans="1:16" ht="22" customHeight="1" x14ac:dyDescent="0.15">
      <c r="A1746" s="10" t="str">
        <f t="shared" si="375"/>
        <v>470_10_9_10_polygon</v>
      </c>
      <c r="B1746" s="2">
        <v>470</v>
      </c>
      <c r="C1746" s="30" t="str">
        <f>VLOOKUP(B1746,gachas!A:C,3)</f>
        <v>全世界700万DL突破記念台港澳祭典</v>
      </c>
      <c r="D1746" s="21">
        <v>10</v>
      </c>
      <c r="E1746" s="2">
        <f t="shared" si="377"/>
        <v>9</v>
      </c>
      <c r="F1746" s="2">
        <v>10</v>
      </c>
      <c r="G1746" s="3" t="s">
        <v>22</v>
      </c>
      <c r="H1746" s="2">
        <v>50</v>
      </c>
      <c r="I1746" s="117">
        <v>470100</v>
      </c>
      <c r="J1746" s="112" t="s">
        <v>2092</v>
      </c>
      <c r="K1746" s="2" t="s">
        <v>2190</v>
      </c>
      <c r="L1746" s="2">
        <v>0</v>
      </c>
      <c r="M1746" s="2" t="s">
        <v>116</v>
      </c>
      <c r="N1746" s="2" t="s">
        <v>2094</v>
      </c>
      <c r="O1746" s="2" t="s">
        <v>2095</v>
      </c>
      <c r="P1746" s="2" t="s">
        <v>143</v>
      </c>
    </row>
    <row r="1747" spans="1:16" ht="22" customHeight="1" x14ac:dyDescent="0.15">
      <c r="A1747" s="10" t="str">
        <f t="shared" si="375"/>
        <v>470_10_10_10_polygon</v>
      </c>
      <c r="B1747" s="2">
        <v>470</v>
      </c>
      <c r="C1747" s="30" t="str">
        <f>VLOOKUP(B1747,gachas!A:C,3)</f>
        <v>全世界700万DL突破記念台港澳祭典</v>
      </c>
      <c r="D1747" s="21">
        <v>10</v>
      </c>
      <c r="E1747" s="2">
        <f t="shared" si="377"/>
        <v>10</v>
      </c>
      <c r="F1747" s="2">
        <v>10</v>
      </c>
      <c r="G1747" s="3" t="s">
        <v>22</v>
      </c>
      <c r="H1747" s="2">
        <v>50</v>
      </c>
      <c r="I1747" s="117">
        <v>470100</v>
      </c>
      <c r="J1747" s="112" t="s">
        <v>2092</v>
      </c>
      <c r="K1747" s="2">
        <v>470105</v>
      </c>
      <c r="L1747" s="2">
        <v>1</v>
      </c>
      <c r="M1747" s="2" t="s">
        <v>116</v>
      </c>
      <c r="N1747" s="2" t="s">
        <v>2094</v>
      </c>
      <c r="O1747" s="2" t="s">
        <v>2095</v>
      </c>
      <c r="P1747" s="2" t="s">
        <v>2191</v>
      </c>
    </row>
    <row r="1748" spans="1:16" ht="22" customHeight="1" x14ac:dyDescent="0.15">
      <c r="A1748" s="10" t="str">
        <f t="shared" si="375"/>
        <v>470_10_11_10_polygon</v>
      </c>
      <c r="B1748" s="2">
        <v>470</v>
      </c>
      <c r="C1748" s="30" t="str">
        <f>VLOOKUP(B1748,gachas!A:C,3)</f>
        <v>全世界700万DL突破記念台港澳祭典</v>
      </c>
      <c r="D1748" s="21">
        <v>10</v>
      </c>
      <c r="E1748" s="2">
        <f t="shared" si="377"/>
        <v>11</v>
      </c>
      <c r="F1748" s="2">
        <v>10</v>
      </c>
      <c r="G1748" s="3" t="s">
        <v>22</v>
      </c>
      <c r="H1748" s="2">
        <v>25</v>
      </c>
      <c r="I1748" s="117">
        <v>470100</v>
      </c>
      <c r="J1748" s="112" t="s">
        <v>2092</v>
      </c>
      <c r="K1748" s="2" t="s">
        <v>2190</v>
      </c>
      <c r="L1748" s="2">
        <v>0</v>
      </c>
      <c r="M1748" s="2" t="s">
        <v>116</v>
      </c>
      <c r="N1748" s="2" t="s">
        <v>2094</v>
      </c>
      <c r="O1748" s="2" t="s">
        <v>2095</v>
      </c>
      <c r="P1748" s="59" t="s">
        <v>1783</v>
      </c>
    </row>
    <row r="1749" spans="1:16" ht="22" customHeight="1" x14ac:dyDescent="0.15">
      <c r="A1749" s="10" t="str">
        <f t="shared" si="375"/>
        <v>470_10_12_10_polygon</v>
      </c>
      <c r="B1749" s="2">
        <v>470</v>
      </c>
      <c r="C1749" s="30" t="str">
        <f>VLOOKUP(B1749,gachas!A:C,3)</f>
        <v>全世界700万DL突破記念台港澳祭典</v>
      </c>
      <c r="D1749" s="21">
        <v>10</v>
      </c>
      <c r="E1749" s="2">
        <f t="shared" si="377"/>
        <v>12</v>
      </c>
      <c r="F1749" s="2">
        <v>10</v>
      </c>
      <c r="G1749" s="3" t="s">
        <v>22</v>
      </c>
      <c r="H1749" s="2">
        <v>50</v>
      </c>
      <c r="I1749" s="117">
        <v>470100</v>
      </c>
      <c r="J1749" s="112" t="s">
        <v>2092</v>
      </c>
      <c r="K1749" s="2" t="s">
        <v>2190</v>
      </c>
      <c r="L1749" s="2">
        <v>0</v>
      </c>
      <c r="M1749" s="2" t="s">
        <v>116</v>
      </c>
      <c r="N1749" s="2" t="s">
        <v>2094</v>
      </c>
      <c r="O1749" s="2" t="s">
        <v>2095</v>
      </c>
      <c r="P1749" s="2" t="s">
        <v>143</v>
      </c>
    </row>
    <row r="1750" spans="1:16" ht="22" customHeight="1" x14ac:dyDescent="0.15">
      <c r="A1750" s="10" t="str">
        <f t="shared" si="375"/>
        <v>470_10_13_10_polygon</v>
      </c>
      <c r="B1750" s="2">
        <v>470</v>
      </c>
      <c r="C1750" s="30" t="str">
        <f>VLOOKUP(B1750,gachas!A:C,3)</f>
        <v>全世界700万DL突破記念台港澳祭典</v>
      </c>
      <c r="D1750" s="21">
        <v>10</v>
      </c>
      <c r="E1750" s="2">
        <f t="shared" si="377"/>
        <v>13</v>
      </c>
      <c r="F1750" s="2">
        <v>10</v>
      </c>
      <c r="G1750" s="3" t="s">
        <v>22</v>
      </c>
      <c r="H1750" s="2">
        <v>50</v>
      </c>
      <c r="I1750" s="117">
        <v>470100</v>
      </c>
      <c r="J1750" s="112" t="s">
        <v>2092</v>
      </c>
      <c r="K1750" s="2" t="s">
        <v>2190</v>
      </c>
      <c r="L1750" s="2">
        <v>0</v>
      </c>
      <c r="M1750" s="2" t="s">
        <v>116</v>
      </c>
      <c r="N1750" s="2" t="s">
        <v>2094</v>
      </c>
      <c r="O1750" s="2" t="s">
        <v>2095</v>
      </c>
      <c r="P1750" s="2" t="s">
        <v>143</v>
      </c>
    </row>
    <row r="1751" spans="1:16" ht="22" customHeight="1" x14ac:dyDescent="0.15">
      <c r="A1751" s="10" t="str">
        <f t="shared" si="375"/>
        <v>470_10_14_10_polygon</v>
      </c>
      <c r="B1751" s="2">
        <v>470</v>
      </c>
      <c r="C1751" s="30" t="str">
        <f>VLOOKUP(B1751,gachas!A:C,3)</f>
        <v>全世界700万DL突破記念台港澳祭典</v>
      </c>
      <c r="D1751" s="21">
        <v>10</v>
      </c>
      <c r="E1751" s="2">
        <f t="shared" si="377"/>
        <v>14</v>
      </c>
      <c r="F1751" s="2">
        <v>10</v>
      </c>
      <c r="G1751" s="3" t="s">
        <v>22</v>
      </c>
      <c r="H1751" s="2">
        <v>50</v>
      </c>
      <c r="I1751" s="117">
        <v>470100</v>
      </c>
      <c r="J1751" s="112" t="s">
        <v>2092</v>
      </c>
      <c r="K1751" s="2" t="s">
        <v>2190</v>
      </c>
      <c r="L1751" s="2">
        <v>0</v>
      </c>
      <c r="M1751" s="2" t="s">
        <v>116</v>
      </c>
      <c r="N1751" s="2" t="s">
        <v>2094</v>
      </c>
      <c r="O1751" s="2" t="s">
        <v>2095</v>
      </c>
      <c r="P1751" s="2" t="s">
        <v>143</v>
      </c>
    </row>
    <row r="1752" spans="1:16" ht="22" customHeight="1" x14ac:dyDescent="0.15">
      <c r="A1752" s="10" t="str">
        <f t="shared" si="375"/>
        <v>470_10_15_10_polygon</v>
      </c>
      <c r="B1752" s="2">
        <v>470</v>
      </c>
      <c r="C1752" s="30" t="str">
        <f>VLOOKUP(B1752,gachas!A:C,3)</f>
        <v>全世界700万DL突破記念台港澳祭典</v>
      </c>
      <c r="D1752" s="21">
        <v>10</v>
      </c>
      <c r="E1752" s="2">
        <f t="shared" si="377"/>
        <v>15</v>
      </c>
      <c r="F1752" s="2">
        <v>10</v>
      </c>
      <c r="G1752" s="3" t="s">
        <v>22</v>
      </c>
      <c r="H1752" s="2">
        <v>50</v>
      </c>
      <c r="I1752" s="117">
        <v>470100</v>
      </c>
      <c r="J1752" s="112" t="s">
        <v>2092</v>
      </c>
      <c r="K1752" s="2">
        <v>470105</v>
      </c>
      <c r="L1752" s="2">
        <v>1</v>
      </c>
      <c r="M1752" s="2" t="s">
        <v>116</v>
      </c>
      <c r="N1752" s="2" t="s">
        <v>2094</v>
      </c>
      <c r="O1752" s="2" t="s">
        <v>2095</v>
      </c>
      <c r="P1752" s="2" t="s">
        <v>2191</v>
      </c>
    </row>
    <row r="1753" spans="1:16" ht="22" customHeight="1" x14ac:dyDescent="0.15">
      <c r="A1753" s="10" t="str">
        <f t="shared" si="375"/>
        <v>470_10_16_10_polygon</v>
      </c>
      <c r="B1753" s="2">
        <v>470</v>
      </c>
      <c r="C1753" s="30" t="str">
        <f>VLOOKUP(B1753,gachas!A:C,3)</f>
        <v>全世界700万DL突破記念台港澳祭典</v>
      </c>
      <c r="D1753" s="21">
        <v>10</v>
      </c>
      <c r="E1753" s="2">
        <f t="shared" si="377"/>
        <v>16</v>
      </c>
      <c r="F1753" s="2">
        <v>10</v>
      </c>
      <c r="G1753" s="3" t="s">
        <v>22</v>
      </c>
      <c r="H1753" s="2">
        <v>25</v>
      </c>
      <c r="I1753" s="117">
        <v>470100</v>
      </c>
      <c r="J1753" s="112" t="s">
        <v>2092</v>
      </c>
      <c r="K1753" s="2" t="s">
        <v>2190</v>
      </c>
      <c r="L1753" s="2">
        <v>0</v>
      </c>
      <c r="M1753" s="2" t="s">
        <v>116</v>
      </c>
      <c r="N1753" s="2" t="s">
        <v>2094</v>
      </c>
      <c r="O1753" s="2" t="s">
        <v>2095</v>
      </c>
      <c r="P1753" s="59" t="s">
        <v>1783</v>
      </c>
    </row>
    <row r="1754" spans="1:16" ht="22" customHeight="1" x14ac:dyDescent="0.15">
      <c r="A1754" s="10" t="str">
        <f t="shared" si="375"/>
        <v>470_10_17_10_polygon</v>
      </c>
      <c r="B1754" s="2">
        <v>470</v>
      </c>
      <c r="C1754" s="30" t="str">
        <f>VLOOKUP(B1754,gachas!A:C,3)</f>
        <v>全世界700万DL突破記念台港澳祭典</v>
      </c>
      <c r="D1754" s="21">
        <v>10</v>
      </c>
      <c r="E1754" s="2">
        <f t="shared" si="377"/>
        <v>17</v>
      </c>
      <c r="F1754" s="2">
        <v>10</v>
      </c>
      <c r="G1754" s="3" t="s">
        <v>22</v>
      </c>
      <c r="H1754" s="2">
        <v>50</v>
      </c>
      <c r="I1754" s="117">
        <v>470100</v>
      </c>
      <c r="J1754" s="112" t="s">
        <v>2092</v>
      </c>
      <c r="K1754" s="2" t="s">
        <v>2190</v>
      </c>
      <c r="L1754" s="2">
        <v>0</v>
      </c>
      <c r="M1754" s="2" t="s">
        <v>116</v>
      </c>
      <c r="N1754" s="2" t="s">
        <v>2094</v>
      </c>
      <c r="O1754" s="2" t="s">
        <v>2095</v>
      </c>
      <c r="P1754" s="2" t="s">
        <v>143</v>
      </c>
    </row>
    <row r="1755" spans="1:16" ht="22" customHeight="1" x14ac:dyDescent="0.15">
      <c r="A1755" s="10" t="str">
        <f t="shared" si="375"/>
        <v>470_10_18_10_polygon</v>
      </c>
      <c r="B1755" s="2">
        <v>470</v>
      </c>
      <c r="C1755" s="30" t="str">
        <f>VLOOKUP(B1755,gachas!A:C,3)</f>
        <v>全世界700万DL突破記念台港澳祭典</v>
      </c>
      <c r="D1755" s="21">
        <v>10</v>
      </c>
      <c r="E1755" s="2">
        <f t="shared" si="377"/>
        <v>18</v>
      </c>
      <c r="F1755" s="2">
        <v>10</v>
      </c>
      <c r="G1755" s="3" t="s">
        <v>22</v>
      </c>
      <c r="H1755" s="2">
        <v>50</v>
      </c>
      <c r="I1755" s="117">
        <v>470100</v>
      </c>
      <c r="J1755" s="112" t="s">
        <v>2092</v>
      </c>
      <c r="K1755" s="2" t="s">
        <v>2190</v>
      </c>
      <c r="L1755" s="2">
        <v>0</v>
      </c>
      <c r="M1755" s="2" t="s">
        <v>116</v>
      </c>
      <c r="N1755" s="2" t="s">
        <v>2094</v>
      </c>
      <c r="O1755" s="2" t="s">
        <v>2095</v>
      </c>
      <c r="P1755" s="2" t="s">
        <v>143</v>
      </c>
    </row>
    <row r="1756" spans="1:16" ht="22" customHeight="1" x14ac:dyDescent="0.15">
      <c r="A1756" s="10" t="str">
        <f t="shared" si="375"/>
        <v>470_10_19_10_polygon</v>
      </c>
      <c r="B1756" s="2">
        <v>470</v>
      </c>
      <c r="C1756" s="30" t="str">
        <f>VLOOKUP(B1756,gachas!A:C,3)</f>
        <v>全世界700万DL突破記念台港澳祭典</v>
      </c>
      <c r="D1756" s="21">
        <v>10</v>
      </c>
      <c r="E1756" s="2">
        <f t="shared" si="377"/>
        <v>19</v>
      </c>
      <c r="F1756" s="2">
        <v>10</v>
      </c>
      <c r="G1756" s="3" t="s">
        <v>22</v>
      </c>
      <c r="H1756" s="2">
        <v>50</v>
      </c>
      <c r="I1756" s="117">
        <v>470100</v>
      </c>
      <c r="J1756" s="112" t="s">
        <v>2092</v>
      </c>
      <c r="K1756" s="2" t="s">
        <v>2190</v>
      </c>
      <c r="L1756" s="2">
        <v>0</v>
      </c>
      <c r="M1756" s="2" t="s">
        <v>116</v>
      </c>
      <c r="N1756" s="2" t="s">
        <v>2094</v>
      </c>
      <c r="O1756" s="2" t="s">
        <v>2095</v>
      </c>
      <c r="P1756" s="2" t="s">
        <v>143</v>
      </c>
    </row>
    <row r="1757" spans="1:16" ht="22" customHeight="1" x14ac:dyDescent="0.15">
      <c r="A1757" s="10" t="str">
        <f t="shared" si="375"/>
        <v>470_10_20_10_polygon</v>
      </c>
      <c r="B1757" s="2">
        <v>470</v>
      </c>
      <c r="C1757" s="30" t="str">
        <f>VLOOKUP(B1757,gachas!A:C,3)</f>
        <v>全世界700万DL突破記念台港澳祭典</v>
      </c>
      <c r="D1757" s="21">
        <v>10</v>
      </c>
      <c r="E1757" s="2">
        <f t="shared" si="377"/>
        <v>20</v>
      </c>
      <c r="F1757" s="2">
        <v>10</v>
      </c>
      <c r="G1757" s="3" t="s">
        <v>22</v>
      </c>
      <c r="H1757" s="2">
        <v>50</v>
      </c>
      <c r="I1757" s="117">
        <v>470100</v>
      </c>
      <c r="J1757" s="112" t="s">
        <v>2092</v>
      </c>
      <c r="K1757" s="2">
        <v>470105</v>
      </c>
      <c r="L1757" s="2">
        <v>1</v>
      </c>
      <c r="M1757" s="2" t="s">
        <v>116</v>
      </c>
      <c r="N1757" s="2" t="s">
        <v>2094</v>
      </c>
      <c r="O1757" s="2" t="s">
        <v>2095</v>
      </c>
      <c r="P1757" s="2" t="s">
        <v>2191</v>
      </c>
    </row>
    <row r="1758" spans="1:16" ht="22" customHeight="1" x14ac:dyDescent="0.15">
      <c r="A1758" s="10" t="str">
        <f t="shared" si="375"/>
        <v>470_10_21_10_polygon</v>
      </c>
      <c r="B1758" s="2">
        <v>470</v>
      </c>
      <c r="C1758" s="30" t="str">
        <f>VLOOKUP(B1758,gachas!A:C,3)</f>
        <v>全世界700万DL突破記念台港澳祭典</v>
      </c>
      <c r="D1758" s="21">
        <v>10</v>
      </c>
      <c r="E1758" s="2">
        <f t="shared" si="377"/>
        <v>21</v>
      </c>
      <c r="F1758" s="2">
        <v>10</v>
      </c>
      <c r="G1758" s="3" t="s">
        <v>22</v>
      </c>
      <c r="H1758" s="2">
        <v>25</v>
      </c>
      <c r="I1758" s="117">
        <v>470100</v>
      </c>
      <c r="J1758" s="112" t="s">
        <v>2092</v>
      </c>
      <c r="K1758" s="2" t="s">
        <v>2190</v>
      </c>
      <c r="L1758" s="2">
        <v>0</v>
      </c>
      <c r="M1758" s="2" t="s">
        <v>116</v>
      </c>
      <c r="N1758" s="2" t="s">
        <v>2094</v>
      </c>
      <c r="O1758" s="2" t="s">
        <v>2095</v>
      </c>
      <c r="P1758" s="59" t="s">
        <v>1783</v>
      </c>
    </row>
    <row r="1759" spans="1:16" ht="22" customHeight="1" x14ac:dyDescent="0.15">
      <c r="A1759" s="10" t="str">
        <f t="shared" si="375"/>
        <v>470_10_22_10_polygon</v>
      </c>
      <c r="B1759" s="2">
        <v>470</v>
      </c>
      <c r="C1759" s="30" t="str">
        <f>VLOOKUP(B1759,gachas!A:C,3)</f>
        <v>全世界700万DL突破記念台港澳祭典</v>
      </c>
      <c r="D1759" s="21">
        <v>10</v>
      </c>
      <c r="E1759" s="2">
        <f t="shared" si="377"/>
        <v>22</v>
      </c>
      <c r="F1759" s="2">
        <v>10</v>
      </c>
      <c r="G1759" s="3" t="s">
        <v>22</v>
      </c>
      <c r="H1759" s="2">
        <v>50</v>
      </c>
      <c r="I1759" s="117">
        <v>470100</v>
      </c>
      <c r="J1759" s="112" t="s">
        <v>2092</v>
      </c>
      <c r="K1759" s="2" t="s">
        <v>2190</v>
      </c>
      <c r="L1759" s="2">
        <v>0</v>
      </c>
      <c r="M1759" s="2" t="s">
        <v>116</v>
      </c>
      <c r="N1759" s="2" t="s">
        <v>2094</v>
      </c>
      <c r="O1759" s="2" t="s">
        <v>2095</v>
      </c>
      <c r="P1759" s="2" t="s">
        <v>143</v>
      </c>
    </row>
    <row r="1760" spans="1:16" ht="22" customHeight="1" x14ac:dyDescent="0.15">
      <c r="A1760" s="10" t="str">
        <f t="shared" si="375"/>
        <v>470_10_23_10_polygon</v>
      </c>
      <c r="B1760" s="2">
        <v>470</v>
      </c>
      <c r="C1760" s="30" t="str">
        <f>VLOOKUP(B1760,gachas!A:C,3)</f>
        <v>全世界700万DL突破記念台港澳祭典</v>
      </c>
      <c r="D1760" s="21">
        <v>10</v>
      </c>
      <c r="E1760" s="2">
        <f t="shared" si="377"/>
        <v>23</v>
      </c>
      <c r="F1760" s="2">
        <v>10</v>
      </c>
      <c r="G1760" s="3" t="s">
        <v>22</v>
      </c>
      <c r="H1760" s="2">
        <v>50</v>
      </c>
      <c r="I1760" s="117">
        <v>470100</v>
      </c>
      <c r="J1760" s="112" t="s">
        <v>2092</v>
      </c>
      <c r="K1760" s="2" t="s">
        <v>2190</v>
      </c>
      <c r="L1760" s="2">
        <v>0</v>
      </c>
      <c r="M1760" s="2" t="s">
        <v>116</v>
      </c>
      <c r="N1760" s="2" t="s">
        <v>2094</v>
      </c>
      <c r="O1760" s="2" t="s">
        <v>2095</v>
      </c>
      <c r="P1760" s="2" t="s">
        <v>143</v>
      </c>
    </row>
    <row r="1761" spans="1:16" ht="22" customHeight="1" x14ac:dyDescent="0.15">
      <c r="A1761" s="10" t="str">
        <f t="shared" si="375"/>
        <v>470_10_24_10_polygon</v>
      </c>
      <c r="B1761" s="2">
        <v>470</v>
      </c>
      <c r="C1761" s="30" t="str">
        <f>VLOOKUP(B1761,gachas!A:C,3)</f>
        <v>全世界700万DL突破記念台港澳祭典</v>
      </c>
      <c r="D1761" s="21">
        <v>10</v>
      </c>
      <c r="E1761" s="2">
        <f t="shared" si="377"/>
        <v>24</v>
      </c>
      <c r="F1761" s="2">
        <v>10</v>
      </c>
      <c r="G1761" s="3" t="s">
        <v>22</v>
      </c>
      <c r="H1761" s="2">
        <v>50</v>
      </c>
      <c r="I1761" s="117">
        <v>470100</v>
      </c>
      <c r="J1761" s="112" t="s">
        <v>2092</v>
      </c>
      <c r="K1761" s="2" t="s">
        <v>2190</v>
      </c>
      <c r="L1761" s="2">
        <v>0</v>
      </c>
      <c r="M1761" s="2" t="s">
        <v>116</v>
      </c>
      <c r="N1761" s="2" t="s">
        <v>2094</v>
      </c>
      <c r="O1761" s="2" t="s">
        <v>2095</v>
      </c>
      <c r="P1761" s="2" t="s">
        <v>143</v>
      </c>
    </row>
    <row r="1762" spans="1:16" ht="22" customHeight="1" x14ac:dyDescent="0.15">
      <c r="A1762" s="10" t="str">
        <f t="shared" si="375"/>
        <v>470_10_25_10_polygon</v>
      </c>
      <c r="B1762" s="2">
        <v>470</v>
      </c>
      <c r="C1762" s="30" t="str">
        <f>VLOOKUP(B1762,gachas!A:C,3)</f>
        <v>全世界700万DL突破記念台港澳祭典</v>
      </c>
      <c r="D1762" s="21">
        <v>10</v>
      </c>
      <c r="E1762" s="2">
        <f t="shared" si="377"/>
        <v>25</v>
      </c>
      <c r="F1762" s="2">
        <v>10</v>
      </c>
      <c r="G1762" s="3" t="s">
        <v>22</v>
      </c>
      <c r="H1762" s="2">
        <v>50</v>
      </c>
      <c r="I1762" s="117">
        <v>470100</v>
      </c>
      <c r="J1762" s="112" t="s">
        <v>2092</v>
      </c>
      <c r="K1762" s="2">
        <v>470105</v>
      </c>
      <c r="L1762" s="2">
        <v>1</v>
      </c>
      <c r="M1762" s="2" t="s">
        <v>116</v>
      </c>
      <c r="N1762" s="2" t="s">
        <v>2094</v>
      </c>
      <c r="O1762" s="2" t="s">
        <v>2095</v>
      </c>
      <c r="P1762" s="2" t="s">
        <v>2191</v>
      </c>
    </row>
    <row r="1763" spans="1:16" ht="22" customHeight="1" x14ac:dyDescent="0.15">
      <c r="A1763" s="10" t="str">
        <f t="shared" si="375"/>
        <v>470_10_26_10_polygon</v>
      </c>
      <c r="B1763" s="2">
        <v>470</v>
      </c>
      <c r="C1763" s="30" t="str">
        <f>VLOOKUP(B1763,gachas!A:C,3)</f>
        <v>全世界700万DL突破記念台港澳祭典</v>
      </c>
      <c r="D1763" s="21">
        <v>10</v>
      </c>
      <c r="E1763" s="2">
        <f t="shared" si="377"/>
        <v>26</v>
      </c>
      <c r="F1763" s="2">
        <v>10</v>
      </c>
      <c r="G1763" s="3" t="s">
        <v>22</v>
      </c>
      <c r="H1763" s="2">
        <v>25</v>
      </c>
      <c r="I1763" s="117">
        <v>470100</v>
      </c>
      <c r="J1763" s="112" t="s">
        <v>2092</v>
      </c>
      <c r="K1763" s="2" t="s">
        <v>2190</v>
      </c>
      <c r="L1763" s="2">
        <v>0</v>
      </c>
      <c r="M1763" s="2" t="s">
        <v>116</v>
      </c>
      <c r="N1763" s="2" t="s">
        <v>2094</v>
      </c>
      <c r="O1763" s="2" t="s">
        <v>2095</v>
      </c>
      <c r="P1763" s="59" t="s">
        <v>1783</v>
      </c>
    </row>
    <row r="1764" spans="1:16" ht="22" customHeight="1" x14ac:dyDescent="0.15">
      <c r="A1764" s="10" t="str">
        <f t="shared" si="375"/>
        <v>470_10_27_10_polygon</v>
      </c>
      <c r="B1764" s="2">
        <v>470</v>
      </c>
      <c r="C1764" s="30" t="str">
        <f>VLOOKUP(B1764,gachas!A:C,3)</f>
        <v>全世界700万DL突破記念台港澳祭典</v>
      </c>
      <c r="D1764" s="21">
        <v>10</v>
      </c>
      <c r="E1764" s="2">
        <f t="shared" si="377"/>
        <v>27</v>
      </c>
      <c r="F1764" s="2">
        <v>10</v>
      </c>
      <c r="G1764" s="3" t="s">
        <v>22</v>
      </c>
      <c r="H1764" s="2">
        <v>50</v>
      </c>
      <c r="I1764" s="117">
        <v>470100</v>
      </c>
      <c r="J1764" s="112" t="s">
        <v>2092</v>
      </c>
      <c r="K1764" s="2" t="s">
        <v>2190</v>
      </c>
      <c r="L1764" s="2">
        <v>0</v>
      </c>
      <c r="M1764" s="2" t="s">
        <v>116</v>
      </c>
      <c r="N1764" s="2" t="s">
        <v>2094</v>
      </c>
      <c r="O1764" s="2" t="s">
        <v>2095</v>
      </c>
      <c r="P1764" s="2" t="s">
        <v>143</v>
      </c>
    </row>
    <row r="1765" spans="1:16" ht="22" customHeight="1" x14ac:dyDescent="0.15">
      <c r="A1765" s="10" t="str">
        <f t="shared" si="375"/>
        <v>470_10_28_10_polygon</v>
      </c>
      <c r="B1765" s="2">
        <v>470</v>
      </c>
      <c r="C1765" s="30" t="str">
        <f>VLOOKUP(B1765,gachas!A:C,3)</f>
        <v>全世界700万DL突破記念台港澳祭典</v>
      </c>
      <c r="D1765" s="21">
        <v>10</v>
      </c>
      <c r="E1765" s="2">
        <f t="shared" si="377"/>
        <v>28</v>
      </c>
      <c r="F1765" s="2">
        <v>10</v>
      </c>
      <c r="G1765" s="3" t="s">
        <v>22</v>
      </c>
      <c r="H1765" s="2">
        <v>50</v>
      </c>
      <c r="I1765" s="117">
        <v>470100</v>
      </c>
      <c r="J1765" s="112" t="s">
        <v>2092</v>
      </c>
      <c r="K1765" s="2" t="s">
        <v>2190</v>
      </c>
      <c r="L1765" s="2">
        <v>0</v>
      </c>
      <c r="M1765" s="2" t="s">
        <v>116</v>
      </c>
      <c r="N1765" s="2" t="s">
        <v>2094</v>
      </c>
      <c r="O1765" s="2" t="s">
        <v>2095</v>
      </c>
      <c r="P1765" s="2" t="s">
        <v>143</v>
      </c>
    </row>
    <row r="1766" spans="1:16" ht="22" customHeight="1" x14ac:dyDescent="0.15">
      <c r="A1766" s="10" t="str">
        <f t="shared" si="375"/>
        <v>470_10_29_10_polygon</v>
      </c>
      <c r="B1766" s="2">
        <v>470</v>
      </c>
      <c r="C1766" s="30" t="str">
        <f>VLOOKUP(B1766,gachas!A:C,3)</f>
        <v>全世界700万DL突破記念台港澳祭典</v>
      </c>
      <c r="D1766" s="21">
        <v>10</v>
      </c>
      <c r="E1766" s="2">
        <f t="shared" si="377"/>
        <v>29</v>
      </c>
      <c r="F1766" s="2">
        <v>10</v>
      </c>
      <c r="G1766" s="3" t="s">
        <v>22</v>
      </c>
      <c r="H1766" s="2">
        <v>50</v>
      </c>
      <c r="I1766" s="117">
        <v>470100</v>
      </c>
      <c r="J1766" s="112" t="s">
        <v>2092</v>
      </c>
      <c r="K1766" s="2" t="s">
        <v>2190</v>
      </c>
      <c r="L1766" s="2">
        <v>0</v>
      </c>
      <c r="M1766" s="2" t="s">
        <v>116</v>
      </c>
      <c r="N1766" s="2" t="s">
        <v>2094</v>
      </c>
      <c r="O1766" s="2" t="s">
        <v>2095</v>
      </c>
      <c r="P1766" s="2" t="s">
        <v>143</v>
      </c>
    </row>
    <row r="1767" spans="1:16" ht="22" customHeight="1" x14ac:dyDescent="0.15">
      <c r="A1767" s="10" t="str">
        <f t="shared" si="375"/>
        <v>470_10_30_10_polygon</v>
      </c>
      <c r="B1767" s="2">
        <v>470</v>
      </c>
      <c r="C1767" s="30" t="str">
        <f>VLOOKUP(B1767,gachas!A:C,3)</f>
        <v>全世界700万DL突破記念台港澳祭典</v>
      </c>
      <c r="D1767" s="21">
        <v>10</v>
      </c>
      <c r="E1767" s="2">
        <f t="shared" si="377"/>
        <v>30</v>
      </c>
      <c r="F1767" s="2">
        <v>10</v>
      </c>
      <c r="G1767" s="3" t="s">
        <v>22</v>
      </c>
      <c r="H1767" s="2">
        <v>50</v>
      </c>
      <c r="I1767" s="117">
        <v>470100</v>
      </c>
      <c r="J1767" s="112" t="s">
        <v>2092</v>
      </c>
      <c r="K1767" s="2">
        <v>470105</v>
      </c>
      <c r="L1767" s="2">
        <v>1</v>
      </c>
      <c r="M1767" s="2" t="s">
        <v>116</v>
      </c>
      <c r="N1767" s="2" t="s">
        <v>2094</v>
      </c>
      <c r="O1767" s="2" t="s">
        <v>2095</v>
      </c>
      <c r="P1767" s="2" t="s">
        <v>2191</v>
      </c>
    </row>
    <row r="1768" spans="1:16" ht="22" customHeight="1" x14ac:dyDescent="0.15">
      <c r="A1768" s="10" t="str">
        <f t="shared" si="375"/>
        <v>470_10_31_10_polygon</v>
      </c>
      <c r="B1768" s="2">
        <v>470</v>
      </c>
      <c r="C1768" s="30" t="str">
        <f>VLOOKUP(B1768,gachas!A:C,3)</f>
        <v>全世界700万DL突破記念台港澳祭典</v>
      </c>
      <c r="D1768" s="21">
        <v>10</v>
      </c>
      <c r="E1768" s="2">
        <f t="shared" si="377"/>
        <v>31</v>
      </c>
      <c r="F1768" s="2">
        <v>10</v>
      </c>
      <c r="G1768" s="3" t="s">
        <v>22</v>
      </c>
      <c r="H1768" s="2">
        <v>25</v>
      </c>
      <c r="I1768" s="117">
        <v>470100</v>
      </c>
      <c r="J1768" s="112" t="s">
        <v>2092</v>
      </c>
      <c r="K1768" s="2" t="s">
        <v>2190</v>
      </c>
      <c r="L1768" s="2">
        <v>0</v>
      </c>
      <c r="M1768" s="2" t="s">
        <v>116</v>
      </c>
      <c r="N1768" s="2" t="s">
        <v>2094</v>
      </c>
      <c r="O1768" s="2" t="s">
        <v>2095</v>
      </c>
      <c r="P1768" s="59" t="s">
        <v>1783</v>
      </c>
    </row>
    <row r="1769" spans="1:16" ht="22" customHeight="1" x14ac:dyDescent="0.15">
      <c r="A1769" s="10" t="str">
        <f t="shared" si="375"/>
        <v>470_10_32_10_polygon</v>
      </c>
      <c r="B1769" s="2">
        <v>470</v>
      </c>
      <c r="C1769" s="30" t="str">
        <f>VLOOKUP(B1769,gachas!A:C,3)</f>
        <v>全世界700万DL突破記念台港澳祭典</v>
      </c>
      <c r="D1769" s="21">
        <v>10</v>
      </c>
      <c r="E1769" s="2">
        <f t="shared" si="377"/>
        <v>32</v>
      </c>
      <c r="F1769" s="2">
        <v>10</v>
      </c>
      <c r="G1769" s="3" t="s">
        <v>22</v>
      </c>
      <c r="H1769" s="2">
        <v>50</v>
      </c>
      <c r="I1769" s="117">
        <v>470100</v>
      </c>
      <c r="J1769" s="112" t="s">
        <v>2092</v>
      </c>
      <c r="K1769" s="2" t="s">
        <v>2190</v>
      </c>
      <c r="L1769" s="2">
        <v>0</v>
      </c>
      <c r="M1769" s="2" t="s">
        <v>116</v>
      </c>
      <c r="N1769" s="2" t="s">
        <v>2094</v>
      </c>
      <c r="O1769" s="2" t="s">
        <v>2095</v>
      </c>
      <c r="P1769" s="2" t="s">
        <v>143</v>
      </c>
    </row>
    <row r="1770" spans="1:16" ht="22" customHeight="1" x14ac:dyDescent="0.15">
      <c r="A1770" s="10" t="str">
        <f t="shared" si="375"/>
        <v>470_10_33_10_polygon</v>
      </c>
      <c r="B1770" s="2">
        <v>470</v>
      </c>
      <c r="C1770" s="30" t="str">
        <f>VLOOKUP(B1770,gachas!A:C,3)</f>
        <v>全世界700万DL突破記念台港澳祭典</v>
      </c>
      <c r="D1770" s="21">
        <v>10</v>
      </c>
      <c r="E1770" s="2">
        <f t="shared" si="377"/>
        <v>33</v>
      </c>
      <c r="F1770" s="2">
        <v>10</v>
      </c>
      <c r="G1770" s="3" t="s">
        <v>22</v>
      </c>
      <c r="H1770" s="2">
        <v>50</v>
      </c>
      <c r="I1770" s="117">
        <v>470100</v>
      </c>
      <c r="J1770" s="112" t="s">
        <v>2092</v>
      </c>
      <c r="K1770" s="2" t="s">
        <v>2190</v>
      </c>
      <c r="L1770" s="2">
        <v>0</v>
      </c>
      <c r="M1770" s="2" t="s">
        <v>116</v>
      </c>
      <c r="N1770" s="2" t="s">
        <v>2094</v>
      </c>
      <c r="O1770" s="2" t="s">
        <v>2095</v>
      </c>
      <c r="P1770" s="2" t="s">
        <v>143</v>
      </c>
    </row>
    <row r="1771" spans="1:16" ht="22" customHeight="1" x14ac:dyDescent="0.15">
      <c r="A1771" s="10" t="str">
        <f t="shared" si="375"/>
        <v>470_10_34_10_polygon</v>
      </c>
      <c r="B1771" s="2">
        <v>470</v>
      </c>
      <c r="C1771" s="30" t="str">
        <f>VLOOKUP(B1771,gachas!A:C,3)</f>
        <v>全世界700万DL突破記念台港澳祭典</v>
      </c>
      <c r="D1771" s="21">
        <v>10</v>
      </c>
      <c r="E1771" s="2">
        <f t="shared" si="377"/>
        <v>34</v>
      </c>
      <c r="F1771" s="2">
        <v>10</v>
      </c>
      <c r="G1771" s="3" t="s">
        <v>22</v>
      </c>
      <c r="H1771" s="2">
        <v>50</v>
      </c>
      <c r="I1771" s="117">
        <v>470100</v>
      </c>
      <c r="J1771" s="112" t="s">
        <v>2092</v>
      </c>
      <c r="K1771" s="2" t="s">
        <v>2190</v>
      </c>
      <c r="L1771" s="2">
        <v>0</v>
      </c>
      <c r="M1771" s="2" t="s">
        <v>116</v>
      </c>
      <c r="N1771" s="2" t="s">
        <v>2094</v>
      </c>
      <c r="O1771" s="2" t="s">
        <v>2095</v>
      </c>
      <c r="P1771" s="2" t="s">
        <v>143</v>
      </c>
    </row>
    <row r="1772" spans="1:16" ht="22" customHeight="1" x14ac:dyDescent="0.15">
      <c r="A1772" s="10" t="str">
        <f t="shared" si="375"/>
        <v>470_10_35_10_polygon</v>
      </c>
      <c r="B1772" s="2">
        <v>470</v>
      </c>
      <c r="C1772" s="30" t="str">
        <f>VLOOKUP(B1772,gachas!A:C,3)</f>
        <v>全世界700万DL突破記念台港澳祭典</v>
      </c>
      <c r="D1772" s="21">
        <v>10</v>
      </c>
      <c r="E1772" s="2">
        <f t="shared" si="377"/>
        <v>35</v>
      </c>
      <c r="F1772" s="2">
        <v>10</v>
      </c>
      <c r="G1772" s="3" t="s">
        <v>22</v>
      </c>
      <c r="H1772" s="2">
        <v>50</v>
      </c>
      <c r="I1772" s="117">
        <v>470100</v>
      </c>
      <c r="J1772" s="112" t="s">
        <v>2092</v>
      </c>
      <c r="K1772" s="2">
        <v>470105</v>
      </c>
      <c r="L1772" s="2">
        <v>1</v>
      </c>
      <c r="M1772" s="2" t="s">
        <v>116</v>
      </c>
      <c r="N1772" s="2" t="s">
        <v>2094</v>
      </c>
      <c r="O1772" s="2" t="s">
        <v>2095</v>
      </c>
      <c r="P1772" s="2" t="s">
        <v>2191</v>
      </c>
    </row>
    <row r="1773" spans="1:16" ht="22" customHeight="1" x14ac:dyDescent="0.15">
      <c r="A1773" s="10" t="str">
        <f t="shared" si="375"/>
        <v>470_10_36_10_polygon</v>
      </c>
      <c r="B1773" s="2">
        <v>470</v>
      </c>
      <c r="C1773" s="30" t="str">
        <f>VLOOKUP(B1773,gachas!A:C,3)</f>
        <v>全世界700万DL突破記念台港澳祭典</v>
      </c>
      <c r="D1773" s="21">
        <v>10</v>
      </c>
      <c r="E1773" s="2">
        <f t="shared" si="377"/>
        <v>36</v>
      </c>
      <c r="F1773" s="2">
        <v>10</v>
      </c>
      <c r="G1773" s="3" t="s">
        <v>22</v>
      </c>
      <c r="H1773" s="2">
        <v>25</v>
      </c>
      <c r="I1773" s="117">
        <v>470100</v>
      </c>
      <c r="J1773" s="112" t="s">
        <v>2092</v>
      </c>
      <c r="K1773" s="2" t="s">
        <v>2190</v>
      </c>
      <c r="L1773" s="2">
        <v>0</v>
      </c>
      <c r="M1773" s="2" t="s">
        <v>116</v>
      </c>
      <c r="N1773" s="2" t="s">
        <v>2094</v>
      </c>
      <c r="O1773" s="2" t="s">
        <v>2095</v>
      </c>
      <c r="P1773" s="59" t="s">
        <v>1783</v>
      </c>
    </row>
    <row r="1774" spans="1:16" ht="22" customHeight="1" x14ac:dyDescent="0.15">
      <c r="A1774" s="10" t="str">
        <f t="shared" si="375"/>
        <v>470_10_37_10_polygon</v>
      </c>
      <c r="B1774" s="2">
        <v>470</v>
      </c>
      <c r="C1774" s="30" t="str">
        <f>VLOOKUP(B1774,gachas!A:C,3)</f>
        <v>全世界700万DL突破記念台港澳祭典</v>
      </c>
      <c r="D1774" s="21">
        <v>10</v>
      </c>
      <c r="E1774" s="2">
        <f t="shared" si="377"/>
        <v>37</v>
      </c>
      <c r="F1774" s="2">
        <v>10</v>
      </c>
      <c r="G1774" s="3" t="s">
        <v>22</v>
      </c>
      <c r="H1774" s="2">
        <v>50</v>
      </c>
      <c r="I1774" s="117">
        <v>470100</v>
      </c>
      <c r="J1774" s="112" t="s">
        <v>2092</v>
      </c>
      <c r="K1774" s="2" t="s">
        <v>2190</v>
      </c>
      <c r="L1774" s="2">
        <v>0</v>
      </c>
      <c r="M1774" s="2" t="s">
        <v>116</v>
      </c>
      <c r="N1774" s="2" t="s">
        <v>2094</v>
      </c>
      <c r="O1774" s="2" t="s">
        <v>2095</v>
      </c>
      <c r="P1774" s="2" t="s">
        <v>143</v>
      </c>
    </row>
    <row r="1775" spans="1:16" ht="22" customHeight="1" x14ac:dyDescent="0.15">
      <c r="A1775" s="10" t="str">
        <f t="shared" si="375"/>
        <v>470_10_38_10_polygon</v>
      </c>
      <c r="B1775" s="2">
        <v>470</v>
      </c>
      <c r="C1775" s="30" t="str">
        <f>VLOOKUP(B1775,gachas!A:C,3)</f>
        <v>全世界700万DL突破記念台港澳祭典</v>
      </c>
      <c r="D1775" s="21">
        <v>10</v>
      </c>
      <c r="E1775" s="2">
        <f t="shared" si="377"/>
        <v>38</v>
      </c>
      <c r="F1775" s="2">
        <v>10</v>
      </c>
      <c r="G1775" s="3" t="s">
        <v>22</v>
      </c>
      <c r="H1775" s="2">
        <v>50</v>
      </c>
      <c r="I1775" s="117">
        <v>470100</v>
      </c>
      <c r="J1775" s="112" t="s">
        <v>2092</v>
      </c>
      <c r="K1775" s="2" t="s">
        <v>2190</v>
      </c>
      <c r="L1775" s="2">
        <v>0</v>
      </c>
      <c r="M1775" s="2" t="s">
        <v>116</v>
      </c>
      <c r="N1775" s="2" t="s">
        <v>2094</v>
      </c>
      <c r="O1775" s="2" t="s">
        <v>2095</v>
      </c>
      <c r="P1775" s="2" t="s">
        <v>143</v>
      </c>
    </row>
    <row r="1776" spans="1:16" ht="22" customHeight="1" x14ac:dyDescent="0.15">
      <c r="A1776" s="10" t="str">
        <f t="shared" si="375"/>
        <v>470_10_39_10_polygon</v>
      </c>
      <c r="B1776" s="2">
        <v>470</v>
      </c>
      <c r="C1776" s="30" t="str">
        <f>VLOOKUP(B1776,gachas!A:C,3)</f>
        <v>全世界700万DL突破記念台港澳祭典</v>
      </c>
      <c r="D1776" s="21">
        <v>10</v>
      </c>
      <c r="E1776" s="2">
        <f t="shared" si="377"/>
        <v>39</v>
      </c>
      <c r="F1776" s="2">
        <v>10</v>
      </c>
      <c r="G1776" s="3" t="s">
        <v>22</v>
      </c>
      <c r="H1776" s="2">
        <v>50</v>
      </c>
      <c r="I1776" s="117">
        <v>470100</v>
      </c>
      <c r="J1776" s="112" t="s">
        <v>2092</v>
      </c>
      <c r="K1776" s="2" t="s">
        <v>2190</v>
      </c>
      <c r="L1776" s="2">
        <v>0</v>
      </c>
      <c r="M1776" s="2" t="s">
        <v>116</v>
      </c>
      <c r="N1776" s="2" t="s">
        <v>2094</v>
      </c>
      <c r="O1776" s="2" t="s">
        <v>2095</v>
      </c>
      <c r="P1776" s="2" t="s">
        <v>143</v>
      </c>
    </row>
    <row r="1777" spans="1:16" ht="22" customHeight="1" x14ac:dyDescent="0.15">
      <c r="A1777" s="10" t="str">
        <f t="shared" si="375"/>
        <v>470_10_40_10_polygon</v>
      </c>
      <c r="B1777" s="2">
        <v>470</v>
      </c>
      <c r="C1777" s="30" t="str">
        <f>VLOOKUP(B1777,gachas!A:C,3)</f>
        <v>全世界700万DL突破記念台港澳祭典</v>
      </c>
      <c r="D1777" s="21">
        <v>10</v>
      </c>
      <c r="E1777" s="2">
        <f t="shared" si="377"/>
        <v>40</v>
      </c>
      <c r="F1777" s="2">
        <v>10</v>
      </c>
      <c r="G1777" s="3" t="s">
        <v>22</v>
      </c>
      <c r="H1777" s="2">
        <v>50</v>
      </c>
      <c r="I1777" s="117">
        <v>470100</v>
      </c>
      <c r="J1777" s="112" t="s">
        <v>2092</v>
      </c>
      <c r="K1777" s="2">
        <v>470105</v>
      </c>
      <c r="L1777" s="2">
        <v>1</v>
      </c>
      <c r="M1777" s="2" t="s">
        <v>116</v>
      </c>
      <c r="N1777" s="2" t="s">
        <v>2094</v>
      </c>
      <c r="O1777" s="2" t="s">
        <v>2095</v>
      </c>
      <c r="P1777" s="2" t="s">
        <v>2191</v>
      </c>
    </row>
    <row r="1778" spans="1:16" ht="22" customHeight="1" x14ac:dyDescent="0.15">
      <c r="A1778" s="10" t="str">
        <f t="shared" si="375"/>
        <v>470_10_41_10_polygon</v>
      </c>
      <c r="B1778" s="2">
        <v>470</v>
      </c>
      <c r="C1778" s="30" t="str">
        <f>VLOOKUP(B1778,gachas!A:C,3)</f>
        <v>全世界700万DL突破記念台港澳祭典</v>
      </c>
      <c r="D1778" s="21">
        <v>10</v>
      </c>
      <c r="E1778" s="2">
        <f t="shared" si="377"/>
        <v>41</v>
      </c>
      <c r="F1778" s="2">
        <v>10</v>
      </c>
      <c r="G1778" s="3" t="s">
        <v>22</v>
      </c>
      <c r="H1778" s="2">
        <v>25</v>
      </c>
      <c r="I1778" s="117">
        <v>470100</v>
      </c>
      <c r="J1778" s="112" t="s">
        <v>2092</v>
      </c>
      <c r="K1778" s="2" t="s">
        <v>2190</v>
      </c>
      <c r="L1778" s="2">
        <v>0</v>
      </c>
      <c r="M1778" s="2" t="s">
        <v>116</v>
      </c>
      <c r="N1778" s="2" t="s">
        <v>2094</v>
      </c>
      <c r="O1778" s="2" t="s">
        <v>2095</v>
      </c>
      <c r="P1778" s="59" t="s">
        <v>1783</v>
      </c>
    </row>
    <row r="1779" spans="1:16" ht="22" customHeight="1" x14ac:dyDescent="0.15">
      <c r="A1779" s="10" t="str">
        <f t="shared" si="375"/>
        <v>470_10_42_10_polygon</v>
      </c>
      <c r="B1779" s="2">
        <v>470</v>
      </c>
      <c r="C1779" s="30" t="str">
        <f>VLOOKUP(B1779,gachas!A:C,3)</f>
        <v>全世界700万DL突破記念台港澳祭典</v>
      </c>
      <c r="D1779" s="21">
        <v>10</v>
      </c>
      <c r="E1779" s="2">
        <f t="shared" si="377"/>
        <v>42</v>
      </c>
      <c r="F1779" s="2">
        <v>10</v>
      </c>
      <c r="G1779" s="3" t="s">
        <v>22</v>
      </c>
      <c r="H1779" s="2">
        <v>50</v>
      </c>
      <c r="I1779" s="117">
        <v>470100</v>
      </c>
      <c r="J1779" s="112" t="s">
        <v>2092</v>
      </c>
      <c r="K1779" s="2" t="s">
        <v>2190</v>
      </c>
      <c r="L1779" s="2">
        <v>0</v>
      </c>
      <c r="M1779" s="2" t="s">
        <v>116</v>
      </c>
      <c r="N1779" s="2" t="s">
        <v>2094</v>
      </c>
      <c r="O1779" s="2" t="s">
        <v>2095</v>
      </c>
      <c r="P1779" s="2" t="s">
        <v>143</v>
      </c>
    </row>
    <row r="1780" spans="1:16" ht="22" customHeight="1" x14ac:dyDescent="0.15">
      <c r="A1780" s="10" t="str">
        <f t="shared" si="375"/>
        <v>470_10_43_10_polygon</v>
      </c>
      <c r="B1780" s="2">
        <v>470</v>
      </c>
      <c r="C1780" s="30" t="str">
        <f>VLOOKUP(B1780,gachas!A:C,3)</f>
        <v>全世界700万DL突破記念台港澳祭典</v>
      </c>
      <c r="D1780" s="21">
        <v>10</v>
      </c>
      <c r="E1780" s="2">
        <f t="shared" si="377"/>
        <v>43</v>
      </c>
      <c r="F1780" s="2">
        <v>10</v>
      </c>
      <c r="G1780" s="3" t="s">
        <v>22</v>
      </c>
      <c r="H1780" s="2">
        <v>50</v>
      </c>
      <c r="I1780" s="117">
        <v>470100</v>
      </c>
      <c r="J1780" s="112" t="s">
        <v>2092</v>
      </c>
      <c r="K1780" s="2" t="s">
        <v>2190</v>
      </c>
      <c r="L1780" s="2">
        <v>0</v>
      </c>
      <c r="M1780" s="2" t="s">
        <v>116</v>
      </c>
      <c r="N1780" s="2" t="s">
        <v>2094</v>
      </c>
      <c r="O1780" s="2" t="s">
        <v>2095</v>
      </c>
      <c r="P1780" s="2" t="s">
        <v>143</v>
      </c>
    </row>
    <row r="1781" spans="1:16" ht="22" customHeight="1" x14ac:dyDescent="0.15">
      <c r="A1781" s="10" t="str">
        <f t="shared" si="375"/>
        <v>470_10_44_10_polygon</v>
      </c>
      <c r="B1781" s="2">
        <v>470</v>
      </c>
      <c r="C1781" s="30" t="str">
        <f>VLOOKUP(B1781,gachas!A:C,3)</f>
        <v>全世界700万DL突破記念台港澳祭典</v>
      </c>
      <c r="D1781" s="21">
        <v>10</v>
      </c>
      <c r="E1781" s="2">
        <f t="shared" si="377"/>
        <v>44</v>
      </c>
      <c r="F1781" s="2">
        <v>10</v>
      </c>
      <c r="G1781" s="3" t="s">
        <v>22</v>
      </c>
      <c r="H1781" s="2">
        <v>50</v>
      </c>
      <c r="I1781" s="117">
        <v>470100</v>
      </c>
      <c r="J1781" s="112" t="s">
        <v>2092</v>
      </c>
      <c r="K1781" s="2" t="s">
        <v>2190</v>
      </c>
      <c r="L1781" s="2">
        <v>0</v>
      </c>
      <c r="M1781" s="2" t="s">
        <v>116</v>
      </c>
      <c r="N1781" s="2" t="s">
        <v>2094</v>
      </c>
      <c r="O1781" s="2" t="s">
        <v>2095</v>
      </c>
      <c r="P1781" s="2" t="s">
        <v>143</v>
      </c>
    </row>
    <row r="1782" spans="1:16" ht="22" customHeight="1" x14ac:dyDescent="0.15">
      <c r="A1782" s="10" t="str">
        <f t="shared" si="375"/>
        <v>470_10_45_10_polygon</v>
      </c>
      <c r="B1782" s="2">
        <v>470</v>
      </c>
      <c r="C1782" s="30" t="str">
        <f>VLOOKUP(B1782,gachas!A:C,3)</f>
        <v>全世界700万DL突破記念台港澳祭典</v>
      </c>
      <c r="D1782" s="21">
        <v>10</v>
      </c>
      <c r="E1782" s="2">
        <f t="shared" si="377"/>
        <v>45</v>
      </c>
      <c r="F1782" s="2">
        <v>10</v>
      </c>
      <c r="G1782" s="3" t="s">
        <v>22</v>
      </c>
      <c r="H1782" s="2">
        <v>50</v>
      </c>
      <c r="I1782" s="117">
        <v>470100</v>
      </c>
      <c r="J1782" s="112" t="s">
        <v>2092</v>
      </c>
      <c r="K1782" s="2">
        <v>470105</v>
      </c>
      <c r="L1782" s="2">
        <v>1</v>
      </c>
      <c r="M1782" s="2" t="s">
        <v>116</v>
      </c>
      <c r="N1782" s="2" t="s">
        <v>2094</v>
      </c>
      <c r="O1782" s="2" t="s">
        <v>2095</v>
      </c>
      <c r="P1782" s="2" t="s">
        <v>2191</v>
      </c>
    </row>
    <row r="1783" spans="1:16" ht="22" customHeight="1" x14ac:dyDescent="0.15">
      <c r="A1783" s="10" t="str">
        <f t="shared" si="375"/>
        <v>470_10_46_10_polygon</v>
      </c>
      <c r="B1783" s="2">
        <v>470</v>
      </c>
      <c r="C1783" s="30" t="str">
        <f>VLOOKUP(B1783,gachas!A:C,3)</f>
        <v>全世界700万DL突破記念台港澳祭典</v>
      </c>
      <c r="D1783" s="21">
        <v>10</v>
      </c>
      <c r="E1783" s="2">
        <f t="shared" si="377"/>
        <v>46</v>
      </c>
      <c r="F1783" s="2">
        <v>10</v>
      </c>
      <c r="G1783" s="3" t="s">
        <v>22</v>
      </c>
      <c r="H1783" s="2">
        <v>25</v>
      </c>
      <c r="I1783" s="117">
        <v>470100</v>
      </c>
      <c r="J1783" s="112" t="s">
        <v>2092</v>
      </c>
      <c r="K1783" s="2" t="s">
        <v>2190</v>
      </c>
      <c r="L1783" s="2">
        <v>0</v>
      </c>
      <c r="M1783" s="2" t="s">
        <v>116</v>
      </c>
      <c r="N1783" s="2" t="s">
        <v>2094</v>
      </c>
      <c r="O1783" s="2" t="s">
        <v>2095</v>
      </c>
      <c r="P1783" s="59" t="s">
        <v>1783</v>
      </c>
    </row>
    <row r="1784" spans="1:16" ht="22" customHeight="1" x14ac:dyDescent="0.15">
      <c r="A1784" s="10" t="str">
        <f t="shared" si="375"/>
        <v>470_10_47_10_polygon</v>
      </c>
      <c r="B1784" s="2">
        <v>470</v>
      </c>
      <c r="C1784" s="30" t="str">
        <f>VLOOKUP(B1784,gachas!A:C,3)</f>
        <v>全世界700万DL突破記念台港澳祭典</v>
      </c>
      <c r="D1784" s="21">
        <v>10</v>
      </c>
      <c r="E1784" s="2">
        <f t="shared" si="377"/>
        <v>47</v>
      </c>
      <c r="F1784" s="2">
        <v>10</v>
      </c>
      <c r="G1784" s="3" t="s">
        <v>22</v>
      </c>
      <c r="H1784" s="2">
        <v>50</v>
      </c>
      <c r="I1784" s="117">
        <v>470100</v>
      </c>
      <c r="J1784" s="112" t="s">
        <v>2092</v>
      </c>
      <c r="K1784" s="2" t="s">
        <v>2190</v>
      </c>
      <c r="L1784" s="2">
        <v>0</v>
      </c>
      <c r="M1784" s="2" t="s">
        <v>116</v>
      </c>
      <c r="N1784" s="2" t="s">
        <v>2094</v>
      </c>
      <c r="O1784" s="2" t="s">
        <v>2095</v>
      </c>
      <c r="P1784" s="2" t="s">
        <v>143</v>
      </c>
    </row>
    <row r="1785" spans="1:16" ht="22" customHeight="1" x14ac:dyDescent="0.15">
      <c r="A1785" s="10" t="str">
        <f t="shared" si="375"/>
        <v>470_10_48_10_polygon</v>
      </c>
      <c r="B1785" s="2">
        <v>470</v>
      </c>
      <c r="C1785" s="30" t="str">
        <f>VLOOKUP(B1785,gachas!A:C,3)</f>
        <v>全世界700万DL突破記念台港澳祭典</v>
      </c>
      <c r="D1785" s="21">
        <v>10</v>
      </c>
      <c r="E1785" s="2">
        <f t="shared" si="377"/>
        <v>48</v>
      </c>
      <c r="F1785" s="2">
        <v>10</v>
      </c>
      <c r="G1785" s="3" t="s">
        <v>22</v>
      </c>
      <c r="H1785" s="2">
        <v>50</v>
      </c>
      <c r="I1785" s="117">
        <v>470100</v>
      </c>
      <c r="J1785" s="112" t="s">
        <v>2092</v>
      </c>
      <c r="K1785" s="2" t="s">
        <v>2190</v>
      </c>
      <c r="L1785" s="2">
        <v>0</v>
      </c>
      <c r="M1785" s="2" t="s">
        <v>116</v>
      </c>
      <c r="N1785" s="2" t="s">
        <v>2094</v>
      </c>
      <c r="O1785" s="2" t="s">
        <v>2095</v>
      </c>
      <c r="P1785" s="2" t="s">
        <v>143</v>
      </c>
    </row>
    <row r="1786" spans="1:16" ht="22" customHeight="1" x14ac:dyDescent="0.15">
      <c r="A1786" s="10" t="str">
        <f t="shared" si="375"/>
        <v>470_10_49_10_polygon</v>
      </c>
      <c r="B1786" s="2">
        <v>470</v>
      </c>
      <c r="C1786" s="30" t="str">
        <f>VLOOKUP(B1786,gachas!A:C,3)</f>
        <v>全世界700万DL突破記念台港澳祭典</v>
      </c>
      <c r="D1786" s="21">
        <v>10</v>
      </c>
      <c r="E1786" s="2">
        <f t="shared" si="377"/>
        <v>49</v>
      </c>
      <c r="F1786" s="2">
        <v>10</v>
      </c>
      <c r="G1786" s="3" t="s">
        <v>22</v>
      </c>
      <c r="H1786" s="2">
        <v>50</v>
      </c>
      <c r="I1786" s="117">
        <v>470100</v>
      </c>
      <c r="J1786" s="112" t="s">
        <v>2092</v>
      </c>
      <c r="K1786" s="2" t="s">
        <v>2190</v>
      </c>
      <c r="L1786" s="2">
        <v>0</v>
      </c>
      <c r="M1786" s="2" t="s">
        <v>116</v>
      </c>
      <c r="N1786" s="2" t="s">
        <v>2094</v>
      </c>
      <c r="O1786" s="2" t="s">
        <v>2095</v>
      </c>
      <c r="P1786" s="2" t="s">
        <v>143</v>
      </c>
    </row>
    <row r="1787" spans="1:16" ht="22" customHeight="1" x14ac:dyDescent="0.15">
      <c r="A1787" s="10" t="str">
        <f t="shared" si="375"/>
        <v>470_10_50_10_polygon</v>
      </c>
      <c r="B1787" s="2">
        <v>470</v>
      </c>
      <c r="C1787" s="30" t="str">
        <f>VLOOKUP(B1787,gachas!A:C,3)</f>
        <v>全世界700万DL突破記念台港澳祭典</v>
      </c>
      <c r="D1787" s="21">
        <v>10</v>
      </c>
      <c r="E1787" s="2">
        <f t="shared" si="377"/>
        <v>50</v>
      </c>
      <c r="F1787" s="2">
        <v>10</v>
      </c>
      <c r="G1787" s="3" t="s">
        <v>22</v>
      </c>
      <c r="H1787" s="2">
        <v>50</v>
      </c>
      <c r="I1787" s="117">
        <v>470100</v>
      </c>
      <c r="J1787" s="112" t="s">
        <v>2092</v>
      </c>
      <c r="K1787" s="2">
        <v>470105</v>
      </c>
      <c r="L1787" s="2">
        <v>1</v>
      </c>
      <c r="M1787" s="2" t="s">
        <v>116</v>
      </c>
      <c r="N1787" s="2" t="s">
        <v>2094</v>
      </c>
      <c r="O1787" s="2" t="s">
        <v>2095</v>
      </c>
      <c r="P1787" s="2" t="s">
        <v>2191</v>
      </c>
    </row>
    <row r="1788" spans="1:16" ht="22" customHeight="1" x14ac:dyDescent="0.15">
      <c r="A1788" s="10" t="str">
        <f t="shared" si="375"/>
        <v>471_10_1_5_polygon</v>
      </c>
      <c r="B1788" s="2">
        <v>471</v>
      </c>
      <c r="C1788" s="30" t="str">
        <f>VLOOKUP(B1788,gachas!A:C,3)</f>
        <v>確定ステップアップガチャ</v>
      </c>
      <c r="D1788" s="21">
        <v>10</v>
      </c>
      <c r="E1788" s="2">
        <v>1</v>
      </c>
      <c r="F1788" s="2">
        <v>5</v>
      </c>
      <c r="G1788" s="3" t="s">
        <v>22</v>
      </c>
      <c r="H1788" s="2">
        <v>15</v>
      </c>
      <c r="I1788" s="112">
        <v>471101</v>
      </c>
      <c r="J1788" s="112">
        <v>471101</v>
      </c>
      <c r="K1788" s="112" t="s">
        <v>84</v>
      </c>
      <c r="L1788" s="2">
        <v>0</v>
      </c>
      <c r="M1788" s="2" t="s">
        <v>84</v>
      </c>
      <c r="N1788" s="2" t="s">
        <v>84</v>
      </c>
      <c r="O1788" s="2" t="s">
        <v>841</v>
      </c>
      <c r="P1788" s="2" t="s">
        <v>1746</v>
      </c>
    </row>
    <row r="1789" spans="1:16" ht="22" customHeight="1" x14ac:dyDescent="0.15">
      <c r="A1789" s="10" t="str">
        <f t="shared" ref="A1789:A1813" si="378">B1789&amp;"_"&amp;D1789&amp;"_"&amp;E1789&amp;"_"&amp;F1789&amp;"_"&amp;G1789</f>
        <v>471_10_2_5_polygon</v>
      </c>
      <c r="B1789" s="2">
        <v>471</v>
      </c>
      <c r="C1789" s="30" t="str">
        <f>VLOOKUP(B1789,gachas!A:C,3)</f>
        <v>確定ステップアップガチャ</v>
      </c>
      <c r="D1789" s="21">
        <v>10</v>
      </c>
      <c r="E1789" s="2">
        <v>2</v>
      </c>
      <c r="F1789" s="2">
        <v>5</v>
      </c>
      <c r="G1789" s="3" t="s">
        <v>22</v>
      </c>
      <c r="H1789" s="2">
        <v>20</v>
      </c>
      <c r="I1789" s="112">
        <v>471101</v>
      </c>
      <c r="J1789" s="112">
        <v>471102</v>
      </c>
      <c r="K1789" s="112" t="s">
        <v>84</v>
      </c>
      <c r="L1789" s="2">
        <v>0</v>
      </c>
      <c r="M1789" s="2" t="s">
        <v>84</v>
      </c>
      <c r="N1789" s="2" t="s">
        <v>84</v>
      </c>
      <c r="O1789" s="2" t="s">
        <v>841</v>
      </c>
      <c r="P1789" s="2" t="s">
        <v>1747</v>
      </c>
    </row>
    <row r="1790" spans="1:16" ht="22" customHeight="1" x14ac:dyDescent="0.15">
      <c r="A1790" s="10" t="str">
        <f t="shared" si="378"/>
        <v>471_10_3_10_polygon</v>
      </c>
      <c r="B1790" s="2">
        <v>471</v>
      </c>
      <c r="C1790" s="30" t="str">
        <f>VLOOKUP(B1790,gachas!A:C,3)</f>
        <v>確定ステップアップガチャ</v>
      </c>
      <c r="D1790" s="21">
        <v>10</v>
      </c>
      <c r="E1790" s="2">
        <v>3</v>
      </c>
      <c r="F1790" s="2">
        <v>10</v>
      </c>
      <c r="G1790" s="3" t="s">
        <v>22</v>
      </c>
      <c r="H1790" s="2">
        <v>35</v>
      </c>
      <c r="I1790" s="112">
        <v>471100</v>
      </c>
      <c r="J1790" s="112">
        <v>471103</v>
      </c>
      <c r="K1790" s="112" t="s">
        <v>84</v>
      </c>
      <c r="L1790" s="2">
        <v>0</v>
      </c>
      <c r="M1790" s="2" t="s">
        <v>84</v>
      </c>
      <c r="N1790" s="2" t="s">
        <v>84</v>
      </c>
      <c r="O1790" s="2" t="s">
        <v>841</v>
      </c>
      <c r="P1790" s="2" t="s">
        <v>1748</v>
      </c>
    </row>
    <row r="1791" spans="1:16" ht="22" customHeight="1" x14ac:dyDescent="0.15">
      <c r="A1791" s="10" t="str">
        <f t="shared" si="378"/>
        <v>471_10_4_10_polygon</v>
      </c>
      <c r="B1791" s="2">
        <v>471</v>
      </c>
      <c r="C1791" s="30" t="str">
        <f>VLOOKUP(B1791,gachas!A:C,3)</f>
        <v>確定ステップアップガチャ</v>
      </c>
      <c r="D1791" s="21">
        <v>10</v>
      </c>
      <c r="E1791" s="2">
        <v>4</v>
      </c>
      <c r="F1791" s="2">
        <v>10</v>
      </c>
      <c r="G1791" s="3" t="s">
        <v>22</v>
      </c>
      <c r="H1791" s="2">
        <v>50</v>
      </c>
      <c r="I1791" s="112">
        <v>471100</v>
      </c>
      <c r="J1791" s="112">
        <v>471104</v>
      </c>
      <c r="K1791" s="112" t="s">
        <v>84</v>
      </c>
      <c r="L1791" s="2">
        <v>0</v>
      </c>
      <c r="M1791" s="2" t="s">
        <v>84</v>
      </c>
      <c r="N1791" s="2" t="s">
        <v>84</v>
      </c>
      <c r="O1791" s="2" t="s">
        <v>841</v>
      </c>
      <c r="P1791" s="2" t="s">
        <v>1749</v>
      </c>
    </row>
    <row r="1792" spans="1:16" ht="22" customHeight="1" x14ac:dyDescent="0.15">
      <c r="A1792" s="10" t="str">
        <f t="shared" si="378"/>
        <v>471_10_5_10_polygon</v>
      </c>
      <c r="B1792" s="2">
        <v>471</v>
      </c>
      <c r="C1792" s="30" t="str">
        <f>VLOOKUP(B1792,gachas!A:C,3)</f>
        <v>確定ステップアップガチャ</v>
      </c>
      <c r="D1792" s="21">
        <v>10</v>
      </c>
      <c r="E1792" s="2">
        <v>5</v>
      </c>
      <c r="F1792" s="2">
        <v>10</v>
      </c>
      <c r="G1792" s="3" t="s">
        <v>22</v>
      </c>
      <c r="H1792" s="2">
        <v>50</v>
      </c>
      <c r="I1792" s="112">
        <v>471100</v>
      </c>
      <c r="J1792" s="112" t="s">
        <v>1590</v>
      </c>
      <c r="K1792" s="112">
        <v>471105</v>
      </c>
      <c r="L1792" s="2">
        <v>1</v>
      </c>
      <c r="M1792" s="2" t="s">
        <v>84</v>
      </c>
      <c r="N1792" s="2" t="s">
        <v>84</v>
      </c>
      <c r="O1792" s="2" t="s">
        <v>841</v>
      </c>
      <c r="P1792" s="2" t="s">
        <v>1750</v>
      </c>
    </row>
    <row r="1793" spans="1:16" ht="22" customHeight="1" x14ac:dyDescent="0.15">
      <c r="A1793" s="10" t="str">
        <f t="shared" si="378"/>
        <v>471_10_6_5_polygon</v>
      </c>
      <c r="B1793" s="2">
        <v>471</v>
      </c>
      <c r="C1793" s="30" t="str">
        <f>VLOOKUP(B1793,gachas!A:C,3)</f>
        <v>確定ステップアップガチャ</v>
      </c>
      <c r="D1793" s="21">
        <v>10</v>
      </c>
      <c r="E1793" s="2">
        <v>6</v>
      </c>
      <c r="F1793" s="2">
        <v>5</v>
      </c>
      <c r="G1793" s="3" t="s">
        <v>22</v>
      </c>
      <c r="H1793" s="2">
        <v>15</v>
      </c>
      <c r="I1793" s="112">
        <v>471101</v>
      </c>
      <c r="J1793" s="112">
        <v>471101</v>
      </c>
      <c r="K1793" s="112" t="s">
        <v>84</v>
      </c>
      <c r="L1793" s="2">
        <v>0</v>
      </c>
      <c r="M1793" s="2" t="s">
        <v>84</v>
      </c>
      <c r="N1793" s="2" t="s">
        <v>84</v>
      </c>
      <c r="O1793" s="2" t="s">
        <v>841</v>
      </c>
      <c r="P1793" s="2" t="s">
        <v>1746</v>
      </c>
    </row>
    <row r="1794" spans="1:16" ht="22" customHeight="1" x14ac:dyDescent="0.15">
      <c r="A1794" s="10" t="str">
        <f t="shared" si="378"/>
        <v>471_10_7_5_polygon</v>
      </c>
      <c r="B1794" s="2">
        <v>471</v>
      </c>
      <c r="C1794" s="30" t="str">
        <f>VLOOKUP(B1794,gachas!A:C,3)</f>
        <v>確定ステップアップガチャ</v>
      </c>
      <c r="D1794" s="21">
        <v>10</v>
      </c>
      <c r="E1794" s="2">
        <v>7</v>
      </c>
      <c r="F1794" s="2">
        <v>5</v>
      </c>
      <c r="G1794" s="3" t="s">
        <v>22</v>
      </c>
      <c r="H1794" s="2">
        <v>20</v>
      </c>
      <c r="I1794" s="112">
        <v>471101</v>
      </c>
      <c r="J1794" s="112">
        <v>471102</v>
      </c>
      <c r="K1794" s="112" t="s">
        <v>84</v>
      </c>
      <c r="L1794" s="2">
        <v>0</v>
      </c>
      <c r="M1794" s="2" t="s">
        <v>84</v>
      </c>
      <c r="N1794" s="2" t="s">
        <v>84</v>
      </c>
      <c r="O1794" s="2" t="s">
        <v>841</v>
      </c>
      <c r="P1794" s="2" t="s">
        <v>1747</v>
      </c>
    </row>
    <row r="1795" spans="1:16" ht="22" customHeight="1" x14ac:dyDescent="0.15">
      <c r="A1795" s="10" t="str">
        <f t="shared" si="378"/>
        <v>471_10_8_10_polygon</v>
      </c>
      <c r="B1795" s="2">
        <v>471</v>
      </c>
      <c r="C1795" s="30" t="str">
        <f>VLOOKUP(B1795,gachas!A:C,3)</f>
        <v>確定ステップアップガチャ</v>
      </c>
      <c r="D1795" s="21">
        <v>10</v>
      </c>
      <c r="E1795" s="2">
        <v>8</v>
      </c>
      <c r="F1795" s="2">
        <v>10</v>
      </c>
      <c r="G1795" s="3" t="s">
        <v>22</v>
      </c>
      <c r="H1795" s="2">
        <v>35</v>
      </c>
      <c r="I1795" s="112">
        <v>471100</v>
      </c>
      <c r="J1795" s="112">
        <v>471103</v>
      </c>
      <c r="K1795" s="112" t="s">
        <v>84</v>
      </c>
      <c r="L1795" s="2">
        <v>0</v>
      </c>
      <c r="M1795" s="2" t="s">
        <v>84</v>
      </c>
      <c r="N1795" s="2" t="s">
        <v>84</v>
      </c>
      <c r="O1795" s="2" t="s">
        <v>841</v>
      </c>
      <c r="P1795" s="2" t="s">
        <v>1748</v>
      </c>
    </row>
    <row r="1796" spans="1:16" ht="22" customHeight="1" x14ac:dyDescent="0.15">
      <c r="A1796" s="10" t="str">
        <f t="shared" si="378"/>
        <v>471_10_9_10_polygon</v>
      </c>
      <c r="B1796" s="2">
        <v>471</v>
      </c>
      <c r="C1796" s="30" t="str">
        <f>VLOOKUP(B1796,gachas!A:C,3)</f>
        <v>確定ステップアップガチャ</v>
      </c>
      <c r="D1796" s="21">
        <v>10</v>
      </c>
      <c r="E1796" s="2">
        <v>9</v>
      </c>
      <c r="F1796" s="2">
        <v>10</v>
      </c>
      <c r="G1796" s="3" t="s">
        <v>22</v>
      </c>
      <c r="H1796" s="2">
        <v>50</v>
      </c>
      <c r="I1796" s="112">
        <v>471100</v>
      </c>
      <c r="J1796" s="112">
        <v>471104</v>
      </c>
      <c r="K1796" s="112" t="s">
        <v>84</v>
      </c>
      <c r="L1796" s="2">
        <v>0</v>
      </c>
      <c r="M1796" s="2" t="s">
        <v>84</v>
      </c>
      <c r="N1796" s="2" t="s">
        <v>84</v>
      </c>
      <c r="O1796" s="2" t="s">
        <v>841</v>
      </c>
      <c r="P1796" s="2" t="s">
        <v>1749</v>
      </c>
    </row>
    <row r="1797" spans="1:16" ht="22" customHeight="1" x14ac:dyDescent="0.15">
      <c r="A1797" s="10" t="str">
        <f t="shared" si="378"/>
        <v>471_10_10_10_polygon</v>
      </c>
      <c r="B1797" s="2">
        <v>471</v>
      </c>
      <c r="C1797" s="30" t="str">
        <f>VLOOKUP(B1797,gachas!A:C,3)</f>
        <v>確定ステップアップガチャ</v>
      </c>
      <c r="D1797" s="21">
        <v>10</v>
      </c>
      <c r="E1797" s="2">
        <v>10</v>
      </c>
      <c r="F1797" s="2">
        <v>10</v>
      </c>
      <c r="G1797" s="3" t="s">
        <v>22</v>
      </c>
      <c r="H1797" s="2">
        <v>50</v>
      </c>
      <c r="I1797" s="112">
        <v>471100</v>
      </c>
      <c r="J1797" s="112" t="s">
        <v>1590</v>
      </c>
      <c r="K1797" s="112">
        <v>471105</v>
      </c>
      <c r="L1797" s="2">
        <v>1</v>
      </c>
      <c r="M1797" s="2" t="s">
        <v>84</v>
      </c>
      <c r="N1797" s="2" t="s">
        <v>84</v>
      </c>
      <c r="O1797" s="2" t="s">
        <v>841</v>
      </c>
      <c r="P1797" s="2" t="s">
        <v>1750</v>
      </c>
    </row>
    <row r="1798" spans="1:16" ht="22" customHeight="1" x14ac:dyDescent="0.15">
      <c r="A1798" s="10" t="str">
        <f t="shared" si="378"/>
        <v>471_10_11_5_polygon</v>
      </c>
      <c r="B1798" s="2">
        <v>471</v>
      </c>
      <c r="C1798" s="30" t="str">
        <f>VLOOKUP(B1798,gachas!A:C,3)</f>
        <v>確定ステップアップガチャ</v>
      </c>
      <c r="D1798" s="21">
        <v>10</v>
      </c>
      <c r="E1798" s="2">
        <v>11</v>
      </c>
      <c r="F1798" s="2">
        <v>5</v>
      </c>
      <c r="G1798" s="3" t="s">
        <v>22</v>
      </c>
      <c r="H1798" s="2">
        <v>15</v>
      </c>
      <c r="I1798" s="112">
        <v>471101</v>
      </c>
      <c r="J1798" s="112">
        <v>471101</v>
      </c>
      <c r="K1798" s="112" t="s">
        <v>84</v>
      </c>
      <c r="L1798" s="2">
        <v>0</v>
      </c>
      <c r="M1798" s="2" t="s">
        <v>84</v>
      </c>
      <c r="N1798" s="2" t="s">
        <v>84</v>
      </c>
      <c r="O1798" s="2" t="s">
        <v>841</v>
      </c>
      <c r="P1798" s="2" t="s">
        <v>1746</v>
      </c>
    </row>
    <row r="1799" spans="1:16" ht="22" customHeight="1" x14ac:dyDescent="0.15">
      <c r="A1799" s="10" t="str">
        <f t="shared" si="378"/>
        <v>471_10_12_5_polygon</v>
      </c>
      <c r="B1799" s="2">
        <v>471</v>
      </c>
      <c r="C1799" s="30" t="str">
        <f>VLOOKUP(B1799,gachas!A:C,3)</f>
        <v>確定ステップアップガチャ</v>
      </c>
      <c r="D1799" s="21">
        <v>10</v>
      </c>
      <c r="E1799" s="2">
        <v>12</v>
      </c>
      <c r="F1799" s="2">
        <v>5</v>
      </c>
      <c r="G1799" s="3" t="s">
        <v>22</v>
      </c>
      <c r="H1799" s="2">
        <v>20</v>
      </c>
      <c r="I1799" s="112">
        <v>471101</v>
      </c>
      <c r="J1799" s="112">
        <v>471102</v>
      </c>
      <c r="K1799" s="112" t="s">
        <v>84</v>
      </c>
      <c r="L1799" s="2">
        <v>0</v>
      </c>
      <c r="M1799" s="2" t="s">
        <v>84</v>
      </c>
      <c r="N1799" s="2" t="s">
        <v>84</v>
      </c>
      <c r="O1799" s="2" t="s">
        <v>841</v>
      </c>
      <c r="P1799" s="2" t="s">
        <v>1747</v>
      </c>
    </row>
    <row r="1800" spans="1:16" ht="22" customHeight="1" x14ac:dyDescent="0.15">
      <c r="A1800" s="10" t="str">
        <f t="shared" si="378"/>
        <v>471_10_13_10_polygon</v>
      </c>
      <c r="B1800" s="2">
        <v>471</v>
      </c>
      <c r="C1800" s="30" t="str">
        <f>VLOOKUP(B1800,gachas!A:C,3)</f>
        <v>確定ステップアップガチャ</v>
      </c>
      <c r="D1800" s="21">
        <v>10</v>
      </c>
      <c r="E1800" s="2">
        <v>13</v>
      </c>
      <c r="F1800" s="2">
        <v>10</v>
      </c>
      <c r="G1800" s="3" t="s">
        <v>22</v>
      </c>
      <c r="H1800" s="2">
        <v>35</v>
      </c>
      <c r="I1800" s="112">
        <v>471100</v>
      </c>
      <c r="J1800" s="112">
        <v>471103</v>
      </c>
      <c r="K1800" s="112" t="s">
        <v>84</v>
      </c>
      <c r="L1800" s="2">
        <v>0</v>
      </c>
      <c r="M1800" s="2" t="s">
        <v>84</v>
      </c>
      <c r="N1800" s="2" t="s">
        <v>84</v>
      </c>
      <c r="O1800" s="2" t="s">
        <v>841</v>
      </c>
      <c r="P1800" s="2" t="s">
        <v>1748</v>
      </c>
    </row>
    <row r="1801" spans="1:16" ht="22" customHeight="1" x14ac:dyDescent="0.15">
      <c r="A1801" s="10" t="str">
        <f t="shared" si="378"/>
        <v>471_10_14_10_polygon</v>
      </c>
      <c r="B1801" s="2">
        <v>471</v>
      </c>
      <c r="C1801" s="30" t="str">
        <f>VLOOKUP(B1801,gachas!A:C,3)</f>
        <v>確定ステップアップガチャ</v>
      </c>
      <c r="D1801" s="21">
        <v>10</v>
      </c>
      <c r="E1801" s="2">
        <v>14</v>
      </c>
      <c r="F1801" s="2">
        <v>10</v>
      </c>
      <c r="G1801" s="3" t="s">
        <v>22</v>
      </c>
      <c r="H1801" s="2">
        <v>50</v>
      </c>
      <c r="I1801" s="112">
        <v>471100</v>
      </c>
      <c r="J1801" s="112">
        <v>471104</v>
      </c>
      <c r="K1801" s="112" t="s">
        <v>84</v>
      </c>
      <c r="L1801" s="2">
        <v>0</v>
      </c>
      <c r="M1801" s="2" t="s">
        <v>84</v>
      </c>
      <c r="N1801" s="2" t="s">
        <v>84</v>
      </c>
      <c r="O1801" s="2" t="s">
        <v>841</v>
      </c>
      <c r="P1801" s="2" t="s">
        <v>1749</v>
      </c>
    </row>
    <row r="1802" spans="1:16" ht="22" customHeight="1" x14ac:dyDescent="0.15">
      <c r="A1802" s="10" t="str">
        <f t="shared" si="378"/>
        <v>471_10_15_10_polygon</v>
      </c>
      <c r="B1802" s="2">
        <v>471</v>
      </c>
      <c r="C1802" s="30" t="str">
        <f>VLOOKUP(B1802,gachas!A:C,3)</f>
        <v>確定ステップアップガチャ</v>
      </c>
      <c r="D1802" s="21">
        <v>10</v>
      </c>
      <c r="E1802" s="2">
        <v>15</v>
      </c>
      <c r="F1802" s="2">
        <v>10</v>
      </c>
      <c r="G1802" s="3" t="s">
        <v>22</v>
      </c>
      <c r="H1802" s="2">
        <v>50</v>
      </c>
      <c r="I1802" s="112">
        <v>471100</v>
      </c>
      <c r="J1802" s="112" t="s">
        <v>1590</v>
      </c>
      <c r="K1802" s="112">
        <v>471105</v>
      </c>
      <c r="L1802" s="2">
        <v>1</v>
      </c>
      <c r="M1802" s="2" t="s">
        <v>84</v>
      </c>
      <c r="N1802" s="2" t="s">
        <v>84</v>
      </c>
      <c r="O1802" s="2" t="s">
        <v>841</v>
      </c>
      <c r="P1802" s="2" t="s">
        <v>1750</v>
      </c>
    </row>
    <row r="1803" spans="1:16" ht="22" customHeight="1" x14ac:dyDescent="0.15">
      <c r="A1803" s="10" t="str">
        <f t="shared" si="378"/>
        <v>471_10_16_5_polygon</v>
      </c>
      <c r="B1803" s="2">
        <v>471</v>
      </c>
      <c r="C1803" s="30" t="str">
        <f>VLOOKUP(B1803,gachas!A:C,3)</f>
        <v>確定ステップアップガチャ</v>
      </c>
      <c r="D1803" s="21">
        <v>10</v>
      </c>
      <c r="E1803" s="2">
        <v>16</v>
      </c>
      <c r="F1803" s="2">
        <v>5</v>
      </c>
      <c r="G1803" s="3" t="s">
        <v>22</v>
      </c>
      <c r="H1803" s="2">
        <v>15</v>
      </c>
      <c r="I1803" s="112">
        <v>471101</v>
      </c>
      <c r="J1803" s="112">
        <v>471101</v>
      </c>
      <c r="K1803" s="112" t="s">
        <v>84</v>
      </c>
      <c r="L1803" s="2">
        <v>0</v>
      </c>
      <c r="M1803" s="2" t="s">
        <v>84</v>
      </c>
      <c r="N1803" s="2" t="s">
        <v>84</v>
      </c>
      <c r="O1803" s="2" t="s">
        <v>841</v>
      </c>
      <c r="P1803" s="2" t="s">
        <v>1746</v>
      </c>
    </row>
    <row r="1804" spans="1:16" ht="22" customHeight="1" x14ac:dyDescent="0.15">
      <c r="A1804" s="10" t="str">
        <f t="shared" si="378"/>
        <v>471_10_17_5_polygon</v>
      </c>
      <c r="B1804" s="2">
        <v>471</v>
      </c>
      <c r="C1804" s="30" t="str">
        <f>VLOOKUP(B1804,gachas!A:C,3)</f>
        <v>確定ステップアップガチャ</v>
      </c>
      <c r="D1804" s="21">
        <v>10</v>
      </c>
      <c r="E1804" s="2">
        <v>17</v>
      </c>
      <c r="F1804" s="2">
        <v>5</v>
      </c>
      <c r="G1804" s="3" t="s">
        <v>22</v>
      </c>
      <c r="H1804" s="2">
        <v>20</v>
      </c>
      <c r="I1804" s="112">
        <v>471101</v>
      </c>
      <c r="J1804" s="112">
        <v>471102</v>
      </c>
      <c r="K1804" s="112" t="s">
        <v>84</v>
      </c>
      <c r="L1804" s="2">
        <v>0</v>
      </c>
      <c r="M1804" s="2" t="s">
        <v>84</v>
      </c>
      <c r="N1804" s="2" t="s">
        <v>84</v>
      </c>
      <c r="O1804" s="2" t="s">
        <v>841</v>
      </c>
      <c r="P1804" s="2" t="s">
        <v>1747</v>
      </c>
    </row>
    <row r="1805" spans="1:16" ht="22" customHeight="1" x14ac:dyDescent="0.15">
      <c r="A1805" s="10" t="str">
        <f t="shared" si="378"/>
        <v>471_10_18_10_polygon</v>
      </c>
      <c r="B1805" s="2">
        <v>471</v>
      </c>
      <c r="C1805" s="30" t="str">
        <f>VLOOKUP(B1805,gachas!A:C,3)</f>
        <v>確定ステップアップガチャ</v>
      </c>
      <c r="D1805" s="21">
        <v>10</v>
      </c>
      <c r="E1805" s="2">
        <v>18</v>
      </c>
      <c r="F1805" s="2">
        <v>10</v>
      </c>
      <c r="G1805" s="3" t="s">
        <v>22</v>
      </c>
      <c r="H1805" s="2">
        <v>35</v>
      </c>
      <c r="I1805" s="112">
        <v>471100</v>
      </c>
      <c r="J1805" s="112">
        <v>471103</v>
      </c>
      <c r="K1805" s="112" t="s">
        <v>84</v>
      </c>
      <c r="L1805" s="2">
        <v>0</v>
      </c>
      <c r="M1805" s="2" t="s">
        <v>84</v>
      </c>
      <c r="N1805" s="2" t="s">
        <v>84</v>
      </c>
      <c r="O1805" s="2" t="s">
        <v>841</v>
      </c>
      <c r="P1805" s="2" t="s">
        <v>1748</v>
      </c>
    </row>
    <row r="1806" spans="1:16" ht="22" customHeight="1" x14ac:dyDescent="0.15">
      <c r="A1806" s="10" t="str">
        <f t="shared" si="378"/>
        <v>471_10_19_10_polygon</v>
      </c>
      <c r="B1806" s="2">
        <v>471</v>
      </c>
      <c r="C1806" s="30" t="str">
        <f>VLOOKUP(B1806,gachas!A:C,3)</f>
        <v>確定ステップアップガチャ</v>
      </c>
      <c r="D1806" s="21">
        <v>10</v>
      </c>
      <c r="E1806" s="2">
        <v>19</v>
      </c>
      <c r="F1806" s="2">
        <v>10</v>
      </c>
      <c r="G1806" s="3" t="s">
        <v>22</v>
      </c>
      <c r="H1806" s="2">
        <v>50</v>
      </c>
      <c r="I1806" s="112">
        <v>471100</v>
      </c>
      <c r="J1806" s="112">
        <v>471104</v>
      </c>
      <c r="K1806" s="112" t="s">
        <v>84</v>
      </c>
      <c r="L1806" s="2">
        <v>0</v>
      </c>
      <c r="M1806" s="2" t="s">
        <v>84</v>
      </c>
      <c r="N1806" s="2" t="s">
        <v>84</v>
      </c>
      <c r="O1806" s="2" t="s">
        <v>841</v>
      </c>
      <c r="P1806" s="2" t="s">
        <v>1749</v>
      </c>
    </row>
    <row r="1807" spans="1:16" ht="22" customHeight="1" x14ac:dyDescent="0.15">
      <c r="A1807" s="10" t="str">
        <f t="shared" si="378"/>
        <v>471_10_20_10_polygon</v>
      </c>
      <c r="B1807" s="2">
        <v>471</v>
      </c>
      <c r="C1807" s="30" t="str">
        <f>VLOOKUP(B1807,gachas!A:C,3)</f>
        <v>確定ステップアップガチャ</v>
      </c>
      <c r="D1807" s="21">
        <v>10</v>
      </c>
      <c r="E1807" s="2">
        <v>20</v>
      </c>
      <c r="F1807" s="2">
        <v>10</v>
      </c>
      <c r="G1807" s="3" t="s">
        <v>22</v>
      </c>
      <c r="H1807" s="2">
        <v>50</v>
      </c>
      <c r="I1807" s="112">
        <v>471100</v>
      </c>
      <c r="J1807" s="112" t="s">
        <v>1590</v>
      </c>
      <c r="K1807" s="112">
        <v>471105</v>
      </c>
      <c r="L1807" s="2">
        <v>1</v>
      </c>
      <c r="M1807" s="2" t="s">
        <v>84</v>
      </c>
      <c r="N1807" s="2" t="s">
        <v>84</v>
      </c>
      <c r="O1807" s="2" t="s">
        <v>841</v>
      </c>
      <c r="P1807" s="2" t="s">
        <v>1750</v>
      </c>
    </row>
    <row r="1808" spans="1:16" ht="22" customHeight="1" x14ac:dyDescent="0.15">
      <c r="A1808" s="10" t="str">
        <f t="shared" si="378"/>
        <v>471_10_21_5_polygon</v>
      </c>
      <c r="B1808" s="2">
        <v>471</v>
      </c>
      <c r="C1808" s="30" t="str">
        <f>VLOOKUP(B1808,gachas!A:C,3)</f>
        <v>確定ステップアップガチャ</v>
      </c>
      <c r="D1808" s="21">
        <v>10</v>
      </c>
      <c r="E1808" s="2">
        <v>21</v>
      </c>
      <c r="F1808" s="2">
        <v>5</v>
      </c>
      <c r="G1808" s="3" t="s">
        <v>22</v>
      </c>
      <c r="H1808" s="2">
        <v>15</v>
      </c>
      <c r="I1808" s="112">
        <v>471101</v>
      </c>
      <c r="J1808" s="112">
        <v>471101</v>
      </c>
      <c r="K1808" s="112" t="s">
        <v>84</v>
      </c>
      <c r="L1808" s="2">
        <v>0</v>
      </c>
      <c r="M1808" s="2" t="s">
        <v>84</v>
      </c>
      <c r="N1808" s="2" t="s">
        <v>84</v>
      </c>
      <c r="O1808" s="2" t="s">
        <v>841</v>
      </c>
      <c r="P1808" s="2" t="s">
        <v>1746</v>
      </c>
    </row>
    <row r="1809" spans="1:16" ht="22" customHeight="1" x14ac:dyDescent="0.15">
      <c r="A1809" s="10" t="str">
        <f t="shared" si="378"/>
        <v>471_10_22_5_polygon</v>
      </c>
      <c r="B1809" s="2">
        <v>471</v>
      </c>
      <c r="C1809" s="30" t="str">
        <f>VLOOKUP(B1809,gachas!A:C,3)</f>
        <v>確定ステップアップガチャ</v>
      </c>
      <c r="D1809" s="21">
        <v>10</v>
      </c>
      <c r="E1809" s="2">
        <v>22</v>
      </c>
      <c r="F1809" s="2">
        <v>5</v>
      </c>
      <c r="G1809" s="3" t="s">
        <v>22</v>
      </c>
      <c r="H1809" s="2">
        <v>20</v>
      </c>
      <c r="I1809" s="112">
        <v>471101</v>
      </c>
      <c r="J1809" s="112">
        <v>471102</v>
      </c>
      <c r="K1809" s="112" t="s">
        <v>84</v>
      </c>
      <c r="L1809" s="2">
        <v>0</v>
      </c>
      <c r="M1809" s="2" t="s">
        <v>84</v>
      </c>
      <c r="N1809" s="2" t="s">
        <v>84</v>
      </c>
      <c r="O1809" s="2" t="s">
        <v>841</v>
      </c>
      <c r="P1809" s="2" t="s">
        <v>1747</v>
      </c>
    </row>
    <row r="1810" spans="1:16" ht="22" customHeight="1" x14ac:dyDescent="0.15">
      <c r="A1810" s="10" t="str">
        <f t="shared" si="378"/>
        <v>471_10_23_10_polygon</v>
      </c>
      <c r="B1810" s="2">
        <v>471</v>
      </c>
      <c r="C1810" s="30" t="str">
        <f>VLOOKUP(B1810,gachas!A:C,3)</f>
        <v>確定ステップアップガチャ</v>
      </c>
      <c r="D1810" s="21">
        <v>10</v>
      </c>
      <c r="E1810" s="2">
        <v>23</v>
      </c>
      <c r="F1810" s="2">
        <v>10</v>
      </c>
      <c r="G1810" s="3" t="s">
        <v>22</v>
      </c>
      <c r="H1810" s="2">
        <v>35</v>
      </c>
      <c r="I1810" s="112">
        <v>471100</v>
      </c>
      <c r="J1810" s="112">
        <v>471103</v>
      </c>
      <c r="K1810" s="112" t="s">
        <v>84</v>
      </c>
      <c r="L1810" s="2">
        <v>0</v>
      </c>
      <c r="M1810" s="2" t="s">
        <v>84</v>
      </c>
      <c r="N1810" s="2" t="s">
        <v>84</v>
      </c>
      <c r="O1810" s="2" t="s">
        <v>841</v>
      </c>
      <c r="P1810" s="2" t="s">
        <v>1748</v>
      </c>
    </row>
    <row r="1811" spans="1:16" ht="22" customHeight="1" x14ac:dyDescent="0.15">
      <c r="A1811" s="10" t="str">
        <f t="shared" si="378"/>
        <v>471_10_24_10_polygon</v>
      </c>
      <c r="B1811" s="2">
        <v>471</v>
      </c>
      <c r="C1811" s="30" t="str">
        <f>VLOOKUP(B1811,gachas!A:C,3)</f>
        <v>確定ステップアップガチャ</v>
      </c>
      <c r="D1811" s="21">
        <v>10</v>
      </c>
      <c r="E1811" s="2">
        <v>24</v>
      </c>
      <c r="F1811" s="2">
        <v>10</v>
      </c>
      <c r="G1811" s="3" t="s">
        <v>22</v>
      </c>
      <c r="H1811" s="2">
        <v>50</v>
      </c>
      <c r="I1811" s="112">
        <v>471100</v>
      </c>
      <c r="J1811" s="112">
        <v>471104</v>
      </c>
      <c r="K1811" s="112" t="s">
        <v>84</v>
      </c>
      <c r="L1811" s="2">
        <v>0</v>
      </c>
      <c r="M1811" s="2" t="s">
        <v>84</v>
      </c>
      <c r="N1811" s="2" t="s">
        <v>84</v>
      </c>
      <c r="O1811" s="2" t="s">
        <v>841</v>
      </c>
      <c r="P1811" s="2" t="s">
        <v>1749</v>
      </c>
    </row>
    <row r="1812" spans="1:16" ht="22" customHeight="1" x14ac:dyDescent="0.15">
      <c r="A1812" s="10" t="str">
        <f t="shared" si="378"/>
        <v>471_10_25_10_polygon</v>
      </c>
      <c r="B1812" s="2">
        <v>471</v>
      </c>
      <c r="C1812" s="30" t="str">
        <f>VLOOKUP(B1812,gachas!A:C,3)</f>
        <v>確定ステップアップガチャ</v>
      </c>
      <c r="D1812" s="21">
        <v>10</v>
      </c>
      <c r="E1812" s="2">
        <v>25</v>
      </c>
      <c r="F1812" s="2">
        <v>10</v>
      </c>
      <c r="G1812" s="3" t="s">
        <v>22</v>
      </c>
      <c r="H1812" s="2">
        <v>50</v>
      </c>
      <c r="I1812" s="112">
        <v>471100</v>
      </c>
      <c r="J1812" s="112" t="s">
        <v>1590</v>
      </c>
      <c r="K1812" s="112">
        <v>471105</v>
      </c>
      <c r="L1812" s="2">
        <v>1</v>
      </c>
      <c r="M1812" s="2" t="s">
        <v>84</v>
      </c>
      <c r="N1812" s="2" t="s">
        <v>84</v>
      </c>
      <c r="O1812" s="2" t="s">
        <v>841</v>
      </c>
      <c r="P1812" s="2" t="s">
        <v>1750</v>
      </c>
    </row>
    <row r="1813" spans="1:16" ht="22" customHeight="1" x14ac:dyDescent="0.15">
      <c r="A1813" s="10" t="str">
        <f t="shared" si="378"/>
        <v>471_10_0_10_polygon</v>
      </c>
      <c r="B1813" s="2">
        <v>471</v>
      </c>
      <c r="C1813" s="30" t="str">
        <f>VLOOKUP(B1813,gachas!A:C,3)</f>
        <v>確定ステップアップガチャ</v>
      </c>
      <c r="D1813" s="21">
        <v>10</v>
      </c>
      <c r="E1813" s="2">
        <v>0</v>
      </c>
      <c r="F1813" s="2">
        <v>10</v>
      </c>
      <c r="G1813" s="3" t="s">
        <v>22</v>
      </c>
      <c r="H1813" s="2">
        <v>50</v>
      </c>
      <c r="I1813" s="112">
        <v>471100</v>
      </c>
      <c r="J1813" s="112" t="s">
        <v>84</v>
      </c>
      <c r="K1813" s="112" t="s">
        <v>84</v>
      </c>
      <c r="L1813" s="2">
        <v>0</v>
      </c>
      <c r="M1813" s="2" t="s">
        <v>84</v>
      </c>
      <c r="N1813" s="2" t="s">
        <v>84</v>
      </c>
      <c r="O1813" s="2" t="s">
        <v>841</v>
      </c>
      <c r="P1813" s="2" t="s">
        <v>1751</v>
      </c>
    </row>
    <row r="1814" spans="1:16" ht="22" customHeight="1" x14ac:dyDescent="0.15">
      <c r="A1814" s="10" t="str">
        <f t="shared" ref="A1814:A1817" si="379">B1814&amp;"_"&amp;D1814&amp;"_"&amp;E1814&amp;"_"&amp;F1814&amp;"_"&amp;G1814</f>
        <v>472_1_0_1_ticket_7million</v>
      </c>
      <c r="B1814" s="2">
        <v>472</v>
      </c>
      <c r="C1814" s="30" t="str">
        <f>VLOOKUP(B1814,gachas!A:C,3)</f>
        <v>全世界700万DL記念チケットガチャ（赤）</v>
      </c>
      <c r="D1814" s="21">
        <v>1</v>
      </c>
      <c r="E1814" s="2">
        <v>0</v>
      </c>
      <c r="F1814" s="2">
        <v>1</v>
      </c>
      <c r="G1814" s="3" t="s">
        <v>2194</v>
      </c>
      <c r="H1814" s="2">
        <v>1</v>
      </c>
      <c r="I1814" s="112">
        <v>472010</v>
      </c>
      <c r="J1814" s="112" t="s">
        <v>84</v>
      </c>
      <c r="K1814" s="112" t="s">
        <v>84</v>
      </c>
      <c r="L1814" s="2">
        <v>0</v>
      </c>
      <c r="M1814" s="2" t="s">
        <v>84</v>
      </c>
      <c r="N1814" s="2" t="s">
        <v>84</v>
      </c>
      <c r="O1814" s="2" t="s">
        <v>841</v>
      </c>
      <c r="P1814" s="2" t="s">
        <v>85</v>
      </c>
    </row>
    <row r="1815" spans="1:16" ht="22" customHeight="1" x14ac:dyDescent="0.15">
      <c r="A1815" s="10" t="str">
        <f t="shared" si="379"/>
        <v>473_10_0_1_ticket_7million</v>
      </c>
      <c r="B1815" s="2">
        <v>473</v>
      </c>
      <c r="C1815" s="30" t="str">
        <f>VLOOKUP(B1815,gachas!A:C,3)</f>
        <v>全世界700万DL記念チケットガチャ（青）</v>
      </c>
      <c r="D1815" s="21">
        <v>10</v>
      </c>
      <c r="E1815" s="2">
        <v>0</v>
      </c>
      <c r="F1815" s="2">
        <v>1</v>
      </c>
      <c r="G1815" s="3" t="s">
        <v>2167</v>
      </c>
      <c r="H1815" s="2">
        <v>1</v>
      </c>
      <c r="I1815" s="112">
        <v>472011</v>
      </c>
      <c r="J1815" s="112" t="s">
        <v>84</v>
      </c>
      <c r="K1815" s="112" t="s">
        <v>84</v>
      </c>
      <c r="L1815" s="2">
        <v>0</v>
      </c>
      <c r="M1815" s="2" t="s">
        <v>84</v>
      </c>
      <c r="N1815" s="2" t="s">
        <v>84</v>
      </c>
      <c r="O1815" s="2" t="s">
        <v>841</v>
      </c>
      <c r="P1815" s="2" t="s">
        <v>85</v>
      </c>
    </row>
    <row r="1816" spans="1:16" ht="22" customHeight="1" x14ac:dyDescent="0.15">
      <c r="A1816" s="10" t="str">
        <f t="shared" si="379"/>
        <v>474_10_0_1_ticket_7million</v>
      </c>
      <c r="B1816" s="2">
        <v>474</v>
      </c>
      <c r="C1816" s="30" t="str">
        <f>VLOOKUP(B1816,gachas!A:C,3)</f>
        <v>全世界700万DL記念チケットガチャ（緑）</v>
      </c>
      <c r="D1816" s="21">
        <v>10</v>
      </c>
      <c r="E1816" s="2">
        <v>0</v>
      </c>
      <c r="F1816" s="2">
        <v>1</v>
      </c>
      <c r="G1816" s="3" t="s">
        <v>2167</v>
      </c>
      <c r="H1816" s="2">
        <v>1</v>
      </c>
      <c r="I1816" s="112">
        <v>472012</v>
      </c>
      <c r="J1816" s="112" t="s">
        <v>84</v>
      </c>
      <c r="K1816" s="112" t="s">
        <v>84</v>
      </c>
      <c r="L1816" s="2">
        <v>0</v>
      </c>
      <c r="M1816" s="2" t="s">
        <v>84</v>
      </c>
      <c r="N1816" s="2" t="s">
        <v>84</v>
      </c>
      <c r="O1816" s="2" t="s">
        <v>841</v>
      </c>
      <c r="P1816" s="2" t="s">
        <v>85</v>
      </c>
    </row>
    <row r="1817" spans="1:16" ht="22" customHeight="1" x14ac:dyDescent="0.15">
      <c r="A1817" s="10" t="str">
        <f t="shared" si="379"/>
        <v>475_10_0_1_ticket_7million</v>
      </c>
      <c r="B1817" s="2">
        <v>475</v>
      </c>
      <c r="C1817" s="30" t="str">
        <f>VLOOKUP(B1817,gachas!A:C,3)</f>
        <v>全世界700万DL記念チケットガチャ（黄）</v>
      </c>
      <c r="D1817" s="21">
        <v>10</v>
      </c>
      <c r="E1817" s="2">
        <v>0</v>
      </c>
      <c r="F1817" s="2">
        <v>1</v>
      </c>
      <c r="G1817" s="3" t="s">
        <v>2167</v>
      </c>
      <c r="H1817" s="2">
        <v>1</v>
      </c>
      <c r="I1817" s="112">
        <v>472013</v>
      </c>
      <c r="J1817" s="112" t="s">
        <v>84</v>
      </c>
      <c r="K1817" s="112" t="s">
        <v>84</v>
      </c>
      <c r="L1817" s="2">
        <v>0</v>
      </c>
      <c r="M1817" s="2" t="s">
        <v>84</v>
      </c>
      <c r="N1817" s="2" t="s">
        <v>84</v>
      </c>
      <c r="O1817" s="2" t="s">
        <v>841</v>
      </c>
      <c r="P1817" s="2" t="s">
        <v>85</v>
      </c>
    </row>
    <row r="1818" spans="1:16" ht="22" customHeight="1" x14ac:dyDescent="0.15">
      <c r="A1818" s="10" t="str">
        <f t="shared" ref="A1818:A1824" si="380">B1818&amp;"_"&amp;D1818&amp;"_"&amp;E1818&amp;"_"&amp;F1818&amp;"_"&amp;G1818</f>
        <v>476_1_0_1_polygon</v>
      </c>
      <c r="B1818" s="2">
        <v>476</v>
      </c>
      <c r="C1818" s="30" t="str">
        <f>VLOOKUP(B1818,gachas!A:C,3)</f>
        <v>全世界700万DL突破記念★6覚醒可能ユニット確定無料ガチャ（後半）</v>
      </c>
      <c r="D1818" s="21">
        <v>1</v>
      </c>
      <c r="E1818" s="2">
        <v>0</v>
      </c>
      <c r="F1818" s="2">
        <v>1</v>
      </c>
      <c r="G1818" s="3" t="s">
        <v>22</v>
      </c>
      <c r="H1818" s="2">
        <v>0</v>
      </c>
      <c r="I1818" s="112">
        <v>476010</v>
      </c>
      <c r="J1818" s="112" t="s">
        <v>84</v>
      </c>
      <c r="K1818" s="112" t="s">
        <v>84</v>
      </c>
      <c r="L1818" s="2">
        <v>0</v>
      </c>
      <c r="M1818" s="2" t="s">
        <v>84</v>
      </c>
      <c r="N1818" s="2" t="s">
        <v>84</v>
      </c>
      <c r="O1818" s="2" t="s">
        <v>841</v>
      </c>
      <c r="P1818" s="59" t="s">
        <v>1370</v>
      </c>
    </row>
    <row r="1819" spans="1:16" ht="22" customHeight="1" x14ac:dyDescent="0.15">
      <c r="A1819" s="10" t="str">
        <f t="shared" si="380"/>
        <v>477_1_0_1_polygon</v>
      </c>
      <c r="B1819" s="2">
        <v>477</v>
      </c>
      <c r="C1819" s="30" t="str">
        <f>VLOOKUP(B1819,gachas!A:C,3)</f>
        <v>超フィーバーフェスティバル＜ベルヌーイ、ユークリッド＞</v>
      </c>
      <c r="D1819" s="21">
        <v>1</v>
      </c>
      <c r="E1819" s="2">
        <v>0</v>
      </c>
      <c r="F1819" s="2">
        <v>1</v>
      </c>
      <c r="G1819" s="3" t="s">
        <v>22</v>
      </c>
      <c r="H1819" s="2">
        <v>5</v>
      </c>
      <c r="I1819" s="112">
        <v>477100</v>
      </c>
      <c r="J1819" s="112" t="s">
        <v>84</v>
      </c>
      <c r="K1819" s="112" t="s">
        <v>84</v>
      </c>
      <c r="L1819" s="2">
        <v>0</v>
      </c>
      <c r="M1819" s="2" t="s">
        <v>84</v>
      </c>
      <c r="N1819" s="2" t="s">
        <v>84</v>
      </c>
      <c r="O1819" s="2" t="s">
        <v>841</v>
      </c>
      <c r="P1819" s="2" t="s">
        <v>691</v>
      </c>
    </row>
    <row r="1820" spans="1:16" ht="22" customHeight="1" x14ac:dyDescent="0.15">
      <c r="A1820" s="10" t="str">
        <f t="shared" si="380"/>
        <v>477_10_0_10_polygon</v>
      </c>
      <c r="B1820" s="2">
        <v>477</v>
      </c>
      <c r="C1820" s="30" t="str">
        <f>VLOOKUP(B1820,gachas!A:C,3)</f>
        <v>超フィーバーフェスティバル＜ベルヌーイ、ユークリッド＞</v>
      </c>
      <c r="D1820" s="21">
        <v>10</v>
      </c>
      <c r="E1820" s="2">
        <v>0</v>
      </c>
      <c r="F1820" s="2">
        <v>10</v>
      </c>
      <c r="G1820" s="3" t="s">
        <v>22</v>
      </c>
      <c r="H1820" s="2">
        <v>50</v>
      </c>
      <c r="I1820" s="112">
        <v>477100</v>
      </c>
      <c r="J1820" s="112" t="s">
        <v>84</v>
      </c>
      <c r="K1820" s="112">
        <v>477105</v>
      </c>
      <c r="L1820" s="2">
        <v>1</v>
      </c>
      <c r="M1820" s="2" t="s">
        <v>84</v>
      </c>
      <c r="N1820" s="2" t="s">
        <v>84</v>
      </c>
      <c r="O1820" s="2" t="s">
        <v>841</v>
      </c>
      <c r="P1820" s="2" t="s">
        <v>1078</v>
      </c>
    </row>
    <row r="1821" spans="1:16" ht="22" customHeight="1" x14ac:dyDescent="0.15">
      <c r="A1821" s="10" t="str">
        <f t="shared" si="380"/>
        <v>478_1_0_1_polygon</v>
      </c>
      <c r="B1821" s="2">
        <v>478</v>
      </c>
      <c r="C1821" s="30" t="str">
        <f>VLOOKUP(B1821,gachas!A:C,3)</f>
        <v>超フィーバーフェスティバル＜ベルヌーイ、フロイト＞</v>
      </c>
      <c r="D1821" s="21">
        <v>1</v>
      </c>
      <c r="E1821" s="2">
        <v>0</v>
      </c>
      <c r="F1821" s="2">
        <v>1</v>
      </c>
      <c r="G1821" s="3" t="s">
        <v>22</v>
      </c>
      <c r="H1821" s="2">
        <v>5</v>
      </c>
      <c r="I1821" s="112">
        <v>478100</v>
      </c>
      <c r="J1821" s="112" t="s">
        <v>84</v>
      </c>
      <c r="K1821" s="112" t="s">
        <v>84</v>
      </c>
      <c r="L1821" s="2">
        <v>0</v>
      </c>
      <c r="M1821" s="2" t="s">
        <v>84</v>
      </c>
      <c r="N1821" s="2" t="s">
        <v>84</v>
      </c>
      <c r="O1821" s="2" t="s">
        <v>841</v>
      </c>
      <c r="P1821" s="2" t="s">
        <v>691</v>
      </c>
    </row>
    <row r="1822" spans="1:16" ht="22" customHeight="1" x14ac:dyDescent="0.15">
      <c r="A1822" s="10" t="str">
        <f t="shared" si="380"/>
        <v>478_10_0_10_polygon</v>
      </c>
      <c r="B1822" s="2">
        <v>478</v>
      </c>
      <c r="C1822" s="30" t="str">
        <f>VLOOKUP(B1822,gachas!A:C,3)</f>
        <v>超フィーバーフェスティバル＜ベルヌーイ、フロイト＞</v>
      </c>
      <c r="D1822" s="21">
        <v>10</v>
      </c>
      <c r="E1822" s="2">
        <v>0</v>
      </c>
      <c r="F1822" s="2">
        <v>10</v>
      </c>
      <c r="G1822" s="3" t="s">
        <v>22</v>
      </c>
      <c r="H1822" s="2">
        <v>50</v>
      </c>
      <c r="I1822" s="112">
        <v>478100</v>
      </c>
      <c r="J1822" s="112" t="s">
        <v>84</v>
      </c>
      <c r="K1822" s="112">
        <v>478105</v>
      </c>
      <c r="L1822" s="2">
        <v>1</v>
      </c>
      <c r="M1822" s="2" t="s">
        <v>84</v>
      </c>
      <c r="N1822" s="2" t="s">
        <v>84</v>
      </c>
      <c r="O1822" s="2" t="s">
        <v>841</v>
      </c>
      <c r="P1822" s="2" t="s">
        <v>1078</v>
      </c>
    </row>
    <row r="1823" spans="1:16" ht="22" customHeight="1" x14ac:dyDescent="0.15">
      <c r="A1823" s="10" t="str">
        <f t="shared" si="380"/>
        <v>479_1_0_1_polygon</v>
      </c>
      <c r="B1823" s="2">
        <v>479</v>
      </c>
      <c r="C1823" s="30" t="str">
        <f>VLOOKUP(B1823,gachas!A:C,3)</f>
        <v>超フィーバーフェスティバル＜ベルヌーイ、ファラデー＞</v>
      </c>
      <c r="D1823" s="21">
        <v>1</v>
      </c>
      <c r="E1823" s="2">
        <v>0</v>
      </c>
      <c r="F1823" s="2">
        <v>1</v>
      </c>
      <c r="G1823" s="3" t="s">
        <v>22</v>
      </c>
      <c r="H1823" s="2">
        <v>5</v>
      </c>
      <c r="I1823" s="112">
        <v>479100</v>
      </c>
      <c r="J1823" s="112" t="s">
        <v>84</v>
      </c>
      <c r="K1823" s="112" t="s">
        <v>84</v>
      </c>
      <c r="L1823" s="2">
        <v>0</v>
      </c>
      <c r="M1823" s="2" t="s">
        <v>84</v>
      </c>
      <c r="N1823" s="2" t="s">
        <v>84</v>
      </c>
      <c r="O1823" s="2" t="s">
        <v>841</v>
      </c>
      <c r="P1823" s="2" t="s">
        <v>691</v>
      </c>
    </row>
    <row r="1824" spans="1:16" ht="22" customHeight="1" x14ac:dyDescent="0.15">
      <c r="A1824" s="10" t="str">
        <f t="shared" si="380"/>
        <v>479_10_0_10_polygon</v>
      </c>
      <c r="B1824" s="2">
        <v>479</v>
      </c>
      <c r="C1824" s="30" t="str">
        <f>VLOOKUP(B1824,gachas!A:C,3)</f>
        <v>超フィーバーフェスティバル＜ベルヌーイ、ファラデー＞</v>
      </c>
      <c r="D1824" s="21">
        <v>10</v>
      </c>
      <c r="E1824" s="2">
        <v>0</v>
      </c>
      <c r="F1824" s="2">
        <v>10</v>
      </c>
      <c r="G1824" s="3" t="s">
        <v>22</v>
      </c>
      <c r="H1824" s="2">
        <v>50</v>
      </c>
      <c r="I1824" s="112">
        <v>479100</v>
      </c>
      <c r="J1824" s="112" t="s">
        <v>84</v>
      </c>
      <c r="K1824" s="112">
        <v>479105</v>
      </c>
      <c r="L1824" s="2">
        <v>1</v>
      </c>
      <c r="M1824" s="2" t="s">
        <v>84</v>
      </c>
      <c r="N1824" s="2" t="s">
        <v>84</v>
      </c>
      <c r="O1824" s="2" t="s">
        <v>841</v>
      </c>
      <c r="P1824" s="2" t="s">
        <v>1078</v>
      </c>
    </row>
    <row r="1825" spans="1:16" ht="22" customHeight="1" x14ac:dyDescent="0.15">
      <c r="A1825" s="10" t="str">
        <f t="shared" ref="A1825:A1831" si="381">B1825&amp;"_"&amp;D1825&amp;"_"&amp;E1825&amp;"_"&amp;F1825&amp;"_"&amp;G1825</f>
        <v>480_10_1_1_polygon</v>
      </c>
      <c r="B1825" s="2">
        <v>480</v>
      </c>
      <c r="C1825" s="30" t="str">
        <f>VLOOKUP(B1825,gachas!A:C,3)</f>
        <v>ランキング対抗ガチャ&lt;ヒルベルト&gt;</v>
      </c>
      <c r="D1825" s="21">
        <v>10</v>
      </c>
      <c r="E1825" s="2">
        <v>1</v>
      </c>
      <c r="F1825" s="2">
        <v>1</v>
      </c>
      <c r="G1825" s="3" t="s">
        <v>22</v>
      </c>
      <c r="H1825" s="2">
        <v>1</v>
      </c>
      <c r="I1825" s="117" t="str">
        <f t="shared" ref="I1825" si="382">B1825&amp;TEXT(D1825,"00")&amp;E1825</f>
        <v>480101</v>
      </c>
      <c r="J1825" s="112" t="s">
        <v>84</v>
      </c>
      <c r="K1825" s="2" t="s">
        <v>84</v>
      </c>
      <c r="L1825" s="2">
        <v>0</v>
      </c>
      <c r="M1825" s="2" t="s">
        <v>84</v>
      </c>
      <c r="N1825" s="2" t="s">
        <v>84</v>
      </c>
      <c r="O1825" s="2" t="s">
        <v>841</v>
      </c>
      <c r="P1825" s="2" t="s">
        <v>1278</v>
      </c>
    </row>
    <row r="1826" spans="1:16" ht="22" customHeight="1" x14ac:dyDescent="0.15">
      <c r="A1826" s="10" t="str">
        <f t="shared" si="381"/>
        <v>480_10_2_3_polygon</v>
      </c>
      <c r="B1826" s="2">
        <v>480</v>
      </c>
      <c r="C1826" s="30" t="str">
        <f>VLOOKUP(B1826,gachas!A:C,3)</f>
        <v>ランキング対抗ガチャ&lt;ヒルベルト&gt;</v>
      </c>
      <c r="D1826" s="21">
        <v>10</v>
      </c>
      <c r="E1826" s="2">
        <v>2</v>
      </c>
      <c r="F1826" s="2">
        <v>3</v>
      </c>
      <c r="G1826" s="3" t="s">
        <v>22</v>
      </c>
      <c r="H1826" s="2">
        <v>9</v>
      </c>
      <c r="I1826" s="117">
        <v>480101</v>
      </c>
      <c r="J1826" s="112" t="s">
        <v>84</v>
      </c>
      <c r="K1826" s="2" t="s">
        <v>84</v>
      </c>
      <c r="L1826" s="2">
        <v>0</v>
      </c>
      <c r="M1826" s="2" t="s">
        <v>84</v>
      </c>
      <c r="N1826" s="2" t="s">
        <v>84</v>
      </c>
      <c r="O1826" s="2" t="s">
        <v>841</v>
      </c>
      <c r="P1826" s="2" t="s">
        <v>1273</v>
      </c>
    </row>
    <row r="1827" spans="1:16" ht="22" customHeight="1" x14ac:dyDescent="0.15">
      <c r="A1827" s="10" t="str">
        <f t="shared" si="381"/>
        <v>480_10_3_10_polygon</v>
      </c>
      <c r="B1827" s="2">
        <v>480</v>
      </c>
      <c r="C1827" s="30" t="str">
        <f>VLOOKUP(B1827,gachas!A:C,3)</f>
        <v>ランキング対抗ガチャ&lt;ヒルベルト&gt;</v>
      </c>
      <c r="D1827" s="21">
        <v>10</v>
      </c>
      <c r="E1827" s="2">
        <v>3</v>
      </c>
      <c r="F1827" s="2">
        <v>10</v>
      </c>
      <c r="G1827" s="3" t="s">
        <v>22</v>
      </c>
      <c r="H1827" s="2">
        <v>35</v>
      </c>
      <c r="I1827" s="117" t="str">
        <f t="shared" ref="I1827:I1829" si="383">B1827&amp;TEXT(D1827,"00")&amp;E1827</f>
        <v>480103</v>
      </c>
      <c r="J1827" s="112" t="s">
        <v>84</v>
      </c>
      <c r="K1827" s="2">
        <v>480103</v>
      </c>
      <c r="L1827" s="2">
        <v>1</v>
      </c>
      <c r="M1827" s="2" t="s">
        <v>84</v>
      </c>
      <c r="N1827" s="2" t="s">
        <v>84</v>
      </c>
      <c r="O1827" s="2" t="s">
        <v>841</v>
      </c>
      <c r="P1827" s="2" t="s">
        <v>2208</v>
      </c>
    </row>
    <row r="1828" spans="1:16" ht="22" customHeight="1" x14ac:dyDescent="0.15">
      <c r="A1828" s="10" t="str">
        <f t="shared" si="381"/>
        <v>480_10_4_10_polygon</v>
      </c>
      <c r="B1828" s="2">
        <v>480</v>
      </c>
      <c r="C1828" s="30" t="str">
        <f>VLOOKUP(B1828,gachas!A:C,3)</f>
        <v>ランキング対抗ガチャ&lt;ヒルベルト&gt;</v>
      </c>
      <c r="D1828" s="21">
        <v>10</v>
      </c>
      <c r="E1828" s="2">
        <v>4</v>
      </c>
      <c r="F1828" s="2">
        <v>10</v>
      </c>
      <c r="G1828" s="3" t="s">
        <v>22</v>
      </c>
      <c r="H1828" s="2">
        <v>50</v>
      </c>
      <c r="I1828" s="117" t="str">
        <f t="shared" si="383"/>
        <v>480104</v>
      </c>
      <c r="J1828" s="128" t="str">
        <f>I1828</f>
        <v>480104</v>
      </c>
      <c r="K1828" s="2" t="s">
        <v>84</v>
      </c>
      <c r="L1828" s="2">
        <v>0</v>
      </c>
      <c r="M1828" s="2" t="s">
        <v>84</v>
      </c>
      <c r="N1828" s="2" t="s">
        <v>84</v>
      </c>
      <c r="O1828" s="2" t="s">
        <v>841</v>
      </c>
      <c r="P1828" s="2" t="s">
        <v>2209</v>
      </c>
    </row>
    <row r="1829" spans="1:16" ht="22" customHeight="1" x14ac:dyDescent="0.15">
      <c r="A1829" s="10" t="str">
        <f t="shared" si="381"/>
        <v>480_10_5_10_polygon</v>
      </c>
      <c r="B1829" s="2">
        <v>480</v>
      </c>
      <c r="C1829" s="30" t="str">
        <f>VLOOKUP(B1829,gachas!A:C,3)</f>
        <v>ランキング対抗ガチャ&lt;ヒルベルト&gt;</v>
      </c>
      <c r="D1829" s="21">
        <v>10</v>
      </c>
      <c r="E1829" s="2">
        <v>5</v>
      </c>
      <c r="F1829" s="2">
        <v>10</v>
      </c>
      <c r="G1829" s="3" t="s">
        <v>22</v>
      </c>
      <c r="H1829" s="2">
        <v>50</v>
      </c>
      <c r="I1829" s="117" t="str">
        <f t="shared" si="383"/>
        <v>480105</v>
      </c>
      <c r="J1829" s="128" t="str">
        <f>I1829</f>
        <v>480105</v>
      </c>
      <c r="K1829" s="2" t="s">
        <v>84</v>
      </c>
      <c r="L1829" s="2">
        <v>0</v>
      </c>
      <c r="M1829" s="2" t="s">
        <v>84</v>
      </c>
      <c r="N1829" s="2" t="s">
        <v>84</v>
      </c>
      <c r="O1829" s="2" t="s">
        <v>841</v>
      </c>
      <c r="P1829" s="2" t="s">
        <v>2210</v>
      </c>
    </row>
    <row r="1830" spans="1:16" ht="22" customHeight="1" x14ac:dyDescent="0.15">
      <c r="A1830" s="10" t="str">
        <f t="shared" si="381"/>
        <v>480_10_6_10_polygon</v>
      </c>
      <c r="B1830" s="2">
        <v>480</v>
      </c>
      <c r="C1830" s="30" t="str">
        <f>VLOOKUP(B1830,gachas!A:C,3)</f>
        <v>ランキング対抗ガチャ&lt;ヒルベルト&gt;</v>
      </c>
      <c r="D1830" s="21">
        <v>10</v>
      </c>
      <c r="E1830" s="2">
        <v>6</v>
      </c>
      <c r="F1830" s="2">
        <v>10</v>
      </c>
      <c r="G1830" s="3" t="s">
        <v>22</v>
      </c>
      <c r="H1830" s="2">
        <v>50</v>
      </c>
      <c r="I1830" s="117">
        <v>480100</v>
      </c>
      <c r="J1830" s="112" t="s">
        <v>84</v>
      </c>
      <c r="K1830" s="2" t="s">
        <v>84</v>
      </c>
      <c r="L1830" s="2">
        <v>0</v>
      </c>
      <c r="M1830" s="2" t="s">
        <v>84</v>
      </c>
      <c r="N1830" s="2" t="s">
        <v>84</v>
      </c>
      <c r="O1830" s="2" t="s">
        <v>841</v>
      </c>
      <c r="P1830" s="2" t="s">
        <v>2211</v>
      </c>
    </row>
    <row r="1831" spans="1:16" ht="22" customHeight="1" x14ac:dyDescent="0.15">
      <c r="A1831" s="10" t="str">
        <f t="shared" si="381"/>
        <v>480_10_0_10_polygon</v>
      </c>
      <c r="B1831" s="2">
        <v>480</v>
      </c>
      <c r="C1831" s="30" t="str">
        <f>VLOOKUP(B1831,gachas!A:C,3)</f>
        <v>ランキング対抗ガチャ&lt;ヒルベルト&gt;</v>
      </c>
      <c r="D1831" s="21">
        <v>10</v>
      </c>
      <c r="E1831" s="2">
        <v>0</v>
      </c>
      <c r="F1831" s="2">
        <v>10</v>
      </c>
      <c r="G1831" s="3" t="s">
        <v>22</v>
      </c>
      <c r="H1831" s="2">
        <v>50</v>
      </c>
      <c r="I1831" s="117" t="str">
        <f t="shared" ref="I1831" si="384">B1831&amp;TEXT(D1831,"00")&amp;E1831</f>
        <v>480100</v>
      </c>
      <c r="J1831" s="112" t="s">
        <v>84</v>
      </c>
      <c r="K1831" s="2" t="s">
        <v>84</v>
      </c>
      <c r="L1831" s="2">
        <v>0</v>
      </c>
      <c r="M1831" s="2" t="s">
        <v>84</v>
      </c>
      <c r="N1831" s="2" t="s">
        <v>84</v>
      </c>
      <c r="O1831" s="2" t="s">
        <v>841</v>
      </c>
      <c r="P1831" s="2" t="s">
        <v>2212</v>
      </c>
    </row>
    <row r="1832" spans="1:16" ht="22" customHeight="1" x14ac:dyDescent="0.15">
      <c r="A1832" s="10" t="str">
        <f t="shared" ref="A1832" si="385">B1832&amp;"_"&amp;D1832&amp;"_"&amp;E1832&amp;"_"&amp;F1832&amp;"_"&amp;G1832</f>
        <v>481_1_0_1_polygon</v>
      </c>
      <c r="B1832" s="2">
        <v>481</v>
      </c>
      <c r="C1832" s="30" t="str">
        <f>VLOOKUP(B1832,gachas!A:C,3)</f>
        <v>全世界700万DL突破記念無料レアガチャ8日目（★5）</v>
      </c>
      <c r="D1832" s="21">
        <v>1</v>
      </c>
      <c r="E1832" s="2">
        <v>0</v>
      </c>
      <c r="F1832" s="2">
        <v>1</v>
      </c>
      <c r="G1832" s="3" t="s">
        <v>22</v>
      </c>
      <c r="H1832" s="2">
        <v>0</v>
      </c>
      <c r="I1832" s="117">
        <v>457010</v>
      </c>
      <c r="J1832" s="112">
        <v>457018</v>
      </c>
      <c r="K1832" s="2">
        <v>457018</v>
      </c>
      <c r="L1832" s="2">
        <v>1</v>
      </c>
      <c r="M1832" s="2" t="s">
        <v>84</v>
      </c>
      <c r="N1832" s="2" t="s">
        <v>84</v>
      </c>
      <c r="O1832" s="2" t="s">
        <v>841</v>
      </c>
      <c r="P1832" s="59" t="s">
        <v>1370</v>
      </c>
    </row>
    <row r="1833" spans="1:16" ht="22" customHeight="1" x14ac:dyDescent="0.15">
      <c r="A1833" s="10" t="str">
        <f t="shared" ref="A1833" si="386">B1833&amp;"_"&amp;D1833&amp;"_"&amp;E1833&amp;"_"&amp;F1833&amp;"_"&amp;G1833</f>
        <v>482_1_0_1_polygon</v>
      </c>
      <c r="B1833" s="2">
        <v>482</v>
      </c>
      <c r="C1833" s="30" t="str">
        <f>VLOOKUP(B1833,gachas!A:C,3)</f>
        <v>★6解放記念ガチャ</v>
      </c>
      <c r="D1833" s="21">
        <v>1</v>
      </c>
      <c r="E1833" s="2">
        <v>0</v>
      </c>
      <c r="F1833" s="2">
        <v>1</v>
      </c>
      <c r="G1833" s="3" t="s">
        <v>22</v>
      </c>
      <c r="H1833" s="2">
        <v>5</v>
      </c>
      <c r="I1833" s="117">
        <v>482010</v>
      </c>
      <c r="J1833" s="112" t="s">
        <v>84</v>
      </c>
      <c r="K1833" s="2" t="s">
        <v>84</v>
      </c>
      <c r="L1833" s="2">
        <v>0</v>
      </c>
      <c r="M1833" s="2" t="s">
        <v>84</v>
      </c>
      <c r="N1833" s="2" t="s">
        <v>84</v>
      </c>
      <c r="O1833" s="2" t="s">
        <v>841</v>
      </c>
      <c r="P1833" s="18" t="s">
        <v>84</v>
      </c>
    </row>
    <row r="1834" spans="1:16" ht="22" customHeight="1" x14ac:dyDescent="0.15">
      <c r="A1834" s="10" t="str">
        <f t="shared" ref="A1834:A1885" si="387">B1834&amp;"_"&amp;D1834&amp;"_"&amp;E1834&amp;"_"&amp;F1834&amp;"_"&amp;G1834</f>
        <v>482_10_0_10_polygon</v>
      </c>
      <c r="B1834" s="2">
        <v>482</v>
      </c>
      <c r="C1834" s="30" t="str">
        <f>VLOOKUP(B1834,gachas!A:C,3)</f>
        <v>★6解放記念ガチャ</v>
      </c>
      <c r="D1834" s="21">
        <v>10</v>
      </c>
      <c r="E1834" s="2">
        <v>0</v>
      </c>
      <c r="F1834" s="2">
        <v>10</v>
      </c>
      <c r="G1834" s="3" t="s">
        <v>22</v>
      </c>
      <c r="H1834" s="2">
        <v>50</v>
      </c>
      <c r="I1834" s="117">
        <v>482100</v>
      </c>
      <c r="J1834" s="112" t="s">
        <v>84</v>
      </c>
      <c r="K1834" s="2" t="s">
        <v>2252</v>
      </c>
      <c r="L1834" s="2">
        <v>0</v>
      </c>
      <c r="M1834" s="2" t="s">
        <v>84</v>
      </c>
      <c r="N1834" s="2" t="s">
        <v>84</v>
      </c>
      <c r="O1834" s="2" t="s">
        <v>841</v>
      </c>
      <c r="P1834" s="2" t="s">
        <v>143</v>
      </c>
    </row>
    <row r="1835" spans="1:16" ht="22" customHeight="1" x14ac:dyDescent="0.15">
      <c r="A1835" s="10" t="str">
        <f t="shared" si="387"/>
        <v>482_10_1_10_polygon</v>
      </c>
      <c r="B1835" s="2">
        <v>482</v>
      </c>
      <c r="C1835" s="30" t="str">
        <f>VLOOKUP(B1835,gachas!A:C,3)</f>
        <v>★6解放記念ガチャ</v>
      </c>
      <c r="D1835" s="21">
        <v>10</v>
      </c>
      <c r="E1835" s="2">
        <f>E1834+1</f>
        <v>1</v>
      </c>
      <c r="F1835" s="2">
        <v>10</v>
      </c>
      <c r="G1835" s="3" t="s">
        <v>22</v>
      </c>
      <c r="H1835" s="2">
        <v>25</v>
      </c>
      <c r="I1835" s="117">
        <v>482100</v>
      </c>
      <c r="J1835" s="112" t="s">
        <v>84</v>
      </c>
      <c r="K1835" s="2" t="s">
        <v>2252</v>
      </c>
      <c r="L1835" s="2">
        <v>0</v>
      </c>
      <c r="M1835" s="2" t="s">
        <v>84</v>
      </c>
      <c r="N1835" s="2" t="s">
        <v>84</v>
      </c>
      <c r="O1835" s="2" t="s">
        <v>841</v>
      </c>
      <c r="P1835" s="59" t="s">
        <v>1783</v>
      </c>
    </row>
    <row r="1836" spans="1:16" ht="22" customHeight="1" x14ac:dyDescent="0.15">
      <c r="A1836" s="10" t="str">
        <f t="shared" si="387"/>
        <v>482_10_2_10_polygon</v>
      </c>
      <c r="B1836" s="2">
        <v>482</v>
      </c>
      <c r="C1836" s="30" t="str">
        <f>VLOOKUP(B1836,gachas!A:C,3)</f>
        <v>★6解放記念ガチャ</v>
      </c>
      <c r="D1836" s="21">
        <v>10</v>
      </c>
      <c r="E1836" s="2">
        <f t="shared" ref="E1836:E1884" si="388">E1835+1</f>
        <v>2</v>
      </c>
      <c r="F1836" s="2">
        <v>10</v>
      </c>
      <c r="G1836" s="3" t="s">
        <v>22</v>
      </c>
      <c r="H1836" s="2">
        <v>50</v>
      </c>
      <c r="I1836" s="117">
        <v>482100</v>
      </c>
      <c r="J1836" s="112" t="s">
        <v>84</v>
      </c>
      <c r="K1836" s="2" t="s">
        <v>2252</v>
      </c>
      <c r="L1836" s="2">
        <v>0</v>
      </c>
      <c r="M1836" s="2" t="s">
        <v>84</v>
      </c>
      <c r="N1836" s="2" t="s">
        <v>84</v>
      </c>
      <c r="O1836" s="2" t="s">
        <v>841</v>
      </c>
      <c r="P1836" s="2" t="s">
        <v>143</v>
      </c>
    </row>
    <row r="1837" spans="1:16" ht="22" customHeight="1" x14ac:dyDescent="0.15">
      <c r="A1837" s="10" t="str">
        <f t="shared" si="387"/>
        <v>482_10_3_10_polygon</v>
      </c>
      <c r="B1837" s="2">
        <v>482</v>
      </c>
      <c r="C1837" s="30" t="str">
        <f>VLOOKUP(B1837,gachas!A:C,3)</f>
        <v>★6解放記念ガチャ</v>
      </c>
      <c r="D1837" s="21">
        <v>10</v>
      </c>
      <c r="E1837" s="2">
        <f t="shared" si="388"/>
        <v>3</v>
      </c>
      <c r="F1837" s="2">
        <v>10</v>
      </c>
      <c r="G1837" s="3" t="s">
        <v>22</v>
      </c>
      <c r="H1837" s="2">
        <v>50</v>
      </c>
      <c r="I1837" s="117">
        <v>482100</v>
      </c>
      <c r="J1837" s="112" t="s">
        <v>84</v>
      </c>
      <c r="K1837" s="2" t="s">
        <v>2252</v>
      </c>
      <c r="L1837" s="2">
        <v>0</v>
      </c>
      <c r="M1837" s="2" t="s">
        <v>84</v>
      </c>
      <c r="N1837" s="2" t="s">
        <v>84</v>
      </c>
      <c r="O1837" s="2" t="s">
        <v>841</v>
      </c>
      <c r="P1837" s="2" t="s">
        <v>143</v>
      </c>
    </row>
    <row r="1838" spans="1:16" ht="22" customHeight="1" x14ac:dyDescent="0.15">
      <c r="A1838" s="10" t="str">
        <f t="shared" si="387"/>
        <v>482_10_4_10_polygon</v>
      </c>
      <c r="B1838" s="2">
        <v>482</v>
      </c>
      <c r="C1838" s="30" t="str">
        <f>VLOOKUP(B1838,gachas!A:C,3)</f>
        <v>★6解放記念ガチャ</v>
      </c>
      <c r="D1838" s="21">
        <v>10</v>
      </c>
      <c r="E1838" s="2">
        <f t="shared" si="388"/>
        <v>4</v>
      </c>
      <c r="F1838" s="2">
        <v>10</v>
      </c>
      <c r="G1838" s="3" t="s">
        <v>22</v>
      </c>
      <c r="H1838" s="2">
        <v>50</v>
      </c>
      <c r="I1838" s="117">
        <v>482100</v>
      </c>
      <c r="J1838" s="112" t="s">
        <v>84</v>
      </c>
      <c r="K1838" s="2" t="s">
        <v>2252</v>
      </c>
      <c r="L1838" s="2">
        <v>0</v>
      </c>
      <c r="M1838" s="2" t="s">
        <v>84</v>
      </c>
      <c r="N1838" s="2" t="s">
        <v>84</v>
      </c>
      <c r="O1838" s="2" t="s">
        <v>841</v>
      </c>
      <c r="P1838" s="2" t="s">
        <v>143</v>
      </c>
    </row>
    <row r="1839" spans="1:16" ht="22" customHeight="1" x14ac:dyDescent="0.15">
      <c r="A1839" s="10" t="str">
        <f t="shared" si="387"/>
        <v>482_10_5_10_polygon</v>
      </c>
      <c r="B1839" s="2">
        <v>482</v>
      </c>
      <c r="C1839" s="30" t="str">
        <f>VLOOKUP(B1839,gachas!A:C,3)</f>
        <v>★6解放記念ガチャ</v>
      </c>
      <c r="D1839" s="21">
        <v>10</v>
      </c>
      <c r="E1839" s="2">
        <f t="shared" si="388"/>
        <v>5</v>
      </c>
      <c r="F1839" s="2">
        <v>10</v>
      </c>
      <c r="G1839" s="3" t="s">
        <v>22</v>
      </c>
      <c r="H1839" s="2">
        <v>50</v>
      </c>
      <c r="I1839" s="117">
        <v>482100</v>
      </c>
      <c r="J1839" s="112" t="s">
        <v>84</v>
      </c>
      <c r="K1839" s="2">
        <v>482105</v>
      </c>
      <c r="L1839" s="2">
        <v>1</v>
      </c>
      <c r="M1839" s="2" t="s">
        <v>84</v>
      </c>
      <c r="N1839" s="2" t="s">
        <v>84</v>
      </c>
      <c r="O1839" s="2" t="s">
        <v>841</v>
      </c>
      <c r="P1839" s="2" t="s">
        <v>1781</v>
      </c>
    </row>
    <row r="1840" spans="1:16" ht="22" customHeight="1" x14ac:dyDescent="0.15">
      <c r="A1840" s="10" t="str">
        <f t="shared" si="387"/>
        <v>482_10_6_10_polygon</v>
      </c>
      <c r="B1840" s="2">
        <v>482</v>
      </c>
      <c r="C1840" s="30" t="str">
        <f>VLOOKUP(B1840,gachas!A:C,3)</f>
        <v>★6解放記念ガチャ</v>
      </c>
      <c r="D1840" s="21">
        <v>10</v>
      </c>
      <c r="E1840" s="2">
        <f t="shared" si="388"/>
        <v>6</v>
      </c>
      <c r="F1840" s="2">
        <v>10</v>
      </c>
      <c r="G1840" s="3" t="s">
        <v>22</v>
      </c>
      <c r="H1840" s="2">
        <v>25</v>
      </c>
      <c r="I1840" s="117">
        <v>482100</v>
      </c>
      <c r="J1840" s="112" t="s">
        <v>84</v>
      </c>
      <c r="K1840" s="2" t="s">
        <v>2252</v>
      </c>
      <c r="L1840" s="2">
        <v>0</v>
      </c>
      <c r="M1840" s="2" t="s">
        <v>84</v>
      </c>
      <c r="N1840" s="2" t="s">
        <v>84</v>
      </c>
      <c r="O1840" s="2" t="s">
        <v>841</v>
      </c>
      <c r="P1840" s="59" t="s">
        <v>1783</v>
      </c>
    </row>
    <row r="1841" spans="1:16" ht="22" customHeight="1" x14ac:dyDescent="0.15">
      <c r="A1841" s="10" t="str">
        <f t="shared" si="387"/>
        <v>482_10_7_10_polygon</v>
      </c>
      <c r="B1841" s="2">
        <v>482</v>
      </c>
      <c r="C1841" s="30" t="str">
        <f>VLOOKUP(B1841,gachas!A:C,3)</f>
        <v>★6解放記念ガチャ</v>
      </c>
      <c r="D1841" s="21">
        <v>10</v>
      </c>
      <c r="E1841" s="2">
        <f t="shared" si="388"/>
        <v>7</v>
      </c>
      <c r="F1841" s="2">
        <v>10</v>
      </c>
      <c r="G1841" s="3" t="s">
        <v>22</v>
      </c>
      <c r="H1841" s="2">
        <v>50</v>
      </c>
      <c r="I1841" s="117">
        <v>482100</v>
      </c>
      <c r="J1841" s="112" t="s">
        <v>84</v>
      </c>
      <c r="K1841" s="2" t="s">
        <v>2252</v>
      </c>
      <c r="L1841" s="2">
        <v>0</v>
      </c>
      <c r="M1841" s="2" t="s">
        <v>84</v>
      </c>
      <c r="N1841" s="2" t="s">
        <v>84</v>
      </c>
      <c r="O1841" s="2" t="s">
        <v>841</v>
      </c>
      <c r="P1841" s="2" t="s">
        <v>143</v>
      </c>
    </row>
    <row r="1842" spans="1:16" ht="22" customHeight="1" x14ac:dyDescent="0.15">
      <c r="A1842" s="10" t="str">
        <f t="shared" si="387"/>
        <v>482_10_8_10_polygon</v>
      </c>
      <c r="B1842" s="2">
        <v>482</v>
      </c>
      <c r="C1842" s="30" t="str">
        <f>VLOOKUP(B1842,gachas!A:C,3)</f>
        <v>★6解放記念ガチャ</v>
      </c>
      <c r="D1842" s="21">
        <v>10</v>
      </c>
      <c r="E1842" s="2">
        <f t="shared" si="388"/>
        <v>8</v>
      </c>
      <c r="F1842" s="2">
        <v>10</v>
      </c>
      <c r="G1842" s="3" t="s">
        <v>22</v>
      </c>
      <c r="H1842" s="2">
        <v>50</v>
      </c>
      <c r="I1842" s="117">
        <v>482100</v>
      </c>
      <c r="J1842" s="112" t="s">
        <v>84</v>
      </c>
      <c r="K1842" s="2" t="s">
        <v>2252</v>
      </c>
      <c r="L1842" s="2">
        <v>0</v>
      </c>
      <c r="M1842" s="2" t="s">
        <v>84</v>
      </c>
      <c r="N1842" s="2" t="s">
        <v>84</v>
      </c>
      <c r="O1842" s="2" t="s">
        <v>841</v>
      </c>
      <c r="P1842" s="2" t="s">
        <v>143</v>
      </c>
    </row>
    <row r="1843" spans="1:16" ht="22" customHeight="1" x14ac:dyDescent="0.15">
      <c r="A1843" s="10" t="str">
        <f t="shared" si="387"/>
        <v>482_10_9_10_polygon</v>
      </c>
      <c r="B1843" s="2">
        <v>482</v>
      </c>
      <c r="C1843" s="30" t="str">
        <f>VLOOKUP(B1843,gachas!A:C,3)</f>
        <v>★6解放記念ガチャ</v>
      </c>
      <c r="D1843" s="21">
        <v>10</v>
      </c>
      <c r="E1843" s="2">
        <f t="shared" si="388"/>
        <v>9</v>
      </c>
      <c r="F1843" s="2">
        <v>10</v>
      </c>
      <c r="G1843" s="3" t="s">
        <v>22</v>
      </c>
      <c r="H1843" s="2">
        <v>50</v>
      </c>
      <c r="I1843" s="117">
        <v>482100</v>
      </c>
      <c r="J1843" s="112" t="s">
        <v>84</v>
      </c>
      <c r="K1843" s="2" t="s">
        <v>2252</v>
      </c>
      <c r="L1843" s="2">
        <v>0</v>
      </c>
      <c r="M1843" s="2" t="s">
        <v>84</v>
      </c>
      <c r="N1843" s="2" t="s">
        <v>84</v>
      </c>
      <c r="O1843" s="2" t="s">
        <v>841</v>
      </c>
      <c r="P1843" s="2" t="s">
        <v>143</v>
      </c>
    </row>
    <row r="1844" spans="1:16" ht="22" customHeight="1" x14ac:dyDescent="0.15">
      <c r="A1844" s="10" t="str">
        <f t="shared" si="387"/>
        <v>482_10_10_10_polygon</v>
      </c>
      <c r="B1844" s="2">
        <v>482</v>
      </c>
      <c r="C1844" s="30" t="str">
        <f>VLOOKUP(B1844,gachas!A:C,3)</f>
        <v>★6解放記念ガチャ</v>
      </c>
      <c r="D1844" s="21">
        <v>10</v>
      </c>
      <c r="E1844" s="2">
        <f t="shared" si="388"/>
        <v>10</v>
      </c>
      <c r="F1844" s="2">
        <v>10</v>
      </c>
      <c r="G1844" s="3" t="s">
        <v>22</v>
      </c>
      <c r="H1844" s="2">
        <v>50</v>
      </c>
      <c r="I1844" s="117">
        <v>482100</v>
      </c>
      <c r="J1844" s="112" t="s">
        <v>84</v>
      </c>
      <c r="K1844" s="2">
        <v>482105</v>
      </c>
      <c r="L1844" s="2">
        <v>1</v>
      </c>
      <c r="M1844" s="2" t="s">
        <v>84</v>
      </c>
      <c r="N1844" s="2" t="s">
        <v>84</v>
      </c>
      <c r="O1844" s="2" t="s">
        <v>841</v>
      </c>
      <c r="P1844" s="2" t="s">
        <v>1781</v>
      </c>
    </row>
    <row r="1845" spans="1:16" ht="22" customHeight="1" x14ac:dyDescent="0.15">
      <c r="A1845" s="10" t="str">
        <f t="shared" si="387"/>
        <v>482_10_11_10_polygon</v>
      </c>
      <c r="B1845" s="2">
        <v>482</v>
      </c>
      <c r="C1845" s="30" t="str">
        <f>VLOOKUP(B1845,gachas!A:C,3)</f>
        <v>★6解放記念ガチャ</v>
      </c>
      <c r="D1845" s="21">
        <v>10</v>
      </c>
      <c r="E1845" s="2">
        <f t="shared" si="388"/>
        <v>11</v>
      </c>
      <c r="F1845" s="2">
        <v>10</v>
      </c>
      <c r="G1845" s="3" t="s">
        <v>22</v>
      </c>
      <c r="H1845" s="2">
        <v>25</v>
      </c>
      <c r="I1845" s="117">
        <v>482100</v>
      </c>
      <c r="J1845" s="112" t="s">
        <v>84</v>
      </c>
      <c r="K1845" s="2" t="s">
        <v>2252</v>
      </c>
      <c r="L1845" s="2">
        <v>0</v>
      </c>
      <c r="M1845" s="2" t="s">
        <v>84</v>
      </c>
      <c r="N1845" s="2" t="s">
        <v>84</v>
      </c>
      <c r="O1845" s="2" t="s">
        <v>841</v>
      </c>
      <c r="P1845" s="59" t="s">
        <v>1783</v>
      </c>
    </row>
    <row r="1846" spans="1:16" ht="22" customHeight="1" x14ac:dyDescent="0.15">
      <c r="A1846" s="10" t="str">
        <f t="shared" si="387"/>
        <v>482_10_12_10_polygon</v>
      </c>
      <c r="B1846" s="2">
        <v>482</v>
      </c>
      <c r="C1846" s="30" t="str">
        <f>VLOOKUP(B1846,gachas!A:C,3)</f>
        <v>★6解放記念ガチャ</v>
      </c>
      <c r="D1846" s="21">
        <v>10</v>
      </c>
      <c r="E1846" s="2">
        <f t="shared" si="388"/>
        <v>12</v>
      </c>
      <c r="F1846" s="2">
        <v>10</v>
      </c>
      <c r="G1846" s="3" t="s">
        <v>22</v>
      </c>
      <c r="H1846" s="2">
        <v>50</v>
      </c>
      <c r="I1846" s="117">
        <v>482100</v>
      </c>
      <c r="J1846" s="112" t="s">
        <v>84</v>
      </c>
      <c r="K1846" s="2" t="s">
        <v>2252</v>
      </c>
      <c r="L1846" s="2">
        <v>0</v>
      </c>
      <c r="M1846" s="2" t="s">
        <v>84</v>
      </c>
      <c r="N1846" s="2" t="s">
        <v>84</v>
      </c>
      <c r="O1846" s="2" t="s">
        <v>841</v>
      </c>
      <c r="P1846" s="2" t="s">
        <v>143</v>
      </c>
    </row>
    <row r="1847" spans="1:16" ht="22" customHeight="1" x14ac:dyDescent="0.15">
      <c r="A1847" s="10" t="str">
        <f t="shared" si="387"/>
        <v>482_10_13_10_polygon</v>
      </c>
      <c r="B1847" s="2">
        <v>482</v>
      </c>
      <c r="C1847" s="30" t="str">
        <f>VLOOKUP(B1847,gachas!A:C,3)</f>
        <v>★6解放記念ガチャ</v>
      </c>
      <c r="D1847" s="21">
        <v>10</v>
      </c>
      <c r="E1847" s="2">
        <f t="shared" si="388"/>
        <v>13</v>
      </c>
      <c r="F1847" s="2">
        <v>10</v>
      </c>
      <c r="G1847" s="3" t="s">
        <v>22</v>
      </c>
      <c r="H1847" s="2">
        <v>50</v>
      </c>
      <c r="I1847" s="117">
        <v>482100</v>
      </c>
      <c r="J1847" s="112" t="s">
        <v>84</v>
      </c>
      <c r="K1847" s="2" t="s">
        <v>2252</v>
      </c>
      <c r="L1847" s="2">
        <v>0</v>
      </c>
      <c r="M1847" s="2" t="s">
        <v>84</v>
      </c>
      <c r="N1847" s="2" t="s">
        <v>84</v>
      </c>
      <c r="O1847" s="2" t="s">
        <v>841</v>
      </c>
      <c r="P1847" s="2" t="s">
        <v>143</v>
      </c>
    </row>
    <row r="1848" spans="1:16" ht="22" customHeight="1" x14ac:dyDescent="0.15">
      <c r="A1848" s="10" t="str">
        <f t="shared" si="387"/>
        <v>482_10_14_10_polygon</v>
      </c>
      <c r="B1848" s="2">
        <v>482</v>
      </c>
      <c r="C1848" s="30" t="str">
        <f>VLOOKUP(B1848,gachas!A:C,3)</f>
        <v>★6解放記念ガチャ</v>
      </c>
      <c r="D1848" s="21">
        <v>10</v>
      </c>
      <c r="E1848" s="2">
        <f t="shared" si="388"/>
        <v>14</v>
      </c>
      <c r="F1848" s="2">
        <v>10</v>
      </c>
      <c r="G1848" s="3" t="s">
        <v>22</v>
      </c>
      <c r="H1848" s="2">
        <v>50</v>
      </c>
      <c r="I1848" s="117">
        <v>482100</v>
      </c>
      <c r="J1848" s="112" t="s">
        <v>84</v>
      </c>
      <c r="K1848" s="2" t="s">
        <v>2252</v>
      </c>
      <c r="L1848" s="2">
        <v>0</v>
      </c>
      <c r="M1848" s="2" t="s">
        <v>84</v>
      </c>
      <c r="N1848" s="2" t="s">
        <v>84</v>
      </c>
      <c r="O1848" s="2" t="s">
        <v>841</v>
      </c>
      <c r="P1848" s="2" t="s">
        <v>143</v>
      </c>
    </row>
    <row r="1849" spans="1:16" ht="22" customHeight="1" x14ac:dyDescent="0.15">
      <c r="A1849" s="10" t="str">
        <f t="shared" si="387"/>
        <v>482_10_15_10_polygon</v>
      </c>
      <c r="B1849" s="2">
        <v>482</v>
      </c>
      <c r="C1849" s="30" t="str">
        <f>VLOOKUP(B1849,gachas!A:C,3)</f>
        <v>★6解放記念ガチャ</v>
      </c>
      <c r="D1849" s="21">
        <v>10</v>
      </c>
      <c r="E1849" s="2">
        <f t="shared" si="388"/>
        <v>15</v>
      </c>
      <c r="F1849" s="2">
        <v>10</v>
      </c>
      <c r="G1849" s="3" t="s">
        <v>22</v>
      </c>
      <c r="H1849" s="2">
        <v>50</v>
      </c>
      <c r="I1849" s="117">
        <v>482100</v>
      </c>
      <c r="J1849" s="112" t="s">
        <v>84</v>
      </c>
      <c r="K1849" s="2">
        <v>482105</v>
      </c>
      <c r="L1849" s="2">
        <v>1</v>
      </c>
      <c r="M1849" s="2" t="s">
        <v>84</v>
      </c>
      <c r="N1849" s="2" t="s">
        <v>84</v>
      </c>
      <c r="O1849" s="2" t="s">
        <v>841</v>
      </c>
      <c r="P1849" s="2" t="s">
        <v>1781</v>
      </c>
    </row>
    <row r="1850" spans="1:16" ht="22" customHeight="1" x14ac:dyDescent="0.15">
      <c r="A1850" s="10" t="str">
        <f t="shared" si="387"/>
        <v>482_10_16_10_polygon</v>
      </c>
      <c r="B1850" s="2">
        <v>482</v>
      </c>
      <c r="C1850" s="30" t="str">
        <f>VLOOKUP(B1850,gachas!A:C,3)</f>
        <v>★6解放記念ガチャ</v>
      </c>
      <c r="D1850" s="21">
        <v>10</v>
      </c>
      <c r="E1850" s="2">
        <f t="shared" si="388"/>
        <v>16</v>
      </c>
      <c r="F1850" s="2">
        <v>10</v>
      </c>
      <c r="G1850" s="3" t="s">
        <v>22</v>
      </c>
      <c r="H1850" s="2">
        <v>25</v>
      </c>
      <c r="I1850" s="117">
        <v>482100</v>
      </c>
      <c r="J1850" s="112" t="s">
        <v>84</v>
      </c>
      <c r="K1850" s="2" t="s">
        <v>2252</v>
      </c>
      <c r="L1850" s="2">
        <v>0</v>
      </c>
      <c r="M1850" s="2" t="s">
        <v>84</v>
      </c>
      <c r="N1850" s="2" t="s">
        <v>84</v>
      </c>
      <c r="O1850" s="2" t="s">
        <v>841</v>
      </c>
      <c r="P1850" s="59" t="s">
        <v>1783</v>
      </c>
    </row>
    <row r="1851" spans="1:16" ht="22" customHeight="1" x14ac:dyDescent="0.15">
      <c r="A1851" s="10" t="str">
        <f t="shared" si="387"/>
        <v>482_10_17_10_polygon</v>
      </c>
      <c r="B1851" s="2">
        <v>482</v>
      </c>
      <c r="C1851" s="30" t="str">
        <f>VLOOKUP(B1851,gachas!A:C,3)</f>
        <v>★6解放記念ガチャ</v>
      </c>
      <c r="D1851" s="21">
        <v>10</v>
      </c>
      <c r="E1851" s="2">
        <f t="shared" si="388"/>
        <v>17</v>
      </c>
      <c r="F1851" s="2">
        <v>10</v>
      </c>
      <c r="G1851" s="3" t="s">
        <v>22</v>
      </c>
      <c r="H1851" s="2">
        <v>50</v>
      </c>
      <c r="I1851" s="117">
        <v>482100</v>
      </c>
      <c r="J1851" s="112" t="s">
        <v>84</v>
      </c>
      <c r="K1851" s="2" t="s">
        <v>2252</v>
      </c>
      <c r="L1851" s="2">
        <v>0</v>
      </c>
      <c r="M1851" s="2" t="s">
        <v>84</v>
      </c>
      <c r="N1851" s="2" t="s">
        <v>84</v>
      </c>
      <c r="O1851" s="2" t="s">
        <v>841</v>
      </c>
      <c r="P1851" s="2" t="s">
        <v>143</v>
      </c>
    </row>
    <row r="1852" spans="1:16" ht="22" customHeight="1" x14ac:dyDescent="0.15">
      <c r="A1852" s="10" t="str">
        <f t="shared" si="387"/>
        <v>482_10_18_10_polygon</v>
      </c>
      <c r="B1852" s="2">
        <v>482</v>
      </c>
      <c r="C1852" s="30" t="str">
        <f>VLOOKUP(B1852,gachas!A:C,3)</f>
        <v>★6解放記念ガチャ</v>
      </c>
      <c r="D1852" s="21">
        <v>10</v>
      </c>
      <c r="E1852" s="2">
        <f t="shared" si="388"/>
        <v>18</v>
      </c>
      <c r="F1852" s="2">
        <v>10</v>
      </c>
      <c r="G1852" s="3" t="s">
        <v>22</v>
      </c>
      <c r="H1852" s="2">
        <v>50</v>
      </c>
      <c r="I1852" s="117">
        <v>482100</v>
      </c>
      <c r="J1852" s="112" t="s">
        <v>84</v>
      </c>
      <c r="K1852" s="2" t="s">
        <v>2252</v>
      </c>
      <c r="L1852" s="2">
        <v>0</v>
      </c>
      <c r="M1852" s="2" t="s">
        <v>84</v>
      </c>
      <c r="N1852" s="2" t="s">
        <v>84</v>
      </c>
      <c r="O1852" s="2" t="s">
        <v>841</v>
      </c>
      <c r="P1852" s="2" t="s">
        <v>143</v>
      </c>
    </row>
    <row r="1853" spans="1:16" ht="22" customHeight="1" x14ac:dyDescent="0.15">
      <c r="A1853" s="10" t="str">
        <f t="shared" si="387"/>
        <v>482_10_19_10_polygon</v>
      </c>
      <c r="B1853" s="2">
        <v>482</v>
      </c>
      <c r="C1853" s="30" t="str">
        <f>VLOOKUP(B1853,gachas!A:C,3)</f>
        <v>★6解放記念ガチャ</v>
      </c>
      <c r="D1853" s="21">
        <v>10</v>
      </c>
      <c r="E1853" s="2">
        <f t="shared" si="388"/>
        <v>19</v>
      </c>
      <c r="F1853" s="2">
        <v>10</v>
      </c>
      <c r="G1853" s="3" t="s">
        <v>22</v>
      </c>
      <c r="H1853" s="2">
        <v>50</v>
      </c>
      <c r="I1853" s="117">
        <v>482100</v>
      </c>
      <c r="J1853" s="112" t="s">
        <v>84</v>
      </c>
      <c r="K1853" s="2" t="s">
        <v>2252</v>
      </c>
      <c r="L1853" s="2">
        <v>0</v>
      </c>
      <c r="M1853" s="2" t="s">
        <v>84</v>
      </c>
      <c r="N1853" s="2" t="s">
        <v>84</v>
      </c>
      <c r="O1853" s="2" t="s">
        <v>841</v>
      </c>
      <c r="P1853" s="2" t="s">
        <v>143</v>
      </c>
    </row>
    <row r="1854" spans="1:16" ht="22" customHeight="1" x14ac:dyDescent="0.15">
      <c r="A1854" s="10" t="str">
        <f t="shared" si="387"/>
        <v>482_10_20_10_polygon</v>
      </c>
      <c r="B1854" s="2">
        <v>482</v>
      </c>
      <c r="C1854" s="30" t="str">
        <f>VLOOKUP(B1854,gachas!A:C,3)</f>
        <v>★6解放記念ガチャ</v>
      </c>
      <c r="D1854" s="21">
        <v>10</v>
      </c>
      <c r="E1854" s="2">
        <f t="shared" si="388"/>
        <v>20</v>
      </c>
      <c r="F1854" s="2">
        <v>10</v>
      </c>
      <c r="G1854" s="3" t="s">
        <v>22</v>
      </c>
      <c r="H1854" s="2">
        <v>50</v>
      </c>
      <c r="I1854" s="117">
        <v>482100</v>
      </c>
      <c r="J1854" s="112" t="s">
        <v>84</v>
      </c>
      <c r="K1854" s="2">
        <v>482105</v>
      </c>
      <c r="L1854" s="2">
        <v>1</v>
      </c>
      <c r="M1854" s="2" t="s">
        <v>84</v>
      </c>
      <c r="N1854" s="2" t="s">
        <v>84</v>
      </c>
      <c r="O1854" s="2" t="s">
        <v>841</v>
      </c>
      <c r="P1854" s="2" t="s">
        <v>1781</v>
      </c>
    </row>
    <row r="1855" spans="1:16" ht="22" customHeight="1" x14ac:dyDescent="0.15">
      <c r="A1855" s="10" t="str">
        <f t="shared" si="387"/>
        <v>482_10_21_10_polygon</v>
      </c>
      <c r="B1855" s="2">
        <v>482</v>
      </c>
      <c r="C1855" s="30" t="str">
        <f>VLOOKUP(B1855,gachas!A:C,3)</f>
        <v>★6解放記念ガチャ</v>
      </c>
      <c r="D1855" s="21">
        <v>10</v>
      </c>
      <c r="E1855" s="2">
        <f t="shared" si="388"/>
        <v>21</v>
      </c>
      <c r="F1855" s="2">
        <v>10</v>
      </c>
      <c r="G1855" s="3" t="s">
        <v>22</v>
      </c>
      <c r="H1855" s="2">
        <v>25</v>
      </c>
      <c r="I1855" s="117">
        <v>482100</v>
      </c>
      <c r="J1855" s="112" t="s">
        <v>84</v>
      </c>
      <c r="K1855" s="2" t="s">
        <v>2252</v>
      </c>
      <c r="L1855" s="2">
        <v>0</v>
      </c>
      <c r="M1855" s="2" t="s">
        <v>84</v>
      </c>
      <c r="N1855" s="2" t="s">
        <v>84</v>
      </c>
      <c r="O1855" s="2" t="s">
        <v>841</v>
      </c>
      <c r="P1855" s="59" t="s">
        <v>1783</v>
      </c>
    </row>
    <row r="1856" spans="1:16" ht="22" customHeight="1" x14ac:dyDescent="0.15">
      <c r="A1856" s="10" t="str">
        <f t="shared" si="387"/>
        <v>482_10_22_10_polygon</v>
      </c>
      <c r="B1856" s="2">
        <v>482</v>
      </c>
      <c r="C1856" s="30" t="str">
        <f>VLOOKUP(B1856,gachas!A:C,3)</f>
        <v>★6解放記念ガチャ</v>
      </c>
      <c r="D1856" s="21">
        <v>10</v>
      </c>
      <c r="E1856" s="2">
        <f t="shared" si="388"/>
        <v>22</v>
      </c>
      <c r="F1856" s="2">
        <v>10</v>
      </c>
      <c r="G1856" s="3" t="s">
        <v>22</v>
      </c>
      <c r="H1856" s="2">
        <v>50</v>
      </c>
      <c r="I1856" s="117">
        <v>482100</v>
      </c>
      <c r="J1856" s="112" t="s">
        <v>84</v>
      </c>
      <c r="K1856" s="2" t="s">
        <v>2252</v>
      </c>
      <c r="L1856" s="2">
        <v>0</v>
      </c>
      <c r="M1856" s="2" t="s">
        <v>84</v>
      </c>
      <c r="N1856" s="2" t="s">
        <v>84</v>
      </c>
      <c r="O1856" s="2" t="s">
        <v>841</v>
      </c>
      <c r="P1856" s="2" t="s">
        <v>143</v>
      </c>
    </row>
    <row r="1857" spans="1:16" ht="22" customHeight="1" x14ac:dyDescent="0.15">
      <c r="A1857" s="10" t="str">
        <f t="shared" si="387"/>
        <v>482_10_23_10_polygon</v>
      </c>
      <c r="B1857" s="2">
        <v>482</v>
      </c>
      <c r="C1857" s="30" t="str">
        <f>VLOOKUP(B1857,gachas!A:C,3)</f>
        <v>★6解放記念ガチャ</v>
      </c>
      <c r="D1857" s="21">
        <v>10</v>
      </c>
      <c r="E1857" s="2">
        <f t="shared" si="388"/>
        <v>23</v>
      </c>
      <c r="F1857" s="2">
        <v>10</v>
      </c>
      <c r="G1857" s="3" t="s">
        <v>22</v>
      </c>
      <c r="H1857" s="2">
        <v>50</v>
      </c>
      <c r="I1857" s="117">
        <v>482100</v>
      </c>
      <c r="J1857" s="112" t="s">
        <v>84</v>
      </c>
      <c r="K1857" s="2" t="s">
        <v>2252</v>
      </c>
      <c r="L1857" s="2">
        <v>0</v>
      </c>
      <c r="M1857" s="2" t="s">
        <v>84</v>
      </c>
      <c r="N1857" s="2" t="s">
        <v>84</v>
      </c>
      <c r="O1857" s="2" t="s">
        <v>841</v>
      </c>
      <c r="P1857" s="2" t="s">
        <v>143</v>
      </c>
    </row>
    <row r="1858" spans="1:16" ht="22" customHeight="1" x14ac:dyDescent="0.15">
      <c r="A1858" s="10" t="str">
        <f t="shared" si="387"/>
        <v>482_10_24_10_polygon</v>
      </c>
      <c r="B1858" s="2">
        <v>482</v>
      </c>
      <c r="C1858" s="30" t="str">
        <f>VLOOKUP(B1858,gachas!A:C,3)</f>
        <v>★6解放記念ガチャ</v>
      </c>
      <c r="D1858" s="21">
        <v>10</v>
      </c>
      <c r="E1858" s="2">
        <f t="shared" si="388"/>
        <v>24</v>
      </c>
      <c r="F1858" s="2">
        <v>10</v>
      </c>
      <c r="G1858" s="3" t="s">
        <v>22</v>
      </c>
      <c r="H1858" s="2">
        <v>50</v>
      </c>
      <c r="I1858" s="117">
        <v>482100</v>
      </c>
      <c r="J1858" s="112" t="s">
        <v>84</v>
      </c>
      <c r="K1858" s="2" t="s">
        <v>2252</v>
      </c>
      <c r="L1858" s="2">
        <v>0</v>
      </c>
      <c r="M1858" s="2" t="s">
        <v>84</v>
      </c>
      <c r="N1858" s="2" t="s">
        <v>84</v>
      </c>
      <c r="O1858" s="2" t="s">
        <v>841</v>
      </c>
      <c r="P1858" s="2" t="s">
        <v>143</v>
      </c>
    </row>
    <row r="1859" spans="1:16" ht="22" customHeight="1" x14ac:dyDescent="0.15">
      <c r="A1859" s="10" t="str">
        <f t="shared" si="387"/>
        <v>482_10_25_10_polygon</v>
      </c>
      <c r="B1859" s="2">
        <v>482</v>
      </c>
      <c r="C1859" s="30" t="str">
        <f>VLOOKUP(B1859,gachas!A:C,3)</f>
        <v>★6解放記念ガチャ</v>
      </c>
      <c r="D1859" s="21">
        <v>10</v>
      </c>
      <c r="E1859" s="2">
        <f t="shared" si="388"/>
        <v>25</v>
      </c>
      <c r="F1859" s="2">
        <v>10</v>
      </c>
      <c r="G1859" s="3" t="s">
        <v>22</v>
      </c>
      <c r="H1859" s="2">
        <v>50</v>
      </c>
      <c r="I1859" s="117">
        <v>482100</v>
      </c>
      <c r="J1859" s="112" t="s">
        <v>84</v>
      </c>
      <c r="K1859" s="2">
        <v>482105</v>
      </c>
      <c r="L1859" s="2">
        <v>1</v>
      </c>
      <c r="M1859" s="2" t="s">
        <v>84</v>
      </c>
      <c r="N1859" s="2" t="s">
        <v>84</v>
      </c>
      <c r="O1859" s="2" t="s">
        <v>841</v>
      </c>
      <c r="P1859" s="2" t="s">
        <v>1781</v>
      </c>
    </row>
    <row r="1860" spans="1:16" ht="22" customHeight="1" x14ac:dyDescent="0.15">
      <c r="A1860" s="10" t="str">
        <f t="shared" si="387"/>
        <v>482_10_26_10_polygon</v>
      </c>
      <c r="B1860" s="2">
        <v>482</v>
      </c>
      <c r="C1860" s="30" t="str">
        <f>VLOOKUP(B1860,gachas!A:C,3)</f>
        <v>★6解放記念ガチャ</v>
      </c>
      <c r="D1860" s="21">
        <v>10</v>
      </c>
      <c r="E1860" s="2">
        <f t="shared" si="388"/>
        <v>26</v>
      </c>
      <c r="F1860" s="2">
        <v>10</v>
      </c>
      <c r="G1860" s="3" t="s">
        <v>22</v>
      </c>
      <c r="H1860" s="2">
        <v>25</v>
      </c>
      <c r="I1860" s="117">
        <v>482100</v>
      </c>
      <c r="J1860" s="112" t="s">
        <v>84</v>
      </c>
      <c r="K1860" s="2" t="s">
        <v>2252</v>
      </c>
      <c r="L1860" s="2">
        <v>0</v>
      </c>
      <c r="M1860" s="2" t="s">
        <v>84</v>
      </c>
      <c r="N1860" s="2" t="s">
        <v>84</v>
      </c>
      <c r="O1860" s="2" t="s">
        <v>841</v>
      </c>
      <c r="P1860" s="59" t="s">
        <v>1783</v>
      </c>
    </row>
    <row r="1861" spans="1:16" ht="22" customHeight="1" x14ac:dyDescent="0.15">
      <c r="A1861" s="10" t="str">
        <f t="shared" si="387"/>
        <v>482_10_27_10_polygon</v>
      </c>
      <c r="B1861" s="2">
        <v>482</v>
      </c>
      <c r="C1861" s="30" t="str">
        <f>VLOOKUP(B1861,gachas!A:C,3)</f>
        <v>★6解放記念ガチャ</v>
      </c>
      <c r="D1861" s="21">
        <v>10</v>
      </c>
      <c r="E1861" s="2">
        <f t="shared" si="388"/>
        <v>27</v>
      </c>
      <c r="F1861" s="2">
        <v>10</v>
      </c>
      <c r="G1861" s="3" t="s">
        <v>22</v>
      </c>
      <c r="H1861" s="2">
        <v>50</v>
      </c>
      <c r="I1861" s="117">
        <v>482100</v>
      </c>
      <c r="J1861" s="112" t="s">
        <v>84</v>
      </c>
      <c r="K1861" s="2" t="s">
        <v>2252</v>
      </c>
      <c r="L1861" s="2">
        <v>0</v>
      </c>
      <c r="M1861" s="2" t="s">
        <v>84</v>
      </c>
      <c r="N1861" s="2" t="s">
        <v>84</v>
      </c>
      <c r="O1861" s="2" t="s">
        <v>841</v>
      </c>
      <c r="P1861" s="2" t="s">
        <v>143</v>
      </c>
    </row>
    <row r="1862" spans="1:16" ht="22" customHeight="1" x14ac:dyDescent="0.15">
      <c r="A1862" s="10" t="str">
        <f t="shared" si="387"/>
        <v>482_10_28_10_polygon</v>
      </c>
      <c r="B1862" s="2">
        <v>482</v>
      </c>
      <c r="C1862" s="30" t="str">
        <f>VLOOKUP(B1862,gachas!A:C,3)</f>
        <v>★6解放記念ガチャ</v>
      </c>
      <c r="D1862" s="21">
        <v>10</v>
      </c>
      <c r="E1862" s="2">
        <f t="shared" si="388"/>
        <v>28</v>
      </c>
      <c r="F1862" s="2">
        <v>10</v>
      </c>
      <c r="G1862" s="3" t="s">
        <v>22</v>
      </c>
      <c r="H1862" s="2">
        <v>50</v>
      </c>
      <c r="I1862" s="117">
        <v>482100</v>
      </c>
      <c r="J1862" s="112" t="s">
        <v>84</v>
      </c>
      <c r="K1862" s="2" t="s">
        <v>2252</v>
      </c>
      <c r="L1862" s="2">
        <v>0</v>
      </c>
      <c r="M1862" s="2" t="s">
        <v>84</v>
      </c>
      <c r="N1862" s="2" t="s">
        <v>84</v>
      </c>
      <c r="O1862" s="2" t="s">
        <v>841</v>
      </c>
      <c r="P1862" s="2" t="s">
        <v>143</v>
      </c>
    </row>
    <row r="1863" spans="1:16" ht="22" customHeight="1" x14ac:dyDescent="0.15">
      <c r="A1863" s="10" t="str">
        <f t="shared" si="387"/>
        <v>482_10_29_10_polygon</v>
      </c>
      <c r="B1863" s="2">
        <v>482</v>
      </c>
      <c r="C1863" s="30" t="str">
        <f>VLOOKUP(B1863,gachas!A:C,3)</f>
        <v>★6解放記念ガチャ</v>
      </c>
      <c r="D1863" s="21">
        <v>10</v>
      </c>
      <c r="E1863" s="2">
        <f t="shared" si="388"/>
        <v>29</v>
      </c>
      <c r="F1863" s="2">
        <v>10</v>
      </c>
      <c r="G1863" s="3" t="s">
        <v>22</v>
      </c>
      <c r="H1863" s="2">
        <v>50</v>
      </c>
      <c r="I1863" s="117">
        <v>482100</v>
      </c>
      <c r="J1863" s="112" t="s">
        <v>84</v>
      </c>
      <c r="K1863" s="2" t="s">
        <v>2252</v>
      </c>
      <c r="L1863" s="2">
        <v>0</v>
      </c>
      <c r="M1863" s="2" t="s">
        <v>84</v>
      </c>
      <c r="N1863" s="2" t="s">
        <v>84</v>
      </c>
      <c r="O1863" s="2" t="s">
        <v>841</v>
      </c>
      <c r="P1863" s="2" t="s">
        <v>143</v>
      </c>
    </row>
    <row r="1864" spans="1:16" ht="22" customHeight="1" x14ac:dyDescent="0.15">
      <c r="A1864" s="10" t="str">
        <f t="shared" si="387"/>
        <v>482_10_30_10_polygon</v>
      </c>
      <c r="B1864" s="2">
        <v>482</v>
      </c>
      <c r="C1864" s="30" t="str">
        <f>VLOOKUP(B1864,gachas!A:C,3)</f>
        <v>★6解放記念ガチャ</v>
      </c>
      <c r="D1864" s="21">
        <v>10</v>
      </c>
      <c r="E1864" s="2">
        <f t="shared" si="388"/>
        <v>30</v>
      </c>
      <c r="F1864" s="2">
        <v>10</v>
      </c>
      <c r="G1864" s="3" t="s">
        <v>22</v>
      </c>
      <c r="H1864" s="2">
        <v>50</v>
      </c>
      <c r="I1864" s="117">
        <v>482100</v>
      </c>
      <c r="J1864" s="112" t="s">
        <v>84</v>
      </c>
      <c r="K1864" s="2">
        <v>482105</v>
      </c>
      <c r="L1864" s="2">
        <v>1</v>
      </c>
      <c r="M1864" s="2" t="s">
        <v>84</v>
      </c>
      <c r="N1864" s="2" t="s">
        <v>84</v>
      </c>
      <c r="O1864" s="2" t="s">
        <v>841</v>
      </c>
      <c r="P1864" s="2" t="s">
        <v>1781</v>
      </c>
    </row>
    <row r="1865" spans="1:16" ht="22" customHeight="1" x14ac:dyDescent="0.15">
      <c r="A1865" s="10" t="str">
        <f t="shared" si="387"/>
        <v>482_10_31_10_polygon</v>
      </c>
      <c r="B1865" s="2">
        <v>482</v>
      </c>
      <c r="C1865" s="30" t="str">
        <f>VLOOKUP(B1865,gachas!A:C,3)</f>
        <v>★6解放記念ガチャ</v>
      </c>
      <c r="D1865" s="21">
        <v>10</v>
      </c>
      <c r="E1865" s="2">
        <f t="shared" si="388"/>
        <v>31</v>
      </c>
      <c r="F1865" s="2">
        <v>10</v>
      </c>
      <c r="G1865" s="3" t="s">
        <v>22</v>
      </c>
      <c r="H1865" s="2">
        <v>25</v>
      </c>
      <c r="I1865" s="117">
        <v>482100</v>
      </c>
      <c r="J1865" s="112" t="s">
        <v>84</v>
      </c>
      <c r="K1865" s="2" t="s">
        <v>2252</v>
      </c>
      <c r="L1865" s="2">
        <v>0</v>
      </c>
      <c r="M1865" s="2" t="s">
        <v>84</v>
      </c>
      <c r="N1865" s="2" t="s">
        <v>84</v>
      </c>
      <c r="O1865" s="2" t="s">
        <v>841</v>
      </c>
      <c r="P1865" s="59" t="s">
        <v>1783</v>
      </c>
    </row>
    <row r="1866" spans="1:16" ht="22" customHeight="1" x14ac:dyDescent="0.15">
      <c r="A1866" s="10" t="str">
        <f t="shared" si="387"/>
        <v>482_10_32_10_polygon</v>
      </c>
      <c r="B1866" s="2">
        <v>482</v>
      </c>
      <c r="C1866" s="30" t="str">
        <f>VLOOKUP(B1866,gachas!A:C,3)</f>
        <v>★6解放記念ガチャ</v>
      </c>
      <c r="D1866" s="21">
        <v>10</v>
      </c>
      <c r="E1866" s="2">
        <f t="shared" si="388"/>
        <v>32</v>
      </c>
      <c r="F1866" s="2">
        <v>10</v>
      </c>
      <c r="G1866" s="3" t="s">
        <v>22</v>
      </c>
      <c r="H1866" s="2">
        <v>50</v>
      </c>
      <c r="I1866" s="117">
        <v>482100</v>
      </c>
      <c r="J1866" s="112" t="s">
        <v>84</v>
      </c>
      <c r="K1866" s="2" t="s">
        <v>2252</v>
      </c>
      <c r="L1866" s="2">
        <v>0</v>
      </c>
      <c r="M1866" s="2" t="s">
        <v>84</v>
      </c>
      <c r="N1866" s="2" t="s">
        <v>84</v>
      </c>
      <c r="O1866" s="2" t="s">
        <v>841</v>
      </c>
      <c r="P1866" s="2" t="s">
        <v>143</v>
      </c>
    </row>
    <row r="1867" spans="1:16" ht="22" customHeight="1" x14ac:dyDescent="0.15">
      <c r="A1867" s="10" t="str">
        <f t="shared" si="387"/>
        <v>482_10_33_10_polygon</v>
      </c>
      <c r="B1867" s="2">
        <v>482</v>
      </c>
      <c r="C1867" s="30" t="str">
        <f>VLOOKUP(B1867,gachas!A:C,3)</f>
        <v>★6解放記念ガチャ</v>
      </c>
      <c r="D1867" s="21">
        <v>10</v>
      </c>
      <c r="E1867" s="2">
        <f t="shared" si="388"/>
        <v>33</v>
      </c>
      <c r="F1867" s="2">
        <v>10</v>
      </c>
      <c r="G1867" s="3" t="s">
        <v>22</v>
      </c>
      <c r="H1867" s="2">
        <v>50</v>
      </c>
      <c r="I1867" s="117">
        <v>482100</v>
      </c>
      <c r="J1867" s="112" t="s">
        <v>84</v>
      </c>
      <c r="K1867" s="2" t="s">
        <v>2252</v>
      </c>
      <c r="L1867" s="2">
        <v>0</v>
      </c>
      <c r="M1867" s="2" t="s">
        <v>84</v>
      </c>
      <c r="N1867" s="2" t="s">
        <v>84</v>
      </c>
      <c r="O1867" s="2" t="s">
        <v>841</v>
      </c>
      <c r="P1867" s="2" t="s">
        <v>143</v>
      </c>
    </row>
    <row r="1868" spans="1:16" ht="22" customHeight="1" x14ac:dyDescent="0.15">
      <c r="A1868" s="10" t="str">
        <f t="shared" si="387"/>
        <v>482_10_34_10_polygon</v>
      </c>
      <c r="B1868" s="2">
        <v>482</v>
      </c>
      <c r="C1868" s="30" t="str">
        <f>VLOOKUP(B1868,gachas!A:C,3)</f>
        <v>★6解放記念ガチャ</v>
      </c>
      <c r="D1868" s="21">
        <v>10</v>
      </c>
      <c r="E1868" s="2">
        <f t="shared" si="388"/>
        <v>34</v>
      </c>
      <c r="F1868" s="2">
        <v>10</v>
      </c>
      <c r="G1868" s="3" t="s">
        <v>22</v>
      </c>
      <c r="H1868" s="2">
        <v>50</v>
      </c>
      <c r="I1868" s="117">
        <v>482100</v>
      </c>
      <c r="J1868" s="112" t="s">
        <v>84</v>
      </c>
      <c r="K1868" s="2" t="s">
        <v>2252</v>
      </c>
      <c r="L1868" s="2">
        <v>0</v>
      </c>
      <c r="M1868" s="2" t="s">
        <v>84</v>
      </c>
      <c r="N1868" s="2" t="s">
        <v>84</v>
      </c>
      <c r="O1868" s="2" t="s">
        <v>841</v>
      </c>
      <c r="P1868" s="2" t="s">
        <v>143</v>
      </c>
    </row>
    <row r="1869" spans="1:16" ht="22" customHeight="1" x14ac:dyDescent="0.15">
      <c r="A1869" s="10" t="str">
        <f t="shared" si="387"/>
        <v>482_10_35_10_polygon</v>
      </c>
      <c r="B1869" s="2">
        <v>482</v>
      </c>
      <c r="C1869" s="30" t="str">
        <f>VLOOKUP(B1869,gachas!A:C,3)</f>
        <v>★6解放記念ガチャ</v>
      </c>
      <c r="D1869" s="21">
        <v>10</v>
      </c>
      <c r="E1869" s="2">
        <f t="shared" si="388"/>
        <v>35</v>
      </c>
      <c r="F1869" s="2">
        <v>10</v>
      </c>
      <c r="G1869" s="3" t="s">
        <v>22</v>
      </c>
      <c r="H1869" s="2">
        <v>50</v>
      </c>
      <c r="I1869" s="117">
        <v>482100</v>
      </c>
      <c r="J1869" s="112" t="s">
        <v>84</v>
      </c>
      <c r="K1869" s="2">
        <v>482105</v>
      </c>
      <c r="L1869" s="2">
        <v>1</v>
      </c>
      <c r="M1869" s="2" t="s">
        <v>84</v>
      </c>
      <c r="N1869" s="2" t="s">
        <v>84</v>
      </c>
      <c r="O1869" s="2" t="s">
        <v>841</v>
      </c>
      <c r="P1869" s="2" t="s">
        <v>1781</v>
      </c>
    </row>
    <row r="1870" spans="1:16" ht="22" customHeight="1" x14ac:dyDescent="0.15">
      <c r="A1870" s="10" t="str">
        <f t="shared" si="387"/>
        <v>482_10_36_10_polygon</v>
      </c>
      <c r="B1870" s="2">
        <v>482</v>
      </c>
      <c r="C1870" s="30" t="str">
        <f>VLOOKUP(B1870,gachas!A:C,3)</f>
        <v>★6解放記念ガチャ</v>
      </c>
      <c r="D1870" s="21">
        <v>10</v>
      </c>
      <c r="E1870" s="2">
        <f t="shared" si="388"/>
        <v>36</v>
      </c>
      <c r="F1870" s="2">
        <v>10</v>
      </c>
      <c r="G1870" s="3" t="s">
        <v>22</v>
      </c>
      <c r="H1870" s="2">
        <v>25</v>
      </c>
      <c r="I1870" s="117">
        <v>482100</v>
      </c>
      <c r="J1870" s="112" t="s">
        <v>84</v>
      </c>
      <c r="K1870" s="2" t="s">
        <v>2252</v>
      </c>
      <c r="L1870" s="2">
        <v>0</v>
      </c>
      <c r="M1870" s="2" t="s">
        <v>84</v>
      </c>
      <c r="N1870" s="2" t="s">
        <v>84</v>
      </c>
      <c r="O1870" s="2" t="s">
        <v>841</v>
      </c>
      <c r="P1870" s="59" t="s">
        <v>1783</v>
      </c>
    </row>
    <row r="1871" spans="1:16" ht="22" customHeight="1" x14ac:dyDescent="0.15">
      <c r="A1871" s="10" t="str">
        <f t="shared" si="387"/>
        <v>482_10_37_10_polygon</v>
      </c>
      <c r="B1871" s="2">
        <v>482</v>
      </c>
      <c r="C1871" s="30" t="str">
        <f>VLOOKUP(B1871,gachas!A:C,3)</f>
        <v>★6解放記念ガチャ</v>
      </c>
      <c r="D1871" s="21">
        <v>10</v>
      </c>
      <c r="E1871" s="2">
        <f t="shared" si="388"/>
        <v>37</v>
      </c>
      <c r="F1871" s="2">
        <v>10</v>
      </c>
      <c r="G1871" s="3" t="s">
        <v>22</v>
      </c>
      <c r="H1871" s="2">
        <v>50</v>
      </c>
      <c r="I1871" s="117">
        <v>482100</v>
      </c>
      <c r="J1871" s="112" t="s">
        <v>84</v>
      </c>
      <c r="K1871" s="2" t="s">
        <v>2252</v>
      </c>
      <c r="L1871" s="2">
        <v>0</v>
      </c>
      <c r="M1871" s="2" t="s">
        <v>84</v>
      </c>
      <c r="N1871" s="2" t="s">
        <v>84</v>
      </c>
      <c r="O1871" s="2" t="s">
        <v>841</v>
      </c>
      <c r="P1871" s="2" t="s">
        <v>143</v>
      </c>
    </row>
    <row r="1872" spans="1:16" ht="22" customHeight="1" x14ac:dyDescent="0.15">
      <c r="A1872" s="10" t="str">
        <f t="shared" si="387"/>
        <v>482_10_38_10_polygon</v>
      </c>
      <c r="B1872" s="2">
        <v>482</v>
      </c>
      <c r="C1872" s="30" t="str">
        <f>VLOOKUP(B1872,gachas!A:C,3)</f>
        <v>★6解放記念ガチャ</v>
      </c>
      <c r="D1872" s="21">
        <v>10</v>
      </c>
      <c r="E1872" s="2">
        <f t="shared" si="388"/>
        <v>38</v>
      </c>
      <c r="F1872" s="2">
        <v>10</v>
      </c>
      <c r="G1872" s="3" t="s">
        <v>22</v>
      </c>
      <c r="H1872" s="2">
        <v>50</v>
      </c>
      <c r="I1872" s="117">
        <v>482100</v>
      </c>
      <c r="J1872" s="112" t="s">
        <v>84</v>
      </c>
      <c r="K1872" s="2" t="s">
        <v>2252</v>
      </c>
      <c r="L1872" s="2">
        <v>0</v>
      </c>
      <c r="M1872" s="2" t="s">
        <v>84</v>
      </c>
      <c r="N1872" s="2" t="s">
        <v>84</v>
      </c>
      <c r="O1872" s="2" t="s">
        <v>841</v>
      </c>
      <c r="P1872" s="2" t="s">
        <v>143</v>
      </c>
    </row>
    <row r="1873" spans="1:16" ht="22" customHeight="1" x14ac:dyDescent="0.15">
      <c r="A1873" s="10" t="str">
        <f t="shared" si="387"/>
        <v>482_10_39_10_polygon</v>
      </c>
      <c r="B1873" s="2">
        <v>482</v>
      </c>
      <c r="C1873" s="30" t="str">
        <f>VLOOKUP(B1873,gachas!A:C,3)</f>
        <v>★6解放記念ガチャ</v>
      </c>
      <c r="D1873" s="21">
        <v>10</v>
      </c>
      <c r="E1873" s="2">
        <f t="shared" si="388"/>
        <v>39</v>
      </c>
      <c r="F1873" s="2">
        <v>10</v>
      </c>
      <c r="G1873" s="3" t="s">
        <v>22</v>
      </c>
      <c r="H1873" s="2">
        <v>50</v>
      </c>
      <c r="I1873" s="117">
        <v>482100</v>
      </c>
      <c r="J1873" s="112" t="s">
        <v>84</v>
      </c>
      <c r="K1873" s="2" t="s">
        <v>2252</v>
      </c>
      <c r="L1873" s="2">
        <v>0</v>
      </c>
      <c r="M1873" s="2" t="s">
        <v>84</v>
      </c>
      <c r="N1873" s="2" t="s">
        <v>84</v>
      </c>
      <c r="O1873" s="2" t="s">
        <v>841</v>
      </c>
      <c r="P1873" s="2" t="s">
        <v>143</v>
      </c>
    </row>
    <row r="1874" spans="1:16" ht="22" customHeight="1" x14ac:dyDescent="0.15">
      <c r="A1874" s="10" t="str">
        <f t="shared" si="387"/>
        <v>482_10_40_10_polygon</v>
      </c>
      <c r="B1874" s="2">
        <v>482</v>
      </c>
      <c r="C1874" s="30" t="str">
        <f>VLOOKUP(B1874,gachas!A:C,3)</f>
        <v>★6解放記念ガチャ</v>
      </c>
      <c r="D1874" s="21">
        <v>10</v>
      </c>
      <c r="E1874" s="2">
        <f t="shared" si="388"/>
        <v>40</v>
      </c>
      <c r="F1874" s="2">
        <v>10</v>
      </c>
      <c r="G1874" s="3" t="s">
        <v>22</v>
      </c>
      <c r="H1874" s="2">
        <v>50</v>
      </c>
      <c r="I1874" s="117">
        <v>482100</v>
      </c>
      <c r="J1874" s="112" t="s">
        <v>84</v>
      </c>
      <c r="K1874" s="2">
        <v>482105</v>
      </c>
      <c r="L1874" s="2">
        <v>1</v>
      </c>
      <c r="M1874" s="2" t="s">
        <v>84</v>
      </c>
      <c r="N1874" s="2" t="s">
        <v>84</v>
      </c>
      <c r="O1874" s="2" t="s">
        <v>841</v>
      </c>
      <c r="P1874" s="2" t="s">
        <v>1781</v>
      </c>
    </row>
    <row r="1875" spans="1:16" ht="22" customHeight="1" x14ac:dyDescent="0.15">
      <c r="A1875" s="10" t="str">
        <f t="shared" si="387"/>
        <v>482_10_41_10_polygon</v>
      </c>
      <c r="B1875" s="2">
        <v>482</v>
      </c>
      <c r="C1875" s="30" t="str">
        <f>VLOOKUP(B1875,gachas!A:C,3)</f>
        <v>★6解放記念ガチャ</v>
      </c>
      <c r="D1875" s="21">
        <v>10</v>
      </c>
      <c r="E1875" s="2">
        <f t="shared" si="388"/>
        <v>41</v>
      </c>
      <c r="F1875" s="2">
        <v>10</v>
      </c>
      <c r="G1875" s="3" t="s">
        <v>22</v>
      </c>
      <c r="H1875" s="2">
        <v>25</v>
      </c>
      <c r="I1875" s="117">
        <v>482100</v>
      </c>
      <c r="J1875" s="112" t="s">
        <v>84</v>
      </c>
      <c r="K1875" s="2" t="s">
        <v>2252</v>
      </c>
      <c r="L1875" s="2">
        <v>0</v>
      </c>
      <c r="M1875" s="2" t="s">
        <v>84</v>
      </c>
      <c r="N1875" s="2" t="s">
        <v>84</v>
      </c>
      <c r="O1875" s="2" t="s">
        <v>841</v>
      </c>
      <c r="P1875" s="59" t="s">
        <v>1783</v>
      </c>
    </row>
    <row r="1876" spans="1:16" ht="22" customHeight="1" x14ac:dyDescent="0.15">
      <c r="A1876" s="10" t="str">
        <f t="shared" si="387"/>
        <v>482_10_42_10_polygon</v>
      </c>
      <c r="B1876" s="2">
        <v>482</v>
      </c>
      <c r="C1876" s="30" t="str">
        <f>VLOOKUP(B1876,gachas!A:C,3)</f>
        <v>★6解放記念ガチャ</v>
      </c>
      <c r="D1876" s="21">
        <v>10</v>
      </c>
      <c r="E1876" s="2">
        <f t="shared" si="388"/>
        <v>42</v>
      </c>
      <c r="F1876" s="2">
        <v>10</v>
      </c>
      <c r="G1876" s="3" t="s">
        <v>22</v>
      </c>
      <c r="H1876" s="2">
        <v>50</v>
      </c>
      <c r="I1876" s="117">
        <v>482100</v>
      </c>
      <c r="J1876" s="112" t="s">
        <v>84</v>
      </c>
      <c r="K1876" s="2" t="s">
        <v>2252</v>
      </c>
      <c r="L1876" s="2">
        <v>0</v>
      </c>
      <c r="M1876" s="2" t="s">
        <v>84</v>
      </c>
      <c r="N1876" s="2" t="s">
        <v>84</v>
      </c>
      <c r="O1876" s="2" t="s">
        <v>841</v>
      </c>
      <c r="P1876" s="2" t="s">
        <v>143</v>
      </c>
    </row>
    <row r="1877" spans="1:16" ht="22" customHeight="1" x14ac:dyDescent="0.15">
      <c r="A1877" s="10" t="str">
        <f t="shared" si="387"/>
        <v>482_10_43_10_polygon</v>
      </c>
      <c r="B1877" s="2">
        <v>482</v>
      </c>
      <c r="C1877" s="30" t="str">
        <f>VLOOKUP(B1877,gachas!A:C,3)</f>
        <v>★6解放記念ガチャ</v>
      </c>
      <c r="D1877" s="21">
        <v>10</v>
      </c>
      <c r="E1877" s="2">
        <f t="shared" si="388"/>
        <v>43</v>
      </c>
      <c r="F1877" s="2">
        <v>10</v>
      </c>
      <c r="G1877" s="3" t="s">
        <v>22</v>
      </c>
      <c r="H1877" s="2">
        <v>50</v>
      </c>
      <c r="I1877" s="117">
        <v>482100</v>
      </c>
      <c r="J1877" s="112" t="s">
        <v>84</v>
      </c>
      <c r="K1877" s="2" t="s">
        <v>2252</v>
      </c>
      <c r="L1877" s="2">
        <v>0</v>
      </c>
      <c r="M1877" s="2" t="s">
        <v>84</v>
      </c>
      <c r="N1877" s="2" t="s">
        <v>84</v>
      </c>
      <c r="O1877" s="2" t="s">
        <v>841</v>
      </c>
      <c r="P1877" s="2" t="s">
        <v>143</v>
      </c>
    </row>
    <row r="1878" spans="1:16" ht="22" customHeight="1" x14ac:dyDescent="0.15">
      <c r="A1878" s="10" t="str">
        <f t="shared" si="387"/>
        <v>482_10_44_10_polygon</v>
      </c>
      <c r="B1878" s="2">
        <v>482</v>
      </c>
      <c r="C1878" s="30" t="str">
        <f>VLOOKUP(B1878,gachas!A:C,3)</f>
        <v>★6解放記念ガチャ</v>
      </c>
      <c r="D1878" s="21">
        <v>10</v>
      </c>
      <c r="E1878" s="2">
        <f t="shared" si="388"/>
        <v>44</v>
      </c>
      <c r="F1878" s="2">
        <v>10</v>
      </c>
      <c r="G1878" s="3" t="s">
        <v>22</v>
      </c>
      <c r="H1878" s="2">
        <v>50</v>
      </c>
      <c r="I1878" s="117">
        <v>482100</v>
      </c>
      <c r="J1878" s="112" t="s">
        <v>84</v>
      </c>
      <c r="K1878" s="2" t="s">
        <v>2252</v>
      </c>
      <c r="L1878" s="2">
        <v>0</v>
      </c>
      <c r="M1878" s="2" t="s">
        <v>84</v>
      </c>
      <c r="N1878" s="2" t="s">
        <v>84</v>
      </c>
      <c r="O1878" s="2" t="s">
        <v>841</v>
      </c>
      <c r="P1878" s="2" t="s">
        <v>143</v>
      </c>
    </row>
    <row r="1879" spans="1:16" ht="22" customHeight="1" x14ac:dyDescent="0.15">
      <c r="A1879" s="10" t="str">
        <f t="shared" si="387"/>
        <v>482_10_45_10_polygon</v>
      </c>
      <c r="B1879" s="2">
        <v>482</v>
      </c>
      <c r="C1879" s="30" t="str">
        <f>VLOOKUP(B1879,gachas!A:C,3)</f>
        <v>★6解放記念ガチャ</v>
      </c>
      <c r="D1879" s="21">
        <v>10</v>
      </c>
      <c r="E1879" s="2">
        <f t="shared" si="388"/>
        <v>45</v>
      </c>
      <c r="F1879" s="2">
        <v>10</v>
      </c>
      <c r="G1879" s="3" t="s">
        <v>22</v>
      </c>
      <c r="H1879" s="2">
        <v>50</v>
      </c>
      <c r="I1879" s="117">
        <v>482100</v>
      </c>
      <c r="J1879" s="112" t="s">
        <v>84</v>
      </c>
      <c r="K1879" s="2">
        <v>482105</v>
      </c>
      <c r="L1879" s="2">
        <v>1</v>
      </c>
      <c r="M1879" s="2" t="s">
        <v>84</v>
      </c>
      <c r="N1879" s="2" t="s">
        <v>84</v>
      </c>
      <c r="O1879" s="2" t="s">
        <v>841</v>
      </c>
      <c r="P1879" s="2" t="s">
        <v>1781</v>
      </c>
    </row>
    <row r="1880" spans="1:16" ht="22" customHeight="1" x14ac:dyDescent="0.15">
      <c r="A1880" s="10" t="str">
        <f t="shared" si="387"/>
        <v>482_10_46_10_polygon</v>
      </c>
      <c r="B1880" s="2">
        <v>482</v>
      </c>
      <c r="C1880" s="30" t="str">
        <f>VLOOKUP(B1880,gachas!A:C,3)</f>
        <v>★6解放記念ガチャ</v>
      </c>
      <c r="D1880" s="21">
        <v>10</v>
      </c>
      <c r="E1880" s="2">
        <f t="shared" si="388"/>
        <v>46</v>
      </c>
      <c r="F1880" s="2">
        <v>10</v>
      </c>
      <c r="G1880" s="3" t="s">
        <v>22</v>
      </c>
      <c r="H1880" s="2">
        <v>25</v>
      </c>
      <c r="I1880" s="117">
        <v>482100</v>
      </c>
      <c r="J1880" s="112" t="s">
        <v>84</v>
      </c>
      <c r="K1880" s="2" t="s">
        <v>2252</v>
      </c>
      <c r="L1880" s="2">
        <v>0</v>
      </c>
      <c r="M1880" s="2" t="s">
        <v>84</v>
      </c>
      <c r="N1880" s="2" t="s">
        <v>84</v>
      </c>
      <c r="O1880" s="2" t="s">
        <v>841</v>
      </c>
      <c r="P1880" s="59" t="s">
        <v>1783</v>
      </c>
    </row>
    <row r="1881" spans="1:16" ht="22" customHeight="1" x14ac:dyDescent="0.15">
      <c r="A1881" s="10" t="str">
        <f t="shared" si="387"/>
        <v>482_10_47_10_polygon</v>
      </c>
      <c r="B1881" s="2">
        <v>482</v>
      </c>
      <c r="C1881" s="30" t="str">
        <f>VLOOKUP(B1881,gachas!A:C,3)</f>
        <v>★6解放記念ガチャ</v>
      </c>
      <c r="D1881" s="21">
        <v>10</v>
      </c>
      <c r="E1881" s="2">
        <f t="shared" si="388"/>
        <v>47</v>
      </c>
      <c r="F1881" s="2">
        <v>10</v>
      </c>
      <c r="G1881" s="3" t="s">
        <v>22</v>
      </c>
      <c r="H1881" s="2">
        <v>50</v>
      </c>
      <c r="I1881" s="117">
        <v>482100</v>
      </c>
      <c r="J1881" s="112" t="s">
        <v>84</v>
      </c>
      <c r="K1881" s="2" t="s">
        <v>2252</v>
      </c>
      <c r="L1881" s="2">
        <v>0</v>
      </c>
      <c r="M1881" s="2" t="s">
        <v>84</v>
      </c>
      <c r="N1881" s="2" t="s">
        <v>84</v>
      </c>
      <c r="O1881" s="2" t="s">
        <v>841</v>
      </c>
      <c r="P1881" s="2" t="s">
        <v>143</v>
      </c>
    </row>
    <row r="1882" spans="1:16" ht="22" customHeight="1" x14ac:dyDescent="0.15">
      <c r="A1882" s="10" t="str">
        <f t="shared" si="387"/>
        <v>482_10_48_10_polygon</v>
      </c>
      <c r="B1882" s="2">
        <v>482</v>
      </c>
      <c r="C1882" s="30" t="str">
        <f>VLOOKUP(B1882,gachas!A:C,3)</f>
        <v>★6解放記念ガチャ</v>
      </c>
      <c r="D1882" s="21">
        <v>10</v>
      </c>
      <c r="E1882" s="2">
        <f t="shared" si="388"/>
        <v>48</v>
      </c>
      <c r="F1882" s="2">
        <v>10</v>
      </c>
      <c r="G1882" s="3" t="s">
        <v>22</v>
      </c>
      <c r="H1882" s="2">
        <v>50</v>
      </c>
      <c r="I1882" s="117">
        <v>482100</v>
      </c>
      <c r="J1882" s="112" t="s">
        <v>84</v>
      </c>
      <c r="K1882" s="2" t="s">
        <v>2252</v>
      </c>
      <c r="L1882" s="2">
        <v>0</v>
      </c>
      <c r="M1882" s="2" t="s">
        <v>84</v>
      </c>
      <c r="N1882" s="2" t="s">
        <v>84</v>
      </c>
      <c r="O1882" s="2" t="s">
        <v>841</v>
      </c>
      <c r="P1882" s="2" t="s">
        <v>143</v>
      </c>
    </row>
    <row r="1883" spans="1:16" ht="22" customHeight="1" x14ac:dyDescent="0.15">
      <c r="A1883" s="10" t="str">
        <f t="shared" si="387"/>
        <v>482_10_49_10_polygon</v>
      </c>
      <c r="B1883" s="2">
        <v>482</v>
      </c>
      <c r="C1883" s="30" t="str">
        <f>VLOOKUP(B1883,gachas!A:C,3)</f>
        <v>★6解放記念ガチャ</v>
      </c>
      <c r="D1883" s="21">
        <v>10</v>
      </c>
      <c r="E1883" s="2">
        <f t="shared" si="388"/>
        <v>49</v>
      </c>
      <c r="F1883" s="2">
        <v>10</v>
      </c>
      <c r="G1883" s="3" t="s">
        <v>22</v>
      </c>
      <c r="H1883" s="2">
        <v>50</v>
      </c>
      <c r="I1883" s="117">
        <v>482100</v>
      </c>
      <c r="J1883" s="112" t="s">
        <v>84</v>
      </c>
      <c r="K1883" s="2" t="s">
        <v>2252</v>
      </c>
      <c r="L1883" s="2">
        <v>0</v>
      </c>
      <c r="M1883" s="2" t="s">
        <v>84</v>
      </c>
      <c r="N1883" s="2" t="s">
        <v>84</v>
      </c>
      <c r="O1883" s="2" t="s">
        <v>841</v>
      </c>
      <c r="P1883" s="2" t="s">
        <v>143</v>
      </c>
    </row>
    <row r="1884" spans="1:16" ht="22" customHeight="1" x14ac:dyDescent="0.15">
      <c r="A1884" s="10" t="str">
        <f t="shared" si="387"/>
        <v>482_10_50_10_polygon</v>
      </c>
      <c r="B1884" s="2">
        <v>482</v>
      </c>
      <c r="C1884" s="30" t="str">
        <f>VLOOKUP(B1884,gachas!A:C,3)</f>
        <v>★6解放記念ガチャ</v>
      </c>
      <c r="D1884" s="21">
        <v>10</v>
      </c>
      <c r="E1884" s="2">
        <f t="shared" si="388"/>
        <v>50</v>
      </c>
      <c r="F1884" s="2">
        <v>10</v>
      </c>
      <c r="G1884" s="3" t="s">
        <v>22</v>
      </c>
      <c r="H1884" s="2">
        <v>50</v>
      </c>
      <c r="I1884" s="117">
        <v>482100</v>
      </c>
      <c r="J1884" s="112" t="s">
        <v>84</v>
      </c>
      <c r="K1884" s="2">
        <v>482105</v>
      </c>
      <c r="L1884" s="2">
        <v>1</v>
      </c>
      <c r="M1884" s="2" t="s">
        <v>84</v>
      </c>
      <c r="N1884" s="2" t="s">
        <v>84</v>
      </c>
      <c r="O1884" s="2" t="s">
        <v>841</v>
      </c>
      <c r="P1884" s="2" t="s">
        <v>1781</v>
      </c>
    </row>
    <row r="1885" spans="1:16" ht="22" customHeight="1" x14ac:dyDescent="0.15">
      <c r="A1885" s="10" t="str">
        <f t="shared" si="387"/>
        <v>483_10_1_1_polygon</v>
      </c>
      <c r="B1885" s="2">
        <v>483</v>
      </c>
      <c r="C1885" s="30" t="str">
        <f>VLOOKUP(B1885,gachas!A:C,3)</f>
        <v>確定ステップアップガチャ</v>
      </c>
      <c r="D1885" s="21">
        <v>10</v>
      </c>
      <c r="E1885" s="2">
        <v>1</v>
      </c>
      <c r="F1885" s="2">
        <v>1</v>
      </c>
      <c r="G1885" s="3" t="s">
        <v>22</v>
      </c>
      <c r="H1885" s="2">
        <v>3</v>
      </c>
      <c r="I1885" s="112">
        <v>483101</v>
      </c>
      <c r="J1885" s="112" t="s">
        <v>84</v>
      </c>
      <c r="K1885" s="112" t="s">
        <v>84</v>
      </c>
      <c r="L1885" s="2">
        <v>0</v>
      </c>
      <c r="M1885" s="2" t="s">
        <v>84</v>
      </c>
      <c r="N1885" s="2" t="s">
        <v>84</v>
      </c>
      <c r="O1885" s="2" t="s">
        <v>841</v>
      </c>
      <c r="P1885" s="2" t="s">
        <v>1920</v>
      </c>
    </row>
    <row r="1886" spans="1:16" ht="22" customHeight="1" x14ac:dyDescent="0.15">
      <c r="A1886" s="10" t="str">
        <f t="shared" ref="A1886:A1935" si="389">B1886&amp;"_"&amp;D1886&amp;"_"&amp;E1886&amp;"_"&amp;F1886&amp;"_"&amp;G1886</f>
        <v>483_10_2_3_polygon</v>
      </c>
      <c r="B1886" s="2">
        <v>483</v>
      </c>
      <c r="C1886" s="30" t="str">
        <f>VLOOKUP(B1886,gachas!A:C,3)</f>
        <v>確定ステップアップガチャ</v>
      </c>
      <c r="D1886" s="21">
        <v>10</v>
      </c>
      <c r="E1886" s="2">
        <v>2</v>
      </c>
      <c r="F1886" s="2">
        <v>3</v>
      </c>
      <c r="G1886" s="3" t="s">
        <v>22</v>
      </c>
      <c r="H1886" s="2">
        <v>9</v>
      </c>
      <c r="I1886" s="112">
        <v>483101</v>
      </c>
      <c r="J1886" s="112">
        <v>483102</v>
      </c>
      <c r="K1886" s="112" t="s">
        <v>84</v>
      </c>
      <c r="L1886" s="2">
        <v>0</v>
      </c>
      <c r="M1886" s="2" t="s">
        <v>84</v>
      </c>
      <c r="N1886" s="2" t="s">
        <v>84</v>
      </c>
      <c r="O1886" s="2" t="s">
        <v>841</v>
      </c>
      <c r="P1886" s="2" t="s">
        <v>1921</v>
      </c>
    </row>
    <row r="1887" spans="1:16" ht="22" customHeight="1" x14ac:dyDescent="0.15">
      <c r="A1887" s="10" t="str">
        <f t="shared" si="389"/>
        <v>483_10_3_5_polygon</v>
      </c>
      <c r="B1887" s="2">
        <v>483</v>
      </c>
      <c r="C1887" s="30" t="str">
        <f>VLOOKUP(B1887,gachas!A:C,3)</f>
        <v>確定ステップアップガチャ</v>
      </c>
      <c r="D1887" s="21">
        <v>10</v>
      </c>
      <c r="E1887" s="2">
        <v>3</v>
      </c>
      <c r="F1887" s="2">
        <v>5</v>
      </c>
      <c r="G1887" s="3" t="s">
        <v>22</v>
      </c>
      <c r="H1887" s="2">
        <v>15</v>
      </c>
      <c r="I1887" s="112">
        <v>483100</v>
      </c>
      <c r="J1887" s="112">
        <v>483103</v>
      </c>
      <c r="K1887" s="112" t="s">
        <v>84</v>
      </c>
      <c r="L1887" s="2">
        <v>0</v>
      </c>
      <c r="M1887" s="2" t="s">
        <v>84</v>
      </c>
      <c r="N1887" s="2" t="s">
        <v>84</v>
      </c>
      <c r="O1887" s="2" t="s">
        <v>841</v>
      </c>
      <c r="P1887" s="2" t="s">
        <v>1922</v>
      </c>
    </row>
    <row r="1888" spans="1:16" ht="22" customHeight="1" x14ac:dyDescent="0.15">
      <c r="A1888" s="10" t="str">
        <f t="shared" si="389"/>
        <v>483_10_4_10_polygon</v>
      </c>
      <c r="B1888" s="2">
        <v>483</v>
      </c>
      <c r="C1888" s="30" t="str">
        <f>VLOOKUP(B1888,gachas!A:C,3)</f>
        <v>確定ステップアップガチャ</v>
      </c>
      <c r="D1888" s="21">
        <v>10</v>
      </c>
      <c r="E1888" s="2">
        <v>4</v>
      </c>
      <c r="F1888" s="2">
        <v>10</v>
      </c>
      <c r="G1888" s="3" t="s">
        <v>22</v>
      </c>
      <c r="H1888" s="2">
        <v>35</v>
      </c>
      <c r="I1888" s="112">
        <v>483100</v>
      </c>
      <c r="J1888" s="112">
        <v>483104</v>
      </c>
      <c r="K1888" s="112" t="s">
        <v>84</v>
      </c>
      <c r="L1888" s="2">
        <v>0</v>
      </c>
      <c r="M1888" s="2" t="s">
        <v>84</v>
      </c>
      <c r="N1888" s="2" t="s">
        <v>84</v>
      </c>
      <c r="O1888" s="2" t="s">
        <v>841</v>
      </c>
      <c r="P1888" s="2" t="s">
        <v>1923</v>
      </c>
    </row>
    <row r="1889" spans="1:16" ht="22" customHeight="1" x14ac:dyDescent="0.15">
      <c r="A1889" s="10" t="str">
        <f t="shared" si="389"/>
        <v>483_10_5_10_polygon</v>
      </c>
      <c r="B1889" s="2">
        <v>483</v>
      </c>
      <c r="C1889" s="30" t="str">
        <f>VLOOKUP(B1889,gachas!A:C,3)</f>
        <v>確定ステップアップガチャ</v>
      </c>
      <c r="D1889" s="21">
        <v>10</v>
      </c>
      <c r="E1889" s="2">
        <v>5</v>
      </c>
      <c r="F1889" s="2">
        <v>10</v>
      </c>
      <c r="G1889" s="3" t="s">
        <v>22</v>
      </c>
      <c r="H1889" s="2">
        <v>50</v>
      </c>
      <c r="I1889" s="112">
        <v>483100</v>
      </c>
      <c r="J1889" s="112" t="s">
        <v>84</v>
      </c>
      <c r="K1889" s="112">
        <v>483105</v>
      </c>
      <c r="L1889" s="2">
        <v>1</v>
      </c>
      <c r="M1889" s="2" t="s">
        <v>84</v>
      </c>
      <c r="N1889" s="2" t="s">
        <v>84</v>
      </c>
      <c r="O1889" s="2" t="s">
        <v>841</v>
      </c>
      <c r="P1889" s="2" t="s">
        <v>1924</v>
      </c>
    </row>
    <row r="1890" spans="1:16" ht="22" customHeight="1" x14ac:dyDescent="0.15">
      <c r="A1890" s="10" t="str">
        <f t="shared" si="389"/>
        <v>483_10_6_1_polygon</v>
      </c>
      <c r="B1890" s="2">
        <v>483</v>
      </c>
      <c r="C1890" s="30" t="str">
        <f>VLOOKUP(B1890,gachas!A:C,3)</f>
        <v>確定ステップアップガチャ</v>
      </c>
      <c r="D1890" s="21">
        <v>10</v>
      </c>
      <c r="E1890" s="2">
        <v>6</v>
      </c>
      <c r="F1890" s="2">
        <v>1</v>
      </c>
      <c r="G1890" s="3" t="s">
        <v>22</v>
      </c>
      <c r="H1890" s="2">
        <v>3</v>
      </c>
      <c r="I1890" s="112">
        <v>483101</v>
      </c>
      <c r="J1890" s="112" t="s">
        <v>84</v>
      </c>
      <c r="K1890" s="112" t="s">
        <v>84</v>
      </c>
      <c r="L1890" s="2">
        <v>0</v>
      </c>
      <c r="M1890" s="2" t="s">
        <v>84</v>
      </c>
      <c r="N1890" s="2" t="s">
        <v>84</v>
      </c>
      <c r="O1890" s="2" t="s">
        <v>841</v>
      </c>
      <c r="P1890" s="2" t="s">
        <v>1920</v>
      </c>
    </row>
    <row r="1891" spans="1:16" ht="22" customHeight="1" x14ac:dyDescent="0.15">
      <c r="A1891" s="10" t="str">
        <f t="shared" si="389"/>
        <v>483_10_7_3_polygon</v>
      </c>
      <c r="B1891" s="2">
        <v>483</v>
      </c>
      <c r="C1891" s="30" t="str">
        <f>VLOOKUP(B1891,gachas!A:C,3)</f>
        <v>確定ステップアップガチャ</v>
      </c>
      <c r="D1891" s="21">
        <v>10</v>
      </c>
      <c r="E1891" s="2">
        <v>7</v>
      </c>
      <c r="F1891" s="2">
        <v>3</v>
      </c>
      <c r="G1891" s="3" t="s">
        <v>22</v>
      </c>
      <c r="H1891" s="2">
        <v>9</v>
      </c>
      <c r="I1891" s="112">
        <v>483101</v>
      </c>
      <c r="J1891" s="112">
        <v>483102</v>
      </c>
      <c r="K1891" s="112" t="s">
        <v>84</v>
      </c>
      <c r="L1891" s="2">
        <v>0</v>
      </c>
      <c r="M1891" s="2" t="s">
        <v>84</v>
      </c>
      <c r="N1891" s="2" t="s">
        <v>84</v>
      </c>
      <c r="O1891" s="2" t="s">
        <v>841</v>
      </c>
      <c r="P1891" s="2" t="s">
        <v>1921</v>
      </c>
    </row>
    <row r="1892" spans="1:16" ht="22" customHeight="1" x14ac:dyDescent="0.15">
      <c r="A1892" s="10" t="str">
        <f t="shared" si="389"/>
        <v>483_10_8_5_polygon</v>
      </c>
      <c r="B1892" s="2">
        <v>483</v>
      </c>
      <c r="C1892" s="30" t="str">
        <f>VLOOKUP(B1892,gachas!A:C,3)</f>
        <v>確定ステップアップガチャ</v>
      </c>
      <c r="D1892" s="21">
        <v>10</v>
      </c>
      <c r="E1892" s="2">
        <v>8</v>
      </c>
      <c r="F1892" s="2">
        <v>5</v>
      </c>
      <c r="G1892" s="3" t="s">
        <v>22</v>
      </c>
      <c r="H1892" s="2">
        <v>15</v>
      </c>
      <c r="I1892" s="112">
        <v>483100</v>
      </c>
      <c r="J1892" s="112">
        <v>483103</v>
      </c>
      <c r="K1892" s="112" t="s">
        <v>84</v>
      </c>
      <c r="L1892" s="2">
        <v>0</v>
      </c>
      <c r="M1892" s="2" t="s">
        <v>84</v>
      </c>
      <c r="N1892" s="2" t="s">
        <v>84</v>
      </c>
      <c r="O1892" s="2" t="s">
        <v>841</v>
      </c>
      <c r="P1892" s="2" t="s">
        <v>1922</v>
      </c>
    </row>
    <row r="1893" spans="1:16" ht="22" customHeight="1" x14ac:dyDescent="0.15">
      <c r="A1893" s="10" t="str">
        <f t="shared" si="389"/>
        <v>483_10_9_10_polygon</v>
      </c>
      <c r="B1893" s="2">
        <v>483</v>
      </c>
      <c r="C1893" s="30" t="str">
        <f>VLOOKUP(B1893,gachas!A:C,3)</f>
        <v>確定ステップアップガチャ</v>
      </c>
      <c r="D1893" s="21">
        <v>10</v>
      </c>
      <c r="E1893" s="2">
        <v>9</v>
      </c>
      <c r="F1893" s="2">
        <v>10</v>
      </c>
      <c r="G1893" s="3" t="s">
        <v>22</v>
      </c>
      <c r="H1893" s="2">
        <v>35</v>
      </c>
      <c r="I1893" s="112">
        <v>483100</v>
      </c>
      <c r="J1893" s="112">
        <v>483104</v>
      </c>
      <c r="K1893" s="112" t="s">
        <v>84</v>
      </c>
      <c r="L1893" s="2">
        <v>0</v>
      </c>
      <c r="M1893" s="2" t="s">
        <v>84</v>
      </c>
      <c r="N1893" s="2" t="s">
        <v>84</v>
      </c>
      <c r="O1893" s="2" t="s">
        <v>841</v>
      </c>
      <c r="P1893" s="2" t="s">
        <v>1923</v>
      </c>
    </row>
    <row r="1894" spans="1:16" ht="22" customHeight="1" x14ac:dyDescent="0.15">
      <c r="A1894" s="10" t="str">
        <f t="shared" si="389"/>
        <v>483_10_10_10_polygon</v>
      </c>
      <c r="B1894" s="2">
        <v>483</v>
      </c>
      <c r="C1894" s="30" t="str">
        <f>VLOOKUP(B1894,gachas!A:C,3)</f>
        <v>確定ステップアップガチャ</v>
      </c>
      <c r="D1894" s="21">
        <v>10</v>
      </c>
      <c r="E1894" s="2">
        <v>10</v>
      </c>
      <c r="F1894" s="2">
        <v>10</v>
      </c>
      <c r="G1894" s="3" t="s">
        <v>22</v>
      </c>
      <c r="H1894" s="2">
        <v>50</v>
      </c>
      <c r="I1894" s="112">
        <v>483100</v>
      </c>
      <c r="J1894" s="112" t="s">
        <v>84</v>
      </c>
      <c r="K1894" s="112">
        <v>483105</v>
      </c>
      <c r="L1894" s="2">
        <v>1</v>
      </c>
      <c r="M1894" s="2" t="s">
        <v>84</v>
      </c>
      <c r="N1894" s="2" t="s">
        <v>84</v>
      </c>
      <c r="O1894" s="2" t="s">
        <v>841</v>
      </c>
      <c r="P1894" s="2" t="s">
        <v>1924</v>
      </c>
    </row>
    <row r="1895" spans="1:16" ht="22" customHeight="1" x14ac:dyDescent="0.15">
      <c r="A1895" s="10" t="str">
        <f t="shared" si="389"/>
        <v>483_10_11_1_polygon</v>
      </c>
      <c r="B1895" s="2">
        <v>483</v>
      </c>
      <c r="C1895" s="30" t="str">
        <f>VLOOKUP(B1895,gachas!A:C,3)</f>
        <v>確定ステップアップガチャ</v>
      </c>
      <c r="D1895" s="21">
        <v>10</v>
      </c>
      <c r="E1895" s="2">
        <v>11</v>
      </c>
      <c r="F1895" s="2">
        <v>1</v>
      </c>
      <c r="G1895" s="3" t="s">
        <v>22</v>
      </c>
      <c r="H1895" s="2">
        <v>3</v>
      </c>
      <c r="I1895" s="112">
        <v>483101</v>
      </c>
      <c r="J1895" s="112" t="s">
        <v>84</v>
      </c>
      <c r="K1895" s="112" t="s">
        <v>84</v>
      </c>
      <c r="L1895" s="2">
        <v>0</v>
      </c>
      <c r="M1895" s="2" t="s">
        <v>84</v>
      </c>
      <c r="N1895" s="2" t="s">
        <v>84</v>
      </c>
      <c r="O1895" s="2" t="s">
        <v>841</v>
      </c>
      <c r="P1895" s="2" t="s">
        <v>1920</v>
      </c>
    </row>
    <row r="1896" spans="1:16" ht="22" customHeight="1" x14ac:dyDescent="0.15">
      <c r="A1896" s="10" t="str">
        <f t="shared" si="389"/>
        <v>483_10_12_3_polygon</v>
      </c>
      <c r="B1896" s="2">
        <v>483</v>
      </c>
      <c r="C1896" s="30" t="str">
        <f>VLOOKUP(B1896,gachas!A:C,3)</f>
        <v>確定ステップアップガチャ</v>
      </c>
      <c r="D1896" s="21">
        <v>10</v>
      </c>
      <c r="E1896" s="2">
        <v>12</v>
      </c>
      <c r="F1896" s="2">
        <v>3</v>
      </c>
      <c r="G1896" s="3" t="s">
        <v>22</v>
      </c>
      <c r="H1896" s="2">
        <v>9</v>
      </c>
      <c r="I1896" s="112">
        <v>483101</v>
      </c>
      <c r="J1896" s="112">
        <v>483102</v>
      </c>
      <c r="K1896" s="112" t="s">
        <v>84</v>
      </c>
      <c r="L1896" s="2">
        <v>0</v>
      </c>
      <c r="M1896" s="2" t="s">
        <v>84</v>
      </c>
      <c r="N1896" s="2" t="s">
        <v>84</v>
      </c>
      <c r="O1896" s="2" t="s">
        <v>841</v>
      </c>
      <c r="P1896" s="2" t="s">
        <v>1921</v>
      </c>
    </row>
    <row r="1897" spans="1:16" ht="22" customHeight="1" x14ac:dyDescent="0.15">
      <c r="A1897" s="10" t="str">
        <f t="shared" si="389"/>
        <v>483_10_13_5_polygon</v>
      </c>
      <c r="B1897" s="2">
        <v>483</v>
      </c>
      <c r="C1897" s="30" t="str">
        <f>VLOOKUP(B1897,gachas!A:C,3)</f>
        <v>確定ステップアップガチャ</v>
      </c>
      <c r="D1897" s="21">
        <v>10</v>
      </c>
      <c r="E1897" s="2">
        <v>13</v>
      </c>
      <c r="F1897" s="2">
        <v>5</v>
      </c>
      <c r="G1897" s="3" t="s">
        <v>22</v>
      </c>
      <c r="H1897" s="2">
        <v>15</v>
      </c>
      <c r="I1897" s="112">
        <v>483100</v>
      </c>
      <c r="J1897" s="112">
        <v>483103</v>
      </c>
      <c r="K1897" s="112" t="s">
        <v>84</v>
      </c>
      <c r="L1897" s="2">
        <v>0</v>
      </c>
      <c r="M1897" s="2" t="s">
        <v>84</v>
      </c>
      <c r="N1897" s="2" t="s">
        <v>84</v>
      </c>
      <c r="O1897" s="2" t="s">
        <v>841</v>
      </c>
      <c r="P1897" s="2" t="s">
        <v>1922</v>
      </c>
    </row>
    <row r="1898" spans="1:16" ht="22" customHeight="1" x14ac:dyDescent="0.15">
      <c r="A1898" s="10" t="str">
        <f t="shared" si="389"/>
        <v>483_10_14_10_polygon</v>
      </c>
      <c r="B1898" s="2">
        <v>483</v>
      </c>
      <c r="C1898" s="30" t="str">
        <f>VLOOKUP(B1898,gachas!A:C,3)</f>
        <v>確定ステップアップガチャ</v>
      </c>
      <c r="D1898" s="21">
        <v>10</v>
      </c>
      <c r="E1898" s="2">
        <v>14</v>
      </c>
      <c r="F1898" s="2">
        <v>10</v>
      </c>
      <c r="G1898" s="3" t="s">
        <v>22</v>
      </c>
      <c r="H1898" s="2">
        <v>35</v>
      </c>
      <c r="I1898" s="112">
        <v>483100</v>
      </c>
      <c r="J1898" s="112">
        <v>483104</v>
      </c>
      <c r="K1898" s="112" t="s">
        <v>84</v>
      </c>
      <c r="L1898" s="2">
        <v>0</v>
      </c>
      <c r="M1898" s="2" t="s">
        <v>84</v>
      </c>
      <c r="N1898" s="2" t="s">
        <v>84</v>
      </c>
      <c r="O1898" s="2" t="s">
        <v>841</v>
      </c>
      <c r="P1898" s="2" t="s">
        <v>1923</v>
      </c>
    </row>
    <row r="1899" spans="1:16" ht="22" customHeight="1" x14ac:dyDescent="0.15">
      <c r="A1899" s="10" t="str">
        <f t="shared" si="389"/>
        <v>483_10_15_10_polygon</v>
      </c>
      <c r="B1899" s="2">
        <v>483</v>
      </c>
      <c r="C1899" s="30" t="str">
        <f>VLOOKUP(B1899,gachas!A:C,3)</f>
        <v>確定ステップアップガチャ</v>
      </c>
      <c r="D1899" s="21">
        <v>10</v>
      </c>
      <c r="E1899" s="2">
        <v>15</v>
      </c>
      <c r="F1899" s="2">
        <v>10</v>
      </c>
      <c r="G1899" s="3" t="s">
        <v>22</v>
      </c>
      <c r="H1899" s="2">
        <v>50</v>
      </c>
      <c r="I1899" s="112">
        <v>483100</v>
      </c>
      <c r="J1899" s="112" t="s">
        <v>84</v>
      </c>
      <c r="K1899" s="112">
        <v>483105</v>
      </c>
      <c r="L1899" s="2">
        <v>1</v>
      </c>
      <c r="M1899" s="2" t="s">
        <v>84</v>
      </c>
      <c r="N1899" s="2" t="s">
        <v>84</v>
      </c>
      <c r="O1899" s="2" t="s">
        <v>841</v>
      </c>
      <c r="P1899" s="2" t="s">
        <v>1924</v>
      </c>
    </row>
    <row r="1900" spans="1:16" ht="22" customHeight="1" x14ac:dyDescent="0.15">
      <c r="A1900" s="10" t="str">
        <f t="shared" si="389"/>
        <v>483_10_16_1_polygon</v>
      </c>
      <c r="B1900" s="2">
        <v>483</v>
      </c>
      <c r="C1900" s="30" t="str">
        <f>VLOOKUP(B1900,gachas!A:C,3)</f>
        <v>確定ステップアップガチャ</v>
      </c>
      <c r="D1900" s="21">
        <v>10</v>
      </c>
      <c r="E1900" s="2">
        <v>16</v>
      </c>
      <c r="F1900" s="2">
        <v>1</v>
      </c>
      <c r="G1900" s="3" t="s">
        <v>22</v>
      </c>
      <c r="H1900" s="2">
        <v>3</v>
      </c>
      <c r="I1900" s="112">
        <v>483101</v>
      </c>
      <c r="J1900" s="112" t="s">
        <v>84</v>
      </c>
      <c r="K1900" s="112" t="s">
        <v>84</v>
      </c>
      <c r="L1900" s="2">
        <v>0</v>
      </c>
      <c r="M1900" s="2" t="s">
        <v>84</v>
      </c>
      <c r="N1900" s="2" t="s">
        <v>84</v>
      </c>
      <c r="O1900" s="2" t="s">
        <v>841</v>
      </c>
      <c r="P1900" s="2" t="s">
        <v>1920</v>
      </c>
    </row>
    <row r="1901" spans="1:16" ht="22" customHeight="1" x14ac:dyDescent="0.15">
      <c r="A1901" s="10" t="str">
        <f t="shared" si="389"/>
        <v>483_10_17_3_polygon</v>
      </c>
      <c r="B1901" s="2">
        <v>483</v>
      </c>
      <c r="C1901" s="30" t="str">
        <f>VLOOKUP(B1901,gachas!A:C,3)</f>
        <v>確定ステップアップガチャ</v>
      </c>
      <c r="D1901" s="21">
        <v>10</v>
      </c>
      <c r="E1901" s="2">
        <v>17</v>
      </c>
      <c r="F1901" s="2">
        <v>3</v>
      </c>
      <c r="G1901" s="3" t="s">
        <v>22</v>
      </c>
      <c r="H1901" s="2">
        <v>9</v>
      </c>
      <c r="I1901" s="112">
        <v>483101</v>
      </c>
      <c r="J1901" s="112">
        <v>483102</v>
      </c>
      <c r="K1901" s="112" t="s">
        <v>84</v>
      </c>
      <c r="L1901" s="2">
        <v>0</v>
      </c>
      <c r="M1901" s="2" t="s">
        <v>84</v>
      </c>
      <c r="N1901" s="2" t="s">
        <v>84</v>
      </c>
      <c r="O1901" s="2" t="s">
        <v>841</v>
      </c>
      <c r="P1901" s="2" t="s">
        <v>1921</v>
      </c>
    </row>
    <row r="1902" spans="1:16" ht="22" customHeight="1" x14ac:dyDescent="0.15">
      <c r="A1902" s="10" t="str">
        <f t="shared" si="389"/>
        <v>483_10_18_5_polygon</v>
      </c>
      <c r="B1902" s="2">
        <v>483</v>
      </c>
      <c r="C1902" s="30" t="str">
        <f>VLOOKUP(B1902,gachas!A:C,3)</f>
        <v>確定ステップアップガチャ</v>
      </c>
      <c r="D1902" s="21">
        <v>10</v>
      </c>
      <c r="E1902" s="2">
        <v>18</v>
      </c>
      <c r="F1902" s="2">
        <v>5</v>
      </c>
      <c r="G1902" s="3" t="s">
        <v>22</v>
      </c>
      <c r="H1902" s="2">
        <v>15</v>
      </c>
      <c r="I1902" s="112">
        <v>483100</v>
      </c>
      <c r="J1902" s="112">
        <v>483103</v>
      </c>
      <c r="K1902" s="112" t="s">
        <v>84</v>
      </c>
      <c r="L1902" s="2">
        <v>0</v>
      </c>
      <c r="M1902" s="2" t="s">
        <v>84</v>
      </c>
      <c r="N1902" s="2" t="s">
        <v>84</v>
      </c>
      <c r="O1902" s="2" t="s">
        <v>841</v>
      </c>
      <c r="P1902" s="2" t="s">
        <v>1922</v>
      </c>
    </row>
    <row r="1903" spans="1:16" ht="22" customHeight="1" x14ac:dyDescent="0.15">
      <c r="A1903" s="10" t="str">
        <f t="shared" si="389"/>
        <v>483_10_19_10_polygon</v>
      </c>
      <c r="B1903" s="2">
        <v>483</v>
      </c>
      <c r="C1903" s="30" t="str">
        <f>VLOOKUP(B1903,gachas!A:C,3)</f>
        <v>確定ステップアップガチャ</v>
      </c>
      <c r="D1903" s="21">
        <v>10</v>
      </c>
      <c r="E1903" s="2">
        <v>19</v>
      </c>
      <c r="F1903" s="2">
        <v>10</v>
      </c>
      <c r="G1903" s="3" t="s">
        <v>22</v>
      </c>
      <c r="H1903" s="2">
        <v>35</v>
      </c>
      <c r="I1903" s="112">
        <v>483100</v>
      </c>
      <c r="J1903" s="112">
        <v>483104</v>
      </c>
      <c r="K1903" s="112" t="s">
        <v>84</v>
      </c>
      <c r="L1903" s="2">
        <v>0</v>
      </c>
      <c r="M1903" s="2" t="s">
        <v>84</v>
      </c>
      <c r="N1903" s="2" t="s">
        <v>84</v>
      </c>
      <c r="O1903" s="2" t="s">
        <v>841</v>
      </c>
      <c r="P1903" s="2" t="s">
        <v>1923</v>
      </c>
    </row>
    <row r="1904" spans="1:16" ht="22" customHeight="1" x14ac:dyDescent="0.15">
      <c r="A1904" s="10" t="str">
        <f t="shared" si="389"/>
        <v>483_10_20_10_polygon</v>
      </c>
      <c r="B1904" s="2">
        <v>483</v>
      </c>
      <c r="C1904" s="30" t="str">
        <f>VLOOKUP(B1904,gachas!A:C,3)</f>
        <v>確定ステップアップガチャ</v>
      </c>
      <c r="D1904" s="21">
        <v>10</v>
      </c>
      <c r="E1904" s="2">
        <v>20</v>
      </c>
      <c r="F1904" s="2">
        <v>10</v>
      </c>
      <c r="G1904" s="3" t="s">
        <v>22</v>
      </c>
      <c r="H1904" s="2">
        <v>50</v>
      </c>
      <c r="I1904" s="112">
        <v>483100</v>
      </c>
      <c r="J1904" s="112" t="s">
        <v>84</v>
      </c>
      <c r="K1904" s="112">
        <v>483105</v>
      </c>
      <c r="L1904" s="2">
        <v>1</v>
      </c>
      <c r="M1904" s="2" t="s">
        <v>84</v>
      </c>
      <c r="N1904" s="2" t="s">
        <v>84</v>
      </c>
      <c r="O1904" s="2" t="s">
        <v>841</v>
      </c>
      <c r="P1904" s="2" t="s">
        <v>1924</v>
      </c>
    </row>
    <row r="1905" spans="1:16" ht="22" customHeight="1" x14ac:dyDescent="0.15">
      <c r="A1905" s="10" t="str">
        <f t="shared" si="389"/>
        <v>483_10_21_1_polygon</v>
      </c>
      <c r="B1905" s="2">
        <v>483</v>
      </c>
      <c r="C1905" s="30" t="str">
        <f>VLOOKUP(B1905,gachas!A:C,3)</f>
        <v>確定ステップアップガチャ</v>
      </c>
      <c r="D1905" s="21">
        <v>10</v>
      </c>
      <c r="E1905" s="2">
        <v>21</v>
      </c>
      <c r="F1905" s="2">
        <v>1</v>
      </c>
      <c r="G1905" s="3" t="s">
        <v>22</v>
      </c>
      <c r="H1905" s="2">
        <v>3</v>
      </c>
      <c r="I1905" s="112">
        <v>483101</v>
      </c>
      <c r="J1905" s="112" t="s">
        <v>84</v>
      </c>
      <c r="K1905" s="112" t="s">
        <v>84</v>
      </c>
      <c r="L1905" s="2">
        <v>0</v>
      </c>
      <c r="M1905" s="2" t="s">
        <v>84</v>
      </c>
      <c r="N1905" s="2" t="s">
        <v>84</v>
      </c>
      <c r="O1905" s="2" t="s">
        <v>841</v>
      </c>
      <c r="P1905" s="2" t="s">
        <v>1920</v>
      </c>
    </row>
    <row r="1906" spans="1:16" ht="22" customHeight="1" x14ac:dyDescent="0.15">
      <c r="A1906" s="10" t="str">
        <f t="shared" si="389"/>
        <v>483_10_22_3_polygon</v>
      </c>
      <c r="B1906" s="2">
        <v>483</v>
      </c>
      <c r="C1906" s="30" t="str">
        <f>VLOOKUP(B1906,gachas!A:C,3)</f>
        <v>確定ステップアップガチャ</v>
      </c>
      <c r="D1906" s="21">
        <v>10</v>
      </c>
      <c r="E1906" s="2">
        <v>22</v>
      </c>
      <c r="F1906" s="2">
        <v>3</v>
      </c>
      <c r="G1906" s="3" t="s">
        <v>22</v>
      </c>
      <c r="H1906" s="2">
        <v>9</v>
      </c>
      <c r="I1906" s="112">
        <v>483101</v>
      </c>
      <c r="J1906" s="112">
        <v>483102</v>
      </c>
      <c r="K1906" s="112" t="s">
        <v>84</v>
      </c>
      <c r="L1906" s="2">
        <v>0</v>
      </c>
      <c r="M1906" s="2" t="s">
        <v>84</v>
      </c>
      <c r="N1906" s="2" t="s">
        <v>84</v>
      </c>
      <c r="O1906" s="2" t="s">
        <v>841</v>
      </c>
      <c r="P1906" s="2" t="s">
        <v>1921</v>
      </c>
    </row>
    <row r="1907" spans="1:16" ht="22" customHeight="1" x14ac:dyDescent="0.15">
      <c r="A1907" s="10" t="str">
        <f t="shared" si="389"/>
        <v>483_10_23_5_polygon</v>
      </c>
      <c r="B1907" s="2">
        <v>483</v>
      </c>
      <c r="C1907" s="30" t="str">
        <f>VLOOKUP(B1907,gachas!A:C,3)</f>
        <v>確定ステップアップガチャ</v>
      </c>
      <c r="D1907" s="21">
        <v>10</v>
      </c>
      <c r="E1907" s="2">
        <v>23</v>
      </c>
      <c r="F1907" s="2">
        <v>5</v>
      </c>
      <c r="G1907" s="3" t="s">
        <v>22</v>
      </c>
      <c r="H1907" s="2">
        <v>15</v>
      </c>
      <c r="I1907" s="112">
        <v>483100</v>
      </c>
      <c r="J1907" s="112">
        <v>483103</v>
      </c>
      <c r="K1907" s="112" t="s">
        <v>84</v>
      </c>
      <c r="L1907" s="2">
        <v>0</v>
      </c>
      <c r="M1907" s="2" t="s">
        <v>84</v>
      </c>
      <c r="N1907" s="2" t="s">
        <v>84</v>
      </c>
      <c r="O1907" s="2" t="s">
        <v>841</v>
      </c>
      <c r="P1907" s="2" t="s">
        <v>1922</v>
      </c>
    </row>
    <row r="1908" spans="1:16" ht="22" customHeight="1" x14ac:dyDescent="0.15">
      <c r="A1908" s="10" t="str">
        <f t="shared" si="389"/>
        <v>483_10_24_10_polygon</v>
      </c>
      <c r="B1908" s="2">
        <v>483</v>
      </c>
      <c r="C1908" s="30" t="str">
        <f>VLOOKUP(B1908,gachas!A:C,3)</f>
        <v>確定ステップアップガチャ</v>
      </c>
      <c r="D1908" s="21">
        <v>10</v>
      </c>
      <c r="E1908" s="2">
        <v>24</v>
      </c>
      <c r="F1908" s="2">
        <v>10</v>
      </c>
      <c r="G1908" s="3" t="s">
        <v>22</v>
      </c>
      <c r="H1908" s="2">
        <v>35</v>
      </c>
      <c r="I1908" s="112">
        <v>483100</v>
      </c>
      <c r="J1908" s="112">
        <v>483104</v>
      </c>
      <c r="K1908" s="112" t="s">
        <v>84</v>
      </c>
      <c r="L1908" s="2">
        <v>0</v>
      </c>
      <c r="M1908" s="2" t="s">
        <v>84</v>
      </c>
      <c r="N1908" s="2" t="s">
        <v>84</v>
      </c>
      <c r="O1908" s="2" t="s">
        <v>841</v>
      </c>
      <c r="P1908" s="2" t="s">
        <v>1923</v>
      </c>
    </row>
    <row r="1909" spans="1:16" ht="22" customHeight="1" x14ac:dyDescent="0.15">
      <c r="A1909" s="10" t="str">
        <f t="shared" si="389"/>
        <v>483_10_25_10_polygon</v>
      </c>
      <c r="B1909" s="2">
        <v>483</v>
      </c>
      <c r="C1909" s="30" t="str">
        <f>VLOOKUP(B1909,gachas!A:C,3)</f>
        <v>確定ステップアップガチャ</v>
      </c>
      <c r="D1909" s="21">
        <v>10</v>
      </c>
      <c r="E1909" s="2">
        <v>25</v>
      </c>
      <c r="F1909" s="2">
        <v>10</v>
      </c>
      <c r="G1909" s="3" t="s">
        <v>22</v>
      </c>
      <c r="H1909" s="2">
        <v>50</v>
      </c>
      <c r="I1909" s="112">
        <v>483100</v>
      </c>
      <c r="J1909" s="112" t="s">
        <v>84</v>
      </c>
      <c r="K1909" s="112">
        <v>483105</v>
      </c>
      <c r="L1909" s="2">
        <v>1</v>
      </c>
      <c r="M1909" s="2" t="s">
        <v>84</v>
      </c>
      <c r="N1909" s="2" t="s">
        <v>84</v>
      </c>
      <c r="O1909" s="2" t="s">
        <v>841</v>
      </c>
      <c r="P1909" s="2" t="s">
        <v>1924</v>
      </c>
    </row>
    <row r="1910" spans="1:16" ht="22" customHeight="1" x14ac:dyDescent="0.15">
      <c r="A1910" s="10" t="str">
        <f t="shared" si="389"/>
        <v>483_10_26_1_polygon</v>
      </c>
      <c r="B1910" s="2">
        <v>483</v>
      </c>
      <c r="C1910" s="30" t="str">
        <f>VLOOKUP(B1910,gachas!A:C,3)</f>
        <v>確定ステップアップガチャ</v>
      </c>
      <c r="D1910" s="21">
        <v>10</v>
      </c>
      <c r="E1910" s="2">
        <v>26</v>
      </c>
      <c r="F1910" s="2">
        <v>1</v>
      </c>
      <c r="G1910" s="3" t="s">
        <v>22</v>
      </c>
      <c r="H1910" s="2">
        <v>3</v>
      </c>
      <c r="I1910" s="112">
        <v>483101</v>
      </c>
      <c r="J1910" s="112" t="s">
        <v>84</v>
      </c>
      <c r="K1910" s="112" t="s">
        <v>84</v>
      </c>
      <c r="L1910" s="2">
        <v>0</v>
      </c>
      <c r="M1910" s="2" t="s">
        <v>84</v>
      </c>
      <c r="N1910" s="2" t="s">
        <v>84</v>
      </c>
      <c r="O1910" s="2" t="s">
        <v>841</v>
      </c>
      <c r="P1910" s="2" t="s">
        <v>1920</v>
      </c>
    </row>
    <row r="1911" spans="1:16" ht="22" customHeight="1" x14ac:dyDescent="0.15">
      <c r="A1911" s="10" t="str">
        <f t="shared" si="389"/>
        <v>483_10_27_3_polygon</v>
      </c>
      <c r="B1911" s="2">
        <v>483</v>
      </c>
      <c r="C1911" s="30" t="str">
        <f>VLOOKUP(B1911,gachas!A:C,3)</f>
        <v>確定ステップアップガチャ</v>
      </c>
      <c r="D1911" s="21">
        <v>10</v>
      </c>
      <c r="E1911" s="2">
        <v>27</v>
      </c>
      <c r="F1911" s="2">
        <v>3</v>
      </c>
      <c r="G1911" s="3" t="s">
        <v>22</v>
      </c>
      <c r="H1911" s="2">
        <v>9</v>
      </c>
      <c r="I1911" s="112">
        <v>483101</v>
      </c>
      <c r="J1911" s="112">
        <v>483102</v>
      </c>
      <c r="K1911" s="112" t="s">
        <v>84</v>
      </c>
      <c r="L1911" s="2">
        <v>0</v>
      </c>
      <c r="M1911" s="2" t="s">
        <v>84</v>
      </c>
      <c r="N1911" s="2" t="s">
        <v>84</v>
      </c>
      <c r="O1911" s="2" t="s">
        <v>841</v>
      </c>
      <c r="P1911" s="2" t="s">
        <v>1921</v>
      </c>
    </row>
    <row r="1912" spans="1:16" ht="22" customHeight="1" x14ac:dyDescent="0.15">
      <c r="A1912" s="10" t="str">
        <f t="shared" si="389"/>
        <v>483_10_28_5_polygon</v>
      </c>
      <c r="B1912" s="2">
        <v>483</v>
      </c>
      <c r="C1912" s="30" t="str">
        <f>VLOOKUP(B1912,gachas!A:C,3)</f>
        <v>確定ステップアップガチャ</v>
      </c>
      <c r="D1912" s="21">
        <v>10</v>
      </c>
      <c r="E1912" s="2">
        <v>28</v>
      </c>
      <c r="F1912" s="2">
        <v>5</v>
      </c>
      <c r="G1912" s="3" t="s">
        <v>22</v>
      </c>
      <c r="H1912" s="2">
        <v>15</v>
      </c>
      <c r="I1912" s="112">
        <v>483100</v>
      </c>
      <c r="J1912" s="112">
        <v>483103</v>
      </c>
      <c r="K1912" s="112" t="s">
        <v>84</v>
      </c>
      <c r="L1912" s="2">
        <v>0</v>
      </c>
      <c r="M1912" s="2" t="s">
        <v>84</v>
      </c>
      <c r="N1912" s="2" t="s">
        <v>84</v>
      </c>
      <c r="O1912" s="2" t="s">
        <v>841</v>
      </c>
      <c r="P1912" s="2" t="s">
        <v>1922</v>
      </c>
    </row>
    <row r="1913" spans="1:16" ht="22" customHeight="1" x14ac:dyDescent="0.15">
      <c r="A1913" s="10" t="str">
        <f t="shared" si="389"/>
        <v>483_10_29_10_polygon</v>
      </c>
      <c r="B1913" s="2">
        <v>483</v>
      </c>
      <c r="C1913" s="30" t="str">
        <f>VLOOKUP(B1913,gachas!A:C,3)</f>
        <v>確定ステップアップガチャ</v>
      </c>
      <c r="D1913" s="21">
        <v>10</v>
      </c>
      <c r="E1913" s="2">
        <v>29</v>
      </c>
      <c r="F1913" s="2">
        <v>10</v>
      </c>
      <c r="G1913" s="3" t="s">
        <v>22</v>
      </c>
      <c r="H1913" s="2">
        <v>35</v>
      </c>
      <c r="I1913" s="112">
        <v>483100</v>
      </c>
      <c r="J1913" s="112">
        <v>483104</v>
      </c>
      <c r="K1913" s="112" t="s">
        <v>84</v>
      </c>
      <c r="L1913" s="2">
        <v>0</v>
      </c>
      <c r="M1913" s="2" t="s">
        <v>84</v>
      </c>
      <c r="N1913" s="2" t="s">
        <v>84</v>
      </c>
      <c r="O1913" s="2" t="s">
        <v>841</v>
      </c>
      <c r="P1913" s="2" t="s">
        <v>1923</v>
      </c>
    </row>
    <row r="1914" spans="1:16" ht="22" customHeight="1" x14ac:dyDescent="0.15">
      <c r="A1914" s="10" t="str">
        <f t="shared" si="389"/>
        <v>483_10_30_10_polygon</v>
      </c>
      <c r="B1914" s="2">
        <v>483</v>
      </c>
      <c r="C1914" s="30" t="str">
        <f>VLOOKUP(B1914,gachas!A:C,3)</f>
        <v>確定ステップアップガチャ</v>
      </c>
      <c r="D1914" s="21">
        <v>10</v>
      </c>
      <c r="E1914" s="2">
        <v>30</v>
      </c>
      <c r="F1914" s="2">
        <v>10</v>
      </c>
      <c r="G1914" s="3" t="s">
        <v>22</v>
      </c>
      <c r="H1914" s="2">
        <v>50</v>
      </c>
      <c r="I1914" s="112">
        <v>483100</v>
      </c>
      <c r="J1914" s="112" t="s">
        <v>84</v>
      </c>
      <c r="K1914" s="112">
        <v>483105</v>
      </c>
      <c r="L1914" s="2">
        <v>1</v>
      </c>
      <c r="M1914" s="2" t="s">
        <v>84</v>
      </c>
      <c r="N1914" s="2" t="s">
        <v>84</v>
      </c>
      <c r="O1914" s="2" t="s">
        <v>841</v>
      </c>
      <c r="P1914" s="2" t="s">
        <v>1924</v>
      </c>
    </row>
    <row r="1915" spans="1:16" ht="22" customHeight="1" x14ac:dyDescent="0.15">
      <c r="A1915" s="10" t="str">
        <f t="shared" si="389"/>
        <v>483_10_31_1_polygon</v>
      </c>
      <c r="B1915" s="2">
        <v>483</v>
      </c>
      <c r="C1915" s="30" t="str">
        <f>VLOOKUP(B1915,gachas!A:C,3)</f>
        <v>確定ステップアップガチャ</v>
      </c>
      <c r="D1915" s="21">
        <v>10</v>
      </c>
      <c r="E1915" s="2">
        <v>31</v>
      </c>
      <c r="F1915" s="2">
        <v>1</v>
      </c>
      <c r="G1915" s="3" t="s">
        <v>22</v>
      </c>
      <c r="H1915" s="2">
        <v>3</v>
      </c>
      <c r="I1915" s="112">
        <v>483101</v>
      </c>
      <c r="J1915" s="112" t="s">
        <v>84</v>
      </c>
      <c r="K1915" s="112" t="s">
        <v>84</v>
      </c>
      <c r="L1915" s="2">
        <v>0</v>
      </c>
      <c r="M1915" s="2" t="s">
        <v>84</v>
      </c>
      <c r="N1915" s="2" t="s">
        <v>84</v>
      </c>
      <c r="O1915" s="2" t="s">
        <v>841</v>
      </c>
      <c r="P1915" s="2" t="s">
        <v>1920</v>
      </c>
    </row>
    <row r="1916" spans="1:16" ht="22" customHeight="1" x14ac:dyDescent="0.15">
      <c r="A1916" s="10" t="str">
        <f t="shared" si="389"/>
        <v>483_10_32_3_polygon</v>
      </c>
      <c r="B1916" s="2">
        <v>483</v>
      </c>
      <c r="C1916" s="30" t="str">
        <f>VLOOKUP(B1916,gachas!A:C,3)</f>
        <v>確定ステップアップガチャ</v>
      </c>
      <c r="D1916" s="21">
        <v>10</v>
      </c>
      <c r="E1916" s="2">
        <v>32</v>
      </c>
      <c r="F1916" s="2">
        <v>3</v>
      </c>
      <c r="G1916" s="3" t="s">
        <v>22</v>
      </c>
      <c r="H1916" s="2">
        <v>9</v>
      </c>
      <c r="I1916" s="112">
        <v>483101</v>
      </c>
      <c r="J1916" s="112">
        <v>483102</v>
      </c>
      <c r="K1916" s="112" t="s">
        <v>84</v>
      </c>
      <c r="L1916" s="2">
        <v>0</v>
      </c>
      <c r="M1916" s="2" t="s">
        <v>84</v>
      </c>
      <c r="N1916" s="2" t="s">
        <v>84</v>
      </c>
      <c r="O1916" s="2" t="s">
        <v>841</v>
      </c>
      <c r="P1916" s="2" t="s">
        <v>1921</v>
      </c>
    </row>
    <row r="1917" spans="1:16" ht="22" customHeight="1" x14ac:dyDescent="0.15">
      <c r="A1917" s="10" t="str">
        <f t="shared" si="389"/>
        <v>483_10_33_5_polygon</v>
      </c>
      <c r="B1917" s="2">
        <v>483</v>
      </c>
      <c r="C1917" s="30" t="str">
        <f>VLOOKUP(B1917,gachas!A:C,3)</f>
        <v>確定ステップアップガチャ</v>
      </c>
      <c r="D1917" s="21">
        <v>10</v>
      </c>
      <c r="E1917" s="2">
        <v>33</v>
      </c>
      <c r="F1917" s="2">
        <v>5</v>
      </c>
      <c r="G1917" s="3" t="s">
        <v>22</v>
      </c>
      <c r="H1917" s="2">
        <v>15</v>
      </c>
      <c r="I1917" s="112">
        <v>483100</v>
      </c>
      <c r="J1917" s="112">
        <v>483103</v>
      </c>
      <c r="K1917" s="112" t="s">
        <v>84</v>
      </c>
      <c r="L1917" s="2">
        <v>0</v>
      </c>
      <c r="M1917" s="2" t="s">
        <v>84</v>
      </c>
      <c r="N1917" s="2" t="s">
        <v>84</v>
      </c>
      <c r="O1917" s="2" t="s">
        <v>841</v>
      </c>
      <c r="P1917" s="2" t="s">
        <v>1922</v>
      </c>
    </row>
    <row r="1918" spans="1:16" ht="22" customHeight="1" x14ac:dyDescent="0.15">
      <c r="A1918" s="10" t="str">
        <f t="shared" si="389"/>
        <v>483_10_34_10_polygon</v>
      </c>
      <c r="B1918" s="2">
        <v>483</v>
      </c>
      <c r="C1918" s="30" t="str">
        <f>VLOOKUP(B1918,gachas!A:C,3)</f>
        <v>確定ステップアップガチャ</v>
      </c>
      <c r="D1918" s="21">
        <v>10</v>
      </c>
      <c r="E1918" s="2">
        <v>34</v>
      </c>
      <c r="F1918" s="2">
        <v>10</v>
      </c>
      <c r="G1918" s="3" t="s">
        <v>22</v>
      </c>
      <c r="H1918" s="2">
        <v>35</v>
      </c>
      <c r="I1918" s="112">
        <v>483100</v>
      </c>
      <c r="J1918" s="112">
        <v>483104</v>
      </c>
      <c r="K1918" s="112" t="s">
        <v>84</v>
      </c>
      <c r="L1918" s="2">
        <v>0</v>
      </c>
      <c r="M1918" s="2" t="s">
        <v>84</v>
      </c>
      <c r="N1918" s="2" t="s">
        <v>84</v>
      </c>
      <c r="O1918" s="2" t="s">
        <v>841</v>
      </c>
      <c r="P1918" s="2" t="s">
        <v>1923</v>
      </c>
    </row>
    <row r="1919" spans="1:16" ht="22" customHeight="1" x14ac:dyDescent="0.15">
      <c r="A1919" s="10" t="str">
        <f t="shared" si="389"/>
        <v>483_10_35_10_polygon</v>
      </c>
      <c r="B1919" s="2">
        <v>483</v>
      </c>
      <c r="C1919" s="30" t="str">
        <f>VLOOKUP(B1919,gachas!A:C,3)</f>
        <v>確定ステップアップガチャ</v>
      </c>
      <c r="D1919" s="21">
        <v>10</v>
      </c>
      <c r="E1919" s="2">
        <v>35</v>
      </c>
      <c r="F1919" s="2">
        <v>10</v>
      </c>
      <c r="G1919" s="3" t="s">
        <v>22</v>
      </c>
      <c r="H1919" s="2">
        <v>50</v>
      </c>
      <c r="I1919" s="112">
        <v>483100</v>
      </c>
      <c r="J1919" s="112" t="s">
        <v>84</v>
      </c>
      <c r="K1919" s="112">
        <v>483105</v>
      </c>
      <c r="L1919" s="2">
        <v>1</v>
      </c>
      <c r="M1919" s="2" t="s">
        <v>84</v>
      </c>
      <c r="N1919" s="2" t="s">
        <v>84</v>
      </c>
      <c r="O1919" s="2" t="s">
        <v>841</v>
      </c>
      <c r="P1919" s="2" t="s">
        <v>1924</v>
      </c>
    </row>
    <row r="1920" spans="1:16" ht="22" customHeight="1" x14ac:dyDescent="0.15">
      <c r="A1920" s="10" t="str">
        <f t="shared" si="389"/>
        <v>483_10_36_1_polygon</v>
      </c>
      <c r="B1920" s="2">
        <v>483</v>
      </c>
      <c r="C1920" s="30" t="str">
        <f>VLOOKUP(B1920,gachas!A:C,3)</f>
        <v>確定ステップアップガチャ</v>
      </c>
      <c r="D1920" s="21">
        <v>10</v>
      </c>
      <c r="E1920" s="2">
        <v>36</v>
      </c>
      <c r="F1920" s="2">
        <v>1</v>
      </c>
      <c r="G1920" s="3" t="s">
        <v>22</v>
      </c>
      <c r="H1920" s="2">
        <v>3</v>
      </c>
      <c r="I1920" s="112">
        <v>483101</v>
      </c>
      <c r="J1920" s="112" t="s">
        <v>84</v>
      </c>
      <c r="K1920" s="112" t="s">
        <v>84</v>
      </c>
      <c r="L1920" s="2">
        <v>0</v>
      </c>
      <c r="M1920" s="2" t="s">
        <v>84</v>
      </c>
      <c r="N1920" s="2" t="s">
        <v>84</v>
      </c>
      <c r="O1920" s="2" t="s">
        <v>841</v>
      </c>
      <c r="P1920" s="2" t="s">
        <v>1920</v>
      </c>
    </row>
    <row r="1921" spans="1:16" ht="22" customHeight="1" x14ac:dyDescent="0.15">
      <c r="A1921" s="10" t="str">
        <f t="shared" si="389"/>
        <v>483_10_37_3_polygon</v>
      </c>
      <c r="B1921" s="2">
        <v>483</v>
      </c>
      <c r="C1921" s="30" t="str">
        <f>VLOOKUP(B1921,gachas!A:C,3)</f>
        <v>確定ステップアップガチャ</v>
      </c>
      <c r="D1921" s="21">
        <v>10</v>
      </c>
      <c r="E1921" s="2">
        <v>37</v>
      </c>
      <c r="F1921" s="2">
        <v>3</v>
      </c>
      <c r="G1921" s="3" t="s">
        <v>22</v>
      </c>
      <c r="H1921" s="2">
        <v>9</v>
      </c>
      <c r="I1921" s="112">
        <v>483101</v>
      </c>
      <c r="J1921" s="112">
        <v>483102</v>
      </c>
      <c r="K1921" s="112" t="s">
        <v>84</v>
      </c>
      <c r="L1921" s="2">
        <v>0</v>
      </c>
      <c r="M1921" s="2" t="s">
        <v>84</v>
      </c>
      <c r="N1921" s="2" t="s">
        <v>84</v>
      </c>
      <c r="O1921" s="2" t="s">
        <v>841</v>
      </c>
      <c r="P1921" s="2" t="s">
        <v>1921</v>
      </c>
    </row>
    <row r="1922" spans="1:16" ht="22" customHeight="1" x14ac:dyDescent="0.15">
      <c r="A1922" s="10" t="str">
        <f t="shared" si="389"/>
        <v>483_10_38_5_polygon</v>
      </c>
      <c r="B1922" s="2">
        <v>483</v>
      </c>
      <c r="C1922" s="30" t="str">
        <f>VLOOKUP(B1922,gachas!A:C,3)</f>
        <v>確定ステップアップガチャ</v>
      </c>
      <c r="D1922" s="21">
        <v>10</v>
      </c>
      <c r="E1922" s="2">
        <v>38</v>
      </c>
      <c r="F1922" s="2">
        <v>5</v>
      </c>
      <c r="G1922" s="3" t="s">
        <v>22</v>
      </c>
      <c r="H1922" s="2">
        <v>15</v>
      </c>
      <c r="I1922" s="112">
        <v>483100</v>
      </c>
      <c r="J1922" s="112">
        <v>483103</v>
      </c>
      <c r="K1922" s="112" t="s">
        <v>84</v>
      </c>
      <c r="L1922" s="2">
        <v>0</v>
      </c>
      <c r="M1922" s="2" t="s">
        <v>84</v>
      </c>
      <c r="N1922" s="2" t="s">
        <v>84</v>
      </c>
      <c r="O1922" s="2" t="s">
        <v>841</v>
      </c>
      <c r="P1922" s="2" t="s">
        <v>1922</v>
      </c>
    </row>
    <row r="1923" spans="1:16" ht="22" customHeight="1" x14ac:dyDescent="0.15">
      <c r="A1923" s="10" t="str">
        <f t="shared" si="389"/>
        <v>483_10_39_10_polygon</v>
      </c>
      <c r="B1923" s="2">
        <v>483</v>
      </c>
      <c r="C1923" s="30" t="str">
        <f>VLOOKUP(B1923,gachas!A:C,3)</f>
        <v>確定ステップアップガチャ</v>
      </c>
      <c r="D1923" s="21">
        <v>10</v>
      </c>
      <c r="E1923" s="2">
        <v>39</v>
      </c>
      <c r="F1923" s="2">
        <v>10</v>
      </c>
      <c r="G1923" s="3" t="s">
        <v>22</v>
      </c>
      <c r="H1923" s="2">
        <v>35</v>
      </c>
      <c r="I1923" s="112">
        <v>483100</v>
      </c>
      <c r="J1923" s="112">
        <v>483104</v>
      </c>
      <c r="K1923" s="112" t="s">
        <v>84</v>
      </c>
      <c r="L1923" s="2">
        <v>0</v>
      </c>
      <c r="M1923" s="2" t="s">
        <v>84</v>
      </c>
      <c r="N1923" s="2" t="s">
        <v>84</v>
      </c>
      <c r="O1923" s="2" t="s">
        <v>841</v>
      </c>
      <c r="P1923" s="2" t="s">
        <v>1923</v>
      </c>
    </row>
    <row r="1924" spans="1:16" ht="22" customHeight="1" x14ac:dyDescent="0.15">
      <c r="A1924" s="10" t="str">
        <f t="shared" si="389"/>
        <v>483_10_40_10_polygon</v>
      </c>
      <c r="B1924" s="2">
        <v>483</v>
      </c>
      <c r="C1924" s="30" t="str">
        <f>VLOOKUP(B1924,gachas!A:C,3)</f>
        <v>確定ステップアップガチャ</v>
      </c>
      <c r="D1924" s="21">
        <v>10</v>
      </c>
      <c r="E1924" s="2">
        <v>40</v>
      </c>
      <c r="F1924" s="2">
        <v>10</v>
      </c>
      <c r="G1924" s="3" t="s">
        <v>22</v>
      </c>
      <c r="H1924" s="2">
        <v>50</v>
      </c>
      <c r="I1924" s="112">
        <v>483100</v>
      </c>
      <c r="J1924" s="112" t="s">
        <v>84</v>
      </c>
      <c r="K1924" s="112">
        <v>483105</v>
      </c>
      <c r="L1924" s="2">
        <v>1</v>
      </c>
      <c r="M1924" s="2" t="s">
        <v>84</v>
      </c>
      <c r="N1924" s="2" t="s">
        <v>84</v>
      </c>
      <c r="O1924" s="2" t="s">
        <v>841</v>
      </c>
      <c r="P1924" s="2" t="s">
        <v>1924</v>
      </c>
    </row>
    <row r="1925" spans="1:16" ht="22" customHeight="1" x14ac:dyDescent="0.15">
      <c r="A1925" s="10" t="str">
        <f t="shared" si="389"/>
        <v>483_10_41_1_polygon</v>
      </c>
      <c r="B1925" s="2">
        <v>483</v>
      </c>
      <c r="C1925" s="30" t="str">
        <f>VLOOKUP(B1925,gachas!A:C,3)</f>
        <v>確定ステップアップガチャ</v>
      </c>
      <c r="D1925" s="21">
        <v>10</v>
      </c>
      <c r="E1925" s="2">
        <v>41</v>
      </c>
      <c r="F1925" s="2">
        <v>1</v>
      </c>
      <c r="G1925" s="3" t="s">
        <v>22</v>
      </c>
      <c r="H1925" s="2">
        <v>3</v>
      </c>
      <c r="I1925" s="112">
        <v>483101</v>
      </c>
      <c r="J1925" s="112" t="s">
        <v>84</v>
      </c>
      <c r="K1925" s="112" t="s">
        <v>84</v>
      </c>
      <c r="L1925" s="2">
        <v>0</v>
      </c>
      <c r="M1925" s="2" t="s">
        <v>84</v>
      </c>
      <c r="N1925" s="2" t="s">
        <v>84</v>
      </c>
      <c r="O1925" s="2" t="s">
        <v>841</v>
      </c>
      <c r="P1925" s="2" t="s">
        <v>1920</v>
      </c>
    </row>
    <row r="1926" spans="1:16" ht="22" customHeight="1" x14ac:dyDescent="0.15">
      <c r="A1926" s="10" t="str">
        <f t="shared" si="389"/>
        <v>483_10_42_3_polygon</v>
      </c>
      <c r="B1926" s="2">
        <v>483</v>
      </c>
      <c r="C1926" s="30" t="str">
        <f>VLOOKUP(B1926,gachas!A:C,3)</f>
        <v>確定ステップアップガチャ</v>
      </c>
      <c r="D1926" s="21">
        <v>10</v>
      </c>
      <c r="E1926" s="2">
        <v>42</v>
      </c>
      <c r="F1926" s="2">
        <v>3</v>
      </c>
      <c r="G1926" s="3" t="s">
        <v>22</v>
      </c>
      <c r="H1926" s="2">
        <v>9</v>
      </c>
      <c r="I1926" s="112">
        <v>483101</v>
      </c>
      <c r="J1926" s="112">
        <v>483102</v>
      </c>
      <c r="K1926" s="112" t="s">
        <v>84</v>
      </c>
      <c r="L1926" s="2">
        <v>0</v>
      </c>
      <c r="M1926" s="2" t="s">
        <v>84</v>
      </c>
      <c r="N1926" s="2" t="s">
        <v>84</v>
      </c>
      <c r="O1926" s="2" t="s">
        <v>841</v>
      </c>
      <c r="P1926" s="2" t="s">
        <v>1921</v>
      </c>
    </row>
    <row r="1927" spans="1:16" ht="22" customHeight="1" x14ac:dyDescent="0.15">
      <c r="A1927" s="10" t="str">
        <f t="shared" si="389"/>
        <v>483_10_43_5_polygon</v>
      </c>
      <c r="B1927" s="2">
        <v>483</v>
      </c>
      <c r="C1927" s="30" t="str">
        <f>VLOOKUP(B1927,gachas!A:C,3)</f>
        <v>確定ステップアップガチャ</v>
      </c>
      <c r="D1927" s="21">
        <v>10</v>
      </c>
      <c r="E1927" s="2">
        <v>43</v>
      </c>
      <c r="F1927" s="2">
        <v>5</v>
      </c>
      <c r="G1927" s="3" t="s">
        <v>22</v>
      </c>
      <c r="H1927" s="2">
        <v>15</v>
      </c>
      <c r="I1927" s="112">
        <v>483100</v>
      </c>
      <c r="J1927" s="112">
        <v>483103</v>
      </c>
      <c r="K1927" s="112" t="s">
        <v>84</v>
      </c>
      <c r="L1927" s="2">
        <v>0</v>
      </c>
      <c r="M1927" s="2" t="s">
        <v>84</v>
      </c>
      <c r="N1927" s="2" t="s">
        <v>84</v>
      </c>
      <c r="O1927" s="2" t="s">
        <v>841</v>
      </c>
      <c r="P1927" s="2" t="s">
        <v>1922</v>
      </c>
    </row>
    <row r="1928" spans="1:16" ht="22" customHeight="1" x14ac:dyDescent="0.15">
      <c r="A1928" s="10" t="str">
        <f t="shared" si="389"/>
        <v>483_10_44_10_polygon</v>
      </c>
      <c r="B1928" s="2">
        <v>483</v>
      </c>
      <c r="C1928" s="30" t="str">
        <f>VLOOKUP(B1928,gachas!A:C,3)</f>
        <v>確定ステップアップガチャ</v>
      </c>
      <c r="D1928" s="21">
        <v>10</v>
      </c>
      <c r="E1928" s="2">
        <v>44</v>
      </c>
      <c r="F1928" s="2">
        <v>10</v>
      </c>
      <c r="G1928" s="3" t="s">
        <v>22</v>
      </c>
      <c r="H1928" s="2">
        <v>35</v>
      </c>
      <c r="I1928" s="112">
        <v>483100</v>
      </c>
      <c r="J1928" s="112">
        <v>483104</v>
      </c>
      <c r="K1928" s="112" t="s">
        <v>84</v>
      </c>
      <c r="L1928" s="2">
        <v>0</v>
      </c>
      <c r="M1928" s="2" t="s">
        <v>84</v>
      </c>
      <c r="N1928" s="2" t="s">
        <v>84</v>
      </c>
      <c r="O1928" s="2" t="s">
        <v>841</v>
      </c>
      <c r="P1928" s="2" t="s">
        <v>1923</v>
      </c>
    </row>
    <row r="1929" spans="1:16" ht="22" customHeight="1" x14ac:dyDescent="0.15">
      <c r="A1929" s="10" t="str">
        <f t="shared" si="389"/>
        <v>483_10_45_10_polygon</v>
      </c>
      <c r="B1929" s="2">
        <v>483</v>
      </c>
      <c r="C1929" s="30" t="str">
        <f>VLOOKUP(B1929,gachas!A:C,3)</f>
        <v>確定ステップアップガチャ</v>
      </c>
      <c r="D1929" s="21">
        <v>10</v>
      </c>
      <c r="E1929" s="2">
        <v>45</v>
      </c>
      <c r="F1929" s="2">
        <v>10</v>
      </c>
      <c r="G1929" s="3" t="s">
        <v>22</v>
      </c>
      <c r="H1929" s="2">
        <v>50</v>
      </c>
      <c r="I1929" s="112">
        <v>483100</v>
      </c>
      <c r="J1929" s="112" t="s">
        <v>84</v>
      </c>
      <c r="K1929" s="112">
        <v>483105</v>
      </c>
      <c r="L1929" s="2">
        <v>1</v>
      </c>
      <c r="M1929" s="2" t="s">
        <v>84</v>
      </c>
      <c r="N1929" s="2" t="s">
        <v>84</v>
      </c>
      <c r="O1929" s="2" t="s">
        <v>841</v>
      </c>
      <c r="P1929" s="2" t="s">
        <v>1924</v>
      </c>
    </row>
    <row r="1930" spans="1:16" ht="22" customHeight="1" x14ac:dyDescent="0.15">
      <c r="A1930" s="10" t="str">
        <f t="shared" si="389"/>
        <v>483_10_46_1_polygon</v>
      </c>
      <c r="B1930" s="2">
        <v>483</v>
      </c>
      <c r="C1930" s="30" t="str">
        <f>VLOOKUP(B1930,gachas!A:C,3)</f>
        <v>確定ステップアップガチャ</v>
      </c>
      <c r="D1930" s="21">
        <v>10</v>
      </c>
      <c r="E1930" s="2">
        <v>46</v>
      </c>
      <c r="F1930" s="2">
        <v>1</v>
      </c>
      <c r="G1930" s="3" t="s">
        <v>22</v>
      </c>
      <c r="H1930" s="2">
        <v>3</v>
      </c>
      <c r="I1930" s="112">
        <v>483101</v>
      </c>
      <c r="J1930" s="112" t="s">
        <v>84</v>
      </c>
      <c r="K1930" s="112" t="s">
        <v>84</v>
      </c>
      <c r="L1930" s="2">
        <v>0</v>
      </c>
      <c r="M1930" s="2" t="s">
        <v>84</v>
      </c>
      <c r="N1930" s="2" t="s">
        <v>84</v>
      </c>
      <c r="O1930" s="2" t="s">
        <v>841</v>
      </c>
      <c r="P1930" s="2" t="s">
        <v>1920</v>
      </c>
    </row>
    <row r="1931" spans="1:16" ht="22" customHeight="1" x14ac:dyDescent="0.15">
      <c r="A1931" s="10" t="str">
        <f t="shared" si="389"/>
        <v>483_10_47_3_polygon</v>
      </c>
      <c r="B1931" s="2">
        <v>483</v>
      </c>
      <c r="C1931" s="30" t="str">
        <f>VLOOKUP(B1931,gachas!A:C,3)</f>
        <v>確定ステップアップガチャ</v>
      </c>
      <c r="D1931" s="21">
        <v>10</v>
      </c>
      <c r="E1931" s="2">
        <v>47</v>
      </c>
      <c r="F1931" s="2">
        <v>3</v>
      </c>
      <c r="G1931" s="3" t="s">
        <v>22</v>
      </c>
      <c r="H1931" s="2">
        <v>9</v>
      </c>
      <c r="I1931" s="112">
        <v>483101</v>
      </c>
      <c r="J1931" s="112">
        <v>483102</v>
      </c>
      <c r="K1931" s="112" t="s">
        <v>84</v>
      </c>
      <c r="L1931" s="2">
        <v>0</v>
      </c>
      <c r="M1931" s="2" t="s">
        <v>84</v>
      </c>
      <c r="N1931" s="2" t="s">
        <v>84</v>
      </c>
      <c r="O1931" s="2" t="s">
        <v>841</v>
      </c>
      <c r="P1931" s="2" t="s">
        <v>1921</v>
      </c>
    </row>
    <row r="1932" spans="1:16" ht="22" customHeight="1" x14ac:dyDescent="0.15">
      <c r="A1932" s="10" t="str">
        <f t="shared" si="389"/>
        <v>483_10_48_5_polygon</v>
      </c>
      <c r="B1932" s="2">
        <v>483</v>
      </c>
      <c r="C1932" s="30" t="str">
        <f>VLOOKUP(B1932,gachas!A:C,3)</f>
        <v>確定ステップアップガチャ</v>
      </c>
      <c r="D1932" s="21">
        <v>10</v>
      </c>
      <c r="E1932" s="2">
        <v>48</v>
      </c>
      <c r="F1932" s="2">
        <v>5</v>
      </c>
      <c r="G1932" s="3" t="s">
        <v>22</v>
      </c>
      <c r="H1932" s="2">
        <v>15</v>
      </c>
      <c r="I1932" s="112">
        <v>483100</v>
      </c>
      <c r="J1932" s="112">
        <v>483103</v>
      </c>
      <c r="K1932" s="112" t="s">
        <v>84</v>
      </c>
      <c r="L1932" s="2">
        <v>0</v>
      </c>
      <c r="M1932" s="2" t="s">
        <v>84</v>
      </c>
      <c r="N1932" s="2" t="s">
        <v>84</v>
      </c>
      <c r="O1932" s="2" t="s">
        <v>841</v>
      </c>
      <c r="P1932" s="2" t="s">
        <v>1922</v>
      </c>
    </row>
    <row r="1933" spans="1:16" ht="22" customHeight="1" x14ac:dyDescent="0.15">
      <c r="A1933" s="10" t="str">
        <f t="shared" si="389"/>
        <v>483_10_49_10_polygon</v>
      </c>
      <c r="B1933" s="2">
        <v>483</v>
      </c>
      <c r="C1933" s="30" t="str">
        <f>VLOOKUP(B1933,gachas!A:C,3)</f>
        <v>確定ステップアップガチャ</v>
      </c>
      <c r="D1933" s="21">
        <v>10</v>
      </c>
      <c r="E1933" s="2">
        <v>49</v>
      </c>
      <c r="F1933" s="2">
        <v>10</v>
      </c>
      <c r="G1933" s="3" t="s">
        <v>22</v>
      </c>
      <c r="H1933" s="2">
        <v>35</v>
      </c>
      <c r="I1933" s="112">
        <v>483100</v>
      </c>
      <c r="J1933" s="112">
        <v>483104</v>
      </c>
      <c r="K1933" s="112" t="s">
        <v>84</v>
      </c>
      <c r="L1933" s="2">
        <v>0</v>
      </c>
      <c r="M1933" s="2" t="s">
        <v>84</v>
      </c>
      <c r="N1933" s="2" t="s">
        <v>84</v>
      </c>
      <c r="O1933" s="2" t="s">
        <v>841</v>
      </c>
      <c r="P1933" s="2" t="s">
        <v>1923</v>
      </c>
    </row>
    <row r="1934" spans="1:16" ht="22" customHeight="1" x14ac:dyDescent="0.15">
      <c r="A1934" s="10" t="str">
        <f t="shared" si="389"/>
        <v>483_10_50_10_polygon</v>
      </c>
      <c r="B1934" s="2">
        <v>483</v>
      </c>
      <c r="C1934" s="30" t="str">
        <f>VLOOKUP(B1934,gachas!A:C,3)</f>
        <v>確定ステップアップガチャ</v>
      </c>
      <c r="D1934" s="21">
        <v>10</v>
      </c>
      <c r="E1934" s="2">
        <v>50</v>
      </c>
      <c r="F1934" s="2">
        <v>10</v>
      </c>
      <c r="G1934" s="3" t="s">
        <v>22</v>
      </c>
      <c r="H1934" s="2">
        <v>50</v>
      </c>
      <c r="I1934" s="112">
        <v>483100</v>
      </c>
      <c r="J1934" s="112" t="s">
        <v>84</v>
      </c>
      <c r="K1934" s="112">
        <v>483105</v>
      </c>
      <c r="L1934" s="2">
        <v>1</v>
      </c>
      <c r="M1934" s="2" t="s">
        <v>84</v>
      </c>
      <c r="N1934" s="2" t="s">
        <v>84</v>
      </c>
      <c r="O1934" s="2" t="s">
        <v>841</v>
      </c>
      <c r="P1934" s="2" t="s">
        <v>1924</v>
      </c>
    </row>
    <row r="1935" spans="1:16" ht="22" customHeight="1" x14ac:dyDescent="0.15">
      <c r="A1935" s="10" t="str">
        <f t="shared" si="389"/>
        <v>483_10_0_10_polygon</v>
      </c>
      <c r="B1935" s="2">
        <v>483</v>
      </c>
      <c r="C1935" s="30" t="str">
        <f>VLOOKUP(B1935,gachas!A:C,3)</f>
        <v>確定ステップアップガチャ</v>
      </c>
      <c r="D1935" s="21">
        <v>10</v>
      </c>
      <c r="E1935" s="2">
        <v>0</v>
      </c>
      <c r="F1935" s="2">
        <v>10</v>
      </c>
      <c r="G1935" s="3" t="s">
        <v>22</v>
      </c>
      <c r="H1935" s="2">
        <v>50</v>
      </c>
      <c r="I1935" s="112">
        <v>483100</v>
      </c>
      <c r="J1935" s="112" t="s">
        <v>84</v>
      </c>
      <c r="K1935" s="112" t="s">
        <v>84</v>
      </c>
      <c r="L1935" s="2">
        <v>0</v>
      </c>
      <c r="M1935" s="2" t="s">
        <v>84</v>
      </c>
      <c r="N1935" s="2" t="s">
        <v>84</v>
      </c>
      <c r="O1935" s="2" t="s">
        <v>841</v>
      </c>
      <c r="P1935" s="2" t="s">
        <v>1925</v>
      </c>
    </row>
    <row r="1936" spans="1:16" ht="22" customHeight="1" x14ac:dyDescent="0.15">
      <c r="A1936" s="10" t="str">
        <f t="shared" ref="A1936" si="390">B1936&amp;"_"&amp;D1936&amp;"_"&amp;E1936&amp;"_"&amp;F1936&amp;"_"&amp;G1936</f>
        <v>484_1_0_1_polygon</v>
      </c>
      <c r="B1936" s="2">
        <v>484</v>
      </c>
      <c r="C1936" s="30" t="str">
        <f>VLOOKUP(B1936,gachas!A:C,3)</f>
        <v>1日1回無料クリスマスガチャ</v>
      </c>
      <c r="D1936" s="21">
        <v>1</v>
      </c>
      <c r="E1936" s="2">
        <v>0</v>
      </c>
      <c r="F1936" s="2">
        <v>1</v>
      </c>
      <c r="G1936" s="3" t="s">
        <v>22</v>
      </c>
      <c r="H1936" s="2">
        <v>0</v>
      </c>
      <c r="I1936" s="112">
        <v>484100</v>
      </c>
      <c r="J1936" s="112">
        <v>484100</v>
      </c>
      <c r="K1936" s="112" t="s">
        <v>84</v>
      </c>
      <c r="L1936" s="2">
        <v>0</v>
      </c>
      <c r="M1936" s="2" t="s">
        <v>84</v>
      </c>
      <c r="N1936" s="2" t="s">
        <v>84</v>
      </c>
      <c r="O1936" s="2" t="s">
        <v>841</v>
      </c>
      <c r="P1936" s="18" t="s">
        <v>2287</v>
      </c>
    </row>
    <row r="1937" spans="1:16" ht="22" customHeight="1" x14ac:dyDescent="0.15">
      <c r="A1937" s="10" t="str">
        <f t="shared" ref="A1937:A2000" si="391">B1937&amp;"_"&amp;D1937&amp;"_"&amp;E1937&amp;"_"&amp;F1937&amp;"_"&amp;G1937</f>
        <v>485_1_0_1_polygon</v>
      </c>
      <c r="B1937" s="2">
        <v>485</v>
      </c>
      <c r="C1937" s="30" t="str">
        <f>VLOOKUP(B1937,gachas!A:C,3)</f>
        <v>クリスマススペシャルガチャSide:A</v>
      </c>
      <c r="D1937" s="21">
        <v>1</v>
      </c>
      <c r="E1937" s="2">
        <v>0</v>
      </c>
      <c r="F1937" s="2">
        <v>1</v>
      </c>
      <c r="G1937" s="3" t="s">
        <v>22</v>
      </c>
      <c r="H1937" s="2">
        <v>5</v>
      </c>
      <c r="I1937" s="112">
        <v>485010</v>
      </c>
      <c r="J1937" s="112" t="s">
        <v>84</v>
      </c>
      <c r="K1937" s="112" t="s">
        <v>84</v>
      </c>
      <c r="L1937" s="2">
        <v>0</v>
      </c>
      <c r="M1937" s="2" t="s">
        <v>84</v>
      </c>
      <c r="N1937" s="2" t="s">
        <v>84</v>
      </c>
      <c r="O1937" s="2" t="s">
        <v>841</v>
      </c>
      <c r="P1937" s="2" t="s">
        <v>84</v>
      </c>
    </row>
    <row r="1938" spans="1:16" ht="22" customHeight="1" x14ac:dyDescent="0.15">
      <c r="A1938" s="10" t="str">
        <f t="shared" si="391"/>
        <v>485_10_0_10_polygon</v>
      </c>
      <c r="B1938" s="2">
        <v>485</v>
      </c>
      <c r="C1938" s="30" t="str">
        <f>VLOOKUP(B1938,gachas!A:C,3)</f>
        <v>クリスマススペシャルガチャSide:A</v>
      </c>
      <c r="D1938" s="21">
        <v>10</v>
      </c>
      <c r="E1938" s="2">
        <v>0</v>
      </c>
      <c r="F1938" s="2">
        <v>10</v>
      </c>
      <c r="G1938" s="3" t="s">
        <v>22</v>
      </c>
      <c r="H1938" s="2">
        <v>50</v>
      </c>
      <c r="I1938" s="112">
        <v>485100</v>
      </c>
      <c r="J1938" s="112" t="s">
        <v>84</v>
      </c>
      <c r="K1938" s="112">
        <v>485100</v>
      </c>
      <c r="L1938" s="2">
        <v>1</v>
      </c>
      <c r="M1938" s="2" t="s">
        <v>84</v>
      </c>
      <c r="N1938" s="2" t="s">
        <v>84</v>
      </c>
      <c r="O1938" s="2" t="s">
        <v>841</v>
      </c>
      <c r="P1938" s="18" t="s">
        <v>1822</v>
      </c>
    </row>
    <row r="1939" spans="1:16" ht="22" customHeight="1" x14ac:dyDescent="0.15">
      <c r="A1939" s="10" t="str">
        <f t="shared" si="391"/>
        <v>486_1_0_1_polygon</v>
      </c>
      <c r="B1939" s="2">
        <v>486</v>
      </c>
      <c r="C1939" s="30" t="str">
        <f>VLOOKUP(B1939,gachas!A:C,3)</f>
        <v>クリスマススペシャルガチャSide:B</v>
      </c>
      <c r="D1939" s="21">
        <v>1</v>
      </c>
      <c r="E1939" s="2">
        <v>0</v>
      </c>
      <c r="F1939" s="2">
        <v>1</v>
      </c>
      <c r="G1939" s="3" t="s">
        <v>22</v>
      </c>
      <c r="H1939" s="2">
        <v>5</v>
      </c>
      <c r="I1939" s="112">
        <v>486010</v>
      </c>
      <c r="J1939" s="112" t="s">
        <v>84</v>
      </c>
      <c r="K1939" s="112" t="s">
        <v>84</v>
      </c>
      <c r="L1939" s="2">
        <v>0</v>
      </c>
      <c r="M1939" s="2" t="s">
        <v>84</v>
      </c>
      <c r="N1939" s="2" t="s">
        <v>84</v>
      </c>
      <c r="O1939" s="2" t="s">
        <v>841</v>
      </c>
      <c r="P1939" s="2" t="s">
        <v>84</v>
      </c>
    </row>
    <row r="1940" spans="1:16" ht="22" customHeight="1" x14ac:dyDescent="0.15">
      <c r="A1940" s="10" t="str">
        <f t="shared" si="391"/>
        <v>486_10_0_10_polygon</v>
      </c>
      <c r="B1940" s="2">
        <v>486</v>
      </c>
      <c r="C1940" s="30" t="str">
        <f>VLOOKUP(B1940,gachas!A:C,3)</f>
        <v>クリスマススペシャルガチャSide:B</v>
      </c>
      <c r="D1940" s="21">
        <v>10</v>
      </c>
      <c r="E1940" s="2">
        <v>0</v>
      </c>
      <c r="F1940" s="2">
        <v>10</v>
      </c>
      <c r="G1940" s="3" t="s">
        <v>22</v>
      </c>
      <c r="H1940" s="2">
        <v>50</v>
      </c>
      <c r="I1940" s="112">
        <v>486100</v>
      </c>
      <c r="J1940" s="112" t="s">
        <v>84</v>
      </c>
      <c r="K1940" s="112">
        <v>486100</v>
      </c>
      <c r="L1940" s="2">
        <v>1</v>
      </c>
      <c r="M1940" s="2" t="s">
        <v>84</v>
      </c>
      <c r="N1940" s="2" t="s">
        <v>84</v>
      </c>
      <c r="O1940" s="2" t="s">
        <v>841</v>
      </c>
      <c r="P1940" s="18" t="s">
        <v>1822</v>
      </c>
    </row>
    <row r="1941" spans="1:16" ht="22" customHeight="1" x14ac:dyDescent="0.15">
      <c r="A1941" s="10" t="str">
        <f t="shared" si="391"/>
        <v>487_1_0_1_polygon</v>
      </c>
      <c r="B1941" s="2">
        <v>487</v>
      </c>
      <c r="C1941" s="30" t="str">
        <f>VLOOKUP(B1941,gachas!A:C,3)</f>
        <v>フィーバーフェスティバル＜ボーア、シュレディンガー＞</v>
      </c>
      <c r="D1941" s="21">
        <v>1</v>
      </c>
      <c r="E1941" s="2">
        <v>0</v>
      </c>
      <c r="F1941" s="2">
        <v>1</v>
      </c>
      <c r="G1941" s="3" t="s">
        <v>22</v>
      </c>
      <c r="H1941" s="2">
        <v>5</v>
      </c>
      <c r="I1941" s="114" t="str">
        <f>B1941&amp;TEXT(D1941,"00")&amp;E1941</f>
        <v>487010</v>
      </c>
      <c r="J1941" s="112" t="s">
        <v>2254</v>
      </c>
      <c r="K1941" s="112" t="s">
        <v>84</v>
      </c>
      <c r="L1941" s="2">
        <v>0</v>
      </c>
      <c r="M1941" s="2" t="s">
        <v>84</v>
      </c>
      <c r="N1941" s="2" t="s">
        <v>84</v>
      </c>
      <c r="O1941" s="2" t="s">
        <v>841</v>
      </c>
      <c r="P1941" s="2" t="s">
        <v>1796</v>
      </c>
    </row>
    <row r="1942" spans="1:16" ht="22" customHeight="1" x14ac:dyDescent="0.15">
      <c r="A1942" s="10" t="str">
        <f t="shared" si="391"/>
        <v>487_10_0_10_polygon</v>
      </c>
      <c r="B1942" s="2">
        <v>487</v>
      </c>
      <c r="C1942" s="30" t="str">
        <f>VLOOKUP(B1942,gachas!A:C,3)</f>
        <v>フィーバーフェスティバル＜ボーア、シュレディンガー＞</v>
      </c>
      <c r="D1942" s="21">
        <v>10</v>
      </c>
      <c r="E1942" s="2">
        <v>0</v>
      </c>
      <c r="F1942" s="2">
        <v>10</v>
      </c>
      <c r="G1942" s="3" t="s">
        <v>22</v>
      </c>
      <c r="H1942" s="2">
        <v>50</v>
      </c>
      <c r="I1942" s="114">
        <v>487100</v>
      </c>
      <c r="J1942" s="112" t="s">
        <v>84</v>
      </c>
      <c r="K1942" s="112">
        <f>I1942</f>
        <v>487100</v>
      </c>
      <c r="L1942" s="2">
        <v>1</v>
      </c>
      <c r="M1942" s="2" t="s">
        <v>84</v>
      </c>
      <c r="N1942" s="2" t="s">
        <v>84</v>
      </c>
      <c r="O1942" s="2" t="s">
        <v>841</v>
      </c>
      <c r="P1942" s="2" t="s">
        <v>378</v>
      </c>
    </row>
    <row r="1943" spans="1:16" ht="22" customHeight="1" x14ac:dyDescent="0.15">
      <c r="A1943" s="10" t="str">
        <f t="shared" si="391"/>
        <v>487_10_1_10_polygon</v>
      </c>
      <c r="B1943" s="2">
        <v>487</v>
      </c>
      <c r="C1943" s="30" t="str">
        <f>VLOOKUP(B1943,gachas!A:C,3)</f>
        <v>フィーバーフェスティバル＜ボーア、シュレディンガー＞</v>
      </c>
      <c r="D1943" s="21">
        <v>10</v>
      </c>
      <c r="E1943" s="2">
        <f>E1942+1</f>
        <v>1</v>
      </c>
      <c r="F1943" s="2">
        <v>10</v>
      </c>
      <c r="G1943" s="3" t="s">
        <v>22</v>
      </c>
      <c r="H1943" s="2">
        <v>50</v>
      </c>
      <c r="I1943" s="114">
        <v>487100</v>
      </c>
      <c r="J1943" s="112" t="s">
        <v>2254</v>
      </c>
      <c r="K1943" s="112">
        <f t="shared" ref="K1943:K2006" si="392">I1943</f>
        <v>487100</v>
      </c>
      <c r="L1943" s="2">
        <v>1</v>
      </c>
      <c r="M1943" s="2" t="s">
        <v>84</v>
      </c>
      <c r="N1943" s="2" t="s">
        <v>84</v>
      </c>
      <c r="O1943" s="2" t="s">
        <v>841</v>
      </c>
      <c r="P1943" s="2" t="s">
        <v>378</v>
      </c>
    </row>
    <row r="1944" spans="1:16" ht="22" customHeight="1" x14ac:dyDescent="0.15">
      <c r="A1944" s="10" t="str">
        <f t="shared" si="391"/>
        <v>487_10_2_10_polygon</v>
      </c>
      <c r="B1944" s="2">
        <v>487</v>
      </c>
      <c r="C1944" s="30" t="str">
        <f>VLOOKUP(B1944,gachas!A:C,3)</f>
        <v>フィーバーフェスティバル＜ボーア、シュレディンガー＞</v>
      </c>
      <c r="D1944" s="21">
        <v>10</v>
      </c>
      <c r="E1944" s="2">
        <f t="shared" ref="E1944:E1992" si="393">E1943+1</f>
        <v>2</v>
      </c>
      <c r="F1944" s="2">
        <v>10</v>
      </c>
      <c r="G1944" s="3" t="s">
        <v>22</v>
      </c>
      <c r="H1944" s="2">
        <v>50</v>
      </c>
      <c r="I1944" s="114">
        <v>487100</v>
      </c>
      <c r="J1944" s="112" t="s">
        <v>2254</v>
      </c>
      <c r="K1944" s="112">
        <f t="shared" si="392"/>
        <v>487100</v>
      </c>
      <c r="L1944" s="2">
        <v>1</v>
      </c>
      <c r="M1944" s="2" t="s">
        <v>84</v>
      </c>
      <c r="N1944" s="2" t="s">
        <v>84</v>
      </c>
      <c r="O1944" s="2" t="s">
        <v>841</v>
      </c>
      <c r="P1944" s="2" t="s">
        <v>378</v>
      </c>
    </row>
    <row r="1945" spans="1:16" ht="22" customHeight="1" x14ac:dyDescent="0.15">
      <c r="A1945" s="10" t="str">
        <f t="shared" si="391"/>
        <v>487_10_3_10_polygon</v>
      </c>
      <c r="B1945" s="2">
        <v>487</v>
      </c>
      <c r="C1945" s="30" t="str">
        <f>VLOOKUP(B1945,gachas!A:C,3)</f>
        <v>フィーバーフェスティバル＜ボーア、シュレディンガー＞</v>
      </c>
      <c r="D1945" s="21">
        <v>10</v>
      </c>
      <c r="E1945" s="2">
        <f t="shared" si="393"/>
        <v>3</v>
      </c>
      <c r="F1945" s="2">
        <v>10</v>
      </c>
      <c r="G1945" s="3" t="s">
        <v>22</v>
      </c>
      <c r="H1945" s="2">
        <v>50</v>
      </c>
      <c r="I1945" s="114">
        <v>487100</v>
      </c>
      <c r="J1945" s="112" t="s">
        <v>2254</v>
      </c>
      <c r="K1945" s="112">
        <f t="shared" si="392"/>
        <v>487100</v>
      </c>
      <c r="L1945" s="2">
        <v>1</v>
      </c>
      <c r="M1945" s="2" t="s">
        <v>84</v>
      </c>
      <c r="N1945" s="2" t="s">
        <v>84</v>
      </c>
      <c r="O1945" s="2" t="s">
        <v>841</v>
      </c>
      <c r="P1945" s="2" t="s">
        <v>378</v>
      </c>
    </row>
    <row r="1946" spans="1:16" ht="22" customHeight="1" x14ac:dyDescent="0.15">
      <c r="A1946" s="10" t="str">
        <f t="shared" si="391"/>
        <v>487_10_4_10_polygon</v>
      </c>
      <c r="B1946" s="2">
        <v>487</v>
      </c>
      <c r="C1946" s="30" t="str">
        <f>VLOOKUP(B1946,gachas!A:C,3)</f>
        <v>フィーバーフェスティバル＜ボーア、シュレディンガー＞</v>
      </c>
      <c r="D1946" s="21">
        <v>10</v>
      </c>
      <c r="E1946" s="2">
        <f t="shared" si="393"/>
        <v>4</v>
      </c>
      <c r="F1946" s="2">
        <v>10</v>
      </c>
      <c r="G1946" s="3" t="s">
        <v>22</v>
      </c>
      <c r="H1946" s="2">
        <v>50</v>
      </c>
      <c r="I1946" s="114">
        <v>487100</v>
      </c>
      <c r="J1946" s="112" t="s">
        <v>2254</v>
      </c>
      <c r="K1946" s="112">
        <f t="shared" si="392"/>
        <v>487100</v>
      </c>
      <c r="L1946" s="2">
        <v>1</v>
      </c>
      <c r="M1946" s="2" t="s">
        <v>84</v>
      </c>
      <c r="N1946" s="2" t="s">
        <v>84</v>
      </c>
      <c r="O1946" s="2" t="s">
        <v>841</v>
      </c>
      <c r="P1946" s="2" t="s">
        <v>378</v>
      </c>
    </row>
    <row r="1947" spans="1:16" ht="22" customHeight="1" x14ac:dyDescent="0.15">
      <c r="A1947" s="10" t="str">
        <f t="shared" si="391"/>
        <v>487_10_5_10_polygon</v>
      </c>
      <c r="B1947" s="2">
        <v>487</v>
      </c>
      <c r="C1947" s="30" t="str">
        <f>VLOOKUP(B1947,gachas!A:C,3)</f>
        <v>フィーバーフェスティバル＜ボーア、シュレディンガー＞</v>
      </c>
      <c r="D1947" s="21">
        <v>10</v>
      </c>
      <c r="E1947" s="2">
        <f t="shared" si="393"/>
        <v>5</v>
      </c>
      <c r="F1947" s="2">
        <v>10</v>
      </c>
      <c r="G1947" s="3" t="s">
        <v>22</v>
      </c>
      <c r="H1947" s="2">
        <v>50</v>
      </c>
      <c r="I1947" s="114">
        <v>487100</v>
      </c>
      <c r="J1947" s="112">
        <v>487105</v>
      </c>
      <c r="K1947" s="112">
        <f t="shared" si="392"/>
        <v>487100</v>
      </c>
      <c r="L1947" s="2">
        <v>1</v>
      </c>
      <c r="M1947" s="2" t="s">
        <v>84</v>
      </c>
      <c r="N1947" s="2" t="s">
        <v>84</v>
      </c>
      <c r="O1947" s="2" t="s">
        <v>841</v>
      </c>
      <c r="P1947" s="2" t="s">
        <v>1763</v>
      </c>
    </row>
    <row r="1948" spans="1:16" ht="22" customHeight="1" x14ac:dyDescent="0.15">
      <c r="A1948" s="10" t="str">
        <f t="shared" si="391"/>
        <v>487_10_6_10_polygon</v>
      </c>
      <c r="B1948" s="2">
        <v>487</v>
      </c>
      <c r="C1948" s="30" t="str">
        <f>VLOOKUP(B1948,gachas!A:C,3)</f>
        <v>フィーバーフェスティバル＜ボーア、シュレディンガー＞</v>
      </c>
      <c r="D1948" s="21">
        <v>10</v>
      </c>
      <c r="E1948" s="2">
        <f t="shared" si="393"/>
        <v>6</v>
      </c>
      <c r="F1948" s="2">
        <v>10</v>
      </c>
      <c r="G1948" s="3" t="s">
        <v>22</v>
      </c>
      <c r="H1948" s="2">
        <v>50</v>
      </c>
      <c r="I1948" s="114">
        <v>487100</v>
      </c>
      <c r="J1948" s="112" t="s">
        <v>2254</v>
      </c>
      <c r="K1948" s="112">
        <f t="shared" si="392"/>
        <v>487100</v>
      </c>
      <c r="L1948" s="2">
        <v>1</v>
      </c>
      <c r="M1948" s="2" t="s">
        <v>84</v>
      </c>
      <c r="N1948" s="2" t="s">
        <v>84</v>
      </c>
      <c r="O1948" s="2" t="s">
        <v>841</v>
      </c>
      <c r="P1948" s="2" t="s">
        <v>378</v>
      </c>
    </row>
    <row r="1949" spans="1:16" ht="22" customHeight="1" x14ac:dyDescent="0.15">
      <c r="A1949" s="10" t="str">
        <f t="shared" si="391"/>
        <v>487_10_7_10_polygon</v>
      </c>
      <c r="B1949" s="2">
        <v>487</v>
      </c>
      <c r="C1949" s="30" t="str">
        <f>VLOOKUP(B1949,gachas!A:C,3)</f>
        <v>フィーバーフェスティバル＜ボーア、シュレディンガー＞</v>
      </c>
      <c r="D1949" s="21">
        <v>10</v>
      </c>
      <c r="E1949" s="2">
        <f t="shared" si="393"/>
        <v>7</v>
      </c>
      <c r="F1949" s="2">
        <v>10</v>
      </c>
      <c r="G1949" s="3" t="s">
        <v>22</v>
      </c>
      <c r="H1949" s="2">
        <v>50</v>
      </c>
      <c r="I1949" s="114">
        <v>487100</v>
      </c>
      <c r="J1949" s="112" t="s">
        <v>2254</v>
      </c>
      <c r="K1949" s="112">
        <f t="shared" si="392"/>
        <v>487100</v>
      </c>
      <c r="L1949" s="2">
        <v>1</v>
      </c>
      <c r="M1949" s="2" t="s">
        <v>84</v>
      </c>
      <c r="N1949" s="2" t="s">
        <v>84</v>
      </c>
      <c r="O1949" s="2" t="s">
        <v>841</v>
      </c>
      <c r="P1949" s="2" t="s">
        <v>378</v>
      </c>
    </row>
    <row r="1950" spans="1:16" ht="22" customHeight="1" x14ac:dyDescent="0.15">
      <c r="A1950" s="10" t="str">
        <f t="shared" si="391"/>
        <v>487_10_8_10_polygon</v>
      </c>
      <c r="B1950" s="2">
        <v>487</v>
      </c>
      <c r="C1950" s="30" t="str">
        <f>VLOOKUP(B1950,gachas!A:C,3)</f>
        <v>フィーバーフェスティバル＜ボーア、シュレディンガー＞</v>
      </c>
      <c r="D1950" s="21">
        <v>10</v>
      </c>
      <c r="E1950" s="2">
        <f t="shared" si="393"/>
        <v>8</v>
      </c>
      <c r="F1950" s="2">
        <v>10</v>
      </c>
      <c r="G1950" s="3" t="s">
        <v>22</v>
      </c>
      <c r="H1950" s="2">
        <v>50</v>
      </c>
      <c r="I1950" s="114">
        <v>487100</v>
      </c>
      <c r="J1950" s="112" t="s">
        <v>2254</v>
      </c>
      <c r="K1950" s="112">
        <f t="shared" si="392"/>
        <v>487100</v>
      </c>
      <c r="L1950" s="2">
        <v>1</v>
      </c>
      <c r="M1950" s="2" t="s">
        <v>84</v>
      </c>
      <c r="N1950" s="2" t="s">
        <v>84</v>
      </c>
      <c r="O1950" s="2" t="s">
        <v>841</v>
      </c>
      <c r="P1950" s="2" t="s">
        <v>378</v>
      </c>
    </row>
    <row r="1951" spans="1:16" ht="22" customHeight="1" x14ac:dyDescent="0.15">
      <c r="A1951" s="10" t="str">
        <f t="shared" si="391"/>
        <v>487_10_9_10_polygon</v>
      </c>
      <c r="B1951" s="2">
        <v>487</v>
      </c>
      <c r="C1951" s="30" t="str">
        <f>VLOOKUP(B1951,gachas!A:C,3)</f>
        <v>フィーバーフェスティバル＜ボーア、シュレディンガー＞</v>
      </c>
      <c r="D1951" s="21">
        <v>10</v>
      </c>
      <c r="E1951" s="2">
        <f t="shared" si="393"/>
        <v>9</v>
      </c>
      <c r="F1951" s="2">
        <v>10</v>
      </c>
      <c r="G1951" s="3" t="s">
        <v>22</v>
      </c>
      <c r="H1951" s="2">
        <v>50</v>
      </c>
      <c r="I1951" s="114">
        <v>487100</v>
      </c>
      <c r="J1951" s="112" t="s">
        <v>2254</v>
      </c>
      <c r="K1951" s="112">
        <f t="shared" si="392"/>
        <v>487100</v>
      </c>
      <c r="L1951" s="2">
        <v>1</v>
      </c>
      <c r="M1951" s="2" t="s">
        <v>84</v>
      </c>
      <c r="N1951" s="2" t="s">
        <v>84</v>
      </c>
      <c r="O1951" s="2" t="s">
        <v>841</v>
      </c>
      <c r="P1951" s="2" t="s">
        <v>378</v>
      </c>
    </row>
    <row r="1952" spans="1:16" ht="22" customHeight="1" x14ac:dyDescent="0.15">
      <c r="A1952" s="10" t="str">
        <f t="shared" si="391"/>
        <v>487_10_10_10_polygon</v>
      </c>
      <c r="B1952" s="2">
        <v>487</v>
      </c>
      <c r="C1952" s="30" t="str">
        <f>VLOOKUP(B1952,gachas!A:C,3)</f>
        <v>フィーバーフェスティバル＜ボーア、シュレディンガー＞</v>
      </c>
      <c r="D1952" s="21">
        <v>10</v>
      </c>
      <c r="E1952" s="2">
        <f t="shared" si="393"/>
        <v>10</v>
      </c>
      <c r="F1952" s="2">
        <v>10</v>
      </c>
      <c r="G1952" s="3" t="s">
        <v>22</v>
      </c>
      <c r="H1952" s="2">
        <v>50</v>
      </c>
      <c r="I1952" s="114">
        <v>487100</v>
      </c>
      <c r="J1952" s="112">
        <v>487105</v>
      </c>
      <c r="K1952" s="112">
        <f t="shared" si="392"/>
        <v>487100</v>
      </c>
      <c r="L1952" s="2">
        <v>1</v>
      </c>
      <c r="M1952" s="2" t="s">
        <v>84</v>
      </c>
      <c r="N1952" s="2" t="s">
        <v>84</v>
      </c>
      <c r="O1952" s="2" t="s">
        <v>841</v>
      </c>
      <c r="P1952" s="2" t="s">
        <v>1763</v>
      </c>
    </row>
    <row r="1953" spans="1:16" ht="22" customHeight="1" x14ac:dyDescent="0.15">
      <c r="A1953" s="10" t="str">
        <f t="shared" si="391"/>
        <v>487_10_11_10_polygon</v>
      </c>
      <c r="B1953" s="2">
        <v>487</v>
      </c>
      <c r="C1953" s="30" t="str">
        <f>VLOOKUP(B1953,gachas!A:C,3)</f>
        <v>フィーバーフェスティバル＜ボーア、シュレディンガー＞</v>
      </c>
      <c r="D1953" s="21">
        <v>10</v>
      </c>
      <c r="E1953" s="2">
        <f t="shared" si="393"/>
        <v>11</v>
      </c>
      <c r="F1953" s="2">
        <v>10</v>
      </c>
      <c r="G1953" s="3" t="s">
        <v>22</v>
      </c>
      <c r="H1953" s="2">
        <v>50</v>
      </c>
      <c r="I1953" s="114">
        <v>487100</v>
      </c>
      <c r="J1953" s="112" t="s">
        <v>2254</v>
      </c>
      <c r="K1953" s="112">
        <f t="shared" si="392"/>
        <v>487100</v>
      </c>
      <c r="L1953" s="2">
        <v>1</v>
      </c>
      <c r="M1953" s="2" t="s">
        <v>84</v>
      </c>
      <c r="N1953" s="2" t="s">
        <v>84</v>
      </c>
      <c r="O1953" s="2" t="s">
        <v>841</v>
      </c>
      <c r="P1953" s="2" t="s">
        <v>378</v>
      </c>
    </row>
    <row r="1954" spans="1:16" ht="22" customHeight="1" x14ac:dyDescent="0.15">
      <c r="A1954" s="10" t="str">
        <f t="shared" si="391"/>
        <v>487_10_12_10_polygon</v>
      </c>
      <c r="B1954" s="2">
        <v>487</v>
      </c>
      <c r="C1954" s="30" t="str">
        <f>VLOOKUP(B1954,gachas!A:C,3)</f>
        <v>フィーバーフェスティバル＜ボーア、シュレディンガー＞</v>
      </c>
      <c r="D1954" s="21">
        <v>10</v>
      </c>
      <c r="E1954" s="2">
        <f t="shared" si="393"/>
        <v>12</v>
      </c>
      <c r="F1954" s="2">
        <v>10</v>
      </c>
      <c r="G1954" s="3" t="s">
        <v>22</v>
      </c>
      <c r="H1954" s="2">
        <v>50</v>
      </c>
      <c r="I1954" s="114">
        <v>487100</v>
      </c>
      <c r="J1954" s="112" t="s">
        <v>2254</v>
      </c>
      <c r="K1954" s="112">
        <f t="shared" si="392"/>
        <v>487100</v>
      </c>
      <c r="L1954" s="2">
        <v>1</v>
      </c>
      <c r="M1954" s="2" t="s">
        <v>84</v>
      </c>
      <c r="N1954" s="2" t="s">
        <v>84</v>
      </c>
      <c r="O1954" s="2" t="s">
        <v>841</v>
      </c>
      <c r="P1954" s="2" t="s">
        <v>378</v>
      </c>
    </row>
    <row r="1955" spans="1:16" ht="22" customHeight="1" x14ac:dyDescent="0.15">
      <c r="A1955" s="10" t="str">
        <f t="shared" si="391"/>
        <v>487_10_13_10_polygon</v>
      </c>
      <c r="B1955" s="2">
        <v>487</v>
      </c>
      <c r="C1955" s="30" t="str">
        <f>VLOOKUP(B1955,gachas!A:C,3)</f>
        <v>フィーバーフェスティバル＜ボーア、シュレディンガー＞</v>
      </c>
      <c r="D1955" s="21">
        <v>10</v>
      </c>
      <c r="E1955" s="2">
        <f t="shared" si="393"/>
        <v>13</v>
      </c>
      <c r="F1955" s="2">
        <v>10</v>
      </c>
      <c r="G1955" s="3" t="s">
        <v>22</v>
      </c>
      <c r="H1955" s="2">
        <v>50</v>
      </c>
      <c r="I1955" s="114">
        <v>487100</v>
      </c>
      <c r="J1955" s="112" t="s">
        <v>2254</v>
      </c>
      <c r="K1955" s="112">
        <f t="shared" si="392"/>
        <v>487100</v>
      </c>
      <c r="L1955" s="2">
        <v>1</v>
      </c>
      <c r="M1955" s="2" t="s">
        <v>84</v>
      </c>
      <c r="N1955" s="2" t="s">
        <v>84</v>
      </c>
      <c r="O1955" s="2" t="s">
        <v>841</v>
      </c>
      <c r="P1955" s="2" t="s">
        <v>378</v>
      </c>
    </row>
    <row r="1956" spans="1:16" ht="22" customHeight="1" x14ac:dyDescent="0.15">
      <c r="A1956" s="10" t="str">
        <f t="shared" si="391"/>
        <v>487_10_14_10_polygon</v>
      </c>
      <c r="B1956" s="2">
        <v>487</v>
      </c>
      <c r="C1956" s="30" t="str">
        <f>VLOOKUP(B1956,gachas!A:C,3)</f>
        <v>フィーバーフェスティバル＜ボーア、シュレディンガー＞</v>
      </c>
      <c r="D1956" s="21">
        <v>10</v>
      </c>
      <c r="E1956" s="2">
        <f t="shared" si="393"/>
        <v>14</v>
      </c>
      <c r="F1956" s="2">
        <v>10</v>
      </c>
      <c r="G1956" s="3" t="s">
        <v>22</v>
      </c>
      <c r="H1956" s="2">
        <v>50</v>
      </c>
      <c r="I1956" s="114">
        <v>487100</v>
      </c>
      <c r="J1956" s="112" t="s">
        <v>2254</v>
      </c>
      <c r="K1956" s="112">
        <f t="shared" si="392"/>
        <v>487100</v>
      </c>
      <c r="L1956" s="2">
        <v>1</v>
      </c>
      <c r="M1956" s="2" t="s">
        <v>84</v>
      </c>
      <c r="N1956" s="2" t="s">
        <v>84</v>
      </c>
      <c r="O1956" s="2" t="s">
        <v>841</v>
      </c>
      <c r="P1956" s="2" t="s">
        <v>378</v>
      </c>
    </row>
    <row r="1957" spans="1:16" ht="22" customHeight="1" x14ac:dyDescent="0.15">
      <c r="A1957" s="10" t="str">
        <f t="shared" si="391"/>
        <v>487_10_15_10_polygon</v>
      </c>
      <c r="B1957" s="2">
        <v>487</v>
      </c>
      <c r="C1957" s="30" t="str">
        <f>VLOOKUP(B1957,gachas!A:C,3)</f>
        <v>フィーバーフェスティバル＜ボーア、シュレディンガー＞</v>
      </c>
      <c r="D1957" s="21">
        <v>10</v>
      </c>
      <c r="E1957" s="2">
        <f t="shared" si="393"/>
        <v>15</v>
      </c>
      <c r="F1957" s="2">
        <v>10</v>
      </c>
      <c r="G1957" s="3" t="s">
        <v>22</v>
      </c>
      <c r="H1957" s="2">
        <v>50</v>
      </c>
      <c r="I1957" s="114">
        <v>487100</v>
      </c>
      <c r="J1957" s="112">
        <v>487105</v>
      </c>
      <c r="K1957" s="112">
        <f t="shared" si="392"/>
        <v>487100</v>
      </c>
      <c r="L1957" s="2">
        <v>1</v>
      </c>
      <c r="M1957" s="2" t="s">
        <v>84</v>
      </c>
      <c r="N1957" s="2" t="s">
        <v>84</v>
      </c>
      <c r="O1957" s="2" t="s">
        <v>841</v>
      </c>
      <c r="P1957" s="2" t="s">
        <v>1763</v>
      </c>
    </row>
    <row r="1958" spans="1:16" ht="22" customHeight="1" x14ac:dyDescent="0.15">
      <c r="A1958" s="10" t="str">
        <f t="shared" si="391"/>
        <v>487_10_16_10_polygon</v>
      </c>
      <c r="B1958" s="2">
        <v>487</v>
      </c>
      <c r="C1958" s="30" t="str">
        <f>VLOOKUP(B1958,gachas!A:C,3)</f>
        <v>フィーバーフェスティバル＜ボーア、シュレディンガー＞</v>
      </c>
      <c r="D1958" s="21">
        <v>10</v>
      </c>
      <c r="E1958" s="2">
        <f t="shared" si="393"/>
        <v>16</v>
      </c>
      <c r="F1958" s="2">
        <v>10</v>
      </c>
      <c r="G1958" s="3" t="s">
        <v>22</v>
      </c>
      <c r="H1958" s="2">
        <v>50</v>
      </c>
      <c r="I1958" s="114">
        <v>487100</v>
      </c>
      <c r="J1958" s="112" t="s">
        <v>2254</v>
      </c>
      <c r="K1958" s="112">
        <f t="shared" si="392"/>
        <v>487100</v>
      </c>
      <c r="L1958" s="2">
        <v>1</v>
      </c>
      <c r="M1958" s="2" t="s">
        <v>84</v>
      </c>
      <c r="N1958" s="2" t="s">
        <v>84</v>
      </c>
      <c r="O1958" s="2" t="s">
        <v>841</v>
      </c>
      <c r="P1958" s="2" t="s">
        <v>378</v>
      </c>
    </row>
    <row r="1959" spans="1:16" ht="22" customHeight="1" x14ac:dyDescent="0.15">
      <c r="A1959" s="10" t="str">
        <f t="shared" si="391"/>
        <v>487_10_17_10_polygon</v>
      </c>
      <c r="B1959" s="2">
        <v>487</v>
      </c>
      <c r="C1959" s="30" t="str">
        <f>VLOOKUP(B1959,gachas!A:C,3)</f>
        <v>フィーバーフェスティバル＜ボーア、シュレディンガー＞</v>
      </c>
      <c r="D1959" s="21">
        <v>10</v>
      </c>
      <c r="E1959" s="2">
        <f t="shared" si="393"/>
        <v>17</v>
      </c>
      <c r="F1959" s="2">
        <v>10</v>
      </c>
      <c r="G1959" s="3" t="s">
        <v>22</v>
      </c>
      <c r="H1959" s="2">
        <v>50</v>
      </c>
      <c r="I1959" s="114">
        <v>487100</v>
      </c>
      <c r="J1959" s="112" t="s">
        <v>2254</v>
      </c>
      <c r="K1959" s="112">
        <f t="shared" si="392"/>
        <v>487100</v>
      </c>
      <c r="L1959" s="2">
        <v>1</v>
      </c>
      <c r="M1959" s="2" t="s">
        <v>84</v>
      </c>
      <c r="N1959" s="2" t="s">
        <v>84</v>
      </c>
      <c r="O1959" s="2" t="s">
        <v>841</v>
      </c>
      <c r="P1959" s="2" t="s">
        <v>378</v>
      </c>
    </row>
    <row r="1960" spans="1:16" ht="22" customHeight="1" x14ac:dyDescent="0.15">
      <c r="A1960" s="10" t="str">
        <f t="shared" si="391"/>
        <v>487_10_18_10_polygon</v>
      </c>
      <c r="B1960" s="2">
        <v>487</v>
      </c>
      <c r="C1960" s="30" t="str">
        <f>VLOOKUP(B1960,gachas!A:C,3)</f>
        <v>フィーバーフェスティバル＜ボーア、シュレディンガー＞</v>
      </c>
      <c r="D1960" s="21">
        <v>10</v>
      </c>
      <c r="E1960" s="2">
        <f t="shared" si="393"/>
        <v>18</v>
      </c>
      <c r="F1960" s="2">
        <v>10</v>
      </c>
      <c r="G1960" s="3" t="s">
        <v>22</v>
      </c>
      <c r="H1960" s="2">
        <v>50</v>
      </c>
      <c r="I1960" s="114">
        <v>487100</v>
      </c>
      <c r="J1960" s="112" t="s">
        <v>2254</v>
      </c>
      <c r="K1960" s="112">
        <f t="shared" si="392"/>
        <v>487100</v>
      </c>
      <c r="L1960" s="2">
        <v>1</v>
      </c>
      <c r="M1960" s="2" t="s">
        <v>84</v>
      </c>
      <c r="N1960" s="2" t="s">
        <v>84</v>
      </c>
      <c r="O1960" s="2" t="s">
        <v>841</v>
      </c>
      <c r="P1960" s="2" t="s">
        <v>378</v>
      </c>
    </row>
    <row r="1961" spans="1:16" ht="22" customHeight="1" x14ac:dyDescent="0.15">
      <c r="A1961" s="10" t="str">
        <f t="shared" si="391"/>
        <v>487_10_19_10_polygon</v>
      </c>
      <c r="B1961" s="2">
        <v>487</v>
      </c>
      <c r="C1961" s="30" t="str">
        <f>VLOOKUP(B1961,gachas!A:C,3)</f>
        <v>フィーバーフェスティバル＜ボーア、シュレディンガー＞</v>
      </c>
      <c r="D1961" s="21">
        <v>10</v>
      </c>
      <c r="E1961" s="2">
        <f t="shared" si="393"/>
        <v>19</v>
      </c>
      <c r="F1961" s="2">
        <v>10</v>
      </c>
      <c r="G1961" s="3" t="s">
        <v>22</v>
      </c>
      <c r="H1961" s="2">
        <v>50</v>
      </c>
      <c r="I1961" s="114">
        <v>487100</v>
      </c>
      <c r="J1961" s="112" t="s">
        <v>2254</v>
      </c>
      <c r="K1961" s="112">
        <f t="shared" si="392"/>
        <v>487100</v>
      </c>
      <c r="L1961" s="2">
        <v>1</v>
      </c>
      <c r="M1961" s="2" t="s">
        <v>84</v>
      </c>
      <c r="N1961" s="2" t="s">
        <v>84</v>
      </c>
      <c r="O1961" s="2" t="s">
        <v>841</v>
      </c>
      <c r="P1961" s="2" t="s">
        <v>378</v>
      </c>
    </row>
    <row r="1962" spans="1:16" ht="22" customHeight="1" x14ac:dyDescent="0.15">
      <c r="A1962" s="10" t="str">
        <f t="shared" si="391"/>
        <v>487_10_20_10_polygon</v>
      </c>
      <c r="B1962" s="2">
        <v>487</v>
      </c>
      <c r="C1962" s="30" t="str">
        <f>VLOOKUP(B1962,gachas!A:C,3)</f>
        <v>フィーバーフェスティバル＜ボーア、シュレディンガー＞</v>
      </c>
      <c r="D1962" s="21">
        <v>10</v>
      </c>
      <c r="E1962" s="2">
        <f t="shared" si="393"/>
        <v>20</v>
      </c>
      <c r="F1962" s="2">
        <v>10</v>
      </c>
      <c r="G1962" s="3" t="s">
        <v>22</v>
      </c>
      <c r="H1962" s="2">
        <v>50</v>
      </c>
      <c r="I1962" s="114">
        <v>487100</v>
      </c>
      <c r="J1962" s="112">
        <v>487105</v>
      </c>
      <c r="K1962" s="112">
        <f t="shared" si="392"/>
        <v>487100</v>
      </c>
      <c r="L1962" s="2">
        <v>1</v>
      </c>
      <c r="M1962" s="2" t="s">
        <v>84</v>
      </c>
      <c r="N1962" s="2" t="s">
        <v>84</v>
      </c>
      <c r="O1962" s="2" t="s">
        <v>841</v>
      </c>
      <c r="P1962" s="2" t="s">
        <v>1763</v>
      </c>
    </row>
    <row r="1963" spans="1:16" ht="22" customHeight="1" x14ac:dyDescent="0.15">
      <c r="A1963" s="10" t="str">
        <f t="shared" si="391"/>
        <v>487_10_21_10_polygon</v>
      </c>
      <c r="B1963" s="2">
        <v>487</v>
      </c>
      <c r="C1963" s="30" t="str">
        <f>VLOOKUP(B1963,gachas!A:C,3)</f>
        <v>フィーバーフェスティバル＜ボーア、シュレディンガー＞</v>
      </c>
      <c r="D1963" s="21">
        <v>10</v>
      </c>
      <c r="E1963" s="2">
        <f t="shared" si="393"/>
        <v>21</v>
      </c>
      <c r="F1963" s="2">
        <v>10</v>
      </c>
      <c r="G1963" s="3" t="s">
        <v>22</v>
      </c>
      <c r="H1963" s="2">
        <v>50</v>
      </c>
      <c r="I1963" s="114">
        <v>487100</v>
      </c>
      <c r="J1963" s="112" t="s">
        <v>2254</v>
      </c>
      <c r="K1963" s="112">
        <f t="shared" si="392"/>
        <v>487100</v>
      </c>
      <c r="L1963" s="2">
        <v>1</v>
      </c>
      <c r="M1963" s="2" t="s">
        <v>84</v>
      </c>
      <c r="N1963" s="2" t="s">
        <v>84</v>
      </c>
      <c r="O1963" s="2" t="s">
        <v>841</v>
      </c>
      <c r="P1963" s="2" t="s">
        <v>378</v>
      </c>
    </row>
    <row r="1964" spans="1:16" ht="22" customHeight="1" x14ac:dyDescent="0.15">
      <c r="A1964" s="10" t="str">
        <f t="shared" si="391"/>
        <v>487_10_22_10_polygon</v>
      </c>
      <c r="B1964" s="2">
        <v>487</v>
      </c>
      <c r="C1964" s="30" t="str">
        <f>VLOOKUP(B1964,gachas!A:C,3)</f>
        <v>フィーバーフェスティバル＜ボーア、シュレディンガー＞</v>
      </c>
      <c r="D1964" s="21">
        <v>10</v>
      </c>
      <c r="E1964" s="2">
        <f t="shared" si="393"/>
        <v>22</v>
      </c>
      <c r="F1964" s="2">
        <v>10</v>
      </c>
      <c r="G1964" s="3" t="s">
        <v>22</v>
      </c>
      <c r="H1964" s="2">
        <v>50</v>
      </c>
      <c r="I1964" s="114">
        <v>487100</v>
      </c>
      <c r="J1964" s="112" t="s">
        <v>2254</v>
      </c>
      <c r="K1964" s="112">
        <f t="shared" si="392"/>
        <v>487100</v>
      </c>
      <c r="L1964" s="2">
        <v>1</v>
      </c>
      <c r="M1964" s="2" t="s">
        <v>84</v>
      </c>
      <c r="N1964" s="2" t="s">
        <v>84</v>
      </c>
      <c r="O1964" s="2" t="s">
        <v>841</v>
      </c>
      <c r="P1964" s="2" t="s">
        <v>378</v>
      </c>
    </row>
    <row r="1965" spans="1:16" ht="22" customHeight="1" x14ac:dyDescent="0.15">
      <c r="A1965" s="10" t="str">
        <f t="shared" si="391"/>
        <v>487_10_23_10_polygon</v>
      </c>
      <c r="B1965" s="2">
        <v>487</v>
      </c>
      <c r="C1965" s="30" t="str">
        <f>VLOOKUP(B1965,gachas!A:C,3)</f>
        <v>フィーバーフェスティバル＜ボーア、シュレディンガー＞</v>
      </c>
      <c r="D1965" s="21">
        <v>10</v>
      </c>
      <c r="E1965" s="2">
        <f t="shared" si="393"/>
        <v>23</v>
      </c>
      <c r="F1965" s="2">
        <v>10</v>
      </c>
      <c r="G1965" s="3" t="s">
        <v>22</v>
      </c>
      <c r="H1965" s="2">
        <v>50</v>
      </c>
      <c r="I1965" s="114">
        <v>487100</v>
      </c>
      <c r="J1965" s="112" t="s">
        <v>2254</v>
      </c>
      <c r="K1965" s="112">
        <f t="shared" si="392"/>
        <v>487100</v>
      </c>
      <c r="L1965" s="2">
        <v>1</v>
      </c>
      <c r="M1965" s="2" t="s">
        <v>84</v>
      </c>
      <c r="N1965" s="2" t="s">
        <v>84</v>
      </c>
      <c r="O1965" s="2" t="s">
        <v>841</v>
      </c>
      <c r="P1965" s="2" t="s">
        <v>378</v>
      </c>
    </row>
    <row r="1966" spans="1:16" ht="22" customHeight="1" x14ac:dyDescent="0.15">
      <c r="A1966" s="10" t="str">
        <f t="shared" si="391"/>
        <v>487_10_24_10_polygon</v>
      </c>
      <c r="B1966" s="2">
        <v>487</v>
      </c>
      <c r="C1966" s="30" t="str">
        <f>VLOOKUP(B1966,gachas!A:C,3)</f>
        <v>フィーバーフェスティバル＜ボーア、シュレディンガー＞</v>
      </c>
      <c r="D1966" s="21">
        <v>10</v>
      </c>
      <c r="E1966" s="2">
        <f t="shared" si="393"/>
        <v>24</v>
      </c>
      <c r="F1966" s="2">
        <v>10</v>
      </c>
      <c r="G1966" s="3" t="s">
        <v>22</v>
      </c>
      <c r="H1966" s="2">
        <v>50</v>
      </c>
      <c r="I1966" s="114">
        <v>487100</v>
      </c>
      <c r="J1966" s="112" t="s">
        <v>2254</v>
      </c>
      <c r="K1966" s="112">
        <f t="shared" si="392"/>
        <v>487100</v>
      </c>
      <c r="L1966" s="2">
        <v>1</v>
      </c>
      <c r="M1966" s="2" t="s">
        <v>84</v>
      </c>
      <c r="N1966" s="2" t="s">
        <v>84</v>
      </c>
      <c r="O1966" s="2" t="s">
        <v>841</v>
      </c>
      <c r="P1966" s="2" t="s">
        <v>378</v>
      </c>
    </row>
    <row r="1967" spans="1:16" ht="22" customHeight="1" x14ac:dyDescent="0.15">
      <c r="A1967" s="10" t="str">
        <f t="shared" si="391"/>
        <v>487_10_25_10_polygon</v>
      </c>
      <c r="B1967" s="2">
        <v>487</v>
      </c>
      <c r="C1967" s="30" t="str">
        <f>VLOOKUP(B1967,gachas!A:C,3)</f>
        <v>フィーバーフェスティバル＜ボーア、シュレディンガー＞</v>
      </c>
      <c r="D1967" s="21">
        <v>10</v>
      </c>
      <c r="E1967" s="2">
        <f t="shared" si="393"/>
        <v>25</v>
      </c>
      <c r="F1967" s="2">
        <v>10</v>
      </c>
      <c r="G1967" s="3" t="s">
        <v>22</v>
      </c>
      <c r="H1967" s="2">
        <v>50</v>
      </c>
      <c r="I1967" s="114">
        <v>487100</v>
      </c>
      <c r="J1967" s="112">
        <v>487105</v>
      </c>
      <c r="K1967" s="112">
        <f t="shared" si="392"/>
        <v>487100</v>
      </c>
      <c r="L1967" s="2">
        <v>1</v>
      </c>
      <c r="M1967" s="2" t="s">
        <v>84</v>
      </c>
      <c r="N1967" s="2" t="s">
        <v>84</v>
      </c>
      <c r="O1967" s="2" t="s">
        <v>841</v>
      </c>
      <c r="P1967" s="2" t="s">
        <v>1763</v>
      </c>
    </row>
    <row r="1968" spans="1:16" ht="22" customHeight="1" x14ac:dyDescent="0.15">
      <c r="A1968" s="10" t="str">
        <f t="shared" si="391"/>
        <v>487_10_26_10_polygon</v>
      </c>
      <c r="B1968" s="2">
        <v>487</v>
      </c>
      <c r="C1968" s="30" t="str">
        <f>VLOOKUP(B1968,gachas!A:C,3)</f>
        <v>フィーバーフェスティバル＜ボーア、シュレディンガー＞</v>
      </c>
      <c r="D1968" s="21">
        <v>10</v>
      </c>
      <c r="E1968" s="2">
        <f t="shared" si="393"/>
        <v>26</v>
      </c>
      <c r="F1968" s="2">
        <v>10</v>
      </c>
      <c r="G1968" s="3" t="s">
        <v>22</v>
      </c>
      <c r="H1968" s="2">
        <v>50</v>
      </c>
      <c r="I1968" s="114">
        <v>487100</v>
      </c>
      <c r="J1968" s="112" t="s">
        <v>2254</v>
      </c>
      <c r="K1968" s="112">
        <f t="shared" si="392"/>
        <v>487100</v>
      </c>
      <c r="L1968" s="2">
        <v>1</v>
      </c>
      <c r="M1968" s="2" t="s">
        <v>84</v>
      </c>
      <c r="N1968" s="2" t="s">
        <v>84</v>
      </c>
      <c r="O1968" s="2" t="s">
        <v>841</v>
      </c>
      <c r="P1968" s="2" t="s">
        <v>378</v>
      </c>
    </row>
    <row r="1969" spans="1:16" ht="22" customHeight="1" x14ac:dyDescent="0.15">
      <c r="A1969" s="10" t="str">
        <f t="shared" si="391"/>
        <v>487_10_27_10_polygon</v>
      </c>
      <c r="B1969" s="2">
        <v>487</v>
      </c>
      <c r="C1969" s="30" t="str">
        <f>VLOOKUP(B1969,gachas!A:C,3)</f>
        <v>フィーバーフェスティバル＜ボーア、シュレディンガー＞</v>
      </c>
      <c r="D1969" s="21">
        <v>10</v>
      </c>
      <c r="E1969" s="2">
        <f t="shared" si="393"/>
        <v>27</v>
      </c>
      <c r="F1969" s="2">
        <v>10</v>
      </c>
      <c r="G1969" s="3" t="s">
        <v>22</v>
      </c>
      <c r="H1969" s="2">
        <v>50</v>
      </c>
      <c r="I1969" s="114">
        <v>487100</v>
      </c>
      <c r="J1969" s="112" t="s">
        <v>2254</v>
      </c>
      <c r="K1969" s="112">
        <f t="shared" si="392"/>
        <v>487100</v>
      </c>
      <c r="L1969" s="2">
        <v>1</v>
      </c>
      <c r="M1969" s="2" t="s">
        <v>84</v>
      </c>
      <c r="N1969" s="2" t="s">
        <v>84</v>
      </c>
      <c r="O1969" s="2" t="s">
        <v>841</v>
      </c>
      <c r="P1969" s="2" t="s">
        <v>378</v>
      </c>
    </row>
    <row r="1970" spans="1:16" ht="22" customHeight="1" x14ac:dyDescent="0.15">
      <c r="A1970" s="10" t="str">
        <f t="shared" si="391"/>
        <v>487_10_28_10_polygon</v>
      </c>
      <c r="B1970" s="2">
        <v>487</v>
      </c>
      <c r="C1970" s="30" t="str">
        <f>VLOOKUP(B1970,gachas!A:C,3)</f>
        <v>フィーバーフェスティバル＜ボーア、シュレディンガー＞</v>
      </c>
      <c r="D1970" s="21">
        <v>10</v>
      </c>
      <c r="E1970" s="2">
        <f t="shared" si="393"/>
        <v>28</v>
      </c>
      <c r="F1970" s="2">
        <v>10</v>
      </c>
      <c r="G1970" s="3" t="s">
        <v>22</v>
      </c>
      <c r="H1970" s="2">
        <v>50</v>
      </c>
      <c r="I1970" s="114">
        <v>487100</v>
      </c>
      <c r="J1970" s="112" t="s">
        <v>2254</v>
      </c>
      <c r="K1970" s="112">
        <f t="shared" si="392"/>
        <v>487100</v>
      </c>
      <c r="L1970" s="2">
        <v>1</v>
      </c>
      <c r="M1970" s="2" t="s">
        <v>84</v>
      </c>
      <c r="N1970" s="2" t="s">
        <v>84</v>
      </c>
      <c r="O1970" s="2" t="s">
        <v>841</v>
      </c>
      <c r="P1970" s="2" t="s">
        <v>378</v>
      </c>
    </row>
    <row r="1971" spans="1:16" ht="22" customHeight="1" x14ac:dyDescent="0.15">
      <c r="A1971" s="10" t="str">
        <f t="shared" si="391"/>
        <v>487_10_29_10_polygon</v>
      </c>
      <c r="B1971" s="2">
        <v>487</v>
      </c>
      <c r="C1971" s="30" t="str">
        <f>VLOOKUP(B1971,gachas!A:C,3)</f>
        <v>フィーバーフェスティバル＜ボーア、シュレディンガー＞</v>
      </c>
      <c r="D1971" s="21">
        <v>10</v>
      </c>
      <c r="E1971" s="2">
        <f t="shared" si="393"/>
        <v>29</v>
      </c>
      <c r="F1971" s="2">
        <v>10</v>
      </c>
      <c r="G1971" s="3" t="s">
        <v>22</v>
      </c>
      <c r="H1971" s="2">
        <v>50</v>
      </c>
      <c r="I1971" s="114">
        <v>487100</v>
      </c>
      <c r="J1971" s="112" t="s">
        <v>2254</v>
      </c>
      <c r="K1971" s="112">
        <f t="shared" si="392"/>
        <v>487100</v>
      </c>
      <c r="L1971" s="2">
        <v>1</v>
      </c>
      <c r="M1971" s="2" t="s">
        <v>84</v>
      </c>
      <c r="N1971" s="2" t="s">
        <v>84</v>
      </c>
      <c r="O1971" s="2" t="s">
        <v>841</v>
      </c>
      <c r="P1971" s="2" t="s">
        <v>378</v>
      </c>
    </row>
    <row r="1972" spans="1:16" ht="22" customHeight="1" x14ac:dyDescent="0.15">
      <c r="A1972" s="10" t="str">
        <f t="shared" si="391"/>
        <v>487_10_30_10_polygon</v>
      </c>
      <c r="B1972" s="2">
        <v>487</v>
      </c>
      <c r="C1972" s="30" t="str">
        <f>VLOOKUP(B1972,gachas!A:C,3)</f>
        <v>フィーバーフェスティバル＜ボーア、シュレディンガー＞</v>
      </c>
      <c r="D1972" s="21">
        <v>10</v>
      </c>
      <c r="E1972" s="2">
        <f t="shared" si="393"/>
        <v>30</v>
      </c>
      <c r="F1972" s="2">
        <v>10</v>
      </c>
      <c r="G1972" s="3" t="s">
        <v>22</v>
      </c>
      <c r="H1972" s="2">
        <v>50</v>
      </c>
      <c r="I1972" s="114">
        <v>487100</v>
      </c>
      <c r="J1972" s="112">
        <v>487105</v>
      </c>
      <c r="K1972" s="112">
        <f t="shared" si="392"/>
        <v>487100</v>
      </c>
      <c r="L1972" s="2">
        <v>1</v>
      </c>
      <c r="M1972" s="2" t="s">
        <v>84</v>
      </c>
      <c r="N1972" s="2" t="s">
        <v>84</v>
      </c>
      <c r="O1972" s="2" t="s">
        <v>841</v>
      </c>
      <c r="P1972" s="2" t="s">
        <v>1763</v>
      </c>
    </row>
    <row r="1973" spans="1:16" ht="22" customHeight="1" x14ac:dyDescent="0.15">
      <c r="A1973" s="10" t="str">
        <f t="shared" si="391"/>
        <v>487_10_31_10_polygon</v>
      </c>
      <c r="B1973" s="2">
        <v>487</v>
      </c>
      <c r="C1973" s="30" t="str">
        <f>VLOOKUP(B1973,gachas!A:C,3)</f>
        <v>フィーバーフェスティバル＜ボーア、シュレディンガー＞</v>
      </c>
      <c r="D1973" s="21">
        <v>10</v>
      </c>
      <c r="E1973" s="2">
        <f t="shared" si="393"/>
        <v>31</v>
      </c>
      <c r="F1973" s="2">
        <v>10</v>
      </c>
      <c r="G1973" s="3" t="s">
        <v>22</v>
      </c>
      <c r="H1973" s="2">
        <v>50</v>
      </c>
      <c r="I1973" s="114">
        <v>487100</v>
      </c>
      <c r="J1973" s="112" t="s">
        <v>2254</v>
      </c>
      <c r="K1973" s="112">
        <f t="shared" si="392"/>
        <v>487100</v>
      </c>
      <c r="L1973" s="2">
        <v>1</v>
      </c>
      <c r="M1973" s="2" t="s">
        <v>84</v>
      </c>
      <c r="N1973" s="2" t="s">
        <v>84</v>
      </c>
      <c r="O1973" s="2" t="s">
        <v>841</v>
      </c>
      <c r="P1973" s="2" t="s">
        <v>378</v>
      </c>
    </row>
    <row r="1974" spans="1:16" ht="22" customHeight="1" x14ac:dyDescent="0.15">
      <c r="A1974" s="10" t="str">
        <f t="shared" si="391"/>
        <v>487_10_32_10_polygon</v>
      </c>
      <c r="B1974" s="2">
        <v>487</v>
      </c>
      <c r="C1974" s="30" t="str">
        <f>VLOOKUP(B1974,gachas!A:C,3)</f>
        <v>フィーバーフェスティバル＜ボーア、シュレディンガー＞</v>
      </c>
      <c r="D1974" s="21">
        <v>10</v>
      </c>
      <c r="E1974" s="2">
        <f t="shared" si="393"/>
        <v>32</v>
      </c>
      <c r="F1974" s="2">
        <v>10</v>
      </c>
      <c r="G1974" s="3" t="s">
        <v>22</v>
      </c>
      <c r="H1974" s="2">
        <v>50</v>
      </c>
      <c r="I1974" s="114">
        <v>487100</v>
      </c>
      <c r="J1974" s="112" t="s">
        <v>2254</v>
      </c>
      <c r="K1974" s="112">
        <f t="shared" si="392"/>
        <v>487100</v>
      </c>
      <c r="L1974" s="2">
        <v>1</v>
      </c>
      <c r="M1974" s="2" t="s">
        <v>84</v>
      </c>
      <c r="N1974" s="2" t="s">
        <v>84</v>
      </c>
      <c r="O1974" s="2" t="s">
        <v>841</v>
      </c>
      <c r="P1974" s="2" t="s">
        <v>378</v>
      </c>
    </row>
    <row r="1975" spans="1:16" ht="22" customHeight="1" x14ac:dyDescent="0.15">
      <c r="A1975" s="10" t="str">
        <f t="shared" si="391"/>
        <v>487_10_33_10_polygon</v>
      </c>
      <c r="B1975" s="2">
        <v>487</v>
      </c>
      <c r="C1975" s="30" t="str">
        <f>VLOOKUP(B1975,gachas!A:C,3)</f>
        <v>フィーバーフェスティバル＜ボーア、シュレディンガー＞</v>
      </c>
      <c r="D1975" s="21">
        <v>10</v>
      </c>
      <c r="E1975" s="2">
        <f t="shared" si="393"/>
        <v>33</v>
      </c>
      <c r="F1975" s="2">
        <v>10</v>
      </c>
      <c r="G1975" s="3" t="s">
        <v>22</v>
      </c>
      <c r="H1975" s="2">
        <v>50</v>
      </c>
      <c r="I1975" s="114">
        <v>487100</v>
      </c>
      <c r="J1975" s="112" t="s">
        <v>2254</v>
      </c>
      <c r="K1975" s="112">
        <f t="shared" si="392"/>
        <v>487100</v>
      </c>
      <c r="L1975" s="2">
        <v>1</v>
      </c>
      <c r="M1975" s="2" t="s">
        <v>84</v>
      </c>
      <c r="N1975" s="2" t="s">
        <v>84</v>
      </c>
      <c r="O1975" s="2" t="s">
        <v>841</v>
      </c>
      <c r="P1975" s="2" t="s">
        <v>378</v>
      </c>
    </row>
    <row r="1976" spans="1:16" ht="22" customHeight="1" x14ac:dyDescent="0.15">
      <c r="A1976" s="10" t="str">
        <f t="shared" si="391"/>
        <v>487_10_34_10_polygon</v>
      </c>
      <c r="B1976" s="2">
        <v>487</v>
      </c>
      <c r="C1976" s="30" t="str">
        <f>VLOOKUP(B1976,gachas!A:C,3)</f>
        <v>フィーバーフェスティバル＜ボーア、シュレディンガー＞</v>
      </c>
      <c r="D1976" s="21">
        <v>10</v>
      </c>
      <c r="E1976" s="2">
        <f t="shared" si="393"/>
        <v>34</v>
      </c>
      <c r="F1976" s="2">
        <v>10</v>
      </c>
      <c r="G1976" s="3" t="s">
        <v>22</v>
      </c>
      <c r="H1976" s="2">
        <v>50</v>
      </c>
      <c r="I1976" s="114">
        <v>487100</v>
      </c>
      <c r="J1976" s="112" t="s">
        <v>2254</v>
      </c>
      <c r="K1976" s="112">
        <f t="shared" si="392"/>
        <v>487100</v>
      </c>
      <c r="L1976" s="2">
        <v>1</v>
      </c>
      <c r="M1976" s="2" t="s">
        <v>84</v>
      </c>
      <c r="N1976" s="2" t="s">
        <v>84</v>
      </c>
      <c r="O1976" s="2" t="s">
        <v>841</v>
      </c>
      <c r="P1976" s="2" t="s">
        <v>378</v>
      </c>
    </row>
    <row r="1977" spans="1:16" ht="22" customHeight="1" x14ac:dyDescent="0.15">
      <c r="A1977" s="10" t="str">
        <f t="shared" si="391"/>
        <v>487_10_35_10_polygon</v>
      </c>
      <c r="B1977" s="2">
        <v>487</v>
      </c>
      <c r="C1977" s="30" t="str">
        <f>VLOOKUP(B1977,gachas!A:C,3)</f>
        <v>フィーバーフェスティバル＜ボーア、シュレディンガー＞</v>
      </c>
      <c r="D1977" s="21">
        <v>10</v>
      </c>
      <c r="E1977" s="2">
        <f t="shared" si="393"/>
        <v>35</v>
      </c>
      <c r="F1977" s="2">
        <v>10</v>
      </c>
      <c r="G1977" s="3" t="s">
        <v>22</v>
      </c>
      <c r="H1977" s="2">
        <v>50</v>
      </c>
      <c r="I1977" s="114">
        <v>487100</v>
      </c>
      <c r="J1977" s="112">
        <v>487105</v>
      </c>
      <c r="K1977" s="112">
        <f t="shared" si="392"/>
        <v>487100</v>
      </c>
      <c r="L1977" s="2">
        <v>1</v>
      </c>
      <c r="M1977" s="2" t="s">
        <v>84</v>
      </c>
      <c r="N1977" s="2" t="s">
        <v>84</v>
      </c>
      <c r="O1977" s="2" t="s">
        <v>841</v>
      </c>
      <c r="P1977" s="2" t="s">
        <v>1763</v>
      </c>
    </row>
    <row r="1978" spans="1:16" ht="22" customHeight="1" x14ac:dyDescent="0.15">
      <c r="A1978" s="10" t="str">
        <f t="shared" si="391"/>
        <v>487_10_36_10_polygon</v>
      </c>
      <c r="B1978" s="2">
        <v>487</v>
      </c>
      <c r="C1978" s="30" t="str">
        <f>VLOOKUP(B1978,gachas!A:C,3)</f>
        <v>フィーバーフェスティバル＜ボーア、シュレディンガー＞</v>
      </c>
      <c r="D1978" s="21">
        <v>10</v>
      </c>
      <c r="E1978" s="2">
        <f t="shared" si="393"/>
        <v>36</v>
      </c>
      <c r="F1978" s="2">
        <v>10</v>
      </c>
      <c r="G1978" s="3" t="s">
        <v>22</v>
      </c>
      <c r="H1978" s="2">
        <v>50</v>
      </c>
      <c r="I1978" s="114">
        <v>487100</v>
      </c>
      <c r="J1978" s="112" t="s">
        <v>2254</v>
      </c>
      <c r="K1978" s="112">
        <f t="shared" si="392"/>
        <v>487100</v>
      </c>
      <c r="L1978" s="2">
        <v>1</v>
      </c>
      <c r="M1978" s="2" t="s">
        <v>84</v>
      </c>
      <c r="N1978" s="2" t="s">
        <v>84</v>
      </c>
      <c r="O1978" s="2" t="s">
        <v>841</v>
      </c>
      <c r="P1978" s="2" t="s">
        <v>378</v>
      </c>
    </row>
    <row r="1979" spans="1:16" ht="22" customHeight="1" x14ac:dyDescent="0.15">
      <c r="A1979" s="10" t="str">
        <f t="shared" si="391"/>
        <v>487_10_37_10_polygon</v>
      </c>
      <c r="B1979" s="2">
        <v>487</v>
      </c>
      <c r="C1979" s="30" t="str">
        <f>VLOOKUP(B1979,gachas!A:C,3)</f>
        <v>フィーバーフェスティバル＜ボーア、シュレディンガー＞</v>
      </c>
      <c r="D1979" s="21">
        <v>10</v>
      </c>
      <c r="E1979" s="2">
        <f t="shared" si="393"/>
        <v>37</v>
      </c>
      <c r="F1979" s="2">
        <v>10</v>
      </c>
      <c r="G1979" s="3" t="s">
        <v>22</v>
      </c>
      <c r="H1979" s="2">
        <v>50</v>
      </c>
      <c r="I1979" s="114">
        <v>487100</v>
      </c>
      <c r="J1979" s="112" t="s">
        <v>2254</v>
      </c>
      <c r="K1979" s="112">
        <f t="shared" si="392"/>
        <v>487100</v>
      </c>
      <c r="L1979" s="2">
        <v>1</v>
      </c>
      <c r="M1979" s="2" t="s">
        <v>84</v>
      </c>
      <c r="N1979" s="2" t="s">
        <v>84</v>
      </c>
      <c r="O1979" s="2" t="s">
        <v>841</v>
      </c>
      <c r="P1979" s="2" t="s">
        <v>378</v>
      </c>
    </row>
    <row r="1980" spans="1:16" ht="22" customHeight="1" x14ac:dyDescent="0.15">
      <c r="A1980" s="10" t="str">
        <f t="shared" si="391"/>
        <v>487_10_38_10_polygon</v>
      </c>
      <c r="B1980" s="2">
        <v>487</v>
      </c>
      <c r="C1980" s="30" t="str">
        <f>VLOOKUP(B1980,gachas!A:C,3)</f>
        <v>フィーバーフェスティバル＜ボーア、シュレディンガー＞</v>
      </c>
      <c r="D1980" s="21">
        <v>10</v>
      </c>
      <c r="E1980" s="2">
        <f t="shared" si="393"/>
        <v>38</v>
      </c>
      <c r="F1980" s="2">
        <v>10</v>
      </c>
      <c r="G1980" s="3" t="s">
        <v>22</v>
      </c>
      <c r="H1980" s="2">
        <v>50</v>
      </c>
      <c r="I1980" s="114">
        <v>487100</v>
      </c>
      <c r="J1980" s="112" t="s">
        <v>2254</v>
      </c>
      <c r="K1980" s="112">
        <f t="shared" si="392"/>
        <v>487100</v>
      </c>
      <c r="L1980" s="2">
        <v>1</v>
      </c>
      <c r="M1980" s="2" t="s">
        <v>84</v>
      </c>
      <c r="N1980" s="2" t="s">
        <v>84</v>
      </c>
      <c r="O1980" s="2" t="s">
        <v>841</v>
      </c>
      <c r="P1980" s="2" t="s">
        <v>378</v>
      </c>
    </row>
    <row r="1981" spans="1:16" ht="22" customHeight="1" x14ac:dyDescent="0.15">
      <c r="A1981" s="10" t="str">
        <f t="shared" si="391"/>
        <v>487_10_39_10_polygon</v>
      </c>
      <c r="B1981" s="2">
        <v>487</v>
      </c>
      <c r="C1981" s="30" t="str">
        <f>VLOOKUP(B1981,gachas!A:C,3)</f>
        <v>フィーバーフェスティバル＜ボーア、シュレディンガー＞</v>
      </c>
      <c r="D1981" s="21">
        <v>10</v>
      </c>
      <c r="E1981" s="2">
        <f t="shared" si="393"/>
        <v>39</v>
      </c>
      <c r="F1981" s="2">
        <v>10</v>
      </c>
      <c r="G1981" s="3" t="s">
        <v>22</v>
      </c>
      <c r="H1981" s="2">
        <v>50</v>
      </c>
      <c r="I1981" s="114">
        <v>487100</v>
      </c>
      <c r="J1981" s="112" t="s">
        <v>2254</v>
      </c>
      <c r="K1981" s="112">
        <f t="shared" si="392"/>
        <v>487100</v>
      </c>
      <c r="L1981" s="2">
        <v>1</v>
      </c>
      <c r="M1981" s="2" t="s">
        <v>84</v>
      </c>
      <c r="N1981" s="2" t="s">
        <v>84</v>
      </c>
      <c r="O1981" s="2" t="s">
        <v>841</v>
      </c>
      <c r="P1981" s="2" t="s">
        <v>378</v>
      </c>
    </row>
    <row r="1982" spans="1:16" ht="22" customHeight="1" x14ac:dyDescent="0.15">
      <c r="A1982" s="10" t="str">
        <f t="shared" si="391"/>
        <v>487_10_40_10_polygon</v>
      </c>
      <c r="B1982" s="2">
        <v>487</v>
      </c>
      <c r="C1982" s="30" t="str">
        <f>VLOOKUP(B1982,gachas!A:C,3)</f>
        <v>フィーバーフェスティバル＜ボーア、シュレディンガー＞</v>
      </c>
      <c r="D1982" s="21">
        <v>10</v>
      </c>
      <c r="E1982" s="2">
        <f t="shared" si="393"/>
        <v>40</v>
      </c>
      <c r="F1982" s="2">
        <v>10</v>
      </c>
      <c r="G1982" s="3" t="s">
        <v>22</v>
      </c>
      <c r="H1982" s="2">
        <v>50</v>
      </c>
      <c r="I1982" s="114">
        <v>487100</v>
      </c>
      <c r="J1982" s="112">
        <v>487105</v>
      </c>
      <c r="K1982" s="112">
        <f t="shared" si="392"/>
        <v>487100</v>
      </c>
      <c r="L1982" s="2">
        <v>1</v>
      </c>
      <c r="M1982" s="2" t="s">
        <v>84</v>
      </c>
      <c r="N1982" s="2" t="s">
        <v>84</v>
      </c>
      <c r="O1982" s="2" t="s">
        <v>841</v>
      </c>
      <c r="P1982" s="2" t="s">
        <v>1763</v>
      </c>
    </row>
    <row r="1983" spans="1:16" ht="22" customHeight="1" x14ac:dyDescent="0.15">
      <c r="A1983" s="10" t="str">
        <f t="shared" si="391"/>
        <v>487_10_41_10_polygon</v>
      </c>
      <c r="B1983" s="2">
        <v>487</v>
      </c>
      <c r="C1983" s="30" t="str">
        <f>VLOOKUP(B1983,gachas!A:C,3)</f>
        <v>フィーバーフェスティバル＜ボーア、シュレディンガー＞</v>
      </c>
      <c r="D1983" s="21">
        <v>10</v>
      </c>
      <c r="E1983" s="2">
        <f t="shared" si="393"/>
        <v>41</v>
      </c>
      <c r="F1983" s="2">
        <v>10</v>
      </c>
      <c r="G1983" s="3" t="s">
        <v>22</v>
      </c>
      <c r="H1983" s="2">
        <v>50</v>
      </c>
      <c r="I1983" s="114">
        <v>487100</v>
      </c>
      <c r="J1983" s="112" t="s">
        <v>2254</v>
      </c>
      <c r="K1983" s="112">
        <f t="shared" si="392"/>
        <v>487100</v>
      </c>
      <c r="L1983" s="2">
        <v>1</v>
      </c>
      <c r="M1983" s="2" t="s">
        <v>84</v>
      </c>
      <c r="N1983" s="2" t="s">
        <v>84</v>
      </c>
      <c r="O1983" s="2" t="s">
        <v>841</v>
      </c>
      <c r="P1983" s="2" t="s">
        <v>378</v>
      </c>
    </row>
    <row r="1984" spans="1:16" ht="22" customHeight="1" x14ac:dyDescent="0.15">
      <c r="A1984" s="10" t="str">
        <f t="shared" si="391"/>
        <v>487_10_42_10_polygon</v>
      </c>
      <c r="B1984" s="2">
        <v>487</v>
      </c>
      <c r="C1984" s="30" t="str">
        <f>VLOOKUP(B1984,gachas!A:C,3)</f>
        <v>フィーバーフェスティバル＜ボーア、シュレディンガー＞</v>
      </c>
      <c r="D1984" s="21">
        <v>10</v>
      </c>
      <c r="E1984" s="2">
        <f t="shared" si="393"/>
        <v>42</v>
      </c>
      <c r="F1984" s="2">
        <v>10</v>
      </c>
      <c r="G1984" s="3" t="s">
        <v>22</v>
      </c>
      <c r="H1984" s="2">
        <v>50</v>
      </c>
      <c r="I1984" s="114">
        <v>487100</v>
      </c>
      <c r="J1984" s="112" t="s">
        <v>2254</v>
      </c>
      <c r="K1984" s="112">
        <f t="shared" si="392"/>
        <v>487100</v>
      </c>
      <c r="L1984" s="2">
        <v>1</v>
      </c>
      <c r="M1984" s="2" t="s">
        <v>84</v>
      </c>
      <c r="N1984" s="2" t="s">
        <v>84</v>
      </c>
      <c r="O1984" s="2" t="s">
        <v>841</v>
      </c>
      <c r="P1984" s="2" t="s">
        <v>378</v>
      </c>
    </row>
    <row r="1985" spans="1:16" ht="22" customHeight="1" x14ac:dyDescent="0.15">
      <c r="A1985" s="10" t="str">
        <f t="shared" si="391"/>
        <v>487_10_43_10_polygon</v>
      </c>
      <c r="B1985" s="2">
        <v>487</v>
      </c>
      <c r="C1985" s="30" t="str">
        <f>VLOOKUP(B1985,gachas!A:C,3)</f>
        <v>フィーバーフェスティバル＜ボーア、シュレディンガー＞</v>
      </c>
      <c r="D1985" s="21">
        <v>10</v>
      </c>
      <c r="E1985" s="2">
        <f t="shared" si="393"/>
        <v>43</v>
      </c>
      <c r="F1985" s="2">
        <v>10</v>
      </c>
      <c r="G1985" s="3" t="s">
        <v>22</v>
      </c>
      <c r="H1985" s="2">
        <v>50</v>
      </c>
      <c r="I1985" s="114">
        <v>487100</v>
      </c>
      <c r="J1985" s="112" t="s">
        <v>2254</v>
      </c>
      <c r="K1985" s="112">
        <f t="shared" si="392"/>
        <v>487100</v>
      </c>
      <c r="L1985" s="2">
        <v>1</v>
      </c>
      <c r="M1985" s="2" t="s">
        <v>84</v>
      </c>
      <c r="N1985" s="2" t="s">
        <v>84</v>
      </c>
      <c r="O1985" s="2" t="s">
        <v>841</v>
      </c>
      <c r="P1985" s="2" t="s">
        <v>378</v>
      </c>
    </row>
    <row r="1986" spans="1:16" ht="22" customHeight="1" x14ac:dyDescent="0.15">
      <c r="A1986" s="10" t="str">
        <f t="shared" si="391"/>
        <v>487_10_44_10_polygon</v>
      </c>
      <c r="B1986" s="2">
        <v>487</v>
      </c>
      <c r="C1986" s="30" t="str">
        <f>VLOOKUP(B1986,gachas!A:C,3)</f>
        <v>フィーバーフェスティバル＜ボーア、シュレディンガー＞</v>
      </c>
      <c r="D1986" s="21">
        <v>10</v>
      </c>
      <c r="E1986" s="2">
        <f t="shared" si="393"/>
        <v>44</v>
      </c>
      <c r="F1986" s="2">
        <v>10</v>
      </c>
      <c r="G1986" s="3" t="s">
        <v>22</v>
      </c>
      <c r="H1986" s="2">
        <v>50</v>
      </c>
      <c r="I1986" s="114">
        <v>487100</v>
      </c>
      <c r="J1986" s="112" t="s">
        <v>2254</v>
      </c>
      <c r="K1986" s="112">
        <f t="shared" si="392"/>
        <v>487100</v>
      </c>
      <c r="L1986" s="2">
        <v>1</v>
      </c>
      <c r="M1986" s="2" t="s">
        <v>84</v>
      </c>
      <c r="N1986" s="2" t="s">
        <v>84</v>
      </c>
      <c r="O1986" s="2" t="s">
        <v>841</v>
      </c>
      <c r="P1986" s="2" t="s">
        <v>378</v>
      </c>
    </row>
    <row r="1987" spans="1:16" ht="22" customHeight="1" x14ac:dyDescent="0.15">
      <c r="A1987" s="10" t="str">
        <f t="shared" si="391"/>
        <v>487_10_45_10_polygon</v>
      </c>
      <c r="B1987" s="2">
        <v>487</v>
      </c>
      <c r="C1987" s="30" t="str">
        <f>VLOOKUP(B1987,gachas!A:C,3)</f>
        <v>フィーバーフェスティバル＜ボーア、シュレディンガー＞</v>
      </c>
      <c r="D1987" s="21">
        <v>10</v>
      </c>
      <c r="E1987" s="2">
        <f t="shared" si="393"/>
        <v>45</v>
      </c>
      <c r="F1987" s="2">
        <v>10</v>
      </c>
      <c r="G1987" s="3" t="s">
        <v>22</v>
      </c>
      <c r="H1987" s="2">
        <v>50</v>
      </c>
      <c r="I1987" s="114">
        <v>487100</v>
      </c>
      <c r="J1987" s="112">
        <v>487105</v>
      </c>
      <c r="K1987" s="112">
        <f t="shared" si="392"/>
        <v>487100</v>
      </c>
      <c r="L1987" s="2">
        <v>1</v>
      </c>
      <c r="M1987" s="2" t="s">
        <v>84</v>
      </c>
      <c r="N1987" s="2" t="s">
        <v>84</v>
      </c>
      <c r="O1987" s="2" t="s">
        <v>841</v>
      </c>
      <c r="P1987" s="2" t="s">
        <v>1763</v>
      </c>
    </row>
    <row r="1988" spans="1:16" ht="22" customHeight="1" x14ac:dyDescent="0.15">
      <c r="A1988" s="10" t="str">
        <f t="shared" si="391"/>
        <v>487_10_46_10_polygon</v>
      </c>
      <c r="B1988" s="2">
        <v>487</v>
      </c>
      <c r="C1988" s="30" t="str">
        <f>VLOOKUP(B1988,gachas!A:C,3)</f>
        <v>フィーバーフェスティバル＜ボーア、シュレディンガー＞</v>
      </c>
      <c r="D1988" s="21">
        <v>10</v>
      </c>
      <c r="E1988" s="2">
        <f t="shared" si="393"/>
        <v>46</v>
      </c>
      <c r="F1988" s="2">
        <v>10</v>
      </c>
      <c r="G1988" s="3" t="s">
        <v>22</v>
      </c>
      <c r="H1988" s="2">
        <v>50</v>
      </c>
      <c r="I1988" s="114">
        <v>487100</v>
      </c>
      <c r="J1988" s="112" t="s">
        <v>2254</v>
      </c>
      <c r="K1988" s="112">
        <f t="shared" si="392"/>
        <v>487100</v>
      </c>
      <c r="L1988" s="2">
        <v>1</v>
      </c>
      <c r="M1988" s="2" t="s">
        <v>84</v>
      </c>
      <c r="N1988" s="2" t="s">
        <v>84</v>
      </c>
      <c r="O1988" s="2" t="s">
        <v>841</v>
      </c>
      <c r="P1988" s="2" t="s">
        <v>378</v>
      </c>
    </row>
    <row r="1989" spans="1:16" ht="22" customHeight="1" x14ac:dyDescent="0.15">
      <c r="A1989" s="10" t="str">
        <f t="shared" si="391"/>
        <v>487_10_47_10_polygon</v>
      </c>
      <c r="B1989" s="2">
        <v>487</v>
      </c>
      <c r="C1989" s="30" t="str">
        <f>VLOOKUP(B1989,gachas!A:C,3)</f>
        <v>フィーバーフェスティバル＜ボーア、シュレディンガー＞</v>
      </c>
      <c r="D1989" s="21">
        <v>10</v>
      </c>
      <c r="E1989" s="2">
        <f t="shared" si="393"/>
        <v>47</v>
      </c>
      <c r="F1989" s="2">
        <v>10</v>
      </c>
      <c r="G1989" s="3" t="s">
        <v>22</v>
      </c>
      <c r="H1989" s="2">
        <v>50</v>
      </c>
      <c r="I1989" s="114">
        <v>487100</v>
      </c>
      <c r="J1989" s="112" t="s">
        <v>2254</v>
      </c>
      <c r="K1989" s="112">
        <f t="shared" si="392"/>
        <v>487100</v>
      </c>
      <c r="L1989" s="2">
        <v>1</v>
      </c>
      <c r="M1989" s="2" t="s">
        <v>84</v>
      </c>
      <c r="N1989" s="2" t="s">
        <v>84</v>
      </c>
      <c r="O1989" s="2" t="s">
        <v>841</v>
      </c>
      <c r="P1989" s="2" t="s">
        <v>378</v>
      </c>
    </row>
    <row r="1990" spans="1:16" ht="22" customHeight="1" x14ac:dyDescent="0.15">
      <c r="A1990" s="10" t="str">
        <f t="shared" si="391"/>
        <v>487_10_48_10_polygon</v>
      </c>
      <c r="B1990" s="2">
        <v>487</v>
      </c>
      <c r="C1990" s="30" t="str">
        <f>VLOOKUP(B1990,gachas!A:C,3)</f>
        <v>フィーバーフェスティバル＜ボーア、シュレディンガー＞</v>
      </c>
      <c r="D1990" s="21">
        <v>10</v>
      </c>
      <c r="E1990" s="2">
        <f t="shared" si="393"/>
        <v>48</v>
      </c>
      <c r="F1990" s="2">
        <v>10</v>
      </c>
      <c r="G1990" s="3" t="s">
        <v>22</v>
      </c>
      <c r="H1990" s="2">
        <v>50</v>
      </c>
      <c r="I1990" s="114">
        <v>487100</v>
      </c>
      <c r="J1990" s="112" t="s">
        <v>2254</v>
      </c>
      <c r="K1990" s="112">
        <f t="shared" si="392"/>
        <v>487100</v>
      </c>
      <c r="L1990" s="2">
        <v>1</v>
      </c>
      <c r="M1990" s="2" t="s">
        <v>84</v>
      </c>
      <c r="N1990" s="2" t="s">
        <v>84</v>
      </c>
      <c r="O1990" s="2" t="s">
        <v>841</v>
      </c>
      <c r="P1990" s="2" t="s">
        <v>378</v>
      </c>
    </row>
    <row r="1991" spans="1:16" ht="22" customHeight="1" x14ac:dyDescent="0.15">
      <c r="A1991" s="10" t="str">
        <f t="shared" si="391"/>
        <v>487_10_49_10_polygon</v>
      </c>
      <c r="B1991" s="2">
        <v>487</v>
      </c>
      <c r="C1991" s="30" t="str">
        <f>VLOOKUP(B1991,gachas!A:C,3)</f>
        <v>フィーバーフェスティバル＜ボーア、シュレディンガー＞</v>
      </c>
      <c r="D1991" s="21">
        <v>10</v>
      </c>
      <c r="E1991" s="2">
        <f t="shared" si="393"/>
        <v>49</v>
      </c>
      <c r="F1991" s="2">
        <v>10</v>
      </c>
      <c r="G1991" s="3" t="s">
        <v>22</v>
      </c>
      <c r="H1991" s="2">
        <v>50</v>
      </c>
      <c r="I1991" s="114">
        <v>487100</v>
      </c>
      <c r="J1991" s="112" t="s">
        <v>2254</v>
      </c>
      <c r="K1991" s="112">
        <f t="shared" si="392"/>
        <v>487100</v>
      </c>
      <c r="L1991" s="2">
        <v>1</v>
      </c>
      <c r="M1991" s="2" t="s">
        <v>84</v>
      </c>
      <c r="N1991" s="2" t="s">
        <v>84</v>
      </c>
      <c r="O1991" s="2" t="s">
        <v>841</v>
      </c>
      <c r="P1991" s="2" t="s">
        <v>378</v>
      </c>
    </row>
    <row r="1992" spans="1:16" ht="22" customHeight="1" x14ac:dyDescent="0.15">
      <c r="A1992" s="10" t="str">
        <f t="shared" si="391"/>
        <v>487_10_50_10_polygon</v>
      </c>
      <c r="B1992" s="2">
        <v>487</v>
      </c>
      <c r="C1992" s="30" t="str">
        <f>VLOOKUP(B1992,gachas!A:C,3)</f>
        <v>フィーバーフェスティバル＜ボーア、シュレディンガー＞</v>
      </c>
      <c r="D1992" s="21">
        <v>10</v>
      </c>
      <c r="E1992" s="2">
        <f t="shared" si="393"/>
        <v>50</v>
      </c>
      <c r="F1992" s="2">
        <v>10</v>
      </c>
      <c r="G1992" s="3" t="s">
        <v>22</v>
      </c>
      <c r="H1992" s="2">
        <v>50</v>
      </c>
      <c r="I1992" s="114">
        <v>487100</v>
      </c>
      <c r="J1992" s="112">
        <v>487105</v>
      </c>
      <c r="K1992" s="112">
        <f t="shared" si="392"/>
        <v>487100</v>
      </c>
      <c r="L1992" s="2">
        <v>1</v>
      </c>
      <c r="M1992" s="2" t="s">
        <v>84</v>
      </c>
      <c r="N1992" s="2" t="s">
        <v>84</v>
      </c>
      <c r="O1992" s="2" t="s">
        <v>841</v>
      </c>
      <c r="P1992" s="2" t="s">
        <v>1763</v>
      </c>
    </row>
    <row r="1993" spans="1:16" ht="22" customHeight="1" x14ac:dyDescent="0.15">
      <c r="A1993" s="10" t="str">
        <f t="shared" si="391"/>
        <v>488_1_0_1_polygon</v>
      </c>
      <c r="B1993" s="2">
        <v>488</v>
      </c>
      <c r="C1993" s="30" t="str">
        <f>VLOOKUP(B1993,gachas!A:C,3)</f>
        <v>フィーバーフェスティバル＜ボーア、ハップル＞</v>
      </c>
      <c r="D1993" s="21">
        <v>1</v>
      </c>
      <c r="E1993" s="2">
        <v>0</v>
      </c>
      <c r="F1993" s="2">
        <v>1</v>
      </c>
      <c r="G1993" s="3" t="s">
        <v>22</v>
      </c>
      <c r="H1993" s="2">
        <v>5</v>
      </c>
      <c r="I1993" s="114" t="str">
        <f t="shared" ref="I1993" si="394">B1993&amp;TEXT(D1993,"00")&amp;E1993</f>
        <v>488010</v>
      </c>
      <c r="J1993" s="112" t="s">
        <v>2254</v>
      </c>
      <c r="K1993" s="112" t="s">
        <v>84</v>
      </c>
      <c r="L1993" s="2">
        <v>0</v>
      </c>
      <c r="M1993" s="2" t="s">
        <v>84</v>
      </c>
      <c r="N1993" s="2" t="s">
        <v>84</v>
      </c>
      <c r="O1993" s="2" t="s">
        <v>841</v>
      </c>
      <c r="P1993" s="2" t="s">
        <v>1796</v>
      </c>
    </row>
    <row r="1994" spans="1:16" ht="22" customHeight="1" x14ac:dyDescent="0.15">
      <c r="A1994" s="10" t="str">
        <f t="shared" si="391"/>
        <v>488_10_0_10_polygon</v>
      </c>
      <c r="B1994" s="2">
        <v>488</v>
      </c>
      <c r="C1994" s="30" t="str">
        <f>VLOOKUP(B1994,gachas!A:C,3)</f>
        <v>フィーバーフェスティバル＜ボーア、ハップル＞</v>
      </c>
      <c r="D1994" s="21">
        <v>10</v>
      </c>
      <c r="E1994" s="2">
        <v>0</v>
      </c>
      <c r="F1994" s="2">
        <v>10</v>
      </c>
      <c r="G1994" s="3" t="s">
        <v>22</v>
      </c>
      <c r="H1994" s="2">
        <v>50</v>
      </c>
      <c r="I1994" s="114">
        <v>488100</v>
      </c>
      <c r="J1994" s="112" t="s">
        <v>2254</v>
      </c>
      <c r="K1994" s="112">
        <f t="shared" si="392"/>
        <v>488100</v>
      </c>
      <c r="L1994" s="2">
        <v>1</v>
      </c>
      <c r="M1994" s="2" t="s">
        <v>84</v>
      </c>
      <c r="N1994" s="2" t="s">
        <v>84</v>
      </c>
      <c r="O1994" s="2" t="s">
        <v>841</v>
      </c>
      <c r="P1994" s="2" t="s">
        <v>378</v>
      </c>
    </row>
    <row r="1995" spans="1:16" ht="22" customHeight="1" x14ac:dyDescent="0.15">
      <c r="A1995" s="10" t="str">
        <f t="shared" si="391"/>
        <v>488_10_1_10_polygon</v>
      </c>
      <c r="B1995" s="2">
        <v>488</v>
      </c>
      <c r="C1995" s="30" t="str">
        <f>VLOOKUP(B1995,gachas!A:C,3)</f>
        <v>フィーバーフェスティバル＜ボーア、ハップル＞</v>
      </c>
      <c r="D1995" s="21">
        <v>10</v>
      </c>
      <c r="E1995" s="2">
        <f>E1994+1</f>
        <v>1</v>
      </c>
      <c r="F1995" s="2">
        <v>10</v>
      </c>
      <c r="G1995" s="3" t="s">
        <v>22</v>
      </c>
      <c r="H1995" s="2">
        <v>50</v>
      </c>
      <c r="I1995" s="114">
        <v>488100</v>
      </c>
      <c r="J1995" s="112" t="s">
        <v>2254</v>
      </c>
      <c r="K1995" s="112">
        <f t="shared" si="392"/>
        <v>488100</v>
      </c>
      <c r="L1995" s="2">
        <v>1</v>
      </c>
      <c r="M1995" s="2" t="s">
        <v>84</v>
      </c>
      <c r="N1995" s="2" t="s">
        <v>84</v>
      </c>
      <c r="O1995" s="2" t="s">
        <v>841</v>
      </c>
      <c r="P1995" s="2" t="s">
        <v>378</v>
      </c>
    </row>
    <row r="1996" spans="1:16" ht="22" customHeight="1" x14ac:dyDescent="0.15">
      <c r="A1996" s="10" t="str">
        <f t="shared" si="391"/>
        <v>488_10_2_10_polygon</v>
      </c>
      <c r="B1996" s="2">
        <v>488</v>
      </c>
      <c r="C1996" s="30" t="str">
        <f>VLOOKUP(B1996,gachas!A:C,3)</f>
        <v>フィーバーフェスティバル＜ボーア、ハップル＞</v>
      </c>
      <c r="D1996" s="21">
        <v>10</v>
      </c>
      <c r="E1996" s="2">
        <f t="shared" ref="E1996:E2044" si="395">E1995+1</f>
        <v>2</v>
      </c>
      <c r="F1996" s="2">
        <v>10</v>
      </c>
      <c r="G1996" s="3" t="s">
        <v>22</v>
      </c>
      <c r="H1996" s="2">
        <v>50</v>
      </c>
      <c r="I1996" s="114">
        <v>488100</v>
      </c>
      <c r="J1996" s="112" t="s">
        <v>2254</v>
      </c>
      <c r="K1996" s="112">
        <f t="shared" si="392"/>
        <v>488100</v>
      </c>
      <c r="L1996" s="2">
        <v>1</v>
      </c>
      <c r="M1996" s="2" t="s">
        <v>84</v>
      </c>
      <c r="N1996" s="2" t="s">
        <v>84</v>
      </c>
      <c r="O1996" s="2" t="s">
        <v>841</v>
      </c>
      <c r="P1996" s="2" t="s">
        <v>378</v>
      </c>
    </row>
    <row r="1997" spans="1:16" ht="22" customHeight="1" x14ac:dyDescent="0.15">
      <c r="A1997" s="10" t="str">
        <f t="shared" si="391"/>
        <v>488_10_3_10_polygon</v>
      </c>
      <c r="B1997" s="2">
        <v>488</v>
      </c>
      <c r="C1997" s="30" t="str">
        <f>VLOOKUP(B1997,gachas!A:C,3)</f>
        <v>フィーバーフェスティバル＜ボーア、ハップル＞</v>
      </c>
      <c r="D1997" s="21">
        <v>10</v>
      </c>
      <c r="E1997" s="2">
        <f t="shared" si="395"/>
        <v>3</v>
      </c>
      <c r="F1997" s="2">
        <v>10</v>
      </c>
      <c r="G1997" s="3" t="s">
        <v>22</v>
      </c>
      <c r="H1997" s="2">
        <v>50</v>
      </c>
      <c r="I1997" s="114">
        <v>488100</v>
      </c>
      <c r="J1997" s="112" t="s">
        <v>2254</v>
      </c>
      <c r="K1997" s="112">
        <f t="shared" si="392"/>
        <v>488100</v>
      </c>
      <c r="L1997" s="2">
        <v>1</v>
      </c>
      <c r="M1997" s="2" t="s">
        <v>84</v>
      </c>
      <c r="N1997" s="2" t="s">
        <v>84</v>
      </c>
      <c r="O1997" s="2" t="s">
        <v>841</v>
      </c>
      <c r="P1997" s="2" t="s">
        <v>378</v>
      </c>
    </row>
    <row r="1998" spans="1:16" ht="22" customHeight="1" x14ac:dyDescent="0.15">
      <c r="A1998" s="10" t="str">
        <f t="shared" si="391"/>
        <v>488_10_4_10_polygon</v>
      </c>
      <c r="B1998" s="2">
        <v>488</v>
      </c>
      <c r="C1998" s="30" t="str">
        <f>VLOOKUP(B1998,gachas!A:C,3)</f>
        <v>フィーバーフェスティバル＜ボーア、ハップル＞</v>
      </c>
      <c r="D1998" s="21">
        <v>10</v>
      </c>
      <c r="E1998" s="2">
        <f t="shared" si="395"/>
        <v>4</v>
      </c>
      <c r="F1998" s="2">
        <v>10</v>
      </c>
      <c r="G1998" s="3" t="s">
        <v>22</v>
      </c>
      <c r="H1998" s="2">
        <v>50</v>
      </c>
      <c r="I1998" s="114">
        <v>488100</v>
      </c>
      <c r="J1998" s="112" t="s">
        <v>2254</v>
      </c>
      <c r="K1998" s="112">
        <f t="shared" si="392"/>
        <v>488100</v>
      </c>
      <c r="L1998" s="2">
        <v>1</v>
      </c>
      <c r="M1998" s="2" t="s">
        <v>84</v>
      </c>
      <c r="N1998" s="2" t="s">
        <v>84</v>
      </c>
      <c r="O1998" s="2" t="s">
        <v>841</v>
      </c>
      <c r="P1998" s="2" t="s">
        <v>378</v>
      </c>
    </row>
    <row r="1999" spans="1:16" ht="22" customHeight="1" x14ac:dyDescent="0.15">
      <c r="A1999" s="10" t="str">
        <f t="shared" si="391"/>
        <v>488_10_5_10_polygon</v>
      </c>
      <c r="B1999" s="2">
        <v>488</v>
      </c>
      <c r="C1999" s="30" t="str">
        <f>VLOOKUP(B1999,gachas!A:C,3)</f>
        <v>フィーバーフェスティバル＜ボーア、ハップル＞</v>
      </c>
      <c r="D1999" s="21">
        <v>10</v>
      </c>
      <c r="E1999" s="2">
        <f t="shared" si="395"/>
        <v>5</v>
      </c>
      <c r="F1999" s="2">
        <v>10</v>
      </c>
      <c r="G1999" s="3" t="s">
        <v>22</v>
      </c>
      <c r="H1999" s="2">
        <v>50</v>
      </c>
      <c r="I1999" s="114">
        <v>488100</v>
      </c>
      <c r="J1999" s="112">
        <v>488105</v>
      </c>
      <c r="K1999" s="112">
        <f t="shared" si="392"/>
        <v>488100</v>
      </c>
      <c r="L1999" s="2">
        <v>1</v>
      </c>
      <c r="M1999" s="2" t="s">
        <v>84</v>
      </c>
      <c r="N1999" s="2" t="s">
        <v>84</v>
      </c>
      <c r="O1999" s="2" t="s">
        <v>841</v>
      </c>
      <c r="P1999" s="2" t="s">
        <v>1763</v>
      </c>
    </row>
    <row r="2000" spans="1:16" ht="22" customHeight="1" x14ac:dyDescent="0.15">
      <c r="A2000" s="10" t="str">
        <f t="shared" si="391"/>
        <v>488_10_6_10_polygon</v>
      </c>
      <c r="B2000" s="2">
        <v>488</v>
      </c>
      <c r="C2000" s="30" t="str">
        <f>VLOOKUP(B2000,gachas!A:C,3)</f>
        <v>フィーバーフェスティバル＜ボーア、ハップル＞</v>
      </c>
      <c r="D2000" s="21">
        <v>10</v>
      </c>
      <c r="E2000" s="2">
        <f t="shared" si="395"/>
        <v>6</v>
      </c>
      <c r="F2000" s="2">
        <v>10</v>
      </c>
      <c r="G2000" s="3" t="s">
        <v>22</v>
      </c>
      <c r="H2000" s="2">
        <v>50</v>
      </c>
      <c r="I2000" s="114">
        <v>488100</v>
      </c>
      <c r="J2000" s="112" t="s">
        <v>2254</v>
      </c>
      <c r="K2000" s="112">
        <f t="shared" si="392"/>
        <v>488100</v>
      </c>
      <c r="L2000" s="2">
        <v>1</v>
      </c>
      <c r="M2000" s="2" t="s">
        <v>84</v>
      </c>
      <c r="N2000" s="2" t="s">
        <v>84</v>
      </c>
      <c r="O2000" s="2" t="s">
        <v>841</v>
      </c>
      <c r="P2000" s="2" t="s">
        <v>378</v>
      </c>
    </row>
    <row r="2001" spans="1:16" ht="22" customHeight="1" x14ac:dyDescent="0.15">
      <c r="A2001" s="10" t="str">
        <f t="shared" ref="A2001:A2064" si="396">B2001&amp;"_"&amp;D2001&amp;"_"&amp;E2001&amp;"_"&amp;F2001&amp;"_"&amp;G2001</f>
        <v>488_10_7_10_polygon</v>
      </c>
      <c r="B2001" s="2">
        <v>488</v>
      </c>
      <c r="C2001" s="30" t="str">
        <f>VLOOKUP(B2001,gachas!A:C,3)</f>
        <v>フィーバーフェスティバル＜ボーア、ハップル＞</v>
      </c>
      <c r="D2001" s="21">
        <v>10</v>
      </c>
      <c r="E2001" s="2">
        <f t="shared" si="395"/>
        <v>7</v>
      </c>
      <c r="F2001" s="2">
        <v>10</v>
      </c>
      <c r="G2001" s="3" t="s">
        <v>22</v>
      </c>
      <c r="H2001" s="2">
        <v>50</v>
      </c>
      <c r="I2001" s="114">
        <v>488100</v>
      </c>
      <c r="J2001" s="112" t="s">
        <v>2254</v>
      </c>
      <c r="K2001" s="112">
        <f t="shared" si="392"/>
        <v>488100</v>
      </c>
      <c r="L2001" s="2">
        <v>1</v>
      </c>
      <c r="M2001" s="2" t="s">
        <v>84</v>
      </c>
      <c r="N2001" s="2" t="s">
        <v>84</v>
      </c>
      <c r="O2001" s="2" t="s">
        <v>841</v>
      </c>
      <c r="P2001" s="2" t="s">
        <v>378</v>
      </c>
    </row>
    <row r="2002" spans="1:16" ht="22" customHeight="1" x14ac:dyDescent="0.15">
      <c r="A2002" s="10" t="str">
        <f t="shared" si="396"/>
        <v>488_10_8_10_polygon</v>
      </c>
      <c r="B2002" s="2">
        <v>488</v>
      </c>
      <c r="C2002" s="30" t="str">
        <f>VLOOKUP(B2002,gachas!A:C,3)</f>
        <v>フィーバーフェスティバル＜ボーア、ハップル＞</v>
      </c>
      <c r="D2002" s="21">
        <v>10</v>
      </c>
      <c r="E2002" s="2">
        <f t="shared" si="395"/>
        <v>8</v>
      </c>
      <c r="F2002" s="2">
        <v>10</v>
      </c>
      <c r="G2002" s="3" t="s">
        <v>22</v>
      </c>
      <c r="H2002" s="2">
        <v>50</v>
      </c>
      <c r="I2002" s="114">
        <v>488100</v>
      </c>
      <c r="J2002" s="112" t="s">
        <v>2254</v>
      </c>
      <c r="K2002" s="112">
        <f t="shared" si="392"/>
        <v>488100</v>
      </c>
      <c r="L2002" s="2">
        <v>1</v>
      </c>
      <c r="M2002" s="2" t="s">
        <v>84</v>
      </c>
      <c r="N2002" s="2" t="s">
        <v>84</v>
      </c>
      <c r="O2002" s="2" t="s">
        <v>841</v>
      </c>
      <c r="P2002" s="2" t="s">
        <v>378</v>
      </c>
    </row>
    <row r="2003" spans="1:16" ht="22" customHeight="1" x14ac:dyDescent="0.15">
      <c r="A2003" s="10" t="str">
        <f t="shared" si="396"/>
        <v>488_10_9_10_polygon</v>
      </c>
      <c r="B2003" s="2">
        <v>488</v>
      </c>
      <c r="C2003" s="30" t="str">
        <f>VLOOKUP(B2003,gachas!A:C,3)</f>
        <v>フィーバーフェスティバル＜ボーア、ハップル＞</v>
      </c>
      <c r="D2003" s="21">
        <v>10</v>
      </c>
      <c r="E2003" s="2">
        <f t="shared" si="395"/>
        <v>9</v>
      </c>
      <c r="F2003" s="2">
        <v>10</v>
      </c>
      <c r="G2003" s="3" t="s">
        <v>22</v>
      </c>
      <c r="H2003" s="2">
        <v>50</v>
      </c>
      <c r="I2003" s="114">
        <v>488100</v>
      </c>
      <c r="J2003" s="112" t="s">
        <v>2254</v>
      </c>
      <c r="K2003" s="112">
        <f t="shared" si="392"/>
        <v>488100</v>
      </c>
      <c r="L2003" s="2">
        <v>1</v>
      </c>
      <c r="M2003" s="2" t="s">
        <v>84</v>
      </c>
      <c r="N2003" s="2" t="s">
        <v>84</v>
      </c>
      <c r="O2003" s="2" t="s">
        <v>841</v>
      </c>
      <c r="P2003" s="2" t="s">
        <v>378</v>
      </c>
    </row>
    <row r="2004" spans="1:16" ht="22" customHeight="1" x14ac:dyDescent="0.15">
      <c r="A2004" s="10" t="str">
        <f t="shared" si="396"/>
        <v>488_10_10_10_polygon</v>
      </c>
      <c r="B2004" s="2">
        <v>488</v>
      </c>
      <c r="C2004" s="30" t="str">
        <f>VLOOKUP(B2004,gachas!A:C,3)</f>
        <v>フィーバーフェスティバル＜ボーア、ハップル＞</v>
      </c>
      <c r="D2004" s="21">
        <v>10</v>
      </c>
      <c r="E2004" s="2">
        <f t="shared" si="395"/>
        <v>10</v>
      </c>
      <c r="F2004" s="2">
        <v>10</v>
      </c>
      <c r="G2004" s="3" t="s">
        <v>22</v>
      </c>
      <c r="H2004" s="2">
        <v>50</v>
      </c>
      <c r="I2004" s="114">
        <v>488100</v>
      </c>
      <c r="J2004" s="112">
        <v>488105</v>
      </c>
      <c r="K2004" s="112">
        <f t="shared" si="392"/>
        <v>488100</v>
      </c>
      <c r="L2004" s="2">
        <v>1</v>
      </c>
      <c r="M2004" s="2" t="s">
        <v>84</v>
      </c>
      <c r="N2004" s="2" t="s">
        <v>84</v>
      </c>
      <c r="O2004" s="2" t="s">
        <v>841</v>
      </c>
      <c r="P2004" s="2" t="s">
        <v>1763</v>
      </c>
    </row>
    <row r="2005" spans="1:16" ht="22" customHeight="1" x14ac:dyDescent="0.15">
      <c r="A2005" s="10" t="str">
        <f t="shared" si="396"/>
        <v>488_10_11_10_polygon</v>
      </c>
      <c r="B2005" s="2">
        <v>488</v>
      </c>
      <c r="C2005" s="30" t="str">
        <f>VLOOKUP(B2005,gachas!A:C,3)</f>
        <v>フィーバーフェスティバル＜ボーア、ハップル＞</v>
      </c>
      <c r="D2005" s="21">
        <v>10</v>
      </c>
      <c r="E2005" s="2">
        <f t="shared" si="395"/>
        <v>11</v>
      </c>
      <c r="F2005" s="2">
        <v>10</v>
      </c>
      <c r="G2005" s="3" t="s">
        <v>22</v>
      </c>
      <c r="H2005" s="2">
        <v>50</v>
      </c>
      <c r="I2005" s="114">
        <v>488100</v>
      </c>
      <c r="J2005" s="112" t="s">
        <v>2254</v>
      </c>
      <c r="K2005" s="112">
        <f t="shared" si="392"/>
        <v>488100</v>
      </c>
      <c r="L2005" s="2">
        <v>1</v>
      </c>
      <c r="M2005" s="2" t="s">
        <v>84</v>
      </c>
      <c r="N2005" s="2" t="s">
        <v>84</v>
      </c>
      <c r="O2005" s="2" t="s">
        <v>841</v>
      </c>
      <c r="P2005" s="2" t="s">
        <v>378</v>
      </c>
    </row>
    <row r="2006" spans="1:16" ht="22" customHeight="1" x14ac:dyDescent="0.15">
      <c r="A2006" s="10" t="str">
        <f t="shared" si="396"/>
        <v>488_10_12_10_polygon</v>
      </c>
      <c r="B2006" s="2">
        <v>488</v>
      </c>
      <c r="C2006" s="30" t="str">
        <f>VLOOKUP(B2006,gachas!A:C,3)</f>
        <v>フィーバーフェスティバル＜ボーア、ハップル＞</v>
      </c>
      <c r="D2006" s="21">
        <v>10</v>
      </c>
      <c r="E2006" s="2">
        <f t="shared" si="395"/>
        <v>12</v>
      </c>
      <c r="F2006" s="2">
        <v>10</v>
      </c>
      <c r="G2006" s="3" t="s">
        <v>22</v>
      </c>
      <c r="H2006" s="2">
        <v>50</v>
      </c>
      <c r="I2006" s="114">
        <v>488100</v>
      </c>
      <c r="J2006" s="112" t="s">
        <v>2254</v>
      </c>
      <c r="K2006" s="112">
        <f t="shared" si="392"/>
        <v>488100</v>
      </c>
      <c r="L2006" s="2">
        <v>1</v>
      </c>
      <c r="M2006" s="2" t="s">
        <v>84</v>
      </c>
      <c r="N2006" s="2" t="s">
        <v>84</v>
      </c>
      <c r="O2006" s="2" t="s">
        <v>841</v>
      </c>
      <c r="P2006" s="2" t="s">
        <v>378</v>
      </c>
    </row>
    <row r="2007" spans="1:16" ht="22" customHeight="1" x14ac:dyDescent="0.15">
      <c r="A2007" s="10" t="str">
        <f t="shared" si="396"/>
        <v>488_10_13_10_polygon</v>
      </c>
      <c r="B2007" s="2">
        <v>488</v>
      </c>
      <c r="C2007" s="30" t="str">
        <f>VLOOKUP(B2007,gachas!A:C,3)</f>
        <v>フィーバーフェスティバル＜ボーア、ハップル＞</v>
      </c>
      <c r="D2007" s="21">
        <v>10</v>
      </c>
      <c r="E2007" s="2">
        <f t="shared" si="395"/>
        <v>13</v>
      </c>
      <c r="F2007" s="2">
        <v>10</v>
      </c>
      <c r="G2007" s="3" t="s">
        <v>22</v>
      </c>
      <c r="H2007" s="2">
        <v>50</v>
      </c>
      <c r="I2007" s="114">
        <v>488100</v>
      </c>
      <c r="J2007" s="112" t="s">
        <v>2254</v>
      </c>
      <c r="K2007" s="112">
        <f t="shared" ref="K2007:K2070" si="397">I2007</f>
        <v>488100</v>
      </c>
      <c r="L2007" s="2">
        <v>1</v>
      </c>
      <c r="M2007" s="2" t="s">
        <v>84</v>
      </c>
      <c r="N2007" s="2" t="s">
        <v>84</v>
      </c>
      <c r="O2007" s="2" t="s">
        <v>841</v>
      </c>
      <c r="P2007" s="2" t="s">
        <v>378</v>
      </c>
    </row>
    <row r="2008" spans="1:16" ht="22" customHeight="1" x14ac:dyDescent="0.15">
      <c r="A2008" s="10" t="str">
        <f t="shared" si="396"/>
        <v>488_10_14_10_polygon</v>
      </c>
      <c r="B2008" s="2">
        <v>488</v>
      </c>
      <c r="C2008" s="30" t="str">
        <f>VLOOKUP(B2008,gachas!A:C,3)</f>
        <v>フィーバーフェスティバル＜ボーア、ハップル＞</v>
      </c>
      <c r="D2008" s="21">
        <v>10</v>
      </c>
      <c r="E2008" s="2">
        <f t="shared" si="395"/>
        <v>14</v>
      </c>
      <c r="F2008" s="2">
        <v>10</v>
      </c>
      <c r="G2008" s="3" t="s">
        <v>22</v>
      </c>
      <c r="H2008" s="2">
        <v>50</v>
      </c>
      <c r="I2008" s="114">
        <v>488100</v>
      </c>
      <c r="J2008" s="112" t="s">
        <v>2254</v>
      </c>
      <c r="K2008" s="112">
        <f t="shared" si="397"/>
        <v>488100</v>
      </c>
      <c r="L2008" s="2">
        <v>1</v>
      </c>
      <c r="M2008" s="2" t="s">
        <v>84</v>
      </c>
      <c r="N2008" s="2" t="s">
        <v>84</v>
      </c>
      <c r="O2008" s="2" t="s">
        <v>841</v>
      </c>
      <c r="P2008" s="2" t="s">
        <v>378</v>
      </c>
    </row>
    <row r="2009" spans="1:16" ht="22" customHeight="1" x14ac:dyDescent="0.15">
      <c r="A2009" s="10" t="str">
        <f t="shared" si="396"/>
        <v>488_10_15_10_polygon</v>
      </c>
      <c r="B2009" s="2">
        <v>488</v>
      </c>
      <c r="C2009" s="30" t="str">
        <f>VLOOKUP(B2009,gachas!A:C,3)</f>
        <v>フィーバーフェスティバル＜ボーア、ハップル＞</v>
      </c>
      <c r="D2009" s="21">
        <v>10</v>
      </c>
      <c r="E2009" s="2">
        <f t="shared" si="395"/>
        <v>15</v>
      </c>
      <c r="F2009" s="2">
        <v>10</v>
      </c>
      <c r="G2009" s="3" t="s">
        <v>22</v>
      </c>
      <c r="H2009" s="2">
        <v>50</v>
      </c>
      <c r="I2009" s="114">
        <v>488100</v>
      </c>
      <c r="J2009" s="112">
        <v>488105</v>
      </c>
      <c r="K2009" s="112">
        <f t="shared" si="397"/>
        <v>488100</v>
      </c>
      <c r="L2009" s="2">
        <v>1</v>
      </c>
      <c r="M2009" s="2" t="s">
        <v>84</v>
      </c>
      <c r="N2009" s="2" t="s">
        <v>84</v>
      </c>
      <c r="O2009" s="2" t="s">
        <v>841</v>
      </c>
      <c r="P2009" s="2" t="s">
        <v>1763</v>
      </c>
    </row>
    <row r="2010" spans="1:16" ht="22" customHeight="1" x14ac:dyDescent="0.15">
      <c r="A2010" s="10" t="str">
        <f t="shared" si="396"/>
        <v>488_10_16_10_polygon</v>
      </c>
      <c r="B2010" s="2">
        <v>488</v>
      </c>
      <c r="C2010" s="30" t="str">
        <f>VLOOKUP(B2010,gachas!A:C,3)</f>
        <v>フィーバーフェスティバル＜ボーア、ハップル＞</v>
      </c>
      <c r="D2010" s="21">
        <v>10</v>
      </c>
      <c r="E2010" s="2">
        <f t="shared" si="395"/>
        <v>16</v>
      </c>
      <c r="F2010" s="2">
        <v>10</v>
      </c>
      <c r="G2010" s="3" t="s">
        <v>22</v>
      </c>
      <c r="H2010" s="2">
        <v>50</v>
      </c>
      <c r="I2010" s="114">
        <v>488100</v>
      </c>
      <c r="J2010" s="112" t="s">
        <v>2254</v>
      </c>
      <c r="K2010" s="112">
        <f t="shared" si="397"/>
        <v>488100</v>
      </c>
      <c r="L2010" s="2">
        <v>1</v>
      </c>
      <c r="M2010" s="2" t="s">
        <v>84</v>
      </c>
      <c r="N2010" s="2" t="s">
        <v>84</v>
      </c>
      <c r="O2010" s="2" t="s">
        <v>841</v>
      </c>
      <c r="P2010" s="2" t="s">
        <v>378</v>
      </c>
    </row>
    <row r="2011" spans="1:16" ht="22" customHeight="1" x14ac:dyDescent="0.15">
      <c r="A2011" s="10" t="str">
        <f t="shared" si="396"/>
        <v>488_10_17_10_polygon</v>
      </c>
      <c r="B2011" s="2">
        <v>488</v>
      </c>
      <c r="C2011" s="30" t="str">
        <f>VLOOKUP(B2011,gachas!A:C,3)</f>
        <v>フィーバーフェスティバル＜ボーア、ハップル＞</v>
      </c>
      <c r="D2011" s="21">
        <v>10</v>
      </c>
      <c r="E2011" s="2">
        <f t="shared" si="395"/>
        <v>17</v>
      </c>
      <c r="F2011" s="2">
        <v>10</v>
      </c>
      <c r="G2011" s="3" t="s">
        <v>22</v>
      </c>
      <c r="H2011" s="2">
        <v>50</v>
      </c>
      <c r="I2011" s="114">
        <v>488100</v>
      </c>
      <c r="J2011" s="112" t="s">
        <v>2254</v>
      </c>
      <c r="K2011" s="112">
        <f t="shared" si="397"/>
        <v>488100</v>
      </c>
      <c r="L2011" s="2">
        <v>1</v>
      </c>
      <c r="M2011" s="2" t="s">
        <v>84</v>
      </c>
      <c r="N2011" s="2" t="s">
        <v>84</v>
      </c>
      <c r="O2011" s="2" t="s">
        <v>841</v>
      </c>
      <c r="P2011" s="2" t="s">
        <v>378</v>
      </c>
    </row>
    <row r="2012" spans="1:16" ht="22" customHeight="1" x14ac:dyDescent="0.15">
      <c r="A2012" s="10" t="str">
        <f t="shared" si="396"/>
        <v>488_10_18_10_polygon</v>
      </c>
      <c r="B2012" s="2">
        <v>488</v>
      </c>
      <c r="C2012" s="30" t="str">
        <f>VLOOKUP(B2012,gachas!A:C,3)</f>
        <v>フィーバーフェスティバル＜ボーア、ハップル＞</v>
      </c>
      <c r="D2012" s="21">
        <v>10</v>
      </c>
      <c r="E2012" s="2">
        <f t="shared" si="395"/>
        <v>18</v>
      </c>
      <c r="F2012" s="2">
        <v>10</v>
      </c>
      <c r="G2012" s="3" t="s">
        <v>22</v>
      </c>
      <c r="H2012" s="2">
        <v>50</v>
      </c>
      <c r="I2012" s="114">
        <v>488100</v>
      </c>
      <c r="J2012" s="112" t="s">
        <v>2254</v>
      </c>
      <c r="K2012" s="112">
        <f t="shared" si="397"/>
        <v>488100</v>
      </c>
      <c r="L2012" s="2">
        <v>1</v>
      </c>
      <c r="M2012" s="2" t="s">
        <v>84</v>
      </c>
      <c r="N2012" s="2" t="s">
        <v>84</v>
      </c>
      <c r="O2012" s="2" t="s">
        <v>841</v>
      </c>
      <c r="P2012" s="2" t="s">
        <v>378</v>
      </c>
    </row>
    <row r="2013" spans="1:16" ht="22" customHeight="1" x14ac:dyDescent="0.15">
      <c r="A2013" s="10" t="str">
        <f t="shared" si="396"/>
        <v>488_10_19_10_polygon</v>
      </c>
      <c r="B2013" s="2">
        <v>488</v>
      </c>
      <c r="C2013" s="30" t="str">
        <f>VLOOKUP(B2013,gachas!A:C,3)</f>
        <v>フィーバーフェスティバル＜ボーア、ハップル＞</v>
      </c>
      <c r="D2013" s="21">
        <v>10</v>
      </c>
      <c r="E2013" s="2">
        <f t="shared" si="395"/>
        <v>19</v>
      </c>
      <c r="F2013" s="2">
        <v>10</v>
      </c>
      <c r="G2013" s="3" t="s">
        <v>22</v>
      </c>
      <c r="H2013" s="2">
        <v>50</v>
      </c>
      <c r="I2013" s="114">
        <v>488100</v>
      </c>
      <c r="J2013" s="112" t="s">
        <v>2254</v>
      </c>
      <c r="K2013" s="112">
        <f t="shared" si="397"/>
        <v>488100</v>
      </c>
      <c r="L2013" s="2">
        <v>1</v>
      </c>
      <c r="M2013" s="2" t="s">
        <v>84</v>
      </c>
      <c r="N2013" s="2" t="s">
        <v>84</v>
      </c>
      <c r="O2013" s="2" t="s">
        <v>841</v>
      </c>
      <c r="P2013" s="2" t="s">
        <v>378</v>
      </c>
    </row>
    <row r="2014" spans="1:16" ht="22" customHeight="1" x14ac:dyDescent="0.15">
      <c r="A2014" s="10" t="str">
        <f t="shared" si="396"/>
        <v>488_10_20_10_polygon</v>
      </c>
      <c r="B2014" s="2">
        <v>488</v>
      </c>
      <c r="C2014" s="30" t="str">
        <f>VLOOKUP(B2014,gachas!A:C,3)</f>
        <v>フィーバーフェスティバル＜ボーア、ハップル＞</v>
      </c>
      <c r="D2014" s="21">
        <v>10</v>
      </c>
      <c r="E2014" s="2">
        <f t="shared" si="395"/>
        <v>20</v>
      </c>
      <c r="F2014" s="2">
        <v>10</v>
      </c>
      <c r="G2014" s="3" t="s">
        <v>22</v>
      </c>
      <c r="H2014" s="2">
        <v>50</v>
      </c>
      <c r="I2014" s="114">
        <v>488100</v>
      </c>
      <c r="J2014" s="112">
        <v>488105</v>
      </c>
      <c r="K2014" s="112">
        <f t="shared" si="397"/>
        <v>488100</v>
      </c>
      <c r="L2014" s="2">
        <v>1</v>
      </c>
      <c r="M2014" s="2" t="s">
        <v>84</v>
      </c>
      <c r="N2014" s="2" t="s">
        <v>84</v>
      </c>
      <c r="O2014" s="2" t="s">
        <v>841</v>
      </c>
      <c r="P2014" s="2" t="s">
        <v>1763</v>
      </c>
    </row>
    <row r="2015" spans="1:16" ht="22" customHeight="1" x14ac:dyDescent="0.15">
      <c r="A2015" s="10" t="str">
        <f t="shared" si="396"/>
        <v>488_10_21_10_polygon</v>
      </c>
      <c r="B2015" s="2">
        <v>488</v>
      </c>
      <c r="C2015" s="30" t="str">
        <f>VLOOKUP(B2015,gachas!A:C,3)</f>
        <v>フィーバーフェスティバル＜ボーア、ハップル＞</v>
      </c>
      <c r="D2015" s="21">
        <v>10</v>
      </c>
      <c r="E2015" s="2">
        <f t="shared" si="395"/>
        <v>21</v>
      </c>
      <c r="F2015" s="2">
        <v>10</v>
      </c>
      <c r="G2015" s="3" t="s">
        <v>22</v>
      </c>
      <c r="H2015" s="2">
        <v>50</v>
      </c>
      <c r="I2015" s="114">
        <v>488100</v>
      </c>
      <c r="J2015" s="112" t="s">
        <v>2254</v>
      </c>
      <c r="K2015" s="112">
        <f t="shared" si="397"/>
        <v>488100</v>
      </c>
      <c r="L2015" s="2">
        <v>1</v>
      </c>
      <c r="M2015" s="2" t="s">
        <v>84</v>
      </c>
      <c r="N2015" s="2" t="s">
        <v>84</v>
      </c>
      <c r="O2015" s="2" t="s">
        <v>841</v>
      </c>
      <c r="P2015" s="2" t="s">
        <v>378</v>
      </c>
    </row>
    <row r="2016" spans="1:16" ht="22" customHeight="1" x14ac:dyDescent="0.15">
      <c r="A2016" s="10" t="str">
        <f t="shared" si="396"/>
        <v>488_10_22_10_polygon</v>
      </c>
      <c r="B2016" s="2">
        <v>488</v>
      </c>
      <c r="C2016" s="30" t="str">
        <f>VLOOKUP(B2016,gachas!A:C,3)</f>
        <v>フィーバーフェスティバル＜ボーア、ハップル＞</v>
      </c>
      <c r="D2016" s="21">
        <v>10</v>
      </c>
      <c r="E2016" s="2">
        <f t="shared" si="395"/>
        <v>22</v>
      </c>
      <c r="F2016" s="2">
        <v>10</v>
      </c>
      <c r="G2016" s="3" t="s">
        <v>22</v>
      </c>
      <c r="H2016" s="2">
        <v>50</v>
      </c>
      <c r="I2016" s="114">
        <v>488100</v>
      </c>
      <c r="J2016" s="112" t="s">
        <v>2254</v>
      </c>
      <c r="K2016" s="112">
        <f t="shared" si="397"/>
        <v>488100</v>
      </c>
      <c r="L2016" s="2">
        <v>1</v>
      </c>
      <c r="M2016" s="2" t="s">
        <v>84</v>
      </c>
      <c r="N2016" s="2" t="s">
        <v>84</v>
      </c>
      <c r="O2016" s="2" t="s">
        <v>841</v>
      </c>
      <c r="P2016" s="2" t="s">
        <v>378</v>
      </c>
    </row>
    <row r="2017" spans="1:16" ht="22" customHeight="1" x14ac:dyDescent="0.15">
      <c r="A2017" s="10" t="str">
        <f t="shared" si="396"/>
        <v>488_10_23_10_polygon</v>
      </c>
      <c r="B2017" s="2">
        <v>488</v>
      </c>
      <c r="C2017" s="30" t="str">
        <f>VLOOKUP(B2017,gachas!A:C,3)</f>
        <v>フィーバーフェスティバル＜ボーア、ハップル＞</v>
      </c>
      <c r="D2017" s="21">
        <v>10</v>
      </c>
      <c r="E2017" s="2">
        <f t="shared" si="395"/>
        <v>23</v>
      </c>
      <c r="F2017" s="2">
        <v>10</v>
      </c>
      <c r="G2017" s="3" t="s">
        <v>22</v>
      </c>
      <c r="H2017" s="2">
        <v>50</v>
      </c>
      <c r="I2017" s="114">
        <v>488100</v>
      </c>
      <c r="J2017" s="112" t="s">
        <v>2254</v>
      </c>
      <c r="K2017" s="112">
        <f t="shared" si="397"/>
        <v>488100</v>
      </c>
      <c r="L2017" s="2">
        <v>1</v>
      </c>
      <c r="M2017" s="2" t="s">
        <v>84</v>
      </c>
      <c r="N2017" s="2" t="s">
        <v>84</v>
      </c>
      <c r="O2017" s="2" t="s">
        <v>841</v>
      </c>
      <c r="P2017" s="2" t="s">
        <v>378</v>
      </c>
    </row>
    <row r="2018" spans="1:16" ht="22" customHeight="1" x14ac:dyDescent="0.15">
      <c r="A2018" s="10" t="str">
        <f t="shared" si="396"/>
        <v>488_10_24_10_polygon</v>
      </c>
      <c r="B2018" s="2">
        <v>488</v>
      </c>
      <c r="C2018" s="30" t="str">
        <f>VLOOKUP(B2018,gachas!A:C,3)</f>
        <v>フィーバーフェスティバル＜ボーア、ハップル＞</v>
      </c>
      <c r="D2018" s="21">
        <v>10</v>
      </c>
      <c r="E2018" s="2">
        <f t="shared" si="395"/>
        <v>24</v>
      </c>
      <c r="F2018" s="2">
        <v>10</v>
      </c>
      <c r="G2018" s="3" t="s">
        <v>22</v>
      </c>
      <c r="H2018" s="2">
        <v>50</v>
      </c>
      <c r="I2018" s="114">
        <v>488100</v>
      </c>
      <c r="J2018" s="112" t="s">
        <v>2254</v>
      </c>
      <c r="K2018" s="112">
        <f t="shared" si="397"/>
        <v>488100</v>
      </c>
      <c r="L2018" s="2">
        <v>1</v>
      </c>
      <c r="M2018" s="2" t="s">
        <v>84</v>
      </c>
      <c r="N2018" s="2" t="s">
        <v>84</v>
      </c>
      <c r="O2018" s="2" t="s">
        <v>841</v>
      </c>
      <c r="P2018" s="2" t="s">
        <v>378</v>
      </c>
    </row>
    <row r="2019" spans="1:16" ht="22" customHeight="1" x14ac:dyDescent="0.15">
      <c r="A2019" s="10" t="str">
        <f t="shared" si="396"/>
        <v>488_10_25_10_polygon</v>
      </c>
      <c r="B2019" s="2">
        <v>488</v>
      </c>
      <c r="C2019" s="30" t="str">
        <f>VLOOKUP(B2019,gachas!A:C,3)</f>
        <v>フィーバーフェスティバル＜ボーア、ハップル＞</v>
      </c>
      <c r="D2019" s="21">
        <v>10</v>
      </c>
      <c r="E2019" s="2">
        <f t="shared" si="395"/>
        <v>25</v>
      </c>
      <c r="F2019" s="2">
        <v>10</v>
      </c>
      <c r="G2019" s="3" t="s">
        <v>22</v>
      </c>
      <c r="H2019" s="2">
        <v>50</v>
      </c>
      <c r="I2019" s="114">
        <v>488100</v>
      </c>
      <c r="J2019" s="112">
        <v>488105</v>
      </c>
      <c r="K2019" s="112">
        <f t="shared" si="397"/>
        <v>488100</v>
      </c>
      <c r="L2019" s="2">
        <v>1</v>
      </c>
      <c r="M2019" s="2" t="s">
        <v>84</v>
      </c>
      <c r="N2019" s="2" t="s">
        <v>84</v>
      </c>
      <c r="O2019" s="2" t="s">
        <v>841</v>
      </c>
      <c r="P2019" s="2" t="s">
        <v>1763</v>
      </c>
    </row>
    <row r="2020" spans="1:16" ht="22" customHeight="1" x14ac:dyDescent="0.15">
      <c r="A2020" s="10" t="str">
        <f t="shared" si="396"/>
        <v>488_10_26_10_polygon</v>
      </c>
      <c r="B2020" s="2">
        <v>488</v>
      </c>
      <c r="C2020" s="30" t="str">
        <f>VLOOKUP(B2020,gachas!A:C,3)</f>
        <v>フィーバーフェスティバル＜ボーア、ハップル＞</v>
      </c>
      <c r="D2020" s="21">
        <v>10</v>
      </c>
      <c r="E2020" s="2">
        <f t="shared" si="395"/>
        <v>26</v>
      </c>
      <c r="F2020" s="2">
        <v>10</v>
      </c>
      <c r="G2020" s="3" t="s">
        <v>22</v>
      </c>
      <c r="H2020" s="2">
        <v>50</v>
      </c>
      <c r="I2020" s="114">
        <v>488100</v>
      </c>
      <c r="J2020" s="112" t="s">
        <v>2254</v>
      </c>
      <c r="K2020" s="112">
        <f t="shared" si="397"/>
        <v>488100</v>
      </c>
      <c r="L2020" s="2">
        <v>1</v>
      </c>
      <c r="M2020" s="2" t="s">
        <v>84</v>
      </c>
      <c r="N2020" s="2" t="s">
        <v>84</v>
      </c>
      <c r="O2020" s="2" t="s">
        <v>841</v>
      </c>
      <c r="P2020" s="2" t="s">
        <v>378</v>
      </c>
    </row>
    <row r="2021" spans="1:16" ht="22" customHeight="1" x14ac:dyDescent="0.15">
      <c r="A2021" s="10" t="str">
        <f t="shared" si="396"/>
        <v>488_10_27_10_polygon</v>
      </c>
      <c r="B2021" s="2">
        <v>488</v>
      </c>
      <c r="C2021" s="30" t="str">
        <f>VLOOKUP(B2021,gachas!A:C,3)</f>
        <v>フィーバーフェスティバル＜ボーア、ハップル＞</v>
      </c>
      <c r="D2021" s="21">
        <v>10</v>
      </c>
      <c r="E2021" s="2">
        <f t="shared" si="395"/>
        <v>27</v>
      </c>
      <c r="F2021" s="2">
        <v>10</v>
      </c>
      <c r="G2021" s="3" t="s">
        <v>22</v>
      </c>
      <c r="H2021" s="2">
        <v>50</v>
      </c>
      <c r="I2021" s="114">
        <v>488100</v>
      </c>
      <c r="J2021" s="112" t="s">
        <v>2254</v>
      </c>
      <c r="K2021" s="112">
        <f t="shared" si="397"/>
        <v>488100</v>
      </c>
      <c r="L2021" s="2">
        <v>1</v>
      </c>
      <c r="M2021" s="2" t="s">
        <v>84</v>
      </c>
      <c r="N2021" s="2" t="s">
        <v>84</v>
      </c>
      <c r="O2021" s="2" t="s">
        <v>841</v>
      </c>
      <c r="P2021" s="2" t="s">
        <v>378</v>
      </c>
    </row>
    <row r="2022" spans="1:16" ht="22" customHeight="1" x14ac:dyDescent="0.15">
      <c r="A2022" s="10" t="str">
        <f t="shared" si="396"/>
        <v>488_10_28_10_polygon</v>
      </c>
      <c r="B2022" s="2">
        <v>488</v>
      </c>
      <c r="C2022" s="30" t="str">
        <f>VLOOKUP(B2022,gachas!A:C,3)</f>
        <v>フィーバーフェスティバル＜ボーア、ハップル＞</v>
      </c>
      <c r="D2022" s="21">
        <v>10</v>
      </c>
      <c r="E2022" s="2">
        <f t="shared" si="395"/>
        <v>28</v>
      </c>
      <c r="F2022" s="2">
        <v>10</v>
      </c>
      <c r="G2022" s="3" t="s">
        <v>22</v>
      </c>
      <c r="H2022" s="2">
        <v>50</v>
      </c>
      <c r="I2022" s="114">
        <v>488100</v>
      </c>
      <c r="J2022" s="112" t="s">
        <v>2254</v>
      </c>
      <c r="K2022" s="112">
        <f t="shared" si="397"/>
        <v>488100</v>
      </c>
      <c r="L2022" s="2">
        <v>1</v>
      </c>
      <c r="M2022" s="2" t="s">
        <v>84</v>
      </c>
      <c r="N2022" s="2" t="s">
        <v>84</v>
      </c>
      <c r="O2022" s="2" t="s">
        <v>841</v>
      </c>
      <c r="P2022" s="2" t="s">
        <v>378</v>
      </c>
    </row>
    <row r="2023" spans="1:16" ht="22" customHeight="1" x14ac:dyDescent="0.15">
      <c r="A2023" s="10" t="str">
        <f t="shared" si="396"/>
        <v>488_10_29_10_polygon</v>
      </c>
      <c r="B2023" s="2">
        <v>488</v>
      </c>
      <c r="C2023" s="30" t="str">
        <f>VLOOKUP(B2023,gachas!A:C,3)</f>
        <v>フィーバーフェスティバル＜ボーア、ハップル＞</v>
      </c>
      <c r="D2023" s="21">
        <v>10</v>
      </c>
      <c r="E2023" s="2">
        <f t="shared" si="395"/>
        <v>29</v>
      </c>
      <c r="F2023" s="2">
        <v>10</v>
      </c>
      <c r="G2023" s="3" t="s">
        <v>22</v>
      </c>
      <c r="H2023" s="2">
        <v>50</v>
      </c>
      <c r="I2023" s="114">
        <v>488100</v>
      </c>
      <c r="J2023" s="112" t="s">
        <v>2254</v>
      </c>
      <c r="K2023" s="112">
        <f t="shared" si="397"/>
        <v>488100</v>
      </c>
      <c r="L2023" s="2">
        <v>1</v>
      </c>
      <c r="M2023" s="2" t="s">
        <v>84</v>
      </c>
      <c r="N2023" s="2" t="s">
        <v>84</v>
      </c>
      <c r="O2023" s="2" t="s">
        <v>841</v>
      </c>
      <c r="P2023" s="2" t="s">
        <v>378</v>
      </c>
    </row>
    <row r="2024" spans="1:16" ht="22" customHeight="1" x14ac:dyDescent="0.15">
      <c r="A2024" s="10" t="str">
        <f t="shared" si="396"/>
        <v>488_10_30_10_polygon</v>
      </c>
      <c r="B2024" s="2">
        <v>488</v>
      </c>
      <c r="C2024" s="30" t="str">
        <f>VLOOKUP(B2024,gachas!A:C,3)</f>
        <v>フィーバーフェスティバル＜ボーア、ハップル＞</v>
      </c>
      <c r="D2024" s="21">
        <v>10</v>
      </c>
      <c r="E2024" s="2">
        <f t="shared" si="395"/>
        <v>30</v>
      </c>
      <c r="F2024" s="2">
        <v>10</v>
      </c>
      <c r="G2024" s="3" t="s">
        <v>22</v>
      </c>
      <c r="H2024" s="2">
        <v>50</v>
      </c>
      <c r="I2024" s="114">
        <v>488100</v>
      </c>
      <c r="J2024" s="112">
        <v>488105</v>
      </c>
      <c r="K2024" s="112">
        <f t="shared" si="397"/>
        <v>488100</v>
      </c>
      <c r="L2024" s="2">
        <v>1</v>
      </c>
      <c r="M2024" s="2" t="s">
        <v>84</v>
      </c>
      <c r="N2024" s="2" t="s">
        <v>84</v>
      </c>
      <c r="O2024" s="2" t="s">
        <v>841</v>
      </c>
      <c r="P2024" s="2" t="s">
        <v>1763</v>
      </c>
    </row>
    <row r="2025" spans="1:16" ht="22" customHeight="1" x14ac:dyDescent="0.15">
      <c r="A2025" s="10" t="str">
        <f t="shared" si="396"/>
        <v>488_10_31_10_polygon</v>
      </c>
      <c r="B2025" s="2">
        <v>488</v>
      </c>
      <c r="C2025" s="30" t="str">
        <f>VLOOKUP(B2025,gachas!A:C,3)</f>
        <v>フィーバーフェスティバル＜ボーア、ハップル＞</v>
      </c>
      <c r="D2025" s="21">
        <v>10</v>
      </c>
      <c r="E2025" s="2">
        <f t="shared" si="395"/>
        <v>31</v>
      </c>
      <c r="F2025" s="2">
        <v>10</v>
      </c>
      <c r="G2025" s="3" t="s">
        <v>22</v>
      </c>
      <c r="H2025" s="2">
        <v>50</v>
      </c>
      <c r="I2025" s="114">
        <v>488100</v>
      </c>
      <c r="J2025" s="112" t="s">
        <v>2254</v>
      </c>
      <c r="K2025" s="112">
        <f t="shared" si="397"/>
        <v>488100</v>
      </c>
      <c r="L2025" s="2">
        <v>1</v>
      </c>
      <c r="M2025" s="2" t="s">
        <v>84</v>
      </c>
      <c r="N2025" s="2" t="s">
        <v>84</v>
      </c>
      <c r="O2025" s="2" t="s">
        <v>841</v>
      </c>
      <c r="P2025" s="2" t="s">
        <v>378</v>
      </c>
    </row>
    <row r="2026" spans="1:16" ht="22" customHeight="1" x14ac:dyDescent="0.15">
      <c r="A2026" s="10" t="str">
        <f t="shared" si="396"/>
        <v>488_10_32_10_polygon</v>
      </c>
      <c r="B2026" s="2">
        <v>488</v>
      </c>
      <c r="C2026" s="30" t="str">
        <f>VLOOKUP(B2026,gachas!A:C,3)</f>
        <v>フィーバーフェスティバル＜ボーア、ハップル＞</v>
      </c>
      <c r="D2026" s="21">
        <v>10</v>
      </c>
      <c r="E2026" s="2">
        <f t="shared" si="395"/>
        <v>32</v>
      </c>
      <c r="F2026" s="2">
        <v>10</v>
      </c>
      <c r="G2026" s="3" t="s">
        <v>22</v>
      </c>
      <c r="H2026" s="2">
        <v>50</v>
      </c>
      <c r="I2026" s="114">
        <v>488100</v>
      </c>
      <c r="J2026" s="112" t="s">
        <v>2254</v>
      </c>
      <c r="K2026" s="112">
        <f t="shared" si="397"/>
        <v>488100</v>
      </c>
      <c r="L2026" s="2">
        <v>1</v>
      </c>
      <c r="M2026" s="2" t="s">
        <v>84</v>
      </c>
      <c r="N2026" s="2" t="s">
        <v>84</v>
      </c>
      <c r="O2026" s="2" t="s">
        <v>841</v>
      </c>
      <c r="P2026" s="2" t="s">
        <v>378</v>
      </c>
    </row>
    <row r="2027" spans="1:16" ht="22" customHeight="1" x14ac:dyDescent="0.15">
      <c r="A2027" s="10" t="str">
        <f t="shared" si="396"/>
        <v>488_10_33_10_polygon</v>
      </c>
      <c r="B2027" s="2">
        <v>488</v>
      </c>
      <c r="C2027" s="30" t="str">
        <f>VLOOKUP(B2027,gachas!A:C,3)</f>
        <v>フィーバーフェスティバル＜ボーア、ハップル＞</v>
      </c>
      <c r="D2027" s="21">
        <v>10</v>
      </c>
      <c r="E2027" s="2">
        <f t="shared" si="395"/>
        <v>33</v>
      </c>
      <c r="F2027" s="2">
        <v>10</v>
      </c>
      <c r="G2027" s="3" t="s">
        <v>22</v>
      </c>
      <c r="H2027" s="2">
        <v>50</v>
      </c>
      <c r="I2027" s="114">
        <v>488100</v>
      </c>
      <c r="J2027" s="112" t="s">
        <v>2254</v>
      </c>
      <c r="K2027" s="112">
        <f t="shared" si="397"/>
        <v>488100</v>
      </c>
      <c r="L2027" s="2">
        <v>1</v>
      </c>
      <c r="M2027" s="2" t="s">
        <v>84</v>
      </c>
      <c r="N2027" s="2" t="s">
        <v>84</v>
      </c>
      <c r="O2027" s="2" t="s">
        <v>841</v>
      </c>
      <c r="P2027" s="2" t="s">
        <v>378</v>
      </c>
    </row>
    <row r="2028" spans="1:16" ht="22" customHeight="1" x14ac:dyDescent="0.15">
      <c r="A2028" s="10" t="str">
        <f t="shared" si="396"/>
        <v>488_10_34_10_polygon</v>
      </c>
      <c r="B2028" s="2">
        <v>488</v>
      </c>
      <c r="C2028" s="30" t="str">
        <f>VLOOKUP(B2028,gachas!A:C,3)</f>
        <v>フィーバーフェスティバル＜ボーア、ハップル＞</v>
      </c>
      <c r="D2028" s="21">
        <v>10</v>
      </c>
      <c r="E2028" s="2">
        <f t="shared" si="395"/>
        <v>34</v>
      </c>
      <c r="F2028" s="2">
        <v>10</v>
      </c>
      <c r="G2028" s="3" t="s">
        <v>22</v>
      </c>
      <c r="H2028" s="2">
        <v>50</v>
      </c>
      <c r="I2028" s="114">
        <v>488100</v>
      </c>
      <c r="J2028" s="112" t="s">
        <v>2254</v>
      </c>
      <c r="K2028" s="112">
        <f t="shared" si="397"/>
        <v>488100</v>
      </c>
      <c r="L2028" s="2">
        <v>1</v>
      </c>
      <c r="M2028" s="2" t="s">
        <v>84</v>
      </c>
      <c r="N2028" s="2" t="s">
        <v>84</v>
      </c>
      <c r="O2028" s="2" t="s">
        <v>841</v>
      </c>
      <c r="P2028" s="2" t="s">
        <v>378</v>
      </c>
    </row>
    <row r="2029" spans="1:16" ht="22" customHeight="1" x14ac:dyDescent="0.15">
      <c r="A2029" s="10" t="str">
        <f t="shared" si="396"/>
        <v>488_10_35_10_polygon</v>
      </c>
      <c r="B2029" s="2">
        <v>488</v>
      </c>
      <c r="C2029" s="30" t="str">
        <f>VLOOKUP(B2029,gachas!A:C,3)</f>
        <v>フィーバーフェスティバル＜ボーア、ハップル＞</v>
      </c>
      <c r="D2029" s="21">
        <v>10</v>
      </c>
      <c r="E2029" s="2">
        <f t="shared" si="395"/>
        <v>35</v>
      </c>
      <c r="F2029" s="2">
        <v>10</v>
      </c>
      <c r="G2029" s="3" t="s">
        <v>22</v>
      </c>
      <c r="H2029" s="2">
        <v>50</v>
      </c>
      <c r="I2029" s="114">
        <v>488100</v>
      </c>
      <c r="J2029" s="112">
        <v>488105</v>
      </c>
      <c r="K2029" s="112">
        <f t="shared" si="397"/>
        <v>488100</v>
      </c>
      <c r="L2029" s="2">
        <v>1</v>
      </c>
      <c r="M2029" s="2" t="s">
        <v>84</v>
      </c>
      <c r="N2029" s="2" t="s">
        <v>84</v>
      </c>
      <c r="O2029" s="2" t="s">
        <v>841</v>
      </c>
      <c r="P2029" s="2" t="s">
        <v>1763</v>
      </c>
    </row>
    <row r="2030" spans="1:16" ht="22" customHeight="1" x14ac:dyDescent="0.15">
      <c r="A2030" s="10" t="str">
        <f t="shared" si="396"/>
        <v>488_10_36_10_polygon</v>
      </c>
      <c r="B2030" s="2">
        <v>488</v>
      </c>
      <c r="C2030" s="30" t="str">
        <f>VLOOKUP(B2030,gachas!A:C,3)</f>
        <v>フィーバーフェスティバル＜ボーア、ハップル＞</v>
      </c>
      <c r="D2030" s="21">
        <v>10</v>
      </c>
      <c r="E2030" s="2">
        <f t="shared" si="395"/>
        <v>36</v>
      </c>
      <c r="F2030" s="2">
        <v>10</v>
      </c>
      <c r="G2030" s="3" t="s">
        <v>22</v>
      </c>
      <c r="H2030" s="2">
        <v>50</v>
      </c>
      <c r="I2030" s="114">
        <v>488100</v>
      </c>
      <c r="J2030" s="112" t="s">
        <v>2254</v>
      </c>
      <c r="K2030" s="112">
        <f t="shared" si="397"/>
        <v>488100</v>
      </c>
      <c r="L2030" s="2">
        <v>1</v>
      </c>
      <c r="M2030" s="2" t="s">
        <v>84</v>
      </c>
      <c r="N2030" s="2" t="s">
        <v>84</v>
      </c>
      <c r="O2030" s="2" t="s">
        <v>841</v>
      </c>
      <c r="P2030" s="2" t="s">
        <v>378</v>
      </c>
    </row>
    <row r="2031" spans="1:16" ht="22" customHeight="1" x14ac:dyDescent="0.15">
      <c r="A2031" s="10" t="str">
        <f t="shared" si="396"/>
        <v>488_10_37_10_polygon</v>
      </c>
      <c r="B2031" s="2">
        <v>488</v>
      </c>
      <c r="C2031" s="30" t="str">
        <f>VLOOKUP(B2031,gachas!A:C,3)</f>
        <v>フィーバーフェスティバル＜ボーア、ハップル＞</v>
      </c>
      <c r="D2031" s="21">
        <v>10</v>
      </c>
      <c r="E2031" s="2">
        <f t="shared" si="395"/>
        <v>37</v>
      </c>
      <c r="F2031" s="2">
        <v>10</v>
      </c>
      <c r="G2031" s="3" t="s">
        <v>22</v>
      </c>
      <c r="H2031" s="2">
        <v>50</v>
      </c>
      <c r="I2031" s="114">
        <v>488100</v>
      </c>
      <c r="J2031" s="112" t="s">
        <v>2254</v>
      </c>
      <c r="K2031" s="112">
        <f t="shared" si="397"/>
        <v>488100</v>
      </c>
      <c r="L2031" s="2">
        <v>1</v>
      </c>
      <c r="M2031" s="2" t="s">
        <v>84</v>
      </c>
      <c r="N2031" s="2" t="s">
        <v>84</v>
      </c>
      <c r="O2031" s="2" t="s">
        <v>841</v>
      </c>
      <c r="P2031" s="2" t="s">
        <v>378</v>
      </c>
    </row>
    <row r="2032" spans="1:16" ht="22" customHeight="1" x14ac:dyDescent="0.15">
      <c r="A2032" s="10" t="str">
        <f t="shared" si="396"/>
        <v>488_10_38_10_polygon</v>
      </c>
      <c r="B2032" s="2">
        <v>488</v>
      </c>
      <c r="C2032" s="30" t="str">
        <f>VLOOKUP(B2032,gachas!A:C,3)</f>
        <v>フィーバーフェスティバル＜ボーア、ハップル＞</v>
      </c>
      <c r="D2032" s="21">
        <v>10</v>
      </c>
      <c r="E2032" s="2">
        <f t="shared" si="395"/>
        <v>38</v>
      </c>
      <c r="F2032" s="2">
        <v>10</v>
      </c>
      <c r="G2032" s="3" t="s">
        <v>22</v>
      </c>
      <c r="H2032" s="2">
        <v>50</v>
      </c>
      <c r="I2032" s="114">
        <v>488100</v>
      </c>
      <c r="J2032" s="112" t="s">
        <v>2254</v>
      </c>
      <c r="K2032" s="112">
        <f t="shared" si="397"/>
        <v>488100</v>
      </c>
      <c r="L2032" s="2">
        <v>1</v>
      </c>
      <c r="M2032" s="2" t="s">
        <v>84</v>
      </c>
      <c r="N2032" s="2" t="s">
        <v>84</v>
      </c>
      <c r="O2032" s="2" t="s">
        <v>841</v>
      </c>
      <c r="P2032" s="2" t="s">
        <v>378</v>
      </c>
    </row>
    <row r="2033" spans="1:16" ht="22" customHeight="1" x14ac:dyDescent="0.15">
      <c r="A2033" s="10" t="str">
        <f t="shared" si="396"/>
        <v>488_10_39_10_polygon</v>
      </c>
      <c r="B2033" s="2">
        <v>488</v>
      </c>
      <c r="C2033" s="30" t="str">
        <f>VLOOKUP(B2033,gachas!A:C,3)</f>
        <v>フィーバーフェスティバル＜ボーア、ハップル＞</v>
      </c>
      <c r="D2033" s="21">
        <v>10</v>
      </c>
      <c r="E2033" s="2">
        <f t="shared" si="395"/>
        <v>39</v>
      </c>
      <c r="F2033" s="2">
        <v>10</v>
      </c>
      <c r="G2033" s="3" t="s">
        <v>22</v>
      </c>
      <c r="H2033" s="2">
        <v>50</v>
      </c>
      <c r="I2033" s="114">
        <v>488100</v>
      </c>
      <c r="J2033" s="112" t="s">
        <v>2254</v>
      </c>
      <c r="K2033" s="112">
        <f t="shared" si="397"/>
        <v>488100</v>
      </c>
      <c r="L2033" s="2">
        <v>1</v>
      </c>
      <c r="M2033" s="2" t="s">
        <v>84</v>
      </c>
      <c r="N2033" s="2" t="s">
        <v>84</v>
      </c>
      <c r="O2033" s="2" t="s">
        <v>841</v>
      </c>
      <c r="P2033" s="2" t="s">
        <v>378</v>
      </c>
    </row>
    <row r="2034" spans="1:16" ht="22" customHeight="1" x14ac:dyDescent="0.15">
      <c r="A2034" s="10" t="str">
        <f t="shared" si="396"/>
        <v>488_10_40_10_polygon</v>
      </c>
      <c r="B2034" s="2">
        <v>488</v>
      </c>
      <c r="C2034" s="30" t="str">
        <f>VLOOKUP(B2034,gachas!A:C,3)</f>
        <v>フィーバーフェスティバル＜ボーア、ハップル＞</v>
      </c>
      <c r="D2034" s="21">
        <v>10</v>
      </c>
      <c r="E2034" s="2">
        <f t="shared" si="395"/>
        <v>40</v>
      </c>
      <c r="F2034" s="2">
        <v>10</v>
      </c>
      <c r="G2034" s="3" t="s">
        <v>22</v>
      </c>
      <c r="H2034" s="2">
        <v>50</v>
      </c>
      <c r="I2034" s="114">
        <v>488100</v>
      </c>
      <c r="J2034" s="112">
        <v>488105</v>
      </c>
      <c r="K2034" s="112">
        <f t="shared" si="397"/>
        <v>488100</v>
      </c>
      <c r="L2034" s="2">
        <v>1</v>
      </c>
      <c r="M2034" s="2" t="s">
        <v>84</v>
      </c>
      <c r="N2034" s="2" t="s">
        <v>84</v>
      </c>
      <c r="O2034" s="2" t="s">
        <v>841</v>
      </c>
      <c r="P2034" s="2" t="s">
        <v>1763</v>
      </c>
    </row>
    <row r="2035" spans="1:16" ht="22" customHeight="1" x14ac:dyDescent="0.15">
      <c r="A2035" s="10" t="str">
        <f t="shared" si="396"/>
        <v>488_10_41_10_polygon</v>
      </c>
      <c r="B2035" s="2">
        <v>488</v>
      </c>
      <c r="C2035" s="30" t="str">
        <f>VLOOKUP(B2035,gachas!A:C,3)</f>
        <v>フィーバーフェスティバル＜ボーア、ハップル＞</v>
      </c>
      <c r="D2035" s="21">
        <v>10</v>
      </c>
      <c r="E2035" s="2">
        <f t="shared" si="395"/>
        <v>41</v>
      </c>
      <c r="F2035" s="2">
        <v>10</v>
      </c>
      <c r="G2035" s="3" t="s">
        <v>22</v>
      </c>
      <c r="H2035" s="2">
        <v>50</v>
      </c>
      <c r="I2035" s="114">
        <v>488100</v>
      </c>
      <c r="J2035" s="112" t="s">
        <v>2254</v>
      </c>
      <c r="K2035" s="112">
        <f t="shared" si="397"/>
        <v>488100</v>
      </c>
      <c r="L2035" s="2">
        <v>1</v>
      </c>
      <c r="M2035" s="2" t="s">
        <v>84</v>
      </c>
      <c r="N2035" s="2" t="s">
        <v>84</v>
      </c>
      <c r="O2035" s="2" t="s">
        <v>841</v>
      </c>
      <c r="P2035" s="2" t="s">
        <v>378</v>
      </c>
    </row>
    <row r="2036" spans="1:16" ht="22" customHeight="1" x14ac:dyDescent="0.15">
      <c r="A2036" s="10" t="str">
        <f t="shared" si="396"/>
        <v>488_10_42_10_polygon</v>
      </c>
      <c r="B2036" s="2">
        <v>488</v>
      </c>
      <c r="C2036" s="30" t="str">
        <f>VLOOKUP(B2036,gachas!A:C,3)</f>
        <v>フィーバーフェスティバル＜ボーア、ハップル＞</v>
      </c>
      <c r="D2036" s="21">
        <v>10</v>
      </c>
      <c r="E2036" s="2">
        <f t="shared" si="395"/>
        <v>42</v>
      </c>
      <c r="F2036" s="2">
        <v>10</v>
      </c>
      <c r="G2036" s="3" t="s">
        <v>22</v>
      </c>
      <c r="H2036" s="2">
        <v>50</v>
      </c>
      <c r="I2036" s="114">
        <v>488100</v>
      </c>
      <c r="J2036" s="112" t="s">
        <v>2254</v>
      </c>
      <c r="K2036" s="112">
        <f t="shared" si="397"/>
        <v>488100</v>
      </c>
      <c r="L2036" s="2">
        <v>1</v>
      </c>
      <c r="M2036" s="2" t="s">
        <v>84</v>
      </c>
      <c r="N2036" s="2" t="s">
        <v>84</v>
      </c>
      <c r="O2036" s="2" t="s">
        <v>841</v>
      </c>
      <c r="P2036" s="2" t="s">
        <v>378</v>
      </c>
    </row>
    <row r="2037" spans="1:16" ht="22" customHeight="1" x14ac:dyDescent="0.15">
      <c r="A2037" s="10" t="str">
        <f t="shared" si="396"/>
        <v>488_10_43_10_polygon</v>
      </c>
      <c r="B2037" s="2">
        <v>488</v>
      </c>
      <c r="C2037" s="30" t="str">
        <f>VLOOKUP(B2037,gachas!A:C,3)</f>
        <v>フィーバーフェスティバル＜ボーア、ハップル＞</v>
      </c>
      <c r="D2037" s="21">
        <v>10</v>
      </c>
      <c r="E2037" s="2">
        <f t="shared" si="395"/>
        <v>43</v>
      </c>
      <c r="F2037" s="2">
        <v>10</v>
      </c>
      <c r="G2037" s="3" t="s">
        <v>22</v>
      </c>
      <c r="H2037" s="2">
        <v>50</v>
      </c>
      <c r="I2037" s="114">
        <v>488100</v>
      </c>
      <c r="J2037" s="112" t="s">
        <v>2254</v>
      </c>
      <c r="K2037" s="112">
        <f t="shared" si="397"/>
        <v>488100</v>
      </c>
      <c r="L2037" s="2">
        <v>1</v>
      </c>
      <c r="M2037" s="2" t="s">
        <v>84</v>
      </c>
      <c r="N2037" s="2" t="s">
        <v>84</v>
      </c>
      <c r="O2037" s="2" t="s">
        <v>841</v>
      </c>
      <c r="P2037" s="2" t="s">
        <v>378</v>
      </c>
    </row>
    <row r="2038" spans="1:16" ht="22" customHeight="1" x14ac:dyDescent="0.15">
      <c r="A2038" s="10" t="str">
        <f t="shared" si="396"/>
        <v>488_10_44_10_polygon</v>
      </c>
      <c r="B2038" s="2">
        <v>488</v>
      </c>
      <c r="C2038" s="30" t="str">
        <f>VLOOKUP(B2038,gachas!A:C,3)</f>
        <v>フィーバーフェスティバル＜ボーア、ハップル＞</v>
      </c>
      <c r="D2038" s="21">
        <v>10</v>
      </c>
      <c r="E2038" s="2">
        <f t="shared" si="395"/>
        <v>44</v>
      </c>
      <c r="F2038" s="2">
        <v>10</v>
      </c>
      <c r="G2038" s="3" t="s">
        <v>22</v>
      </c>
      <c r="H2038" s="2">
        <v>50</v>
      </c>
      <c r="I2038" s="114">
        <v>488100</v>
      </c>
      <c r="J2038" s="112" t="s">
        <v>2254</v>
      </c>
      <c r="K2038" s="112">
        <f t="shared" si="397"/>
        <v>488100</v>
      </c>
      <c r="L2038" s="2">
        <v>1</v>
      </c>
      <c r="M2038" s="2" t="s">
        <v>84</v>
      </c>
      <c r="N2038" s="2" t="s">
        <v>84</v>
      </c>
      <c r="O2038" s="2" t="s">
        <v>841</v>
      </c>
      <c r="P2038" s="2" t="s">
        <v>378</v>
      </c>
    </row>
    <row r="2039" spans="1:16" ht="22" customHeight="1" x14ac:dyDescent="0.15">
      <c r="A2039" s="10" t="str">
        <f t="shared" si="396"/>
        <v>488_10_45_10_polygon</v>
      </c>
      <c r="B2039" s="2">
        <v>488</v>
      </c>
      <c r="C2039" s="30" t="str">
        <f>VLOOKUP(B2039,gachas!A:C,3)</f>
        <v>フィーバーフェスティバル＜ボーア、ハップル＞</v>
      </c>
      <c r="D2039" s="21">
        <v>10</v>
      </c>
      <c r="E2039" s="2">
        <f t="shared" si="395"/>
        <v>45</v>
      </c>
      <c r="F2039" s="2">
        <v>10</v>
      </c>
      <c r="G2039" s="3" t="s">
        <v>22</v>
      </c>
      <c r="H2039" s="2">
        <v>50</v>
      </c>
      <c r="I2039" s="114">
        <v>488100</v>
      </c>
      <c r="J2039" s="112">
        <v>488105</v>
      </c>
      <c r="K2039" s="112">
        <f t="shared" si="397"/>
        <v>488100</v>
      </c>
      <c r="L2039" s="2">
        <v>1</v>
      </c>
      <c r="M2039" s="2" t="s">
        <v>84</v>
      </c>
      <c r="N2039" s="2" t="s">
        <v>84</v>
      </c>
      <c r="O2039" s="2" t="s">
        <v>841</v>
      </c>
      <c r="P2039" s="2" t="s">
        <v>1763</v>
      </c>
    </row>
    <row r="2040" spans="1:16" ht="22" customHeight="1" x14ac:dyDescent="0.15">
      <c r="A2040" s="10" t="str">
        <f t="shared" si="396"/>
        <v>488_10_46_10_polygon</v>
      </c>
      <c r="B2040" s="2">
        <v>488</v>
      </c>
      <c r="C2040" s="30" t="str">
        <f>VLOOKUP(B2040,gachas!A:C,3)</f>
        <v>フィーバーフェスティバル＜ボーア、ハップル＞</v>
      </c>
      <c r="D2040" s="21">
        <v>10</v>
      </c>
      <c r="E2040" s="2">
        <f t="shared" si="395"/>
        <v>46</v>
      </c>
      <c r="F2040" s="2">
        <v>10</v>
      </c>
      <c r="G2040" s="3" t="s">
        <v>22</v>
      </c>
      <c r="H2040" s="2">
        <v>50</v>
      </c>
      <c r="I2040" s="114">
        <v>488100</v>
      </c>
      <c r="J2040" s="112" t="s">
        <v>2254</v>
      </c>
      <c r="K2040" s="112">
        <f t="shared" si="397"/>
        <v>488100</v>
      </c>
      <c r="L2040" s="2">
        <v>1</v>
      </c>
      <c r="M2040" s="2" t="s">
        <v>84</v>
      </c>
      <c r="N2040" s="2" t="s">
        <v>84</v>
      </c>
      <c r="O2040" s="2" t="s">
        <v>841</v>
      </c>
      <c r="P2040" s="2" t="s">
        <v>378</v>
      </c>
    </row>
    <row r="2041" spans="1:16" ht="22" customHeight="1" x14ac:dyDescent="0.15">
      <c r="A2041" s="10" t="str">
        <f t="shared" si="396"/>
        <v>488_10_47_10_polygon</v>
      </c>
      <c r="B2041" s="2">
        <v>488</v>
      </c>
      <c r="C2041" s="30" t="str">
        <f>VLOOKUP(B2041,gachas!A:C,3)</f>
        <v>フィーバーフェスティバル＜ボーア、ハップル＞</v>
      </c>
      <c r="D2041" s="21">
        <v>10</v>
      </c>
      <c r="E2041" s="2">
        <f t="shared" si="395"/>
        <v>47</v>
      </c>
      <c r="F2041" s="2">
        <v>10</v>
      </c>
      <c r="G2041" s="3" t="s">
        <v>22</v>
      </c>
      <c r="H2041" s="2">
        <v>50</v>
      </c>
      <c r="I2041" s="114">
        <v>488100</v>
      </c>
      <c r="J2041" s="112" t="s">
        <v>2254</v>
      </c>
      <c r="K2041" s="112">
        <f t="shared" si="397"/>
        <v>488100</v>
      </c>
      <c r="L2041" s="2">
        <v>1</v>
      </c>
      <c r="M2041" s="2" t="s">
        <v>84</v>
      </c>
      <c r="N2041" s="2" t="s">
        <v>84</v>
      </c>
      <c r="O2041" s="2" t="s">
        <v>841</v>
      </c>
      <c r="P2041" s="2" t="s">
        <v>378</v>
      </c>
    </row>
    <row r="2042" spans="1:16" ht="22" customHeight="1" x14ac:dyDescent="0.15">
      <c r="A2042" s="10" t="str">
        <f t="shared" si="396"/>
        <v>488_10_48_10_polygon</v>
      </c>
      <c r="B2042" s="2">
        <v>488</v>
      </c>
      <c r="C2042" s="30" t="str">
        <f>VLOOKUP(B2042,gachas!A:C,3)</f>
        <v>フィーバーフェスティバル＜ボーア、ハップル＞</v>
      </c>
      <c r="D2042" s="21">
        <v>10</v>
      </c>
      <c r="E2042" s="2">
        <f t="shared" si="395"/>
        <v>48</v>
      </c>
      <c r="F2042" s="2">
        <v>10</v>
      </c>
      <c r="G2042" s="3" t="s">
        <v>22</v>
      </c>
      <c r="H2042" s="2">
        <v>50</v>
      </c>
      <c r="I2042" s="114">
        <v>488100</v>
      </c>
      <c r="J2042" s="112" t="s">
        <v>2254</v>
      </c>
      <c r="K2042" s="112">
        <f t="shared" si="397"/>
        <v>488100</v>
      </c>
      <c r="L2042" s="2">
        <v>1</v>
      </c>
      <c r="M2042" s="2" t="s">
        <v>84</v>
      </c>
      <c r="N2042" s="2" t="s">
        <v>84</v>
      </c>
      <c r="O2042" s="2" t="s">
        <v>841</v>
      </c>
      <c r="P2042" s="2" t="s">
        <v>378</v>
      </c>
    </row>
    <row r="2043" spans="1:16" ht="22" customHeight="1" x14ac:dyDescent="0.15">
      <c r="A2043" s="10" t="str">
        <f t="shared" si="396"/>
        <v>488_10_49_10_polygon</v>
      </c>
      <c r="B2043" s="2">
        <v>488</v>
      </c>
      <c r="C2043" s="30" t="str">
        <f>VLOOKUP(B2043,gachas!A:C,3)</f>
        <v>フィーバーフェスティバル＜ボーア、ハップル＞</v>
      </c>
      <c r="D2043" s="21">
        <v>10</v>
      </c>
      <c r="E2043" s="2">
        <f t="shared" si="395"/>
        <v>49</v>
      </c>
      <c r="F2043" s="2">
        <v>10</v>
      </c>
      <c r="G2043" s="3" t="s">
        <v>22</v>
      </c>
      <c r="H2043" s="2">
        <v>50</v>
      </c>
      <c r="I2043" s="114">
        <v>488100</v>
      </c>
      <c r="J2043" s="112" t="s">
        <v>2254</v>
      </c>
      <c r="K2043" s="112">
        <f t="shared" si="397"/>
        <v>488100</v>
      </c>
      <c r="L2043" s="2">
        <v>1</v>
      </c>
      <c r="M2043" s="2" t="s">
        <v>84</v>
      </c>
      <c r="N2043" s="2" t="s">
        <v>84</v>
      </c>
      <c r="O2043" s="2" t="s">
        <v>841</v>
      </c>
      <c r="P2043" s="2" t="s">
        <v>378</v>
      </c>
    </row>
    <row r="2044" spans="1:16" ht="22" customHeight="1" x14ac:dyDescent="0.15">
      <c r="A2044" s="10" t="str">
        <f t="shared" si="396"/>
        <v>488_10_50_10_polygon</v>
      </c>
      <c r="B2044" s="2">
        <v>488</v>
      </c>
      <c r="C2044" s="30" t="str">
        <f>VLOOKUP(B2044,gachas!A:C,3)</f>
        <v>フィーバーフェスティバル＜ボーア、ハップル＞</v>
      </c>
      <c r="D2044" s="21">
        <v>10</v>
      </c>
      <c r="E2044" s="2">
        <f t="shared" si="395"/>
        <v>50</v>
      </c>
      <c r="F2044" s="2">
        <v>10</v>
      </c>
      <c r="G2044" s="3" t="s">
        <v>22</v>
      </c>
      <c r="H2044" s="2">
        <v>50</v>
      </c>
      <c r="I2044" s="114">
        <v>488100</v>
      </c>
      <c r="J2044" s="112">
        <v>488105</v>
      </c>
      <c r="K2044" s="112">
        <f t="shared" si="397"/>
        <v>488100</v>
      </c>
      <c r="L2044" s="2">
        <v>1</v>
      </c>
      <c r="M2044" s="2" t="s">
        <v>84</v>
      </c>
      <c r="N2044" s="2" t="s">
        <v>84</v>
      </c>
      <c r="O2044" s="2" t="s">
        <v>841</v>
      </c>
      <c r="P2044" s="2" t="s">
        <v>1763</v>
      </c>
    </row>
    <row r="2045" spans="1:16" ht="22" customHeight="1" x14ac:dyDescent="0.15">
      <c r="A2045" s="10" t="str">
        <f t="shared" si="396"/>
        <v>489_1_0_1_polygon</v>
      </c>
      <c r="B2045" s="2">
        <v>489</v>
      </c>
      <c r="C2045" s="30" t="str">
        <f>VLOOKUP(B2045,gachas!A:C,3)</f>
        <v>フィーバーフェスティバル＜ボーア、ヘンペル＞</v>
      </c>
      <c r="D2045" s="21">
        <v>1</v>
      </c>
      <c r="E2045" s="2">
        <v>0</v>
      </c>
      <c r="F2045" s="2">
        <v>1</v>
      </c>
      <c r="G2045" s="3" t="s">
        <v>22</v>
      </c>
      <c r="H2045" s="2">
        <v>5</v>
      </c>
      <c r="I2045" s="114" t="str">
        <f t="shared" ref="I2045" si="398">B2045&amp;TEXT(D2045,"00")&amp;E2045</f>
        <v>489010</v>
      </c>
      <c r="J2045" s="112" t="s">
        <v>2254</v>
      </c>
      <c r="K2045" s="112" t="s">
        <v>84</v>
      </c>
      <c r="L2045" s="2">
        <v>0</v>
      </c>
      <c r="M2045" s="2" t="s">
        <v>84</v>
      </c>
      <c r="N2045" s="2" t="s">
        <v>84</v>
      </c>
      <c r="O2045" s="2" t="s">
        <v>841</v>
      </c>
      <c r="P2045" s="2" t="s">
        <v>1796</v>
      </c>
    </row>
    <row r="2046" spans="1:16" ht="22" customHeight="1" x14ac:dyDescent="0.15">
      <c r="A2046" s="10" t="str">
        <f t="shared" si="396"/>
        <v>489_10_0_10_polygon</v>
      </c>
      <c r="B2046" s="2">
        <v>489</v>
      </c>
      <c r="C2046" s="30" t="str">
        <f>VLOOKUP(B2046,gachas!A:C,3)</f>
        <v>フィーバーフェスティバル＜ボーア、ヘンペル＞</v>
      </c>
      <c r="D2046" s="21">
        <v>10</v>
      </c>
      <c r="E2046" s="2">
        <v>0</v>
      </c>
      <c r="F2046" s="2">
        <v>10</v>
      </c>
      <c r="G2046" s="3" t="s">
        <v>22</v>
      </c>
      <c r="H2046" s="2">
        <v>50</v>
      </c>
      <c r="I2046" s="114">
        <v>489100</v>
      </c>
      <c r="J2046" s="112" t="s">
        <v>2254</v>
      </c>
      <c r="K2046" s="112">
        <f t="shared" si="397"/>
        <v>489100</v>
      </c>
      <c r="L2046" s="2">
        <v>1</v>
      </c>
      <c r="M2046" s="2" t="s">
        <v>84</v>
      </c>
      <c r="N2046" s="2" t="s">
        <v>84</v>
      </c>
      <c r="O2046" s="2" t="s">
        <v>841</v>
      </c>
      <c r="P2046" s="2" t="s">
        <v>378</v>
      </c>
    </row>
    <row r="2047" spans="1:16" ht="22" customHeight="1" x14ac:dyDescent="0.15">
      <c r="A2047" s="10" t="str">
        <f t="shared" si="396"/>
        <v>489_10_1_10_polygon</v>
      </c>
      <c r="B2047" s="2">
        <v>489</v>
      </c>
      <c r="C2047" s="30" t="str">
        <f>VLOOKUP(B2047,gachas!A:C,3)</f>
        <v>フィーバーフェスティバル＜ボーア、ヘンペル＞</v>
      </c>
      <c r="D2047" s="21">
        <v>10</v>
      </c>
      <c r="E2047" s="2">
        <f>E2046+1</f>
        <v>1</v>
      </c>
      <c r="F2047" s="2">
        <v>10</v>
      </c>
      <c r="G2047" s="3" t="s">
        <v>22</v>
      </c>
      <c r="H2047" s="2">
        <v>50</v>
      </c>
      <c r="I2047" s="114">
        <v>489100</v>
      </c>
      <c r="J2047" s="112" t="s">
        <v>2254</v>
      </c>
      <c r="K2047" s="112">
        <f t="shared" si="397"/>
        <v>489100</v>
      </c>
      <c r="L2047" s="2">
        <v>1</v>
      </c>
      <c r="M2047" s="2" t="s">
        <v>84</v>
      </c>
      <c r="N2047" s="2" t="s">
        <v>84</v>
      </c>
      <c r="O2047" s="2" t="s">
        <v>841</v>
      </c>
      <c r="P2047" s="2" t="s">
        <v>378</v>
      </c>
    </row>
    <row r="2048" spans="1:16" ht="22" customHeight="1" x14ac:dyDescent="0.15">
      <c r="A2048" s="10" t="str">
        <f t="shared" si="396"/>
        <v>489_10_2_10_polygon</v>
      </c>
      <c r="B2048" s="2">
        <v>489</v>
      </c>
      <c r="C2048" s="30" t="str">
        <f>VLOOKUP(B2048,gachas!A:C,3)</f>
        <v>フィーバーフェスティバル＜ボーア、ヘンペル＞</v>
      </c>
      <c r="D2048" s="21">
        <v>10</v>
      </c>
      <c r="E2048" s="2">
        <f t="shared" ref="E2048:E2096" si="399">E2047+1</f>
        <v>2</v>
      </c>
      <c r="F2048" s="2">
        <v>10</v>
      </c>
      <c r="G2048" s="3" t="s">
        <v>22</v>
      </c>
      <c r="H2048" s="2">
        <v>50</v>
      </c>
      <c r="I2048" s="114">
        <v>489100</v>
      </c>
      <c r="J2048" s="112" t="s">
        <v>2254</v>
      </c>
      <c r="K2048" s="112">
        <f t="shared" si="397"/>
        <v>489100</v>
      </c>
      <c r="L2048" s="2">
        <v>1</v>
      </c>
      <c r="M2048" s="2" t="s">
        <v>84</v>
      </c>
      <c r="N2048" s="2" t="s">
        <v>84</v>
      </c>
      <c r="O2048" s="2" t="s">
        <v>841</v>
      </c>
      <c r="P2048" s="2" t="s">
        <v>378</v>
      </c>
    </row>
    <row r="2049" spans="1:16" ht="22" customHeight="1" x14ac:dyDescent="0.15">
      <c r="A2049" s="10" t="str">
        <f t="shared" si="396"/>
        <v>489_10_3_10_polygon</v>
      </c>
      <c r="B2049" s="2">
        <v>489</v>
      </c>
      <c r="C2049" s="30" t="str">
        <f>VLOOKUP(B2049,gachas!A:C,3)</f>
        <v>フィーバーフェスティバル＜ボーア、ヘンペル＞</v>
      </c>
      <c r="D2049" s="21">
        <v>10</v>
      </c>
      <c r="E2049" s="2">
        <f t="shared" si="399"/>
        <v>3</v>
      </c>
      <c r="F2049" s="2">
        <v>10</v>
      </c>
      <c r="G2049" s="3" t="s">
        <v>22</v>
      </c>
      <c r="H2049" s="2">
        <v>50</v>
      </c>
      <c r="I2049" s="114">
        <v>489100</v>
      </c>
      <c r="J2049" s="112" t="s">
        <v>2254</v>
      </c>
      <c r="K2049" s="112">
        <f t="shared" si="397"/>
        <v>489100</v>
      </c>
      <c r="L2049" s="2">
        <v>1</v>
      </c>
      <c r="M2049" s="2" t="s">
        <v>84</v>
      </c>
      <c r="N2049" s="2" t="s">
        <v>84</v>
      </c>
      <c r="O2049" s="2" t="s">
        <v>841</v>
      </c>
      <c r="P2049" s="2" t="s">
        <v>378</v>
      </c>
    </row>
    <row r="2050" spans="1:16" ht="22" customHeight="1" x14ac:dyDescent="0.15">
      <c r="A2050" s="10" t="str">
        <f t="shared" si="396"/>
        <v>489_10_4_10_polygon</v>
      </c>
      <c r="B2050" s="2">
        <v>489</v>
      </c>
      <c r="C2050" s="30" t="str">
        <f>VLOOKUP(B2050,gachas!A:C,3)</f>
        <v>フィーバーフェスティバル＜ボーア、ヘンペル＞</v>
      </c>
      <c r="D2050" s="21">
        <v>10</v>
      </c>
      <c r="E2050" s="2">
        <f t="shared" si="399"/>
        <v>4</v>
      </c>
      <c r="F2050" s="2">
        <v>10</v>
      </c>
      <c r="G2050" s="3" t="s">
        <v>22</v>
      </c>
      <c r="H2050" s="2">
        <v>50</v>
      </c>
      <c r="I2050" s="114">
        <v>489100</v>
      </c>
      <c r="J2050" s="112" t="s">
        <v>2254</v>
      </c>
      <c r="K2050" s="112">
        <f t="shared" si="397"/>
        <v>489100</v>
      </c>
      <c r="L2050" s="2">
        <v>1</v>
      </c>
      <c r="M2050" s="2" t="s">
        <v>84</v>
      </c>
      <c r="N2050" s="2" t="s">
        <v>84</v>
      </c>
      <c r="O2050" s="2" t="s">
        <v>841</v>
      </c>
      <c r="P2050" s="2" t="s">
        <v>378</v>
      </c>
    </row>
    <row r="2051" spans="1:16" ht="22" customHeight="1" x14ac:dyDescent="0.15">
      <c r="A2051" s="10" t="str">
        <f t="shared" si="396"/>
        <v>489_10_5_10_polygon</v>
      </c>
      <c r="B2051" s="2">
        <v>489</v>
      </c>
      <c r="C2051" s="30" t="str">
        <f>VLOOKUP(B2051,gachas!A:C,3)</f>
        <v>フィーバーフェスティバル＜ボーア、ヘンペル＞</v>
      </c>
      <c r="D2051" s="21">
        <v>10</v>
      </c>
      <c r="E2051" s="2">
        <f t="shared" si="399"/>
        <v>5</v>
      </c>
      <c r="F2051" s="2">
        <v>10</v>
      </c>
      <c r="G2051" s="3" t="s">
        <v>22</v>
      </c>
      <c r="H2051" s="2">
        <v>50</v>
      </c>
      <c r="I2051" s="114">
        <v>489100</v>
      </c>
      <c r="J2051" s="112">
        <v>489105</v>
      </c>
      <c r="K2051" s="112">
        <f t="shared" si="397"/>
        <v>489100</v>
      </c>
      <c r="L2051" s="2">
        <v>1</v>
      </c>
      <c r="M2051" s="2" t="s">
        <v>84</v>
      </c>
      <c r="N2051" s="2" t="s">
        <v>84</v>
      </c>
      <c r="O2051" s="2" t="s">
        <v>841</v>
      </c>
      <c r="P2051" s="2" t="s">
        <v>1763</v>
      </c>
    </row>
    <row r="2052" spans="1:16" ht="22" customHeight="1" x14ac:dyDescent="0.15">
      <c r="A2052" s="10" t="str">
        <f t="shared" si="396"/>
        <v>489_10_6_10_polygon</v>
      </c>
      <c r="B2052" s="2">
        <v>489</v>
      </c>
      <c r="C2052" s="30" t="str">
        <f>VLOOKUP(B2052,gachas!A:C,3)</f>
        <v>フィーバーフェスティバル＜ボーア、ヘンペル＞</v>
      </c>
      <c r="D2052" s="21">
        <v>10</v>
      </c>
      <c r="E2052" s="2">
        <f t="shared" si="399"/>
        <v>6</v>
      </c>
      <c r="F2052" s="2">
        <v>10</v>
      </c>
      <c r="G2052" s="3" t="s">
        <v>22</v>
      </c>
      <c r="H2052" s="2">
        <v>50</v>
      </c>
      <c r="I2052" s="114">
        <v>489100</v>
      </c>
      <c r="J2052" s="112" t="s">
        <v>2254</v>
      </c>
      <c r="K2052" s="112">
        <f t="shared" si="397"/>
        <v>489100</v>
      </c>
      <c r="L2052" s="2">
        <v>1</v>
      </c>
      <c r="M2052" s="2" t="s">
        <v>84</v>
      </c>
      <c r="N2052" s="2" t="s">
        <v>84</v>
      </c>
      <c r="O2052" s="2" t="s">
        <v>841</v>
      </c>
      <c r="P2052" s="2" t="s">
        <v>378</v>
      </c>
    </row>
    <row r="2053" spans="1:16" ht="22" customHeight="1" x14ac:dyDescent="0.15">
      <c r="A2053" s="10" t="str">
        <f t="shared" si="396"/>
        <v>489_10_7_10_polygon</v>
      </c>
      <c r="B2053" s="2">
        <v>489</v>
      </c>
      <c r="C2053" s="30" t="str">
        <f>VLOOKUP(B2053,gachas!A:C,3)</f>
        <v>フィーバーフェスティバル＜ボーア、ヘンペル＞</v>
      </c>
      <c r="D2053" s="21">
        <v>10</v>
      </c>
      <c r="E2053" s="2">
        <f t="shared" si="399"/>
        <v>7</v>
      </c>
      <c r="F2053" s="2">
        <v>10</v>
      </c>
      <c r="G2053" s="3" t="s">
        <v>22</v>
      </c>
      <c r="H2053" s="2">
        <v>50</v>
      </c>
      <c r="I2053" s="114">
        <v>489100</v>
      </c>
      <c r="J2053" s="112" t="s">
        <v>2254</v>
      </c>
      <c r="K2053" s="112">
        <f t="shared" si="397"/>
        <v>489100</v>
      </c>
      <c r="L2053" s="2">
        <v>1</v>
      </c>
      <c r="M2053" s="2" t="s">
        <v>84</v>
      </c>
      <c r="N2053" s="2" t="s">
        <v>84</v>
      </c>
      <c r="O2053" s="2" t="s">
        <v>841</v>
      </c>
      <c r="P2053" s="2" t="s">
        <v>378</v>
      </c>
    </row>
    <row r="2054" spans="1:16" ht="22" customHeight="1" x14ac:dyDescent="0.15">
      <c r="A2054" s="10" t="str">
        <f t="shared" si="396"/>
        <v>489_10_8_10_polygon</v>
      </c>
      <c r="B2054" s="2">
        <v>489</v>
      </c>
      <c r="C2054" s="30" t="str">
        <f>VLOOKUP(B2054,gachas!A:C,3)</f>
        <v>フィーバーフェスティバル＜ボーア、ヘンペル＞</v>
      </c>
      <c r="D2054" s="21">
        <v>10</v>
      </c>
      <c r="E2054" s="2">
        <f t="shared" si="399"/>
        <v>8</v>
      </c>
      <c r="F2054" s="2">
        <v>10</v>
      </c>
      <c r="G2054" s="3" t="s">
        <v>22</v>
      </c>
      <c r="H2054" s="2">
        <v>50</v>
      </c>
      <c r="I2054" s="114">
        <v>489100</v>
      </c>
      <c r="J2054" s="112" t="s">
        <v>2254</v>
      </c>
      <c r="K2054" s="112">
        <f t="shared" si="397"/>
        <v>489100</v>
      </c>
      <c r="L2054" s="2">
        <v>1</v>
      </c>
      <c r="M2054" s="2" t="s">
        <v>84</v>
      </c>
      <c r="N2054" s="2" t="s">
        <v>84</v>
      </c>
      <c r="O2054" s="2" t="s">
        <v>841</v>
      </c>
      <c r="P2054" s="2" t="s">
        <v>378</v>
      </c>
    </row>
    <row r="2055" spans="1:16" ht="22" customHeight="1" x14ac:dyDescent="0.15">
      <c r="A2055" s="10" t="str">
        <f t="shared" si="396"/>
        <v>489_10_9_10_polygon</v>
      </c>
      <c r="B2055" s="2">
        <v>489</v>
      </c>
      <c r="C2055" s="30" t="str">
        <f>VLOOKUP(B2055,gachas!A:C,3)</f>
        <v>フィーバーフェスティバル＜ボーア、ヘンペル＞</v>
      </c>
      <c r="D2055" s="21">
        <v>10</v>
      </c>
      <c r="E2055" s="2">
        <f t="shared" si="399"/>
        <v>9</v>
      </c>
      <c r="F2055" s="2">
        <v>10</v>
      </c>
      <c r="G2055" s="3" t="s">
        <v>22</v>
      </c>
      <c r="H2055" s="2">
        <v>50</v>
      </c>
      <c r="I2055" s="114">
        <v>489100</v>
      </c>
      <c r="J2055" s="112" t="s">
        <v>2254</v>
      </c>
      <c r="K2055" s="112">
        <f t="shared" si="397"/>
        <v>489100</v>
      </c>
      <c r="L2055" s="2">
        <v>1</v>
      </c>
      <c r="M2055" s="2" t="s">
        <v>84</v>
      </c>
      <c r="N2055" s="2" t="s">
        <v>84</v>
      </c>
      <c r="O2055" s="2" t="s">
        <v>841</v>
      </c>
      <c r="P2055" s="2" t="s">
        <v>378</v>
      </c>
    </row>
    <row r="2056" spans="1:16" ht="22" customHeight="1" x14ac:dyDescent="0.15">
      <c r="A2056" s="10" t="str">
        <f t="shared" si="396"/>
        <v>489_10_10_10_polygon</v>
      </c>
      <c r="B2056" s="2">
        <v>489</v>
      </c>
      <c r="C2056" s="30" t="str">
        <f>VLOOKUP(B2056,gachas!A:C,3)</f>
        <v>フィーバーフェスティバル＜ボーア、ヘンペル＞</v>
      </c>
      <c r="D2056" s="21">
        <v>10</v>
      </c>
      <c r="E2056" s="2">
        <f t="shared" si="399"/>
        <v>10</v>
      </c>
      <c r="F2056" s="2">
        <v>10</v>
      </c>
      <c r="G2056" s="3" t="s">
        <v>22</v>
      </c>
      <c r="H2056" s="2">
        <v>50</v>
      </c>
      <c r="I2056" s="114">
        <v>489100</v>
      </c>
      <c r="J2056" s="112">
        <v>489105</v>
      </c>
      <c r="K2056" s="112">
        <f t="shared" si="397"/>
        <v>489100</v>
      </c>
      <c r="L2056" s="2">
        <v>1</v>
      </c>
      <c r="M2056" s="2" t="s">
        <v>84</v>
      </c>
      <c r="N2056" s="2" t="s">
        <v>84</v>
      </c>
      <c r="O2056" s="2" t="s">
        <v>841</v>
      </c>
      <c r="P2056" s="2" t="s">
        <v>1763</v>
      </c>
    </row>
    <row r="2057" spans="1:16" ht="22" customHeight="1" x14ac:dyDescent="0.15">
      <c r="A2057" s="10" t="str">
        <f t="shared" si="396"/>
        <v>489_10_11_10_polygon</v>
      </c>
      <c r="B2057" s="2">
        <v>489</v>
      </c>
      <c r="C2057" s="30" t="str">
        <f>VLOOKUP(B2057,gachas!A:C,3)</f>
        <v>フィーバーフェスティバル＜ボーア、ヘンペル＞</v>
      </c>
      <c r="D2057" s="21">
        <v>10</v>
      </c>
      <c r="E2057" s="2">
        <f t="shared" si="399"/>
        <v>11</v>
      </c>
      <c r="F2057" s="2">
        <v>10</v>
      </c>
      <c r="G2057" s="3" t="s">
        <v>22</v>
      </c>
      <c r="H2057" s="2">
        <v>50</v>
      </c>
      <c r="I2057" s="114">
        <v>489100</v>
      </c>
      <c r="J2057" s="112" t="s">
        <v>2254</v>
      </c>
      <c r="K2057" s="112">
        <f t="shared" si="397"/>
        <v>489100</v>
      </c>
      <c r="L2057" s="2">
        <v>1</v>
      </c>
      <c r="M2057" s="2" t="s">
        <v>84</v>
      </c>
      <c r="N2057" s="2" t="s">
        <v>84</v>
      </c>
      <c r="O2057" s="2" t="s">
        <v>841</v>
      </c>
      <c r="P2057" s="2" t="s">
        <v>378</v>
      </c>
    </row>
    <row r="2058" spans="1:16" ht="22" customHeight="1" x14ac:dyDescent="0.15">
      <c r="A2058" s="10" t="str">
        <f t="shared" si="396"/>
        <v>489_10_12_10_polygon</v>
      </c>
      <c r="B2058" s="2">
        <v>489</v>
      </c>
      <c r="C2058" s="30" t="str">
        <f>VLOOKUP(B2058,gachas!A:C,3)</f>
        <v>フィーバーフェスティバル＜ボーア、ヘンペル＞</v>
      </c>
      <c r="D2058" s="21">
        <v>10</v>
      </c>
      <c r="E2058" s="2">
        <f t="shared" si="399"/>
        <v>12</v>
      </c>
      <c r="F2058" s="2">
        <v>10</v>
      </c>
      <c r="G2058" s="3" t="s">
        <v>22</v>
      </c>
      <c r="H2058" s="2">
        <v>50</v>
      </c>
      <c r="I2058" s="114">
        <v>489100</v>
      </c>
      <c r="J2058" s="112" t="s">
        <v>2254</v>
      </c>
      <c r="K2058" s="112">
        <f t="shared" si="397"/>
        <v>489100</v>
      </c>
      <c r="L2058" s="2">
        <v>1</v>
      </c>
      <c r="M2058" s="2" t="s">
        <v>84</v>
      </c>
      <c r="N2058" s="2" t="s">
        <v>84</v>
      </c>
      <c r="O2058" s="2" t="s">
        <v>841</v>
      </c>
      <c r="P2058" s="2" t="s">
        <v>378</v>
      </c>
    </row>
    <row r="2059" spans="1:16" ht="22" customHeight="1" x14ac:dyDescent="0.15">
      <c r="A2059" s="10" t="str">
        <f t="shared" si="396"/>
        <v>489_10_13_10_polygon</v>
      </c>
      <c r="B2059" s="2">
        <v>489</v>
      </c>
      <c r="C2059" s="30" t="str">
        <f>VLOOKUP(B2059,gachas!A:C,3)</f>
        <v>フィーバーフェスティバル＜ボーア、ヘンペル＞</v>
      </c>
      <c r="D2059" s="21">
        <v>10</v>
      </c>
      <c r="E2059" s="2">
        <f t="shared" si="399"/>
        <v>13</v>
      </c>
      <c r="F2059" s="2">
        <v>10</v>
      </c>
      <c r="G2059" s="3" t="s">
        <v>22</v>
      </c>
      <c r="H2059" s="2">
        <v>50</v>
      </c>
      <c r="I2059" s="114">
        <v>489100</v>
      </c>
      <c r="J2059" s="112" t="s">
        <v>2254</v>
      </c>
      <c r="K2059" s="112">
        <f t="shared" si="397"/>
        <v>489100</v>
      </c>
      <c r="L2059" s="2">
        <v>1</v>
      </c>
      <c r="M2059" s="2" t="s">
        <v>84</v>
      </c>
      <c r="N2059" s="2" t="s">
        <v>84</v>
      </c>
      <c r="O2059" s="2" t="s">
        <v>841</v>
      </c>
      <c r="P2059" s="2" t="s">
        <v>378</v>
      </c>
    </row>
    <row r="2060" spans="1:16" ht="22" customHeight="1" x14ac:dyDescent="0.15">
      <c r="A2060" s="10" t="str">
        <f t="shared" si="396"/>
        <v>489_10_14_10_polygon</v>
      </c>
      <c r="B2060" s="2">
        <v>489</v>
      </c>
      <c r="C2060" s="30" t="str">
        <f>VLOOKUP(B2060,gachas!A:C,3)</f>
        <v>フィーバーフェスティバル＜ボーア、ヘンペル＞</v>
      </c>
      <c r="D2060" s="21">
        <v>10</v>
      </c>
      <c r="E2060" s="2">
        <f t="shared" si="399"/>
        <v>14</v>
      </c>
      <c r="F2060" s="2">
        <v>10</v>
      </c>
      <c r="G2060" s="3" t="s">
        <v>22</v>
      </c>
      <c r="H2060" s="2">
        <v>50</v>
      </c>
      <c r="I2060" s="114">
        <v>489100</v>
      </c>
      <c r="J2060" s="112" t="s">
        <v>2254</v>
      </c>
      <c r="K2060" s="112">
        <f t="shared" si="397"/>
        <v>489100</v>
      </c>
      <c r="L2060" s="2">
        <v>1</v>
      </c>
      <c r="M2060" s="2" t="s">
        <v>84</v>
      </c>
      <c r="N2060" s="2" t="s">
        <v>84</v>
      </c>
      <c r="O2060" s="2" t="s">
        <v>841</v>
      </c>
      <c r="P2060" s="2" t="s">
        <v>378</v>
      </c>
    </row>
    <row r="2061" spans="1:16" ht="22" customHeight="1" x14ac:dyDescent="0.15">
      <c r="A2061" s="10" t="str">
        <f t="shared" si="396"/>
        <v>489_10_15_10_polygon</v>
      </c>
      <c r="B2061" s="2">
        <v>489</v>
      </c>
      <c r="C2061" s="30" t="str">
        <f>VLOOKUP(B2061,gachas!A:C,3)</f>
        <v>フィーバーフェスティバル＜ボーア、ヘンペル＞</v>
      </c>
      <c r="D2061" s="21">
        <v>10</v>
      </c>
      <c r="E2061" s="2">
        <f t="shared" si="399"/>
        <v>15</v>
      </c>
      <c r="F2061" s="2">
        <v>10</v>
      </c>
      <c r="G2061" s="3" t="s">
        <v>22</v>
      </c>
      <c r="H2061" s="2">
        <v>50</v>
      </c>
      <c r="I2061" s="114">
        <v>489100</v>
      </c>
      <c r="J2061" s="112">
        <v>489105</v>
      </c>
      <c r="K2061" s="112">
        <f t="shared" si="397"/>
        <v>489100</v>
      </c>
      <c r="L2061" s="2">
        <v>1</v>
      </c>
      <c r="M2061" s="2" t="s">
        <v>84</v>
      </c>
      <c r="N2061" s="2" t="s">
        <v>84</v>
      </c>
      <c r="O2061" s="2" t="s">
        <v>841</v>
      </c>
      <c r="P2061" s="2" t="s">
        <v>1763</v>
      </c>
    </row>
    <row r="2062" spans="1:16" ht="22" customHeight="1" x14ac:dyDescent="0.15">
      <c r="A2062" s="10" t="str">
        <f t="shared" si="396"/>
        <v>489_10_16_10_polygon</v>
      </c>
      <c r="B2062" s="2">
        <v>489</v>
      </c>
      <c r="C2062" s="30" t="str">
        <f>VLOOKUP(B2062,gachas!A:C,3)</f>
        <v>フィーバーフェスティバル＜ボーア、ヘンペル＞</v>
      </c>
      <c r="D2062" s="21">
        <v>10</v>
      </c>
      <c r="E2062" s="2">
        <f t="shared" si="399"/>
        <v>16</v>
      </c>
      <c r="F2062" s="2">
        <v>10</v>
      </c>
      <c r="G2062" s="3" t="s">
        <v>22</v>
      </c>
      <c r="H2062" s="2">
        <v>50</v>
      </c>
      <c r="I2062" s="114">
        <v>489100</v>
      </c>
      <c r="J2062" s="112" t="s">
        <v>2254</v>
      </c>
      <c r="K2062" s="112">
        <f t="shared" si="397"/>
        <v>489100</v>
      </c>
      <c r="L2062" s="2">
        <v>1</v>
      </c>
      <c r="M2062" s="2" t="s">
        <v>84</v>
      </c>
      <c r="N2062" s="2" t="s">
        <v>84</v>
      </c>
      <c r="O2062" s="2" t="s">
        <v>841</v>
      </c>
      <c r="P2062" s="2" t="s">
        <v>378</v>
      </c>
    </row>
    <row r="2063" spans="1:16" ht="22" customHeight="1" x14ac:dyDescent="0.15">
      <c r="A2063" s="10" t="str">
        <f t="shared" si="396"/>
        <v>489_10_17_10_polygon</v>
      </c>
      <c r="B2063" s="2">
        <v>489</v>
      </c>
      <c r="C2063" s="30" t="str">
        <f>VLOOKUP(B2063,gachas!A:C,3)</f>
        <v>フィーバーフェスティバル＜ボーア、ヘンペル＞</v>
      </c>
      <c r="D2063" s="21">
        <v>10</v>
      </c>
      <c r="E2063" s="2">
        <f t="shared" si="399"/>
        <v>17</v>
      </c>
      <c r="F2063" s="2">
        <v>10</v>
      </c>
      <c r="G2063" s="3" t="s">
        <v>22</v>
      </c>
      <c r="H2063" s="2">
        <v>50</v>
      </c>
      <c r="I2063" s="114">
        <v>489100</v>
      </c>
      <c r="J2063" s="112" t="s">
        <v>2254</v>
      </c>
      <c r="K2063" s="112">
        <f t="shared" si="397"/>
        <v>489100</v>
      </c>
      <c r="L2063" s="2">
        <v>1</v>
      </c>
      <c r="M2063" s="2" t="s">
        <v>84</v>
      </c>
      <c r="N2063" s="2" t="s">
        <v>84</v>
      </c>
      <c r="O2063" s="2" t="s">
        <v>841</v>
      </c>
      <c r="P2063" s="2" t="s">
        <v>378</v>
      </c>
    </row>
    <row r="2064" spans="1:16" ht="22" customHeight="1" x14ac:dyDescent="0.15">
      <c r="A2064" s="10" t="str">
        <f t="shared" si="396"/>
        <v>489_10_18_10_polygon</v>
      </c>
      <c r="B2064" s="2">
        <v>489</v>
      </c>
      <c r="C2064" s="30" t="str">
        <f>VLOOKUP(B2064,gachas!A:C,3)</f>
        <v>フィーバーフェスティバル＜ボーア、ヘンペル＞</v>
      </c>
      <c r="D2064" s="21">
        <v>10</v>
      </c>
      <c r="E2064" s="2">
        <f t="shared" si="399"/>
        <v>18</v>
      </c>
      <c r="F2064" s="2">
        <v>10</v>
      </c>
      <c r="G2064" s="3" t="s">
        <v>22</v>
      </c>
      <c r="H2064" s="2">
        <v>50</v>
      </c>
      <c r="I2064" s="114">
        <v>489100</v>
      </c>
      <c r="J2064" s="112" t="s">
        <v>2254</v>
      </c>
      <c r="K2064" s="112">
        <f t="shared" si="397"/>
        <v>489100</v>
      </c>
      <c r="L2064" s="2">
        <v>1</v>
      </c>
      <c r="M2064" s="2" t="s">
        <v>84</v>
      </c>
      <c r="N2064" s="2" t="s">
        <v>84</v>
      </c>
      <c r="O2064" s="2" t="s">
        <v>841</v>
      </c>
      <c r="P2064" s="2" t="s">
        <v>378</v>
      </c>
    </row>
    <row r="2065" spans="1:16" ht="22" customHeight="1" x14ac:dyDescent="0.15">
      <c r="A2065" s="10" t="str">
        <f t="shared" ref="A2065:A5089" si="400">B2065&amp;"_"&amp;D2065&amp;"_"&amp;E2065&amp;"_"&amp;F2065&amp;"_"&amp;G2065</f>
        <v>489_10_19_10_polygon</v>
      </c>
      <c r="B2065" s="2">
        <v>489</v>
      </c>
      <c r="C2065" s="30" t="str">
        <f>VLOOKUP(B2065,gachas!A:C,3)</f>
        <v>フィーバーフェスティバル＜ボーア、ヘンペル＞</v>
      </c>
      <c r="D2065" s="21">
        <v>10</v>
      </c>
      <c r="E2065" s="2">
        <f t="shared" si="399"/>
        <v>19</v>
      </c>
      <c r="F2065" s="2">
        <v>10</v>
      </c>
      <c r="G2065" s="3" t="s">
        <v>22</v>
      </c>
      <c r="H2065" s="2">
        <v>50</v>
      </c>
      <c r="I2065" s="114">
        <v>489100</v>
      </c>
      <c r="J2065" s="112" t="s">
        <v>2254</v>
      </c>
      <c r="K2065" s="112">
        <f t="shared" si="397"/>
        <v>489100</v>
      </c>
      <c r="L2065" s="2">
        <v>1</v>
      </c>
      <c r="M2065" s="2" t="s">
        <v>84</v>
      </c>
      <c r="N2065" s="2" t="s">
        <v>84</v>
      </c>
      <c r="O2065" s="2" t="s">
        <v>841</v>
      </c>
      <c r="P2065" s="2" t="s">
        <v>378</v>
      </c>
    </row>
    <row r="2066" spans="1:16" ht="22" customHeight="1" x14ac:dyDescent="0.15">
      <c r="A2066" s="10" t="str">
        <f t="shared" si="400"/>
        <v>489_10_20_10_polygon</v>
      </c>
      <c r="B2066" s="2">
        <v>489</v>
      </c>
      <c r="C2066" s="30" t="str">
        <f>VLOOKUP(B2066,gachas!A:C,3)</f>
        <v>フィーバーフェスティバル＜ボーア、ヘンペル＞</v>
      </c>
      <c r="D2066" s="21">
        <v>10</v>
      </c>
      <c r="E2066" s="2">
        <f t="shared" si="399"/>
        <v>20</v>
      </c>
      <c r="F2066" s="2">
        <v>10</v>
      </c>
      <c r="G2066" s="3" t="s">
        <v>22</v>
      </c>
      <c r="H2066" s="2">
        <v>50</v>
      </c>
      <c r="I2066" s="114">
        <v>489100</v>
      </c>
      <c r="J2066" s="112">
        <v>489105</v>
      </c>
      <c r="K2066" s="112">
        <f t="shared" si="397"/>
        <v>489100</v>
      </c>
      <c r="L2066" s="2">
        <v>1</v>
      </c>
      <c r="M2066" s="2" t="s">
        <v>84</v>
      </c>
      <c r="N2066" s="2" t="s">
        <v>84</v>
      </c>
      <c r="O2066" s="2" t="s">
        <v>841</v>
      </c>
      <c r="P2066" s="2" t="s">
        <v>1763</v>
      </c>
    </row>
    <row r="2067" spans="1:16" ht="22" customHeight="1" x14ac:dyDescent="0.15">
      <c r="A2067" s="10" t="str">
        <f t="shared" si="400"/>
        <v>489_10_21_10_polygon</v>
      </c>
      <c r="B2067" s="2">
        <v>489</v>
      </c>
      <c r="C2067" s="30" t="str">
        <f>VLOOKUP(B2067,gachas!A:C,3)</f>
        <v>フィーバーフェスティバル＜ボーア、ヘンペル＞</v>
      </c>
      <c r="D2067" s="21">
        <v>10</v>
      </c>
      <c r="E2067" s="2">
        <f t="shared" si="399"/>
        <v>21</v>
      </c>
      <c r="F2067" s="2">
        <v>10</v>
      </c>
      <c r="G2067" s="3" t="s">
        <v>22</v>
      </c>
      <c r="H2067" s="2">
        <v>50</v>
      </c>
      <c r="I2067" s="114">
        <v>489100</v>
      </c>
      <c r="J2067" s="112" t="s">
        <v>2254</v>
      </c>
      <c r="K2067" s="112">
        <f t="shared" si="397"/>
        <v>489100</v>
      </c>
      <c r="L2067" s="2">
        <v>1</v>
      </c>
      <c r="M2067" s="2" t="s">
        <v>84</v>
      </c>
      <c r="N2067" s="2" t="s">
        <v>84</v>
      </c>
      <c r="O2067" s="2" t="s">
        <v>841</v>
      </c>
      <c r="P2067" s="2" t="s">
        <v>378</v>
      </c>
    </row>
    <row r="2068" spans="1:16" ht="22" customHeight="1" x14ac:dyDescent="0.15">
      <c r="A2068" s="10" t="str">
        <f t="shared" si="400"/>
        <v>489_10_22_10_polygon</v>
      </c>
      <c r="B2068" s="2">
        <v>489</v>
      </c>
      <c r="C2068" s="30" t="str">
        <f>VLOOKUP(B2068,gachas!A:C,3)</f>
        <v>フィーバーフェスティバル＜ボーア、ヘンペル＞</v>
      </c>
      <c r="D2068" s="21">
        <v>10</v>
      </c>
      <c r="E2068" s="2">
        <f t="shared" si="399"/>
        <v>22</v>
      </c>
      <c r="F2068" s="2">
        <v>10</v>
      </c>
      <c r="G2068" s="3" t="s">
        <v>22</v>
      </c>
      <c r="H2068" s="2">
        <v>50</v>
      </c>
      <c r="I2068" s="114">
        <v>489100</v>
      </c>
      <c r="J2068" s="112" t="s">
        <v>2254</v>
      </c>
      <c r="K2068" s="112">
        <f t="shared" si="397"/>
        <v>489100</v>
      </c>
      <c r="L2068" s="2">
        <v>1</v>
      </c>
      <c r="M2068" s="2" t="s">
        <v>84</v>
      </c>
      <c r="N2068" s="2" t="s">
        <v>84</v>
      </c>
      <c r="O2068" s="2" t="s">
        <v>841</v>
      </c>
      <c r="P2068" s="2" t="s">
        <v>378</v>
      </c>
    </row>
    <row r="2069" spans="1:16" ht="22" customHeight="1" x14ac:dyDescent="0.15">
      <c r="A2069" s="10" t="str">
        <f t="shared" si="400"/>
        <v>489_10_23_10_polygon</v>
      </c>
      <c r="B2069" s="2">
        <v>489</v>
      </c>
      <c r="C2069" s="30" t="str">
        <f>VLOOKUP(B2069,gachas!A:C,3)</f>
        <v>フィーバーフェスティバル＜ボーア、ヘンペル＞</v>
      </c>
      <c r="D2069" s="21">
        <v>10</v>
      </c>
      <c r="E2069" s="2">
        <f t="shared" si="399"/>
        <v>23</v>
      </c>
      <c r="F2069" s="2">
        <v>10</v>
      </c>
      <c r="G2069" s="3" t="s">
        <v>22</v>
      </c>
      <c r="H2069" s="2">
        <v>50</v>
      </c>
      <c r="I2069" s="114">
        <v>489100</v>
      </c>
      <c r="J2069" s="112" t="s">
        <v>2254</v>
      </c>
      <c r="K2069" s="112">
        <f t="shared" si="397"/>
        <v>489100</v>
      </c>
      <c r="L2069" s="2">
        <v>1</v>
      </c>
      <c r="M2069" s="2" t="s">
        <v>84</v>
      </c>
      <c r="N2069" s="2" t="s">
        <v>84</v>
      </c>
      <c r="O2069" s="2" t="s">
        <v>841</v>
      </c>
      <c r="P2069" s="2" t="s">
        <v>378</v>
      </c>
    </row>
    <row r="2070" spans="1:16" ht="22" customHeight="1" x14ac:dyDescent="0.15">
      <c r="A2070" s="10" t="str">
        <f t="shared" si="400"/>
        <v>489_10_24_10_polygon</v>
      </c>
      <c r="B2070" s="2">
        <v>489</v>
      </c>
      <c r="C2070" s="30" t="str">
        <f>VLOOKUP(B2070,gachas!A:C,3)</f>
        <v>フィーバーフェスティバル＜ボーア、ヘンペル＞</v>
      </c>
      <c r="D2070" s="21">
        <v>10</v>
      </c>
      <c r="E2070" s="2">
        <f t="shared" si="399"/>
        <v>24</v>
      </c>
      <c r="F2070" s="2">
        <v>10</v>
      </c>
      <c r="G2070" s="3" t="s">
        <v>22</v>
      </c>
      <c r="H2070" s="2">
        <v>50</v>
      </c>
      <c r="I2070" s="114">
        <v>489100</v>
      </c>
      <c r="J2070" s="112" t="s">
        <v>2254</v>
      </c>
      <c r="K2070" s="112">
        <f t="shared" si="397"/>
        <v>489100</v>
      </c>
      <c r="L2070" s="2">
        <v>1</v>
      </c>
      <c r="M2070" s="2" t="s">
        <v>84</v>
      </c>
      <c r="N2070" s="2" t="s">
        <v>84</v>
      </c>
      <c r="O2070" s="2" t="s">
        <v>841</v>
      </c>
      <c r="P2070" s="2" t="s">
        <v>378</v>
      </c>
    </row>
    <row r="2071" spans="1:16" ht="22" customHeight="1" x14ac:dyDescent="0.15">
      <c r="A2071" s="10" t="str">
        <f t="shared" si="400"/>
        <v>489_10_25_10_polygon</v>
      </c>
      <c r="B2071" s="2">
        <v>489</v>
      </c>
      <c r="C2071" s="30" t="str">
        <f>VLOOKUP(B2071,gachas!A:C,3)</f>
        <v>フィーバーフェスティバル＜ボーア、ヘンペル＞</v>
      </c>
      <c r="D2071" s="21">
        <v>10</v>
      </c>
      <c r="E2071" s="2">
        <f t="shared" si="399"/>
        <v>25</v>
      </c>
      <c r="F2071" s="2">
        <v>10</v>
      </c>
      <c r="G2071" s="3" t="s">
        <v>22</v>
      </c>
      <c r="H2071" s="2">
        <v>50</v>
      </c>
      <c r="I2071" s="114">
        <v>489100</v>
      </c>
      <c r="J2071" s="112">
        <v>489105</v>
      </c>
      <c r="K2071" s="112">
        <f t="shared" ref="K2071:K2096" si="401">I2071</f>
        <v>489100</v>
      </c>
      <c r="L2071" s="2">
        <v>1</v>
      </c>
      <c r="M2071" s="2" t="s">
        <v>84</v>
      </c>
      <c r="N2071" s="2" t="s">
        <v>84</v>
      </c>
      <c r="O2071" s="2" t="s">
        <v>841</v>
      </c>
      <c r="P2071" s="2" t="s">
        <v>1763</v>
      </c>
    </row>
    <row r="2072" spans="1:16" ht="22" customHeight="1" x14ac:dyDescent="0.15">
      <c r="A2072" s="10" t="str">
        <f t="shared" si="400"/>
        <v>489_10_26_10_polygon</v>
      </c>
      <c r="B2072" s="2">
        <v>489</v>
      </c>
      <c r="C2072" s="30" t="str">
        <f>VLOOKUP(B2072,gachas!A:C,3)</f>
        <v>フィーバーフェスティバル＜ボーア、ヘンペル＞</v>
      </c>
      <c r="D2072" s="21">
        <v>10</v>
      </c>
      <c r="E2072" s="2">
        <f t="shared" si="399"/>
        <v>26</v>
      </c>
      <c r="F2072" s="2">
        <v>10</v>
      </c>
      <c r="G2072" s="3" t="s">
        <v>22</v>
      </c>
      <c r="H2072" s="2">
        <v>50</v>
      </c>
      <c r="I2072" s="114">
        <v>489100</v>
      </c>
      <c r="J2072" s="112" t="s">
        <v>2254</v>
      </c>
      <c r="K2072" s="112">
        <f t="shared" si="401"/>
        <v>489100</v>
      </c>
      <c r="L2072" s="2">
        <v>1</v>
      </c>
      <c r="M2072" s="2" t="s">
        <v>84</v>
      </c>
      <c r="N2072" s="2" t="s">
        <v>84</v>
      </c>
      <c r="O2072" s="2" t="s">
        <v>841</v>
      </c>
      <c r="P2072" s="2" t="s">
        <v>378</v>
      </c>
    </row>
    <row r="2073" spans="1:16" ht="22" customHeight="1" x14ac:dyDescent="0.15">
      <c r="A2073" s="10" t="str">
        <f t="shared" si="400"/>
        <v>489_10_27_10_polygon</v>
      </c>
      <c r="B2073" s="2">
        <v>489</v>
      </c>
      <c r="C2073" s="30" t="str">
        <f>VLOOKUP(B2073,gachas!A:C,3)</f>
        <v>フィーバーフェスティバル＜ボーア、ヘンペル＞</v>
      </c>
      <c r="D2073" s="21">
        <v>10</v>
      </c>
      <c r="E2073" s="2">
        <f t="shared" si="399"/>
        <v>27</v>
      </c>
      <c r="F2073" s="2">
        <v>10</v>
      </c>
      <c r="G2073" s="3" t="s">
        <v>22</v>
      </c>
      <c r="H2073" s="2">
        <v>50</v>
      </c>
      <c r="I2073" s="114">
        <v>489100</v>
      </c>
      <c r="J2073" s="112" t="s">
        <v>2254</v>
      </c>
      <c r="K2073" s="112">
        <f t="shared" si="401"/>
        <v>489100</v>
      </c>
      <c r="L2073" s="2">
        <v>1</v>
      </c>
      <c r="M2073" s="2" t="s">
        <v>84</v>
      </c>
      <c r="N2073" s="2" t="s">
        <v>84</v>
      </c>
      <c r="O2073" s="2" t="s">
        <v>841</v>
      </c>
      <c r="P2073" s="2" t="s">
        <v>378</v>
      </c>
    </row>
    <row r="2074" spans="1:16" ht="22" customHeight="1" x14ac:dyDescent="0.15">
      <c r="A2074" s="10" t="str">
        <f t="shared" si="400"/>
        <v>489_10_28_10_polygon</v>
      </c>
      <c r="B2074" s="2">
        <v>489</v>
      </c>
      <c r="C2074" s="30" t="str">
        <f>VLOOKUP(B2074,gachas!A:C,3)</f>
        <v>フィーバーフェスティバル＜ボーア、ヘンペル＞</v>
      </c>
      <c r="D2074" s="21">
        <v>10</v>
      </c>
      <c r="E2074" s="2">
        <f t="shared" si="399"/>
        <v>28</v>
      </c>
      <c r="F2074" s="2">
        <v>10</v>
      </c>
      <c r="G2074" s="3" t="s">
        <v>22</v>
      </c>
      <c r="H2074" s="2">
        <v>50</v>
      </c>
      <c r="I2074" s="114">
        <v>489100</v>
      </c>
      <c r="J2074" s="112" t="s">
        <v>2254</v>
      </c>
      <c r="K2074" s="112">
        <f t="shared" si="401"/>
        <v>489100</v>
      </c>
      <c r="L2074" s="2">
        <v>1</v>
      </c>
      <c r="M2074" s="2" t="s">
        <v>84</v>
      </c>
      <c r="N2074" s="2" t="s">
        <v>84</v>
      </c>
      <c r="O2074" s="2" t="s">
        <v>841</v>
      </c>
      <c r="P2074" s="2" t="s">
        <v>378</v>
      </c>
    </row>
    <row r="2075" spans="1:16" ht="22" customHeight="1" x14ac:dyDescent="0.15">
      <c r="A2075" s="10" t="str">
        <f t="shared" si="400"/>
        <v>489_10_29_10_polygon</v>
      </c>
      <c r="B2075" s="2">
        <v>489</v>
      </c>
      <c r="C2075" s="30" t="str">
        <f>VLOOKUP(B2075,gachas!A:C,3)</f>
        <v>フィーバーフェスティバル＜ボーア、ヘンペル＞</v>
      </c>
      <c r="D2075" s="21">
        <v>10</v>
      </c>
      <c r="E2075" s="2">
        <f t="shared" si="399"/>
        <v>29</v>
      </c>
      <c r="F2075" s="2">
        <v>10</v>
      </c>
      <c r="G2075" s="3" t="s">
        <v>22</v>
      </c>
      <c r="H2075" s="2">
        <v>50</v>
      </c>
      <c r="I2075" s="114">
        <v>489100</v>
      </c>
      <c r="J2075" s="112" t="s">
        <v>2254</v>
      </c>
      <c r="K2075" s="112">
        <f t="shared" si="401"/>
        <v>489100</v>
      </c>
      <c r="L2075" s="2">
        <v>1</v>
      </c>
      <c r="M2075" s="2" t="s">
        <v>84</v>
      </c>
      <c r="N2075" s="2" t="s">
        <v>84</v>
      </c>
      <c r="O2075" s="2" t="s">
        <v>841</v>
      </c>
      <c r="P2075" s="2" t="s">
        <v>378</v>
      </c>
    </row>
    <row r="2076" spans="1:16" ht="22" customHeight="1" x14ac:dyDescent="0.15">
      <c r="A2076" s="10" t="str">
        <f t="shared" si="400"/>
        <v>489_10_30_10_polygon</v>
      </c>
      <c r="B2076" s="2">
        <v>489</v>
      </c>
      <c r="C2076" s="30" t="str">
        <f>VLOOKUP(B2076,gachas!A:C,3)</f>
        <v>フィーバーフェスティバル＜ボーア、ヘンペル＞</v>
      </c>
      <c r="D2076" s="21">
        <v>10</v>
      </c>
      <c r="E2076" s="2">
        <f t="shared" si="399"/>
        <v>30</v>
      </c>
      <c r="F2076" s="2">
        <v>10</v>
      </c>
      <c r="G2076" s="3" t="s">
        <v>22</v>
      </c>
      <c r="H2076" s="2">
        <v>50</v>
      </c>
      <c r="I2076" s="114">
        <v>489100</v>
      </c>
      <c r="J2076" s="112">
        <v>489105</v>
      </c>
      <c r="K2076" s="112">
        <f t="shared" si="401"/>
        <v>489100</v>
      </c>
      <c r="L2076" s="2">
        <v>1</v>
      </c>
      <c r="M2076" s="2" t="s">
        <v>84</v>
      </c>
      <c r="N2076" s="2" t="s">
        <v>84</v>
      </c>
      <c r="O2076" s="2" t="s">
        <v>841</v>
      </c>
      <c r="P2076" s="2" t="s">
        <v>1763</v>
      </c>
    </row>
    <row r="2077" spans="1:16" ht="22" customHeight="1" x14ac:dyDescent="0.15">
      <c r="A2077" s="10" t="str">
        <f t="shared" si="400"/>
        <v>489_10_31_10_polygon</v>
      </c>
      <c r="B2077" s="2">
        <v>489</v>
      </c>
      <c r="C2077" s="30" t="str">
        <f>VLOOKUP(B2077,gachas!A:C,3)</f>
        <v>フィーバーフェスティバル＜ボーア、ヘンペル＞</v>
      </c>
      <c r="D2077" s="21">
        <v>10</v>
      </c>
      <c r="E2077" s="2">
        <f t="shared" si="399"/>
        <v>31</v>
      </c>
      <c r="F2077" s="2">
        <v>10</v>
      </c>
      <c r="G2077" s="3" t="s">
        <v>22</v>
      </c>
      <c r="H2077" s="2">
        <v>50</v>
      </c>
      <c r="I2077" s="114">
        <v>489100</v>
      </c>
      <c r="J2077" s="112" t="s">
        <v>2254</v>
      </c>
      <c r="K2077" s="112">
        <f t="shared" si="401"/>
        <v>489100</v>
      </c>
      <c r="L2077" s="2">
        <v>1</v>
      </c>
      <c r="M2077" s="2" t="s">
        <v>84</v>
      </c>
      <c r="N2077" s="2" t="s">
        <v>84</v>
      </c>
      <c r="O2077" s="2" t="s">
        <v>841</v>
      </c>
      <c r="P2077" s="2" t="s">
        <v>378</v>
      </c>
    </row>
    <row r="2078" spans="1:16" ht="22" customHeight="1" x14ac:dyDescent="0.15">
      <c r="A2078" s="10" t="str">
        <f t="shared" si="400"/>
        <v>489_10_32_10_polygon</v>
      </c>
      <c r="B2078" s="2">
        <v>489</v>
      </c>
      <c r="C2078" s="30" t="str">
        <f>VLOOKUP(B2078,gachas!A:C,3)</f>
        <v>フィーバーフェスティバル＜ボーア、ヘンペル＞</v>
      </c>
      <c r="D2078" s="21">
        <v>10</v>
      </c>
      <c r="E2078" s="2">
        <f t="shared" si="399"/>
        <v>32</v>
      </c>
      <c r="F2078" s="2">
        <v>10</v>
      </c>
      <c r="G2078" s="3" t="s">
        <v>22</v>
      </c>
      <c r="H2078" s="2">
        <v>50</v>
      </c>
      <c r="I2078" s="114">
        <v>489100</v>
      </c>
      <c r="J2078" s="112" t="s">
        <v>2254</v>
      </c>
      <c r="K2078" s="112">
        <f t="shared" si="401"/>
        <v>489100</v>
      </c>
      <c r="L2078" s="2">
        <v>1</v>
      </c>
      <c r="M2078" s="2" t="s">
        <v>84</v>
      </c>
      <c r="N2078" s="2" t="s">
        <v>84</v>
      </c>
      <c r="O2078" s="2" t="s">
        <v>841</v>
      </c>
      <c r="P2078" s="2" t="s">
        <v>378</v>
      </c>
    </row>
    <row r="2079" spans="1:16" ht="22" customHeight="1" x14ac:dyDescent="0.15">
      <c r="A2079" s="10" t="str">
        <f t="shared" si="400"/>
        <v>489_10_33_10_polygon</v>
      </c>
      <c r="B2079" s="2">
        <v>489</v>
      </c>
      <c r="C2079" s="30" t="str">
        <f>VLOOKUP(B2079,gachas!A:C,3)</f>
        <v>フィーバーフェスティバル＜ボーア、ヘンペル＞</v>
      </c>
      <c r="D2079" s="21">
        <v>10</v>
      </c>
      <c r="E2079" s="2">
        <f t="shared" si="399"/>
        <v>33</v>
      </c>
      <c r="F2079" s="2">
        <v>10</v>
      </c>
      <c r="G2079" s="3" t="s">
        <v>22</v>
      </c>
      <c r="H2079" s="2">
        <v>50</v>
      </c>
      <c r="I2079" s="114">
        <v>489100</v>
      </c>
      <c r="J2079" s="112" t="s">
        <v>2254</v>
      </c>
      <c r="K2079" s="112">
        <f t="shared" si="401"/>
        <v>489100</v>
      </c>
      <c r="L2079" s="2">
        <v>1</v>
      </c>
      <c r="M2079" s="2" t="s">
        <v>84</v>
      </c>
      <c r="N2079" s="2" t="s">
        <v>84</v>
      </c>
      <c r="O2079" s="2" t="s">
        <v>841</v>
      </c>
      <c r="P2079" s="2" t="s">
        <v>378</v>
      </c>
    </row>
    <row r="2080" spans="1:16" ht="22" customHeight="1" x14ac:dyDescent="0.15">
      <c r="A2080" s="10" t="str">
        <f t="shared" si="400"/>
        <v>489_10_34_10_polygon</v>
      </c>
      <c r="B2080" s="2">
        <v>489</v>
      </c>
      <c r="C2080" s="30" t="str">
        <f>VLOOKUP(B2080,gachas!A:C,3)</f>
        <v>フィーバーフェスティバル＜ボーア、ヘンペル＞</v>
      </c>
      <c r="D2080" s="21">
        <v>10</v>
      </c>
      <c r="E2080" s="2">
        <f t="shared" si="399"/>
        <v>34</v>
      </c>
      <c r="F2080" s="2">
        <v>10</v>
      </c>
      <c r="G2080" s="3" t="s">
        <v>22</v>
      </c>
      <c r="H2080" s="2">
        <v>50</v>
      </c>
      <c r="I2080" s="114">
        <v>489100</v>
      </c>
      <c r="J2080" s="112" t="s">
        <v>2254</v>
      </c>
      <c r="K2080" s="112">
        <f t="shared" si="401"/>
        <v>489100</v>
      </c>
      <c r="L2080" s="2">
        <v>1</v>
      </c>
      <c r="M2080" s="2" t="s">
        <v>84</v>
      </c>
      <c r="N2080" s="2" t="s">
        <v>84</v>
      </c>
      <c r="O2080" s="2" t="s">
        <v>841</v>
      </c>
      <c r="P2080" s="2" t="s">
        <v>378</v>
      </c>
    </row>
    <row r="2081" spans="1:16" ht="22" customHeight="1" x14ac:dyDescent="0.15">
      <c r="A2081" s="10" t="str">
        <f t="shared" si="400"/>
        <v>489_10_35_10_polygon</v>
      </c>
      <c r="B2081" s="2">
        <v>489</v>
      </c>
      <c r="C2081" s="30" t="str">
        <f>VLOOKUP(B2081,gachas!A:C,3)</f>
        <v>フィーバーフェスティバル＜ボーア、ヘンペル＞</v>
      </c>
      <c r="D2081" s="21">
        <v>10</v>
      </c>
      <c r="E2081" s="2">
        <f t="shared" si="399"/>
        <v>35</v>
      </c>
      <c r="F2081" s="2">
        <v>10</v>
      </c>
      <c r="G2081" s="3" t="s">
        <v>22</v>
      </c>
      <c r="H2081" s="2">
        <v>50</v>
      </c>
      <c r="I2081" s="114">
        <v>489100</v>
      </c>
      <c r="J2081" s="112">
        <v>489105</v>
      </c>
      <c r="K2081" s="112">
        <f t="shared" si="401"/>
        <v>489100</v>
      </c>
      <c r="L2081" s="2">
        <v>1</v>
      </c>
      <c r="M2081" s="2" t="s">
        <v>84</v>
      </c>
      <c r="N2081" s="2" t="s">
        <v>84</v>
      </c>
      <c r="O2081" s="2" t="s">
        <v>841</v>
      </c>
      <c r="P2081" s="2" t="s">
        <v>1763</v>
      </c>
    </row>
    <row r="2082" spans="1:16" ht="22" customHeight="1" x14ac:dyDescent="0.15">
      <c r="A2082" s="10" t="str">
        <f t="shared" si="400"/>
        <v>489_10_36_10_polygon</v>
      </c>
      <c r="B2082" s="2">
        <v>489</v>
      </c>
      <c r="C2082" s="30" t="str">
        <f>VLOOKUP(B2082,gachas!A:C,3)</f>
        <v>フィーバーフェスティバル＜ボーア、ヘンペル＞</v>
      </c>
      <c r="D2082" s="21">
        <v>10</v>
      </c>
      <c r="E2082" s="2">
        <f t="shared" si="399"/>
        <v>36</v>
      </c>
      <c r="F2082" s="2">
        <v>10</v>
      </c>
      <c r="G2082" s="3" t="s">
        <v>22</v>
      </c>
      <c r="H2082" s="2">
        <v>50</v>
      </c>
      <c r="I2082" s="114">
        <v>489100</v>
      </c>
      <c r="J2082" s="112" t="s">
        <v>2254</v>
      </c>
      <c r="K2082" s="112">
        <f t="shared" si="401"/>
        <v>489100</v>
      </c>
      <c r="L2082" s="2">
        <v>1</v>
      </c>
      <c r="M2082" s="2" t="s">
        <v>84</v>
      </c>
      <c r="N2082" s="2" t="s">
        <v>84</v>
      </c>
      <c r="O2082" s="2" t="s">
        <v>841</v>
      </c>
      <c r="P2082" s="2" t="s">
        <v>378</v>
      </c>
    </row>
    <row r="2083" spans="1:16" ht="22" customHeight="1" x14ac:dyDescent="0.15">
      <c r="A2083" s="10" t="str">
        <f t="shared" si="400"/>
        <v>489_10_37_10_polygon</v>
      </c>
      <c r="B2083" s="2">
        <v>489</v>
      </c>
      <c r="C2083" s="30" t="str">
        <f>VLOOKUP(B2083,gachas!A:C,3)</f>
        <v>フィーバーフェスティバル＜ボーア、ヘンペル＞</v>
      </c>
      <c r="D2083" s="21">
        <v>10</v>
      </c>
      <c r="E2083" s="2">
        <f t="shared" si="399"/>
        <v>37</v>
      </c>
      <c r="F2083" s="2">
        <v>10</v>
      </c>
      <c r="G2083" s="3" t="s">
        <v>22</v>
      </c>
      <c r="H2083" s="2">
        <v>50</v>
      </c>
      <c r="I2083" s="114">
        <v>489100</v>
      </c>
      <c r="J2083" s="112" t="s">
        <v>2254</v>
      </c>
      <c r="K2083" s="112">
        <f t="shared" si="401"/>
        <v>489100</v>
      </c>
      <c r="L2083" s="2">
        <v>1</v>
      </c>
      <c r="M2083" s="2" t="s">
        <v>84</v>
      </c>
      <c r="N2083" s="2" t="s">
        <v>84</v>
      </c>
      <c r="O2083" s="2" t="s">
        <v>841</v>
      </c>
      <c r="P2083" s="2" t="s">
        <v>378</v>
      </c>
    </row>
    <row r="2084" spans="1:16" ht="22" customHeight="1" x14ac:dyDescent="0.15">
      <c r="A2084" s="10" t="str">
        <f t="shared" si="400"/>
        <v>489_10_38_10_polygon</v>
      </c>
      <c r="B2084" s="2">
        <v>489</v>
      </c>
      <c r="C2084" s="30" t="str">
        <f>VLOOKUP(B2084,gachas!A:C,3)</f>
        <v>フィーバーフェスティバル＜ボーア、ヘンペル＞</v>
      </c>
      <c r="D2084" s="21">
        <v>10</v>
      </c>
      <c r="E2084" s="2">
        <f t="shared" si="399"/>
        <v>38</v>
      </c>
      <c r="F2084" s="2">
        <v>10</v>
      </c>
      <c r="G2084" s="3" t="s">
        <v>22</v>
      </c>
      <c r="H2084" s="2">
        <v>50</v>
      </c>
      <c r="I2084" s="114">
        <v>489100</v>
      </c>
      <c r="J2084" s="112" t="s">
        <v>2254</v>
      </c>
      <c r="K2084" s="112">
        <f t="shared" si="401"/>
        <v>489100</v>
      </c>
      <c r="L2084" s="2">
        <v>1</v>
      </c>
      <c r="M2084" s="2" t="s">
        <v>84</v>
      </c>
      <c r="N2084" s="2" t="s">
        <v>84</v>
      </c>
      <c r="O2084" s="2" t="s">
        <v>841</v>
      </c>
      <c r="P2084" s="2" t="s">
        <v>378</v>
      </c>
    </row>
    <row r="2085" spans="1:16" ht="22" customHeight="1" x14ac:dyDescent="0.15">
      <c r="A2085" s="10" t="str">
        <f t="shared" si="400"/>
        <v>489_10_39_10_polygon</v>
      </c>
      <c r="B2085" s="2">
        <v>489</v>
      </c>
      <c r="C2085" s="30" t="str">
        <f>VLOOKUP(B2085,gachas!A:C,3)</f>
        <v>フィーバーフェスティバル＜ボーア、ヘンペル＞</v>
      </c>
      <c r="D2085" s="21">
        <v>10</v>
      </c>
      <c r="E2085" s="2">
        <f t="shared" si="399"/>
        <v>39</v>
      </c>
      <c r="F2085" s="2">
        <v>10</v>
      </c>
      <c r="G2085" s="3" t="s">
        <v>22</v>
      </c>
      <c r="H2085" s="2">
        <v>50</v>
      </c>
      <c r="I2085" s="114">
        <v>489100</v>
      </c>
      <c r="J2085" s="112" t="s">
        <v>2254</v>
      </c>
      <c r="K2085" s="112">
        <f t="shared" si="401"/>
        <v>489100</v>
      </c>
      <c r="L2085" s="2">
        <v>1</v>
      </c>
      <c r="M2085" s="2" t="s">
        <v>84</v>
      </c>
      <c r="N2085" s="2" t="s">
        <v>84</v>
      </c>
      <c r="O2085" s="2" t="s">
        <v>841</v>
      </c>
      <c r="P2085" s="2" t="s">
        <v>378</v>
      </c>
    </row>
    <row r="2086" spans="1:16" ht="22" customHeight="1" x14ac:dyDescent="0.15">
      <c r="A2086" s="10" t="str">
        <f t="shared" si="400"/>
        <v>489_10_40_10_polygon</v>
      </c>
      <c r="B2086" s="2">
        <v>489</v>
      </c>
      <c r="C2086" s="30" t="str">
        <f>VLOOKUP(B2086,gachas!A:C,3)</f>
        <v>フィーバーフェスティバル＜ボーア、ヘンペル＞</v>
      </c>
      <c r="D2086" s="21">
        <v>10</v>
      </c>
      <c r="E2086" s="2">
        <f t="shared" si="399"/>
        <v>40</v>
      </c>
      <c r="F2086" s="2">
        <v>10</v>
      </c>
      <c r="G2086" s="3" t="s">
        <v>22</v>
      </c>
      <c r="H2086" s="2">
        <v>50</v>
      </c>
      <c r="I2086" s="114">
        <v>489100</v>
      </c>
      <c r="J2086" s="112">
        <v>489105</v>
      </c>
      <c r="K2086" s="112">
        <f t="shared" si="401"/>
        <v>489100</v>
      </c>
      <c r="L2086" s="2">
        <v>1</v>
      </c>
      <c r="M2086" s="2" t="s">
        <v>84</v>
      </c>
      <c r="N2086" s="2" t="s">
        <v>84</v>
      </c>
      <c r="O2086" s="2" t="s">
        <v>841</v>
      </c>
      <c r="P2086" s="2" t="s">
        <v>1763</v>
      </c>
    </row>
    <row r="2087" spans="1:16" ht="22" customHeight="1" x14ac:dyDescent="0.15">
      <c r="A2087" s="10" t="str">
        <f t="shared" si="400"/>
        <v>489_10_41_10_polygon</v>
      </c>
      <c r="B2087" s="2">
        <v>489</v>
      </c>
      <c r="C2087" s="30" t="str">
        <f>VLOOKUP(B2087,gachas!A:C,3)</f>
        <v>フィーバーフェスティバル＜ボーア、ヘンペル＞</v>
      </c>
      <c r="D2087" s="21">
        <v>10</v>
      </c>
      <c r="E2087" s="2">
        <f t="shared" si="399"/>
        <v>41</v>
      </c>
      <c r="F2087" s="2">
        <v>10</v>
      </c>
      <c r="G2087" s="3" t="s">
        <v>22</v>
      </c>
      <c r="H2087" s="2">
        <v>50</v>
      </c>
      <c r="I2087" s="114">
        <v>489100</v>
      </c>
      <c r="J2087" s="112" t="s">
        <v>2254</v>
      </c>
      <c r="K2087" s="112">
        <f t="shared" si="401"/>
        <v>489100</v>
      </c>
      <c r="L2087" s="2">
        <v>1</v>
      </c>
      <c r="M2087" s="2" t="s">
        <v>84</v>
      </c>
      <c r="N2087" s="2" t="s">
        <v>84</v>
      </c>
      <c r="O2087" s="2" t="s">
        <v>841</v>
      </c>
      <c r="P2087" s="2" t="s">
        <v>378</v>
      </c>
    </row>
    <row r="2088" spans="1:16" ht="22" customHeight="1" x14ac:dyDescent="0.15">
      <c r="A2088" s="10" t="str">
        <f t="shared" si="400"/>
        <v>489_10_42_10_polygon</v>
      </c>
      <c r="B2088" s="2">
        <v>489</v>
      </c>
      <c r="C2088" s="30" t="str">
        <f>VLOOKUP(B2088,gachas!A:C,3)</f>
        <v>フィーバーフェスティバル＜ボーア、ヘンペル＞</v>
      </c>
      <c r="D2088" s="21">
        <v>10</v>
      </c>
      <c r="E2088" s="2">
        <f t="shared" si="399"/>
        <v>42</v>
      </c>
      <c r="F2088" s="2">
        <v>10</v>
      </c>
      <c r="G2088" s="3" t="s">
        <v>22</v>
      </c>
      <c r="H2088" s="2">
        <v>50</v>
      </c>
      <c r="I2088" s="114">
        <v>489100</v>
      </c>
      <c r="J2088" s="112" t="s">
        <v>2254</v>
      </c>
      <c r="K2088" s="112">
        <f t="shared" si="401"/>
        <v>489100</v>
      </c>
      <c r="L2088" s="2">
        <v>1</v>
      </c>
      <c r="M2088" s="2" t="s">
        <v>84</v>
      </c>
      <c r="N2088" s="2" t="s">
        <v>84</v>
      </c>
      <c r="O2088" s="2" t="s">
        <v>841</v>
      </c>
      <c r="P2088" s="2" t="s">
        <v>378</v>
      </c>
    </row>
    <row r="2089" spans="1:16" ht="22" customHeight="1" x14ac:dyDescent="0.15">
      <c r="A2089" s="10" t="str">
        <f t="shared" si="400"/>
        <v>489_10_43_10_polygon</v>
      </c>
      <c r="B2089" s="2">
        <v>489</v>
      </c>
      <c r="C2089" s="30" t="str">
        <f>VLOOKUP(B2089,gachas!A:C,3)</f>
        <v>フィーバーフェスティバル＜ボーア、ヘンペル＞</v>
      </c>
      <c r="D2089" s="21">
        <v>10</v>
      </c>
      <c r="E2089" s="2">
        <f t="shared" si="399"/>
        <v>43</v>
      </c>
      <c r="F2089" s="2">
        <v>10</v>
      </c>
      <c r="G2089" s="3" t="s">
        <v>22</v>
      </c>
      <c r="H2089" s="2">
        <v>50</v>
      </c>
      <c r="I2089" s="114">
        <v>489100</v>
      </c>
      <c r="J2089" s="112" t="s">
        <v>2254</v>
      </c>
      <c r="K2089" s="112">
        <f t="shared" si="401"/>
        <v>489100</v>
      </c>
      <c r="L2089" s="2">
        <v>1</v>
      </c>
      <c r="M2089" s="2" t="s">
        <v>84</v>
      </c>
      <c r="N2089" s="2" t="s">
        <v>84</v>
      </c>
      <c r="O2089" s="2" t="s">
        <v>841</v>
      </c>
      <c r="P2089" s="2" t="s">
        <v>378</v>
      </c>
    </row>
    <row r="2090" spans="1:16" ht="22" customHeight="1" x14ac:dyDescent="0.15">
      <c r="A2090" s="10" t="str">
        <f t="shared" si="400"/>
        <v>489_10_44_10_polygon</v>
      </c>
      <c r="B2090" s="2">
        <v>489</v>
      </c>
      <c r="C2090" s="30" t="str">
        <f>VLOOKUP(B2090,gachas!A:C,3)</f>
        <v>フィーバーフェスティバル＜ボーア、ヘンペル＞</v>
      </c>
      <c r="D2090" s="21">
        <v>10</v>
      </c>
      <c r="E2090" s="2">
        <f t="shared" si="399"/>
        <v>44</v>
      </c>
      <c r="F2090" s="2">
        <v>10</v>
      </c>
      <c r="G2090" s="3" t="s">
        <v>22</v>
      </c>
      <c r="H2090" s="2">
        <v>50</v>
      </c>
      <c r="I2090" s="114">
        <v>489100</v>
      </c>
      <c r="J2090" s="112" t="s">
        <v>2254</v>
      </c>
      <c r="K2090" s="112">
        <f t="shared" si="401"/>
        <v>489100</v>
      </c>
      <c r="L2090" s="2">
        <v>1</v>
      </c>
      <c r="M2090" s="2" t="s">
        <v>84</v>
      </c>
      <c r="N2090" s="2" t="s">
        <v>84</v>
      </c>
      <c r="O2090" s="2" t="s">
        <v>841</v>
      </c>
      <c r="P2090" s="2" t="s">
        <v>378</v>
      </c>
    </row>
    <row r="2091" spans="1:16" ht="22" customHeight="1" x14ac:dyDescent="0.15">
      <c r="A2091" s="10" t="str">
        <f t="shared" si="400"/>
        <v>489_10_45_10_polygon</v>
      </c>
      <c r="B2091" s="2">
        <v>489</v>
      </c>
      <c r="C2091" s="30" t="str">
        <f>VLOOKUP(B2091,gachas!A:C,3)</f>
        <v>フィーバーフェスティバル＜ボーア、ヘンペル＞</v>
      </c>
      <c r="D2091" s="21">
        <v>10</v>
      </c>
      <c r="E2091" s="2">
        <f t="shared" si="399"/>
        <v>45</v>
      </c>
      <c r="F2091" s="2">
        <v>10</v>
      </c>
      <c r="G2091" s="3" t="s">
        <v>22</v>
      </c>
      <c r="H2091" s="2">
        <v>50</v>
      </c>
      <c r="I2091" s="114">
        <v>489100</v>
      </c>
      <c r="J2091" s="112">
        <v>489105</v>
      </c>
      <c r="K2091" s="112">
        <f t="shared" si="401"/>
        <v>489100</v>
      </c>
      <c r="L2091" s="2">
        <v>1</v>
      </c>
      <c r="M2091" s="2" t="s">
        <v>84</v>
      </c>
      <c r="N2091" s="2" t="s">
        <v>84</v>
      </c>
      <c r="O2091" s="2" t="s">
        <v>841</v>
      </c>
      <c r="P2091" s="2" t="s">
        <v>1763</v>
      </c>
    </row>
    <row r="2092" spans="1:16" ht="22" customHeight="1" x14ac:dyDescent="0.15">
      <c r="A2092" s="10" t="str">
        <f t="shared" si="400"/>
        <v>489_10_46_10_polygon</v>
      </c>
      <c r="B2092" s="2">
        <v>489</v>
      </c>
      <c r="C2092" s="30" t="str">
        <f>VLOOKUP(B2092,gachas!A:C,3)</f>
        <v>フィーバーフェスティバル＜ボーア、ヘンペル＞</v>
      </c>
      <c r="D2092" s="21">
        <v>10</v>
      </c>
      <c r="E2092" s="2">
        <f t="shared" si="399"/>
        <v>46</v>
      </c>
      <c r="F2092" s="2">
        <v>10</v>
      </c>
      <c r="G2092" s="3" t="s">
        <v>22</v>
      </c>
      <c r="H2092" s="2">
        <v>50</v>
      </c>
      <c r="I2092" s="114">
        <v>489100</v>
      </c>
      <c r="J2092" s="112" t="s">
        <v>2254</v>
      </c>
      <c r="K2092" s="112">
        <f t="shared" si="401"/>
        <v>489100</v>
      </c>
      <c r="L2092" s="2">
        <v>1</v>
      </c>
      <c r="M2092" s="2" t="s">
        <v>84</v>
      </c>
      <c r="N2092" s="2" t="s">
        <v>84</v>
      </c>
      <c r="O2092" s="2" t="s">
        <v>841</v>
      </c>
      <c r="P2092" s="2" t="s">
        <v>378</v>
      </c>
    </row>
    <row r="2093" spans="1:16" ht="22" customHeight="1" x14ac:dyDescent="0.15">
      <c r="A2093" s="10" t="str">
        <f t="shared" si="400"/>
        <v>489_10_47_10_polygon</v>
      </c>
      <c r="B2093" s="2">
        <v>489</v>
      </c>
      <c r="C2093" s="30" t="str">
        <f>VLOOKUP(B2093,gachas!A:C,3)</f>
        <v>フィーバーフェスティバル＜ボーア、ヘンペル＞</v>
      </c>
      <c r="D2093" s="21">
        <v>10</v>
      </c>
      <c r="E2093" s="2">
        <f t="shared" si="399"/>
        <v>47</v>
      </c>
      <c r="F2093" s="2">
        <v>10</v>
      </c>
      <c r="G2093" s="3" t="s">
        <v>22</v>
      </c>
      <c r="H2093" s="2">
        <v>50</v>
      </c>
      <c r="I2093" s="114">
        <v>489100</v>
      </c>
      <c r="J2093" s="112" t="s">
        <v>2254</v>
      </c>
      <c r="K2093" s="112">
        <f t="shared" si="401"/>
        <v>489100</v>
      </c>
      <c r="L2093" s="2">
        <v>1</v>
      </c>
      <c r="M2093" s="2" t="s">
        <v>84</v>
      </c>
      <c r="N2093" s="2" t="s">
        <v>84</v>
      </c>
      <c r="O2093" s="2" t="s">
        <v>841</v>
      </c>
      <c r="P2093" s="2" t="s">
        <v>378</v>
      </c>
    </row>
    <row r="2094" spans="1:16" ht="22" customHeight="1" x14ac:dyDescent="0.15">
      <c r="A2094" s="10" t="str">
        <f t="shared" si="400"/>
        <v>489_10_48_10_polygon</v>
      </c>
      <c r="B2094" s="2">
        <v>489</v>
      </c>
      <c r="C2094" s="30" t="str">
        <f>VLOOKUP(B2094,gachas!A:C,3)</f>
        <v>フィーバーフェスティバル＜ボーア、ヘンペル＞</v>
      </c>
      <c r="D2094" s="21">
        <v>10</v>
      </c>
      <c r="E2094" s="2">
        <f t="shared" si="399"/>
        <v>48</v>
      </c>
      <c r="F2094" s="2">
        <v>10</v>
      </c>
      <c r="G2094" s="3" t="s">
        <v>22</v>
      </c>
      <c r="H2094" s="2">
        <v>50</v>
      </c>
      <c r="I2094" s="114">
        <v>489100</v>
      </c>
      <c r="J2094" s="112" t="s">
        <v>2254</v>
      </c>
      <c r="K2094" s="112">
        <f t="shared" si="401"/>
        <v>489100</v>
      </c>
      <c r="L2094" s="2">
        <v>1</v>
      </c>
      <c r="M2094" s="2" t="s">
        <v>84</v>
      </c>
      <c r="N2094" s="2" t="s">
        <v>84</v>
      </c>
      <c r="O2094" s="2" t="s">
        <v>841</v>
      </c>
      <c r="P2094" s="2" t="s">
        <v>378</v>
      </c>
    </row>
    <row r="2095" spans="1:16" ht="22" customHeight="1" x14ac:dyDescent="0.15">
      <c r="A2095" s="10" t="str">
        <f t="shared" si="400"/>
        <v>489_10_49_10_polygon</v>
      </c>
      <c r="B2095" s="2">
        <v>489</v>
      </c>
      <c r="C2095" s="30" t="str">
        <f>VLOOKUP(B2095,gachas!A:C,3)</f>
        <v>フィーバーフェスティバル＜ボーア、ヘンペル＞</v>
      </c>
      <c r="D2095" s="21">
        <v>10</v>
      </c>
      <c r="E2095" s="2">
        <f t="shared" si="399"/>
        <v>49</v>
      </c>
      <c r="F2095" s="2">
        <v>10</v>
      </c>
      <c r="G2095" s="3" t="s">
        <v>22</v>
      </c>
      <c r="H2095" s="2">
        <v>50</v>
      </c>
      <c r="I2095" s="114">
        <v>489100</v>
      </c>
      <c r="J2095" s="112" t="s">
        <v>2254</v>
      </c>
      <c r="K2095" s="112">
        <f t="shared" si="401"/>
        <v>489100</v>
      </c>
      <c r="L2095" s="2">
        <v>1</v>
      </c>
      <c r="M2095" s="2" t="s">
        <v>84</v>
      </c>
      <c r="N2095" s="2" t="s">
        <v>84</v>
      </c>
      <c r="O2095" s="2" t="s">
        <v>841</v>
      </c>
      <c r="P2095" s="2" t="s">
        <v>378</v>
      </c>
    </row>
    <row r="2096" spans="1:16" ht="22" customHeight="1" x14ac:dyDescent="0.15">
      <c r="A2096" s="10" t="str">
        <f t="shared" si="400"/>
        <v>489_10_50_10_polygon</v>
      </c>
      <c r="B2096" s="2">
        <v>489</v>
      </c>
      <c r="C2096" s="30" t="str">
        <f>VLOOKUP(B2096,gachas!A:C,3)</f>
        <v>フィーバーフェスティバル＜ボーア、ヘンペル＞</v>
      </c>
      <c r="D2096" s="21">
        <v>10</v>
      </c>
      <c r="E2096" s="2">
        <f t="shared" si="399"/>
        <v>50</v>
      </c>
      <c r="F2096" s="2">
        <v>10</v>
      </c>
      <c r="G2096" s="3" t="s">
        <v>22</v>
      </c>
      <c r="H2096" s="2">
        <v>50</v>
      </c>
      <c r="I2096" s="114">
        <v>489100</v>
      </c>
      <c r="J2096" s="112">
        <v>489105</v>
      </c>
      <c r="K2096" s="112">
        <f t="shared" si="401"/>
        <v>489100</v>
      </c>
      <c r="L2096" s="2">
        <v>1</v>
      </c>
      <c r="M2096" s="2" t="s">
        <v>84</v>
      </c>
      <c r="N2096" s="2" t="s">
        <v>84</v>
      </c>
      <c r="O2096" s="2" t="s">
        <v>841</v>
      </c>
      <c r="P2096" s="2" t="s">
        <v>1763</v>
      </c>
    </row>
    <row r="2097" spans="1:16" ht="22" customHeight="1" x14ac:dyDescent="0.15">
      <c r="A2097" s="10" t="str">
        <f t="shared" si="400"/>
        <v>490_1_0_1_polygon</v>
      </c>
      <c r="B2097" s="2">
        <v>490</v>
      </c>
      <c r="C2097" s="30" t="str">
        <f>VLOOKUP(B2097,gachas!A:C,3)</f>
        <v>カラーピック（ラプンツェル、アルフヘイム）</v>
      </c>
      <c r="D2097" s="21">
        <v>1</v>
      </c>
      <c r="E2097" s="2">
        <v>0</v>
      </c>
      <c r="F2097" s="2">
        <v>1</v>
      </c>
      <c r="G2097" s="3" t="s">
        <v>22</v>
      </c>
      <c r="H2097" s="2">
        <v>5</v>
      </c>
      <c r="I2097" s="117">
        <v>490010</v>
      </c>
      <c r="J2097" s="112" t="s">
        <v>84</v>
      </c>
      <c r="K2097" s="2" t="s">
        <v>2065</v>
      </c>
      <c r="L2097" s="2">
        <v>0</v>
      </c>
      <c r="M2097" s="2" t="s">
        <v>84</v>
      </c>
      <c r="N2097" s="2" t="s">
        <v>84</v>
      </c>
      <c r="O2097" s="2" t="s">
        <v>841</v>
      </c>
      <c r="P2097" s="18" t="s">
        <v>84</v>
      </c>
    </row>
    <row r="2098" spans="1:16" ht="22" customHeight="1" x14ac:dyDescent="0.15">
      <c r="A2098" s="10" t="str">
        <f t="shared" si="400"/>
        <v>490_10_0_10_polygon</v>
      </c>
      <c r="B2098" s="2">
        <v>490</v>
      </c>
      <c r="C2098" s="30" t="str">
        <f>VLOOKUP(B2098,gachas!A:C,3)</f>
        <v>カラーピック（ラプンツェル、アルフヘイム）</v>
      </c>
      <c r="D2098" s="21">
        <v>10</v>
      </c>
      <c r="E2098" s="2">
        <v>0</v>
      </c>
      <c r="F2098" s="2">
        <v>10</v>
      </c>
      <c r="G2098" s="3" t="s">
        <v>22</v>
      </c>
      <c r="H2098" s="2">
        <v>50</v>
      </c>
      <c r="I2098" s="117">
        <v>490100</v>
      </c>
      <c r="J2098" s="112" t="s">
        <v>2092</v>
      </c>
      <c r="K2098" s="2" t="s">
        <v>2093</v>
      </c>
      <c r="L2098" s="2">
        <v>0</v>
      </c>
      <c r="M2098" s="2" t="s">
        <v>84</v>
      </c>
      <c r="N2098" s="2" t="s">
        <v>84</v>
      </c>
      <c r="O2098" s="2" t="s">
        <v>2095</v>
      </c>
      <c r="P2098" s="2" t="s">
        <v>143</v>
      </c>
    </row>
    <row r="2099" spans="1:16" ht="22" customHeight="1" x14ac:dyDescent="0.15">
      <c r="A2099" s="10" t="str">
        <f t="shared" si="400"/>
        <v>490_10_1_10_polygon</v>
      </c>
      <c r="B2099" s="2">
        <v>490</v>
      </c>
      <c r="C2099" s="30" t="str">
        <f>VLOOKUP(B2099,gachas!A:C,3)</f>
        <v>カラーピック（ラプンツェル、アルフヘイム）</v>
      </c>
      <c r="D2099" s="21">
        <v>10</v>
      </c>
      <c r="E2099" s="2">
        <f>E2098+1</f>
        <v>1</v>
      </c>
      <c r="F2099" s="2">
        <v>10</v>
      </c>
      <c r="G2099" s="3" t="s">
        <v>22</v>
      </c>
      <c r="H2099" s="2">
        <v>25</v>
      </c>
      <c r="I2099" s="117">
        <v>490100</v>
      </c>
      <c r="J2099" s="112" t="s">
        <v>2092</v>
      </c>
      <c r="K2099" s="2" t="s">
        <v>2093</v>
      </c>
      <c r="L2099" s="2">
        <v>0</v>
      </c>
      <c r="M2099" s="2" t="s">
        <v>84</v>
      </c>
      <c r="N2099" s="2" t="s">
        <v>84</v>
      </c>
      <c r="O2099" s="2" t="s">
        <v>2095</v>
      </c>
      <c r="P2099" s="59" t="s">
        <v>1783</v>
      </c>
    </row>
    <row r="2100" spans="1:16" ht="22" customHeight="1" x14ac:dyDescent="0.15">
      <c r="A2100" s="10" t="str">
        <f t="shared" si="400"/>
        <v>490_10_2_10_polygon</v>
      </c>
      <c r="B2100" s="2">
        <v>490</v>
      </c>
      <c r="C2100" s="30" t="str">
        <f>VLOOKUP(B2100,gachas!A:C,3)</f>
        <v>カラーピック（ラプンツェル、アルフヘイム）</v>
      </c>
      <c r="D2100" s="21">
        <v>10</v>
      </c>
      <c r="E2100" s="2">
        <f t="shared" ref="E2100:E2148" si="402">E2099+1</f>
        <v>2</v>
      </c>
      <c r="F2100" s="2">
        <v>10</v>
      </c>
      <c r="G2100" s="3" t="s">
        <v>22</v>
      </c>
      <c r="H2100" s="2">
        <v>50</v>
      </c>
      <c r="I2100" s="117">
        <v>490100</v>
      </c>
      <c r="J2100" s="112" t="s">
        <v>2092</v>
      </c>
      <c r="K2100" s="2" t="s">
        <v>2093</v>
      </c>
      <c r="L2100" s="2">
        <v>0</v>
      </c>
      <c r="M2100" s="2" t="s">
        <v>84</v>
      </c>
      <c r="N2100" s="2" t="s">
        <v>84</v>
      </c>
      <c r="O2100" s="2" t="s">
        <v>2095</v>
      </c>
      <c r="P2100" s="2" t="s">
        <v>143</v>
      </c>
    </row>
    <row r="2101" spans="1:16" ht="22" customHeight="1" x14ac:dyDescent="0.15">
      <c r="A2101" s="10" t="str">
        <f t="shared" si="400"/>
        <v>490_10_3_10_polygon</v>
      </c>
      <c r="B2101" s="2">
        <v>490</v>
      </c>
      <c r="C2101" s="30" t="str">
        <f>VLOOKUP(B2101,gachas!A:C,3)</f>
        <v>カラーピック（ラプンツェル、アルフヘイム）</v>
      </c>
      <c r="D2101" s="21">
        <v>10</v>
      </c>
      <c r="E2101" s="2">
        <f t="shared" si="402"/>
        <v>3</v>
      </c>
      <c r="F2101" s="2">
        <v>10</v>
      </c>
      <c r="G2101" s="3" t="s">
        <v>22</v>
      </c>
      <c r="H2101" s="2">
        <v>50</v>
      </c>
      <c r="I2101" s="117">
        <v>490100</v>
      </c>
      <c r="J2101" s="112" t="s">
        <v>2092</v>
      </c>
      <c r="K2101" s="2" t="s">
        <v>2093</v>
      </c>
      <c r="L2101" s="2">
        <v>0</v>
      </c>
      <c r="M2101" s="2" t="s">
        <v>84</v>
      </c>
      <c r="N2101" s="2" t="s">
        <v>84</v>
      </c>
      <c r="O2101" s="2" t="s">
        <v>2095</v>
      </c>
      <c r="P2101" s="2" t="s">
        <v>143</v>
      </c>
    </row>
    <row r="2102" spans="1:16" ht="22" customHeight="1" x14ac:dyDescent="0.15">
      <c r="A2102" s="10" t="str">
        <f t="shared" si="400"/>
        <v>490_10_4_10_polygon</v>
      </c>
      <c r="B2102" s="2">
        <v>490</v>
      </c>
      <c r="C2102" s="30" t="str">
        <f>VLOOKUP(B2102,gachas!A:C,3)</f>
        <v>カラーピック（ラプンツェル、アルフヘイム）</v>
      </c>
      <c r="D2102" s="21">
        <v>10</v>
      </c>
      <c r="E2102" s="2">
        <f t="shared" si="402"/>
        <v>4</v>
      </c>
      <c r="F2102" s="2">
        <v>10</v>
      </c>
      <c r="G2102" s="3" t="s">
        <v>22</v>
      </c>
      <c r="H2102" s="2">
        <v>50</v>
      </c>
      <c r="I2102" s="117">
        <v>490100</v>
      </c>
      <c r="J2102" s="112" t="s">
        <v>2092</v>
      </c>
      <c r="K2102" s="2" t="s">
        <v>2093</v>
      </c>
      <c r="L2102" s="2">
        <v>0</v>
      </c>
      <c r="M2102" s="2" t="s">
        <v>84</v>
      </c>
      <c r="N2102" s="2" t="s">
        <v>84</v>
      </c>
      <c r="O2102" s="2" t="s">
        <v>2095</v>
      </c>
      <c r="P2102" s="2" t="s">
        <v>143</v>
      </c>
    </row>
    <row r="2103" spans="1:16" ht="22" customHeight="1" x14ac:dyDescent="0.15">
      <c r="A2103" s="10" t="str">
        <f t="shared" si="400"/>
        <v>490_10_5_10_polygon</v>
      </c>
      <c r="B2103" s="2">
        <v>490</v>
      </c>
      <c r="C2103" s="30" t="str">
        <f>VLOOKUP(B2103,gachas!A:C,3)</f>
        <v>カラーピック（ラプンツェル、アルフヘイム）</v>
      </c>
      <c r="D2103" s="21">
        <v>10</v>
      </c>
      <c r="E2103" s="2">
        <f t="shared" si="402"/>
        <v>5</v>
      </c>
      <c r="F2103" s="2">
        <v>10</v>
      </c>
      <c r="G2103" s="3" t="s">
        <v>22</v>
      </c>
      <c r="H2103" s="2">
        <v>50</v>
      </c>
      <c r="I2103" s="117">
        <v>490100</v>
      </c>
      <c r="J2103" s="112" t="s">
        <v>2092</v>
      </c>
      <c r="K2103" s="2">
        <v>490105</v>
      </c>
      <c r="L2103" s="2">
        <v>1</v>
      </c>
      <c r="M2103" s="2" t="s">
        <v>84</v>
      </c>
      <c r="N2103" s="2" t="s">
        <v>84</v>
      </c>
      <c r="O2103" s="2" t="s">
        <v>2095</v>
      </c>
      <c r="P2103" s="2" t="s">
        <v>1781</v>
      </c>
    </row>
    <row r="2104" spans="1:16" ht="22" customHeight="1" x14ac:dyDescent="0.15">
      <c r="A2104" s="10" t="str">
        <f t="shared" si="400"/>
        <v>490_10_6_10_polygon</v>
      </c>
      <c r="B2104" s="2">
        <v>490</v>
      </c>
      <c r="C2104" s="30" t="str">
        <f>VLOOKUP(B2104,gachas!A:C,3)</f>
        <v>カラーピック（ラプンツェル、アルフヘイム）</v>
      </c>
      <c r="D2104" s="21">
        <v>10</v>
      </c>
      <c r="E2104" s="2">
        <f t="shared" si="402"/>
        <v>6</v>
      </c>
      <c r="F2104" s="2">
        <v>10</v>
      </c>
      <c r="G2104" s="3" t="s">
        <v>22</v>
      </c>
      <c r="H2104" s="2">
        <v>25</v>
      </c>
      <c r="I2104" s="117">
        <v>490100</v>
      </c>
      <c r="J2104" s="112" t="s">
        <v>2092</v>
      </c>
      <c r="K2104" s="2" t="s">
        <v>2093</v>
      </c>
      <c r="L2104" s="2">
        <v>0</v>
      </c>
      <c r="M2104" s="2" t="s">
        <v>84</v>
      </c>
      <c r="N2104" s="2" t="s">
        <v>84</v>
      </c>
      <c r="O2104" s="2" t="s">
        <v>2095</v>
      </c>
      <c r="P2104" s="59" t="s">
        <v>1783</v>
      </c>
    </row>
    <row r="2105" spans="1:16" ht="22" customHeight="1" x14ac:dyDescent="0.15">
      <c r="A2105" s="10" t="str">
        <f t="shared" si="400"/>
        <v>490_10_7_10_polygon</v>
      </c>
      <c r="B2105" s="2">
        <v>490</v>
      </c>
      <c r="C2105" s="30" t="str">
        <f>VLOOKUP(B2105,gachas!A:C,3)</f>
        <v>カラーピック（ラプンツェル、アルフヘイム）</v>
      </c>
      <c r="D2105" s="21">
        <v>10</v>
      </c>
      <c r="E2105" s="2">
        <f t="shared" si="402"/>
        <v>7</v>
      </c>
      <c r="F2105" s="2">
        <v>10</v>
      </c>
      <c r="G2105" s="3" t="s">
        <v>22</v>
      </c>
      <c r="H2105" s="2">
        <v>50</v>
      </c>
      <c r="I2105" s="117">
        <v>490100</v>
      </c>
      <c r="J2105" s="112" t="s">
        <v>2092</v>
      </c>
      <c r="K2105" s="2" t="s">
        <v>2093</v>
      </c>
      <c r="L2105" s="2">
        <v>0</v>
      </c>
      <c r="M2105" s="2" t="s">
        <v>84</v>
      </c>
      <c r="N2105" s="2" t="s">
        <v>84</v>
      </c>
      <c r="O2105" s="2" t="s">
        <v>2095</v>
      </c>
      <c r="P2105" s="2" t="s">
        <v>143</v>
      </c>
    </row>
    <row r="2106" spans="1:16" ht="22" customHeight="1" x14ac:dyDescent="0.15">
      <c r="A2106" s="10" t="str">
        <f t="shared" si="400"/>
        <v>490_10_8_10_polygon</v>
      </c>
      <c r="B2106" s="2">
        <v>490</v>
      </c>
      <c r="C2106" s="30" t="str">
        <f>VLOOKUP(B2106,gachas!A:C,3)</f>
        <v>カラーピック（ラプンツェル、アルフヘイム）</v>
      </c>
      <c r="D2106" s="21">
        <v>10</v>
      </c>
      <c r="E2106" s="2">
        <f t="shared" si="402"/>
        <v>8</v>
      </c>
      <c r="F2106" s="2">
        <v>10</v>
      </c>
      <c r="G2106" s="3" t="s">
        <v>22</v>
      </c>
      <c r="H2106" s="2">
        <v>50</v>
      </c>
      <c r="I2106" s="117">
        <v>490100</v>
      </c>
      <c r="J2106" s="112" t="s">
        <v>2092</v>
      </c>
      <c r="K2106" s="2" t="s">
        <v>2093</v>
      </c>
      <c r="L2106" s="2">
        <v>0</v>
      </c>
      <c r="M2106" s="2" t="s">
        <v>84</v>
      </c>
      <c r="N2106" s="2" t="s">
        <v>84</v>
      </c>
      <c r="O2106" s="2" t="s">
        <v>2095</v>
      </c>
      <c r="P2106" s="2" t="s">
        <v>143</v>
      </c>
    </row>
    <row r="2107" spans="1:16" ht="22" customHeight="1" x14ac:dyDescent="0.15">
      <c r="A2107" s="10" t="str">
        <f t="shared" si="400"/>
        <v>490_10_9_10_polygon</v>
      </c>
      <c r="B2107" s="2">
        <v>490</v>
      </c>
      <c r="C2107" s="30" t="str">
        <f>VLOOKUP(B2107,gachas!A:C,3)</f>
        <v>カラーピック（ラプンツェル、アルフヘイム）</v>
      </c>
      <c r="D2107" s="21">
        <v>10</v>
      </c>
      <c r="E2107" s="2">
        <f t="shared" si="402"/>
        <v>9</v>
      </c>
      <c r="F2107" s="2">
        <v>10</v>
      </c>
      <c r="G2107" s="3" t="s">
        <v>22</v>
      </c>
      <c r="H2107" s="2">
        <v>50</v>
      </c>
      <c r="I2107" s="117">
        <v>490100</v>
      </c>
      <c r="J2107" s="112" t="s">
        <v>2092</v>
      </c>
      <c r="K2107" s="2" t="s">
        <v>2093</v>
      </c>
      <c r="L2107" s="2">
        <v>0</v>
      </c>
      <c r="M2107" s="2" t="s">
        <v>84</v>
      </c>
      <c r="N2107" s="2" t="s">
        <v>84</v>
      </c>
      <c r="O2107" s="2" t="s">
        <v>2095</v>
      </c>
      <c r="P2107" s="2" t="s">
        <v>143</v>
      </c>
    </row>
    <row r="2108" spans="1:16" ht="22" customHeight="1" x14ac:dyDescent="0.15">
      <c r="A2108" s="10" t="str">
        <f t="shared" si="400"/>
        <v>490_10_10_10_polygon</v>
      </c>
      <c r="B2108" s="2">
        <v>490</v>
      </c>
      <c r="C2108" s="30" t="str">
        <f>VLOOKUP(B2108,gachas!A:C,3)</f>
        <v>カラーピック（ラプンツェル、アルフヘイム）</v>
      </c>
      <c r="D2108" s="21">
        <v>10</v>
      </c>
      <c r="E2108" s="2">
        <f t="shared" si="402"/>
        <v>10</v>
      </c>
      <c r="F2108" s="2">
        <v>10</v>
      </c>
      <c r="G2108" s="3" t="s">
        <v>22</v>
      </c>
      <c r="H2108" s="2">
        <v>50</v>
      </c>
      <c r="I2108" s="117">
        <v>490100</v>
      </c>
      <c r="J2108" s="112" t="s">
        <v>2092</v>
      </c>
      <c r="K2108" s="2">
        <v>490105</v>
      </c>
      <c r="L2108" s="2">
        <v>1</v>
      </c>
      <c r="M2108" s="2" t="s">
        <v>84</v>
      </c>
      <c r="N2108" s="2" t="s">
        <v>84</v>
      </c>
      <c r="O2108" s="2" t="s">
        <v>2095</v>
      </c>
      <c r="P2108" s="2" t="s">
        <v>1781</v>
      </c>
    </row>
    <row r="2109" spans="1:16" ht="22" customHeight="1" x14ac:dyDescent="0.15">
      <c r="A2109" s="10" t="str">
        <f t="shared" si="400"/>
        <v>490_10_11_10_polygon</v>
      </c>
      <c r="B2109" s="2">
        <v>490</v>
      </c>
      <c r="C2109" s="30" t="str">
        <f>VLOOKUP(B2109,gachas!A:C,3)</f>
        <v>カラーピック（ラプンツェル、アルフヘイム）</v>
      </c>
      <c r="D2109" s="21">
        <v>10</v>
      </c>
      <c r="E2109" s="2">
        <f t="shared" si="402"/>
        <v>11</v>
      </c>
      <c r="F2109" s="2">
        <v>10</v>
      </c>
      <c r="G2109" s="3" t="s">
        <v>22</v>
      </c>
      <c r="H2109" s="2">
        <v>25</v>
      </c>
      <c r="I2109" s="117">
        <v>490100</v>
      </c>
      <c r="J2109" s="112" t="s">
        <v>2092</v>
      </c>
      <c r="K2109" s="2" t="s">
        <v>2093</v>
      </c>
      <c r="L2109" s="2">
        <v>0</v>
      </c>
      <c r="M2109" s="2" t="s">
        <v>84</v>
      </c>
      <c r="N2109" s="2" t="s">
        <v>84</v>
      </c>
      <c r="O2109" s="2" t="s">
        <v>2095</v>
      </c>
      <c r="P2109" s="59" t="s">
        <v>1783</v>
      </c>
    </row>
    <row r="2110" spans="1:16" ht="22" customHeight="1" x14ac:dyDescent="0.15">
      <c r="A2110" s="10" t="str">
        <f t="shared" si="400"/>
        <v>490_10_12_10_polygon</v>
      </c>
      <c r="B2110" s="2">
        <v>490</v>
      </c>
      <c r="C2110" s="30" t="str">
        <f>VLOOKUP(B2110,gachas!A:C,3)</f>
        <v>カラーピック（ラプンツェル、アルフヘイム）</v>
      </c>
      <c r="D2110" s="21">
        <v>10</v>
      </c>
      <c r="E2110" s="2">
        <f t="shared" si="402"/>
        <v>12</v>
      </c>
      <c r="F2110" s="2">
        <v>10</v>
      </c>
      <c r="G2110" s="3" t="s">
        <v>22</v>
      </c>
      <c r="H2110" s="2">
        <v>50</v>
      </c>
      <c r="I2110" s="117">
        <v>490100</v>
      </c>
      <c r="J2110" s="112" t="s">
        <v>2092</v>
      </c>
      <c r="K2110" s="2" t="s">
        <v>2093</v>
      </c>
      <c r="L2110" s="2">
        <v>0</v>
      </c>
      <c r="M2110" s="2" t="s">
        <v>84</v>
      </c>
      <c r="N2110" s="2" t="s">
        <v>84</v>
      </c>
      <c r="O2110" s="2" t="s">
        <v>2095</v>
      </c>
      <c r="P2110" s="2" t="s">
        <v>143</v>
      </c>
    </row>
    <row r="2111" spans="1:16" ht="22" customHeight="1" x14ac:dyDescent="0.15">
      <c r="A2111" s="10" t="str">
        <f t="shared" si="400"/>
        <v>490_10_13_10_polygon</v>
      </c>
      <c r="B2111" s="2">
        <v>490</v>
      </c>
      <c r="C2111" s="30" t="str">
        <f>VLOOKUP(B2111,gachas!A:C,3)</f>
        <v>カラーピック（ラプンツェル、アルフヘイム）</v>
      </c>
      <c r="D2111" s="21">
        <v>10</v>
      </c>
      <c r="E2111" s="2">
        <f t="shared" si="402"/>
        <v>13</v>
      </c>
      <c r="F2111" s="2">
        <v>10</v>
      </c>
      <c r="G2111" s="3" t="s">
        <v>22</v>
      </c>
      <c r="H2111" s="2">
        <v>50</v>
      </c>
      <c r="I2111" s="117">
        <v>490100</v>
      </c>
      <c r="J2111" s="112" t="s">
        <v>2092</v>
      </c>
      <c r="K2111" s="2" t="s">
        <v>2093</v>
      </c>
      <c r="L2111" s="2">
        <v>0</v>
      </c>
      <c r="M2111" s="2" t="s">
        <v>84</v>
      </c>
      <c r="N2111" s="2" t="s">
        <v>84</v>
      </c>
      <c r="O2111" s="2" t="s">
        <v>2095</v>
      </c>
      <c r="P2111" s="2" t="s">
        <v>143</v>
      </c>
    </row>
    <row r="2112" spans="1:16" ht="22" customHeight="1" x14ac:dyDescent="0.15">
      <c r="A2112" s="10" t="str">
        <f t="shared" si="400"/>
        <v>490_10_14_10_polygon</v>
      </c>
      <c r="B2112" s="2">
        <v>490</v>
      </c>
      <c r="C2112" s="30" t="str">
        <f>VLOOKUP(B2112,gachas!A:C,3)</f>
        <v>カラーピック（ラプンツェル、アルフヘイム）</v>
      </c>
      <c r="D2112" s="21">
        <v>10</v>
      </c>
      <c r="E2112" s="2">
        <f t="shared" si="402"/>
        <v>14</v>
      </c>
      <c r="F2112" s="2">
        <v>10</v>
      </c>
      <c r="G2112" s="3" t="s">
        <v>22</v>
      </c>
      <c r="H2112" s="2">
        <v>50</v>
      </c>
      <c r="I2112" s="117">
        <v>490100</v>
      </c>
      <c r="J2112" s="112" t="s">
        <v>2092</v>
      </c>
      <c r="K2112" s="2" t="s">
        <v>2093</v>
      </c>
      <c r="L2112" s="2">
        <v>0</v>
      </c>
      <c r="M2112" s="2" t="s">
        <v>84</v>
      </c>
      <c r="N2112" s="2" t="s">
        <v>84</v>
      </c>
      <c r="O2112" s="2" t="s">
        <v>2095</v>
      </c>
      <c r="P2112" s="2" t="s">
        <v>143</v>
      </c>
    </row>
    <row r="2113" spans="1:16" ht="22" customHeight="1" x14ac:dyDescent="0.15">
      <c r="A2113" s="10" t="str">
        <f t="shared" si="400"/>
        <v>490_10_15_10_polygon</v>
      </c>
      <c r="B2113" s="2">
        <v>490</v>
      </c>
      <c r="C2113" s="30" t="str">
        <f>VLOOKUP(B2113,gachas!A:C,3)</f>
        <v>カラーピック（ラプンツェル、アルフヘイム）</v>
      </c>
      <c r="D2113" s="21">
        <v>10</v>
      </c>
      <c r="E2113" s="2">
        <f t="shared" si="402"/>
        <v>15</v>
      </c>
      <c r="F2113" s="2">
        <v>10</v>
      </c>
      <c r="G2113" s="3" t="s">
        <v>22</v>
      </c>
      <c r="H2113" s="2">
        <v>50</v>
      </c>
      <c r="I2113" s="117">
        <v>490100</v>
      </c>
      <c r="J2113" s="112" t="s">
        <v>2092</v>
      </c>
      <c r="K2113" s="2">
        <v>490105</v>
      </c>
      <c r="L2113" s="2">
        <v>1</v>
      </c>
      <c r="M2113" s="2" t="s">
        <v>84</v>
      </c>
      <c r="N2113" s="2" t="s">
        <v>84</v>
      </c>
      <c r="O2113" s="2" t="s">
        <v>2095</v>
      </c>
      <c r="P2113" s="2" t="s">
        <v>1781</v>
      </c>
    </row>
    <row r="2114" spans="1:16" ht="22" customHeight="1" x14ac:dyDescent="0.15">
      <c r="A2114" s="10" t="str">
        <f t="shared" si="400"/>
        <v>490_10_16_10_polygon</v>
      </c>
      <c r="B2114" s="2">
        <v>490</v>
      </c>
      <c r="C2114" s="30" t="str">
        <f>VLOOKUP(B2114,gachas!A:C,3)</f>
        <v>カラーピック（ラプンツェル、アルフヘイム）</v>
      </c>
      <c r="D2114" s="21">
        <v>10</v>
      </c>
      <c r="E2114" s="2">
        <f t="shared" si="402"/>
        <v>16</v>
      </c>
      <c r="F2114" s="2">
        <v>10</v>
      </c>
      <c r="G2114" s="3" t="s">
        <v>22</v>
      </c>
      <c r="H2114" s="2">
        <v>25</v>
      </c>
      <c r="I2114" s="117">
        <v>490100</v>
      </c>
      <c r="J2114" s="112" t="s">
        <v>2092</v>
      </c>
      <c r="K2114" s="2" t="s">
        <v>2093</v>
      </c>
      <c r="L2114" s="2">
        <v>0</v>
      </c>
      <c r="M2114" s="2" t="s">
        <v>84</v>
      </c>
      <c r="N2114" s="2" t="s">
        <v>84</v>
      </c>
      <c r="O2114" s="2" t="s">
        <v>2095</v>
      </c>
      <c r="P2114" s="59" t="s">
        <v>1783</v>
      </c>
    </row>
    <row r="2115" spans="1:16" ht="22" customHeight="1" x14ac:dyDescent="0.15">
      <c r="A2115" s="10" t="str">
        <f t="shared" si="400"/>
        <v>490_10_17_10_polygon</v>
      </c>
      <c r="B2115" s="2">
        <v>490</v>
      </c>
      <c r="C2115" s="30" t="str">
        <f>VLOOKUP(B2115,gachas!A:C,3)</f>
        <v>カラーピック（ラプンツェル、アルフヘイム）</v>
      </c>
      <c r="D2115" s="21">
        <v>10</v>
      </c>
      <c r="E2115" s="2">
        <f t="shared" si="402"/>
        <v>17</v>
      </c>
      <c r="F2115" s="2">
        <v>10</v>
      </c>
      <c r="G2115" s="3" t="s">
        <v>22</v>
      </c>
      <c r="H2115" s="2">
        <v>50</v>
      </c>
      <c r="I2115" s="117">
        <v>490100</v>
      </c>
      <c r="J2115" s="112" t="s">
        <v>2092</v>
      </c>
      <c r="K2115" s="2" t="s">
        <v>2093</v>
      </c>
      <c r="L2115" s="2">
        <v>0</v>
      </c>
      <c r="M2115" s="2" t="s">
        <v>84</v>
      </c>
      <c r="N2115" s="2" t="s">
        <v>84</v>
      </c>
      <c r="O2115" s="2" t="s">
        <v>2095</v>
      </c>
      <c r="P2115" s="2" t="s">
        <v>143</v>
      </c>
    </row>
    <row r="2116" spans="1:16" ht="22" customHeight="1" x14ac:dyDescent="0.15">
      <c r="A2116" s="10" t="str">
        <f t="shared" si="400"/>
        <v>490_10_18_10_polygon</v>
      </c>
      <c r="B2116" s="2">
        <v>490</v>
      </c>
      <c r="C2116" s="30" t="str">
        <f>VLOOKUP(B2116,gachas!A:C,3)</f>
        <v>カラーピック（ラプンツェル、アルフヘイム）</v>
      </c>
      <c r="D2116" s="21">
        <v>10</v>
      </c>
      <c r="E2116" s="2">
        <f t="shared" si="402"/>
        <v>18</v>
      </c>
      <c r="F2116" s="2">
        <v>10</v>
      </c>
      <c r="G2116" s="3" t="s">
        <v>22</v>
      </c>
      <c r="H2116" s="2">
        <v>50</v>
      </c>
      <c r="I2116" s="117">
        <v>490100</v>
      </c>
      <c r="J2116" s="112" t="s">
        <v>2092</v>
      </c>
      <c r="K2116" s="2" t="s">
        <v>2093</v>
      </c>
      <c r="L2116" s="2">
        <v>0</v>
      </c>
      <c r="M2116" s="2" t="s">
        <v>84</v>
      </c>
      <c r="N2116" s="2" t="s">
        <v>84</v>
      </c>
      <c r="O2116" s="2" t="s">
        <v>2095</v>
      </c>
      <c r="P2116" s="2" t="s">
        <v>143</v>
      </c>
    </row>
    <row r="2117" spans="1:16" ht="22" customHeight="1" x14ac:dyDescent="0.15">
      <c r="A2117" s="10" t="str">
        <f t="shared" si="400"/>
        <v>490_10_19_10_polygon</v>
      </c>
      <c r="B2117" s="2">
        <v>490</v>
      </c>
      <c r="C2117" s="30" t="str">
        <f>VLOOKUP(B2117,gachas!A:C,3)</f>
        <v>カラーピック（ラプンツェル、アルフヘイム）</v>
      </c>
      <c r="D2117" s="21">
        <v>10</v>
      </c>
      <c r="E2117" s="2">
        <f t="shared" si="402"/>
        <v>19</v>
      </c>
      <c r="F2117" s="2">
        <v>10</v>
      </c>
      <c r="G2117" s="3" t="s">
        <v>22</v>
      </c>
      <c r="H2117" s="2">
        <v>50</v>
      </c>
      <c r="I2117" s="117">
        <v>490100</v>
      </c>
      <c r="J2117" s="112" t="s">
        <v>2092</v>
      </c>
      <c r="K2117" s="2" t="s">
        <v>2093</v>
      </c>
      <c r="L2117" s="2">
        <v>0</v>
      </c>
      <c r="M2117" s="2" t="s">
        <v>84</v>
      </c>
      <c r="N2117" s="2" t="s">
        <v>84</v>
      </c>
      <c r="O2117" s="2" t="s">
        <v>2095</v>
      </c>
      <c r="P2117" s="2" t="s">
        <v>143</v>
      </c>
    </row>
    <row r="2118" spans="1:16" ht="22" customHeight="1" x14ac:dyDescent="0.15">
      <c r="A2118" s="10" t="str">
        <f t="shared" si="400"/>
        <v>490_10_20_10_polygon</v>
      </c>
      <c r="B2118" s="2">
        <v>490</v>
      </c>
      <c r="C2118" s="30" t="str">
        <f>VLOOKUP(B2118,gachas!A:C,3)</f>
        <v>カラーピック（ラプンツェル、アルフヘイム）</v>
      </c>
      <c r="D2118" s="21">
        <v>10</v>
      </c>
      <c r="E2118" s="2">
        <f t="shared" si="402"/>
        <v>20</v>
      </c>
      <c r="F2118" s="2">
        <v>10</v>
      </c>
      <c r="G2118" s="3" t="s">
        <v>22</v>
      </c>
      <c r="H2118" s="2">
        <v>50</v>
      </c>
      <c r="I2118" s="117">
        <v>490100</v>
      </c>
      <c r="J2118" s="112" t="s">
        <v>2092</v>
      </c>
      <c r="K2118" s="2">
        <v>490105</v>
      </c>
      <c r="L2118" s="2">
        <v>1</v>
      </c>
      <c r="M2118" s="2" t="s">
        <v>84</v>
      </c>
      <c r="N2118" s="2" t="s">
        <v>84</v>
      </c>
      <c r="O2118" s="2" t="s">
        <v>2095</v>
      </c>
      <c r="P2118" s="2" t="s">
        <v>1781</v>
      </c>
    </row>
    <row r="2119" spans="1:16" ht="22" customHeight="1" x14ac:dyDescent="0.15">
      <c r="A2119" s="10" t="str">
        <f t="shared" si="400"/>
        <v>490_10_21_10_polygon</v>
      </c>
      <c r="B2119" s="2">
        <v>490</v>
      </c>
      <c r="C2119" s="30" t="str">
        <f>VLOOKUP(B2119,gachas!A:C,3)</f>
        <v>カラーピック（ラプンツェル、アルフヘイム）</v>
      </c>
      <c r="D2119" s="21">
        <v>10</v>
      </c>
      <c r="E2119" s="2">
        <f t="shared" si="402"/>
        <v>21</v>
      </c>
      <c r="F2119" s="2">
        <v>10</v>
      </c>
      <c r="G2119" s="3" t="s">
        <v>22</v>
      </c>
      <c r="H2119" s="2">
        <v>25</v>
      </c>
      <c r="I2119" s="117">
        <v>490100</v>
      </c>
      <c r="J2119" s="112" t="s">
        <v>2092</v>
      </c>
      <c r="K2119" s="2" t="s">
        <v>2093</v>
      </c>
      <c r="L2119" s="2">
        <v>0</v>
      </c>
      <c r="M2119" s="2" t="s">
        <v>84</v>
      </c>
      <c r="N2119" s="2" t="s">
        <v>84</v>
      </c>
      <c r="O2119" s="2" t="s">
        <v>2095</v>
      </c>
      <c r="P2119" s="59" t="s">
        <v>1783</v>
      </c>
    </row>
    <row r="2120" spans="1:16" ht="22" customHeight="1" x14ac:dyDescent="0.15">
      <c r="A2120" s="10" t="str">
        <f t="shared" si="400"/>
        <v>490_10_22_10_polygon</v>
      </c>
      <c r="B2120" s="2">
        <v>490</v>
      </c>
      <c r="C2120" s="30" t="str">
        <f>VLOOKUP(B2120,gachas!A:C,3)</f>
        <v>カラーピック（ラプンツェル、アルフヘイム）</v>
      </c>
      <c r="D2120" s="21">
        <v>10</v>
      </c>
      <c r="E2120" s="2">
        <f t="shared" si="402"/>
        <v>22</v>
      </c>
      <c r="F2120" s="2">
        <v>10</v>
      </c>
      <c r="G2120" s="3" t="s">
        <v>22</v>
      </c>
      <c r="H2120" s="2">
        <v>50</v>
      </c>
      <c r="I2120" s="117">
        <v>490100</v>
      </c>
      <c r="J2120" s="112" t="s">
        <v>2092</v>
      </c>
      <c r="K2120" s="2" t="s">
        <v>2093</v>
      </c>
      <c r="L2120" s="2">
        <v>0</v>
      </c>
      <c r="M2120" s="2" t="s">
        <v>84</v>
      </c>
      <c r="N2120" s="2" t="s">
        <v>84</v>
      </c>
      <c r="O2120" s="2" t="s">
        <v>2095</v>
      </c>
      <c r="P2120" s="2" t="s">
        <v>143</v>
      </c>
    </row>
    <row r="2121" spans="1:16" ht="22" customHeight="1" x14ac:dyDescent="0.15">
      <c r="A2121" s="10" t="str">
        <f t="shared" si="400"/>
        <v>490_10_23_10_polygon</v>
      </c>
      <c r="B2121" s="2">
        <v>490</v>
      </c>
      <c r="C2121" s="30" t="str">
        <f>VLOOKUP(B2121,gachas!A:C,3)</f>
        <v>カラーピック（ラプンツェル、アルフヘイム）</v>
      </c>
      <c r="D2121" s="21">
        <v>10</v>
      </c>
      <c r="E2121" s="2">
        <f t="shared" si="402"/>
        <v>23</v>
      </c>
      <c r="F2121" s="2">
        <v>10</v>
      </c>
      <c r="G2121" s="3" t="s">
        <v>22</v>
      </c>
      <c r="H2121" s="2">
        <v>50</v>
      </c>
      <c r="I2121" s="117">
        <v>490100</v>
      </c>
      <c r="J2121" s="112" t="s">
        <v>2092</v>
      </c>
      <c r="K2121" s="2" t="s">
        <v>2093</v>
      </c>
      <c r="L2121" s="2">
        <v>0</v>
      </c>
      <c r="M2121" s="2" t="s">
        <v>84</v>
      </c>
      <c r="N2121" s="2" t="s">
        <v>84</v>
      </c>
      <c r="O2121" s="2" t="s">
        <v>2095</v>
      </c>
      <c r="P2121" s="2" t="s">
        <v>143</v>
      </c>
    </row>
    <row r="2122" spans="1:16" ht="22" customHeight="1" x14ac:dyDescent="0.15">
      <c r="A2122" s="10" t="str">
        <f t="shared" si="400"/>
        <v>490_10_24_10_polygon</v>
      </c>
      <c r="B2122" s="2">
        <v>490</v>
      </c>
      <c r="C2122" s="30" t="str">
        <f>VLOOKUP(B2122,gachas!A:C,3)</f>
        <v>カラーピック（ラプンツェル、アルフヘイム）</v>
      </c>
      <c r="D2122" s="21">
        <v>10</v>
      </c>
      <c r="E2122" s="2">
        <f t="shared" si="402"/>
        <v>24</v>
      </c>
      <c r="F2122" s="2">
        <v>10</v>
      </c>
      <c r="G2122" s="3" t="s">
        <v>22</v>
      </c>
      <c r="H2122" s="2">
        <v>50</v>
      </c>
      <c r="I2122" s="117">
        <v>490100</v>
      </c>
      <c r="J2122" s="112" t="s">
        <v>2092</v>
      </c>
      <c r="K2122" s="2" t="s">
        <v>2093</v>
      </c>
      <c r="L2122" s="2">
        <v>0</v>
      </c>
      <c r="M2122" s="2" t="s">
        <v>84</v>
      </c>
      <c r="N2122" s="2" t="s">
        <v>84</v>
      </c>
      <c r="O2122" s="2" t="s">
        <v>2095</v>
      </c>
      <c r="P2122" s="2" t="s">
        <v>143</v>
      </c>
    </row>
    <row r="2123" spans="1:16" ht="22" customHeight="1" x14ac:dyDescent="0.15">
      <c r="A2123" s="10" t="str">
        <f t="shared" si="400"/>
        <v>490_10_25_10_polygon</v>
      </c>
      <c r="B2123" s="2">
        <v>490</v>
      </c>
      <c r="C2123" s="30" t="str">
        <f>VLOOKUP(B2123,gachas!A:C,3)</f>
        <v>カラーピック（ラプンツェル、アルフヘイム）</v>
      </c>
      <c r="D2123" s="21">
        <v>10</v>
      </c>
      <c r="E2123" s="2">
        <f t="shared" si="402"/>
        <v>25</v>
      </c>
      <c r="F2123" s="2">
        <v>10</v>
      </c>
      <c r="G2123" s="3" t="s">
        <v>22</v>
      </c>
      <c r="H2123" s="2">
        <v>50</v>
      </c>
      <c r="I2123" s="117">
        <v>490100</v>
      </c>
      <c r="J2123" s="112" t="s">
        <v>2092</v>
      </c>
      <c r="K2123" s="2">
        <v>490105</v>
      </c>
      <c r="L2123" s="2">
        <v>1</v>
      </c>
      <c r="M2123" s="2" t="s">
        <v>84</v>
      </c>
      <c r="N2123" s="2" t="s">
        <v>84</v>
      </c>
      <c r="O2123" s="2" t="s">
        <v>2095</v>
      </c>
      <c r="P2123" s="2" t="s">
        <v>1781</v>
      </c>
    </row>
    <row r="2124" spans="1:16" ht="22" customHeight="1" x14ac:dyDescent="0.15">
      <c r="A2124" s="10" t="str">
        <f t="shared" si="400"/>
        <v>490_10_26_10_polygon</v>
      </c>
      <c r="B2124" s="2">
        <v>490</v>
      </c>
      <c r="C2124" s="30" t="str">
        <f>VLOOKUP(B2124,gachas!A:C,3)</f>
        <v>カラーピック（ラプンツェル、アルフヘイム）</v>
      </c>
      <c r="D2124" s="21">
        <v>10</v>
      </c>
      <c r="E2124" s="2">
        <f t="shared" si="402"/>
        <v>26</v>
      </c>
      <c r="F2124" s="2">
        <v>10</v>
      </c>
      <c r="G2124" s="3" t="s">
        <v>22</v>
      </c>
      <c r="H2124" s="2">
        <v>25</v>
      </c>
      <c r="I2124" s="117">
        <v>490100</v>
      </c>
      <c r="J2124" s="112" t="s">
        <v>2092</v>
      </c>
      <c r="K2124" s="2" t="s">
        <v>2093</v>
      </c>
      <c r="L2124" s="2">
        <v>0</v>
      </c>
      <c r="M2124" s="2" t="s">
        <v>84</v>
      </c>
      <c r="N2124" s="2" t="s">
        <v>84</v>
      </c>
      <c r="O2124" s="2" t="s">
        <v>2095</v>
      </c>
      <c r="P2124" s="59" t="s">
        <v>1783</v>
      </c>
    </row>
    <row r="2125" spans="1:16" ht="22" customHeight="1" x14ac:dyDescent="0.15">
      <c r="A2125" s="10" t="str">
        <f t="shared" si="400"/>
        <v>490_10_27_10_polygon</v>
      </c>
      <c r="B2125" s="2">
        <v>490</v>
      </c>
      <c r="C2125" s="30" t="str">
        <f>VLOOKUP(B2125,gachas!A:C,3)</f>
        <v>カラーピック（ラプンツェル、アルフヘイム）</v>
      </c>
      <c r="D2125" s="21">
        <v>10</v>
      </c>
      <c r="E2125" s="2">
        <f t="shared" si="402"/>
        <v>27</v>
      </c>
      <c r="F2125" s="2">
        <v>10</v>
      </c>
      <c r="G2125" s="3" t="s">
        <v>22</v>
      </c>
      <c r="H2125" s="2">
        <v>50</v>
      </c>
      <c r="I2125" s="117">
        <v>490100</v>
      </c>
      <c r="J2125" s="112" t="s">
        <v>2092</v>
      </c>
      <c r="K2125" s="2" t="s">
        <v>2093</v>
      </c>
      <c r="L2125" s="2">
        <v>0</v>
      </c>
      <c r="M2125" s="2" t="s">
        <v>84</v>
      </c>
      <c r="N2125" s="2" t="s">
        <v>84</v>
      </c>
      <c r="O2125" s="2" t="s">
        <v>2095</v>
      </c>
      <c r="P2125" s="2" t="s">
        <v>143</v>
      </c>
    </row>
    <row r="2126" spans="1:16" ht="22" customHeight="1" x14ac:dyDescent="0.15">
      <c r="A2126" s="10" t="str">
        <f t="shared" si="400"/>
        <v>490_10_28_10_polygon</v>
      </c>
      <c r="B2126" s="2">
        <v>490</v>
      </c>
      <c r="C2126" s="30" t="str">
        <f>VLOOKUP(B2126,gachas!A:C,3)</f>
        <v>カラーピック（ラプンツェル、アルフヘイム）</v>
      </c>
      <c r="D2126" s="21">
        <v>10</v>
      </c>
      <c r="E2126" s="2">
        <f t="shared" si="402"/>
        <v>28</v>
      </c>
      <c r="F2126" s="2">
        <v>10</v>
      </c>
      <c r="G2126" s="3" t="s">
        <v>22</v>
      </c>
      <c r="H2126" s="2">
        <v>50</v>
      </c>
      <c r="I2126" s="117">
        <v>490100</v>
      </c>
      <c r="J2126" s="112" t="s">
        <v>2092</v>
      </c>
      <c r="K2126" s="2" t="s">
        <v>2093</v>
      </c>
      <c r="L2126" s="2">
        <v>0</v>
      </c>
      <c r="M2126" s="2" t="s">
        <v>84</v>
      </c>
      <c r="N2126" s="2" t="s">
        <v>84</v>
      </c>
      <c r="O2126" s="2" t="s">
        <v>2095</v>
      </c>
      <c r="P2126" s="2" t="s">
        <v>143</v>
      </c>
    </row>
    <row r="2127" spans="1:16" ht="22" customHeight="1" x14ac:dyDescent="0.15">
      <c r="A2127" s="10" t="str">
        <f t="shared" si="400"/>
        <v>490_10_29_10_polygon</v>
      </c>
      <c r="B2127" s="2">
        <v>490</v>
      </c>
      <c r="C2127" s="30" t="str">
        <f>VLOOKUP(B2127,gachas!A:C,3)</f>
        <v>カラーピック（ラプンツェル、アルフヘイム）</v>
      </c>
      <c r="D2127" s="21">
        <v>10</v>
      </c>
      <c r="E2127" s="2">
        <f t="shared" si="402"/>
        <v>29</v>
      </c>
      <c r="F2127" s="2">
        <v>10</v>
      </c>
      <c r="G2127" s="3" t="s">
        <v>22</v>
      </c>
      <c r="H2127" s="2">
        <v>50</v>
      </c>
      <c r="I2127" s="117">
        <v>490100</v>
      </c>
      <c r="J2127" s="112" t="s">
        <v>2092</v>
      </c>
      <c r="K2127" s="2" t="s">
        <v>2093</v>
      </c>
      <c r="L2127" s="2">
        <v>0</v>
      </c>
      <c r="M2127" s="2" t="s">
        <v>84</v>
      </c>
      <c r="N2127" s="2" t="s">
        <v>84</v>
      </c>
      <c r="O2127" s="2" t="s">
        <v>2095</v>
      </c>
      <c r="P2127" s="2" t="s">
        <v>143</v>
      </c>
    </row>
    <row r="2128" spans="1:16" ht="22" customHeight="1" x14ac:dyDescent="0.15">
      <c r="A2128" s="10" t="str">
        <f t="shared" si="400"/>
        <v>490_10_30_10_polygon</v>
      </c>
      <c r="B2128" s="2">
        <v>490</v>
      </c>
      <c r="C2128" s="30" t="str">
        <f>VLOOKUP(B2128,gachas!A:C,3)</f>
        <v>カラーピック（ラプンツェル、アルフヘイム）</v>
      </c>
      <c r="D2128" s="21">
        <v>10</v>
      </c>
      <c r="E2128" s="2">
        <f t="shared" si="402"/>
        <v>30</v>
      </c>
      <c r="F2128" s="2">
        <v>10</v>
      </c>
      <c r="G2128" s="3" t="s">
        <v>22</v>
      </c>
      <c r="H2128" s="2">
        <v>50</v>
      </c>
      <c r="I2128" s="117">
        <v>490100</v>
      </c>
      <c r="J2128" s="112" t="s">
        <v>2092</v>
      </c>
      <c r="K2128" s="2">
        <v>490105</v>
      </c>
      <c r="L2128" s="2">
        <v>1</v>
      </c>
      <c r="M2128" s="2" t="s">
        <v>84</v>
      </c>
      <c r="N2128" s="2" t="s">
        <v>84</v>
      </c>
      <c r="O2128" s="2" t="s">
        <v>2095</v>
      </c>
      <c r="P2128" s="2" t="s">
        <v>1781</v>
      </c>
    </row>
    <row r="2129" spans="1:16" ht="22" customHeight="1" x14ac:dyDescent="0.15">
      <c r="A2129" s="10" t="str">
        <f t="shared" si="400"/>
        <v>490_10_31_10_polygon</v>
      </c>
      <c r="B2129" s="2">
        <v>490</v>
      </c>
      <c r="C2129" s="30" t="str">
        <f>VLOOKUP(B2129,gachas!A:C,3)</f>
        <v>カラーピック（ラプンツェル、アルフヘイム）</v>
      </c>
      <c r="D2129" s="21">
        <v>10</v>
      </c>
      <c r="E2129" s="2">
        <f t="shared" si="402"/>
        <v>31</v>
      </c>
      <c r="F2129" s="2">
        <v>10</v>
      </c>
      <c r="G2129" s="3" t="s">
        <v>22</v>
      </c>
      <c r="H2129" s="2">
        <v>25</v>
      </c>
      <c r="I2129" s="117">
        <v>490100</v>
      </c>
      <c r="J2129" s="112" t="s">
        <v>2092</v>
      </c>
      <c r="K2129" s="2" t="s">
        <v>2093</v>
      </c>
      <c r="L2129" s="2">
        <v>0</v>
      </c>
      <c r="M2129" s="2" t="s">
        <v>84</v>
      </c>
      <c r="N2129" s="2" t="s">
        <v>84</v>
      </c>
      <c r="O2129" s="2" t="s">
        <v>2095</v>
      </c>
      <c r="P2129" s="59" t="s">
        <v>1783</v>
      </c>
    </row>
    <row r="2130" spans="1:16" ht="22" customHeight="1" x14ac:dyDescent="0.15">
      <c r="A2130" s="10" t="str">
        <f t="shared" si="400"/>
        <v>490_10_32_10_polygon</v>
      </c>
      <c r="B2130" s="2">
        <v>490</v>
      </c>
      <c r="C2130" s="30" t="str">
        <f>VLOOKUP(B2130,gachas!A:C,3)</f>
        <v>カラーピック（ラプンツェル、アルフヘイム）</v>
      </c>
      <c r="D2130" s="21">
        <v>10</v>
      </c>
      <c r="E2130" s="2">
        <f t="shared" si="402"/>
        <v>32</v>
      </c>
      <c r="F2130" s="2">
        <v>10</v>
      </c>
      <c r="G2130" s="3" t="s">
        <v>22</v>
      </c>
      <c r="H2130" s="2">
        <v>50</v>
      </c>
      <c r="I2130" s="117">
        <v>490100</v>
      </c>
      <c r="J2130" s="112" t="s">
        <v>2092</v>
      </c>
      <c r="K2130" s="2" t="s">
        <v>2093</v>
      </c>
      <c r="L2130" s="2">
        <v>0</v>
      </c>
      <c r="M2130" s="2" t="s">
        <v>84</v>
      </c>
      <c r="N2130" s="2" t="s">
        <v>84</v>
      </c>
      <c r="O2130" s="2" t="s">
        <v>2095</v>
      </c>
      <c r="P2130" s="2" t="s">
        <v>143</v>
      </c>
    </row>
    <row r="2131" spans="1:16" ht="22" customHeight="1" x14ac:dyDescent="0.15">
      <c r="A2131" s="10" t="str">
        <f t="shared" si="400"/>
        <v>490_10_33_10_polygon</v>
      </c>
      <c r="B2131" s="2">
        <v>490</v>
      </c>
      <c r="C2131" s="30" t="str">
        <f>VLOOKUP(B2131,gachas!A:C,3)</f>
        <v>カラーピック（ラプンツェル、アルフヘイム）</v>
      </c>
      <c r="D2131" s="21">
        <v>10</v>
      </c>
      <c r="E2131" s="2">
        <f t="shared" si="402"/>
        <v>33</v>
      </c>
      <c r="F2131" s="2">
        <v>10</v>
      </c>
      <c r="G2131" s="3" t="s">
        <v>22</v>
      </c>
      <c r="H2131" s="2">
        <v>50</v>
      </c>
      <c r="I2131" s="117">
        <v>490100</v>
      </c>
      <c r="J2131" s="112" t="s">
        <v>2092</v>
      </c>
      <c r="K2131" s="2" t="s">
        <v>2093</v>
      </c>
      <c r="L2131" s="2">
        <v>0</v>
      </c>
      <c r="M2131" s="2" t="s">
        <v>84</v>
      </c>
      <c r="N2131" s="2" t="s">
        <v>84</v>
      </c>
      <c r="O2131" s="2" t="s">
        <v>2095</v>
      </c>
      <c r="P2131" s="2" t="s">
        <v>143</v>
      </c>
    </row>
    <row r="2132" spans="1:16" ht="22" customHeight="1" x14ac:dyDescent="0.15">
      <c r="A2132" s="10" t="str">
        <f t="shared" si="400"/>
        <v>490_10_34_10_polygon</v>
      </c>
      <c r="B2132" s="2">
        <v>490</v>
      </c>
      <c r="C2132" s="30" t="str">
        <f>VLOOKUP(B2132,gachas!A:C,3)</f>
        <v>カラーピック（ラプンツェル、アルフヘイム）</v>
      </c>
      <c r="D2132" s="21">
        <v>10</v>
      </c>
      <c r="E2132" s="2">
        <f t="shared" si="402"/>
        <v>34</v>
      </c>
      <c r="F2132" s="2">
        <v>10</v>
      </c>
      <c r="G2132" s="3" t="s">
        <v>22</v>
      </c>
      <c r="H2132" s="2">
        <v>50</v>
      </c>
      <c r="I2132" s="117">
        <v>490100</v>
      </c>
      <c r="J2132" s="112" t="s">
        <v>2092</v>
      </c>
      <c r="K2132" s="2" t="s">
        <v>2093</v>
      </c>
      <c r="L2132" s="2">
        <v>0</v>
      </c>
      <c r="M2132" s="2" t="s">
        <v>84</v>
      </c>
      <c r="N2132" s="2" t="s">
        <v>84</v>
      </c>
      <c r="O2132" s="2" t="s">
        <v>2095</v>
      </c>
      <c r="P2132" s="2" t="s">
        <v>143</v>
      </c>
    </row>
    <row r="2133" spans="1:16" ht="22" customHeight="1" x14ac:dyDescent="0.15">
      <c r="A2133" s="10" t="str">
        <f t="shared" si="400"/>
        <v>490_10_35_10_polygon</v>
      </c>
      <c r="B2133" s="2">
        <v>490</v>
      </c>
      <c r="C2133" s="30" t="str">
        <f>VLOOKUP(B2133,gachas!A:C,3)</f>
        <v>カラーピック（ラプンツェル、アルフヘイム）</v>
      </c>
      <c r="D2133" s="21">
        <v>10</v>
      </c>
      <c r="E2133" s="2">
        <f t="shared" si="402"/>
        <v>35</v>
      </c>
      <c r="F2133" s="2">
        <v>10</v>
      </c>
      <c r="G2133" s="3" t="s">
        <v>22</v>
      </c>
      <c r="H2133" s="2">
        <v>50</v>
      </c>
      <c r="I2133" s="117">
        <v>490100</v>
      </c>
      <c r="J2133" s="112" t="s">
        <v>2092</v>
      </c>
      <c r="K2133" s="2">
        <v>490105</v>
      </c>
      <c r="L2133" s="2">
        <v>1</v>
      </c>
      <c r="M2133" s="2" t="s">
        <v>84</v>
      </c>
      <c r="N2133" s="2" t="s">
        <v>84</v>
      </c>
      <c r="O2133" s="2" t="s">
        <v>2095</v>
      </c>
      <c r="P2133" s="2" t="s">
        <v>1781</v>
      </c>
    </row>
    <row r="2134" spans="1:16" ht="22" customHeight="1" x14ac:dyDescent="0.15">
      <c r="A2134" s="10" t="str">
        <f t="shared" si="400"/>
        <v>490_10_36_10_polygon</v>
      </c>
      <c r="B2134" s="2">
        <v>490</v>
      </c>
      <c r="C2134" s="30" t="str">
        <f>VLOOKUP(B2134,gachas!A:C,3)</f>
        <v>カラーピック（ラプンツェル、アルフヘイム）</v>
      </c>
      <c r="D2134" s="21">
        <v>10</v>
      </c>
      <c r="E2134" s="2">
        <f t="shared" si="402"/>
        <v>36</v>
      </c>
      <c r="F2134" s="2">
        <v>10</v>
      </c>
      <c r="G2134" s="3" t="s">
        <v>22</v>
      </c>
      <c r="H2134" s="2">
        <v>25</v>
      </c>
      <c r="I2134" s="117">
        <v>490100</v>
      </c>
      <c r="J2134" s="112" t="s">
        <v>2092</v>
      </c>
      <c r="K2134" s="2" t="s">
        <v>2093</v>
      </c>
      <c r="L2134" s="2">
        <v>0</v>
      </c>
      <c r="M2134" s="2" t="s">
        <v>84</v>
      </c>
      <c r="N2134" s="2" t="s">
        <v>84</v>
      </c>
      <c r="O2134" s="2" t="s">
        <v>2095</v>
      </c>
      <c r="P2134" s="59" t="s">
        <v>1783</v>
      </c>
    </row>
    <row r="2135" spans="1:16" ht="22" customHeight="1" x14ac:dyDescent="0.15">
      <c r="A2135" s="10" t="str">
        <f t="shared" si="400"/>
        <v>490_10_37_10_polygon</v>
      </c>
      <c r="B2135" s="2">
        <v>490</v>
      </c>
      <c r="C2135" s="30" t="str">
        <f>VLOOKUP(B2135,gachas!A:C,3)</f>
        <v>カラーピック（ラプンツェル、アルフヘイム）</v>
      </c>
      <c r="D2135" s="21">
        <v>10</v>
      </c>
      <c r="E2135" s="2">
        <f t="shared" si="402"/>
        <v>37</v>
      </c>
      <c r="F2135" s="2">
        <v>10</v>
      </c>
      <c r="G2135" s="3" t="s">
        <v>22</v>
      </c>
      <c r="H2135" s="2">
        <v>50</v>
      </c>
      <c r="I2135" s="117">
        <v>490100</v>
      </c>
      <c r="J2135" s="112" t="s">
        <v>2092</v>
      </c>
      <c r="K2135" s="2" t="s">
        <v>2093</v>
      </c>
      <c r="L2135" s="2">
        <v>0</v>
      </c>
      <c r="M2135" s="2" t="s">
        <v>84</v>
      </c>
      <c r="N2135" s="2" t="s">
        <v>84</v>
      </c>
      <c r="O2135" s="2" t="s">
        <v>2095</v>
      </c>
      <c r="P2135" s="2" t="s">
        <v>143</v>
      </c>
    </row>
    <row r="2136" spans="1:16" ht="22" customHeight="1" x14ac:dyDescent="0.15">
      <c r="A2136" s="10" t="str">
        <f t="shared" si="400"/>
        <v>490_10_38_10_polygon</v>
      </c>
      <c r="B2136" s="2">
        <v>490</v>
      </c>
      <c r="C2136" s="30" t="str">
        <f>VLOOKUP(B2136,gachas!A:C,3)</f>
        <v>カラーピック（ラプンツェル、アルフヘイム）</v>
      </c>
      <c r="D2136" s="21">
        <v>10</v>
      </c>
      <c r="E2136" s="2">
        <f t="shared" si="402"/>
        <v>38</v>
      </c>
      <c r="F2136" s="2">
        <v>10</v>
      </c>
      <c r="G2136" s="3" t="s">
        <v>22</v>
      </c>
      <c r="H2136" s="2">
        <v>50</v>
      </c>
      <c r="I2136" s="117">
        <v>490100</v>
      </c>
      <c r="J2136" s="112" t="s">
        <v>2092</v>
      </c>
      <c r="K2136" s="2" t="s">
        <v>2093</v>
      </c>
      <c r="L2136" s="2">
        <v>0</v>
      </c>
      <c r="M2136" s="2" t="s">
        <v>84</v>
      </c>
      <c r="N2136" s="2" t="s">
        <v>84</v>
      </c>
      <c r="O2136" s="2" t="s">
        <v>2095</v>
      </c>
      <c r="P2136" s="2" t="s">
        <v>143</v>
      </c>
    </row>
    <row r="2137" spans="1:16" ht="22" customHeight="1" x14ac:dyDescent="0.15">
      <c r="A2137" s="10" t="str">
        <f t="shared" si="400"/>
        <v>490_10_39_10_polygon</v>
      </c>
      <c r="B2137" s="2">
        <v>490</v>
      </c>
      <c r="C2137" s="30" t="str">
        <f>VLOOKUP(B2137,gachas!A:C,3)</f>
        <v>カラーピック（ラプンツェル、アルフヘイム）</v>
      </c>
      <c r="D2137" s="21">
        <v>10</v>
      </c>
      <c r="E2137" s="2">
        <f t="shared" si="402"/>
        <v>39</v>
      </c>
      <c r="F2137" s="2">
        <v>10</v>
      </c>
      <c r="G2137" s="3" t="s">
        <v>22</v>
      </c>
      <c r="H2137" s="2">
        <v>50</v>
      </c>
      <c r="I2137" s="117">
        <v>490100</v>
      </c>
      <c r="J2137" s="112" t="s">
        <v>2092</v>
      </c>
      <c r="K2137" s="2" t="s">
        <v>2093</v>
      </c>
      <c r="L2137" s="2">
        <v>0</v>
      </c>
      <c r="M2137" s="2" t="s">
        <v>84</v>
      </c>
      <c r="N2137" s="2" t="s">
        <v>84</v>
      </c>
      <c r="O2137" s="2" t="s">
        <v>2095</v>
      </c>
      <c r="P2137" s="2" t="s">
        <v>143</v>
      </c>
    </row>
    <row r="2138" spans="1:16" ht="22" customHeight="1" x14ac:dyDescent="0.15">
      <c r="A2138" s="10" t="str">
        <f t="shared" si="400"/>
        <v>490_10_40_10_polygon</v>
      </c>
      <c r="B2138" s="2">
        <v>490</v>
      </c>
      <c r="C2138" s="30" t="str">
        <f>VLOOKUP(B2138,gachas!A:C,3)</f>
        <v>カラーピック（ラプンツェル、アルフヘイム）</v>
      </c>
      <c r="D2138" s="21">
        <v>10</v>
      </c>
      <c r="E2138" s="2">
        <f t="shared" si="402"/>
        <v>40</v>
      </c>
      <c r="F2138" s="2">
        <v>10</v>
      </c>
      <c r="G2138" s="3" t="s">
        <v>22</v>
      </c>
      <c r="H2138" s="2">
        <v>50</v>
      </c>
      <c r="I2138" s="117">
        <v>490100</v>
      </c>
      <c r="J2138" s="112" t="s">
        <v>2092</v>
      </c>
      <c r="K2138" s="2">
        <v>490105</v>
      </c>
      <c r="L2138" s="2">
        <v>1</v>
      </c>
      <c r="M2138" s="2" t="s">
        <v>84</v>
      </c>
      <c r="N2138" s="2" t="s">
        <v>84</v>
      </c>
      <c r="O2138" s="2" t="s">
        <v>2095</v>
      </c>
      <c r="P2138" s="2" t="s">
        <v>1781</v>
      </c>
    </row>
    <row r="2139" spans="1:16" ht="22" customHeight="1" x14ac:dyDescent="0.15">
      <c r="A2139" s="10" t="str">
        <f t="shared" si="400"/>
        <v>490_10_41_10_polygon</v>
      </c>
      <c r="B2139" s="2">
        <v>490</v>
      </c>
      <c r="C2139" s="30" t="str">
        <f>VLOOKUP(B2139,gachas!A:C,3)</f>
        <v>カラーピック（ラプンツェル、アルフヘイム）</v>
      </c>
      <c r="D2139" s="21">
        <v>10</v>
      </c>
      <c r="E2139" s="2">
        <f t="shared" si="402"/>
        <v>41</v>
      </c>
      <c r="F2139" s="2">
        <v>10</v>
      </c>
      <c r="G2139" s="3" t="s">
        <v>22</v>
      </c>
      <c r="H2139" s="2">
        <v>25</v>
      </c>
      <c r="I2139" s="117">
        <v>490100</v>
      </c>
      <c r="J2139" s="112" t="s">
        <v>2092</v>
      </c>
      <c r="K2139" s="2" t="s">
        <v>2093</v>
      </c>
      <c r="L2139" s="2">
        <v>0</v>
      </c>
      <c r="M2139" s="2" t="s">
        <v>84</v>
      </c>
      <c r="N2139" s="2" t="s">
        <v>84</v>
      </c>
      <c r="O2139" s="2" t="s">
        <v>2095</v>
      </c>
      <c r="P2139" s="59" t="s">
        <v>1783</v>
      </c>
    </row>
    <row r="2140" spans="1:16" ht="22" customHeight="1" x14ac:dyDescent="0.15">
      <c r="A2140" s="10" t="str">
        <f t="shared" si="400"/>
        <v>490_10_42_10_polygon</v>
      </c>
      <c r="B2140" s="2">
        <v>490</v>
      </c>
      <c r="C2140" s="30" t="str">
        <f>VLOOKUP(B2140,gachas!A:C,3)</f>
        <v>カラーピック（ラプンツェル、アルフヘイム）</v>
      </c>
      <c r="D2140" s="21">
        <v>10</v>
      </c>
      <c r="E2140" s="2">
        <f t="shared" si="402"/>
        <v>42</v>
      </c>
      <c r="F2140" s="2">
        <v>10</v>
      </c>
      <c r="G2140" s="3" t="s">
        <v>22</v>
      </c>
      <c r="H2140" s="2">
        <v>50</v>
      </c>
      <c r="I2140" s="117">
        <v>490100</v>
      </c>
      <c r="J2140" s="112" t="s">
        <v>2092</v>
      </c>
      <c r="K2140" s="2" t="s">
        <v>2093</v>
      </c>
      <c r="L2140" s="2">
        <v>0</v>
      </c>
      <c r="M2140" s="2" t="s">
        <v>84</v>
      </c>
      <c r="N2140" s="2" t="s">
        <v>84</v>
      </c>
      <c r="O2140" s="2" t="s">
        <v>2095</v>
      </c>
      <c r="P2140" s="2" t="s">
        <v>143</v>
      </c>
    </row>
    <row r="2141" spans="1:16" ht="22" customHeight="1" x14ac:dyDescent="0.15">
      <c r="A2141" s="10" t="str">
        <f t="shared" si="400"/>
        <v>490_10_43_10_polygon</v>
      </c>
      <c r="B2141" s="2">
        <v>490</v>
      </c>
      <c r="C2141" s="30" t="str">
        <f>VLOOKUP(B2141,gachas!A:C,3)</f>
        <v>カラーピック（ラプンツェル、アルフヘイム）</v>
      </c>
      <c r="D2141" s="21">
        <v>10</v>
      </c>
      <c r="E2141" s="2">
        <f t="shared" si="402"/>
        <v>43</v>
      </c>
      <c r="F2141" s="2">
        <v>10</v>
      </c>
      <c r="G2141" s="3" t="s">
        <v>22</v>
      </c>
      <c r="H2141" s="2">
        <v>50</v>
      </c>
      <c r="I2141" s="117">
        <v>490100</v>
      </c>
      <c r="J2141" s="112" t="s">
        <v>2092</v>
      </c>
      <c r="K2141" s="2" t="s">
        <v>2093</v>
      </c>
      <c r="L2141" s="2">
        <v>0</v>
      </c>
      <c r="M2141" s="2" t="s">
        <v>84</v>
      </c>
      <c r="N2141" s="2" t="s">
        <v>84</v>
      </c>
      <c r="O2141" s="2" t="s">
        <v>2095</v>
      </c>
      <c r="P2141" s="2" t="s">
        <v>143</v>
      </c>
    </row>
    <row r="2142" spans="1:16" ht="22" customHeight="1" x14ac:dyDescent="0.15">
      <c r="A2142" s="10" t="str">
        <f t="shared" si="400"/>
        <v>490_10_44_10_polygon</v>
      </c>
      <c r="B2142" s="2">
        <v>490</v>
      </c>
      <c r="C2142" s="30" t="str">
        <f>VLOOKUP(B2142,gachas!A:C,3)</f>
        <v>カラーピック（ラプンツェル、アルフヘイム）</v>
      </c>
      <c r="D2142" s="21">
        <v>10</v>
      </c>
      <c r="E2142" s="2">
        <f t="shared" si="402"/>
        <v>44</v>
      </c>
      <c r="F2142" s="2">
        <v>10</v>
      </c>
      <c r="G2142" s="3" t="s">
        <v>22</v>
      </c>
      <c r="H2142" s="2">
        <v>50</v>
      </c>
      <c r="I2142" s="117">
        <v>490100</v>
      </c>
      <c r="J2142" s="112" t="s">
        <v>2092</v>
      </c>
      <c r="K2142" s="2" t="s">
        <v>2093</v>
      </c>
      <c r="L2142" s="2">
        <v>0</v>
      </c>
      <c r="M2142" s="2" t="s">
        <v>84</v>
      </c>
      <c r="N2142" s="2" t="s">
        <v>84</v>
      </c>
      <c r="O2142" s="2" t="s">
        <v>2095</v>
      </c>
      <c r="P2142" s="2" t="s">
        <v>143</v>
      </c>
    </row>
    <row r="2143" spans="1:16" ht="22" customHeight="1" x14ac:dyDescent="0.15">
      <c r="A2143" s="10" t="str">
        <f t="shared" si="400"/>
        <v>490_10_45_10_polygon</v>
      </c>
      <c r="B2143" s="2">
        <v>490</v>
      </c>
      <c r="C2143" s="30" t="str">
        <f>VLOOKUP(B2143,gachas!A:C,3)</f>
        <v>カラーピック（ラプンツェル、アルフヘイム）</v>
      </c>
      <c r="D2143" s="21">
        <v>10</v>
      </c>
      <c r="E2143" s="2">
        <f t="shared" si="402"/>
        <v>45</v>
      </c>
      <c r="F2143" s="2">
        <v>10</v>
      </c>
      <c r="G2143" s="3" t="s">
        <v>22</v>
      </c>
      <c r="H2143" s="2">
        <v>50</v>
      </c>
      <c r="I2143" s="117">
        <v>490100</v>
      </c>
      <c r="J2143" s="112" t="s">
        <v>2092</v>
      </c>
      <c r="K2143" s="2">
        <v>490105</v>
      </c>
      <c r="L2143" s="2">
        <v>1</v>
      </c>
      <c r="M2143" s="2" t="s">
        <v>84</v>
      </c>
      <c r="N2143" s="2" t="s">
        <v>84</v>
      </c>
      <c r="O2143" s="2" t="s">
        <v>2095</v>
      </c>
      <c r="P2143" s="2" t="s">
        <v>1781</v>
      </c>
    </row>
    <row r="2144" spans="1:16" ht="22" customHeight="1" x14ac:dyDescent="0.15">
      <c r="A2144" s="10" t="str">
        <f t="shared" si="400"/>
        <v>490_10_46_10_polygon</v>
      </c>
      <c r="B2144" s="2">
        <v>490</v>
      </c>
      <c r="C2144" s="30" t="str">
        <f>VLOOKUP(B2144,gachas!A:C,3)</f>
        <v>カラーピック（ラプンツェル、アルフヘイム）</v>
      </c>
      <c r="D2144" s="21">
        <v>10</v>
      </c>
      <c r="E2144" s="2">
        <f t="shared" si="402"/>
        <v>46</v>
      </c>
      <c r="F2144" s="2">
        <v>10</v>
      </c>
      <c r="G2144" s="3" t="s">
        <v>22</v>
      </c>
      <c r="H2144" s="2">
        <v>25</v>
      </c>
      <c r="I2144" s="117">
        <v>490100</v>
      </c>
      <c r="J2144" s="112" t="s">
        <v>2092</v>
      </c>
      <c r="K2144" s="2" t="s">
        <v>2093</v>
      </c>
      <c r="L2144" s="2">
        <v>0</v>
      </c>
      <c r="M2144" s="2" t="s">
        <v>84</v>
      </c>
      <c r="N2144" s="2" t="s">
        <v>84</v>
      </c>
      <c r="O2144" s="2" t="s">
        <v>2095</v>
      </c>
      <c r="P2144" s="59" t="s">
        <v>1783</v>
      </c>
    </row>
    <row r="2145" spans="1:16" ht="22" customHeight="1" x14ac:dyDescent="0.15">
      <c r="A2145" s="10" t="str">
        <f t="shared" si="400"/>
        <v>490_10_47_10_polygon</v>
      </c>
      <c r="B2145" s="2">
        <v>490</v>
      </c>
      <c r="C2145" s="30" t="str">
        <f>VLOOKUP(B2145,gachas!A:C,3)</f>
        <v>カラーピック（ラプンツェル、アルフヘイム）</v>
      </c>
      <c r="D2145" s="21">
        <v>10</v>
      </c>
      <c r="E2145" s="2">
        <f t="shared" si="402"/>
        <v>47</v>
      </c>
      <c r="F2145" s="2">
        <v>10</v>
      </c>
      <c r="G2145" s="3" t="s">
        <v>22</v>
      </c>
      <c r="H2145" s="2">
        <v>50</v>
      </c>
      <c r="I2145" s="117">
        <v>490100</v>
      </c>
      <c r="J2145" s="112" t="s">
        <v>2092</v>
      </c>
      <c r="K2145" s="2" t="s">
        <v>2093</v>
      </c>
      <c r="L2145" s="2">
        <v>0</v>
      </c>
      <c r="M2145" s="2" t="s">
        <v>84</v>
      </c>
      <c r="N2145" s="2" t="s">
        <v>84</v>
      </c>
      <c r="O2145" s="2" t="s">
        <v>2095</v>
      </c>
      <c r="P2145" s="2" t="s">
        <v>143</v>
      </c>
    </row>
    <row r="2146" spans="1:16" ht="22" customHeight="1" x14ac:dyDescent="0.15">
      <c r="A2146" s="10" t="str">
        <f t="shared" si="400"/>
        <v>490_10_48_10_polygon</v>
      </c>
      <c r="B2146" s="2">
        <v>490</v>
      </c>
      <c r="C2146" s="30" t="str">
        <f>VLOOKUP(B2146,gachas!A:C,3)</f>
        <v>カラーピック（ラプンツェル、アルフヘイム）</v>
      </c>
      <c r="D2146" s="21">
        <v>10</v>
      </c>
      <c r="E2146" s="2">
        <f t="shared" si="402"/>
        <v>48</v>
      </c>
      <c r="F2146" s="2">
        <v>10</v>
      </c>
      <c r="G2146" s="3" t="s">
        <v>22</v>
      </c>
      <c r="H2146" s="2">
        <v>50</v>
      </c>
      <c r="I2146" s="117">
        <v>490100</v>
      </c>
      <c r="J2146" s="112" t="s">
        <v>2092</v>
      </c>
      <c r="K2146" s="2" t="s">
        <v>2093</v>
      </c>
      <c r="L2146" s="2">
        <v>0</v>
      </c>
      <c r="M2146" s="2" t="s">
        <v>84</v>
      </c>
      <c r="N2146" s="2" t="s">
        <v>84</v>
      </c>
      <c r="O2146" s="2" t="s">
        <v>2095</v>
      </c>
      <c r="P2146" s="2" t="s">
        <v>143</v>
      </c>
    </row>
    <row r="2147" spans="1:16" ht="22" customHeight="1" x14ac:dyDescent="0.15">
      <c r="A2147" s="10" t="str">
        <f t="shared" si="400"/>
        <v>490_10_49_10_polygon</v>
      </c>
      <c r="B2147" s="2">
        <v>490</v>
      </c>
      <c r="C2147" s="30" t="str">
        <f>VLOOKUP(B2147,gachas!A:C,3)</f>
        <v>カラーピック（ラプンツェル、アルフヘイム）</v>
      </c>
      <c r="D2147" s="21">
        <v>10</v>
      </c>
      <c r="E2147" s="2">
        <f t="shared" si="402"/>
        <v>49</v>
      </c>
      <c r="F2147" s="2">
        <v>10</v>
      </c>
      <c r="G2147" s="3" t="s">
        <v>22</v>
      </c>
      <c r="H2147" s="2">
        <v>50</v>
      </c>
      <c r="I2147" s="117">
        <v>490100</v>
      </c>
      <c r="J2147" s="112" t="s">
        <v>2092</v>
      </c>
      <c r="K2147" s="2" t="s">
        <v>2093</v>
      </c>
      <c r="L2147" s="2">
        <v>0</v>
      </c>
      <c r="M2147" s="2" t="s">
        <v>84</v>
      </c>
      <c r="N2147" s="2" t="s">
        <v>84</v>
      </c>
      <c r="O2147" s="2" t="s">
        <v>2095</v>
      </c>
      <c r="P2147" s="2" t="s">
        <v>143</v>
      </c>
    </row>
    <row r="2148" spans="1:16" ht="22" customHeight="1" x14ac:dyDescent="0.15">
      <c r="A2148" s="10" t="str">
        <f t="shared" si="400"/>
        <v>490_10_50_10_polygon</v>
      </c>
      <c r="B2148" s="2">
        <v>490</v>
      </c>
      <c r="C2148" s="30" t="str">
        <f>VLOOKUP(B2148,gachas!A:C,3)</f>
        <v>カラーピック（ラプンツェル、アルフヘイム）</v>
      </c>
      <c r="D2148" s="21">
        <v>10</v>
      </c>
      <c r="E2148" s="2">
        <f t="shared" si="402"/>
        <v>50</v>
      </c>
      <c r="F2148" s="2">
        <v>10</v>
      </c>
      <c r="G2148" s="3" t="s">
        <v>22</v>
      </c>
      <c r="H2148" s="2">
        <v>50</v>
      </c>
      <c r="I2148" s="117">
        <v>490100</v>
      </c>
      <c r="J2148" s="112" t="s">
        <v>2092</v>
      </c>
      <c r="K2148" s="2">
        <v>490105</v>
      </c>
      <c r="L2148" s="2">
        <v>1</v>
      </c>
      <c r="M2148" s="2" t="s">
        <v>84</v>
      </c>
      <c r="N2148" s="2" t="s">
        <v>84</v>
      </c>
      <c r="O2148" s="2" t="s">
        <v>2095</v>
      </c>
      <c r="P2148" s="2" t="s">
        <v>1781</v>
      </c>
    </row>
    <row r="2149" spans="1:16" ht="22" customHeight="1" x14ac:dyDescent="0.15">
      <c r="A2149" s="10" t="str">
        <f t="shared" si="400"/>
        <v>491_10_1_1_polygon</v>
      </c>
      <c r="B2149" s="2">
        <v>491</v>
      </c>
      <c r="C2149" s="30" t="str">
        <f>VLOOKUP(B2149,gachas!A:C,3)</f>
        <v>クリスマスランキング対抗&lt; ニコラ&gt;</v>
      </c>
      <c r="D2149" s="21">
        <v>10</v>
      </c>
      <c r="E2149" s="2">
        <v>1</v>
      </c>
      <c r="F2149" s="2">
        <v>1</v>
      </c>
      <c r="G2149" s="3" t="s">
        <v>22</v>
      </c>
      <c r="H2149" s="2">
        <v>1</v>
      </c>
      <c r="I2149" s="117" t="str">
        <f t="shared" ref="I2149" si="403">B2149&amp;TEXT(D2149,"00")&amp;E2149</f>
        <v>491101</v>
      </c>
      <c r="J2149" s="112" t="s">
        <v>84</v>
      </c>
      <c r="K2149" s="2" t="s">
        <v>84</v>
      </c>
      <c r="L2149" s="2">
        <v>0</v>
      </c>
      <c r="M2149" s="2" t="s">
        <v>84</v>
      </c>
      <c r="N2149" s="2" t="s">
        <v>84</v>
      </c>
      <c r="O2149" s="2" t="s">
        <v>841</v>
      </c>
      <c r="P2149" s="2" t="s">
        <v>1278</v>
      </c>
    </row>
    <row r="2150" spans="1:16" ht="22" customHeight="1" x14ac:dyDescent="0.15">
      <c r="A2150" s="10" t="str">
        <f t="shared" si="400"/>
        <v>491_10_2_3_polygon</v>
      </c>
      <c r="B2150" s="2">
        <v>491</v>
      </c>
      <c r="C2150" s="30" t="str">
        <f>VLOOKUP(B2150,gachas!A:C,3)</f>
        <v>クリスマスランキング対抗&lt; ニコラ&gt;</v>
      </c>
      <c r="D2150" s="21">
        <v>10</v>
      </c>
      <c r="E2150" s="2">
        <v>2</v>
      </c>
      <c r="F2150" s="2">
        <v>3</v>
      </c>
      <c r="G2150" s="3" t="s">
        <v>22</v>
      </c>
      <c r="H2150" s="2">
        <v>9</v>
      </c>
      <c r="I2150" s="117" t="str">
        <f>I2149</f>
        <v>491101</v>
      </c>
      <c r="J2150" s="112" t="s">
        <v>84</v>
      </c>
      <c r="K2150" s="2" t="s">
        <v>84</v>
      </c>
      <c r="L2150" s="2">
        <v>0</v>
      </c>
      <c r="M2150" s="2" t="s">
        <v>84</v>
      </c>
      <c r="N2150" s="2" t="s">
        <v>84</v>
      </c>
      <c r="O2150" s="2" t="s">
        <v>841</v>
      </c>
      <c r="P2150" s="2" t="s">
        <v>1273</v>
      </c>
    </row>
    <row r="2151" spans="1:16" ht="22" customHeight="1" x14ac:dyDescent="0.15">
      <c r="A2151" s="10" t="str">
        <f t="shared" si="400"/>
        <v>491_10_3_10_polygon</v>
      </c>
      <c r="B2151" s="2">
        <v>491</v>
      </c>
      <c r="C2151" s="30" t="str">
        <f>VLOOKUP(B2151,gachas!A:C,3)</f>
        <v>クリスマスランキング対抗&lt; ニコラ&gt;</v>
      </c>
      <c r="D2151" s="21">
        <v>10</v>
      </c>
      <c r="E2151" s="2">
        <v>3</v>
      </c>
      <c r="F2151" s="2">
        <v>10</v>
      </c>
      <c r="G2151" s="3" t="s">
        <v>22</v>
      </c>
      <c r="H2151" s="2">
        <v>35</v>
      </c>
      <c r="I2151" s="117" t="str">
        <f t="shared" ref="I2151:I2155" si="404">B2151&amp;TEXT(D2151,"00")&amp;E2151</f>
        <v>491103</v>
      </c>
      <c r="J2151" s="112" t="s">
        <v>84</v>
      </c>
      <c r="K2151" s="2">
        <v>491103</v>
      </c>
      <c r="L2151" s="2">
        <v>1</v>
      </c>
      <c r="M2151" s="2" t="s">
        <v>84</v>
      </c>
      <c r="N2151" s="2" t="s">
        <v>84</v>
      </c>
      <c r="O2151" s="2" t="s">
        <v>841</v>
      </c>
      <c r="P2151" s="2" t="s">
        <v>2315</v>
      </c>
    </row>
    <row r="2152" spans="1:16" ht="22" customHeight="1" x14ac:dyDescent="0.15">
      <c r="A2152" s="10" t="str">
        <f t="shared" si="400"/>
        <v>491_10_4_10_polygon</v>
      </c>
      <c r="B2152" s="2">
        <v>491</v>
      </c>
      <c r="C2152" s="30" t="str">
        <f>VLOOKUP(B2152,gachas!A:C,3)</f>
        <v>クリスマスランキング対抗&lt; ニコラ&gt;</v>
      </c>
      <c r="D2152" s="21">
        <v>10</v>
      </c>
      <c r="E2152" s="2">
        <v>4</v>
      </c>
      <c r="F2152" s="2">
        <v>10</v>
      </c>
      <c r="G2152" s="3" t="s">
        <v>22</v>
      </c>
      <c r="H2152" s="2">
        <v>50</v>
      </c>
      <c r="I2152" s="117" t="str">
        <f t="shared" si="404"/>
        <v>491104</v>
      </c>
      <c r="J2152" s="128" t="str">
        <f>I2152</f>
        <v>491104</v>
      </c>
      <c r="K2152" s="2" t="s">
        <v>84</v>
      </c>
      <c r="L2152" s="2">
        <v>0</v>
      </c>
      <c r="M2152" s="2" t="s">
        <v>84</v>
      </c>
      <c r="N2152" s="2" t="s">
        <v>84</v>
      </c>
      <c r="O2152" s="2" t="s">
        <v>841</v>
      </c>
      <c r="P2152" s="2" t="s">
        <v>2316</v>
      </c>
    </row>
    <row r="2153" spans="1:16" ht="22" customHeight="1" x14ac:dyDescent="0.15">
      <c r="A2153" s="10" t="str">
        <f t="shared" si="400"/>
        <v>491_10_5_10_polygon</v>
      </c>
      <c r="B2153" s="2">
        <v>491</v>
      </c>
      <c r="C2153" s="30" t="str">
        <f>VLOOKUP(B2153,gachas!A:C,3)</f>
        <v>クリスマスランキング対抗&lt; ニコラ&gt;</v>
      </c>
      <c r="D2153" s="21">
        <v>10</v>
      </c>
      <c r="E2153" s="2">
        <v>5</v>
      </c>
      <c r="F2153" s="2">
        <v>10</v>
      </c>
      <c r="G2153" s="3" t="s">
        <v>22</v>
      </c>
      <c r="H2153" s="2">
        <v>50</v>
      </c>
      <c r="I2153" s="117" t="str">
        <f t="shared" si="404"/>
        <v>491105</v>
      </c>
      <c r="J2153" s="128" t="str">
        <f>I2153</f>
        <v>491105</v>
      </c>
      <c r="K2153" s="2" t="s">
        <v>84</v>
      </c>
      <c r="L2153" s="2">
        <v>0</v>
      </c>
      <c r="M2153" s="2" t="s">
        <v>84</v>
      </c>
      <c r="N2153" s="2" t="s">
        <v>84</v>
      </c>
      <c r="O2153" s="2" t="s">
        <v>841</v>
      </c>
      <c r="P2153" s="2" t="s">
        <v>2317</v>
      </c>
    </row>
    <row r="2154" spans="1:16" ht="22" customHeight="1" x14ac:dyDescent="0.15">
      <c r="A2154" s="10" t="str">
        <f t="shared" si="400"/>
        <v>491_10_6_10_polygon</v>
      </c>
      <c r="B2154" s="2">
        <v>491</v>
      </c>
      <c r="C2154" s="30" t="str">
        <f>VLOOKUP(B2154,gachas!A:C,3)</f>
        <v>クリスマスランキング対抗&lt; ニコラ&gt;</v>
      </c>
      <c r="D2154" s="21">
        <v>10</v>
      </c>
      <c r="E2154" s="2">
        <v>6</v>
      </c>
      <c r="F2154" s="2">
        <v>10</v>
      </c>
      <c r="G2154" s="3" t="s">
        <v>22</v>
      </c>
      <c r="H2154" s="2">
        <v>50</v>
      </c>
      <c r="I2154" s="117" t="str">
        <f t="shared" si="404"/>
        <v>491106</v>
      </c>
      <c r="J2154" s="112" t="s">
        <v>84</v>
      </c>
      <c r="K2154" s="2" t="s">
        <v>84</v>
      </c>
      <c r="L2154" s="2">
        <v>0</v>
      </c>
      <c r="M2154" s="2" t="s">
        <v>84</v>
      </c>
      <c r="N2154" s="2" t="s">
        <v>84</v>
      </c>
      <c r="O2154" s="2" t="s">
        <v>841</v>
      </c>
      <c r="P2154" s="2" t="s">
        <v>2318</v>
      </c>
    </row>
    <row r="2155" spans="1:16" ht="22" customHeight="1" x14ac:dyDescent="0.15">
      <c r="A2155" s="10" t="str">
        <f t="shared" ref="A2155:A2156" si="405">B2155&amp;"_"&amp;D2155&amp;"_"&amp;E2155&amp;"_"&amp;F2155&amp;"_"&amp;G2155</f>
        <v>491_10_7_10_polygon</v>
      </c>
      <c r="B2155" s="2">
        <v>491</v>
      </c>
      <c r="C2155" s="30" t="str">
        <f>VLOOKUP(B2155,gachas!A:C,3)</f>
        <v>クリスマスランキング対抗&lt; ニコラ&gt;</v>
      </c>
      <c r="D2155" s="21">
        <v>10</v>
      </c>
      <c r="E2155" s="2">
        <v>7</v>
      </c>
      <c r="F2155" s="2">
        <v>10</v>
      </c>
      <c r="G2155" s="3" t="s">
        <v>22</v>
      </c>
      <c r="H2155" s="2">
        <v>50</v>
      </c>
      <c r="I2155" s="117" t="str">
        <f t="shared" si="404"/>
        <v>491107</v>
      </c>
      <c r="J2155" s="112" t="s">
        <v>84</v>
      </c>
      <c r="K2155" s="2" t="s">
        <v>84</v>
      </c>
      <c r="L2155" s="2">
        <v>0</v>
      </c>
      <c r="M2155" s="2" t="s">
        <v>84</v>
      </c>
      <c r="N2155" s="2" t="s">
        <v>84</v>
      </c>
      <c r="O2155" s="2" t="s">
        <v>841</v>
      </c>
      <c r="P2155" s="2" t="s">
        <v>2319</v>
      </c>
    </row>
    <row r="2156" spans="1:16" ht="22" customHeight="1" x14ac:dyDescent="0.15">
      <c r="A2156" s="10" t="str">
        <f t="shared" si="405"/>
        <v>491_10_8_10_polygon</v>
      </c>
      <c r="B2156" s="2">
        <v>491</v>
      </c>
      <c r="C2156" s="30" t="str">
        <f>VLOOKUP(B2156,gachas!A:C,3)</f>
        <v>クリスマスランキング対抗&lt; ニコラ&gt;</v>
      </c>
      <c r="D2156" s="21">
        <v>10</v>
      </c>
      <c r="E2156" s="2">
        <v>8</v>
      </c>
      <c r="F2156" s="2">
        <v>10</v>
      </c>
      <c r="G2156" s="3" t="s">
        <v>22</v>
      </c>
      <c r="H2156" s="2">
        <v>50</v>
      </c>
      <c r="I2156" s="117">
        <v>491100</v>
      </c>
      <c r="J2156" s="112" t="s">
        <v>84</v>
      </c>
      <c r="K2156" s="2" t="s">
        <v>84</v>
      </c>
      <c r="L2156" s="2">
        <v>0</v>
      </c>
      <c r="M2156" s="2" t="s">
        <v>84</v>
      </c>
      <c r="N2156" s="2" t="s">
        <v>84</v>
      </c>
      <c r="O2156" s="2" t="s">
        <v>841</v>
      </c>
      <c r="P2156" s="2" t="s">
        <v>2320</v>
      </c>
    </row>
    <row r="2157" spans="1:16" ht="22" customHeight="1" x14ac:dyDescent="0.15">
      <c r="A2157" s="10" t="str">
        <f t="shared" si="400"/>
        <v>491_10_0_10_polygon</v>
      </c>
      <c r="B2157" s="2">
        <v>491</v>
      </c>
      <c r="C2157" s="30" t="str">
        <f>VLOOKUP(B2157,gachas!A:C,3)</f>
        <v>クリスマスランキング対抗&lt; ニコラ&gt;</v>
      </c>
      <c r="D2157" s="21">
        <v>10</v>
      </c>
      <c r="E2157" s="2">
        <v>0</v>
      </c>
      <c r="F2157" s="2">
        <v>10</v>
      </c>
      <c r="G2157" s="3" t="s">
        <v>22</v>
      </c>
      <c r="H2157" s="2">
        <v>50</v>
      </c>
      <c r="I2157" s="117" t="str">
        <f t="shared" ref="I2157:I2159" si="406">B2157&amp;TEXT(D2157,"00")&amp;E2157</f>
        <v>491100</v>
      </c>
      <c r="J2157" s="112" t="s">
        <v>84</v>
      </c>
      <c r="K2157" s="2" t="s">
        <v>84</v>
      </c>
      <c r="L2157" s="2">
        <v>0</v>
      </c>
      <c r="M2157" s="2" t="s">
        <v>84</v>
      </c>
      <c r="N2157" s="2" t="s">
        <v>84</v>
      </c>
      <c r="O2157" s="2" t="s">
        <v>841</v>
      </c>
      <c r="P2157" s="2" t="s">
        <v>2321</v>
      </c>
    </row>
    <row r="2158" spans="1:16" ht="22" customHeight="1" x14ac:dyDescent="0.15">
      <c r="A2158" s="10" t="str">
        <f t="shared" si="400"/>
        <v>492_1_0_1_polygon</v>
      </c>
      <c r="B2158" s="2">
        <v>492</v>
      </c>
      <c r="C2158" s="30" t="str">
        <f>VLOOKUP(B2158,gachas!A:C,3)</f>
        <v>R6解放ピックアップ&lt;ユミル、ライオン&gt;</v>
      </c>
      <c r="D2158" s="21">
        <v>1</v>
      </c>
      <c r="E2158" s="2">
        <v>0</v>
      </c>
      <c r="F2158" s="2">
        <v>1</v>
      </c>
      <c r="G2158" s="3" t="s">
        <v>22</v>
      </c>
      <c r="H2158" s="2">
        <v>5</v>
      </c>
      <c r="I2158" s="117" t="str">
        <f t="shared" si="406"/>
        <v>492010</v>
      </c>
      <c r="J2158" s="112" t="s">
        <v>84</v>
      </c>
      <c r="K2158" s="2" t="s">
        <v>84</v>
      </c>
      <c r="L2158" s="2">
        <v>0</v>
      </c>
      <c r="M2158" s="2" t="s">
        <v>84</v>
      </c>
      <c r="N2158" s="2" t="s">
        <v>84</v>
      </c>
      <c r="O2158" s="2" t="s">
        <v>841</v>
      </c>
      <c r="P2158" s="18" t="s">
        <v>84</v>
      </c>
    </row>
    <row r="2159" spans="1:16" ht="22" customHeight="1" x14ac:dyDescent="0.15">
      <c r="A2159" s="10" t="str">
        <f t="shared" si="400"/>
        <v>492_10_0_10_polygon</v>
      </c>
      <c r="B2159" s="2">
        <v>492</v>
      </c>
      <c r="C2159" s="30" t="str">
        <f>VLOOKUP(B2159,gachas!A:C,3)</f>
        <v>R6解放ピックアップ&lt;ユミル、ライオン&gt;</v>
      </c>
      <c r="D2159" s="21">
        <v>10</v>
      </c>
      <c r="E2159" s="2">
        <v>0</v>
      </c>
      <c r="F2159" s="2">
        <v>10</v>
      </c>
      <c r="G2159" s="3" t="s">
        <v>22</v>
      </c>
      <c r="H2159" s="2">
        <v>50</v>
      </c>
      <c r="I2159" s="117" t="str">
        <f t="shared" si="406"/>
        <v>492100</v>
      </c>
      <c r="J2159" s="112" t="s">
        <v>84</v>
      </c>
      <c r="K2159" s="2" t="s">
        <v>84</v>
      </c>
      <c r="L2159" s="2">
        <v>0</v>
      </c>
      <c r="M2159" s="2" t="s">
        <v>84</v>
      </c>
      <c r="N2159" s="2" t="s">
        <v>84</v>
      </c>
      <c r="O2159" s="2" t="s">
        <v>841</v>
      </c>
      <c r="P2159" s="2" t="s">
        <v>143</v>
      </c>
    </row>
    <row r="2160" spans="1:16" ht="22" customHeight="1" x14ac:dyDescent="0.15">
      <c r="A2160" s="10" t="str">
        <f t="shared" si="400"/>
        <v>492_10_1_10_polygon</v>
      </c>
      <c r="B2160" s="2">
        <v>492</v>
      </c>
      <c r="C2160" s="30" t="str">
        <f>VLOOKUP(B2160,gachas!A:C,3)</f>
        <v>R6解放ピックアップ&lt;ユミル、ライオン&gt;</v>
      </c>
      <c r="D2160" s="21">
        <v>10</v>
      </c>
      <c r="E2160" s="2">
        <f>E2159+1</f>
        <v>1</v>
      </c>
      <c r="F2160" s="2">
        <v>10</v>
      </c>
      <c r="G2160" s="3" t="s">
        <v>22</v>
      </c>
      <c r="H2160" s="2">
        <v>25</v>
      </c>
      <c r="I2160" s="117">
        <v>492100</v>
      </c>
      <c r="J2160" s="112" t="s">
        <v>84</v>
      </c>
      <c r="K2160" s="2" t="s">
        <v>84</v>
      </c>
      <c r="L2160" s="2">
        <v>0</v>
      </c>
      <c r="M2160" s="2" t="s">
        <v>84</v>
      </c>
      <c r="N2160" s="2" t="s">
        <v>84</v>
      </c>
      <c r="O2160" s="2" t="s">
        <v>841</v>
      </c>
      <c r="P2160" s="59" t="s">
        <v>1783</v>
      </c>
    </row>
    <row r="2161" spans="1:16" ht="22" customHeight="1" x14ac:dyDescent="0.15">
      <c r="A2161" s="10" t="str">
        <f t="shared" si="400"/>
        <v>492_10_2_10_polygon</v>
      </c>
      <c r="B2161" s="2">
        <v>492</v>
      </c>
      <c r="C2161" s="30" t="str">
        <f>VLOOKUP(B2161,gachas!A:C,3)</f>
        <v>R6解放ピックアップ&lt;ユミル、ライオン&gt;</v>
      </c>
      <c r="D2161" s="21">
        <v>10</v>
      </c>
      <c r="E2161" s="2">
        <f t="shared" ref="E2161:E2209" si="407">E2160+1</f>
        <v>2</v>
      </c>
      <c r="F2161" s="2">
        <v>10</v>
      </c>
      <c r="G2161" s="3" t="s">
        <v>22</v>
      </c>
      <c r="H2161" s="2">
        <v>50</v>
      </c>
      <c r="I2161" s="117">
        <v>492100</v>
      </c>
      <c r="J2161" s="112" t="s">
        <v>84</v>
      </c>
      <c r="K2161" s="2" t="s">
        <v>84</v>
      </c>
      <c r="L2161" s="2">
        <v>0</v>
      </c>
      <c r="M2161" s="2" t="s">
        <v>84</v>
      </c>
      <c r="N2161" s="2" t="s">
        <v>84</v>
      </c>
      <c r="O2161" s="2" t="s">
        <v>841</v>
      </c>
      <c r="P2161" s="2" t="s">
        <v>143</v>
      </c>
    </row>
    <row r="2162" spans="1:16" ht="22" customHeight="1" x14ac:dyDescent="0.15">
      <c r="A2162" s="10" t="str">
        <f t="shared" si="400"/>
        <v>492_10_3_10_polygon</v>
      </c>
      <c r="B2162" s="2">
        <v>492</v>
      </c>
      <c r="C2162" s="30" t="str">
        <f>VLOOKUP(B2162,gachas!A:C,3)</f>
        <v>R6解放ピックアップ&lt;ユミル、ライオン&gt;</v>
      </c>
      <c r="D2162" s="21">
        <v>10</v>
      </c>
      <c r="E2162" s="2">
        <f t="shared" si="407"/>
        <v>3</v>
      </c>
      <c r="F2162" s="2">
        <v>10</v>
      </c>
      <c r="G2162" s="3" t="s">
        <v>22</v>
      </c>
      <c r="H2162" s="2">
        <v>50</v>
      </c>
      <c r="I2162" s="117">
        <v>492100</v>
      </c>
      <c r="J2162" s="112" t="s">
        <v>84</v>
      </c>
      <c r="K2162" s="2" t="s">
        <v>84</v>
      </c>
      <c r="L2162" s="2">
        <v>0</v>
      </c>
      <c r="M2162" s="2" t="s">
        <v>84</v>
      </c>
      <c r="N2162" s="2" t="s">
        <v>84</v>
      </c>
      <c r="O2162" s="2" t="s">
        <v>841</v>
      </c>
      <c r="P2162" s="2" t="s">
        <v>143</v>
      </c>
    </row>
    <row r="2163" spans="1:16" ht="22" customHeight="1" x14ac:dyDescent="0.15">
      <c r="A2163" s="10" t="str">
        <f t="shared" si="400"/>
        <v>492_10_4_10_polygon</v>
      </c>
      <c r="B2163" s="2">
        <v>492</v>
      </c>
      <c r="C2163" s="30" t="str">
        <f>VLOOKUP(B2163,gachas!A:C,3)</f>
        <v>R6解放ピックアップ&lt;ユミル、ライオン&gt;</v>
      </c>
      <c r="D2163" s="21">
        <v>10</v>
      </c>
      <c r="E2163" s="2">
        <f t="shared" si="407"/>
        <v>4</v>
      </c>
      <c r="F2163" s="2">
        <v>10</v>
      </c>
      <c r="G2163" s="3" t="s">
        <v>22</v>
      </c>
      <c r="H2163" s="2">
        <v>50</v>
      </c>
      <c r="I2163" s="117">
        <v>492100</v>
      </c>
      <c r="J2163" s="112" t="s">
        <v>84</v>
      </c>
      <c r="K2163" s="2" t="s">
        <v>84</v>
      </c>
      <c r="L2163" s="2">
        <v>0</v>
      </c>
      <c r="M2163" s="2" t="s">
        <v>84</v>
      </c>
      <c r="N2163" s="2" t="s">
        <v>84</v>
      </c>
      <c r="O2163" s="2" t="s">
        <v>841</v>
      </c>
      <c r="P2163" s="2" t="s">
        <v>143</v>
      </c>
    </row>
    <row r="2164" spans="1:16" ht="22" customHeight="1" x14ac:dyDescent="0.15">
      <c r="A2164" s="10" t="str">
        <f t="shared" si="400"/>
        <v>492_10_5_10_polygon</v>
      </c>
      <c r="B2164" s="2">
        <v>492</v>
      </c>
      <c r="C2164" s="30" t="str">
        <f>VLOOKUP(B2164,gachas!A:C,3)</f>
        <v>R6解放ピックアップ&lt;ユミル、ライオン&gt;</v>
      </c>
      <c r="D2164" s="21">
        <v>10</v>
      </c>
      <c r="E2164" s="2">
        <f t="shared" si="407"/>
        <v>5</v>
      </c>
      <c r="F2164" s="2">
        <v>10</v>
      </c>
      <c r="G2164" s="3" t="s">
        <v>22</v>
      </c>
      <c r="H2164" s="2">
        <v>50</v>
      </c>
      <c r="I2164" s="117">
        <v>492100</v>
      </c>
      <c r="J2164" s="112" t="s">
        <v>84</v>
      </c>
      <c r="K2164" s="2">
        <v>492105</v>
      </c>
      <c r="L2164" s="2">
        <v>1</v>
      </c>
      <c r="M2164" s="2" t="s">
        <v>84</v>
      </c>
      <c r="N2164" s="2" t="s">
        <v>84</v>
      </c>
      <c r="O2164" s="2" t="s">
        <v>841</v>
      </c>
      <c r="P2164" s="2" t="s">
        <v>1781</v>
      </c>
    </row>
    <row r="2165" spans="1:16" ht="22" customHeight="1" x14ac:dyDescent="0.15">
      <c r="A2165" s="10" t="str">
        <f t="shared" si="400"/>
        <v>492_10_6_10_polygon</v>
      </c>
      <c r="B2165" s="2">
        <v>492</v>
      </c>
      <c r="C2165" s="30" t="str">
        <f>VLOOKUP(B2165,gachas!A:C,3)</f>
        <v>R6解放ピックアップ&lt;ユミル、ライオン&gt;</v>
      </c>
      <c r="D2165" s="21">
        <v>10</v>
      </c>
      <c r="E2165" s="2">
        <f t="shared" si="407"/>
        <v>6</v>
      </c>
      <c r="F2165" s="2">
        <v>10</v>
      </c>
      <c r="G2165" s="3" t="s">
        <v>22</v>
      </c>
      <c r="H2165" s="2">
        <v>25</v>
      </c>
      <c r="I2165" s="117">
        <v>492100</v>
      </c>
      <c r="J2165" s="112" t="s">
        <v>84</v>
      </c>
      <c r="K2165" s="2" t="s">
        <v>84</v>
      </c>
      <c r="L2165" s="2">
        <v>0</v>
      </c>
      <c r="M2165" s="2" t="s">
        <v>84</v>
      </c>
      <c r="N2165" s="2" t="s">
        <v>84</v>
      </c>
      <c r="O2165" s="2" t="s">
        <v>841</v>
      </c>
      <c r="P2165" s="59" t="s">
        <v>1783</v>
      </c>
    </row>
    <row r="2166" spans="1:16" ht="22" customHeight="1" x14ac:dyDescent="0.15">
      <c r="A2166" s="10" t="str">
        <f t="shared" si="400"/>
        <v>492_10_7_10_polygon</v>
      </c>
      <c r="B2166" s="2">
        <v>492</v>
      </c>
      <c r="C2166" s="30" t="str">
        <f>VLOOKUP(B2166,gachas!A:C,3)</f>
        <v>R6解放ピックアップ&lt;ユミル、ライオン&gt;</v>
      </c>
      <c r="D2166" s="21">
        <v>10</v>
      </c>
      <c r="E2166" s="2">
        <f t="shared" si="407"/>
        <v>7</v>
      </c>
      <c r="F2166" s="2">
        <v>10</v>
      </c>
      <c r="G2166" s="3" t="s">
        <v>22</v>
      </c>
      <c r="H2166" s="2">
        <v>50</v>
      </c>
      <c r="I2166" s="117">
        <v>492100</v>
      </c>
      <c r="J2166" s="112" t="s">
        <v>84</v>
      </c>
      <c r="K2166" s="2" t="s">
        <v>84</v>
      </c>
      <c r="L2166" s="2">
        <v>0</v>
      </c>
      <c r="M2166" s="2" t="s">
        <v>84</v>
      </c>
      <c r="N2166" s="2" t="s">
        <v>84</v>
      </c>
      <c r="O2166" s="2" t="s">
        <v>841</v>
      </c>
      <c r="P2166" s="2" t="s">
        <v>143</v>
      </c>
    </row>
    <row r="2167" spans="1:16" ht="22" customHeight="1" x14ac:dyDescent="0.15">
      <c r="A2167" s="10" t="str">
        <f t="shared" si="400"/>
        <v>492_10_8_10_polygon</v>
      </c>
      <c r="B2167" s="2">
        <v>492</v>
      </c>
      <c r="C2167" s="30" t="str">
        <f>VLOOKUP(B2167,gachas!A:C,3)</f>
        <v>R6解放ピックアップ&lt;ユミル、ライオン&gt;</v>
      </c>
      <c r="D2167" s="21">
        <v>10</v>
      </c>
      <c r="E2167" s="2">
        <f t="shared" si="407"/>
        <v>8</v>
      </c>
      <c r="F2167" s="2">
        <v>10</v>
      </c>
      <c r="G2167" s="3" t="s">
        <v>22</v>
      </c>
      <c r="H2167" s="2">
        <v>50</v>
      </c>
      <c r="I2167" s="117">
        <v>492100</v>
      </c>
      <c r="J2167" s="112" t="s">
        <v>84</v>
      </c>
      <c r="K2167" s="2" t="s">
        <v>84</v>
      </c>
      <c r="L2167" s="2">
        <v>0</v>
      </c>
      <c r="M2167" s="2" t="s">
        <v>84</v>
      </c>
      <c r="N2167" s="2" t="s">
        <v>84</v>
      </c>
      <c r="O2167" s="2" t="s">
        <v>841</v>
      </c>
      <c r="P2167" s="2" t="s">
        <v>143</v>
      </c>
    </row>
    <row r="2168" spans="1:16" ht="22" customHeight="1" x14ac:dyDescent="0.15">
      <c r="A2168" s="10" t="str">
        <f t="shared" si="400"/>
        <v>492_10_9_10_polygon</v>
      </c>
      <c r="B2168" s="2">
        <v>492</v>
      </c>
      <c r="C2168" s="30" t="str">
        <f>VLOOKUP(B2168,gachas!A:C,3)</f>
        <v>R6解放ピックアップ&lt;ユミル、ライオン&gt;</v>
      </c>
      <c r="D2168" s="21">
        <v>10</v>
      </c>
      <c r="E2168" s="2">
        <f t="shared" si="407"/>
        <v>9</v>
      </c>
      <c r="F2168" s="2">
        <v>10</v>
      </c>
      <c r="G2168" s="3" t="s">
        <v>22</v>
      </c>
      <c r="H2168" s="2">
        <v>50</v>
      </c>
      <c r="I2168" s="117">
        <v>492100</v>
      </c>
      <c r="J2168" s="112" t="s">
        <v>84</v>
      </c>
      <c r="K2168" s="2" t="s">
        <v>84</v>
      </c>
      <c r="L2168" s="2">
        <v>0</v>
      </c>
      <c r="M2168" s="2" t="s">
        <v>84</v>
      </c>
      <c r="N2168" s="2" t="s">
        <v>84</v>
      </c>
      <c r="O2168" s="2" t="s">
        <v>841</v>
      </c>
      <c r="P2168" s="2" t="s">
        <v>143</v>
      </c>
    </row>
    <row r="2169" spans="1:16" ht="22" customHeight="1" x14ac:dyDescent="0.15">
      <c r="A2169" s="10" t="str">
        <f t="shared" si="400"/>
        <v>492_10_10_10_polygon</v>
      </c>
      <c r="B2169" s="2">
        <v>492</v>
      </c>
      <c r="C2169" s="30" t="str">
        <f>VLOOKUP(B2169,gachas!A:C,3)</f>
        <v>R6解放ピックアップ&lt;ユミル、ライオン&gt;</v>
      </c>
      <c r="D2169" s="21">
        <v>10</v>
      </c>
      <c r="E2169" s="2">
        <f t="shared" si="407"/>
        <v>10</v>
      </c>
      <c r="F2169" s="2">
        <v>10</v>
      </c>
      <c r="G2169" s="3" t="s">
        <v>22</v>
      </c>
      <c r="H2169" s="2">
        <v>50</v>
      </c>
      <c r="I2169" s="117">
        <v>492100</v>
      </c>
      <c r="J2169" s="112" t="s">
        <v>84</v>
      </c>
      <c r="K2169" s="2">
        <v>492105</v>
      </c>
      <c r="L2169" s="2">
        <v>1</v>
      </c>
      <c r="M2169" s="2" t="s">
        <v>84</v>
      </c>
      <c r="N2169" s="2" t="s">
        <v>84</v>
      </c>
      <c r="O2169" s="2" t="s">
        <v>841</v>
      </c>
      <c r="P2169" s="2" t="s">
        <v>1781</v>
      </c>
    </row>
    <row r="2170" spans="1:16" ht="22" customHeight="1" x14ac:dyDescent="0.15">
      <c r="A2170" s="10" t="str">
        <f t="shared" si="400"/>
        <v>492_10_11_10_polygon</v>
      </c>
      <c r="B2170" s="2">
        <v>492</v>
      </c>
      <c r="C2170" s="30" t="str">
        <f>VLOOKUP(B2170,gachas!A:C,3)</f>
        <v>R6解放ピックアップ&lt;ユミル、ライオン&gt;</v>
      </c>
      <c r="D2170" s="21">
        <v>10</v>
      </c>
      <c r="E2170" s="2">
        <f t="shared" si="407"/>
        <v>11</v>
      </c>
      <c r="F2170" s="2">
        <v>10</v>
      </c>
      <c r="G2170" s="3" t="s">
        <v>22</v>
      </c>
      <c r="H2170" s="2">
        <v>25</v>
      </c>
      <c r="I2170" s="117">
        <v>492100</v>
      </c>
      <c r="J2170" s="112" t="s">
        <v>84</v>
      </c>
      <c r="K2170" s="2" t="s">
        <v>84</v>
      </c>
      <c r="L2170" s="2">
        <v>0</v>
      </c>
      <c r="M2170" s="2" t="s">
        <v>84</v>
      </c>
      <c r="N2170" s="2" t="s">
        <v>84</v>
      </c>
      <c r="O2170" s="2" t="s">
        <v>841</v>
      </c>
      <c r="P2170" s="59" t="s">
        <v>1783</v>
      </c>
    </row>
    <row r="2171" spans="1:16" ht="22" customHeight="1" x14ac:dyDescent="0.15">
      <c r="A2171" s="10" t="str">
        <f t="shared" si="400"/>
        <v>492_10_12_10_polygon</v>
      </c>
      <c r="B2171" s="2">
        <v>492</v>
      </c>
      <c r="C2171" s="30" t="str">
        <f>VLOOKUP(B2171,gachas!A:C,3)</f>
        <v>R6解放ピックアップ&lt;ユミル、ライオン&gt;</v>
      </c>
      <c r="D2171" s="21">
        <v>10</v>
      </c>
      <c r="E2171" s="2">
        <f t="shared" si="407"/>
        <v>12</v>
      </c>
      <c r="F2171" s="2">
        <v>10</v>
      </c>
      <c r="G2171" s="3" t="s">
        <v>22</v>
      </c>
      <c r="H2171" s="2">
        <v>50</v>
      </c>
      <c r="I2171" s="117">
        <v>492100</v>
      </c>
      <c r="J2171" s="112" t="s">
        <v>84</v>
      </c>
      <c r="K2171" s="2" t="s">
        <v>84</v>
      </c>
      <c r="L2171" s="2">
        <v>0</v>
      </c>
      <c r="M2171" s="2" t="s">
        <v>84</v>
      </c>
      <c r="N2171" s="2" t="s">
        <v>84</v>
      </c>
      <c r="O2171" s="2" t="s">
        <v>841</v>
      </c>
      <c r="P2171" s="2" t="s">
        <v>143</v>
      </c>
    </row>
    <row r="2172" spans="1:16" ht="22" customHeight="1" x14ac:dyDescent="0.15">
      <c r="A2172" s="10" t="str">
        <f t="shared" si="400"/>
        <v>492_10_13_10_polygon</v>
      </c>
      <c r="B2172" s="2">
        <v>492</v>
      </c>
      <c r="C2172" s="30" t="str">
        <f>VLOOKUP(B2172,gachas!A:C,3)</f>
        <v>R6解放ピックアップ&lt;ユミル、ライオン&gt;</v>
      </c>
      <c r="D2172" s="21">
        <v>10</v>
      </c>
      <c r="E2172" s="2">
        <f t="shared" si="407"/>
        <v>13</v>
      </c>
      <c r="F2172" s="2">
        <v>10</v>
      </c>
      <c r="G2172" s="3" t="s">
        <v>22</v>
      </c>
      <c r="H2172" s="2">
        <v>50</v>
      </c>
      <c r="I2172" s="117">
        <v>492100</v>
      </c>
      <c r="J2172" s="112" t="s">
        <v>84</v>
      </c>
      <c r="K2172" s="2" t="s">
        <v>84</v>
      </c>
      <c r="L2172" s="2">
        <v>0</v>
      </c>
      <c r="M2172" s="2" t="s">
        <v>84</v>
      </c>
      <c r="N2172" s="2" t="s">
        <v>84</v>
      </c>
      <c r="O2172" s="2" t="s">
        <v>841</v>
      </c>
      <c r="P2172" s="2" t="s">
        <v>143</v>
      </c>
    </row>
    <row r="2173" spans="1:16" ht="22" customHeight="1" x14ac:dyDescent="0.15">
      <c r="A2173" s="10" t="str">
        <f t="shared" si="400"/>
        <v>492_10_14_10_polygon</v>
      </c>
      <c r="B2173" s="2">
        <v>492</v>
      </c>
      <c r="C2173" s="30" t="str">
        <f>VLOOKUP(B2173,gachas!A:C,3)</f>
        <v>R6解放ピックアップ&lt;ユミル、ライオン&gt;</v>
      </c>
      <c r="D2173" s="21">
        <v>10</v>
      </c>
      <c r="E2173" s="2">
        <f t="shared" si="407"/>
        <v>14</v>
      </c>
      <c r="F2173" s="2">
        <v>10</v>
      </c>
      <c r="G2173" s="3" t="s">
        <v>22</v>
      </c>
      <c r="H2173" s="2">
        <v>50</v>
      </c>
      <c r="I2173" s="117">
        <v>492100</v>
      </c>
      <c r="J2173" s="112" t="s">
        <v>84</v>
      </c>
      <c r="K2173" s="2" t="s">
        <v>84</v>
      </c>
      <c r="L2173" s="2">
        <v>0</v>
      </c>
      <c r="M2173" s="2" t="s">
        <v>84</v>
      </c>
      <c r="N2173" s="2" t="s">
        <v>84</v>
      </c>
      <c r="O2173" s="2" t="s">
        <v>841</v>
      </c>
      <c r="P2173" s="2" t="s">
        <v>143</v>
      </c>
    </row>
    <row r="2174" spans="1:16" ht="22" customHeight="1" x14ac:dyDescent="0.15">
      <c r="A2174" s="10" t="str">
        <f t="shared" si="400"/>
        <v>492_10_15_10_polygon</v>
      </c>
      <c r="B2174" s="2">
        <v>492</v>
      </c>
      <c r="C2174" s="30" t="str">
        <f>VLOOKUP(B2174,gachas!A:C,3)</f>
        <v>R6解放ピックアップ&lt;ユミル、ライオン&gt;</v>
      </c>
      <c r="D2174" s="21">
        <v>10</v>
      </c>
      <c r="E2174" s="2">
        <f t="shared" si="407"/>
        <v>15</v>
      </c>
      <c r="F2174" s="2">
        <v>10</v>
      </c>
      <c r="G2174" s="3" t="s">
        <v>22</v>
      </c>
      <c r="H2174" s="2">
        <v>50</v>
      </c>
      <c r="I2174" s="117">
        <v>492100</v>
      </c>
      <c r="J2174" s="112" t="s">
        <v>84</v>
      </c>
      <c r="K2174" s="2">
        <v>492105</v>
      </c>
      <c r="L2174" s="2">
        <v>1</v>
      </c>
      <c r="M2174" s="2" t="s">
        <v>84</v>
      </c>
      <c r="N2174" s="2" t="s">
        <v>84</v>
      </c>
      <c r="O2174" s="2" t="s">
        <v>841</v>
      </c>
      <c r="P2174" s="2" t="s">
        <v>1781</v>
      </c>
    </row>
    <row r="2175" spans="1:16" ht="22" customHeight="1" x14ac:dyDescent="0.15">
      <c r="A2175" s="10" t="str">
        <f t="shared" si="400"/>
        <v>492_10_16_10_polygon</v>
      </c>
      <c r="B2175" s="2">
        <v>492</v>
      </c>
      <c r="C2175" s="30" t="str">
        <f>VLOOKUP(B2175,gachas!A:C,3)</f>
        <v>R6解放ピックアップ&lt;ユミル、ライオン&gt;</v>
      </c>
      <c r="D2175" s="21">
        <v>10</v>
      </c>
      <c r="E2175" s="2">
        <f t="shared" si="407"/>
        <v>16</v>
      </c>
      <c r="F2175" s="2">
        <v>10</v>
      </c>
      <c r="G2175" s="3" t="s">
        <v>22</v>
      </c>
      <c r="H2175" s="2">
        <v>25</v>
      </c>
      <c r="I2175" s="117">
        <v>492100</v>
      </c>
      <c r="J2175" s="112" t="s">
        <v>84</v>
      </c>
      <c r="K2175" s="2" t="s">
        <v>84</v>
      </c>
      <c r="L2175" s="2">
        <v>0</v>
      </c>
      <c r="M2175" s="2" t="s">
        <v>84</v>
      </c>
      <c r="N2175" s="2" t="s">
        <v>84</v>
      </c>
      <c r="O2175" s="2" t="s">
        <v>841</v>
      </c>
      <c r="P2175" s="59" t="s">
        <v>1783</v>
      </c>
    </row>
    <row r="2176" spans="1:16" ht="22" customHeight="1" x14ac:dyDescent="0.15">
      <c r="A2176" s="10" t="str">
        <f t="shared" si="400"/>
        <v>492_10_17_10_polygon</v>
      </c>
      <c r="B2176" s="2">
        <v>492</v>
      </c>
      <c r="C2176" s="30" t="str">
        <f>VLOOKUP(B2176,gachas!A:C,3)</f>
        <v>R6解放ピックアップ&lt;ユミル、ライオン&gt;</v>
      </c>
      <c r="D2176" s="21">
        <v>10</v>
      </c>
      <c r="E2176" s="2">
        <f t="shared" si="407"/>
        <v>17</v>
      </c>
      <c r="F2176" s="2">
        <v>10</v>
      </c>
      <c r="G2176" s="3" t="s">
        <v>22</v>
      </c>
      <c r="H2176" s="2">
        <v>50</v>
      </c>
      <c r="I2176" s="117">
        <v>492100</v>
      </c>
      <c r="J2176" s="112" t="s">
        <v>84</v>
      </c>
      <c r="K2176" s="2" t="s">
        <v>84</v>
      </c>
      <c r="L2176" s="2">
        <v>0</v>
      </c>
      <c r="M2176" s="2" t="s">
        <v>84</v>
      </c>
      <c r="N2176" s="2" t="s">
        <v>84</v>
      </c>
      <c r="O2176" s="2" t="s">
        <v>841</v>
      </c>
      <c r="P2176" s="2" t="s">
        <v>143</v>
      </c>
    </row>
    <row r="2177" spans="1:16" ht="22" customHeight="1" x14ac:dyDescent="0.15">
      <c r="A2177" s="10" t="str">
        <f t="shared" si="400"/>
        <v>492_10_18_10_polygon</v>
      </c>
      <c r="B2177" s="2">
        <v>492</v>
      </c>
      <c r="C2177" s="30" t="str">
        <f>VLOOKUP(B2177,gachas!A:C,3)</f>
        <v>R6解放ピックアップ&lt;ユミル、ライオン&gt;</v>
      </c>
      <c r="D2177" s="21">
        <v>10</v>
      </c>
      <c r="E2177" s="2">
        <f t="shared" si="407"/>
        <v>18</v>
      </c>
      <c r="F2177" s="2">
        <v>10</v>
      </c>
      <c r="G2177" s="3" t="s">
        <v>22</v>
      </c>
      <c r="H2177" s="2">
        <v>50</v>
      </c>
      <c r="I2177" s="117">
        <v>492100</v>
      </c>
      <c r="J2177" s="112" t="s">
        <v>84</v>
      </c>
      <c r="K2177" s="2" t="s">
        <v>84</v>
      </c>
      <c r="L2177" s="2">
        <v>0</v>
      </c>
      <c r="M2177" s="2" t="s">
        <v>84</v>
      </c>
      <c r="N2177" s="2" t="s">
        <v>84</v>
      </c>
      <c r="O2177" s="2" t="s">
        <v>841</v>
      </c>
      <c r="P2177" s="2" t="s">
        <v>143</v>
      </c>
    </row>
    <row r="2178" spans="1:16" ht="22" customHeight="1" x14ac:dyDescent="0.15">
      <c r="A2178" s="10" t="str">
        <f t="shared" si="400"/>
        <v>492_10_19_10_polygon</v>
      </c>
      <c r="B2178" s="2">
        <v>492</v>
      </c>
      <c r="C2178" s="30" t="str">
        <f>VLOOKUP(B2178,gachas!A:C,3)</f>
        <v>R6解放ピックアップ&lt;ユミル、ライオン&gt;</v>
      </c>
      <c r="D2178" s="21">
        <v>10</v>
      </c>
      <c r="E2178" s="2">
        <f t="shared" si="407"/>
        <v>19</v>
      </c>
      <c r="F2178" s="2">
        <v>10</v>
      </c>
      <c r="G2178" s="3" t="s">
        <v>22</v>
      </c>
      <c r="H2178" s="2">
        <v>50</v>
      </c>
      <c r="I2178" s="117">
        <v>492100</v>
      </c>
      <c r="J2178" s="112" t="s">
        <v>84</v>
      </c>
      <c r="K2178" s="2" t="s">
        <v>84</v>
      </c>
      <c r="L2178" s="2">
        <v>0</v>
      </c>
      <c r="M2178" s="2" t="s">
        <v>84</v>
      </c>
      <c r="N2178" s="2" t="s">
        <v>84</v>
      </c>
      <c r="O2178" s="2" t="s">
        <v>841</v>
      </c>
      <c r="P2178" s="2" t="s">
        <v>143</v>
      </c>
    </row>
    <row r="2179" spans="1:16" ht="22" customHeight="1" x14ac:dyDescent="0.15">
      <c r="A2179" s="10" t="str">
        <f t="shared" si="400"/>
        <v>492_10_20_10_polygon</v>
      </c>
      <c r="B2179" s="2">
        <v>492</v>
      </c>
      <c r="C2179" s="30" t="str">
        <f>VLOOKUP(B2179,gachas!A:C,3)</f>
        <v>R6解放ピックアップ&lt;ユミル、ライオン&gt;</v>
      </c>
      <c r="D2179" s="21">
        <v>10</v>
      </c>
      <c r="E2179" s="2">
        <f t="shared" si="407"/>
        <v>20</v>
      </c>
      <c r="F2179" s="2">
        <v>10</v>
      </c>
      <c r="G2179" s="3" t="s">
        <v>22</v>
      </c>
      <c r="H2179" s="2">
        <v>50</v>
      </c>
      <c r="I2179" s="117">
        <v>492100</v>
      </c>
      <c r="J2179" s="112" t="s">
        <v>84</v>
      </c>
      <c r="K2179" s="2">
        <v>492105</v>
      </c>
      <c r="L2179" s="2">
        <v>1</v>
      </c>
      <c r="M2179" s="2" t="s">
        <v>84</v>
      </c>
      <c r="N2179" s="2" t="s">
        <v>84</v>
      </c>
      <c r="O2179" s="2" t="s">
        <v>841</v>
      </c>
      <c r="P2179" s="2" t="s">
        <v>1781</v>
      </c>
    </row>
    <row r="2180" spans="1:16" ht="22" customHeight="1" x14ac:dyDescent="0.15">
      <c r="A2180" s="10" t="str">
        <f t="shared" si="400"/>
        <v>492_10_21_10_polygon</v>
      </c>
      <c r="B2180" s="2">
        <v>492</v>
      </c>
      <c r="C2180" s="30" t="str">
        <f>VLOOKUP(B2180,gachas!A:C,3)</f>
        <v>R6解放ピックアップ&lt;ユミル、ライオン&gt;</v>
      </c>
      <c r="D2180" s="21">
        <v>10</v>
      </c>
      <c r="E2180" s="2">
        <f t="shared" si="407"/>
        <v>21</v>
      </c>
      <c r="F2180" s="2">
        <v>10</v>
      </c>
      <c r="G2180" s="3" t="s">
        <v>22</v>
      </c>
      <c r="H2180" s="2">
        <v>25</v>
      </c>
      <c r="I2180" s="117">
        <v>492100</v>
      </c>
      <c r="J2180" s="112" t="s">
        <v>84</v>
      </c>
      <c r="K2180" s="2" t="s">
        <v>84</v>
      </c>
      <c r="L2180" s="2">
        <v>0</v>
      </c>
      <c r="M2180" s="2" t="s">
        <v>84</v>
      </c>
      <c r="N2180" s="2" t="s">
        <v>84</v>
      </c>
      <c r="O2180" s="2" t="s">
        <v>841</v>
      </c>
      <c r="P2180" s="59" t="s">
        <v>1783</v>
      </c>
    </row>
    <row r="2181" spans="1:16" ht="22" customHeight="1" x14ac:dyDescent="0.15">
      <c r="A2181" s="10" t="str">
        <f t="shared" si="400"/>
        <v>492_10_22_10_polygon</v>
      </c>
      <c r="B2181" s="2">
        <v>492</v>
      </c>
      <c r="C2181" s="30" t="str">
        <f>VLOOKUP(B2181,gachas!A:C,3)</f>
        <v>R6解放ピックアップ&lt;ユミル、ライオン&gt;</v>
      </c>
      <c r="D2181" s="21">
        <v>10</v>
      </c>
      <c r="E2181" s="2">
        <f t="shared" si="407"/>
        <v>22</v>
      </c>
      <c r="F2181" s="2">
        <v>10</v>
      </c>
      <c r="G2181" s="3" t="s">
        <v>22</v>
      </c>
      <c r="H2181" s="2">
        <v>50</v>
      </c>
      <c r="I2181" s="117">
        <v>492100</v>
      </c>
      <c r="J2181" s="112" t="s">
        <v>84</v>
      </c>
      <c r="K2181" s="2" t="s">
        <v>84</v>
      </c>
      <c r="L2181" s="2">
        <v>0</v>
      </c>
      <c r="M2181" s="2" t="s">
        <v>84</v>
      </c>
      <c r="N2181" s="2" t="s">
        <v>84</v>
      </c>
      <c r="O2181" s="2" t="s">
        <v>841</v>
      </c>
      <c r="P2181" s="2" t="s">
        <v>143</v>
      </c>
    </row>
    <row r="2182" spans="1:16" ht="22" customHeight="1" x14ac:dyDescent="0.15">
      <c r="A2182" s="10" t="str">
        <f t="shared" si="400"/>
        <v>492_10_23_10_polygon</v>
      </c>
      <c r="B2182" s="2">
        <v>492</v>
      </c>
      <c r="C2182" s="30" t="str">
        <f>VLOOKUP(B2182,gachas!A:C,3)</f>
        <v>R6解放ピックアップ&lt;ユミル、ライオン&gt;</v>
      </c>
      <c r="D2182" s="21">
        <v>10</v>
      </c>
      <c r="E2182" s="2">
        <f t="shared" si="407"/>
        <v>23</v>
      </c>
      <c r="F2182" s="2">
        <v>10</v>
      </c>
      <c r="G2182" s="3" t="s">
        <v>22</v>
      </c>
      <c r="H2182" s="2">
        <v>50</v>
      </c>
      <c r="I2182" s="117">
        <v>492100</v>
      </c>
      <c r="J2182" s="112" t="s">
        <v>84</v>
      </c>
      <c r="K2182" s="2" t="s">
        <v>84</v>
      </c>
      <c r="L2182" s="2">
        <v>0</v>
      </c>
      <c r="M2182" s="2" t="s">
        <v>84</v>
      </c>
      <c r="N2182" s="2" t="s">
        <v>84</v>
      </c>
      <c r="O2182" s="2" t="s">
        <v>841</v>
      </c>
      <c r="P2182" s="2" t="s">
        <v>143</v>
      </c>
    </row>
    <row r="2183" spans="1:16" ht="22" customHeight="1" x14ac:dyDescent="0.15">
      <c r="A2183" s="10" t="str">
        <f t="shared" si="400"/>
        <v>492_10_24_10_polygon</v>
      </c>
      <c r="B2183" s="2">
        <v>492</v>
      </c>
      <c r="C2183" s="30" t="str">
        <f>VLOOKUP(B2183,gachas!A:C,3)</f>
        <v>R6解放ピックアップ&lt;ユミル、ライオン&gt;</v>
      </c>
      <c r="D2183" s="21">
        <v>10</v>
      </c>
      <c r="E2183" s="2">
        <f t="shared" si="407"/>
        <v>24</v>
      </c>
      <c r="F2183" s="2">
        <v>10</v>
      </c>
      <c r="G2183" s="3" t="s">
        <v>22</v>
      </c>
      <c r="H2183" s="2">
        <v>50</v>
      </c>
      <c r="I2183" s="117">
        <v>492100</v>
      </c>
      <c r="J2183" s="112" t="s">
        <v>84</v>
      </c>
      <c r="K2183" s="2" t="s">
        <v>84</v>
      </c>
      <c r="L2183" s="2">
        <v>0</v>
      </c>
      <c r="M2183" s="2" t="s">
        <v>84</v>
      </c>
      <c r="N2183" s="2" t="s">
        <v>84</v>
      </c>
      <c r="O2183" s="2" t="s">
        <v>841</v>
      </c>
      <c r="P2183" s="2" t="s">
        <v>143</v>
      </c>
    </row>
    <row r="2184" spans="1:16" ht="22" customHeight="1" x14ac:dyDescent="0.15">
      <c r="A2184" s="10" t="str">
        <f t="shared" si="400"/>
        <v>492_10_25_10_polygon</v>
      </c>
      <c r="B2184" s="2">
        <v>492</v>
      </c>
      <c r="C2184" s="30" t="str">
        <f>VLOOKUP(B2184,gachas!A:C,3)</f>
        <v>R6解放ピックアップ&lt;ユミル、ライオン&gt;</v>
      </c>
      <c r="D2184" s="21">
        <v>10</v>
      </c>
      <c r="E2184" s="2">
        <f t="shared" si="407"/>
        <v>25</v>
      </c>
      <c r="F2184" s="2">
        <v>10</v>
      </c>
      <c r="G2184" s="3" t="s">
        <v>22</v>
      </c>
      <c r="H2184" s="2">
        <v>50</v>
      </c>
      <c r="I2184" s="117">
        <v>492100</v>
      </c>
      <c r="J2184" s="112" t="s">
        <v>84</v>
      </c>
      <c r="K2184" s="2">
        <v>492105</v>
      </c>
      <c r="L2184" s="2">
        <v>1</v>
      </c>
      <c r="M2184" s="2" t="s">
        <v>84</v>
      </c>
      <c r="N2184" s="2" t="s">
        <v>84</v>
      </c>
      <c r="O2184" s="2" t="s">
        <v>841</v>
      </c>
      <c r="P2184" s="2" t="s">
        <v>1781</v>
      </c>
    </row>
    <row r="2185" spans="1:16" ht="22" customHeight="1" x14ac:dyDescent="0.15">
      <c r="A2185" s="10" t="str">
        <f t="shared" si="400"/>
        <v>492_10_26_10_polygon</v>
      </c>
      <c r="B2185" s="2">
        <v>492</v>
      </c>
      <c r="C2185" s="30" t="str">
        <f>VLOOKUP(B2185,gachas!A:C,3)</f>
        <v>R6解放ピックアップ&lt;ユミル、ライオン&gt;</v>
      </c>
      <c r="D2185" s="21">
        <v>10</v>
      </c>
      <c r="E2185" s="2">
        <f t="shared" si="407"/>
        <v>26</v>
      </c>
      <c r="F2185" s="2">
        <v>10</v>
      </c>
      <c r="G2185" s="3" t="s">
        <v>22</v>
      </c>
      <c r="H2185" s="2">
        <v>25</v>
      </c>
      <c r="I2185" s="117">
        <v>492100</v>
      </c>
      <c r="J2185" s="112" t="s">
        <v>84</v>
      </c>
      <c r="K2185" s="2" t="s">
        <v>84</v>
      </c>
      <c r="L2185" s="2">
        <v>0</v>
      </c>
      <c r="M2185" s="2" t="s">
        <v>84</v>
      </c>
      <c r="N2185" s="2" t="s">
        <v>84</v>
      </c>
      <c r="O2185" s="2" t="s">
        <v>841</v>
      </c>
      <c r="P2185" s="59" t="s">
        <v>1783</v>
      </c>
    </row>
    <row r="2186" spans="1:16" ht="22" customHeight="1" x14ac:dyDescent="0.15">
      <c r="A2186" s="10" t="str">
        <f t="shared" si="400"/>
        <v>492_10_27_10_polygon</v>
      </c>
      <c r="B2186" s="2">
        <v>492</v>
      </c>
      <c r="C2186" s="30" t="str">
        <f>VLOOKUP(B2186,gachas!A:C,3)</f>
        <v>R6解放ピックアップ&lt;ユミル、ライオン&gt;</v>
      </c>
      <c r="D2186" s="21">
        <v>10</v>
      </c>
      <c r="E2186" s="2">
        <f t="shared" si="407"/>
        <v>27</v>
      </c>
      <c r="F2186" s="2">
        <v>10</v>
      </c>
      <c r="G2186" s="3" t="s">
        <v>22</v>
      </c>
      <c r="H2186" s="2">
        <v>50</v>
      </c>
      <c r="I2186" s="117">
        <v>492100</v>
      </c>
      <c r="J2186" s="112" t="s">
        <v>84</v>
      </c>
      <c r="K2186" s="2" t="s">
        <v>84</v>
      </c>
      <c r="L2186" s="2">
        <v>0</v>
      </c>
      <c r="M2186" s="2" t="s">
        <v>84</v>
      </c>
      <c r="N2186" s="2" t="s">
        <v>84</v>
      </c>
      <c r="O2186" s="2" t="s">
        <v>841</v>
      </c>
      <c r="P2186" s="2" t="s">
        <v>143</v>
      </c>
    </row>
    <row r="2187" spans="1:16" ht="22" customHeight="1" x14ac:dyDescent="0.15">
      <c r="A2187" s="10" t="str">
        <f t="shared" si="400"/>
        <v>492_10_28_10_polygon</v>
      </c>
      <c r="B2187" s="2">
        <v>492</v>
      </c>
      <c r="C2187" s="30" t="str">
        <f>VLOOKUP(B2187,gachas!A:C,3)</f>
        <v>R6解放ピックアップ&lt;ユミル、ライオン&gt;</v>
      </c>
      <c r="D2187" s="21">
        <v>10</v>
      </c>
      <c r="E2187" s="2">
        <f t="shared" si="407"/>
        <v>28</v>
      </c>
      <c r="F2187" s="2">
        <v>10</v>
      </c>
      <c r="G2187" s="3" t="s">
        <v>22</v>
      </c>
      <c r="H2187" s="2">
        <v>50</v>
      </c>
      <c r="I2187" s="117">
        <v>492100</v>
      </c>
      <c r="J2187" s="112" t="s">
        <v>84</v>
      </c>
      <c r="K2187" s="2" t="s">
        <v>84</v>
      </c>
      <c r="L2187" s="2">
        <v>0</v>
      </c>
      <c r="M2187" s="2" t="s">
        <v>84</v>
      </c>
      <c r="N2187" s="2" t="s">
        <v>84</v>
      </c>
      <c r="O2187" s="2" t="s">
        <v>841</v>
      </c>
      <c r="P2187" s="2" t="s">
        <v>143</v>
      </c>
    </row>
    <row r="2188" spans="1:16" ht="22" customHeight="1" x14ac:dyDescent="0.15">
      <c r="A2188" s="10" t="str">
        <f t="shared" si="400"/>
        <v>492_10_29_10_polygon</v>
      </c>
      <c r="B2188" s="2">
        <v>492</v>
      </c>
      <c r="C2188" s="30" t="str">
        <f>VLOOKUP(B2188,gachas!A:C,3)</f>
        <v>R6解放ピックアップ&lt;ユミル、ライオン&gt;</v>
      </c>
      <c r="D2188" s="21">
        <v>10</v>
      </c>
      <c r="E2188" s="2">
        <f t="shared" si="407"/>
        <v>29</v>
      </c>
      <c r="F2188" s="2">
        <v>10</v>
      </c>
      <c r="G2188" s="3" t="s">
        <v>22</v>
      </c>
      <c r="H2188" s="2">
        <v>50</v>
      </c>
      <c r="I2188" s="117">
        <v>492100</v>
      </c>
      <c r="J2188" s="112" t="s">
        <v>84</v>
      </c>
      <c r="K2188" s="2" t="s">
        <v>84</v>
      </c>
      <c r="L2188" s="2">
        <v>0</v>
      </c>
      <c r="M2188" s="2" t="s">
        <v>84</v>
      </c>
      <c r="N2188" s="2" t="s">
        <v>84</v>
      </c>
      <c r="O2188" s="2" t="s">
        <v>841</v>
      </c>
      <c r="P2188" s="2" t="s">
        <v>143</v>
      </c>
    </row>
    <row r="2189" spans="1:16" ht="22" customHeight="1" x14ac:dyDescent="0.15">
      <c r="A2189" s="10" t="str">
        <f t="shared" si="400"/>
        <v>492_10_30_10_polygon</v>
      </c>
      <c r="B2189" s="2">
        <v>492</v>
      </c>
      <c r="C2189" s="30" t="str">
        <f>VLOOKUP(B2189,gachas!A:C,3)</f>
        <v>R6解放ピックアップ&lt;ユミル、ライオン&gt;</v>
      </c>
      <c r="D2189" s="21">
        <v>10</v>
      </c>
      <c r="E2189" s="2">
        <f t="shared" si="407"/>
        <v>30</v>
      </c>
      <c r="F2189" s="2">
        <v>10</v>
      </c>
      <c r="G2189" s="3" t="s">
        <v>22</v>
      </c>
      <c r="H2189" s="2">
        <v>50</v>
      </c>
      <c r="I2189" s="117">
        <v>492100</v>
      </c>
      <c r="J2189" s="112" t="s">
        <v>84</v>
      </c>
      <c r="K2189" s="2">
        <v>492105</v>
      </c>
      <c r="L2189" s="2">
        <v>1</v>
      </c>
      <c r="M2189" s="2" t="s">
        <v>84</v>
      </c>
      <c r="N2189" s="2" t="s">
        <v>84</v>
      </c>
      <c r="O2189" s="2" t="s">
        <v>841</v>
      </c>
      <c r="P2189" s="2" t="s">
        <v>1781</v>
      </c>
    </row>
    <row r="2190" spans="1:16" ht="22" customHeight="1" x14ac:dyDescent="0.15">
      <c r="A2190" s="10" t="str">
        <f t="shared" si="400"/>
        <v>492_10_31_10_polygon</v>
      </c>
      <c r="B2190" s="2">
        <v>492</v>
      </c>
      <c r="C2190" s="30" t="str">
        <f>VLOOKUP(B2190,gachas!A:C,3)</f>
        <v>R6解放ピックアップ&lt;ユミル、ライオン&gt;</v>
      </c>
      <c r="D2190" s="21">
        <v>10</v>
      </c>
      <c r="E2190" s="2">
        <f t="shared" si="407"/>
        <v>31</v>
      </c>
      <c r="F2190" s="2">
        <v>10</v>
      </c>
      <c r="G2190" s="3" t="s">
        <v>22</v>
      </c>
      <c r="H2190" s="2">
        <v>25</v>
      </c>
      <c r="I2190" s="117">
        <v>492100</v>
      </c>
      <c r="J2190" s="112" t="s">
        <v>84</v>
      </c>
      <c r="K2190" s="2" t="s">
        <v>84</v>
      </c>
      <c r="L2190" s="2">
        <v>0</v>
      </c>
      <c r="M2190" s="2" t="s">
        <v>84</v>
      </c>
      <c r="N2190" s="2" t="s">
        <v>84</v>
      </c>
      <c r="O2190" s="2" t="s">
        <v>841</v>
      </c>
      <c r="P2190" s="59" t="s">
        <v>1783</v>
      </c>
    </row>
    <row r="2191" spans="1:16" ht="22" customHeight="1" x14ac:dyDescent="0.15">
      <c r="A2191" s="10" t="str">
        <f t="shared" si="400"/>
        <v>492_10_32_10_polygon</v>
      </c>
      <c r="B2191" s="2">
        <v>492</v>
      </c>
      <c r="C2191" s="30" t="str">
        <f>VLOOKUP(B2191,gachas!A:C,3)</f>
        <v>R6解放ピックアップ&lt;ユミル、ライオン&gt;</v>
      </c>
      <c r="D2191" s="21">
        <v>10</v>
      </c>
      <c r="E2191" s="2">
        <f t="shared" si="407"/>
        <v>32</v>
      </c>
      <c r="F2191" s="2">
        <v>10</v>
      </c>
      <c r="G2191" s="3" t="s">
        <v>22</v>
      </c>
      <c r="H2191" s="2">
        <v>50</v>
      </c>
      <c r="I2191" s="117">
        <v>492100</v>
      </c>
      <c r="J2191" s="112" t="s">
        <v>84</v>
      </c>
      <c r="K2191" s="2" t="s">
        <v>84</v>
      </c>
      <c r="L2191" s="2">
        <v>0</v>
      </c>
      <c r="M2191" s="2" t="s">
        <v>84</v>
      </c>
      <c r="N2191" s="2" t="s">
        <v>84</v>
      </c>
      <c r="O2191" s="2" t="s">
        <v>841</v>
      </c>
      <c r="P2191" s="2" t="s">
        <v>143</v>
      </c>
    </row>
    <row r="2192" spans="1:16" ht="22" customHeight="1" x14ac:dyDescent="0.15">
      <c r="A2192" s="10" t="str">
        <f t="shared" si="400"/>
        <v>492_10_33_10_polygon</v>
      </c>
      <c r="B2192" s="2">
        <v>492</v>
      </c>
      <c r="C2192" s="30" t="str">
        <f>VLOOKUP(B2192,gachas!A:C,3)</f>
        <v>R6解放ピックアップ&lt;ユミル、ライオン&gt;</v>
      </c>
      <c r="D2192" s="21">
        <v>10</v>
      </c>
      <c r="E2192" s="2">
        <f t="shared" si="407"/>
        <v>33</v>
      </c>
      <c r="F2192" s="2">
        <v>10</v>
      </c>
      <c r="G2192" s="3" t="s">
        <v>22</v>
      </c>
      <c r="H2192" s="2">
        <v>50</v>
      </c>
      <c r="I2192" s="117">
        <v>492100</v>
      </c>
      <c r="J2192" s="112" t="s">
        <v>84</v>
      </c>
      <c r="K2192" s="2" t="s">
        <v>84</v>
      </c>
      <c r="L2192" s="2">
        <v>0</v>
      </c>
      <c r="M2192" s="2" t="s">
        <v>84</v>
      </c>
      <c r="N2192" s="2" t="s">
        <v>84</v>
      </c>
      <c r="O2192" s="2" t="s">
        <v>841</v>
      </c>
      <c r="P2192" s="2" t="s">
        <v>143</v>
      </c>
    </row>
    <row r="2193" spans="1:16" ht="22" customHeight="1" x14ac:dyDescent="0.15">
      <c r="A2193" s="10" t="str">
        <f t="shared" si="400"/>
        <v>492_10_34_10_polygon</v>
      </c>
      <c r="B2193" s="2">
        <v>492</v>
      </c>
      <c r="C2193" s="30" t="str">
        <f>VLOOKUP(B2193,gachas!A:C,3)</f>
        <v>R6解放ピックアップ&lt;ユミル、ライオン&gt;</v>
      </c>
      <c r="D2193" s="21">
        <v>10</v>
      </c>
      <c r="E2193" s="2">
        <f t="shared" si="407"/>
        <v>34</v>
      </c>
      <c r="F2193" s="2">
        <v>10</v>
      </c>
      <c r="G2193" s="3" t="s">
        <v>22</v>
      </c>
      <c r="H2193" s="2">
        <v>50</v>
      </c>
      <c r="I2193" s="117">
        <v>492100</v>
      </c>
      <c r="J2193" s="112" t="s">
        <v>84</v>
      </c>
      <c r="K2193" s="2" t="s">
        <v>84</v>
      </c>
      <c r="L2193" s="2">
        <v>0</v>
      </c>
      <c r="M2193" s="2" t="s">
        <v>84</v>
      </c>
      <c r="N2193" s="2" t="s">
        <v>84</v>
      </c>
      <c r="O2193" s="2" t="s">
        <v>841</v>
      </c>
      <c r="P2193" s="2" t="s">
        <v>143</v>
      </c>
    </row>
    <row r="2194" spans="1:16" ht="22" customHeight="1" x14ac:dyDescent="0.15">
      <c r="A2194" s="10" t="str">
        <f t="shared" si="400"/>
        <v>492_10_35_10_polygon</v>
      </c>
      <c r="B2194" s="2">
        <v>492</v>
      </c>
      <c r="C2194" s="30" t="str">
        <f>VLOOKUP(B2194,gachas!A:C,3)</f>
        <v>R6解放ピックアップ&lt;ユミル、ライオン&gt;</v>
      </c>
      <c r="D2194" s="21">
        <v>10</v>
      </c>
      <c r="E2194" s="2">
        <f t="shared" si="407"/>
        <v>35</v>
      </c>
      <c r="F2194" s="2">
        <v>10</v>
      </c>
      <c r="G2194" s="3" t="s">
        <v>22</v>
      </c>
      <c r="H2194" s="2">
        <v>50</v>
      </c>
      <c r="I2194" s="117">
        <v>492100</v>
      </c>
      <c r="J2194" s="112" t="s">
        <v>84</v>
      </c>
      <c r="K2194" s="2">
        <v>492105</v>
      </c>
      <c r="L2194" s="2">
        <v>1</v>
      </c>
      <c r="M2194" s="2" t="s">
        <v>84</v>
      </c>
      <c r="N2194" s="2" t="s">
        <v>84</v>
      </c>
      <c r="O2194" s="2" t="s">
        <v>841</v>
      </c>
      <c r="P2194" s="2" t="s">
        <v>1781</v>
      </c>
    </row>
    <row r="2195" spans="1:16" ht="22" customHeight="1" x14ac:dyDescent="0.15">
      <c r="A2195" s="10" t="str">
        <f t="shared" si="400"/>
        <v>492_10_36_10_polygon</v>
      </c>
      <c r="B2195" s="2">
        <v>492</v>
      </c>
      <c r="C2195" s="30" t="str">
        <f>VLOOKUP(B2195,gachas!A:C,3)</f>
        <v>R6解放ピックアップ&lt;ユミル、ライオン&gt;</v>
      </c>
      <c r="D2195" s="21">
        <v>10</v>
      </c>
      <c r="E2195" s="2">
        <f t="shared" si="407"/>
        <v>36</v>
      </c>
      <c r="F2195" s="2">
        <v>10</v>
      </c>
      <c r="G2195" s="3" t="s">
        <v>22</v>
      </c>
      <c r="H2195" s="2">
        <v>25</v>
      </c>
      <c r="I2195" s="117">
        <v>492100</v>
      </c>
      <c r="J2195" s="112" t="s">
        <v>84</v>
      </c>
      <c r="K2195" s="2" t="s">
        <v>84</v>
      </c>
      <c r="L2195" s="2">
        <v>0</v>
      </c>
      <c r="M2195" s="2" t="s">
        <v>84</v>
      </c>
      <c r="N2195" s="2" t="s">
        <v>84</v>
      </c>
      <c r="O2195" s="2" t="s">
        <v>841</v>
      </c>
      <c r="P2195" s="59" t="s">
        <v>1783</v>
      </c>
    </row>
    <row r="2196" spans="1:16" ht="22" customHeight="1" x14ac:dyDescent="0.15">
      <c r="A2196" s="10" t="str">
        <f t="shared" si="400"/>
        <v>492_10_37_10_polygon</v>
      </c>
      <c r="B2196" s="2">
        <v>492</v>
      </c>
      <c r="C2196" s="30" t="str">
        <f>VLOOKUP(B2196,gachas!A:C,3)</f>
        <v>R6解放ピックアップ&lt;ユミル、ライオン&gt;</v>
      </c>
      <c r="D2196" s="21">
        <v>10</v>
      </c>
      <c r="E2196" s="2">
        <f t="shared" si="407"/>
        <v>37</v>
      </c>
      <c r="F2196" s="2">
        <v>10</v>
      </c>
      <c r="G2196" s="3" t="s">
        <v>22</v>
      </c>
      <c r="H2196" s="2">
        <v>50</v>
      </c>
      <c r="I2196" s="117">
        <v>492100</v>
      </c>
      <c r="J2196" s="112" t="s">
        <v>84</v>
      </c>
      <c r="K2196" s="2" t="s">
        <v>84</v>
      </c>
      <c r="L2196" s="2">
        <v>0</v>
      </c>
      <c r="M2196" s="2" t="s">
        <v>84</v>
      </c>
      <c r="N2196" s="2" t="s">
        <v>84</v>
      </c>
      <c r="O2196" s="2" t="s">
        <v>841</v>
      </c>
      <c r="P2196" s="2" t="s">
        <v>143</v>
      </c>
    </row>
    <row r="2197" spans="1:16" ht="22" customHeight="1" x14ac:dyDescent="0.15">
      <c r="A2197" s="10" t="str">
        <f t="shared" si="400"/>
        <v>492_10_38_10_polygon</v>
      </c>
      <c r="B2197" s="2">
        <v>492</v>
      </c>
      <c r="C2197" s="30" t="str">
        <f>VLOOKUP(B2197,gachas!A:C,3)</f>
        <v>R6解放ピックアップ&lt;ユミル、ライオン&gt;</v>
      </c>
      <c r="D2197" s="21">
        <v>10</v>
      </c>
      <c r="E2197" s="2">
        <f t="shared" si="407"/>
        <v>38</v>
      </c>
      <c r="F2197" s="2">
        <v>10</v>
      </c>
      <c r="G2197" s="3" t="s">
        <v>22</v>
      </c>
      <c r="H2197" s="2">
        <v>50</v>
      </c>
      <c r="I2197" s="117">
        <v>492100</v>
      </c>
      <c r="J2197" s="112" t="s">
        <v>84</v>
      </c>
      <c r="K2197" s="2" t="s">
        <v>84</v>
      </c>
      <c r="L2197" s="2">
        <v>0</v>
      </c>
      <c r="M2197" s="2" t="s">
        <v>84</v>
      </c>
      <c r="N2197" s="2" t="s">
        <v>84</v>
      </c>
      <c r="O2197" s="2" t="s">
        <v>841</v>
      </c>
      <c r="P2197" s="2" t="s">
        <v>143</v>
      </c>
    </row>
    <row r="2198" spans="1:16" ht="22" customHeight="1" x14ac:dyDescent="0.15">
      <c r="A2198" s="10" t="str">
        <f t="shared" si="400"/>
        <v>492_10_39_10_polygon</v>
      </c>
      <c r="B2198" s="2">
        <v>492</v>
      </c>
      <c r="C2198" s="30" t="str">
        <f>VLOOKUP(B2198,gachas!A:C,3)</f>
        <v>R6解放ピックアップ&lt;ユミル、ライオン&gt;</v>
      </c>
      <c r="D2198" s="21">
        <v>10</v>
      </c>
      <c r="E2198" s="2">
        <f t="shared" si="407"/>
        <v>39</v>
      </c>
      <c r="F2198" s="2">
        <v>10</v>
      </c>
      <c r="G2198" s="3" t="s">
        <v>22</v>
      </c>
      <c r="H2198" s="2">
        <v>50</v>
      </c>
      <c r="I2198" s="117">
        <v>492100</v>
      </c>
      <c r="J2198" s="112" t="s">
        <v>84</v>
      </c>
      <c r="K2198" s="2" t="s">
        <v>84</v>
      </c>
      <c r="L2198" s="2">
        <v>0</v>
      </c>
      <c r="M2198" s="2" t="s">
        <v>84</v>
      </c>
      <c r="N2198" s="2" t="s">
        <v>84</v>
      </c>
      <c r="O2198" s="2" t="s">
        <v>841</v>
      </c>
      <c r="P2198" s="2" t="s">
        <v>143</v>
      </c>
    </row>
    <row r="2199" spans="1:16" ht="22" customHeight="1" x14ac:dyDescent="0.15">
      <c r="A2199" s="10" t="str">
        <f t="shared" si="400"/>
        <v>492_10_40_10_polygon</v>
      </c>
      <c r="B2199" s="2">
        <v>492</v>
      </c>
      <c r="C2199" s="30" t="str">
        <f>VLOOKUP(B2199,gachas!A:C,3)</f>
        <v>R6解放ピックアップ&lt;ユミル、ライオン&gt;</v>
      </c>
      <c r="D2199" s="21">
        <v>10</v>
      </c>
      <c r="E2199" s="2">
        <f t="shared" si="407"/>
        <v>40</v>
      </c>
      <c r="F2199" s="2">
        <v>10</v>
      </c>
      <c r="G2199" s="3" t="s">
        <v>22</v>
      </c>
      <c r="H2199" s="2">
        <v>50</v>
      </c>
      <c r="I2199" s="117">
        <v>492100</v>
      </c>
      <c r="J2199" s="112" t="s">
        <v>84</v>
      </c>
      <c r="K2199" s="2">
        <v>492105</v>
      </c>
      <c r="L2199" s="2">
        <v>1</v>
      </c>
      <c r="M2199" s="2" t="s">
        <v>84</v>
      </c>
      <c r="N2199" s="2" t="s">
        <v>84</v>
      </c>
      <c r="O2199" s="2" t="s">
        <v>841</v>
      </c>
      <c r="P2199" s="2" t="s">
        <v>1781</v>
      </c>
    </row>
    <row r="2200" spans="1:16" ht="22" customHeight="1" x14ac:dyDescent="0.15">
      <c r="A2200" s="10" t="str">
        <f t="shared" si="400"/>
        <v>492_10_41_10_polygon</v>
      </c>
      <c r="B2200" s="2">
        <v>492</v>
      </c>
      <c r="C2200" s="30" t="str">
        <f>VLOOKUP(B2200,gachas!A:C,3)</f>
        <v>R6解放ピックアップ&lt;ユミル、ライオン&gt;</v>
      </c>
      <c r="D2200" s="21">
        <v>10</v>
      </c>
      <c r="E2200" s="2">
        <f t="shared" si="407"/>
        <v>41</v>
      </c>
      <c r="F2200" s="2">
        <v>10</v>
      </c>
      <c r="G2200" s="3" t="s">
        <v>22</v>
      </c>
      <c r="H2200" s="2">
        <v>25</v>
      </c>
      <c r="I2200" s="117">
        <v>492100</v>
      </c>
      <c r="J2200" s="112" t="s">
        <v>84</v>
      </c>
      <c r="K2200" s="2" t="s">
        <v>84</v>
      </c>
      <c r="L2200" s="2">
        <v>0</v>
      </c>
      <c r="M2200" s="2" t="s">
        <v>84</v>
      </c>
      <c r="N2200" s="2" t="s">
        <v>84</v>
      </c>
      <c r="O2200" s="2" t="s">
        <v>841</v>
      </c>
      <c r="P2200" s="59" t="s">
        <v>1783</v>
      </c>
    </row>
    <row r="2201" spans="1:16" ht="22" customHeight="1" x14ac:dyDescent="0.15">
      <c r="A2201" s="10" t="str">
        <f t="shared" si="400"/>
        <v>492_10_42_10_polygon</v>
      </c>
      <c r="B2201" s="2">
        <v>492</v>
      </c>
      <c r="C2201" s="30" t="str">
        <f>VLOOKUP(B2201,gachas!A:C,3)</f>
        <v>R6解放ピックアップ&lt;ユミル、ライオン&gt;</v>
      </c>
      <c r="D2201" s="21">
        <v>10</v>
      </c>
      <c r="E2201" s="2">
        <f t="shared" si="407"/>
        <v>42</v>
      </c>
      <c r="F2201" s="2">
        <v>10</v>
      </c>
      <c r="G2201" s="3" t="s">
        <v>22</v>
      </c>
      <c r="H2201" s="2">
        <v>50</v>
      </c>
      <c r="I2201" s="117">
        <v>492100</v>
      </c>
      <c r="J2201" s="112" t="s">
        <v>84</v>
      </c>
      <c r="K2201" s="2" t="s">
        <v>84</v>
      </c>
      <c r="L2201" s="2">
        <v>0</v>
      </c>
      <c r="M2201" s="2" t="s">
        <v>84</v>
      </c>
      <c r="N2201" s="2" t="s">
        <v>84</v>
      </c>
      <c r="O2201" s="2" t="s">
        <v>841</v>
      </c>
      <c r="P2201" s="2" t="s">
        <v>143</v>
      </c>
    </row>
    <row r="2202" spans="1:16" ht="22" customHeight="1" x14ac:dyDescent="0.15">
      <c r="A2202" s="10" t="str">
        <f t="shared" si="400"/>
        <v>492_10_43_10_polygon</v>
      </c>
      <c r="B2202" s="2">
        <v>492</v>
      </c>
      <c r="C2202" s="30" t="str">
        <f>VLOOKUP(B2202,gachas!A:C,3)</f>
        <v>R6解放ピックアップ&lt;ユミル、ライオン&gt;</v>
      </c>
      <c r="D2202" s="21">
        <v>10</v>
      </c>
      <c r="E2202" s="2">
        <f t="shared" si="407"/>
        <v>43</v>
      </c>
      <c r="F2202" s="2">
        <v>10</v>
      </c>
      <c r="G2202" s="3" t="s">
        <v>22</v>
      </c>
      <c r="H2202" s="2">
        <v>50</v>
      </c>
      <c r="I2202" s="117">
        <v>492100</v>
      </c>
      <c r="J2202" s="112" t="s">
        <v>84</v>
      </c>
      <c r="K2202" s="2" t="s">
        <v>84</v>
      </c>
      <c r="L2202" s="2">
        <v>0</v>
      </c>
      <c r="M2202" s="2" t="s">
        <v>84</v>
      </c>
      <c r="N2202" s="2" t="s">
        <v>84</v>
      </c>
      <c r="O2202" s="2" t="s">
        <v>841</v>
      </c>
      <c r="P2202" s="2" t="s">
        <v>143</v>
      </c>
    </row>
    <row r="2203" spans="1:16" ht="22" customHeight="1" x14ac:dyDescent="0.15">
      <c r="A2203" s="10" t="str">
        <f t="shared" si="400"/>
        <v>492_10_44_10_polygon</v>
      </c>
      <c r="B2203" s="2">
        <v>492</v>
      </c>
      <c r="C2203" s="30" t="str">
        <f>VLOOKUP(B2203,gachas!A:C,3)</f>
        <v>R6解放ピックアップ&lt;ユミル、ライオン&gt;</v>
      </c>
      <c r="D2203" s="21">
        <v>10</v>
      </c>
      <c r="E2203" s="2">
        <f t="shared" si="407"/>
        <v>44</v>
      </c>
      <c r="F2203" s="2">
        <v>10</v>
      </c>
      <c r="G2203" s="3" t="s">
        <v>22</v>
      </c>
      <c r="H2203" s="2">
        <v>50</v>
      </c>
      <c r="I2203" s="117">
        <v>492100</v>
      </c>
      <c r="J2203" s="112" t="s">
        <v>84</v>
      </c>
      <c r="K2203" s="2" t="s">
        <v>84</v>
      </c>
      <c r="L2203" s="2">
        <v>0</v>
      </c>
      <c r="M2203" s="2" t="s">
        <v>84</v>
      </c>
      <c r="N2203" s="2" t="s">
        <v>84</v>
      </c>
      <c r="O2203" s="2" t="s">
        <v>841</v>
      </c>
      <c r="P2203" s="2" t="s">
        <v>143</v>
      </c>
    </row>
    <row r="2204" spans="1:16" ht="22" customHeight="1" x14ac:dyDescent="0.15">
      <c r="A2204" s="10" t="str">
        <f t="shared" si="400"/>
        <v>492_10_45_10_polygon</v>
      </c>
      <c r="B2204" s="2">
        <v>492</v>
      </c>
      <c r="C2204" s="30" t="str">
        <f>VLOOKUP(B2204,gachas!A:C,3)</f>
        <v>R6解放ピックアップ&lt;ユミル、ライオン&gt;</v>
      </c>
      <c r="D2204" s="21">
        <v>10</v>
      </c>
      <c r="E2204" s="2">
        <f t="shared" si="407"/>
        <v>45</v>
      </c>
      <c r="F2204" s="2">
        <v>10</v>
      </c>
      <c r="G2204" s="3" t="s">
        <v>22</v>
      </c>
      <c r="H2204" s="2">
        <v>50</v>
      </c>
      <c r="I2204" s="117">
        <v>492100</v>
      </c>
      <c r="J2204" s="112" t="s">
        <v>84</v>
      </c>
      <c r="K2204" s="2">
        <v>492105</v>
      </c>
      <c r="L2204" s="2">
        <v>1</v>
      </c>
      <c r="M2204" s="2" t="s">
        <v>84</v>
      </c>
      <c r="N2204" s="2" t="s">
        <v>84</v>
      </c>
      <c r="O2204" s="2" t="s">
        <v>841</v>
      </c>
      <c r="P2204" s="2" t="s">
        <v>1781</v>
      </c>
    </row>
    <row r="2205" spans="1:16" ht="22" customHeight="1" x14ac:dyDescent="0.15">
      <c r="A2205" s="10" t="str">
        <f t="shared" si="400"/>
        <v>492_10_46_10_polygon</v>
      </c>
      <c r="B2205" s="2">
        <v>492</v>
      </c>
      <c r="C2205" s="30" t="str">
        <f>VLOOKUP(B2205,gachas!A:C,3)</f>
        <v>R6解放ピックアップ&lt;ユミル、ライオン&gt;</v>
      </c>
      <c r="D2205" s="21">
        <v>10</v>
      </c>
      <c r="E2205" s="2">
        <f t="shared" si="407"/>
        <v>46</v>
      </c>
      <c r="F2205" s="2">
        <v>10</v>
      </c>
      <c r="G2205" s="3" t="s">
        <v>22</v>
      </c>
      <c r="H2205" s="2">
        <v>25</v>
      </c>
      <c r="I2205" s="117">
        <v>492100</v>
      </c>
      <c r="J2205" s="112" t="s">
        <v>84</v>
      </c>
      <c r="K2205" s="2" t="s">
        <v>84</v>
      </c>
      <c r="L2205" s="2">
        <v>0</v>
      </c>
      <c r="M2205" s="2" t="s">
        <v>84</v>
      </c>
      <c r="N2205" s="2" t="s">
        <v>84</v>
      </c>
      <c r="O2205" s="2" t="s">
        <v>841</v>
      </c>
      <c r="P2205" s="59" t="s">
        <v>1783</v>
      </c>
    </row>
    <row r="2206" spans="1:16" ht="22" customHeight="1" x14ac:dyDescent="0.15">
      <c r="A2206" s="10" t="str">
        <f t="shared" si="400"/>
        <v>492_10_47_10_polygon</v>
      </c>
      <c r="B2206" s="2">
        <v>492</v>
      </c>
      <c r="C2206" s="30" t="str">
        <f>VLOOKUP(B2206,gachas!A:C,3)</f>
        <v>R6解放ピックアップ&lt;ユミル、ライオン&gt;</v>
      </c>
      <c r="D2206" s="21">
        <v>10</v>
      </c>
      <c r="E2206" s="2">
        <f t="shared" si="407"/>
        <v>47</v>
      </c>
      <c r="F2206" s="2">
        <v>10</v>
      </c>
      <c r="G2206" s="3" t="s">
        <v>22</v>
      </c>
      <c r="H2206" s="2">
        <v>50</v>
      </c>
      <c r="I2206" s="117">
        <v>492100</v>
      </c>
      <c r="J2206" s="112" t="s">
        <v>84</v>
      </c>
      <c r="K2206" s="2" t="s">
        <v>84</v>
      </c>
      <c r="L2206" s="2">
        <v>0</v>
      </c>
      <c r="M2206" s="2" t="s">
        <v>84</v>
      </c>
      <c r="N2206" s="2" t="s">
        <v>84</v>
      </c>
      <c r="O2206" s="2" t="s">
        <v>841</v>
      </c>
      <c r="P2206" s="2" t="s">
        <v>143</v>
      </c>
    </row>
    <row r="2207" spans="1:16" ht="22" customHeight="1" x14ac:dyDescent="0.15">
      <c r="A2207" s="10" t="str">
        <f t="shared" si="400"/>
        <v>492_10_48_10_polygon</v>
      </c>
      <c r="B2207" s="2">
        <v>492</v>
      </c>
      <c r="C2207" s="30" t="str">
        <f>VLOOKUP(B2207,gachas!A:C,3)</f>
        <v>R6解放ピックアップ&lt;ユミル、ライオン&gt;</v>
      </c>
      <c r="D2207" s="21">
        <v>10</v>
      </c>
      <c r="E2207" s="2">
        <f t="shared" si="407"/>
        <v>48</v>
      </c>
      <c r="F2207" s="2">
        <v>10</v>
      </c>
      <c r="G2207" s="3" t="s">
        <v>22</v>
      </c>
      <c r="H2207" s="2">
        <v>50</v>
      </c>
      <c r="I2207" s="117">
        <v>492100</v>
      </c>
      <c r="J2207" s="112" t="s">
        <v>84</v>
      </c>
      <c r="K2207" s="2" t="s">
        <v>84</v>
      </c>
      <c r="L2207" s="2">
        <v>0</v>
      </c>
      <c r="M2207" s="2" t="s">
        <v>84</v>
      </c>
      <c r="N2207" s="2" t="s">
        <v>84</v>
      </c>
      <c r="O2207" s="2" t="s">
        <v>841</v>
      </c>
      <c r="P2207" s="2" t="s">
        <v>143</v>
      </c>
    </row>
    <row r="2208" spans="1:16" ht="22" customHeight="1" x14ac:dyDescent="0.15">
      <c r="A2208" s="10" t="str">
        <f t="shared" si="400"/>
        <v>492_10_49_10_polygon</v>
      </c>
      <c r="B2208" s="2">
        <v>492</v>
      </c>
      <c r="C2208" s="30" t="str">
        <f>VLOOKUP(B2208,gachas!A:C,3)</f>
        <v>R6解放ピックアップ&lt;ユミル、ライオン&gt;</v>
      </c>
      <c r="D2208" s="21">
        <v>10</v>
      </c>
      <c r="E2208" s="2">
        <f t="shared" si="407"/>
        <v>49</v>
      </c>
      <c r="F2208" s="2">
        <v>10</v>
      </c>
      <c r="G2208" s="3" t="s">
        <v>22</v>
      </c>
      <c r="H2208" s="2">
        <v>50</v>
      </c>
      <c r="I2208" s="117">
        <v>492100</v>
      </c>
      <c r="J2208" s="112" t="s">
        <v>84</v>
      </c>
      <c r="K2208" s="2" t="s">
        <v>84</v>
      </c>
      <c r="L2208" s="2">
        <v>0</v>
      </c>
      <c r="M2208" s="2" t="s">
        <v>84</v>
      </c>
      <c r="N2208" s="2" t="s">
        <v>84</v>
      </c>
      <c r="O2208" s="2" t="s">
        <v>841</v>
      </c>
      <c r="P2208" s="2" t="s">
        <v>143</v>
      </c>
    </row>
    <row r="2209" spans="1:16" ht="22" customHeight="1" x14ac:dyDescent="0.15">
      <c r="A2209" s="10" t="str">
        <f t="shared" si="400"/>
        <v>492_10_50_10_polygon</v>
      </c>
      <c r="B2209" s="2">
        <v>492</v>
      </c>
      <c r="C2209" s="30" t="str">
        <f>VLOOKUP(B2209,gachas!A:C,3)</f>
        <v>R6解放ピックアップ&lt;ユミル、ライオン&gt;</v>
      </c>
      <c r="D2209" s="21">
        <v>10</v>
      </c>
      <c r="E2209" s="2">
        <f t="shared" si="407"/>
        <v>50</v>
      </c>
      <c r="F2209" s="2">
        <v>10</v>
      </c>
      <c r="G2209" s="3" t="s">
        <v>22</v>
      </c>
      <c r="H2209" s="2">
        <v>50</v>
      </c>
      <c r="I2209" s="117">
        <v>492100</v>
      </c>
      <c r="J2209" s="112" t="s">
        <v>84</v>
      </c>
      <c r="K2209" s="2">
        <v>492105</v>
      </c>
      <c r="L2209" s="2">
        <v>1</v>
      </c>
      <c r="M2209" s="2" t="s">
        <v>84</v>
      </c>
      <c r="N2209" s="2" t="s">
        <v>84</v>
      </c>
      <c r="O2209" s="2" t="s">
        <v>841</v>
      </c>
      <c r="P2209" s="2" t="s">
        <v>1781</v>
      </c>
    </row>
    <row r="2210" spans="1:16" ht="22" customHeight="1" x14ac:dyDescent="0.15">
      <c r="A2210" s="10" t="str">
        <f t="shared" ref="A2210" si="408">B2210&amp;"_"&amp;D2210&amp;"_"&amp;E2210&amp;"_"&amp;F2210&amp;"_"&amp;G2210</f>
        <v>493_1_0_1_polygon</v>
      </c>
      <c r="B2210" s="2">
        <v>493</v>
      </c>
      <c r="C2210" s="30" t="str">
        <f>VLOOKUP(B2210,gachas!A:C,3)</f>
        <v>ニューフェイスガチャ（戦国2）</v>
      </c>
      <c r="D2210" s="21">
        <v>1</v>
      </c>
      <c r="E2210" s="2">
        <v>0</v>
      </c>
      <c r="F2210" s="2">
        <v>1</v>
      </c>
      <c r="G2210" s="3" t="s">
        <v>22</v>
      </c>
      <c r="H2210" s="2">
        <v>5</v>
      </c>
      <c r="I2210" s="117" t="str">
        <f t="shared" ref="I2210:I2211" si="409">B2210&amp;TEXT(D2210,"00")&amp;E2210</f>
        <v>493010</v>
      </c>
      <c r="J2210" s="112" t="s">
        <v>84</v>
      </c>
      <c r="K2210" s="2" t="s">
        <v>84</v>
      </c>
      <c r="L2210" s="2">
        <v>0</v>
      </c>
      <c r="M2210" s="2" t="s">
        <v>84</v>
      </c>
      <c r="N2210" s="2" t="s">
        <v>84</v>
      </c>
      <c r="O2210" s="2" t="s">
        <v>841</v>
      </c>
      <c r="P2210" s="2" t="s">
        <v>84</v>
      </c>
    </row>
    <row r="2211" spans="1:16" ht="22" customHeight="1" x14ac:dyDescent="0.15">
      <c r="A2211" s="10" t="str">
        <f t="shared" ref="A2211:A2274" si="410">B2211&amp;"_"&amp;D2211&amp;"_"&amp;E2211&amp;"_"&amp;F2211&amp;"_"&amp;G2211</f>
        <v>493_10_0_10_polygon</v>
      </c>
      <c r="B2211" s="2">
        <v>493</v>
      </c>
      <c r="C2211" s="30" t="str">
        <f>VLOOKUP(B2211,gachas!A:C,3)</f>
        <v>ニューフェイスガチャ（戦国2）</v>
      </c>
      <c r="D2211" s="21">
        <v>10</v>
      </c>
      <c r="E2211" s="2">
        <v>0</v>
      </c>
      <c r="F2211" s="2">
        <v>10</v>
      </c>
      <c r="G2211" s="3" t="s">
        <v>22</v>
      </c>
      <c r="H2211" s="2">
        <v>50</v>
      </c>
      <c r="I2211" s="117" t="str">
        <f t="shared" si="409"/>
        <v>493100</v>
      </c>
      <c r="J2211" s="112" t="s">
        <v>84</v>
      </c>
      <c r="K2211" s="2">
        <v>493100</v>
      </c>
      <c r="L2211" s="2">
        <v>1</v>
      </c>
      <c r="M2211" s="2" t="s">
        <v>84</v>
      </c>
      <c r="N2211" s="2" t="s">
        <v>84</v>
      </c>
      <c r="O2211" s="2" t="s">
        <v>841</v>
      </c>
      <c r="P2211" s="2" t="s">
        <v>1919</v>
      </c>
    </row>
    <row r="2212" spans="1:16" ht="22" customHeight="1" x14ac:dyDescent="0.15">
      <c r="A2212" s="10" t="str">
        <f t="shared" si="410"/>
        <v>494_1_1_1_polygon</v>
      </c>
      <c r="B2212" s="2">
        <v>494</v>
      </c>
      <c r="C2212" s="30" t="str">
        <f>VLOOKUP(B2212,gachas!A:C,3)</f>
        <v>レアガチャ（戦国2in）</v>
      </c>
      <c r="D2212" s="21">
        <v>1</v>
      </c>
      <c r="E2212" s="2">
        <v>1</v>
      </c>
      <c r="F2212" s="2">
        <v>1</v>
      </c>
      <c r="G2212" s="3" t="s">
        <v>22</v>
      </c>
      <c r="H2212" s="2">
        <v>5</v>
      </c>
      <c r="I2212" s="117" t="str">
        <f>I2214</f>
        <v>494100</v>
      </c>
      <c r="J2212" s="112" t="s">
        <v>84</v>
      </c>
      <c r="K2212" s="2" t="s">
        <v>84</v>
      </c>
      <c r="L2212" s="2">
        <v>0</v>
      </c>
      <c r="M2212" s="2" t="s">
        <v>84</v>
      </c>
      <c r="N2212" s="2" t="s">
        <v>84</v>
      </c>
      <c r="O2212" s="2" t="s">
        <v>841</v>
      </c>
      <c r="P2212" s="2" t="s">
        <v>142</v>
      </c>
    </row>
    <row r="2213" spans="1:16" ht="22" customHeight="1" x14ac:dyDescent="0.15">
      <c r="A2213" s="10" t="str">
        <f t="shared" si="410"/>
        <v>494_1_0_1_polygon</v>
      </c>
      <c r="B2213" s="2">
        <v>494</v>
      </c>
      <c r="C2213" s="30" t="str">
        <f>VLOOKUP(B2213,gachas!A:C,3)</f>
        <v>レアガチャ（戦国2in）</v>
      </c>
      <c r="D2213" s="21">
        <v>1</v>
      </c>
      <c r="E2213" s="2">
        <v>0</v>
      </c>
      <c r="F2213" s="2">
        <v>1</v>
      </c>
      <c r="G2213" s="3" t="s">
        <v>22</v>
      </c>
      <c r="H2213" s="2">
        <v>5</v>
      </c>
      <c r="I2213" s="117" t="str">
        <f t="shared" ref="I2213:I2214" si="411">B2213&amp;TEXT(D2213,"00")&amp;E2213</f>
        <v>494010</v>
      </c>
      <c r="J2213" s="112" t="s">
        <v>84</v>
      </c>
      <c r="K2213" s="2" t="s">
        <v>84</v>
      </c>
      <c r="L2213" s="2">
        <v>0</v>
      </c>
      <c r="M2213" s="2" t="s">
        <v>84</v>
      </c>
      <c r="N2213" s="2" t="s">
        <v>84</v>
      </c>
      <c r="O2213" s="2" t="s">
        <v>841</v>
      </c>
      <c r="P2213" s="2" t="s">
        <v>84</v>
      </c>
    </row>
    <row r="2214" spans="1:16" ht="22" customHeight="1" x14ac:dyDescent="0.15">
      <c r="A2214" s="10" t="str">
        <f t="shared" si="410"/>
        <v>494_10_0_10_polygon</v>
      </c>
      <c r="B2214" s="2">
        <v>494</v>
      </c>
      <c r="C2214" s="30" t="str">
        <f>VLOOKUP(B2214,gachas!A:C,3)</f>
        <v>レアガチャ（戦国2in）</v>
      </c>
      <c r="D2214" s="21">
        <v>10</v>
      </c>
      <c r="E2214" s="2">
        <v>0</v>
      </c>
      <c r="F2214" s="2">
        <v>10</v>
      </c>
      <c r="G2214" s="3" t="s">
        <v>22</v>
      </c>
      <c r="H2214" s="2">
        <v>50</v>
      </c>
      <c r="I2214" s="117" t="str">
        <f t="shared" si="411"/>
        <v>494100</v>
      </c>
      <c r="J2214" s="112" t="s">
        <v>84</v>
      </c>
      <c r="K2214" s="2" t="s">
        <v>84</v>
      </c>
      <c r="L2214" s="2">
        <v>0</v>
      </c>
      <c r="M2214" s="2" t="s">
        <v>84</v>
      </c>
      <c r="N2214" s="2" t="s">
        <v>84</v>
      </c>
      <c r="O2214" s="2" t="s">
        <v>841</v>
      </c>
      <c r="P2214" s="2" t="s">
        <v>143</v>
      </c>
    </row>
    <row r="2215" spans="1:16" ht="22" customHeight="1" x14ac:dyDescent="0.15">
      <c r="A2215" s="10" t="str">
        <f t="shared" si="410"/>
        <v>495_10_1_1_polygon</v>
      </c>
      <c r="B2215" s="2">
        <v>495</v>
      </c>
      <c r="C2215" s="30" t="str">
        <f>VLOOKUP(B2215,gachas!A:C,3)</f>
        <v>デュラララガチャ宵&lt;帝人&gt;</v>
      </c>
      <c r="D2215" s="21">
        <v>10</v>
      </c>
      <c r="E2215" s="2">
        <v>1</v>
      </c>
      <c r="F2215" s="2">
        <v>1</v>
      </c>
      <c r="G2215" s="3" t="s">
        <v>22</v>
      </c>
      <c r="H2215" s="2">
        <v>1</v>
      </c>
      <c r="I2215" s="114" t="str">
        <f>B2215&amp;TEXT(D2215,"00")&amp;E2215</f>
        <v>495101</v>
      </c>
      <c r="J2215" s="112" t="s">
        <v>84</v>
      </c>
      <c r="K2215" s="2" t="s">
        <v>84</v>
      </c>
      <c r="L2215" s="2">
        <v>0</v>
      </c>
      <c r="M2215" s="2" t="s">
        <v>84</v>
      </c>
      <c r="N2215" s="2" t="s">
        <v>84</v>
      </c>
      <c r="O2215" s="2" t="s">
        <v>841</v>
      </c>
      <c r="P2215" s="2" t="s">
        <v>546</v>
      </c>
    </row>
    <row r="2216" spans="1:16" ht="22" customHeight="1" x14ac:dyDescent="0.15">
      <c r="A2216" s="10" t="str">
        <f t="shared" si="410"/>
        <v>495_10_2_3_polygon</v>
      </c>
      <c r="B2216" s="2">
        <v>495</v>
      </c>
      <c r="C2216" s="30" t="str">
        <f>VLOOKUP(B2216,gachas!A:C,3)</f>
        <v>デュラララガチャ宵&lt;帝人&gt;</v>
      </c>
      <c r="D2216" s="21">
        <v>10</v>
      </c>
      <c r="E2216" s="2">
        <v>2</v>
      </c>
      <c r="F2216" s="2">
        <v>3</v>
      </c>
      <c r="G2216" s="3" t="s">
        <v>22</v>
      </c>
      <c r="H2216" s="2">
        <v>9</v>
      </c>
      <c r="I2216" s="119" t="str">
        <f>I2215</f>
        <v>495101</v>
      </c>
      <c r="J2216" s="112" t="s">
        <v>84</v>
      </c>
      <c r="K2216" s="2" t="s">
        <v>84</v>
      </c>
      <c r="L2216" s="2">
        <v>0</v>
      </c>
      <c r="M2216" s="2" t="s">
        <v>84</v>
      </c>
      <c r="N2216" s="2" t="s">
        <v>84</v>
      </c>
      <c r="O2216" s="2" t="s">
        <v>841</v>
      </c>
      <c r="P2216" s="2" t="s">
        <v>504</v>
      </c>
    </row>
    <row r="2217" spans="1:16" ht="22" customHeight="1" x14ac:dyDescent="0.15">
      <c r="A2217" s="10" t="str">
        <f t="shared" si="410"/>
        <v>495_10_3_10_polygon</v>
      </c>
      <c r="B2217" s="2">
        <v>495</v>
      </c>
      <c r="C2217" s="30" t="str">
        <f>VLOOKUP(B2217,gachas!A:C,3)</f>
        <v>デュラララガチャ宵&lt;帝人&gt;</v>
      </c>
      <c r="D2217" s="21">
        <v>10</v>
      </c>
      <c r="E2217" s="2">
        <v>3</v>
      </c>
      <c r="F2217" s="2">
        <v>10</v>
      </c>
      <c r="G2217" s="3" t="s">
        <v>22</v>
      </c>
      <c r="H2217" s="2">
        <v>35</v>
      </c>
      <c r="I2217" s="119">
        <v>495103</v>
      </c>
      <c r="J2217" s="112" t="s">
        <v>84</v>
      </c>
      <c r="K2217" s="6">
        <v>495103</v>
      </c>
      <c r="L2217" s="2">
        <v>1</v>
      </c>
      <c r="M2217" s="2" t="s">
        <v>84</v>
      </c>
      <c r="N2217" s="2" t="s">
        <v>84</v>
      </c>
      <c r="O2217" s="2" t="s">
        <v>841</v>
      </c>
      <c r="P2217" s="2" t="s">
        <v>760</v>
      </c>
    </row>
    <row r="2218" spans="1:16" ht="22" customHeight="1" x14ac:dyDescent="0.15">
      <c r="A2218" s="10" t="str">
        <f t="shared" si="410"/>
        <v>495_10_4_10_polygon</v>
      </c>
      <c r="B2218" s="2">
        <v>495</v>
      </c>
      <c r="C2218" s="30" t="str">
        <f>VLOOKUP(B2218,gachas!A:C,3)</f>
        <v>デュラララガチャ宵&lt;帝人&gt;</v>
      </c>
      <c r="D2218" s="21">
        <v>10</v>
      </c>
      <c r="E2218" s="2">
        <v>4</v>
      </c>
      <c r="F2218" s="2">
        <v>10</v>
      </c>
      <c r="G2218" s="3" t="s">
        <v>22</v>
      </c>
      <c r="H2218" s="2">
        <v>50</v>
      </c>
      <c r="I2218" s="114" t="str">
        <f>B2218&amp;TEXT(D2218,"00")&amp;E2218</f>
        <v>495104</v>
      </c>
      <c r="J2218" s="112" t="s">
        <v>84</v>
      </c>
      <c r="K2218" s="2" t="s">
        <v>84</v>
      </c>
      <c r="L2218" s="2">
        <v>0</v>
      </c>
      <c r="M2218" s="2" t="s">
        <v>84</v>
      </c>
      <c r="N2218" s="2" t="s">
        <v>84</v>
      </c>
      <c r="O2218" s="2" t="s">
        <v>841</v>
      </c>
      <c r="P2218" s="2" t="s">
        <v>761</v>
      </c>
    </row>
    <row r="2219" spans="1:16" ht="22" customHeight="1" x14ac:dyDescent="0.15">
      <c r="A2219" s="10" t="str">
        <f t="shared" si="410"/>
        <v>495_10_5_10_polygon</v>
      </c>
      <c r="B2219" s="2">
        <v>495</v>
      </c>
      <c r="C2219" s="30" t="str">
        <f>VLOOKUP(B2219,gachas!A:C,3)</f>
        <v>デュラララガチャ宵&lt;帝人&gt;</v>
      </c>
      <c r="D2219" s="21">
        <v>10</v>
      </c>
      <c r="E2219" s="2">
        <v>5</v>
      </c>
      <c r="F2219" s="2">
        <v>10</v>
      </c>
      <c r="G2219" s="3" t="s">
        <v>22</v>
      </c>
      <c r="H2219" s="2">
        <v>50</v>
      </c>
      <c r="I2219" s="114" t="str">
        <f>B2219&amp;TEXT(D2219,"00")&amp;E2219</f>
        <v>495105</v>
      </c>
      <c r="J2219" s="112" t="s">
        <v>84</v>
      </c>
      <c r="K2219" s="2" t="s">
        <v>84</v>
      </c>
      <c r="L2219" s="2">
        <v>0</v>
      </c>
      <c r="M2219" s="2" t="s">
        <v>84</v>
      </c>
      <c r="N2219" s="2" t="s">
        <v>84</v>
      </c>
      <c r="O2219" s="2" t="s">
        <v>841</v>
      </c>
      <c r="P2219" s="2" t="s">
        <v>762</v>
      </c>
    </row>
    <row r="2220" spans="1:16" ht="22" customHeight="1" x14ac:dyDescent="0.15">
      <c r="A2220" s="10" t="str">
        <f t="shared" si="410"/>
        <v>495_10_0_10_polygon</v>
      </c>
      <c r="B2220" s="2">
        <v>495</v>
      </c>
      <c r="C2220" s="30" t="str">
        <f>VLOOKUP(B2220,gachas!A:C,3)</f>
        <v>デュラララガチャ宵&lt;帝人&gt;</v>
      </c>
      <c r="D2220" s="21">
        <v>10</v>
      </c>
      <c r="E2220" s="2">
        <v>0</v>
      </c>
      <c r="F2220" s="2">
        <v>10</v>
      </c>
      <c r="G2220" s="3" t="s">
        <v>22</v>
      </c>
      <c r="H2220" s="2">
        <v>50</v>
      </c>
      <c r="I2220" s="114" t="str">
        <f>B2220&amp;TEXT(D2220,"00")&amp;E2220</f>
        <v>495100</v>
      </c>
      <c r="J2220" s="112" t="s">
        <v>84</v>
      </c>
      <c r="K2220" s="2" t="s">
        <v>84</v>
      </c>
      <c r="L2220" s="2">
        <v>0</v>
      </c>
      <c r="M2220" s="2" t="s">
        <v>84</v>
      </c>
      <c r="N2220" s="2" t="s">
        <v>84</v>
      </c>
      <c r="O2220" s="2" t="s">
        <v>841</v>
      </c>
      <c r="P2220" s="2" t="s">
        <v>763</v>
      </c>
    </row>
    <row r="2221" spans="1:16" ht="22" customHeight="1" x14ac:dyDescent="0.15">
      <c r="A2221" s="10" t="str">
        <f t="shared" si="410"/>
        <v>496_1_0_1_polygon</v>
      </c>
      <c r="B2221" s="2">
        <v>496</v>
      </c>
      <c r="C2221" s="30" t="str">
        <f>VLOOKUP(B2221,gachas!A:C,3)</f>
        <v>★6解放記念ガチャ＜アスタロト、フール＞</v>
      </c>
      <c r="D2221" s="21">
        <v>1</v>
      </c>
      <c r="E2221" s="2">
        <v>0</v>
      </c>
      <c r="F2221" s="2">
        <v>1</v>
      </c>
      <c r="G2221" s="3" t="s">
        <v>22</v>
      </c>
      <c r="H2221" s="2">
        <v>5</v>
      </c>
      <c r="I2221" s="117" t="str">
        <f t="shared" ref="I2221:I2222" si="412">B2221&amp;TEXT(D2221,"00")&amp;E2221</f>
        <v>496010</v>
      </c>
      <c r="J2221" s="112" t="s">
        <v>84</v>
      </c>
      <c r="K2221" s="2" t="s">
        <v>84</v>
      </c>
      <c r="L2221" s="2">
        <v>0</v>
      </c>
      <c r="M2221" s="2" t="s">
        <v>84</v>
      </c>
      <c r="N2221" s="2" t="s">
        <v>84</v>
      </c>
      <c r="O2221" s="2" t="s">
        <v>841</v>
      </c>
      <c r="P2221" s="18" t="s">
        <v>84</v>
      </c>
    </row>
    <row r="2222" spans="1:16" ht="22" customHeight="1" x14ac:dyDescent="0.15">
      <c r="A2222" s="10" t="str">
        <f t="shared" si="410"/>
        <v>496_10_0_10_polygon</v>
      </c>
      <c r="B2222" s="2">
        <v>496</v>
      </c>
      <c r="C2222" s="30" t="str">
        <f>VLOOKUP(B2222,gachas!A:C,3)</f>
        <v>★6解放記念ガチャ＜アスタロト、フール＞</v>
      </c>
      <c r="D2222" s="21">
        <v>10</v>
      </c>
      <c r="E2222" s="2">
        <v>0</v>
      </c>
      <c r="F2222" s="2">
        <v>10</v>
      </c>
      <c r="G2222" s="3" t="s">
        <v>22</v>
      </c>
      <c r="H2222" s="2">
        <v>50</v>
      </c>
      <c r="I2222" s="117" t="str">
        <f t="shared" si="412"/>
        <v>496100</v>
      </c>
      <c r="J2222" s="112" t="s">
        <v>84</v>
      </c>
      <c r="K2222" s="2" t="s">
        <v>84</v>
      </c>
      <c r="L2222" s="2">
        <v>0</v>
      </c>
      <c r="M2222" s="2" t="s">
        <v>84</v>
      </c>
      <c r="N2222" s="2" t="s">
        <v>84</v>
      </c>
      <c r="O2222" s="2" t="s">
        <v>841</v>
      </c>
      <c r="P2222" s="2" t="s">
        <v>143</v>
      </c>
    </row>
    <row r="2223" spans="1:16" ht="22" customHeight="1" x14ac:dyDescent="0.15">
      <c r="A2223" s="10" t="str">
        <f t="shared" si="410"/>
        <v>496_10_1_10_polygon</v>
      </c>
      <c r="B2223" s="2">
        <v>496</v>
      </c>
      <c r="C2223" s="30" t="str">
        <f>VLOOKUP(B2223,gachas!A:C,3)</f>
        <v>★6解放記念ガチャ＜アスタロト、フール＞</v>
      </c>
      <c r="D2223" s="21">
        <v>10</v>
      </c>
      <c r="E2223" s="2">
        <f>E2222+1</f>
        <v>1</v>
      </c>
      <c r="F2223" s="2">
        <v>10</v>
      </c>
      <c r="G2223" s="3" t="s">
        <v>22</v>
      </c>
      <c r="H2223" s="2">
        <v>25</v>
      </c>
      <c r="I2223" s="117">
        <v>496100</v>
      </c>
      <c r="J2223" s="112" t="s">
        <v>84</v>
      </c>
      <c r="K2223" s="2" t="s">
        <v>84</v>
      </c>
      <c r="L2223" s="2">
        <v>0</v>
      </c>
      <c r="M2223" s="2" t="s">
        <v>84</v>
      </c>
      <c r="N2223" s="2" t="s">
        <v>84</v>
      </c>
      <c r="O2223" s="2" t="s">
        <v>841</v>
      </c>
      <c r="P2223" s="59" t="s">
        <v>1783</v>
      </c>
    </row>
    <row r="2224" spans="1:16" ht="22" customHeight="1" x14ac:dyDescent="0.15">
      <c r="A2224" s="10" t="str">
        <f t="shared" si="410"/>
        <v>496_10_2_10_polygon</v>
      </c>
      <c r="B2224" s="2">
        <v>496</v>
      </c>
      <c r="C2224" s="30" t="str">
        <f>VLOOKUP(B2224,gachas!A:C,3)</f>
        <v>★6解放記念ガチャ＜アスタロト、フール＞</v>
      </c>
      <c r="D2224" s="21">
        <v>10</v>
      </c>
      <c r="E2224" s="2">
        <f t="shared" ref="E2224:E2272" si="413">E2223+1</f>
        <v>2</v>
      </c>
      <c r="F2224" s="2">
        <v>10</v>
      </c>
      <c r="G2224" s="3" t="s">
        <v>22</v>
      </c>
      <c r="H2224" s="2">
        <v>50</v>
      </c>
      <c r="I2224" s="117">
        <v>496100</v>
      </c>
      <c r="J2224" s="112" t="s">
        <v>84</v>
      </c>
      <c r="K2224" s="2" t="s">
        <v>84</v>
      </c>
      <c r="L2224" s="2">
        <v>0</v>
      </c>
      <c r="M2224" s="2" t="s">
        <v>84</v>
      </c>
      <c r="N2224" s="2" t="s">
        <v>84</v>
      </c>
      <c r="O2224" s="2" t="s">
        <v>841</v>
      </c>
      <c r="P2224" s="2" t="s">
        <v>143</v>
      </c>
    </row>
    <row r="2225" spans="1:16" ht="22" customHeight="1" x14ac:dyDescent="0.15">
      <c r="A2225" s="10" t="str">
        <f t="shared" si="410"/>
        <v>496_10_3_10_polygon</v>
      </c>
      <c r="B2225" s="2">
        <v>496</v>
      </c>
      <c r="C2225" s="30" t="str">
        <f>VLOOKUP(B2225,gachas!A:C,3)</f>
        <v>★6解放記念ガチャ＜アスタロト、フール＞</v>
      </c>
      <c r="D2225" s="21">
        <v>10</v>
      </c>
      <c r="E2225" s="2">
        <f t="shared" si="413"/>
        <v>3</v>
      </c>
      <c r="F2225" s="2">
        <v>10</v>
      </c>
      <c r="G2225" s="3" t="s">
        <v>22</v>
      </c>
      <c r="H2225" s="2">
        <v>50</v>
      </c>
      <c r="I2225" s="117">
        <v>496100</v>
      </c>
      <c r="J2225" s="112" t="s">
        <v>84</v>
      </c>
      <c r="K2225" s="2" t="s">
        <v>84</v>
      </c>
      <c r="L2225" s="2">
        <v>0</v>
      </c>
      <c r="M2225" s="2" t="s">
        <v>84</v>
      </c>
      <c r="N2225" s="2" t="s">
        <v>84</v>
      </c>
      <c r="O2225" s="2" t="s">
        <v>841</v>
      </c>
      <c r="P2225" s="2" t="s">
        <v>143</v>
      </c>
    </row>
    <row r="2226" spans="1:16" ht="22" customHeight="1" x14ac:dyDescent="0.15">
      <c r="A2226" s="10" t="str">
        <f t="shared" si="410"/>
        <v>496_10_4_10_polygon</v>
      </c>
      <c r="B2226" s="2">
        <v>496</v>
      </c>
      <c r="C2226" s="30" t="str">
        <f>VLOOKUP(B2226,gachas!A:C,3)</f>
        <v>★6解放記念ガチャ＜アスタロト、フール＞</v>
      </c>
      <c r="D2226" s="21">
        <v>10</v>
      </c>
      <c r="E2226" s="2">
        <f t="shared" si="413"/>
        <v>4</v>
      </c>
      <c r="F2226" s="2">
        <v>10</v>
      </c>
      <c r="G2226" s="3" t="s">
        <v>22</v>
      </c>
      <c r="H2226" s="2">
        <v>50</v>
      </c>
      <c r="I2226" s="117">
        <v>496100</v>
      </c>
      <c r="J2226" s="112" t="s">
        <v>84</v>
      </c>
      <c r="K2226" s="2" t="s">
        <v>84</v>
      </c>
      <c r="L2226" s="2">
        <v>0</v>
      </c>
      <c r="M2226" s="2" t="s">
        <v>84</v>
      </c>
      <c r="N2226" s="2" t="s">
        <v>84</v>
      </c>
      <c r="O2226" s="2" t="s">
        <v>841</v>
      </c>
      <c r="P2226" s="2" t="s">
        <v>143</v>
      </c>
    </row>
    <row r="2227" spans="1:16" ht="22" customHeight="1" x14ac:dyDescent="0.15">
      <c r="A2227" s="10" t="str">
        <f t="shared" si="410"/>
        <v>496_10_5_10_polygon</v>
      </c>
      <c r="B2227" s="2">
        <v>496</v>
      </c>
      <c r="C2227" s="30" t="str">
        <f>VLOOKUP(B2227,gachas!A:C,3)</f>
        <v>★6解放記念ガチャ＜アスタロト、フール＞</v>
      </c>
      <c r="D2227" s="21">
        <v>10</v>
      </c>
      <c r="E2227" s="2">
        <f t="shared" si="413"/>
        <v>5</v>
      </c>
      <c r="F2227" s="2">
        <v>10</v>
      </c>
      <c r="G2227" s="3" t="s">
        <v>22</v>
      </c>
      <c r="H2227" s="2">
        <v>50</v>
      </c>
      <c r="I2227" s="117">
        <v>496100</v>
      </c>
      <c r="J2227" s="112" t="s">
        <v>84</v>
      </c>
      <c r="K2227" s="2">
        <v>496105</v>
      </c>
      <c r="L2227" s="2">
        <v>1</v>
      </c>
      <c r="M2227" s="2" t="s">
        <v>84</v>
      </c>
      <c r="N2227" s="2" t="s">
        <v>84</v>
      </c>
      <c r="O2227" s="2" t="s">
        <v>841</v>
      </c>
      <c r="P2227" s="2" t="s">
        <v>1781</v>
      </c>
    </row>
    <row r="2228" spans="1:16" ht="22" customHeight="1" x14ac:dyDescent="0.15">
      <c r="A2228" s="10" t="str">
        <f t="shared" si="410"/>
        <v>496_10_6_10_polygon</v>
      </c>
      <c r="B2228" s="2">
        <v>496</v>
      </c>
      <c r="C2228" s="30" t="str">
        <f>VLOOKUP(B2228,gachas!A:C,3)</f>
        <v>★6解放記念ガチャ＜アスタロト、フール＞</v>
      </c>
      <c r="D2228" s="21">
        <v>10</v>
      </c>
      <c r="E2228" s="2">
        <f t="shared" si="413"/>
        <v>6</v>
      </c>
      <c r="F2228" s="2">
        <v>10</v>
      </c>
      <c r="G2228" s="3" t="s">
        <v>22</v>
      </c>
      <c r="H2228" s="2">
        <v>25</v>
      </c>
      <c r="I2228" s="117">
        <v>496100</v>
      </c>
      <c r="J2228" s="112" t="s">
        <v>84</v>
      </c>
      <c r="K2228" s="2" t="s">
        <v>84</v>
      </c>
      <c r="L2228" s="2">
        <v>0</v>
      </c>
      <c r="M2228" s="2" t="s">
        <v>84</v>
      </c>
      <c r="N2228" s="2" t="s">
        <v>84</v>
      </c>
      <c r="O2228" s="2" t="s">
        <v>841</v>
      </c>
      <c r="P2228" s="59" t="s">
        <v>1783</v>
      </c>
    </row>
    <row r="2229" spans="1:16" ht="22" customHeight="1" x14ac:dyDescent="0.15">
      <c r="A2229" s="10" t="str">
        <f t="shared" si="410"/>
        <v>496_10_7_10_polygon</v>
      </c>
      <c r="B2229" s="2">
        <v>496</v>
      </c>
      <c r="C2229" s="30" t="str">
        <f>VLOOKUP(B2229,gachas!A:C,3)</f>
        <v>★6解放記念ガチャ＜アスタロト、フール＞</v>
      </c>
      <c r="D2229" s="21">
        <v>10</v>
      </c>
      <c r="E2229" s="2">
        <f t="shared" si="413"/>
        <v>7</v>
      </c>
      <c r="F2229" s="2">
        <v>10</v>
      </c>
      <c r="G2229" s="3" t="s">
        <v>22</v>
      </c>
      <c r="H2229" s="2">
        <v>50</v>
      </c>
      <c r="I2229" s="117">
        <v>496100</v>
      </c>
      <c r="J2229" s="112" t="s">
        <v>84</v>
      </c>
      <c r="K2229" s="2" t="s">
        <v>84</v>
      </c>
      <c r="L2229" s="2">
        <v>0</v>
      </c>
      <c r="M2229" s="2" t="s">
        <v>84</v>
      </c>
      <c r="N2229" s="2" t="s">
        <v>84</v>
      </c>
      <c r="O2229" s="2" t="s">
        <v>841</v>
      </c>
      <c r="P2229" s="2" t="s">
        <v>143</v>
      </c>
    </row>
    <row r="2230" spans="1:16" ht="22" customHeight="1" x14ac:dyDescent="0.15">
      <c r="A2230" s="10" t="str">
        <f t="shared" si="410"/>
        <v>496_10_8_10_polygon</v>
      </c>
      <c r="B2230" s="2">
        <v>496</v>
      </c>
      <c r="C2230" s="30" t="str">
        <f>VLOOKUP(B2230,gachas!A:C,3)</f>
        <v>★6解放記念ガチャ＜アスタロト、フール＞</v>
      </c>
      <c r="D2230" s="21">
        <v>10</v>
      </c>
      <c r="E2230" s="2">
        <f t="shared" si="413"/>
        <v>8</v>
      </c>
      <c r="F2230" s="2">
        <v>10</v>
      </c>
      <c r="G2230" s="3" t="s">
        <v>22</v>
      </c>
      <c r="H2230" s="2">
        <v>50</v>
      </c>
      <c r="I2230" s="117">
        <v>496100</v>
      </c>
      <c r="J2230" s="112" t="s">
        <v>84</v>
      </c>
      <c r="K2230" s="2" t="s">
        <v>84</v>
      </c>
      <c r="L2230" s="2">
        <v>0</v>
      </c>
      <c r="M2230" s="2" t="s">
        <v>84</v>
      </c>
      <c r="N2230" s="2" t="s">
        <v>84</v>
      </c>
      <c r="O2230" s="2" t="s">
        <v>841</v>
      </c>
      <c r="P2230" s="2" t="s">
        <v>143</v>
      </c>
    </row>
    <row r="2231" spans="1:16" ht="22" customHeight="1" x14ac:dyDescent="0.15">
      <c r="A2231" s="10" t="str">
        <f t="shared" si="410"/>
        <v>496_10_9_10_polygon</v>
      </c>
      <c r="B2231" s="2">
        <v>496</v>
      </c>
      <c r="C2231" s="30" t="str">
        <f>VLOOKUP(B2231,gachas!A:C,3)</f>
        <v>★6解放記念ガチャ＜アスタロト、フール＞</v>
      </c>
      <c r="D2231" s="21">
        <v>10</v>
      </c>
      <c r="E2231" s="2">
        <f t="shared" si="413"/>
        <v>9</v>
      </c>
      <c r="F2231" s="2">
        <v>10</v>
      </c>
      <c r="G2231" s="3" t="s">
        <v>22</v>
      </c>
      <c r="H2231" s="2">
        <v>50</v>
      </c>
      <c r="I2231" s="117">
        <v>496100</v>
      </c>
      <c r="J2231" s="112" t="s">
        <v>84</v>
      </c>
      <c r="K2231" s="2" t="s">
        <v>84</v>
      </c>
      <c r="L2231" s="2">
        <v>0</v>
      </c>
      <c r="M2231" s="2" t="s">
        <v>84</v>
      </c>
      <c r="N2231" s="2" t="s">
        <v>84</v>
      </c>
      <c r="O2231" s="2" t="s">
        <v>841</v>
      </c>
      <c r="P2231" s="2" t="s">
        <v>143</v>
      </c>
    </row>
    <row r="2232" spans="1:16" ht="22" customHeight="1" x14ac:dyDescent="0.15">
      <c r="A2232" s="10" t="str">
        <f t="shared" si="410"/>
        <v>496_10_10_10_polygon</v>
      </c>
      <c r="B2232" s="2">
        <v>496</v>
      </c>
      <c r="C2232" s="30" t="str">
        <f>VLOOKUP(B2232,gachas!A:C,3)</f>
        <v>★6解放記念ガチャ＜アスタロト、フール＞</v>
      </c>
      <c r="D2232" s="21">
        <v>10</v>
      </c>
      <c r="E2232" s="2">
        <f t="shared" si="413"/>
        <v>10</v>
      </c>
      <c r="F2232" s="2">
        <v>10</v>
      </c>
      <c r="G2232" s="3" t="s">
        <v>22</v>
      </c>
      <c r="H2232" s="2">
        <v>50</v>
      </c>
      <c r="I2232" s="117">
        <v>496100</v>
      </c>
      <c r="J2232" s="112" t="s">
        <v>84</v>
      </c>
      <c r="K2232" s="2">
        <v>496105</v>
      </c>
      <c r="L2232" s="2">
        <v>1</v>
      </c>
      <c r="M2232" s="2" t="s">
        <v>84</v>
      </c>
      <c r="N2232" s="2" t="s">
        <v>84</v>
      </c>
      <c r="O2232" s="2" t="s">
        <v>841</v>
      </c>
      <c r="P2232" s="2" t="s">
        <v>1781</v>
      </c>
    </row>
    <row r="2233" spans="1:16" ht="22" customHeight="1" x14ac:dyDescent="0.15">
      <c r="A2233" s="10" t="str">
        <f t="shared" si="410"/>
        <v>496_10_11_10_polygon</v>
      </c>
      <c r="B2233" s="2">
        <v>496</v>
      </c>
      <c r="C2233" s="30" t="str">
        <f>VLOOKUP(B2233,gachas!A:C,3)</f>
        <v>★6解放記念ガチャ＜アスタロト、フール＞</v>
      </c>
      <c r="D2233" s="21">
        <v>10</v>
      </c>
      <c r="E2233" s="2">
        <f t="shared" si="413"/>
        <v>11</v>
      </c>
      <c r="F2233" s="2">
        <v>10</v>
      </c>
      <c r="G2233" s="3" t="s">
        <v>22</v>
      </c>
      <c r="H2233" s="2">
        <v>25</v>
      </c>
      <c r="I2233" s="117">
        <v>496100</v>
      </c>
      <c r="J2233" s="112" t="s">
        <v>84</v>
      </c>
      <c r="K2233" s="2" t="s">
        <v>84</v>
      </c>
      <c r="L2233" s="2">
        <v>0</v>
      </c>
      <c r="M2233" s="2" t="s">
        <v>84</v>
      </c>
      <c r="N2233" s="2" t="s">
        <v>84</v>
      </c>
      <c r="O2233" s="2" t="s">
        <v>841</v>
      </c>
      <c r="P2233" s="59" t="s">
        <v>1783</v>
      </c>
    </row>
    <row r="2234" spans="1:16" ht="22" customHeight="1" x14ac:dyDescent="0.15">
      <c r="A2234" s="10" t="str">
        <f t="shared" si="410"/>
        <v>496_10_12_10_polygon</v>
      </c>
      <c r="B2234" s="2">
        <v>496</v>
      </c>
      <c r="C2234" s="30" t="str">
        <f>VLOOKUP(B2234,gachas!A:C,3)</f>
        <v>★6解放記念ガチャ＜アスタロト、フール＞</v>
      </c>
      <c r="D2234" s="21">
        <v>10</v>
      </c>
      <c r="E2234" s="2">
        <f t="shared" si="413"/>
        <v>12</v>
      </c>
      <c r="F2234" s="2">
        <v>10</v>
      </c>
      <c r="G2234" s="3" t="s">
        <v>22</v>
      </c>
      <c r="H2234" s="2">
        <v>50</v>
      </c>
      <c r="I2234" s="117">
        <v>496100</v>
      </c>
      <c r="J2234" s="112" t="s">
        <v>84</v>
      </c>
      <c r="K2234" s="2" t="s">
        <v>84</v>
      </c>
      <c r="L2234" s="2">
        <v>0</v>
      </c>
      <c r="M2234" s="2" t="s">
        <v>84</v>
      </c>
      <c r="N2234" s="2" t="s">
        <v>84</v>
      </c>
      <c r="O2234" s="2" t="s">
        <v>841</v>
      </c>
      <c r="P2234" s="2" t="s">
        <v>143</v>
      </c>
    </row>
    <row r="2235" spans="1:16" ht="22" customHeight="1" x14ac:dyDescent="0.15">
      <c r="A2235" s="10" t="str">
        <f t="shared" si="410"/>
        <v>496_10_13_10_polygon</v>
      </c>
      <c r="B2235" s="2">
        <v>496</v>
      </c>
      <c r="C2235" s="30" t="str">
        <f>VLOOKUP(B2235,gachas!A:C,3)</f>
        <v>★6解放記念ガチャ＜アスタロト、フール＞</v>
      </c>
      <c r="D2235" s="21">
        <v>10</v>
      </c>
      <c r="E2235" s="2">
        <f t="shared" si="413"/>
        <v>13</v>
      </c>
      <c r="F2235" s="2">
        <v>10</v>
      </c>
      <c r="G2235" s="3" t="s">
        <v>22</v>
      </c>
      <c r="H2235" s="2">
        <v>50</v>
      </c>
      <c r="I2235" s="117">
        <v>496100</v>
      </c>
      <c r="J2235" s="112" t="s">
        <v>84</v>
      </c>
      <c r="K2235" s="2" t="s">
        <v>84</v>
      </c>
      <c r="L2235" s="2">
        <v>0</v>
      </c>
      <c r="M2235" s="2" t="s">
        <v>84</v>
      </c>
      <c r="N2235" s="2" t="s">
        <v>84</v>
      </c>
      <c r="O2235" s="2" t="s">
        <v>841</v>
      </c>
      <c r="P2235" s="2" t="s">
        <v>143</v>
      </c>
    </row>
    <row r="2236" spans="1:16" ht="22" customHeight="1" x14ac:dyDescent="0.15">
      <c r="A2236" s="10" t="str">
        <f t="shared" si="410"/>
        <v>496_10_14_10_polygon</v>
      </c>
      <c r="B2236" s="2">
        <v>496</v>
      </c>
      <c r="C2236" s="30" t="str">
        <f>VLOOKUP(B2236,gachas!A:C,3)</f>
        <v>★6解放記念ガチャ＜アスタロト、フール＞</v>
      </c>
      <c r="D2236" s="21">
        <v>10</v>
      </c>
      <c r="E2236" s="2">
        <f t="shared" si="413"/>
        <v>14</v>
      </c>
      <c r="F2236" s="2">
        <v>10</v>
      </c>
      <c r="G2236" s="3" t="s">
        <v>22</v>
      </c>
      <c r="H2236" s="2">
        <v>50</v>
      </c>
      <c r="I2236" s="117">
        <v>496100</v>
      </c>
      <c r="J2236" s="112" t="s">
        <v>84</v>
      </c>
      <c r="K2236" s="2" t="s">
        <v>84</v>
      </c>
      <c r="L2236" s="2">
        <v>0</v>
      </c>
      <c r="M2236" s="2" t="s">
        <v>84</v>
      </c>
      <c r="N2236" s="2" t="s">
        <v>84</v>
      </c>
      <c r="O2236" s="2" t="s">
        <v>841</v>
      </c>
      <c r="P2236" s="2" t="s">
        <v>143</v>
      </c>
    </row>
    <row r="2237" spans="1:16" ht="22" customHeight="1" x14ac:dyDescent="0.15">
      <c r="A2237" s="10" t="str">
        <f t="shared" si="410"/>
        <v>496_10_15_10_polygon</v>
      </c>
      <c r="B2237" s="2">
        <v>496</v>
      </c>
      <c r="C2237" s="30" t="str">
        <f>VLOOKUP(B2237,gachas!A:C,3)</f>
        <v>★6解放記念ガチャ＜アスタロト、フール＞</v>
      </c>
      <c r="D2237" s="21">
        <v>10</v>
      </c>
      <c r="E2237" s="2">
        <f t="shared" si="413"/>
        <v>15</v>
      </c>
      <c r="F2237" s="2">
        <v>10</v>
      </c>
      <c r="G2237" s="3" t="s">
        <v>22</v>
      </c>
      <c r="H2237" s="2">
        <v>50</v>
      </c>
      <c r="I2237" s="117">
        <v>496100</v>
      </c>
      <c r="J2237" s="112" t="s">
        <v>84</v>
      </c>
      <c r="K2237" s="2">
        <v>496105</v>
      </c>
      <c r="L2237" s="2">
        <v>1</v>
      </c>
      <c r="M2237" s="2" t="s">
        <v>84</v>
      </c>
      <c r="N2237" s="2" t="s">
        <v>84</v>
      </c>
      <c r="O2237" s="2" t="s">
        <v>841</v>
      </c>
      <c r="P2237" s="2" t="s">
        <v>1781</v>
      </c>
    </row>
    <row r="2238" spans="1:16" ht="22" customHeight="1" x14ac:dyDescent="0.15">
      <c r="A2238" s="10" t="str">
        <f t="shared" si="410"/>
        <v>496_10_16_10_polygon</v>
      </c>
      <c r="B2238" s="2">
        <v>496</v>
      </c>
      <c r="C2238" s="30" t="str">
        <f>VLOOKUP(B2238,gachas!A:C,3)</f>
        <v>★6解放記念ガチャ＜アスタロト、フール＞</v>
      </c>
      <c r="D2238" s="21">
        <v>10</v>
      </c>
      <c r="E2238" s="2">
        <f t="shared" si="413"/>
        <v>16</v>
      </c>
      <c r="F2238" s="2">
        <v>10</v>
      </c>
      <c r="G2238" s="3" t="s">
        <v>22</v>
      </c>
      <c r="H2238" s="2">
        <v>25</v>
      </c>
      <c r="I2238" s="117">
        <v>496100</v>
      </c>
      <c r="J2238" s="112" t="s">
        <v>84</v>
      </c>
      <c r="K2238" s="2" t="s">
        <v>84</v>
      </c>
      <c r="L2238" s="2">
        <v>0</v>
      </c>
      <c r="M2238" s="2" t="s">
        <v>84</v>
      </c>
      <c r="N2238" s="2" t="s">
        <v>84</v>
      </c>
      <c r="O2238" s="2" t="s">
        <v>841</v>
      </c>
      <c r="P2238" s="59" t="s">
        <v>1783</v>
      </c>
    </row>
    <row r="2239" spans="1:16" ht="22" customHeight="1" x14ac:dyDescent="0.15">
      <c r="A2239" s="10" t="str">
        <f t="shared" si="410"/>
        <v>496_10_17_10_polygon</v>
      </c>
      <c r="B2239" s="2">
        <v>496</v>
      </c>
      <c r="C2239" s="30" t="str">
        <f>VLOOKUP(B2239,gachas!A:C,3)</f>
        <v>★6解放記念ガチャ＜アスタロト、フール＞</v>
      </c>
      <c r="D2239" s="21">
        <v>10</v>
      </c>
      <c r="E2239" s="2">
        <f t="shared" si="413"/>
        <v>17</v>
      </c>
      <c r="F2239" s="2">
        <v>10</v>
      </c>
      <c r="G2239" s="3" t="s">
        <v>22</v>
      </c>
      <c r="H2239" s="2">
        <v>50</v>
      </c>
      <c r="I2239" s="117">
        <v>496100</v>
      </c>
      <c r="J2239" s="112" t="s">
        <v>84</v>
      </c>
      <c r="K2239" s="2" t="s">
        <v>84</v>
      </c>
      <c r="L2239" s="2">
        <v>0</v>
      </c>
      <c r="M2239" s="2" t="s">
        <v>84</v>
      </c>
      <c r="N2239" s="2" t="s">
        <v>84</v>
      </c>
      <c r="O2239" s="2" t="s">
        <v>841</v>
      </c>
      <c r="P2239" s="2" t="s">
        <v>143</v>
      </c>
    </row>
    <row r="2240" spans="1:16" ht="22" customHeight="1" x14ac:dyDescent="0.15">
      <c r="A2240" s="10" t="str">
        <f t="shared" si="410"/>
        <v>496_10_18_10_polygon</v>
      </c>
      <c r="B2240" s="2">
        <v>496</v>
      </c>
      <c r="C2240" s="30" t="str">
        <f>VLOOKUP(B2240,gachas!A:C,3)</f>
        <v>★6解放記念ガチャ＜アスタロト、フール＞</v>
      </c>
      <c r="D2240" s="21">
        <v>10</v>
      </c>
      <c r="E2240" s="2">
        <f t="shared" si="413"/>
        <v>18</v>
      </c>
      <c r="F2240" s="2">
        <v>10</v>
      </c>
      <c r="G2240" s="3" t="s">
        <v>22</v>
      </c>
      <c r="H2240" s="2">
        <v>50</v>
      </c>
      <c r="I2240" s="117">
        <v>496100</v>
      </c>
      <c r="J2240" s="112" t="s">
        <v>84</v>
      </c>
      <c r="K2240" s="2" t="s">
        <v>84</v>
      </c>
      <c r="L2240" s="2">
        <v>0</v>
      </c>
      <c r="M2240" s="2" t="s">
        <v>84</v>
      </c>
      <c r="N2240" s="2" t="s">
        <v>84</v>
      </c>
      <c r="O2240" s="2" t="s">
        <v>841</v>
      </c>
      <c r="P2240" s="2" t="s">
        <v>143</v>
      </c>
    </row>
    <row r="2241" spans="1:16" ht="22" customHeight="1" x14ac:dyDescent="0.15">
      <c r="A2241" s="10" t="str">
        <f t="shared" si="410"/>
        <v>496_10_19_10_polygon</v>
      </c>
      <c r="B2241" s="2">
        <v>496</v>
      </c>
      <c r="C2241" s="30" t="str">
        <f>VLOOKUP(B2241,gachas!A:C,3)</f>
        <v>★6解放記念ガチャ＜アスタロト、フール＞</v>
      </c>
      <c r="D2241" s="21">
        <v>10</v>
      </c>
      <c r="E2241" s="2">
        <f t="shared" si="413"/>
        <v>19</v>
      </c>
      <c r="F2241" s="2">
        <v>10</v>
      </c>
      <c r="G2241" s="3" t="s">
        <v>22</v>
      </c>
      <c r="H2241" s="2">
        <v>50</v>
      </c>
      <c r="I2241" s="117">
        <v>496100</v>
      </c>
      <c r="J2241" s="112" t="s">
        <v>84</v>
      </c>
      <c r="K2241" s="2" t="s">
        <v>84</v>
      </c>
      <c r="L2241" s="2">
        <v>0</v>
      </c>
      <c r="M2241" s="2" t="s">
        <v>84</v>
      </c>
      <c r="N2241" s="2" t="s">
        <v>84</v>
      </c>
      <c r="O2241" s="2" t="s">
        <v>841</v>
      </c>
      <c r="P2241" s="2" t="s">
        <v>143</v>
      </c>
    </row>
    <row r="2242" spans="1:16" ht="22" customHeight="1" x14ac:dyDescent="0.15">
      <c r="A2242" s="10" t="str">
        <f t="shared" si="410"/>
        <v>496_10_20_10_polygon</v>
      </c>
      <c r="B2242" s="2">
        <v>496</v>
      </c>
      <c r="C2242" s="30" t="str">
        <f>VLOOKUP(B2242,gachas!A:C,3)</f>
        <v>★6解放記念ガチャ＜アスタロト、フール＞</v>
      </c>
      <c r="D2242" s="21">
        <v>10</v>
      </c>
      <c r="E2242" s="2">
        <f t="shared" si="413"/>
        <v>20</v>
      </c>
      <c r="F2242" s="2">
        <v>10</v>
      </c>
      <c r="G2242" s="3" t="s">
        <v>22</v>
      </c>
      <c r="H2242" s="2">
        <v>50</v>
      </c>
      <c r="I2242" s="117">
        <v>496100</v>
      </c>
      <c r="J2242" s="112" t="s">
        <v>84</v>
      </c>
      <c r="K2242" s="2">
        <v>496105</v>
      </c>
      <c r="L2242" s="2">
        <v>1</v>
      </c>
      <c r="M2242" s="2" t="s">
        <v>84</v>
      </c>
      <c r="N2242" s="2" t="s">
        <v>84</v>
      </c>
      <c r="O2242" s="2" t="s">
        <v>841</v>
      </c>
      <c r="P2242" s="2" t="s">
        <v>1781</v>
      </c>
    </row>
    <row r="2243" spans="1:16" ht="22" customHeight="1" x14ac:dyDescent="0.15">
      <c r="A2243" s="10" t="str">
        <f t="shared" si="410"/>
        <v>496_10_21_10_polygon</v>
      </c>
      <c r="B2243" s="2">
        <v>496</v>
      </c>
      <c r="C2243" s="30" t="str">
        <f>VLOOKUP(B2243,gachas!A:C,3)</f>
        <v>★6解放記念ガチャ＜アスタロト、フール＞</v>
      </c>
      <c r="D2243" s="21">
        <v>10</v>
      </c>
      <c r="E2243" s="2">
        <f t="shared" si="413"/>
        <v>21</v>
      </c>
      <c r="F2243" s="2">
        <v>10</v>
      </c>
      <c r="G2243" s="3" t="s">
        <v>22</v>
      </c>
      <c r="H2243" s="2">
        <v>25</v>
      </c>
      <c r="I2243" s="117">
        <v>496100</v>
      </c>
      <c r="J2243" s="112" t="s">
        <v>84</v>
      </c>
      <c r="K2243" s="2" t="s">
        <v>84</v>
      </c>
      <c r="L2243" s="2">
        <v>0</v>
      </c>
      <c r="M2243" s="2" t="s">
        <v>84</v>
      </c>
      <c r="N2243" s="2" t="s">
        <v>84</v>
      </c>
      <c r="O2243" s="2" t="s">
        <v>841</v>
      </c>
      <c r="P2243" s="59" t="s">
        <v>1783</v>
      </c>
    </row>
    <row r="2244" spans="1:16" ht="22" customHeight="1" x14ac:dyDescent="0.15">
      <c r="A2244" s="10" t="str">
        <f t="shared" si="410"/>
        <v>496_10_22_10_polygon</v>
      </c>
      <c r="B2244" s="2">
        <v>496</v>
      </c>
      <c r="C2244" s="30" t="str">
        <f>VLOOKUP(B2244,gachas!A:C,3)</f>
        <v>★6解放記念ガチャ＜アスタロト、フール＞</v>
      </c>
      <c r="D2244" s="21">
        <v>10</v>
      </c>
      <c r="E2244" s="2">
        <f t="shared" si="413"/>
        <v>22</v>
      </c>
      <c r="F2244" s="2">
        <v>10</v>
      </c>
      <c r="G2244" s="3" t="s">
        <v>22</v>
      </c>
      <c r="H2244" s="2">
        <v>50</v>
      </c>
      <c r="I2244" s="117">
        <v>496100</v>
      </c>
      <c r="J2244" s="112" t="s">
        <v>84</v>
      </c>
      <c r="K2244" s="2" t="s">
        <v>84</v>
      </c>
      <c r="L2244" s="2">
        <v>0</v>
      </c>
      <c r="M2244" s="2" t="s">
        <v>84</v>
      </c>
      <c r="N2244" s="2" t="s">
        <v>84</v>
      </c>
      <c r="O2244" s="2" t="s">
        <v>841</v>
      </c>
      <c r="P2244" s="2" t="s">
        <v>143</v>
      </c>
    </row>
    <row r="2245" spans="1:16" ht="22" customHeight="1" x14ac:dyDescent="0.15">
      <c r="A2245" s="10" t="str">
        <f t="shared" si="410"/>
        <v>496_10_23_10_polygon</v>
      </c>
      <c r="B2245" s="2">
        <v>496</v>
      </c>
      <c r="C2245" s="30" t="str">
        <f>VLOOKUP(B2245,gachas!A:C,3)</f>
        <v>★6解放記念ガチャ＜アスタロト、フール＞</v>
      </c>
      <c r="D2245" s="21">
        <v>10</v>
      </c>
      <c r="E2245" s="2">
        <f t="shared" si="413"/>
        <v>23</v>
      </c>
      <c r="F2245" s="2">
        <v>10</v>
      </c>
      <c r="G2245" s="3" t="s">
        <v>22</v>
      </c>
      <c r="H2245" s="2">
        <v>50</v>
      </c>
      <c r="I2245" s="117">
        <v>496100</v>
      </c>
      <c r="J2245" s="112" t="s">
        <v>84</v>
      </c>
      <c r="K2245" s="2" t="s">
        <v>84</v>
      </c>
      <c r="L2245" s="2">
        <v>0</v>
      </c>
      <c r="M2245" s="2" t="s">
        <v>84</v>
      </c>
      <c r="N2245" s="2" t="s">
        <v>84</v>
      </c>
      <c r="O2245" s="2" t="s">
        <v>841</v>
      </c>
      <c r="P2245" s="2" t="s">
        <v>143</v>
      </c>
    </row>
    <row r="2246" spans="1:16" ht="22" customHeight="1" x14ac:dyDescent="0.15">
      <c r="A2246" s="10" t="str">
        <f t="shared" si="410"/>
        <v>496_10_24_10_polygon</v>
      </c>
      <c r="B2246" s="2">
        <v>496</v>
      </c>
      <c r="C2246" s="30" t="str">
        <f>VLOOKUP(B2246,gachas!A:C,3)</f>
        <v>★6解放記念ガチャ＜アスタロト、フール＞</v>
      </c>
      <c r="D2246" s="21">
        <v>10</v>
      </c>
      <c r="E2246" s="2">
        <f t="shared" si="413"/>
        <v>24</v>
      </c>
      <c r="F2246" s="2">
        <v>10</v>
      </c>
      <c r="G2246" s="3" t="s">
        <v>22</v>
      </c>
      <c r="H2246" s="2">
        <v>50</v>
      </c>
      <c r="I2246" s="117">
        <v>496100</v>
      </c>
      <c r="J2246" s="112" t="s">
        <v>84</v>
      </c>
      <c r="K2246" s="2" t="s">
        <v>84</v>
      </c>
      <c r="L2246" s="2">
        <v>0</v>
      </c>
      <c r="M2246" s="2" t="s">
        <v>84</v>
      </c>
      <c r="N2246" s="2" t="s">
        <v>84</v>
      </c>
      <c r="O2246" s="2" t="s">
        <v>841</v>
      </c>
      <c r="P2246" s="2" t="s">
        <v>143</v>
      </c>
    </row>
    <row r="2247" spans="1:16" ht="22" customHeight="1" x14ac:dyDescent="0.15">
      <c r="A2247" s="10" t="str">
        <f t="shared" si="410"/>
        <v>496_10_25_10_polygon</v>
      </c>
      <c r="B2247" s="2">
        <v>496</v>
      </c>
      <c r="C2247" s="30" t="str">
        <f>VLOOKUP(B2247,gachas!A:C,3)</f>
        <v>★6解放記念ガチャ＜アスタロト、フール＞</v>
      </c>
      <c r="D2247" s="21">
        <v>10</v>
      </c>
      <c r="E2247" s="2">
        <f t="shared" si="413"/>
        <v>25</v>
      </c>
      <c r="F2247" s="2">
        <v>10</v>
      </c>
      <c r="G2247" s="3" t="s">
        <v>22</v>
      </c>
      <c r="H2247" s="2">
        <v>50</v>
      </c>
      <c r="I2247" s="117">
        <v>496100</v>
      </c>
      <c r="J2247" s="112" t="s">
        <v>84</v>
      </c>
      <c r="K2247" s="2">
        <v>496105</v>
      </c>
      <c r="L2247" s="2">
        <v>1</v>
      </c>
      <c r="M2247" s="2" t="s">
        <v>84</v>
      </c>
      <c r="N2247" s="2" t="s">
        <v>84</v>
      </c>
      <c r="O2247" s="2" t="s">
        <v>841</v>
      </c>
      <c r="P2247" s="2" t="s">
        <v>1781</v>
      </c>
    </row>
    <row r="2248" spans="1:16" ht="22" customHeight="1" x14ac:dyDescent="0.15">
      <c r="A2248" s="10" t="str">
        <f t="shared" si="410"/>
        <v>496_10_26_10_polygon</v>
      </c>
      <c r="B2248" s="2">
        <v>496</v>
      </c>
      <c r="C2248" s="30" t="str">
        <f>VLOOKUP(B2248,gachas!A:C,3)</f>
        <v>★6解放記念ガチャ＜アスタロト、フール＞</v>
      </c>
      <c r="D2248" s="21">
        <v>10</v>
      </c>
      <c r="E2248" s="2">
        <f t="shared" si="413"/>
        <v>26</v>
      </c>
      <c r="F2248" s="2">
        <v>10</v>
      </c>
      <c r="G2248" s="3" t="s">
        <v>22</v>
      </c>
      <c r="H2248" s="2">
        <v>25</v>
      </c>
      <c r="I2248" s="117">
        <v>496100</v>
      </c>
      <c r="J2248" s="112" t="s">
        <v>84</v>
      </c>
      <c r="K2248" s="2" t="s">
        <v>84</v>
      </c>
      <c r="L2248" s="2">
        <v>0</v>
      </c>
      <c r="M2248" s="2" t="s">
        <v>84</v>
      </c>
      <c r="N2248" s="2" t="s">
        <v>84</v>
      </c>
      <c r="O2248" s="2" t="s">
        <v>841</v>
      </c>
      <c r="P2248" s="59" t="s">
        <v>1783</v>
      </c>
    </row>
    <row r="2249" spans="1:16" ht="22" customHeight="1" x14ac:dyDescent="0.15">
      <c r="A2249" s="10" t="str">
        <f t="shared" si="410"/>
        <v>496_10_27_10_polygon</v>
      </c>
      <c r="B2249" s="2">
        <v>496</v>
      </c>
      <c r="C2249" s="30" t="str">
        <f>VLOOKUP(B2249,gachas!A:C,3)</f>
        <v>★6解放記念ガチャ＜アスタロト、フール＞</v>
      </c>
      <c r="D2249" s="21">
        <v>10</v>
      </c>
      <c r="E2249" s="2">
        <f t="shared" si="413"/>
        <v>27</v>
      </c>
      <c r="F2249" s="2">
        <v>10</v>
      </c>
      <c r="G2249" s="3" t="s">
        <v>22</v>
      </c>
      <c r="H2249" s="2">
        <v>50</v>
      </c>
      <c r="I2249" s="117">
        <v>496100</v>
      </c>
      <c r="J2249" s="112" t="s">
        <v>84</v>
      </c>
      <c r="K2249" s="2" t="s">
        <v>84</v>
      </c>
      <c r="L2249" s="2">
        <v>0</v>
      </c>
      <c r="M2249" s="2" t="s">
        <v>84</v>
      </c>
      <c r="N2249" s="2" t="s">
        <v>84</v>
      </c>
      <c r="O2249" s="2" t="s">
        <v>841</v>
      </c>
      <c r="P2249" s="2" t="s">
        <v>143</v>
      </c>
    </row>
    <row r="2250" spans="1:16" ht="22" customHeight="1" x14ac:dyDescent="0.15">
      <c r="A2250" s="10" t="str">
        <f t="shared" si="410"/>
        <v>496_10_28_10_polygon</v>
      </c>
      <c r="B2250" s="2">
        <v>496</v>
      </c>
      <c r="C2250" s="30" t="str">
        <f>VLOOKUP(B2250,gachas!A:C,3)</f>
        <v>★6解放記念ガチャ＜アスタロト、フール＞</v>
      </c>
      <c r="D2250" s="21">
        <v>10</v>
      </c>
      <c r="E2250" s="2">
        <f t="shared" si="413"/>
        <v>28</v>
      </c>
      <c r="F2250" s="2">
        <v>10</v>
      </c>
      <c r="G2250" s="3" t="s">
        <v>22</v>
      </c>
      <c r="H2250" s="2">
        <v>50</v>
      </c>
      <c r="I2250" s="117">
        <v>496100</v>
      </c>
      <c r="J2250" s="112" t="s">
        <v>84</v>
      </c>
      <c r="K2250" s="2" t="s">
        <v>84</v>
      </c>
      <c r="L2250" s="2">
        <v>0</v>
      </c>
      <c r="M2250" s="2" t="s">
        <v>84</v>
      </c>
      <c r="N2250" s="2" t="s">
        <v>84</v>
      </c>
      <c r="O2250" s="2" t="s">
        <v>841</v>
      </c>
      <c r="P2250" s="2" t="s">
        <v>143</v>
      </c>
    </row>
    <row r="2251" spans="1:16" ht="22" customHeight="1" x14ac:dyDescent="0.15">
      <c r="A2251" s="10" t="str">
        <f t="shared" si="410"/>
        <v>496_10_29_10_polygon</v>
      </c>
      <c r="B2251" s="2">
        <v>496</v>
      </c>
      <c r="C2251" s="30" t="str">
        <f>VLOOKUP(B2251,gachas!A:C,3)</f>
        <v>★6解放記念ガチャ＜アスタロト、フール＞</v>
      </c>
      <c r="D2251" s="21">
        <v>10</v>
      </c>
      <c r="E2251" s="2">
        <f t="shared" si="413"/>
        <v>29</v>
      </c>
      <c r="F2251" s="2">
        <v>10</v>
      </c>
      <c r="G2251" s="3" t="s">
        <v>22</v>
      </c>
      <c r="H2251" s="2">
        <v>50</v>
      </c>
      <c r="I2251" s="117">
        <v>496100</v>
      </c>
      <c r="J2251" s="112" t="s">
        <v>84</v>
      </c>
      <c r="K2251" s="2" t="s">
        <v>84</v>
      </c>
      <c r="L2251" s="2">
        <v>0</v>
      </c>
      <c r="M2251" s="2" t="s">
        <v>84</v>
      </c>
      <c r="N2251" s="2" t="s">
        <v>84</v>
      </c>
      <c r="O2251" s="2" t="s">
        <v>841</v>
      </c>
      <c r="P2251" s="2" t="s">
        <v>143</v>
      </c>
    </row>
    <row r="2252" spans="1:16" ht="22" customHeight="1" x14ac:dyDescent="0.15">
      <c r="A2252" s="10" t="str">
        <f t="shared" si="410"/>
        <v>496_10_30_10_polygon</v>
      </c>
      <c r="B2252" s="2">
        <v>496</v>
      </c>
      <c r="C2252" s="30" t="str">
        <f>VLOOKUP(B2252,gachas!A:C,3)</f>
        <v>★6解放記念ガチャ＜アスタロト、フール＞</v>
      </c>
      <c r="D2252" s="21">
        <v>10</v>
      </c>
      <c r="E2252" s="2">
        <f t="shared" si="413"/>
        <v>30</v>
      </c>
      <c r="F2252" s="2">
        <v>10</v>
      </c>
      <c r="G2252" s="3" t="s">
        <v>22</v>
      </c>
      <c r="H2252" s="2">
        <v>50</v>
      </c>
      <c r="I2252" s="117">
        <v>496100</v>
      </c>
      <c r="J2252" s="112" t="s">
        <v>84</v>
      </c>
      <c r="K2252" s="2">
        <v>496105</v>
      </c>
      <c r="L2252" s="2">
        <v>1</v>
      </c>
      <c r="M2252" s="2" t="s">
        <v>84</v>
      </c>
      <c r="N2252" s="2" t="s">
        <v>84</v>
      </c>
      <c r="O2252" s="2" t="s">
        <v>841</v>
      </c>
      <c r="P2252" s="2" t="s">
        <v>1781</v>
      </c>
    </row>
    <row r="2253" spans="1:16" ht="22" customHeight="1" x14ac:dyDescent="0.15">
      <c r="A2253" s="10" t="str">
        <f t="shared" si="410"/>
        <v>496_10_31_10_polygon</v>
      </c>
      <c r="B2253" s="2">
        <v>496</v>
      </c>
      <c r="C2253" s="30" t="str">
        <f>VLOOKUP(B2253,gachas!A:C,3)</f>
        <v>★6解放記念ガチャ＜アスタロト、フール＞</v>
      </c>
      <c r="D2253" s="21">
        <v>10</v>
      </c>
      <c r="E2253" s="2">
        <f t="shared" si="413"/>
        <v>31</v>
      </c>
      <c r="F2253" s="2">
        <v>10</v>
      </c>
      <c r="G2253" s="3" t="s">
        <v>22</v>
      </c>
      <c r="H2253" s="2">
        <v>25</v>
      </c>
      <c r="I2253" s="117">
        <v>496100</v>
      </c>
      <c r="J2253" s="112" t="s">
        <v>84</v>
      </c>
      <c r="K2253" s="2" t="s">
        <v>84</v>
      </c>
      <c r="L2253" s="2">
        <v>0</v>
      </c>
      <c r="M2253" s="2" t="s">
        <v>84</v>
      </c>
      <c r="N2253" s="2" t="s">
        <v>84</v>
      </c>
      <c r="O2253" s="2" t="s">
        <v>841</v>
      </c>
      <c r="P2253" s="59" t="s">
        <v>1783</v>
      </c>
    </row>
    <row r="2254" spans="1:16" ht="22" customHeight="1" x14ac:dyDescent="0.15">
      <c r="A2254" s="10" t="str">
        <f t="shared" si="410"/>
        <v>496_10_32_10_polygon</v>
      </c>
      <c r="B2254" s="2">
        <v>496</v>
      </c>
      <c r="C2254" s="30" t="str">
        <f>VLOOKUP(B2254,gachas!A:C,3)</f>
        <v>★6解放記念ガチャ＜アスタロト、フール＞</v>
      </c>
      <c r="D2254" s="21">
        <v>10</v>
      </c>
      <c r="E2254" s="2">
        <f t="shared" si="413"/>
        <v>32</v>
      </c>
      <c r="F2254" s="2">
        <v>10</v>
      </c>
      <c r="G2254" s="3" t="s">
        <v>22</v>
      </c>
      <c r="H2254" s="2">
        <v>50</v>
      </c>
      <c r="I2254" s="117">
        <v>496100</v>
      </c>
      <c r="J2254" s="112" t="s">
        <v>84</v>
      </c>
      <c r="K2254" s="2" t="s">
        <v>84</v>
      </c>
      <c r="L2254" s="2">
        <v>0</v>
      </c>
      <c r="M2254" s="2" t="s">
        <v>84</v>
      </c>
      <c r="N2254" s="2" t="s">
        <v>84</v>
      </c>
      <c r="O2254" s="2" t="s">
        <v>841</v>
      </c>
      <c r="P2254" s="2" t="s">
        <v>143</v>
      </c>
    </row>
    <row r="2255" spans="1:16" ht="22" customHeight="1" x14ac:dyDescent="0.15">
      <c r="A2255" s="10" t="str">
        <f t="shared" si="410"/>
        <v>496_10_33_10_polygon</v>
      </c>
      <c r="B2255" s="2">
        <v>496</v>
      </c>
      <c r="C2255" s="30" t="str">
        <f>VLOOKUP(B2255,gachas!A:C,3)</f>
        <v>★6解放記念ガチャ＜アスタロト、フール＞</v>
      </c>
      <c r="D2255" s="21">
        <v>10</v>
      </c>
      <c r="E2255" s="2">
        <f t="shared" si="413"/>
        <v>33</v>
      </c>
      <c r="F2255" s="2">
        <v>10</v>
      </c>
      <c r="G2255" s="3" t="s">
        <v>22</v>
      </c>
      <c r="H2255" s="2">
        <v>50</v>
      </c>
      <c r="I2255" s="117">
        <v>496100</v>
      </c>
      <c r="J2255" s="112" t="s">
        <v>84</v>
      </c>
      <c r="K2255" s="2" t="s">
        <v>84</v>
      </c>
      <c r="L2255" s="2">
        <v>0</v>
      </c>
      <c r="M2255" s="2" t="s">
        <v>84</v>
      </c>
      <c r="N2255" s="2" t="s">
        <v>84</v>
      </c>
      <c r="O2255" s="2" t="s">
        <v>841</v>
      </c>
      <c r="P2255" s="2" t="s">
        <v>143</v>
      </c>
    </row>
    <row r="2256" spans="1:16" ht="22" customHeight="1" x14ac:dyDescent="0.15">
      <c r="A2256" s="10" t="str">
        <f t="shared" si="410"/>
        <v>496_10_34_10_polygon</v>
      </c>
      <c r="B2256" s="2">
        <v>496</v>
      </c>
      <c r="C2256" s="30" t="str">
        <f>VLOOKUP(B2256,gachas!A:C,3)</f>
        <v>★6解放記念ガチャ＜アスタロト、フール＞</v>
      </c>
      <c r="D2256" s="21">
        <v>10</v>
      </c>
      <c r="E2256" s="2">
        <f t="shared" si="413"/>
        <v>34</v>
      </c>
      <c r="F2256" s="2">
        <v>10</v>
      </c>
      <c r="G2256" s="3" t="s">
        <v>22</v>
      </c>
      <c r="H2256" s="2">
        <v>50</v>
      </c>
      <c r="I2256" s="117">
        <v>496100</v>
      </c>
      <c r="J2256" s="112" t="s">
        <v>84</v>
      </c>
      <c r="K2256" s="2" t="s">
        <v>84</v>
      </c>
      <c r="L2256" s="2">
        <v>0</v>
      </c>
      <c r="M2256" s="2" t="s">
        <v>84</v>
      </c>
      <c r="N2256" s="2" t="s">
        <v>84</v>
      </c>
      <c r="O2256" s="2" t="s">
        <v>841</v>
      </c>
      <c r="P2256" s="2" t="s">
        <v>143</v>
      </c>
    </row>
    <row r="2257" spans="1:16" ht="22" customHeight="1" x14ac:dyDescent="0.15">
      <c r="A2257" s="10" t="str">
        <f t="shared" si="410"/>
        <v>496_10_35_10_polygon</v>
      </c>
      <c r="B2257" s="2">
        <v>496</v>
      </c>
      <c r="C2257" s="30" t="str">
        <f>VLOOKUP(B2257,gachas!A:C,3)</f>
        <v>★6解放記念ガチャ＜アスタロト、フール＞</v>
      </c>
      <c r="D2257" s="21">
        <v>10</v>
      </c>
      <c r="E2257" s="2">
        <f t="shared" si="413"/>
        <v>35</v>
      </c>
      <c r="F2257" s="2">
        <v>10</v>
      </c>
      <c r="G2257" s="3" t="s">
        <v>22</v>
      </c>
      <c r="H2257" s="2">
        <v>50</v>
      </c>
      <c r="I2257" s="117">
        <v>496100</v>
      </c>
      <c r="J2257" s="112" t="s">
        <v>84</v>
      </c>
      <c r="K2257" s="2">
        <v>496105</v>
      </c>
      <c r="L2257" s="2">
        <v>1</v>
      </c>
      <c r="M2257" s="2" t="s">
        <v>84</v>
      </c>
      <c r="N2257" s="2" t="s">
        <v>84</v>
      </c>
      <c r="O2257" s="2" t="s">
        <v>841</v>
      </c>
      <c r="P2257" s="2" t="s">
        <v>1781</v>
      </c>
    </row>
    <row r="2258" spans="1:16" ht="22" customHeight="1" x14ac:dyDescent="0.15">
      <c r="A2258" s="10" t="str">
        <f t="shared" si="410"/>
        <v>496_10_36_10_polygon</v>
      </c>
      <c r="B2258" s="2">
        <v>496</v>
      </c>
      <c r="C2258" s="30" t="str">
        <f>VLOOKUP(B2258,gachas!A:C,3)</f>
        <v>★6解放記念ガチャ＜アスタロト、フール＞</v>
      </c>
      <c r="D2258" s="21">
        <v>10</v>
      </c>
      <c r="E2258" s="2">
        <f t="shared" si="413"/>
        <v>36</v>
      </c>
      <c r="F2258" s="2">
        <v>10</v>
      </c>
      <c r="G2258" s="3" t="s">
        <v>22</v>
      </c>
      <c r="H2258" s="2">
        <v>25</v>
      </c>
      <c r="I2258" s="117">
        <v>496100</v>
      </c>
      <c r="J2258" s="112" t="s">
        <v>84</v>
      </c>
      <c r="K2258" s="2" t="s">
        <v>84</v>
      </c>
      <c r="L2258" s="2">
        <v>0</v>
      </c>
      <c r="M2258" s="2" t="s">
        <v>84</v>
      </c>
      <c r="N2258" s="2" t="s">
        <v>84</v>
      </c>
      <c r="O2258" s="2" t="s">
        <v>841</v>
      </c>
      <c r="P2258" s="59" t="s">
        <v>1783</v>
      </c>
    </row>
    <row r="2259" spans="1:16" ht="22" customHeight="1" x14ac:dyDescent="0.15">
      <c r="A2259" s="10" t="str">
        <f t="shared" si="410"/>
        <v>496_10_37_10_polygon</v>
      </c>
      <c r="B2259" s="2">
        <v>496</v>
      </c>
      <c r="C2259" s="30" t="str">
        <f>VLOOKUP(B2259,gachas!A:C,3)</f>
        <v>★6解放記念ガチャ＜アスタロト、フール＞</v>
      </c>
      <c r="D2259" s="21">
        <v>10</v>
      </c>
      <c r="E2259" s="2">
        <f t="shared" si="413"/>
        <v>37</v>
      </c>
      <c r="F2259" s="2">
        <v>10</v>
      </c>
      <c r="G2259" s="3" t="s">
        <v>22</v>
      </c>
      <c r="H2259" s="2">
        <v>50</v>
      </c>
      <c r="I2259" s="117">
        <v>496100</v>
      </c>
      <c r="J2259" s="112" t="s">
        <v>84</v>
      </c>
      <c r="K2259" s="2" t="s">
        <v>84</v>
      </c>
      <c r="L2259" s="2">
        <v>0</v>
      </c>
      <c r="M2259" s="2" t="s">
        <v>84</v>
      </c>
      <c r="N2259" s="2" t="s">
        <v>84</v>
      </c>
      <c r="O2259" s="2" t="s">
        <v>841</v>
      </c>
      <c r="P2259" s="2" t="s">
        <v>143</v>
      </c>
    </row>
    <row r="2260" spans="1:16" ht="22" customHeight="1" x14ac:dyDescent="0.15">
      <c r="A2260" s="10" t="str">
        <f t="shared" si="410"/>
        <v>496_10_38_10_polygon</v>
      </c>
      <c r="B2260" s="2">
        <v>496</v>
      </c>
      <c r="C2260" s="30" t="str">
        <f>VLOOKUP(B2260,gachas!A:C,3)</f>
        <v>★6解放記念ガチャ＜アスタロト、フール＞</v>
      </c>
      <c r="D2260" s="21">
        <v>10</v>
      </c>
      <c r="E2260" s="2">
        <f t="shared" si="413"/>
        <v>38</v>
      </c>
      <c r="F2260" s="2">
        <v>10</v>
      </c>
      <c r="G2260" s="3" t="s">
        <v>22</v>
      </c>
      <c r="H2260" s="2">
        <v>50</v>
      </c>
      <c r="I2260" s="117">
        <v>496100</v>
      </c>
      <c r="J2260" s="112" t="s">
        <v>84</v>
      </c>
      <c r="K2260" s="2" t="s">
        <v>84</v>
      </c>
      <c r="L2260" s="2">
        <v>0</v>
      </c>
      <c r="M2260" s="2" t="s">
        <v>84</v>
      </c>
      <c r="N2260" s="2" t="s">
        <v>84</v>
      </c>
      <c r="O2260" s="2" t="s">
        <v>841</v>
      </c>
      <c r="P2260" s="2" t="s">
        <v>143</v>
      </c>
    </row>
    <row r="2261" spans="1:16" ht="22" customHeight="1" x14ac:dyDescent="0.15">
      <c r="A2261" s="10" t="str">
        <f t="shared" si="410"/>
        <v>496_10_39_10_polygon</v>
      </c>
      <c r="B2261" s="2">
        <v>496</v>
      </c>
      <c r="C2261" s="30" t="str">
        <f>VLOOKUP(B2261,gachas!A:C,3)</f>
        <v>★6解放記念ガチャ＜アスタロト、フール＞</v>
      </c>
      <c r="D2261" s="21">
        <v>10</v>
      </c>
      <c r="E2261" s="2">
        <f t="shared" si="413"/>
        <v>39</v>
      </c>
      <c r="F2261" s="2">
        <v>10</v>
      </c>
      <c r="G2261" s="3" t="s">
        <v>22</v>
      </c>
      <c r="H2261" s="2">
        <v>50</v>
      </c>
      <c r="I2261" s="117">
        <v>496100</v>
      </c>
      <c r="J2261" s="112" t="s">
        <v>84</v>
      </c>
      <c r="K2261" s="2" t="s">
        <v>84</v>
      </c>
      <c r="L2261" s="2">
        <v>0</v>
      </c>
      <c r="M2261" s="2" t="s">
        <v>84</v>
      </c>
      <c r="N2261" s="2" t="s">
        <v>84</v>
      </c>
      <c r="O2261" s="2" t="s">
        <v>841</v>
      </c>
      <c r="P2261" s="2" t="s">
        <v>143</v>
      </c>
    </row>
    <row r="2262" spans="1:16" ht="22" customHeight="1" x14ac:dyDescent="0.15">
      <c r="A2262" s="10" t="str">
        <f t="shared" si="410"/>
        <v>496_10_40_10_polygon</v>
      </c>
      <c r="B2262" s="2">
        <v>496</v>
      </c>
      <c r="C2262" s="30" t="str">
        <f>VLOOKUP(B2262,gachas!A:C,3)</f>
        <v>★6解放記念ガチャ＜アスタロト、フール＞</v>
      </c>
      <c r="D2262" s="21">
        <v>10</v>
      </c>
      <c r="E2262" s="2">
        <f t="shared" si="413"/>
        <v>40</v>
      </c>
      <c r="F2262" s="2">
        <v>10</v>
      </c>
      <c r="G2262" s="3" t="s">
        <v>22</v>
      </c>
      <c r="H2262" s="2">
        <v>50</v>
      </c>
      <c r="I2262" s="117">
        <v>496100</v>
      </c>
      <c r="J2262" s="112" t="s">
        <v>84</v>
      </c>
      <c r="K2262" s="2">
        <v>496105</v>
      </c>
      <c r="L2262" s="2">
        <v>1</v>
      </c>
      <c r="M2262" s="2" t="s">
        <v>84</v>
      </c>
      <c r="N2262" s="2" t="s">
        <v>84</v>
      </c>
      <c r="O2262" s="2" t="s">
        <v>841</v>
      </c>
      <c r="P2262" s="2" t="s">
        <v>1781</v>
      </c>
    </row>
    <row r="2263" spans="1:16" ht="22" customHeight="1" x14ac:dyDescent="0.15">
      <c r="A2263" s="10" t="str">
        <f t="shared" si="410"/>
        <v>496_10_41_10_polygon</v>
      </c>
      <c r="B2263" s="2">
        <v>496</v>
      </c>
      <c r="C2263" s="30" t="str">
        <f>VLOOKUP(B2263,gachas!A:C,3)</f>
        <v>★6解放記念ガチャ＜アスタロト、フール＞</v>
      </c>
      <c r="D2263" s="21">
        <v>10</v>
      </c>
      <c r="E2263" s="2">
        <f t="shared" si="413"/>
        <v>41</v>
      </c>
      <c r="F2263" s="2">
        <v>10</v>
      </c>
      <c r="G2263" s="3" t="s">
        <v>22</v>
      </c>
      <c r="H2263" s="2">
        <v>25</v>
      </c>
      <c r="I2263" s="117">
        <v>496100</v>
      </c>
      <c r="J2263" s="112" t="s">
        <v>84</v>
      </c>
      <c r="K2263" s="2" t="s">
        <v>84</v>
      </c>
      <c r="L2263" s="2">
        <v>0</v>
      </c>
      <c r="M2263" s="2" t="s">
        <v>84</v>
      </c>
      <c r="N2263" s="2" t="s">
        <v>84</v>
      </c>
      <c r="O2263" s="2" t="s">
        <v>841</v>
      </c>
      <c r="P2263" s="59" t="s">
        <v>1783</v>
      </c>
    </row>
    <row r="2264" spans="1:16" ht="22" customHeight="1" x14ac:dyDescent="0.15">
      <c r="A2264" s="10" t="str">
        <f t="shared" si="410"/>
        <v>496_10_42_10_polygon</v>
      </c>
      <c r="B2264" s="2">
        <v>496</v>
      </c>
      <c r="C2264" s="30" t="str">
        <f>VLOOKUP(B2264,gachas!A:C,3)</f>
        <v>★6解放記念ガチャ＜アスタロト、フール＞</v>
      </c>
      <c r="D2264" s="21">
        <v>10</v>
      </c>
      <c r="E2264" s="2">
        <f t="shared" si="413"/>
        <v>42</v>
      </c>
      <c r="F2264" s="2">
        <v>10</v>
      </c>
      <c r="G2264" s="3" t="s">
        <v>22</v>
      </c>
      <c r="H2264" s="2">
        <v>50</v>
      </c>
      <c r="I2264" s="117">
        <v>496100</v>
      </c>
      <c r="J2264" s="112" t="s">
        <v>84</v>
      </c>
      <c r="K2264" s="2" t="s">
        <v>84</v>
      </c>
      <c r="L2264" s="2">
        <v>0</v>
      </c>
      <c r="M2264" s="2" t="s">
        <v>84</v>
      </c>
      <c r="N2264" s="2" t="s">
        <v>84</v>
      </c>
      <c r="O2264" s="2" t="s">
        <v>841</v>
      </c>
      <c r="P2264" s="2" t="s">
        <v>143</v>
      </c>
    </row>
    <row r="2265" spans="1:16" ht="22" customHeight="1" x14ac:dyDescent="0.15">
      <c r="A2265" s="10" t="str">
        <f t="shared" si="410"/>
        <v>496_10_43_10_polygon</v>
      </c>
      <c r="B2265" s="2">
        <v>496</v>
      </c>
      <c r="C2265" s="30" t="str">
        <f>VLOOKUP(B2265,gachas!A:C,3)</f>
        <v>★6解放記念ガチャ＜アスタロト、フール＞</v>
      </c>
      <c r="D2265" s="21">
        <v>10</v>
      </c>
      <c r="E2265" s="2">
        <f t="shared" si="413"/>
        <v>43</v>
      </c>
      <c r="F2265" s="2">
        <v>10</v>
      </c>
      <c r="G2265" s="3" t="s">
        <v>22</v>
      </c>
      <c r="H2265" s="2">
        <v>50</v>
      </c>
      <c r="I2265" s="117">
        <v>496100</v>
      </c>
      <c r="J2265" s="112" t="s">
        <v>84</v>
      </c>
      <c r="K2265" s="2" t="s">
        <v>84</v>
      </c>
      <c r="L2265" s="2">
        <v>0</v>
      </c>
      <c r="M2265" s="2" t="s">
        <v>84</v>
      </c>
      <c r="N2265" s="2" t="s">
        <v>84</v>
      </c>
      <c r="O2265" s="2" t="s">
        <v>841</v>
      </c>
      <c r="P2265" s="2" t="s">
        <v>143</v>
      </c>
    </row>
    <row r="2266" spans="1:16" ht="22" customHeight="1" x14ac:dyDescent="0.15">
      <c r="A2266" s="10" t="str">
        <f t="shared" si="410"/>
        <v>496_10_44_10_polygon</v>
      </c>
      <c r="B2266" s="2">
        <v>496</v>
      </c>
      <c r="C2266" s="30" t="str">
        <f>VLOOKUP(B2266,gachas!A:C,3)</f>
        <v>★6解放記念ガチャ＜アスタロト、フール＞</v>
      </c>
      <c r="D2266" s="21">
        <v>10</v>
      </c>
      <c r="E2266" s="2">
        <f t="shared" si="413"/>
        <v>44</v>
      </c>
      <c r="F2266" s="2">
        <v>10</v>
      </c>
      <c r="G2266" s="3" t="s">
        <v>22</v>
      </c>
      <c r="H2266" s="2">
        <v>50</v>
      </c>
      <c r="I2266" s="117">
        <v>496100</v>
      </c>
      <c r="J2266" s="112" t="s">
        <v>84</v>
      </c>
      <c r="K2266" s="2" t="s">
        <v>84</v>
      </c>
      <c r="L2266" s="2">
        <v>0</v>
      </c>
      <c r="M2266" s="2" t="s">
        <v>84</v>
      </c>
      <c r="N2266" s="2" t="s">
        <v>84</v>
      </c>
      <c r="O2266" s="2" t="s">
        <v>841</v>
      </c>
      <c r="P2266" s="2" t="s">
        <v>143</v>
      </c>
    </row>
    <row r="2267" spans="1:16" ht="22" customHeight="1" x14ac:dyDescent="0.15">
      <c r="A2267" s="10" t="str">
        <f t="shared" si="410"/>
        <v>496_10_45_10_polygon</v>
      </c>
      <c r="B2267" s="2">
        <v>496</v>
      </c>
      <c r="C2267" s="30" t="str">
        <f>VLOOKUP(B2267,gachas!A:C,3)</f>
        <v>★6解放記念ガチャ＜アスタロト、フール＞</v>
      </c>
      <c r="D2267" s="21">
        <v>10</v>
      </c>
      <c r="E2267" s="2">
        <f t="shared" si="413"/>
        <v>45</v>
      </c>
      <c r="F2267" s="2">
        <v>10</v>
      </c>
      <c r="G2267" s="3" t="s">
        <v>22</v>
      </c>
      <c r="H2267" s="2">
        <v>50</v>
      </c>
      <c r="I2267" s="117">
        <v>496100</v>
      </c>
      <c r="J2267" s="112" t="s">
        <v>84</v>
      </c>
      <c r="K2267" s="2">
        <v>496105</v>
      </c>
      <c r="L2267" s="2">
        <v>1</v>
      </c>
      <c r="M2267" s="2" t="s">
        <v>84</v>
      </c>
      <c r="N2267" s="2" t="s">
        <v>84</v>
      </c>
      <c r="O2267" s="2" t="s">
        <v>841</v>
      </c>
      <c r="P2267" s="2" t="s">
        <v>1781</v>
      </c>
    </row>
    <row r="2268" spans="1:16" ht="22" customHeight="1" x14ac:dyDescent="0.15">
      <c r="A2268" s="10" t="str">
        <f t="shared" si="410"/>
        <v>496_10_46_10_polygon</v>
      </c>
      <c r="B2268" s="2">
        <v>496</v>
      </c>
      <c r="C2268" s="30" t="str">
        <f>VLOOKUP(B2268,gachas!A:C,3)</f>
        <v>★6解放記念ガチャ＜アスタロト、フール＞</v>
      </c>
      <c r="D2268" s="21">
        <v>10</v>
      </c>
      <c r="E2268" s="2">
        <f t="shared" si="413"/>
        <v>46</v>
      </c>
      <c r="F2268" s="2">
        <v>10</v>
      </c>
      <c r="G2268" s="3" t="s">
        <v>22</v>
      </c>
      <c r="H2268" s="2">
        <v>25</v>
      </c>
      <c r="I2268" s="117">
        <v>496100</v>
      </c>
      <c r="J2268" s="112" t="s">
        <v>84</v>
      </c>
      <c r="K2268" s="2" t="s">
        <v>84</v>
      </c>
      <c r="L2268" s="2">
        <v>0</v>
      </c>
      <c r="M2268" s="2" t="s">
        <v>84</v>
      </c>
      <c r="N2268" s="2" t="s">
        <v>84</v>
      </c>
      <c r="O2268" s="2" t="s">
        <v>841</v>
      </c>
      <c r="P2268" s="59" t="s">
        <v>1783</v>
      </c>
    </row>
    <row r="2269" spans="1:16" ht="22" customHeight="1" x14ac:dyDescent="0.15">
      <c r="A2269" s="10" t="str">
        <f t="shared" si="410"/>
        <v>496_10_47_10_polygon</v>
      </c>
      <c r="B2269" s="2">
        <v>496</v>
      </c>
      <c r="C2269" s="30" t="str">
        <f>VLOOKUP(B2269,gachas!A:C,3)</f>
        <v>★6解放記念ガチャ＜アスタロト、フール＞</v>
      </c>
      <c r="D2269" s="21">
        <v>10</v>
      </c>
      <c r="E2269" s="2">
        <f t="shared" si="413"/>
        <v>47</v>
      </c>
      <c r="F2269" s="2">
        <v>10</v>
      </c>
      <c r="G2269" s="3" t="s">
        <v>22</v>
      </c>
      <c r="H2269" s="2">
        <v>50</v>
      </c>
      <c r="I2269" s="117">
        <v>496100</v>
      </c>
      <c r="J2269" s="112" t="s">
        <v>84</v>
      </c>
      <c r="K2269" s="2" t="s">
        <v>84</v>
      </c>
      <c r="L2269" s="2">
        <v>0</v>
      </c>
      <c r="M2269" s="2" t="s">
        <v>84</v>
      </c>
      <c r="N2269" s="2" t="s">
        <v>84</v>
      </c>
      <c r="O2269" s="2" t="s">
        <v>841</v>
      </c>
      <c r="P2269" s="2" t="s">
        <v>143</v>
      </c>
    </row>
    <row r="2270" spans="1:16" ht="22" customHeight="1" x14ac:dyDescent="0.15">
      <c r="A2270" s="10" t="str">
        <f t="shared" si="410"/>
        <v>496_10_48_10_polygon</v>
      </c>
      <c r="B2270" s="2">
        <v>496</v>
      </c>
      <c r="C2270" s="30" t="str">
        <f>VLOOKUP(B2270,gachas!A:C,3)</f>
        <v>★6解放記念ガチャ＜アスタロト、フール＞</v>
      </c>
      <c r="D2270" s="21">
        <v>10</v>
      </c>
      <c r="E2270" s="2">
        <f t="shared" si="413"/>
        <v>48</v>
      </c>
      <c r="F2270" s="2">
        <v>10</v>
      </c>
      <c r="G2270" s="3" t="s">
        <v>22</v>
      </c>
      <c r="H2270" s="2">
        <v>50</v>
      </c>
      <c r="I2270" s="117">
        <v>496100</v>
      </c>
      <c r="J2270" s="112" t="s">
        <v>84</v>
      </c>
      <c r="K2270" s="2" t="s">
        <v>84</v>
      </c>
      <c r="L2270" s="2">
        <v>0</v>
      </c>
      <c r="M2270" s="2" t="s">
        <v>84</v>
      </c>
      <c r="N2270" s="2" t="s">
        <v>84</v>
      </c>
      <c r="O2270" s="2" t="s">
        <v>841</v>
      </c>
      <c r="P2270" s="2" t="s">
        <v>143</v>
      </c>
    </row>
    <row r="2271" spans="1:16" ht="22" customHeight="1" x14ac:dyDescent="0.15">
      <c r="A2271" s="10" t="str">
        <f t="shared" si="410"/>
        <v>496_10_49_10_polygon</v>
      </c>
      <c r="B2271" s="2">
        <v>496</v>
      </c>
      <c r="C2271" s="30" t="str">
        <f>VLOOKUP(B2271,gachas!A:C,3)</f>
        <v>★6解放記念ガチャ＜アスタロト、フール＞</v>
      </c>
      <c r="D2271" s="21">
        <v>10</v>
      </c>
      <c r="E2271" s="2">
        <f t="shared" si="413"/>
        <v>49</v>
      </c>
      <c r="F2271" s="2">
        <v>10</v>
      </c>
      <c r="G2271" s="3" t="s">
        <v>22</v>
      </c>
      <c r="H2271" s="2">
        <v>50</v>
      </c>
      <c r="I2271" s="117">
        <v>496100</v>
      </c>
      <c r="J2271" s="112" t="s">
        <v>84</v>
      </c>
      <c r="K2271" s="2" t="s">
        <v>84</v>
      </c>
      <c r="L2271" s="2">
        <v>0</v>
      </c>
      <c r="M2271" s="2" t="s">
        <v>84</v>
      </c>
      <c r="N2271" s="2" t="s">
        <v>84</v>
      </c>
      <c r="O2271" s="2" t="s">
        <v>841</v>
      </c>
      <c r="P2271" s="2" t="s">
        <v>143</v>
      </c>
    </row>
    <row r="2272" spans="1:16" ht="22" customHeight="1" x14ac:dyDescent="0.15">
      <c r="A2272" s="10" t="str">
        <f t="shared" si="410"/>
        <v>496_10_50_10_polygon</v>
      </c>
      <c r="B2272" s="2">
        <v>496</v>
      </c>
      <c r="C2272" s="30" t="str">
        <f>VLOOKUP(B2272,gachas!A:C,3)</f>
        <v>★6解放記念ガチャ＜アスタロト、フール＞</v>
      </c>
      <c r="D2272" s="21">
        <v>10</v>
      </c>
      <c r="E2272" s="2">
        <f t="shared" si="413"/>
        <v>50</v>
      </c>
      <c r="F2272" s="2">
        <v>10</v>
      </c>
      <c r="G2272" s="3" t="s">
        <v>22</v>
      </c>
      <c r="H2272" s="2">
        <v>50</v>
      </c>
      <c r="I2272" s="117">
        <v>496100</v>
      </c>
      <c r="J2272" s="112" t="s">
        <v>84</v>
      </c>
      <c r="K2272" s="2">
        <v>496105</v>
      </c>
      <c r="L2272" s="2">
        <v>1</v>
      </c>
      <c r="M2272" s="2" t="s">
        <v>84</v>
      </c>
      <c r="N2272" s="2" t="s">
        <v>84</v>
      </c>
      <c r="O2272" s="2" t="s">
        <v>841</v>
      </c>
      <c r="P2272" s="2" t="s">
        <v>1781</v>
      </c>
    </row>
    <row r="2273" spans="1:16" ht="22" customHeight="1" x14ac:dyDescent="0.15">
      <c r="A2273" s="10" t="str">
        <f t="shared" si="410"/>
        <v>497_10_1_1_polygon</v>
      </c>
      <c r="B2273" s="2">
        <v>497</v>
      </c>
      <c r="C2273" s="30" t="str">
        <f>VLOOKUP(B2273,gachas!A:C,3)</f>
        <v>デュラララガチャ暁&lt;静雄&gt;</v>
      </c>
      <c r="D2273" s="21">
        <v>10</v>
      </c>
      <c r="E2273" s="2">
        <v>1</v>
      </c>
      <c r="F2273" s="2">
        <v>1</v>
      </c>
      <c r="G2273" s="3" t="s">
        <v>22</v>
      </c>
      <c r="H2273" s="2">
        <v>1</v>
      </c>
      <c r="I2273" s="114" t="str">
        <f>B2273&amp;TEXT(D2273,"00")&amp;E2273</f>
        <v>497101</v>
      </c>
      <c r="J2273" s="112" t="s">
        <v>84</v>
      </c>
      <c r="K2273" s="2" t="s">
        <v>84</v>
      </c>
      <c r="L2273" s="2">
        <v>0</v>
      </c>
      <c r="M2273" s="2" t="s">
        <v>84</v>
      </c>
      <c r="N2273" s="2" t="s">
        <v>84</v>
      </c>
      <c r="O2273" s="2" t="s">
        <v>841</v>
      </c>
      <c r="P2273" s="2" t="s">
        <v>546</v>
      </c>
    </row>
    <row r="2274" spans="1:16" ht="22" customHeight="1" x14ac:dyDescent="0.15">
      <c r="A2274" s="10" t="str">
        <f t="shared" si="410"/>
        <v>497_10_2_3_polygon</v>
      </c>
      <c r="B2274" s="2">
        <v>497</v>
      </c>
      <c r="C2274" s="30" t="str">
        <f>VLOOKUP(B2274,gachas!A:C,3)</f>
        <v>デュラララガチャ暁&lt;静雄&gt;</v>
      </c>
      <c r="D2274" s="21">
        <v>10</v>
      </c>
      <c r="E2274" s="2">
        <v>2</v>
      </c>
      <c r="F2274" s="2">
        <v>3</v>
      </c>
      <c r="G2274" s="3" t="s">
        <v>22</v>
      </c>
      <c r="H2274" s="2">
        <v>9</v>
      </c>
      <c r="I2274" s="119" t="str">
        <f>I2273</f>
        <v>497101</v>
      </c>
      <c r="J2274" s="112" t="s">
        <v>84</v>
      </c>
      <c r="K2274" s="2" t="s">
        <v>84</v>
      </c>
      <c r="L2274" s="2">
        <v>0</v>
      </c>
      <c r="M2274" s="2" t="s">
        <v>84</v>
      </c>
      <c r="N2274" s="2" t="s">
        <v>84</v>
      </c>
      <c r="O2274" s="2" t="s">
        <v>841</v>
      </c>
      <c r="P2274" s="2" t="s">
        <v>504</v>
      </c>
    </row>
    <row r="2275" spans="1:16" ht="22" customHeight="1" x14ac:dyDescent="0.15">
      <c r="A2275" s="10" t="str">
        <f t="shared" ref="A2275:A2278" si="414">B2275&amp;"_"&amp;D2275&amp;"_"&amp;E2275&amp;"_"&amp;F2275&amp;"_"&amp;G2275</f>
        <v>497_10_3_10_polygon</v>
      </c>
      <c r="B2275" s="2">
        <v>497</v>
      </c>
      <c r="C2275" s="30" t="str">
        <f>VLOOKUP(B2275,gachas!A:C,3)</f>
        <v>デュラララガチャ暁&lt;静雄&gt;</v>
      </c>
      <c r="D2275" s="21">
        <v>10</v>
      </c>
      <c r="E2275" s="2">
        <v>3</v>
      </c>
      <c r="F2275" s="2">
        <v>10</v>
      </c>
      <c r="G2275" s="3" t="s">
        <v>22</v>
      </c>
      <c r="H2275" s="2">
        <v>35</v>
      </c>
      <c r="I2275" s="119">
        <v>497103</v>
      </c>
      <c r="J2275" s="112" t="s">
        <v>84</v>
      </c>
      <c r="K2275" s="6">
        <v>497103</v>
      </c>
      <c r="L2275" s="2">
        <v>1</v>
      </c>
      <c r="M2275" s="2" t="s">
        <v>84</v>
      </c>
      <c r="N2275" s="2" t="s">
        <v>84</v>
      </c>
      <c r="O2275" s="2" t="s">
        <v>841</v>
      </c>
      <c r="P2275" s="2" t="s">
        <v>778</v>
      </c>
    </row>
    <row r="2276" spans="1:16" ht="22" customHeight="1" x14ac:dyDescent="0.15">
      <c r="A2276" s="10" t="str">
        <f t="shared" si="414"/>
        <v>497_10_4_10_polygon</v>
      </c>
      <c r="B2276" s="2">
        <v>497</v>
      </c>
      <c r="C2276" s="30" t="str">
        <f>VLOOKUP(B2276,gachas!A:C,3)</f>
        <v>デュラララガチャ暁&lt;静雄&gt;</v>
      </c>
      <c r="D2276" s="21">
        <v>10</v>
      </c>
      <c r="E2276" s="2">
        <v>4</v>
      </c>
      <c r="F2276" s="2">
        <v>10</v>
      </c>
      <c r="G2276" s="3" t="s">
        <v>22</v>
      </c>
      <c r="H2276" s="2">
        <v>50</v>
      </c>
      <c r="I2276" s="114" t="str">
        <f t="shared" ref="I2276:I2278" si="415">B2276&amp;TEXT(D2276,"00")&amp;E2276</f>
        <v>497104</v>
      </c>
      <c r="J2276" s="112" t="s">
        <v>84</v>
      </c>
      <c r="K2276" s="2" t="s">
        <v>84</v>
      </c>
      <c r="L2276" s="2">
        <v>0</v>
      </c>
      <c r="M2276" s="2" t="s">
        <v>84</v>
      </c>
      <c r="N2276" s="2" t="s">
        <v>84</v>
      </c>
      <c r="O2276" s="2" t="s">
        <v>841</v>
      </c>
      <c r="P2276" s="2" t="s">
        <v>779</v>
      </c>
    </row>
    <row r="2277" spans="1:16" ht="22" customHeight="1" x14ac:dyDescent="0.15">
      <c r="A2277" s="10" t="str">
        <f t="shared" si="414"/>
        <v>497_10_5_10_polygon</v>
      </c>
      <c r="B2277" s="2">
        <v>497</v>
      </c>
      <c r="C2277" s="30" t="str">
        <f>VLOOKUP(B2277,gachas!A:C,3)</f>
        <v>デュラララガチャ暁&lt;静雄&gt;</v>
      </c>
      <c r="D2277" s="21">
        <v>10</v>
      </c>
      <c r="E2277" s="2">
        <v>5</v>
      </c>
      <c r="F2277" s="2">
        <v>10</v>
      </c>
      <c r="G2277" s="3" t="s">
        <v>22</v>
      </c>
      <c r="H2277" s="2">
        <v>50</v>
      </c>
      <c r="I2277" s="114" t="str">
        <f t="shared" si="415"/>
        <v>497105</v>
      </c>
      <c r="J2277" s="112" t="s">
        <v>84</v>
      </c>
      <c r="K2277" s="2" t="s">
        <v>84</v>
      </c>
      <c r="L2277" s="2">
        <v>0</v>
      </c>
      <c r="M2277" s="2" t="s">
        <v>84</v>
      </c>
      <c r="N2277" s="2" t="s">
        <v>84</v>
      </c>
      <c r="O2277" s="2" t="s">
        <v>841</v>
      </c>
      <c r="P2277" s="2" t="s">
        <v>780</v>
      </c>
    </row>
    <row r="2278" spans="1:16" ht="22" customHeight="1" x14ac:dyDescent="0.15">
      <c r="A2278" s="10" t="str">
        <f t="shared" si="414"/>
        <v>497_10_0_10_polygon</v>
      </c>
      <c r="B2278" s="2">
        <v>497</v>
      </c>
      <c r="C2278" s="30" t="str">
        <f>VLOOKUP(B2278,gachas!A:C,3)</f>
        <v>デュラララガチャ暁&lt;静雄&gt;</v>
      </c>
      <c r="D2278" s="21">
        <v>10</v>
      </c>
      <c r="E2278" s="2">
        <v>0</v>
      </c>
      <c r="F2278" s="2">
        <v>10</v>
      </c>
      <c r="G2278" s="3" t="s">
        <v>22</v>
      </c>
      <c r="H2278" s="2">
        <v>50</v>
      </c>
      <c r="I2278" s="114" t="str">
        <f t="shared" si="415"/>
        <v>497100</v>
      </c>
      <c r="J2278" s="112" t="s">
        <v>84</v>
      </c>
      <c r="K2278" s="2" t="s">
        <v>84</v>
      </c>
      <c r="L2278" s="2">
        <v>0</v>
      </c>
      <c r="M2278" s="2" t="s">
        <v>84</v>
      </c>
      <c r="N2278" s="2" t="s">
        <v>84</v>
      </c>
      <c r="O2278" s="2" t="s">
        <v>841</v>
      </c>
      <c r="P2278" s="2" t="s">
        <v>781</v>
      </c>
    </row>
    <row r="2279" spans="1:16" ht="22" customHeight="1" x14ac:dyDescent="0.15">
      <c r="A2279" s="10" t="str">
        <f t="shared" ref="A2279" si="416">B2279&amp;"_"&amp;D2279&amp;"_"&amp;E2279&amp;"_"&amp;F2279&amp;"_"&amp;G2279</f>
        <v>498_1_0_1_polygon</v>
      </c>
      <c r="B2279" s="2">
        <v>498</v>
      </c>
      <c r="C2279" s="30" t="str">
        <f>VLOOKUP(B2279,gachas!A:C,3)</f>
        <v>大晦日24時間限定 記念限定ユニット確定ガチャ（仮）</v>
      </c>
      <c r="D2279" s="21">
        <v>1</v>
      </c>
      <c r="E2279" s="2">
        <v>0</v>
      </c>
      <c r="F2279" s="2">
        <v>1</v>
      </c>
      <c r="G2279" s="3" t="s">
        <v>22</v>
      </c>
      <c r="H2279" s="2">
        <v>5</v>
      </c>
      <c r="I2279" s="114" t="str">
        <f t="shared" ref="I2279" si="417">B2279&amp;TEXT(D2279,"00")&amp;E2279</f>
        <v>498010</v>
      </c>
      <c r="J2279" s="112" t="s">
        <v>84</v>
      </c>
      <c r="K2279" s="2" t="s">
        <v>84</v>
      </c>
      <c r="L2279" s="2">
        <v>0</v>
      </c>
      <c r="M2279" s="2" t="s">
        <v>84</v>
      </c>
      <c r="N2279" s="2" t="s">
        <v>84</v>
      </c>
      <c r="O2279" s="2" t="s">
        <v>841</v>
      </c>
      <c r="P2279" s="2" t="s">
        <v>84</v>
      </c>
    </row>
    <row r="2280" spans="1:16" ht="22" customHeight="1" x14ac:dyDescent="0.15">
      <c r="A2280" s="10" t="str">
        <f t="shared" ref="A2280:A2305" si="418">B2280&amp;"_"&amp;D2280&amp;"_"&amp;E2280&amp;"_"&amp;F2280&amp;"_"&amp;G2280</f>
        <v>498_10_0_10_polygon</v>
      </c>
      <c r="B2280" s="2">
        <v>498</v>
      </c>
      <c r="C2280" s="30" t="str">
        <f>VLOOKUP(B2280,gachas!A:C,3)</f>
        <v>大晦日24時間限定 記念限定ユニット確定ガチャ（仮）</v>
      </c>
      <c r="D2280" s="21">
        <v>10</v>
      </c>
      <c r="E2280" s="2">
        <v>0</v>
      </c>
      <c r="F2280" s="2">
        <v>10</v>
      </c>
      <c r="G2280" s="3" t="s">
        <v>22</v>
      </c>
      <c r="H2280" s="2">
        <v>50</v>
      </c>
      <c r="I2280" s="114" t="str">
        <f t="shared" ref="I2280" si="419">B2280&amp;TEXT(D2280,"00")&amp;E2280</f>
        <v>498100</v>
      </c>
      <c r="J2280" s="112" t="s">
        <v>84</v>
      </c>
      <c r="K2280" s="2" t="s">
        <v>2384</v>
      </c>
      <c r="L2280" s="2">
        <v>0</v>
      </c>
      <c r="M2280" s="2" t="s">
        <v>84</v>
      </c>
      <c r="N2280" s="2" t="s">
        <v>84</v>
      </c>
      <c r="O2280" s="2" t="s">
        <v>841</v>
      </c>
      <c r="P2280" s="2" t="s">
        <v>2436</v>
      </c>
    </row>
    <row r="2281" spans="1:16" ht="22" customHeight="1" x14ac:dyDescent="0.15">
      <c r="A2281" s="10" t="str">
        <f t="shared" si="418"/>
        <v>498_10_1_10_polygon</v>
      </c>
      <c r="B2281" s="2">
        <v>498</v>
      </c>
      <c r="C2281" s="30" t="str">
        <f>VLOOKUP(B2281,gachas!A:C,3)</f>
        <v>大晦日24時間限定 記念限定ユニット確定ガチャ（仮）</v>
      </c>
      <c r="D2281" s="21">
        <v>10</v>
      </c>
      <c r="E2281" s="2">
        <f>E2280+1</f>
        <v>1</v>
      </c>
      <c r="F2281" s="2">
        <v>10</v>
      </c>
      <c r="G2281" s="3" t="s">
        <v>22</v>
      </c>
      <c r="H2281" s="2">
        <v>50</v>
      </c>
      <c r="I2281" s="114">
        <v>498101</v>
      </c>
      <c r="J2281" s="112" t="s">
        <v>84</v>
      </c>
      <c r="K2281" s="2">
        <v>498101</v>
      </c>
      <c r="L2281" s="2">
        <v>1</v>
      </c>
      <c r="M2281" s="2" t="s">
        <v>84</v>
      </c>
      <c r="N2281" s="2" t="s">
        <v>84</v>
      </c>
      <c r="O2281" s="2" t="s">
        <v>841</v>
      </c>
      <c r="P2281" s="2" t="s">
        <v>2431</v>
      </c>
    </row>
    <row r="2282" spans="1:16" ht="22" customHeight="1" x14ac:dyDescent="0.15">
      <c r="A2282" s="10" t="str">
        <f t="shared" si="418"/>
        <v>498_10_2_10_polygon</v>
      </c>
      <c r="B2282" s="2">
        <v>498</v>
      </c>
      <c r="C2282" s="30" t="str">
        <f>VLOOKUP(B2282,gachas!A:C,3)</f>
        <v>大晦日24時間限定 記念限定ユニット確定ガチャ（仮）</v>
      </c>
      <c r="D2282" s="21">
        <v>10</v>
      </c>
      <c r="E2282" s="2">
        <f t="shared" ref="E2282:E2305" si="420">E2281+1</f>
        <v>2</v>
      </c>
      <c r="F2282" s="2">
        <v>10</v>
      </c>
      <c r="G2282" s="3" t="s">
        <v>22</v>
      </c>
      <c r="H2282" s="2">
        <v>50</v>
      </c>
      <c r="I2282" s="114">
        <v>498101</v>
      </c>
      <c r="J2282" s="112" t="s">
        <v>84</v>
      </c>
      <c r="K2282" s="2">
        <v>498102</v>
      </c>
      <c r="L2282" s="2">
        <v>1</v>
      </c>
      <c r="M2282" s="2" t="s">
        <v>84</v>
      </c>
      <c r="N2282" s="2" t="s">
        <v>84</v>
      </c>
      <c r="O2282" s="2" t="s">
        <v>841</v>
      </c>
      <c r="P2282" s="2" t="s">
        <v>2432</v>
      </c>
    </row>
    <row r="2283" spans="1:16" ht="22" customHeight="1" x14ac:dyDescent="0.15">
      <c r="A2283" s="10" t="str">
        <f t="shared" si="418"/>
        <v>498_10_3_10_polygon</v>
      </c>
      <c r="B2283" s="2">
        <v>498</v>
      </c>
      <c r="C2283" s="30" t="str">
        <f>VLOOKUP(B2283,gachas!A:C,3)</f>
        <v>大晦日24時間限定 記念限定ユニット確定ガチャ（仮）</v>
      </c>
      <c r="D2283" s="21">
        <v>10</v>
      </c>
      <c r="E2283" s="2">
        <f t="shared" si="420"/>
        <v>3</v>
      </c>
      <c r="F2283" s="2">
        <v>10</v>
      </c>
      <c r="G2283" s="3" t="s">
        <v>22</v>
      </c>
      <c r="H2283" s="2">
        <v>50</v>
      </c>
      <c r="I2283" s="114">
        <v>498101</v>
      </c>
      <c r="J2283" s="112" t="s">
        <v>84</v>
      </c>
      <c r="K2283" s="2">
        <v>498103</v>
      </c>
      <c r="L2283" s="2">
        <v>1</v>
      </c>
      <c r="M2283" s="2" t="s">
        <v>84</v>
      </c>
      <c r="N2283" s="2" t="s">
        <v>84</v>
      </c>
      <c r="O2283" s="2" t="s">
        <v>841</v>
      </c>
      <c r="P2283" s="2" t="s">
        <v>2433</v>
      </c>
    </row>
    <row r="2284" spans="1:16" ht="22" customHeight="1" x14ac:dyDescent="0.15">
      <c r="A2284" s="10" t="str">
        <f t="shared" si="418"/>
        <v>498_10_4_10_polygon</v>
      </c>
      <c r="B2284" s="2">
        <v>498</v>
      </c>
      <c r="C2284" s="30" t="str">
        <f>VLOOKUP(B2284,gachas!A:C,3)</f>
        <v>大晦日24時間限定 記念限定ユニット確定ガチャ（仮）</v>
      </c>
      <c r="D2284" s="21">
        <v>10</v>
      </c>
      <c r="E2284" s="2">
        <f t="shared" si="420"/>
        <v>4</v>
      </c>
      <c r="F2284" s="2">
        <v>10</v>
      </c>
      <c r="G2284" s="3" t="s">
        <v>22</v>
      </c>
      <c r="H2284" s="2">
        <v>50</v>
      </c>
      <c r="I2284" s="114">
        <v>498104</v>
      </c>
      <c r="J2284" s="112" t="s">
        <v>84</v>
      </c>
      <c r="K2284" s="2">
        <v>498104</v>
      </c>
      <c r="L2284" s="2">
        <v>1</v>
      </c>
      <c r="M2284" s="2" t="s">
        <v>84</v>
      </c>
      <c r="N2284" s="2" t="s">
        <v>84</v>
      </c>
      <c r="O2284" s="2" t="s">
        <v>841</v>
      </c>
      <c r="P2284" s="2" t="s">
        <v>2434</v>
      </c>
    </row>
    <row r="2285" spans="1:16" ht="22" customHeight="1" x14ac:dyDescent="0.15">
      <c r="A2285" s="10" t="str">
        <f t="shared" si="418"/>
        <v>498_10_5_10_polygon</v>
      </c>
      <c r="B2285" s="2">
        <v>498</v>
      </c>
      <c r="C2285" s="30" t="str">
        <f>VLOOKUP(B2285,gachas!A:C,3)</f>
        <v>大晦日24時間限定 記念限定ユニット確定ガチャ（仮）</v>
      </c>
      <c r="D2285" s="21">
        <v>10</v>
      </c>
      <c r="E2285" s="2">
        <f t="shared" si="420"/>
        <v>5</v>
      </c>
      <c r="F2285" s="2">
        <v>10</v>
      </c>
      <c r="G2285" s="3" t="s">
        <v>22</v>
      </c>
      <c r="H2285" s="2">
        <v>50</v>
      </c>
      <c r="I2285" s="114">
        <v>498104</v>
      </c>
      <c r="J2285" s="112" t="s">
        <v>84</v>
      </c>
      <c r="K2285" s="2">
        <v>498105</v>
      </c>
      <c r="L2285" s="2">
        <v>1</v>
      </c>
      <c r="M2285" s="2" t="s">
        <v>84</v>
      </c>
      <c r="N2285" s="2" t="s">
        <v>84</v>
      </c>
      <c r="O2285" s="2" t="s">
        <v>841</v>
      </c>
      <c r="P2285" s="2" t="s">
        <v>2435</v>
      </c>
    </row>
    <row r="2286" spans="1:16" ht="22" customHeight="1" x14ac:dyDescent="0.15">
      <c r="A2286" s="10" t="str">
        <f t="shared" si="418"/>
        <v>498_10_6_10_polygon</v>
      </c>
      <c r="B2286" s="2">
        <v>498</v>
      </c>
      <c r="C2286" s="30" t="str">
        <f>VLOOKUP(B2286,gachas!A:C,3)</f>
        <v>大晦日24時間限定 記念限定ユニット確定ガチャ（仮）</v>
      </c>
      <c r="D2286" s="21">
        <v>10</v>
      </c>
      <c r="E2286" s="2">
        <f t="shared" si="420"/>
        <v>6</v>
      </c>
      <c r="F2286" s="2">
        <v>10</v>
      </c>
      <c r="G2286" s="3" t="s">
        <v>22</v>
      </c>
      <c r="H2286" s="2">
        <v>50</v>
      </c>
      <c r="I2286" s="114">
        <v>498100</v>
      </c>
      <c r="J2286" s="112" t="s">
        <v>84</v>
      </c>
      <c r="K2286" s="2" t="s">
        <v>84</v>
      </c>
      <c r="L2286" s="2">
        <v>0</v>
      </c>
      <c r="M2286" s="2" t="s">
        <v>84</v>
      </c>
      <c r="N2286" s="2" t="s">
        <v>84</v>
      </c>
      <c r="O2286" s="2" t="s">
        <v>841</v>
      </c>
      <c r="P2286" s="2" t="s">
        <v>2436</v>
      </c>
    </row>
    <row r="2287" spans="1:16" ht="22" customHeight="1" x14ac:dyDescent="0.15">
      <c r="A2287" s="10" t="str">
        <f t="shared" si="418"/>
        <v>498_10_7_10_polygon</v>
      </c>
      <c r="B2287" s="2">
        <v>498</v>
      </c>
      <c r="C2287" s="30" t="str">
        <f>VLOOKUP(B2287,gachas!A:C,3)</f>
        <v>大晦日24時間限定 記念限定ユニット確定ガチャ（仮）</v>
      </c>
      <c r="D2287" s="21">
        <v>10</v>
      </c>
      <c r="E2287" s="2">
        <f t="shared" si="420"/>
        <v>7</v>
      </c>
      <c r="F2287" s="2">
        <v>10</v>
      </c>
      <c r="G2287" s="3" t="s">
        <v>22</v>
      </c>
      <c r="H2287" s="2">
        <v>50</v>
      </c>
      <c r="I2287" s="114">
        <v>498100</v>
      </c>
      <c r="J2287" s="112" t="s">
        <v>84</v>
      </c>
      <c r="K2287" s="2" t="s">
        <v>84</v>
      </c>
      <c r="L2287" s="2">
        <v>0</v>
      </c>
      <c r="M2287" s="2" t="s">
        <v>84</v>
      </c>
      <c r="N2287" s="2" t="s">
        <v>84</v>
      </c>
      <c r="O2287" s="2" t="s">
        <v>841</v>
      </c>
      <c r="P2287" s="2" t="s">
        <v>2436</v>
      </c>
    </row>
    <row r="2288" spans="1:16" ht="22" customHeight="1" x14ac:dyDescent="0.15">
      <c r="A2288" s="10" t="str">
        <f t="shared" si="418"/>
        <v>498_10_8_10_polygon</v>
      </c>
      <c r="B2288" s="2">
        <v>498</v>
      </c>
      <c r="C2288" s="30" t="str">
        <f>VLOOKUP(B2288,gachas!A:C,3)</f>
        <v>大晦日24時間限定 記念限定ユニット確定ガチャ（仮）</v>
      </c>
      <c r="D2288" s="21">
        <v>10</v>
      </c>
      <c r="E2288" s="2">
        <f t="shared" si="420"/>
        <v>8</v>
      </c>
      <c r="F2288" s="2">
        <v>10</v>
      </c>
      <c r="G2288" s="3" t="s">
        <v>22</v>
      </c>
      <c r="H2288" s="2">
        <v>50</v>
      </c>
      <c r="I2288" s="114">
        <v>498100</v>
      </c>
      <c r="J2288" s="112" t="s">
        <v>84</v>
      </c>
      <c r="K2288" s="2" t="s">
        <v>84</v>
      </c>
      <c r="L2288" s="2">
        <v>0</v>
      </c>
      <c r="M2288" s="2" t="s">
        <v>84</v>
      </c>
      <c r="N2288" s="2" t="s">
        <v>84</v>
      </c>
      <c r="O2288" s="2" t="s">
        <v>841</v>
      </c>
      <c r="P2288" s="2" t="s">
        <v>2436</v>
      </c>
    </row>
    <row r="2289" spans="1:16" ht="22" customHeight="1" x14ac:dyDescent="0.15">
      <c r="A2289" s="10" t="str">
        <f t="shared" si="418"/>
        <v>498_10_9_10_polygon</v>
      </c>
      <c r="B2289" s="2">
        <v>498</v>
      </c>
      <c r="C2289" s="30" t="str">
        <f>VLOOKUP(B2289,gachas!A:C,3)</f>
        <v>大晦日24時間限定 記念限定ユニット確定ガチャ（仮）</v>
      </c>
      <c r="D2289" s="21">
        <v>10</v>
      </c>
      <c r="E2289" s="2">
        <f t="shared" si="420"/>
        <v>9</v>
      </c>
      <c r="F2289" s="2">
        <v>10</v>
      </c>
      <c r="G2289" s="3" t="s">
        <v>22</v>
      </c>
      <c r="H2289" s="2">
        <v>50</v>
      </c>
      <c r="I2289" s="114">
        <v>498100</v>
      </c>
      <c r="J2289" s="112" t="s">
        <v>84</v>
      </c>
      <c r="K2289" s="2" t="s">
        <v>84</v>
      </c>
      <c r="L2289" s="2">
        <v>0</v>
      </c>
      <c r="M2289" s="2" t="s">
        <v>84</v>
      </c>
      <c r="N2289" s="2" t="s">
        <v>84</v>
      </c>
      <c r="O2289" s="2" t="s">
        <v>841</v>
      </c>
      <c r="P2289" s="2" t="s">
        <v>2436</v>
      </c>
    </row>
    <row r="2290" spans="1:16" ht="22" customHeight="1" x14ac:dyDescent="0.15">
      <c r="A2290" s="10" t="str">
        <f t="shared" si="418"/>
        <v>498_10_10_10_polygon</v>
      </c>
      <c r="B2290" s="2">
        <v>498</v>
      </c>
      <c r="C2290" s="30" t="str">
        <f>VLOOKUP(B2290,gachas!A:C,3)</f>
        <v>大晦日24時間限定 記念限定ユニット確定ガチャ（仮）</v>
      </c>
      <c r="D2290" s="21">
        <v>10</v>
      </c>
      <c r="E2290" s="2">
        <f t="shared" si="420"/>
        <v>10</v>
      </c>
      <c r="F2290" s="2">
        <v>10</v>
      </c>
      <c r="G2290" s="3" t="s">
        <v>22</v>
      </c>
      <c r="H2290" s="2">
        <v>50</v>
      </c>
      <c r="I2290" s="114">
        <v>498100</v>
      </c>
      <c r="J2290" s="112" t="s">
        <v>84</v>
      </c>
      <c r="K2290" s="2">
        <v>498105</v>
      </c>
      <c r="L2290" s="2">
        <v>1</v>
      </c>
      <c r="M2290" s="2" t="s">
        <v>84</v>
      </c>
      <c r="N2290" s="2" t="s">
        <v>84</v>
      </c>
      <c r="O2290" s="2" t="s">
        <v>841</v>
      </c>
      <c r="P2290" s="2" t="s">
        <v>2435</v>
      </c>
    </row>
    <row r="2291" spans="1:16" ht="22" customHeight="1" x14ac:dyDescent="0.15">
      <c r="A2291" s="10" t="str">
        <f t="shared" si="418"/>
        <v>498_10_11_10_polygon</v>
      </c>
      <c r="B2291" s="2">
        <v>498</v>
      </c>
      <c r="C2291" s="30" t="str">
        <f>VLOOKUP(B2291,gachas!A:C,3)</f>
        <v>大晦日24時間限定 記念限定ユニット確定ガチャ（仮）</v>
      </c>
      <c r="D2291" s="21">
        <v>10</v>
      </c>
      <c r="E2291" s="2">
        <f t="shared" si="420"/>
        <v>11</v>
      </c>
      <c r="F2291" s="2">
        <v>10</v>
      </c>
      <c r="G2291" s="3" t="s">
        <v>22</v>
      </c>
      <c r="H2291" s="2">
        <v>50</v>
      </c>
      <c r="I2291" s="114">
        <v>498100</v>
      </c>
      <c r="J2291" s="112" t="s">
        <v>84</v>
      </c>
      <c r="K2291" s="2" t="s">
        <v>84</v>
      </c>
      <c r="L2291" s="2">
        <v>0</v>
      </c>
      <c r="M2291" s="2" t="s">
        <v>84</v>
      </c>
      <c r="N2291" s="2" t="s">
        <v>84</v>
      </c>
      <c r="O2291" s="2" t="s">
        <v>841</v>
      </c>
      <c r="P2291" s="2" t="s">
        <v>2436</v>
      </c>
    </row>
    <row r="2292" spans="1:16" ht="22" customHeight="1" x14ac:dyDescent="0.15">
      <c r="A2292" s="10" t="str">
        <f t="shared" si="418"/>
        <v>498_10_12_10_polygon</v>
      </c>
      <c r="B2292" s="2">
        <v>498</v>
      </c>
      <c r="C2292" s="30" t="str">
        <f>VLOOKUP(B2292,gachas!A:C,3)</f>
        <v>大晦日24時間限定 記念限定ユニット確定ガチャ（仮）</v>
      </c>
      <c r="D2292" s="21">
        <v>10</v>
      </c>
      <c r="E2292" s="2">
        <f t="shared" si="420"/>
        <v>12</v>
      </c>
      <c r="F2292" s="2">
        <v>10</v>
      </c>
      <c r="G2292" s="3" t="s">
        <v>22</v>
      </c>
      <c r="H2292" s="2">
        <v>50</v>
      </c>
      <c r="I2292" s="114">
        <v>498100</v>
      </c>
      <c r="J2292" s="112" t="s">
        <v>84</v>
      </c>
      <c r="K2292" s="2" t="s">
        <v>84</v>
      </c>
      <c r="L2292" s="2">
        <v>0</v>
      </c>
      <c r="M2292" s="2" t="s">
        <v>84</v>
      </c>
      <c r="N2292" s="2" t="s">
        <v>84</v>
      </c>
      <c r="O2292" s="2" t="s">
        <v>841</v>
      </c>
      <c r="P2292" s="2" t="s">
        <v>2436</v>
      </c>
    </row>
    <row r="2293" spans="1:16" ht="22" customHeight="1" x14ac:dyDescent="0.15">
      <c r="A2293" s="10" t="str">
        <f t="shared" si="418"/>
        <v>498_10_13_10_polygon</v>
      </c>
      <c r="B2293" s="2">
        <v>498</v>
      </c>
      <c r="C2293" s="30" t="str">
        <f>VLOOKUP(B2293,gachas!A:C,3)</f>
        <v>大晦日24時間限定 記念限定ユニット確定ガチャ（仮）</v>
      </c>
      <c r="D2293" s="21">
        <v>10</v>
      </c>
      <c r="E2293" s="2">
        <f t="shared" si="420"/>
        <v>13</v>
      </c>
      <c r="F2293" s="2">
        <v>10</v>
      </c>
      <c r="G2293" s="3" t="s">
        <v>22</v>
      </c>
      <c r="H2293" s="2">
        <v>50</v>
      </c>
      <c r="I2293" s="114">
        <v>498100</v>
      </c>
      <c r="J2293" s="112" t="s">
        <v>84</v>
      </c>
      <c r="K2293" s="2" t="s">
        <v>84</v>
      </c>
      <c r="L2293" s="2">
        <v>0</v>
      </c>
      <c r="M2293" s="2" t="s">
        <v>84</v>
      </c>
      <c r="N2293" s="2" t="s">
        <v>84</v>
      </c>
      <c r="O2293" s="2" t="s">
        <v>841</v>
      </c>
      <c r="P2293" s="2" t="s">
        <v>2436</v>
      </c>
    </row>
    <row r="2294" spans="1:16" ht="22" customHeight="1" x14ac:dyDescent="0.15">
      <c r="A2294" s="10" t="str">
        <f t="shared" si="418"/>
        <v>498_10_14_10_polygon</v>
      </c>
      <c r="B2294" s="2">
        <v>498</v>
      </c>
      <c r="C2294" s="30" t="str">
        <f>VLOOKUP(B2294,gachas!A:C,3)</f>
        <v>大晦日24時間限定 記念限定ユニット確定ガチャ（仮）</v>
      </c>
      <c r="D2294" s="21">
        <v>10</v>
      </c>
      <c r="E2294" s="2">
        <f t="shared" si="420"/>
        <v>14</v>
      </c>
      <c r="F2294" s="2">
        <v>10</v>
      </c>
      <c r="G2294" s="3" t="s">
        <v>22</v>
      </c>
      <c r="H2294" s="2">
        <v>50</v>
      </c>
      <c r="I2294" s="114">
        <v>498100</v>
      </c>
      <c r="J2294" s="112" t="s">
        <v>84</v>
      </c>
      <c r="K2294" s="2" t="s">
        <v>84</v>
      </c>
      <c r="L2294" s="2">
        <v>0</v>
      </c>
      <c r="M2294" s="2" t="s">
        <v>84</v>
      </c>
      <c r="N2294" s="2" t="s">
        <v>84</v>
      </c>
      <c r="O2294" s="2" t="s">
        <v>841</v>
      </c>
      <c r="P2294" s="2" t="s">
        <v>2436</v>
      </c>
    </row>
    <row r="2295" spans="1:16" ht="22" customHeight="1" x14ac:dyDescent="0.15">
      <c r="A2295" s="10" t="str">
        <f t="shared" si="418"/>
        <v>498_10_15_10_polygon</v>
      </c>
      <c r="B2295" s="2">
        <v>498</v>
      </c>
      <c r="C2295" s="30" t="str">
        <f>VLOOKUP(B2295,gachas!A:C,3)</f>
        <v>大晦日24時間限定 記念限定ユニット確定ガチャ（仮）</v>
      </c>
      <c r="D2295" s="21">
        <v>10</v>
      </c>
      <c r="E2295" s="2">
        <f t="shared" si="420"/>
        <v>15</v>
      </c>
      <c r="F2295" s="2">
        <v>10</v>
      </c>
      <c r="G2295" s="3" t="s">
        <v>22</v>
      </c>
      <c r="H2295" s="2">
        <v>50</v>
      </c>
      <c r="I2295" s="114">
        <v>498100</v>
      </c>
      <c r="J2295" s="112" t="s">
        <v>84</v>
      </c>
      <c r="K2295" s="2">
        <v>498105</v>
      </c>
      <c r="L2295" s="2">
        <v>1</v>
      </c>
      <c r="M2295" s="2" t="s">
        <v>84</v>
      </c>
      <c r="N2295" s="2" t="s">
        <v>84</v>
      </c>
      <c r="O2295" s="2" t="s">
        <v>841</v>
      </c>
      <c r="P2295" s="2" t="s">
        <v>2435</v>
      </c>
    </row>
    <row r="2296" spans="1:16" ht="22" customHeight="1" x14ac:dyDescent="0.15">
      <c r="A2296" s="10" t="str">
        <f t="shared" si="418"/>
        <v>498_10_16_10_polygon</v>
      </c>
      <c r="B2296" s="2">
        <v>498</v>
      </c>
      <c r="C2296" s="30" t="str">
        <f>VLOOKUP(B2296,gachas!A:C,3)</f>
        <v>大晦日24時間限定 記念限定ユニット確定ガチャ（仮）</v>
      </c>
      <c r="D2296" s="21">
        <v>10</v>
      </c>
      <c r="E2296" s="2">
        <f t="shared" si="420"/>
        <v>16</v>
      </c>
      <c r="F2296" s="2">
        <v>10</v>
      </c>
      <c r="G2296" s="3" t="s">
        <v>22</v>
      </c>
      <c r="H2296" s="2">
        <v>50</v>
      </c>
      <c r="I2296" s="114">
        <v>498100</v>
      </c>
      <c r="J2296" s="112" t="s">
        <v>84</v>
      </c>
      <c r="K2296" s="2" t="s">
        <v>84</v>
      </c>
      <c r="L2296" s="2">
        <v>0</v>
      </c>
      <c r="M2296" s="2" t="s">
        <v>84</v>
      </c>
      <c r="N2296" s="2" t="s">
        <v>84</v>
      </c>
      <c r="O2296" s="2" t="s">
        <v>841</v>
      </c>
      <c r="P2296" s="2" t="s">
        <v>2436</v>
      </c>
    </row>
    <row r="2297" spans="1:16" ht="22" customHeight="1" x14ac:dyDescent="0.15">
      <c r="A2297" s="10" t="str">
        <f t="shared" si="418"/>
        <v>498_10_17_10_polygon</v>
      </c>
      <c r="B2297" s="2">
        <v>498</v>
      </c>
      <c r="C2297" s="30" t="str">
        <f>VLOOKUP(B2297,gachas!A:C,3)</f>
        <v>大晦日24時間限定 記念限定ユニット確定ガチャ（仮）</v>
      </c>
      <c r="D2297" s="21">
        <v>10</v>
      </c>
      <c r="E2297" s="2">
        <f t="shared" si="420"/>
        <v>17</v>
      </c>
      <c r="F2297" s="2">
        <v>10</v>
      </c>
      <c r="G2297" s="3" t="s">
        <v>22</v>
      </c>
      <c r="H2297" s="2">
        <v>50</v>
      </c>
      <c r="I2297" s="114">
        <v>498100</v>
      </c>
      <c r="J2297" s="112" t="s">
        <v>84</v>
      </c>
      <c r="K2297" s="2" t="s">
        <v>84</v>
      </c>
      <c r="L2297" s="2">
        <v>0</v>
      </c>
      <c r="M2297" s="2" t="s">
        <v>84</v>
      </c>
      <c r="N2297" s="2" t="s">
        <v>84</v>
      </c>
      <c r="O2297" s="2" t="s">
        <v>841</v>
      </c>
      <c r="P2297" s="2" t="s">
        <v>2436</v>
      </c>
    </row>
    <row r="2298" spans="1:16" ht="22" customHeight="1" x14ac:dyDescent="0.15">
      <c r="A2298" s="10" t="str">
        <f t="shared" si="418"/>
        <v>498_10_18_10_polygon</v>
      </c>
      <c r="B2298" s="2">
        <v>498</v>
      </c>
      <c r="C2298" s="30" t="str">
        <f>VLOOKUP(B2298,gachas!A:C,3)</f>
        <v>大晦日24時間限定 記念限定ユニット確定ガチャ（仮）</v>
      </c>
      <c r="D2298" s="21">
        <v>10</v>
      </c>
      <c r="E2298" s="2">
        <f t="shared" si="420"/>
        <v>18</v>
      </c>
      <c r="F2298" s="2">
        <v>10</v>
      </c>
      <c r="G2298" s="3" t="s">
        <v>22</v>
      </c>
      <c r="H2298" s="2">
        <v>50</v>
      </c>
      <c r="I2298" s="114">
        <v>498100</v>
      </c>
      <c r="J2298" s="112" t="s">
        <v>84</v>
      </c>
      <c r="K2298" s="2" t="s">
        <v>84</v>
      </c>
      <c r="L2298" s="2">
        <v>0</v>
      </c>
      <c r="M2298" s="2" t="s">
        <v>84</v>
      </c>
      <c r="N2298" s="2" t="s">
        <v>84</v>
      </c>
      <c r="O2298" s="2" t="s">
        <v>841</v>
      </c>
      <c r="P2298" s="2" t="s">
        <v>2436</v>
      </c>
    </row>
    <row r="2299" spans="1:16" ht="22" customHeight="1" x14ac:dyDescent="0.15">
      <c r="A2299" s="10" t="str">
        <f t="shared" si="418"/>
        <v>498_10_19_10_polygon</v>
      </c>
      <c r="B2299" s="2">
        <v>498</v>
      </c>
      <c r="C2299" s="30" t="str">
        <f>VLOOKUP(B2299,gachas!A:C,3)</f>
        <v>大晦日24時間限定 記念限定ユニット確定ガチャ（仮）</v>
      </c>
      <c r="D2299" s="21">
        <v>10</v>
      </c>
      <c r="E2299" s="2">
        <f t="shared" si="420"/>
        <v>19</v>
      </c>
      <c r="F2299" s="2">
        <v>10</v>
      </c>
      <c r="G2299" s="3" t="s">
        <v>22</v>
      </c>
      <c r="H2299" s="2">
        <v>50</v>
      </c>
      <c r="I2299" s="114">
        <v>498100</v>
      </c>
      <c r="J2299" s="112" t="s">
        <v>84</v>
      </c>
      <c r="K2299" s="2" t="s">
        <v>84</v>
      </c>
      <c r="L2299" s="2">
        <v>0</v>
      </c>
      <c r="M2299" s="2" t="s">
        <v>84</v>
      </c>
      <c r="N2299" s="2" t="s">
        <v>84</v>
      </c>
      <c r="O2299" s="2" t="s">
        <v>841</v>
      </c>
      <c r="P2299" s="2" t="s">
        <v>2436</v>
      </c>
    </row>
    <row r="2300" spans="1:16" ht="22" customHeight="1" x14ac:dyDescent="0.15">
      <c r="A2300" s="10" t="str">
        <f t="shared" si="418"/>
        <v>498_10_20_10_polygon</v>
      </c>
      <c r="B2300" s="2">
        <v>498</v>
      </c>
      <c r="C2300" s="30" t="str">
        <f>VLOOKUP(B2300,gachas!A:C,3)</f>
        <v>大晦日24時間限定 記念限定ユニット確定ガチャ（仮）</v>
      </c>
      <c r="D2300" s="21">
        <v>10</v>
      </c>
      <c r="E2300" s="2">
        <f t="shared" si="420"/>
        <v>20</v>
      </c>
      <c r="F2300" s="2">
        <v>10</v>
      </c>
      <c r="G2300" s="3" t="s">
        <v>22</v>
      </c>
      <c r="H2300" s="2">
        <v>50</v>
      </c>
      <c r="I2300" s="114">
        <v>498100</v>
      </c>
      <c r="J2300" s="112" t="s">
        <v>84</v>
      </c>
      <c r="K2300" s="2">
        <v>498105</v>
      </c>
      <c r="L2300" s="2">
        <v>1</v>
      </c>
      <c r="M2300" s="2" t="s">
        <v>84</v>
      </c>
      <c r="N2300" s="2" t="s">
        <v>84</v>
      </c>
      <c r="O2300" s="2" t="s">
        <v>841</v>
      </c>
      <c r="P2300" s="2" t="s">
        <v>2435</v>
      </c>
    </row>
    <row r="2301" spans="1:16" ht="22" customHeight="1" x14ac:dyDescent="0.15">
      <c r="A2301" s="10" t="str">
        <f t="shared" si="418"/>
        <v>498_10_21_10_polygon</v>
      </c>
      <c r="B2301" s="2">
        <v>498</v>
      </c>
      <c r="C2301" s="30" t="str">
        <f>VLOOKUP(B2301,gachas!A:C,3)</f>
        <v>大晦日24時間限定 記念限定ユニット確定ガチャ（仮）</v>
      </c>
      <c r="D2301" s="21">
        <v>10</v>
      </c>
      <c r="E2301" s="2">
        <f t="shared" si="420"/>
        <v>21</v>
      </c>
      <c r="F2301" s="2">
        <v>10</v>
      </c>
      <c r="G2301" s="3" t="s">
        <v>22</v>
      </c>
      <c r="H2301" s="2">
        <v>50</v>
      </c>
      <c r="I2301" s="114">
        <v>498100</v>
      </c>
      <c r="J2301" s="112" t="s">
        <v>84</v>
      </c>
      <c r="K2301" s="2" t="s">
        <v>84</v>
      </c>
      <c r="L2301" s="2">
        <v>0</v>
      </c>
      <c r="M2301" s="2" t="s">
        <v>84</v>
      </c>
      <c r="N2301" s="2" t="s">
        <v>84</v>
      </c>
      <c r="O2301" s="2" t="s">
        <v>841</v>
      </c>
      <c r="P2301" s="2" t="s">
        <v>2436</v>
      </c>
    </row>
    <row r="2302" spans="1:16" ht="22" customHeight="1" x14ac:dyDescent="0.15">
      <c r="A2302" s="10" t="str">
        <f t="shared" si="418"/>
        <v>498_10_22_10_polygon</v>
      </c>
      <c r="B2302" s="2">
        <v>498</v>
      </c>
      <c r="C2302" s="30" t="str">
        <f>VLOOKUP(B2302,gachas!A:C,3)</f>
        <v>大晦日24時間限定 記念限定ユニット確定ガチャ（仮）</v>
      </c>
      <c r="D2302" s="21">
        <v>10</v>
      </c>
      <c r="E2302" s="2">
        <f t="shared" si="420"/>
        <v>22</v>
      </c>
      <c r="F2302" s="2">
        <v>10</v>
      </c>
      <c r="G2302" s="3" t="s">
        <v>22</v>
      </c>
      <c r="H2302" s="2">
        <v>50</v>
      </c>
      <c r="I2302" s="114">
        <v>498100</v>
      </c>
      <c r="J2302" s="112" t="s">
        <v>84</v>
      </c>
      <c r="K2302" s="2" t="s">
        <v>84</v>
      </c>
      <c r="L2302" s="2">
        <v>0</v>
      </c>
      <c r="M2302" s="2" t="s">
        <v>84</v>
      </c>
      <c r="N2302" s="2" t="s">
        <v>84</v>
      </c>
      <c r="O2302" s="2" t="s">
        <v>841</v>
      </c>
      <c r="P2302" s="2" t="s">
        <v>2535</v>
      </c>
    </row>
    <row r="2303" spans="1:16" ht="22" customHeight="1" x14ac:dyDescent="0.15">
      <c r="A2303" s="10" t="str">
        <f t="shared" si="418"/>
        <v>498_10_23_10_polygon</v>
      </c>
      <c r="B2303" s="2">
        <v>498</v>
      </c>
      <c r="C2303" s="30" t="str">
        <f>VLOOKUP(B2303,gachas!A:C,3)</f>
        <v>大晦日24時間限定 記念限定ユニット確定ガチャ（仮）</v>
      </c>
      <c r="D2303" s="21">
        <v>10</v>
      </c>
      <c r="E2303" s="2">
        <f t="shared" si="420"/>
        <v>23</v>
      </c>
      <c r="F2303" s="2">
        <v>10</v>
      </c>
      <c r="G2303" s="3" t="s">
        <v>22</v>
      </c>
      <c r="H2303" s="2">
        <v>50</v>
      </c>
      <c r="I2303" s="114">
        <v>498100</v>
      </c>
      <c r="J2303" s="112" t="s">
        <v>84</v>
      </c>
      <c r="K2303" s="2" t="s">
        <v>84</v>
      </c>
      <c r="L2303" s="2">
        <v>0</v>
      </c>
      <c r="M2303" s="2" t="s">
        <v>84</v>
      </c>
      <c r="N2303" s="2" t="s">
        <v>84</v>
      </c>
      <c r="O2303" s="2" t="s">
        <v>841</v>
      </c>
      <c r="P2303" s="2" t="s">
        <v>2436</v>
      </c>
    </row>
    <row r="2304" spans="1:16" ht="22" customHeight="1" x14ac:dyDescent="0.15">
      <c r="A2304" s="10" t="str">
        <f t="shared" si="418"/>
        <v>498_10_24_10_polygon</v>
      </c>
      <c r="B2304" s="2">
        <v>498</v>
      </c>
      <c r="C2304" s="30" t="str">
        <f>VLOOKUP(B2304,gachas!A:C,3)</f>
        <v>大晦日24時間限定 記念限定ユニット確定ガチャ（仮）</v>
      </c>
      <c r="D2304" s="21">
        <v>10</v>
      </c>
      <c r="E2304" s="2">
        <f t="shared" si="420"/>
        <v>24</v>
      </c>
      <c r="F2304" s="2">
        <v>10</v>
      </c>
      <c r="G2304" s="3" t="s">
        <v>22</v>
      </c>
      <c r="H2304" s="2">
        <v>50</v>
      </c>
      <c r="I2304" s="114">
        <v>498100</v>
      </c>
      <c r="J2304" s="112" t="s">
        <v>84</v>
      </c>
      <c r="K2304" s="2" t="s">
        <v>84</v>
      </c>
      <c r="L2304" s="2">
        <v>0</v>
      </c>
      <c r="M2304" s="2" t="s">
        <v>84</v>
      </c>
      <c r="N2304" s="2" t="s">
        <v>84</v>
      </c>
      <c r="O2304" s="2" t="s">
        <v>841</v>
      </c>
      <c r="P2304" s="2" t="s">
        <v>2436</v>
      </c>
    </row>
    <row r="2305" spans="1:16" ht="22" customHeight="1" x14ac:dyDescent="0.15">
      <c r="A2305" s="10" t="str">
        <f t="shared" si="418"/>
        <v>498_10_25_10_polygon</v>
      </c>
      <c r="B2305" s="2">
        <v>498</v>
      </c>
      <c r="C2305" s="30" t="str">
        <f>VLOOKUP(B2305,gachas!A:C,3)</f>
        <v>大晦日24時間限定 記念限定ユニット確定ガチャ（仮）</v>
      </c>
      <c r="D2305" s="21">
        <v>10</v>
      </c>
      <c r="E2305" s="2">
        <f t="shared" si="420"/>
        <v>25</v>
      </c>
      <c r="F2305" s="2">
        <v>10</v>
      </c>
      <c r="G2305" s="3" t="s">
        <v>22</v>
      </c>
      <c r="H2305" s="2">
        <v>50</v>
      </c>
      <c r="I2305" s="114">
        <v>498100</v>
      </c>
      <c r="J2305" s="112" t="s">
        <v>84</v>
      </c>
      <c r="K2305" s="2">
        <v>498105</v>
      </c>
      <c r="L2305" s="2">
        <v>1</v>
      </c>
      <c r="M2305" s="2" t="s">
        <v>84</v>
      </c>
      <c r="N2305" s="2" t="s">
        <v>84</v>
      </c>
      <c r="O2305" s="2" t="s">
        <v>841</v>
      </c>
      <c r="P2305" s="2" t="s">
        <v>2435</v>
      </c>
    </row>
    <row r="2306" spans="1:16" ht="22" customHeight="1" x14ac:dyDescent="0.15">
      <c r="A2306" s="10" t="str">
        <f t="shared" ref="A2306" si="421">B2306&amp;"_"&amp;D2306&amp;"_"&amp;E2306&amp;"_"&amp;F2306&amp;"_"&amp;G2306</f>
        <v>499_1_0_1_polygon</v>
      </c>
      <c r="B2306" s="2">
        <v>499</v>
      </c>
      <c r="C2306" s="30" t="str">
        <f>VLOOKUP(B2306,gachas!A:C,3)</f>
        <v>お正月超フィーバーフェス赤（仮）</v>
      </c>
      <c r="D2306" s="21">
        <v>1</v>
      </c>
      <c r="E2306" s="2">
        <v>0</v>
      </c>
      <c r="F2306" s="2">
        <v>1</v>
      </c>
      <c r="G2306" s="3" t="s">
        <v>22</v>
      </c>
      <c r="H2306" s="2">
        <v>5</v>
      </c>
      <c r="I2306" s="114" t="str">
        <f t="shared" ref="I2306:I2307" si="422">B2306&amp;TEXT(D2306,"00")&amp;E2306</f>
        <v>499010</v>
      </c>
      <c r="J2306" s="112" t="s">
        <v>84</v>
      </c>
      <c r="K2306" s="2" t="s">
        <v>2384</v>
      </c>
      <c r="L2306" s="2">
        <v>0</v>
      </c>
      <c r="M2306" s="2" t="s">
        <v>84</v>
      </c>
      <c r="N2306" s="2" t="s">
        <v>84</v>
      </c>
      <c r="O2306" s="2" t="s">
        <v>841</v>
      </c>
      <c r="P2306" s="2" t="s">
        <v>691</v>
      </c>
    </row>
    <row r="2307" spans="1:16" ht="22" customHeight="1" x14ac:dyDescent="0.15">
      <c r="A2307" s="10" t="str">
        <f t="shared" ref="A2307:A2308" si="423">B2307&amp;"_"&amp;D2307&amp;"_"&amp;E2307&amp;"_"&amp;F2307&amp;"_"&amp;G2307</f>
        <v>499_10_0_10_polygon</v>
      </c>
      <c r="B2307" s="2">
        <v>499</v>
      </c>
      <c r="C2307" s="30" t="str">
        <f>VLOOKUP(B2307,gachas!A:C,3)</f>
        <v>お正月超フィーバーフェス赤（仮）</v>
      </c>
      <c r="D2307" s="21">
        <v>10</v>
      </c>
      <c r="E2307" s="2">
        <v>0</v>
      </c>
      <c r="F2307" s="2">
        <v>10</v>
      </c>
      <c r="G2307" s="3" t="s">
        <v>22</v>
      </c>
      <c r="H2307" s="2">
        <v>50</v>
      </c>
      <c r="I2307" s="114" t="str">
        <f t="shared" si="422"/>
        <v>499100</v>
      </c>
      <c r="J2307" s="112" t="s">
        <v>84</v>
      </c>
      <c r="K2307" s="116" t="str">
        <f>I2307</f>
        <v>499100</v>
      </c>
      <c r="L2307" s="2">
        <v>1</v>
      </c>
      <c r="M2307" s="2" t="s">
        <v>84</v>
      </c>
      <c r="N2307" s="2" t="s">
        <v>84</v>
      </c>
      <c r="O2307" s="2" t="s">
        <v>841</v>
      </c>
      <c r="P2307" s="2" t="s">
        <v>378</v>
      </c>
    </row>
    <row r="2308" spans="1:16" ht="22" customHeight="1" x14ac:dyDescent="0.15">
      <c r="A2308" s="10" t="str">
        <f t="shared" si="423"/>
        <v>500_1_0_1_polygon</v>
      </c>
      <c r="B2308" s="2">
        <v>500</v>
      </c>
      <c r="C2308" s="30" t="str">
        <f>VLOOKUP(B2308,gachas!A:C,3)</f>
        <v>お正月超フィーバーフェス緑（仮）</v>
      </c>
      <c r="D2308" s="21">
        <v>1</v>
      </c>
      <c r="E2308" s="2">
        <v>0</v>
      </c>
      <c r="F2308" s="2">
        <v>1</v>
      </c>
      <c r="G2308" s="3" t="s">
        <v>22</v>
      </c>
      <c r="H2308" s="2">
        <v>5</v>
      </c>
      <c r="I2308" s="114" t="str">
        <f t="shared" ref="I2308:I2313" si="424">B2308&amp;TEXT(D2308,"00")&amp;E2308</f>
        <v>500010</v>
      </c>
      <c r="J2308" s="112" t="s">
        <v>84</v>
      </c>
      <c r="K2308" s="2" t="s">
        <v>2384</v>
      </c>
      <c r="L2308" s="2">
        <v>0</v>
      </c>
      <c r="M2308" s="2" t="s">
        <v>84</v>
      </c>
      <c r="N2308" s="2" t="s">
        <v>84</v>
      </c>
      <c r="O2308" s="2" t="s">
        <v>841</v>
      </c>
      <c r="P2308" s="2" t="s">
        <v>691</v>
      </c>
    </row>
    <row r="2309" spans="1:16" ht="22" customHeight="1" x14ac:dyDescent="0.15">
      <c r="A2309" s="10" t="str">
        <f t="shared" ref="A2309:A2313" si="425">B2309&amp;"_"&amp;D2309&amp;"_"&amp;E2309&amp;"_"&amp;F2309&amp;"_"&amp;G2309</f>
        <v>500_10_0_10_polygon</v>
      </c>
      <c r="B2309" s="2">
        <v>500</v>
      </c>
      <c r="C2309" s="30" t="str">
        <f>VLOOKUP(B2309,gachas!A:C,3)</f>
        <v>お正月超フィーバーフェス緑（仮）</v>
      </c>
      <c r="D2309" s="21">
        <v>10</v>
      </c>
      <c r="E2309" s="2">
        <v>0</v>
      </c>
      <c r="F2309" s="2">
        <v>10</v>
      </c>
      <c r="G2309" s="3" t="s">
        <v>22</v>
      </c>
      <c r="H2309" s="2">
        <v>50</v>
      </c>
      <c r="I2309" s="114" t="str">
        <f t="shared" si="424"/>
        <v>500100</v>
      </c>
      <c r="J2309" s="112" t="s">
        <v>84</v>
      </c>
      <c r="K2309" s="116" t="str">
        <f>I2309</f>
        <v>500100</v>
      </c>
      <c r="L2309" s="2">
        <v>1</v>
      </c>
      <c r="M2309" s="2" t="s">
        <v>84</v>
      </c>
      <c r="N2309" s="2" t="s">
        <v>84</v>
      </c>
      <c r="O2309" s="2" t="s">
        <v>841</v>
      </c>
      <c r="P2309" s="2" t="s">
        <v>378</v>
      </c>
    </row>
    <row r="2310" spans="1:16" ht="22" customHeight="1" x14ac:dyDescent="0.15">
      <c r="A2310" s="10" t="str">
        <f t="shared" si="425"/>
        <v>501_1_0_1_polygon</v>
      </c>
      <c r="B2310" s="2">
        <v>501</v>
      </c>
      <c r="C2310" s="30" t="str">
        <f>VLOOKUP(B2310,gachas!A:C,3)</f>
        <v>お正月超フィーバーフェス青（仮）</v>
      </c>
      <c r="D2310" s="21">
        <v>1</v>
      </c>
      <c r="E2310" s="2">
        <v>0</v>
      </c>
      <c r="F2310" s="2">
        <v>1</v>
      </c>
      <c r="G2310" s="3" t="s">
        <v>22</v>
      </c>
      <c r="H2310" s="2">
        <v>5</v>
      </c>
      <c r="I2310" s="114" t="str">
        <f t="shared" si="424"/>
        <v>501010</v>
      </c>
      <c r="J2310" s="112" t="s">
        <v>84</v>
      </c>
      <c r="K2310" s="2" t="s">
        <v>2384</v>
      </c>
      <c r="L2310" s="2">
        <v>0</v>
      </c>
      <c r="M2310" s="2" t="s">
        <v>84</v>
      </c>
      <c r="N2310" s="2" t="s">
        <v>84</v>
      </c>
      <c r="O2310" s="2" t="s">
        <v>841</v>
      </c>
      <c r="P2310" s="2" t="s">
        <v>691</v>
      </c>
    </row>
    <row r="2311" spans="1:16" ht="22" customHeight="1" x14ac:dyDescent="0.15">
      <c r="A2311" s="10" t="str">
        <f t="shared" si="425"/>
        <v>501_10_0_10_polygon</v>
      </c>
      <c r="B2311" s="2">
        <v>501</v>
      </c>
      <c r="C2311" s="30" t="str">
        <f>VLOOKUP(B2311,gachas!A:C,3)</f>
        <v>お正月超フィーバーフェス青（仮）</v>
      </c>
      <c r="D2311" s="21">
        <v>10</v>
      </c>
      <c r="E2311" s="2">
        <v>0</v>
      </c>
      <c r="F2311" s="2">
        <v>10</v>
      </c>
      <c r="G2311" s="3" t="s">
        <v>22</v>
      </c>
      <c r="H2311" s="2">
        <v>50</v>
      </c>
      <c r="I2311" s="114" t="str">
        <f t="shared" si="424"/>
        <v>501100</v>
      </c>
      <c r="J2311" s="112" t="s">
        <v>84</v>
      </c>
      <c r="K2311" s="116" t="str">
        <f>I2311</f>
        <v>501100</v>
      </c>
      <c r="L2311" s="2">
        <v>1</v>
      </c>
      <c r="M2311" s="2" t="s">
        <v>84</v>
      </c>
      <c r="N2311" s="2" t="s">
        <v>84</v>
      </c>
      <c r="O2311" s="2" t="s">
        <v>841</v>
      </c>
      <c r="P2311" s="2" t="s">
        <v>378</v>
      </c>
    </row>
    <row r="2312" spans="1:16" ht="22" customHeight="1" x14ac:dyDescent="0.15">
      <c r="A2312" s="10" t="str">
        <f t="shared" si="425"/>
        <v>502_1_0_1_polygon</v>
      </c>
      <c r="B2312" s="2">
        <v>502</v>
      </c>
      <c r="C2312" s="30" t="str">
        <f>VLOOKUP(B2312,gachas!A:C,3)</f>
        <v>お正月超フィーバーフェス黄（仮）</v>
      </c>
      <c r="D2312" s="21">
        <v>1</v>
      </c>
      <c r="E2312" s="2">
        <v>0</v>
      </c>
      <c r="F2312" s="2">
        <v>1</v>
      </c>
      <c r="G2312" s="3" t="s">
        <v>22</v>
      </c>
      <c r="H2312" s="2">
        <v>5</v>
      </c>
      <c r="I2312" s="114" t="str">
        <f t="shared" si="424"/>
        <v>502010</v>
      </c>
      <c r="J2312" s="112" t="s">
        <v>84</v>
      </c>
      <c r="K2312" s="2" t="s">
        <v>2384</v>
      </c>
      <c r="L2312" s="2">
        <v>0</v>
      </c>
      <c r="M2312" s="2" t="s">
        <v>84</v>
      </c>
      <c r="N2312" s="2" t="s">
        <v>84</v>
      </c>
      <c r="O2312" s="2" t="s">
        <v>841</v>
      </c>
      <c r="P2312" s="2" t="s">
        <v>691</v>
      </c>
    </row>
    <row r="2313" spans="1:16" ht="22" customHeight="1" x14ac:dyDescent="0.15">
      <c r="A2313" s="10" t="str">
        <f t="shared" si="425"/>
        <v>502_10_0_10_polygon</v>
      </c>
      <c r="B2313" s="2">
        <v>502</v>
      </c>
      <c r="C2313" s="30" t="str">
        <f>VLOOKUP(B2313,gachas!A:C,3)</f>
        <v>お正月超フィーバーフェス黄（仮）</v>
      </c>
      <c r="D2313" s="21">
        <v>10</v>
      </c>
      <c r="E2313" s="2">
        <v>0</v>
      </c>
      <c r="F2313" s="2">
        <v>10</v>
      </c>
      <c r="G2313" s="3" t="s">
        <v>22</v>
      </c>
      <c r="H2313" s="2">
        <v>50</v>
      </c>
      <c r="I2313" s="114" t="str">
        <f t="shared" si="424"/>
        <v>502100</v>
      </c>
      <c r="J2313" s="112" t="s">
        <v>84</v>
      </c>
      <c r="K2313" s="116" t="str">
        <f>I2313</f>
        <v>502100</v>
      </c>
      <c r="L2313" s="2">
        <v>1</v>
      </c>
      <c r="M2313" s="2" t="s">
        <v>84</v>
      </c>
      <c r="N2313" s="2" t="s">
        <v>84</v>
      </c>
      <c r="O2313" s="2" t="s">
        <v>841</v>
      </c>
      <c r="P2313" s="2" t="s">
        <v>378</v>
      </c>
    </row>
    <row r="2314" spans="1:16" ht="22" customHeight="1" x14ac:dyDescent="0.15">
      <c r="A2314" s="10" t="str">
        <f t="shared" ref="A2314:A2321" si="426">B2314&amp;"_"&amp;D2314&amp;"_"&amp;E2314&amp;"_"&amp;F2314&amp;"_"&amp;G2314</f>
        <v>503_10_0_10_polygon</v>
      </c>
      <c r="B2314" s="2">
        <v>503</v>
      </c>
      <c r="C2314" s="30" t="str">
        <f>VLOOKUP(B2314,gachas!A:C,3)</f>
        <v>ランキング対抗ガチャ&lt;マクローリン&gt;</v>
      </c>
      <c r="D2314" s="21">
        <v>10</v>
      </c>
      <c r="E2314" s="2">
        <v>0</v>
      </c>
      <c r="F2314" s="2">
        <v>10</v>
      </c>
      <c r="G2314" s="3" t="s">
        <v>22</v>
      </c>
      <c r="H2314" s="2">
        <v>50</v>
      </c>
      <c r="I2314" s="114" t="str">
        <f t="shared" ref="I2314:I2320" si="427">B2314&amp;TEXT(D2314,"00")&amp;E2314</f>
        <v>503100</v>
      </c>
      <c r="J2314" s="112" t="s">
        <v>84</v>
      </c>
      <c r="K2314" s="116" t="s">
        <v>2443</v>
      </c>
      <c r="L2314" s="2">
        <v>0</v>
      </c>
      <c r="M2314" s="2" t="s">
        <v>84</v>
      </c>
      <c r="N2314" s="2" t="s">
        <v>84</v>
      </c>
      <c r="O2314" s="2" t="s">
        <v>841</v>
      </c>
      <c r="P2314" s="2" t="s">
        <v>2444</v>
      </c>
    </row>
    <row r="2315" spans="1:16" ht="22" customHeight="1" x14ac:dyDescent="0.15">
      <c r="A2315" s="10" t="str">
        <f t="shared" si="426"/>
        <v>503_10_1_1_polygon</v>
      </c>
      <c r="B2315" s="2">
        <v>503</v>
      </c>
      <c r="C2315" s="30" t="str">
        <f>VLOOKUP(B2315,gachas!A:C,3)</f>
        <v>ランキング対抗ガチャ&lt;マクローリン&gt;</v>
      </c>
      <c r="D2315" s="21">
        <v>10</v>
      </c>
      <c r="E2315" s="2">
        <v>1</v>
      </c>
      <c r="F2315" s="2">
        <v>1</v>
      </c>
      <c r="G2315" s="3" t="s">
        <v>22</v>
      </c>
      <c r="H2315" s="2">
        <v>1</v>
      </c>
      <c r="I2315" s="114" t="str">
        <f t="shared" si="427"/>
        <v>503101</v>
      </c>
      <c r="J2315" s="112" t="s">
        <v>84</v>
      </c>
      <c r="K2315" s="116" t="s">
        <v>2443</v>
      </c>
      <c r="L2315" s="2">
        <v>0</v>
      </c>
      <c r="M2315" s="2" t="s">
        <v>84</v>
      </c>
      <c r="N2315" s="2" t="s">
        <v>84</v>
      </c>
      <c r="O2315" s="2" t="s">
        <v>841</v>
      </c>
      <c r="P2315" s="2" t="s">
        <v>1278</v>
      </c>
    </row>
    <row r="2316" spans="1:16" ht="22" customHeight="1" x14ac:dyDescent="0.15">
      <c r="A2316" s="10" t="str">
        <f t="shared" si="426"/>
        <v>503_10_2_3_polygon</v>
      </c>
      <c r="B2316" s="2">
        <v>503</v>
      </c>
      <c r="C2316" s="30" t="str">
        <f>VLOOKUP(B2316,gachas!A:C,3)</f>
        <v>ランキング対抗ガチャ&lt;マクローリン&gt;</v>
      </c>
      <c r="D2316" s="21">
        <v>10</v>
      </c>
      <c r="E2316" s="2">
        <v>2</v>
      </c>
      <c r="F2316" s="2">
        <v>3</v>
      </c>
      <c r="G2316" s="3" t="s">
        <v>22</v>
      </c>
      <c r="H2316" s="2">
        <v>9</v>
      </c>
      <c r="I2316" s="114">
        <v>503101</v>
      </c>
      <c r="J2316" s="112" t="s">
        <v>84</v>
      </c>
      <c r="K2316" s="116" t="s">
        <v>2443</v>
      </c>
      <c r="L2316" s="2">
        <v>0</v>
      </c>
      <c r="M2316" s="2" t="s">
        <v>84</v>
      </c>
      <c r="N2316" s="2" t="s">
        <v>84</v>
      </c>
      <c r="O2316" s="2" t="s">
        <v>841</v>
      </c>
      <c r="P2316" s="2" t="s">
        <v>1273</v>
      </c>
    </row>
    <row r="2317" spans="1:16" ht="22" customHeight="1" x14ac:dyDescent="0.15">
      <c r="A2317" s="10" t="str">
        <f t="shared" si="426"/>
        <v>503_10_3_10_polygon</v>
      </c>
      <c r="B2317" s="2">
        <v>503</v>
      </c>
      <c r="C2317" s="30" t="str">
        <f>VLOOKUP(B2317,gachas!A:C,3)</f>
        <v>ランキング対抗ガチャ&lt;マクローリン&gt;</v>
      </c>
      <c r="D2317" s="21">
        <v>10</v>
      </c>
      <c r="E2317" s="2">
        <v>3</v>
      </c>
      <c r="F2317" s="2">
        <v>10</v>
      </c>
      <c r="G2317" s="3" t="s">
        <v>22</v>
      </c>
      <c r="H2317" s="2">
        <v>35</v>
      </c>
      <c r="I2317" s="114" t="str">
        <f t="shared" si="427"/>
        <v>503103</v>
      </c>
      <c r="J2317" s="112">
        <v>503103</v>
      </c>
      <c r="K2317" s="116" t="s">
        <v>2443</v>
      </c>
      <c r="L2317" s="2">
        <v>0</v>
      </c>
      <c r="M2317" s="2" t="s">
        <v>84</v>
      </c>
      <c r="N2317" s="2" t="s">
        <v>84</v>
      </c>
      <c r="O2317" s="2" t="s">
        <v>841</v>
      </c>
      <c r="P2317" s="2" t="s">
        <v>2445</v>
      </c>
    </row>
    <row r="2318" spans="1:16" ht="22" customHeight="1" x14ac:dyDescent="0.15">
      <c r="A2318" s="10" t="str">
        <f t="shared" si="426"/>
        <v>503_10_4_10_polygon</v>
      </c>
      <c r="B2318" s="2">
        <v>503</v>
      </c>
      <c r="C2318" s="30" t="str">
        <f>VLOOKUP(B2318,gachas!A:C,3)</f>
        <v>ランキング対抗ガチャ&lt;マクローリン&gt;</v>
      </c>
      <c r="D2318" s="21">
        <v>10</v>
      </c>
      <c r="E2318" s="2">
        <v>4</v>
      </c>
      <c r="F2318" s="2">
        <v>10</v>
      </c>
      <c r="G2318" s="3" t="s">
        <v>22</v>
      </c>
      <c r="H2318" s="2">
        <v>50</v>
      </c>
      <c r="I2318" s="114" t="str">
        <f t="shared" si="427"/>
        <v>503104</v>
      </c>
      <c r="J2318" s="112" t="s">
        <v>84</v>
      </c>
      <c r="K2318" s="116" t="str">
        <f t="shared" ref="K2318" si="428">I2318</f>
        <v>503104</v>
      </c>
      <c r="L2318" s="2">
        <v>1</v>
      </c>
      <c r="M2318" s="2" t="s">
        <v>84</v>
      </c>
      <c r="N2318" s="2" t="s">
        <v>84</v>
      </c>
      <c r="O2318" s="2" t="s">
        <v>841</v>
      </c>
      <c r="P2318" s="2" t="s">
        <v>2446</v>
      </c>
    </row>
    <row r="2319" spans="1:16" ht="22" customHeight="1" x14ac:dyDescent="0.15">
      <c r="A2319" s="10" t="str">
        <f t="shared" si="426"/>
        <v>503_10_5_10_polygon</v>
      </c>
      <c r="B2319" s="2">
        <v>503</v>
      </c>
      <c r="C2319" s="30" t="str">
        <f>VLOOKUP(B2319,gachas!A:C,3)</f>
        <v>ランキング対抗ガチャ&lt;マクローリン&gt;</v>
      </c>
      <c r="D2319" s="21">
        <v>10</v>
      </c>
      <c r="E2319" s="2">
        <v>5</v>
      </c>
      <c r="F2319" s="2">
        <v>10</v>
      </c>
      <c r="G2319" s="3" t="s">
        <v>22</v>
      </c>
      <c r="H2319" s="2">
        <v>50</v>
      </c>
      <c r="I2319" s="114" t="str">
        <f t="shared" si="427"/>
        <v>503105</v>
      </c>
      <c r="J2319" s="112">
        <v>503105</v>
      </c>
      <c r="K2319" s="116" t="s">
        <v>2443</v>
      </c>
      <c r="L2319" s="2">
        <v>0</v>
      </c>
      <c r="M2319" s="2" t="s">
        <v>84</v>
      </c>
      <c r="N2319" s="2" t="s">
        <v>84</v>
      </c>
      <c r="O2319" s="2" t="s">
        <v>841</v>
      </c>
      <c r="P2319" s="2" t="s">
        <v>2447</v>
      </c>
    </row>
    <row r="2320" spans="1:16" ht="22" customHeight="1" x14ac:dyDescent="0.15">
      <c r="A2320" s="10" t="str">
        <f t="shared" si="426"/>
        <v>503_10_6_10_polygon</v>
      </c>
      <c r="B2320" s="2">
        <v>503</v>
      </c>
      <c r="C2320" s="30" t="str">
        <f>VLOOKUP(B2320,gachas!A:C,3)</f>
        <v>ランキング対抗ガチャ&lt;マクローリン&gt;</v>
      </c>
      <c r="D2320" s="21">
        <v>10</v>
      </c>
      <c r="E2320" s="2">
        <v>6</v>
      </c>
      <c r="F2320" s="2">
        <v>10</v>
      </c>
      <c r="G2320" s="3" t="s">
        <v>22</v>
      </c>
      <c r="H2320" s="2">
        <v>50</v>
      </c>
      <c r="I2320" s="114" t="str">
        <f t="shared" si="427"/>
        <v>503106</v>
      </c>
      <c r="J2320" s="112">
        <v>503106</v>
      </c>
      <c r="K2320" s="116" t="s">
        <v>2443</v>
      </c>
      <c r="L2320" s="2">
        <v>0</v>
      </c>
      <c r="M2320" s="2" t="s">
        <v>84</v>
      </c>
      <c r="N2320" s="2" t="s">
        <v>84</v>
      </c>
      <c r="O2320" s="2" t="s">
        <v>841</v>
      </c>
      <c r="P2320" s="2" t="s">
        <v>2448</v>
      </c>
    </row>
    <row r="2321" spans="1:16" ht="22" customHeight="1" x14ac:dyDescent="0.15">
      <c r="A2321" s="10" t="str">
        <f t="shared" si="426"/>
        <v>503_10_7_10_polygon</v>
      </c>
      <c r="B2321" s="2">
        <v>503</v>
      </c>
      <c r="C2321" s="30" t="str">
        <f>VLOOKUP(B2321,gachas!A:C,3)</f>
        <v>ランキング対抗ガチャ&lt;マクローリン&gt;</v>
      </c>
      <c r="D2321" s="21">
        <v>10</v>
      </c>
      <c r="E2321" s="2">
        <v>7</v>
      </c>
      <c r="F2321" s="2">
        <v>10</v>
      </c>
      <c r="G2321" s="3" t="s">
        <v>22</v>
      </c>
      <c r="H2321" s="2">
        <v>50</v>
      </c>
      <c r="I2321" s="114">
        <v>503100</v>
      </c>
      <c r="J2321" s="112" t="s">
        <v>84</v>
      </c>
      <c r="K2321" s="116" t="s">
        <v>2443</v>
      </c>
      <c r="L2321" s="2">
        <v>0</v>
      </c>
      <c r="M2321" s="2" t="s">
        <v>84</v>
      </c>
      <c r="N2321" s="2" t="s">
        <v>84</v>
      </c>
      <c r="O2321" s="2" t="s">
        <v>841</v>
      </c>
      <c r="P2321" s="2" t="s">
        <v>2449</v>
      </c>
    </row>
    <row r="2322" spans="1:16" ht="22" customHeight="1" x14ac:dyDescent="0.15">
      <c r="A2322" s="10" t="str">
        <f t="shared" ref="A2322" si="429">B2322&amp;"_"&amp;D2322&amp;"_"&amp;E2322&amp;"_"&amp;F2322&amp;"_"&amp;G2322</f>
        <v>504_1_0_1_polygon</v>
      </c>
      <c r="B2322" s="2">
        <v>504</v>
      </c>
      <c r="C2322" s="30" t="str">
        <f>VLOOKUP(B2322,gachas!A:C,3)</f>
        <v>新年特別開催台港澳祭典SIDE:A</v>
      </c>
      <c r="D2322" s="21">
        <v>1</v>
      </c>
      <c r="E2322" s="2">
        <v>0</v>
      </c>
      <c r="F2322" s="2">
        <v>1</v>
      </c>
      <c r="G2322" s="3" t="s">
        <v>22</v>
      </c>
      <c r="H2322" s="2">
        <v>5</v>
      </c>
      <c r="I2322" s="117">
        <v>504010</v>
      </c>
      <c r="J2322" s="112" t="s">
        <v>2092</v>
      </c>
      <c r="K2322" s="2" t="s">
        <v>2190</v>
      </c>
      <c r="L2322" s="2">
        <v>0</v>
      </c>
      <c r="M2322" s="2" t="s">
        <v>85</v>
      </c>
      <c r="N2322" s="2" t="s">
        <v>2094</v>
      </c>
      <c r="O2322" s="2" t="s">
        <v>2095</v>
      </c>
      <c r="P2322" s="2" t="s">
        <v>2190</v>
      </c>
    </row>
    <row r="2323" spans="1:16" ht="22" customHeight="1" x14ac:dyDescent="0.15">
      <c r="A2323" s="10" t="str">
        <f t="shared" ref="A2323:A2386" si="430">B2323&amp;"_"&amp;D2323&amp;"_"&amp;E2323&amp;"_"&amp;F2323&amp;"_"&amp;G2323</f>
        <v>504_10_0_10_polygon</v>
      </c>
      <c r="B2323" s="2">
        <v>504</v>
      </c>
      <c r="C2323" s="30" t="str">
        <f>VLOOKUP(B2323,gachas!A:C,3)</f>
        <v>新年特別開催台港澳祭典SIDE:A</v>
      </c>
      <c r="D2323" s="21">
        <v>10</v>
      </c>
      <c r="E2323" s="2">
        <v>0</v>
      </c>
      <c r="F2323" s="2">
        <v>10</v>
      </c>
      <c r="G2323" s="3" t="s">
        <v>22</v>
      </c>
      <c r="H2323" s="2">
        <v>50</v>
      </c>
      <c r="I2323" s="117">
        <v>504100</v>
      </c>
      <c r="J2323" s="112" t="s">
        <v>2092</v>
      </c>
      <c r="K2323" s="2" t="s">
        <v>2190</v>
      </c>
      <c r="L2323" s="2">
        <v>0</v>
      </c>
      <c r="M2323" s="2" t="s">
        <v>85</v>
      </c>
      <c r="N2323" s="2" t="s">
        <v>2094</v>
      </c>
      <c r="O2323" s="2" t="s">
        <v>2095</v>
      </c>
      <c r="P2323" s="2" t="s">
        <v>143</v>
      </c>
    </row>
    <row r="2324" spans="1:16" ht="22" customHeight="1" x14ac:dyDescent="0.15">
      <c r="A2324" s="10" t="str">
        <f t="shared" si="430"/>
        <v>504_10_1_10_polygon</v>
      </c>
      <c r="B2324" s="2">
        <v>504</v>
      </c>
      <c r="C2324" s="30" t="str">
        <f>VLOOKUP(B2324,gachas!A:C,3)</f>
        <v>新年特別開催台港澳祭典SIDE:A</v>
      </c>
      <c r="D2324" s="21">
        <v>10</v>
      </c>
      <c r="E2324" s="2">
        <f>E2323+1</f>
        <v>1</v>
      </c>
      <c r="F2324" s="2">
        <v>10</v>
      </c>
      <c r="G2324" s="3" t="s">
        <v>22</v>
      </c>
      <c r="H2324" s="2">
        <v>25</v>
      </c>
      <c r="I2324" s="117">
        <v>504100</v>
      </c>
      <c r="J2324" s="112" t="s">
        <v>2092</v>
      </c>
      <c r="K2324" s="2" t="s">
        <v>2190</v>
      </c>
      <c r="L2324" s="2">
        <v>0</v>
      </c>
      <c r="M2324" s="2" t="s">
        <v>85</v>
      </c>
      <c r="N2324" s="2" t="s">
        <v>2094</v>
      </c>
      <c r="O2324" s="2" t="s">
        <v>2095</v>
      </c>
      <c r="P2324" s="59" t="s">
        <v>1783</v>
      </c>
    </row>
    <row r="2325" spans="1:16" ht="22" customHeight="1" x14ac:dyDescent="0.15">
      <c r="A2325" s="10" t="str">
        <f t="shared" si="430"/>
        <v>504_10_2_10_polygon</v>
      </c>
      <c r="B2325" s="2">
        <v>504</v>
      </c>
      <c r="C2325" s="30" t="str">
        <f>VLOOKUP(B2325,gachas!A:C,3)</f>
        <v>新年特別開催台港澳祭典SIDE:A</v>
      </c>
      <c r="D2325" s="21">
        <v>10</v>
      </c>
      <c r="E2325" s="2">
        <f t="shared" ref="E2325:E2373" si="431">E2324+1</f>
        <v>2</v>
      </c>
      <c r="F2325" s="2">
        <v>10</v>
      </c>
      <c r="G2325" s="3" t="s">
        <v>22</v>
      </c>
      <c r="H2325" s="2">
        <v>50</v>
      </c>
      <c r="I2325" s="117">
        <v>504100</v>
      </c>
      <c r="J2325" s="112" t="s">
        <v>2092</v>
      </c>
      <c r="K2325" s="2" t="s">
        <v>2190</v>
      </c>
      <c r="L2325" s="2">
        <v>0</v>
      </c>
      <c r="M2325" s="2" t="s">
        <v>85</v>
      </c>
      <c r="N2325" s="2" t="s">
        <v>2094</v>
      </c>
      <c r="O2325" s="2" t="s">
        <v>2095</v>
      </c>
      <c r="P2325" s="2" t="s">
        <v>143</v>
      </c>
    </row>
    <row r="2326" spans="1:16" ht="22" customHeight="1" x14ac:dyDescent="0.15">
      <c r="A2326" s="10" t="str">
        <f t="shared" si="430"/>
        <v>504_10_3_10_polygon</v>
      </c>
      <c r="B2326" s="2">
        <v>504</v>
      </c>
      <c r="C2326" s="30" t="str">
        <f>VLOOKUP(B2326,gachas!A:C,3)</f>
        <v>新年特別開催台港澳祭典SIDE:A</v>
      </c>
      <c r="D2326" s="21">
        <v>10</v>
      </c>
      <c r="E2326" s="2">
        <f t="shared" si="431"/>
        <v>3</v>
      </c>
      <c r="F2326" s="2">
        <v>10</v>
      </c>
      <c r="G2326" s="3" t="s">
        <v>22</v>
      </c>
      <c r="H2326" s="2">
        <v>50</v>
      </c>
      <c r="I2326" s="117">
        <v>504100</v>
      </c>
      <c r="J2326" s="112" t="s">
        <v>2092</v>
      </c>
      <c r="K2326" s="2" t="s">
        <v>2190</v>
      </c>
      <c r="L2326" s="2">
        <v>0</v>
      </c>
      <c r="M2326" s="2" t="s">
        <v>85</v>
      </c>
      <c r="N2326" s="2" t="s">
        <v>2094</v>
      </c>
      <c r="O2326" s="2" t="s">
        <v>2095</v>
      </c>
      <c r="P2326" s="2" t="s">
        <v>143</v>
      </c>
    </row>
    <row r="2327" spans="1:16" ht="22" customHeight="1" x14ac:dyDescent="0.15">
      <c r="A2327" s="10" t="str">
        <f t="shared" si="430"/>
        <v>504_10_4_10_polygon</v>
      </c>
      <c r="B2327" s="2">
        <v>504</v>
      </c>
      <c r="C2327" s="30" t="str">
        <f>VLOOKUP(B2327,gachas!A:C,3)</f>
        <v>新年特別開催台港澳祭典SIDE:A</v>
      </c>
      <c r="D2327" s="21">
        <v>10</v>
      </c>
      <c r="E2327" s="2">
        <f t="shared" si="431"/>
        <v>4</v>
      </c>
      <c r="F2327" s="2">
        <v>10</v>
      </c>
      <c r="G2327" s="3" t="s">
        <v>22</v>
      </c>
      <c r="H2327" s="2">
        <v>50</v>
      </c>
      <c r="I2327" s="117">
        <v>504100</v>
      </c>
      <c r="J2327" s="112" t="s">
        <v>2092</v>
      </c>
      <c r="K2327" s="2" t="s">
        <v>2190</v>
      </c>
      <c r="L2327" s="2">
        <v>0</v>
      </c>
      <c r="M2327" s="2" t="s">
        <v>85</v>
      </c>
      <c r="N2327" s="2" t="s">
        <v>2094</v>
      </c>
      <c r="O2327" s="2" t="s">
        <v>2095</v>
      </c>
      <c r="P2327" s="2" t="s">
        <v>143</v>
      </c>
    </row>
    <row r="2328" spans="1:16" ht="22" customHeight="1" x14ac:dyDescent="0.15">
      <c r="A2328" s="10" t="str">
        <f t="shared" si="430"/>
        <v>504_10_5_10_polygon</v>
      </c>
      <c r="B2328" s="2">
        <v>504</v>
      </c>
      <c r="C2328" s="30" t="str">
        <f>VLOOKUP(B2328,gachas!A:C,3)</f>
        <v>新年特別開催台港澳祭典SIDE:A</v>
      </c>
      <c r="D2328" s="21">
        <v>10</v>
      </c>
      <c r="E2328" s="2">
        <f t="shared" si="431"/>
        <v>5</v>
      </c>
      <c r="F2328" s="2">
        <v>10</v>
      </c>
      <c r="G2328" s="3" t="s">
        <v>22</v>
      </c>
      <c r="H2328" s="2">
        <v>50</v>
      </c>
      <c r="I2328" s="117">
        <v>504100</v>
      </c>
      <c r="J2328" s="112" t="s">
        <v>2092</v>
      </c>
      <c r="K2328" s="117">
        <v>504105</v>
      </c>
      <c r="L2328" s="2">
        <v>1</v>
      </c>
      <c r="M2328" s="2" t="s">
        <v>85</v>
      </c>
      <c r="N2328" s="2" t="s">
        <v>2094</v>
      </c>
      <c r="O2328" s="2" t="s">
        <v>2095</v>
      </c>
      <c r="P2328" s="2" t="s">
        <v>2450</v>
      </c>
    </row>
    <row r="2329" spans="1:16" ht="22" customHeight="1" x14ac:dyDescent="0.15">
      <c r="A2329" s="10" t="str">
        <f t="shared" si="430"/>
        <v>504_10_6_10_polygon</v>
      </c>
      <c r="B2329" s="2">
        <v>504</v>
      </c>
      <c r="C2329" s="30" t="str">
        <f>VLOOKUP(B2329,gachas!A:C,3)</f>
        <v>新年特別開催台港澳祭典SIDE:A</v>
      </c>
      <c r="D2329" s="21">
        <v>10</v>
      </c>
      <c r="E2329" s="2">
        <f t="shared" si="431"/>
        <v>6</v>
      </c>
      <c r="F2329" s="2">
        <v>10</v>
      </c>
      <c r="G2329" s="3" t="s">
        <v>22</v>
      </c>
      <c r="H2329" s="2">
        <v>25</v>
      </c>
      <c r="I2329" s="117">
        <v>504100</v>
      </c>
      <c r="J2329" s="112" t="s">
        <v>2092</v>
      </c>
      <c r="K2329" s="2" t="s">
        <v>2190</v>
      </c>
      <c r="L2329" s="2">
        <v>0</v>
      </c>
      <c r="M2329" s="2" t="s">
        <v>85</v>
      </c>
      <c r="N2329" s="2" t="s">
        <v>2094</v>
      </c>
      <c r="O2329" s="2" t="s">
        <v>2095</v>
      </c>
      <c r="P2329" s="59" t="s">
        <v>1783</v>
      </c>
    </row>
    <row r="2330" spans="1:16" ht="22" customHeight="1" x14ac:dyDescent="0.15">
      <c r="A2330" s="10" t="str">
        <f t="shared" si="430"/>
        <v>504_10_7_10_polygon</v>
      </c>
      <c r="B2330" s="2">
        <v>504</v>
      </c>
      <c r="C2330" s="30" t="str">
        <f>VLOOKUP(B2330,gachas!A:C,3)</f>
        <v>新年特別開催台港澳祭典SIDE:A</v>
      </c>
      <c r="D2330" s="21">
        <v>10</v>
      </c>
      <c r="E2330" s="2">
        <f t="shared" si="431"/>
        <v>7</v>
      </c>
      <c r="F2330" s="2">
        <v>10</v>
      </c>
      <c r="G2330" s="3" t="s">
        <v>22</v>
      </c>
      <c r="H2330" s="2">
        <v>50</v>
      </c>
      <c r="I2330" s="117">
        <v>504100</v>
      </c>
      <c r="J2330" s="112" t="s">
        <v>2092</v>
      </c>
      <c r="K2330" s="2" t="s">
        <v>2190</v>
      </c>
      <c r="L2330" s="2">
        <v>0</v>
      </c>
      <c r="M2330" s="2" t="s">
        <v>85</v>
      </c>
      <c r="N2330" s="2" t="s">
        <v>2094</v>
      </c>
      <c r="O2330" s="2" t="s">
        <v>2095</v>
      </c>
      <c r="P2330" s="2" t="s">
        <v>143</v>
      </c>
    </row>
    <row r="2331" spans="1:16" ht="22" customHeight="1" x14ac:dyDescent="0.15">
      <c r="A2331" s="10" t="str">
        <f t="shared" si="430"/>
        <v>504_10_8_10_polygon</v>
      </c>
      <c r="B2331" s="2">
        <v>504</v>
      </c>
      <c r="C2331" s="30" t="str">
        <f>VLOOKUP(B2331,gachas!A:C,3)</f>
        <v>新年特別開催台港澳祭典SIDE:A</v>
      </c>
      <c r="D2331" s="21">
        <v>10</v>
      </c>
      <c r="E2331" s="2">
        <f t="shared" si="431"/>
        <v>8</v>
      </c>
      <c r="F2331" s="2">
        <v>10</v>
      </c>
      <c r="G2331" s="3" t="s">
        <v>22</v>
      </c>
      <c r="H2331" s="2">
        <v>50</v>
      </c>
      <c r="I2331" s="117">
        <v>504100</v>
      </c>
      <c r="J2331" s="112" t="s">
        <v>2092</v>
      </c>
      <c r="K2331" s="2" t="s">
        <v>2190</v>
      </c>
      <c r="L2331" s="2">
        <v>0</v>
      </c>
      <c r="M2331" s="2" t="s">
        <v>85</v>
      </c>
      <c r="N2331" s="2" t="s">
        <v>2094</v>
      </c>
      <c r="O2331" s="2" t="s">
        <v>2095</v>
      </c>
      <c r="P2331" s="2" t="s">
        <v>143</v>
      </c>
    </row>
    <row r="2332" spans="1:16" ht="22" customHeight="1" x14ac:dyDescent="0.15">
      <c r="A2332" s="10" t="str">
        <f t="shared" si="430"/>
        <v>504_10_9_10_polygon</v>
      </c>
      <c r="B2332" s="2">
        <v>504</v>
      </c>
      <c r="C2332" s="30" t="str">
        <f>VLOOKUP(B2332,gachas!A:C,3)</f>
        <v>新年特別開催台港澳祭典SIDE:A</v>
      </c>
      <c r="D2332" s="21">
        <v>10</v>
      </c>
      <c r="E2332" s="2">
        <f t="shared" si="431"/>
        <v>9</v>
      </c>
      <c r="F2332" s="2">
        <v>10</v>
      </c>
      <c r="G2332" s="3" t="s">
        <v>22</v>
      </c>
      <c r="H2332" s="2">
        <v>50</v>
      </c>
      <c r="I2332" s="117">
        <v>504100</v>
      </c>
      <c r="J2332" s="112" t="s">
        <v>2092</v>
      </c>
      <c r="K2332" s="2" t="s">
        <v>2190</v>
      </c>
      <c r="L2332" s="2">
        <v>0</v>
      </c>
      <c r="M2332" s="2" t="s">
        <v>85</v>
      </c>
      <c r="N2332" s="2" t="s">
        <v>2094</v>
      </c>
      <c r="O2332" s="2" t="s">
        <v>2095</v>
      </c>
      <c r="P2332" s="2" t="s">
        <v>143</v>
      </c>
    </row>
    <row r="2333" spans="1:16" ht="22" customHeight="1" x14ac:dyDescent="0.15">
      <c r="A2333" s="10" t="str">
        <f t="shared" si="430"/>
        <v>504_10_10_10_polygon</v>
      </c>
      <c r="B2333" s="2">
        <v>504</v>
      </c>
      <c r="C2333" s="30" t="str">
        <f>VLOOKUP(B2333,gachas!A:C,3)</f>
        <v>新年特別開催台港澳祭典SIDE:A</v>
      </c>
      <c r="D2333" s="21">
        <v>10</v>
      </c>
      <c r="E2333" s="2">
        <f t="shared" si="431"/>
        <v>10</v>
      </c>
      <c r="F2333" s="2">
        <v>10</v>
      </c>
      <c r="G2333" s="3" t="s">
        <v>22</v>
      </c>
      <c r="H2333" s="2">
        <v>50</v>
      </c>
      <c r="I2333" s="117">
        <v>504100</v>
      </c>
      <c r="J2333" s="112" t="s">
        <v>2092</v>
      </c>
      <c r="K2333" s="117">
        <v>504105</v>
      </c>
      <c r="L2333" s="2">
        <v>1</v>
      </c>
      <c r="M2333" s="2" t="s">
        <v>85</v>
      </c>
      <c r="N2333" s="2" t="s">
        <v>2094</v>
      </c>
      <c r="O2333" s="2" t="s">
        <v>2095</v>
      </c>
      <c r="P2333" s="2" t="s">
        <v>2450</v>
      </c>
    </row>
    <row r="2334" spans="1:16" ht="22" customHeight="1" x14ac:dyDescent="0.15">
      <c r="A2334" s="10" t="str">
        <f t="shared" si="430"/>
        <v>504_10_11_10_polygon</v>
      </c>
      <c r="B2334" s="2">
        <v>504</v>
      </c>
      <c r="C2334" s="30" t="str">
        <f>VLOOKUP(B2334,gachas!A:C,3)</f>
        <v>新年特別開催台港澳祭典SIDE:A</v>
      </c>
      <c r="D2334" s="21">
        <v>10</v>
      </c>
      <c r="E2334" s="2">
        <f t="shared" si="431"/>
        <v>11</v>
      </c>
      <c r="F2334" s="2">
        <v>10</v>
      </c>
      <c r="G2334" s="3" t="s">
        <v>22</v>
      </c>
      <c r="H2334" s="2">
        <v>25</v>
      </c>
      <c r="I2334" s="117">
        <v>504100</v>
      </c>
      <c r="J2334" s="112" t="s">
        <v>2092</v>
      </c>
      <c r="K2334" s="2" t="s">
        <v>2190</v>
      </c>
      <c r="L2334" s="2">
        <v>0</v>
      </c>
      <c r="M2334" s="2" t="s">
        <v>85</v>
      </c>
      <c r="N2334" s="2" t="s">
        <v>2094</v>
      </c>
      <c r="O2334" s="2" t="s">
        <v>2095</v>
      </c>
      <c r="P2334" s="59" t="s">
        <v>1783</v>
      </c>
    </row>
    <row r="2335" spans="1:16" ht="22" customHeight="1" x14ac:dyDescent="0.15">
      <c r="A2335" s="10" t="str">
        <f t="shared" si="430"/>
        <v>504_10_12_10_polygon</v>
      </c>
      <c r="B2335" s="2">
        <v>504</v>
      </c>
      <c r="C2335" s="30" t="str">
        <f>VLOOKUP(B2335,gachas!A:C,3)</f>
        <v>新年特別開催台港澳祭典SIDE:A</v>
      </c>
      <c r="D2335" s="21">
        <v>10</v>
      </c>
      <c r="E2335" s="2">
        <f t="shared" si="431"/>
        <v>12</v>
      </c>
      <c r="F2335" s="2">
        <v>10</v>
      </c>
      <c r="G2335" s="3" t="s">
        <v>22</v>
      </c>
      <c r="H2335" s="2">
        <v>50</v>
      </c>
      <c r="I2335" s="117">
        <v>504100</v>
      </c>
      <c r="J2335" s="112" t="s">
        <v>2092</v>
      </c>
      <c r="K2335" s="2" t="s">
        <v>2190</v>
      </c>
      <c r="L2335" s="2">
        <v>0</v>
      </c>
      <c r="M2335" s="2" t="s">
        <v>85</v>
      </c>
      <c r="N2335" s="2" t="s">
        <v>2094</v>
      </c>
      <c r="O2335" s="2" t="s">
        <v>2095</v>
      </c>
      <c r="P2335" s="2" t="s">
        <v>143</v>
      </c>
    </row>
    <row r="2336" spans="1:16" ht="22" customHeight="1" x14ac:dyDescent="0.15">
      <c r="A2336" s="10" t="str">
        <f t="shared" si="430"/>
        <v>504_10_13_10_polygon</v>
      </c>
      <c r="B2336" s="2">
        <v>504</v>
      </c>
      <c r="C2336" s="30" t="str">
        <f>VLOOKUP(B2336,gachas!A:C,3)</f>
        <v>新年特別開催台港澳祭典SIDE:A</v>
      </c>
      <c r="D2336" s="21">
        <v>10</v>
      </c>
      <c r="E2336" s="2">
        <f t="shared" si="431"/>
        <v>13</v>
      </c>
      <c r="F2336" s="2">
        <v>10</v>
      </c>
      <c r="G2336" s="3" t="s">
        <v>22</v>
      </c>
      <c r="H2336" s="2">
        <v>50</v>
      </c>
      <c r="I2336" s="117">
        <v>504100</v>
      </c>
      <c r="J2336" s="112" t="s">
        <v>2092</v>
      </c>
      <c r="K2336" s="2" t="s">
        <v>2190</v>
      </c>
      <c r="L2336" s="2">
        <v>0</v>
      </c>
      <c r="M2336" s="2" t="s">
        <v>85</v>
      </c>
      <c r="N2336" s="2" t="s">
        <v>2094</v>
      </c>
      <c r="O2336" s="2" t="s">
        <v>2095</v>
      </c>
      <c r="P2336" s="2" t="s">
        <v>143</v>
      </c>
    </row>
    <row r="2337" spans="1:16" ht="22" customHeight="1" x14ac:dyDescent="0.15">
      <c r="A2337" s="10" t="str">
        <f t="shared" si="430"/>
        <v>504_10_14_10_polygon</v>
      </c>
      <c r="B2337" s="2">
        <v>504</v>
      </c>
      <c r="C2337" s="30" t="str">
        <f>VLOOKUP(B2337,gachas!A:C,3)</f>
        <v>新年特別開催台港澳祭典SIDE:A</v>
      </c>
      <c r="D2337" s="21">
        <v>10</v>
      </c>
      <c r="E2337" s="2">
        <f t="shared" si="431"/>
        <v>14</v>
      </c>
      <c r="F2337" s="2">
        <v>10</v>
      </c>
      <c r="G2337" s="3" t="s">
        <v>22</v>
      </c>
      <c r="H2337" s="2">
        <v>50</v>
      </c>
      <c r="I2337" s="117">
        <v>504100</v>
      </c>
      <c r="J2337" s="112" t="s">
        <v>2092</v>
      </c>
      <c r="K2337" s="2" t="s">
        <v>2190</v>
      </c>
      <c r="L2337" s="2">
        <v>0</v>
      </c>
      <c r="M2337" s="2" t="s">
        <v>85</v>
      </c>
      <c r="N2337" s="2" t="s">
        <v>2094</v>
      </c>
      <c r="O2337" s="2" t="s">
        <v>2095</v>
      </c>
      <c r="P2337" s="2" t="s">
        <v>143</v>
      </c>
    </row>
    <row r="2338" spans="1:16" ht="22" customHeight="1" x14ac:dyDescent="0.15">
      <c r="A2338" s="10" t="str">
        <f t="shared" si="430"/>
        <v>504_10_15_10_polygon</v>
      </c>
      <c r="B2338" s="2">
        <v>504</v>
      </c>
      <c r="C2338" s="30" t="str">
        <f>VLOOKUP(B2338,gachas!A:C,3)</f>
        <v>新年特別開催台港澳祭典SIDE:A</v>
      </c>
      <c r="D2338" s="21">
        <v>10</v>
      </c>
      <c r="E2338" s="2">
        <f t="shared" si="431"/>
        <v>15</v>
      </c>
      <c r="F2338" s="2">
        <v>10</v>
      </c>
      <c r="G2338" s="3" t="s">
        <v>22</v>
      </c>
      <c r="H2338" s="2">
        <v>50</v>
      </c>
      <c r="I2338" s="117">
        <v>504100</v>
      </c>
      <c r="J2338" s="112" t="s">
        <v>2092</v>
      </c>
      <c r="K2338" s="117">
        <v>504105</v>
      </c>
      <c r="L2338" s="2">
        <v>1</v>
      </c>
      <c r="M2338" s="2" t="s">
        <v>85</v>
      </c>
      <c r="N2338" s="2" t="s">
        <v>2094</v>
      </c>
      <c r="O2338" s="2" t="s">
        <v>2095</v>
      </c>
      <c r="P2338" s="2" t="s">
        <v>2450</v>
      </c>
    </row>
    <row r="2339" spans="1:16" ht="22" customHeight="1" x14ac:dyDescent="0.15">
      <c r="A2339" s="10" t="str">
        <f t="shared" si="430"/>
        <v>504_10_16_10_polygon</v>
      </c>
      <c r="B2339" s="2">
        <v>504</v>
      </c>
      <c r="C2339" s="30" t="str">
        <f>VLOOKUP(B2339,gachas!A:C,3)</f>
        <v>新年特別開催台港澳祭典SIDE:A</v>
      </c>
      <c r="D2339" s="21">
        <v>10</v>
      </c>
      <c r="E2339" s="2">
        <f t="shared" si="431"/>
        <v>16</v>
      </c>
      <c r="F2339" s="2">
        <v>10</v>
      </c>
      <c r="G2339" s="3" t="s">
        <v>22</v>
      </c>
      <c r="H2339" s="2">
        <v>25</v>
      </c>
      <c r="I2339" s="117">
        <v>504100</v>
      </c>
      <c r="J2339" s="112" t="s">
        <v>2092</v>
      </c>
      <c r="K2339" s="2" t="s">
        <v>2190</v>
      </c>
      <c r="L2339" s="2">
        <v>0</v>
      </c>
      <c r="M2339" s="2" t="s">
        <v>85</v>
      </c>
      <c r="N2339" s="2" t="s">
        <v>2094</v>
      </c>
      <c r="O2339" s="2" t="s">
        <v>2095</v>
      </c>
      <c r="P2339" s="59" t="s">
        <v>1783</v>
      </c>
    </row>
    <row r="2340" spans="1:16" ht="22" customHeight="1" x14ac:dyDescent="0.15">
      <c r="A2340" s="10" t="str">
        <f t="shared" si="430"/>
        <v>504_10_17_10_polygon</v>
      </c>
      <c r="B2340" s="2">
        <v>504</v>
      </c>
      <c r="C2340" s="30" t="str">
        <f>VLOOKUP(B2340,gachas!A:C,3)</f>
        <v>新年特別開催台港澳祭典SIDE:A</v>
      </c>
      <c r="D2340" s="21">
        <v>10</v>
      </c>
      <c r="E2340" s="2">
        <f t="shared" si="431"/>
        <v>17</v>
      </c>
      <c r="F2340" s="2">
        <v>10</v>
      </c>
      <c r="G2340" s="3" t="s">
        <v>22</v>
      </c>
      <c r="H2340" s="2">
        <v>50</v>
      </c>
      <c r="I2340" s="117">
        <v>504100</v>
      </c>
      <c r="J2340" s="112" t="s">
        <v>2092</v>
      </c>
      <c r="K2340" s="2" t="s">
        <v>2190</v>
      </c>
      <c r="L2340" s="2">
        <v>0</v>
      </c>
      <c r="M2340" s="2" t="s">
        <v>85</v>
      </c>
      <c r="N2340" s="2" t="s">
        <v>2094</v>
      </c>
      <c r="O2340" s="2" t="s">
        <v>2095</v>
      </c>
      <c r="P2340" s="2" t="s">
        <v>143</v>
      </c>
    </row>
    <row r="2341" spans="1:16" ht="22" customHeight="1" x14ac:dyDescent="0.15">
      <c r="A2341" s="10" t="str">
        <f t="shared" si="430"/>
        <v>504_10_18_10_polygon</v>
      </c>
      <c r="B2341" s="2">
        <v>504</v>
      </c>
      <c r="C2341" s="30" t="str">
        <f>VLOOKUP(B2341,gachas!A:C,3)</f>
        <v>新年特別開催台港澳祭典SIDE:A</v>
      </c>
      <c r="D2341" s="21">
        <v>10</v>
      </c>
      <c r="E2341" s="2">
        <f t="shared" si="431"/>
        <v>18</v>
      </c>
      <c r="F2341" s="2">
        <v>10</v>
      </c>
      <c r="G2341" s="3" t="s">
        <v>22</v>
      </c>
      <c r="H2341" s="2">
        <v>50</v>
      </c>
      <c r="I2341" s="117">
        <v>504100</v>
      </c>
      <c r="J2341" s="112" t="s">
        <v>2092</v>
      </c>
      <c r="K2341" s="2" t="s">
        <v>2190</v>
      </c>
      <c r="L2341" s="2">
        <v>0</v>
      </c>
      <c r="M2341" s="2" t="s">
        <v>85</v>
      </c>
      <c r="N2341" s="2" t="s">
        <v>2094</v>
      </c>
      <c r="O2341" s="2" t="s">
        <v>2095</v>
      </c>
      <c r="P2341" s="2" t="s">
        <v>143</v>
      </c>
    </row>
    <row r="2342" spans="1:16" ht="22" customHeight="1" x14ac:dyDescent="0.15">
      <c r="A2342" s="10" t="str">
        <f t="shared" si="430"/>
        <v>504_10_19_10_polygon</v>
      </c>
      <c r="B2342" s="2">
        <v>504</v>
      </c>
      <c r="C2342" s="30" t="str">
        <f>VLOOKUP(B2342,gachas!A:C,3)</f>
        <v>新年特別開催台港澳祭典SIDE:A</v>
      </c>
      <c r="D2342" s="21">
        <v>10</v>
      </c>
      <c r="E2342" s="2">
        <f t="shared" si="431"/>
        <v>19</v>
      </c>
      <c r="F2342" s="2">
        <v>10</v>
      </c>
      <c r="G2342" s="3" t="s">
        <v>22</v>
      </c>
      <c r="H2342" s="2">
        <v>50</v>
      </c>
      <c r="I2342" s="117">
        <v>504100</v>
      </c>
      <c r="J2342" s="112" t="s">
        <v>2092</v>
      </c>
      <c r="K2342" s="2" t="s">
        <v>2190</v>
      </c>
      <c r="L2342" s="2">
        <v>0</v>
      </c>
      <c r="M2342" s="2" t="s">
        <v>85</v>
      </c>
      <c r="N2342" s="2" t="s">
        <v>2094</v>
      </c>
      <c r="O2342" s="2" t="s">
        <v>2095</v>
      </c>
      <c r="P2342" s="2" t="s">
        <v>143</v>
      </c>
    </row>
    <row r="2343" spans="1:16" ht="22" customHeight="1" x14ac:dyDescent="0.15">
      <c r="A2343" s="10" t="str">
        <f t="shared" si="430"/>
        <v>504_10_20_10_polygon</v>
      </c>
      <c r="B2343" s="2">
        <v>504</v>
      </c>
      <c r="C2343" s="30" t="str">
        <f>VLOOKUP(B2343,gachas!A:C,3)</f>
        <v>新年特別開催台港澳祭典SIDE:A</v>
      </c>
      <c r="D2343" s="21">
        <v>10</v>
      </c>
      <c r="E2343" s="2">
        <f t="shared" si="431"/>
        <v>20</v>
      </c>
      <c r="F2343" s="2">
        <v>10</v>
      </c>
      <c r="G2343" s="3" t="s">
        <v>22</v>
      </c>
      <c r="H2343" s="2">
        <v>50</v>
      </c>
      <c r="I2343" s="117">
        <v>504100</v>
      </c>
      <c r="J2343" s="112" t="s">
        <v>2092</v>
      </c>
      <c r="K2343" s="117">
        <v>504105</v>
      </c>
      <c r="L2343" s="2">
        <v>1</v>
      </c>
      <c r="M2343" s="2" t="s">
        <v>85</v>
      </c>
      <c r="N2343" s="2" t="s">
        <v>2094</v>
      </c>
      <c r="O2343" s="2" t="s">
        <v>2095</v>
      </c>
      <c r="P2343" s="2" t="s">
        <v>2450</v>
      </c>
    </row>
    <row r="2344" spans="1:16" ht="22" customHeight="1" x14ac:dyDescent="0.15">
      <c r="A2344" s="10" t="str">
        <f t="shared" si="430"/>
        <v>504_10_21_10_polygon</v>
      </c>
      <c r="B2344" s="2">
        <v>504</v>
      </c>
      <c r="C2344" s="30" t="str">
        <f>VLOOKUP(B2344,gachas!A:C,3)</f>
        <v>新年特別開催台港澳祭典SIDE:A</v>
      </c>
      <c r="D2344" s="21">
        <v>10</v>
      </c>
      <c r="E2344" s="2">
        <f t="shared" si="431"/>
        <v>21</v>
      </c>
      <c r="F2344" s="2">
        <v>10</v>
      </c>
      <c r="G2344" s="3" t="s">
        <v>22</v>
      </c>
      <c r="H2344" s="2">
        <v>25</v>
      </c>
      <c r="I2344" s="117">
        <v>504100</v>
      </c>
      <c r="J2344" s="112" t="s">
        <v>2092</v>
      </c>
      <c r="K2344" s="2" t="s">
        <v>2190</v>
      </c>
      <c r="L2344" s="2">
        <v>0</v>
      </c>
      <c r="M2344" s="2" t="s">
        <v>85</v>
      </c>
      <c r="N2344" s="2" t="s">
        <v>2094</v>
      </c>
      <c r="O2344" s="2" t="s">
        <v>2095</v>
      </c>
      <c r="P2344" s="59" t="s">
        <v>1783</v>
      </c>
    </row>
    <row r="2345" spans="1:16" ht="22" customHeight="1" x14ac:dyDescent="0.15">
      <c r="A2345" s="10" t="str">
        <f t="shared" si="430"/>
        <v>504_10_22_10_polygon</v>
      </c>
      <c r="B2345" s="2">
        <v>504</v>
      </c>
      <c r="C2345" s="30" t="str">
        <f>VLOOKUP(B2345,gachas!A:C,3)</f>
        <v>新年特別開催台港澳祭典SIDE:A</v>
      </c>
      <c r="D2345" s="21">
        <v>10</v>
      </c>
      <c r="E2345" s="2">
        <f t="shared" si="431"/>
        <v>22</v>
      </c>
      <c r="F2345" s="2">
        <v>10</v>
      </c>
      <c r="G2345" s="3" t="s">
        <v>22</v>
      </c>
      <c r="H2345" s="2">
        <v>50</v>
      </c>
      <c r="I2345" s="117">
        <v>504100</v>
      </c>
      <c r="J2345" s="112" t="s">
        <v>2092</v>
      </c>
      <c r="K2345" s="2" t="s">
        <v>2190</v>
      </c>
      <c r="L2345" s="2">
        <v>0</v>
      </c>
      <c r="M2345" s="2" t="s">
        <v>85</v>
      </c>
      <c r="N2345" s="2" t="s">
        <v>2094</v>
      </c>
      <c r="O2345" s="2" t="s">
        <v>2095</v>
      </c>
      <c r="P2345" s="2" t="s">
        <v>143</v>
      </c>
    </row>
    <row r="2346" spans="1:16" ht="22" customHeight="1" x14ac:dyDescent="0.15">
      <c r="A2346" s="10" t="str">
        <f t="shared" si="430"/>
        <v>504_10_23_10_polygon</v>
      </c>
      <c r="B2346" s="2">
        <v>504</v>
      </c>
      <c r="C2346" s="30" t="str">
        <f>VLOOKUP(B2346,gachas!A:C,3)</f>
        <v>新年特別開催台港澳祭典SIDE:A</v>
      </c>
      <c r="D2346" s="21">
        <v>10</v>
      </c>
      <c r="E2346" s="2">
        <f t="shared" si="431"/>
        <v>23</v>
      </c>
      <c r="F2346" s="2">
        <v>10</v>
      </c>
      <c r="G2346" s="3" t="s">
        <v>22</v>
      </c>
      <c r="H2346" s="2">
        <v>50</v>
      </c>
      <c r="I2346" s="117">
        <v>504100</v>
      </c>
      <c r="J2346" s="112" t="s">
        <v>2092</v>
      </c>
      <c r="K2346" s="2" t="s">
        <v>2190</v>
      </c>
      <c r="L2346" s="2">
        <v>0</v>
      </c>
      <c r="M2346" s="2" t="s">
        <v>85</v>
      </c>
      <c r="N2346" s="2" t="s">
        <v>2094</v>
      </c>
      <c r="O2346" s="2" t="s">
        <v>2095</v>
      </c>
      <c r="P2346" s="2" t="s">
        <v>143</v>
      </c>
    </row>
    <row r="2347" spans="1:16" ht="22" customHeight="1" x14ac:dyDescent="0.15">
      <c r="A2347" s="10" t="str">
        <f t="shared" si="430"/>
        <v>504_10_24_10_polygon</v>
      </c>
      <c r="B2347" s="2">
        <v>504</v>
      </c>
      <c r="C2347" s="30" t="str">
        <f>VLOOKUP(B2347,gachas!A:C,3)</f>
        <v>新年特別開催台港澳祭典SIDE:A</v>
      </c>
      <c r="D2347" s="21">
        <v>10</v>
      </c>
      <c r="E2347" s="2">
        <f t="shared" si="431"/>
        <v>24</v>
      </c>
      <c r="F2347" s="2">
        <v>10</v>
      </c>
      <c r="G2347" s="3" t="s">
        <v>22</v>
      </c>
      <c r="H2347" s="2">
        <v>50</v>
      </c>
      <c r="I2347" s="117">
        <v>504100</v>
      </c>
      <c r="J2347" s="112" t="s">
        <v>2092</v>
      </c>
      <c r="K2347" s="2" t="s">
        <v>2190</v>
      </c>
      <c r="L2347" s="2">
        <v>0</v>
      </c>
      <c r="M2347" s="2" t="s">
        <v>85</v>
      </c>
      <c r="N2347" s="2" t="s">
        <v>2094</v>
      </c>
      <c r="O2347" s="2" t="s">
        <v>2095</v>
      </c>
      <c r="P2347" s="2" t="s">
        <v>143</v>
      </c>
    </row>
    <row r="2348" spans="1:16" ht="22" customHeight="1" x14ac:dyDescent="0.15">
      <c r="A2348" s="10" t="str">
        <f t="shared" si="430"/>
        <v>504_10_25_10_polygon</v>
      </c>
      <c r="B2348" s="2">
        <v>504</v>
      </c>
      <c r="C2348" s="30" t="str">
        <f>VLOOKUP(B2348,gachas!A:C,3)</f>
        <v>新年特別開催台港澳祭典SIDE:A</v>
      </c>
      <c r="D2348" s="21">
        <v>10</v>
      </c>
      <c r="E2348" s="2">
        <f t="shared" si="431"/>
        <v>25</v>
      </c>
      <c r="F2348" s="2">
        <v>10</v>
      </c>
      <c r="G2348" s="3" t="s">
        <v>22</v>
      </c>
      <c r="H2348" s="2">
        <v>50</v>
      </c>
      <c r="I2348" s="117">
        <v>504100</v>
      </c>
      <c r="J2348" s="112" t="s">
        <v>2092</v>
      </c>
      <c r="K2348" s="117">
        <v>504105</v>
      </c>
      <c r="L2348" s="2">
        <v>1</v>
      </c>
      <c r="M2348" s="2" t="s">
        <v>85</v>
      </c>
      <c r="N2348" s="2" t="s">
        <v>2094</v>
      </c>
      <c r="O2348" s="2" t="s">
        <v>2095</v>
      </c>
      <c r="P2348" s="2" t="s">
        <v>2450</v>
      </c>
    </row>
    <row r="2349" spans="1:16" ht="22" customHeight="1" x14ac:dyDescent="0.15">
      <c r="A2349" s="10" t="str">
        <f t="shared" si="430"/>
        <v>504_10_26_10_polygon</v>
      </c>
      <c r="B2349" s="2">
        <v>504</v>
      </c>
      <c r="C2349" s="30" t="str">
        <f>VLOOKUP(B2349,gachas!A:C,3)</f>
        <v>新年特別開催台港澳祭典SIDE:A</v>
      </c>
      <c r="D2349" s="21">
        <v>10</v>
      </c>
      <c r="E2349" s="2">
        <f t="shared" si="431"/>
        <v>26</v>
      </c>
      <c r="F2349" s="2">
        <v>10</v>
      </c>
      <c r="G2349" s="3" t="s">
        <v>22</v>
      </c>
      <c r="H2349" s="2">
        <v>25</v>
      </c>
      <c r="I2349" s="117">
        <v>504100</v>
      </c>
      <c r="J2349" s="112" t="s">
        <v>2092</v>
      </c>
      <c r="K2349" s="2" t="s">
        <v>2190</v>
      </c>
      <c r="L2349" s="2">
        <v>0</v>
      </c>
      <c r="M2349" s="2" t="s">
        <v>85</v>
      </c>
      <c r="N2349" s="2" t="s">
        <v>2094</v>
      </c>
      <c r="O2349" s="2" t="s">
        <v>2095</v>
      </c>
      <c r="P2349" s="59" t="s">
        <v>1783</v>
      </c>
    </row>
    <row r="2350" spans="1:16" ht="22" customHeight="1" x14ac:dyDescent="0.15">
      <c r="A2350" s="10" t="str">
        <f t="shared" si="430"/>
        <v>504_10_27_10_polygon</v>
      </c>
      <c r="B2350" s="2">
        <v>504</v>
      </c>
      <c r="C2350" s="30" t="str">
        <f>VLOOKUP(B2350,gachas!A:C,3)</f>
        <v>新年特別開催台港澳祭典SIDE:A</v>
      </c>
      <c r="D2350" s="21">
        <v>10</v>
      </c>
      <c r="E2350" s="2">
        <f t="shared" si="431"/>
        <v>27</v>
      </c>
      <c r="F2350" s="2">
        <v>10</v>
      </c>
      <c r="G2350" s="3" t="s">
        <v>22</v>
      </c>
      <c r="H2350" s="2">
        <v>50</v>
      </c>
      <c r="I2350" s="117">
        <v>504100</v>
      </c>
      <c r="J2350" s="112" t="s">
        <v>2092</v>
      </c>
      <c r="K2350" s="2" t="s">
        <v>2190</v>
      </c>
      <c r="L2350" s="2">
        <v>0</v>
      </c>
      <c r="M2350" s="2" t="s">
        <v>85</v>
      </c>
      <c r="N2350" s="2" t="s">
        <v>2094</v>
      </c>
      <c r="O2350" s="2" t="s">
        <v>2095</v>
      </c>
      <c r="P2350" s="2" t="s">
        <v>143</v>
      </c>
    </row>
    <row r="2351" spans="1:16" ht="22" customHeight="1" x14ac:dyDescent="0.15">
      <c r="A2351" s="10" t="str">
        <f t="shared" si="430"/>
        <v>504_10_28_10_polygon</v>
      </c>
      <c r="B2351" s="2">
        <v>504</v>
      </c>
      <c r="C2351" s="30" t="str">
        <f>VLOOKUP(B2351,gachas!A:C,3)</f>
        <v>新年特別開催台港澳祭典SIDE:A</v>
      </c>
      <c r="D2351" s="21">
        <v>10</v>
      </c>
      <c r="E2351" s="2">
        <f t="shared" si="431"/>
        <v>28</v>
      </c>
      <c r="F2351" s="2">
        <v>10</v>
      </c>
      <c r="G2351" s="3" t="s">
        <v>22</v>
      </c>
      <c r="H2351" s="2">
        <v>50</v>
      </c>
      <c r="I2351" s="117">
        <v>504100</v>
      </c>
      <c r="J2351" s="112" t="s">
        <v>2092</v>
      </c>
      <c r="K2351" s="2" t="s">
        <v>2190</v>
      </c>
      <c r="L2351" s="2">
        <v>0</v>
      </c>
      <c r="M2351" s="2" t="s">
        <v>85</v>
      </c>
      <c r="N2351" s="2" t="s">
        <v>2094</v>
      </c>
      <c r="O2351" s="2" t="s">
        <v>2095</v>
      </c>
      <c r="P2351" s="2" t="s">
        <v>143</v>
      </c>
    </row>
    <row r="2352" spans="1:16" ht="22" customHeight="1" x14ac:dyDescent="0.15">
      <c r="A2352" s="10" t="str">
        <f t="shared" si="430"/>
        <v>504_10_29_10_polygon</v>
      </c>
      <c r="B2352" s="2">
        <v>504</v>
      </c>
      <c r="C2352" s="30" t="str">
        <f>VLOOKUP(B2352,gachas!A:C,3)</f>
        <v>新年特別開催台港澳祭典SIDE:A</v>
      </c>
      <c r="D2352" s="21">
        <v>10</v>
      </c>
      <c r="E2352" s="2">
        <f t="shared" si="431"/>
        <v>29</v>
      </c>
      <c r="F2352" s="2">
        <v>10</v>
      </c>
      <c r="G2352" s="3" t="s">
        <v>22</v>
      </c>
      <c r="H2352" s="2">
        <v>50</v>
      </c>
      <c r="I2352" s="117">
        <v>504100</v>
      </c>
      <c r="J2352" s="112" t="s">
        <v>2092</v>
      </c>
      <c r="K2352" s="2" t="s">
        <v>2190</v>
      </c>
      <c r="L2352" s="2">
        <v>0</v>
      </c>
      <c r="M2352" s="2" t="s">
        <v>85</v>
      </c>
      <c r="N2352" s="2" t="s">
        <v>2094</v>
      </c>
      <c r="O2352" s="2" t="s">
        <v>2095</v>
      </c>
      <c r="P2352" s="2" t="s">
        <v>143</v>
      </c>
    </row>
    <row r="2353" spans="1:16" ht="22" customHeight="1" x14ac:dyDescent="0.15">
      <c r="A2353" s="10" t="str">
        <f t="shared" si="430"/>
        <v>504_10_30_10_polygon</v>
      </c>
      <c r="B2353" s="2">
        <v>504</v>
      </c>
      <c r="C2353" s="30" t="str">
        <f>VLOOKUP(B2353,gachas!A:C,3)</f>
        <v>新年特別開催台港澳祭典SIDE:A</v>
      </c>
      <c r="D2353" s="21">
        <v>10</v>
      </c>
      <c r="E2353" s="2">
        <f t="shared" si="431"/>
        <v>30</v>
      </c>
      <c r="F2353" s="2">
        <v>10</v>
      </c>
      <c r="G2353" s="3" t="s">
        <v>22</v>
      </c>
      <c r="H2353" s="2">
        <v>50</v>
      </c>
      <c r="I2353" s="117">
        <v>504100</v>
      </c>
      <c r="J2353" s="112" t="s">
        <v>2092</v>
      </c>
      <c r="K2353" s="117">
        <v>504105</v>
      </c>
      <c r="L2353" s="2">
        <v>1</v>
      </c>
      <c r="M2353" s="2" t="s">
        <v>85</v>
      </c>
      <c r="N2353" s="2" t="s">
        <v>2094</v>
      </c>
      <c r="O2353" s="2" t="s">
        <v>2095</v>
      </c>
      <c r="P2353" s="2" t="s">
        <v>2450</v>
      </c>
    </row>
    <row r="2354" spans="1:16" ht="22" customHeight="1" x14ac:dyDescent="0.15">
      <c r="A2354" s="10" t="str">
        <f t="shared" si="430"/>
        <v>504_10_31_10_polygon</v>
      </c>
      <c r="B2354" s="2">
        <v>504</v>
      </c>
      <c r="C2354" s="30" t="str">
        <f>VLOOKUP(B2354,gachas!A:C,3)</f>
        <v>新年特別開催台港澳祭典SIDE:A</v>
      </c>
      <c r="D2354" s="21">
        <v>10</v>
      </c>
      <c r="E2354" s="2">
        <f t="shared" si="431"/>
        <v>31</v>
      </c>
      <c r="F2354" s="2">
        <v>10</v>
      </c>
      <c r="G2354" s="3" t="s">
        <v>22</v>
      </c>
      <c r="H2354" s="2">
        <v>25</v>
      </c>
      <c r="I2354" s="117">
        <v>504100</v>
      </c>
      <c r="J2354" s="112" t="s">
        <v>2092</v>
      </c>
      <c r="K2354" s="2" t="s">
        <v>2190</v>
      </c>
      <c r="L2354" s="2">
        <v>0</v>
      </c>
      <c r="M2354" s="2" t="s">
        <v>85</v>
      </c>
      <c r="N2354" s="2" t="s">
        <v>2094</v>
      </c>
      <c r="O2354" s="2" t="s">
        <v>2095</v>
      </c>
      <c r="P2354" s="59" t="s">
        <v>1783</v>
      </c>
    </row>
    <row r="2355" spans="1:16" ht="22" customHeight="1" x14ac:dyDescent="0.15">
      <c r="A2355" s="10" t="str">
        <f t="shared" si="430"/>
        <v>504_10_32_10_polygon</v>
      </c>
      <c r="B2355" s="2">
        <v>504</v>
      </c>
      <c r="C2355" s="30" t="str">
        <f>VLOOKUP(B2355,gachas!A:C,3)</f>
        <v>新年特別開催台港澳祭典SIDE:A</v>
      </c>
      <c r="D2355" s="21">
        <v>10</v>
      </c>
      <c r="E2355" s="2">
        <f t="shared" si="431"/>
        <v>32</v>
      </c>
      <c r="F2355" s="2">
        <v>10</v>
      </c>
      <c r="G2355" s="3" t="s">
        <v>22</v>
      </c>
      <c r="H2355" s="2">
        <v>50</v>
      </c>
      <c r="I2355" s="117">
        <v>504100</v>
      </c>
      <c r="J2355" s="112" t="s">
        <v>2092</v>
      </c>
      <c r="K2355" s="2" t="s">
        <v>2190</v>
      </c>
      <c r="L2355" s="2">
        <v>0</v>
      </c>
      <c r="M2355" s="2" t="s">
        <v>85</v>
      </c>
      <c r="N2355" s="2" t="s">
        <v>2094</v>
      </c>
      <c r="O2355" s="2" t="s">
        <v>2095</v>
      </c>
      <c r="P2355" s="2" t="s">
        <v>143</v>
      </c>
    </row>
    <row r="2356" spans="1:16" ht="22" customHeight="1" x14ac:dyDescent="0.15">
      <c r="A2356" s="10" t="str">
        <f t="shared" si="430"/>
        <v>504_10_33_10_polygon</v>
      </c>
      <c r="B2356" s="2">
        <v>504</v>
      </c>
      <c r="C2356" s="30" t="str">
        <f>VLOOKUP(B2356,gachas!A:C,3)</f>
        <v>新年特別開催台港澳祭典SIDE:A</v>
      </c>
      <c r="D2356" s="21">
        <v>10</v>
      </c>
      <c r="E2356" s="2">
        <f t="shared" si="431"/>
        <v>33</v>
      </c>
      <c r="F2356" s="2">
        <v>10</v>
      </c>
      <c r="G2356" s="3" t="s">
        <v>22</v>
      </c>
      <c r="H2356" s="2">
        <v>50</v>
      </c>
      <c r="I2356" s="117">
        <v>504100</v>
      </c>
      <c r="J2356" s="112" t="s">
        <v>2092</v>
      </c>
      <c r="K2356" s="2" t="s">
        <v>2190</v>
      </c>
      <c r="L2356" s="2">
        <v>0</v>
      </c>
      <c r="M2356" s="2" t="s">
        <v>85</v>
      </c>
      <c r="N2356" s="2" t="s">
        <v>2094</v>
      </c>
      <c r="O2356" s="2" t="s">
        <v>2095</v>
      </c>
      <c r="P2356" s="2" t="s">
        <v>143</v>
      </c>
    </row>
    <row r="2357" spans="1:16" ht="22" customHeight="1" x14ac:dyDescent="0.15">
      <c r="A2357" s="10" t="str">
        <f t="shared" si="430"/>
        <v>504_10_34_10_polygon</v>
      </c>
      <c r="B2357" s="2">
        <v>504</v>
      </c>
      <c r="C2357" s="30" t="str">
        <f>VLOOKUP(B2357,gachas!A:C,3)</f>
        <v>新年特別開催台港澳祭典SIDE:A</v>
      </c>
      <c r="D2357" s="21">
        <v>10</v>
      </c>
      <c r="E2357" s="2">
        <f t="shared" si="431"/>
        <v>34</v>
      </c>
      <c r="F2357" s="2">
        <v>10</v>
      </c>
      <c r="G2357" s="3" t="s">
        <v>22</v>
      </c>
      <c r="H2357" s="2">
        <v>50</v>
      </c>
      <c r="I2357" s="117">
        <v>504100</v>
      </c>
      <c r="J2357" s="112" t="s">
        <v>2092</v>
      </c>
      <c r="K2357" s="2" t="s">
        <v>2190</v>
      </c>
      <c r="L2357" s="2">
        <v>0</v>
      </c>
      <c r="M2357" s="2" t="s">
        <v>85</v>
      </c>
      <c r="N2357" s="2" t="s">
        <v>2094</v>
      </c>
      <c r="O2357" s="2" t="s">
        <v>2095</v>
      </c>
      <c r="P2357" s="2" t="s">
        <v>143</v>
      </c>
    </row>
    <row r="2358" spans="1:16" ht="22" customHeight="1" x14ac:dyDescent="0.15">
      <c r="A2358" s="10" t="str">
        <f t="shared" si="430"/>
        <v>504_10_35_10_polygon</v>
      </c>
      <c r="B2358" s="2">
        <v>504</v>
      </c>
      <c r="C2358" s="30" t="str">
        <f>VLOOKUP(B2358,gachas!A:C,3)</f>
        <v>新年特別開催台港澳祭典SIDE:A</v>
      </c>
      <c r="D2358" s="21">
        <v>10</v>
      </c>
      <c r="E2358" s="2">
        <f t="shared" si="431"/>
        <v>35</v>
      </c>
      <c r="F2358" s="2">
        <v>10</v>
      </c>
      <c r="G2358" s="3" t="s">
        <v>22</v>
      </c>
      <c r="H2358" s="2">
        <v>50</v>
      </c>
      <c r="I2358" s="117">
        <v>504100</v>
      </c>
      <c r="J2358" s="112" t="s">
        <v>2092</v>
      </c>
      <c r="K2358" s="117">
        <v>504105</v>
      </c>
      <c r="L2358" s="2">
        <v>1</v>
      </c>
      <c r="M2358" s="2" t="s">
        <v>85</v>
      </c>
      <c r="N2358" s="2" t="s">
        <v>2094</v>
      </c>
      <c r="O2358" s="2" t="s">
        <v>2095</v>
      </c>
      <c r="P2358" s="2" t="s">
        <v>2450</v>
      </c>
    </row>
    <row r="2359" spans="1:16" ht="22" customHeight="1" x14ac:dyDescent="0.15">
      <c r="A2359" s="10" t="str">
        <f t="shared" si="430"/>
        <v>504_10_36_10_polygon</v>
      </c>
      <c r="B2359" s="2">
        <v>504</v>
      </c>
      <c r="C2359" s="30" t="str">
        <f>VLOOKUP(B2359,gachas!A:C,3)</f>
        <v>新年特別開催台港澳祭典SIDE:A</v>
      </c>
      <c r="D2359" s="21">
        <v>10</v>
      </c>
      <c r="E2359" s="2">
        <f t="shared" si="431"/>
        <v>36</v>
      </c>
      <c r="F2359" s="2">
        <v>10</v>
      </c>
      <c r="G2359" s="3" t="s">
        <v>22</v>
      </c>
      <c r="H2359" s="2">
        <v>25</v>
      </c>
      <c r="I2359" s="117">
        <v>504100</v>
      </c>
      <c r="J2359" s="112" t="s">
        <v>2092</v>
      </c>
      <c r="K2359" s="2" t="s">
        <v>2190</v>
      </c>
      <c r="L2359" s="2">
        <v>0</v>
      </c>
      <c r="M2359" s="2" t="s">
        <v>85</v>
      </c>
      <c r="N2359" s="2" t="s">
        <v>2094</v>
      </c>
      <c r="O2359" s="2" t="s">
        <v>2095</v>
      </c>
      <c r="P2359" s="59" t="s">
        <v>1783</v>
      </c>
    </row>
    <row r="2360" spans="1:16" ht="22" customHeight="1" x14ac:dyDescent="0.15">
      <c r="A2360" s="10" t="str">
        <f t="shared" si="430"/>
        <v>504_10_37_10_polygon</v>
      </c>
      <c r="B2360" s="2">
        <v>504</v>
      </c>
      <c r="C2360" s="30" t="str">
        <f>VLOOKUP(B2360,gachas!A:C,3)</f>
        <v>新年特別開催台港澳祭典SIDE:A</v>
      </c>
      <c r="D2360" s="21">
        <v>10</v>
      </c>
      <c r="E2360" s="2">
        <f t="shared" si="431"/>
        <v>37</v>
      </c>
      <c r="F2360" s="2">
        <v>10</v>
      </c>
      <c r="G2360" s="3" t="s">
        <v>22</v>
      </c>
      <c r="H2360" s="2">
        <v>50</v>
      </c>
      <c r="I2360" s="117">
        <v>504100</v>
      </c>
      <c r="J2360" s="112" t="s">
        <v>2092</v>
      </c>
      <c r="K2360" s="2" t="s">
        <v>2190</v>
      </c>
      <c r="L2360" s="2">
        <v>0</v>
      </c>
      <c r="M2360" s="2" t="s">
        <v>85</v>
      </c>
      <c r="N2360" s="2" t="s">
        <v>2094</v>
      </c>
      <c r="O2360" s="2" t="s">
        <v>2095</v>
      </c>
      <c r="P2360" s="2" t="s">
        <v>143</v>
      </c>
    </row>
    <row r="2361" spans="1:16" ht="22" customHeight="1" x14ac:dyDescent="0.15">
      <c r="A2361" s="10" t="str">
        <f t="shared" si="430"/>
        <v>504_10_38_10_polygon</v>
      </c>
      <c r="B2361" s="2">
        <v>504</v>
      </c>
      <c r="C2361" s="30" t="str">
        <f>VLOOKUP(B2361,gachas!A:C,3)</f>
        <v>新年特別開催台港澳祭典SIDE:A</v>
      </c>
      <c r="D2361" s="21">
        <v>10</v>
      </c>
      <c r="E2361" s="2">
        <f t="shared" si="431"/>
        <v>38</v>
      </c>
      <c r="F2361" s="2">
        <v>10</v>
      </c>
      <c r="G2361" s="3" t="s">
        <v>22</v>
      </c>
      <c r="H2361" s="2">
        <v>50</v>
      </c>
      <c r="I2361" s="117">
        <v>504100</v>
      </c>
      <c r="J2361" s="112" t="s">
        <v>2092</v>
      </c>
      <c r="K2361" s="2" t="s">
        <v>2190</v>
      </c>
      <c r="L2361" s="2">
        <v>0</v>
      </c>
      <c r="M2361" s="2" t="s">
        <v>85</v>
      </c>
      <c r="N2361" s="2" t="s">
        <v>2094</v>
      </c>
      <c r="O2361" s="2" t="s">
        <v>2095</v>
      </c>
      <c r="P2361" s="2" t="s">
        <v>143</v>
      </c>
    </row>
    <row r="2362" spans="1:16" ht="22" customHeight="1" x14ac:dyDescent="0.15">
      <c r="A2362" s="10" t="str">
        <f t="shared" si="430"/>
        <v>504_10_39_10_polygon</v>
      </c>
      <c r="B2362" s="2">
        <v>504</v>
      </c>
      <c r="C2362" s="30" t="str">
        <f>VLOOKUP(B2362,gachas!A:C,3)</f>
        <v>新年特別開催台港澳祭典SIDE:A</v>
      </c>
      <c r="D2362" s="21">
        <v>10</v>
      </c>
      <c r="E2362" s="2">
        <f t="shared" si="431"/>
        <v>39</v>
      </c>
      <c r="F2362" s="2">
        <v>10</v>
      </c>
      <c r="G2362" s="3" t="s">
        <v>22</v>
      </c>
      <c r="H2362" s="2">
        <v>50</v>
      </c>
      <c r="I2362" s="117">
        <v>504100</v>
      </c>
      <c r="J2362" s="112" t="s">
        <v>2092</v>
      </c>
      <c r="K2362" s="2" t="s">
        <v>2190</v>
      </c>
      <c r="L2362" s="2">
        <v>0</v>
      </c>
      <c r="M2362" s="2" t="s">
        <v>85</v>
      </c>
      <c r="N2362" s="2" t="s">
        <v>2094</v>
      </c>
      <c r="O2362" s="2" t="s">
        <v>2095</v>
      </c>
      <c r="P2362" s="2" t="s">
        <v>143</v>
      </c>
    </row>
    <row r="2363" spans="1:16" ht="22" customHeight="1" x14ac:dyDescent="0.15">
      <c r="A2363" s="10" t="str">
        <f t="shared" si="430"/>
        <v>504_10_40_10_polygon</v>
      </c>
      <c r="B2363" s="2">
        <v>504</v>
      </c>
      <c r="C2363" s="30" t="str">
        <f>VLOOKUP(B2363,gachas!A:C,3)</f>
        <v>新年特別開催台港澳祭典SIDE:A</v>
      </c>
      <c r="D2363" s="21">
        <v>10</v>
      </c>
      <c r="E2363" s="2">
        <f t="shared" si="431"/>
        <v>40</v>
      </c>
      <c r="F2363" s="2">
        <v>10</v>
      </c>
      <c r="G2363" s="3" t="s">
        <v>22</v>
      </c>
      <c r="H2363" s="2">
        <v>50</v>
      </c>
      <c r="I2363" s="117">
        <v>504100</v>
      </c>
      <c r="J2363" s="112" t="s">
        <v>2092</v>
      </c>
      <c r="K2363" s="117">
        <v>504105</v>
      </c>
      <c r="L2363" s="2">
        <v>1</v>
      </c>
      <c r="M2363" s="2" t="s">
        <v>85</v>
      </c>
      <c r="N2363" s="2" t="s">
        <v>2094</v>
      </c>
      <c r="O2363" s="2" t="s">
        <v>2095</v>
      </c>
      <c r="P2363" s="2" t="s">
        <v>2450</v>
      </c>
    </row>
    <row r="2364" spans="1:16" ht="22" customHeight="1" x14ac:dyDescent="0.15">
      <c r="A2364" s="10" t="str">
        <f t="shared" si="430"/>
        <v>504_10_41_10_polygon</v>
      </c>
      <c r="B2364" s="2">
        <v>504</v>
      </c>
      <c r="C2364" s="30" t="str">
        <f>VLOOKUP(B2364,gachas!A:C,3)</f>
        <v>新年特別開催台港澳祭典SIDE:A</v>
      </c>
      <c r="D2364" s="21">
        <v>10</v>
      </c>
      <c r="E2364" s="2">
        <f t="shared" si="431"/>
        <v>41</v>
      </c>
      <c r="F2364" s="2">
        <v>10</v>
      </c>
      <c r="G2364" s="3" t="s">
        <v>22</v>
      </c>
      <c r="H2364" s="2">
        <v>25</v>
      </c>
      <c r="I2364" s="117">
        <v>504100</v>
      </c>
      <c r="J2364" s="112" t="s">
        <v>2092</v>
      </c>
      <c r="K2364" s="2" t="s">
        <v>2190</v>
      </c>
      <c r="L2364" s="2">
        <v>0</v>
      </c>
      <c r="M2364" s="2" t="s">
        <v>85</v>
      </c>
      <c r="N2364" s="2" t="s">
        <v>2094</v>
      </c>
      <c r="O2364" s="2" t="s">
        <v>2095</v>
      </c>
      <c r="P2364" s="59" t="s">
        <v>1783</v>
      </c>
    </row>
    <row r="2365" spans="1:16" ht="22" customHeight="1" x14ac:dyDescent="0.15">
      <c r="A2365" s="10" t="str">
        <f t="shared" si="430"/>
        <v>504_10_42_10_polygon</v>
      </c>
      <c r="B2365" s="2">
        <v>504</v>
      </c>
      <c r="C2365" s="30" t="str">
        <f>VLOOKUP(B2365,gachas!A:C,3)</f>
        <v>新年特別開催台港澳祭典SIDE:A</v>
      </c>
      <c r="D2365" s="21">
        <v>10</v>
      </c>
      <c r="E2365" s="2">
        <f t="shared" si="431"/>
        <v>42</v>
      </c>
      <c r="F2365" s="2">
        <v>10</v>
      </c>
      <c r="G2365" s="3" t="s">
        <v>22</v>
      </c>
      <c r="H2365" s="2">
        <v>50</v>
      </c>
      <c r="I2365" s="117">
        <v>504100</v>
      </c>
      <c r="J2365" s="112" t="s">
        <v>2092</v>
      </c>
      <c r="K2365" s="2" t="s">
        <v>2190</v>
      </c>
      <c r="L2365" s="2">
        <v>0</v>
      </c>
      <c r="M2365" s="2" t="s">
        <v>85</v>
      </c>
      <c r="N2365" s="2" t="s">
        <v>2094</v>
      </c>
      <c r="O2365" s="2" t="s">
        <v>2095</v>
      </c>
      <c r="P2365" s="2" t="s">
        <v>143</v>
      </c>
    </row>
    <row r="2366" spans="1:16" ht="22" customHeight="1" x14ac:dyDescent="0.15">
      <c r="A2366" s="10" t="str">
        <f t="shared" si="430"/>
        <v>504_10_43_10_polygon</v>
      </c>
      <c r="B2366" s="2">
        <v>504</v>
      </c>
      <c r="C2366" s="30" t="str">
        <f>VLOOKUP(B2366,gachas!A:C,3)</f>
        <v>新年特別開催台港澳祭典SIDE:A</v>
      </c>
      <c r="D2366" s="21">
        <v>10</v>
      </c>
      <c r="E2366" s="2">
        <f t="shared" si="431"/>
        <v>43</v>
      </c>
      <c r="F2366" s="2">
        <v>10</v>
      </c>
      <c r="G2366" s="3" t="s">
        <v>22</v>
      </c>
      <c r="H2366" s="2">
        <v>50</v>
      </c>
      <c r="I2366" s="117">
        <v>504100</v>
      </c>
      <c r="J2366" s="112" t="s">
        <v>2092</v>
      </c>
      <c r="K2366" s="2" t="s">
        <v>2190</v>
      </c>
      <c r="L2366" s="2">
        <v>0</v>
      </c>
      <c r="M2366" s="2" t="s">
        <v>85</v>
      </c>
      <c r="N2366" s="2" t="s">
        <v>2094</v>
      </c>
      <c r="O2366" s="2" t="s">
        <v>2095</v>
      </c>
      <c r="P2366" s="2" t="s">
        <v>143</v>
      </c>
    </row>
    <row r="2367" spans="1:16" ht="22" customHeight="1" x14ac:dyDescent="0.15">
      <c r="A2367" s="10" t="str">
        <f t="shared" si="430"/>
        <v>504_10_44_10_polygon</v>
      </c>
      <c r="B2367" s="2">
        <v>504</v>
      </c>
      <c r="C2367" s="30" t="str">
        <f>VLOOKUP(B2367,gachas!A:C,3)</f>
        <v>新年特別開催台港澳祭典SIDE:A</v>
      </c>
      <c r="D2367" s="21">
        <v>10</v>
      </c>
      <c r="E2367" s="2">
        <f t="shared" si="431"/>
        <v>44</v>
      </c>
      <c r="F2367" s="2">
        <v>10</v>
      </c>
      <c r="G2367" s="3" t="s">
        <v>22</v>
      </c>
      <c r="H2367" s="2">
        <v>50</v>
      </c>
      <c r="I2367" s="117">
        <v>504100</v>
      </c>
      <c r="J2367" s="112" t="s">
        <v>2092</v>
      </c>
      <c r="K2367" s="2" t="s">
        <v>2190</v>
      </c>
      <c r="L2367" s="2">
        <v>0</v>
      </c>
      <c r="M2367" s="2" t="s">
        <v>85</v>
      </c>
      <c r="N2367" s="2" t="s">
        <v>2094</v>
      </c>
      <c r="O2367" s="2" t="s">
        <v>2095</v>
      </c>
      <c r="P2367" s="2" t="s">
        <v>143</v>
      </c>
    </row>
    <row r="2368" spans="1:16" ht="22" customHeight="1" x14ac:dyDescent="0.15">
      <c r="A2368" s="10" t="str">
        <f t="shared" si="430"/>
        <v>504_10_45_10_polygon</v>
      </c>
      <c r="B2368" s="2">
        <v>504</v>
      </c>
      <c r="C2368" s="30" t="str">
        <f>VLOOKUP(B2368,gachas!A:C,3)</f>
        <v>新年特別開催台港澳祭典SIDE:A</v>
      </c>
      <c r="D2368" s="21">
        <v>10</v>
      </c>
      <c r="E2368" s="2">
        <f t="shared" si="431"/>
        <v>45</v>
      </c>
      <c r="F2368" s="2">
        <v>10</v>
      </c>
      <c r="G2368" s="3" t="s">
        <v>22</v>
      </c>
      <c r="H2368" s="2">
        <v>50</v>
      </c>
      <c r="I2368" s="117">
        <v>504100</v>
      </c>
      <c r="J2368" s="112" t="s">
        <v>2092</v>
      </c>
      <c r="K2368" s="117">
        <v>504105</v>
      </c>
      <c r="L2368" s="2">
        <v>1</v>
      </c>
      <c r="M2368" s="2" t="s">
        <v>85</v>
      </c>
      <c r="N2368" s="2" t="s">
        <v>2094</v>
      </c>
      <c r="O2368" s="2" t="s">
        <v>2095</v>
      </c>
      <c r="P2368" s="2" t="s">
        <v>2450</v>
      </c>
    </row>
    <row r="2369" spans="1:16" ht="22" customHeight="1" x14ac:dyDescent="0.15">
      <c r="A2369" s="10" t="str">
        <f t="shared" si="430"/>
        <v>504_10_46_10_polygon</v>
      </c>
      <c r="B2369" s="2">
        <v>504</v>
      </c>
      <c r="C2369" s="30" t="str">
        <f>VLOOKUP(B2369,gachas!A:C,3)</f>
        <v>新年特別開催台港澳祭典SIDE:A</v>
      </c>
      <c r="D2369" s="21">
        <v>10</v>
      </c>
      <c r="E2369" s="2">
        <f t="shared" si="431"/>
        <v>46</v>
      </c>
      <c r="F2369" s="2">
        <v>10</v>
      </c>
      <c r="G2369" s="3" t="s">
        <v>22</v>
      </c>
      <c r="H2369" s="2">
        <v>25</v>
      </c>
      <c r="I2369" s="117">
        <v>504100</v>
      </c>
      <c r="J2369" s="112" t="s">
        <v>2092</v>
      </c>
      <c r="K2369" s="2" t="s">
        <v>2190</v>
      </c>
      <c r="L2369" s="2">
        <v>0</v>
      </c>
      <c r="M2369" s="2" t="s">
        <v>85</v>
      </c>
      <c r="N2369" s="2" t="s">
        <v>2094</v>
      </c>
      <c r="O2369" s="2" t="s">
        <v>2095</v>
      </c>
      <c r="P2369" s="59" t="s">
        <v>1783</v>
      </c>
    </row>
    <row r="2370" spans="1:16" ht="22" customHeight="1" x14ac:dyDescent="0.15">
      <c r="A2370" s="10" t="str">
        <f t="shared" si="430"/>
        <v>504_10_47_10_polygon</v>
      </c>
      <c r="B2370" s="2">
        <v>504</v>
      </c>
      <c r="C2370" s="30" t="str">
        <f>VLOOKUP(B2370,gachas!A:C,3)</f>
        <v>新年特別開催台港澳祭典SIDE:A</v>
      </c>
      <c r="D2370" s="21">
        <v>10</v>
      </c>
      <c r="E2370" s="2">
        <f t="shared" si="431"/>
        <v>47</v>
      </c>
      <c r="F2370" s="2">
        <v>10</v>
      </c>
      <c r="G2370" s="3" t="s">
        <v>22</v>
      </c>
      <c r="H2370" s="2">
        <v>50</v>
      </c>
      <c r="I2370" s="117">
        <v>504100</v>
      </c>
      <c r="J2370" s="112" t="s">
        <v>2092</v>
      </c>
      <c r="K2370" s="2" t="s">
        <v>2190</v>
      </c>
      <c r="L2370" s="2">
        <v>0</v>
      </c>
      <c r="M2370" s="2" t="s">
        <v>85</v>
      </c>
      <c r="N2370" s="2" t="s">
        <v>2094</v>
      </c>
      <c r="O2370" s="2" t="s">
        <v>2095</v>
      </c>
      <c r="P2370" s="2" t="s">
        <v>143</v>
      </c>
    </row>
    <row r="2371" spans="1:16" ht="22" customHeight="1" x14ac:dyDescent="0.15">
      <c r="A2371" s="10" t="str">
        <f t="shared" si="430"/>
        <v>504_10_48_10_polygon</v>
      </c>
      <c r="B2371" s="2">
        <v>504</v>
      </c>
      <c r="C2371" s="30" t="str">
        <f>VLOOKUP(B2371,gachas!A:C,3)</f>
        <v>新年特別開催台港澳祭典SIDE:A</v>
      </c>
      <c r="D2371" s="21">
        <v>10</v>
      </c>
      <c r="E2371" s="2">
        <f t="shared" si="431"/>
        <v>48</v>
      </c>
      <c r="F2371" s="2">
        <v>10</v>
      </c>
      <c r="G2371" s="3" t="s">
        <v>22</v>
      </c>
      <c r="H2371" s="2">
        <v>50</v>
      </c>
      <c r="I2371" s="117">
        <v>504100</v>
      </c>
      <c r="J2371" s="112" t="s">
        <v>2092</v>
      </c>
      <c r="K2371" s="2" t="s">
        <v>2190</v>
      </c>
      <c r="L2371" s="2">
        <v>0</v>
      </c>
      <c r="M2371" s="2" t="s">
        <v>85</v>
      </c>
      <c r="N2371" s="2" t="s">
        <v>2094</v>
      </c>
      <c r="O2371" s="2" t="s">
        <v>2095</v>
      </c>
      <c r="P2371" s="2" t="s">
        <v>143</v>
      </c>
    </row>
    <row r="2372" spans="1:16" ht="22" customHeight="1" x14ac:dyDescent="0.15">
      <c r="A2372" s="10" t="str">
        <f t="shared" si="430"/>
        <v>504_10_49_10_polygon</v>
      </c>
      <c r="B2372" s="2">
        <v>504</v>
      </c>
      <c r="C2372" s="30" t="str">
        <f>VLOOKUP(B2372,gachas!A:C,3)</f>
        <v>新年特別開催台港澳祭典SIDE:A</v>
      </c>
      <c r="D2372" s="21">
        <v>10</v>
      </c>
      <c r="E2372" s="2">
        <f t="shared" si="431"/>
        <v>49</v>
      </c>
      <c r="F2372" s="2">
        <v>10</v>
      </c>
      <c r="G2372" s="3" t="s">
        <v>22</v>
      </c>
      <c r="H2372" s="2">
        <v>50</v>
      </c>
      <c r="I2372" s="117">
        <v>504100</v>
      </c>
      <c r="J2372" s="112" t="s">
        <v>2092</v>
      </c>
      <c r="K2372" s="2" t="s">
        <v>2190</v>
      </c>
      <c r="L2372" s="2">
        <v>0</v>
      </c>
      <c r="M2372" s="2" t="s">
        <v>85</v>
      </c>
      <c r="N2372" s="2" t="s">
        <v>2094</v>
      </c>
      <c r="O2372" s="2" t="s">
        <v>2095</v>
      </c>
      <c r="P2372" s="2" t="s">
        <v>143</v>
      </c>
    </row>
    <row r="2373" spans="1:16" ht="22" customHeight="1" x14ac:dyDescent="0.15">
      <c r="A2373" s="10" t="str">
        <f t="shared" si="430"/>
        <v>504_10_50_10_polygon</v>
      </c>
      <c r="B2373" s="2">
        <v>504</v>
      </c>
      <c r="C2373" s="30" t="str">
        <f>VLOOKUP(B2373,gachas!A:C,3)</f>
        <v>新年特別開催台港澳祭典SIDE:A</v>
      </c>
      <c r="D2373" s="21">
        <v>10</v>
      </c>
      <c r="E2373" s="2">
        <f t="shared" si="431"/>
        <v>50</v>
      </c>
      <c r="F2373" s="2">
        <v>10</v>
      </c>
      <c r="G2373" s="3" t="s">
        <v>22</v>
      </c>
      <c r="H2373" s="2">
        <v>50</v>
      </c>
      <c r="I2373" s="117">
        <v>504100</v>
      </c>
      <c r="J2373" s="112" t="s">
        <v>2092</v>
      </c>
      <c r="K2373" s="117">
        <v>504105</v>
      </c>
      <c r="L2373" s="2">
        <v>1</v>
      </c>
      <c r="M2373" s="2" t="s">
        <v>85</v>
      </c>
      <c r="N2373" s="2" t="s">
        <v>2094</v>
      </c>
      <c r="O2373" s="2" t="s">
        <v>2095</v>
      </c>
      <c r="P2373" s="2" t="s">
        <v>2450</v>
      </c>
    </row>
    <row r="2374" spans="1:16" ht="22" customHeight="1" x14ac:dyDescent="0.15">
      <c r="A2374" s="10" t="str">
        <f t="shared" si="430"/>
        <v>505_1_0_1_polygon</v>
      </c>
      <c r="B2374" s="2">
        <v>505</v>
      </c>
      <c r="C2374" s="30" t="str">
        <f>VLOOKUP(B2374,gachas!A:C,3)</f>
        <v>新年特別開催台港澳祭典SIDE:B</v>
      </c>
      <c r="D2374" s="21">
        <v>1</v>
      </c>
      <c r="E2374" s="2">
        <v>0</v>
      </c>
      <c r="F2374" s="2">
        <v>1</v>
      </c>
      <c r="G2374" s="3" t="s">
        <v>22</v>
      </c>
      <c r="H2374" s="2">
        <v>5</v>
      </c>
      <c r="I2374" s="117">
        <v>505010</v>
      </c>
      <c r="J2374" s="112" t="s">
        <v>2092</v>
      </c>
      <c r="K2374" s="2" t="s">
        <v>2190</v>
      </c>
      <c r="L2374" s="2">
        <v>0</v>
      </c>
      <c r="M2374" s="2" t="s">
        <v>85</v>
      </c>
      <c r="N2374" s="2" t="s">
        <v>2094</v>
      </c>
      <c r="O2374" s="2" t="s">
        <v>2095</v>
      </c>
      <c r="P2374" s="2" t="s">
        <v>2190</v>
      </c>
    </row>
    <row r="2375" spans="1:16" ht="22" customHeight="1" x14ac:dyDescent="0.15">
      <c r="A2375" s="10" t="str">
        <f t="shared" si="430"/>
        <v>505_10_0_10_polygon</v>
      </c>
      <c r="B2375" s="2">
        <v>505</v>
      </c>
      <c r="C2375" s="30" t="str">
        <f>VLOOKUP(B2375,gachas!A:C,3)</f>
        <v>新年特別開催台港澳祭典SIDE:B</v>
      </c>
      <c r="D2375" s="21">
        <v>10</v>
      </c>
      <c r="E2375" s="2">
        <v>0</v>
      </c>
      <c r="F2375" s="2">
        <v>10</v>
      </c>
      <c r="G2375" s="3" t="s">
        <v>22</v>
      </c>
      <c r="H2375" s="2">
        <v>50</v>
      </c>
      <c r="I2375" s="117">
        <v>505100</v>
      </c>
      <c r="J2375" s="112" t="s">
        <v>2092</v>
      </c>
      <c r="K2375" s="2" t="s">
        <v>2190</v>
      </c>
      <c r="L2375" s="2">
        <v>0</v>
      </c>
      <c r="M2375" s="2" t="s">
        <v>85</v>
      </c>
      <c r="N2375" s="2" t="s">
        <v>2094</v>
      </c>
      <c r="O2375" s="2" t="s">
        <v>2095</v>
      </c>
      <c r="P2375" s="2" t="s">
        <v>143</v>
      </c>
    </row>
    <row r="2376" spans="1:16" ht="22" customHeight="1" x14ac:dyDescent="0.15">
      <c r="A2376" s="10" t="str">
        <f t="shared" si="430"/>
        <v>505_10_1_10_polygon</v>
      </c>
      <c r="B2376" s="2">
        <v>505</v>
      </c>
      <c r="C2376" s="30" t="str">
        <f>VLOOKUP(B2376,gachas!A:C,3)</f>
        <v>新年特別開催台港澳祭典SIDE:B</v>
      </c>
      <c r="D2376" s="21">
        <v>10</v>
      </c>
      <c r="E2376" s="2">
        <f>E2375+1</f>
        <v>1</v>
      </c>
      <c r="F2376" s="2">
        <v>10</v>
      </c>
      <c r="G2376" s="3" t="s">
        <v>22</v>
      </c>
      <c r="H2376" s="2">
        <v>25</v>
      </c>
      <c r="I2376" s="117">
        <v>505100</v>
      </c>
      <c r="J2376" s="112" t="s">
        <v>2092</v>
      </c>
      <c r="K2376" s="2" t="s">
        <v>2190</v>
      </c>
      <c r="L2376" s="2">
        <v>0</v>
      </c>
      <c r="M2376" s="2" t="s">
        <v>85</v>
      </c>
      <c r="N2376" s="2" t="s">
        <v>2094</v>
      </c>
      <c r="O2376" s="2" t="s">
        <v>2095</v>
      </c>
      <c r="P2376" s="59" t="s">
        <v>1783</v>
      </c>
    </row>
    <row r="2377" spans="1:16" ht="22" customHeight="1" x14ac:dyDescent="0.15">
      <c r="A2377" s="10" t="str">
        <f t="shared" si="430"/>
        <v>505_10_2_10_polygon</v>
      </c>
      <c r="B2377" s="2">
        <v>505</v>
      </c>
      <c r="C2377" s="30" t="str">
        <f>VLOOKUP(B2377,gachas!A:C,3)</f>
        <v>新年特別開催台港澳祭典SIDE:B</v>
      </c>
      <c r="D2377" s="21">
        <v>10</v>
      </c>
      <c r="E2377" s="2">
        <f t="shared" ref="E2377:E2425" si="432">E2376+1</f>
        <v>2</v>
      </c>
      <c r="F2377" s="2">
        <v>10</v>
      </c>
      <c r="G2377" s="3" t="s">
        <v>22</v>
      </c>
      <c r="H2377" s="2">
        <v>50</v>
      </c>
      <c r="I2377" s="117">
        <v>505100</v>
      </c>
      <c r="J2377" s="112" t="s">
        <v>2092</v>
      </c>
      <c r="K2377" s="2" t="s">
        <v>2190</v>
      </c>
      <c r="L2377" s="2">
        <v>0</v>
      </c>
      <c r="M2377" s="2" t="s">
        <v>85</v>
      </c>
      <c r="N2377" s="2" t="s">
        <v>2094</v>
      </c>
      <c r="O2377" s="2" t="s">
        <v>2095</v>
      </c>
      <c r="P2377" s="2" t="s">
        <v>143</v>
      </c>
    </row>
    <row r="2378" spans="1:16" ht="22" customHeight="1" x14ac:dyDescent="0.15">
      <c r="A2378" s="10" t="str">
        <f t="shared" si="430"/>
        <v>505_10_3_10_polygon</v>
      </c>
      <c r="B2378" s="2">
        <v>505</v>
      </c>
      <c r="C2378" s="30" t="str">
        <f>VLOOKUP(B2378,gachas!A:C,3)</f>
        <v>新年特別開催台港澳祭典SIDE:B</v>
      </c>
      <c r="D2378" s="21">
        <v>10</v>
      </c>
      <c r="E2378" s="2">
        <f t="shared" si="432"/>
        <v>3</v>
      </c>
      <c r="F2378" s="2">
        <v>10</v>
      </c>
      <c r="G2378" s="3" t="s">
        <v>22</v>
      </c>
      <c r="H2378" s="2">
        <v>50</v>
      </c>
      <c r="I2378" s="117">
        <v>505100</v>
      </c>
      <c r="J2378" s="112" t="s">
        <v>2092</v>
      </c>
      <c r="K2378" s="2" t="s">
        <v>2190</v>
      </c>
      <c r="L2378" s="2">
        <v>0</v>
      </c>
      <c r="M2378" s="2" t="s">
        <v>85</v>
      </c>
      <c r="N2378" s="2" t="s">
        <v>2094</v>
      </c>
      <c r="O2378" s="2" t="s">
        <v>2095</v>
      </c>
      <c r="P2378" s="2" t="s">
        <v>143</v>
      </c>
    </row>
    <row r="2379" spans="1:16" ht="22" customHeight="1" x14ac:dyDescent="0.15">
      <c r="A2379" s="10" t="str">
        <f t="shared" si="430"/>
        <v>505_10_4_10_polygon</v>
      </c>
      <c r="B2379" s="2">
        <v>505</v>
      </c>
      <c r="C2379" s="30" t="str">
        <f>VLOOKUP(B2379,gachas!A:C,3)</f>
        <v>新年特別開催台港澳祭典SIDE:B</v>
      </c>
      <c r="D2379" s="21">
        <v>10</v>
      </c>
      <c r="E2379" s="2">
        <f t="shared" si="432"/>
        <v>4</v>
      </c>
      <c r="F2379" s="2">
        <v>10</v>
      </c>
      <c r="G2379" s="3" t="s">
        <v>22</v>
      </c>
      <c r="H2379" s="2">
        <v>50</v>
      </c>
      <c r="I2379" s="117">
        <v>505100</v>
      </c>
      <c r="J2379" s="112" t="s">
        <v>2092</v>
      </c>
      <c r="K2379" s="2" t="s">
        <v>2190</v>
      </c>
      <c r="L2379" s="2">
        <v>0</v>
      </c>
      <c r="M2379" s="2" t="s">
        <v>85</v>
      </c>
      <c r="N2379" s="2" t="s">
        <v>2094</v>
      </c>
      <c r="O2379" s="2" t="s">
        <v>2095</v>
      </c>
      <c r="P2379" s="2" t="s">
        <v>143</v>
      </c>
    </row>
    <row r="2380" spans="1:16" ht="22" customHeight="1" x14ac:dyDescent="0.15">
      <c r="A2380" s="10" t="str">
        <f t="shared" si="430"/>
        <v>505_10_5_10_polygon</v>
      </c>
      <c r="B2380" s="2">
        <v>505</v>
      </c>
      <c r="C2380" s="30" t="str">
        <f>VLOOKUP(B2380,gachas!A:C,3)</f>
        <v>新年特別開催台港澳祭典SIDE:B</v>
      </c>
      <c r="D2380" s="21">
        <v>10</v>
      </c>
      <c r="E2380" s="2">
        <f t="shared" si="432"/>
        <v>5</v>
      </c>
      <c r="F2380" s="2">
        <v>10</v>
      </c>
      <c r="G2380" s="3" t="s">
        <v>22</v>
      </c>
      <c r="H2380" s="2">
        <v>50</v>
      </c>
      <c r="I2380" s="117">
        <v>505100</v>
      </c>
      <c r="J2380" s="112" t="s">
        <v>2092</v>
      </c>
      <c r="K2380" s="117">
        <v>505105</v>
      </c>
      <c r="L2380" s="2">
        <v>1</v>
      </c>
      <c r="M2380" s="2" t="s">
        <v>85</v>
      </c>
      <c r="N2380" s="2" t="s">
        <v>2094</v>
      </c>
      <c r="O2380" s="2" t="s">
        <v>2095</v>
      </c>
      <c r="P2380" s="2" t="s">
        <v>2451</v>
      </c>
    </row>
    <row r="2381" spans="1:16" ht="22" customHeight="1" x14ac:dyDescent="0.15">
      <c r="A2381" s="10" t="str">
        <f t="shared" si="430"/>
        <v>505_10_6_10_polygon</v>
      </c>
      <c r="B2381" s="2">
        <v>505</v>
      </c>
      <c r="C2381" s="30" t="str">
        <f>VLOOKUP(B2381,gachas!A:C,3)</f>
        <v>新年特別開催台港澳祭典SIDE:B</v>
      </c>
      <c r="D2381" s="21">
        <v>10</v>
      </c>
      <c r="E2381" s="2">
        <f t="shared" si="432"/>
        <v>6</v>
      </c>
      <c r="F2381" s="2">
        <v>10</v>
      </c>
      <c r="G2381" s="3" t="s">
        <v>22</v>
      </c>
      <c r="H2381" s="2">
        <v>25</v>
      </c>
      <c r="I2381" s="117">
        <v>505100</v>
      </c>
      <c r="J2381" s="112" t="s">
        <v>2092</v>
      </c>
      <c r="K2381" s="2" t="s">
        <v>2190</v>
      </c>
      <c r="L2381" s="2">
        <v>0</v>
      </c>
      <c r="M2381" s="2" t="s">
        <v>85</v>
      </c>
      <c r="N2381" s="2" t="s">
        <v>2094</v>
      </c>
      <c r="O2381" s="2" t="s">
        <v>2095</v>
      </c>
      <c r="P2381" s="59" t="s">
        <v>1783</v>
      </c>
    </row>
    <row r="2382" spans="1:16" ht="22" customHeight="1" x14ac:dyDescent="0.15">
      <c r="A2382" s="10" t="str">
        <f t="shared" si="430"/>
        <v>505_10_7_10_polygon</v>
      </c>
      <c r="B2382" s="2">
        <v>505</v>
      </c>
      <c r="C2382" s="30" t="str">
        <f>VLOOKUP(B2382,gachas!A:C,3)</f>
        <v>新年特別開催台港澳祭典SIDE:B</v>
      </c>
      <c r="D2382" s="21">
        <v>10</v>
      </c>
      <c r="E2382" s="2">
        <f t="shared" si="432"/>
        <v>7</v>
      </c>
      <c r="F2382" s="2">
        <v>10</v>
      </c>
      <c r="G2382" s="3" t="s">
        <v>22</v>
      </c>
      <c r="H2382" s="2">
        <v>50</v>
      </c>
      <c r="I2382" s="117">
        <v>505100</v>
      </c>
      <c r="J2382" s="112" t="s">
        <v>2092</v>
      </c>
      <c r="K2382" s="2" t="s">
        <v>2190</v>
      </c>
      <c r="L2382" s="2">
        <v>0</v>
      </c>
      <c r="M2382" s="2" t="s">
        <v>85</v>
      </c>
      <c r="N2382" s="2" t="s">
        <v>2094</v>
      </c>
      <c r="O2382" s="2" t="s">
        <v>2095</v>
      </c>
      <c r="P2382" s="2" t="s">
        <v>143</v>
      </c>
    </row>
    <row r="2383" spans="1:16" ht="22" customHeight="1" x14ac:dyDescent="0.15">
      <c r="A2383" s="10" t="str">
        <f t="shared" si="430"/>
        <v>505_10_8_10_polygon</v>
      </c>
      <c r="B2383" s="2">
        <v>505</v>
      </c>
      <c r="C2383" s="30" t="str">
        <f>VLOOKUP(B2383,gachas!A:C,3)</f>
        <v>新年特別開催台港澳祭典SIDE:B</v>
      </c>
      <c r="D2383" s="21">
        <v>10</v>
      </c>
      <c r="E2383" s="2">
        <f t="shared" si="432"/>
        <v>8</v>
      </c>
      <c r="F2383" s="2">
        <v>10</v>
      </c>
      <c r="G2383" s="3" t="s">
        <v>22</v>
      </c>
      <c r="H2383" s="2">
        <v>50</v>
      </c>
      <c r="I2383" s="117">
        <v>505100</v>
      </c>
      <c r="J2383" s="112" t="s">
        <v>2092</v>
      </c>
      <c r="K2383" s="2" t="s">
        <v>2190</v>
      </c>
      <c r="L2383" s="2">
        <v>0</v>
      </c>
      <c r="M2383" s="2" t="s">
        <v>85</v>
      </c>
      <c r="N2383" s="2" t="s">
        <v>2094</v>
      </c>
      <c r="O2383" s="2" t="s">
        <v>2095</v>
      </c>
      <c r="P2383" s="2" t="s">
        <v>143</v>
      </c>
    </row>
    <row r="2384" spans="1:16" ht="22" customHeight="1" x14ac:dyDescent="0.15">
      <c r="A2384" s="10" t="str">
        <f t="shared" si="430"/>
        <v>505_10_9_10_polygon</v>
      </c>
      <c r="B2384" s="2">
        <v>505</v>
      </c>
      <c r="C2384" s="30" t="str">
        <f>VLOOKUP(B2384,gachas!A:C,3)</f>
        <v>新年特別開催台港澳祭典SIDE:B</v>
      </c>
      <c r="D2384" s="21">
        <v>10</v>
      </c>
      <c r="E2384" s="2">
        <f t="shared" si="432"/>
        <v>9</v>
      </c>
      <c r="F2384" s="2">
        <v>10</v>
      </c>
      <c r="G2384" s="3" t="s">
        <v>22</v>
      </c>
      <c r="H2384" s="2">
        <v>50</v>
      </c>
      <c r="I2384" s="117">
        <v>505100</v>
      </c>
      <c r="J2384" s="112" t="s">
        <v>2092</v>
      </c>
      <c r="K2384" s="2" t="s">
        <v>2190</v>
      </c>
      <c r="L2384" s="2">
        <v>0</v>
      </c>
      <c r="M2384" s="2" t="s">
        <v>85</v>
      </c>
      <c r="N2384" s="2" t="s">
        <v>2094</v>
      </c>
      <c r="O2384" s="2" t="s">
        <v>2095</v>
      </c>
      <c r="P2384" s="2" t="s">
        <v>143</v>
      </c>
    </row>
    <row r="2385" spans="1:16" ht="22" customHeight="1" x14ac:dyDescent="0.15">
      <c r="A2385" s="10" t="str">
        <f t="shared" si="430"/>
        <v>505_10_10_10_polygon</v>
      </c>
      <c r="B2385" s="2">
        <v>505</v>
      </c>
      <c r="C2385" s="30" t="str">
        <f>VLOOKUP(B2385,gachas!A:C,3)</f>
        <v>新年特別開催台港澳祭典SIDE:B</v>
      </c>
      <c r="D2385" s="21">
        <v>10</v>
      </c>
      <c r="E2385" s="2">
        <f t="shared" si="432"/>
        <v>10</v>
      </c>
      <c r="F2385" s="2">
        <v>10</v>
      </c>
      <c r="G2385" s="3" t="s">
        <v>22</v>
      </c>
      <c r="H2385" s="2">
        <v>50</v>
      </c>
      <c r="I2385" s="117">
        <v>505100</v>
      </c>
      <c r="J2385" s="112" t="s">
        <v>2092</v>
      </c>
      <c r="K2385" s="117">
        <v>505105</v>
      </c>
      <c r="L2385" s="2">
        <v>1</v>
      </c>
      <c r="M2385" s="2" t="s">
        <v>85</v>
      </c>
      <c r="N2385" s="2" t="s">
        <v>2094</v>
      </c>
      <c r="O2385" s="2" t="s">
        <v>2095</v>
      </c>
      <c r="P2385" s="2" t="s">
        <v>2451</v>
      </c>
    </row>
    <row r="2386" spans="1:16" ht="22" customHeight="1" x14ac:dyDescent="0.15">
      <c r="A2386" s="10" t="str">
        <f t="shared" si="430"/>
        <v>505_10_11_10_polygon</v>
      </c>
      <c r="B2386" s="2">
        <v>505</v>
      </c>
      <c r="C2386" s="30" t="str">
        <f>VLOOKUP(B2386,gachas!A:C,3)</f>
        <v>新年特別開催台港澳祭典SIDE:B</v>
      </c>
      <c r="D2386" s="21">
        <v>10</v>
      </c>
      <c r="E2386" s="2">
        <f t="shared" si="432"/>
        <v>11</v>
      </c>
      <c r="F2386" s="2">
        <v>10</v>
      </c>
      <c r="G2386" s="3" t="s">
        <v>22</v>
      </c>
      <c r="H2386" s="2">
        <v>25</v>
      </c>
      <c r="I2386" s="117">
        <v>505100</v>
      </c>
      <c r="J2386" s="112" t="s">
        <v>2092</v>
      </c>
      <c r="K2386" s="2" t="s">
        <v>2190</v>
      </c>
      <c r="L2386" s="2">
        <v>0</v>
      </c>
      <c r="M2386" s="2" t="s">
        <v>85</v>
      </c>
      <c r="N2386" s="2" t="s">
        <v>2094</v>
      </c>
      <c r="O2386" s="2" t="s">
        <v>2095</v>
      </c>
      <c r="P2386" s="59" t="s">
        <v>1783</v>
      </c>
    </row>
    <row r="2387" spans="1:16" ht="22" customHeight="1" x14ac:dyDescent="0.15">
      <c r="A2387" s="10" t="str">
        <f t="shared" ref="A2387:A2656" si="433">B2387&amp;"_"&amp;D2387&amp;"_"&amp;E2387&amp;"_"&amp;F2387&amp;"_"&amp;G2387</f>
        <v>505_10_12_10_polygon</v>
      </c>
      <c r="B2387" s="2">
        <v>505</v>
      </c>
      <c r="C2387" s="30" t="str">
        <f>VLOOKUP(B2387,gachas!A:C,3)</f>
        <v>新年特別開催台港澳祭典SIDE:B</v>
      </c>
      <c r="D2387" s="21">
        <v>10</v>
      </c>
      <c r="E2387" s="2">
        <f t="shared" si="432"/>
        <v>12</v>
      </c>
      <c r="F2387" s="2">
        <v>10</v>
      </c>
      <c r="G2387" s="3" t="s">
        <v>22</v>
      </c>
      <c r="H2387" s="2">
        <v>50</v>
      </c>
      <c r="I2387" s="117">
        <v>505100</v>
      </c>
      <c r="J2387" s="112" t="s">
        <v>2092</v>
      </c>
      <c r="K2387" s="2" t="s">
        <v>2190</v>
      </c>
      <c r="L2387" s="2">
        <v>0</v>
      </c>
      <c r="M2387" s="2" t="s">
        <v>85</v>
      </c>
      <c r="N2387" s="2" t="s">
        <v>2094</v>
      </c>
      <c r="O2387" s="2" t="s">
        <v>2095</v>
      </c>
      <c r="P2387" s="2" t="s">
        <v>143</v>
      </c>
    </row>
    <row r="2388" spans="1:16" ht="22" customHeight="1" x14ac:dyDescent="0.15">
      <c r="A2388" s="10" t="str">
        <f t="shared" si="433"/>
        <v>505_10_13_10_polygon</v>
      </c>
      <c r="B2388" s="2">
        <v>505</v>
      </c>
      <c r="C2388" s="30" t="str">
        <f>VLOOKUP(B2388,gachas!A:C,3)</f>
        <v>新年特別開催台港澳祭典SIDE:B</v>
      </c>
      <c r="D2388" s="21">
        <v>10</v>
      </c>
      <c r="E2388" s="2">
        <f t="shared" si="432"/>
        <v>13</v>
      </c>
      <c r="F2388" s="2">
        <v>10</v>
      </c>
      <c r="G2388" s="3" t="s">
        <v>22</v>
      </c>
      <c r="H2388" s="2">
        <v>50</v>
      </c>
      <c r="I2388" s="117">
        <v>505100</v>
      </c>
      <c r="J2388" s="112" t="s">
        <v>2092</v>
      </c>
      <c r="K2388" s="2" t="s">
        <v>2190</v>
      </c>
      <c r="L2388" s="2">
        <v>0</v>
      </c>
      <c r="M2388" s="2" t="s">
        <v>85</v>
      </c>
      <c r="N2388" s="2" t="s">
        <v>2094</v>
      </c>
      <c r="O2388" s="2" t="s">
        <v>2095</v>
      </c>
      <c r="P2388" s="2" t="s">
        <v>143</v>
      </c>
    </row>
    <row r="2389" spans="1:16" ht="22" customHeight="1" x14ac:dyDescent="0.15">
      <c r="A2389" s="10" t="str">
        <f t="shared" si="433"/>
        <v>505_10_14_10_polygon</v>
      </c>
      <c r="B2389" s="2">
        <v>505</v>
      </c>
      <c r="C2389" s="30" t="str">
        <f>VLOOKUP(B2389,gachas!A:C,3)</f>
        <v>新年特別開催台港澳祭典SIDE:B</v>
      </c>
      <c r="D2389" s="21">
        <v>10</v>
      </c>
      <c r="E2389" s="2">
        <f t="shared" si="432"/>
        <v>14</v>
      </c>
      <c r="F2389" s="2">
        <v>10</v>
      </c>
      <c r="G2389" s="3" t="s">
        <v>22</v>
      </c>
      <c r="H2389" s="2">
        <v>50</v>
      </c>
      <c r="I2389" s="117">
        <v>505100</v>
      </c>
      <c r="J2389" s="112" t="s">
        <v>2092</v>
      </c>
      <c r="K2389" s="2" t="s">
        <v>2190</v>
      </c>
      <c r="L2389" s="2">
        <v>0</v>
      </c>
      <c r="M2389" s="2" t="s">
        <v>85</v>
      </c>
      <c r="N2389" s="2" t="s">
        <v>2094</v>
      </c>
      <c r="O2389" s="2" t="s">
        <v>2095</v>
      </c>
      <c r="P2389" s="2" t="s">
        <v>143</v>
      </c>
    </row>
    <row r="2390" spans="1:16" ht="22" customHeight="1" x14ac:dyDescent="0.15">
      <c r="A2390" s="10" t="str">
        <f t="shared" si="433"/>
        <v>505_10_15_10_polygon</v>
      </c>
      <c r="B2390" s="2">
        <v>505</v>
      </c>
      <c r="C2390" s="30" t="str">
        <f>VLOOKUP(B2390,gachas!A:C,3)</f>
        <v>新年特別開催台港澳祭典SIDE:B</v>
      </c>
      <c r="D2390" s="21">
        <v>10</v>
      </c>
      <c r="E2390" s="2">
        <f t="shared" si="432"/>
        <v>15</v>
      </c>
      <c r="F2390" s="2">
        <v>10</v>
      </c>
      <c r="G2390" s="3" t="s">
        <v>22</v>
      </c>
      <c r="H2390" s="2">
        <v>50</v>
      </c>
      <c r="I2390" s="117">
        <v>505100</v>
      </c>
      <c r="J2390" s="112" t="s">
        <v>2092</v>
      </c>
      <c r="K2390" s="117">
        <v>505105</v>
      </c>
      <c r="L2390" s="2">
        <v>1</v>
      </c>
      <c r="M2390" s="2" t="s">
        <v>85</v>
      </c>
      <c r="N2390" s="2" t="s">
        <v>2094</v>
      </c>
      <c r="O2390" s="2" t="s">
        <v>2095</v>
      </c>
      <c r="P2390" s="2" t="s">
        <v>2451</v>
      </c>
    </row>
    <row r="2391" spans="1:16" ht="22" customHeight="1" x14ac:dyDescent="0.15">
      <c r="A2391" s="10" t="str">
        <f t="shared" si="433"/>
        <v>505_10_16_10_polygon</v>
      </c>
      <c r="B2391" s="2">
        <v>505</v>
      </c>
      <c r="C2391" s="30" t="str">
        <f>VLOOKUP(B2391,gachas!A:C,3)</f>
        <v>新年特別開催台港澳祭典SIDE:B</v>
      </c>
      <c r="D2391" s="21">
        <v>10</v>
      </c>
      <c r="E2391" s="2">
        <f t="shared" si="432"/>
        <v>16</v>
      </c>
      <c r="F2391" s="2">
        <v>10</v>
      </c>
      <c r="G2391" s="3" t="s">
        <v>22</v>
      </c>
      <c r="H2391" s="2">
        <v>25</v>
      </c>
      <c r="I2391" s="117">
        <v>505100</v>
      </c>
      <c r="J2391" s="112" t="s">
        <v>2092</v>
      </c>
      <c r="K2391" s="2" t="s">
        <v>2190</v>
      </c>
      <c r="L2391" s="2">
        <v>0</v>
      </c>
      <c r="M2391" s="2" t="s">
        <v>85</v>
      </c>
      <c r="N2391" s="2" t="s">
        <v>2094</v>
      </c>
      <c r="O2391" s="2" t="s">
        <v>2095</v>
      </c>
      <c r="P2391" s="59" t="s">
        <v>1783</v>
      </c>
    </row>
    <row r="2392" spans="1:16" ht="22" customHeight="1" x14ac:dyDescent="0.15">
      <c r="A2392" s="10" t="str">
        <f t="shared" si="433"/>
        <v>505_10_17_10_polygon</v>
      </c>
      <c r="B2392" s="2">
        <v>505</v>
      </c>
      <c r="C2392" s="30" t="str">
        <f>VLOOKUP(B2392,gachas!A:C,3)</f>
        <v>新年特別開催台港澳祭典SIDE:B</v>
      </c>
      <c r="D2392" s="21">
        <v>10</v>
      </c>
      <c r="E2392" s="2">
        <f t="shared" si="432"/>
        <v>17</v>
      </c>
      <c r="F2392" s="2">
        <v>10</v>
      </c>
      <c r="G2392" s="3" t="s">
        <v>22</v>
      </c>
      <c r="H2392" s="2">
        <v>50</v>
      </c>
      <c r="I2392" s="117">
        <v>505100</v>
      </c>
      <c r="J2392" s="112" t="s">
        <v>2092</v>
      </c>
      <c r="K2392" s="2" t="s">
        <v>2190</v>
      </c>
      <c r="L2392" s="2">
        <v>0</v>
      </c>
      <c r="M2392" s="2" t="s">
        <v>85</v>
      </c>
      <c r="N2392" s="2" t="s">
        <v>2094</v>
      </c>
      <c r="O2392" s="2" t="s">
        <v>2095</v>
      </c>
      <c r="P2392" s="2" t="s">
        <v>143</v>
      </c>
    </row>
    <row r="2393" spans="1:16" ht="22" customHeight="1" x14ac:dyDescent="0.15">
      <c r="A2393" s="10" t="str">
        <f t="shared" si="433"/>
        <v>505_10_18_10_polygon</v>
      </c>
      <c r="B2393" s="2">
        <v>505</v>
      </c>
      <c r="C2393" s="30" t="str">
        <f>VLOOKUP(B2393,gachas!A:C,3)</f>
        <v>新年特別開催台港澳祭典SIDE:B</v>
      </c>
      <c r="D2393" s="21">
        <v>10</v>
      </c>
      <c r="E2393" s="2">
        <f t="shared" si="432"/>
        <v>18</v>
      </c>
      <c r="F2393" s="2">
        <v>10</v>
      </c>
      <c r="G2393" s="3" t="s">
        <v>22</v>
      </c>
      <c r="H2393" s="2">
        <v>50</v>
      </c>
      <c r="I2393" s="117">
        <v>505100</v>
      </c>
      <c r="J2393" s="112" t="s">
        <v>2092</v>
      </c>
      <c r="K2393" s="2" t="s">
        <v>2190</v>
      </c>
      <c r="L2393" s="2">
        <v>0</v>
      </c>
      <c r="M2393" s="2" t="s">
        <v>85</v>
      </c>
      <c r="N2393" s="2" t="s">
        <v>2094</v>
      </c>
      <c r="O2393" s="2" t="s">
        <v>2095</v>
      </c>
      <c r="P2393" s="2" t="s">
        <v>143</v>
      </c>
    </row>
    <row r="2394" spans="1:16" ht="22" customHeight="1" x14ac:dyDescent="0.15">
      <c r="A2394" s="10" t="str">
        <f t="shared" si="433"/>
        <v>505_10_19_10_polygon</v>
      </c>
      <c r="B2394" s="2">
        <v>505</v>
      </c>
      <c r="C2394" s="30" t="str">
        <f>VLOOKUP(B2394,gachas!A:C,3)</f>
        <v>新年特別開催台港澳祭典SIDE:B</v>
      </c>
      <c r="D2394" s="21">
        <v>10</v>
      </c>
      <c r="E2394" s="2">
        <f t="shared" si="432"/>
        <v>19</v>
      </c>
      <c r="F2394" s="2">
        <v>10</v>
      </c>
      <c r="G2394" s="3" t="s">
        <v>22</v>
      </c>
      <c r="H2394" s="2">
        <v>50</v>
      </c>
      <c r="I2394" s="117">
        <v>505100</v>
      </c>
      <c r="J2394" s="112" t="s">
        <v>2092</v>
      </c>
      <c r="K2394" s="2" t="s">
        <v>2190</v>
      </c>
      <c r="L2394" s="2">
        <v>0</v>
      </c>
      <c r="M2394" s="2" t="s">
        <v>85</v>
      </c>
      <c r="N2394" s="2" t="s">
        <v>2094</v>
      </c>
      <c r="O2394" s="2" t="s">
        <v>2095</v>
      </c>
      <c r="P2394" s="2" t="s">
        <v>143</v>
      </c>
    </row>
    <row r="2395" spans="1:16" ht="22" customHeight="1" x14ac:dyDescent="0.15">
      <c r="A2395" s="10" t="str">
        <f t="shared" si="433"/>
        <v>505_10_20_10_polygon</v>
      </c>
      <c r="B2395" s="2">
        <v>505</v>
      </c>
      <c r="C2395" s="30" t="str">
        <f>VLOOKUP(B2395,gachas!A:C,3)</f>
        <v>新年特別開催台港澳祭典SIDE:B</v>
      </c>
      <c r="D2395" s="21">
        <v>10</v>
      </c>
      <c r="E2395" s="2">
        <f t="shared" si="432"/>
        <v>20</v>
      </c>
      <c r="F2395" s="2">
        <v>10</v>
      </c>
      <c r="G2395" s="3" t="s">
        <v>22</v>
      </c>
      <c r="H2395" s="2">
        <v>50</v>
      </c>
      <c r="I2395" s="117">
        <v>505100</v>
      </c>
      <c r="J2395" s="112" t="s">
        <v>2092</v>
      </c>
      <c r="K2395" s="117">
        <v>505105</v>
      </c>
      <c r="L2395" s="2">
        <v>1</v>
      </c>
      <c r="M2395" s="2" t="s">
        <v>85</v>
      </c>
      <c r="N2395" s="2" t="s">
        <v>2094</v>
      </c>
      <c r="O2395" s="2" t="s">
        <v>2095</v>
      </c>
      <c r="P2395" s="2" t="s">
        <v>2451</v>
      </c>
    </row>
    <row r="2396" spans="1:16" ht="22" customHeight="1" x14ac:dyDescent="0.15">
      <c r="A2396" s="10" t="str">
        <f t="shared" si="433"/>
        <v>505_10_21_10_polygon</v>
      </c>
      <c r="B2396" s="2">
        <v>505</v>
      </c>
      <c r="C2396" s="30" t="str">
        <f>VLOOKUP(B2396,gachas!A:C,3)</f>
        <v>新年特別開催台港澳祭典SIDE:B</v>
      </c>
      <c r="D2396" s="21">
        <v>10</v>
      </c>
      <c r="E2396" s="2">
        <f t="shared" si="432"/>
        <v>21</v>
      </c>
      <c r="F2396" s="2">
        <v>10</v>
      </c>
      <c r="G2396" s="3" t="s">
        <v>22</v>
      </c>
      <c r="H2396" s="2">
        <v>25</v>
      </c>
      <c r="I2396" s="117">
        <v>505100</v>
      </c>
      <c r="J2396" s="112" t="s">
        <v>2092</v>
      </c>
      <c r="K2396" s="2" t="s">
        <v>2190</v>
      </c>
      <c r="L2396" s="2">
        <v>0</v>
      </c>
      <c r="M2396" s="2" t="s">
        <v>85</v>
      </c>
      <c r="N2396" s="2" t="s">
        <v>2094</v>
      </c>
      <c r="O2396" s="2" t="s">
        <v>2095</v>
      </c>
      <c r="P2396" s="59" t="s">
        <v>1783</v>
      </c>
    </row>
    <row r="2397" spans="1:16" ht="22" customHeight="1" x14ac:dyDescent="0.15">
      <c r="A2397" s="10" t="str">
        <f t="shared" si="433"/>
        <v>505_10_22_10_polygon</v>
      </c>
      <c r="B2397" s="2">
        <v>505</v>
      </c>
      <c r="C2397" s="30" t="str">
        <f>VLOOKUP(B2397,gachas!A:C,3)</f>
        <v>新年特別開催台港澳祭典SIDE:B</v>
      </c>
      <c r="D2397" s="21">
        <v>10</v>
      </c>
      <c r="E2397" s="2">
        <f t="shared" si="432"/>
        <v>22</v>
      </c>
      <c r="F2397" s="2">
        <v>10</v>
      </c>
      <c r="G2397" s="3" t="s">
        <v>22</v>
      </c>
      <c r="H2397" s="2">
        <v>50</v>
      </c>
      <c r="I2397" s="117">
        <v>505100</v>
      </c>
      <c r="J2397" s="112" t="s">
        <v>2092</v>
      </c>
      <c r="K2397" s="2" t="s">
        <v>2190</v>
      </c>
      <c r="L2397" s="2">
        <v>0</v>
      </c>
      <c r="M2397" s="2" t="s">
        <v>85</v>
      </c>
      <c r="N2397" s="2" t="s">
        <v>2094</v>
      </c>
      <c r="O2397" s="2" t="s">
        <v>2095</v>
      </c>
      <c r="P2397" s="2" t="s">
        <v>143</v>
      </c>
    </row>
    <row r="2398" spans="1:16" ht="22" customHeight="1" x14ac:dyDescent="0.15">
      <c r="A2398" s="10" t="str">
        <f t="shared" si="433"/>
        <v>505_10_23_10_polygon</v>
      </c>
      <c r="B2398" s="2">
        <v>505</v>
      </c>
      <c r="C2398" s="30" t="str">
        <f>VLOOKUP(B2398,gachas!A:C,3)</f>
        <v>新年特別開催台港澳祭典SIDE:B</v>
      </c>
      <c r="D2398" s="21">
        <v>10</v>
      </c>
      <c r="E2398" s="2">
        <f t="shared" si="432"/>
        <v>23</v>
      </c>
      <c r="F2398" s="2">
        <v>10</v>
      </c>
      <c r="G2398" s="3" t="s">
        <v>22</v>
      </c>
      <c r="H2398" s="2">
        <v>50</v>
      </c>
      <c r="I2398" s="117">
        <v>505100</v>
      </c>
      <c r="J2398" s="112" t="s">
        <v>2092</v>
      </c>
      <c r="K2398" s="2" t="s">
        <v>2190</v>
      </c>
      <c r="L2398" s="2">
        <v>0</v>
      </c>
      <c r="M2398" s="2" t="s">
        <v>85</v>
      </c>
      <c r="N2398" s="2" t="s">
        <v>2094</v>
      </c>
      <c r="O2398" s="2" t="s">
        <v>2095</v>
      </c>
      <c r="P2398" s="2" t="s">
        <v>143</v>
      </c>
    </row>
    <row r="2399" spans="1:16" ht="22" customHeight="1" x14ac:dyDescent="0.15">
      <c r="A2399" s="10" t="str">
        <f t="shared" si="433"/>
        <v>505_10_24_10_polygon</v>
      </c>
      <c r="B2399" s="2">
        <v>505</v>
      </c>
      <c r="C2399" s="30" t="str">
        <f>VLOOKUP(B2399,gachas!A:C,3)</f>
        <v>新年特別開催台港澳祭典SIDE:B</v>
      </c>
      <c r="D2399" s="21">
        <v>10</v>
      </c>
      <c r="E2399" s="2">
        <f t="shared" si="432"/>
        <v>24</v>
      </c>
      <c r="F2399" s="2">
        <v>10</v>
      </c>
      <c r="G2399" s="3" t="s">
        <v>22</v>
      </c>
      <c r="H2399" s="2">
        <v>50</v>
      </c>
      <c r="I2399" s="117">
        <v>505100</v>
      </c>
      <c r="J2399" s="112" t="s">
        <v>2092</v>
      </c>
      <c r="K2399" s="2" t="s">
        <v>2190</v>
      </c>
      <c r="L2399" s="2">
        <v>0</v>
      </c>
      <c r="M2399" s="2" t="s">
        <v>85</v>
      </c>
      <c r="N2399" s="2" t="s">
        <v>2094</v>
      </c>
      <c r="O2399" s="2" t="s">
        <v>2095</v>
      </c>
      <c r="P2399" s="2" t="s">
        <v>143</v>
      </c>
    </row>
    <row r="2400" spans="1:16" ht="22" customHeight="1" x14ac:dyDescent="0.15">
      <c r="A2400" s="10" t="str">
        <f t="shared" si="433"/>
        <v>505_10_25_10_polygon</v>
      </c>
      <c r="B2400" s="2">
        <v>505</v>
      </c>
      <c r="C2400" s="30" t="str">
        <f>VLOOKUP(B2400,gachas!A:C,3)</f>
        <v>新年特別開催台港澳祭典SIDE:B</v>
      </c>
      <c r="D2400" s="21">
        <v>10</v>
      </c>
      <c r="E2400" s="2">
        <f t="shared" si="432"/>
        <v>25</v>
      </c>
      <c r="F2400" s="2">
        <v>10</v>
      </c>
      <c r="G2400" s="3" t="s">
        <v>22</v>
      </c>
      <c r="H2400" s="2">
        <v>50</v>
      </c>
      <c r="I2400" s="117">
        <v>505100</v>
      </c>
      <c r="J2400" s="112" t="s">
        <v>2092</v>
      </c>
      <c r="K2400" s="117">
        <v>505105</v>
      </c>
      <c r="L2400" s="2">
        <v>1</v>
      </c>
      <c r="M2400" s="2" t="s">
        <v>85</v>
      </c>
      <c r="N2400" s="2" t="s">
        <v>2094</v>
      </c>
      <c r="O2400" s="2" t="s">
        <v>2095</v>
      </c>
      <c r="P2400" s="2" t="s">
        <v>2451</v>
      </c>
    </row>
    <row r="2401" spans="1:16" ht="22" customHeight="1" x14ac:dyDescent="0.15">
      <c r="A2401" s="10" t="str">
        <f t="shared" si="433"/>
        <v>505_10_26_10_polygon</v>
      </c>
      <c r="B2401" s="2">
        <v>505</v>
      </c>
      <c r="C2401" s="30" t="str">
        <f>VLOOKUP(B2401,gachas!A:C,3)</f>
        <v>新年特別開催台港澳祭典SIDE:B</v>
      </c>
      <c r="D2401" s="21">
        <v>10</v>
      </c>
      <c r="E2401" s="2">
        <f t="shared" si="432"/>
        <v>26</v>
      </c>
      <c r="F2401" s="2">
        <v>10</v>
      </c>
      <c r="G2401" s="3" t="s">
        <v>22</v>
      </c>
      <c r="H2401" s="2">
        <v>25</v>
      </c>
      <c r="I2401" s="117">
        <v>505100</v>
      </c>
      <c r="J2401" s="112" t="s">
        <v>2092</v>
      </c>
      <c r="K2401" s="2" t="s">
        <v>2190</v>
      </c>
      <c r="L2401" s="2">
        <v>0</v>
      </c>
      <c r="M2401" s="2" t="s">
        <v>85</v>
      </c>
      <c r="N2401" s="2" t="s">
        <v>2094</v>
      </c>
      <c r="O2401" s="2" t="s">
        <v>2095</v>
      </c>
      <c r="P2401" s="59" t="s">
        <v>1783</v>
      </c>
    </row>
    <row r="2402" spans="1:16" ht="22" customHeight="1" x14ac:dyDescent="0.15">
      <c r="A2402" s="10" t="str">
        <f t="shared" si="433"/>
        <v>505_10_27_10_polygon</v>
      </c>
      <c r="B2402" s="2">
        <v>505</v>
      </c>
      <c r="C2402" s="30" t="str">
        <f>VLOOKUP(B2402,gachas!A:C,3)</f>
        <v>新年特別開催台港澳祭典SIDE:B</v>
      </c>
      <c r="D2402" s="21">
        <v>10</v>
      </c>
      <c r="E2402" s="2">
        <f t="shared" si="432"/>
        <v>27</v>
      </c>
      <c r="F2402" s="2">
        <v>10</v>
      </c>
      <c r="G2402" s="3" t="s">
        <v>22</v>
      </c>
      <c r="H2402" s="2">
        <v>50</v>
      </c>
      <c r="I2402" s="117">
        <v>505100</v>
      </c>
      <c r="J2402" s="112" t="s">
        <v>2092</v>
      </c>
      <c r="K2402" s="2" t="s">
        <v>2190</v>
      </c>
      <c r="L2402" s="2">
        <v>0</v>
      </c>
      <c r="M2402" s="2" t="s">
        <v>85</v>
      </c>
      <c r="N2402" s="2" t="s">
        <v>2094</v>
      </c>
      <c r="O2402" s="2" t="s">
        <v>2095</v>
      </c>
      <c r="P2402" s="2" t="s">
        <v>143</v>
      </c>
    </row>
    <row r="2403" spans="1:16" ht="22" customHeight="1" x14ac:dyDescent="0.15">
      <c r="A2403" s="10" t="str">
        <f t="shared" si="433"/>
        <v>505_10_28_10_polygon</v>
      </c>
      <c r="B2403" s="2">
        <v>505</v>
      </c>
      <c r="C2403" s="30" t="str">
        <f>VLOOKUP(B2403,gachas!A:C,3)</f>
        <v>新年特別開催台港澳祭典SIDE:B</v>
      </c>
      <c r="D2403" s="21">
        <v>10</v>
      </c>
      <c r="E2403" s="2">
        <f t="shared" si="432"/>
        <v>28</v>
      </c>
      <c r="F2403" s="2">
        <v>10</v>
      </c>
      <c r="G2403" s="3" t="s">
        <v>22</v>
      </c>
      <c r="H2403" s="2">
        <v>50</v>
      </c>
      <c r="I2403" s="117">
        <v>505100</v>
      </c>
      <c r="J2403" s="112" t="s">
        <v>2092</v>
      </c>
      <c r="K2403" s="2" t="s">
        <v>2190</v>
      </c>
      <c r="L2403" s="2">
        <v>0</v>
      </c>
      <c r="M2403" s="2" t="s">
        <v>85</v>
      </c>
      <c r="N2403" s="2" t="s">
        <v>2094</v>
      </c>
      <c r="O2403" s="2" t="s">
        <v>2095</v>
      </c>
      <c r="P2403" s="2" t="s">
        <v>143</v>
      </c>
    </row>
    <row r="2404" spans="1:16" ht="22" customHeight="1" x14ac:dyDescent="0.15">
      <c r="A2404" s="10" t="str">
        <f t="shared" si="433"/>
        <v>505_10_29_10_polygon</v>
      </c>
      <c r="B2404" s="2">
        <v>505</v>
      </c>
      <c r="C2404" s="30" t="str">
        <f>VLOOKUP(B2404,gachas!A:C,3)</f>
        <v>新年特別開催台港澳祭典SIDE:B</v>
      </c>
      <c r="D2404" s="21">
        <v>10</v>
      </c>
      <c r="E2404" s="2">
        <f t="shared" si="432"/>
        <v>29</v>
      </c>
      <c r="F2404" s="2">
        <v>10</v>
      </c>
      <c r="G2404" s="3" t="s">
        <v>22</v>
      </c>
      <c r="H2404" s="2">
        <v>50</v>
      </c>
      <c r="I2404" s="117">
        <v>505100</v>
      </c>
      <c r="J2404" s="112" t="s">
        <v>2092</v>
      </c>
      <c r="K2404" s="2" t="s">
        <v>2190</v>
      </c>
      <c r="L2404" s="2">
        <v>0</v>
      </c>
      <c r="M2404" s="2" t="s">
        <v>85</v>
      </c>
      <c r="N2404" s="2" t="s">
        <v>2094</v>
      </c>
      <c r="O2404" s="2" t="s">
        <v>2095</v>
      </c>
      <c r="P2404" s="2" t="s">
        <v>143</v>
      </c>
    </row>
    <row r="2405" spans="1:16" ht="22" customHeight="1" x14ac:dyDescent="0.15">
      <c r="A2405" s="10" t="str">
        <f t="shared" si="433"/>
        <v>505_10_30_10_polygon</v>
      </c>
      <c r="B2405" s="2">
        <v>505</v>
      </c>
      <c r="C2405" s="30" t="str">
        <f>VLOOKUP(B2405,gachas!A:C,3)</f>
        <v>新年特別開催台港澳祭典SIDE:B</v>
      </c>
      <c r="D2405" s="21">
        <v>10</v>
      </c>
      <c r="E2405" s="2">
        <f t="shared" si="432"/>
        <v>30</v>
      </c>
      <c r="F2405" s="2">
        <v>10</v>
      </c>
      <c r="G2405" s="3" t="s">
        <v>22</v>
      </c>
      <c r="H2405" s="2">
        <v>50</v>
      </c>
      <c r="I2405" s="117">
        <v>505100</v>
      </c>
      <c r="J2405" s="112" t="s">
        <v>2092</v>
      </c>
      <c r="K2405" s="117">
        <v>505105</v>
      </c>
      <c r="L2405" s="2">
        <v>1</v>
      </c>
      <c r="M2405" s="2" t="s">
        <v>85</v>
      </c>
      <c r="N2405" s="2" t="s">
        <v>2094</v>
      </c>
      <c r="O2405" s="2" t="s">
        <v>2095</v>
      </c>
      <c r="P2405" s="2" t="s">
        <v>2451</v>
      </c>
    </row>
    <row r="2406" spans="1:16" ht="22" customHeight="1" x14ac:dyDescent="0.15">
      <c r="A2406" s="10" t="str">
        <f t="shared" si="433"/>
        <v>505_10_31_10_polygon</v>
      </c>
      <c r="B2406" s="2">
        <v>505</v>
      </c>
      <c r="C2406" s="30" t="str">
        <f>VLOOKUP(B2406,gachas!A:C,3)</f>
        <v>新年特別開催台港澳祭典SIDE:B</v>
      </c>
      <c r="D2406" s="21">
        <v>10</v>
      </c>
      <c r="E2406" s="2">
        <f t="shared" si="432"/>
        <v>31</v>
      </c>
      <c r="F2406" s="2">
        <v>10</v>
      </c>
      <c r="G2406" s="3" t="s">
        <v>22</v>
      </c>
      <c r="H2406" s="2">
        <v>25</v>
      </c>
      <c r="I2406" s="117">
        <v>505100</v>
      </c>
      <c r="J2406" s="112" t="s">
        <v>2092</v>
      </c>
      <c r="K2406" s="2" t="s">
        <v>2190</v>
      </c>
      <c r="L2406" s="2">
        <v>0</v>
      </c>
      <c r="M2406" s="2" t="s">
        <v>85</v>
      </c>
      <c r="N2406" s="2" t="s">
        <v>2094</v>
      </c>
      <c r="O2406" s="2" t="s">
        <v>2095</v>
      </c>
      <c r="P2406" s="59" t="s">
        <v>1783</v>
      </c>
    </row>
    <row r="2407" spans="1:16" ht="22" customHeight="1" x14ac:dyDescent="0.15">
      <c r="A2407" s="10" t="str">
        <f t="shared" si="433"/>
        <v>505_10_32_10_polygon</v>
      </c>
      <c r="B2407" s="2">
        <v>505</v>
      </c>
      <c r="C2407" s="30" t="str">
        <f>VLOOKUP(B2407,gachas!A:C,3)</f>
        <v>新年特別開催台港澳祭典SIDE:B</v>
      </c>
      <c r="D2407" s="21">
        <v>10</v>
      </c>
      <c r="E2407" s="2">
        <f t="shared" si="432"/>
        <v>32</v>
      </c>
      <c r="F2407" s="2">
        <v>10</v>
      </c>
      <c r="G2407" s="3" t="s">
        <v>22</v>
      </c>
      <c r="H2407" s="2">
        <v>50</v>
      </c>
      <c r="I2407" s="117">
        <v>505100</v>
      </c>
      <c r="J2407" s="112" t="s">
        <v>2092</v>
      </c>
      <c r="K2407" s="2" t="s">
        <v>2190</v>
      </c>
      <c r="L2407" s="2">
        <v>0</v>
      </c>
      <c r="M2407" s="2" t="s">
        <v>85</v>
      </c>
      <c r="N2407" s="2" t="s">
        <v>2094</v>
      </c>
      <c r="O2407" s="2" t="s">
        <v>2095</v>
      </c>
      <c r="P2407" s="2" t="s">
        <v>143</v>
      </c>
    </row>
    <row r="2408" spans="1:16" ht="22" customHeight="1" x14ac:dyDescent="0.15">
      <c r="A2408" s="10" t="str">
        <f t="shared" si="433"/>
        <v>505_10_33_10_polygon</v>
      </c>
      <c r="B2408" s="2">
        <v>505</v>
      </c>
      <c r="C2408" s="30" t="str">
        <f>VLOOKUP(B2408,gachas!A:C,3)</f>
        <v>新年特別開催台港澳祭典SIDE:B</v>
      </c>
      <c r="D2408" s="21">
        <v>10</v>
      </c>
      <c r="E2408" s="2">
        <f t="shared" si="432"/>
        <v>33</v>
      </c>
      <c r="F2408" s="2">
        <v>10</v>
      </c>
      <c r="G2408" s="3" t="s">
        <v>22</v>
      </c>
      <c r="H2408" s="2">
        <v>50</v>
      </c>
      <c r="I2408" s="117">
        <v>505100</v>
      </c>
      <c r="J2408" s="112" t="s">
        <v>2092</v>
      </c>
      <c r="K2408" s="2" t="s">
        <v>2190</v>
      </c>
      <c r="L2408" s="2">
        <v>0</v>
      </c>
      <c r="M2408" s="2" t="s">
        <v>85</v>
      </c>
      <c r="N2408" s="2" t="s">
        <v>2094</v>
      </c>
      <c r="O2408" s="2" t="s">
        <v>2095</v>
      </c>
      <c r="P2408" s="2" t="s">
        <v>143</v>
      </c>
    </row>
    <row r="2409" spans="1:16" ht="22" customHeight="1" x14ac:dyDescent="0.15">
      <c r="A2409" s="10" t="str">
        <f t="shared" si="433"/>
        <v>505_10_34_10_polygon</v>
      </c>
      <c r="B2409" s="2">
        <v>505</v>
      </c>
      <c r="C2409" s="30" t="str">
        <f>VLOOKUP(B2409,gachas!A:C,3)</f>
        <v>新年特別開催台港澳祭典SIDE:B</v>
      </c>
      <c r="D2409" s="21">
        <v>10</v>
      </c>
      <c r="E2409" s="2">
        <f t="shared" si="432"/>
        <v>34</v>
      </c>
      <c r="F2409" s="2">
        <v>10</v>
      </c>
      <c r="G2409" s="3" t="s">
        <v>22</v>
      </c>
      <c r="H2409" s="2">
        <v>50</v>
      </c>
      <c r="I2409" s="117">
        <v>505100</v>
      </c>
      <c r="J2409" s="112" t="s">
        <v>2092</v>
      </c>
      <c r="K2409" s="2" t="s">
        <v>2190</v>
      </c>
      <c r="L2409" s="2">
        <v>0</v>
      </c>
      <c r="M2409" s="2" t="s">
        <v>85</v>
      </c>
      <c r="N2409" s="2" t="s">
        <v>2094</v>
      </c>
      <c r="O2409" s="2" t="s">
        <v>2095</v>
      </c>
      <c r="P2409" s="2" t="s">
        <v>143</v>
      </c>
    </row>
    <row r="2410" spans="1:16" ht="22" customHeight="1" x14ac:dyDescent="0.15">
      <c r="A2410" s="10" t="str">
        <f t="shared" si="433"/>
        <v>505_10_35_10_polygon</v>
      </c>
      <c r="B2410" s="2">
        <v>505</v>
      </c>
      <c r="C2410" s="30" t="str">
        <f>VLOOKUP(B2410,gachas!A:C,3)</f>
        <v>新年特別開催台港澳祭典SIDE:B</v>
      </c>
      <c r="D2410" s="21">
        <v>10</v>
      </c>
      <c r="E2410" s="2">
        <f t="shared" si="432"/>
        <v>35</v>
      </c>
      <c r="F2410" s="2">
        <v>10</v>
      </c>
      <c r="G2410" s="3" t="s">
        <v>22</v>
      </c>
      <c r="H2410" s="2">
        <v>50</v>
      </c>
      <c r="I2410" s="117">
        <v>505100</v>
      </c>
      <c r="J2410" s="112" t="s">
        <v>2092</v>
      </c>
      <c r="K2410" s="117">
        <v>505105</v>
      </c>
      <c r="L2410" s="2">
        <v>1</v>
      </c>
      <c r="M2410" s="2" t="s">
        <v>85</v>
      </c>
      <c r="N2410" s="2" t="s">
        <v>2094</v>
      </c>
      <c r="O2410" s="2" t="s">
        <v>2095</v>
      </c>
      <c r="P2410" s="2" t="s">
        <v>2451</v>
      </c>
    </row>
    <row r="2411" spans="1:16" ht="22" customHeight="1" x14ac:dyDescent="0.15">
      <c r="A2411" s="10" t="str">
        <f t="shared" si="433"/>
        <v>505_10_36_10_polygon</v>
      </c>
      <c r="B2411" s="2">
        <v>505</v>
      </c>
      <c r="C2411" s="30" t="str">
        <f>VLOOKUP(B2411,gachas!A:C,3)</f>
        <v>新年特別開催台港澳祭典SIDE:B</v>
      </c>
      <c r="D2411" s="21">
        <v>10</v>
      </c>
      <c r="E2411" s="2">
        <f t="shared" si="432"/>
        <v>36</v>
      </c>
      <c r="F2411" s="2">
        <v>10</v>
      </c>
      <c r="G2411" s="3" t="s">
        <v>22</v>
      </c>
      <c r="H2411" s="2">
        <v>25</v>
      </c>
      <c r="I2411" s="117">
        <v>505100</v>
      </c>
      <c r="J2411" s="112" t="s">
        <v>2092</v>
      </c>
      <c r="K2411" s="2" t="s">
        <v>2190</v>
      </c>
      <c r="L2411" s="2">
        <v>0</v>
      </c>
      <c r="M2411" s="2" t="s">
        <v>85</v>
      </c>
      <c r="N2411" s="2" t="s">
        <v>2094</v>
      </c>
      <c r="O2411" s="2" t="s">
        <v>2095</v>
      </c>
      <c r="P2411" s="59" t="s">
        <v>1783</v>
      </c>
    </row>
    <row r="2412" spans="1:16" ht="22" customHeight="1" x14ac:dyDescent="0.15">
      <c r="A2412" s="10" t="str">
        <f t="shared" si="433"/>
        <v>505_10_37_10_polygon</v>
      </c>
      <c r="B2412" s="2">
        <v>505</v>
      </c>
      <c r="C2412" s="30" t="str">
        <f>VLOOKUP(B2412,gachas!A:C,3)</f>
        <v>新年特別開催台港澳祭典SIDE:B</v>
      </c>
      <c r="D2412" s="21">
        <v>10</v>
      </c>
      <c r="E2412" s="2">
        <f t="shared" si="432"/>
        <v>37</v>
      </c>
      <c r="F2412" s="2">
        <v>10</v>
      </c>
      <c r="G2412" s="3" t="s">
        <v>22</v>
      </c>
      <c r="H2412" s="2">
        <v>50</v>
      </c>
      <c r="I2412" s="117">
        <v>505100</v>
      </c>
      <c r="J2412" s="112" t="s">
        <v>2092</v>
      </c>
      <c r="K2412" s="2" t="s">
        <v>2190</v>
      </c>
      <c r="L2412" s="2">
        <v>0</v>
      </c>
      <c r="M2412" s="2" t="s">
        <v>85</v>
      </c>
      <c r="N2412" s="2" t="s">
        <v>2094</v>
      </c>
      <c r="O2412" s="2" t="s">
        <v>2095</v>
      </c>
      <c r="P2412" s="2" t="s">
        <v>143</v>
      </c>
    </row>
    <row r="2413" spans="1:16" ht="22" customHeight="1" x14ac:dyDescent="0.15">
      <c r="A2413" s="10" t="str">
        <f t="shared" si="433"/>
        <v>505_10_38_10_polygon</v>
      </c>
      <c r="B2413" s="2">
        <v>505</v>
      </c>
      <c r="C2413" s="30" t="str">
        <f>VLOOKUP(B2413,gachas!A:C,3)</f>
        <v>新年特別開催台港澳祭典SIDE:B</v>
      </c>
      <c r="D2413" s="21">
        <v>10</v>
      </c>
      <c r="E2413" s="2">
        <f t="shared" si="432"/>
        <v>38</v>
      </c>
      <c r="F2413" s="2">
        <v>10</v>
      </c>
      <c r="G2413" s="3" t="s">
        <v>22</v>
      </c>
      <c r="H2413" s="2">
        <v>50</v>
      </c>
      <c r="I2413" s="117">
        <v>505100</v>
      </c>
      <c r="J2413" s="112" t="s">
        <v>2092</v>
      </c>
      <c r="K2413" s="2" t="s">
        <v>2190</v>
      </c>
      <c r="L2413" s="2">
        <v>0</v>
      </c>
      <c r="M2413" s="2" t="s">
        <v>85</v>
      </c>
      <c r="N2413" s="2" t="s">
        <v>2094</v>
      </c>
      <c r="O2413" s="2" t="s">
        <v>2095</v>
      </c>
      <c r="P2413" s="2" t="s">
        <v>143</v>
      </c>
    </row>
    <row r="2414" spans="1:16" ht="22" customHeight="1" x14ac:dyDescent="0.15">
      <c r="A2414" s="10" t="str">
        <f t="shared" si="433"/>
        <v>505_10_39_10_polygon</v>
      </c>
      <c r="B2414" s="2">
        <v>505</v>
      </c>
      <c r="C2414" s="30" t="str">
        <f>VLOOKUP(B2414,gachas!A:C,3)</f>
        <v>新年特別開催台港澳祭典SIDE:B</v>
      </c>
      <c r="D2414" s="21">
        <v>10</v>
      </c>
      <c r="E2414" s="2">
        <f t="shared" si="432"/>
        <v>39</v>
      </c>
      <c r="F2414" s="2">
        <v>10</v>
      </c>
      <c r="G2414" s="3" t="s">
        <v>22</v>
      </c>
      <c r="H2414" s="2">
        <v>50</v>
      </c>
      <c r="I2414" s="117">
        <v>505100</v>
      </c>
      <c r="J2414" s="112" t="s">
        <v>2092</v>
      </c>
      <c r="K2414" s="2" t="s">
        <v>2190</v>
      </c>
      <c r="L2414" s="2">
        <v>0</v>
      </c>
      <c r="M2414" s="2" t="s">
        <v>85</v>
      </c>
      <c r="N2414" s="2" t="s">
        <v>2094</v>
      </c>
      <c r="O2414" s="2" t="s">
        <v>2095</v>
      </c>
      <c r="P2414" s="2" t="s">
        <v>143</v>
      </c>
    </row>
    <row r="2415" spans="1:16" ht="22" customHeight="1" x14ac:dyDescent="0.15">
      <c r="A2415" s="10" t="str">
        <f t="shared" si="433"/>
        <v>505_10_40_10_polygon</v>
      </c>
      <c r="B2415" s="2">
        <v>505</v>
      </c>
      <c r="C2415" s="30" t="str">
        <f>VLOOKUP(B2415,gachas!A:C,3)</f>
        <v>新年特別開催台港澳祭典SIDE:B</v>
      </c>
      <c r="D2415" s="21">
        <v>10</v>
      </c>
      <c r="E2415" s="2">
        <f t="shared" si="432"/>
        <v>40</v>
      </c>
      <c r="F2415" s="2">
        <v>10</v>
      </c>
      <c r="G2415" s="3" t="s">
        <v>22</v>
      </c>
      <c r="H2415" s="2">
        <v>50</v>
      </c>
      <c r="I2415" s="117">
        <v>505100</v>
      </c>
      <c r="J2415" s="112" t="s">
        <v>2092</v>
      </c>
      <c r="K2415" s="117">
        <v>505105</v>
      </c>
      <c r="L2415" s="2">
        <v>1</v>
      </c>
      <c r="M2415" s="2" t="s">
        <v>85</v>
      </c>
      <c r="N2415" s="2" t="s">
        <v>2094</v>
      </c>
      <c r="O2415" s="2" t="s">
        <v>2095</v>
      </c>
      <c r="P2415" s="2" t="s">
        <v>2451</v>
      </c>
    </row>
    <row r="2416" spans="1:16" ht="22" customHeight="1" x14ac:dyDescent="0.15">
      <c r="A2416" s="10" t="str">
        <f t="shared" si="433"/>
        <v>505_10_41_10_polygon</v>
      </c>
      <c r="B2416" s="2">
        <v>505</v>
      </c>
      <c r="C2416" s="30" t="str">
        <f>VLOOKUP(B2416,gachas!A:C,3)</f>
        <v>新年特別開催台港澳祭典SIDE:B</v>
      </c>
      <c r="D2416" s="21">
        <v>10</v>
      </c>
      <c r="E2416" s="2">
        <f t="shared" si="432"/>
        <v>41</v>
      </c>
      <c r="F2416" s="2">
        <v>10</v>
      </c>
      <c r="G2416" s="3" t="s">
        <v>22</v>
      </c>
      <c r="H2416" s="2">
        <v>25</v>
      </c>
      <c r="I2416" s="117">
        <v>505100</v>
      </c>
      <c r="J2416" s="112" t="s">
        <v>2092</v>
      </c>
      <c r="K2416" s="2" t="s">
        <v>2190</v>
      </c>
      <c r="L2416" s="2">
        <v>0</v>
      </c>
      <c r="M2416" s="2" t="s">
        <v>85</v>
      </c>
      <c r="N2416" s="2" t="s">
        <v>2094</v>
      </c>
      <c r="O2416" s="2" t="s">
        <v>2095</v>
      </c>
      <c r="P2416" s="59" t="s">
        <v>1783</v>
      </c>
    </row>
    <row r="2417" spans="1:16" ht="22" customHeight="1" x14ac:dyDescent="0.15">
      <c r="A2417" s="10" t="str">
        <f t="shared" si="433"/>
        <v>505_10_42_10_polygon</v>
      </c>
      <c r="B2417" s="2">
        <v>505</v>
      </c>
      <c r="C2417" s="30" t="str">
        <f>VLOOKUP(B2417,gachas!A:C,3)</f>
        <v>新年特別開催台港澳祭典SIDE:B</v>
      </c>
      <c r="D2417" s="21">
        <v>10</v>
      </c>
      <c r="E2417" s="2">
        <f t="shared" si="432"/>
        <v>42</v>
      </c>
      <c r="F2417" s="2">
        <v>10</v>
      </c>
      <c r="G2417" s="3" t="s">
        <v>22</v>
      </c>
      <c r="H2417" s="2">
        <v>50</v>
      </c>
      <c r="I2417" s="117">
        <v>505100</v>
      </c>
      <c r="J2417" s="112" t="s">
        <v>2092</v>
      </c>
      <c r="K2417" s="2" t="s">
        <v>2190</v>
      </c>
      <c r="L2417" s="2">
        <v>0</v>
      </c>
      <c r="M2417" s="2" t="s">
        <v>85</v>
      </c>
      <c r="N2417" s="2" t="s">
        <v>2094</v>
      </c>
      <c r="O2417" s="2" t="s">
        <v>2095</v>
      </c>
      <c r="P2417" s="2" t="s">
        <v>143</v>
      </c>
    </row>
    <row r="2418" spans="1:16" ht="22" customHeight="1" x14ac:dyDescent="0.15">
      <c r="A2418" s="10" t="str">
        <f t="shared" si="433"/>
        <v>505_10_43_10_polygon</v>
      </c>
      <c r="B2418" s="2">
        <v>505</v>
      </c>
      <c r="C2418" s="30" t="str">
        <f>VLOOKUP(B2418,gachas!A:C,3)</f>
        <v>新年特別開催台港澳祭典SIDE:B</v>
      </c>
      <c r="D2418" s="21">
        <v>10</v>
      </c>
      <c r="E2418" s="2">
        <f t="shared" si="432"/>
        <v>43</v>
      </c>
      <c r="F2418" s="2">
        <v>10</v>
      </c>
      <c r="G2418" s="3" t="s">
        <v>22</v>
      </c>
      <c r="H2418" s="2">
        <v>50</v>
      </c>
      <c r="I2418" s="117">
        <v>505100</v>
      </c>
      <c r="J2418" s="112" t="s">
        <v>2092</v>
      </c>
      <c r="K2418" s="2" t="s">
        <v>2190</v>
      </c>
      <c r="L2418" s="2">
        <v>0</v>
      </c>
      <c r="M2418" s="2" t="s">
        <v>85</v>
      </c>
      <c r="N2418" s="2" t="s">
        <v>2094</v>
      </c>
      <c r="O2418" s="2" t="s">
        <v>2095</v>
      </c>
      <c r="P2418" s="2" t="s">
        <v>143</v>
      </c>
    </row>
    <row r="2419" spans="1:16" ht="22" customHeight="1" x14ac:dyDescent="0.15">
      <c r="A2419" s="10" t="str">
        <f t="shared" si="433"/>
        <v>505_10_44_10_polygon</v>
      </c>
      <c r="B2419" s="2">
        <v>505</v>
      </c>
      <c r="C2419" s="30" t="str">
        <f>VLOOKUP(B2419,gachas!A:C,3)</f>
        <v>新年特別開催台港澳祭典SIDE:B</v>
      </c>
      <c r="D2419" s="21">
        <v>10</v>
      </c>
      <c r="E2419" s="2">
        <f t="shared" si="432"/>
        <v>44</v>
      </c>
      <c r="F2419" s="2">
        <v>10</v>
      </c>
      <c r="G2419" s="3" t="s">
        <v>22</v>
      </c>
      <c r="H2419" s="2">
        <v>50</v>
      </c>
      <c r="I2419" s="117">
        <v>505100</v>
      </c>
      <c r="J2419" s="112" t="s">
        <v>2092</v>
      </c>
      <c r="K2419" s="2" t="s">
        <v>2190</v>
      </c>
      <c r="L2419" s="2">
        <v>0</v>
      </c>
      <c r="M2419" s="2" t="s">
        <v>85</v>
      </c>
      <c r="N2419" s="2" t="s">
        <v>2094</v>
      </c>
      <c r="O2419" s="2" t="s">
        <v>2095</v>
      </c>
      <c r="P2419" s="2" t="s">
        <v>143</v>
      </c>
    </row>
    <row r="2420" spans="1:16" ht="22" customHeight="1" x14ac:dyDescent="0.15">
      <c r="A2420" s="10" t="str">
        <f t="shared" si="433"/>
        <v>505_10_45_10_polygon</v>
      </c>
      <c r="B2420" s="2">
        <v>505</v>
      </c>
      <c r="C2420" s="30" t="str">
        <f>VLOOKUP(B2420,gachas!A:C,3)</f>
        <v>新年特別開催台港澳祭典SIDE:B</v>
      </c>
      <c r="D2420" s="21">
        <v>10</v>
      </c>
      <c r="E2420" s="2">
        <f t="shared" si="432"/>
        <v>45</v>
      </c>
      <c r="F2420" s="2">
        <v>10</v>
      </c>
      <c r="G2420" s="3" t="s">
        <v>22</v>
      </c>
      <c r="H2420" s="2">
        <v>50</v>
      </c>
      <c r="I2420" s="117">
        <v>505100</v>
      </c>
      <c r="J2420" s="112" t="s">
        <v>2092</v>
      </c>
      <c r="K2420" s="117">
        <v>505105</v>
      </c>
      <c r="L2420" s="2">
        <v>1</v>
      </c>
      <c r="M2420" s="2" t="s">
        <v>85</v>
      </c>
      <c r="N2420" s="2" t="s">
        <v>2094</v>
      </c>
      <c r="O2420" s="2" t="s">
        <v>2095</v>
      </c>
      <c r="P2420" s="2" t="s">
        <v>2451</v>
      </c>
    </row>
    <row r="2421" spans="1:16" ht="22" customHeight="1" x14ac:dyDescent="0.15">
      <c r="A2421" s="10" t="str">
        <f t="shared" si="433"/>
        <v>505_10_46_10_polygon</v>
      </c>
      <c r="B2421" s="2">
        <v>505</v>
      </c>
      <c r="C2421" s="30" t="str">
        <f>VLOOKUP(B2421,gachas!A:C,3)</f>
        <v>新年特別開催台港澳祭典SIDE:B</v>
      </c>
      <c r="D2421" s="21">
        <v>10</v>
      </c>
      <c r="E2421" s="2">
        <f t="shared" si="432"/>
        <v>46</v>
      </c>
      <c r="F2421" s="2">
        <v>10</v>
      </c>
      <c r="G2421" s="3" t="s">
        <v>22</v>
      </c>
      <c r="H2421" s="2">
        <v>25</v>
      </c>
      <c r="I2421" s="117">
        <v>505100</v>
      </c>
      <c r="J2421" s="112" t="s">
        <v>2092</v>
      </c>
      <c r="K2421" s="2" t="s">
        <v>2190</v>
      </c>
      <c r="L2421" s="2">
        <v>0</v>
      </c>
      <c r="M2421" s="2" t="s">
        <v>85</v>
      </c>
      <c r="N2421" s="2" t="s">
        <v>2094</v>
      </c>
      <c r="O2421" s="2" t="s">
        <v>2095</v>
      </c>
      <c r="P2421" s="59" t="s">
        <v>1783</v>
      </c>
    </row>
    <row r="2422" spans="1:16" ht="22" customHeight="1" x14ac:dyDescent="0.15">
      <c r="A2422" s="10" t="str">
        <f t="shared" si="433"/>
        <v>505_10_47_10_polygon</v>
      </c>
      <c r="B2422" s="2">
        <v>505</v>
      </c>
      <c r="C2422" s="30" t="str">
        <f>VLOOKUP(B2422,gachas!A:C,3)</f>
        <v>新年特別開催台港澳祭典SIDE:B</v>
      </c>
      <c r="D2422" s="21">
        <v>10</v>
      </c>
      <c r="E2422" s="2">
        <f t="shared" si="432"/>
        <v>47</v>
      </c>
      <c r="F2422" s="2">
        <v>10</v>
      </c>
      <c r="G2422" s="3" t="s">
        <v>22</v>
      </c>
      <c r="H2422" s="2">
        <v>50</v>
      </c>
      <c r="I2422" s="117">
        <v>505100</v>
      </c>
      <c r="J2422" s="112" t="s">
        <v>2092</v>
      </c>
      <c r="K2422" s="2" t="s">
        <v>2190</v>
      </c>
      <c r="L2422" s="2">
        <v>0</v>
      </c>
      <c r="M2422" s="2" t="s">
        <v>85</v>
      </c>
      <c r="N2422" s="2" t="s">
        <v>2094</v>
      </c>
      <c r="O2422" s="2" t="s">
        <v>2095</v>
      </c>
      <c r="P2422" s="2" t="s">
        <v>143</v>
      </c>
    </row>
    <row r="2423" spans="1:16" ht="22" customHeight="1" x14ac:dyDescent="0.15">
      <c r="A2423" s="10" t="str">
        <f t="shared" si="433"/>
        <v>505_10_48_10_polygon</v>
      </c>
      <c r="B2423" s="2">
        <v>505</v>
      </c>
      <c r="C2423" s="30" t="str">
        <f>VLOOKUP(B2423,gachas!A:C,3)</f>
        <v>新年特別開催台港澳祭典SIDE:B</v>
      </c>
      <c r="D2423" s="21">
        <v>10</v>
      </c>
      <c r="E2423" s="2">
        <f t="shared" si="432"/>
        <v>48</v>
      </c>
      <c r="F2423" s="2">
        <v>10</v>
      </c>
      <c r="G2423" s="3" t="s">
        <v>22</v>
      </c>
      <c r="H2423" s="2">
        <v>50</v>
      </c>
      <c r="I2423" s="117">
        <v>505100</v>
      </c>
      <c r="J2423" s="112" t="s">
        <v>2092</v>
      </c>
      <c r="K2423" s="2" t="s">
        <v>2190</v>
      </c>
      <c r="L2423" s="2">
        <v>0</v>
      </c>
      <c r="M2423" s="2" t="s">
        <v>85</v>
      </c>
      <c r="N2423" s="2" t="s">
        <v>2094</v>
      </c>
      <c r="O2423" s="2" t="s">
        <v>2095</v>
      </c>
      <c r="P2423" s="2" t="s">
        <v>143</v>
      </c>
    </row>
    <row r="2424" spans="1:16" ht="22" customHeight="1" x14ac:dyDescent="0.15">
      <c r="A2424" s="10" t="str">
        <f t="shared" si="433"/>
        <v>505_10_49_10_polygon</v>
      </c>
      <c r="B2424" s="2">
        <v>505</v>
      </c>
      <c r="C2424" s="30" t="str">
        <f>VLOOKUP(B2424,gachas!A:C,3)</f>
        <v>新年特別開催台港澳祭典SIDE:B</v>
      </c>
      <c r="D2424" s="21">
        <v>10</v>
      </c>
      <c r="E2424" s="2">
        <f t="shared" si="432"/>
        <v>49</v>
      </c>
      <c r="F2424" s="2">
        <v>10</v>
      </c>
      <c r="G2424" s="3" t="s">
        <v>22</v>
      </c>
      <c r="H2424" s="2">
        <v>50</v>
      </c>
      <c r="I2424" s="117">
        <v>505100</v>
      </c>
      <c r="J2424" s="112" t="s">
        <v>2092</v>
      </c>
      <c r="K2424" s="2" t="s">
        <v>2190</v>
      </c>
      <c r="L2424" s="2">
        <v>0</v>
      </c>
      <c r="M2424" s="2" t="s">
        <v>85</v>
      </c>
      <c r="N2424" s="2" t="s">
        <v>2094</v>
      </c>
      <c r="O2424" s="2" t="s">
        <v>2095</v>
      </c>
      <c r="P2424" s="2" t="s">
        <v>143</v>
      </c>
    </row>
    <row r="2425" spans="1:16" ht="22" customHeight="1" x14ac:dyDescent="0.15">
      <c r="A2425" s="10" t="str">
        <f t="shared" si="433"/>
        <v>505_10_50_10_polygon</v>
      </c>
      <c r="B2425" s="2">
        <v>505</v>
      </c>
      <c r="C2425" s="30" t="str">
        <f>VLOOKUP(B2425,gachas!A:C,3)</f>
        <v>新年特別開催台港澳祭典SIDE:B</v>
      </c>
      <c r="D2425" s="21">
        <v>10</v>
      </c>
      <c r="E2425" s="2">
        <f t="shared" si="432"/>
        <v>50</v>
      </c>
      <c r="F2425" s="2">
        <v>10</v>
      </c>
      <c r="G2425" s="3" t="s">
        <v>22</v>
      </c>
      <c r="H2425" s="2">
        <v>50</v>
      </c>
      <c r="I2425" s="117">
        <v>505100</v>
      </c>
      <c r="J2425" s="112" t="s">
        <v>2092</v>
      </c>
      <c r="K2425" s="117">
        <v>505105</v>
      </c>
      <c r="L2425" s="2">
        <v>1</v>
      </c>
      <c r="M2425" s="2" t="s">
        <v>85</v>
      </c>
      <c r="N2425" s="2" t="s">
        <v>2094</v>
      </c>
      <c r="O2425" s="2" t="s">
        <v>2095</v>
      </c>
      <c r="P2425" s="2" t="s">
        <v>2451</v>
      </c>
    </row>
    <row r="2426" spans="1:16" ht="22" customHeight="1" x14ac:dyDescent="0.15">
      <c r="A2426" s="10" t="str">
        <f t="shared" si="433"/>
        <v>506_1_0_1_polygon</v>
      </c>
      <c r="B2426" s="2">
        <v>506</v>
      </c>
      <c r="C2426" s="30" t="str">
        <f>VLOOKUP(B2426,gachas!A:C,3)</f>
        <v>フィーバーフェス（１日目）</v>
      </c>
      <c r="D2426" s="21">
        <v>1</v>
      </c>
      <c r="E2426" s="2">
        <v>0</v>
      </c>
      <c r="F2426" s="2">
        <v>1</v>
      </c>
      <c r="G2426" s="3" t="s">
        <v>22</v>
      </c>
      <c r="H2426" s="2">
        <v>5</v>
      </c>
      <c r="I2426" s="114" t="str">
        <f>CONCATENATE(B2426,IF(D2426=1,"01","10"),0)</f>
        <v>506010</v>
      </c>
      <c r="J2426" s="112" t="s">
        <v>685</v>
      </c>
      <c r="K2426" s="112" t="s">
        <v>84</v>
      </c>
      <c r="L2426" s="2">
        <v>0</v>
      </c>
      <c r="M2426" s="2" t="s">
        <v>84</v>
      </c>
      <c r="N2426" s="2" t="s">
        <v>84</v>
      </c>
      <c r="O2426" s="2" t="s">
        <v>841</v>
      </c>
      <c r="P2426" s="2" t="s">
        <v>84</v>
      </c>
    </row>
    <row r="2427" spans="1:16" ht="22" customHeight="1" x14ac:dyDescent="0.15">
      <c r="A2427" s="10" t="str">
        <f t="shared" si="433"/>
        <v>506_10_0_10_polygon</v>
      </c>
      <c r="B2427" s="2">
        <v>506</v>
      </c>
      <c r="C2427" s="30" t="str">
        <f>VLOOKUP(B2427,gachas!A:C,3)</f>
        <v>フィーバーフェス（１日目）</v>
      </c>
      <c r="D2427" s="21">
        <v>10</v>
      </c>
      <c r="E2427" s="2">
        <v>0</v>
      </c>
      <c r="F2427" s="2">
        <v>10</v>
      </c>
      <c r="G2427" s="3" t="s">
        <v>22</v>
      </c>
      <c r="H2427" s="2">
        <v>50</v>
      </c>
      <c r="I2427" s="114" t="str">
        <f>CONCATENATE(B2427,IF(D2427=1,"01","10"),0)</f>
        <v>506100</v>
      </c>
      <c r="J2427" s="112" t="s">
        <v>685</v>
      </c>
      <c r="K2427" s="112" t="str">
        <f t="shared" ref="K2427:K2477" si="434">I2427</f>
        <v>506100</v>
      </c>
      <c r="L2427" s="2">
        <v>1</v>
      </c>
      <c r="M2427" s="2" t="s">
        <v>84</v>
      </c>
      <c r="N2427" s="2" t="s">
        <v>84</v>
      </c>
      <c r="O2427" s="2" t="s">
        <v>841</v>
      </c>
      <c r="P2427" s="2" t="s">
        <v>378</v>
      </c>
    </row>
    <row r="2428" spans="1:16" ht="22" customHeight="1" x14ac:dyDescent="0.15">
      <c r="A2428" s="10" t="str">
        <f t="shared" si="433"/>
        <v>506_10_1_10_polygon</v>
      </c>
      <c r="B2428" s="2">
        <v>506</v>
      </c>
      <c r="C2428" s="30" t="str">
        <f>VLOOKUP(B2428,gachas!A:C,3)</f>
        <v>フィーバーフェス（１日目）</v>
      </c>
      <c r="D2428" s="21">
        <v>10</v>
      </c>
      <c r="E2428" s="2">
        <f>E2427+1</f>
        <v>1</v>
      </c>
      <c r="F2428" s="2">
        <v>10</v>
      </c>
      <c r="G2428" s="3" t="s">
        <v>22</v>
      </c>
      <c r="H2428" s="2">
        <v>50</v>
      </c>
      <c r="I2428" s="114" t="str">
        <f>CONCATENATE(B2428,IF(D2428=1,"01","10"),0)</f>
        <v>506100</v>
      </c>
      <c r="J2428" s="112" t="s">
        <v>685</v>
      </c>
      <c r="K2428" s="112" t="str">
        <f t="shared" si="434"/>
        <v>506100</v>
      </c>
      <c r="L2428" s="2">
        <v>1</v>
      </c>
      <c r="M2428" s="2" t="s">
        <v>84</v>
      </c>
      <c r="N2428" s="2" t="s">
        <v>84</v>
      </c>
      <c r="O2428" s="2" t="s">
        <v>841</v>
      </c>
      <c r="P2428" s="2" t="s">
        <v>378</v>
      </c>
    </row>
    <row r="2429" spans="1:16" ht="22" customHeight="1" x14ac:dyDescent="0.15">
      <c r="A2429" s="10" t="str">
        <f t="shared" si="433"/>
        <v>506_10_2_10_polygon</v>
      </c>
      <c r="B2429" s="2">
        <v>506</v>
      </c>
      <c r="C2429" s="30" t="str">
        <f>VLOOKUP(B2429,gachas!A:C,3)</f>
        <v>フィーバーフェス（１日目）</v>
      </c>
      <c r="D2429" s="21">
        <v>10</v>
      </c>
      <c r="E2429" s="2">
        <f t="shared" ref="E2429:E2477" si="435">E2428+1</f>
        <v>2</v>
      </c>
      <c r="F2429" s="2">
        <v>10</v>
      </c>
      <c r="G2429" s="3" t="s">
        <v>22</v>
      </c>
      <c r="H2429" s="2">
        <v>50</v>
      </c>
      <c r="I2429" s="114" t="str">
        <f t="shared" ref="I2429:I2492" si="436">CONCATENATE(B2429,IF(D2429=1,"01","10"),0)</f>
        <v>506100</v>
      </c>
      <c r="J2429" s="112" t="s">
        <v>685</v>
      </c>
      <c r="K2429" s="112" t="str">
        <f t="shared" si="434"/>
        <v>506100</v>
      </c>
      <c r="L2429" s="2">
        <v>1</v>
      </c>
      <c r="M2429" s="2" t="s">
        <v>84</v>
      </c>
      <c r="N2429" s="2" t="s">
        <v>84</v>
      </c>
      <c r="O2429" s="2" t="s">
        <v>841</v>
      </c>
      <c r="P2429" s="2" t="s">
        <v>378</v>
      </c>
    </row>
    <row r="2430" spans="1:16" ht="22" customHeight="1" x14ac:dyDescent="0.15">
      <c r="A2430" s="10" t="str">
        <f t="shared" si="433"/>
        <v>506_10_3_10_polygon</v>
      </c>
      <c r="B2430" s="2">
        <v>506</v>
      </c>
      <c r="C2430" s="30" t="str">
        <f>VLOOKUP(B2430,gachas!A:C,3)</f>
        <v>フィーバーフェス（１日目）</v>
      </c>
      <c r="D2430" s="21">
        <v>10</v>
      </c>
      <c r="E2430" s="2">
        <f t="shared" si="435"/>
        <v>3</v>
      </c>
      <c r="F2430" s="2">
        <v>10</v>
      </c>
      <c r="G2430" s="3" t="s">
        <v>22</v>
      </c>
      <c r="H2430" s="2">
        <v>50</v>
      </c>
      <c r="I2430" s="114" t="str">
        <f t="shared" si="436"/>
        <v>506100</v>
      </c>
      <c r="J2430" s="112" t="s">
        <v>685</v>
      </c>
      <c r="K2430" s="112" t="str">
        <f t="shared" si="434"/>
        <v>506100</v>
      </c>
      <c r="L2430" s="2">
        <v>1</v>
      </c>
      <c r="M2430" s="2" t="s">
        <v>84</v>
      </c>
      <c r="N2430" s="2" t="s">
        <v>84</v>
      </c>
      <c r="O2430" s="2" t="s">
        <v>841</v>
      </c>
      <c r="P2430" s="2" t="s">
        <v>378</v>
      </c>
    </row>
    <row r="2431" spans="1:16" ht="22" customHeight="1" x14ac:dyDescent="0.15">
      <c r="A2431" s="10" t="str">
        <f t="shared" si="433"/>
        <v>506_10_4_10_polygon</v>
      </c>
      <c r="B2431" s="2">
        <v>506</v>
      </c>
      <c r="C2431" s="30" t="str">
        <f>VLOOKUP(B2431,gachas!A:C,3)</f>
        <v>フィーバーフェス（１日目）</v>
      </c>
      <c r="D2431" s="21">
        <v>10</v>
      </c>
      <c r="E2431" s="2">
        <f t="shared" si="435"/>
        <v>4</v>
      </c>
      <c r="F2431" s="2">
        <v>10</v>
      </c>
      <c r="G2431" s="3" t="s">
        <v>22</v>
      </c>
      <c r="H2431" s="2">
        <v>50</v>
      </c>
      <c r="I2431" s="114" t="str">
        <f t="shared" si="436"/>
        <v>506100</v>
      </c>
      <c r="J2431" s="112" t="s">
        <v>685</v>
      </c>
      <c r="K2431" s="112" t="str">
        <f t="shared" si="434"/>
        <v>506100</v>
      </c>
      <c r="L2431" s="2">
        <v>1</v>
      </c>
      <c r="M2431" s="2" t="s">
        <v>84</v>
      </c>
      <c r="N2431" s="2" t="s">
        <v>84</v>
      </c>
      <c r="O2431" s="2" t="s">
        <v>841</v>
      </c>
      <c r="P2431" s="2" t="s">
        <v>378</v>
      </c>
    </row>
    <row r="2432" spans="1:16" ht="22" customHeight="1" x14ac:dyDescent="0.15">
      <c r="A2432" s="10" t="str">
        <f t="shared" si="433"/>
        <v>506_10_5_10_polygon</v>
      </c>
      <c r="B2432" s="2">
        <v>506</v>
      </c>
      <c r="C2432" s="30" t="str">
        <f>VLOOKUP(B2432,gachas!A:C,3)</f>
        <v>フィーバーフェス（１日目）</v>
      </c>
      <c r="D2432" s="21">
        <v>10</v>
      </c>
      <c r="E2432" s="2">
        <f t="shared" si="435"/>
        <v>5</v>
      </c>
      <c r="F2432" s="2">
        <v>10</v>
      </c>
      <c r="G2432" s="3" t="s">
        <v>22</v>
      </c>
      <c r="H2432" s="2">
        <v>50</v>
      </c>
      <c r="I2432" s="114" t="str">
        <f t="shared" si="436"/>
        <v>506100</v>
      </c>
      <c r="J2432" s="112" t="str">
        <f>CONCATENATE(B2432,D2432,5)</f>
        <v>506105</v>
      </c>
      <c r="K2432" s="112" t="str">
        <f t="shared" si="434"/>
        <v>506100</v>
      </c>
      <c r="L2432" s="2">
        <v>1</v>
      </c>
      <c r="M2432" s="2" t="s">
        <v>84</v>
      </c>
      <c r="N2432" s="2" t="s">
        <v>84</v>
      </c>
      <c r="O2432" s="2" t="s">
        <v>841</v>
      </c>
      <c r="P2432" s="2" t="s">
        <v>1763</v>
      </c>
    </row>
    <row r="2433" spans="1:16" ht="22" customHeight="1" x14ac:dyDescent="0.15">
      <c r="A2433" s="10" t="str">
        <f t="shared" si="433"/>
        <v>506_10_6_10_polygon</v>
      </c>
      <c r="B2433" s="2">
        <v>506</v>
      </c>
      <c r="C2433" s="30" t="str">
        <f>VLOOKUP(B2433,gachas!A:C,3)</f>
        <v>フィーバーフェス（１日目）</v>
      </c>
      <c r="D2433" s="21">
        <v>10</v>
      </c>
      <c r="E2433" s="2">
        <f t="shared" si="435"/>
        <v>6</v>
      </c>
      <c r="F2433" s="2">
        <v>10</v>
      </c>
      <c r="G2433" s="3" t="s">
        <v>22</v>
      </c>
      <c r="H2433" s="2">
        <v>50</v>
      </c>
      <c r="I2433" s="114" t="str">
        <f t="shared" si="436"/>
        <v>506100</v>
      </c>
      <c r="J2433" s="112" t="s">
        <v>685</v>
      </c>
      <c r="K2433" s="112" t="str">
        <f t="shared" si="434"/>
        <v>506100</v>
      </c>
      <c r="L2433" s="2">
        <v>1</v>
      </c>
      <c r="M2433" s="2" t="s">
        <v>84</v>
      </c>
      <c r="N2433" s="2" t="s">
        <v>84</v>
      </c>
      <c r="O2433" s="2" t="s">
        <v>841</v>
      </c>
      <c r="P2433" s="2" t="s">
        <v>378</v>
      </c>
    </row>
    <row r="2434" spans="1:16" ht="22" customHeight="1" x14ac:dyDescent="0.15">
      <c r="A2434" s="10" t="str">
        <f t="shared" si="433"/>
        <v>506_10_7_10_polygon</v>
      </c>
      <c r="B2434" s="2">
        <v>506</v>
      </c>
      <c r="C2434" s="30" t="str">
        <f>VLOOKUP(B2434,gachas!A:C,3)</f>
        <v>フィーバーフェス（１日目）</v>
      </c>
      <c r="D2434" s="21">
        <v>10</v>
      </c>
      <c r="E2434" s="2">
        <f t="shared" si="435"/>
        <v>7</v>
      </c>
      <c r="F2434" s="2">
        <v>10</v>
      </c>
      <c r="G2434" s="3" t="s">
        <v>22</v>
      </c>
      <c r="H2434" s="2">
        <v>50</v>
      </c>
      <c r="I2434" s="114" t="str">
        <f t="shared" si="436"/>
        <v>506100</v>
      </c>
      <c r="J2434" s="112" t="s">
        <v>685</v>
      </c>
      <c r="K2434" s="112" t="str">
        <f t="shared" si="434"/>
        <v>506100</v>
      </c>
      <c r="L2434" s="2">
        <v>1</v>
      </c>
      <c r="M2434" s="2" t="s">
        <v>84</v>
      </c>
      <c r="N2434" s="2" t="s">
        <v>84</v>
      </c>
      <c r="O2434" s="2" t="s">
        <v>841</v>
      </c>
      <c r="P2434" s="2" t="s">
        <v>378</v>
      </c>
    </row>
    <row r="2435" spans="1:16" ht="22" customHeight="1" x14ac:dyDescent="0.15">
      <c r="A2435" s="10" t="str">
        <f t="shared" si="433"/>
        <v>506_10_8_10_polygon</v>
      </c>
      <c r="B2435" s="2">
        <v>506</v>
      </c>
      <c r="C2435" s="30" t="str">
        <f>VLOOKUP(B2435,gachas!A:C,3)</f>
        <v>フィーバーフェス（１日目）</v>
      </c>
      <c r="D2435" s="21">
        <v>10</v>
      </c>
      <c r="E2435" s="2">
        <f t="shared" si="435"/>
        <v>8</v>
      </c>
      <c r="F2435" s="2">
        <v>10</v>
      </c>
      <c r="G2435" s="3" t="s">
        <v>22</v>
      </c>
      <c r="H2435" s="2">
        <v>50</v>
      </c>
      <c r="I2435" s="114" t="str">
        <f t="shared" si="436"/>
        <v>506100</v>
      </c>
      <c r="J2435" s="112" t="s">
        <v>685</v>
      </c>
      <c r="K2435" s="112" t="str">
        <f t="shared" si="434"/>
        <v>506100</v>
      </c>
      <c r="L2435" s="2">
        <v>1</v>
      </c>
      <c r="M2435" s="2" t="s">
        <v>84</v>
      </c>
      <c r="N2435" s="2" t="s">
        <v>84</v>
      </c>
      <c r="O2435" s="2" t="s">
        <v>841</v>
      </c>
      <c r="P2435" s="2" t="s">
        <v>378</v>
      </c>
    </row>
    <row r="2436" spans="1:16" ht="22" customHeight="1" x14ac:dyDescent="0.15">
      <c r="A2436" s="10" t="str">
        <f t="shared" si="433"/>
        <v>506_10_9_10_polygon</v>
      </c>
      <c r="B2436" s="2">
        <v>506</v>
      </c>
      <c r="C2436" s="30" t="str">
        <f>VLOOKUP(B2436,gachas!A:C,3)</f>
        <v>フィーバーフェス（１日目）</v>
      </c>
      <c r="D2436" s="21">
        <v>10</v>
      </c>
      <c r="E2436" s="2">
        <f t="shared" si="435"/>
        <v>9</v>
      </c>
      <c r="F2436" s="2">
        <v>10</v>
      </c>
      <c r="G2436" s="3" t="s">
        <v>22</v>
      </c>
      <c r="H2436" s="2">
        <v>50</v>
      </c>
      <c r="I2436" s="114" t="str">
        <f t="shared" si="436"/>
        <v>506100</v>
      </c>
      <c r="J2436" s="112" t="s">
        <v>685</v>
      </c>
      <c r="K2436" s="112" t="str">
        <f t="shared" si="434"/>
        <v>506100</v>
      </c>
      <c r="L2436" s="2">
        <v>1</v>
      </c>
      <c r="M2436" s="2" t="s">
        <v>84</v>
      </c>
      <c r="N2436" s="2" t="s">
        <v>84</v>
      </c>
      <c r="O2436" s="2" t="s">
        <v>841</v>
      </c>
      <c r="P2436" s="2" t="s">
        <v>378</v>
      </c>
    </row>
    <row r="2437" spans="1:16" ht="22" customHeight="1" x14ac:dyDescent="0.15">
      <c r="A2437" s="10" t="str">
        <f t="shared" si="433"/>
        <v>506_10_10_10_polygon</v>
      </c>
      <c r="B2437" s="2">
        <v>506</v>
      </c>
      <c r="C2437" s="30" t="str">
        <f>VLOOKUP(B2437,gachas!A:C,3)</f>
        <v>フィーバーフェス（１日目）</v>
      </c>
      <c r="D2437" s="21">
        <v>10</v>
      </c>
      <c r="E2437" s="2">
        <f t="shared" si="435"/>
        <v>10</v>
      </c>
      <c r="F2437" s="2">
        <v>10</v>
      </c>
      <c r="G2437" s="3" t="s">
        <v>22</v>
      </c>
      <c r="H2437" s="2">
        <v>50</v>
      </c>
      <c r="I2437" s="114" t="str">
        <f t="shared" si="436"/>
        <v>506100</v>
      </c>
      <c r="J2437" s="112" t="str">
        <f>CONCATENATE(B2437,D2437,5)</f>
        <v>506105</v>
      </c>
      <c r="K2437" s="112" t="str">
        <f t="shared" si="434"/>
        <v>506100</v>
      </c>
      <c r="L2437" s="2">
        <v>1</v>
      </c>
      <c r="M2437" s="2" t="s">
        <v>84</v>
      </c>
      <c r="N2437" s="2" t="s">
        <v>84</v>
      </c>
      <c r="O2437" s="2" t="s">
        <v>841</v>
      </c>
      <c r="P2437" s="2" t="s">
        <v>1763</v>
      </c>
    </row>
    <row r="2438" spans="1:16" ht="22" customHeight="1" x14ac:dyDescent="0.15">
      <c r="A2438" s="10" t="str">
        <f t="shared" si="433"/>
        <v>506_10_11_10_polygon</v>
      </c>
      <c r="B2438" s="2">
        <v>506</v>
      </c>
      <c r="C2438" s="30" t="str">
        <f>VLOOKUP(B2438,gachas!A:C,3)</f>
        <v>フィーバーフェス（１日目）</v>
      </c>
      <c r="D2438" s="21">
        <v>10</v>
      </c>
      <c r="E2438" s="2">
        <f t="shared" si="435"/>
        <v>11</v>
      </c>
      <c r="F2438" s="2">
        <v>10</v>
      </c>
      <c r="G2438" s="3" t="s">
        <v>22</v>
      </c>
      <c r="H2438" s="2">
        <v>50</v>
      </c>
      <c r="I2438" s="114" t="str">
        <f t="shared" si="436"/>
        <v>506100</v>
      </c>
      <c r="J2438" s="112" t="s">
        <v>685</v>
      </c>
      <c r="K2438" s="112" t="str">
        <f t="shared" si="434"/>
        <v>506100</v>
      </c>
      <c r="L2438" s="2">
        <v>1</v>
      </c>
      <c r="M2438" s="2" t="s">
        <v>84</v>
      </c>
      <c r="N2438" s="2" t="s">
        <v>84</v>
      </c>
      <c r="O2438" s="2" t="s">
        <v>841</v>
      </c>
      <c r="P2438" s="2" t="s">
        <v>378</v>
      </c>
    </row>
    <row r="2439" spans="1:16" ht="22" customHeight="1" x14ac:dyDescent="0.15">
      <c r="A2439" s="10" t="str">
        <f t="shared" si="433"/>
        <v>506_10_12_10_polygon</v>
      </c>
      <c r="B2439" s="2">
        <v>506</v>
      </c>
      <c r="C2439" s="30" t="str">
        <f>VLOOKUP(B2439,gachas!A:C,3)</f>
        <v>フィーバーフェス（１日目）</v>
      </c>
      <c r="D2439" s="21">
        <v>10</v>
      </c>
      <c r="E2439" s="2">
        <f t="shared" si="435"/>
        <v>12</v>
      </c>
      <c r="F2439" s="2">
        <v>10</v>
      </c>
      <c r="G2439" s="3" t="s">
        <v>22</v>
      </c>
      <c r="H2439" s="2">
        <v>50</v>
      </c>
      <c r="I2439" s="114" t="str">
        <f t="shared" si="436"/>
        <v>506100</v>
      </c>
      <c r="J2439" s="112" t="s">
        <v>685</v>
      </c>
      <c r="K2439" s="112" t="str">
        <f t="shared" si="434"/>
        <v>506100</v>
      </c>
      <c r="L2439" s="2">
        <v>1</v>
      </c>
      <c r="M2439" s="2" t="s">
        <v>84</v>
      </c>
      <c r="N2439" s="2" t="s">
        <v>84</v>
      </c>
      <c r="O2439" s="2" t="s">
        <v>841</v>
      </c>
      <c r="P2439" s="2" t="s">
        <v>378</v>
      </c>
    </row>
    <row r="2440" spans="1:16" ht="22" customHeight="1" x14ac:dyDescent="0.15">
      <c r="A2440" s="10" t="str">
        <f t="shared" si="433"/>
        <v>506_10_13_10_polygon</v>
      </c>
      <c r="B2440" s="2">
        <v>506</v>
      </c>
      <c r="C2440" s="30" t="str">
        <f>VLOOKUP(B2440,gachas!A:C,3)</f>
        <v>フィーバーフェス（１日目）</v>
      </c>
      <c r="D2440" s="21">
        <v>10</v>
      </c>
      <c r="E2440" s="2">
        <f t="shared" si="435"/>
        <v>13</v>
      </c>
      <c r="F2440" s="2">
        <v>10</v>
      </c>
      <c r="G2440" s="3" t="s">
        <v>22</v>
      </c>
      <c r="H2440" s="2">
        <v>50</v>
      </c>
      <c r="I2440" s="114" t="str">
        <f t="shared" si="436"/>
        <v>506100</v>
      </c>
      <c r="J2440" s="112" t="s">
        <v>685</v>
      </c>
      <c r="K2440" s="112" t="str">
        <f t="shared" si="434"/>
        <v>506100</v>
      </c>
      <c r="L2440" s="2">
        <v>1</v>
      </c>
      <c r="M2440" s="2" t="s">
        <v>84</v>
      </c>
      <c r="N2440" s="2" t="s">
        <v>84</v>
      </c>
      <c r="O2440" s="2" t="s">
        <v>841</v>
      </c>
      <c r="P2440" s="2" t="s">
        <v>378</v>
      </c>
    </row>
    <row r="2441" spans="1:16" ht="22" customHeight="1" x14ac:dyDescent="0.15">
      <c r="A2441" s="10" t="str">
        <f t="shared" si="433"/>
        <v>506_10_14_10_polygon</v>
      </c>
      <c r="B2441" s="2">
        <v>506</v>
      </c>
      <c r="C2441" s="30" t="str">
        <f>VLOOKUP(B2441,gachas!A:C,3)</f>
        <v>フィーバーフェス（１日目）</v>
      </c>
      <c r="D2441" s="21">
        <v>10</v>
      </c>
      <c r="E2441" s="2">
        <f t="shared" si="435"/>
        <v>14</v>
      </c>
      <c r="F2441" s="2">
        <v>10</v>
      </c>
      <c r="G2441" s="3" t="s">
        <v>22</v>
      </c>
      <c r="H2441" s="2">
        <v>50</v>
      </c>
      <c r="I2441" s="114" t="str">
        <f t="shared" si="436"/>
        <v>506100</v>
      </c>
      <c r="J2441" s="112" t="s">
        <v>685</v>
      </c>
      <c r="K2441" s="112" t="str">
        <f t="shared" si="434"/>
        <v>506100</v>
      </c>
      <c r="L2441" s="2">
        <v>1</v>
      </c>
      <c r="M2441" s="2" t="s">
        <v>84</v>
      </c>
      <c r="N2441" s="2" t="s">
        <v>84</v>
      </c>
      <c r="O2441" s="2" t="s">
        <v>841</v>
      </c>
      <c r="P2441" s="2" t="s">
        <v>378</v>
      </c>
    </row>
    <row r="2442" spans="1:16" ht="22" customHeight="1" x14ac:dyDescent="0.15">
      <c r="A2442" s="10" t="str">
        <f t="shared" si="433"/>
        <v>506_10_15_10_polygon</v>
      </c>
      <c r="B2442" s="2">
        <v>506</v>
      </c>
      <c r="C2442" s="30" t="str">
        <f>VLOOKUP(B2442,gachas!A:C,3)</f>
        <v>フィーバーフェス（１日目）</v>
      </c>
      <c r="D2442" s="21">
        <v>10</v>
      </c>
      <c r="E2442" s="2">
        <f t="shared" si="435"/>
        <v>15</v>
      </c>
      <c r="F2442" s="2">
        <v>10</v>
      </c>
      <c r="G2442" s="3" t="s">
        <v>22</v>
      </c>
      <c r="H2442" s="2">
        <v>50</v>
      </c>
      <c r="I2442" s="114" t="str">
        <f t="shared" si="436"/>
        <v>506100</v>
      </c>
      <c r="J2442" s="112" t="str">
        <f>CONCATENATE(B2442,D2442,5)</f>
        <v>506105</v>
      </c>
      <c r="K2442" s="112" t="str">
        <f t="shared" si="434"/>
        <v>506100</v>
      </c>
      <c r="L2442" s="2">
        <v>1</v>
      </c>
      <c r="M2442" s="2" t="s">
        <v>84</v>
      </c>
      <c r="N2442" s="2" t="s">
        <v>84</v>
      </c>
      <c r="O2442" s="2" t="s">
        <v>841</v>
      </c>
      <c r="P2442" s="2" t="s">
        <v>1763</v>
      </c>
    </row>
    <row r="2443" spans="1:16" ht="22" customHeight="1" x14ac:dyDescent="0.15">
      <c r="A2443" s="10" t="str">
        <f t="shared" si="433"/>
        <v>506_10_16_10_polygon</v>
      </c>
      <c r="B2443" s="2">
        <v>506</v>
      </c>
      <c r="C2443" s="30" t="str">
        <f>VLOOKUP(B2443,gachas!A:C,3)</f>
        <v>フィーバーフェス（１日目）</v>
      </c>
      <c r="D2443" s="21">
        <v>10</v>
      </c>
      <c r="E2443" s="2">
        <f t="shared" si="435"/>
        <v>16</v>
      </c>
      <c r="F2443" s="2">
        <v>10</v>
      </c>
      <c r="G2443" s="3" t="s">
        <v>22</v>
      </c>
      <c r="H2443" s="2">
        <v>50</v>
      </c>
      <c r="I2443" s="114" t="str">
        <f t="shared" si="436"/>
        <v>506100</v>
      </c>
      <c r="J2443" s="112" t="s">
        <v>685</v>
      </c>
      <c r="K2443" s="112" t="str">
        <f t="shared" si="434"/>
        <v>506100</v>
      </c>
      <c r="L2443" s="2">
        <v>1</v>
      </c>
      <c r="M2443" s="2" t="s">
        <v>84</v>
      </c>
      <c r="N2443" s="2" t="s">
        <v>84</v>
      </c>
      <c r="O2443" s="2" t="s">
        <v>841</v>
      </c>
      <c r="P2443" s="2" t="s">
        <v>378</v>
      </c>
    </row>
    <row r="2444" spans="1:16" ht="22" customHeight="1" x14ac:dyDescent="0.15">
      <c r="A2444" s="10" t="str">
        <f t="shared" si="433"/>
        <v>506_10_17_10_polygon</v>
      </c>
      <c r="B2444" s="2">
        <v>506</v>
      </c>
      <c r="C2444" s="30" t="str">
        <f>VLOOKUP(B2444,gachas!A:C,3)</f>
        <v>フィーバーフェス（１日目）</v>
      </c>
      <c r="D2444" s="21">
        <v>10</v>
      </c>
      <c r="E2444" s="2">
        <f t="shared" si="435"/>
        <v>17</v>
      </c>
      <c r="F2444" s="2">
        <v>10</v>
      </c>
      <c r="G2444" s="3" t="s">
        <v>22</v>
      </c>
      <c r="H2444" s="2">
        <v>50</v>
      </c>
      <c r="I2444" s="114" t="str">
        <f t="shared" si="436"/>
        <v>506100</v>
      </c>
      <c r="J2444" s="112" t="s">
        <v>685</v>
      </c>
      <c r="K2444" s="112" t="str">
        <f t="shared" si="434"/>
        <v>506100</v>
      </c>
      <c r="L2444" s="2">
        <v>1</v>
      </c>
      <c r="M2444" s="2" t="s">
        <v>84</v>
      </c>
      <c r="N2444" s="2" t="s">
        <v>84</v>
      </c>
      <c r="O2444" s="2" t="s">
        <v>841</v>
      </c>
      <c r="P2444" s="2" t="s">
        <v>378</v>
      </c>
    </row>
    <row r="2445" spans="1:16" ht="22" customHeight="1" x14ac:dyDescent="0.15">
      <c r="A2445" s="10" t="str">
        <f t="shared" si="433"/>
        <v>506_10_18_10_polygon</v>
      </c>
      <c r="B2445" s="2">
        <v>506</v>
      </c>
      <c r="C2445" s="30" t="str">
        <f>VLOOKUP(B2445,gachas!A:C,3)</f>
        <v>フィーバーフェス（１日目）</v>
      </c>
      <c r="D2445" s="21">
        <v>10</v>
      </c>
      <c r="E2445" s="2">
        <f t="shared" si="435"/>
        <v>18</v>
      </c>
      <c r="F2445" s="2">
        <v>10</v>
      </c>
      <c r="G2445" s="3" t="s">
        <v>22</v>
      </c>
      <c r="H2445" s="2">
        <v>50</v>
      </c>
      <c r="I2445" s="114" t="str">
        <f t="shared" si="436"/>
        <v>506100</v>
      </c>
      <c r="J2445" s="112" t="s">
        <v>685</v>
      </c>
      <c r="K2445" s="112" t="str">
        <f t="shared" si="434"/>
        <v>506100</v>
      </c>
      <c r="L2445" s="2">
        <v>1</v>
      </c>
      <c r="M2445" s="2" t="s">
        <v>84</v>
      </c>
      <c r="N2445" s="2" t="s">
        <v>84</v>
      </c>
      <c r="O2445" s="2" t="s">
        <v>841</v>
      </c>
      <c r="P2445" s="2" t="s">
        <v>378</v>
      </c>
    </row>
    <row r="2446" spans="1:16" ht="22" customHeight="1" x14ac:dyDescent="0.15">
      <c r="A2446" s="10" t="str">
        <f t="shared" si="433"/>
        <v>506_10_19_10_polygon</v>
      </c>
      <c r="B2446" s="2">
        <v>506</v>
      </c>
      <c r="C2446" s="30" t="str">
        <f>VLOOKUP(B2446,gachas!A:C,3)</f>
        <v>フィーバーフェス（１日目）</v>
      </c>
      <c r="D2446" s="21">
        <v>10</v>
      </c>
      <c r="E2446" s="2">
        <f t="shared" si="435"/>
        <v>19</v>
      </c>
      <c r="F2446" s="2">
        <v>10</v>
      </c>
      <c r="G2446" s="3" t="s">
        <v>22</v>
      </c>
      <c r="H2446" s="2">
        <v>50</v>
      </c>
      <c r="I2446" s="114" t="str">
        <f t="shared" si="436"/>
        <v>506100</v>
      </c>
      <c r="J2446" s="112" t="s">
        <v>685</v>
      </c>
      <c r="K2446" s="112" t="str">
        <f t="shared" si="434"/>
        <v>506100</v>
      </c>
      <c r="L2446" s="2">
        <v>1</v>
      </c>
      <c r="M2446" s="2" t="s">
        <v>84</v>
      </c>
      <c r="N2446" s="2" t="s">
        <v>84</v>
      </c>
      <c r="O2446" s="2" t="s">
        <v>841</v>
      </c>
      <c r="P2446" s="2" t="s">
        <v>378</v>
      </c>
    </row>
    <row r="2447" spans="1:16" ht="22" customHeight="1" x14ac:dyDescent="0.15">
      <c r="A2447" s="10" t="str">
        <f t="shared" si="433"/>
        <v>506_10_20_10_polygon</v>
      </c>
      <c r="B2447" s="2">
        <v>506</v>
      </c>
      <c r="C2447" s="30" t="str">
        <f>VLOOKUP(B2447,gachas!A:C,3)</f>
        <v>フィーバーフェス（１日目）</v>
      </c>
      <c r="D2447" s="21">
        <v>10</v>
      </c>
      <c r="E2447" s="2">
        <f t="shared" si="435"/>
        <v>20</v>
      </c>
      <c r="F2447" s="2">
        <v>10</v>
      </c>
      <c r="G2447" s="3" t="s">
        <v>22</v>
      </c>
      <c r="H2447" s="2">
        <v>50</v>
      </c>
      <c r="I2447" s="114" t="str">
        <f t="shared" si="436"/>
        <v>506100</v>
      </c>
      <c r="J2447" s="112" t="str">
        <f>CONCATENATE(B2447,D2447,5)</f>
        <v>506105</v>
      </c>
      <c r="K2447" s="112" t="str">
        <f t="shared" si="434"/>
        <v>506100</v>
      </c>
      <c r="L2447" s="2">
        <v>1</v>
      </c>
      <c r="M2447" s="2" t="s">
        <v>84</v>
      </c>
      <c r="N2447" s="2" t="s">
        <v>84</v>
      </c>
      <c r="O2447" s="2" t="s">
        <v>841</v>
      </c>
      <c r="P2447" s="2" t="s">
        <v>1763</v>
      </c>
    </row>
    <row r="2448" spans="1:16" ht="22" customHeight="1" x14ac:dyDescent="0.15">
      <c r="A2448" s="10" t="str">
        <f t="shared" si="433"/>
        <v>506_10_21_10_polygon</v>
      </c>
      <c r="B2448" s="2">
        <v>506</v>
      </c>
      <c r="C2448" s="30" t="str">
        <f>VLOOKUP(B2448,gachas!A:C,3)</f>
        <v>フィーバーフェス（１日目）</v>
      </c>
      <c r="D2448" s="21">
        <v>10</v>
      </c>
      <c r="E2448" s="2">
        <f t="shared" si="435"/>
        <v>21</v>
      </c>
      <c r="F2448" s="2">
        <v>10</v>
      </c>
      <c r="G2448" s="3" t="s">
        <v>22</v>
      </c>
      <c r="H2448" s="2">
        <v>50</v>
      </c>
      <c r="I2448" s="114" t="str">
        <f t="shared" si="436"/>
        <v>506100</v>
      </c>
      <c r="J2448" s="112" t="s">
        <v>685</v>
      </c>
      <c r="K2448" s="112" t="str">
        <f t="shared" si="434"/>
        <v>506100</v>
      </c>
      <c r="L2448" s="2">
        <v>1</v>
      </c>
      <c r="M2448" s="2" t="s">
        <v>84</v>
      </c>
      <c r="N2448" s="2" t="s">
        <v>84</v>
      </c>
      <c r="O2448" s="2" t="s">
        <v>841</v>
      </c>
      <c r="P2448" s="2" t="s">
        <v>378</v>
      </c>
    </row>
    <row r="2449" spans="1:16" ht="22" customHeight="1" x14ac:dyDescent="0.15">
      <c r="A2449" s="10" t="str">
        <f t="shared" si="433"/>
        <v>506_10_22_10_polygon</v>
      </c>
      <c r="B2449" s="2">
        <v>506</v>
      </c>
      <c r="C2449" s="30" t="str">
        <f>VLOOKUP(B2449,gachas!A:C,3)</f>
        <v>フィーバーフェス（１日目）</v>
      </c>
      <c r="D2449" s="21">
        <v>10</v>
      </c>
      <c r="E2449" s="2">
        <f t="shared" si="435"/>
        <v>22</v>
      </c>
      <c r="F2449" s="2">
        <v>10</v>
      </c>
      <c r="G2449" s="3" t="s">
        <v>22</v>
      </c>
      <c r="H2449" s="2">
        <v>50</v>
      </c>
      <c r="I2449" s="114" t="str">
        <f t="shared" si="436"/>
        <v>506100</v>
      </c>
      <c r="J2449" s="112" t="s">
        <v>685</v>
      </c>
      <c r="K2449" s="112" t="str">
        <f t="shared" si="434"/>
        <v>506100</v>
      </c>
      <c r="L2449" s="2">
        <v>1</v>
      </c>
      <c r="M2449" s="2" t="s">
        <v>84</v>
      </c>
      <c r="N2449" s="2" t="s">
        <v>84</v>
      </c>
      <c r="O2449" s="2" t="s">
        <v>841</v>
      </c>
      <c r="P2449" s="2" t="s">
        <v>378</v>
      </c>
    </row>
    <row r="2450" spans="1:16" ht="22" customHeight="1" x14ac:dyDescent="0.15">
      <c r="A2450" s="10" t="str">
        <f t="shared" si="433"/>
        <v>506_10_23_10_polygon</v>
      </c>
      <c r="B2450" s="2">
        <v>506</v>
      </c>
      <c r="C2450" s="30" t="str">
        <f>VLOOKUP(B2450,gachas!A:C,3)</f>
        <v>フィーバーフェス（１日目）</v>
      </c>
      <c r="D2450" s="21">
        <v>10</v>
      </c>
      <c r="E2450" s="2">
        <f t="shared" si="435"/>
        <v>23</v>
      </c>
      <c r="F2450" s="2">
        <v>10</v>
      </c>
      <c r="G2450" s="3" t="s">
        <v>22</v>
      </c>
      <c r="H2450" s="2">
        <v>50</v>
      </c>
      <c r="I2450" s="114" t="str">
        <f t="shared" si="436"/>
        <v>506100</v>
      </c>
      <c r="J2450" s="112" t="s">
        <v>685</v>
      </c>
      <c r="K2450" s="112" t="str">
        <f t="shared" si="434"/>
        <v>506100</v>
      </c>
      <c r="L2450" s="2">
        <v>1</v>
      </c>
      <c r="M2450" s="2" t="s">
        <v>84</v>
      </c>
      <c r="N2450" s="2" t="s">
        <v>84</v>
      </c>
      <c r="O2450" s="2" t="s">
        <v>841</v>
      </c>
      <c r="P2450" s="2" t="s">
        <v>378</v>
      </c>
    </row>
    <row r="2451" spans="1:16" ht="22" customHeight="1" x14ac:dyDescent="0.15">
      <c r="A2451" s="10" t="str">
        <f t="shared" si="433"/>
        <v>506_10_24_10_polygon</v>
      </c>
      <c r="B2451" s="2">
        <v>506</v>
      </c>
      <c r="C2451" s="30" t="str">
        <f>VLOOKUP(B2451,gachas!A:C,3)</f>
        <v>フィーバーフェス（１日目）</v>
      </c>
      <c r="D2451" s="21">
        <v>10</v>
      </c>
      <c r="E2451" s="2">
        <f t="shared" si="435"/>
        <v>24</v>
      </c>
      <c r="F2451" s="2">
        <v>10</v>
      </c>
      <c r="G2451" s="3" t="s">
        <v>22</v>
      </c>
      <c r="H2451" s="2">
        <v>50</v>
      </c>
      <c r="I2451" s="114" t="str">
        <f t="shared" si="436"/>
        <v>506100</v>
      </c>
      <c r="J2451" s="112" t="s">
        <v>685</v>
      </c>
      <c r="K2451" s="112" t="str">
        <f t="shared" si="434"/>
        <v>506100</v>
      </c>
      <c r="L2451" s="2">
        <v>1</v>
      </c>
      <c r="M2451" s="2" t="s">
        <v>84</v>
      </c>
      <c r="N2451" s="2" t="s">
        <v>84</v>
      </c>
      <c r="O2451" s="2" t="s">
        <v>841</v>
      </c>
      <c r="P2451" s="2" t="s">
        <v>378</v>
      </c>
    </row>
    <row r="2452" spans="1:16" ht="22" customHeight="1" x14ac:dyDescent="0.15">
      <c r="A2452" s="10" t="str">
        <f t="shared" si="433"/>
        <v>506_10_25_10_polygon</v>
      </c>
      <c r="B2452" s="2">
        <v>506</v>
      </c>
      <c r="C2452" s="30" t="str">
        <f>VLOOKUP(B2452,gachas!A:C,3)</f>
        <v>フィーバーフェス（１日目）</v>
      </c>
      <c r="D2452" s="21">
        <v>10</v>
      </c>
      <c r="E2452" s="2">
        <f t="shared" si="435"/>
        <v>25</v>
      </c>
      <c r="F2452" s="2">
        <v>10</v>
      </c>
      <c r="G2452" s="3" t="s">
        <v>22</v>
      </c>
      <c r="H2452" s="2">
        <v>50</v>
      </c>
      <c r="I2452" s="114" t="str">
        <f t="shared" si="436"/>
        <v>506100</v>
      </c>
      <c r="J2452" s="112" t="str">
        <f>CONCATENATE(B2452,D2452,5)</f>
        <v>506105</v>
      </c>
      <c r="K2452" s="112" t="str">
        <f t="shared" si="434"/>
        <v>506100</v>
      </c>
      <c r="L2452" s="2">
        <v>1</v>
      </c>
      <c r="M2452" s="2" t="s">
        <v>84</v>
      </c>
      <c r="N2452" s="2" t="s">
        <v>84</v>
      </c>
      <c r="O2452" s="2" t="s">
        <v>841</v>
      </c>
      <c r="P2452" s="2" t="s">
        <v>1763</v>
      </c>
    </row>
    <row r="2453" spans="1:16" ht="22" customHeight="1" x14ac:dyDescent="0.15">
      <c r="A2453" s="10" t="str">
        <f t="shared" si="433"/>
        <v>506_10_26_10_polygon</v>
      </c>
      <c r="B2453" s="2">
        <v>506</v>
      </c>
      <c r="C2453" s="30" t="str">
        <f>VLOOKUP(B2453,gachas!A:C,3)</f>
        <v>フィーバーフェス（１日目）</v>
      </c>
      <c r="D2453" s="21">
        <v>10</v>
      </c>
      <c r="E2453" s="2">
        <f t="shared" si="435"/>
        <v>26</v>
      </c>
      <c r="F2453" s="2">
        <v>10</v>
      </c>
      <c r="G2453" s="3" t="s">
        <v>22</v>
      </c>
      <c r="H2453" s="2">
        <v>50</v>
      </c>
      <c r="I2453" s="114" t="str">
        <f t="shared" si="436"/>
        <v>506100</v>
      </c>
      <c r="J2453" s="112" t="s">
        <v>685</v>
      </c>
      <c r="K2453" s="112" t="str">
        <f t="shared" si="434"/>
        <v>506100</v>
      </c>
      <c r="L2453" s="2">
        <v>1</v>
      </c>
      <c r="M2453" s="2" t="s">
        <v>84</v>
      </c>
      <c r="N2453" s="2" t="s">
        <v>84</v>
      </c>
      <c r="O2453" s="2" t="s">
        <v>841</v>
      </c>
      <c r="P2453" s="2" t="s">
        <v>378</v>
      </c>
    </row>
    <row r="2454" spans="1:16" ht="22" customHeight="1" x14ac:dyDescent="0.15">
      <c r="A2454" s="10" t="str">
        <f t="shared" si="433"/>
        <v>506_10_27_10_polygon</v>
      </c>
      <c r="B2454" s="2">
        <v>506</v>
      </c>
      <c r="C2454" s="30" t="str">
        <f>VLOOKUP(B2454,gachas!A:C,3)</f>
        <v>フィーバーフェス（１日目）</v>
      </c>
      <c r="D2454" s="21">
        <v>10</v>
      </c>
      <c r="E2454" s="2">
        <f t="shared" si="435"/>
        <v>27</v>
      </c>
      <c r="F2454" s="2">
        <v>10</v>
      </c>
      <c r="G2454" s="3" t="s">
        <v>22</v>
      </c>
      <c r="H2454" s="2">
        <v>50</v>
      </c>
      <c r="I2454" s="114" t="str">
        <f t="shared" si="436"/>
        <v>506100</v>
      </c>
      <c r="J2454" s="112" t="s">
        <v>685</v>
      </c>
      <c r="K2454" s="112" t="str">
        <f t="shared" si="434"/>
        <v>506100</v>
      </c>
      <c r="L2454" s="2">
        <v>1</v>
      </c>
      <c r="M2454" s="2" t="s">
        <v>84</v>
      </c>
      <c r="N2454" s="2" t="s">
        <v>84</v>
      </c>
      <c r="O2454" s="2" t="s">
        <v>841</v>
      </c>
      <c r="P2454" s="2" t="s">
        <v>378</v>
      </c>
    </row>
    <row r="2455" spans="1:16" ht="22" customHeight="1" x14ac:dyDescent="0.15">
      <c r="A2455" s="10" t="str">
        <f t="shared" si="433"/>
        <v>506_10_28_10_polygon</v>
      </c>
      <c r="B2455" s="2">
        <v>506</v>
      </c>
      <c r="C2455" s="30" t="str">
        <f>VLOOKUP(B2455,gachas!A:C,3)</f>
        <v>フィーバーフェス（１日目）</v>
      </c>
      <c r="D2455" s="21">
        <v>10</v>
      </c>
      <c r="E2455" s="2">
        <f t="shared" si="435"/>
        <v>28</v>
      </c>
      <c r="F2455" s="2">
        <v>10</v>
      </c>
      <c r="G2455" s="3" t="s">
        <v>22</v>
      </c>
      <c r="H2455" s="2">
        <v>50</v>
      </c>
      <c r="I2455" s="114" t="str">
        <f t="shared" si="436"/>
        <v>506100</v>
      </c>
      <c r="J2455" s="112" t="s">
        <v>685</v>
      </c>
      <c r="K2455" s="112" t="str">
        <f t="shared" si="434"/>
        <v>506100</v>
      </c>
      <c r="L2455" s="2">
        <v>1</v>
      </c>
      <c r="M2455" s="2" t="s">
        <v>84</v>
      </c>
      <c r="N2455" s="2" t="s">
        <v>84</v>
      </c>
      <c r="O2455" s="2" t="s">
        <v>841</v>
      </c>
      <c r="P2455" s="2" t="s">
        <v>378</v>
      </c>
    </row>
    <row r="2456" spans="1:16" ht="22" customHeight="1" x14ac:dyDescent="0.15">
      <c r="A2456" s="10" t="str">
        <f t="shared" si="433"/>
        <v>506_10_29_10_polygon</v>
      </c>
      <c r="B2456" s="2">
        <v>506</v>
      </c>
      <c r="C2456" s="30" t="str">
        <f>VLOOKUP(B2456,gachas!A:C,3)</f>
        <v>フィーバーフェス（１日目）</v>
      </c>
      <c r="D2456" s="21">
        <v>10</v>
      </c>
      <c r="E2456" s="2">
        <f t="shared" si="435"/>
        <v>29</v>
      </c>
      <c r="F2456" s="2">
        <v>10</v>
      </c>
      <c r="G2456" s="3" t="s">
        <v>22</v>
      </c>
      <c r="H2456" s="2">
        <v>50</v>
      </c>
      <c r="I2456" s="114" t="str">
        <f t="shared" si="436"/>
        <v>506100</v>
      </c>
      <c r="J2456" s="112" t="s">
        <v>685</v>
      </c>
      <c r="K2456" s="112" t="str">
        <f t="shared" si="434"/>
        <v>506100</v>
      </c>
      <c r="L2456" s="2">
        <v>1</v>
      </c>
      <c r="M2456" s="2" t="s">
        <v>84</v>
      </c>
      <c r="N2456" s="2" t="s">
        <v>84</v>
      </c>
      <c r="O2456" s="2" t="s">
        <v>841</v>
      </c>
      <c r="P2456" s="2" t="s">
        <v>378</v>
      </c>
    </row>
    <row r="2457" spans="1:16" ht="22" customHeight="1" x14ac:dyDescent="0.15">
      <c r="A2457" s="10" t="str">
        <f t="shared" si="433"/>
        <v>506_10_30_10_polygon</v>
      </c>
      <c r="B2457" s="2">
        <v>506</v>
      </c>
      <c r="C2457" s="30" t="str">
        <f>VLOOKUP(B2457,gachas!A:C,3)</f>
        <v>フィーバーフェス（１日目）</v>
      </c>
      <c r="D2457" s="21">
        <v>10</v>
      </c>
      <c r="E2457" s="2">
        <f t="shared" si="435"/>
        <v>30</v>
      </c>
      <c r="F2457" s="2">
        <v>10</v>
      </c>
      <c r="G2457" s="3" t="s">
        <v>22</v>
      </c>
      <c r="H2457" s="2">
        <v>50</v>
      </c>
      <c r="I2457" s="114" t="str">
        <f t="shared" si="436"/>
        <v>506100</v>
      </c>
      <c r="J2457" s="112" t="str">
        <f>CONCATENATE(B2457,D2457,5)</f>
        <v>506105</v>
      </c>
      <c r="K2457" s="112" t="str">
        <f t="shared" si="434"/>
        <v>506100</v>
      </c>
      <c r="L2457" s="2">
        <v>1</v>
      </c>
      <c r="M2457" s="2" t="s">
        <v>84</v>
      </c>
      <c r="N2457" s="2" t="s">
        <v>84</v>
      </c>
      <c r="O2457" s="2" t="s">
        <v>841</v>
      </c>
      <c r="P2457" s="2" t="s">
        <v>1763</v>
      </c>
    </row>
    <row r="2458" spans="1:16" ht="22" customHeight="1" x14ac:dyDescent="0.15">
      <c r="A2458" s="10" t="str">
        <f t="shared" si="433"/>
        <v>506_10_31_10_polygon</v>
      </c>
      <c r="B2458" s="2">
        <v>506</v>
      </c>
      <c r="C2458" s="30" t="str">
        <f>VLOOKUP(B2458,gachas!A:C,3)</f>
        <v>フィーバーフェス（１日目）</v>
      </c>
      <c r="D2458" s="21">
        <v>10</v>
      </c>
      <c r="E2458" s="2">
        <f t="shared" si="435"/>
        <v>31</v>
      </c>
      <c r="F2458" s="2">
        <v>10</v>
      </c>
      <c r="G2458" s="3" t="s">
        <v>22</v>
      </c>
      <c r="H2458" s="2">
        <v>50</v>
      </c>
      <c r="I2458" s="114" t="str">
        <f t="shared" si="436"/>
        <v>506100</v>
      </c>
      <c r="J2458" s="112" t="s">
        <v>685</v>
      </c>
      <c r="K2458" s="112" t="str">
        <f t="shared" si="434"/>
        <v>506100</v>
      </c>
      <c r="L2458" s="2">
        <v>1</v>
      </c>
      <c r="M2458" s="2" t="s">
        <v>84</v>
      </c>
      <c r="N2458" s="2" t="s">
        <v>84</v>
      </c>
      <c r="O2458" s="2" t="s">
        <v>841</v>
      </c>
      <c r="P2458" s="2" t="s">
        <v>378</v>
      </c>
    </row>
    <row r="2459" spans="1:16" ht="22" customHeight="1" x14ac:dyDescent="0.15">
      <c r="A2459" s="10" t="str">
        <f t="shared" si="433"/>
        <v>506_10_32_10_polygon</v>
      </c>
      <c r="B2459" s="2">
        <v>506</v>
      </c>
      <c r="C2459" s="30" t="str">
        <f>VLOOKUP(B2459,gachas!A:C,3)</f>
        <v>フィーバーフェス（１日目）</v>
      </c>
      <c r="D2459" s="21">
        <v>10</v>
      </c>
      <c r="E2459" s="2">
        <f t="shared" si="435"/>
        <v>32</v>
      </c>
      <c r="F2459" s="2">
        <v>10</v>
      </c>
      <c r="G2459" s="3" t="s">
        <v>22</v>
      </c>
      <c r="H2459" s="2">
        <v>50</v>
      </c>
      <c r="I2459" s="114" t="str">
        <f t="shared" si="436"/>
        <v>506100</v>
      </c>
      <c r="J2459" s="112" t="s">
        <v>685</v>
      </c>
      <c r="K2459" s="112" t="str">
        <f t="shared" si="434"/>
        <v>506100</v>
      </c>
      <c r="L2459" s="2">
        <v>1</v>
      </c>
      <c r="M2459" s="2" t="s">
        <v>84</v>
      </c>
      <c r="N2459" s="2" t="s">
        <v>84</v>
      </c>
      <c r="O2459" s="2" t="s">
        <v>841</v>
      </c>
      <c r="P2459" s="2" t="s">
        <v>378</v>
      </c>
    </row>
    <row r="2460" spans="1:16" ht="22" customHeight="1" x14ac:dyDescent="0.15">
      <c r="A2460" s="10" t="str">
        <f t="shared" si="433"/>
        <v>506_10_33_10_polygon</v>
      </c>
      <c r="B2460" s="2">
        <v>506</v>
      </c>
      <c r="C2460" s="30" t="str">
        <f>VLOOKUP(B2460,gachas!A:C,3)</f>
        <v>フィーバーフェス（１日目）</v>
      </c>
      <c r="D2460" s="21">
        <v>10</v>
      </c>
      <c r="E2460" s="2">
        <f t="shared" si="435"/>
        <v>33</v>
      </c>
      <c r="F2460" s="2">
        <v>10</v>
      </c>
      <c r="G2460" s="3" t="s">
        <v>22</v>
      </c>
      <c r="H2460" s="2">
        <v>50</v>
      </c>
      <c r="I2460" s="114" t="str">
        <f t="shared" si="436"/>
        <v>506100</v>
      </c>
      <c r="J2460" s="112" t="s">
        <v>685</v>
      </c>
      <c r="K2460" s="112" t="str">
        <f t="shared" si="434"/>
        <v>506100</v>
      </c>
      <c r="L2460" s="2">
        <v>1</v>
      </c>
      <c r="M2460" s="2" t="s">
        <v>84</v>
      </c>
      <c r="N2460" s="2" t="s">
        <v>84</v>
      </c>
      <c r="O2460" s="2" t="s">
        <v>841</v>
      </c>
      <c r="P2460" s="2" t="s">
        <v>378</v>
      </c>
    </row>
    <row r="2461" spans="1:16" ht="22" customHeight="1" x14ac:dyDescent="0.15">
      <c r="A2461" s="10" t="str">
        <f t="shared" si="433"/>
        <v>506_10_34_10_polygon</v>
      </c>
      <c r="B2461" s="2">
        <v>506</v>
      </c>
      <c r="C2461" s="30" t="str">
        <f>VLOOKUP(B2461,gachas!A:C,3)</f>
        <v>フィーバーフェス（１日目）</v>
      </c>
      <c r="D2461" s="21">
        <v>10</v>
      </c>
      <c r="E2461" s="2">
        <f t="shared" si="435"/>
        <v>34</v>
      </c>
      <c r="F2461" s="2">
        <v>10</v>
      </c>
      <c r="G2461" s="3" t="s">
        <v>22</v>
      </c>
      <c r="H2461" s="2">
        <v>50</v>
      </c>
      <c r="I2461" s="114" t="str">
        <f t="shared" si="436"/>
        <v>506100</v>
      </c>
      <c r="J2461" s="112" t="s">
        <v>685</v>
      </c>
      <c r="K2461" s="112" t="str">
        <f t="shared" si="434"/>
        <v>506100</v>
      </c>
      <c r="L2461" s="2">
        <v>1</v>
      </c>
      <c r="M2461" s="2" t="s">
        <v>84</v>
      </c>
      <c r="N2461" s="2" t="s">
        <v>84</v>
      </c>
      <c r="O2461" s="2" t="s">
        <v>841</v>
      </c>
      <c r="P2461" s="2" t="s">
        <v>378</v>
      </c>
    </row>
    <row r="2462" spans="1:16" ht="22" customHeight="1" x14ac:dyDescent="0.15">
      <c r="A2462" s="10" t="str">
        <f t="shared" si="433"/>
        <v>506_10_35_10_polygon</v>
      </c>
      <c r="B2462" s="2">
        <v>506</v>
      </c>
      <c r="C2462" s="30" t="str">
        <f>VLOOKUP(B2462,gachas!A:C,3)</f>
        <v>フィーバーフェス（１日目）</v>
      </c>
      <c r="D2462" s="21">
        <v>10</v>
      </c>
      <c r="E2462" s="2">
        <f t="shared" si="435"/>
        <v>35</v>
      </c>
      <c r="F2462" s="2">
        <v>10</v>
      </c>
      <c r="G2462" s="3" t="s">
        <v>22</v>
      </c>
      <c r="H2462" s="2">
        <v>50</v>
      </c>
      <c r="I2462" s="114" t="str">
        <f t="shared" si="436"/>
        <v>506100</v>
      </c>
      <c r="J2462" s="112" t="str">
        <f>CONCATENATE(B2462,D2462,5)</f>
        <v>506105</v>
      </c>
      <c r="K2462" s="112" t="str">
        <f t="shared" si="434"/>
        <v>506100</v>
      </c>
      <c r="L2462" s="2">
        <v>1</v>
      </c>
      <c r="M2462" s="2" t="s">
        <v>84</v>
      </c>
      <c r="N2462" s="2" t="s">
        <v>84</v>
      </c>
      <c r="O2462" s="2" t="s">
        <v>841</v>
      </c>
      <c r="P2462" s="2" t="s">
        <v>1763</v>
      </c>
    </row>
    <row r="2463" spans="1:16" ht="22" customHeight="1" x14ac:dyDescent="0.15">
      <c r="A2463" s="10" t="str">
        <f t="shared" si="433"/>
        <v>506_10_36_10_polygon</v>
      </c>
      <c r="B2463" s="2">
        <v>506</v>
      </c>
      <c r="C2463" s="30" t="str">
        <f>VLOOKUP(B2463,gachas!A:C,3)</f>
        <v>フィーバーフェス（１日目）</v>
      </c>
      <c r="D2463" s="21">
        <v>10</v>
      </c>
      <c r="E2463" s="2">
        <f t="shared" si="435"/>
        <v>36</v>
      </c>
      <c r="F2463" s="2">
        <v>10</v>
      </c>
      <c r="G2463" s="3" t="s">
        <v>22</v>
      </c>
      <c r="H2463" s="2">
        <v>50</v>
      </c>
      <c r="I2463" s="114" t="str">
        <f t="shared" si="436"/>
        <v>506100</v>
      </c>
      <c r="J2463" s="112" t="s">
        <v>685</v>
      </c>
      <c r="K2463" s="112" t="str">
        <f t="shared" si="434"/>
        <v>506100</v>
      </c>
      <c r="L2463" s="2">
        <v>1</v>
      </c>
      <c r="M2463" s="2" t="s">
        <v>84</v>
      </c>
      <c r="N2463" s="2" t="s">
        <v>84</v>
      </c>
      <c r="O2463" s="2" t="s">
        <v>841</v>
      </c>
      <c r="P2463" s="2" t="s">
        <v>378</v>
      </c>
    </row>
    <row r="2464" spans="1:16" ht="22" customHeight="1" x14ac:dyDescent="0.15">
      <c r="A2464" s="10" t="str">
        <f t="shared" si="433"/>
        <v>506_10_37_10_polygon</v>
      </c>
      <c r="B2464" s="2">
        <v>506</v>
      </c>
      <c r="C2464" s="30" t="str">
        <f>VLOOKUP(B2464,gachas!A:C,3)</f>
        <v>フィーバーフェス（１日目）</v>
      </c>
      <c r="D2464" s="21">
        <v>10</v>
      </c>
      <c r="E2464" s="2">
        <f t="shared" si="435"/>
        <v>37</v>
      </c>
      <c r="F2464" s="2">
        <v>10</v>
      </c>
      <c r="G2464" s="3" t="s">
        <v>22</v>
      </c>
      <c r="H2464" s="2">
        <v>50</v>
      </c>
      <c r="I2464" s="114" t="str">
        <f t="shared" si="436"/>
        <v>506100</v>
      </c>
      <c r="J2464" s="112" t="s">
        <v>685</v>
      </c>
      <c r="K2464" s="112" t="str">
        <f t="shared" si="434"/>
        <v>506100</v>
      </c>
      <c r="L2464" s="2">
        <v>1</v>
      </c>
      <c r="M2464" s="2" t="s">
        <v>84</v>
      </c>
      <c r="N2464" s="2" t="s">
        <v>84</v>
      </c>
      <c r="O2464" s="2" t="s">
        <v>841</v>
      </c>
      <c r="P2464" s="2" t="s">
        <v>378</v>
      </c>
    </row>
    <row r="2465" spans="1:16" ht="22" customHeight="1" x14ac:dyDescent="0.15">
      <c r="A2465" s="10" t="str">
        <f t="shared" si="433"/>
        <v>506_10_38_10_polygon</v>
      </c>
      <c r="B2465" s="2">
        <v>506</v>
      </c>
      <c r="C2465" s="30" t="str">
        <f>VLOOKUP(B2465,gachas!A:C,3)</f>
        <v>フィーバーフェス（１日目）</v>
      </c>
      <c r="D2465" s="21">
        <v>10</v>
      </c>
      <c r="E2465" s="2">
        <f t="shared" si="435"/>
        <v>38</v>
      </c>
      <c r="F2465" s="2">
        <v>10</v>
      </c>
      <c r="G2465" s="3" t="s">
        <v>22</v>
      </c>
      <c r="H2465" s="2">
        <v>50</v>
      </c>
      <c r="I2465" s="114" t="str">
        <f t="shared" si="436"/>
        <v>506100</v>
      </c>
      <c r="J2465" s="112" t="s">
        <v>685</v>
      </c>
      <c r="K2465" s="112" t="str">
        <f t="shared" si="434"/>
        <v>506100</v>
      </c>
      <c r="L2465" s="2">
        <v>1</v>
      </c>
      <c r="M2465" s="2" t="s">
        <v>84</v>
      </c>
      <c r="N2465" s="2" t="s">
        <v>84</v>
      </c>
      <c r="O2465" s="2" t="s">
        <v>841</v>
      </c>
      <c r="P2465" s="2" t="s">
        <v>378</v>
      </c>
    </row>
    <row r="2466" spans="1:16" ht="22" customHeight="1" x14ac:dyDescent="0.15">
      <c r="A2466" s="10" t="str">
        <f t="shared" si="433"/>
        <v>506_10_39_10_polygon</v>
      </c>
      <c r="B2466" s="2">
        <v>506</v>
      </c>
      <c r="C2466" s="30" t="str">
        <f>VLOOKUP(B2466,gachas!A:C,3)</f>
        <v>フィーバーフェス（１日目）</v>
      </c>
      <c r="D2466" s="21">
        <v>10</v>
      </c>
      <c r="E2466" s="2">
        <f t="shared" si="435"/>
        <v>39</v>
      </c>
      <c r="F2466" s="2">
        <v>10</v>
      </c>
      <c r="G2466" s="3" t="s">
        <v>22</v>
      </c>
      <c r="H2466" s="2">
        <v>50</v>
      </c>
      <c r="I2466" s="114" t="str">
        <f t="shared" si="436"/>
        <v>506100</v>
      </c>
      <c r="J2466" s="112" t="s">
        <v>685</v>
      </c>
      <c r="K2466" s="112" t="str">
        <f t="shared" si="434"/>
        <v>506100</v>
      </c>
      <c r="L2466" s="2">
        <v>1</v>
      </c>
      <c r="M2466" s="2" t="s">
        <v>84</v>
      </c>
      <c r="N2466" s="2" t="s">
        <v>84</v>
      </c>
      <c r="O2466" s="2" t="s">
        <v>841</v>
      </c>
      <c r="P2466" s="2" t="s">
        <v>378</v>
      </c>
    </row>
    <row r="2467" spans="1:16" ht="22" customHeight="1" x14ac:dyDescent="0.15">
      <c r="A2467" s="10" t="str">
        <f t="shared" si="433"/>
        <v>506_10_40_10_polygon</v>
      </c>
      <c r="B2467" s="2">
        <v>506</v>
      </c>
      <c r="C2467" s="30" t="str">
        <f>VLOOKUP(B2467,gachas!A:C,3)</f>
        <v>フィーバーフェス（１日目）</v>
      </c>
      <c r="D2467" s="21">
        <v>10</v>
      </c>
      <c r="E2467" s="2">
        <f t="shared" si="435"/>
        <v>40</v>
      </c>
      <c r="F2467" s="2">
        <v>10</v>
      </c>
      <c r="G2467" s="3" t="s">
        <v>22</v>
      </c>
      <c r="H2467" s="2">
        <v>50</v>
      </c>
      <c r="I2467" s="114" t="str">
        <f t="shared" si="436"/>
        <v>506100</v>
      </c>
      <c r="J2467" s="112" t="str">
        <f>CONCATENATE(B2467,D2467,5)</f>
        <v>506105</v>
      </c>
      <c r="K2467" s="112" t="str">
        <f t="shared" si="434"/>
        <v>506100</v>
      </c>
      <c r="L2467" s="2">
        <v>1</v>
      </c>
      <c r="M2467" s="2" t="s">
        <v>84</v>
      </c>
      <c r="N2467" s="2" t="s">
        <v>84</v>
      </c>
      <c r="O2467" s="2" t="s">
        <v>841</v>
      </c>
      <c r="P2467" s="2" t="s">
        <v>1763</v>
      </c>
    </row>
    <row r="2468" spans="1:16" ht="22" customHeight="1" x14ac:dyDescent="0.15">
      <c r="A2468" s="10" t="str">
        <f t="shared" si="433"/>
        <v>506_10_41_10_polygon</v>
      </c>
      <c r="B2468" s="2">
        <v>506</v>
      </c>
      <c r="C2468" s="30" t="str">
        <f>VLOOKUP(B2468,gachas!A:C,3)</f>
        <v>フィーバーフェス（１日目）</v>
      </c>
      <c r="D2468" s="21">
        <v>10</v>
      </c>
      <c r="E2468" s="2">
        <f t="shared" si="435"/>
        <v>41</v>
      </c>
      <c r="F2468" s="2">
        <v>10</v>
      </c>
      <c r="G2468" s="3" t="s">
        <v>22</v>
      </c>
      <c r="H2468" s="2">
        <v>50</v>
      </c>
      <c r="I2468" s="114" t="str">
        <f t="shared" si="436"/>
        <v>506100</v>
      </c>
      <c r="J2468" s="112" t="s">
        <v>685</v>
      </c>
      <c r="K2468" s="112" t="str">
        <f t="shared" si="434"/>
        <v>506100</v>
      </c>
      <c r="L2468" s="2">
        <v>1</v>
      </c>
      <c r="M2468" s="2" t="s">
        <v>84</v>
      </c>
      <c r="N2468" s="2" t="s">
        <v>84</v>
      </c>
      <c r="O2468" s="2" t="s">
        <v>841</v>
      </c>
      <c r="P2468" s="2" t="s">
        <v>378</v>
      </c>
    </row>
    <row r="2469" spans="1:16" ht="22" customHeight="1" x14ac:dyDescent="0.15">
      <c r="A2469" s="10" t="str">
        <f t="shared" si="433"/>
        <v>506_10_42_10_polygon</v>
      </c>
      <c r="B2469" s="2">
        <v>506</v>
      </c>
      <c r="C2469" s="30" t="str">
        <f>VLOOKUP(B2469,gachas!A:C,3)</f>
        <v>フィーバーフェス（１日目）</v>
      </c>
      <c r="D2469" s="21">
        <v>10</v>
      </c>
      <c r="E2469" s="2">
        <f t="shared" si="435"/>
        <v>42</v>
      </c>
      <c r="F2469" s="2">
        <v>10</v>
      </c>
      <c r="G2469" s="3" t="s">
        <v>22</v>
      </c>
      <c r="H2469" s="2">
        <v>50</v>
      </c>
      <c r="I2469" s="114" t="str">
        <f t="shared" si="436"/>
        <v>506100</v>
      </c>
      <c r="J2469" s="112" t="s">
        <v>685</v>
      </c>
      <c r="K2469" s="112" t="str">
        <f t="shared" si="434"/>
        <v>506100</v>
      </c>
      <c r="L2469" s="2">
        <v>1</v>
      </c>
      <c r="M2469" s="2" t="s">
        <v>84</v>
      </c>
      <c r="N2469" s="2" t="s">
        <v>84</v>
      </c>
      <c r="O2469" s="2" t="s">
        <v>841</v>
      </c>
      <c r="P2469" s="2" t="s">
        <v>378</v>
      </c>
    </row>
    <row r="2470" spans="1:16" ht="22" customHeight="1" x14ac:dyDescent="0.15">
      <c r="A2470" s="10" t="str">
        <f t="shared" si="433"/>
        <v>506_10_43_10_polygon</v>
      </c>
      <c r="B2470" s="2">
        <v>506</v>
      </c>
      <c r="C2470" s="30" t="str">
        <f>VLOOKUP(B2470,gachas!A:C,3)</f>
        <v>フィーバーフェス（１日目）</v>
      </c>
      <c r="D2470" s="21">
        <v>10</v>
      </c>
      <c r="E2470" s="2">
        <f t="shared" si="435"/>
        <v>43</v>
      </c>
      <c r="F2470" s="2">
        <v>10</v>
      </c>
      <c r="G2470" s="3" t="s">
        <v>22</v>
      </c>
      <c r="H2470" s="2">
        <v>50</v>
      </c>
      <c r="I2470" s="114" t="str">
        <f t="shared" si="436"/>
        <v>506100</v>
      </c>
      <c r="J2470" s="112" t="s">
        <v>685</v>
      </c>
      <c r="K2470" s="112" t="str">
        <f t="shared" si="434"/>
        <v>506100</v>
      </c>
      <c r="L2470" s="2">
        <v>1</v>
      </c>
      <c r="M2470" s="2" t="s">
        <v>84</v>
      </c>
      <c r="N2470" s="2" t="s">
        <v>84</v>
      </c>
      <c r="O2470" s="2" t="s">
        <v>841</v>
      </c>
      <c r="P2470" s="2" t="s">
        <v>378</v>
      </c>
    </row>
    <row r="2471" spans="1:16" ht="22" customHeight="1" x14ac:dyDescent="0.15">
      <c r="A2471" s="10" t="str">
        <f t="shared" si="433"/>
        <v>506_10_44_10_polygon</v>
      </c>
      <c r="B2471" s="2">
        <v>506</v>
      </c>
      <c r="C2471" s="30" t="str">
        <f>VLOOKUP(B2471,gachas!A:C,3)</f>
        <v>フィーバーフェス（１日目）</v>
      </c>
      <c r="D2471" s="21">
        <v>10</v>
      </c>
      <c r="E2471" s="2">
        <f t="shared" si="435"/>
        <v>44</v>
      </c>
      <c r="F2471" s="2">
        <v>10</v>
      </c>
      <c r="G2471" s="3" t="s">
        <v>22</v>
      </c>
      <c r="H2471" s="2">
        <v>50</v>
      </c>
      <c r="I2471" s="114" t="str">
        <f t="shared" si="436"/>
        <v>506100</v>
      </c>
      <c r="J2471" s="112" t="s">
        <v>685</v>
      </c>
      <c r="K2471" s="112" t="str">
        <f t="shared" si="434"/>
        <v>506100</v>
      </c>
      <c r="L2471" s="2">
        <v>1</v>
      </c>
      <c r="M2471" s="2" t="s">
        <v>84</v>
      </c>
      <c r="N2471" s="2" t="s">
        <v>84</v>
      </c>
      <c r="O2471" s="2" t="s">
        <v>841</v>
      </c>
      <c r="P2471" s="2" t="s">
        <v>378</v>
      </c>
    </row>
    <row r="2472" spans="1:16" ht="22" customHeight="1" x14ac:dyDescent="0.15">
      <c r="A2472" s="10" t="str">
        <f t="shared" si="433"/>
        <v>506_10_45_10_polygon</v>
      </c>
      <c r="B2472" s="2">
        <v>506</v>
      </c>
      <c r="C2472" s="30" t="str">
        <f>VLOOKUP(B2472,gachas!A:C,3)</f>
        <v>フィーバーフェス（１日目）</v>
      </c>
      <c r="D2472" s="21">
        <v>10</v>
      </c>
      <c r="E2472" s="2">
        <f t="shared" si="435"/>
        <v>45</v>
      </c>
      <c r="F2472" s="2">
        <v>10</v>
      </c>
      <c r="G2472" s="3" t="s">
        <v>22</v>
      </c>
      <c r="H2472" s="2">
        <v>50</v>
      </c>
      <c r="I2472" s="114" t="str">
        <f t="shared" si="436"/>
        <v>506100</v>
      </c>
      <c r="J2472" s="112" t="str">
        <f>CONCATENATE(B2472,D2472,5)</f>
        <v>506105</v>
      </c>
      <c r="K2472" s="112" t="str">
        <f t="shared" si="434"/>
        <v>506100</v>
      </c>
      <c r="L2472" s="2">
        <v>1</v>
      </c>
      <c r="M2472" s="2" t="s">
        <v>84</v>
      </c>
      <c r="N2472" s="2" t="s">
        <v>84</v>
      </c>
      <c r="O2472" s="2" t="s">
        <v>841</v>
      </c>
      <c r="P2472" s="2" t="s">
        <v>1763</v>
      </c>
    </row>
    <row r="2473" spans="1:16" ht="22" customHeight="1" x14ac:dyDescent="0.15">
      <c r="A2473" s="10" t="str">
        <f t="shared" si="433"/>
        <v>506_10_46_10_polygon</v>
      </c>
      <c r="B2473" s="2">
        <v>506</v>
      </c>
      <c r="C2473" s="30" t="str">
        <f>VLOOKUP(B2473,gachas!A:C,3)</f>
        <v>フィーバーフェス（１日目）</v>
      </c>
      <c r="D2473" s="21">
        <v>10</v>
      </c>
      <c r="E2473" s="2">
        <f t="shared" si="435"/>
        <v>46</v>
      </c>
      <c r="F2473" s="2">
        <v>10</v>
      </c>
      <c r="G2473" s="3" t="s">
        <v>22</v>
      </c>
      <c r="H2473" s="2">
        <v>50</v>
      </c>
      <c r="I2473" s="114" t="str">
        <f t="shared" si="436"/>
        <v>506100</v>
      </c>
      <c r="J2473" s="112" t="s">
        <v>685</v>
      </c>
      <c r="K2473" s="112" t="str">
        <f t="shared" si="434"/>
        <v>506100</v>
      </c>
      <c r="L2473" s="2">
        <v>1</v>
      </c>
      <c r="M2473" s="2" t="s">
        <v>84</v>
      </c>
      <c r="N2473" s="2" t="s">
        <v>84</v>
      </c>
      <c r="O2473" s="2" t="s">
        <v>841</v>
      </c>
      <c r="P2473" s="2" t="s">
        <v>378</v>
      </c>
    </row>
    <row r="2474" spans="1:16" ht="22" customHeight="1" x14ac:dyDescent="0.15">
      <c r="A2474" s="10" t="str">
        <f t="shared" si="433"/>
        <v>506_10_47_10_polygon</v>
      </c>
      <c r="B2474" s="2">
        <v>506</v>
      </c>
      <c r="C2474" s="30" t="str">
        <f>VLOOKUP(B2474,gachas!A:C,3)</f>
        <v>フィーバーフェス（１日目）</v>
      </c>
      <c r="D2474" s="21">
        <v>10</v>
      </c>
      <c r="E2474" s="2">
        <f t="shared" si="435"/>
        <v>47</v>
      </c>
      <c r="F2474" s="2">
        <v>10</v>
      </c>
      <c r="G2474" s="3" t="s">
        <v>22</v>
      </c>
      <c r="H2474" s="2">
        <v>50</v>
      </c>
      <c r="I2474" s="114" t="str">
        <f t="shared" si="436"/>
        <v>506100</v>
      </c>
      <c r="J2474" s="112" t="s">
        <v>685</v>
      </c>
      <c r="K2474" s="112" t="str">
        <f t="shared" si="434"/>
        <v>506100</v>
      </c>
      <c r="L2474" s="2">
        <v>1</v>
      </c>
      <c r="M2474" s="2" t="s">
        <v>84</v>
      </c>
      <c r="N2474" s="2" t="s">
        <v>84</v>
      </c>
      <c r="O2474" s="2" t="s">
        <v>841</v>
      </c>
      <c r="P2474" s="2" t="s">
        <v>378</v>
      </c>
    </row>
    <row r="2475" spans="1:16" ht="22" customHeight="1" x14ac:dyDescent="0.15">
      <c r="A2475" s="10" t="str">
        <f t="shared" si="433"/>
        <v>506_10_48_10_polygon</v>
      </c>
      <c r="B2475" s="2">
        <v>506</v>
      </c>
      <c r="C2475" s="30" t="str">
        <f>VLOOKUP(B2475,gachas!A:C,3)</f>
        <v>フィーバーフェス（１日目）</v>
      </c>
      <c r="D2475" s="21">
        <v>10</v>
      </c>
      <c r="E2475" s="2">
        <f t="shared" si="435"/>
        <v>48</v>
      </c>
      <c r="F2475" s="2">
        <v>10</v>
      </c>
      <c r="G2475" s="3" t="s">
        <v>22</v>
      </c>
      <c r="H2475" s="2">
        <v>50</v>
      </c>
      <c r="I2475" s="114" t="str">
        <f t="shared" si="436"/>
        <v>506100</v>
      </c>
      <c r="J2475" s="112" t="s">
        <v>685</v>
      </c>
      <c r="K2475" s="112" t="str">
        <f t="shared" si="434"/>
        <v>506100</v>
      </c>
      <c r="L2475" s="2">
        <v>1</v>
      </c>
      <c r="M2475" s="2" t="s">
        <v>84</v>
      </c>
      <c r="N2475" s="2" t="s">
        <v>84</v>
      </c>
      <c r="O2475" s="2" t="s">
        <v>841</v>
      </c>
      <c r="P2475" s="2" t="s">
        <v>378</v>
      </c>
    </row>
    <row r="2476" spans="1:16" ht="22" customHeight="1" x14ac:dyDescent="0.15">
      <c r="A2476" s="10" t="str">
        <f t="shared" si="433"/>
        <v>506_10_49_10_polygon</v>
      </c>
      <c r="B2476" s="2">
        <v>506</v>
      </c>
      <c r="C2476" s="30" t="str">
        <f>VLOOKUP(B2476,gachas!A:C,3)</f>
        <v>フィーバーフェス（１日目）</v>
      </c>
      <c r="D2476" s="21">
        <v>10</v>
      </c>
      <c r="E2476" s="2">
        <f t="shared" si="435"/>
        <v>49</v>
      </c>
      <c r="F2476" s="2">
        <v>10</v>
      </c>
      <c r="G2476" s="3" t="s">
        <v>22</v>
      </c>
      <c r="H2476" s="2">
        <v>50</v>
      </c>
      <c r="I2476" s="114" t="str">
        <f t="shared" si="436"/>
        <v>506100</v>
      </c>
      <c r="J2476" s="112" t="s">
        <v>685</v>
      </c>
      <c r="K2476" s="112" t="str">
        <f t="shared" si="434"/>
        <v>506100</v>
      </c>
      <c r="L2476" s="2">
        <v>1</v>
      </c>
      <c r="M2476" s="2" t="s">
        <v>84</v>
      </c>
      <c r="N2476" s="2" t="s">
        <v>84</v>
      </c>
      <c r="O2476" s="2" t="s">
        <v>841</v>
      </c>
      <c r="P2476" s="2" t="s">
        <v>378</v>
      </c>
    </row>
    <row r="2477" spans="1:16" ht="22" customHeight="1" x14ac:dyDescent="0.15">
      <c r="A2477" s="10" t="str">
        <f t="shared" si="433"/>
        <v>506_10_50_10_polygon</v>
      </c>
      <c r="B2477" s="2">
        <v>506</v>
      </c>
      <c r="C2477" s="30" t="str">
        <f>VLOOKUP(B2477,gachas!A:C,3)</f>
        <v>フィーバーフェス（１日目）</v>
      </c>
      <c r="D2477" s="21">
        <v>10</v>
      </c>
      <c r="E2477" s="2">
        <f t="shared" si="435"/>
        <v>50</v>
      </c>
      <c r="F2477" s="2">
        <v>10</v>
      </c>
      <c r="G2477" s="3" t="s">
        <v>22</v>
      </c>
      <c r="H2477" s="2">
        <v>50</v>
      </c>
      <c r="I2477" s="114" t="str">
        <f t="shared" si="436"/>
        <v>506100</v>
      </c>
      <c r="J2477" s="112" t="str">
        <f>CONCATENATE(B2477,D2477,5)</f>
        <v>506105</v>
      </c>
      <c r="K2477" s="112" t="str">
        <f t="shared" si="434"/>
        <v>506100</v>
      </c>
      <c r="L2477" s="2">
        <v>1</v>
      </c>
      <c r="M2477" s="2" t="s">
        <v>84</v>
      </c>
      <c r="N2477" s="2" t="s">
        <v>84</v>
      </c>
      <c r="O2477" s="2" t="s">
        <v>841</v>
      </c>
      <c r="P2477" s="2" t="s">
        <v>1763</v>
      </c>
    </row>
    <row r="2478" spans="1:16" ht="22" customHeight="1" x14ac:dyDescent="0.15">
      <c r="A2478" s="10" t="str">
        <f t="shared" si="433"/>
        <v>507_1_0_1_polygon</v>
      </c>
      <c r="B2478" s="2">
        <v>507</v>
      </c>
      <c r="C2478" s="30" t="str">
        <f>VLOOKUP(B2478,gachas!A:C,3)</f>
        <v>フィーバーフェス（2日目）</v>
      </c>
      <c r="D2478" s="21">
        <v>1</v>
      </c>
      <c r="E2478" s="2">
        <v>0</v>
      </c>
      <c r="F2478" s="2">
        <v>1</v>
      </c>
      <c r="G2478" s="3" t="s">
        <v>22</v>
      </c>
      <c r="H2478" s="2">
        <v>5</v>
      </c>
      <c r="I2478" s="114" t="str">
        <f t="shared" si="436"/>
        <v>507010</v>
      </c>
      <c r="J2478" s="112" t="s">
        <v>685</v>
      </c>
      <c r="K2478" s="112" t="s">
        <v>84</v>
      </c>
      <c r="L2478" s="2">
        <v>0</v>
      </c>
      <c r="M2478" s="2" t="s">
        <v>84</v>
      </c>
      <c r="N2478" s="2" t="s">
        <v>84</v>
      </c>
      <c r="O2478" s="2" t="s">
        <v>841</v>
      </c>
      <c r="P2478" s="2" t="s">
        <v>84</v>
      </c>
    </row>
    <row r="2479" spans="1:16" ht="22" customHeight="1" x14ac:dyDescent="0.15">
      <c r="A2479" s="10" t="str">
        <f t="shared" si="433"/>
        <v>507_10_0_10_polygon</v>
      </c>
      <c r="B2479" s="2">
        <v>507</v>
      </c>
      <c r="C2479" s="30" t="str">
        <f>VLOOKUP(B2479,gachas!A:C,3)</f>
        <v>フィーバーフェス（2日目）</v>
      </c>
      <c r="D2479" s="21">
        <v>10</v>
      </c>
      <c r="E2479" s="2">
        <v>0</v>
      </c>
      <c r="F2479" s="2">
        <v>10</v>
      </c>
      <c r="G2479" s="3" t="s">
        <v>22</v>
      </c>
      <c r="H2479" s="2">
        <v>50</v>
      </c>
      <c r="I2479" s="114" t="str">
        <f t="shared" si="436"/>
        <v>507100</v>
      </c>
      <c r="J2479" s="112" t="s">
        <v>685</v>
      </c>
      <c r="K2479" s="112" t="str">
        <f t="shared" ref="K2479:K2529" si="437">I2479</f>
        <v>507100</v>
      </c>
      <c r="L2479" s="2">
        <v>1</v>
      </c>
      <c r="M2479" s="2" t="s">
        <v>84</v>
      </c>
      <c r="N2479" s="2" t="s">
        <v>84</v>
      </c>
      <c r="O2479" s="2" t="s">
        <v>841</v>
      </c>
      <c r="P2479" s="2" t="s">
        <v>378</v>
      </c>
    </row>
    <row r="2480" spans="1:16" ht="22" customHeight="1" x14ac:dyDescent="0.15">
      <c r="A2480" s="10" t="str">
        <f t="shared" si="433"/>
        <v>507_10_1_10_polygon</v>
      </c>
      <c r="B2480" s="2">
        <v>507</v>
      </c>
      <c r="C2480" s="30" t="str">
        <f>VLOOKUP(B2480,gachas!A:C,3)</f>
        <v>フィーバーフェス（2日目）</v>
      </c>
      <c r="D2480" s="21">
        <v>10</v>
      </c>
      <c r="E2480" s="2">
        <f>E2479+1</f>
        <v>1</v>
      </c>
      <c r="F2480" s="2">
        <v>10</v>
      </c>
      <c r="G2480" s="3" t="s">
        <v>22</v>
      </c>
      <c r="H2480" s="2">
        <v>50</v>
      </c>
      <c r="I2480" s="114" t="str">
        <f t="shared" si="436"/>
        <v>507100</v>
      </c>
      <c r="J2480" s="112" t="s">
        <v>685</v>
      </c>
      <c r="K2480" s="112" t="str">
        <f t="shared" si="437"/>
        <v>507100</v>
      </c>
      <c r="L2480" s="2">
        <v>1</v>
      </c>
      <c r="M2480" s="2" t="s">
        <v>84</v>
      </c>
      <c r="N2480" s="2" t="s">
        <v>84</v>
      </c>
      <c r="O2480" s="2" t="s">
        <v>841</v>
      </c>
      <c r="P2480" s="2" t="s">
        <v>378</v>
      </c>
    </row>
    <row r="2481" spans="1:16" ht="22" customHeight="1" x14ac:dyDescent="0.15">
      <c r="A2481" s="10" t="str">
        <f t="shared" si="433"/>
        <v>507_10_2_10_polygon</v>
      </c>
      <c r="B2481" s="2">
        <v>507</v>
      </c>
      <c r="C2481" s="30" t="str">
        <f>VLOOKUP(B2481,gachas!A:C,3)</f>
        <v>フィーバーフェス（2日目）</v>
      </c>
      <c r="D2481" s="21">
        <v>10</v>
      </c>
      <c r="E2481" s="2">
        <f t="shared" ref="E2481:E2529" si="438">E2480+1</f>
        <v>2</v>
      </c>
      <c r="F2481" s="2">
        <v>10</v>
      </c>
      <c r="G2481" s="3" t="s">
        <v>22</v>
      </c>
      <c r="H2481" s="2">
        <v>50</v>
      </c>
      <c r="I2481" s="114" t="str">
        <f t="shared" si="436"/>
        <v>507100</v>
      </c>
      <c r="J2481" s="112" t="s">
        <v>685</v>
      </c>
      <c r="K2481" s="112" t="str">
        <f t="shared" si="437"/>
        <v>507100</v>
      </c>
      <c r="L2481" s="2">
        <v>1</v>
      </c>
      <c r="M2481" s="2" t="s">
        <v>84</v>
      </c>
      <c r="N2481" s="2" t="s">
        <v>84</v>
      </c>
      <c r="O2481" s="2" t="s">
        <v>841</v>
      </c>
      <c r="P2481" s="2" t="s">
        <v>378</v>
      </c>
    </row>
    <row r="2482" spans="1:16" ht="22" customHeight="1" x14ac:dyDescent="0.15">
      <c r="A2482" s="10" t="str">
        <f t="shared" si="433"/>
        <v>507_10_3_10_polygon</v>
      </c>
      <c r="B2482" s="2">
        <v>507</v>
      </c>
      <c r="C2482" s="30" t="str">
        <f>VLOOKUP(B2482,gachas!A:C,3)</f>
        <v>フィーバーフェス（2日目）</v>
      </c>
      <c r="D2482" s="21">
        <v>10</v>
      </c>
      <c r="E2482" s="2">
        <f t="shared" si="438"/>
        <v>3</v>
      </c>
      <c r="F2482" s="2">
        <v>10</v>
      </c>
      <c r="G2482" s="3" t="s">
        <v>22</v>
      </c>
      <c r="H2482" s="2">
        <v>50</v>
      </c>
      <c r="I2482" s="114" t="str">
        <f t="shared" si="436"/>
        <v>507100</v>
      </c>
      <c r="J2482" s="112" t="s">
        <v>685</v>
      </c>
      <c r="K2482" s="112" t="str">
        <f t="shared" si="437"/>
        <v>507100</v>
      </c>
      <c r="L2482" s="2">
        <v>1</v>
      </c>
      <c r="M2482" s="2" t="s">
        <v>84</v>
      </c>
      <c r="N2482" s="2" t="s">
        <v>84</v>
      </c>
      <c r="O2482" s="2" t="s">
        <v>841</v>
      </c>
      <c r="P2482" s="2" t="s">
        <v>378</v>
      </c>
    </row>
    <row r="2483" spans="1:16" ht="22" customHeight="1" x14ac:dyDescent="0.15">
      <c r="A2483" s="10" t="str">
        <f t="shared" si="433"/>
        <v>507_10_4_10_polygon</v>
      </c>
      <c r="B2483" s="2">
        <v>507</v>
      </c>
      <c r="C2483" s="30" t="str">
        <f>VLOOKUP(B2483,gachas!A:C,3)</f>
        <v>フィーバーフェス（2日目）</v>
      </c>
      <c r="D2483" s="21">
        <v>10</v>
      </c>
      <c r="E2483" s="2">
        <f t="shared" si="438"/>
        <v>4</v>
      </c>
      <c r="F2483" s="2">
        <v>10</v>
      </c>
      <c r="G2483" s="3" t="s">
        <v>22</v>
      </c>
      <c r="H2483" s="2">
        <v>50</v>
      </c>
      <c r="I2483" s="114" t="str">
        <f t="shared" si="436"/>
        <v>507100</v>
      </c>
      <c r="J2483" s="112" t="s">
        <v>685</v>
      </c>
      <c r="K2483" s="112" t="str">
        <f t="shared" si="437"/>
        <v>507100</v>
      </c>
      <c r="L2483" s="2">
        <v>1</v>
      </c>
      <c r="M2483" s="2" t="s">
        <v>84</v>
      </c>
      <c r="N2483" s="2" t="s">
        <v>84</v>
      </c>
      <c r="O2483" s="2" t="s">
        <v>841</v>
      </c>
      <c r="P2483" s="2" t="s">
        <v>378</v>
      </c>
    </row>
    <row r="2484" spans="1:16" ht="22" customHeight="1" x14ac:dyDescent="0.15">
      <c r="A2484" s="10" t="str">
        <f t="shared" si="433"/>
        <v>507_10_5_10_polygon</v>
      </c>
      <c r="B2484" s="2">
        <v>507</v>
      </c>
      <c r="C2484" s="30" t="str">
        <f>VLOOKUP(B2484,gachas!A:C,3)</f>
        <v>フィーバーフェス（2日目）</v>
      </c>
      <c r="D2484" s="21">
        <v>10</v>
      </c>
      <c r="E2484" s="2">
        <f t="shared" si="438"/>
        <v>5</v>
      </c>
      <c r="F2484" s="2">
        <v>10</v>
      </c>
      <c r="G2484" s="3" t="s">
        <v>22</v>
      </c>
      <c r="H2484" s="2">
        <v>50</v>
      </c>
      <c r="I2484" s="114" t="str">
        <f t="shared" si="436"/>
        <v>507100</v>
      </c>
      <c r="J2484" s="112" t="str">
        <f>CONCATENATE(B2484,D2484,5)</f>
        <v>507105</v>
      </c>
      <c r="K2484" s="112" t="str">
        <f t="shared" si="437"/>
        <v>507100</v>
      </c>
      <c r="L2484" s="2">
        <v>1</v>
      </c>
      <c r="M2484" s="2" t="s">
        <v>84</v>
      </c>
      <c r="N2484" s="2" t="s">
        <v>84</v>
      </c>
      <c r="O2484" s="2" t="s">
        <v>841</v>
      </c>
      <c r="P2484" s="2" t="s">
        <v>1763</v>
      </c>
    </row>
    <row r="2485" spans="1:16" ht="22" customHeight="1" x14ac:dyDescent="0.15">
      <c r="A2485" s="10" t="str">
        <f t="shared" si="433"/>
        <v>507_10_6_10_polygon</v>
      </c>
      <c r="B2485" s="2">
        <v>507</v>
      </c>
      <c r="C2485" s="30" t="str">
        <f>VLOOKUP(B2485,gachas!A:C,3)</f>
        <v>フィーバーフェス（2日目）</v>
      </c>
      <c r="D2485" s="21">
        <v>10</v>
      </c>
      <c r="E2485" s="2">
        <f t="shared" si="438"/>
        <v>6</v>
      </c>
      <c r="F2485" s="2">
        <v>10</v>
      </c>
      <c r="G2485" s="3" t="s">
        <v>22</v>
      </c>
      <c r="H2485" s="2">
        <v>50</v>
      </c>
      <c r="I2485" s="114" t="str">
        <f t="shared" si="436"/>
        <v>507100</v>
      </c>
      <c r="J2485" s="112" t="s">
        <v>685</v>
      </c>
      <c r="K2485" s="112" t="str">
        <f t="shared" si="437"/>
        <v>507100</v>
      </c>
      <c r="L2485" s="2">
        <v>1</v>
      </c>
      <c r="M2485" s="2" t="s">
        <v>84</v>
      </c>
      <c r="N2485" s="2" t="s">
        <v>84</v>
      </c>
      <c r="O2485" s="2" t="s">
        <v>841</v>
      </c>
      <c r="P2485" s="2" t="s">
        <v>378</v>
      </c>
    </row>
    <row r="2486" spans="1:16" ht="22" customHeight="1" x14ac:dyDescent="0.15">
      <c r="A2486" s="10" t="str">
        <f t="shared" si="433"/>
        <v>507_10_7_10_polygon</v>
      </c>
      <c r="B2486" s="2">
        <v>507</v>
      </c>
      <c r="C2486" s="30" t="str">
        <f>VLOOKUP(B2486,gachas!A:C,3)</f>
        <v>フィーバーフェス（2日目）</v>
      </c>
      <c r="D2486" s="21">
        <v>10</v>
      </c>
      <c r="E2486" s="2">
        <f t="shared" si="438"/>
        <v>7</v>
      </c>
      <c r="F2486" s="2">
        <v>10</v>
      </c>
      <c r="G2486" s="3" t="s">
        <v>22</v>
      </c>
      <c r="H2486" s="2">
        <v>50</v>
      </c>
      <c r="I2486" s="114" t="str">
        <f t="shared" si="436"/>
        <v>507100</v>
      </c>
      <c r="J2486" s="112" t="s">
        <v>685</v>
      </c>
      <c r="K2486" s="112" t="str">
        <f t="shared" si="437"/>
        <v>507100</v>
      </c>
      <c r="L2486" s="2">
        <v>1</v>
      </c>
      <c r="M2486" s="2" t="s">
        <v>84</v>
      </c>
      <c r="N2486" s="2" t="s">
        <v>84</v>
      </c>
      <c r="O2486" s="2" t="s">
        <v>841</v>
      </c>
      <c r="P2486" s="2" t="s">
        <v>378</v>
      </c>
    </row>
    <row r="2487" spans="1:16" ht="22" customHeight="1" x14ac:dyDescent="0.15">
      <c r="A2487" s="10" t="str">
        <f t="shared" si="433"/>
        <v>507_10_8_10_polygon</v>
      </c>
      <c r="B2487" s="2">
        <v>507</v>
      </c>
      <c r="C2487" s="30" t="str">
        <f>VLOOKUP(B2487,gachas!A:C,3)</f>
        <v>フィーバーフェス（2日目）</v>
      </c>
      <c r="D2487" s="21">
        <v>10</v>
      </c>
      <c r="E2487" s="2">
        <f t="shared" si="438"/>
        <v>8</v>
      </c>
      <c r="F2487" s="2">
        <v>10</v>
      </c>
      <c r="G2487" s="3" t="s">
        <v>22</v>
      </c>
      <c r="H2487" s="2">
        <v>50</v>
      </c>
      <c r="I2487" s="114" t="str">
        <f t="shared" si="436"/>
        <v>507100</v>
      </c>
      <c r="J2487" s="112" t="s">
        <v>685</v>
      </c>
      <c r="K2487" s="112" t="str">
        <f t="shared" si="437"/>
        <v>507100</v>
      </c>
      <c r="L2487" s="2">
        <v>1</v>
      </c>
      <c r="M2487" s="2" t="s">
        <v>84</v>
      </c>
      <c r="N2487" s="2" t="s">
        <v>84</v>
      </c>
      <c r="O2487" s="2" t="s">
        <v>841</v>
      </c>
      <c r="P2487" s="2" t="s">
        <v>378</v>
      </c>
    </row>
    <row r="2488" spans="1:16" ht="22" customHeight="1" x14ac:dyDescent="0.15">
      <c r="A2488" s="10" t="str">
        <f t="shared" si="433"/>
        <v>507_10_9_10_polygon</v>
      </c>
      <c r="B2488" s="2">
        <v>507</v>
      </c>
      <c r="C2488" s="30" t="str">
        <f>VLOOKUP(B2488,gachas!A:C,3)</f>
        <v>フィーバーフェス（2日目）</v>
      </c>
      <c r="D2488" s="21">
        <v>10</v>
      </c>
      <c r="E2488" s="2">
        <f t="shared" si="438"/>
        <v>9</v>
      </c>
      <c r="F2488" s="2">
        <v>10</v>
      </c>
      <c r="G2488" s="3" t="s">
        <v>22</v>
      </c>
      <c r="H2488" s="2">
        <v>50</v>
      </c>
      <c r="I2488" s="114" t="str">
        <f t="shared" si="436"/>
        <v>507100</v>
      </c>
      <c r="J2488" s="112" t="s">
        <v>685</v>
      </c>
      <c r="K2488" s="112" t="str">
        <f t="shared" si="437"/>
        <v>507100</v>
      </c>
      <c r="L2488" s="2">
        <v>1</v>
      </c>
      <c r="M2488" s="2" t="s">
        <v>84</v>
      </c>
      <c r="N2488" s="2" t="s">
        <v>84</v>
      </c>
      <c r="O2488" s="2" t="s">
        <v>841</v>
      </c>
      <c r="P2488" s="2" t="s">
        <v>378</v>
      </c>
    </row>
    <row r="2489" spans="1:16" ht="22" customHeight="1" x14ac:dyDescent="0.15">
      <c r="A2489" s="10" t="str">
        <f t="shared" si="433"/>
        <v>507_10_10_10_polygon</v>
      </c>
      <c r="B2489" s="2">
        <v>507</v>
      </c>
      <c r="C2489" s="30" t="str">
        <f>VLOOKUP(B2489,gachas!A:C,3)</f>
        <v>フィーバーフェス（2日目）</v>
      </c>
      <c r="D2489" s="21">
        <v>10</v>
      </c>
      <c r="E2489" s="2">
        <f t="shared" si="438"/>
        <v>10</v>
      </c>
      <c r="F2489" s="2">
        <v>10</v>
      </c>
      <c r="G2489" s="3" t="s">
        <v>22</v>
      </c>
      <c r="H2489" s="2">
        <v>50</v>
      </c>
      <c r="I2489" s="114" t="str">
        <f t="shared" si="436"/>
        <v>507100</v>
      </c>
      <c r="J2489" s="112" t="str">
        <f>CONCATENATE(B2489,D2489,5)</f>
        <v>507105</v>
      </c>
      <c r="K2489" s="112" t="str">
        <f t="shared" si="437"/>
        <v>507100</v>
      </c>
      <c r="L2489" s="2">
        <v>1</v>
      </c>
      <c r="M2489" s="2" t="s">
        <v>84</v>
      </c>
      <c r="N2489" s="2" t="s">
        <v>84</v>
      </c>
      <c r="O2489" s="2" t="s">
        <v>841</v>
      </c>
      <c r="P2489" s="2" t="s">
        <v>1763</v>
      </c>
    </row>
    <row r="2490" spans="1:16" ht="22" customHeight="1" x14ac:dyDescent="0.15">
      <c r="A2490" s="10" t="str">
        <f t="shared" si="433"/>
        <v>507_10_11_10_polygon</v>
      </c>
      <c r="B2490" s="2">
        <v>507</v>
      </c>
      <c r="C2490" s="30" t="str">
        <f>VLOOKUP(B2490,gachas!A:C,3)</f>
        <v>フィーバーフェス（2日目）</v>
      </c>
      <c r="D2490" s="21">
        <v>10</v>
      </c>
      <c r="E2490" s="2">
        <f t="shared" si="438"/>
        <v>11</v>
      </c>
      <c r="F2490" s="2">
        <v>10</v>
      </c>
      <c r="G2490" s="3" t="s">
        <v>22</v>
      </c>
      <c r="H2490" s="2">
        <v>50</v>
      </c>
      <c r="I2490" s="114" t="str">
        <f t="shared" si="436"/>
        <v>507100</v>
      </c>
      <c r="J2490" s="112" t="s">
        <v>685</v>
      </c>
      <c r="K2490" s="112" t="str">
        <f t="shared" si="437"/>
        <v>507100</v>
      </c>
      <c r="L2490" s="2">
        <v>1</v>
      </c>
      <c r="M2490" s="2" t="s">
        <v>84</v>
      </c>
      <c r="N2490" s="2" t="s">
        <v>84</v>
      </c>
      <c r="O2490" s="2" t="s">
        <v>841</v>
      </c>
      <c r="P2490" s="2" t="s">
        <v>378</v>
      </c>
    </row>
    <row r="2491" spans="1:16" ht="22" customHeight="1" x14ac:dyDescent="0.15">
      <c r="A2491" s="10" t="str">
        <f t="shared" si="433"/>
        <v>507_10_12_10_polygon</v>
      </c>
      <c r="B2491" s="2">
        <v>507</v>
      </c>
      <c r="C2491" s="30" t="str">
        <f>VLOOKUP(B2491,gachas!A:C,3)</f>
        <v>フィーバーフェス（2日目）</v>
      </c>
      <c r="D2491" s="21">
        <v>10</v>
      </c>
      <c r="E2491" s="2">
        <f t="shared" si="438"/>
        <v>12</v>
      </c>
      <c r="F2491" s="2">
        <v>10</v>
      </c>
      <c r="G2491" s="3" t="s">
        <v>22</v>
      </c>
      <c r="H2491" s="2">
        <v>50</v>
      </c>
      <c r="I2491" s="114" t="str">
        <f t="shared" si="436"/>
        <v>507100</v>
      </c>
      <c r="J2491" s="112" t="s">
        <v>685</v>
      </c>
      <c r="K2491" s="112" t="str">
        <f t="shared" si="437"/>
        <v>507100</v>
      </c>
      <c r="L2491" s="2">
        <v>1</v>
      </c>
      <c r="M2491" s="2" t="s">
        <v>84</v>
      </c>
      <c r="N2491" s="2" t="s">
        <v>84</v>
      </c>
      <c r="O2491" s="2" t="s">
        <v>841</v>
      </c>
      <c r="P2491" s="2" t="s">
        <v>378</v>
      </c>
    </row>
    <row r="2492" spans="1:16" ht="22" customHeight="1" x14ac:dyDescent="0.15">
      <c r="A2492" s="10" t="str">
        <f t="shared" si="433"/>
        <v>507_10_13_10_polygon</v>
      </c>
      <c r="B2492" s="2">
        <v>507</v>
      </c>
      <c r="C2492" s="30" t="str">
        <f>VLOOKUP(B2492,gachas!A:C,3)</f>
        <v>フィーバーフェス（2日目）</v>
      </c>
      <c r="D2492" s="21">
        <v>10</v>
      </c>
      <c r="E2492" s="2">
        <f t="shared" si="438"/>
        <v>13</v>
      </c>
      <c r="F2492" s="2">
        <v>10</v>
      </c>
      <c r="G2492" s="3" t="s">
        <v>22</v>
      </c>
      <c r="H2492" s="2">
        <v>50</v>
      </c>
      <c r="I2492" s="114" t="str">
        <f t="shared" si="436"/>
        <v>507100</v>
      </c>
      <c r="J2492" s="112" t="s">
        <v>685</v>
      </c>
      <c r="K2492" s="112" t="str">
        <f t="shared" si="437"/>
        <v>507100</v>
      </c>
      <c r="L2492" s="2">
        <v>1</v>
      </c>
      <c r="M2492" s="2" t="s">
        <v>84</v>
      </c>
      <c r="N2492" s="2" t="s">
        <v>84</v>
      </c>
      <c r="O2492" s="2" t="s">
        <v>841</v>
      </c>
      <c r="P2492" s="2" t="s">
        <v>378</v>
      </c>
    </row>
    <row r="2493" spans="1:16" ht="22" customHeight="1" x14ac:dyDescent="0.15">
      <c r="A2493" s="10" t="str">
        <f t="shared" si="433"/>
        <v>507_10_14_10_polygon</v>
      </c>
      <c r="B2493" s="2">
        <v>507</v>
      </c>
      <c r="C2493" s="30" t="str">
        <f>VLOOKUP(B2493,gachas!A:C,3)</f>
        <v>フィーバーフェス（2日目）</v>
      </c>
      <c r="D2493" s="21">
        <v>10</v>
      </c>
      <c r="E2493" s="2">
        <f t="shared" si="438"/>
        <v>14</v>
      </c>
      <c r="F2493" s="2">
        <v>10</v>
      </c>
      <c r="G2493" s="3" t="s">
        <v>22</v>
      </c>
      <c r="H2493" s="2">
        <v>50</v>
      </c>
      <c r="I2493" s="114" t="str">
        <f t="shared" ref="I2493:I2544" si="439">CONCATENATE(B2493,IF(D2493=1,"01","10"),0)</f>
        <v>507100</v>
      </c>
      <c r="J2493" s="112" t="s">
        <v>685</v>
      </c>
      <c r="K2493" s="112" t="str">
        <f t="shared" si="437"/>
        <v>507100</v>
      </c>
      <c r="L2493" s="2">
        <v>1</v>
      </c>
      <c r="M2493" s="2" t="s">
        <v>84</v>
      </c>
      <c r="N2493" s="2" t="s">
        <v>84</v>
      </c>
      <c r="O2493" s="2" t="s">
        <v>841</v>
      </c>
      <c r="P2493" s="2" t="s">
        <v>378</v>
      </c>
    </row>
    <row r="2494" spans="1:16" ht="22" customHeight="1" x14ac:dyDescent="0.15">
      <c r="A2494" s="10" t="str">
        <f t="shared" si="433"/>
        <v>507_10_15_10_polygon</v>
      </c>
      <c r="B2494" s="2">
        <v>507</v>
      </c>
      <c r="C2494" s="30" t="str">
        <f>VLOOKUP(B2494,gachas!A:C,3)</f>
        <v>フィーバーフェス（2日目）</v>
      </c>
      <c r="D2494" s="21">
        <v>10</v>
      </c>
      <c r="E2494" s="2">
        <f t="shared" si="438"/>
        <v>15</v>
      </c>
      <c r="F2494" s="2">
        <v>10</v>
      </c>
      <c r="G2494" s="3" t="s">
        <v>22</v>
      </c>
      <c r="H2494" s="2">
        <v>50</v>
      </c>
      <c r="I2494" s="114" t="str">
        <f t="shared" si="439"/>
        <v>507100</v>
      </c>
      <c r="J2494" s="112" t="str">
        <f>CONCATENATE(B2494,D2494,5)</f>
        <v>507105</v>
      </c>
      <c r="K2494" s="112" t="str">
        <f t="shared" si="437"/>
        <v>507100</v>
      </c>
      <c r="L2494" s="2">
        <v>1</v>
      </c>
      <c r="M2494" s="2" t="s">
        <v>84</v>
      </c>
      <c r="N2494" s="2" t="s">
        <v>84</v>
      </c>
      <c r="O2494" s="2" t="s">
        <v>841</v>
      </c>
      <c r="P2494" s="2" t="s">
        <v>1763</v>
      </c>
    </row>
    <row r="2495" spans="1:16" ht="22" customHeight="1" x14ac:dyDescent="0.15">
      <c r="A2495" s="10" t="str">
        <f t="shared" si="433"/>
        <v>507_10_16_10_polygon</v>
      </c>
      <c r="B2495" s="2">
        <v>507</v>
      </c>
      <c r="C2495" s="30" t="str">
        <f>VLOOKUP(B2495,gachas!A:C,3)</f>
        <v>フィーバーフェス（2日目）</v>
      </c>
      <c r="D2495" s="21">
        <v>10</v>
      </c>
      <c r="E2495" s="2">
        <f t="shared" si="438"/>
        <v>16</v>
      </c>
      <c r="F2495" s="2">
        <v>10</v>
      </c>
      <c r="G2495" s="3" t="s">
        <v>22</v>
      </c>
      <c r="H2495" s="2">
        <v>50</v>
      </c>
      <c r="I2495" s="114" t="str">
        <f t="shared" si="439"/>
        <v>507100</v>
      </c>
      <c r="J2495" s="112" t="s">
        <v>685</v>
      </c>
      <c r="K2495" s="112" t="str">
        <f t="shared" si="437"/>
        <v>507100</v>
      </c>
      <c r="L2495" s="2">
        <v>1</v>
      </c>
      <c r="M2495" s="2" t="s">
        <v>84</v>
      </c>
      <c r="N2495" s="2" t="s">
        <v>84</v>
      </c>
      <c r="O2495" s="2" t="s">
        <v>841</v>
      </c>
      <c r="P2495" s="2" t="s">
        <v>378</v>
      </c>
    </row>
    <row r="2496" spans="1:16" ht="22" customHeight="1" x14ac:dyDescent="0.15">
      <c r="A2496" s="10" t="str">
        <f t="shared" si="433"/>
        <v>507_10_17_10_polygon</v>
      </c>
      <c r="B2496" s="2">
        <v>507</v>
      </c>
      <c r="C2496" s="30" t="str">
        <f>VLOOKUP(B2496,gachas!A:C,3)</f>
        <v>フィーバーフェス（2日目）</v>
      </c>
      <c r="D2496" s="21">
        <v>10</v>
      </c>
      <c r="E2496" s="2">
        <f t="shared" si="438"/>
        <v>17</v>
      </c>
      <c r="F2496" s="2">
        <v>10</v>
      </c>
      <c r="G2496" s="3" t="s">
        <v>22</v>
      </c>
      <c r="H2496" s="2">
        <v>50</v>
      </c>
      <c r="I2496" s="114" t="str">
        <f t="shared" si="439"/>
        <v>507100</v>
      </c>
      <c r="J2496" s="112" t="s">
        <v>685</v>
      </c>
      <c r="K2496" s="112" t="str">
        <f t="shared" si="437"/>
        <v>507100</v>
      </c>
      <c r="L2496" s="2">
        <v>1</v>
      </c>
      <c r="M2496" s="2" t="s">
        <v>84</v>
      </c>
      <c r="N2496" s="2" t="s">
        <v>84</v>
      </c>
      <c r="O2496" s="2" t="s">
        <v>841</v>
      </c>
      <c r="P2496" s="2" t="s">
        <v>378</v>
      </c>
    </row>
    <row r="2497" spans="1:16" ht="22" customHeight="1" x14ac:dyDescent="0.15">
      <c r="A2497" s="10" t="str">
        <f t="shared" si="433"/>
        <v>507_10_18_10_polygon</v>
      </c>
      <c r="B2497" s="2">
        <v>507</v>
      </c>
      <c r="C2497" s="30" t="str">
        <f>VLOOKUP(B2497,gachas!A:C,3)</f>
        <v>フィーバーフェス（2日目）</v>
      </c>
      <c r="D2497" s="21">
        <v>10</v>
      </c>
      <c r="E2497" s="2">
        <f t="shared" si="438"/>
        <v>18</v>
      </c>
      <c r="F2497" s="2">
        <v>10</v>
      </c>
      <c r="G2497" s="3" t="s">
        <v>22</v>
      </c>
      <c r="H2497" s="2">
        <v>50</v>
      </c>
      <c r="I2497" s="114" t="str">
        <f t="shared" si="439"/>
        <v>507100</v>
      </c>
      <c r="J2497" s="112" t="s">
        <v>685</v>
      </c>
      <c r="K2497" s="112" t="str">
        <f t="shared" si="437"/>
        <v>507100</v>
      </c>
      <c r="L2497" s="2">
        <v>1</v>
      </c>
      <c r="M2497" s="2" t="s">
        <v>84</v>
      </c>
      <c r="N2497" s="2" t="s">
        <v>84</v>
      </c>
      <c r="O2497" s="2" t="s">
        <v>841</v>
      </c>
      <c r="P2497" s="2" t="s">
        <v>378</v>
      </c>
    </row>
    <row r="2498" spans="1:16" ht="22" customHeight="1" x14ac:dyDescent="0.15">
      <c r="A2498" s="10" t="str">
        <f t="shared" si="433"/>
        <v>507_10_19_10_polygon</v>
      </c>
      <c r="B2498" s="2">
        <v>507</v>
      </c>
      <c r="C2498" s="30" t="str">
        <f>VLOOKUP(B2498,gachas!A:C,3)</f>
        <v>フィーバーフェス（2日目）</v>
      </c>
      <c r="D2498" s="21">
        <v>10</v>
      </c>
      <c r="E2498" s="2">
        <f t="shared" si="438"/>
        <v>19</v>
      </c>
      <c r="F2498" s="2">
        <v>10</v>
      </c>
      <c r="G2498" s="3" t="s">
        <v>22</v>
      </c>
      <c r="H2498" s="2">
        <v>50</v>
      </c>
      <c r="I2498" s="114" t="str">
        <f t="shared" si="439"/>
        <v>507100</v>
      </c>
      <c r="J2498" s="112" t="s">
        <v>685</v>
      </c>
      <c r="K2498" s="112" t="str">
        <f t="shared" si="437"/>
        <v>507100</v>
      </c>
      <c r="L2498" s="2">
        <v>1</v>
      </c>
      <c r="M2498" s="2" t="s">
        <v>84</v>
      </c>
      <c r="N2498" s="2" t="s">
        <v>84</v>
      </c>
      <c r="O2498" s="2" t="s">
        <v>841</v>
      </c>
      <c r="P2498" s="2" t="s">
        <v>378</v>
      </c>
    </row>
    <row r="2499" spans="1:16" ht="22" customHeight="1" x14ac:dyDescent="0.15">
      <c r="A2499" s="10" t="str">
        <f t="shared" si="433"/>
        <v>507_10_20_10_polygon</v>
      </c>
      <c r="B2499" s="2">
        <v>507</v>
      </c>
      <c r="C2499" s="30" t="str">
        <f>VLOOKUP(B2499,gachas!A:C,3)</f>
        <v>フィーバーフェス（2日目）</v>
      </c>
      <c r="D2499" s="21">
        <v>10</v>
      </c>
      <c r="E2499" s="2">
        <f t="shared" si="438"/>
        <v>20</v>
      </c>
      <c r="F2499" s="2">
        <v>10</v>
      </c>
      <c r="G2499" s="3" t="s">
        <v>22</v>
      </c>
      <c r="H2499" s="2">
        <v>50</v>
      </c>
      <c r="I2499" s="114" t="str">
        <f t="shared" si="439"/>
        <v>507100</v>
      </c>
      <c r="J2499" s="112" t="str">
        <f>CONCATENATE(B2499,D2499,5)</f>
        <v>507105</v>
      </c>
      <c r="K2499" s="112" t="str">
        <f t="shared" si="437"/>
        <v>507100</v>
      </c>
      <c r="L2499" s="2">
        <v>1</v>
      </c>
      <c r="M2499" s="2" t="s">
        <v>84</v>
      </c>
      <c r="N2499" s="2" t="s">
        <v>84</v>
      </c>
      <c r="O2499" s="2" t="s">
        <v>841</v>
      </c>
      <c r="P2499" s="2" t="s">
        <v>1763</v>
      </c>
    </row>
    <row r="2500" spans="1:16" ht="22" customHeight="1" x14ac:dyDescent="0.15">
      <c r="A2500" s="10" t="str">
        <f t="shared" si="433"/>
        <v>507_10_21_10_polygon</v>
      </c>
      <c r="B2500" s="2">
        <v>507</v>
      </c>
      <c r="C2500" s="30" t="str">
        <f>VLOOKUP(B2500,gachas!A:C,3)</f>
        <v>フィーバーフェス（2日目）</v>
      </c>
      <c r="D2500" s="21">
        <v>10</v>
      </c>
      <c r="E2500" s="2">
        <f t="shared" si="438"/>
        <v>21</v>
      </c>
      <c r="F2500" s="2">
        <v>10</v>
      </c>
      <c r="G2500" s="3" t="s">
        <v>22</v>
      </c>
      <c r="H2500" s="2">
        <v>50</v>
      </c>
      <c r="I2500" s="114" t="str">
        <f t="shared" si="439"/>
        <v>507100</v>
      </c>
      <c r="J2500" s="112" t="s">
        <v>685</v>
      </c>
      <c r="K2500" s="112" t="str">
        <f t="shared" si="437"/>
        <v>507100</v>
      </c>
      <c r="L2500" s="2">
        <v>1</v>
      </c>
      <c r="M2500" s="2" t="s">
        <v>84</v>
      </c>
      <c r="N2500" s="2" t="s">
        <v>84</v>
      </c>
      <c r="O2500" s="2" t="s">
        <v>841</v>
      </c>
      <c r="P2500" s="2" t="s">
        <v>378</v>
      </c>
    </row>
    <row r="2501" spans="1:16" ht="22" customHeight="1" x14ac:dyDescent="0.15">
      <c r="A2501" s="10" t="str">
        <f t="shared" si="433"/>
        <v>507_10_22_10_polygon</v>
      </c>
      <c r="B2501" s="2">
        <v>507</v>
      </c>
      <c r="C2501" s="30" t="str">
        <f>VLOOKUP(B2501,gachas!A:C,3)</f>
        <v>フィーバーフェス（2日目）</v>
      </c>
      <c r="D2501" s="21">
        <v>10</v>
      </c>
      <c r="E2501" s="2">
        <f t="shared" si="438"/>
        <v>22</v>
      </c>
      <c r="F2501" s="2">
        <v>10</v>
      </c>
      <c r="G2501" s="3" t="s">
        <v>22</v>
      </c>
      <c r="H2501" s="2">
        <v>50</v>
      </c>
      <c r="I2501" s="114" t="str">
        <f t="shared" si="439"/>
        <v>507100</v>
      </c>
      <c r="J2501" s="112" t="s">
        <v>685</v>
      </c>
      <c r="K2501" s="112" t="str">
        <f t="shared" si="437"/>
        <v>507100</v>
      </c>
      <c r="L2501" s="2">
        <v>1</v>
      </c>
      <c r="M2501" s="2" t="s">
        <v>84</v>
      </c>
      <c r="N2501" s="2" t="s">
        <v>84</v>
      </c>
      <c r="O2501" s="2" t="s">
        <v>841</v>
      </c>
      <c r="P2501" s="2" t="s">
        <v>378</v>
      </c>
    </row>
    <row r="2502" spans="1:16" ht="22" customHeight="1" x14ac:dyDescent="0.15">
      <c r="A2502" s="10" t="str">
        <f t="shared" si="433"/>
        <v>507_10_23_10_polygon</v>
      </c>
      <c r="B2502" s="2">
        <v>507</v>
      </c>
      <c r="C2502" s="30" t="str">
        <f>VLOOKUP(B2502,gachas!A:C,3)</f>
        <v>フィーバーフェス（2日目）</v>
      </c>
      <c r="D2502" s="21">
        <v>10</v>
      </c>
      <c r="E2502" s="2">
        <f t="shared" si="438"/>
        <v>23</v>
      </c>
      <c r="F2502" s="2">
        <v>10</v>
      </c>
      <c r="G2502" s="3" t="s">
        <v>22</v>
      </c>
      <c r="H2502" s="2">
        <v>50</v>
      </c>
      <c r="I2502" s="114" t="str">
        <f t="shared" si="439"/>
        <v>507100</v>
      </c>
      <c r="J2502" s="112" t="s">
        <v>685</v>
      </c>
      <c r="K2502" s="112" t="str">
        <f t="shared" si="437"/>
        <v>507100</v>
      </c>
      <c r="L2502" s="2">
        <v>1</v>
      </c>
      <c r="M2502" s="2" t="s">
        <v>84</v>
      </c>
      <c r="N2502" s="2" t="s">
        <v>84</v>
      </c>
      <c r="O2502" s="2" t="s">
        <v>841</v>
      </c>
      <c r="P2502" s="2" t="s">
        <v>378</v>
      </c>
    </row>
    <row r="2503" spans="1:16" ht="22" customHeight="1" x14ac:dyDescent="0.15">
      <c r="A2503" s="10" t="str">
        <f t="shared" si="433"/>
        <v>507_10_24_10_polygon</v>
      </c>
      <c r="B2503" s="2">
        <v>507</v>
      </c>
      <c r="C2503" s="30" t="str">
        <f>VLOOKUP(B2503,gachas!A:C,3)</f>
        <v>フィーバーフェス（2日目）</v>
      </c>
      <c r="D2503" s="21">
        <v>10</v>
      </c>
      <c r="E2503" s="2">
        <f t="shared" si="438"/>
        <v>24</v>
      </c>
      <c r="F2503" s="2">
        <v>10</v>
      </c>
      <c r="G2503" s="3" t="s">
        <v>22</v>
      </c>
      <c r="H2503" s="2">
        <v>50</v>
      </c>
      <c r="I2503" s="114" t="str">
        <f t="shared" si="439"/>
        <v>507100</v>
      </c>
      <c r="J2503" s="112" t="s">
        <v>685</v>
      </c>
      <c r="K2503" s="112" t="str">
        <f t="shared" si="437"/>
        <v>507100</v>
      </c>
      <c r="L2503" s="2">
        <v>1</v>
      </c>
      <c r="M2503" s="2" t="s">
        <v>84</v>
      </c>
      <c r="N2503" s="2" t="s">
        <v>84</v>
      </c>
      <c r="O2503" s="2" t="s">
        <v>841</v>
      </c>
      <c r="P2503" s="2" t="s">
        <v>378</v>
      </c>
    </row>
    <row r="2504" spans="1:16" ht="22" customHeight="1" x14ac:dyDescent="0.15">
      <c r="A2504" s="10" t="str">
        <f t="shared" si="433"/>
        <v>507_10_25_10_polygon</v>
      </c>
      <c r="B2504" s="2">
        <v>507</v>
      </c>
      <c r="C2504" s="30" t="str">
        <f>VLOOKUP(B2504,gachas!A:C,3)</f>
        <v>フィーバーフェス（2日目）</v>
      </c>
      <c r="D2504" s="21">
        <v>10</v>
      </c>
      <c r="E2504" s="2">
        <f t="shared" si="438"/>
        <v>25</v>
      </c>
      <c r="F2504" s="2">
        <v>10</v>
      </c>
      <c r="G2504" s="3" t="s">
        <v>22</v>
      </c>
      <c r="H2504" s="2">
        <v>50</v>
      </c>
      <c r="I2504" s="114" t="str">
        <f t="shared" si="439"/>
        <v>507100</v>
      </c>
      <c r="J2504" s="112" t="str">
        <f>CONCATENATE(B2504,D2504,5)</f>
        <v>507105</v>
      </c>
      <c r="K2504" s="112" t="str">
        <f t="shared" si="437"/>
        <v>507100</v>
      </c>
      <c r="L2504" s="2">
        <v>1</v>
      </c>
      <c r="M2504" s="2" t="s">
        <v>84</v>
      </c>
      <c r="N2504" s="2" t="s">
        <v>84</v>
      </c>
      <c r="O2504" s="2" t="s">
        <v>841</v>
      </c>
      <c r="P2504" s="2" t="s">
        <v>1763</v>
      </c>
    </row>
    <row r="2505" spans="1:16" ht="22" customHeight="1" x14ac:dyDescent="0.15">
      <c r="A2505" s="10" t="str">
        <f t="shared" si="433"/>
        <v>507_10_26_10_polygon</v>
      </c>
      <c r="B2505" s="2">
        <v>507</v>
      </c>
      <c r="C2505" s="30" t="str">
        <f>VLOOKUP(B2505,gachas!A:C,3)</f>
        <v>フィーバーフェス（2日目）</v>
      </c>
      <c r="D2505" s="21">
        <v>10</v>
      </c>
      <c r="E2505" s="2">
        <f t="shared" si="438"/>
        <v>26</v>
      </c>
      <c r="F2505" s="2">
        <v>10</v>
      </c>
      <c r="G2505" s="3" t="s">
        <v>22</v>
      </c>
      <c r="H2505" s="2">
        <v>50</v>
      </c>
      <c r="I2505" s="114" t="str">
        <f t="shared" si="439"/>
        <v>507100</v>
      </c>
      <c r="J2505" s="112" t="s">
        <v>685</v>
      </c>
      <c r="K2505" s="112" t="str">
        <f t="shared" si="437"/>
        <v>507100</v>
      </c>
      <c r="L2505" s="2">
        <v>1</v>
      </c>
      <c r="M2505" s="2" t="s">
        <v>84</v>
      </c>
      <c r="N2505" s="2" t="s">
        <v>84</v>
      </c>
      <c r="O2505" s="2" t="s">
        <v>841</v>
      </c>
      <c r="P2505" s="2" t="s">
        <v>378</v>
      </c>
    </row>
    <row r="2506" spans="1:16" ht="22" customHeight="1" x14ac:dyDescent="0.15">
      <c r="A2506" s="10" t="str">
        <f t="shared" si="433"/>
        <v>507_10_27_10_polygon</v>
      </c>
      <c r="B2506" s="2">
        <v>507</v>
      </c>
      <c r="C2506" s="30" t="str">
        <f>VLOOKUP(B2506,gachas!A:C,3)</f>
        <v>フィーバーフェス（2日目）</v>
      </c>
      <c r="D2506" s="21">
        <v>10</v>
      </c>
      <c r="E2506" s="2">
        <f t="shared" si="438"/>
        <v>27</v>
      </c>
      <c r="F2506" s="2">
        <v>10</v>
      </c>
      <c r="G2506" s="3" t="s">
        <v>22</v>
      </c>
      <c r="H2506" s="2">
        <v>50</v>
      </c>
      <c r="I2506" s="114" t="str">
        <f t="shared" si="439"/>
        <v>507100</v>
      </c>
      <c r="J2506" s="112" t="s">
        <v>685</v>
      </c>
      <c r="K2506" s="112" t="str">
        <f t="shared" si="437"/>
        <v>507100</v>
      </c>
      <c r="L2506" s="2">
        <v>1</v>
      </c>
      <c r="M2506" s="2" t="s">
        <v>84</v>
      </c>
      <c r="N2506" s="2" t="s">
        <v>84</v>
      </c>
      <c r="O2506" s="2" t="s">
        <v>841</v>
      </c>
      <c r="P2506" s="2" t="s">
        <v>378</v>
      </c>
    </row>
    <row r="2507" spans="1:16" ht="22" customHeight="1" x14ac:dyDescent="0.15">
      <c r="A2507" s="10" t="str">
        <f t="shared" si="433"/>
        <v>507_10_28_10_polygon</v>
      </c>
      <c r="B2507" s="2">
        <v>507</v>
      </c>
      <c r="C2507" s="30" t="str">
        <f>VLOOKUP(B2507,gachas!A:C,3)</f>
        <v>フィーバーフェス（2日目）</v>
      </c>
      <c r="D2507" s="21">
        <v>10</v>
      </c>
      <c r="E2507" s="2">
        <f t="shared" si="438"/>
        <v>28</v>
      </c>
      <c r="F2507" s="2">
        <v>10</v>
      </c>
      <c r="G2507" s="3" t="s">
        <v>22</v>
      </c>
      <c r="H2507" s="2">
        <v>50</v>
      </c>
      <c r="I2507" s="114" t="str">
        <f t="shared" si="439"/>
        <v>507100</v>
      </c>
      <c r="J2507" s="112" t="s">
        <v>685</v>
      </c>
      <c r="K2507" s="112" t="str">
        <f t="shared" si="437"/>
        <v>507100</v>
      </c>
      <c r="L2507" s="2">
        <v>1</v>
      </c>
      <c r="M2507" s="2" t="s">
        <v>84</v>
      </c>
      <c r="N2507" s="2" t="s">
        <v>84</v>
      </c>
      <c r="O2507" s="2" t="s">
        <v>841</v>
      </c>
      <c r="P2507" s="2" t="s">
        <v>378</v>
      </c>
    </row>
    <row r="2508" spans="1:16" ht="22" customHeight="1" x14ac:dyDescent="0.15">
      <c r="A2508" s="10" t="str">
        <f t="shared" si="433"/>
        <v>507_10_29_10_polygon</v>
      </c>
      <c r="B2508" s="2">
        <v>507</v>
      </c>
      <c r="C2508" s="30" t="str">
        <f>VLOOKUP(B2508,gachas!A:C,3)</f>
        <v>フィーバーフェス（2日目）</v>
      </c>
      <c r="D2508" s="21">
        <v>10</v>
      </c>
      <c r="E2508" s="2">
        <f t="shared" si="438"/>
        <v>29</v>
      </c>
      <c r="F2508" s="2">
        <v>10</v>
      </c>
      <c r="G2508" s="3" t="s">
        <v>22</v>
      </c>
      <c r="H2508" s="2">
        <v>50</v>
      </c>
      <c r="I2508" s="114" t="str">
        <f t="shared" si="439"/>
        <v>507100</v>
      </c>
      <c r="J2508" s="112" t="s">
        <v>685</v>
      </c>
      <c r="K2508" s="112" t="str">
        <f t="shared" si="437"/>
        <v>507100</v>
      </c>
      <c r="L2508" s="2">
        <v>1</v>
      </c>
      <c r="M2508" s="2" t="s">
        <v>84</v>
      </c>
      <c r="N2508" s="2" t="s">
        <v>84</v>
      </c>
      <c r="O2508" s="2" t="s">
        <v>841</v>
      </c>
      <c r="P2508" s="2" t="s">
        <v>378</v>
      </c>
    </row>
    <row r="2509" spans="1:16" ht="22" customHeight="1" x14ac:dyDescent="0.15">
      <c r="A2509" s="10" t="str">
        <f t="shared" si="433"/>
        <v>507_10_30_10_polygon</v>
      </c>
      <c r="B2509" s="2">
        <v>507</v>
      </c>
      <c r="C2509" s="30" t="str">
        <f>VLOOKUP(B2509,gachas!A:C,3)</f>
        <v>フィーバーフェス（2日目）</v>
      </c>
      <c r="D2509" s="21">
        <v>10</v>
      </c>
      <c r="E2509" s="2">
        <f t="shared" si="438"/>
        <v>30</v>
      </c>
      <c r="F2509" s="2">
        <v>10</v>
      </c>
      <c r="G2509" s="3" t="s">
        <v>22</v>
      </c>
      <c r="H2509" s="2">
        <v>50</v>
      </c>
      <c r="I2509" s="114" t="str">
        <f t="shared" si="439"/>
        <v>507100</v>
      </c>
      <c r="J2509" s="112" t="str">
        <f>CONCATENATE(B2509,D2509,5)</f>
        <v>507105</v>
      </c>
      <c r="K2509" s="112" t="str">
        <f t="shared" si="437"/>
        <v>507100</v>
      </c>
      <c r="L2509" s="2">
        <v>1</v>
      </c>
      <c r="M2509" s="2" t="s">
        <v>84</v>
      </c>
      <c r="N2509" s="2" t="s">
        <v>84</v>
      </c>
      <c r="O2509" s="2" t="s">
        <v>841</v>
      </c>
      <c r="P2509" s="2" t="s">
        <v>1763</v>
      </c>
    </row>
    <row r="2510" spans="1:16" ht="22" customHeight="1" x14ac:dyDescent="0.15">
      <c r="A2510" s="10" t="str">
        <f t="shared" si="433"/>
        <v>507_10_31_10_polygon</v>
      </c>
      <c r="B2510" s="2">
        <v>507</v>
      </c>
      <c r="C2510" s="30" t="str">
        <f>VLOOKUP(B2510,gachas!A:C,3)</f>
        <v>フィーバーフェス（2日目）</v>
      </c>
      <c r="D2510" s="21">
        <v>10</v>
      </c>
      <c r="E2510" s="2">
        <f t="shared" si="438"/>
        <v>31</v>
      </c>
      <c r="F2510" s="2">
        <v>10</v>
      </c>
      <c r="G2510" s="3" t="s">
        <v>22</v>
      </c>
      <c r="H2510" s="2">
        <v>50</v>
      </c>
      <c r="I2510" s="114" t="str">
        <f t="shared" si="439"/>
        <v>507100</v>
      </c>
      <c r="J2510" s="112" t="s">
        <v>685</v>
      </c>
      <c r="K2510" s="112" t="str">
        <f t="shared" si="437"/>
        <v>507100</v>
      </c>
      <c r="L2510" s="2">
        <v>1</v>
      </c>
      <c r="M2510" s="2" t="s">
        <v>84</v>
      </c>
      <c r="N2510" s="2" t="s">
        <v>84</v>
      </c>
      <c r="O2510" s="2" t="s">
        <v>841</v>
      </c>
      <c r="P2510" s="2" t="s">
        <v>378</v>
      </c>
    </row>
    <row r="2511" spans="1:16" ht="22" customHeight="1" x14ac:dyDescent="0.15">
      <c r="A2511" s="10" t="str">
        <f t="shared" si="433"/>
        <v>507_10_32_10_polygon</v>
      </c>
      <c r="B2511" s="2">
        <v>507</v>
      </c>
      <c r="C2511" s="30" t="str">
        <f>VLOOKUP(B2511,gachas!A:C,3)</f>
        <v>フィーバーフェス（2日目）</v>
      </c>
      <c r="D2511" s="21">
        <v>10</v>
      </c>
      <c r="E2511" s="2">
        <f t="shared" si="438"/>
        <v>32</v>
      </c>
      <c r="F2511" s="2">
        <v>10</v>
      </c>
      <c r="G2511" s="3" t="s">
        <v>22</v>
      </c>
      <c r="H2511" s="2">
        <v>50</v>
      </c>
      <c r="I2511" s="114" t="str">
        <f t="shared" si="439"/>
        <v>507100</v>
      </c>
      <c r="J2511" s="112" t="s">
        <v>685</v>
      </c>
      <c r="K2511" s="112" t="str">
        <f t="shared" si="437"/>
        <v>507100</v>
      </c>
      <c r="L2511" s="2">
        <v>1</v>
      </c>
      <c r="M2511" s="2" t="s">
        <v>84</v>
      </c>
      <c r="N2511" s="2" t="s">
        <v>84</v>
      </c>
      <c r="O2511" s="2" t="s">
        <v>841</v>
      </c>
      <c r="P2511" s="2" t="s">
        <v>378</v>
      </c>
    </row>
    <row r="2512" spans="1:16" ht="22" customHeight="1" x14ac:dyDescent="0.15">
      <c r="A2512" s="10" t="str">
        <f t="shared" si="433"/>
        <v>507_10_33_10_polygon</v>
      </c>
      <c r="B2512" s="2">
        <v>507</v>
      </c>
      <c r="C2512" s="30" t="str">
        <f>VLOOKUP(B2512,gachas!A:C,3)</f>
        <v>フィーバーフェス（2日目）</v>
      </c>
      <c r="D2512" s="21">
        <v>10</v>
      </c>
      <c r="E2512" s="2">
        <f t="shared" si="438"/>
        <v>33</v>
      </c>
      <c r="F2512" s="2">
        <v>10</v>
      </c>
      <c r="G2512" s="3" t="s">
        <v>22</v>
      </c>
      <c r="H2512" s="2">
        <v>50</v>
      </c>
      <c r="I2512" s="114" t="str">
        <f t="shared" si="439"/>
        <v>507100</v>
      </c>
      <c r="J2512" s="112" t="s">
        <v>685</v>
      </c>
      <c r="K2512" s="112" t="str">
        <f t="shared" si="437"/>
        <v>507100</v>
      </c>
      <c r="L2512" s="2">
        <v>1</v>
      </c>
      <c r="M2512" s="2" t="s">
        <v>84</v>
      </c>
      <c r="N2512" s="2" t="s">
        <v>84</v>
      </c>
      <c r="O2512" s="2" t="s">
        <v>841</v>
      </c>
      <c r="P2512" s="2" t="s">
        <v>378</v>
      </c>
    </row>
    <row r="2513" spans="1:16" ht="22" customHeight="1" x14ac:dyDescent="0.15">
      <c r="A2513" s="10" t="str">
        <f t="shared" si="433"/>
        <v>507_10_34_10_polygon</v>
      </c>
      <c r="B2513" s="2">
        <v>507</v>
      </c>
      <c r="C2513" s="30" t="str">
        <f>VLOOKUP(B2513,gachas!A:C,3)</f>
        <v>フィーバーフェス（2日目）</v>
      </c>
      <c r="D2513" s="21">
        <v>10</v>
      </c>
      <c r="E2513" s="2">
        <f t="shared" si="438"/>
        <v>34</v>
      </c>
      <c r="F2513" s="2">
        <v>10</v>
      </c>
      <c r="G2513" s="3" t="s">
        <v>22</v>
      </c>
      <c r="H2513" s="2">
        <v>50</v>
      </c>
      <c r="I2513" s="114" t="str">
        <f t="shared" si="439"/>
        <v>507100</v>
      </c>
      <c r="J2513" s="112" t="s">
        <v>685</v>
      </c>
      <c r="K2513" s="112" t="str">
        <f t="shared" si="437"/>
        <v>507100</v>
      </c>
      <c r="L2513" s="2">
        <v>1</v>
      </c>
      <c r="M2513" s="2" t="s">
        <v>84</v>
      </c>
      <c r="N2513" s="2" t="s">
        <v>84</v>
      </c>
      <c r="O2513" s="2" t="s">
        <v>841</v>
      </c>
      <c r="P2513" s="2" t="s">
        <v>378</v>
      </c>
    </row>
    <row r="2514" spans="1:16" ht="22" customHeight="1" x14ac:dyDescent="0.15">
      <c r="A2514" s="10" t="str">
        <f t="shared" si="433"/>
        <v>507_10_35_10_polygon</v>
      </c>
      <c r="B2514" s="2">
        <v>507</v>
      </c>
      <c r="C2514" s="30" t="str">
        <f>VLOOKUP(B2514,gachas!A:C,3)</f>
        <v>フィーバーフェス（2日目）</v>
      </c>
      <c r="D2514" s="21">
        <v>10</v>
      </c>
      <c r="E2514" s="2">
        <f t="shared" si="438"/>
        <v>35</v>
      </c>
      <c r="F2514" s="2">
        <v>10</v>
      </c>
      <c r="G2514" s="3" t="s">
        <v>22</v>
      </c>
      <c r="H2514" s="2">
        <v>50</v>
      </c>
      <c r="I2514" s="114" t="str">
        <f t="shared" si="439"/>
        <v>507100</v>
      </c>
      <c r="J2514" s="112" t="str">
        <f>CONCATENATE(B2514,D2514,5)</f>
        <v>507105</v>
      </c>
      <c r="K2514" s="112" t="str">
        <f t="shared" si="437"/>
        <v>507100</v>
      </c>
      <c r="L2514" s="2">
        <v>1</v>
      </c>
      <c r="M2514" s="2" t="s">
        <v>84</v>
      </c>
      <c r="N2514" s="2" t="s">
        <v>84</v>
      </c>
      <c r="O2514" s="2" t="s">
        <v>841</v>
      </c>
      <c r="P2514" s="2" t="s">
        <v>1763</v>
      </c>
    </row>
    <row r="2515" spans="1:16" ht="22" customHeight="1" x14ac:dyDescent="0.15">
      <c r="A2515" s="10" t="str">
        <f t="shared" si="433"/>
        <v>507_10_36_10_polygon</v>
      </c>
      <c r="B2515" s="2">
        <v>507</v>
      </c>
      <c r="C2515" s="30" t="str">
        <f>VLOOKUP(B2515,gachas!A:C,3)</f>
        <v>フィーバーフェス（2日目）</v>
      </c>
      <c r="D2515" s="21">
        <v>10</v>
      </c>
      <c r="E2515" s="2">
        <f t="shared" si="438"/>
        <v>36</v>
      </c>
      <c r="F2515" s="2">
        <v>10</v>
      </c>
      <c r="G2515" s="3" t="s">
        <v>22</v>
      </c>
      <c r="H2515" s="2">
        <v>50</v>
      </c>
      <c r="I2515" s="114" t="str">
        <f t="shared" si="439"/>
        <v>507100</v>
      </c>
      <c r="J2515" s="112" t="s">
        <v>685</v>
      </c>
      <c r="K2515" s="112" t="str">
        <f t="shared" si="437"/>
        <v>507100</v>
      </c>
      <c r="L2515" s="2">
        <v>1</v>
      </c>
      <c r="M2515" s="2" t="s">
        <v>84</v>
      </c>
      <c r="N2515" s="2" t="s">
        <v>84</v>
      </c>
      <c r="O2515" s="2" t="s">
        <v>841</v>
      </c>
      <c r="P2515" s="2" t="s">
        <v>378</v>
      </c>
    </row>
    <row r="2516" spans="1:16" ht="22" customHeight="1" x14ac:dyDescent="0.15">
      <c r="A2516" s="10" t="str">
        <f t="shared" si="433"/>
        <v>507_10_37_10_polygon</v>
      </c>
      <c r="B2516" s="2">
        <v>507</v>
      </c>
      <c r="C2516" s="30" t="str">
        <f>VLOOKUP(B2516,gachas!A:C,3)</f>
        <v>フィーバーフェス（2日目）</v>
      </c>
      <c r="D2516" s="21">
        <v>10</v>
      </c>
      <c r="E2516" s="2">
        <f t="shared" si="438"/>
        <v>37</v>
      </c>
      <c r="F2516" s="2">
        <v>10</v>
      </c>
      <c r="G2516" s="3" t="s">
        <v>22</v>
      </c>
      <c r="H2516" s="2">
        <v>50</v>
      </c>
      <c r="I2516" s="114" t="str">
        <f t="shared" si="439"/>
        <v>507100</v>
      </c>
      <c r="J2516" s="112" t="s">
        <v>685</v>
      </c>
      <c r="K2516" s="112" t="str">
        <f t="shared" si="437"/>
        <v>507100</v>
      </c>
      <c r="L2516" s="2">
        <v>1</v>
      </c>
      <c r="M2516" s="2" t="s">
        <v>84</v>
      </c>
      <c r="N2516" s="2" t="s">
        <v>84</v>
      </c>
      <c r="O2516" s="2" t="s">
        <v>841</v>
      </c>
      <c r="P2516" s="2" t="s">
        <v>378</v>
      </c>
    </row>
    <row r="2517" spans="1:16" ht="22" customHeight="1" x14ac:dyDescent="0.15">
      <c r="A2517" s="10" t="str">
        <f t="shared" si="433"/>
        <v>507_10_38_10_polygon</v>
      </c>
      <c r="B2517" s="2">
        <v>507</v>
      </c>
      <c r="C2517" s="30" t="str">
        <f>VLOOKUP(B2517,gachas!A:C,3)</f>
        <v>フィーバーフェス（2日目）</v>
      </c>
      <c r="D2517" s="21">
        <v>10</v>
      </c>
      <c r="E2517" s="2">
        <f t="shared" si="438"/>
        <v>38</v>
      </c>
      <c r="F2517" s="2">
        <v>10</v>
      </c>
      <c r="G2517" s="3" t="s">
        <v>22</v>
      </c>
      <c r="H2517" s="2">
        <v>50</v>
      </c>
      <c r="I2517" s="114" t="str">
        <f t="shared" si="439"/>
        <v>507100</v>
      </c>
      <c r="J2517" s="112" t="s">
        <v>685</v>
      </c>
      <c r="K2517" s="112" t="str">
        <f t="shared" si="437"/>
        <v>507100</v>
      </c>
      <c r="L2517" s="2">
        <v>1</v>
      </c>
      <c r="M2517" s="2" t="s">
        <v>84</v>
      </c>
      <c r="N2517" s="2" t="s">
        <v>84</v>
      </c>
      <c r="O2517" s="2" t="s">
        <v>841</v>
      </c>
      <c r="P2517" s="2" t="s">
        <v>378</v>
      </c>
    </row>
    <row r="2518" spans="1:16" ht="22" customHeight="1" x14ac:dyDescent="0.15">
      <c r="A2518" s="10" t="str">
        <f t="shared" si="433"/>
        <v>507_10_39_10_polygon</v>
      </c>
      <c r="B2518" s="2">
        <v>507</v>
      </c>
      <c r="C2518" s="30" t="str">
        <f>VLOOKUP(B2518,gachas!A:C,3)</f>
        <v>フィーバーフェス（2日目）</v>
      </c>
      <c r="D2518" s="21">
        <v>10</v>
      </c>
      <c r="E2518" s="2">
        <f t="shared" si="438"/>
        <v>39</v>
      </c>
      <c r="F2518" s="2">
        <v>10</v>
      </c>
      <c r="G2518" s="3" t="s">
        <v>22</v>
      </c>
      <c r="H2518" s="2">
        <v>50</v>
      </c>
      <c r="I2518" s="114" t="str">
        <f t="shared" si="439"/>
        <v>507100</v>
      </c>
      <c r="J2518" s="112" t="s">
        <v>685</v>
      </c>
      <c r="K2518" s="112" t="str">
        <f t="shared" si="437"/>
        <v>507100</v>
      </c>
      <c r="L2518" s="2">
        <v>1</v>
      </c>
      <c r="M2518" s="2" t="s">
        <v>84</v>
      </c>
      <c r="N2518" s="2" t="s">
        <v>84</v>
      </c>
      <c r="O2518" s="2" t="s">
        <v>841</v>
      </c>
      <c r="P2518" s="2" t="s">
        <v>378</v>
      </c>
    </row>
    <row r="2519" spans="1:16" ht="22" customHeight="1" x14ac:dyDescent="0.15">
      <c r="A2519" s="10" t="str">
        <f t="shared" si="433"/>
        <v>507_10_40_10_polygon</v>
      </c>
      <c r="B2519" s="2">
        <v>507</v>
      </c>
      <c r="C2519" s="30" t="str">
        <f>VLOOKUP(B2519,gachas!A:C,3)</f>
        <v>フィーバーフェス（2日目）</v>
      </c>
      <c r="D2519" s="21">
        <v>10</v>
      </c>
      <c r="E2519" s="2">
        <f t="shared" si="438"/>
        <v>40</v>
      </c>
      <c r="F2519" s="2">
        <v>10</v>
      </c>
      <c r="G2519" s="3" t="s">
        <v>22</v>
      </c>
      <c r="H2519" s="2">
        <v>50</v>
      </c>
      <c r="I2519" s="114" t="str">
        <f t="shared" si="439"/>
        <v>507100</v>
      </c>
      <c r="J2519" s="112" t="str">
        <f>CONCATENATE(B2519,D2519,5)</f>
        <v>507105</v>
      </c>
      <c r="K2519" s="112" t="str">
        <f t="shared" si="437"/>
        <v>507100</v>
      </c>
      <c r="L2519" s="2">
        <v>1</v>
      </c>
      <c r="M2519" s="2" t="s">
        <v>84</v>
      </c>
      <c r="N2519" s="2" t="s">
        <v>84</v>
      </c>
      <c r="O2519" s="2" t="s">
        <v>841</v>
      </c>
      <c r="P2519" s="2" t="s">
        <v>1763</v>
      </c>
    </row>
    <row r="2520" spans="1:16" ht="22" customHeight="1" x14ac:dyDescent="0.15">
      <c r="A2520" s="10" t="str">
        <f t="shared" si="433"/>
        <v>507_10_41_10_polygon</v>
      </c>
      <c r="B2520" s="2">
        <v>507</v>
      </c>
      <c r="C2520" s="30" t="str">
        <f>VLOOKUP(B2520,gachas!A:C,3)</f>
        <v>フィーバーフェス（2日目）</v>
      </c>
      <c r="D2520" s="21">
        <v>10</v>
      </c>
      <c r="E2520" s="2">
        <f t="shared" si="438"/>
        <v>41</v>
      </c>
      <c r="F2520" s="2">
        <v>10</v>
      </c>
      <c r="G2520" s="3" t="s">
        <v>22</v>
      </c>
      <c r="H2520" s="2">
        <v>50</v>
      </c>
      <c r="I2520" s="114" t="str">
        <f t="shared" si="439"/>
        <v>507100</v>
      </c>
      <c r="J2520" s="112" t="s">
        <v>685</v>
      </c>
      <c r="K2520" s="112" t="str">
        <f t="shared" si="437"/>
        <v>507100</v>
      </c>
      <c r="L2520" s="2">
        <v>1</v>
      </c>
      <c r="M2520" s="2" t="s">
        <v>84</v>
      </c>
      <c r="N2520" s="2" t="s">
        <v>84</v>
      </c>
      <c r="O2520" s="2" t="s">
        <v>841</v>
      </c>
      <c r="P2520" s="2" t="s">
        <v>378</v>
      </c>
    </row>
    <row r="2521" spans="1:16" ht="22" customHeight="1" x14ac:dyDescent="0.15">
      <c r="A2521" s="10" t="str">
        <f t="shared" si="433"/>
        <v>507_10_42_10_polygon</v>
      </c>
      <c r="B2521" s="2">
        <v>507</v>
      </c>
      <c r="C2521" s="30" t="str">
        <f>VLOOKUP(B2521,gachas!A:C,3)</f>
        <v>フィーバーフェス（2日目）</v>
      </c>
      <c r="D2521" s="21">
        <v>10</v>
      </c>
      <c r="E2521" s="2">
        <f t="shared" si="438"/>
        <v>42</v>
      </c>
      <c r="F2521" s="2">
        <v>10</v>
      </c>
      <c r="G2521" s="3" t="s">
        <v>22</v>
      </c>
      <c r="H2521" s="2">
        <v>50</v>
      </c>
      <c r="I2521" s="114" t="str">
        <f t="shared" si="439"/>
        <v>507100</v>
      </c>
      <c r="J2521" s="112" t="s">
        <v>685</v>
      </c>
      <c r="K2521" s="112" t="str">
        <f t="shared" si="437"/>
        <v>507100</v>
      </c>
      <c r="L2521" s="2">
        <v>1</v>
      </c>
      <c r="M2521" s="2" t="s">
        <v>84</v>
      </c>
      <c r="N2521" s="2" t="s">
        <v>84</v>
      </c>
      <c r="O2521" s="2" t="s">
        <v>841</v>
      </c>
      <c r="P2521" s="2" t="s">
        <v>378</v>
      </c>
    </row>
    <row r="2522" spans="1:16" ht="22" customHeight="1" x14ac:dyDescent="0.15">
      <c r="A2522" s="10" t="str">
        <f t="shared" si="433"/>
        <v>507_10_43_10_polygon</v>
      </c>
      <c r="B2522" s="2">
        <v>507</v>
      </c>
      <c r="C2522" s="30" t="str">
        <f>VLOOKUP(B2522,gachas!A:C,3)</f>
        <v>フィーバーフェス（2日目）</v>
      </c>
      <c r="D2522" s="21">
        <v>10</v>
      </c>
      <c r="E2522" s="2">
        <f t="shared" si="438"/>
        <v>43</v>
      </c>
      <c r="F2522" s="2">
        <v>10</v>
      </c>
      <c r="G2522" s="3" t="s">
        <v>22</v>
      </c>
      <c r="H2522" s="2">
        <v>50</v>
      </c>
      <c r="I2522" s="114" t="str">
        <f t="shared" si="439"/>
        <v>507100</v>
      </c>
      <c r="J2522" s="112" t="s">
        <v>685</v>
      </c>
      <c r="K2522" s="112" t="str">
        <f t="shared" si="437"/>
        <v>507100</v>
      </c>
      <c r="L2522" s="2">
        <v>1</v>
      </c>
      <c r="M2522" s="2" t="s">
        <v>84</v>
      </c>
      <c r="N2522" s="2" t="s">
        <v>84</v>
      </c>
      <c r="O2522" s="2" t="s">
        <v>841</v>
      </c>
      <c r="P2522" s="2" t="s">
        <v>378</v>
      </c>
    </row>
    <row r="2523" spans="1:16" ht="22" customHeight="1" x14ac:dyDescent="0.15">
      <c r="A2523" s="10" t="str">
        <f t="shared" si="433"/>
        <v>507_10_44_10_polygon</v>
      </c>
      <c r="B2523" s="2">
        <v>507</v>
      </c>
      <c r="C2523" s="30" t="str">
        <f>VLOOKUP(B2523,gachas!A:C,3)</f>
        <v>フィーバーフェス（2日目）</v>
      </c>
      <c r="D2523" s="21">
        <v>10</v>
      </c>
      <c r="E2523" s="2">
        <f t="shared" si="438"/>
        <v>44</v>
      </c>
      <c r="F2523" s="2">
        <v>10</v>
      </c>
      <c r="G2523" s="3" t="s">
        <v>22</v>
      </c>
      <c r="H2523" s="2">
        <v>50</v>
      </c>
      <c r="I2523" s="114" t="str">
        <f t="shared" si="439"/>
        <v>507100</v>
      </c>
      <c r="J2523" s="112" t="s">
        <v>685</v>
      </c>
      <c r="K2523" s="112" t="str">
        <f t="shared" si="437"/>
        <v>507100</v>
      </c>
      <c r="L2523" s="2">
        <v>1</v>
      </c>
      <c r="M2523" s="2" t="s">
        <v>84</v>
      </c>
      <c r="N2523" s="2" t="s">
        <v>84</v>
      </c>
      <c r="O2523" s="2" t="s">
        <v>841</v>
      </c>
      <c r="P2523" s="2" t="s">
        <v>378</v>
      </c>
    </row>
    <row r="2524" spans="1:16" ht="22" customHeight="1" x14ac:dyDescent="0.15">
      <c r="A2524" s="10" t="str">
        <f t="shared" si="433"/>
        <v>507_10_45_10_polygon</v>
      </c>
      <c r="B2524" s="2">
        <v>507</v>
      </c>
      <c r="C2524" s="30" t="str">
        <f>VLOOKUP(B2524,gachas!A:C,3)</f>
        <v>フィーバーフェス（2日目）</v>
      </c>
      <c r="D2524" s="21">
        <v>10</v>
      </c>
      <c r="E2524" s="2">
        <f t="shared" si="438"/>
        <v>45</v>
      </c>
      <c r="F2524" s="2">
        <v>10</v>
      </c>
      <c r="G2524" s="3" t="s">
        <v>22</v>
      </c>
      <c r="H2524" s="2">
        <v>50</v>
      </c>
      <c r="I2524" s="114" t="str">
        <f t="shared" si="439"/>
        <v>507100</v>
      </c>
      <c r="J2524" s="112" t="str">
        <f>CONCATENATE(B2524,D2524,5)</f>
        <v>507105</v>
      </c>
      <c r="K2524" s="112" t="str">
        <f t="shared" si="437"/>
        <v>507100</v>
      </c>
      <c r="L2524" s="2">
        <v>1</v>
      </c>
      <c r="M2524" s="2" t="s">
        <v>84</v>
      </c>
      <c r="N2524" s="2" t="s">
        <v>84</v>
      </c>
      <c r="O2524" s="2" t="s">
        <v>841</v>
      </c>
      <c r="P2524" s="2" t="s">
        <v>1763</v>
      </c>
    </row>
    <row r="2525" spans="1:16" ht="22" customHeight="1" x14ac:dyDescent="0.15">
      <c r="A2525" s="10" t="str">
        <f t="shared" si="433"/>
        <v>507_10_46_10_polygon</v>
      </c>
      <c r="B2525" s="2">
        <v>507</v>
      </c>
      <c r="C2525" s="30" t="str">
        <f>VLOOKUP(B2525,gachas!A:C,3)</f>
        <v>フィーバーフェス（2日目）</v>
      </c>
      <c r="D2525" s="21">
        <v>10</v>
      </c>
      <c r="E2525" s="2">
        <f t="shared" si="438"/>
        <v>46</v>
      </c>
      <c r="F2525" s="2">
        <v>10</v>
      </c>
      <c r="G2525" s="3" t="s">
        <v>22</v>
      </c>
      <c r="H2525" s="2">
        <v>50</v>
      </c>
      <c r="I2525" s="114" t="str">
        <f t="shared" si="439"/>
        <v>507100</v>
      </c>
      <c r="J2525" s="112" t="s">
        <v>685</v>
      </c>
      <c r="K2525" s="112" t="str">
        <f t="shared" si="437"/>
        <v>507100</v>
      </c>
      <c r="L2525" s="2">
        <v>1</v>
      </c>
      <c r="M2525" s="2" t="s">
        <v>84</v>
      </c>
      <c r="N2525" s="2" t="s">
        <v>84</v>
      </c>
      <c r="O2525" s="2" t="s">
        <v>841</v>
      </c>
      <c r="P2525" s="2" t="s">
        <v>378</v>
      </c>
    </row>
    <row r="2526" spans="1:16" ht="22" customHeight="1" x14ac:dyDescent="0.15">
      <c r="A2526" s="10" t="str">
        <f t="shared" si="433"/>
        <v>507_10_47_10_polygon</v>
      </c>
      <c r="B2526" s="2">
        <v>507</v>
      </c>
      <c r="C2526" s="30" t="str">
        <f>VLOOKUP(B2526,gachas!A:C,3)</f>
        <v>フィーバーフェス（2日目）</v>
      </c>
      <c r="D2526" s="21">
        <v>10</v>
      </c>
      <c r="E2526" s="2">
        <f t="shared" si="438"/>
        <v>47</v>
      </c>
      <c r="F2526" s="2">
        <v>10</v>
      </c>
      <c r="G2526" s="3" t="s">
        <v>22</v>
      </c>
      <c r="H2526" s="2">
        <v>50</v>
      </c>
      <c r="I2526" s="114" t="str">
        <f t="shared" si="439"/>
        <v>507100</v>
      </c>
      <c r="J2526" s="112" t="s">
        <v>685</v>
      </c>
      <c r="K2526" s="112" t="str">
        <f t="shared" si="437"/>
        <v>507100</v>
      </c>
      <c r="L2526" s="2">
        <v>1</v>
      </c>
      <c r="M2526" s="2" t="s">
        <v>84</v>
      </c>
      <c r="N2526" s="2" t="s">
        <v>84</v>
      </c>
      <c r="O2526" s="2" t="s">
        <v>841</v>
      </c>
      <c r="P2526" s="2" t="s">
        <v>378</v>
      </c>
    </row>
    <row r="2527" spans="1:16" ht="22" customHeight="1" x14ac:dyDescent="0.15">
      <c r="A2527" s="10" t="str">
        <f t="shared" si="433"/>
        <v>507_10_48_10_polygon</v>
      </c>
      <c r="B2527" s="2">
        <v>507</v>
      </c>
      <c r="C2527" s="30" t="str">
        <f>VLOOKUP(B2527,gachas!A:C,3)</f>
        <v>フィーバーフェス（2日目）</v>
      </c>
      <c r="D2527" s="21">
        <v>10</v>
      </c>
      <c r="E2527" s="2">
        <f t="shared" si="438"/>
        <v>48</v>
      </c>
      <c r="F2527" s="2">
        <v>10</v>
      </c>
      <c r="G2527" s="3" t="s">
        <v>22</v>
      </c>
      <c r="H2527" s="2">
        <v>50</v>
      </c>
      <c r="I2527" s="114" t="str">
        <f t="shared" si="439"/>
        <v>507100</v>
      </c>
      <c r="J2527" s="112" t="s">
        <v>685</v>
      </c>
      <c r="K2527" s="112" t="str">
        <f t="shared" si="437"/>
        <v>507100</v>
      </c>
      <c r="L2527" s="2">
        <v>1</v>
      </c>
      <c r="M2527" s="2" t="s">
        <v>84</v>
      </c>
      <c r="N2527" s="2" t="s">
        <v>84</v>
      </c>
      <c r="O2527" s="2" t="s">
        <v>841</v>
      </c>
      <c r="P2527" s="2" t="s">
        <v>378</v>
      </c>
    </row>
    <row r="2528" spans="1:16" ht="22" customHeight="1" x14ac:dyDescent="0.15">
      <c r="A2528" s="10" t="str">
        <f t="shared" si="433"/>
        <v>507_10_49_10_polygon</v>
      </c>
      <c r="B2528" s="2">
        <v>507</v>
      </c>
      <c r="C2528" s="30" t="str">
        <f>VLOOKUP(B2528,gachas!A:C,3)</f>
        <v>フィーバーフェス（2日目）</v>
      </c>
      <c r="D2528" s="21">
        <v>10</v>
      </c>
      <c r="E2528" s="2">
        <f t="shared" si="438"/>
        <v>49</v>
      </c>
      <c r="F2528" s="2">
        <v>10</v>
      </c>
      <c r="G2528" s="3" t="s">
        <v>22</v>
      </c>
      <c r="H2528" s="2">
        <v>50</v>
      </c>
      <c r="I2528" s="114" t="str">
        <f t="shared" si="439"/>
        <v>507100</v>
      </c>
      <c r="J2528" s="112" t="s">
        <v>685</v>
      </c>
      <c r="K2528" s="112" t="str">
        <f t="shared" si="437"/>
        <v>507100</v>
      </c>
      <c r="L2528" s="2">
        <v>1</v>
      </c>
      <c r="M2528" s="2" t="s">
        <v>84</v>
      </c>
      <c r="N2528" s="2" t="s">
        <v>84</v>
      </c>
      <c r="O2528" s="2" t="s">
        <v>841</v>
      </c>
      <c r="P2528" s="2" t="s">
        <v>378</v>
      </c>
    </row>
    <row r="2529" spans="1:16" ht="22" customHeight="1" x14ac:dyDescent="0.15">
      <c r="A2529" s="10" t="str">
        <f t="shared" si="433"/>
        <v>507_10_50_10_polygon</v>
      </c>
      <c r="B2529" s="2">
        <v>507</v>
      </c>
      <c r="C2529" s="30" t="str">
        <f>VLOOKUP(B2529,gachas!A:C,3)</f>
        <v>フィーバーフェス（2日目）</v>
      </c>
      <c r="D2529" s="21">
        <v>10</v>
      </c>
      <c r="E2529" s="2">
        <f t="shared" si="438"/>
        <v>50</v>
      </c>
      <c r="F2529" s="2">
        <v>10</v>
      </c>
      <c r="G2529" s="3" t="s">
        <v>22</v>
      </c>
      <c r="H2529" s="2">
        <v>50</v>
      </c>
      <c r="I2529" s="114" t="str">
        <f t="shared" si="439"/>
        <v>507100</v>
      </c>
      <c r="J2529" s="112" t="str">
        <f>CONCATENATE(B2529,D2529,5)</f>
        <v>507105</v>
      </c>
      <c r="K2529" s="112" t="str">
        <f t="shared" si="437"/>
        <v>507100</v>
      </c>
      <c r="L2529" s="2">
        <v>1</v>
      </c>
      <c r="M2529" s="2" t="s">
        <v>84</v>
      </c>
      <c r="N2529" s="2" t="s">
        <v>84</v>
      </c>
      <c r="O2529" s="2" t="s">
        <v>841</v>
      </c>
      <c r="P2529" s="2" t="s">
        <v>1763</v>
      </c>
    </row>
    <row r="2530" spans="1:16" ht="22" customHeight="1" x14ac:dyDescent="0.15">
      <c r="A2530" s="10" t="str">
        <f t="shared" ref="A2530:A2593" si="440">B2530&amp;"_"&amp;D2530&amp;"_"&amp;E2530&amp;"_"&amp;F2530&amp;"_"&amp;G2530</f>
        <v>508_1_0_1_polygon</v>
      </c>
      <c r="B2530" s="2">
        <v>508</v>
      </c>
      <c r="C2530" s="30" t="str">
        <f>VLOOKUP(B2530,gachas!A:C,3)</f>
        <v>フィーバーフェス（3日目）</v>
      </c>
      <c r="D2530" s="21">
        <v>1</v>
      </c>
      <c r="E2530" s="2">
        <v>0</v>
      </c>
      <c r="F2530" s="2">
        <v>1</v>
      </c>
      <c r="G2530" s="3" t="s">
        <v>22</v>
      </c>
      <c r="H2530" s="2">
        <v>5</v>
      </c>
      <c r="I2530" s="114" t="str">
        <f t="shared" si="439"/>
        <v>508010</v>
      </c>
      <c r="J2530" s="112" t="s">
        <v>685</v>
      </c>
      <c r="K2530" s="112" t="s">
        <v>84</v>
      </c>
      <c r="L2530" s="2">
        <v>0</v>
      </c>
      <c r="M2530" s="2" t="s">
        <v>84</v>
      </c>
      <c r="N2530" s="2" t="s">
        <v>84</v>
      </c>
      <c r="O2530" s="2" t="s">
        <v>841</v>
      </c>
      <c r="P2530" s="2" t="s">
        <v>84</v>
      </c>
    </row>
    <row r="2531" spans="1:16" ht="22" customHeight="1" x14ac:dyDescent="0.15">
      <c r="A2531" s="10" t="str">
        <f t="shared" si="440"/>
        <v>508_10_0_10_polygon</v>
      </c>
      <c r="B2531" s="2">
        <v>508</v>
      </c>
      <c r="C2531" s="30" t="str">
        <f>VLOOKUP(B2531,gachas!A:C,3)</f>
        <v>フィーバーフェス（3日目）</v>
      </c>
      <c r="D2531" s="21">
        <v>10</v>
      </c>
      <c r="E2531" s="2">
        <v>0</v>
      </c>
      <c r="F2531" s="2">
        <v>10</v>
      </c>
      <c r="G2531" s="3" t="s">
        <v>22</v>
      </c>
      <c r="H2531" s="2">
        <v>50</v>
      </c>
      <c r="I2531" s="114" t="str">
        <f t="shared" si="439"/>
        <v>508100</v>
      </c>
      <c r="J2531" s="112" t="s">
        <v>685</v>
      </c>
      <c r="K2531" s="112" t="str">
        <f t="shared" ref="K2531:K2581" si="441">I2531</f>
        <v>508100</v>
      </c>
      <c r="L2531" s="2">
        <v>1</v>
      </c>
      <c r="M2531" s="2" t="s">
        <v>84</v>
      </c>
      <c r="N2531" s="2" t="s">
        <v>84</v>
      </c>
      <c r="O2531" s="2" t="s">
        <v>841</v>
      </c>
      <c r="P2531" s="2" t="s">
        <v>378</v>
      </c>
    </row>
    <row r="2532" spans="1:16" ht="22" customHeight="1" x14ac:dyDescent="0.15">
      <c r="A2532" s="10" t="str">
        <f t="shared" si="440"/>
        <v>508_10_1_10_polygon</v>
      </c>
      <c r="B2532" s="2">
        <v>508</v>
      </c>
      <c r="C2532" s="30" t="str">
        <f>VLOOKUP(B2532,gachas!A:C,3)</f>
        <v>フィーバーフェス（3日目）</v>
      </c>
      <c r="D2532" s="21">
        <v>10</v>
      </c>
      <c r="E2532" s="2">
        <f>E2531+1</f>
        <v>1</v>
      </c>
      <c r="F2532" s="2">
        <v>10</v>
      </c>
      <c r="G2532" s="3" t="s">
        <v>22</v>
      </c>
      <c r="H2532" s="2">
        <v>50</v>
      </c>
      <c r="I2532" s="114" t="str">
        <f t="shared" si="439"/>
        <v>508100</v>
      </c>
      <c r="J2532" s="112" t="s">
        <v>685</v>
      </c>
      <c r="K2532" s="112" t="str">
        <f t="shared" si="441"/>
        <v>508100</v>
      </c>
      <c r="L2532" s="2">
        <v>1</v>
      </c>
      <c r="M2532" s="2" t="s">
        <v>84</v>
      </c>
      <c r="N2532" s="2" t="s">
        <v>84</v>
      </c>
      <c r="O2532" s="2" t="s">
        <v>841</v>
      </c>
      <c r="P2532" s="2" t="s">
        <v>378</v>
      </c>
    </row>
    <row r="2533" spans="1:16" ht="22" customHeight="1" x14ac:dyDescent="0.15">
      <c r="A2533" s="10" t="str">
        <f t="shared" si="440"/>
        <v>508_10_2_10_polygon</v>
      </c>
      <c r="B2533" s="2">
        <v>508</v>
      </c>
      <c r="C2533" s="30" t="str">
        <f>VLOOKUP(B2533,gachas!A:C,3)</f>
        <v>フィーバーフェス（3日目）</v>
      </c>
      <c r="D2533" s="21">
        <v>10</v>
      </c>
      <c r="E2533" s="2">
        <f t="shared" ref="E2533:E2581" si="442">E2532+1</f>
        <v>2</v>
      </c>
      <c r="F2533" s="2">
        <v>10</v>
      </c>
      <c r="G2533" s="3" t="s">
        <v>22</v>
      </c>
      <c r="H2533" s="2">
        <v>50</v>
      </c>
      <c r="I2533" s="114" t="str">
        <f t="shared" si="439"/>
        <v>508100</v>
      </c>
      <c r="J2533" s="112" t="s">
        <v>685</v>
      </c>
      <c r="K2533" s="112" t="str">
        <f t="shared" si="441"/>
        <v>508100</v>
      </c>
      <c r="L2533" s="2">
        <v>1</v>
      </c>
      <c r="M2533" s="2" t="s">
        <v>84</v>
      </c>
      <c r="N2533" s="2" t="s">
        <v>84</v>
      </c>
      <c r="O2533" s="2" t="s">
        <v>841</v>
      </c>
      <c r="P2533" s="2" t="s">
        <v>378</v>
      </c>
    </row>
    <row r="2534" spans="1:16" ht="22" customHeight="1" x14ac:dyDescent="0.15">
      <c r="A2534" s="10" t="str">
        <f t="shared" si="440"/>
        <v>508_10_3_10_polygon</v>
      </c>
      <c r="B2534" s="2">
        <v>508</v>
      </c>
      <c r="C2534" s="30" t="str">
        <f>VLOOKUP(B2534,gachas!A:C,3)</f>
        <v>フィーバーフェス（3日目）</v>
      </c>
      <c r="D2534" s="21">
        <v>10</v>
      </c>
      <c r="E2534" s="2">
        <f t="shared" si="442"/>
        <v>3</v>
      </c>
      <c r="F2534" s="2">
        <v>10</v>
      </c>
      <c r="G2534" s="3" t="s">
        <v>22</v>
      </c>
      <c r="H2534" s="2">
        <v>50</v>
      </c>
      <c r="I2534" s="114" t="str">
        <f t="shared" si="439"/>
        <v>508100</v>
      </c>
      <c r="J2534" s="112" t="s">
        <v>685</v>
      </c>
      <c r="K2534" s="112" t="str">
        <f t="shared" si="441"/>
        <v>508100</v>
      </c>
      <c r="L2534" s="2">
        <v>1</v>
      </c>
      <c r="M2534" s="2" t="s">
        <v>84</v>
      </c>
      <c r="N2534" s="2" t="s">
        <v>84</v>
      </c>
      <c r="O2534" s="2" t="s">
        <v>841</v>
      </c>
      <c r="P2534" s="2" t="s">
        <v>378</v>
      </c>
    </row>
    <row r="2535" spans="1:16" ht="22" customHeight="1" x14ac:dyDescent="0.15">
      <c r="A2535" s="10" t="str">
        <f t="shared" si="440"/>
        <v>508_10_4_10_polygon</v>
      </c>
      <c r="B2535" s="2">
        <v>508</v>
      </c>
      <c r="C2535" s="30" t="str">
        <f>VLOOKUP(B2535,gachas!A:C,3)</f>
        <v>フィーバーフェス（3日目）</v>
      </c>
      <c r="D2535" s="21">
        <v>10</v>
      </c>
      <c r="E2535" s="2">
        <f t="shared" si="442"/>
        <v>4</v>
      </c>
      <c r="F2535" s="2">
        <v>10</v>
      </c>
      <c r="G2535" s="3" t="s">
        <v>22</v>
      </c>
      <c r="H2535" s="2">
        <v>50</v>
      </c>
      <c r="I2535" s="114" t="str">
        <f t="shared" si="439"/>
        <v>508100</v>
      </c>
      <c r="J2535" s="112" t="s">
        <v>685</v>
      </c>
      <c r="K2535" s="112" t="str">
        <f t="shared" si="441"/>
        <v>508100</v>
      </c>
      <c r="L2535" s="2">
        <v>1</v>
      </c>
      <c r="M2535" s="2" t="s">
        <v>84</v>
      </c>
      <c r="N2535" s="2" t="s">
        <v>84</v>
      </c>
      <c r="O2535" s="2" t="s">
        <v>841</v>
      </c>
      <c r="P2535" s="2" t="s">
        <v>378</v>
      </c>
    </row>
    <row r="2536" spans="1:16" ht="22" customHeight="1" x14ac:dyDescent="0.15">
      <c r="A2536" s="10" t="str">
        <f t="shared" si="440"/>
        <v>508_10_5_10_polygon</v>
      </c>
      <c r="B2536" s="2">
        <v>508</v>
      </c>
      <c r="C2536" s="30" t="str">
        <f>VLOOKUP(B2536,gachas!A:C,3)</f>
        <v>フィーバーフェス（3日目）</v>
      </c>
      <c r="D2536" s="21">
        <v>10</v>
      </c>
      <c r="E2536" s="2">
        <f t="shared" si="442"/>
        <v>5</v>
      </c>
      <c r="F2536" s="2">
        <v>10</v>
      </c>
      <c r="G2536" s="3" t="s">
        <v>22</v>
      </c>
      <c r="H2536" s="2">
        <v>50</v>
      </c>
      <c r="I2536" s="114" t="str">
        <f t="shared" si="439"/>
        <v>508100</v>
      </c>
      <c r="J2536" s="112" t="str">
        <f>CONCATENATE(B2536,D2536,5)</f>
        <v>508105</v>
      </c>
      <c r="K2536" s="112" t="str">
        <f t="shared" si="441"/>
        <v>508100</v>
      </c>
      <c r="L2536" s="2">
        <v>1</v>
      </c>
      <c r="M2536" s="2" t="s">
        <v>84</v>
      </c>
      <c r="N2536" s="2" t="s">
        <v>84</v>
      </c>
      <c r="O2536" s="2" t="s">
        <v>841</v>
      </c>
      <c r="P2536" s="2" t="s">
        <v>1763</v>
      </c>
    </row>
    <row r="2537" spans="1:16" ht="22" customHeight="1" x14ac:dyDescent="0.15">
      <c r="A2537" s="10" t="str">
        <f t="shared" si="440"/>
        <v>508_10_6_10_polygon</v>
      </c>
      <c r="B2537" s="2">
        <v>508</v>
      </c>
      <c r="C2537" s="30" t="str">
        <f>VLOOKUP(B2537,gachas!A:C,3)</f>
        <v>フィーバーフェス（3日目）</v>
      </c>
      <c r="D2537" s="21">
        <v>10</v>
      </c>
      <c r="E2537" s="2">
        <f t="shared" si="442"/>
        <v>6</v>
      </c>
      <c r="F2537" s="2">
        <v>10</v>
      </c>
      <c r="G2537" s="3" t="s">
        <v>22</v>
      </c>
      <c r="H2537" s="2">
        <v>50</v>
      </c>
      <c r="I2537" s="114" t="str">
        <f t="shared" si="439"/>
        <v>508100</v>
      </c>
      <c r="J2537" s="112" t="s">
        <v>685</v>
      </c>
      <c r="K2537" s="112" t="str">
        <f t="shared" si="441"/>
        <v>508100</v>
      </c>
      <c r="L2537" s="2">
        <v>1</v>
      </c>
      <c r="M2537" s="2" t="s">
        <v>84</v>
      </c>
      <c r="N2537" s="2" t="s">
        <v>84</v>
      </c>
      <c r="O2537" s="2" t="s">
        <v>841</v>
      </c>
      <c r="P2537" s="2" t="s">
        <v>378</v>
      </c>
    </row>
    <row r="2538" spans="1:16" ht="22" customHeight="1" x14ac:dyDescent="0.15">
      <c r="A2538" s="10" t="str">
        <f t="shared" si="440"/>
        <v>508_10_7_10_polygon</v>
      </c>
      <c r="B2538" s="2">
        <v>508</v>
      </c>
      <c r="C2538" s="30" t="str">
        <f>VLOOKUP(B2538,gachas!A:C,3)</f>
        <v>フィーバーフェス（3日目）</v>
      </c>
      <c r="D2538" s="21">
        <v>10</v>
      </c>
      <c r="E2538" s="2">
        <f t="shared" si="442"/>
        <v>7</v>
      </c>
      <c r="F2538" s="2">
        <v>10</v>
      </c>
      <c r="G2538" s="3" t="s">
        <v>22</v>
      </c>
      <c r="H2538" s="2">
        <v>50</v>
      </c>
      <c r="I2538" s="114" t="str">
        <f t="shared" si="439"/>
        <v>508100</v>
      </c>
      <c r="J2538" s="112" t="s">
        <v>685</v>
      </c>
      <c r="K2538" s="112" t="str">
        <f t="shared" si="441"/>
        <v>508100</v>
      </c>
      <c r="L2538" s="2">
        <v>1</v>
      </c>
      <c r="M2538" s="2" t="s">
        <v>84</v>
      </c>
      <c r="N2538" s="2" t="s">
        <v>84</v>
      </c>
      <c r="O2538" s="2" t="s">
        <v>841</v>
      </c>
      <c r="P2538" s="2" t="s">
        <v>378</v>
      </c>
    </row>
    <row r="2539" spans="1:16" ht="22" customHeight="1" x14ac:dyDescent="0.15">
      <c r="A2539" s="10" t="str">
        <f t="shared" si="440"/>
        <v>508_10_8_10_polygon</v>
      </c>
      <c r="B2539" s="2">
        <v>508</v>
      </c>
      <c r="C2539" s="30" t="str">
        <f>VLOOKUP(B2539,gachas!A:C,3)</f>
        <v>フィーバーフェス（3日目）</v>
      </c>
      <c r="D2539" s="21">
        <v>10</v>
      </c>
      <c r="E2539" s="2">
        <f t="shared" si="442"/>
        <v>8</v>
      </c>
      <c r="F2539" s="2">
        <v>10</v>
      </c>
      <c r="G2539" s="3" t="s">
        <v>22</v>
      </c>
      <c r="H2539" s="2">
        <v>50</v>
      </c>
      <c r="I2539" s="114" t="str">
        <f t="shared" si="439"/>
        <v>508100</v>
      </c>
      <c r="J2539" s="112" t="s">
        <v>685</v>
      </c>
      <c r="K2539" s="112" t="str">
        <f t="shared" si="441"/>
        <v>508100</v>
      </c>
      <c r="L2539" s="2">
        <v>1</v>
      </c>
      <c r="M2539" s="2" t="s">
        <v>84</v>
      </c>
      <c r="N2539" s="2" t="s">
        <v>84</v>
      </c>
      <c r="O2539" s="2" t="s">
        <v>841</v>
      </c>
      <c r="P2539" s="2" t="s">
        <v>378</v>
      </c>
    </row>
    <row r="2540" spans="1:16" ht="22" customHeight="1" x14ac:dyDescent="0.15">
      <c r="A2540" s="10" t="str">
        <f t="shared" si="440"/>
        <v>508_10_9_10_polygon</v>
      </c>
      <c r="B2540" s="2">
        <v>508</v>
      </c>
      <c r="C2540" s="30" t="str">
        <f>VLOOKUP(B2540,gachas!A:C,3)</f>
        <v>フィーバーフェス（3日目）</v>
      </c>
      <c r="D2540" s="21">
        <v>10</v>
      </c>
      <c r="E2540" s="2">
        <f t="shared" si="442"/>
        <v>9</v>
      </c>
      <c r="F2540" s="2">
        <v>10</v>
      </c>
      <c r="G2540" s="3" t="s">
        <v>22</v>
      </c>
      <c r="H2540" s="2">
        <v>50</v>
      </c>
      <c r="I2540" s="114" t="str">
        <f t="shared" si="439"/>
        <v>508100</v>
      </c>
      <c r="J2540" s="112" t="s">
        <v>685</v>
      </c>
      <c r="K2540" s="112" t="str">
        <f t="shared" si="441"/>
        <v>508100</v>
      </c>
      <c r="L2540" s="2">
        <v>1</v>
      </c>
      <c r="M2540" s="2" t="s">
        <v>84</v>
      </c>
      <c r="N2540" s="2" t="s">
        <v>84</v>
      </c>
      <c r="O2540" s="2" t="s">
        <v>841</v>
      </c>
      <c r="P2540" s="2" t="s">
        <v>378</v>
      </c>
    </row>
    <row r="2541" spans="1:16" ht="22" customHeight="1" x14ac:dyDescent="0.15">
      <c r="A2541" s="10" t="str">
        <f t="shared" si="440"/>
        <v>508_10_10_10_polygon</v>
      </c>
      <c r="B2541" s="2">
        <v>508</v>
      </c>
      <c r="C2541" s="30" t="str">
        <f>VLOOKUP(B2541,gachas!A:C,3)</f>
        <v>フィーバーフェス（3日目）</v>
      </c>
      <c r="D2541" s="21">
        <v>10</v>
      </c>
      <c r="E2541" s="2">
        <f t="shared" si="442"/>
        <v>10</v>
      </c>
      <c r="F2541" s="2">
        <v>10</v>
      </c>
      <c r="G2541" s="3" t="s">
        <v>22</v>
      </c>
      <c r="H2541" s="2">
        <v>50</v>
      </c>
      <c r="I2541" s="114" t="str">
        <f t="shared" si="439"/>
        <v>508100</v>
      </c>
      <c r="J2541" s="112" t="str">
        <f>CONCATENATE(B2541,D2541,5)</f>
        <v>508105</v>
      </c>
      <c r="K2541" s="112" t="str">
        <f t="shared" si="441"/>
        <v>508100</v>
      </c>
      <c r="L2541" s="2">
        <v>1</v>
      </c>
      <c r="M2541" s="2" t="s">
        <v>84</v>
      </c>
      <c r="N2541" s="2" t="s">
        <v>84</v>
      </c>
      <c r="O2541" s="2" t="s">
        <v>841</v>
      </c>
      <c r="P2541" s="2" t="s">
        <v>1763</v>
      </c>
    </row>
    <row r="2542" spans="1:16" ht="22" customHeight="1" x14ac:dyDescent="0.15">
      <c r="A2542" s="10" t="str">
        <f t="shared" si="440"/>
        <v>508_10_11_10_polygon</v>
      </c>
      <c r="B2542" s="2">
        <v>508</v>
      </c>
      <c r="C2542" s="30" t="str">
        <f>VLOOKUP(B2542,gachas!A:C,3)</f>
        <v>フィーバーフェス（3日目）</v>
      </c>
      <c r="D2542" s="21">
        <v>10</v>
      </c>
      <c r="E2542" s="2">
        <f t="shared" si="442"/>
        <v>11</v>
      </c>
      <c r="F2542" s="2">
        <v>10</v>
      </c>
      <c r="G2542" s="3" t="s">
        <v>22</v>
      </c>
      <c r="H2542" s="2">
        <v>50</v>
      </c>
      <c r="I2542" s="114" t="str">
        <f t="shared" si="439"/>
        <v>508100</v>
      </c>
      <c r="J2542" s="112" t="s">
        <v>685</v>
      </c>
      <c r="K2542" s="112" t="str">
        <f t="shared" si="441"/>
        <v>508100</v>
      </c>
      <c r="L2542" s="2">
        <v>1</v>
      </c>
      <c r="M2542" s="2" t="s">
        <v>84</v>
      </c>
      <c r="N2542" s="2" t="s">
        <v>84</v>
      </c>
      <c r="O2542" s="2" t="s">
        <v>841</v>
      </c>
      <c r="P2542" s="2" t="s">
        <v>378</v>
      </c>
    </row>
    <row r="2543" spans="1:16" ht="22" customHeight="1" x14ac:dyDescent="0.15">
      <c r="A2543" s="10" t="str">
        <f t="shared" si="440"/>
        <v>508_10_12_10_polygon</v>
      </c>
      <c r="B2543" s="2">
        <v>508</v>
      </c>
      <c r="C2543" s="30" t="str">
        <f>VLOOKUP(B2543,gachas!A:C,3)</f>
        <v>フィーバーフェス（3日目）</v>
      </c>
      <c r="D2543" s="21">
        <v>10</v>
      </c>
      <c r="E2543" s="2">
        <f t="shared" si="442"/>
        <v>12</v>
      </c>
      <c r="F2543" s="2">
        <v>10</v>
      </c>
      <c r="G2543" s="3" t="s">
        <v>22</v>
      </c>
      <c r="H2543" s="2">
        <v>50</v>
      </c>
      <c r="I2543" s="114" t="str">
        <f t="shared" si="439"/>
        <v>508100</v>
      </c>
      <c r="J2543" s="112" t="s">
        <v>685</v>
      </c>
      <c r="K2543" s="112" t="str">
        <f t="shared" si="441"/>
        <v>508100</v>
      </c>
      <c r="L2543" s="2">
        <v>1</v>
      </c>
      <c r="M2543" s="2" t="s">
        <v>84</v>
      </c>
      <c r="N2543" s="2" t="s">
        <v>84</v>
      </c>
      <c r="O2543" s="2" t="s">
        <v>841</v>
      </c>
      <c r="P2543" s="2" t="s">
        <v>378</v>
      </c>
    </row>
    <row r="2544" spans="1:16" ht="22" customHeight="1" x14ac:dyDescent="0.15">
      <c r="A2544" s="10" t="str">
        <f t="shared" si="440"/>
        <v>508_10_13_10_polygon</v>
      </c>
      <c r="B2544" s="2">
        <v>508</v>
      </c>
      <c r="C2544" s="30" t="str">
        <f>VLOOKUP(B2544,gachas!A:C,3)</f>
        <v>フィーバーフェス（3日目）</v>
      </c>
      <c r="D2544" s="21">
        <v>10</v>
      </c>
      <c r="E2544" s="2">
        <f t="shared" si="442"/>
        <v>13</v>
      </c>
      <c r="F2544" s="2">
        <v>10</v>
      </c>
      <c r="G2544" s="3" t="s">
        <v>22</v>
      </c>
      <c r="H2544" s="2">
        <v>50</v>
      </c>
      <c r="I2544" s="114" t="str">
        <f t="shared" si="439"/>
        <v>508100</v>
      </c>
      <c r="J2544" s="112" t="s">
        <v>685</v>
      </c>
      <c r="K2544" s="112" t="str">
        <f t="shared" si="441"/>
        <v>508100</v>
      </c>
      <c r="L2544" s="2">
        <v>1</v>
      </c>
      <c r="M2544" s="2" t="s">
        <v>84</v>
      </c>
      <c r="N2544" s="2" t="s">
        <v>84</v>
      </c>
      <c r="O2544" s="2" t="s">
        <v>841</v>
      </c>
      <c r="P2544" s="2" t="s">
        <v>378</v>
      </c>
    </row>
    <row r="2545" spans="1:16" ht="22" customHeight="1" x14ac:dyDescent="0.15">
      <c r="A2545" s="10" t="str">
        <f t="shared" si="440"/>
        <v>508_10_14_10_polygon</v>
      </c>
      <c r="B2545" s="2">
        <v>508</v>
      </c>
      <c r="C2545" s="30" t="str">
        <f>VLOOKUP(B2545,gachas!A:C,3)</f>
        <v>フィーバーフェス（3日目）</v>
      </c>
      <c r="D2545" s="21">
        <v>10</v>
      </c>
      <c r="E2545" s="2">
        <f t="shared" si="442"/>
        <v>14</v>
      </c>
      <c r="F2545" s="2">
        <v>10</v>
      </c>
      <c r="G2545" s="3" t="s">
        <v>22</v>
      </c>
      <c r="H2545" s="2">
        <v>50</v>
      </c>
      <c r="I2545" s="114" t="str">
        <f t="shared" ref="I2545:I2581" si="443">CONCATENATE(B2545,IF(D2545=1,"01","10"),0)</f>
        <v>508100</v>
      </c>
      <c r="J2545" s="112" t="s">
        <v>685</v>
      </c>
      <c r="K2545" s="112" t="str">
        <f t="shared" si="441"/>
        <v>508100</v>
      </c>
      <c r="L2545" s="2">
        <v>1</v>
      </c>
      <c r="M2545" s="2" t="s">
        <v>84</v>
      </c>
      <c r="N2545" s="2" t="s">
        <v>84</v>
      </c>
      <c r="O2545" s="2" t="s">
        <v>841</v>
      </c>
      <c r="P2545" s="2" t="s">
        <v>378</v>
      </c>
    </row>
    <row r="2546" spans="1:16" ht="22" customHeight="1" x14ac:dyDescent="0.15">
      <c r="A2546" s="10" t="str">
        <f t="shared" si="440"/>
        <v>508_10_15_10_polygon</v>
      </c>
      <c r="B2546" s="2">
        <v>508</v>
      </c>
      <c r="C2546" s="30" t="str">
        <f>VLOOKUP(B2546,gachas!A:C,3)</f>
        <v>フィーバーフェス（3日目）</v>
      </c>
      <c r="D2546" s="21">
        <v>10</v>
      </c>
      <c r="E2546" s="2">
        <f t="shared" si="442"/>
        <v>15</v>
      </c>
      <c r="F2546" s="2">
        <v>10</v>
      </c>
      <c r="G2546" s="3" t="s">
        <v>22</v>
      </c>
      <c r="H2546" s="2">
        <v>50</v>
      </c>
      <c r="I2546" s="114" t="str">
        <f t="shared" si="443"/>
        <v>508100</v>
      </c>
      <c r="J2546" s="112" t="str">
        <f>CONCATENATE(B2546,D2546,5)</f>
        <v>508105</v>
      </c>
      <c r="K2546" s="112" t="str">
        <f t="shared" si="441"/>
        <v>508100</v>
      </c>
      <c r="L2546" s="2">
        <v>1</v>
      </c>
      <c r="M2546" s="2" t="s">
        <v>84</v>
      </c>
      <c r="N2546" s="2" t="s">
        <v>84</v>
      </c>
      <c r="O2546" s="2" t="s">
        <v>841</v>
      </c>
      <c r="P2546" s="2" t="s">
        <v>1763</v>
      </c>
    </row>
    <row r="2547" spans="1:16" ht="22" customHeight="1" x14ac:dyDescent="0.15">
      <c r="A2547" s="10" t="str">
        <f t="shared" si="440"/>
        <v>508_10_16_10_polygon</v>
      </c>
      <c r="B2547" s="2">
        <v>508</v>
      </c>
      <c r="C2547" s="30" t="str">
        <f>VLOOKUP(B2547,gachas!A:C,3)</f>
        <v>フィーバーフェス（3日目）</v>
      </c>
      <c r="D2547" s="21">
        <v>10</v>
      </c>
      <c r="E2547" s="2">
        <f t="shared" si="442"/>
        <v>16</v>
      </c>
      <c r="F2547" s="2">
        <v>10</v>
      </c>
      <c r="G2547" s="3" t="s">
        <v>22</v>
      </c>
      <c r="H2547" s="2">
        <v>50</v>
      </c>
      <c r="I2547" s="114" t="str">
        <f t="shared" si="443"/>
        <v>508100</v>
      </c>
      <c r="J2547" s="112" t="s">
        <v>685</v>
      </c>
      <c r="K2547" s="112" t="str">
        <f t="shared" si="441"/>
        <v>508100</v>
      </c>
      <c r="L2547" s="2">
        <v>1</v>
      </c>
      <c r="M2547" s="2" t="s">
        <v>84</v>
      </c>
      <c r="N2547" s="2" t="s">
        <v>84</v>
      </c>
      <c r="O2547" s="2" t="s">
        <v>841</v>
      </c>
      <c r="P2547" s="2" t="s">
        <v>378</v>
      </c>
    </row>
    <row r="2548" spans="1:16" ht="22" customHeight="1" x14ac:dyDescent="0.15">
      <c r="A2548" s="10" t="str">
        <f t="shared" si="440"/>
        <v>508_10_17_10_polygon</v>
      </c>
      <c r="B2548" s="2">
        <v>508</v>
      </c>
      <c r="C2548" s="30" t="str">
        <f>VLOOKUP(B2548,gachas!A:C,3)</f>
        <v>フィーバーフェス（3日目）</v>
      </c>
      <c r="D2548" s="21">
        <v>10</v>
      </c>
      <c r="E2548" s="2">
        <f t="shared" si="442"/>
        <v>17</v>
      </c>
      <c r="F2548" s="2">
        <v>10</v>
      </c>
      <c r="G2548" s="3" t="s">
        <v>22</v>
      </c>
      <c r="H2548" s="2">
        <v>50</v>
      </c>
      <c r="I2548" s="114" t="str">
        <f t="shared" si="443"/>
        <v>508100</v>
      </c>
      <c r="J2548" s="112" t="s">
        <v>685</v>
      </c>
      <c r="K2548" s="112" t="str">
        <f t="shared" si="441"/>
        <v>508100</v>
      </c>
      <c r="L2548" s="2">
        <v>1</v>
      </c>
      <c r="M2548" s="2" t="s">
        <v>84</v>
      </c>
      <c r="N2548" s="2" t="s">
        <v>84</v>
      </c>
      <c r="O2548" s="2" t="s">
        <v>841</v>
      </c>
      <c r="P2548" s="2" t="s">
        <v>378</v>
      </c>
    </row>
    <row r="2549" spans="1:16" ht="22" customHeight="1" x14ac:dyDescent="0.15">
      <c r="A2549" s="10" t="str">
        <f t="shared" si="440"/>
        <v>508_10_18_10_polygon</v>
      </c>
      <c r="B2549" s="2">
        <v>508</v>
      </c>
      <c r="C2549" s="30" t="str">
        <f>VLOOKUP(B2549,gachas!A:C,3)</f>
        <v>フィーバーフェス（3日目）</v>
      </c>
      <c r="D2549" s="21">
        <v>10</v>
      </c>
      <c r="E2549" s="2">
        <f t="shared" si="442"/>
        <v>18</v>
      </c>
      <c r="F2549" s="2">
        <v>10</v>
      </c>
      <c r="G2549" s="3" t="s">
        <v>22</v>
      </c>
      <c r="H2549" s="2">
        <v>50</v>
      </c>
      <c r="I2549" s="114" t="str">
        <f t="shared" si="443"/>
        <v>508100</v>
      </c>
      <c r="J2549" s="112" t="s">
        <v>685</v>
      </c>
      <c r="K2549" s="112" t="str">
        <f t="shared" si="441"/>
        <v>508100</v>
      </c>
      <c r="L2549" s="2">
        <v>1</v>
      </c>
      <c r="M2549" s="2" t="s">
        <v>84</v>
      </c>
      <c r="N2549" s="2" t="s">
        <v>84</v>
      </c>
      <c r="O2549" s="2" t="s">
        <v>841</v>
      </c>
      <c r="P2549" s="2" t="s">
        <v>378</v>
      </c>
    </row>
    <row r="2550" spans="1:16" ht="22" customHeight="1" x14ac:dyDescent="0.15">
      <c r="A2550" s="10" t="str">
        <f t="shared" si="440"/>
        <v>508_10_19_10_polygon</v>
      </c>
      <c r="B2550" s="2">
        <v>508</v>
      </c>
      <c r="C2550" s="30" t="str">
        <f>VLOOKUP(B2550,gachas!A:C,3)</f>
        <v>フィーバーフェス（3日目）</v>
      </c>
      <c r="D2550" s="21">
        <v>10</v>
      </c>
      <c r="E2550" s="2">
        <f t="shared" si="442"/>
        <v>19</v>
      </c>
      <c r="F2550" s="2">
        <v>10</v>
      </c>
      <c r="G2550" s="3" t="s">
        <v>22</v>
      </c>
      <c r="H2550" s="2">
        <v>50</v>
      </c>
      <c r="I2550" s="114" t="str">
        <f t="shared" si="443"/>
        <v>508100</v>
      </c>
      <c r="J2550" s="112" t="s">
        <v>685</v>
      </c>
      <c r="K2550" s="112" t="str">
        <f t="shared" si="441"/>
        <v>508100</v>
      </c>
      <c r="L2550" s="2">
        <v>1</v>
      </c>
      <c r="M2550" s="2" t="s">
        <v>84</v>
      </c>
      <c r="N2550" s="2" t="s">
        <v>84</v>
      </c>
      <c r="O2550" s="2" t="s">
        <v>841</v>
      </c>
      <c r="P2550" s="2" t="s">
        <v>378</v>
      </c>
    </row>
    <row r="2551" spans="1:16" ht="22" customHeight="1" x14ac:dyDescent="0.15">
      <c r="A2551" s="10" t="str">
        <f t="shared" si="440"/>
        <v>508_10_20_10_polygon</v>
      </c>
      <c r="B2551" s="2">
        <v>508</v>
      </c>
      <c r="C2551" s="30" t="str">
        <f>VLOOKUP(B2551,gachas!A:C,3)</f>
        <v>フィーバーフェス（3日目）</v>
      </c>
      <c r="D2551" s="21">
        <v>10</v>
      </c>
      <c r="E2551" s="2">
        <f t="shared" si="442"/>
        <v>20</v>
      </c>
      <c r="F2551" s="2">
        <v>10</v>
      </c>
      <c r="G2551" s="3" t="s">
        <v>22</v>
      </c>
      <c r="H2551" s="2">
        <v>50</v>
      </c>
      <c r="I2551" s="114" t="str">
        <f t="shared" si="443"/>
        <v>508100</v>
      </c>
      <c r="J2551" s="112" t="str">
        <f>CONCATENATE(B2551,D2551,5)</f>
        <v>508105</v>
      </c>
      <c r="K2551" s="112" t="str">
        <f t="shared" si="441"/>
        <v>508100</v>
      </c>
      <c r="L2551" s="2">
        <v>1</v>
      </c>
      <c r="M2551" s="2" t="s">
        <v>84</v>
      </c>
      <c r="N2551" s="2" t="s">
        <v>84</v>
      </c>
      <c r="O2551" s="2" t="s">
        <v>841</v>
      </c>
      <c r="P2551" s="2" t="s">
        <v>1763</v>
      </c>
    </row>
    <row r="2552" spans="1:16" ht="22" customHeight="1" x14ac:dyDescent="0.15">
      <c r="A2552" s="10" t="str">
        <f t="shared" si="440"/>
        <v>508_10_21_10_polygon</v>
      </c>
      <c r="B2552" s="2">
        <v>508</v>
      </c>
      <c r="C2552" s="30" t="str">
        <f>VLOOKUP(B2552,gachas!A:C,3)</f>
        <v>フィーバーフェス（3日目）</v>
      </c>
      <c r="D2552" s="21">
        <v>10</v>
      </c>
      <c r="E2552" s="2">
        <f t="shared" si="442"/>
        <v>21</v>
      </c>
      <c r="F2552" s="2">
        <v>10</v>
      </c>
      <c r="G2552" s="3" t="s">
        <v>22</v>
      </c>
      <c r="H2552" s="2">
        <v>50</v>
      </c>
      <c r="I2552" s="114" t="str">
        <f t="shared" si="443"/>
        <v>508100</v>
      </c>
      <c r="J2552" s="112" t="s">
        <v>685</v>
      </c>
      <c r="K2552" s="112" t="str">
        <f t="shared" si="441"/>
        <v>508100</v>
      </c>
      <c r="L2552" s="2">
        <v>1</v>
      </c>
      <c r="M2552" s="2" t="s">
        <v>84</v>
      </c>
      <c r="N2552" s="2" t="s">
        <v>84</v>
      </c>
      <c r="O2552" s="2" t="s">
        <v>841</v>
      </c>
      <c r="P2552" s="2" t="s">
        <v>378</v>
      </c>
    </row>
    <row r="2553" spans="1:16" ht="22" customHeight="1" x14ac:dyDescent="0.15">
      <c r="A2553" s="10" t="str">
        <f t="shared" si="440"/>
        <v>508_10_22_10_polygon</v>
      </c>
      <c r="B2553" s="2">
        <v>508</v>
      </c>
      <c r="C2553" s="30" t="str">
        <f>VLOOKUP(B2553,gachas!A:C,3)</f>
        <v>フィーバーフェス（3日目）</v>
      </c>
      <c r="D2553" s="21">
        <v>10</v>
      </c>
      <c r="E2553" s="2">
        <f t="shared" si="442"/>
        <v>22</v>
      </c>
      <c r="F2553" s="2">
        <v>10</v>
      </c>
      <c r="G2553" s="3" t="s">
        <v>22</v>
      </c>
      <c r="H2553" s="2">
        <v>50</v>
      </c>
      <c r="I2553" s="114" t="str">
        <f t="shared" si="443"/>
        <v>508100</v>
      </c>
      <c r="J2553" s="112" t="s">
        <v>685</v>
      </c>
      <c r="K2553" s="112" t="str">
        <f t="shared" si="441"/>
        <v>508100</v>
      </c>
      <c r="L2553" s="2">
        <v>1</v>
      </c>
      <c r="M2553" s="2" t="s">
        <v>84</v>
      </c>
      <c r="N2553" s="2" t="s">
        <v>84</v>
      </c>
      <c r="O2553" s="2" t="s">
        <v>841</v>
      </c>
      <c r="P2553" s="2" t="s">
        <v>378</v>
      </c>
    </row>
    <row r="2554" spans="1:16" ht="22" customHeight="1" x14ac:dyDescent="0.15">
      <c r="A2554" s="10" t="str">
        <f t="shared" si="440"/>
        <v>508_10_23_10_polygon</v>
      </c>
      <c r="B2554" s="2">
        <v>508</v>
      </c>
      <c r="C2554" s="30" t="str">
        <f>VLOOKUP(B2554,gachas!A:C,3)</f>
        <v>フィーバーフェス（3日目）</v>
      </c>
      <c r="D2554" s="21">
        <v>10</v>
      </c>
      <c r="E2554" s="2">
        <f t="shared" si="442"/>
        <v>23</v>
      </c>
      <c r="F2554" s="2">
        <v>10</v>
      </c>
      <c r="G2554" s="3" t="s">
        <v>22</v>
      </c>
      <c r="H2554" s="2">
        <v>50</v>
      </c>
      <c r="I2554" s="114" t="str">
        <f t="shared" si="443"/>
        <v>508100</v>
      </c>
      <c r="J2554" s="112" t="s">
        <v>685</v>
      </c>
      <c r="K2554" s="112" t="str">
        <f t="shared" si="441"/>
        <v>508100</v>
      </c>
      <c r="L2554" s="2">
        <v>1</v>
      </c>
      <c r="M2554" s="2" t="s">
        <v>84</v>
      </c>
      <c r="N2554" s="2" t="s">
        <v>84</v>
      </c>
      <c r="O2554" s="2" t="s">
        <v>841</v>
      </c>
      <c r="P2554" s="2" t="s">
        <v>378</v>
      </c>
    </row>
    <row r="2555" spans="1:16" ht="22" customHeight="1" x14ac:dyDescent="0.15">
      <c r="A2555" s="10" t="str">
        <f t="shared" si="440"/>
        <v>508_10_24_10_polygon</v>
      </c>
      <c r="B2555" s="2">
        <v>508</v>
      </c>
      <c r="C2555" s="30" t="str">
        <f>VLOOKUP(B2555,gachas!A:C,3)</f>
        <v>フィーバーフェス（3日目）</v>
      </c>
      <c r="D2555" s="21">
        <v>10</v>
      </c>
      <c r="E2555" s="2">
        <f t="shared" si="442"/>
        <v>24</v>
      </c>
      <c r="F2555" s="2">
        <v>10</v>
      </c>
      <c r="G2555" s="3" t="s">
        <v>22</v>
      </c>
      <c r="H2555" s="2">
        <v>50</v>
      </c>
      <c r="I2555" s="114" t="str">
        <f t="shared" si="443"/>
        <v>508100</v>
      </c>
      <c r="J2555" s="112" t="s">
        <v>685</v>
      </c>
      <c r="K2555" s="112" t="str">
        <f t="shared" si="441"/>
        <v>508100</v>
      </c>
      <c r="L2555" s="2">
        <v>1</v>
      </c>
      <c r="M2555" s="2" t="s">
        <v>84</v>
      </c>
      <c r="N2555" s="2" t="s">
        <v>84</v>
      </c>
      <c r="O2555" s="2" t="s">
        <v>841</v>
      </c>
      <c r="P2555" s="2" t="s">
        <v>378</v>
      </c>
    </row>
    <row r="2556" spans="1:16" ht="22" customHeight="1" x14ac:dyDescent="0.15">
      <c r="A2556" s="10" t="str">
        <f t="shared" si="440"/>
        <v>508_10_25_10_polygon</v>
      </c>
      <c r="B2556" s="2">
        <v>508</v>
      </c>
      <c r="C2556" s="30" t="str">
        <f>VLOOKUP(B2556,gachas!A:C,3)</f>
        <v>フィーバーフェス（3日目）</v>
      </c>
      <c r="D2556" s="21">
        <v>10</v>
      </c>
      <c r="E2556" s="2">
        <f t="shared" si="442"/>
        <v>25</v>
      </c>
      <c r="F2556" s="2">
        <v>10</v>
      </c>
      <c r="G2556" s="3" t="s">
        <v>22</v>
      </c>
      <c r="H2556" s="2">
        <v>50</v>
      </c>
      <c r="I2556" s="114" t="str">
        <f t="shared" si="443"/>
        <v>508100</v>
      </c>
      <c r="J2556" s="112" t="str">
        <f>CONCATENATE(B2556,D2556,5)</f>
        <v>508105</v>
      </c>
      <c r="K2556" s="112" t="str">
        <f t="shared" si="441"/>
        <v>508100</v>
      </c>
      <c r="L2556" s="2">
        <v>1</v>
      </c>
      <c r="M2556" s="2" t="s">
        <v>84</v>
      </c>
      <c r="N2556" s="2" t="s">
        <v>84</v>
      </c>
      <c r="O2556" s="2" t="s">
        <v>841</v>
      </c>
      <c r="P2556" s="2" t="s">
        <v>1763</v>
      </c>
    </row>
    <row r="2557" spans="1:16" ht="22" customHeight="1" x14ac:dyDescent="0.15">
      <c r="A2557" s="10" t="str">
        <f t="shared" si="440"/>
        <v>508_10_26_10_polygon</v>
      </c>
      <c r="B2557" s="2">
        <v>508</v>
      </c>
      <c r="C2557" s="30" t="str">
        <f>VLOOKUP(B2557,gachas!A:C,3)</f>
        <v>フィーバーフェス（3日目）</v>
      </c>
      <c r="D2557" s="21">
        <v>10</v>
      </c>
      <c r="E2557" s="2">
        <f t="shared" si="442"/>
        <v>26</v>
      </c>
      <c r="F2557" s="2">
        <v>10</v>
      </c>
      <c r="G2557" s="3" t="s">
        <v>22</v>
      </c>
      <c r="H2557" s="2">
        <v>50</v>
      </c>
      <c r="I2557" s="114" t="str">
        <f t="shared" si="443"/>
        <v>508100</v>
      </c>
      <c r="J2557" s="112" t="s">
        <v>685</v>
      </c>
      <c r="K2557" s="112" t="str">
        <f t="shared" si="441"/>
        <v>508100</v>
      </c>
      <c r="L2557" s="2">
        <v>1</v>
      </c>
      <c r="M2557" s="2" t="s">
        <v>84</v>
      </c>
      <c r="N2557" s="2" t="s">
        <v>84</v>
      </c>
      <c r="O2557" s="2" t="s">
        <v>841</v>
      </c>
      <c r="P2557" s="2" t="s">
        <v>378</v>
      </c>
    </row>
    <row r="2558" spans="1:16" ht="22" customHeight="1" x14ac:dyDescent="0.15">
      <c r="A2558" s="10" t="str">
        <f t="shared" si="440"/>
        <v>508_10_27_10_polygon</v>
      </c>
      <c r="B2558" s="2">
        <v>508</v>
      </c>
      <c r="C2558" s="30" t="str">
        <f>VLOOKUP(B2558,gachas!A:C,3)</f>
        <v>フィーバーフェス（3日目）</v>
      </c>
      <c r="D2558" s="21">
        <v>10</v>
      </c>
      <c r="E2558" s="2">
        <f t="shared" si="442"/>
        <v>27</v>
      </c>
      <c r="F2558" s="2">
        <v>10</v>
      </c>
      <c r="G2558" s="3" t="s">
        <v>22</v>
      </c>
      <c r="H2558" s="2">
        <v>50</v>
      </c>
      <c r="I2558" s="114" t="str">
        <f t="shared" si="443"/>
        <v>508100</v>
      </c>
      <c r="J2558" s="112" t="s">
        <v>685</v>
      </c>
      <c r="K2558" s="112" t="str">
        <f t="shared" si="441"/>
        <v>508100</v>
      </c>
      <c r="L2558" s="2">
        <v>1</v>
      </c>
      <c r="M2558" s="2" t="s">
        <v>84</v>
      </c>
      <c r="N2558" s="2" t="s">
        <v>84</v>
      </c>
      <c r="O2558" s="2" t="s">
        <v>841</v>
      </c>
      <c r="P2558" s="2" t="s">
        <v>378</v>
      </c>
    </row>
    <row r="2559" spans="1:16" ht="22" customHeight="1" x14ac:dyDescent="0.15">
      <c r="A2559" s="10" t="str">
        <f t="shared" si="440"/>
        <v>508_10_28_10_polygon</v>
      </c>
      <c r="B2559" s="2">
        <v>508</v>
      </c>
      <c r="C2559" s="30" t="str">
        <f>VLOOKUP(B2559,gachas!A:C,3)</f>
        <v>フィーバーフェス（3日目）</v>
      </c>
      <c r="D2559" s="21">
        <v>10</v>
      </c>
      <c r="E2559" s="2">
        <f t="shared" si="442"/>
        <v>28</v>
      </c>
      <c r="F2559" s="2">
        <v>10</v>
      </c>
      <c r="G2559" s="3" t="s">
        <v>22</v>
      </c>
      <c r="H2559" s="2">
        <v>50</v>
      </c>
      <c r="I2559" s="114" t="str">
        <f t="shared" si="443"/>
        <v>508100</v>
      </c>
      <c r="J2559" s="112" t="s">
        <v>685</v>
      </c>
      <c r="K2559" s="112" t="str">
        <f t="shared" si="441"/>
        <v>508100</v>
      </c>
      <c r="L2559" s="2">
        <v>1</v>
      </c>
      <c r="M2559" s="2" t="s">
        <v>84</v>
      </c>
      <c r="N2559" s="2" t="s">
        <v>84</v>
      </c>
      <c r="O2559" s="2" t="s">
        <v>841</v>
      </c>
      <c r="P2559" s="2" t="s">
        <v>378</v>
      </c>
    </row>
    <row r="2560" spans="1:16" ht="22" customHeight="1" x14ac:dyDescent="0.15">
      <c r="A2560" s="10" t="str">
        <f t="shared" si="440"/>
        <v>508_10_29_10_polygon</v>
      </c>
      <c r="B2560" s="2">
        <v>508</v>
      </c>
      <c r="C2560" s="30" t="str">
        <f>VLOOKUP(B2560,gachas!A:C,3)</f>
        <v>フィーバーフェス（3日目）</v>
      </c>
      <c r="D2560" s="21">
        <v>10</v>
      </c>
      <c r="E2560" s="2">
        <f t="shared" si="442"/>
        <v>29</v>
      </c>
      <c r="F2560" s="2">
        <v>10</v>
      </c>
      <c r="G2560" s="3" t="s">
        <v>22</v>
      </c>
      <c r="H2560" s="2">
        <v>50</v>
      </c>
      <c r="I2560" s="114" t="str">
        <f t="shared" si="443"/>
        <v>508100</v>
      </c>
      <c r="J2560" s="112" t="s">
        <v>685</v>
      </c>
      <c r="K2560" s="112" t="str">
        <f t="shared" si="441"/>
        <v>508100</v>
      </c>
      <c r="L2560" s="2">
        <v>1</v>
      </c>
      <c r="M2560" s="2" t="s">
        <v>84</v>
      </c>
      <c r="N2560" s="2" t="s">
        <v>84</v>
      </c>
      <c r="O2560" s="2" t="s">
        <v>841</v>
      </c>
      <c r="P2560" s="2" t="s">
        <v>378</v>
      </c>
    </row>
    <row r="2561" spans="1:16" ht="22" customHeight="1" x14ac:dyDescent="0.15">
      <c r="A2561" s="10" t="str">
        <f t="shared" si="440"/>
        <v>508_10_30_10_polygon</v>
      </c>
      <c r="B2561" s="2">
        <v>508</v>
      </c>
      <c r="C2561" s="30" t="str">
        <f>VLOOKUP(B2561,gachas!A:C,3)</f>
        <v>フィーバーフェス（3日目）</v>
      </c>
      <c r="D2561" s="21">
        <v>10</v>
      </c>
      <c r="E2561" s="2">
        <f t="shared" si="442"/>
        <v>30</v>
      </c>
      <c r="F2561" s="2">
        <v>10</v>
      </c>
      <c r="G2561" s="3" t="s">
        <v>22</v>
      </c>
      <c r="H2561" s="2">
        <v>50</v>
      </c>
      <c r="I2561" s="114" t="str">
        <f t="shared" si="443"/>
        <v>508100</v>
      </c>
      <c r="J2561" s="112" t="str">
        <f>CONCATENATE(B2561,D2561,5)</f>
        <v>508105</v>
      </c>
      <c r="K2561" s="112" t="str">
        <f t="shared" si="441"/>
        <v>508100</v>
      </c>
      <c r="L2561" s="2">
        <v>1</v>
      </c>
      <c r="M2561" s="2" t="s">
        <v>84</v>
      </c>
      <c r="N2561" s="2" t="s">
        <v>84</v>
      </c>
      <c r="O2561" s="2" t="s">
        <v>841</v>
      </c>
      <c r="P2561" s="2" t="s">
        <v>1763</v>
      </c>
    </row>
    <row r="2562" spans="1:16" ht="22" customHeight="1" x14ac:dyDescent="0.15">
      <c r="A2562" s="10" t="str">
        <f t="shared" si="440"/>
        <v>508_10_31_10_polygon</v>
      </c>
      <c r="B2562" s="2">
        <v>508</v>
      </c>
      <c r="C2562" s="30" t="str">
        <f>VLOOKUP(B2562,gachas!A:C,3)</f>
        <v>フィーバーフェス（3日目）</v>
      </c>
      <c r="D2562" s="21">
        <v>10</v>
      </c>
      <c r="E2562" s="2">
        <f t="shared" si="442"/>
        <v>31</v>
      </c>
      <c r="F2562" s="2">
        <v>10</v>
      </c>
      <c r="G2562" s="3" t="s">
        <v>22</v>
      </c>
      <c r="H2562" s="2">
        <v>50</v>
      </c>
      <c r="I2562" s="114" t="str">
        <f t="shared" si="443"/>
        <v>508100</v>
      </c>
      <c r="J2562" s="112" t="s">
        <v>685</v>
      </c>
      <c r="K2562" s="112" t="str">
        <f t="shared" si="441"/>
        <v>508100</v>
      </c>
      <c r="L2562" s="2">
        <v>1</v>
      </c>
      <c r="M2562" s="2" t="s">
        <v>84</v>
      </c>
      <c r="N2562" s="2" t="s">
        <v>84</v>
      </c>
      <c r="O2562" s="2" t="s">
        <v>841</v>
      </c>
      <c r="P2562" s="2" t="s">
        <v>378</v>
      </c>
    </row>
    <row r="2563" spans="1:16" ht="22" customHeight="1" x14ac:dyDescent="0.15">
      <c r="A2563" s="10" t="str">
        <f t="shared" si="440"/>
        <v>508_10_32_10_polygon</v>
      </c>
      <c r="B2563" s="2">
        <v>508</v>
      </c>
      <c r="C2563" s="30" t="str">
        <f>VLOOKUP(B2563,gachas!A:C,3)</f>
        <v>フィーバーフェス（3日目）</v>
      </c>
      <c r="D2563" s="21">
        <v>10</v>
      </c>
      <c r="E2563" s="2">
        <f t="shared" si="442"/>
        <v>32</v>
      </c>
      <c r="F2563" s="2">
        <v>10</v>
      </c>
      <c r="G2563" s="3" t="s">
        <v>22</v>
      </c>
      <c r="H2563" s="2">
        <v>50</v>
      </c>
      <c r="I2563" s="114" t="str">
        <f t="shared" si="443"/>
        <v>508100</v>
      </c>
      <c r="J2563" s="112" t="s">
        <v>685</v>
      </c>
      <c r="K2563" s="112" t="str">
        <f t="shared" si="441"/>
        <v>508100</v>
      </c>
      <c r="L2563" s="2">
        <v>1</v>
      </c>
      <c r="M2563" s="2" t="s">
        <v>84</v>
      </c>
      <c r="N2563" s="2" t="s">
        <v>84</v>
      </c>
      <c r="O2563" s="2" t="s">
        <v>841</v>
      </c>
      <c r="P2563" s="2" t="s">
        <v>378</v>
      </c>
    </row>
    <row r="2564" spans="1:16" ht="22" customHeight="1" x14ac:dyDescent="0.15">
      <c r="A2564" s="10" t="str">
        <f t="shared" si="440"/>
        <v>508_10_33_10_polygon</v>
      </c>
      <c r="B2564" s="2">
        <v>508</v>
      </c>
      <c r="C2564" s="30" t="str">
        <f>VLOOKUP(B2564,gachas!A:C,3)</f>
        <v>フィーバーフェス（3日目）</v>
      </c>
      <c r="D2564" s="21">
        <v>10</v>
      </c>
      <c r="E2564" s="2">
        <f t="shared" si="442"/>
        <v>33</v>
      </c>
      <c r="F2564" s="2">
        <v>10</v>
      </c>
      <c r="G2564" s="3" t="s">
        <v>22</v>
      </c>
      <c r="H2564" s="2">
        <v>50</v>
      </c>
      <c r="I2564" s="114" t="str">
        <f t="shared" si="443"/>
        <v>508100</v>
      </c>
      <c r="J2564" s="112" t="s">
        <v>685</v>
      </c>
      <c r="K2564" s="112" t="str">
        <f t="shared" si="441"/>
        <v>508100</v>
      </c>
      <c r="L2564" s="2">
        <v>1</v>
      </c>
      <c r="M2564" s="2" t="s">
        <v>84</v>
      </c>
      <c r="N2564" s="2" t="s">
        <v>84</v>
      </c>
      <c r="O2564" s="2" t="s">
        <v>841</v>
      </c>
      <c r="P2564" s="2" t="s">
        <v>378</v>
      </c>
    </row>
    <row r="2565" spans="1:16" ht="22" customHeight="1" x14ac:dyDescent="0.15">
      <c r="A2565" s="10" t="str">
        <f t="shared" si="440"/>
        <v>508_10_34_10_polygon</v>
      </c>
      <c r="B2565" s="2">
        <v>508</v>
      </c>
      <c r="C2565" s="30" t="str">
        <f>VLOOKUP(B2565,gachas!A:C,3)</f>
        <v>フィーバーフェス（3日目）</v>
      </c>
      <c r="D2565" s="21">
        <v>10</v>
      </c>
      <c r="E2565" s="2">
        <f t="shared" si="442"/>
        <v>34</v>
      </c>
      <c r="F2565" s="2">
        <v>10</v>
      </c>
      <c r="G2565" s="3" t="s">
        <v>22</v>
      </c>
      <c r="H2565" s="2">
        <v>50</v>
      </c>
      <c r="I2565" s="114" t="str">
        <f t="shared" si="443"/>
        <v>508100</v>
      </c>
      <c r="J2565" s="112" t="s">
        <v>685</v>
      </c>
      <c r="K2565" s="112" t="str">
        <f t="shared" si="441"/>
        <v>508100</v>
      </c>
      <c r="L2565" s="2">
        <v>1</v>
      </c>
      <c r="M2565" s="2" t="s">
        <v>84</v>
      </c>
      <c r="N2565" s="2" t="s">
        <v>84</v>
      </c>
      <c r="O2565" s="2" t="s">
        <v>841</v>
      </c>
      <c r="P2565" s="2" t="s">
        <v>378</v>
      </c>
    </row>
    <row r="2566" spans="1:16" ht="22" customHeight="1" x14ac:dyDescent="0.15">
      <c r="A2566" s="10" t="str">
        <f t="shared" si="440"/>
        <v>508_10_35_10_polygon</v>
      </c>
      <c r="B2566" s="2">
        <v>508</v>
      </c>
      <c r="C2566" s="30" t="str">
        <f>VLOOKUP(B2566,gachas!A:C,3)</f>
        <v>フィーバーフェス（3日目）</v>
      </c>
      <c r="D2566" s="21">
        <v>10</v>
      </c>
      <c r="E2566" s="2">
        <f t="shared" si="442"/>
        <v>35</v>
      </c>
      <c r="F2566" s="2">
        <v>10</v>
      </c>
      <c r="G2566" s="3" t="s">
        <v>22</v>
      </c>
      <c r="H2566" s="2">
        <v>50</v>
      </c>
      <c r="I2566" s="114" t="str">
        <f t="shared" si="443"/>
        <v>508100</v>
      </c>
      <c r="J2566" s="112" t="str">
        <f>CONCATENATE(B2566,D2566,5)</f>
        <v>508105</v>
      </c>
      <c r="K2566" s="112" t="str">
        <f t="shared" si="441"/>
        <v>508100</v>
      </c>
      <c r="L2566" s="2">
        <v>1</v>
      </c>
      <c r="M2566" s="2" t="s">
        <v>84</v>
      </c>
      <c r="N2566" s="2" t="s">
        <v>84</v>
      </c>
      <c r="O2566" s="2" t="s">
        <v>841</v>
      </c>
      <c r="P2566" s="2" t="s">
        <v>1763</v>
      </c>
    </row>
    <row r="2567" spans="1:16" ht="22" customHeight="1" x14ac:dyDescent="0.15">
      <c r="A2567" s="10" t="str">
        <f t="shared" si="440"/>
        <v>508_10_36_10_polygon</v>
      </c>
      <c r="B2567" s="2">
        <v>508</v>
      </c>
      <c r="C2567" s="30" t="str">
        <f>VLOOKUP(B2567,gachas!A:C,3)</f>
        <v>フィーバーフェス（3日目）</v>
      </c>
      <c r="D2567" s="21">
        <v>10</v>
      </c>
      <c r="E2567" s="2">
        <f t="shared" si="442"/>
        <v>36</v>
      </c>
      <c r="F2567" s="2">
        <v>10</v>
      </c>
      <c r="G2567" s="3" t="s">
        <v>22</v>
      </c>
      <c r="H2567" s="2">
        <v>50</v>
      </c>
      <c r="I2567" s="114" t="str">
        <f t="shared" si="443"/>
        <v>508100</v>
      </c>
      <c r="J2567" s="112" t="s">
        <v>685</v>
      </c>
      <c r="K2567" s="112" t="str">
        <f t="shared" si="441"/>
        <v>508100</v>
      </c>
      <c r="L2567" s="2">
        <v>1</v>
      </c>
      <c r="M2567" s="2" t="s">
        <v>84</v>
      </c>
      <c r="N2567" s="2" t="s">
        <v>84</v>
      </c>
      <c r="O2567" s="2" t="s">
        <v>841</v>
      </c>
      <c r="P2567" s="2" t="s">
        <v>378</v>
      </c>
    </row>
    <row r="2568" spans="1:16" ht="22" customHeight="1" x14ac:dyDescent="0.15">
      <c r="A2568" s="10" t="str">
        <f t="shared" si="440"/>
        <v>508_10_37_10_polygon</v>
      </c>
      <c r="B2568" s="2">
        <v>508</v>
      </c>
      <c r="C2568" s="30" t="str">
        <f>VLOOKUP(B2568,gachas!A:C,3)</f>
        <v>フィーバーフェス（3日目）</v>
      </c>
      <c r="D2568" s="21">
        <v>10</v>
      </c>
      <c r="E2568" s="2">
        <f t="shared" si="442"/>
        <v>37</v>
      </c>
      <c r="F2568" s="2">
        <v>10</v>
      </c>
      <c r="G2568" s="3" t="s">
        <v>22</v>
      </c>
      <c r="H2568" s="2">
        <v>50</v>
      </c>
      <c r="I2568" s="114" t="str">
        <f t="shared" si="443"/>
        <v>508100</v>
      </c>
      <c r="J2568" s="112" t="s">
        <v>685</v>
      </c>
      <c r="K2568" s="112" t="str">
        <f t="shared" si="441"/>
        <v>508100</v>
      </c>
      <c r="L2568" s="2">
        <v>1</v>
      </c>
      <c r="M2568" s="2" t="s">
        <v>84</v>
      </c>
      <c r="N2568" s="2" t="s">
        <v>84</v>
      </c>
      <c r="O2568" s="2" t="s">
        <v>841</v>
      </c>
      <c r="P2568" s="2" t="s">
        <v>378</v>
      </c>
    </row>
    <row r="2569" spans="1:16" ht="22" customHeight="1" x14ac:dyDescent="0.15">
      <c r="A2569" s="10" t="str">
        <f t="shared" si="440"/>
        <v>508_10_38_10_polygon</v>
      </c>
      <c r="B2569" s="2">
        <v>508</v>
      </c>
      <c r="C2569" s="30" t="str">
        <f>VLOOKUP(B2569,gachas!A:C,3)</f>
        <v>フィーバーフェス（3日目）</v>
      </c>
      <c r="D2569" s="21">
        <v>10</v>
      </c>
      <c r="E2569" s="2">
        <f t="shared" si="442"/>
        <v>38</v>
      </c>
      <c r="F2569" s="2">
        <v>10</v>
      </c>
      <c r="G2569" s="3" t="s">
        <v>22</v>
      </c>
      <c r="H2569" s="2">
        <v>50</v>
      </c>
      <c r="I2569" s="114" t="str">
        <f t="shared" si="443"/>
        <v>508100</v>
      </c>
      <c r="J2569" s="112" t="s">
        <v>685</v>
      </c>
      <c r="K2569" s="112" t="str">
        <f t="shared" si="441"/>
        <v>508100</v>
      </c>
      <c r="L2569" s="2">
        <v>1</v>
      </c>
      <c r="M2569" s="2" t="s">
        <v>84</v>
      </c>
      <c r="N2569" s="2" t="s">
        <v>84</v>
      </c>
      <c r="O2569" s="2" t="s">
        <v>841</v>
      </c>
      <c r="P2569" s="2" t="s">
        <v>378</v>
      </c>
    </row>
    <row r="2570" spans="1:16" ht="22" customHeight="1" x14ac:dyDescent="0.15">
      <c r="A2570" s="10" t="str">
        <f t="shared" si="440"/>
        <v>508_10_39_10_polygon</v>
      </c>
      <c r="B2570" s="2">
        <v>508</v>
      </c>
      <c r="C2570" s="30" t="str">
        <f>VLOOKUP(B2570,gachas!A:C,3)</f>
        <v>フィーバーフェス（3日目）</v>
      </c>
      <c r="D2570" s="21">
        <v>10</v>
      </c>
      <c r="E2570" s="2">
        <f t="shared" si="442"/>
        <v>39</v>
      </c>
      <c r="F2570" s="2">
        <v>10</v>
      </c>
      <c r="G2570" s="3" t="s">
        <v>22</v>
      </c>
      <c r="H2570" s="2">
        <v>50</v>
      </c>
      <c r="I2570" s="114" t="str">
        <f t="shared" si="443"/>
        <v>508100</v>
      </c>
      <c r="J2570" s="112" t="s">
        <v>685</v>
      </c>
      <c r="K2570" s="112" t="str">
        <f t="shared" si="441"/>
        <v>508100</v>
      </c>
      <c r="L2570" s="2">
        <v>1</v>
      </c>
      <c r="M2570" s="2" t="s">
        <v>84</v>
      </c>
      <c r="N2570" s="2" t="s">
        <v>84</v>
      </c>
      <c r="O2570" s="2" t="s">
        <v>841</v>
      </c>
      <c r="P2570" s="2" t="s">
        <v>378</v>
      </c>
    </row>
    <row r="2571" spans="1:16" ht="22" customHeight="1" x14ac:dyDescent="0.15">
      <c r="A2571" s="10" t="str">
        <f t="shared" si="440"/>
        <v>508_10_40_10_polygon</v>
      </c>
      <c r="B2571" s="2">
        <v>508</v>
      </c>
      <c r="C2571" s="30" t="str">
        <f>VLOOKUP(B2571,gachas!A:C,3)</f>
        <v>フィーバーフェス（3日目）</v>
      </c>
      <c r="D2571" s="21">
        <v>10</v>
      </c>
      <c r="E2571" s="2">
        <f t="shared" si="442"/>
        <v>40</v>
      </c>
      <c r="F2571" s="2">
        <v>10</v>
      </c>
      <c r="G2571" s="3" t="s">
        <v>22</v>
      </c>
      <c r="H2571" s="2">
        <v>50</v>
      </c>
      <c r="I2571" s="114" t="str">
        <f t="shared" si="443"/>
        <v>508100</v>
      </c>
      <c r="J2571" s="112" t="str">
        <f>CONCATENATE(B2571,D2571,5)</f>
        <v>508105</v>
      </c>
      <c r="K2571" s="112" t="str">
        <f t="shared" si="441"/>
        <v>508100</v>
      </c>
      <c r="L2571" s="2">
        <v>1</v>
      </c>
      <c r="M2571" s="2" t="s">
        <v>84</v>
      </c>
      <c r="N2571" s="2" t="s">
        <v>84</v>
      </c>
      <c r="O2571" s="2" t="s">
        <v>841</v>
      </c>
      <c r="P2571" s="2" t="s">
        <v>1763</v>
      </c>
    </row>
    <row r="2572" spans="1:16" ht="22" customHeight="1" x14ac:dyDescent="0.15">
      <c r="A2572" s="10" t="str">
        <f t="shared" si="440"/>
        <v>508_10_41_10_polygon</v>
      </c>
      <c r="B2572" s="2">
        <v>508</v>
      </c>
      <c r="C2572" s="30" t="str">
        <f>VLOOKUP(B2572,gachas!A:C,3)</f>
        <v>フィーバーフェス（3日目）</v>
      </c>
      <c r="D2572" s="21">
        <v>10</v>
      </c>
      <c r="E2572" s="2">
        <f t="shared" si="442"/>
        <v>41</v>
      </c>
      <c r="F2572" s="2">
        <v>10</v>
      </c>
      <c r="G2572" s="3" t="s">
        <v>22</v>
      </c>
      <c r="H2572" s="2">
        <v>50</v>
      </c>
      <c r="I2572" s="114" t="str">
        <f t="shared" si="443"/>
        <v>508100</v>
      </c>
      <c r="J2572" s="112" t="s">
        <v>685</v>
      </c>
      <c r="K2572" s="112" t="str">
        <f t="shared" si="441"/>
        <v>508100</v>
      </c>
      <c r="L2572" s="2">
        <v>1</v>
      </c>
      <c r="M2572" s="2" t="s">
        <v>84</v>
      </c>
      <c r="N2572" s="2" t="s">
        <v>84</v>
      </c>
      <c r="O2572" s="2" t="s">
        <v>841</v>
      </c>
      <c r="P2572" s="2" t="s">
        <v>378</v>
      </c>
    </row>
    <row r="2573" spans="1:16" ht="22" customHeight="1" x14ac:dyDescent="0.15">
      <c r="A2573" s="10" t="str">
        <f t="shared" si="440"/>
        <v>508_10_42_10_polygon</v>
      </c>
      <c r="B2573" s="2">
        <v>508</v>
      </c>
      <c r="C2573" s="30" t="str">
        <f>VLOOKUP(B2573,gachas!A:C,3)</f>
        <v>フィーバーフェス（3日目）</v>
      </c>
      <c r="D2573" s="21">
        <v>10</v>
      </c>
      <c r="E2573" s="2">
        <f t="shared" si="442"/>
        <v>42</v>
      </c>
      <c r="F2573" s="2">
        <v>10</v>
      </c>
      <c r="G2573" s="3" t="s">
        <v>22</v>
      </c>
      <c r="H2573" s="2">
        <v>50</v>
      </c>
      <c r="I2573" s="114" t="str">
        <f t="shared" si="443"/>
        <v>508100</v>
      </c>
      <c r="J2573" s="112" t="s">
        <v>685</v>
      </c>
      <c r="K2573" s="112" t="str">
        <f t="shared" si="441"/>
        <v>508100</v>
      </c>
      <c r="L2573" s="2">
        <v>1</v>
      </c>
      <c r="M2573" s="2" t="s">
        <v>84</v>
      </c>
      <c r="N2573" s="2" t="s">
        <v>84</v>
      </c>
      <c r="O2573" s="2" t="s">
        <v>841</v>
      </c>
      <c r="P2573" s="2" t="s">
        <v>378</v>
      </c>
    </row>
    <row r="2574" spans="1:16" ht="22" customHeight="1" x14ac:dyDescent="0.15">
      <c r="A2574" s="10" t="str">
        <f t="shared" si="440"/>
        <v>508_10_43_10_polygon</v>
      </c>
      <c r="B2574" s="2">
        <v>508</v>
      </c>
      <c r="C2574" s="30" t="str">
        <f>VLOOKUP(B2574,gachas!A:C,3)</f>
        <v>フィーバーフェス（3日目）</v>
      </c>
      <c r="D2574" s="21">
        <v>10</v>
      </c>
      <c r="E2574" s="2">
        <f t="shared" si="442"/>
        <v>43</v>
      </c>
      <c r="F2574" s="2">
        <v>10</v>
      </c>
      <c r="G2574" s="3" t="s">
        <v>22</v>
      </c>
      <c r="H2574" s="2">
        <v>50</v>
      </c>
      <c r="I2574" s="114" t="str">
        <f t="shared" si="443"/>
        <v>508100</v>
      </c>
      <c r="J2574" s="112" t="s">
        <v>685</v>
      </c>
      <c r="K2574" s="112" t="str">
        <f t="shared" si="441"/>
        <v>508100</v>
      </c>
      <c r="L2574" s="2">
        <v>1</v>
      </c>
      <c r="M2574" s="2" t="s">
        <v>84</v>
      </c>
      <c r="N2574" s="2" t="s">
        <v>84</v>
      </c>
      <c r="O2574" s="2" t="s">
        <v>841</v>
      </c>
      <c r="P2574" s="2" t="s">
        <v>378</v>
      </c>
    </row>
    <row r="2575" spans="1:16" ht="22" customHeight="1" x14ac:dyDescent="0.15">
      <c r="A2575" s="10" t="str">
        <f t="shared" si="440"/>
        <v>508_10_44_10_polygon</v>
      </c>
      <c r="B2575" s="2">
        <v>508</v>
      </c>
      <c r="C2575" s="30" t="str">
        <f>VLOOKUP(B2575,gachas!A:C,3)</f>
        <v>フィーバーフェス（3日目）</v>
      </c>
      <c r="D2575" s="21">
        <v>10</v>
      </c>
      <c r="E2575" s="2">
        <f t="shared" si="442"/>
        <v>44</v>
      </c>
      <c r="F2575" s="2">
        <v>10</v>
      </c>
      <c r="G2575" s="3" t="s">
        <v>22</v>
      </c>
      <c r="H2575" s="2">
        <v>50</v>
      </c>
      <c r="I2575" s="114" t="str">
        <f t="shared" si="443"/>
        <v>508100</v>
      </c>
      <c r="J2575" s="112" t="s">
        <v>685</v>
      </c>
      <c r="K2575" s="112" t="str">
        <f t="shared" si="441"/>
        <v>508100</v>
      </c>
      <c r="L2575" s="2">
        <v>1</v>
      </c>
      <c r="M2575" s="2" t="s">
        <v>84</v>
      </c>
      <c r="N2575" s="2" t="s">
        <v>84</v>
      </c>
      <c r="O2575" s="2" t="s">
        <v>841</v>
      </c>
      <c r="P2575" s="2" t="s">
        <v>378</v>
      </c>
    </row>
    <row r="2576" spans="1:16" ht="22" customHeight="1" x14ac:dyDescent="0.15">
      <c r="A2576" s="10" t="str">
        <f t="shared" si="440"/>
        <v>508_10_45_10_polygon</v>
      </c>
      <c r="B2576" s="2">
        <v>508</v>
      </c>
      <c r="C2576" s="30" t="str">
        <f>VLOOKUP(B2576,gachas!A:C,3)</f>
        <v>フィーバーフェス（3日目）</v>
      </c>
      <c r="D2576" s="21">
        <v>10</v>
      </c>
      <c r="E2576" s="2">
        <f t="shared" si="442"/>
        <v>45</v>
      </c>
      <c r="F2576" s="2">
        <v>10</v>
      </c>
      <c r="G2576" s="3" t="s">
        <v>22</v>
      </c>
      <c r="H2576" s="2">
        <v>50</v>
      </c>
      <c r="I2576" s="114" t="str">
        <f t="shared" si="443"/>
        <v>508100</v>
      </c>
      <c r="J2576" s="112" t="str">
        <f>CONCATENATE(B2576,D2576,5)</f>
        <v>508105</v>
      </c>
      <c r="K2576" s="112" t="str">
        <f t="shared" si="441"/>
        <v>508100</v>
      </c>
      <c r="L2576" s="2">
        <v>1</v>
      </c>
      <c r="M2576" s="2" t="s">
        <v>84</v>
      </c>
      <c r="N2576" s="2" t="s">
        <v>84</v>
      </c>
      <c r="O2576" s="2" t="s">
        <v>841</v>
      </c>
      <c r="P2576" s="2" t="s">
        <v>1763</v>
      </c>
    </row>
    <row r="2577" spans="1:16" ht="22" customHeight="1" x14ac:dyDescent="0.15">
      <c r="A2577" s="10" t="str">
        <f t="shared" si="440"/>
        <v>508_10_46_10_polygon</v>
      </c>
      <c r="B2577" s="2">
        <v>508</v>
      </c>
      <c r="C2577" s="30" t="str">
        <f>VLOOKUP(B2577,gachas!A:C,3)</f>
        <v>フィーバーフェス（3日目）</v>
      </c>
      <c r="D2577" s="21">
        <v>10</v>
      </c>
      <c r="E2577" s="2">
        <f t="shared" si="442"/>
        <v>46</v>
      </c>
      <c r="F2577" s="2">
        <v>10</v>
      </c>
      <c r="G2577" s="3" t="s">
        <v>22</v>
      </c>
      <c r="H2577" s="2">
        <v>50</v>
      </c>
      <c r="I2577" s="114" t="str">
        <f t="shared" si="443"/>
        <v>508100</v>
      </c>
      <c r="J2577" s="112" t="s">
        <v>685</v>
      </c>
      <c r="K2577" s="112" t="str">
        <f t="shared" si="441"/>
        <v>508100</v>
      </c>
      <c r="L2577" s="2">
        <v>1</v>
      </c>
      <c r="M2577" s="2" t="s">
        <v>84</v>
      </c>
      <c r="N2577" s="2" t="s">
        <v>84</v>
      </c>
      <c r="O2577" s="2" t="s">
        <v>841</v>
      </c>
      <c r="P2577" s="2" t="s">
        <v>378</v>
      </c>
    </row>
    <row r="2578" spans="1:16" ht="22" customHeight="1" x14ac:dyDescent="0.15">
      <c r="A2578" s="10" t="str">
        <f t="shared" si="440"/>
        <v>508_10_47_10_polygon</v>
      </c>
      <c r="B2578" s="2">
        <v>508</v>
      </c>
      <c r="C2578" s="30" t="str">
        <f>VLOOKUP(B2578,gachas!A:C,3)</f>
        <v>フィーバーフェス（3日目）</v>
      </c>
      <c r="D2578" s="21">
        <v>10</v>
      </c>
      <c r="E2578" s="2">
        <f t="shared" si="442"/>
        <v>47</v>
      </c>
      <c r="F2578" s="2">
        <v>10</v>
      </c>
      <c r="G2578" s="3" t="s">
        <v>22</v>
      </c>
      <c r="H2578" s="2">
        <v>50</v>
      </c>
      <c r="I2578" s="114" t="str">
        <f t="shared" si="443"/>
        <v>508100</v>
      </c>
      <c r="J2578" s="112" t="s">
        <v>685</v>
      </c>
      <c r="K2578" s="112" t="str">
        <f t="shared" si="441"/>
        <v>508100</v>
      </c>
      <c r="L2578" s="2">
        <v>1</v>
      </c>
      <c r="M2578" s="2" t="s">
        <v>84</v>
      </c>
      <c r="N2578" s="2" t="s">
        <v>84</v>
      </c>
      <c r="O2578" s="2" t="s">
        <v>841</v>
      </c>
      <c r="P2578" s="2" t="s">
        <v>378</v>
      </c>
    </row>
    <row r="2579" spans="1:16" ht="22" customHeight="1" x14ac:dyDescent="0.15">
      <c r="A2579" s="10" t="str">
        <f t="shared" si="440"/>
        <v>508_10_48_10_polygon</v>
      </c>
      <c r="B2579" s="2">
        <v>508</v>
      </c>
      <c r="C2579" s="30" t="str">
        <f>VLOOKUP(B2579,gachas!A:C,3)</f>
        <v>フィーバーフェス（3日目）</v>
      </c>
      <c r="D2579" s="21">
        <v>10</v>
      </c>
      <c r="E2579" s="2">
        <f t="shared" si="442"/>
        <v>48</v>
      </c>
      <c r="F2579" s="2">
        <v>10</v>
      </c>
      <c r="G2579" s="3" t="s">
        <v>22</v>
      </c>
      <c r="H2579" s="2">
        <v>50</v>
      </c>
      <c r="I2579" s="114" t="str">
        <f t="shared" si="443"/>
        <v>508100</v>
      </c>
      <c r="J2579" s="112" t="s">
        <v>685</v>
      </c>
      <c r="K2579" s="112" t="str">
        <f t="shared" si="441"/>
        <v>508100</v>
      </c>
      <c r="L2579" s="2">
        <v>1</v>
      </c>
      <c r="M2579" s="2" t="s">
        <v>84</v>
      </c>
      <c r="N2579" s="2" t="s">
        <v>84</v>
      </c>
      <c r="O2579" s="2" t="s">
        <v>841</v>
      </c>
      <c r="P2579" s="2" t="s">
        <v>378</v>
      </c>
    </row>
    <row r="2580" spans="1:16" ht="22" customHeight="1" x14ac:dyDescent="0.15">
      <c r="A2580" s="10" t="str">
        <f t="shared" si="440"/>
        <v>508_10_49_10_polygon</v>
      </c>
      <c r="B2580" s="2">
        <v>508</v>
      </c>
      <c r="C2580" s="30" t="str">
        <f>VLOOKUP(B2580,gachas!A:C,3)</f>
        <v>フィーバーフェス（3日目）</v>
      </c>
      <c r="D2580" s="21">
        <v>10</v>
      </c>
      <c r="E2580" s="2">
        <f t="shared" si="442"/>
        <v>49</v>
      </c>
      <c r="F2580" s="2">
        <v>10</v>
      </c>
      <c r="G2580" s="3" t="s">
        <v>22</v>
      </c>
      <c r="H2580" s="2">
        <v>50</v>
      </c>
      <c r="I2580" s="114" t="str">
        <f t="shared" si="443"/>
        <v>508100</v>
      </c>
      <c r="J2580" s="112" t="s">
        <v>685</v>
      </c>
      <c r="K2580" s="112" t="str">
        <f t="shared" si="441"/>
        <v>508100</v>
      </c>
      <c r="L2580" s="2">
        <v>1</v>
      </c>
      <c r="M2580" s="2" t="s">
        <v>84</v>
      </c>
      <c r="N2580" s="2" t="s">
        <v>84</v>
      </c>
      <c r="O2580" s="2" t="s">
        <v>841</v>
      </c>
      <c r="P2580" s="2" t="s">
        <v>378</v>
      </c>
    </row>
    <row r="2581" spans="1:16" ht="22" customHeight="1" x14ac:dyDescent="0.15">
      <c r="A2581" s="10" t="str">
        <f t="shared" si="440"/>
        <v>508_10_50_10_polygon</v>
      </c>
      <c r="B2581" s="2">
        <v>508</v>
      </c>
      <c r="C2581" s="30" t="str">
        <f>VLOOKUP(B2581,gachas!A:C,3)</f>
        <v>フィーバーフェス（3日目）</v>
      </c>
      <c r="D2581" s="21">
        <v>10</v>
      </c>
      <c r="E2581" s="2">
        <f t="shared" si="442"/>
        <v>50</v>
      </c>
      <c r="F2581" s="2">
        <v>10</v>
      </c>
      <c r="G2581" s="3" t="s">
        <v>22</v>
      </c>
      <c r="H2581" s="2">
        <v>50</v>
      </c>
      <c r="I2581" s="114" t="str">
        <f t="shared" si="443"/>
        <v>508100</v>
      </c>
      <c r="J2581" s="112" t="str">
        <f>CONCATENATE(B2581,D2581,5)</f>
        <v>508105</v>
      </c>
      <c r="K2581" s="112" t="str">
        <f t="shared" si="441"/>
        <v>508100</v>
      </c>
      <c r="L2581" s="2">
        <v>1</v>
      </c>
      <c r="M2581" s="2" t="s">
        <v>84</v>
      </c>
      <c r="N2581" s="2" t="s">
        <v>84</v>
      </c>
      <c r="O2581" s="2" t="s">
        <v>841</v>
      </c>
      <c r="P2581" s="2" t="s">
        <v>1763</v>
      </c>
    </row>
    <row r="2582" spans="1:16" ht="22" customHeight="1" x14ac:dyDescent="0.15">
      <c r="A2582" s="10" t="str">
        <f t="shared" si="440"/>
        <v>509_1_0_1_polygon</v>
      </c>
      <c r="B2582" s="2">
        <v>509</v>
      </c>
      <c r="C2582" s="30" t="str">
        <f>VLOOKUP(B2582,gachas!A:C,3)</f>
        <v>ニューフェイスガチャ（北欧）</v>
      </c>
      <c r="D2582" s="21">
        <v>1</v>
      </c>
      <c r="E2582" s="2">
        <v>0</v>
      </c>
      <c r="F2582" s="2">
        <v>1</v>
      </c>
      <c r="G2582" s="3" t="s">
        <v>22</v>
      </c>
      <c r="H2582" s="2">
        <v>5</v>
      </c>
      <c r="I2582" s="117" t="str">
        <f t="shared" ref="I2582:I2583" si="444">B2582&amp;TEXT(D2582,"00")&amp;E2582</f>
        <v>509010</v>
      </c>
      <c r="J2582" s="112" t="s">
        <v>84</v>
      </c>
      <c r="K2582" s="2" t="s">
        <v>84</v>
      </c>
      <c r="L2582" s="2">
        <v>0</v>
      </c>
      <c r="M2582" s="2" t="s">
        <v>84</v>
      </c>
      <c r="N2582" s="2" t="s">
        <v>84</v>
      </c>
      <c r="O2582" s="2" t="s">
        <v>841</v>
      </c>
      <c r="P2582" s="2" t="s">
        <v>84</v>
      </c>
    </row>
    <row r="2583" spans="1:16" ht="22" customHeight="1" x14ac:dyDescent="0.15">
      <c r="A2583" s="10" t="str">
        <f t="shared" si="440"/>
        <v>509_10_0_10_polygon</v>
      </c>
      <c r="B2583" s="2">
        <v>509</v>
      </c>
      <c r="C2583" s="30" t="str">
        <f>VLOOKUP(B2583,gachas!A:C,3)</f>
        <v>ニューフェイスガチャ（北欧）</v>
      </c>
      <c r="D2583" s="21">
        <v>10</v>
      </c>
      <c r="E2583" s="2">
        <v>0</v>
      </c>
      <c r="F2583" s="2">
        <v>10</v>
      </c>
      <c r="G2583" s="3" t="s">
        <v>22</v>
      </c>
      <c r="H2583" s="2">
        <v>50</v>
      </c>
      <c r="I2583" s="117" t="str">
        <f t="shared" si="444"/>
        <v>509100</v>
      </c>
      <c r="J2583" s="112" t="s">
        <v>84</v>
      </c>
      <c r="K2583" s="2">
        <v>509100</v>
      </c>
      <c r="L2583" s="2">
        <v>1</v>
      </c>
      <c r="M2583" s="2" t="s">
        <v>84</v>
      </c>
      <c r="N2583" s="2" t="s">
        <v>84</v>
      </c>
      <c r="O2583" s="2" t="s">
        <v>841</v>
      </c>
      <c r="P2583" s="2" t="s">
        <v>1919</v>
      </c>
    </row>
    <row r="2584" spans="1:16" ht="22" customHeight="1" x14ac:dyDescent="0.15">
      <c r="A2584" s="10" t="str">
        <f t="shared" si="440"/>
        <v>510_1_0_1_polygon</v>
      </c>
      <c r="B2584" s="2">
        <v>510</v>
      </c>
      <c r="C2584" s="30" t="str">
        <f>VLOOKUP(B2584,gachas!A:C,3)</f>
        <v>カラーピックアップ（トルストイ、ハーメルン）</v>
      </c>
      <c r="D2584" s="21">
        <v>1</v>
      </c>
      <c r="E2584" s="2">
        <v>0</v>
      </c>
      <c r="F2584" s="2">
        <v>1</v>
      </c>
      <c r="G2584" s="3" t="s">
        <v>22</v>
      </c>
      <c r="H2584" s="2">
        <v>5</v>
      </c>
      <c r="I2584" s="117">
        <v>510010</v>
      </c>
      <c r="J2584" s="112" t="s">
        <v>84</v>
      </c>
      <c r="K2584" s="2" t="s">
        <v>84</v>
      </c>
      <c r="L2584" s="2">
        <v>0</v>
      </c>
      <c r="M2584" s="2" t="s">
        <v>84</v>
      </c>
      <c r="N2584" s="2" t="s">
        <v>84</v>
      </c>
      <c r="O2584" s="2" t="s">
        <v>841</v>
      </c>
      <c r="P2584" s="18" t="s">
        <v>84</v>
      </c>
    </row>
    <row r="2585" spans="1:16" ht="22" customHeight="1" x14ac:dyDescent="0.15">
      <c r="A2585" s="10" t="str">
        <f t="shared" si="440"/>
        <v>510_10_0_10_polygon</v>
      </c>
      <c r="B2585" s="2">
        <v>510</v>
      </c>
      <c r="C2585" s="30" t="str">
        <f>VLOOKUP(B2585,gachas!A:C,3)</f>
        <v>カラーピックアップ（トルストイ、ハーメルン）</v>
      </c>
      <c r="D2585" s="21">
        <v>10</v>
      </c>
      <c r="E2585" s="2">
        <v>0</v>
      </c>
      <c r="F2585" s="2">
        <v>10</v>
      </c>
      <c r="G2585" s="3" t="s">
        <v>22</v>
      </c>
      <c r="H2585" s="2">
        <v>50</v>
      </c>
      <c r="I2585" s="117">
        <v>510100</v>
      </c>
      <c r="J2585" s="112" t="s">
        <v>2092</v>
      </c>
      <c r="K2585" s="2" t="s">
        <v>84</v>
      </c>
      <c r="L2585" s="2">
        <v>0</v>
      </c>
      <c r="M2585" s="2" t="s">
        <v>84</v>
      </c>
      <c r="N2585" s="2" t="s">
        <v>84</v>
      </c>
      <c r="O2585" s="2" t="s">
        <v>2095</v>
      </c>
      <c r="P2585" s="2" t="s">
        <v>143</v>
      </c>
    </row>
    <row r="2586" spans="1:16" ht="22" customHeight="1" x14ac:dyDescent="0.15">
      <c r="A2586" s="10" t="str">
        <f t="shared" si="440"/>
        <v>510_10_1_10_polygon</v>
      </c>
      <c r="B2586" s="2">
        <v>510</v>
      </c>
      <c r="C2586" s="30" t="str">
        <f>VLOOKUP(B2586,gachas!A:C,3)</f>
        <v>カラーピックアップ（トルストイ、ハーメルン）</v>
      </c>
      <c r="D2586" s="21">
        <v>10</v>
      </c>
      <c r="E2586" s="2">
        <f>E2585+1</f>
        <v>1</v>
      </c>
      <c r="F2586" s="2">
        <v>10</v>
      </c>
      <c r="G2586" s="3" t="s">
        <v>22</v>
      </c>
      <c r="H2586" s="2">
        <v>25</v>
      </c>
      <c r="I2586" s="117">
        <v>510100</v>
      </c>
      <c r="J2586" s="112" t="s">
        <v>2092</v>
      </c>
      <c r="K2586" s="2" t="s">
        <v>84</v>
      </c>
      <c r="L2586" s="2">
        <v>0</v>
      </c>
      <c r="M2586" s="2" t="s">
        <v>84</v>
      </c>
      <c r="N2586" s="2" t="s">
        <v>84</v>
      </c>
      <c r="O2586" s="2" t="s">
        <v>2095</v>
      </c>
      <c r="P2586" s="59" t="s">
        <v>1783</v>
      </c>
    </row>
    <row r="2587" spans="1:16" ht="22" customHeight="1" x14ac:dyDescent="0.15">
      <c r="A2587" s="10" t="str">
        <f t="shared" si="440"/>
        <v>510_10_2_10_polygon</v>
      </c>
      <c r="B2587" s="2">
        <v>510</v>
      </c>
      <c r="C2587" s="30" t="str">
        <f>VLOOKUP(B2587,gachas!A:C,3)</f>
        <v>カラーピックアップ（トルストイ、ハーメルン）</v>
      </c>
      <c r="D2587" s="21">
        <v>10</v>
      </c>
      <c r="E2587" s="2">
        <f t="shared" ref="E2587:E2635" si="445">E2586+1</f>
        <v>2</v>
      </c>
      <c r="F2587" s="2">
        <v>10</v>
      </c>
      <c r="G2587" s="3" t="s">
        <v>22</v>
      </c>
      <c r="H2587" s="2">
        <v>50</v>
      </c>
      <c r="I2587" s="117">
        <v>510100</v>
      </c>
      <c r="J2587" s="112" t="s">
        <v>2092</v>
      </c>
      <c r="K2587" s="2" t="s">
        <v>84</v>
      </c>
      <c r="L2587" s="2">
        <v>0</v>
      </c>
      <c r="M2587" s="2" t="s">
        <v>84</v>
      </c>
      <c r="N2587" s="2" t="s">
        <v>84</v>
      </c>
      <c r="O2587" s="2" t="s">
        <v>2095</v>
      </c>
      <c r="P2587" s="2" t="s">
        <v>143</v>
      </c>
    </row>
    <row r="2588" spans="1:16" ht="22" customHeight="1" x14ac:dyDescent="0.15">
      <c r="A2588" s="10" t="str">
        <f t="shared" si="440"/>
        <v>510_10_3_10_polygon</v>
      </c>
      <c r="B2588" s="2">
        <v>510</v>
      </c>
      <c r="C2588" s="30" t="str">
        <f>VLOOKUP(B2588,gachas!A:C,3)</f>
        <v>カラーピックアップ（トルストイ、ハーメルン）</v>
      </c>
      <c r="D2588" s="21">
        <v>10</v>
      </c>
      <c r="E2588" s="2">
        <f t="shared" si="445"/>
        <v>3</v>
      </c>
      <c r="F2588" s="2">
        <v>10</v>
      </c>
      <c r="G2588" s="3" t="s">
        <v>22</v>
      </c>
      <c r="H2588" s="2">
        <v>50</v>
      </c>
      <c r="I2588" s="117">
        <v>510100</v>
      </c>
      <c r="J2588" s="112" t="s">
        <v>2092</v>
      </c>
      <c r="K2588" s="2" t="s">
        <v>84</v>
      </c>
      <c r="L2588" s="2">
        <v>0</v>
      </c>
      <c r="M2588" s="2" t="s">
        <v>84</v>
      </c>
      <c r="N2588" s="2" t="s">
        <v>84</v>
      </c>
      <c r="O2588" s="2" t="s">
        <v>2095</v>
      </c>
      <c r="P2588" s="2" t="s">
        <v>143</v>
      </c>
    </row>
    <row r="2589" spans="1:16" ht="22" customHeight="1" x14ac:dyDescent="0.15">
      <c r="A2589" s="10" t="str">
        <f t="shared" si="440"/>
        <v>510_10_4_10_polygon</v>
      </c>
      <c r="B2589" s="2">
        <v>510</v>
      </c>
      <c r="C2589" s="30" t="str">
        <f>VLOOKUP(B2589,gachas!A:C,3)</f>
        <v>カラーピックアップ（トルストイ、ハーメルン）</v>
      </c>
      <c r="D2589" s="21">
        <v>10</v>
      </c>
      <c r="E2589" s="2">
        <f t="shared" si="445"/>
        <v>4</v>
      </c>
      <c r="F2589" s="2">
        <v>10</v>
      </c>
      <c r="G2589" s="3" t="s">
        <v>22</v>
      </c>
      <c r="H2589" s="2">
        <v>50</v>
      </c>
      <c r="I2589" s="117">
        <v>510100</v>
      </c>
      <c r="J2589" s="112" t="s">
        <v>2092</v>
      </c>
      <c r="K2589" s="2" t="s">
        <v>84</v>
      </c>
      <c r="L2589" s="2">
        <v>0</v>
      </c>
      <c r="M2589" s="2" t="s">
        <v>84</v>
      </c>
      <c r="N2589" s="2" t="s">
        <v>84</v>
      </c>
      <c r="O2589" s="2" t="s">
        <v>2095</v>
      </c>
      <c r="P2589" s="2" t="s">
        <v>143</v>
      </c>
    </row>
    <row r="2590" spans="1:16" ht="22" customHeight="1" x14ac:dyDescent="0.15">
      <c r="A2590" s="10" t="str">
        <f t="shared" si="440"/>
        <v>510_10_5_10_polygon</v>
      </c>
      <c r="B2590" s="2">
        <v>510</v>
      </c>
      <c r="C2590" s="30" t="str">
        <f>VLOOKUP(B2590,gachas!A:C,3)</f>
        <v>カラーピックアップ（トルストイ、ハーメルン）</v>
      </c>
      <c r="D2590" s="21">
        <v>10</v>
      </c>
      <c r="E2590" s="2">
        <f t="shared" si="445"/>
        <v>5</v>
      </c>
      <c r="F2590" s="2">
        <v>10</v>
      </c>
      <c r="G2590" s="3" t="s">
        <v>22</v>
      </c>
      <c r="H2590" s="2">
        <v>50</v>
      </c>
      <c r="I2590" s="117">
        <v>510100</v>
      </c>
      <c r="J2590" s="112" t="s">
        <v>2092</v>
      </c>
      <c r="K2590" s="2">
        <v>510100</v>
      </c>
      <c r="L2590" s="2">
        <v>1</v>
      </c>
      <c r="M2590" s="2" t="s">
        <v>84</v>
      </c>
      <c r="N2590" s="2" t="s">
        <v>84</v>
      </c>
      <c r="O2590" s="2" t="s">
        <v>2095</v>
      </c>
      <c r="P2590" s="2" t="s">
        <v>2536</v>
      </c>
    </row>
    <row r="2591" spans="1:16" ht="22" customHeight="1" x14ac:dyDescent="0.15">
      <c r="A2591" s="10" t="str">
        <f t="shared" si="440"/>
        <v>510_10_6_10_polygon</v>
      </c>
      <c r="B2591" s="2">
        <v>510</v>
      </c>
      <c r="C2591" s="30" t="str">
        <f>VLOOKUP(B2591,gachas!A:C,3)</f>
        <v>カラーピックアップ（トルストイ、ハーメルン）</v>
      </c>
      <c r="D2591" s="21">
        <v>10</v>
      </c>
      <c r="E2591" s="2">
        <f t="shared" si="445"/>
        <v>6</v>
      </c>
      <c r="F2591" s="2">
        <v>10</v>
      </c>
      <c r="G2591" s="3" t="s">
        <v>22</v>
      </c>
      <c r="H2591" s="2">
        <v>25</v>
      </c>
      <c r="I2591" s="117">
        <v>510100</v>
      </c>
      <c r="J2591" s="112" t="s">
        <v>2092</v>
      </c>
      <c r="K2591" s="2" t="s">
        <v>84</v>
      </c>
      <c r="L2591" s="2">
        <v>0</v>
      </c>
      <c r="M2591" s="2" t="s">
        <v>84</v>
      </c>
      <c r="N2591" s="2" t="s">
        <v>84</v>
      </c>
      <c r="O2591" s="2" t="s">
        <v>2095</v>
      </c>
      <c r="P2591" s="59" t="s">
        <v>1783</v>
      </c>
    </row>
    <row r="2592" spans="1:16" ht="22" customHeight="1" x14ac:dyDescent="0.15">
      <c r="A2592" s="10" t="str">
        <f t="shared" si="440"/>
        <v>510_10_7_10_polygon</v>
      </c>
      <c r="B2592" s="2">
        <v>510</v>
      </c>
      <c r="C2592" s="30" t="str">
        <f>VLOOKUP(B2592,gachas!A:C,3)</f>
        <v>カラーピックアップ（トルストイ、ハーメルン）</v>
      </c>
      <c r="D2592" s="21">
        <v>10</v>
      </c>
      <c r="E2592" s="2">
        <f t="shared" si="445"/>
        <v>7</v>
      </c>
      <c r="F2592" s="2">
        <v>10</v>
      </c>
      <c r="G2592" s="3" t="s">
        <v>22</v>
      </c>
      <c r="H2592" s="2">
        <v>50</v>
      </c>
      <c r="I2592" s="117">
        <v>510100</v>
      </c>
      <c r="J2592" s="112" t="s">
        <v>2092</v>
      </c>
      <c r="K2592" s="2" t="s">
        <v>84</v>
      </c>
      <c r="L2592" s="2">
        <v>0</v>
      </c>
      <c r="M2592" s="2" t="s">
        <v>84</v>
      </c>
      <c r="N2592" s="2" t="s">
        <v>84</v>
      </c>
      <c r="O2592" s="2" t="s">
        <v>2095</v>
      </c>
      <c r="P2592" s="2" t="s">
        <v>143</v>
      </c>
    </row>
    <row r="2593" spans="1:16" ht="22" customHeight="1" x14ac:dyDescent="0.15">
      <c r="A2593" s="10" t="str">
        <f t="shared" si="440"/>
        <v>510_10_8_10_polygon</v>
      </c>
      <c r="B2593" s="2">
        <v>510</v>
      </c>
      <c r="C2593" s="30" t="str">
        <f>VLOOKUP(B2593,gachas!A:C,3)</f>
        <v>カラーピックアップ（トルストイ、ハーメルン）</v>
      </c>
      <c r="D2593" s="21">
        <v>10</v>
      </c>
      <c r="E2593" s="2">
        <f t="shared" si="445"/>
        <v>8</v>
      </c>
      <c r="F2593" s="2">
        <v>10</v>
      </c>
      <c r="G2593" s="3" t="s">
        <v>22</v>
      </c>
      <c r="H2593" s="2">
        <v>50</v>
      </c>
      <c r="I2593" s="117">
        <v>510100</v>
      </c>
      <c r="J2593" s="112" t="s">
        <v>2092</v>
      </c>
      <c r="K2593" s="2" t="s">
        <v>84</v>
      </c>
      <c r="L2593" s="2">
        <v>0</v>
      </c>
      <c r="M2593" s="2" t="s">
        <v>84</v>
      </c>
      <c r="N2593" s="2" t="s">
        <v>84</v>
      </c>
      <c r="O2593" s="2" t="s">
        <v>2095</v>
      </c>
      <c r="P2593" s="2" t="s">
        <v>143</v>
      </c>
    </row>
    <row r="2594" spans="1:16" ht="22" customHeight="1" x14ac:dyDescent="0.15">
      <c r="A2594" s="10" t="str">
        <f t="shared" ref="A2594:A2643" si="446">B2594&amp;"_"&amp;D2594&amp;"_"&amp;E2594&amp;"_"&amp;F2594&amp;"_"&amp;G2594</f>
        <v>510_10_9_10_polygon</v>
      </c>
      <c r="B2594" s="2">
        <v>510</v>
      </c>
      <c r="C2594" s="30" t="str">
        <f>VLOOKUP(B2594,gachas!A:C,3)</f>
        <v>カラーピックアップ（トルストイ、ハーメルン）</v>
      </c>
      <c r="D2594" s="21">
        <v>10</v>
      </c>
      <c r="E2594" s="2">
        <f t="shared" si="445"/>
        <v>9</v>
      </c>
      <c r="F2594" s="2">
        <v>10</v>
      </c>
      <c r="G2594" s="3" t="s">
        <v>22</v>
      </c>
      <c r="H2594" s="2">
        <v>50</v>
      </c>
      <c r="I2594" s="117">
        <v>510100</v>
      </c>
      <c r="J2594" s="112" t="s">
        <v>2092</v>
      </c>
      <c r="K2594" s="2" t="s">
        <v>84</v>
      </c>
      <c r="L2594" s="2">
        <v>0</v>
      </c>
      <c r="M2594" s="2" t="s">
        <v>84</v>
      </c>
      <c r="N2594" s="2" t="s">
        <v>84</v>
      </c>
      <c r="O2594" s="2" t="s">
        <v>2095</v>
      </c>
      <c r="P2594" s="2" t="s">
        <v>143</v>
      </c>
    </row>
    <row r="2595" spans="1:16" ht="22" customHeight="1" x14ac:dyDescent="0.15">
      <c r="A2595" s="10" t="str">
        <f t="shared" si="446"/>
        <v>510_10_10_10_polygon</v>
      </c>
      <c r="B2595" s="2">
        <v>510</v>
      </c>
      <c r="C2595" s="30" t="str">
        <f>VLOOKUP(B2595,gachas!A:C,3)</f>
        <v>カラーピックアップ（トルストイ、ハーメルン）</v>
      </c>
      <c r="D2595" s="21">
        <v>10</v>
      </c>
      <c r="E2595" s="2">
        <f t="shared" si="445"/>
        <v>10</v>
      </c>
      <c r="F2595" s="2">
        <v>10</v>
      </c>
      <c r="G2595" s="3" t="s">
        <v>22</v>
      </c>
      <c r="H2595" s="2">
        <v>50</v>
      </c>
      <c r="I2595" s="117">
        <v>510100</v>
      </c>
      <c r="J2595" s="112" t="s">
        <v>2092</v>
      </c>
      <c r="K2595" s="2">
        <v>510100</v>
      </c>
      <c r="L2595" s="2">
        <v>1</v>
      </c>
      <c r="M2595" s="2" t="s">
        <v>84</v>
      </c>
      <c r="N2595" s="2" t="s">
        <v>84</v>
      </c>
      <c r="O2595" s="2" t="s">
        <v>2095</v>
      </c>
      <c r="P2595" s="2" t="s">
        <v>2536</v>
      </c>
    </row>
    <row r="2596" spans="1:16" ht="22" customHeight="1" x14ac:dyDescent="0.15">
      <c r="A2596" s="10" t="str">
        <f t="shared" si="446"/>
        <v>510_10_11_10_polygon</v>
      </c>
      <c r="B2596" s="2">
        <v>510</v>
      </c>
      <c r="C2596" s="30" t="str">
        <f>VLOOKUP(B2596,gachas!A:C,3)</f>
        <v>カラーピックアップ（トルストイ、ハーメルン）</v>
      </c>
      <c r="D2596" s="21">
        <v>10</v>
      </c>
      <c r="E2596" s="2">
        <f t="shared" si="445"/>
        <v>11</v>
      </c>
      <c r="F2596" s="2">
        <v>10</v>
      </c>
      <c r="G2596" s="3" t="s">
        <v>22</v>
      </c>
      <c r="H2596" s="2">
        <v>25</v>
      </c>
      <c r="I2596" s="117">
        <v>510100</v>
      </c>
      <c r="J2596" s="112" t="s">
        <v>2092</v>
      </c>
      <c r="K2596" s="2" t="s">
        <v>84</v>
      </c>
      <c r="L2596" s="2">
        <v>0</v>
      </c>
      <c r="M2596" s="2" t="s">
        <v>84</v>
      </c>
      <c r="N2596" s="2" t="s">
        <v>84</v>
      </c>
      <c r="O2596" s="2" t="s">
        <v>2095</v>
      </c>
      <c r="P2596" s="59" t="s">
        <v>1783</v>
      </c>
    </row>
    <row r="2597" spans="1:16" ht="22" customHeight="1" x14ac:dyDescent="0.15">
      <c r="A2597" s="10" t="str">
        <f t="shared" si="446"/>
        <v>510_10_12_10_polygon</v>
      </c>
      <c r="B2597" s="2">
        <v>510</v>
      </c>
      <c r="C2597" s="30" t="str">
        <f>VLOOKUP(B2597,gachas!A:C,3)</f>
        <v>カラーピックアップ（トルストイ、ハーメルン）</v>
      </c>
      <c r="D2597" s="21">
        <v>10</v>
      </c>
      <c r="E2597" s="2">
        <f t="shared" si="445"/>
        <v>12</v>
      </c>
      <c r="F2597" s="2">
        <v>10</v>
      </c>
      <c r="G2597" s="3" t="s">
        <v>22</v>
      </c>
      <c r="H2597" s="2">
        <v>50</v>
      </c>
      <c r="I2597" s="117">
        <v>510100</v>
      </c>
      <c r="J2597" s="112" t="s">
        <v>2092</v>
      </c>
      <c r="K2597" s="2" t="s">
        <v>84</v>
      </c>
      <c r="L2597" s="2">
        <v>0</v>
      </c>
      <c r="M2597" s="2" t="s">
        <v>84</v>
      </c>
      <c r="N2597" s="2" t="s">
        <v>84</v>
      </c>
      <c r="O2597" s="2" t="s">
        <v>2095</v>
      </c>
      <c r="P2597" s="2" t="s">
        <v>143</v>
      </c>
    </row>
    <row r="2598" spans="1:16" ht="22" customHeight="1" x14ac:dyDescent="0.15">
      <c r="A2598" s="10" t="str">
        <f t="shared" si="446"/>
        <v>510_10_13_10_polygon</v>
      </c>
      <c r="B2598" s="2">
        <v>510</v>
      </c>
      <c r="C2598" s="30" t="str">
        <f>VLOOKUP(B2598,gachas!A:C,3)</f>
        <v>カラーピックアップ（トルストイ、ハーメルン）</v>
      </c>
      <c r="D2598" s="21">
        <v>10</v>
      </c>
      <c r="E2598" s="2">
        <f t="shared" si="445"/>
        <v>13</v>
      </c>
      <c r="F2598" s="2">
        <v>10</v>
      </c>
      <c r="G2598" s="3" t="s">
        <v>22</v>
      </c>
      <c r="H2598" s="2">
        <v>50</v>
      </c>
      <c r="I2598" s="117">
        <v>510100</v>
      </c>
      <c r="J2598" s="112" t="s">
        <v>2092</v>
      </c>
      <c r="K2598" s="2" t="s">
        <v>84</v>
      </c>
      <c r="L2598" s="2">
        <v>0</v>
      </c>
      <c r="M2598" s="2" t="s">
        <v>84</v>
      </c>
      <c r="N2598" s="2" t="s">
        <v>84</v>
      </c>
      <c r="O2598" s="2" t="s">
        <v>2095</v>
      </c>
      <c r="P2598" s="2" t="s">
        <v>143</v>
      </c>
    </row>
    <row r="2599" spans="1:16" ht="22" customHeight="1" x14ac:dyDescent="0.15">
      <c r="A2599" s="10" t="str">
        <f t="shared" si="446"/>
        <v>510_10_14_10_polygon</v>
      </c>
      <c r="B2599" s="2">
        <v>510</v>
      </c>
      <c r="C2599" s="30" t="str">
        <f>VLOOKUP(B2599,gachas!A:C,3)</f>
        <v>カラーピックアップ（トルストイ、ハーメルン）</v>
      </c>
      <c r="D2599" s="21">
        <v>10</v>
      </c>
      <c r="E2599" s="2">
        <f t="shared" si="445"/>
        <v>14</v>
      </c>
      <c r="F2599" s="2">
        <v>10</v>
      </c>
      <c r="G2599" s="3" t="s">
        <v>22</v>
      </c>
      <c r="H2599" s="2">
        <v>50</v>
      </c>
      <c r="I2599" s="117">
        <v>510100</v>
      </c>
      <c r="J2599" s="112" t="s">
        <v>2092</v>
      </c>
      <c r="K2599" s="2" t="s">
        <v>84</v>
      </c>
      <c r="L2599" s="2">
        <v>0</v>
      </c>
      <c r="M2599" s="2" t="s">
        <v>84</v>
      </c>
      <c r="N2599" s="2" t="s">
        <v>84</v>
      </c>
      <c r="O2599" s="2" t="s">
        <v>2095</v>
      </c>
      <c r="P2599" s="2" t="s">
        <v>143</v>
      </c>
    </row>
    <row r="2600" spans="1:16" ht="22" customHeight="1" x14ac:dyDescent="0.15">
      <c r="A2600" s="10" t="str">
        <f t="shared" si="446"/>
        <v>510_10_15_10_polygon</v>
      </c>
      <c r="B2600" s="2">
        <v>510</v>
      </c>
      <c r="C2600" s="30" t="str">
        <f>VLOOKUP(B2600,gachas!A:C,3)</f>
        <v>カラーピックアップ（トルストイ、ハーメルン）</v>
      </c>
      <c r="D2600" s="21">
        <v>10</v>
      </c>
      <c r="E2600" s="2">
        <f t="shared" si="445"/>
        <v>15</v>
      </c>
      <c r="F2600" s="2">
        <v>10</v>
      </c>
      <c r="G2600" s="3" t="s">
        <v>22</v>
      </c>
      <c r="H2600" s="2">
        <v>50</v>
      </c>
      <c r="I2600" s="117">
        <v>510100</v>
      </c>
      <c r="J2600" s="112" t="s">
        <v>2092</v>
      </c>
      <c r="K2600" s="2">
        <v>510100</v>
      </c>
      <c r="L2600" s="2">
        <v>1</v>
      </c>
      <c r="M2600" s="2" t="s">
        <v>84</v>
      </c>
      <c r="N2600" s="2" t="s">
        <v>84</v>
      </c>
      <c r="O2600" s="2" t="s">
        <v>2095</v>
      </c>
      <c r="P2600" s="2" t="s">
        <v>2536</v>
      </c>
    </row>
    <row r="2601" spans="1:16" ht="22" customHeight="1" x14ac:dyDescent="0.15">
      <c r="A2601" s="10" t="str">
        <f t="shared" si="446"/>
        <v>510_10_16_10_polygon</v>
      </c>
      <c r="B2601" s="2">
        <v>510</v>
      </c>
      <c r="C2601" s="30" t="str">
        <f>VLOOKUP(B2601,gachas!A:C,3)</f>
        <v>カラーピックアップ（トルストイ、ハーメルン）</v>
      </c>
      <c r="D2601" s="21">
        <v>10</v>
      </c>
      <c r="E2601" s="2">
        <f t="shared" si="445"/>
        <v>16</v>
      </c>
      <c r="F2601" s="2">
        <v>10</v>
      </c>
      <c r="G2601" s="3" t="s">
        <v>22</v>
      </c>
      <c r="H2601" s="2">
        <v>25</v>
      </c>
      <c r="I2601" s="117">
        <v>510100</v>
      </c>
      <c r="J2601" s="112" t="s">
        <v>2092</v>
      </c>
      <c r="K2601" s="2" t="s">
        <v>84</v>
      </c>
      <c r="L2601" s="2">
        <v>0</v>
      </c>
      <c r="M2601" s="2" t="s">
        <v>84</v>
      </c>
      <c r="N2601" s="2" t="s">
        <v>84</v>
      </c>
      <c r="O2601" s="2" t="s">
        <v>2095</v>
      </c>
      <c r="P2601" s="59" t="s">
        <v>1783</v>
      </c>
    </row>
    <row r="2602" spans="1:16" ht="22" customHeight="1" x14ac:dyDescent="0.15">
      <c r="A2602" s="10" t="str">
        <f t="shared" si="446"/>
        <v>510_10_17_10_polygon</v>
      </c>
      <c r="B2602" s="2">
        <v>510</v>
      </c>
      <c r="C2602" s="30" t="str">
        <f>VLOOKUP(B2602,gachas!A:C,3)</f>
        <v>カラーピックアップ（トルストイ、ハーメルン）</v>
      </c>
      <c r="D2602" s="21">
        <v>10</v>
      </c>
      <c r="E2602" s="2">
        <f t="shared" si="445"/>
        <v>17</v>
      </c>
      <c r="F2602" s="2">
        <v>10</v>
      </c>
      <c r="G2602" s="3" t="s">
        <v>22</v>
      </c>
      <c r="H2602" s="2">
        <v>50</v>
      </c>
      <c r="I2602" s="117">
        <v>510100</v>
      </c>
      <c r="J2602" s="112" t="s">
        <v>2092</v>
      </c>
      <c r="K2602" s="2" t="s">
        <v>84</v>
      </c>
      <c r="L2602" s="2">
        <v>0</v>
      </c>
      <c r="M2602" s="2" t="s">
        <v>84</v>
      </c>
      <c r="N2602" s="2" t="s">
        <v>84</v>
      </c>
      <c r="O2602" s="2" t="s">
        <v>2095</v>
      </c>
      <c r="P2602" s="2" t="s">
        <v>143</v>
      </c>
    </row>
    <row r="2603" spans="1:16" ht="22" customHeight="1" x14ac:dyDescent="0.15">
      <c r="A2603" s="10" t="str">
        <f t="shared" si="446"/>
        <v>510_10_18_10_polygon</v>
      </c>
      <c r="B2603" s="2">
        <v>510</v>
      </c>
      <c r="C2603" s="30" t="str">
        <f>VLOOKUP(B2603,gachas!A:C,3)</f>
        <v>カラーピックアップ（トルストイ、ハーメルン）</v>
      </c>
      <c r="D2603" s="21">
        <v>10</v>
      </c>
      <c r="E2603" s="2">
        <f t="shared" si="445"/>
        <v>18</v>
      </c>
      <c r="F2603" s="2">
        <v>10</v>
      </c>
      <c r="G2603" s="3" t="s">
        <v>22</v>
      </c>
      <c r="H2603" s="2">
        <v>50</v>
      </c>
      <c r="I2603" s="117">
        <v>510100</v>
      </c>
      <c r="J2603" s="112" t="s">
        <v>2092</v>
      </c>
      <c r="K2603" s="2" t="s">
        <v>84</v>
      </c>
      <c r="L2603" s="2">
        <v>0</v>
      </c>
      <c r="M2603" s="2" t="s">
        <v>84</v>
      </c>
      <c r="N2603" s="2" t="s">
        <v>84</v>
      </c>
      <c r="O2603" s="2" t="s">
        <v>2095</v>
      </c>
      <c r="P2603" s="2" t="s">
        <v>143</v>
      </c>
    </row>
    <row r="2604" spans="1:16" ht="22" customHeight="1" x14ac:dyDescent="0.15">
      <c r="A2604" s="10" t="str">
        <f t="shared" si="446"/>
        <v>510_10_19_10_polygon</v>
      </c>
      <c r="B2604" s="2">
        <v>510</v>
      </c>
      <c r="C2604" s="30" t="str">
        <f>VLOOKUP(B2604,gachas!A:C,3)</f>
        <v>カラーピックアップ（トルストイ、ハーメルン）</v>
      </c>
      <c r="D2604" s="21">
        <v>10</v>
      </c>
      <c r="E2604" s="2">
        <f t="shared" si="445"/>
        <v>19</v>
      </c>
      <c r="F2604" s="2">
        <v>10</v>
      </c>
      <c r="G2604" s="3" t="s">
        <v>22</v>
      </c>
      <c r="H2604" s="2">
        <v>50</v>
      </c>
      <c r="I2604" s="117">
        <v>510100</v>
      </c>
      <c r="J2604" s="112" t="s">
        <v>2092</v>
      </c>
      <c r="K2604" s="2" t="s">
        <v>84</v>
      </c>
      <c r="L2604" s="2">
        <v>0</v>
      </c>
      <c r="M2604" s="2" t="s">
        <v>84</v>
      </c>
      <c r="N2604" s="2" t="s">
        <v>84</v>
      </c>
      <c r="O2604" s="2" t="s">
        <v>2095</v>
      </c>
      <c r="P2604" s="2" t="s">
        <v>143</v>
      </c>
    </row>
    <row r="2605" spans="1:16" ht="22" customHeight="1" x14ac:dyDescent="0.15">
      <c r="A2605" s="10" t="str">
        <f t="shared" si="446"/>
        <v>510_10_20_10_polygon</v>
      </c>
      <c r="B2605" s="2">
        <v>510</v>
      </c>
      <c r="C2605" s="30" t="str">
        <f>VLOOKUP(B2605,gachas!A:C,3)</f>
        <v>カラーピックアップ（トルストイ、ハーメルン）</v>
      </c>
      <c r="D2605" s="21">
        <v>10</v>
      </c>
      <c r="E2605" s="2">
        <f t="shared" si="445"/>
        <v>20</v>
      </c>
      <c r="F2605" s="2">
        <v>10</v>
      </c>
      <c r="G2605" s="3" t="s">
        <v>22</v>
      </c>
      <c r="H2605" s="2">
        <v>50</v>
      </c>
      <c r="I2605" s="117">
        <v>510100</v>
      </c>
      <c r="J2605" s="112" t="s">
        <v>2092</v>
      </c>
      <c r="K2605" s="2">
        <v>510100</v>
      </c>
      <c r="L2605" s="2">
        <v>1</v>
      </c>
      <c r="M2605" s="2" t="s">
        <v>84</v>
      </c>
      <c r="N2605" s="2" t="s">
        <v>84</v>
      </c>
      <c r="O2605" s="2" t="s">
        <v>2095</v>
      </c>
      <c r="P2605" s="2" t="s">
        <v>2536</v>
      </c>
    </row>
    <row r="2606" spans="1:16" ht="22" customHeight="1" x14ac:dyDescent="0.15">
      <c r="A2606" s="10" t="str">
        <f t="shared" si="446"/>
        <v>510_10_21_10_polygon</v>
      </c>
      <c r="B2606" s="2">
        <v>510</v>
      </c>
      <c r="C2606" s="30" t="str">
        <f>VLOOKUP(B2606,gachas!A:C,3)</f>
        <v>カラーピックアップ（トルストイ、ハーメルン）</v>
      </c>
      <c r="D2606" s="21">
        <v>10</v>
      </c>
      <c r="E2606" s="2">
        <f t="shared" si="445"/>
        <v>21</v>
      </c>
      <c r="F2606" s="2">
        <v>10</v>
      </c>
      <c r="G2606" s="3" t="s">
        <v>22</v>
      </c>
      <c r="H2606" s="2">
        <v>25</v>
      </c>
      <c r="I2606" s="117">
        <v>510100</v>
      </c>
      <c r="J2606" s="112" t="s">
        <v>2092</v>
      </c>
      <c r="K2606" s="2" t="s">
        <v>84</v>
      </c>
      <c r="L2606" s="2">
        <v>0</v>
      </c>
      <c r="M2606" s="2" t="s">
        <v>84</v>
      </c>
      <c r="N2606" s="2" t="s">
        <v>84</v>
      </c>
      <c r="O2606" s="2" t="s">
        <v>2095</v>
      </c>
      <c r="P2606" s="59" t="s">
        <v>1783</v>
      </c>
    </row>
    <row r="2607" spans="1:16" ht="22" customHeight="1" x14ac:dyDescent="0.15">
      <c r="A2607" s="10" t="str">
        <f t="shared" si="446"/>
        <v>510_10_22_10_polygon</v>
      </c>
      <c r="B2607" s="2">
        <v>510</v>
      </c>
      <c r="C2607" s="30" t="str">
        <f>VLOOKUP(B2607,gachas!A:C,3)</f>
        <v>カラーピックアップ（トルストイ、ハーメルン）</v>
      </c>
      <c r="D2607" s="21">
        <v>10</v>
      </c>
      <c r="E2607" s="2">
        <f t="shared" si="445"/>
        <v>22</v>
      </c>
      <c r="F2607" s="2">
        <v>10</v>
      </c>
      <c r="G2607" s="3" t="s">
        <v>22</v>
      </c>
      <c r="H2607" s="2">
        <v>50</v>
      </c>
      <c r="I2607" s="117">
        <v>510100</v>
      </c>
      <c r="J2607" s="112" t="s">
        <v>2092</v>
      </c>
      <c r="K2607" s="2" t="s">
        <v>84</v>
      </c>
      <c r="L2607" s="2">
        <v>0</v>
      </c>
      <c r="M2607" s="2" t="s">
        <v>84</v>
      </c>
      <c r="N2607" s="2" t="s">
        <v>84</v>
      </c>
      <c r="O2607" s="2" t="s">
        <v>2095</v>
      </c>
      <c r="P2607" s="2" t="s">
        <v>143</v>
      </c>
    </row>
    <row r="2608" spans="1:16" ht="22" customHeight="1" x14ac:dyDescent="0.15">
      <c r="A2608" s="10" t="str">
        <f t="shared" si="446"/>
        <v>510_10_23_10_polygon</v>
      </c>
      <c r="B2608" s="2">
        <v>510</v>
      </c>
      <c r="C2608" s="30" t="str">
        <f>VLOOKUP(B2608,gachas!A:C,3)</f>
        <v>カラーピックアップ（トルストイ、ハーメルン）</v>
      </c>
      <c r="D2608" s="21">
        <v>10</v>
      </c>
      <c r="E2608" s="2">
        <f t="shared" si="445"/>
        <v>23</v>
      </c>
      <c r="F2608" s="2">
        <v>10</v>
      </c>
      <c r="G2608" s="3" t="s">
        <v>22</v>
      </c>
      <c r="H2608" s="2">
        <v>50</v>
      </c>
      <c r="I2608" s="117">
        <v>510100</v>
      </c>
      <c r="J2608" s="112" t="s">
        <v>2092</v>
      </c>
      <c r="K2608" s="2" t="s">
        <v>84</v>
      </c>
      <c r="L2608" s="2">
        <v>0</v>
      </c>
      <c r="M2608" s="2" t="s">
        <v>84</v>
      </c>
      <c r="N2608" s="2" t="s">
        <v>84</v>
      </c>
      <c r="O2608" s="2" t="s">
        <v>2095</v>
      </c>
      <c r="P2608" s="2" t="s">
        <v>143</v>
      </c>
    </row>
    <row r="2609" spans="1:16" ht="22" customHeight="1" x14ac:dyDescent="0.15">
      <c r="A2609" s="10" t="str">
        <f t="shared" si="446"/>
        <v>510_10_24_10_polygon</v>
      </c>
      <c r="B2609" s="2">
        <v>510</v>
      </c>
      <c r="C2609" s="30" t="str">
        <f>VLOOKUP(B2609,gachas!A:C,3)</f>
        <v>カラーピックアップ（トルストイ、ハーメルン）</v>
      </c>
      <c r="D2609" s="21">
        <v>10</v>
      </c>
      <c r="E2609" s="2">
        <f t="shared" si="445"/>
        <v>24</v>
      </c>
      <c r="F2609" s="2">
        <v>10</v>
      </c>
      <c r="G2609" s="3" t="s">
        <v>22</v>
      </c>
      <c r="H2609" s="2">
        <v>50</v>
      </c>
      <c r="I2609" s="117">
        <v>510100</v>
      </c>
      <c r="J2609" s="112" t="s">
        <v>2092</v>
      </c>
      <c r="K2609" s="2" t="s">
        <v>84</v>
      </c>
      <c r="L2609" s="2">
        <v>0</v>
      </c>
      <c r="M2609" s="2" t="s">
        <v>84</v>
      </c>
      <c r="N2609" s="2" t="s">
        <v>84</v>
      </c>
      <c r="O2609" s="2" t="s">
        <v>2095</v>
      </c>
      <c r="P2609" s="2" t="s">
        <v>143</v>
      </c>
    </row>
    <row r="2610" spans="1:16" ht="22" customHeight="1" x14ac:dyDescent="0.15">
      <c r="A2610" s="10" t="str">
        <f t="shared" si="446"/>
        <v>510_10_25_10_polygon</v>
      </c>
      <c r="B2610" s="2">
        <v>510</v>
      </c>
      <c r="C2610" s="30" t="str">
        <f>VLOOKUP(B2610,gachas!A:C,3)</f>
        <v>カラーピックアップ（トルストイ、ハーメルン）</v>
      </c>
      <c r="D2610" s="21">
        <v>10</v>
      </c>
      <c r="E2610" s="2">
        <f t="shared" si="445"/>
        <v>25</v>
      </c>
      <c r="F2610" s="2">
        <v>10</v>
      </c>
      <c r="G2610" s="3" t="s">
        <v>22</v>
      </c>
      <c r="H2610" s="2">
        <v>50</v>
      </c>
      <c r="I2610" s="117">
        <v>510100</v>
      </c>
      <c r="J2610" s="112" t="s">
        <v>2092</v>
      </c>
      <c r="K2610" s="2">
        <v>510100</v>
      </c>
      <c r="L2610" s="2">
        <v>1</v>
      </c>
      <c r="M2610" s="2" t="s">
        <v>84</v>
      </c>
      <c r="N2610" s="2" t="s">
        <v>84</v>
      </c>
      <c r="O2610" s="2" t="s">
        <v>2095</v>
      </c>
      <c r="P2610" s="2" t="s">
        <v>2536</v>
      </c>
    </row>
    <row r="2611" spans="1:16" ht="22" customHeight="1" x14ac:dyDescent="0.15">
      <c r="A2611" s="10" t="str">
        <f t="shared" si="446"/>
        <v>510_10_26_10_polygon</v>
      </c>
      <c r="B2611" s="2">
        <v>510</v>
      </c>
      <c r="C2611" s="30" t="str">
        <f>VLOOKUP(B2611,gachas!A:C,3)</f>
        <v>カラーピックアップ（トルストイ、ハーメルン）</v>
      </c>
      <c r="D2611" s="21">
        <v>10</v>
      </c>
      <c r="E2611" s="2">
        <f t="shared" si="445"/>
        <v>26</v>
      </c>
      <c r="F2611" s="2">
        <v>10</v>
      </c>
      <c r="G2611" s="3" t="s">
        <v>22</v>
      </c>
      <c r="H2611" s="2">
        <v>25</v>
      </c>
      <c r="I2611" s="117">
        <v>510100</v>
      </c>
      <c r="J2611" s="112" t="s">
        <v>2092</v>
      </c>
      <c r="K2611" s="2" t="s">
        <v>84</v>
      </c>
      <c r="L2611" s="2">
        <v>0</v>
      </c>
      <c r="M2611" s="2" t="s">
        <v>84</v>
      </c>
      <c r="N2611" s="2" t="s">
        <v>84</v>
      </c>
      <c r="O2611" s="2" t="s">
        <v>2095</v>
      </c>
      <c r="P2611" s="59" t="s">
        <v>1783</v>
      </c>
    </row>
    <row r="2612" spans="1:16" ht="22" customHeight="1" x14ac:dyDescent="0.15">
      <c r="A2612" s="10" t="str">
        <f t="shared" si="446"/>
        <v>510_10_27_10_polygon</v>
      </c>
      <c r="B2612" s="2">
        <v>510</v>
      </c>
      <c r="C2612" s="30" t="str">
        <f>VLOOKUP(B2612,gachas!A:C,3)</f>
        <v>カラーピックアップ（トルストイ、ハーメルン）</v>
      </c>
      <c r="D2612" s="21">
        <v>10</v>
      </c>
      <c r="E2612" s="2">
        <f t="shared" si="445"/>
        <v>27</v>
      </c>
      <c r="F2612" s="2">
        <v>10</v>
      </c>
      <c r="G2612" s="3" t="s">
        <v>22</v>
      </c>
      <c r="H2612" s="2">
        <v>50</v>
      </c>
      <c r="I2612" s="117">
        <v>510100</v>
      </c>
      <c r="J2612" s="112" t="s">
        <v>2092</v>
      </c>
      <c r="K2612" s="2" t="s">
        <v>84</v>
      </c>
      <c r="L2612" s="2">
        <v>0</v>
      </c>
      <c r="M2612" s="2" t="s">
        <v>84</v>
      </c>
      <c r="N2612" s="2" t="s">
        <v>84</v>
      </c>
      <c r="O2612" s="2" t="s">
        <v>2095</v>
      </c>
      <c r="P2612" s="2" t="s">
        <v>143</v>
      </c>
    </row>
    <row r="2613" spans="1:16" ht="22" customHeight="1" x14ac:dyDescent="0.15">
      <c r="A2613" s="10" t="str">
        <f t="shared" si="446"/>
        <v>510_10_28_10_polygon</v>
      </c>
      <c r="B2613" s="2">
        <v>510</v>
      </c>
      <c r="C2613" s="30" t="str">
        <f>VLOOKUP(B2613,gachas!A:C,3)</f>
        <v>カラーピックアップ（トルストイ、ハーメルン）</v>
      </c>
      <c r="D2613" s="21">
        <v>10</v>
      </c>
      <c r="E2613" s="2">
        <f t="shared" si="445"/>
        <v>28</v>
      </c>
      <c r="F2613" s="2">
        <v>10</v>
      </c>
      <c r="G2613" s="3" t="s">
        <v>22</v>
      </c>
      <c r="H2613" s="2">
        <v>50</v>
      </c>
      <c r="I2613" s="117">
        <v>510100</v>
      </c>
      <c r="J2613" s="112" t="s">
        <v>2092</v>
      </c>
      <c r="K2613" s="2" t="s">
        <v>84</v>
      </c>
      <c r="L2613" s="2">
        <v>0</v>
      </c>
      <c r="M2613" s="2" t="s">
        <v>84</v>
      </c>
      <c r="N2613" s="2" t="s">
        <v>84</v>
      </c>
      <c r="O2613" s="2" t="s">
        <v>2095</v>
      </c>
      <c r="P2613" s="2" t="s">
        <v>143</v>
      </c>
    </row>
    <row r="2614" spans="1:16" ht="22" customHeight="1" x14ac:dyDescent="0.15">
      <c r="A2614" s="10" t="str">
        <f t="shared" si="446"/>
        <v>510_10_29_10_polygon</v>
      </c>
      <c r="B2614" s="2">
        <v>510</v>
      </c>
      <c r="C2614" s="30" t="str">
        <f>VLOOKUP(B2614,gachas!A:C,3)</f>
        <v>カラーピックアップ（トルストイ、ハーメルン）</v>
      </c>
      <c r="D2614" s="21">
        <v>10</v>
      </c>
      <c r="E2614" s="2">
        <f t="shared" si="445"/>
        <v>29</v>
      </c>
      <c r="F2614" s="2">
        <v>10</v>
      </c>
      <c r="G2614" s="3" t="s">
        <v>22</v>
      </c>
      <c r="H2614" s="2">
        <v>50</v>
      </c>
      <c r="I2614" s="117">
        <v>510100</v>
      </c>
      <c r="J2614" s="112" t="s">
        <v>2092</v>
      </c>
      <c r="K2614" s="2" t="s">
        <v>84</v>
      </c>
      <c r="L2614" s="2">
        <v>0</v>
      </c>
      <c r="M2614" s="2" t="s">
        <v>84</v>
      </c>
      <c r="N2614" s="2" t="s">
        <v>84</v>
      </c>
      <c r="O2614" s="2" t="s">
        <v>2095</v>
      </c>
      <c r="P2614" s="2" t="s">
        <v>143</v>
      </c>
    </row>
    <row r="2615" spans="1:16" ht="22" customHeight="1" x14ac:dyDescent="0.15">
      <c r="A2615" s="10" t="str">
        <f t="shared" si="446"/>
        <v>510_10_30_10_polygon</v>
      </c>
      <c r="B2615" s="2">
        <v>510</v>
      </c>
      <c r="C2615" s="30" t="str">
        <f>VLOOKUP(B2615,gachas!A:C,3)</f>
        <v>カラーピックアップ（トルストイ、ハーメルン）</v>
      </c>
      <c r="D2615" s="21">
        <v>10</v>
      </c>
      <c r="E2615" s="2">
        <f t="shared" si="445"/>
        <v>30</v>
      </c>
      <c r="F2615" s="2">
        <v>10</v>
      </c>
      <c r="G2615" s="3" t="s">
        <v>22</v>
      </c>
      <c r="H2615" s="2">
        <v>50</v>
      </c>
      <c r="I2615" s="117">
        <v>510100</v>
      </c>
      <c r="J2615" s="112" t="s">
        <v>2092</v>
      </c>
      <c r="K2615" s="2">
        <v>510100</v>
      </c>
      <c r="L2615" s="2">
        <v>1</v>
      </c>
      <c r="M2615" s="2" t="s">
        <v>84</v>
      </c>
      <c r="N2615" s="2" t="s">
        <v>84</v>
      </c>
      <c r="O2615" s="2" t="s">
        <v>2095</v>
      </c>
      <c r="P2615" s="2" t="s">
        <v>2536</v>
      </c>
    </row>
    <row r="2616" spans="1:16" ht="22" customHeight="1" x14ac:dyDescent="0.15">
      <c r="A2616" s="10" t="str">
        <f t="shared" si="446"/>
        <v>510_10_31_10_polygon</v>
      </c>
      <c r="B2616" s="2">
        <v>510</v>
      </c>
      <c r="C2616" s="30" t="str">
        <f>VLOOKUP(B2616,gachas!A:C,3)</f>
        <v>カラーピックアップ（トルストイ、ハーメルン）</v>
      </c>
      <c r="D2616" s="21">
        <v>10</v>
      </c>
      <c r="E2616" s="2">
        <f t="shared" si="445"/>
        <v>31</v>
      </c>
      <c r="F2616" s="2">
        <v>10</v>
      </c>
      <c r="G2616" s="3" t="s">
        <v>22</v>
      </c>
      <c r="H2616" s="2">
        <v>25</v>
      </c>
      <c r="I2616" s="117">
        <v>510100</v>
      </c>
      <c r="J2616" s="112" t="s">
        <v>2092</v>
      </c>
      <c r="K2616" s="2" t="s">
        <v>84</v>
      </c>
      <c r="L2616" s="2">
        <v>0</v>
      </c>
      <c r="M2616" s="2" t="s">
        <v>84</v>
      </c>
      <c r="N2616" s="2" t="s">
        <v>84</v>
      </c>
      <c r="O2616" s="2" t="s">
        <v>2095</v>
      </c>
      <c r="P2616" s="59" t="s">
        <v>1783</v>
      </c>
    </row>
    <row r="2617" spans="1:16" ht="22" customHeight="1" x14ac:dyDescent="0.15">
      <c r="A2617" s="10" t="str">
        <f t="shared" si="446"/>
        <v>510_10_32_10_polygon</v>
      </c>
      <c r="B2617" s="2">
        <v>510</v>
      </c>
      <c r="C2617" s="30" t="str">
        <f>VLOOKUP(B2617,gachas!A:C,3)</f>
        <v>カラーピックアップ（トルストイ、ハーメルン）</v>
      </c>
      <c r="D2617" s="21">
        <v>10</v>
      </c>
      <c r="E2617" s="2">
        <f t="shared" si="445"/>
        <v>32</v>
      </c>
      <c r="F2617" s="2">
        <v>10</v>
      </c>
      <c r="G2617" s="3" t="s">
        <v>22</v>
      </c>
      <c r="H2617" s="2">
        <v>50</v>
      </c>
      <c r="I2617" s="117">
        <v>510100</v>
      </c>
      <c r="J2617" s="112" t="s">
        <v>2092</v>
      </c>
      <c r="K2617" s="2" t="s">
        <v>84</v>
      </c>
      <c r="L2617" s="2">
        <v>0</v>
      </c>
      <c r="M2617" s="2" t="s">
        <v>84</v>
      </c>
      <c r="N2617" s="2" t="s">
        <v>84</v>
      </c>
      <c r="O2617" s="2" t="s">
        <v>2095</v>
      </c>
      <c r="P2617" s="2" t="s">
        <v>143</v>
      </c>
    </row>
    <row r="2618" spans="1:16" ht="22" customHeight="1" x14ac:dyDescent="0.15">
      <c r="A2618" s="10" t="str">
        <f t="shared" si="446"/>
        <v>510_10_33_10_polygon</v>
      </c>
      <c r="B2618" s="2">
        <v>510</v>
      </c>
      <c r="C2618" s="30" t="str">
        <f>VLOOKUP(B2618,gachas!A:C,3)</f>
        <v>カラーピックアップ（トルストイ、ハーメルン）</v>
      </c>
      <c r="D2618" s="21">
        <v>10</v>
      </c>
      <c r="E2618" s="2">
        <f t="shared" si="445"/>
        <v>33</v>
      </c>
      <c r="F2618" s="2">
        <v>10</v>
      </c>
      <c r="G2618" s="3" t="s">
        <v>22</v>
      </c>
      <c r="H2618" s="2">
        <v>50</v>
      </c>
      <c r="I2618" s="117">
        <v>510100</v>
      </c>
      <c r="J2618" s="112" t="s">
        <v>2092</v>
      </c>
      <c r="K2618" s="2" t="s">
        <v>84</v>
      </c>
      <c r="L2618" s="2">
        <v>0</v>
      </c>
      <c r="M2618" s="2" t="s">
        <v>84</v>
      </c>
      <c r="N2618" s="2" t="s">
        <v>84</v>
      </c>
      <c r="O2618" s="2" t="s">
        <v>2095</v>
      </c>
      <c r="P2618" s="2" t="s">
        <v>143</v>
      </c>
    </row>
    <row r="2619" spans="1:16" ht="22" customHeight="1" x14ac:dyDescent="0.15">
      <c r="A2619" s="10" t="str">
        <f t="shared" si="446"/>
        <v>510_10_34_10_polygon</v>
      </c>
      <c r="B2619" s="2">
        <v>510</v>
      </c>
      <c r="C2619" s="30" t="str">
        <f>VLOOKUP(B2619,gachas!A:C,3)</f>
        <v>カラーピックアップ（トルストイ、ハーメルン）</v>
      </c>
      <c r="D2619" s="21">
        <v>10</v>
      </c>
      <c r="E2619" s="2">
        <f t="shared" si="445"/>
        <v>34</v>
      </c>
      <c r="F2619" s="2">
        <v>10</v>
      </c>
      <c r="G2619" s="3" t="s">
        <v>22</v>
      </c>
      <c r="H2619" s="2">
        <v>50</v>
      </c>
      <c r="I2619" s="117">
        <v>510100</v>
      </c>
      <c r="J2619" s="112" t="s">
        <v>2092</v>
      </c>
      <c r="K2619" s="2" t="s">
        <v>84</v>
      </c>
      <c r="L2619" s="2">
        <v>0</v>
      </c>
      <c r="M2619" s="2" t="s">
        <v>84</v>
      </c>
      <c r="N2619" s="2" t="s">
        <v>84</v>
      </c>
      <c r="O2619" s="2" t="s">
        <v>2095</v>
      </c>
      <c r="P2619" s="2" t="s">
        <v>143</v>
      </c>
    </row>
    <row r="2620" spans="1:16" ht="22" customHeight="1" x14ac:dyDescent="0.15">
      <c r="A2620" s="10" t="str">
        <f t="shared" si="446"/>
        <v>510_10_35_10_polygon</v>
      </c>
      <c r="B2620" s="2">
        <v>510</v>
      </c>
      <c r="C2620" s="30" t="str">
        <f>VLOOKUP(B2620,gachas!A:C,3)</f>
        <v>カラーピックアップ（トルストイ、ハーメルン）</v>
      </c>
      <c r="D2620" s="21">
        <v>10</v>
      </c>
      <c r="E2620" s="2">
        <f t="shared" si="445"/>
        <v>35</v>
      </c>
      <c r="F2620" s="2">
        <v>10</v>
      </c>
      <c r="G2620" s="3" t="s">
        <v>22</v>
      </c>
      <c r="H2620" s="2">
        <v>50</v>
      </c>
      <c r="I2620" s="117">
        <v>510100</v>
      </c>
      <c r="J2620" s="112" t="s">
        <v>2092</v>
      </c>
      <c r="K2620" s="2">
        <v>510100</v>
      </c>
      <c r="L2620" s="2">
        <v>1</v>
      </c>
      <c r="M2620" s="2" t="s">
        <v>84</v>
      </c>
      <c r="N2620" s="2" t="s">
        <v>84</v>
      </c>
      <c r="O2620" s="2" t="s">
        <v>2095</v>
      </c>
      <c r="P2620" s="2" t="s">
        <v>2536</v>
      </c>
    </row>
    <row r="2621" spans="1:16" ht="22" customHeight="1" x14ac:dyDescent="0.15">
      <c r="A2621" s="10" t="str">
        <f t="shared" si="446"/>
        <v>510_10_36_10_polygon</v>
      </c>
      <c r="B2621" s="2">
        <v>510</v>
      </c>
      <c r="C2621" s="30" t="str">
        <f>VLOOKUP(B2621,gachas!A:C,3)</f>
        <v>カラーピックアップ（トルストイ、ハーメルン）</v>
      </c>
      <c r="D2621" s="21">
        <v>10</v>
      </c>
      <c r="E2621" s="2">
        <f t="shared" si="445"/>
        <v>36</v>
      </c>
      <c r="F2621" s="2">
        <v>10</v>
      </c>
      <c r="G2621" s="3" t="s">
        <v>22</v>
      </c>
      <c r="H2621" s="2">
        <v>25</v>
      </c>
      <c r="I2621" s="117">
        <v>510100</v>
      </c>
      <c r="J2621" s="112" t="s">
        <v>2092</v>
      </c>
      <c r="K2621" s="2" t="s">
        <v>84</v>
      </c>
      <c r="L2621" s="2">
        <v>0</v>
      </c>
      <c r="M2621" s="2" t="s">
        <v>84</v>
      </c>
      <c r="N2621" s="2" t="s">
        <v>84</v>
      </c>
      <c r="O2621" s="2" t="s">
        <v>2095</v>
      </c>
      <c r="P2621" s="59" t="s">
        <v>1783</v>
      </c>
    </row>
    <row r="2622" spans="1:16" ht="22" customHeight="1" x14ac:dyDescent="0.15">
      <c r="A2622" s="10" t="str">
        <f t="shared" si="446"/>
        <v>510_10_37_10_polygon</v>
      </c>
      <c r="B2622" s="2">
        <v>510</v>
      </c>
      <c r="C2622" s="30" t="str">
        <f>VLOOKUP(B2622,gachas!A:C,3)</f>
        <v>カラーピックアップ（トルストイ、ハーメルン）</v>
      </c>
      <c r="D2622" s="21">
        <v>10</v>
      </c>
      <c r="E2622" s="2">
        <f t="shared" si="445"/>
        <v>37</v>
      </c>
      <c r="F2622" s="2">
        <v>10</v>
      </c>
      <c r="G2622" s="3" t="s">
        <v>22</v>
      </c>
      <c r="H2622" s="2">
        <v>50</v>
      </c>
      <c r="I2622" s="117">
        <v>510100</v>
      </c>
      <c r="J2622" s="112" t="s">
        <v>2092</v>
      </c>
      <c r="K2622" s="2" t="s">
        <v>84</v>
      </c>
      <c r="L2622" s="2">
        <v>0</v>
      </c>
      <c r="M2622" s="2" t="s">
        <v>84</v>
      </c>
      <c r="N2622" s="2" t="s">
        <v>84</v>
      </c>
      <c r="O2622" s="2" t="s">
        <v>2095</v>
      </c>
      <c r="P2622" s="2" t="s">
        <v>143</v>
      </c>
    </row>
    <row r="2623" spans="1:16" ht="22" customHeight="1" x14ac:dyDescent="0.15">
      <c r="A2623" s="10" t="str">
        <f t="shared" si="446"/>
        <v>510_10_38_10_polygon</v>
      </c>
      <c r="B2623" s="2">
        <v>510</v>
      </c>
      <c r="C2623" s="30" t="str">
        <f>VLOOKUP(B2623,gachas!A:C,3)</f>
        <v>カラーピックアップ（トルストイ、ハーメルン）</v>
      </c>
      <c r="D2623" s="21">
        <v>10</v>
      </c>
      <c r="E2623" s="2">
        <f t="shared" si="445"/>
        <v>38</v>
      </c>
      <c r="F2623" s="2">
        <v>10</v>
      </c>
      <c r="G2623" s="3" t="s">
        <v>22</v>
      </c>
      <c r="H2623" s="2">
        <v>50</v>
      </c>
      <c r="I2623" s="117">
        <v>510100</v>
      </c>
      <c r="J2623" s="112" t="s">
        <v>2092</v>
      </c>
      <c r="K2623" s="2" t="s">
        <v>84</v>
      </c>
      <c r="L2623" s="2">
        <v>0</v>
      </c>
      <c r="M2623" s="2" t="s">
        <v>84</v>
      </c>
      <c r="N2623" s="2" t="s">
        <v>84</v>
      </c>
      <c r="O2623" s="2" t="s">
        <v>2095</v>
      </c>
      <c r="P2623" s="2" t="s">
        <v>143</v>
      </c>
    </row>
    <row r="2624" spans="1:16" ht="22" customHeight="1" x14ac:dyDescent="0.15">
      <c r="A2624" s="10" t="str">
        <f t="shared" si="446"/>
        <v>510_10_39_10_polygon</v>
      </c>
      <c r="B2624" s="2">
        <v>510</v>
      </c>
      <c r="C2624" s="30" t="str">
        <f>VLOOKUP(B2624,gachas!A:C,3)</f>
        <v>カラーピックアップ（トルストイ、ハーメルン）</v>
      </c>
      <c r="D2624" s="21">
        <v>10</v>
      </c>
      <c r="E2624" s="2">
        <f t="shared" si="445"/>
        <v>39</v>
      </c>
      <c r="F2624" s="2">
        <v>10</v>
      </c>
      <c r="G2624" s="3" t="s">
        <v>22</v>
      </c>
      <c r="H2624" s="2">
        <v>50</v>
      </c>
      <c r="I2624" s="117">
        <v>510100</v>
      </c>
      <c r="J2624" s="112" t="s">
        <v>2092</v>
      </c>
      <c r="K2624" s="2" t="s">
        <v>84</v>
      </c>
      <c r="L2624" s="2">
        <v>0</v>
      </c>
      <c r="M2624" s="2" t="s">
        <v>84</v>
      </c>
      <c r="N2624" s="2" t="s">
        <v>84</v>
      </c>
      <c r="O2624" s="2" t="s">
        <v>2095</v>
      </c>
      <c r="P2624" s="2" t="s">
        <v>143</v>
      </c>
    </row>
    <row r="2625" spans="1:16" ht="22" customHeight="1" x14ac:dyDescent="0.15">
      <c r="A2625" s="10" t="str">
        <f t="shared" si="446"/>
        <v>510_10_40_10_polygon</v>
      </c>
      <c r="B2625" s="2">
        <v>510</v>
      </c>
      <c r="C2625" s="30" t="str">
        <f>VLOOKUP(B2625,gachas!A:C,3)</f>
        <v>カラーピックアップ（トルストイ、ハーメルン）</v>
      </c>
      <c r="D2625" s="21">
        <v>10</v>
      </c>
      <c r="E2625" s="2">
        <f t="shared" si="445"/>
        <v>40</v>
      </c>
      <c r="F2625" s="2">
        <v>10</v>
      </c>
      <c r="G2625" s="3" t="s">
        <v>22</v>
      </c>
      <c r="H2625" s="2">
        <v>50</v>
      </c>
      <c r="I2625" s="117">
        <v>510100</v>
      </c>
      <c r="J2625" s="112" t="s">
        <v>2092</v>
      </c>
      <c r="K2625" s="2">
        <v>510100</v>
      </c>
      <c r="L2625" s="2">
        <v>1</v>
      </c>
      <c r="M2625" s="2" t="s">
        <v>84</v>
      </c>
      <c r="N2625" s="2" t="s">
        <v>84</v>
      </c>
      <c r="O2625" s="2" t="s">
        <v>2095</v>
      </c>
      <c r="P2625" s="2" t="s">
        <v>2536</v>
      </c>
    </row>
    <row r="2626" spans="1:16" ht="22" customHeight="1" x14ac:dyDescent="0.15">
      <c r="A2626" s="10" t="str">
        <f t="shared" si="446"/>
        <v>510_10_41_10_polygon</v>
      </c>
      <c r="B2626" s="2">
        <v>510</v>
      </c>
      <c r="C2626" s="30" t="str">
        <f>VLOOKUP(B2626,gachas!A:C,3)</f>
        <v>カラーピックアップ（トルストイ、ハーメルン）</v>
      </c>
      <c r="D2626" s="21">
        <v>10</v>
      </c>
      <c r="E2626" s="2">
        <f t="shared" si="445"/>
        <v>41</v>
      </c>
      <c r="F2626" s="2">
        <v>10</v>
      </c>
      <c r="G2626" s="3" t="s">
        <v>22</v>
      </c>
      <c r="H2626" s="2">
        <v>25</v>
      </c>
      <c r="I2626" s="117">
        <v>510100</v>
      </c>
      <c r="J2626" s="112" t="s">
        <v>2092</v>
      </c>
      <c r="K2626" s="2" t="s">
        <v>84</v>
      </c>
      <c r="L2626" s="2">
        <v>0</v>
      </c>
      <c r="M2626" s="2" t="s">
        <v>84</v>
      </c>
      <c r="N2626" s="2" t="s">
        <v>84</v>
      </c>
      <c r="O2626" s="2" t="s">
        <v>2095</v>
      </c>
      <c r="P2626" s="59" t="s">
        <v>1783</v>
      </c>
    </row>
    <row r="2627" spans="1:16" ht="22" customHeight="1" x14ac:dyDescent="0.15">
      <c r="A2627" s="10" t="str">
        <f t="shared" si="446"/>
        <v>510_10_42_10_polygon</v>
      </c>
      <c r="B2627" s="2">
        <v>510</v>
      </c>
      <c r="C2627" s="30" t="str">
        <f>VLOOKUP(B2627,gachas!A:C,3)</f>
        <v>カラーピックアップ（トルストイ、ハーメルン）</v>
      </c>
      <c r="D2627" s="21">
        <v>10</v>
      </c>
      <c r="E2627" s="2">
        <f t="shared" si="445"/>
        <v>42</v>
      </c>
      <c r="F2627" s="2">
        <v>10</v>
      </c>
      <c r="G2627" s="3" t="s">
        <v>22</v>
      </c>
      <c r="H2627" s="2">
        <v>50</v>
      </c>
      <c r="I2627" s="117">
        <v>510100</v>
      </c>
      <c r="J2627" s="112" t="s">
        <v>2092</v>
      </c>
      <c r="K2627" s="2" t="s">
        <v>84</v>
      </c>
      <c r="L2627" s="2">
        <v>0</v>
      </c>
      <c r="M2627" s="2" t="s">
        <v>84</v>
      </c>
      <c r="N2627" s="2" t="s">
        <v>84</v>
      </c>
      <c r="O2627" s="2" t="s">
        <v>2095</v>
      </c>
      <c r="P2627" s="2" t="s">
        <v>143</v>
      </c>
    </row>
    <row r="2628" spans="1:16" ht="22" customHeight="1" x14ac:dyDescent="0.15">
      <c r="A2628" s="10" t="str">
        <f t="shared" si="446"/>
        <v>510_10_43_10_polygon</v>
      </c>
      <c r="B2628" s="2">
        <v>510</v>
      </c>
      <c r="C2628" s="30" t="str">
        <f>VLOOKUP(B2628,gachas!A:C,3)</f>
        <v>カラーピックアップ（トルストイ、ハーメルン）</v>
      </c>
      <c r="D2628" s="21">
        <v>10</v>
      </c>
      <c r="E2628" s="2">
        <f t="shared" si="445"/>
        <v>43</v>
      </c>
      <c r="F2628" s="2">
        <v>10</v>
      </c>
      <c r="G2628" s="3" t="s">
        <v>22</v>
      </c>
      <c r="H2628" s="2">
        <v>50</v>
      </c>
      <c r="I2628" s="117">
        <v>510100</v>
      </c>
      <c r="J2628" s="112" t="s">
        <v>2092</v>
      </c>
      <c r="K2628" s="2" t="s">
        <v>84</v>
      </c>
      <c r="L2628" s="2">
        <v>0</v>
      </c>
      <c r="M2628" s="2" t="s">
        <v>84</v>
      </c>
      <c r="N2628" s="2" t="s">
        <v>84</v>
      </c>
      <c r="O2628" s="2" t="s">
        <v>2095</v>
      </c>
      <c r="P2628" s="2" t="s">
        <v>143</v>
      </c>
    </row>
    <row r="2629" spans="1:16" ht="22" customHeight="1" x14ac:dyDescent="0.15">
      <c r="A2629" s="10" t="str">
        <f t="shared" si="446"/>
        <v>510_10_44_10_polygon</v>
      </c>
      <c r="B2629" s="2">
        <v>510</v>
      </c>
      <c r="C2629" s="30" t="str">
        <f>VLOOKUP(B2629,gachas!A:C,3)</f>
        <v>カラーピックアップ（トルストイ、ハーメルン）</v>
      </c>
      <c r="D2629" s="21">
        <v>10</v>
      </c>
      <c r="E2629" s="2">
        <f t="shared" si="445"/>
        <v>44</v>
      </c>
      <c r="F2629" s="2">
        <v>10</v>
      </c>
      <c r="G2629" s="3" t="s">
        <v>22</v>
      </c>
      <c r="H2629" s="2">
        <v>50</v>
      </c>
      <c r="I2629" s="117">
        <v>510100</v>
      </c>
      <c r="J2629" s="112" t="s">
        <v>2092</v>
      </c>
      <c r="K2629" s="2" t="s">
        <v>84</v>
      </c>
      <c r="L2629" s="2">
        <v>0</v>
      </c>
      <c r="M2629" s="2" t="s">
        <v>84</v>
      </c>
      <c r="N2629" s="2" t="s">
        <v>84</v>
      </c>
      <c r="O2629" s="2" t="s">
        <v>2095</v>
      </c>
      <c r="P2629" s="2" t="s">
        <v>143</v>
      </c>
    </row>
    <row r="2630" spans="1:16" ht="22" customHeight="1" x14ac:dyDescent="0.15">
      <c r="A2630" s="10" t="str">
        <f t="shared" si="446"/>
        <v>510_10_45_10_polygon</v>
      </c>
      <c r="B2630" s="2">
        <v>510</v>
      </c>
      <c r="C2630" s="30" t="str">
        <f>VLOOKUP(B2630,gachas!A:C,3)</f>
        <v>カラーピックアップ（トルストイ、ハーメルン）</v>
      </c>
      <c r="D2630" s="21">
        <v>10</v>
      </c>
      <c r="E2630" s="2">
        <f t="shared" si="445"/>
        <v>45</v>
      </c>
      <c r="F2630" s="2">
        <v>10</v>
      </c>
      <c r="G2630" s="3" t="s">
        <v>22</v>
      </c>
      <c r="H2630" s="2">
        <v>50</v>
      </c>
      <c r="I2630" s="117">
        <v>510100</v>
      </c>
      <c r="J2630" s="112" t="s">
        <v>2092</v>
      </c>
      <c r="K2630" s="2">
        <v>510100</v>
      </c>
      <c r="L2630" s="2">
        <v>1</v>
      </c>
      <c r="M2630" s="2" t="s">
        <v>84</v>
      </c>
      <c r="N2630" s="2" t="s">
        <v>84</v>
      </c>
      <c r="O2630" s="2" t="s">
        <v>2095</v>
      </c>
      <c r="P2630" s="2" t="s">
        <v>2536</v>
      </c>
    </row>
    <row r="2631" spans="1:16" ht="22" customHeight="1" x14ac:dyDescent="0.15">
      <c r="A2631" s="10" t="str">
        <f t="shared" si="446"/>
        <v>510_10_46_10_polygon</v>
      </c>
      <c r="B2631" s="2">
        <v>510</v>
      </c>
      <c r="C2631" s="30" t="str">
        <f>VLOOKUP(B2631,gachas!A:C,3)</f>
        <v>カラーピックアップ（トルストイ、ハーメルン）</v>
      </c>
      <c r="D2631" s="21">
        <v>10</v>
      </c>
      <c r="E2631" s="2">
        <f t="shared" si="445"/>
        <v>46</v>
      </c>
      <c r="F2631" s="2">
        <v>10</v>
      </c>
      <c r="G2631" s="3" t="s">
        <v>22</v>
      </c>
      <c r="H2631" s="2">
        <v>25</v>
      </c>
      <c r="I2631" s="117">
        <v>510100</v>
      </c>
      <c r="J2631" s="112" t="s">
        <v>2092</v>
      </c>
      <c r="K2631" s="2" t="s">
        <v>84</v>
      </c>
      <c r="L2631" s="2">
        <v>0</v>
      </c>
      <c r="M2631" s="2" t="s">
        <v>84</v>
      </c>
      <c r="N2631" s="2" t="s">
        <v>84</v>
      </c>
      <c r="O2631" s="2" t="s">
        <v>2095</v>
      </c>
      <c r="P2631" s="59" t="s">
        <v>1783</v>
      </c>
    </row>
    <row r="2632" spans="1:16" ht="22" customHeight="1" x14ac:dyDescent="0.15">
      <c r="A2632" s="10" t="str">
        <f t="shared" si="446"/>
        <v>510_10_47_10_polygon</v>
      </c>
      <c r="B2632" s="2">
        <v>510</v>
      </c>
      <c r="C2632" s="30" t="str">
        <f>VLOOKUP(B2632,gachas!A:C,3)</f>
        <v>カラーピックアップ（トルストイ、ハーメルン）</v>
      </c>
      <c r="D2632" s="21">
        <v>10</v>
      </c>
      <c r="E2632" s="2">
        <f t="shared" si="445"/>
        <v>47</v>
      </c>
      <c r="F2632" s="2">
        <v>10</v>
      </c>
      <c r="G2632" s="3" t="s">
        <v>22</v>
      </c>
      <c r="H2632" s="2">
        <v>50</v>
      </c>
      <c r="I2632" s="117">
        <v>510100</v>
      </c>
      <c r="J2632" s="112" t="s">
        <v>2092</v>
      </c>
      <c r="K2632" s="2" t="s">
        <v>84</v>
      </c>
      <c r="L2632" s="2">
        <v>0</v>
      </c>
      <c r="M2632" s="2" t="s">
        <v>84</v>
      </c>
      <c r="N2632" s="2" t="s">
        <v>84</v>
      </c>
      <c r="O2632" s="2" t="s">
        <v>2095</v>
      </c>
      <c r="P2632" s="2" t="s">
        <v>143</v>
      </c>
    </row>
    <row r="2633" spans="1:16" ht="22" customHeight="1" x14ac:dyDescent="0.15">
      <c r="A2633" s="10" t="str">
        <f t="shared" si="446"/>
        <v>510_10_48_10_polygon</v>
      </c>
      <c r="B2633" s="2">
        <v>510</v>
      </c>
      <c r="C2633" s="30" t="str">
        <f>VLOOKUP(B2633,gachas!A:C,3)</f>
        <v>カラーピックアップ（トルストイ、ハーメルン）</v>
      </c>
      <c r="D2633" s="21">
        <v>10</v>
      </c>
      <c r="E2633" s="2">
        <f t="shared" si="445"/>
        <v>48</v>
      </c>
      <c r="F2633" s="2">
        <v>10</v>
      </c>
      <c r="G2633" s="3" t="s">
        <v>22</v>
      </c>
      <c r="H2633" s="2">
        <v>50</v>
      </c>
      <c r="I2633" s="117">
        <v>510100</v>
      </c>
      <c r="J2633" s="112" t="s">
        <v>2092</v>
      </c>
      <c r="K2633" s="2" t="s">
        <v>84</v>
      </c>
      <c r="L2633" s="2">
        <v>0</v>
      </c>
      <c r="M2633" s="2" t="s">
        <v>84</v>
      </c>
      <c r="N2633" s="2" t="s">
        <v>84</v>
      </c>
      <c r="O2633" s="2" t="s">
        <v>2095</v>
      </c>
      <c r="P2633" s="2" t="s">
        <v>143</v>
      </c>
    </row>
    <row r="2634" spans="1:16" ht="22" customHeight="1" x14ac:dyDescent="0.15">
      <c r="A2634" s="10" t="str">
        <f t="shared" si="446"/>
        <v>510_10_49_10_polygon</v>
      </c>
      <c r="B2634" s="2">
        <v>510</v>
      </c>
      <c r="C2634" s="30" t="str">
        <f>VLOOKUP(B2634,gachas!A:C,3)</f>
        <v>カラーピックアップ（トルストイ、ハーメルン）</v>
      </c>
      <c r="D2634" s="21">
        <v>10</v>
      </c>
      <c r="E2634" s="2">
        <f t="shared" si="445"/>
        <v>49</v>
      </c>
      <c r="F2634" s="2">
        <v>10</v>
      </c>
      <c r="G2634" s="3" t="s">
        <v>22</v>
      </c>
      <c r="H2634" s="2">
        <v>50</v>
      </c>
      <c r="I2634" s="117">
        <v>510100</v>
      </c>
      <c r="J2634" s="112" t="s">
        <v>2092</v>
      </c>
      <c r="K2634" s="2" t="s">
        <v>84</v>
      </c>
      <c r="L2634" s="2">
        <v>0</v>
      </c>
      <c r="M2634" s="2" t="s">
        <v>84</v>
      </c>
      <c r="N2634" s="2" t="s">
        <v>84</v>
      </c>
      <c r="O2634" s="2" t="s">
        <v>2095</v>
      </c>
      <c r="P2634" s="2" t="s">
        <v>143</v>
      </c>
    </row>
    <row r="2635" spans="1:16" ht="22" customHeight="1" x14ac:dyDescent="0.15">
      <c r="A2635" s="10" t="str">
        <f t="shared" si="446"/>
        <v>510_10_50_10_polygon</v>
      </c>
      <c r="B2635" s="2">
        <v>510</v>
      </c>
      <c r="C2635" s="30" t="str">
        <f>VLOOKUP(B2635,gachas!A:C,3)</f>
        <v>カラーピックアップ（トルストイ、ハーメルン）</v>
      </c>
      <c r="D2635" s="21">
        <v>10</v>
      </c>
      <c r="E2635" s="2">
        <f t="shared" si="445"/>
        <v>50</v>
      </c>
      <c r="F2635" s="2">
        <v>10</v>
      </c>
      <c r="G2635" s="3" t="s">
        <v>22</v>
      </c>
      <c r="H2635" s="2">
        <v>50</v>
      </c>
      <c r="I2635" s="117">
        <v>510100</v>
      </c>
      <c r="J2635" s="112" t="s">
        <v>2092</v>
      </c>
      <c r="K2635" s="2">
        <v>510100</v>
      </c>
      <c r="L2635" s="2">
        <v>1</v>
      </c>
      <c r="M2635" s="2" t="s">
        <v>84</v>
      </c>
      <c r="N2635" s="2" t="s">
        <v>84</v>
      </c>
      <c r="O2635" s="2" t="s">
        <v>2095</v>
      </c>
      <c r="P2635" s="2" t="s">
        <v>2536</v>
      </c>
    </row>
    <row r="2636" spans="1:16" ht="22" customHeight="1" x14ac:dyDescent="0.15">
      <c r="A2636" s="10" t="str">
        <f t="shared" si="446"/>
        <v>511_10_0_10_polygon</v>
      </c>
      <c r="B2636" s="2">
        <v>511</v>
      </c>
      <c r="C2636" s="30" t="str">
        <f>VLOOKUP(B2636,gachas!A:C,3)</f>
        <v>ランキング対抗（ルメートル）</v>
      </c>
      <c r="D2636" s="21">
        <v>10</v>
      </c>
      <c r="E2636" s="2">
        <v>0</v>
      </c>
      <c r="F2636" s="2">
        <v>10</v>
      </c>
      <c r="G2636" s="3" t="s">
        <v>22</v>
      </c>
      <c r="H2636" s="2">
        <v>50</v>
      </c>
      <c r="I2636" s="114" t="str">
        <f t="shared" ref="I2636:I2637" si="447">B2636&amp;TEXT(D2636,"00")&amp;E2636</f>
        <v>511100</v>
      </c>
      <c r="J2636" s="112" t="s">
        <v>84</v>
      </c>
      <c r="K2636" s="116" t="s">
        <v>2443</v>
      </c>
      <c r="L2636" s="2">
        <v>0</v>
      </c>
      <c r="M2636" s="2" t="s">
        <v>84</v>
      </c>
      <c r="N2636" s="2" t="s">
        <v>84</v>
      </c>
      <c r="O2636" s="2" t="s">
        <v>841</v>
      </c>
      <c r="P2636" s="2" t="s">
        <v>2538</v>
      </c>
    </row>
    <row r="2637" spans="1:16" ht="22" customHeight="1" x14ac:dyDescent="0.15">
      <c r="A2637" s="10" t="str">
        <f t="shared" si="446"/>
        <v>511_10_1_1_polygon</v>
      </c>
      <c r="B2637" s="2">
        <v>511</v>
      </c>
      <c r="C2637" s="30" t="str">
        <f>VLOOKUP(B2637,gachas!A:C,3)</f>
        <v>ランキング対抗（ルメートル）</v>
      </c>
      <c r="D2637" s="21">
        <v>10</v>
      </c>
      <c r="E2637" s="2">
        <v>1</v>
      </c>
      <c r="F2637" s="2">
        <v>1</v>
      </c>
      <c r="G2637" s="3" t="s">
        <v>22</v>
      </c>
      <c r="H2637" s="2">
        <v>1</v>
      </c>
      <c r="I2637" s="114" t="str">
        <f t="shared" si="447"/>
        <v>511101</v>
      </c>
      <c r="J2637" s="112" t="s">
        <v>84</v>
      </c>
      <c r="K2637" s="116" t="s">
        <v>2443</v>
      </c>
      <c r="L2637" s="2">
        <v>0</v>
      </c>
      <c r="M2637" s="2" t="s">
        <v>84</v>
      </c>
      <c r="N2637" s="2" t="s">
        <v>84</v>
      </c>
      <c r="O2637" s="2" t="s">
        <v>841</v>
      </c>
      <c r="P2637" s="2" t="s">
        <v>1278</v>
      </c>
    </row>
    <row r="2638" spans="1:16" ht="22" customHeight="1" x14ac:dyDescent="0.15">
      <c r="A2638" s="10" t="str">
        <f t="shared" si="446"/>
        <v>511_10_2_3_polygon</v>
      </c>
      <c r="B2638" s="2">
        <v>511</v>
      </c>
      <c r="C2638" s="30" t="str">
        <f>VLOOKUP(B2638,gachas!A:C,3)</f>
        <v>ランキング対抗（ルメートル）</v>
      </c>
      <c r="D2638" s="21">
        <v>10</v>
      </c>
      <c r="E2638" s="2">
        <v>2</v>
      </c>
      <c r="F2638" s="2">
        <v>3</v>
      </c>
      <c r="G2638" s="3" t="s">
        <v>22</v>
      </c>
      <c r="H2638" s="2">
        <v>9</v>
      </c>
      <c r="I2638" s="114">
        <v>511101</v>
      </c>
      <c r="J2638" s="112" t="s">
        <v>84</v>
      </c>
      <c r="K2638" s="116" t="s">
        <v>2443</v>
      </c>
      <c r="L2638" s="2">
        <v>0</v>
      </c>
      <c r="M2638" s="2" t="s">
        <v>84</v>
      </c>
      <c r="N2638" s="2" t="s">
        <v>84</v>
      </c>
      <c r="O2638" s="2" t="s">
        <v>841</v>
      </c>
      <c r="P2638" s="2" t="s">
        <v>1273</v>
      </c>
    </row>
    <row r="2639" spans="1:16" ht="22" customHeight="1" x14ac:dyDescent="0.15">
      <c r="A2639" s="10" t="str">
        <f t="shared" si="446"/>
        <v>511_10_3_10_polygon</v>
      </c>
      <c r="B2639" s="2">
        <v>511</v>
      </c>
      <c r="C2639" s="30" t="str">
        <f>VLOOKUP(B2639,gachas!A:C,3)</f>
        <v>ランキング対抗（ルメートル）</v>
      </c>
      <c r="D2639" s="21">
        <v>10</v>
      </c>
      <c r="E2639" s="2">
        <v>3</v>
      </c>
      <c r="F2639" s="2">
        <v>10</v>
      </c>
      <c r="G2639" s="3" t="s">
        <v>22</v>
      </c>
      <c r="H2639" s="2">
        <v>35</v>
      </c>
      <c r="I2639" s="114" t="str">
        <f t="shared" ref="I2639:I2642" si="448">B2639&amp;TEXT(D2639,"00")&amp;E2639</f>
        <v>511103</v>
      </c>
      <c r="J2639" s="112">
        <v>511103</v>
      </c>
      <c r="K2639" s="116" t="s">
        <v>2443</v>
      </c>
      <c r="L2639" s="2">
        <v>0</v>
      </c>
      <c r="M2639" s="2" t="s">
        <v>84</v>
      </c>
      <c r="N2639" s="2" t="s">
        <v>84</v>
      </c>
      <c r="O2639" s="2" t="s">
        <v>841</v>
      </c>
      <c r="P2639" s="2" t="s">
        <v>2539</v>
      </c>
    </row>
    <row r="2640" spans="1:16" ht="22" customHeight="1" x14ac:dyDescent="0.15">
      <c r="A2640" s="10" t="str">
        <f t="shared" si="446"/>
        <v>511_10_4_10_polygon</v>
      </c>
      <c r="B2640" s="2">
        <v>511</v>
      </c>
      <c r="C2640" s="30" t="str">
        <f>VLOOKUP(B2640,gachas!A:C,3)</f>
        <v>ランキング対抗（ルメートル）</v>
      </c>
      <c r="D2640" s="21">
        <v>10</v>
      </c>
      <c r="E2640" s="2">
        <v>4</v>
      </c>
      <c r="F2640" s="2">
        <v>10</v>
      </c>
      <c r="G2640" s="3" t="s">
        <v>22</v>
      </c>
      <c r="H2640" s="2">
        <v>50</v>
      </c>
      <c r="I2640" s="114" t="str">
        <f t="shared" si="448"/>
        <v>511104</v>
      </c>
      <c r="J2640" s="112" t="s">
        <v>84</v>
      </c>
      <c r="K2640" s="116" t="str">
        <f t="shared" ref="K2640" si="449">I2640</f>
        <v>511104</v>
      </c>
      <c r="L2640" s="2">
        <v>1</v>
      </c>
      <c r="M2640" s="2" t="s">
        <v>84</v>
      </c>
      <c r="N2640" s="2" t="s">
        <v>84</v>
      </c>
      <c r="O2640" s="2" t="s">
        <v>841</v>
      </c>
      <c r="P2640" s="2" t="s">
        <v>2540</v>
      </c>
    </row>
    <row r="2641" spans="1:16" ht="22" customHeight="1" x14ac:dyDescent="0.15">
      <c r="A2641" s="10" t="str">
        <f t="shared" si="446"/>
        <v>511_10_5_10_polygon</v>
      </c>
      <c r="B2641" s="2">
        <v>511</v>
      </c>
      <c r="C2641" s="30" t="str">
        <f>VLOOKUP(B2641,gachas!A:C,3)</f>
        <v>ランキング対抗（ルメートル）</v>
      </c>
      <c r="D2641" s="21">
        <v>10</v>
      </c>
      <c r="E2641" s="2">
        <v>5</v>
      </c>
      <c r="F2641" s="2">
        <v>10</v>
      </c>
      <c r="G2641" s="3" t="s">
        <v>22</v>
      </c>
      <c r="H2641" s="2">
        <v>50</v>
      </c>
      <c r="I2641" s="114" t="str">
        <f t="shared" si="448"/>
        <v>511105</v>
      </c>
      <c r="J2641" s="112">
        <v>511105</v>
      </c>
      <c r="K2641" s="116" t="s">
        <v>2443</v>
      </c>
      <c r="L2641" s="2">
        <v>0</v>
      </c>
      <c r="M2641" s="2" t="s">
        <v>84</v>
      </c>
      <c r="N2641" s="2" t="s">
        <v>84</v>
      </c>
      <c r="O2641" s="2" t="s">
        <v>841</v>
      </c>
      <c r="P2641" s="2" t="s">
        <v>2541</v>
      </c>
    </row>
    <row r="2642" spans="1:16" ht="22" customHeight="1" x14ac:dyDescent="0.15">
      <c r="A2642" s="10" t="str">
        <f t="shared" si="446"/>
        <v>511_10_6_10_polygon</v>
      </c>
      <c r="B2642" s="2">
        <v>511</v>
      </c>
      <c r="C2642" s="30" t="str">
        <f>VLOOKUP(B2642,gachas!A:C,3)</f>
        <v>ランキング対抗（ルメートル）</v>
      </c>
      <c r="D2642" s="21">
        <v>10</v>
      </c>
      <c r="E2642" s="2">
        <v>6</v>
      </c>
      <c r="F2642" s="2">
        <v>10</v>
      </c>
      <c r="G2642" s="3" t="s">
        <v>22</v>
      </c>
      <c r="H2642" s="2">
        <v>50</v>
      </c>
      <c r="I2642" s="114" t="str">
        <f t="shared" si="448"/>
        <v>511106</v>
      </c>
      <c r="J2642" s="112">
        <v>511106</v>
      </c>
      <c r="K2642" s="116" t="s">
        <v>2443</v>
      </c>
      <c r="L2642" s="2">
        <v>0</v>
      </c>
      <c r="M2642" s="2" t="s">
        <v>84</v>
      </c>
      <c r="N2642" s="2" t="s">
        <v>84</v>
      </c>
      <c r="O2642" s="2" t="s">
        <v>841</v>
      </c>
      <c r="P2642" s="2" t="s">
        <v>2542</v>
      </c>
    </row>
    <row r="2643" spans="1:16" ht="22" customHeight="1" x14ac:dyDescent="0.15">
      <c r="A2643" s="10" t="str">
        <f t="shared" si="446"/>
        <v>511_10_7_10_polygon</v>
      </c>
      <c r="B2643" s="2">
        <v>511</v>
      </c>
      <c r="C2643" s="30" t="str">
        <f>VLOOKUP(B2643,gachas!A:C,3)</f>
        <v>ランキング対抗（ルメートル）</v>
      </c>
      <c r="D2643" s="21">
        <v>10</v>
      </c>
      <c r="E2643" s="2">
        <v>7</v>
      </c>
      <c r="F2643" s="2">
        <v>10</v>
      </c>
      <c r="G2643" s="3" t="s">
        <v>22</v>
      </c>
      <c r="H2643" s="2">
        <v>50</v>
      </c>
      <c r="I2643" s="114">
        <v>511100</v>
      </c>
      <c r="J2643" s="112" t="s">
        <v>84</v>
      </c>
      <c r="K2643" s="116" t="s">
        <v>2443</v>
      </c>
      <c r="L2643" s="2">
        <v>0</v>
      </c>
      <c r="M2643" s="2" t="s">
        <v>84</v>
      </c>
      <c r="N2643" s="2" t="s">
        <v>84</v>
      </c>
      <c r="O2643" s="2" t="s">
        <v>841</v>
      </c>
      <c r="P2643" s="2" t="s">
        <v>2543</v>
      </c>
    </row>
    <row r="2644" spans="1:16" ht="22" customHeight="1" x14ac:dyDescent="0.15">
      <c r="A2644" s="10" t="str">
        <f t="shared" si="433"/>
        <v>512_1_0_1_polygon</v>
      </c>
      <c r="B2644" s="2">
        <v>512</v>
      </c>
      <c r="C2644" s="30" t="str">
        <f>VLOOKUP(B2644,gachas!A:C,3)</f>
        <v>ミクガチャA</v>
      </c>
      <c r="D2644" s="21">
        <v>1</v>
      </c>
      <c r="E2644" s="2">
        <v>0</v>
      </c>
      <c r="F2644" s="2">
        <v>1</v>
      </c>
      <c r="G2644" s="3" t="s">
        <v>22</v>
      </c>
      <c r="H2644" s="2">
        <v>5</v>
      </c>
      <c r="I2644" s="117">
        <v>512010</v>
      </c>
      <c r="J2644" s="112" t="s">
        <v>85</v>
      </c>
      <c r="K2644" s="2" t="s">
        <v>85</v>
      </c>
      <c r="L2644" s="2">
        <v>0</v>
      </c>
      <c r="M2644" s="2" t="s">
        <v>85</v>
      </c>
      <c r="N2644" s="2" t="s">
        <v>85</v>
      </c>
      <c r="O2644" s="2" t="s">
        <v>2095</v>
      </c>
      <c r="P2644" s="2" t="s">
        <v>85</v>
      </c>
    </row>
    <row r="2645" spans="1:16" ht="22" customHeight="1" x14ac:dyDescent="0.15">
      <c r="A2645" s="10" t="str">
        <f t="shared" si="433"/>
        <v>512_10_0_10_polygon</v>
      </c>
      <c r="B2645" s="2">
        <v>512</v>
      </c>
      <c r="C2645" s="30" t="str">
        <f>VLOOKUP(B2645,gachas!A:C,3)</f>
        <v>ミクガチャA</v>
      </c>
      <c r="D2645" s="21">
        <v>10</v>
      </c>
      <c r="E2645" s="2">
        <v>0</v>
      </c>
      <c r="F2645" s="2">
        <v>10</v>
      </c>
      <c r="G2645" s="3" t="s">
        <v>22</v>
      </c>
      <c r="H2645" s="2">
        <v>50</v>
      </c>
      <c r="I2645" s="117">
        <v>512100</v>
      </c>
      <c r="J2645" s="112" t="s">
        <v>85</v>
      </c>
      <c r="K2645" s="2" t="s">
        <v>85</v>
      </c>
      <c r="L2645" s="2">
        <v>0</v>
      </c>
      <c r="M2645" s="2" t="s">
        <v>85</v>
      </c>
      <c r="N2645" s="2" t="s">
        <v>85</v>
      </c>
      <c r="O2645" s="2" t="s">
        <v>2095</v>
      </c>
      <c r="P2645" s="2" t="s">
        <v>143</v>
      </c>
    </row>
    <row r="2646" spans="1:16" ht="22" customHeight="1" x14ac:dyDescent="0.15">
      <c r="A2646" s="10" t="str">
        <f t="shared" si="433"/>
        <v>512_10_1_10_polygon</v>
      </c>
      <c r="B2646" s="2">
        <v>512</v>
      </c>
      <c r="C2646" s="30" t="str">
        <f>VLOOKUP(B2646,gachas!A:C,3)</f>
        <v>ミクガチャA</v>
      </c>
      <c r="D2646" s="21">
        <v>10</v>
      </c>
      <c r="E2646" s="2">
        <f>E2645+1</f>
        <v>1</v>
      </c>
      <c r="F2646" s="2">
        <v>10</v>
      </c>
      <c r="G2646" s="3" t="s">
        <v>22</v>
      </c>
      <c r="H2646" s="2">
        <v>25</v>
      </c>
      <c r="I2646" s="117">
        <v>512100</v>
      </c>
      <c r="J2646" s="112" t="s">
        <v>85</v>
      </c>
      <c r="K2646" s="2" t="s">
        <v>85</v>
      </c>
      <c r="L2646" s="2">
        <v>0</v>
      </c>
      <c r="M2646" s="2" t="s">
        <v>85</v>
      </c>
      <c r="N2646" s="2" t="s">
        <v>85</v>
      </c>
      <c r="O2646" s="2" t="s">
        <v>2095</v>
      </c>
      <c r="P2646" s="59" t="s">
        <v>1783</v>
      </c>
    </row>
    <row r="2647" spans="1:16" ht="22" customHeight="1" x14ac:dyDescent="0.15">
      <c r="A2647" s="10" t="str">
        <f t="shared" si="433"/>
        <v>512_10_2_10_polygon</v>
      </c>
      <c r="B2647" s="2">
        <v>512</v>
      </c>
      <c r="C2647" s="30" t="str">
        <f>VLOOKUP(B2647,gachas!A:C,3)</f>
        <v>ミクガチャA</v>
      </c>
      <c r="D2647" s="21">
        <v>10</v>
      </c>
      <c r="E2647" s="2">
        <f t="shared" ref="E2647:E2695" si="450">E2646+1</f>
        <v>2</v>
      </c>
      <c r="F2647" s="2">
        <v>10</v>
      </c>
      <c r="G2647" s="3" t="s">
        <v>22</v>
      </c>
      <c r="H2647" s="2">
        <v>50</v>
      </c>
      <c r="I2647" s="117">
        <v>512100</v>
      </c>
      <c r="J2647" s="112" t="s">
        <v>85</v>
      </c>
      <c r="K2647" s="2" t="s">
        <v>85</v>
      </c>
      <c r="L2647" s="2">
        <v>0</v>
      </c>
      <c r="M2647" s="2" t="s">
        <v>85</v>
      </c>
      <c r="N2647" s="2" t="s">
        <v>85</v>
      </c>
      <c r="O2647" s="2" t="s">
        <v>2095</v>
      </c>
      <c r="P2647" s="2" t="s">
        <v>143</v>
      </c>
    </row>
    <row r="2648" spans="1:16" ht="22" customHeight="1" x14ac:dyDescent="0.15">
      <c r="A2648" s="10" t="str">
        <f t="shared" si="433"/>
        <v>512_10_3_10_polygon</v>
      </c>
      <c r="B2648" s="2">
        <v>512</v>
      </c>
      <c r="C2648" s="30" t="str">
        <f>VLOOKUP(B2648,gachas!A:C,3)</f>
        <v>ミクガチャA</v>
      </c>
      <c r="D2648" s="21">
        <v>10</v>
      </c>
      <c r="E2648" s="2">
        <f t="shared" si="450"/>
        <v>3</v>
      </c>
      <c r="F2648" s="2">
        <v>10</v>
      </c>
      <c r="G2648" s="3" t="s">
        <v>22</v>
      </c>
      <c r="H2648" s="2">
        <v>50</v>
      </c>
      <c r="I2648" s="117">
        <v>512100</v>
      </c>
      <c r="J2648" s="112" t="s">
        <v>85</v>
      </c>
      <c r="K2648" s="2" t="s">
        <v>85</v>
      </c>
      <c r="L2648" s="2">
        <v>0</v>
      </c>
      <c r="M2648" s="2" t="s">
        <v>85</v>
      </c>
      <c r="N2648" s="2" t="s">
        <v>85</v>
      </c>
      <c r="O2648" s="2" t="s">
        <v>2095</v>
      </c>
      <c r="P2648" s="2" t="s">
        <v>143</v>
      </c>
    </row>
    <row r="2649" spans="1:16" ht="22" customHeight="1" x14ac:dyDescent="0.15">
      <c r="A2649" s="10" t="str">
        <f t="shared" si="433"/>
        <v>512_10_4_10_polygon</v>
      </c>
      <c r="B2649" s="2">
        <v>512</v>
      </c>
      <c r="C2649" s="30" t="str">
        <f>VLOOKUP(B2649,gachas!A:C,3)</f>
        <v>ミクガチャA</v>
      </c>
      <c r="D2649" s="21">
        <v>10</v>
      </c>
      <c r="E2649" s="2">
        <f t="shared" si="450"/>
        <v>4</v>
      </c>
      <c r="F2649" s="2">
        <v>10</v>
      </c>
      <c r="G2649" s="3" t="s">
        <v>22</v>
      </c>
      <c r="H2649" s="2">
        <v>50</v>
      </c>
      <c r="I2649" s="117">
        <v>512100</v>
      </c>
      <c r="J2649" s="112" t="s">
        <v>85</v>
      </c>
      <c r="K2649" s="2" t="s">
        <v>85</v>
      </c>
      <c r="L2649" s="2">
        <v>0</v>
      </c>
      <c r="M2649" s="2" t="s">
        <v>85</v>
      </c>
      <c r="N2649" s="2" t="s">
        <v>85</v>
      </c>
      <c r="O2649" s="2" t="s">
        <v>2095</v>
      </c>
      <c r="P2649" s="2" t="s">
        <v>143</v>
      </c>
    </row>
    <row r="2650" spans="1:16" ht="22" customHeight="1" x14ac:dyDescent="0.15">
      <c r="A2650" s="10" t="str">
        <f t="shared" si="433"/>
        <v>512_10_5_10_polygon</v>
      </c>
      <c r="B2650" s="2">
        <v>512</v>
      </c>
      <c r="C2650" s="30" t="str">
        <f>VLOOKUP(B2650,gachas!A:C,3)</f>
        <v>ミクガチャA</v>
      </c>
      <c r="D2650" s="21">
        <v>10</v>
      </c>
      <c r="E2650" s="2">
        <f t="shared" si="450"/>
        <v>5</v>
      </c>
      <c r="F2650" s="2">
        <v>10</v>
      </c>
      <c r="G2650" s="3" t="s">
        <v>22</v>
      </c>
      <c r="H2650" s="2">
        <v>50</v>
      </c>
      <c r="I2650" s="117">
        <v>512100</v>
      </c>
      <c r="J2650" s="112" t="s">
        <v>85</v>
      </c>
      <c r="K2650" s="117">
        <v>512105</v>
      </c>
      <c r="L2650" s="2">
        <v>1</v>
      </c>
      <c r="M2650" s="2" t="s">
        <v>85</v>
      </c>
      <c r="N2650" s="2" t="s">
        <v>85</v>
      </c>
      <c r="O2650" s="2" t="s">
        <v>2095</v>
      </c>
      <c r="P2650" s="2" t="s">
        <v>2472</v>
      </c>
    </row>
    <row r="2651" spans="1:16" ht="22" customHeight="1" x14ac:dyDescent="0.15">
      <c r="A2651" s="10" t="str">
        <f t="shared" si="433"/>
        <v>512_10_6_10_polygon</v>
      </c>
      <c r="B2651" s="2">
        <v>512</v>
      </c>
      <c r="C2651" s="30" t="str">
        <f>VLOOKUP(B2651,gachas!A:C,3)</f>
        <v>ミクガチャA</v>
      </c>
      <c r="D2651" s="21">
        <v>10</v>
      </c>
      <c r="E2651" s="2">
        <f t="shared" si="450"/>
        <v>6</v>
      </c>
      <c r="F2651" s="2">
        <v>10</v>
      </c>
      <c r="G2651" s="3" t="s">
        <v>22</v>
      </c>
      <c r="H2651" s="2">
        <v>25</v>
      </c>
      <c r="I2651" s="117">
        <v>512100</v>
      </c>
      <c r="J2651" s="112" t="s">
        <v>85</v>
      </c>
      <c r="K2651" s="2" t="s">
        <v>85</v>
      </c>
      <c r="L2651" s="2">
        <v>0</v>
      </c>
      <c r="M2651" s="2" t="s">
        <v>85</v>
      </c>
      <c r="N2651" s="2" t="s">
        <v>85</v>
      </c>
      <c r="O2651" s="2" t="s">
        <v>2095</v>
      </c>
      <c r="P2651" s="59" t="s">
        <v>1783</v>
      </c>
    </row>
    <row r="2652" spans="1:16" ht="22" customHeight="1" x14ac:dyDescent="0.15">
      <c r="A2652" s="10" t="str">
        <f t="shared" si="433"/>
        <v>512_10_7_10_polygon</v>
      </c>
      <c r="B2652" s="2">
        <v>512</v>
      </c>
      <c r="C2652" s="30" t="str">
        <f>VLOOKUP(B2652,gachas!A:C,3)</f>
        <v>ミクガチャA</v>
      </c>
      <c r="D2652" s="21">
        <v>10</v>
      </c>
      <c r="E2652" s="2">
        <f t="shared" si="450"/>
        <v>7</v>
      </c>
      <c r="F2652" s="2">
        <v>10</v>
      </c>
      <c r="G2652" s="3" t="s">
        <v>22</v>
      </c>
      <c r="H2652" s="2">
        <v>50</v>
      </c>
      <c r="I2652" s="117">
        <v>512100</v>
      </c>
      <c r="J2652" s="112" t="s">
        <v>85</v>
      </c>
      <c r="K2652" s="2" t="s">
        <v>85</v>
      </c>
      <c r="L2652" s="2">
        <v>0</v>
      </c>
      <c r="M2652" s="2" t="s">
        <v>85</v>
      </c>
      <c r="N2652" s="2" t="s">
        <v>85</v>
      </c>
      <c r="O2652" s="2" t="s">
        <v>2095</v>
      </c>
      <c r="P2652" s="2" t="s">
        <v>143</v>
      </c>
    </row>
    <row r="2653" spans="1:16" ht="22" customHeight="1" x14ac:dyDescent="0.15">
      <c r="A2653" s="10" t="str">
        <f t="shared" si="433"/>
        <v>512_10_8_10_polygon</v>
      </c>
      <c r="B2653" s="2">
        <v>512</v>
      </c>
      <c r="C2653" s="30" t="str">
        <f>VLOOKUP(B2653,gachas!A:C,3)</f>
        <v>ミクガチャA</v>
      </c>
      <c r="D2653" s="21">
        <v>10</v>
      </c>
      <c r="E2653" s="2">
        <f t="shared" si="450"/>
        <v>8</v>
      </c>
      <c r="F2653" s="2">
        <v>10</v>
      </c>
      <c r="G2653" s="3" t="s">
        <v>22</v>
      </c>
      <c r="H2653" s="2">
        <v>50</v>
      </c>
      <c r="I2653" s="117">
        <v>512100</v>
      </c>
      <c r="J2653" s="112" t="s">
        <v>85</v>
      </c>
      <c r="K2653" s="2" t="s">
        <v>85</v>
      </c>
      <c r="L2653" s="2">
        <v>0</v>
      </c>
      <c r="M2653" s="2" t="s">
        <v>85</v>
      </c>
      <c r="N2653" s="2" t="s">
        <v>85</v>
      </c>
      <c r="O2653" s="2" t="s">
        <v>2095</v>
      </c>
      <c r="P2653" s="2" t="s">
        <v>143</v>
      </c>
    </row>
    <row r="2654" spans="1:16" ht="22" customHeight="1" x14ac:dyDescent="0.15">
      <c r="A2654" s="10" t="str">
        <f t="shared" si="433"/>
        <v>512_10_9_10_polygon</v>
      </c>
      <c r="B2654" s="2">
        <v>512</v>
      </c>
      <c r="C2654" s="30" t="str">
        <f>VLOOKUP(B2654,gachas!A:C,3)</f>
        <v>ミクガチャA</v>
      </c>
      <c r="D2654" s="21">
        <v>10</v>
      </c>
      <c r="E2654" s="2">
        <f t="shared" si="450"/>
        <v>9</v>
      </c>
      <c r="F2654" s="2">
        <v>10</v>
      </c>
      <c r="G2654" s="3" t="s">
        <v>22</v>
      </c>
      <c r="H2654" s="2">
        <v>50</v>
      </c>
      <c r="I2654" s="117">
        <v>512100</v>
      </c>
      <c r="J2654" s="112" t="s">
        <v>85</v>
      </c>
      <c r="K2654" s="2" t="s">
        <v>85</v>
      </c>
      <c r="L2654" s="2">
        <v>0</v>
      </c>
      <c r="M2654" s="2" t="s">
        <v>85</v>
      </c>
      <c r="N2654" s="2" t="s">
        <v>85</v>
      </c>
      <c r="O2654" s="2" t="s">
        <v>2095</v>
      </c>
      <c r="P2654" s="2" t="s">
        <v>143</v>
      </c>
    </row>
    <row r="2655" spans="1:16" ht="22" customHeight="1" x14ac:dyDescent="0.15">
      <c r="A2655" s="10" t="str">
        <f t="shared" si="433"/>
        <v>512_10_10_10_polygon</v>
      </c>
      <c r="B2655" s="2">
        <v>512</v>
      </c>
      <c r="C2655" s="30" t="str">
        <f>VLOOKUP(B2655,gachas!A:C,3)</f>
        <v>ミクガチャA</v>
      </c>
      <c r="D2655" s="21">
        <v>10</v>
      </c>
      <c r="E2655" s="2">
        <f t="shared" si="450"/>
        <v>10</v>
      </c>
      <c r="F2655" s="2">
        <v>10</v>
      </c>
      <c r="G2655" s="3" t="s">
        <v>22</v>
      </c>
      <c r="H2655" s="2">
        <v>50</v>
      </c>
      <c r="I2655" s="117">
        <v>512100</v>
      </c>
      <c r="J2655" s="112" t="s">
        <v>85</v>
      </c>
      <c r="K2655" s="117">
        <v>512105</v>
      </c>
      <c r="L2655" s="2">
        <v>1</v>
      </c>
      <c r="M2655" s="2" t="s">
        <v>85</v>
      </c>
      <c r="N2655" s="2" t="s">
        <v>85</v>
      </c>
      <c r="O2655" s="2" t="s">
        <v>2095</v>
      </c>
      <c r="P2655" s="2" t="s">
        <v>2472</v>
      </c>
    </row>
    <row r="2656" spans="1:16" ht="22" customHeight="1" x14ac:dyDescent="0.15">
      <c r="A2656" s="10" t="str">
        <f t="shared" si="433"/>
        <v>512_10_11_10_polygon</v>
      </c>
      <c r="B2656" s="2">
        <v>512</v>
      </c>
      <c r="C2656" s="30" t="str">
        <f>VLOOKUP(B2656,gachas!A:C,3)</f>
        <v>ミクガチャA</v>
      </c>
      <c r="D2656" s="21">
        <v>10</v>
      </c>
      <c r="E2656" s="2">
        <f t="shared" si="450"/>
        <v>11</v>
      </c>
      <c r="F2656" s="2">
        <v>10</v>
      </c>
      <c r="G2656" s="3" t="s">
        <v>22</v>
      </c>
      <c r="H2656" s="2">
        <v>25</v>
      </c>
      <c r="I2656" s="117">
        <v>512100</v>
      </c>
      <c r="J2656" s="112" t="s">
        <v>85</v>
      </c>
      <c r="K2656" s="2" t="s">
        <v>85</v>
      </c>
      <c r="L2656" s="2">
        <v>0</v>
      </c>
      <c r="M2656" s="2" t="s">
        <v>85</v>
      </c>
      <c r="N2656" s="2" t="s">
        <v>85</v>
      </c>
      <c r="O2656" s="2" t="s">
        <v>2095</v>
      </c>
      <c r="P2656" s="59" t="s">
        <v>1783</v>
      </c>
    </row>
    <row r="2657" spans="1:16" ht="22" customHeight="1" x14ac:dyDescent="0.15">
      <c r="A2657" s="10" t="str">
        <f t="shared" ref="A2657:A2708" si="451">B2657&amp;"_"&amp;D2657&amp;"_"&amp;E2657&amp;"_"&amp;F2657&amp;"_"&amp;G2657</f>
        <v>512_10_12_10_polygon</v>
      </c>
      <c r="B2657" s="2">
        <v>512</v>
      </c>
      <c r="C2657" s="30" t="str">
        <f>VLOOKUP(B2657,gachas!A:C,3)</f>
        <v>ミクガチャA</v>
      </c>
      <c r="D2657" s="21">
        <v>10</v>
      </c>
      <c r="E2657" s="2">
        <f t="shared" si="450"/>
        <v>12</v>
      </c>
      <c r="F2657" s="2">
        <v>10</v>
      </c>
      <c r="G2657" s="3" t="s">
        <v>22</v>
      </c>
      <c r="H2657" s="2">
        <v>50</v>
      </c>
      <c r="I2657" s="117">
        <v>512100</v>
      </c>
      <c r="J2657" s="112" t="s">
        <v>85</v>
      </c>
      <c r="K2657" s="2" t="s">
        <v>85</v>
      </c>
      <c r="L2657" s="2">
        <v>0</v>
      </c>
      <c r="M2657" s="2" t="s">
        <v>85</v>
      </c>
      <c r="N2657" s="2" t="s">
        <v>85</v>
      </c>
      <c r="O2657" s="2" t="s">
        <v>2095</v>
      </c>
      <c r="P2657" s="2" t="s">
        <v>143</v>
      </c>
    </row>
    <row r="2658" spans="1:16" ht="22" customHeight="1" x14ac:dyDescent="0.15">
      <c r="A2658" s="10" t="str">
        <f t="shared" si="451"/>
        <v>512_10_13_10_polygon</v>
      </c>
      <c r="B2658" s="2">
        <v>512</v>
      </c>
      <c r="C2658" s="30" t="str">
        <f>VLOOKUP(B2658,gachas!A:C,3)</f>
        <v>ミクガチャA</v>
      </c>
      <c r="D2658" s="21">
        <v>10</v>
      </c>
      <c r="E2658" s="2">
        <f t="shared" si="450"/>
        <v>13</v>
      </c>
      <c r="F2658" s="2">
        <v>10</v>
      </c>
      <c r="G2658" s="3" t="s">
        <v>22</v>
      </c>
      <c r="H2658" s="2">
        <v>50</v>
      </c>
      <c r="I2658" s="117">
        <v>512100</v>
      </c>
      <c r="J2658" s="112" t="s">
        <v>85</v>
      </c>
      <c r="K2658" s="2" t="s">
        <v>85</v>
      </c>
      <c r="L2658" s="2">
        <v>0</v>
      </c>
      <c r="M2658" s="2" t="s">
        <v>85</v>
      </c>
      <c r="N2658" s="2" t="s">
        <v>85</v>
      </c>
      <c r="O2658" s="2" t="s">
        <v>2095</v>
      </c>
      <c r="P2658" s="2" t="s">
        <v>143</v>
      </c>
    </row>
    <row r="2659" spans="1:16" ht="22" customHeight="1" x14ac:dyDescent="0.15">
      <c r="A2659" s="10" t="str">
        <f t="shared" si="451"/>
        <v>512_10_14_10_polygon</v>
      </c>
      <c r="B2659" s="2">
        <v>512</v>
      </c>
      <c r="C2659" s="30" t="str">
        <f>VLOOKUP(B2659,gachas!A:C,3)</f>
        <v>ミクガチャA</v>
      </c>
      <c r="D2659" s="21">
        <v>10</v>
      </c>
      <c r="E2659" s="2">
        <f t="shared" si="450"/>
        <v>14</v>
      </c>
      <c r="F2659" s="2">
        <v>10</v>
      </c>
      <c r="G2659" s="3" t="s">
        <v>22</v>
      </c>
      <c r="H2659" s="2">
        <v>50</v>
      </c>
      <c r="I2659" s="117">
        <v>512100</v>
      </c>
      <c r="J2659" s="112" t="s">
        <v>85</v>
      </c>
      <c r="K2659" s="2" t="s">
        <v>85</v>
      </c>
      <c r="L2659" s="2">
        <v>0</v>
      </c>
      <c r="M2659" s="2" t="s">
        <v>85</v>
      </c>
      <c r="N2659" s="2" t="s">
        <v>85</v>
      </c>
      <c r="O2659" s="2" t="s">
        <v>2095</v>
      </c>
      <c r="P2659" s="2" t="s">
        <v>143</v>
      </c>
    </row>
    <row r="2660" spans="1:16" ht="22" customHeight="1" x14ac:dyDescent="0.15">
      <c r="A2660" s="10" t="str">
        <f t="shared" si="451"/>
        <v>512_10_15_10_polygon</v>
      </c>
      <c r="B2660" s="2">
        <v>512</v>
      </c>
      <c r="C2660" s="30" t="str">
        <f>VLOOKUP(B2660,gachas!A:C,3)</f>
        <v>ミクガチャA</v>
      </c>
      <c r="D2660" s="21">
        <v>10</v>
      </c>
      <c r="E2660" s="2">
        <f t="shared" si="450"/>
        <v>15</v>
      </c>
      <c r="F2660" s="2">
        <v>10</v>
      </c>
      <c r="G2660" s="3" t="s">
        <v>22</v>
      </c>
      <c r="H2660" s="2">
        <v>50</v>
      </c>
      <c r="I2660" s="117">
        <v>512100</v>
      </c>
      <c r="J2660" s="112" t="s">
        <v>85</v>
      </c>
      <c r="K2660" s="117">
        <v>512105</v>
      </c>
      <c r="L2660" s="2">
        <v>1</v>
      </c>
      <c r="M2660" s="2" t="s">
        <v>85</v>
      </c>
      <c r="N2660" s="2" t="s">
        <v>85</v>
      </c>
      <c r="O2660" s="2" t="s">
        <v>2095</v>
      </c>
      <c r="P2660" s="2" t="s">
        <v>2472</v>
      </c>
    </row>
    <row r="2661" spans="1:16" ht="22" customHeight="1" x14ac:dyDescent="0.15">
      <c r="A2661" s="10" t="str">
        <f t="shared" si="451"/>
        <v>512_10_16_10_polygon</v>
      </c>
      <c r="B2661" s="2">
        <v>512</v>
      </c>
      <c r="C2661" s="30" t="str">
        <f>VLOOKUP(B2661,gachas!A:C,3)</f>
        <v>ミクガチャA</v>
      </c>
      <c r="D2661" s="21">
        <v>10</v>
      </c>
      <c r="E2661" s="2">
        <f t="shared" si="450"/>
        <v>16</v>
      </c>
      <c r="F2661" s="2">
        <v>10</v>
      </c>
      <c r="G2661" s="3" t="s">
        <v>22</v>
      </c>
      <c r="H2661" s="2">
        <v>25</v>
      </c>
      <c r="I2661" s="117">
        <v>512100</v>
      </c>
      <c r="J2661" s="112" t="s">
        <v>85</v>
      </c>
      <c r="K2661" s="2" t="s">
        <v>85</v>
      </c>
      <c r="L2661" s="2">
        <v>0</v>
      </c>
      <c r="M2661" s="2" t="s">
        <v>85</v>
      </c>
      <c r="N2661" s="2" t="s">
        <v>85</v>
      </c>
      <c r="O2661" s="2" t="s">
        <v>2095</v>
      </c>
      <c r="P2661" s="59" t="s">
        <v>1783</v>
      </c>
    </row>
    <row r="2662" spans="1:16" ht="22" customHeight="1" x14ac:dyDescent="0.15">
      <c r="A2662" s="10" t="str">
        <f t="shared" si="451"/>
        <v>512_10_17_10_polygon</v>
      </c>
      <c r="B2662" s="2">
        <v>512</v>
      </c>
      <c r="C2662" s="30" t="str">
        <f>VLOOKUP(B2662,gachas!A:C,3)</f>
        <v>ミクガチャA</v>
      </c>
      <c r="D2662" s="21">
        <v>10</v>
      </c>
      <c r="E2662" s="2">
        <f t="shared" si="450"/>
        <v>17</v>
      </c>
      <c r="F2662" s="2">
        <v>10</v>
      </c>
      <c r="G2662" s="3" t="s">
        <v>22</v>
      </c>
      <c r="H2662" s="2">
        <v>50</v>
      </c>
      <c r="I2662" s="117">
        <v>512100</v>
      </c>
      <c r="J2662" s="112" t="s">
        <v>85</v>
      </c>
      <c r="K2662" s="2" t="s">
        <v>85</v>
      </c>
      <c r="L2662" s="2">
        <v>0</v>
      </c>
      <c r="M2662" s="2" t="s">
        <v>85</v>
      </c>
      <c r="N2662" s="2" t="s">
        <v>85</v>
      </c>
      <c r="O2662" s="2" t="s">
        <v>2095</v>
      </c>
      <c r="P2662" s="2" t="s">
        <v>143</v>
      </c>
    </row>
    <row r="2663" spans="1:16" ht="22" customHeight="1" x14ac:dyDescent="0.15">
      <c r="A2663" s="10" t="str">
        <f t="shared" si="451"/>
        <v>512_10_18_10_polygon</v>
      </c>
      <c r="B2663" s="2">
        <v>512</v>
      </c>
      <c r="C2663" s="30" t="str">
        <f>VLOOKUP(B2663,gachas!A:C,3)</f>
        <v>ミクガチャA</v>
      </c>
      <c r="D2663" s="21">
        <v>10</v>
      </c>
      <c r="E2663" s="2">
        <f t="shared" si="450"/>
        <v>18</v>
      </c>
      <c r="F2663" s="2">
        <v>10</v>
      </c>
      <c r="G2663" s="3" t="s">
        <v>22</v>
      </c>
      <c r="H2663" s="2">
        <v>50</v>
      </c>
      <c r="I2663" s="117">
        <v>512100</v>
      </c>
      <c r="J2663" s="112" t="s">
        <v>85</v>
      </c>
      <c r="K2663" s="2" t="s">
        <v>85</v>
      </c>
      <c r="L2663" s="2">
        <v>0</v>
      </c>
      <c r="M2663" s="2" t="s">
        <v>85</v>
      </c>
      <c r="N2663" s="2" t="s">
        <v>85</v>
      </c>
      <c r="O2663" s="2" t="s">
        <v>2095</v>
      </c>
      <c r="P2663" s="2" t="s">
        <v>143</v>
      </c>
    </row>
    <row r="2664" spans="1:16" ht="22" customHeight="1" x14ac:dyDescent="0.15">
      <c r="A2664" s="10" t="str">
        <f t="shared" si="451"/>
        <v>512_10_19_10_polygon</v>
      </c>
      <c r="B2664" s="2">
        <v>512</v>
      </c>
      <c r="C2664" s="30" t="str">
        <f>VLOOKUP(B2664,gachas!A:C,3)</f>
        <v>ミクガチャA</v>
      </c>
      <c r="D2664" s="21">
        <v>10</v>
      </c>
      <c r="E2664" s="2">
        <f t="shared" si="450"/>
        <v>19</v>
      </c>
      <c r="F2664" s="2">
        <v>10</v>
      </c>
      <c r="G2664" s="3" t="s">
        <v>22</v>
      </c>
      <c r="H2664" s="2">
        <v>50</v>
      </c>
      <c r="I2664" s="117">
        <v>512100</v>
      </c>
      <c r="J2664" s="112" t="s">
        <v>85</v>
      </c>
      <c r="K2664" s="2" t="s">
        <v>85</v>
      </c>
      <c r="L2664" s="2">
        <v>0</v>
      </c>
      <c r="M2664" s="2" t="s">
        <v>85</v>
      </c>
      <c r="N2664" s="2" t="s">
        <v>85</v>
      </c>
      <c r="O2664" s="2" t="s">
        <v>2095</v>
      </c>
      <c r="P2664" s="2" t="s">
        <v>143</v>
      </c>
    </row>
    <row r="2665" spans="1:16" ht="22" customHeight="1" x14ac:dyDescent="0.15">
      <c r="A2665" s="10" t="str">
        <f t="shared" si="451"/>
        <v>512_10_20_10_polygon</v>
      </c>
      <c r="B2665" s="2">
        <v>512</v>
      </c>
      <c r="C2665" s="30" t="str">
        <f>VLOOKUP(B2665,gachas!A:C,3)</f>
        <v>ミクガチャA</v>
      </c>
      <c r="D2665" s="21">
        <v>10</v>
      </c>
      <c r="E2665" s="2">
        <f t="shared" si="450"/>
        <v>20</v>
      </c>
      <c r="F2665" s="2">
        <v>10</v>
      </c>
      <c r="G2665" s="3" t="s">
        <v>22</v>
      </c>
      <c r="H2665" s="2">
        <v>50</v>
      </c>
      <c r="I2665" s="117">
        <v>512100</v>
      </c>
      <c r="J2665" s="112" t="s">
        <v>85</v>
      </c>
      <c r="K2665" s="117">
        <v>512105</v>
      </c>
      <c r="L2665" s="2">
        <v>1</v>
      </c>
      <c r="M2665" s="2" t="s">
        <v>85</v>
      </c>
      <c r="N2665" s="2" t="s">
        <v>85</v>
      </c>
      <c r="O2665" s="2" t="s">
        <v>2095</v>
      </c>
      <c r="P2665" s="2" t="s">
        <v>2472</v>
      </c>
    </row>
    <row r="2666" spans="1:16" ht="22" customHeight="1" x14ac:dyDescent="0.15">
      <c r="A2666" s="10" t="str">
        <f t="shared" si="451"/>
        <v>512_10_21_10_polygon</v>
      </c>
      <c r="B2666" s="2">
        <v>512</v>
      </c>
      <c r="C2666" s="30" t="str">
        <f>VLOOKUP(B2666,gachas!A:C,3)</f>
        <v>ミクガチャA</v>
      </c>
      <c r="D2666" s="21">
        <v>10</v>
      </c>
      <c r="E2666" s="2">
        <f t="shared" si="450"/>
        <v>21</v>
      </c>
      <c r="F2666" s="2">
        <v>10</v>
      </c>
      <c r="G2666" s="3" t="s">
        <v>22</v>
      </c>
      <c r="H2666" s="2">
        <v>25</v>
      </c>
      <c r="I2666" s="117">
        <v>512100</v>
      </c>
      <c r="J2666" s="112" t="s">
        <v>85</v>
      </c>
      <c r="K2666" s="2" t="s">
        <v>85</v>
      </c>
      <c r="L2666" s="2">
        <v>0</v>
      </c>
      <c r="M2666" s="2" t="s">
        <v>85</v>
      </c>
      <c r="N2666" s="2" t="s">
        <v>85</v>
      </c>
      <c r="O2666" s="2" t="s">
        <v>2095</v>
      </c>
      <c r="P2666" s="59" t="s">
        <v>1783</v>
      </c>
    </row>
    <row r="2667" spans="1:16" ht="22" customHeight="1" x14ac:dyDescent="0.15">
      <c r="A2667" s="10" t="str">
        <f t="shared" si="451"/>
        <v>512_10_22_10_polygon</v>
      </c>
      <c r="B2667" s="2">
        <v>512</v>
      </c>
      <c r="C2667" s="30" t="str">
        <f>VLOOKUP(B2667,gachas!A:C,3)</f>
        <v>ミクガチャA</v>
      </c>
      <c r="D2667" s="21">
        <v>10</v>
      </c>
      <c r="E2667" s="2">
        <f t="shared" si="450"/>
        <v>22</v>
      </c>
      <c r="F2667" s="2">
        <v>10</v>
      </c>
      <c r="G2667" s="3" t="s">
        <v>22</v>
      </c>
      <c r="H2667" s="2">
        <v>50</v>
      </c>
      <c r="I2667" s="117">
        <v>512100</v>
      </c>
      <c r="J2667" s="112" t="s">
        <v>85</v>
      </c>
      <c r="K2667" s="2" t="s">
        <v>85</v>
      </c>
      <c r="L2667" s="2">
        <v>0</v>
      </c>
      <c r="M2667" s="2" t="s">
        <v>85</v>
      </c>
      <c r="N2667" s="2" t="s">
        <v>85</v>
      </c>
      <c r="O2667" s="2" t="s">
        <v>2095</v>
      </c>
      <c r="P2667" s="2" t="s">
        <v>143</v>
      </c>
    </row>
    <row r="2668" spans="1:16" ht="22" customHeight="1" x14ac:dyDescent="0.15">
      <c r="A2668" s="10" t="str">
        <f t="shared" si="451"/>
        <v>512_10_23_10_polygon</v>
      </c>
      <c r="B2668" s="2">
        <v>512</v>
      </c>
      <c r="C2668" s="30" t="str">
        <f>VLOOKUP(B2668,gachas!A:C,3)</f>
        <v>ミクガチャA</v>
      </c>
      <c r="D2668" s="21">
        <v>10</v>
      </c>
      <c r="E2668" s="2">
        <f t="shared" si="450"/>
        <v>23</v>
      </c>
      <c r="F2668" s="2">
        <v>10</v>
      </c>
      <c r="G2668" s="3" t="s">
        <v>22</v>
      </c>
      <c r="H2668" s="2">
        <v>50</v>
      </c>
      <c r="I2668" s="117">
        <v>512100</v>
      </c>
      <c r="J2668" s="112" t="s">
        <v>85</v>
      </c>
      <c r="K2668" s="2" t="s">
        <v>85</v>
      </c>
      <c r="L2668" s="2">
        <v>0</v>
      </c>
      <c r="M2668" s="2" t="s">
        <v>85</v>
      </c>
      <c r="N2668" s="2" t="s">
        <v>85</v>
      </c>
      <c r="O2668" s="2" t="s">
        <v>2095</v>
      </c>
      <c r="P2668" s="2" t="s">
        <v>143</v>
      </c>
    </row>
    <row r="2669" spans="1:16" ht="22" customHeight="1" x14ac:dyDescent="0.15">
      <c r="A2669" s="10" t="str">
        <f t="shared" si="451"/>
        <v>512_10_24_10_polygon</v>
      </c>
      <c r="B2669" s="2">
        <v>512</v>
      </c>
      <c r="C2669" s="30" t="str">
        <f>VLOOKUP(B2669,gachas!A:C,3)</f>
        <v>ミクガチャA</v>
      </c>
      <c r="D2669" s="21">
        <v>10</v>
      </c>
      <c r="E2669" s="2">
        <f t="shared" si="450"/>
        <v>24</v>
      </c>
      <c r="F2669" s="2">
        <v>10</v>
      </c>
      <c r="G2669" s="3" t="s">
        <v>22</v>
      </c>
      <c r="H2669" s="2">
        <v>50</v>
      </c>
      <c r="I2669" s="117">
        <v>512100</v>
      </c>
      <c r="J2669" s="112" t="s">
        <v>85</v>
      </c>
      <c r="K2669" s="2" t="s">
        <v>85</v>
      </c>
      <c r="L2669" s="2">
        <v>0</v>
      </c>
      <c r="M2669" s="2" t="s">
        <v>85</v>
      </c>
      <c r="N2669" s="2" t="s">
        <v>85</v>
      </c>
      <c r="O2669" s="2" t="s">
        <v>2095</v>
      </c>
      <c r="P2669" s="2" t="s">
        <v>143</v>
      </c>
    </row>
    <row r="2670" spans="1:16" ht="22" customHeight="1" x14ac:dyDescent="0.15">
      <c r="A2670" s="10" t="str">
        <f t="shared" si="451"/>
        <v>512_10_25_10_polygon</v>
      </c>
      <c r="B2670" s="2">
        <v>512</v>
      </c>
      <c r="C2670" s="30" t="str">
        <f>VLOOKUP(B2670,gachas!A:C,3)</f>
        <v>ミクガチャA</v>
      </c>
      <c r="D2670" s="21">
        <v>10</v>
      </c>
      <c r="E2670" s="2">
        <f t="shared" si="450"/>
        <v>25</v>
      </c>
      <c r="F2670" s="2">
        <v>10</v>
      </c>
      <c r="G2670" s="3" t="s">
        <v>22</v>
      </c>
      <c r="H2670" s="2">
        <v>50</v>
      </c>
      <c r="I2670" s="117">
        <v>512100</v>
      </c>
      <c r="J2670" s="112" t="s">
        <v>85</v>
      </c>
      <c r="K2670" s="117">
        <v>512105</v>
      </c>
      <c r="L2670" s="2">
        <v>1</v>
      </c>
      <c r="M2670" s="2" t="s">
        <v>85</v>
      </c>
      <c r="N2670" s="2" t="s">
        <v>85</v>
      </c>
      <c r="O2670" s="2" t="s">
        <v>2095</v>
      </c>
      <c r="P2670" s="2" t="s">
        <v>2472</v>
      </c>
    </row>
    <row r="2671" spans="1:16" ht="22" customHeight="1" x14ac:dyDescent="0.15">
      <c r="A2671" s="10" t="str">
        <f t="shared" si="451"/>
        <v>512_10_26_10_polygon</v>
      </c>
      <c r="B2671" s="2">
        <v>512</v>
      </c>
      <c r="C2671" s="30" t="str">
        <f>VLOOKUP(B2671,gachas!A:C,3)</f>
        <v>ミクガチャA</v>
      </c>
      <c r="D2671" s="21">
        <v>10</v>
      </c>
      <c r="E2671" s="2">
        <f t="shared" si="450"/>
        <v>26</v>
      </c>
      <c r="F2671" s="2">
        <v>10</v>
      </c>
      <c r="G2671" s="3" t="s">
        <v>22</v>
      </c>
      <c r="H2671" s="2">
        <v>25</v>
      </c>
      <c r="I2671" s="117">
        <v>512100</v>
      </c>
      <c r="J2671" s="112" t="s">
        <v>85</v>
      </c>
      <c r="K2671" s="2" t="s">
        <v>85</v>
      </c>
      <c r="L2671" s="2">
        <v>0</v>
      </c>
      <c r="M2671" s="2" t="s">
        <v>85</v>
      </c>
      <c r="N2671" s="2" t="s">
        <v>85</v>
      </c>
      <c r="O2671" s="2" t="s">
        <v>2095</v>
      </c>
      <c r="P2671" s="59" t="s">
        <v>1783</v>
      </c>
    </row>
    <row r="2672" spans="1:16" ht="22" customHeight="1" x14ac:dyDescent="0.15">
      <c r="A2672" s="10" t="str">
        <f t="shared" si="451"/>
        <v>512_10_27_10_polygon</v>
      </c>
      <c r="B2672" s="2">
        <v>512</v>
      </c>
      <c r="C2672" s="30" t="str">
        <f>VLOOKUP(B2672,gachas!A:C,3)</f>
        <v>ミクガチャA</v>
      </c>
      <c r="D2672" s="21">
        <v>10</v>
      </c>
      <c r="E2672" s="2">
        <f t="shared" si="450"/>
        <v>27</v>
      </c>
      <c r="F2672" s="2">
        <v>10</v>
      </c>
      <c r="G2672" s="3" t="s">
        <v>22</v>
      </c>
      <c r="H2672" s="2">
        <v>50</v>
      </c>
      <c r="I2672" s="117">
        <v>512100</v>
      </c>
      <c r="J2672" s="112" t="s">
        <v>85</v>
      </c>
      <c r="K2672" s="2" t="s">
        <v>85</v>
      </c>
      <c r="L2672" s="2">
        <v>0</v>
      </c>
      <c r="M2672" s="2" t="s">
        <v>85</v>
      </c>
      <c r="N2672" s="2" t="s">
        <v>85</v>
      </c>
      <c r="O2672" s="2" t="s">
        <v>2095</v>
      </c>
      <c r="P2672" s="2" t="s">
        <v>143</v>
      </c>
    </row>
    <row r="2673" spans="1:16" ht="22" customHeight="1" x14ac:dyDescent="0.15">
      <c r="A2673" s="10" t="str">
        <f t="shared" si="451"/>
        <v>512_10_28_10_polygon</v>
      </c>
      <c r="B2673" s="2">
        <v>512</v>
      </c>
      <c r="C2673" s="30" t="str">
        <f>VLOOKUP(B2673,gachas!A:C,3)</f>
        <v>ミクガチャA</v>
      </c>
      <c r="D2673" s="21">
        <v>10</v>
      </c>
      <c r="E2673" s="2">
        <f t="shared" si="450"/>
        <v>28</v>
      </c>
      <c r="F2673" s="2">
        <v>10</v>
      </c>
      <c r="G2673" s="3" t="s">
        <v>22</v>
      </c>
      <c r="H2673" s="2">
        <v>50</v>
      </c>
      <c r="I2673" s="117">
        <v>512100</v>
      </c>
      <c r="J2673" s="112" t="s">
        <v>85</v>
      </c>
      <c r="K2673" s="2" t="s">
        <v>85</v>
      </c>
      <c r="L2673" s="2">
        <v>0</v>
      </c>
      <c r="M2673" s="2" t="s">
        <v>85</v>
      </c>
      <c r="N2673" s="2" t="s">
        <v>85</v>
      </c>
      <c r="O2673" s="2" t="s">
        <v>2095</v>
      </c>
      <c r="P2673" s="2" t="s">
        <v>143</v>
      </c>
    </row>
    <row r="2674" spans="1:16" ht="22" customHeight="1" x14ac:dyDescent="0.15">
      <c r="A2674" s="10" t="str">
        <f t="shared" si="451"/>
        <v>512_10_29_10_polygon</v>
      </c>
      <c r="B2674" s="2">
        <v>512</v>
      </c>
      <c r="C2674" s="30" t="str">
        <f>VLOOKUP(B2674,gachas!A:C,3)</f>
        <v>ミクガチャA</v>
      </c>
      <c r="D2674" s="21">
        <v>10</v>
      </c>
      <c r="E2674" s="2">
        <f t="shared" si="450"/>
        <v>29</v>
      </c>
      <c r="F2674" s="2">
        <v>10</v>
      </c>
      <c r="G2674" s="3" t="s">
        <v>22</v>
      </c>
      <c r="H2674" s="2">
        <v>50</v>
      </c>
      <c r="I2674" s="117">
        <v>512100</v>
      </c>
      <c r="J2674" s="112" t="s">
        <v>85</v>
      </c>
      <c r="K2674" s="2" t="s">
        <v>85</v>
      </c>
      <c r="L2674" s="2">
        <v>0</v>
      </c>
      <c r="M2674" s="2" t="s">
        <v>85</v>
      </c>
      <c r="N2674" s="2" t="s">
        <v>85</v>
      </c>
      <c r="O2674" s="2" t="s">
        <v>2095</v>
      </c>
      <c r="P2674" s="2" t="s">
        <v>143</v>
      </c>
    </row>
    <row r="2675" spans="1:16" ht="22" customHeight="1" x14ac:dyDescent="0.15">
      <c r="A2675" s="10" t="str">
        <f t="shared" si="451"/>
        <v>512_10_30_10_polygon</v>
      </c>
      <c r="B2675" s="2">
        <v>512</v>
      </c>
      <c r="C2675" s="30" t="str">
        <f>VLOOKUP(B2675,gachas!A:C,3)</f>
        <v>ミクガチャA</v>
      </c>
      <c r="D2675" s="21">
        <v>10</v>
      </c>
      <c r="E2675" s="2">
        <f t="shared" si="450"/>
        <v>30</v>
      </c>
      <c r="F2675" s="2">
        <v>10</v>
      </c>
      <c r="G2675" s="3" t="s">
        <v>22</v>
      </c>
      <c r="H2675" s="2">
        <v>50</v>
      </c>
      <c r="I2675" s="117">
        <v>512100</v>
      </c>
      <c r="J2675" s="112" t="s">
        <v>85</v>
      </c>
      <c r="K2675" s="117">
        <v>512105</v>
      </c>
      <c r="L2675" s="2">
        <v>1</v>
      </c>
      <c r="M2675" s="2" t="s">
        <v>85</v>
      </c>
      <c r="N2675" s="2" t="s">
        <v>85</v>
      </c>
      <c r="O2675" s="2" t="s">
        <v>2095</v>
      </c>
      <c r="P2675" s="2" t="s">
        <v>2472</v>
      </c>
    </row>
    <row r="2676" spans="1:16" ht="22" customHeight="1" x14ac:dyDescent="0.15">
      <c r="A2676" s="10" t="str">
        <f t="shared" si="451"/>
        <v>512_10_31_10_polygon</v>
      </c>
      <c r="B2676" s="2">
        <v>512</v>
      </c>
      <c r="C2676" s="30" t="str">
        <f>VLOOKUP(B2676,gachas!A:C,3)</f>
        <v>ミクガチャA</v>
      </c>
      <c r="D2676" s="21">
        <v>10</v>
      </c>
      <c r="E2676" s="2">
        <f t="shared" si="450"/>
        <v>31</v>
      </c>
      <c r="F2676" s="2">
        <v>10</v>
      </c>
      <c r="G2676" s="3" t="s">
        <v>22</v>
      </c>
      <c r="H2676" s="2">
        <v>25</v>
      </c>
      <c r="I2676" s="117">
        <v>512100</v>
      </c>
      <c r="J2676" s="112" t="s">
        <v>85</v>
      </c>
      <c r="K2676" s="2" t="s">
        <v>85</v>
      </c>
      <c r="L2676" s="2">
        <v>0</v>
      </c>
      <c r="M2676" s="2" t="s">
        <v>85</v>
      </c>
      <c r="N2676" s="2" t="s">
        <v>85</v>
      </c>
      <c r="O2676" s="2" t="s">
        <v>2095</v>
      </c>
      <c r="P2676" s="59" t="s">
        <v>1783</v>
      </c>
    </row>
    <row r="2677" spans="1:16" ht="22" customHeight="1" x14ac:dyDescent="0.15">
      <c r="A2677" s="10" t="str">
        <f t="shared" si="451"/>
        <v>512_10_32_10_polygon</v>
      </c>
      <c r="B2677" s="2">
        <v>512</v>
      </c>
      <c r="C2677" s="30" t="str">
        <f>VLOOKUP(B2677,gachas!A:C,3)</f>
        <v>ミクガチャA</v>
      </c>
      <c r="D2677" s="21">
        <v>10</v>
      </c>
      <c r="E2677" s="2">
        <f t="shared" si="450"/>
        <v>32</v>
      </c>
      <c r="F2677" s="2">
        <v>10</v>
      </c>
      <c r="G2677" s="3" t="s">
        <v>22</v>
      </c>
      <c r="H2677" s="2">
        <v>50</v>
      </c>
      <c r="I2677" s="117">
        <v>512100</v>
      </c>
      <c r="J2677" s="112" t="s">
        <v>85</v>
      </c>
      <c r="K2677" s="2" t="s">
        <v>85</v>
      </c>
      <c r="L2677" s="2">
        <v>0</v>
      </c>
      <c r="M2677" s="2" t="s">
        <v>85</v>
      </c>
      <c r="N2677" s="2" t="s">
        <v>85</v>
      </c>
      <c r="O2677" s="2" t="s">
        <v>2095</v>
      </c>
      <c r="P2677" s="2" t="s">
        <v>143</v>
      </c>
    </row>
    <row r="2678" spans="1:16" ht="22" customHeight="1" x14ac:dyDescent="0.15">
      <c r="A2678" s="10" t="str">
        <f t="shared" si="451"/>
        <v>512_10_33_10_polygon</v>
      </c>
      <c r="B2678" s="2">
        <v>512</v>
      </c>
      <c r="C2678" s="30" t="str">
        <f>VLOOKUP(B2678,gachas!A:C,3)</f>
        <v>ミクガチャA</v>
      </c>
      <c r="D2678" s="21">
        <v>10</v>
      </c>
      <c r="E2678" s="2">
        <f t="shared" si="450"/>
        <v>33</v>
      </c>
      <c r="F2678" s="2">
        <v>10</v>
      </c>
      <c r="G2678" s="3" t="s">
        <v>22</v>
      </c>
      <c r="H2678" s="2">
        <v>50</v>
      </c>
      <c r="I2678" s="117">
        <v>512100</v>
      </c>
      <c r="J2678" s="112" t="s">
        <v>85</v>
      </c>
      <c r="K2678" s="2" t="s">
        <v>85</v>
      </c>
      <c r="L2678" s="2">
        <v>0</v>
      </c>
      <c r="M2678" s="2" t="s">
        <v>85</v>
      </c>
      <c r="N2678" s="2" t="s">
        <v>85</v>
      </c>
      <c r="O2678" s="2" t="s">
        <v>2095</v>
      </c>
      <c r="P2678" s="2" t="s">
        <v>143</v>
      </c>
    </row>
    <row r="2679" spans="1:16" ht="22" customHeight="1" x14ac:dyDescent="0.15">
      <c r="A2679" s="10" t="str">
        <f t="shared" si="451"/>
        <v>512_10_34_10_polygon</v>
      </c>
      <c r="B2679" s="2">
        <v>512</v>
      </c>
      <c r="C2679" s="30" t="str">
        <f>VLOOKUP(B2679,gachas!A:C,3)</f>
        <v>ミクガチャA</v>
      </c>
      <c r="D2679" s="21">
        <v>10</v>
      </c>
      <c r="E2679" s="2">
        <f t="shared" si="450"/>
        <v>34</v>
      </c>
      <c r="F2679" s="2">
        <v>10</v>
      </c>
      <c r="G2679" s="3" t="s">
        <v>22</v>
      </c>
      <c r="H2679" s="2">
        <v>50</v>
      </c>
      <c r="I2679" s="117">
        <v>512100</v>
      </c>
      <c r="J2679" s="112" t="s">
        <v>85</v>
      </c>
      <c r="K2679" s="2" t="s">
        <v>85</v>
      </c>
      <c r="L2679" s="2">
        <v>0</v>
      </c>
      <c r="M2679" s="2" t="s">
        <v>85</v>
      </c>
      <c r="N2679" s="2" t="s">
        <v>85</v>
      </c>
      <c r="O2679" s="2" t="s">
        <v>2095</v>
      </c>
      <c r="P2679" s="2" t="s">
        <v>143</v>
      </c>
    </row>
    <row r="2680" spans="1:16" ht="22" customHeight="1" x14ac:dyDescent="0.15">
      <c r="A2680" s="10" t="str">
        <f t="shared" si="451"/>
        <v>512_10_35_10_polygon</v>
      </c>
      <c r="B2680" s="2">
        <v>512</v>
      </c>
      <c r="C2680" s="30" t="str">
        <f>VLOOKUP(B2680,gachas!A:C,3)</f>
        <v>ミクガチャA</v>
      </c>
      <c r="D2680" s="21">
        <v>10</v>
      </c>
      <c r="E2680" s="2">
        <f t="shared" si="450"/>
        <v>35</v>
      </c>
      <c r="F2680" s="2">
        <v>10</v>
      </c>
      <c r="G2680" s="3" t="s">
        <v>22</v>
      </c>
      <c r="H2680" s="2">
        <v>50</v>
      </c>
      <c r="I2680" s="117">
        <v>512100</v>
      </c>
      <c r="J2680" s="112" t="s">
        <v>85</v>
      </c>
      <c r="K2680" s="117">
        <v>512105</v>
      </c>
      <c r="L2680" s="2">
        <v>1</v>
      </c>
      <c r="M2680" s="2" t="s">
        <v>85</v>
      </c>
      <c r="N2680" s="2" t="s">
        <v>85</v>
      </c>
      <c r="O2680" s="2" t="s">
        <v>2095</v>
      </c>
      <c r="P2680" s="2" t="s">
        <v>2472</v>
      </c>
    </row>
    <row r="2681" spans="1:16" ht="22" customHeight="1" x14ac:dyDescent="0.15">
      <c r="A2681" s="10" t="str">
        <f t="shared" si="451"/>
        <v>512_10_36_10_polygon</v>
      </c>
      <c r="B2681" s="2">
        <v>512</v>
      </c>
      <c r="C2681" s="30" t="str">
        <f>VLOOKUP(B2681,gachas!A:C,3)</f>
        <v>ミクガチャA</v>
      </c>
      <c r="D2681" s="21">
        <v>10</v>
      </c>
      <c r="E2681" s="2">
        <f t="shared" si="450"/>
        <v>36</v>
      </c>
      <c r="F2681" s="2">
        <v>10</v>
      </c>
      <c r="G2681" s="3" t="s">
        <v>22</v>
      </c>
      <c r="H2681" s="2">
        <v>25</v>
      </c>
      <c r="I2681" s="117">
        <v>512100</v>
      </c>
      <c r="J2681" s="112" t="s">
        <v>85</v>
      </c>
      <c r="K2681" s="2" t="s">
        <v>85</v>
      </c>
      <c r="L2681" s="2">
        <v>0</v>
      </c>
      <c r="M2681" s="2" t="s">
        <v>85</v>
      </c>
      <c r="N2681" s="2" t="s">
        <v>85</v>
      </c>
      <c r="O2681" s="2" t="s">
        <v>2095</v>
      </c>
      <c r="P2681" s="59" t="s">
        <v>1783</v>
      </c>
    </row>
    <row r="2682" spans="1:16" ht="22" customHeight="1" x14ac:dyDescent="0.15">
      <c r="A2682" s="10" t="str">
        <f t="shared" si="451"/>
        <v>512_10_37_10_polygon</v>
      </c>
      <c r="B2682" s="2">
        <v>512</v>
      </c>
      <c r="C2682" s="30" t="str">
        <f>VLOOKUP(B2682,gachas!A:C,3)</f>
        <v>ミクガチャA</v>
      </c>
      <c r="D2682" s="21">
        <v>10</v>
      </c>
      <c r="E2682" s="2">
        <f t="shared" si="450"/>
        <v>37</v>
      </c>
      <c r="F2682" s="2">
        <v>10</v>
      </c>
      <c r="G2682" s="3" t="s">
        <v>22</v>
      </c>
      <c r="H2682" s="2">
        <v>50</v>
      </c>
      <c r="I2682" s="117">
        <v>512100</v>
      </c>
      <c r="J2682" s="112" t="s">
        <v>85</v>
      </c>
      <c r="K2682" s="2" t="s">
        <v>85</v>
      </c>
      <c r="L2682" s="2">
        <v>0</v>
      </c>
      <c r="M2682" s="2" t="s">
        <v>85</v>
      </c>
      <c r="N2682" s="2" t="s">
        <v>85</v>
      </c>
      <c r="O2682" s="2" t="s">
        <v>2095</v>
      </c>
      <c r="P2682" s="2" t="s">
        <v>143</v>
      </c>
    </row>
    <row r="2683" spans="1:16" ht="22" customHeight="1" x14ac:dyDescent="0.15">
      <c r="A2683" s="10" t="str">
        <f t="shared" si="451"/>
        <v>512_10_38_10_polygon</v>
      </c>
      <c r="B2683" s="2">
        <v>512</v>
      </c>
      <c r="C2683" s="30" t="str">
        <f>VLOOKUP(B2683,gachas!A:C,3)</f>
        <v>ミクガチャA</v>
      </c>
      <c r="D2683" s="21">
        <v>10</v>
      </c>
      <c r="E2683" s="2">
        <f t="shared" si="450"/>
        <v>38</v>
      </c>
      <c r="F2683" s="2">
        <v>10</v>
      </c>
      <c r="G2683" s="3" t="s">
        <v>22</v>
      </c>
      <c r="H2683" s="2">
        <v>50</v>
      </c>
      <c r="I2683" s="117">
        <v>512100</v>
      </c>
      <c r="J2683" s="112" t="s">
        <v>85</v>
      </c>
      <c r="K2683" s="2" t="s">
        <v>85</v>
      </c>
      <c r="L2683" s="2">
        <v>0</v>
      </c>
      <c r="M2683" s="2" t="s">
        <v>85</v>
      </c>
      <c r="N2683" s="2" t="s">
        <v>85</v>
      </c>
      <c r="O2683" s="2" t="s">
        <v>2095</v>
      </c>
      <c r="P2683" s="2" t="s">
        <v>143</v>
      </c>
    </row>
    <row r="2684" spans="1:16" ht="22" customHeight="1" x14ac:dyDescent="0.15">
      <c r="A2684" s="10" t="str">
        <f t="shared" si="451"/>
        <v>512_10_39_10_polygon</v>
      </c>
      <c r="B2684" s="2">
        <v>512</v>
      </c>
      <c r="C2684" s="30" t="str">
        <f>VLOOKUP(B2684,gachas!A:C,3)</f>
        <v>ミクガチャA</v>
      </c>
      <c r="D2684" s="21">
        <v>10</v>
      </c>
      <c r="E2684" s="2">
        <f t="shared" si="450"/>
        <v>39</v>
      </c>
      <c r="F2684" s="2">
        <v>10</v>
      </c>
      <c r="G2684" s="3" t="s">
        <v>22</v>
      </c>
      <c r="H2684" s="2">
        <v>50</v>
      </c>
      <c r="I2684" s="117">
        <v>512100</v>
      </c>
      <c r="J2684" s="112" t="s">
        <v>85</v>
      </c>
      <c r="K2684" s="2" t="s">
        <v>85</v>
      </c>
      <c r="L2684" s="2">
        <v>0</v>
      </c>
      <c r="M2684" s="2" t="s">
        <v>85</v>
      </c>
      <c r="N2684" s="2" t="s">
        <v>85</v>
      </c>
      <c r="O2684" s="2" t="s">
        <v>2095</v>
      </c>
      <c r="P2684" s="2" t="s">
        <v>143</v>
      </c>
    </row>
    <row r="2685" spans="1:16" ht="22" customHeight="1" x14ac:dyDescent="0.15">
      <c r="A2685" s="10" t="str">
        <f t="shared" si="451"/>
        <v>512_10_40_10_polygon</v>
      </c>
      <c r="B2685" s="2">
        <v>512</v>
      </c>
      <c r="C2685" s="30" t="str">
        <f>VLOOKUP(B2685,gachas!A:C,3)</f>
        <v>ミクガチャA</v>
      </c>
      <c r="D2685" s="21">
        <v>10</v>
      </c>
      <c r="E2685" s="2">
        <f t="shared" si="450"/>
        <v>40</v>
      </c>
      <c r="F2685" s="2">
        <v>10</v>
      </c>
      <c r="G2685" s="3" t="s">
        <v>22</v>
      </c>
      <c r="H2685" s="2">
        <v>50</v>
      </c>
      <c r="I2685" s="117">
        <v>512100</v>
      </c>
      <c r="J2685" s="112" t="s">
        <v>85</v>
      </c>
      <c r="K2685" s="117">
        <v>512105</v>
      </c>
      <c r="L2685" s="2">
        <v>1</v>
      </c>
      <c r="M2685" s="2" t="s">
        <v>85</v>
      </c>
      <c r="N2685" s="2" t="s">
        <v>85</v>
      </c>
      <c r="O2685" s="2" t="s">
        <v>2095</v>
      </c>
      <c r="P2685" s="2" t="s">
        <v>2472</v>
      </c>
    </row>
    <row r="2686" spans="1:16" ht="22" customHeight="1" x14ac:dyDescent="0.15">
      <c r="A2686" s="10" t="str">
        <f t="shared" si="451"/>
        <v>512_10_41_10_polygon</v>
      </c>
      <c r="B2686" s="2">
        <v>512</v>
      </c>
      <c r="C2686" s="30" t="str">
        <f>VLOOKUP(B2686,gachas!A:C,3)</f>
        <v>ミクガチャA</v>
      </c>
      <c r="D2686" s="21">
        <v>10</v>
      </c>
      <c r="E2686" s="2">
        <f t="shared" si="450"/>
        <v>41</v>
      </c>
      <c r="F2686" s="2">
        <v>10</v>
      </c>
      <c r="G2686" s="3" t="s">
        <v>22</v>
      </c>
      <c r="H2686" s="2">
        <v>25</v>
      </c>
      <c r="I2686" s="117">
        <v>512100</v>
      </c>
      <c r="J2686" s="112" t="s">
        <v>85</v>
      </c>
      <c r="K2686" s="2" t="s">
        <v>85</v>
      </c>
      <c r="L2686" s="2">
        <v>0</v>
      </c>
      <c r="M2686" s="2" t="s">
        <v>85</v>
      </c>
      <c r="N2686" s="2" t="s">
        <v>85</v>
      </c>
      <c r="O2686" s="2" t="s">
        <v>2095</v>
      </c>
      <c r="P2686" s="59" t="s">
        <v>1783</v>
      </c>
    </row>
    <row r="2687" spans="1:16" ht="22" customHeight="1" x14ac:dyDescent="0.15">
      <c r="A2687" s="10" t="str">
        <f t="shared" si="451"/>
        <v>512_10_42_10_polygon</v>
      </c>
      <c r="B2687" s="2">
        <v>512</v>
      </c>
      <c r="C2687" s="30" t="str">
        <f>VLOOKUP(B2687,gachas!A:C,3)</f>
        <v>ミクガチャA</v>
      </c>
      <c r="D2687" s="21">
        <v>10</v>
      </c>
      <c r="E2687" s="2">
        <f t="shared" si="450"/>
        <v>42</v>
      </c>
      <c r="F2687" s="2">
        <v>10</v>
      </c>
      <c r="G2687" s="3" t="s">
        <v>22</v>
      </c>
      <c r="H2687" s="2">
        <v>50</v>
      </c>
      <c r="I2687" s="117">
        <v>512100</v>
      </c>
      <c r="J2687" s="112" t="s">
        <v>85</v>
      </c>
      <c r="K2687" s="2" t="s">
        <v>85</v>
      </c>
      <c r="L2687" s="2">
        <v>0</v>
      </c>
      <c r="M2687" s="2" t="s">
        <v>85</v>
      </c>
      <c r="N2687" s="2" t="s">
        <v>85</v>
      </c>
      <c r="O2687" s="2" t="s">
        <v>2095</v>
      </c>
      <c r="P2687" s="2" t="s">
        <v>143</v>
      </c>
    </row>
    <row r="2688" spans="1:16" ht="22" customHeight="1" x14ac:dyDescent="0.15">
      <c r="A2688" s="10" t="str">
        <f t="shared" si="451"/>
        <v>512_10_43_10_polygon</v>
      </c>
      <c r="B2688" s="2">
        <v>512</v>
      </c>
      <c r="C2688" s="30" t="str">
        <f>VLOOKUP(B2688,gachas!A:C,3)</f>
        <v>ミクガチャA</v>
      </c>
      <c r="D2688" s="21">
        <v>10</v>
      </c>
      <c r="E2688" s="2">
        <f t="shared" si="450"/>
        <v>43</v>
      </c>
      <c r="F2688" s="2">
        <v>10</v>
      </c>
      <c r="G2688" s="3" t="s">
        <v>22</v>
      </c>
      <c r="H2688" s="2">
        <v>50</v>
      </c>
      <c r="I2688" s="117">
        <v>512100</v>
      </c>
      <c r="J2688" s="112" t="s">
        <v>85</v>
      </c>
      <c r="K2688" s="2" t="s">
        <v>85</v>
      </c>
      <c r="L2688" s="2">
        <v>0</v>
      </c>
      <c r="M2688" s="2" t="s">
        <v>85</v>
      </c>
      <c r="N2688" s="2" t="s">
        <v>85</v>
      </c>
      <c r="O2688" s="2" t="s">
        <v>2095</v>
      </c>
      <c r="P2688" s="2" t="s">
        <v>143</v>
      </c>
    </row>
    <row r="2689" spans="1:16" ht="22" customHeight="1" x14ac:dyDescent="0.15">
      <c r="A2689" s="10" t="str">
        <f t="shared" si="451"/>
        <v>512_10_44_10_polygon</v>
      </c>
      <c r="B2689" s="2">
        <v>512</v>
      </c>
      <c r="C2689" s="30" t="str">
        <f>VLOOKUP(B2689,gachas!A:C,3)</f>
        <v>ミクガチャA</v>
      </c>
      <c r="D2689" s="21">
        <v>10</v>
      </c>
      <c r="E2689" s="2">
        <f t="shared" si="450"/>
        <v>44</v>
      </c>
      <c r="F2689" s="2">
        <v>10</v>
      </c>
      <c r="G2689" s="3" t="s">
        <v>22</v>
      </c>
      <c r="H2689" s="2">
        <v>50</v>
      </c>
      <c r="I2689" s="117">
        <v>512100</v>
      </c>
      <c r="J2689" s="112" t="s">
        <v>85</v>
      </c>
      <c r="K2689" s="2" t="s">
        <v>85</v>
      </c>
      <c r="L2689" s="2">
        <v>0</v>
      </c>
      <c r="M2689" s="2" t="s">
        <v>85</v>
      </c>
      <c r="N2689" s="2" t="s">
        <v>85</v>
      </c>
      <c r="O2689" s="2" t="s">
        <v>2095</v>
      </c>
      <c r="P2689" s="2" t="s">
        <v>143</v>
      </c>
    </row>
    <row r="2690" spans="1:16" ht="22" customHeight="1" x14ac:dyDescent="0.15">
      <c r="A2690" s="10" t="str">
        <f t="shared" si="451"/>
        <v>512_10_45_10_polygon</v>
      </c>
      <c r="B2690" s="2">
        <v>512</v>
      </c>
      <c r="C2690" s="30" t="str">
        <f>VLOOKUP(B2690,gachas!A:C,3)</f>
        <v>ミクガチャA</v>
      </c>
      <c r="D2690" s="21">
        <v>10</v>
      </c>
      <c r="E2690" s="2">
        <f t="shared" si="450"/>
        <v>45</v>
      </c>
      <c r="F2690" s="2">
        <v>10</v>
      </c>
      <c r="G2690" s="3" t="s">
        <v>22</v>
      </c>
      <c r="H2690" s="2">
        <v>50</v>
      </c>
      <c r="I2690" s="117">
        <v>512100</v>
      </c>
      <c r="J2690" s="112" t="s">
        <v>85</v>
      </c>
      <c r="K2690" s="117">
        <v>512105</v>
      </c>
      <c r="L2690" s="2">
        <v>1</v>
      </c>
      <c r="M2690" s="2" t="s">
        <v>85</v>
      </c>
      <c r="N2690" s="2" t="s">
        <v>85</v>
      </c>
      <c r="O2690" s="2" t="s">
        <v>2095</v>
      </c>
      <c r="P2690" s="2" t="s">
        <v>2472</v>
      </c>
    </row>
    <row r="2691" spans="1:16" ht="22" customHeight="1" x14ac:dyDescent="0.15">
      <c r="A2691" s="10" t="str">
        <f t="shared" si="451"/>
        <v>512_10_46_10_polygon</v>
      </c>
      <c r="B2691" s="2">
        <v>512</v>
      </c>
      <c r="C2691" s="30" t="str">
        <f>VLOOKUP(B2691,gachas!A:C,3)</f>
        <v>ミクガチャA</v>
      </c>
      <c r="D2691" s="21">
        <v>10</v>
      </c>
      <c r="E2691" s="2">
        <f t="shared" si="450"/>
        <v>46</v>
      </c>
      <c r="F2691" s="2">
        <v>10</v>
      </c>
      <c r="G2691" s="3" t="s">
        <v>22</v>
      </c>
      <c r="H2691" s="2">
        <v>25</v>
      </c>
      <c r="I2691" s="117">
        <v>512100</v>
      </c>
      <c r="J2691" s="112" t="s">
        <v>85</v>
      </c>
      <c r="K2691" s="2" t="s">
        <v>85</v>
      </c>
      <c r="L2691" s="2">
        <v>0</v>
      </c>
      <c r="M2691" s="2" t="s">
        <v>85</v>
      </c>
      <c r="N2691" s="2" t="s">
        <v>85</v>
      </c>
      <c r="O2691" s="2" t="s">
        <v>2095</v>
      </c>
      <c r="P2691" s="59" t="s">
        <v>1783</v>
      </c>
    </row>
    <row r="2692" spans="1:16" ht="22" customHeight="1" x14ac:dyDescent="0.15">
      <c r="A2692" s="10" t="str">
        <f t="shared" si="451"/>
        <v>512_10_47_10_polygon</v>
      </c>
      <c r="B2692" s="2">
        <v>512</v>
      </c>
      <c r="C2692" s="30" t="str">
        <f>VLOOKUP(B2692,gachas!A:C,3)</f>
        <v>ミクガチャA</v>
      </c>
      <c r="D2692" s="21">
        <v>10</v>
      </c>
      <c r="E2692" s="2">
        <f t="shared" si="450"/>
        <v>47</v>
      </c>
      <c r="F2692" s="2">
        <v>10</v>
      </c>
      <c r="G2692" s="3" t="s">
        <v>22</v>
      </c>
      <c r="H2692" s="2">
        <v>50</v>
      </c>
      <c r="I2692" s="117">
        <v>512100</v>
      </c>
      <c r="J2692" s="112" t="s">
        <v>85</v>
      </c>
      <c r="K2692" s="2" t="s">
        <v>85</v>
      </c>
      <c r="L2692" s="2">
        <v>0</v>
      </c>
      <c r="M2692" s="2" t="s">
        <v>85</v>
      </c>
      <c r="N2692" s="2" t="s">
        <v>85</v>
      </c>
      <c r="O2692" s="2" t="s">
        <v>2095</v>
      </c>
      <c r="P2692" s="2" t="s">
        <v>143</v>
      </c>
    </row>
    <row r="2693" spans="1:16" ht="22" customHeight="1" x14ac:dyDescent="0.15">
      <c r="A2693" s="10" t="str">
        <f t="shared" si="451"/>
        <v>512_10_48_10_polygon</v>
      </c>
      <c r="B2693" s="2">
        <v>512</v>
      </c>
      <c r="C2693" s="30" t="str">
        <f>VLOOKUP(B2693,gachas!A:C,3)</f>
        <v>ミクガチャA</v>
      </c>
      <c r="D2693" s="21">
        <v>10</v>
      </c>
      <c r="E2693" s="2">
        <f t="shared" si="450"/>
        <v>48</v>
      </c>
      <c r="F2693" s="2">
        <v>10</v>
      </c>
      <c r="G2693" s="3" t="s">
        <v>22</v>
      </c>
      <c r="H2693" s="2">
        <v>50</v>
      </c>
      <c r="I2693" s="117">
        <v>512100</v>
      </c>
      <c r="J2693" s="112" t="s">
        <v>85</v>
      </c>
      <c r="K2693" s="2" t="s">
        <v>85</v>
      </c>
      <c r="L2693" s="2">
        <v>0</v>
      </c>
      <c r="M2693" s="2" t="s">
        <v>85</v>
      </c>
      <c r="N2693" s="2" t="s">
        <v>85</v>
      </c>
      <c r="O2693" s="2" t="s">
        <v>2095</v>
      </c>
      <c r="P2693" s="2" t="s">
        <v>143</v>
      </c>
    </row>
    <row r="2694" spans="1:16" ht="22" customHeight="1" x14ac:dyDescent="0.15">
      <c r="A2694" s="10" t="str">
        <f t="shared" si="451"/>
        <v>512_10_49_10_polygon</v>
      </c>
      <c r="B2694" s="2">
        <v>512</v>
      </c>
      <c r="C2694" s="30" t="str">
        <f>VLOOKUP(B2694,gachas!A:C,3)</f>
        <v>ミクガチャA</v>
      </c>
      <c r="D2694" s="21">
        <v>10</v>
      </c>
      <c r="E2694" s="2">
        <f t="shared" si="450"/>
        <v>49</v>
      </c>
      <c r="F2694" s="2">
        <v>10</v>
      </c>
      <c r="G2694" s="3" t="s">
        <v>22</v>
      </c>
      <c r="H2694" s="2">
        <v>50</v>
      </c>
      <c r="I2694" s="117">
        <v>512100</v>
      </c>
      <c r="J2694" s="112" t="s">
        <v>85</v>
      </c>
      <c r="K2694" s="2" t="s">
        <v>85</v>
      </c>
      <c r="L2694" s="2">
        <v>0</v>
      </c>
      <c r="M2694" s="2" t="s">
        <v>85</v>
      </c>
      <c r="N2694" s="2" t="s">
        <v>85</v>
      </c>
      <c r="O2694" s="2" t="s">
        <v>2095</v>
      </c>
      <c r="P2694" s="2" t="s">
        <v>143</v>
      </c>
    </row>
    <row r="2695" spans="1:16" ht="22" customHeight="1" x14ac:dyDescent="0.15">
      <c r="A2695" s="10" t="str">
        <f t="shared" si="451"/>
        <v>512_10_50_10_polygon</v>
      </c>
      <c r="B2695" s="2">
        <v>512</v>
      </c>
      <c r="C2695" s="30" t="str">
        <f>VLOOKUP(B2695,gachas!A:C,3)</f>
        <v>ミクガチャA</v>
      </c>
      <c r="D2695" s="21">
        <v>10</v>
      </c>
      <c r="E2695" s="2">
        <f t="shared" si="450"/>
        <v>50</v>
      </c>
      <c r="F2695" s="2">
        <v>10</v>
      </c>
      <c r="G2695" s="3" t="s">
        <v>22</v>
      </c>
      <c r="H2695" s="2">
        <v>50</v>
      </c>
      <c r="I2695" s="117">
        <v>512100</v>
      </c>
      <c r="J2695" s="112" t="s">
        <v>85</v>
      </c>
      <c r="K2695" s="117">
        <v>512105</v>
      </c>
      <c r="L2695" s="2">
        <v>1</v>
      </c>
      <c r="M2695" s="2" t="s">
        <v>85</v>
      </c>
      <c r="N2695" s="2" t="s">
        <v>85</v>
      </c>
      <c r="O2695" s="2" t="s">
        <v>2095</v>
      </c>
      <c r="P2695" s="2" t="s">
        <v>2472</v>
      </c>
    </row>
    <row r="2696" spans="1:16" ht="22" customHeight="1" x14ac:dyDescent="0.15">
      <c r="A2696" s="10" t="str">
        <f t="shared" si="451"/>
        <v>513_1_0_1_polygon</v>
      </c>
      <c r="B2696" s="2">
        <v>513</v>
      </c>
      <c r="C2696" s="30" t="str">
        <f>VLOOKUP(B2696,gachas!A:C,3)</f>
        <v>ミクガチャB</v>
      </c>
      <c r="D2696" s="21">
        <v>1</v>
      </c>
      <c r="E2696" s="2">
        <v>0</v>
      </c>
      <c r="F2696" s="2">
        <v>1</v>
      </c>
      <c r="G2696" s="3" t="s">
        <v>22</v>
      </c>
      <c r="H2696" s="2">
        <v>5</v>
      </c>
      <c r="I2696" s="117">
        <v>513010</v>
      </c>
      <c r="J2696" s="112" t="s">
        <v>85</v>
      </c>
      <c r="K2696" s="2" t="s">
        <v>85</v>
      </c>
      <c r="L2696" s="2">
        <v>0</v>
      </c>
      <c r="M2696" s="2" t="s">
        <v>85</v>
      </c>
      <c r="N2696" s="2" t="s">
        <v>85</v>
      </c>
      <c r="O2696" s="2" t="s">
        <v>2095</v>
      </c>
      <c r="P2696" s="2" t="s">
        <v>85</v>
      </c>
    </row>
    <row r="2697" spans="1:16" ht="22" customHeight="1" x14ac:dyDescent="0.15">
      <c r="A2697" s="10" t="str">
        <f t="shared" si="451"/>
        <v>513_10_0_10_polygon</v>
      </c>
      <c r="B2697" s="2">
        <v>513</v>
      </c>
      <c r="C2697" s="30" t="str">
        <f>VLOOKUP(B2697,gachas!A:C,3)</f>
        <v>ミクガチャB</v>
      </c>
      <c r="D2697" s="21">
        <v>10</v>
      </c>
      <c r="E2697" s="2">
        <v>0</v>
      </c>
      <c r="F2697" s="2">
        <v>10</v>
      </c>
      <c r="G2697" s="3" t="s">
        <v>22</v>
      </c>
      <c r="H2697" s="2">
        <v>50</v>
      </c>
      <c r="I2697" s="117">
        <v>513100</v>
      </c>
      <c r="J2697" s="112" t="s">
        <v>85</v>
      </c>
      <c r="K2697" s="2" t="s">
        <v>85</v>
      </c>
      <c r="L2697" s="2">
        <v>0</v>
      </c>
      <c r="M2697" s="2" t="s">
        <v>85</v>
      </c>
      <c r="N2697" s="2" t="s">
        <v>85</v>
      </c>
      <c r="O2697" s="2" t="s">
        <v>2095</v>
      </c>
      <c r="P2697" s="2" t="s">
        <v>143</v>
      </c>
    </row>
    <row r="2698" spans="1:16" ht="22" customHeight="1" x14ac:dyDescent="0.15">
      <c r="A2698" s="10" t="str">
        <f t="shared" si="451"/>
        <v>513_10_1_10_polygon</v>
      </c>
      <c r="B2698" s="2">
        <v>513</v>
      </c>
      <c r="C2698" s="30" t="str">
        <f>VLOOKUP(B2698,gachas!A:C,3)</f>
        <v>ミクガチャB</v>
      </c>
      <c r="D2698" s="21">
        <v>10</v>
      </c>
      <c r="E2698" s="2">
        <f>E2697+1</f>
        <v>1</v>
      </c>
      <c r="F2698" s="2">
        <v>10</v>
      </c>
      <c r="G2698" s="3" t="s">
        <v>22</v>
      </c>
      <c r="H2698" s="2">
        <v>25</v>
      </c>
      <c r="I2698" s="117">
        <v>513100</v>
      </c>
      <c r="J2698" s="112" t="s">
        <v>85</v>
      </c>
      <c r="K2698" s="2" t="s">
        <v>85</v>
      </c>
      <c r="L2698" s="2">
        <v>0</v>
      </c>
      <c r="M2698" s="2" t="s">
        <v>85</v>
      </c>
      <c r="N2698" s="2" t="s">
        <v>85</v>
      </c>
      <c r="O2698" s="2" t="s">
        <v>2095</v>
      </c>
      <c r="P2698" s="59" t="s">
        <v>1783</v>
      </c>
    </row>
    <row r="2699" spans="1:16" ht="22" customHeight="1" x14ac:dyDescent="0.15">
      <c r="A2699" s="10" t="str">
        <f t="shared" si="451"/>
        <v>513_10_2_10_polygon</v>
      </c>
      <c r="B2699" s="2">
        <v>513</v>
      </c>
      <c r="C2699" s="30" t="str">
        <f>VLOOKUP(B2699,gachas!A:C,3)</f>
        <v>ミクガチャB</v>
      </c>
      <c r="D2699" s="21">
        <v>10</v>
      </c>
      <c r="E2699" s="2">
        <f t="shared" ref="E2699:E2747" si="452">E2698+1</f>
        <v>2</v>
      </c>
      <c r="F2699" s="2">
        <v>10</v>
      </c>
      <c r="G2699" s="3" t="s">
        <v>22</v>
      </c>
      <c r="H2699" s="2">
        <v>50</v>
      </c>
      <c r="I2699" s="117">
        <v>513100</v>
      </c>
      <c r="J2699" s="112" t="s">
        <v>85</v>
      </c>
      <c r="K2699" s="2" t="s">
        <v>85</v>
      </c>
      <c r="L2699" s="2">
        <v>0</v>
      </c>
      <c r="M2699" s="2" t="s">
        <v>85</v>
      </c>
      <c r="N2699" s="2" t="s">
        <v>85</v>
      </c>
      <c r="O2699" s="2" t="s">
        <v>2095</v>
      </c>
      <c r="P2699" s="2" t="s">
        <v>143</v>
      </c>
    </row>
    <row r="2700" spans="1:16" ht="22" customHeight="1" x14ac:dyDescent="0.15">
      <c r="A2700" s="10" t="str">
        <f t="shared" si="451"/>
        <v>513_10_3_10_polygon</v>
      </c>
      <c r="B2700" s="2">
        <v>513</v>
      </c>
      <c r="C2700" s="30" t="str">
        <f>VLOOKUP(B2700,gachas!A:C,3)</f>
        <v>ミクガチャB</v>
      </c>
      <c r="D2700" s="21">
        <v>10</v>
      </c>
      <c r="E2700" s="2">
        <f t="shared" si="452"/>
        <v>3</v>
      </c>
      <c r="F2700" s="2">
        <v>10</v>
      </c>
      <c r="G2700" s="3" t="s">
        <v>22</v>
      </c>
      <c r="H2700" s="2">
        <v>50</v>
      </c>
      <c r="I2700" s="117">
        <v>513100</v>
      </c>
      <c r="J2700" s="112" t="s">
        <v>85</v>
      </c>
      <c r="K2700" s="2" t="s">
        <v>85</v>
      </c>
      <c r="L2700" s="2">
        <v>0</v>
      </c>
      <c r="M2700" s="2" t="s">
        <v>85</v>
      </c>
      <c r="N2700" s="2" t="s">
        <v>85</v>
      </c>
      <c r="O2700" s="2" t="s">
        <v>2095</v>
      </c>
      <c r="P2700" s="2" t="s">
        <v>143</v>
      </c>
    </row>
    <row r="2701" spans="1:16" ht="22" customHeight="1" x14ac:dyDescent="0.15">
      <c r="A2701" s="10" t="str">
        <f t="shared" si="451"/>
        <v>513_10_4_10_polygon</v>
      </c>
      <c r="B2701" s="2">
        <v>513</v>
      </c>
      <c r="C2701" s="30" t="str">
        <f>VLOOKUP(B2701,gachas!A:C,3)</f>
        <v>ミクガチャB</v>
      </c>
      <c r="D2701" s="21">
        <v>10</v>
      </c>
      <c r="E2701" s="2">
        <f t="shared" si="452"/>
        <v>4</v>
      </c>
      <c r="F2701" s="2">
        <v>10</v>
      </c>
      <c r="G2701" s="3" t="s">
        <v>22</v>
      </c>
      <c r="H2701" s="2">
        <v>50</v>
      </c>
      <c r="I2701" s="117">
        <v>513100</v>
      </c>
      <c r="J2701" s="112" t="s">
        <v>85</v>
      </c>
      <c r="K2701" s="2" t="s">
        <v>85</v>
      </c>
      <c r="L2701" s="2">
        <v>0</v>
      </c>
      <c r="M2701" s="2" t="s">
        <v>85</v>
      </c>
      <c r="N2701" s="2" t="s">
        <v>85</v>
      </c>
      <c r="O2701" s="2" t="s">
        <v>2095</v>
      </c>
      <c r="P2701" s="2" t="s">
        <v>143</v>
      </c>
    </row>
    <row r="2702" spans="1:16" ht="22" customHeight="1" x14ac:dyDescent="0.15">
      <c r="A2702" s="10" t="str">
        <f t="shared" si="451"/>
        <v>513_10_5_10_polygon</v>
      </c>
      <c r="B2702" s="2">
        <v>513</v>
      </c>
      <c r="C2702" s="30" t="str">
        <f>VLOOKUP(B2702,gachas!A:C,3)</f>
        <v>ミクガチャB</v>
      </c>
      <c r="D2702" s="21">
        <v>10</v>
      </c>
      <c r="E2702" s="2">
        <f t="shared" si="452"/>
        <v>5</v>
      </c>
      <c r="F2702" s="2">
        <v>10</v>
      </c>
      <c r="G2702" s="3" t="s">
        <v>22</v>
      </c>
      <c r="H2702" s="2">
        <v>50</v>
      </c>
      <c r="I2702" s="117">
        <v>513100</v>
      </c>
      <c r="J2702" s="112" t="s">
        <v>85</v>
      </c>
      <c r="K2702" s="117">
        <v>513105</v>
      </c>
      <c r="L2702" s="2">
        <v>1</v>
      </c>
      <c r="M2702" s="2" t="s">
        <v>85</v>
      </c>
      <c r="N2702" s="2" t="s">
        <v>85</v>
      </c>
      <c r="O2702" s="2" t="s">
        <v>2095</v>
      </c>
      <c r="P2702" s="2" t="s">
        <v>2476</v>
      </c>
    </row>
    <row r="2703" spans="1:16" ht="22" customHeight="1" x14ac:dyDescent="0.15">
      <c r="A2703" s="10" t="str">
        <f t="shared" si="451"/>
        <v>513_10_6_10_polygon</v>
      </c>
      <c r="B2703" s="2">
        <v>513</v>
      </c>
      <c r="C2703" s="30" t="str">
        <f>VLOOKUP(B2703,gachas!A:C,3)</f>
        <v>ミクガチャB</v>
      </c>
      <c r="D2703" s="21">
        <v>10</v>
      </c>
      <c r="E2703" s="2">
        <f t="shared" si="452"/>
        <v>6</v>
      </c>
      <c r="F2703" s="2">
        <v>10</v>
      </c>
      <c r="G2703" s="3" t="s">
        <v>22</v>
      </c>
      <c r="H2703" s="2">
        <v>25</v>
      </c>
      <c r="I2703" s="117">
        <v>513100</v>
      </c>
      <c r="J2703" s="112" t="s">
        <v>85</v>
      </c>
      <c r="K2703" s="2" t="s">
        <v>85</v>
      </c>
      <c r="L2703" s="2">
        <v>0</v>
      </c>
      <c r="M2703" s="2" t="s">
        <v>85</v>
      </c>
      <c r="N2703" s="2" t="s">
        <v>85</v>
      </c>
      <c r="O2703" s="2" t="s">
        <v>2095</v>
      </c>
      <c r="P2703" s="59" t="s">
        <v>1783</v>
      </c>
    </row>
    <row r="2704" spans="1:16" ht="22" customHeight="1" x14ac:dyDescent="0.15">
      <c r="A2704" s="10" t="str">
        <f t="shared" si="451"/>
        <v>513_10_7_10_polygon</v>
      </c>
      <c r="B2704" s="2">
        <v>513</v>
      </c>
      <c r="C2704" s="30" t="str">
        <f>VLOOKUP(B2704,gachas!A:C,3)</f>
        <v>ミクガチャB</v>
      </c>
      <c r="D2704" s="21">
        <v>10</v>
      </c>
      <c r="E2704" s="2">
        <f t="shared" si="452"/>
        <v>7</v>
      </c>
      <c r="F2704" s="2">
        <v>10</v>
      </c>
      <c r="G2704" s="3" t="s">
        <v>22</v>
      </c>
      <c r="H2704" s="2">
        <v>50</v>
      </c>
      <c r="I2704" s="117">
        <v>513100</v>
      </c>
      <c r="J2704" s="112" t="s">
        <v>85</v>
      </c>
      <c r="K2704" s="2" t="s">
        <v>85</v>
      </c>
      <c r="L2704" s="2">
        <v>0</v>
      </c>
      <c r="M2704" s="2" t="s">
        <v>85</v>
      </c>
      <c r="N2704" s="2" t="s">
        <v>85</v>
      </c>
      <c r="O2704" s="2" t="s">
        <v>2095</v>
      </c>
      <c r="P2704" s="2" t="s">
        <v>143</v>
      </c>
    </row>
    <row r="2705" spans="1:16" ht="22" customHeight="1" x14ac:dyDescent="0.15">
      <c r="A2705" s="10" t="str">
        <f t="shared" si="451"/>
        <v>513_10_8_10_polygon</v>
      </c>
      <c r="B2705" s="2">
        <v>513</v>
      </c>
      <c r="C2705" s="30" t="str">
        <f>VLOOKUP(B2705,gachas!A:C,3)</f>
        <v>ミクガチャB</v>
      </c>
      <c r="D2705" s="21">
        <v>10</v>
      </c>
      <c r="E2705" s="2">
        <f t="shared" si="452"/>
        <v>8</v>
      </c>
      <c r="F2705" s="2">
        <v>10</v>
      </c>
      <c r="G2705" s="3" t="s">
        <v>22</v>
      </c>
      <c r="H2705" s="2">
        <v>50</v>
      </c>
      <c r="I2705" s="117">
        <v>513100</v>
      </c>
      <c r="J2705" s="112" t="s">
        <v>85</v>
      </c>
      <c r="K2705" s="2" t="s">
        <v>85</v>
      </c>
      <c r="L2705" s="2">
        <v>0</v>
      </c>
      <c r="M2705" s="2" t="s">
        <v>85</v>
      </c>
      <c r="N2705" s="2" t="s">
        <v>85</v>
      </c>
      <c r="O2705" s="2" t="s">
        <v>2095</v>
      </c>
      <c r="P2705" s="2" t="s">
        <v>143</v>
      </c>
    </row>
    <row r="2706" spans="1:16" ht="22" customHeight="1" x14ac:dyDescent="0.15">
      <c r="A2706" s="10" t="str">
        <f t="shared" si="451"/>
        <v>513_10_9_10_polygon</v>
      </c>
      <c r="B2706" s="2">
        <v>513</v>
      </c>
      <c r="C2706" s="30" t="str">
        <f>VLOOKUP(B2706,gachas!A:C,3)</f>
        <v>ミクガチャB</v>
      </c>
      <c r="D2706" s="21">
        <v>10</v>
      </c>
      <c r="E2706" s="2">
        <f t="shared" si="452"/>
        <v>9</v>
      </c>
      <c r="F2706" s="2">
        <v>10</v>
      </c>
      <c r="G2706" s="3" t="s">
        <v>22</v>
      </c>
      <c r="H2706" s="2">
        <v>50</v>
      </c>
      <c r="I2706" s="117">
        <v>513100</v>
      </c>
      <c r="J2706" s="112" t="s">
        <v>85</v>
      </c>
      <c r="K2706" s="2" t="s">
        <v>85</v>
      </c>
      <c r="L2706" s="2">
        <v>0</v>
      </c>
      <c r="M2706" s="2" t="s">
        <v>85</v>
      </c>
      <c r="N2706" s="2" t="s">
        <v>85</v>
      </c>
      <c r="O2706" s="2" t="s">
        <v>2095</v>
      </c>
      <c r="P2706" s="2" t="s">
        <v>143</v>
      </c>
    </row>
    <row r="2707" spans="1:16" ht="22" customHeight="1" x14ac:dyDescent="0.15">
      <c r="A2707" s="10" t="str">
        <f t="shared" si="451"/>
        <v>513_10_10_10_polygon</v>
      </c>
      <c r="B2707" s="2">
        <v>513</v>
      </c>
      <c r="C2707" s="30" t="str">
        <f>VLOOKUP(B2707,gachas!A:C,3)</f>
        <v>ミクガチャB</v>
      </c>
      <c r="D2707" s="21">
        <v>10</v>
      </c>
      <c r="E2707" s="2">
        <f t="shared" si="452"/>
        <v>10</v>
      </c>
      <c r="F2707" s="2">
        <v>10</v>
      </c>
      <c r="G2707" s="3" t="s">
        <v>22</v>
      </c>
      <c r="H2707" s="2">
        <v>50</v>
      </c>
      <c r="I2707" s="117">
        <v>513100</v>
      </c>
      <c r="J2707" s="112" t="s">
        <v>85</v>
      </c>
      <c r="K2707" s="117">
        <v>513105</v>
      </c>
      <c r="L2707" s="2">
        <v>1</v>
      </c>
      <c r="M2707" s="2" t="s">
        <v>85</v>
      </c>
      <c r="N2707" s="2" t="s">
        <v>85</v>
      </c>
      <c r="O2707" s="2" t="s">
        <v>2095</v>
      </c>
      <c r="P2707" s="2" t="s">
        <v>2476</v>
      </c>
    </row>
    <row r="2708" spans="1:16" ht="22" customHeight="1" x14ac:dyDescent="0.15">
      <c r="A2708" s="10" t="str">
        <f t="shared" si="451"/>
        <v>513_10_11_10_polygon</v>
      </c>
      <c r="B2708" s="2">
        <v>513</v>
      </c>
      <c r="C2708" s="30" t="str">
        <f>VLOOKUP(B2708,gachas!A:C,3)</f>
        <v>ミクガチャB</v>
      </c>
      <c r="D2708" s="21">
        <v>10</v>
      </c>
      <c r="E2708" s="2">
        <f t="shared" si="452"/>
        <v>11</v>
      </c>
      <c r="F2708" s="2">
        <v>10</v>
      </c>
      <c r="G2708" s="3" t="s">
        <v>22</v>
      </c>
      <c r="H2708" s="2">
        <v>25</v>
      </c>
      <c r="I2708" s="117">
        <v>513100</v>
      </c>
      <c r="J2708" s="112" t="s">
        <v>85</v>
      </c>
      <c r="K2708" s="2" t="s">
        <v>85</v>
      </c>
      <c r="L2708" s="2">
        <v>0</v>
      </c>
      <c r="M2708" s="2" t="s">
        <v>85</v>
      </c>
      <c r="N2708" s="2" t="s">
        <v>85</v>
      </c>
      <c r="O2708" s="2" t="s">
        <v>2095</v>
      </c>
      <c r="P2708" s="59" t="s">
        <v>1783</v>
      </c>
    </row>
    <row r="2709" spans="1:16" ht="22" customHeight="1" x14ac:dyDescent="0.15">
      <c r="A2709" s="10" t="str">
        <f t="shared" ref="A2709:A2769" si="453">B2709&amp;"_"&amp;D2709&amp;"_"&amp;E2709&amp;"_"&amp;F2709&amp;"_"&amp;G2709</f>
        <v>513_10_12_10_polygon</v>
      </c>
      <c r="B2709" s="2">
        <v>513</v>
      </c>
      <c r="C2709" s="30" t="str">
        <f>VLOOKUP(B2709,gachas!A:C,3)</f>
        <v>ミクガチャB</v>
      </c>
      <c r="D2709" s="21">
        <v>10</v>
      </c>
      <c r="E2709" s="2">
        <f t="shared" si="452"/>
        <v>12</v>
      </c>
      <c r="F2709" s="2">
        <v>10</v>
      </c>
      <c r="G2709" s="3" t="s">
        <v>22</v>
      </c>
      <c r="H2709" s="2">
        <v>50</v>
      </c>
      <c r="I2709" s="117">
        <v>513100</v>
      </c>
      <c r="J2709" s="112" t="s">
        <v>85</v>
      </c>
      <c r="K2709" s="2" t="s">
        <v>85</v>
      </c>
      <c r="L2709" s="2">
        <v>0</v>
      </c>
      <c r="M2709" s="2" t="s">
        <v>85</v>
      </c>
      <c r="N2709" s="2" t="s">
        <v>85</v>
      </c>
      <c r="O2709" s="2" t="s">
        <v>2095</v>
      </c>
      <c r="P2709" s="2" t="s">
        <v>143</v>
      </c>
    </row>
    <row r="2710" spans="1:16" ht="22" customHeight="1" x14ac:dyDescent="0.15">
      <c r="A2710" s="10" t="str">
        <f t="shared" si="453"/>
        <v>513_10_13_10_polygon</v>
      </c>
      <c r="B2710" s="2">
        <v>513</v>
      </c>
      <c r="C2710" s="30" t="str">
        <f>VLOOKUP(B2710,gachas!A:C,3)</f>
        <v>ミクガチャB</v>
      </c>
      <c r="D2710" s="21">
        <v>10</v>
      </c>
      <c r="E2710" s="2">
        <f t="shared" si="452"/>
        <v>13</v>
      </c>
      <c r="F2710" s="2">
        <v>10</v>
      </c>
      <c r="G2710" s="3" t="s">
        <v>22</v>
      </c>
      <c r="H2710" s="2">
        <v>50</v>
      </c>
      <c r="I2710" s="117">
        <v>513100</v>
      </c>
      <c r="J2710" s="112" t="s">
        <v>85</v>
      </c>
      <c r="K2710" s="2" t="s">
        <v>85</v>
      </c>
      <c r="L2710" s="2">
        <v>0</v>
      </c>
      <c r="M2710" s="2" t="s">
        <v>85</v>
      </c>
      <c r="N2710" s="2" t="s">
        <v>85</v>
      </c>
      <c r="O2710" s="2" t="s">
        <v>2095</v>
      </c>
      <c r="P2710" s="2" t="s">
        <v>143</v>
      </c>
    </row>
    <row r="2711" spans="1:16" ht="22" customHeight="1" x14ac:dyDescent="0.15">
      <c r="A2711" s="10" t="str">
        <f t="shared" si="453"/>
        <v>513_10_14_10_polygon</v>
      </c>
      <c r="B2711" s="2">
        <v>513</v>
      </c>
      <c r="C2711" s="30" t="str">
        <f>VLOOKUP(B2711,gachas!A:C,3)</f>
        <v>ミクガチャB</v>
      </c>
      <c r="D2711" s="21">
        <v>10</v>
      </c>
      <c r="E2711" s="2">
        <f t="shared" si="452"/>
        <v>14</v>
      </c>
      <c r="F2711" s="2">
        <v>10</v>
      </c>
      <c r="G2711" s="3" t="s">
        <v>22</v>
      </c>
      <c r="H2711" s="2">
        <v>50</v>
      </c>
      <c r="I2711" s="117">
        <v>513100</v>
      </c>
      <c r="J2711" s="112" t="s">
        <v>85</v>
      </c>
      <c r="K2711" s="2" t="s">
        <v>85</v>
      </c>
      <c r="L2711" s="2">
        <v>0</v>
      </c>
      <c r="M2711" s="2" t="s">
        <v>85</v>
      </c>
      <c r="N2711" s="2" t="s">
        <v>85</v>
      </c>
      <c r="O2711" s="2" t="s">
        <v>2095</v>
      </c>
      <c r="P2711" s="2" t="s">
        <v>143</v>
      </c>
    </row>
    <row r="2712" spans="1:16" ht="22" customHeight="1" x14ac:dyDescent="0.15">
      <c r="A2712" s="10" t="str">
        <f t="shared" si="453"/>
        <v>513_10_15_10_polygon</v>
      </c>
      <c r="B2712" s="2">
        <v>513</v>
      </c>
      <c r="C2712" s="30" t="str">
        <f>VLOOKUP(B2712,gachas!A:C,3)</f>
        <v>ミクガチャB</v>
      </c>
      <c r="D2712" s="21">
        <v>10</v>
      </c>
      <c r="E2712" s="2">
        <f t="shared" si="452"/>
        <v>15</v>
      </c>
      <c r="F2712" s="2">
        <v>10</v>
      </c>
      <c r="G2712" s="3" t="s">
        <v>22</v>
      </c>
      <c r="H2712" s="2">
        <v>50</v>
      </c>
      <c r="I2712" s="117">
        <v>513100</v>
      </c>
      <c r="J2712" s="112" t="s">
        <v>85</v>
      </c>
      <c r="K2712" s="117">
        <v>513105</v>
      </c>
      <c r="L2712" s="2">
        <v>1</v>
      </c>
      <c r="M2712" s="2" t="s">
        <v>85</v>
      </c>
      <c r="N2712" s="2" t="s">
        <v>85</v>
      </c>
      <c r="O2712" s="2" t="s">
        <v>2095</v>
      </c>
      <c r="P2712" s="2" t="s">
        <v>2476</v>
      </c>
    </row>
    <row r="2713" spans="1:16" ht="22" customHeight="1" x14ac:dyDescent="0.15">
      <c r="A2713" s="10" t="str">
        <f t="shared" si="453"/>
        <v>513_10_16_10_polygon</v>
      </c>
      <c r="B2713" s="2">
        <v>513</v>
      </c>
      <c r="C2713" s="30" t="str">
        <f>VLOOKUP(B2713,gachas!A:C,3)</f>
        <v>ミクガチャB</v>
      </c>
      <c r="D2713" s="21">
        <v>10</v>
      </c>
      <c r="E2713" s="2">
        <f t="shared" si="452"/>
        <v>16</v>
      </c>
      <c r="F2713" s="2">
        <v>10</v>
      </c>
      <c r="G2713" s="3" t="s">
        <v>22</v>
      </c>
      <c r="H2713" s="2">
        <v>25</v>
      </c>
      <c r="I2713" s="117">
        <v>513100</v>
      </c>
      <c r="J2713" s="112" t="s">
        <v>85</v>
      </c>
      <c r="K2713" s="2" t="s">
        <v>85</v>
      </c>
      <c r="L2713" s="2">
        <v>0</v>
      </c>
      <c r="M2713" s="2" t="s">
        <v>85</v>
      </c>
      <c r="N2713" s="2" t="s">
        <v>85</v>
      </c>
      <c r="O2713" s="2" t="s">
        <v>2095</v>
      </c>
      <c r="P2713" s="59" t="s">
        <v>1783</v>
      </c>
    </row>
    <row r="2714" spans="1:16" ht="22" customHeight="1" x14ac:dyDescent="0.15">
      <c r="A2714" s="10" t="str">
        <f t="shared" si="453"/>
        <v>513_10_17_10_polygon</v>
      </c>
      <c r="B2714" s="2">
        <v>513</v>
      </c>
      <c r="C2714" s="30" t="str">
        <f>VLOOKUP(B2714,gachas!A:C,3)</f>
        <v>ミクガチャB</v>
      </c>
      <c r="D2714" s="21">
        <v>10</v>
      </c>
      <c r="E2714" s="2">
        <f t="shared" si="452"/>
        <v>17</v>
      </c>
      <c r="F2714" s="2">
        <v>10</v>
      </c>
      <c r="G2714" s="3" t="s">
        <v>22</v>
      </c>
      <c r="H2714" s="2">
        <v>50</v>
      </c>
      <c r="I2714" s="117">
        <v>513100</v>
      </c>
      <c r="J2714" s="112" t="s">
        <v>85</v>
      </c>
      <c r="K2714" s="2" t="s">
        <v>85</v>
      </c>
      <c r="L2714" s="2">
        <v>0</v>
      </c>
      <c r="M2714" s="2" t="s">
        <v>85</v>
      </c>
      <c r="N2714" s="2" t="s">
        <v>85</v>
      </c>
      <c r="O2714" s="2" t="s">
        <v>2095</v>
      </c>
      <c r="P2714" s="2" t="s">
        <v>143</v>
      </c>
    </row>
    <row r="2715" spans="1:16" ht="22" customHeight="1" x14ac:dyDescent="0.15">
      <c r="A2715" s="10" t="str">
        <f t="shared" si="453"/>
        <v>513_10_18_10_polygon</v>
      </c>
      <c r="B2715" s="2">
        <v>513</v>
      </c>
      <c r="C2715" s="30" t="str">
        <f>VLOOKUP(B2715,gachas!A:C,3)</f>
        <v>ミクガチャB</v>
      </c>
      <c r="D2715" s="21">
        <v>10</v>
      </c>
      <c r="E2715" s="2">
        <f t="shared" si="452"/>
        <v>18</v>
      </c>
      <c r="F2715" s="2">
        <v>10</v>
      </c>
      <c r="G2715" s="3" t="s">
        <v>22</v>
      </c>
      <c r="H2715" s="2">
        <v>50</v>
      </c>
      <c r="I2715" s="117">
        <v>513100</v>
      </c>
      <c r="J2715" s="112" t="s">
        <v>85</v>
      </c>
      <c r="K2715" s="2" t="s">
        <v>85</v>
      </c>
      <c r="L2715" s="2">
        <v>0</v>
      </c>
      <c r="M2715" s="2" t="s">
        <v>85</v>
      </c>
      <c r="N2715" s="2" t="s">
        <v>85</v>
      </c>
      <c r="O2715" s="2" t="s">
        <v>2095</v>
      </c>
      <c r="P2715" s="2" t="s">
        <v>143</v>
      </c>
    </row>
    <row r="2716" spans="1:16" ht="22" customHeight="1" x14ac:dyDescent="0.15">
      <c r="A2716" s="10" t="str">
        <f t="shared" si="453"/>
        <v>513_10_19_10_polygon</v>
      </c>
      <c r="B2716" s="2">
        <v>513</v>
      </c>
      <c r="C2716" s="30" t="str">
        <f>VLOOKUP(B2716,gachas!A:C,3)</f>
        <v>ミクガチャB</v>
      </c>
      <c r="D2716" s="21">
        <v>10</v>
      </c>
      <c r="E2716" s="2">
        <f t="shared" si="452"/>
        <v>19</v>
      </c>
      <c r="F2716" s="2">
        <v>10</v>
      </c>
      <c r="G2716" s="3" t="s">
        <v>22</v>
      </c>
      <c r="H2716" s="2">
        <v>50</v>
      </c>
      <c r="I2716" s="117">
        <v>513100</v>
      </c>
      <c r="J2716" s="112" t="s">
        <v>85</v>
      </c>
      <c r="K2716" s="2" t="s">
        <v>85</v>
      </c>
      <c r="L2716" s="2">
        <v>0</v>
      </c>
      <c r="M2716" s="2" t="s">
        <v>85</v>
      </c>
      <c r="N2716" s="2" t="s">
        <v>85</v>
      </c>
      <c r="O2716" s="2" t="s">
        <v>2095</v>
      </c>
      <c r="P2716" s="2" t="s">
        <v>143</v>
      </c>
    </row>
    <row r="2717" spans="1:16" ht="22" customHeight="1" x14ac:dyDescent="0.15">
      <c r="A2717" s="10" t="str">
        <f t="shared" si="453"/>
        <v>513_10_20_10_polygon</v>
      </c>
      <c r="B2717" s="2">
        <v>513</v>
      </c>
      <c r="C2717" s="30" t="str">
        <f>VLOOKUP(B2717,gachas!A:C,3)</f>
        <v>ミクガチャB</v>
      </c>
      <c r="D2717" s="21">
        <v>10</v>
      </c>
      <c r="E2717" s="2">
        <f t="shared" si="452"/>
        <v>20</v>
      </c>
      <c r="F2717" s="2">
        <v>10</v>
      </c>
      <c r="G2717" s="3" t="s">
        <v>22</v>
      </c>
      <c r="H2717" s="2">
        <v>50</v>
      </c>
      <c r="I2717" s="117">
        <v>513100</v>
      </c>
      <c r="J2717" s="112" t="s">
        <v>85</v>
      </c>
      <c r="K2717" s="117">
        <v>513105</v>
      </c>
      <c r="L2717" s="2">
        <v>1</v>
      </c>
      <c r="M2717" s="2" t="s">
        <v>85</v>
      </c>
      <c r="N2717" s="2" t="s">
        <v>85</v>
      </c>
      <c r="O2717" s="2" t="s">
        <v>2095</v>
      </c>
      <c r="P2717" s="2" t="s">
        <v>2476</v>
      </c>
    </row>
    <row r="2718" spans="1:16" ht="22" customHeight="1" x14ac:dyDescent="0.15">
      <c r="A2718" s="10" t="str">
        <f t="shared" si="453"/>
        <v>513_10_21_10_polygon</v>
      </c>
      <c r="B2718" s="2">
        <v>513</v>
      </c>
      <c r="C2718" s="30" t="str">
        <f>VLOOKUP(B2718,gachas!A:C,3)</f>
        <v>ミクガチャB</v>
      </c>
      <c r="D2718" s="21">
        <v>10</v>
      </c>
      <c r="E2718" s="2">
        <f t="shared" si="452"/>
        <v>21</v>
      </c>
      <c r="F2718" s="2">
        <v>10</v>
      </c>
      <c r="G2718" s="3" t="s">
        <v>22</v>
      </c>
      <c r="H2718" s="2">
        <v>25</v>
      </c>
      <c r="I2718" s="117">
        <v>513100</v>
      </c>
      <c r="J2718" s="112" t="s">
        <v>85</v>
      </c>
      <c r="K2718" s="2" t="s">
        <v>85</v>
      </c>
      <c r="L2718" s="2">
        <v>0</v>
      </c>
      <c r="M2718" s="2" t="s">
        <v>85</v>
      </c>
      <c r="N2718" s="2" t="s">
        <v>85</v>
      </c>
      <c r="O2718" s="2" t="s">
        <v>2095</v>
      </c>
      <c r="P2718" s="59" t="s">
        <v>1783</v>
      </c>
    </row>
    <row r="2719" spans="1:16" ht="22" customHeight="1" x14ac:dyDescent="0.15">
      <c r="A2719" s="10" t="str">
        <f t="shared" si="453"/>
        <v>513_10_22_10_polygon</v>
      </c>
      <c r="B2719" s="2">
        <v>513</v>
      </c>
      <c r="C2719" s="30" t="str">
        <f>VLOOKUP(B2719,gachas!A:C,3)</f>
        <v>ミクガチャB</v>
      </c>
      <c r="D2719" s="21">
        <v>10</v>
      </c>
      <c r="E2719" s="2">
        <f t="shared" si="452"/>
        <v>22</v>
      </c>
      <c r="F2719" s="2">
        <v>10</v>
      </c>
      <c r="G2719" s="3" t="s">
        <v>22</v>
      </c>
      <c r="H2719" s="2">
        <v>50</v>
      </c>
      <c r="I2719" s="117">
        <v>513100</v>
      </c>
      <c r="J2719" s="112" t="s">
        <v>85</v>
      </c>
      <c r="K2719" s="2" t="s">
        <v>85</v>
      </c>
      <c r="L2719" s="2">
        <v>0</v>
      </c>
      <c r="M2719" s="2" t="s">
        <v>85</v>
      </c>
      <c r="N2719" s="2" t="s">
        <v>85</v>
      </c>
      <c r="O2719" s="2" t="s">
        <v>2095</v>
      </c>
      <c r="P2719" s="2" t="s">
        <v>143</v>
      </c>
    </row>
    <row r="2720" spans="1:16" ht="22" customHeight="1" x14ac:dyDescent="0.15">
      <c r="A2720" s="10" t="str">
        <f t="shared" si="453"/>
        <v>513_10_23_10_polygon</v>
      </c>
      <c r="B2720" s="2">
        <v>513</v>
      </c>
      <c r="C2720" s="30" t="str">
        <f>VLOOKUP(B2720,gachas!A:C,3)</f>
        <v>ミクガチャB</v>
      </c>
      <c r="D2720" s="21">
        <v>10</v>
      </c>
      <c r="E2720" s="2">
        <f t="shared" si="452"/>
        <v>23</v>
      </c>
      <c r="F2720" s="2">
        <v>10</v>
      </c>
      <c r="G2720" s="3" t="s">
        <v>22</v>
      </c>
      <c r="H2720" s="2">
        <v>50</v>
      </c>
      <c r="I2720" s="117">
        <v>513100</v>
      </c>
      <c r="J2720" s="112" t="s">
        <v>85</v>
      </c>
      <c r="K2720" s="2" t="s">
        <v>85</v>
      </c>
      <c r="L2720" s="2">
        <v>0</v>
      </c>
      <c r="M2720" s="2" t="s">
        <v>85</v>
      </c>
      <c r="N2720" s="2" t="s">
        <v>85</v>
      </c>
      <c r="O2720" s="2" t="s">
        <v>2095</v>
      </c>
      <c r="P2720" s="2" t="s">
        <v>143</v>
      </c>
    </row>
    <row r="2721" spans="1:16" ht="22" customHeight="1" x14ac:dyDescent="0.15">
      <c r="A2721" s="10" t="str">
        <f t="shared" si="453"/>
        <v>513_10_24_10_polygon</v>
      </c>
      <c r="B2721" s="2">
        <v>513</v>
      </c>
      <c r="C2721" s="30" t="str">
        <f>VLOOKUP(B2721,gachas!A:C,3)</f>
        <v>ミクガチャB</v>
      </c>
      <c r="D2721" s="21">
        <v>10</v>
      </c>
      <c r="E2721" s="2">
        <f t="shared" si="452"/>
        <v>24</v>
      </c>
      <c r="F2721" s="2">
        <v>10</v>
      </c>
      <c r="G2721" s="3" t="s">
        <v>22</v>
      </c>
      <c r="H2721" s="2">
        <v>50</v>
      </c>
      <c r="I2721" s="117">
        <v>513100</v>
      </c>
      <c r="J2721" s="112" t="s">
        <v>85</v>
      </c>
      <c r="K2721" s="2" t="s">
        <v>85</v>
      </c>
      <c r="L2721" s="2">
        <v>0</v>
      </c>
      <c r="M2721" s="2" t="s">
        <v>85</v>
      </c>
      <c r="N2721" s="2" t="s">
        <v>85</v>
      </c>
      <c r="O2721" s="2" t="s">
        <v>2095</v>
      </c>
      <c r="P2721" s="2" t="s">
        <v>143</v>
      </c>
    </row>
    <row r="2722" spans="1:16" ht="22" customHeight="1" x14ac:dyDescent="0.15">
      <c r="A2722" s="10" t="str">
        <f t="shared" si="453"/>
        <v>513_10_25_10_polygon</v>
      </c>
      <c r="B2722" s="2">
        <v>513</v>
      </c>
      <c r="C2722" s="30" t="str">
        <f>VLOOKUP(B2722,gachas!A:C,3)</f>
        <v>ミクガチャB</v>
      </c>
      <c r="D2722" s="21">
        <v>10</v>
      </c>
      <c r="E2722" s="2">
        <f t="shared" si="452"/>
        <v>25</v>
      </c>
      <c r="F2722" s="2">
        <v>10</v>
      </c>
      <c r="G2722" s="3" t="s">
        <v>22</v>
      </c>
      <c r="H2722" s="2">
        <v>50</v>
      </c>
      <c r="I2722" s="117">
        <v>513100</v>
      </c>
      <c r="J2722" s="112" t="s">
        <v>85</v>
      </c>
      <c r="K2722" s="117">
        <v>513105</v>
      </c>
      <c r="L2722" s="2">
        <v>1</v>
      </c>
      <c r="M2722" s="2" t="s">
        <v>85</v>
      </c>
      <c r="N2722" s="2" t="s">
        <v>85</v>
      </c>
      <c r="O2722" s="2" t="s">
        <v>2095</v>
      </c>
      <c r="P2722" s="2" t="s">
        <v>2476</v>
      </c>
    </row>
    <row r="2723" spans="1:16" ht="22" customHeight="1" x14ac:dyDescent="0.15">
      <c r="A2723" s="10" t="str">
        <f t="shared" si="453"/>
        <v>513_10_26_10_polygon</v>
      </c>
      <c r="B2723" s="2">
        <v>513</v>
      </c>
      <c r="C2723" s="30" t="str">
        <f>VLOOKUP(B2723,gachas!A:C,3)</f>
        <v>ミクガチャB</v>
      </c>
      <c r="D2723" s="21">
        <v>10</v>
      </c>
      <c r="E2723" s="2">
        <f t="shared" si="452"/>
        <v>26</v>
      </c>
      <c r="F2723" s="2">
        <v>10</v>
      </c>
      <c r="G2723" s="3" t="s">
        <v>22</v>
      </c>
      <c r="H2723" s="2">
        <v>25</v>
      </c>
      <c r="I2723" s="117">
        <v>513100</v>
      </c>
      <c r="J2723" s="112" t="s">
        <v>85</v>
      </c>
      <c r="K2723" s="2" t="s">
        <v>85</v>
      </c>
      <c r="L2723" s="2">
        <v>0</v>
      </c>
      <c r="M2723" s="2" t="s">
        <v>85</v>
      </c>
      <c r="N2723" s="2" t="s">
        <v>85</v>
      </c>
      <c r="O2723" s="2" t="s">
        <v>2095</v>
      </c>
      <c r="P2723" s="59" t="s">
        <v>1783</v>
      </c>
    </row>
    <row r="2724" spans="1:16" ht="22" customHeight="1" x14ac:dyDescent="0.15">
      <c r="A2724" s="10" t="str">
        <f t="shared" si="453"/>
        <v>513_10_27_10_polygon</v>
      </c>
      <c r="B2724" s="2">
        <v>513</v>
      </c>
      <c r="C2724" s="30" t="str">
        <f>VLOOKUP(B2724,gachas!A:C,3)</f>
        <v>ミクガチャB</v>
      </c>
      <c r="D2724" s="21">
        <v>10</v>
      </c>
      <c r="E2724" s="2">
        <f t="shared" si="452"/>
        <v>27</v>
      </c>
      <c r="F2724" s="2">
        <v>10</v>
      </c>
      <c r="G2724" s="3" t="s">
        <v>22</v>
      </c>
      <c r="H2724" s="2">
        <v>50</v>
      </c>
      <c r="I2724" s="117">
        <v>513100</v>
      </c>
      <c r="J2724" s="112" t="s">
        <v>85</v>
      </c>
      <c r="K2724" s="2" t="s">
        <v>85</v>
      </c>
      <c r="L2724" s="2">
        <v>0</v>
      </c>
      <c r="M2724" s="2" t="s">
        <v>85</v>
      </c>
      <c r="N2724" s="2" t="s">
        <v>85</v>
      </c>
      <c r="O2724" s="2" t="s">
        <v>2095</v>
      </c>
      <c r="P2724" s="2" t="s">
        <v>143</v>
      </c>
    </row>
    <row r="2725" spans="1:16" ht="22" customHeight="1" x14ac:dyDescent="0.15">
      <c r="A2725" s="10" t="str">
        <f t="shared" si="453"/>
        <v>513_10_28_10_polygon</v>
      </c>
      <c r="B2725" s="2">
        <v>513</v>
      </c>
      <c r="C2725" s="30" t="str">
        <f>VLOOKUP(B2725,gachas!A:C,3)</f>
        <v>ミクガチャB</v>
      </c>
      <c r="D2725" s="21">
        <v>10</v>
      </c>
      <c r="E2725" s="2">
        <f t="shared" si="452"/>
        <v>28</v>
      </c>
      <c r="F2725" s="2">
        <v>10</v>
      </c>
      <c r="G2725" s="3" t="s">
        <v>22</v>
      </c>
      <c r="H2725" s="2">
        <v>50</v>
      </c>
      <c r="I2725" s="117">
        <v>513100</v>
      </c>
      <c r="J2725" s="112" t="s">
        <v>85</v>
      </c>
      <c r="K2725" s="2" t="s">
        <v>85</v>
      </c>
      <c r="L2725" s="2">
        <v>0</v>
      </c>
      <c r="M2725" s="2" t="s">
        <v>85</v>
      </c>
      <c r="N2725" s="2" t="s">
        <v>85</v>
      </c>
      <c r="O2725" s="2" t="s">
        <v>2095</v>
      </c>
      <c r="P2725" s="2" t="s">
        <v>143</v>
      </c>
    </row>
    <row r="2726" spans="1:16" ht="22" customHeight="1" x14ac:dyDescent="0.15">
      <c r="A2726" s="10" t="str">
        <f t="shared" si="453"/>
        <v>513_10_29_10_polygon</v>
      </c>
      <c r="B2726" s="2">
        <v>513</v>
      </c>
      <c r="C2726" s="30" t="str">
        <f>VLOOKUP(B2726,gachas!A:C,3)</f>
        <v>ミクガチャB</v>
      </c>
      <c r="D2726" s="21">
        <v>10</v>
      </c>
      <c r="E2726" s="2">
        <f t="shared" si="452"/>
        <v>29</v>
      </c>
      <c r="F2726" s="2">
        <v>10</v>
      </c>
      <c r="G2726" s="3" t="s">
        <v>22</v>
      </c>
      <c r="H2726" s="2">
        <v>50</v>
      </c>
      <c r="I2726" s="117">
        <v>513100</v>
      </c>
      <c r="J2726" s="112" t="s">
        <v>85</v>
      </c>
      <c r="K2726" s="2" t="s">
        <v>85</v>
      </c>
      <c r="L2726" s="2">
        <v>0</v>
      </c>
      <c r="M2726" s="2" t="s">
        <v>85</v>
      </c>
      <c r="N2726" s="2" t="s">
        <v>85</v>
      </c>
      <c r="O2726" s="2" t="s">
        <v>2095</v>
      </c>
      <c r="P2726" s="2" t="s">
        <v>143</v>
      </c>
    </row>
    <row r="2727" spans="1:16" ht="22" customHeight="1" x14ac:dyDescent="0.15">
      <c r="A2727" s="10" t="str">
        <f t="shared" si="453"/>
        <v>513_10_30_10_polygon</v>
      </c>
      <c r="B2727" s="2">
        <v>513</v>
      </c>
      <c r="C2727" s="30" t="str">
        <f>VLOOKUP(B2727,gachas!A:C,3)</f>
        <v>ミクガチャB</v>
      </c>
      <c r="D2727" s="21">
        <v>10</v>
      </c>
      <c r="E2727" s="2">
        <f t="shared" si="452"/>
        <v>30</v>
      </c>
      <c r="F2727" s="2">
        <v>10</v>
      </c>
      <c r="G2727" s="3" t="s">
        <v>22</v>
      </c>
      <c r="H2727" s="2">
        <v>50</v>
      </c>
      <c r="I2727" s="117">
        <v>513100</v>
      </c>
      <c r="J2727" s="112" t="s">
        <v>85</v>
      </c>
      <c r="K2727" s="117">
        <v>513105</v>
      </c>
      <c r="L2727" s="2">
        <v>1</v>
      </c>
      <c r="M2727" s="2" t="s">
        <v>85</v>
      </c>
      <c r="N2727" s="2" t="s">
        <v>85</v>
      </c>
      <c r="O2727" s="2" t="s">
        <v>2095</v>
      </c>
      <c r="P2727" s="2" t="s">
        <v>2476</v>
      </c>
    </row>
    <row r="2728" spans="1:16" ht="22" customHeight="1" x14ac:dyDescent="0.15">
      <c r="A2728" s="10" t="str">
        <f t="shared" si="453"/>
        <v>513_10_31_10_polygon</v>
      </c>
      <c r="B2728" s="2">
        <v>513</v>
      </c>
      <c r="C2728" s="30" t="str">
        <f>VLOOKUP(B2728,gachas!A:C,3)</f>
        <v>ミクガチャB</v>
      </c>
      <c r="D2728" s="21">
        <v>10</v>
      </c>
      <c r="E2728" s="2">
        <f t="shared" si="452"/>
        <v>31</v>
      </c>
      <c r="F2728" s="2">
        <v>10</v>
      </c>
      <c r="G2728" s="3" t="s">
        <v>22</v>
      </c>
      <c r="H2728" s="2">
        <v>25</v>
      </c>
      <c r="I2728" s="117">
        <v>513100</v>
      </c>
      <c r="J2728" s="112" t="s">
        <v>85</v>
      </c>
      <c r="K2728" s="2" t="s">
        <v>85</v>
      </c>
      <c r="L2728" s="2">
        <v>0</v>
      </c>
      <c r="M2728" s="2" t="s">
        <v>85</v>
      </c>
      <c r="N2728" s="2" t="s">
        <v>85</v>
      </c>
      <c r="O2728" s="2" t="s">
        <v>2095</v>
      </c>
      <c r="P2728" s="59" t="s">
        <v>1783</v>
      </c>
    </row>
    <row r="2729" spans="1:16" ht="22" customHeight="1" x14ac:dyDescent="0.15">
      <c r="A2729" s="10" t="str">
        <f t="shared" si="453"/>
        <v>513_10_32_10_polygon</v>
      </c>
      <c r="B2729" s="2">
        <v>513</v>
      </c>
      <c r="C2729" s="30" t="str">
        <f>VLOOKUP(B2729,gachas!A:C,3)</f>
        <v>ミクガチャB</v>
      </c>
      <c r="D2729" s="21">
        <v>10</v>
      </c>
      <c r="E2729" s="2">
        <f t="shared" si="452"/>
        <v>32</v>
      </c>
      <c r="F2729" s="2">
        <v>10</v>
      </c>
      <c r="G2729" s="3" t="s">
        <v>22</v>
      </c>
      <c r="H2729" s="2">
        <v>50</v>
      </c>
      <c r="I2729" s="117">
        <v>513100</v>
      </c>
      <c r="J2729" s="112" t="s">
        <v>85</v>
      </c>
      <c r="K2729" s="2" t="s">
        <v>85</v>
      </c>
      <c r="L2729" s="2">
        <v>0</v>
      </c>
      <c r="M2729" s="2" t="s">
        <v>85</v>
      </c>
      <c r="N2729" s="2" t="s">
        <v>85</v>
      </c>
      <c r="O2729" s="2" t="s">
        <v>2095</v>
      </c>
      <c r="P2729" s="2" t="s">
        <v>143</v>
      </c>
    </row>
    <row r="2730" spans="1:16" ht="22" customHeight="1" x14ac:dyDescent="0.15">
      <c r="A2730" s="10" t="str">
        <f t="shared" si="453"/>
        <v>513_10_33_10_polygon</v>
      </c>
      <c r="B2730" s="2">
        <v>513</v>
      </c>
      <c r="C2730" s="30" t="str">
        <f>VLOOKUP(B2730,gachas!A:C,3)</f>
        <v>ミクガチャB</v>
      </c>
      <c r="D2730" s="21">
        <v>10</v>
      </c>
      <c r="E2730" s="2">
        <f t="shared" si="452"/>
        <v>33</v>
      </c>
      <c r="F2730" s="2">
        <v>10</v>
      </c>
      <c r="G2730" s="3" t="s">
        <v>22</v>
      </c>
      <c r="H2730" s="2">
        <v>50</v>
      </c>
      <c r="I2730" s="117">
        <v>513100</v>
      </c>
      <c r="J2730" s="112" t="s">
        <v>85</v>
      </c>
      <c r="K2730" s="2" t="s">
        <v>85</v>
      </c>
      <c r="L2730" s="2">
        <v>0</v>
      </c>
      <c r="M2730" s="2" t="s">
        <v>85</v>
      </c>
      <c r="N2730" s="2" t="s">
        <v>85</v>
      </c>
      <c r="O2730" s="2" t="s">
        <v>2095</v>
      </c>
      <c r="P2730" s="2" t="s">
        <v>143</v>
      </c>
    </row>
    <row r="2731" spans="1:16" ht="22" customHeight="1" x14ac:dyDescent="0.15">
      <c r="A2731" s="10" t="str">
        <f t="shared" si="453"/>
        <v>513_10_34_10_polygon</v>
      </c>
      <c r="B2731" s="2">
        <v>513</v>
      </c>
      <c r="C2731" s="30" t="str">
        <f>VLOOKUP(B2731,gachas!A:C,3)</f>
        <v>ミクガチャB</v>
      </c>
      <c r="D2731" s="21">
        <v>10</v>
      </c>
      <c r="E2731" s="2">
        <f t="shared" si="452"/>
        <v>34</v>
      </c>
      <c r="F2731" s="2">
        <v>10</v>
      </c>
      <c r="G2731" s="3" t="s">
        <v>22</v>
      </c>
      <c r="H2731" s="2">
        <v>50</v>
      </c>
      <c r="I2731" s="117">
        <v>513100</v>
      </c>
      <c r="J2731" s="112" t="s">
        <v>85</v>
      </c>
      <c r="K2731" s="2" t="s">
        <v>85</v>
      </c>
      <c r="L2731" s="2">
        <v>0</v>
      </c>
      <c r="M2731" s="2" t="s">
        <v>85</v>
      </c>
      <c r="N2731" s="2" t="s">
        <v>85</v>
      </c>
      <c r="O2731" s="2" t="s">
        <v>2095</v>
      </c>
      <c r="P2731" s="2" t="s">
        <v>143</v>
      </c>
    </row>
    <row r="2732" spans="1:16" ht="22" customHeight="1" x14ac:dyDescent="0.15">
      <c r="A2732" s="10" t="str">
        <f t="shared" si="453"/>
        <v>513_10_35_10_polygon</v>
      </c>
      <c r="B2732" s="2">
        <v>513</v>
      </c>
      <c r="C2732" s="30" t="str">
        <f>VLOOKUP(B2732,gachas!A:C,3)</f>
        <v>ミクガチャB</v>
      </c>
      <c r="D2732" s="21">
        <v>10</v>
      </c>
      <c r="E2732" s="2">
        <f t="shared" si="452"/>
        <v>35</v>
      </c>
      <c r="F2732" s="2">
        <v>10</v>
      </c>
      <c r="G2732" s="3" t="s">
        <v>22</v>
      </c>
      <c r="H2732" s="2">
        <v>50</v>
      </c>
      <c r="I2732" s="117">
        <v>513100</v>
      </c>
      <c r="J2732" s="112" t="s">
        <v>85</v>
      </c>
      <c r="K2732" s="117">
        <v>513105</v>
      </c>
      <c r="L2732" s="2">
        <v>1</v>
      </c>
      <c r="M2732" s="2" t="s">
        <v>85</v>
      </c>
      <c r="N2732" s="2" t="s">
        <v>85</v>
      </c>
      <c r="O2732" s="2" t="s">
        <v>2095</v>
      </c>
      <c r="P2732" s="2" t="s">
        <v>2476</v>
      </c>
    </row>
    <row r="2733" spans="1:16" ht="22" customHeight="1" x14ac:dyDescent="0.15">
      <c r="A2733" s="10" t="str">
        <f t="shared" si="453"/>
        <v>513_10_36_10_polygon</v>
      </c>
      <c r="B2733" s="2">
        <v>513</v>
      </c>
      <c r="C2733" s="30" t="str">
        <f>VLOOKUP(B2733,gachas!A:C,3)</f>
        <v>ミクガチャB</v>
      </c>
      <c r="D2733" s="21">
        <v>10</v>
      </c>
      <c r="E2733" s="2">
        <f t="shared" si="452"/>
        <v>36</v>
      </c>
      <c r="F2733" s="2">
        <v>10</v>
      </c>
      <c r="G2733" s="3" t="s">
        <v>22</v>
      </c>
      <c r="H2733" s="2">
        <v>25</v>
      </c>
      <c r="I2733" s="117">
        <v>513100</v>
      </c>
      <c r="J2733" s="112" t="s">
        <v>85</v>
      </c>
      <c r="K2733" s="2" t="s">
        <v>85</v>
      </c>
      <c r="L2733" s="2">
        <v>0</v>
      </c>
      <c r="M2733" s="2" t="s">
        <v>85</v>
      </c>
      <c r="N2733" s="2" t="s">
        <v>85</v>
      </c>
      <c r="O2733" s="2" t="s">
        <v>2095</v>
      </c>
      <c r="P2733" s="59" t="s">
        <v>1783</v>
      </c>
    </row>
    <row r="2734" spans="1:16" ht="22" customHeight="1" x14ac:dyDescent="0.15">
      <c r="A2734" s="10" t="str">
        <f t="shared" si="453"/>
        <v>513_10_37_10_polygon</v>
      </c>
      <c r="B2734" s="2">
        <v>513</v>
      </c>
      <c r="C2734" s="30" t="str">
        <f>VLOOKUP(B2734,gachas!A:C,3)</f>
        <v>ミクガチャB</v>
      </c>
      <c r="D2734" s="21">
        <v>10</v>
      </c>
      <c r="E2734" s="2">
        <f t="shared" si="452"/>
        <v>37</v>
      </c>
      <c r="F2734" s="2">
        <v>10</v>
      </c>
      <c r="G2734" s="3" t="s">
        <v>22</v>
      </c>
      <c r="H2734" s="2">
        <v>50</v>
      </c>
      <c r="I2734" s="117">
        <v>513100</v>
      </c>
      <c r="J2734" s="112" t="s">
        <v>85</v>
      </c>
      <c r="K2734" s="2" t="s">
        <v>85</v>
      </c>
      <c r="L2734" s="2">
        <v>0</v>
      </c>
      <c r="M2734" s="2" t="s">
        <v>85</v>
      </c>
      <c r="N2734" s="2" t="s">
        <v>85</v>
      </c>
      <c r="O2734" s="2" t="s">
        <v>2095</v>
      </c>
      <c r="P2734" s="2" t="s">
        <v>143</v>
      </c>
    </row>
    <row r="2735" spans="1:16" ht="22" customHeight="1" x14ac:dyDescent="0.15">
      <c r="A2735" s="10" t="str">
        <f t="shared" si="453"/>
        <v>513_10_38_10_polygon</v>
      </c>
      <c r="B2735" s="2">
        <v>513</v>
      </c>
      <c r="C2735" s="30" t="str">
        <f>VLOOKUP(B2735,gachas!A:C,3)</f>
        <v>ミクガチャB</v>
      </c>
      <c r="D2735" s="21">
        <v>10</v>
      </c>
      <c r="E2735" s="2">
        <f t="shared" si="452"/>
        <v>38</v>
      </c>
      <c r="F2735" s="2">
        <v>10</v>
      </c>
      <c r="G2735" s="3" t="s">
        <v>22</v>
      </c>
      <c r="H2735" s="2">
        <v>50</v>
      </c>
      <c r="I2735" s="117">
        <v>513100</v>
      </c>
      <c r="J2735" s="112" t="s">
        <v>85</v>
      </c>
      <c r="K2735" s="2" t="s">
        <v>85</v>
      </c>
      <c r="L2735" s="2">
        <v>0</v>
      </c>
      <c r="M2735" s="2" t="s">
        <v>85</v>
      </c>
      <c r="N2735" s="2" t="s">
        <v>85</v>
      </c>
      <c r="O2735" s="2" t="s">
        <v>2095</v>
      </c>
      <c r="P2735" s="2" t="s">
        <v>143</v>
      </c>
    </row>
    <row r="2736" spans="1:16" ht="22" customHeight="1" x14ac:dyDescent="0.15">
      <c r="A2736" s="10" t="str">
        <f t="shared" si="453"/>
        <v>513_10_39_10_polygon</v>
      </c>
      <c r="B2736" s="2">
        <v>513</v>
      </c>
      <c r="C2736" s="30" t="str">
        <f>VLOOKUP(B2736,gachas!A:C,3)</f>
        <v>ミクガチャB</v>
      </c>
      <c r="D2736" s="21">
        <v>10</v>
      </c>
      <c r="E2736" s="2">
        <f t="shared" si="452"/>
        <v>39</v>
      </c>
      <c r="F2736" s="2">
        <v>10</v>
      </c>
      <c r="G2736" s="3" t="s">
        <v>22</v>
      </c>
      <c r="H2736" s="2">
        <v>50</v>
      </c>
      <c r="I2736" s="117">
        <v>513100</v>
      </c>
      <c r="J2736" s="112" t="s">
        <v>85</v>
      </c>
      <c r="K2736" s="2" t="s">
        <v>85</v>
      </c>
      <c r="L2736" s="2">
        <v>0</v>
      </c>
      <c r="M2736" s="2" t="s">
        <v>85</v>
      </c>
      <c r="N2736" s="2" t="s">
        <v>85</v>
      </c>
      <c r="O2736" s="2" t="s">
        <v>2095</v>
      </c>
      <c r="P2736" s="2" t="s">
        <v>143</v>
      </c>
    </row>
    <row r="2737" spans="1:16" ht="22" customHeight="1" x14ac:dyDescent="0.15">
      <c r="A2737" s="10" t="str">
        <f t="shared" si="453"/>
        <v>513_10_40_10_polygon</v>
      </c>
      <c r="B2737" s="2">
        <v>513</v>
      </c>
      <c r="C2737" s="30" t="str">
        <f>VLOOKUP(B2737,gachas!A:C,3)</f>
        <v>ミクガチャB</v>
      </c>
      <c r="D2737" s="21">
        <v>10</v>
      </c>
      <c r="E2737" s="2">
        <f t="shared" si="452"/>
        <v>40</v>
      </c>
      <c r="F2737" s="2">
        <v>10</v>
      </c>
      <c r="G2737" s="3" t="s">
        <v>22</v>
      </c>
      <c r="H2737" s="2">
        <v>50</v>
      </c>
      <c r="I2737" s="117">
        <v>513100</v>
      </c>
      <c r="J2737" s="112" t="s">
        <v>85</v>
      </c>
      <c r="K2737" s="117">
        <v>513105</v>
      </c>
      <c r="L2737" s="2">
        <v>1</v>
      </c>
      <c r="M2737" s="2" t="s">
        <v>85</v>
      </c>
      <c r="N2737" s="2" t="s">
        <v>85</v>
      </c>
      <c r="O2737" s="2" t="s">
        <v>2095</v>
      </c>
      <c r="P2737" s="2" t="s">
        <v>2476</v>
      </c>
    </row>
    <row r="2738" spans="1:16" ht="22" customHeight="1" x14ac:dyDescent="0.15">
      <c r="A2738" s="10" t="str">
        <f t="shared" si="453"/>
        <v>513_10_41_10_polygon</v>
      </c>
      <c r="B2738" s="2">
        <v>513</v>
      </c>
      <c r="C2738" s="30" t="str">
        <f>VLOOKUP(B2738,gachas!A:C,3)</f>
        <v>ミクガチャB</v>
      </c>
      <c r="D2738" s="21">
        <v>10</v>
      </c>
      <c r="E2738" s="2">
        <f t="shared" si="452"/>
        <v>41</v>
      </c>
      <c r="F2738" s="2">
        <v>10</v>
      </c>
      <c r="G2738" s="3" t="s">
        <v>22</v>
      </c>
      <c r="H2738" s="2">
        <v>25</v>
      </c>
      <c r="I2738" s="117">
        <v>513100</v>
      </c>
      <c r="J2738" s="112" t="s">
        <v>85</v>
      </c>
      <c r="K2738" s="2" t="s">
        <v>85</v>
      </c>
      <c r="L2738" s="2">
        <v>0</v>
      </c>
      <c r="M2738" s="2" t="s">
        <v>85</v>
      </c>
      <c r="N2738" s="2" t="s">
        <v>85</v>
      </c>
      <c r="O2738" s="2" t="s">
        <v>2095</v>
      </c>
      <c r="P2738" s="59" t="s">
        <v>1783</v>
      </c>
    </row>
    <row r="2739" spans="1:16" ht="22" customHeight="1" x14ac:dyDescent="0.15">
      <c r="A2739" s="10" t="str">
        <f t="shared" si="453"/>
        <v>513_10_42_10_polygon</v>
      </c>
      <c r="B2739" s="2">
        <v>513</v>
      </c>
      <c r="C2739" s="30" t="str">
        <f>VLOOKUP(B2739,gachas!A:C,3)</f>
        <v>ミクガチャB</v>
      </c>
      <c r="D2739" s="21">
        <v>10</v>
      </c>
      <c r="E2739" s="2">
        <f t="shared" si="452"/>
        <v>42</v>
      </c>
      <c r="F2739" s="2">
        <v>10</v>
      </c>
      <c r="G2739" s="3" t="s">
        <v>22</v>
      </c>
      <c r="H2739" s="2">
        <v>50</v>
      </c>
      <c r="I2739" s="117">
        <v>513100</v>
      </c>
      <c r="J2739" s="112" t="s">
        <v>85</v>
      </c>
      <c r="K2739" s="2" t="s">
        <v>85</v>
      </c>
      <c r="L2739" s="2">
        <v>0</v>
      </c>
      <c r="M2739" s="2" t="s">
        <v>85</v>
      </c>
      <c r="N2739" s="2" t="s">
        <v>85</v>
      </c>
      <c r="O2739" s="2" t="s">
        <v>2095</v>
      </c>
      <c r="P2739" s="2" t="s">
        <v>143</v>
      </c>
    </row>
    <row r="2740" spans="1:16" ht="22" customHeight="1" x14ac:dyDescent="0.15">
      <c r="A2740" s="10" t="str">
        <f t="shared" si="453"/>
        <v>513_10_43_10_polygon</v>
      </c>
      <c r="B2740" s="2">
        <v>513</v>
      </c>
      <c r="C2740" s="30" t="str">
        <f>VLOOKUP(B2740,gachas!A:C,3)</f>
        <v>ミクガチャB</v>
      </c>
      <c r="D2740" s="21">
        <v>10</v>
      </c>
      <c r="E2740" s="2">
        <f t="shared" si="452"/>
        <v>43</v>
      </c>
      <c r="F2740" s="2">
        <v>10</v>
      </c>
      <c r="G2740" s="3" t="s">
        <v>22</v>
      </c>
      <c r="H2740" s="2">
        <v>50</v>
      </c>
      <c r="I2740" s="117">
        <v>513100</v>
      </c>
      <c r="J2740" s="112" t="s">
        <v>85</v>
      </c>
      <c r="K2740" s="2" t="s">
        <v>85</v>
      </c>
      <c r="L2740" s="2">
        <v>0</v>
      </c>
      <c r="M2740" s="2" t="s">
        <v>85</v>
      </c>
      <c r="N2740" s="2" t="s">
        <v>85</v>
      </c>
      <c r="O2740" s="2" t="s">
        <v>2095</v>
      </c>
      <c r="P2740" s="2" t="s">
        <v>143</v>
      </c>
    </row>
    <row r="2741" spans="1:16" ht="22" customHeight="1" x14ac:dyDescent="0.15">
      <c r="A2741" s="10" t="str">
        <f t="shared" si="453"/>
        <v>513_10_44_10_polygon</v>
      </c>
      <c r="B2741" s="2">
        <v>513</v>
      </c>
      <c r="C2741" s="30" t="str">
        <f>VLOOKUP(B2741,gachas!A:C,3)</f>
        <v>ミクガチャB</v>
      </c>
      <c r="D2741" s="21">
        <v>10</v>
      </c>
      <c r="E2741" s="2">
        <f t="shared" si="452"/>
        <v>44</v>
      </c>
      <c r="F2741" s="2">
        <v>10</v>
      </c>
      <c r="G2741" s="3" t="s">
        <v>22</v>
      </c>
      <c r="H2741" s="2">
        <v>50</v>
      </c>
      <c r="I2741" s="117">
        <v>513100</v>
      </c>
      <c r="J2741" s="112" t="s">
        <v>85</v>
      </c>
      <c r="K2741" s="2" t="s">
        <v>85</v>
      </c>
      <c r="L2741" s="2">
        <v>0</v>
      </c>
      <c r="M2741" s="2" t="s">
        <v>85</v>
      </c>
      <c r="N2741" s="2" t="s">
        <v>85</v>
      </c>
      <c r="O2741" s="2" t="s">
        <v>2095</v>
      </c>
      <c r="P2741" s="2" t="s">
        <v>143</v>
      </c>
    </row>
    <row r="2742" spans="1:16" ht="22" customHeight="1" x14ac:dyDescent="0.15">
      <c r="A2742" s="10" t="str">
        <f t="shared" si="453"/>
        <v>513_10_45_10_polygon</v>
      </c>
      <c r="B2742" s="2">
        <v>513</v>
      </c>
      <c r="C2742" s="30" t="str">
        <f>VLOOKUP(B2742,gachas!A:C,3)</f>
        <v>ミクガチャB</v>
      </c>
      <c r="D2742" s="21">
        <v>10</v>
      </c>
      <c r="E2742" s="2">
        <f t="shared" si="452"/>
        <v>45</v>
      </c>
      <c r="F2742" s="2">
        <v>10</v>
      </c>
      <c r="G2742" s="3" t="s">
        <v>22</v>
      </c>
      <c r="H2742" s="2">
        <v>50</v>
      </c>
      <c r="I2742" s="117">
        <v>513100</v>
      </c>
      <c r="J2742" s="112" t="s">
        <v>85</v>
      </c>
      <c r="K2742" s="117">
        <v>513105</v>
      </c>
      <c r="L2742" s="2">
        <v>1</v>
      </c>
      <c r="M2742" s="2" t="s">
        <v>85</v>
      </c>
      <c r="N2742" s="2" t="s">
        <v>85</v>
      </c>
      <c r="O2742" s="2" t="s">
        <v>2095</v>
      </c>
      <c r="P2742" s="2" t="s">
        <v>2476</v>
      </c>
    </row>
    <row r="2743" spans="1:16" ht="22" customHeight="1" x14ac:dyDescent="0.15">
      <c r="A2743" s="10" t="str">
        <f t="shared" si="453"/>
        <v>513_10_46_10_polygon</v>
      </c>
      <c r="B2743" s="2">
        <v>513</v>
      </c>
      <c r="C2743" s="30" t="str">
        <f>VLOOKUP(B2743,gachas!A:C,3)</f>
        <v>ミクガチャB</v>
      </c>
      <c r="D2743" s="21">
        <v>10</v>
      </c>
      <c r="E2743" s="2">
        <f t="shared" si="452"/>
        <v>46</v>
      </c>
      <c r="F2743" s="2">
        <v>10</v>
      </c>
      <c r="G2743" s="3" t="s">
        <v>22</v>
      </c>
      <c r="H2743" s="2">
        <v>25</v>
      </c>
      <c r="I2743" s="117">
        <v>513100</v>
      </c>
      <c r="J2743" s="112" t="s">
        <v>85</v>
      </c>
      <c r="K2743" s="2" t="s">
        <v>85</v>
      </c>
      <c r="L2743" s="2">
        <v>0</v>
      </c>
      <c r="M2743" s="2" t="s">
        <v>85</v>
      </c>
      <c r="N2743" s="2" t="s">
        <v>85</v>
      </c>
      <c r="O2743" s="2" t="s">
        <v>2095</v>
      </c>
      <c r="P2743" s="59" t="s">
        <v>1783</v>
      </c>
    </row>
    <row r="2744" spans="1:16" ht="22" customHeight="1" x14ac:dyDescent="0.15">
      <c r="A2744" s="10" t="str">
        <f t="shared" si="453"/>
        <v>513_10_47_10_polygon</v>
      </c>
      <c r="B2744" s="2">
        <v>513</v>
      </c>
      <c r="C2744" s="30" t="str">
        <f>VLOOKUP(B2744,gachas!A:C,3)</f>
        <v>ミクガチャB</v>
      </c>
      <c r="D2744" s="21">
        <v>10</v>
      </c>
      <c r="E2744" s="2">
        <f t="shared" si="452"/>
        <v>47</v>
      </c>
      <c r="F2744" s="2">
        <v>10</v>
      </c>
      <c r="G2744" s="3" t="s">
        <v>22</v>
      </c>
      <c r="H2744" s="2">
        <v>50</v>
      </c>
      <c r="I2744" s="117">
        <v>513100</v>
      </c>
      <c r="J2744" s="112" t="s">
        <v>85</v>
      </c>
      <c r="K2744" s="2" t="s">
        <v>85</v>
      </c>
      <c r="L2744" s="2">
        <v>0</v>
      </c>
      <c r="M2744" s="2" t="s">
        <v>85</v>
      </c>
      <c r="N2744" s="2" t="s">
        <v>85</v>
      </c>
      <c r="O2744" s="2" t="s">
        <v>2095</v>
      </c>
      <c r="P2744" s="2" t="s">
        <v>143</v>
      </c>
    </row>
    <row r="2745" spans="1:16" ht="22" customHeight="1" x14ac:dyDescent="0.15">
      <c r="A2745" s="10" t="str">
        <f t="shared" si="453"/>
        <v>513_10_48_10_polygon</v>
      </c>
      <c r="B2745" s="2">
        <v>513</v>
      </c>
      <c r="C2745" s="30" t="str">
        <f>VLOOKUP(B2745,gachas!A:C,3)</f>
        <v>ミクガチャB</v>
      </c>
      <c r="D2745" s="21">
        <v>10</v>
      </c>
      <c r="E2745" s="2">
        <f t="shared" si="452"/>
        <v>48</v>
      </c>
      <c r="F2745" s="2">
        <v>10</v>
      </c>
      <c r="G2745" s="3" t="s">
        <v>22</v>
      </c>
      <c r="H2745" s="2">
        <v>50</v>
      </c>
      <c r="I2745" s="117">
        <v>513100</v>
      </c>
      <c r="J2745" s="112" t="s">
        <v>85</v>
      </c>
      <c r="K2745" s="2" t="s">
        <v>85</v>
      </c>
      <c r="L2745" s="2">
        <v>0</v>
      </c>
      <c r="M2745" s="2" t="s">
        <v>85</v>
      </c>
      <c r="N2745" s="2" t="s">
        <v>85</v>
      </c>
      <c r="O2745" s="2" t="s">
        <v>2095</v>
      </c>
      <c r="P2745" s="2" t="s">
        <v>143</v>
      </c>
    </row>
    <row r="2746" spans="1:16" ht="22" customHeight="1" x14ac:dyDescent="0.15">
      <c r="A2746" s="10" t="str">
        <f t="shared" si="453"/>
        <v>513_10_49_10_polygon</v>
      </c>
      <c r="B2746" s="2">
        <v>513</v>
      </c>
      <c r="C2746" s="30" t="str">
        <f>VLOOKUP(B2746,gachas!A:C,3)</f>
        <v>ミクガチャB</v>
      </c>
      <c r="D2746" s="21">
        <v>10</v>
      </c>
      <c r="E2746" s="2">
        <f t="shared" si="452"/>
        <v>49</v>
      </c>
      <c r="F2746" s="2">
        <v>10</v>
      </c>
      <c r="G2746" s="3" t="s">
        <v>22</v>
      </c>
      <c r="H2746" s="2">
        <v>50</v>
      </c>
      <c r="I2746" s="117">
        <v>513100</v>
      </c>
      <c r="J2746" s="112" t="s">
        <v>85</v>
      </c>
      <c r="K2746" s="2" t="s">
        <v>85</v>
      </c>
      <c r="L2746" s="2">
        <v>0</v>
      </c>
      <c r="M2746" s="2" t="s">
        <v>85</v>
      </c>
      <c r="N2746" s="2" t="s">
        <v>85</v>
      </c>
      <c r="O2746" s="2" t="s">
        <v>2095</v>
      </c>
      <c r="P2746" s="2" t="s">
        <v>143</v>
      </c>
    </row>
    <row r="2747" spans="1:16" ht="22" customHeight="1" x14ac:dyDescent="0.15">
      <c r="A2747" s="10" t="str">
        <f t="shared" si="453"/>
        <v>513_10_50_10_polygon</v>
      </c>
      <c r="B2747" s="2">
        <v>513</v>
      </c>
      <c r="C2747" s="30" t="str">
        <f>VLOOKUP(B2747,gachas!A:C,3)</f>
        <v>ミクガチャB</v>
      </c>
      <c r="D2747" s="21">
        <v>10</v>
      </c>
      <c r="E2747" s="2">
        <f t="shared" si="452"/>
        <v>50</v>
      </c>
      <c r="F2747" s="2">
        <v>10</v>
      </c>
      <c r="G2747" s="3" t="s">
        <v>22</v>
      </c>
      <c r="H2747" s="2">
        <v>50</v>
      </c>
      <c r="I2747" s="117">
        <v>513100</v>
      </c>
      <c r="J2747" s="112" t="s">
        <v>85</v>
      </c>
      <c r="K2747" s="117">
        <v>513105</v>
      </c>
      <c r="L2747" s="2">
        <v>1</v>
      </c>
      <c r="M2747" s="2" t="s">
        <v>85</v>
      </c>
      <c r="N2747" s="2" t="s">
        <v>85</v>
      </c>
      <c r="O2747" s="2" t="s">
        <v>2095</v>
      </c>
      <c r="P2747" s="2" t="s">
        <v>2476</v>
      </c>
    </row>
    <row r="2748" spans="1:16" ht="22" customHeight="1" x14ac:dyDescent="0.15">
      <c r="A2748" s="10" t="str">
        <f t="shared" si="453"/>
        <v>514_1_1_1_polygon</v>
      </c>
      <c r="B2748" s="2">
        <v>514</v>
      </c>
      <c r="C2748" s="30" t="str">
        <f>VLOOKUP(B2748,gachas!A:C,3)</f>
        <v>レアガチャ（北欧in）</v>
      </c>
      <c r="D2748" s="21">
        <v>1</v>
      </c>
      <c r="E2748" s="2">
        <v>1</v>
      </c>
      <c r="F2748" s="2">
        <v>1</v>
      </c>
      <c r="G2748" s="3" t="s">
        <v>22</v>
      </c>
      <c r="H2748" s="2">
        <v>5</v>
      </c>
      <c r="I2748" s="117" t="str">
        <f>I2750</f>
        <v>514100</v>
      </c>
      <c r="J2748" s="112" t="s">
        <v>84</v>
      </c>
      <c r="K2748" s="2" t="s">
        <v>84</v>
      </c>
      <c r="L2748" s="2">
        <v>0</v>
      </c>
      <c r="M2748" s="2" t="s">
        <v>84</v>
      </c>
      <c r="N2748" s="2" t="s">
        <v>84</v>
      </c>
      <c r="O2748" s="2" t="s">
        <v>841</v>
      </c>
      <c r="P2748" s="2" t="s">
        <v>142</v>
      </c>
    </row>
    <row r="2749" spans="1:16" ht="22" customHeight="1" x14ac:dyDescent="0.15">
      <c r="A2749" s="10" t="str">
        <f t="shared" si="453"/>
        <v>514_1_0_1_polygon</v>
      </c>
      <c r="B2749" s="2">
        <v>514</v>
      </c>
      <c r="C2749" s="30" t="str">
        <f>VLOOKUP(B2749,gachas!A:C,3)</f>
        <v>レアガチャ（北欧in）</v>
      </c>
      <c r="D2749" s="21">
        <v>1</v>
      </c>
      <c r="E2749" s="2">
        <v>0</v>
      </c>
      <c r="F2749" s="2">
        <v>1</v>
      </c>
      <c r="G2749" s="3" t="s">
        <v>22</v>
      </c>
      <c r="H2749" s="2">
        <v>5</v>
      </c>
      <c r="I2749" s="117" t="str">
        <f t="shared" ref="I2749:I2750" si="454">B2749&amp;TEXT(D2749,"00")&amp;E2749</f>
        <v>514010</v>
      </c>
      <c r="J2749" s="112" t="s">
        <v>84</v>
      </c>
      <c r="K2749" s="2" t="s">
        <v>84</v>
      </c>
      <c r="L2749" s="2">
        <v>0</v>
      </c>
      <c r="M2749" s="2" t="s">
        <v>84</v>
      </c>
      <c r="N2749" s="2" t="s">
        <v>84</v>
      </c>
      <c r="O2749" s="2" t="s">
        <v>841</v>
      </c>
      <c r="P2749" s="2" t="s">
        <v>84</v>
      </c>
    </row>
    <row r="2750" spans="1:16" ht="22" customHeight="1" x14ac:dyDescent="0.15">
      <c r="A2750" s="10" t="str">
        <f t="shared" si="453"/>
        <v>514_10_0_10_polygon</v>
      </c>
      <c r="B2750" s="2">
        <v>514</v>
      </c>
      <c r="C2750" s="30" t="str">
        <f>VLOOKUP(B2750,gachas!A:C,3)</f>
        <v>レアガチャ（北欧in）</v>
      </c>
      <c r="D2750" s="21">
        <v>10</v>
      </c>
      <c r="E2750" s="2">
        <v>0</v>
      </c>
      <c r="F2750" s="2">
        <v>10</v>
      </c>
      <c r="G2750" s="3" t="s">
        <v>22</v>
      </c>
      <c r="H2750" s="2">
        <v>50</v>
      </c>
      <c r="I2750" s="117" t="str">
        <f t="shared" si="454"/>
        <v>514100</v>
      </c>
      <c r="J2750" s="112" t="s">
        <v>84</v>
      </c>
      <c r="K2750" s="2" t="s">
        <v>84</v>
      </c>
      <c r="L2750" s="2">
        <v>0</v>
      </c>
      <c r="M2750" s="2" t="s">
        <v>84</v>
      </c>
      <c r="N2750" s="2" t="s">
        <v>84</v>
      </c>
      <c r="O2750" s="2" t="s">
        <v>841</v>
      </c>
      <c r="P2750" s="2" t="s">
        <v>143</v>
      </c>
    </row>
    <row r="2751" spans="1:16" ht="22" customHeight="1" x14ac:dyDescent="0.15">
      <c r="A2751" s="10" t="str">
        <f t="shared" si="453"/>
        <v>515_1_0_1_polygon</v>
      </c>
      <c r="B2751" s="2">
        <v>515</v>
      </c>
      <c r="C2751" s="30" t="str">
        <f>VLOOKUP(B2751,gachas!A:C,3)</f>
        <v>超フェス&lt;ラプラス、ラグランジュ&gt;</v>
      </c>
      <c r="D2751" s="21">
        <v>1</v>
      </c>
      <c r="E2751" s="2">
        <v>0</v>
      </c>
      <c r="F2751" s="2">
        <v>1</v>
      </c>
      <c r="G2751" s="3" t="s">
        <v>22</v>
      </c>
      <c r="H2751" s="2">
        <v>5</v>
      </c>
      <c r="I2751" s="112" t="str">
        <f>CONCATENATE(B2751,100)</f>
        <v>515100</v>
      </c>
      <c r="J2751" s="112" t="s">
        <v>84</v>
      </c>
      <c r="K2751" s="112" t="s">
        <v>84</v>
      </c>
      <c r="L2751" s="2">
        <v>0</v>
      </c>
      <c r="M2751" s="2" t="s">
        <v>84</v>
      </c>
      <c r="N2751" s="2" t="s">
        <v>84</v>
      </c>
      <c r="O2751" s="2" t="s">
        <v>841</v>
      </c>
      <c r="P2751" s="2" t="s">
        <v>2572</v>
      </c>
    </row>
    <row r="2752" spans="1:16" ht="22" customHeight="1" x14ac:dyDescent="0.15">
      <c r="A2752" s="10" t="str">
        <f t="shared" si="453"/>
        <v>515_10_0_10_polygon</v>
      </c>
      <c r="B2752" s="2">
        <v>515</v>
      </c>
      <c r="C2752" s="30" t="str">
        <f>VLOOKUP(B2752,gachas!A:C,3)</f>
        <v>超フェス&lt;ラプラス、ラグランジュ&gt;</v>
      </c>
      <c r="D2752" s="21">
        <v>10</v>
      </c>
      <c r="E2752" s="2">
        <v>0</v>
      </c>
      <c r="F2752" s="2">
        <v>10</v>
      </c>
      <c r="G2752" s="3" t="s">
        <v>22</v>
      </c>
      <c r="H2752" s="2">
        <v>50</v>
      </c>
      <c r="I2752" s="112" t="str">
        <f t="shared" ref="I2752:I2756" si="455">CONCATENATE(B2752,100)</f>
        <v>515100</v>
      </c>
      <c r="J2752" s="112" t="s">
        <v>84</v>
      </c>
      <c r="K2752" s="112" t="str">
        <f>I2752</f>
        <v>515100</v>
      </c>
      <c r="L2752" s="2">
        <v>1</v>
      </c>
      <c r="M2752" s="2" t="s">
        <v>84</v>
      </c>
      <c r="N2752" s="2" t="s">
        <v>84</v>
      </c>
      <c r="O2752" s="2" t="s">
        <v>841</v>
      </c>
      <c r="P2752" s="2" t="s">
        <v>2571</v>
      </c>
    </row>
    <row r="2753" spans="1:16" ht="22" customHeight="1" x14ac:dyDescent="0.15">
      <c r="A2753" s="10" t="str">
        <f t="shared" si="453"/>
        <v>516_1_0_1_polygon</v>
      </c>
      <c r="B2753" s="2">
        <v>516</v>
      </c>
      <c r="C2753" s="30" t="str">
        <f>VLOOKUP(B2753,gachas!A:C,3)</f>
        <v>超フェス&lt;ラプラス、オイラー&gt;</v>
      </c>
      <c r="D2753" s="21">
        <v>1</v>
      </c>
      <c r="E2753" s="2">
        <v>0</v>
      </c>
      <c r="F2753" s="2">
        <v>1</v>
      </c>
      <c r="G2753" s="3" t="s">
        <v>22</v>
      </c>
      <c r="H2753" s="2">
        <v>5</v>
      </c>
      <c r="I2753" s="112" t="str">
        <f t="shared" si="455"/>
        <v>516100</v>
      </c>
      <c r="J2753" s="112" t="s">
        <v>84</v>
      </c>
      <c r="K2753" s="112" t="s">
        <v>84</v>
      </c>
      <c r="L2753" s="2">
        <v>0</v>
      </c>
      <c r="M2753" s="2" t="s">
        <v>84</v>
      </c>
      <c r="N2753" s="2" t="s">
        <v>84</v>
      </c>
      <c r="O2753" s="2" t="s">
        <v>841</v>
      </c>
      <c r="P2753" s="2" t="s">
        <v>2572</v>
      </c>
    </row>
    <row r="2754" spans="1:16" ht="22" customHeight="1" x14ac:dyDescent="0.15">
      <c r="A2754" s="10" t="str">
        <f t="shared" si="453"/>
        <v>516_10_0_10_polygon</v>
      </c>
      <c r="B2754" s="2">
        <v>516</v>
      </c>
      <c r="C2754" s="30" t="str">
        <f>VLOOKUP(B2754,gachas!A:C,3)</f>
        <v>超フェス&lt;ラプラス、オイラー&gt;</v>
      </c>
      <c r="D2754" s="21">
        <v>10</v>
      </c>
      <c r="E2754" s="2">
        <v>0</v>
      </c>
      <c r="F2754" s="2">
        <v>10</v>
      </c>
      <c r="G2754" s="3" t="s">
        <v>22</v>
      </c>
      <c r="H2754" s="2">
        <v>50</v>
      </c>
      <c r="I2754" s="112" t="str">
        <f t="shared" si="455"/>
        <v>516100</v>
      </c>
      <c r="J2754" s="112" t="s">
        <v>84</v>
      </c>
      <c r="K2754" s="112" t="str">
        <f>I2754</f>
        <v>516100</v>
      </c>
      <c r="L2754" s="2">
        <v>1</v>
      </c>
      <c r="M2754" s="2" t="s">
        <v>84</v>
      </c>
      <c r="N2754" s="2" t="s">
        <v>84</v>
      </c>
      <c r="O2754" s="2" t="s">
        <v>841</v>
      </c>
      <c r="P2754" s="2" t="s">
        <v>2571</v>
      </c>
    </row>
    <row r="2755" spans="1:16" ht="22" customHeight="1" x14ac:dyDescent="0.15">
      <c r="A2755" s="10" t="str">
        <f t="shared" si="453"/>
        <v>517_1_0_1_polygon</v>
      </c>
      <c r="B2755" s="2">
        <v>517</v>
      </c>
      <c r="C2755" s="30" t="str">
        <f>VLOOKUP(B2755,gachas!A:C,3)</f>
        <v>超フェス&lt;ラプラス、ディラック&gt;</v>
      </c>
      <c r="D2755" s="21">
        <v>1</v>
      </c>
      <c r="E2755" s="2">
        <v>0</v>
      </c>
      <c r="F2755" s="2">
        <v>1</v>
      </c>
      <c r="G2755" s="3" t="s">
        <v>22</v>
      </c>
      <c r="H2755" s="2">
        <v>5</v>
      </c>
      <c r="I2755" s="112" t="str">
        <f t="shared" si="455"/>
        <v>517100</v>
      </c>
      <c r="J2755" s="112" t="s">
        <v>84</v>
      </c>
      <c r="K2755" s="112" t="s">
        <v>84</v>
      </c>
      <c r="L2755" s="2">
        <v>0</v>
      </c>
      <c r="M2755" s="2" t="s">
        <v>84</v>
      </c>
      <c r="N2755" s="2" t="s">
        <v>84</v>
      </c>
      <c r="O2755" s="2" t="s">
        <v>841</v>
      </c>
      <c r="P2755" s="2" t="s">
        <v>2572</v>
      </c>
    </row>
    <row r="2756" spans="1:16" ht="22" customHeight="1" x14ac:dyDescent="0.15">
      <c r="A2756" s="10" t="str">
        <f t="shared" si="453"/>
        <v>517_10_0_10_polygon</v>
      </c>
      <c r="B2756" s="2">
        <v>517</v>
      </c>
      <c r="C2756" s="30" t="str">
        <f>VLOOKUP(B2756,gachas!A:C,3)</f>
        <v>超フェス&lt;ラプラス、ディラック&gt;</v>
      </c>
      <c r="D2756" s="21">
        <v>10</v>
      </c>
      <c r="E2756" s="2">
        <v>0</v>
      </c>
      <c r="F2756" s="2">
        <v>10</v>
      </c>
      <c r="G2756" s="3" t="s">
        <v>22</v>
      </c>
      <c r="H2756" s="2">
        <v>50</v>
      </c>
      <c r="I2756" s="112" t="str">
        <f t="shared" si="455"/>
        <v>517100</v>
      </c>
      <c r="J2756" s="112" t="s">
        <v>84</v>
      </c>
      <c r="K2756" s="112" t="str">
        <f>I2756</f>
        <v>517100</v>
      </c>
      <c r="L2756" s="2">
        <v>1</v>
      </c>
      <c r="M2756" s="2" t="s">
        <v>84</v>
      </c>
      <c r="N2756" s="2" t="s">
        <v>84</v>
      </c>
      <c r="O2756" s="2" t="s">
        <v>841</v>
      </c>
      <c r="P2756" s="2" t="s">
        <v>2571</v>
      </c>
    </row>
    <row r="2757" spans="1:16" ht="22" customHeight="1" x14ac:dyDescent="0.15">
      <c r="A2757" s="10" t="str">
        <f t="shared" si="453"/>
        <v>518_1_0_1_polygon</v>
      </c>
      <c r="B2757" s="2">
        <v>518</v>
      </c>
      <c r="C2757" s="30" t="str">
        <f>VLOOKUP(B2757,gachas!A:C,3)</f>
        <v>ミクガチャC</v>
      </c>
      <c r="D2757" s="21">
        <v>1</v>
      </c>
      <c r="E2757" s="2">
        <v>0</v>
      </c>
      <c r="F2757" s="2">
        <v>1</v>
      </c>
      <c r="G2757" s="3" t="s">
        <v>22</v>
      </c>
      <c r="H2757" s="2">
        <v>5</v>
      </c>
      <c r="I2757" s="117">
        <v>518010</v>
      </c>
      <c r="J2757" s="112" t="s">
        <v>85</v>
      </c>
      <c r="K2757" s="2" t="s">
        <v>85</v>
      </c>
      <c r="L2757" s="2">
        <v>0</v>
      </c>
      <c r="M2757" s="2" t="s">
        <v>85</v>
      </c>
      <c r="N2757" s="2" t="s">
        <v>85</v>
      </c>
      <c r="O2757" s="2" t="s">
        <v>2095</v>
      </c>
      <c r="P2757" s="2" t="s">
        <v>85</v>
      </c>
    </row>
    <row r="2758" spans="1:16" ht="22" customHeight="1" x14ac:dyDescent="0.15">
      <c r="A2758" s="10" t="str">
        <f t="shared" si="453"/>
        <v>518_10_0_10_polygon</v>
      </c>
      <c r="B2758" s="2">
        <v>518</v>
      </c>
      <c r="C2758" s="30" t="str">
        <f>VLOOKUP(B2758,gachas!A:C,3)</f>
        <v>ミクガチャC</v>
      </c>
      <c r="D2758" s="21">
        <v>10</v>
      </c>
      <c r="E2758" s="2">
        <v>0</v>
      </c>
      <c r="F2758" s="2">
        <v>10</v>
      </c>
      <c r="G2758" s="3" t="s">
        <v>22</v>
      </c>
      <c r="H2758" s="2">
        <v>50</v>
      </c>
      <c r="I2758" s="117">
        <v>518100</v>
      </c>
      <c r="J2758" s="112" t="s">
        <v>85</v>
      </c>
      <c r="K2758" s="2" t="s">
        <v>85</v>
      </c>
      <c r="L2758" s="2">
        <v>0</v>
      </c>
      <c r="M2758" s="2" t="s">
        <v>85</v>
      </c>
      <c r="N2758" s="2" t="s">
        <v>85</v>
      </c>
      <c r="O2758" s="2" t="s">
        <v>2095</v>
      </c>
      <c r="P2758" s="2" t="s">
        <v>143</v>
      </c>
    </row>
    <row r="2759" spans="1:16" ht="22" customHeight="1" x14ac:dyDescent="0.15">
      <c r="A2759" s="10" t="str">
        <f t="shared" si="453"/>
        <v>518_10_1_10_polygon</v>
      </c>
      <c r="B2759" s="2">
        <v>518</v>
      </c>
      <c r="C2759" s="30" t="str">
        <f>VLOOKUP(B2759,gachas!A:C,3)</f>
        <v>ミクガチャC</v>
      </c>
      <c r="D2759" s="21">
        <v>10</v>
      </c>
      <c r="E2759" s="2">
        <f>E2758+1</f>
        <v>1</v>
      </c>
      <c r="F2759" s="2">
        <v>10</v>
      </c>
      <c r="G2759" s="3" t="s">
        <v>22</v>
      </c>
      <c r="H2759" s="2">
        <v>25</v>
      </c>
      <c r="I2759" s="117">
        <v>518100</v>
      </c>
      <c r="J2759" s="112" t="s">
        <v>85</v>
      </c>
      <c r="K2759" s="2" t="s">
        <v>85</v>
      </c>
      <c r="L2759" s="2">
        <v>0</v>
      </c>
      <c r="M2759" s="2" t="s">
        <v>85</v>
      </c>
      <c r="N2759" s="2" t="s">
        <v>85</v>
      </c>
      <c r="O2759" s="2" t="s">
        <v>2095</v>
      </c>
      <c r="P2759" s="59" t="s">
        <v>1783</v>
      </c>
    </row>
    <row r="2760" spans="1:16" ht="22" customHeight="1" x14ac:dyDescent="0.15">
      <c r="A2760" s="10" t="str">
        <f t="shared" si="453"/>
        <v>518_10_2_10_polygon</v>
      </c>
      <c r="B2760" s="2">
        <v>518</v>
      </c>
      <c r="C2760" s="30" t="str">
        <f>VLOOKUP(B2760,gachas!A:C,3)</f>
        <v>ミクガチャC</v>
      </c>
      <c r="D2760" s="21">
        <v>10</v>
      </c>
      <c r="E2760" s="2">
        <f t="shared" ref="E2760:E2808" si="456">E2759+1</f>
        <v>2</v>
      </c>
      <c r="F2760" s="2">
        <v>10</v>
      </c>
      <c r="G2760" s="3" t="s">
        <v>22</v>
      </c>
      <c r="H2760" s="2">
        <v>50</v>
      </c>
      <c r="I2760" s="117">
        <v>518100</v>
      </c>
      <c r="J2760" s="112" t="s">
        <v>85</v>
      </c>
      <c r="K2760" s="2" t="s">
        <v>85</v>
      </c>
      <c r="L2760" s="2">
        <v>0</v>
      </c>
      <c r="M2760" s="2" t="s">
        <v>85</v>
      </c>
      <c r="N2760" s="2" t="s">
        <v>85</v>
      </c>
      <c r="O2760" s="2" t="s">
        <v>2095</v>
      </c>
      <c r="P2760" s="2" t="s">
        <v>143</v>
      </c>
    </row>
    <row r="2761" spans="1:16" ht="22" customHeight="1" x14ac:dyDescent="0.15">
      <c r="A2761" s="10" t="str">
        <f t="shared" si="453"/>
        <v>518_10_3_10_polygon</v>
      </c>
      <c r="B2761" s="2">
        <v>518</v>
      </c>
      <c r="C2761" s="30" t="str">
        <f>VLOOKUP(B2761,gachas!A:C,3)</f>
        <v>ミクガチャC</v>
      </c>
      <c r="D2761" s="21">
        <v>10</v>
      </c>
      <c r="E2761" s="2">
        <f t="shared" si="456"/>
        <v>3</v>
      </c>
      <c r="F2761" s="2">
        <v>10</v>
      </c>
      <c r="G2761" s="3" t="s">
        <v>22</v>
      </c>
      <c r="H2761" s="2">
        <v>50</v>
      </c>
      <c r="I2761" s="117">
        <v>518100</v>
      </c>
      <c r="J2761" s="112" t="s">
        <v>85</v>
      </c>
      <c r="K2761" s="2" t="s">
        <v>85</v>
      </c>
      <c r="L2761" s="2">
        <v>0</v>
      </c>
      <c r="M2761" s="2" t="s">
        <v>85</v>
      </c>
      <c r="N2761" s="2" t="s">
        <v>85</v>
      </c>
      <c r="O2761" s="2" t="s">
        <v>2095</v>
      </c>
      <c r="P2761" s="2" t="s">
        <v>143</v>
      </c>
    </row>
    <row r="2762" spans="1:16" ht="22" customHeight="1" x14ac:dyDescent="0.15">
      <c r="A2762" s="10" t="str">
        <f t="shared" si="453"/>
        <v>518_10_4_10_polygon</v>
      </c>
      <c r="B2762" s="2">
        <v>518</v>
      </c>
      <c r="C2762" s="30" t="str">
        <f>VLOOKUP(B2762,gachas!A:C,3)</f>
        <v>ミクガチャC</v>
      </c>
      <c r="D2762" s="21">
        <v>10</v>
      </c>
      <c r="E2762" s="2">
        <f t="shared" si="456"/>
        <v>4</v>
      </c>
      <c r="F2762" s="2">
        <v>10</v>
      </c>
      <c r="G2762" s="3" t="s">
        <v>22</v>
      </c>
      <c r="H2762" s="2">
        <v>50</v>
      </c>
      <c r="I2762" s="117">
        <v>518100</v>
      </c>
      <c r="J2762" s="112" t="s">
        <v>85</v>
      </c>
      <c r="K2762" s="2" t="s">
        <v>85</v>
      </c>
      <c r="L2762" s="2">
        <v>0</v>
      </c>
      <c r="M2762" s="2" t="s">
        <v>85</v>
      </c>
      <c r="N2762" s="2" t="s">
        <v>85</v>
      </c>
      <c r="O2762" s="2" t="s">
        <v>2095</v>
      </c>
      <c r="P2762" s="2" t="s">
        <v>143</v>
      </c>
    </row>
    <row r="2763" spans="1:16" ht="22" customHeight="1" x14ac:dyDescent="0.15">
      <c r="A2763" s="10" t="str">
        <f t="shared" si="453"/>
        <v>518_10_5_10_polygon</v>
      </c>
      <c r="B2763" s="2">
        <v>518</v>
      </c>
      <c r="C2763" s="30" t="str">
        <f>VLOOKUP(B2763,gachas!A:C,3)</f>
        <v>ミクガチャC</v>
      </c>
      <c r="D2763" s="21">
        <v>10</v>
      </c>
      <c r="E2763" s="2">
        <f t="shared" si="456"/>
        <v>5</v>
      </c>
      <c r="F2763" s="2">
        <v>10</v>
      </c>
      <c r="G2763" s="3" t="s">
        <v>22</v>
      </c>
      <c r="H2763" s="2">
        <v>50</v>
      </c>
      <c r="I2763" s="117">
        <v>518100</v>
      </c>
      <c r="J2763" s="112" t="s">
        <v>85</v>
      </c>
      <c r="K2763" s="117">
        <v>518105</v>
      </c>
      <c r="L2763" s="2">
        <v>1</v>
      </c>
      <c r="M2763" s="2" t="s">
        <v>85</v>
      </c>
      <c r="N2763" s="2" t="s">
        <v>85</v>
      </c>
      <c r="O2763" s="2" t="s">
        <v>2095</v>
      </c>
      <c r="P2763" s="2" t="s">
        <v>2548</v>
      </c>
    </row>
    <row r="2764" spans="1:16" ht="22" customHeight="1" x14ac:dyDescent="0.15">
      <c r="A2764" s="10" t="str">
        <f t="shared" si="453"/>
        <v>518_10_6_10_polygon</v>
      </c>
      <c r="B2764" s="2">
        <v>518</v>
      </c>
      <c r="C2764" s="30" t="str">
        <f>VLOOKUP(B2764,gachas!A:C,3)</f>
        <v>ミクガチャC</v>
      </c>
      <c r="D2764" s="21">
        <v>10</v>
      </c>
      <c r="E2764" s="2">
        <f t="shared" si="456"/>
        <v>6</v>
      </c>
      <c r="F2764" s="2">
        <v>10</v>
      </c>
      <c r="G2764" s="3" t="s">
        <v>22</v>
      </c>
      <c r="H2764" s="2">
        <v>25</v>
      </c>
      <c r="I2764" s="117">
        <v>518100</v>
      </c>
      <c r="J2764" s="112" t="s">
        <v>85</v>
      </c>
      <c r="K2764" s="2" t="s">
        <v>85</v>
      </c>
      <c r="L2764" s="2">
        <v>0</v>
      </c>
      <c r="M2764" s="2" t="s">
        <v>85</v>
      </c>
      <c r="N2764" s="2" t="s">
        <v>85</v>
      </c>
      <c r="O2764" s="2" t="s">
        <v>2095</v>
      </c>
      <c r="P2764" s="59" t="s">
        <v>1783</v>
      </c>
    </row>
    <row r="2765" spans="1:16" ht="22" customHeight="1" x14ac:dyDescent="0.15">
      <c r="A2765" s="10" t="str">
        <f t="shared" si="453"/>
        <v>518_10_7_10_polygon</v>
      </c>
      <c r="B2765" s="2">
        <v>518</v>
      </c>
      <c r="C2765" s="30" t="str">
        <f>VLOOKUP(B2765,gachas!A:C,3)</f>
        <v>ミクガチャC</v>
      </c>
      <c r="D2765" s="21">
        <v>10</v>
      </c>
      <c r="E2765" s="2">
        <f t="shared" si="456"/>
        <v>7</v>
      </c>
      <c r="F2765" s="2">
        <v>10</v>
      </c>
      <c r="G2765" s="3" t="s">
        <v>22</v>
      </c>
      <c r="H2765" s="2">
        <v>50</v>
      </c>
      <c r="I2765" s="117">
        <v>518100</v>
      </c>
      <c r="J2765" s="112" t="s">
        <v>85</v>
      </c>
      <c r="K2765" s="2" t="s">
        <v>85</v>
      </c>
      <c r="L2765" s="2">
        <v>0</v>
      </c>
      <c r="M2765" s="2" t="s">
        <v>85</v>
      </c>
      <c r="N2765" s="2" t="s">
        <v>85</v>
      </c>
      <c r="O2765" s="2" t="s">
        <v>2095</v>
      </c>
      <c r="P2765" s="2" t="s">
        <v>143</v>
      </c>
    </row>
    <row r="2766" spans="1:16" ht="22" customHeight="1" x14ac:dyDescent="0.15">
      <c r="A2766" s="10" t="str">
        <f t="shared" si="453"/>
        <v>518_10_8_10_polygon</v>
      </c>
      <c r="B2766" s="2">
        <v>518</v>
      </c>
      <c r="C2766" s="30" t="str">
        <f>VLOOKUP(B2766,gachas!A:C,3)</f>
        <v>ミクガチャC</v>
      </c>
      <c r="D2766" s="21">
        <v>10</v>
      </c>
      <c r="E2766" s="2">
        <f t="shared" si="456"/>
        <v>8</v>
      </c>
      <c r="F2766" s="2">
        <v>10</v>
      </c>
      <c r="G2766" s="3" t="s">
        <v>22</v>
      </c>
      <c r="H2766" s="2">
        <v>50</v>
      </c>
      <c r="I2766" s="117">
        <v>518100</v>
      </c>
      <c r="J2766" s="112" t="s">
        <v>85</v>
      </c>
      <c r="K2766" s="2" t="s">
        <v>85</v>
      </c>
      <c r="L2766" s="2">
        <v>0</v>
      </c>
      <c r="M2766" s="2" t="s">
        <v>85</v>
      </c>
      <c r="N2766" s="2" t="s">
        <v>85</v>
      </c>
      <c r="O2766" s="2" t="s">
        <v>2095</v>
      </c>
      <c r="P2766" s="2" t="s">
        <v>143</v>
      </c>
    </row>
    <row r="2767" spans="1:16" ht="22" customHeight="1" x14ac:dyDescent="0.15">
      <c r="A2767" s="10" t="str">
        <f t="shared" si="453"/>
        <v>518_10_9_10_polygon</v>
      </c>
      <c r="B2767" s="2">
        <v>518</v>
      </c>
      <c r="C2767" s="30" t="str">
        <f>VLOOKUP(B2767,gachas!A:C,3)</f>
        <v>ミクガチャC</v>
      </c>
      <c r="D2767" s="21">
        <v>10</v>
      </c>
      <c r="E2767" s="2">
        <f t="shared" si="456"/>
        <v>9</v>
      </c>
      <c r="F2767" s="2">
        <v>10</v>
      </c>
      <c r="G2767" s="3" t="s">
        <v>22</v>
      </c>
      <c r="H2767" s="2">
        <v>50</v>
      </c>
      <c r="I2767" s="117">
        <v>518100</v>
      </c>
      <c r="J2767" s="112" t="s">
        <v>85</v>
      </c>
      <c r="K2767" s="2" t="s">
        <v>85</v>
      </c>
      <c r="L2767" s="2">
        <v>0</v>
      </c>
      <c r="M2767" s="2" t="s">
        <v>85</v>
      </c>
      <c r="N2767" s="2" t="s">
        <v>85</v>
      </c>
      <c r="O2767" s="2" t="s">
        <v>2095</v>
      </c>
      <c r="P2767" s="2" t="s">
        <v>143</v>
      </c>
    </row>
    <row r="2768" spans="1:16" ht="22" customHeight="1" x14ac:dyDescent="0.15">
      <c r="A2768" s="10" t="str">
        <f t="shared" si="453"/>
        <v>518_10_10_10_polygon</v>
      </c>
      <c r="B2768" s="2">
        <v>518</v>
      </c>
      <c r="C2768" s="30" t="str">
        <f>VLOOKUP(B2768,gachas!A:C,3)</f>
        <v>ミクガチャC</v>
      </c>
      <c r="D2768" s="21">
        <v>10</v>
      </c>
      <c r="E2768" s="2">
        <f t="shared" si="456"/>
        <v>10</v>
      </c>
      <c r="F2768" s="2">
        <v>10</v>
      </c>
      <c r="G2768" s="3" t="s">
        <v>22</v>
      </c>
      <c r="H2768" s="2">
        <v>50</v>
      </c>
      <c r="I2768" s="117">
        <v>518100</v>
      </c>
      <c r="J2768" s="112" t="s">
        <v>85</v>
      </c>
      <c r="K2768" s="117">
        <v>518105</v>
      </c>
      <c r="L2768" s="2">
        <v>1</v>
      </c>
      <c r="M2768" s="2" t="s">
        <v>85</v>
      </c>
      <c r="N2768" s="2" t="s">
        <v>85</v>
      </c>
      <c r="O2768" s="2" t="s">
        <v>2095</v>
      </c>
      <c r="P2768" s="2" t="s">
        <v>2548</v>
      </c>
    </row>
    <row r="2769" spans="1:16" ht="22" customHeight="1" x14ac:dyDescent="0.15">
      <c r="A2769" s="10" t="str">
        <f t="shared" si="453"/>
        <v>518_10_11_10_polygon</v>
      </c>
      <c r="B2769" s="2">
        <v>518</v>
      </c>
      <c r="C2769" s="30" t="str">
        <f>VLOOKUP(B2769,gachas!A:C,3)</f>
        <v>ミクガチャC</v>
      </c>
      <c r="D2769" s="21">
        <v>10</v>
      </c>
      <c r="E2769" s="2">
        <f t="shared" si="456"/>
        <v>11</v>
      </c>
      <c r="F2769" s="2">
        <v>10</v>
      </c>
      <c r="G2769" s="3" t="s">
        <v>22</v>
      </c>
      <c r="H2769" s="2">
        <v>25</v>
      </c>
      <c r="I2769" s="117">
        <v>518100</v>
      </c>
      <c r="J2769" s="112" t="s">
        <v>85</v>
      </c>
      <c r="K2769" s="2" t="s">
        <v>85</v>
      </c>
      <c r="L2769" s="2">
        <v>0</v>
      </c>
      <c r="M2769" s="2" t="s">
        <v>85</v>
      </c>
      <c r="N2769" s="2" t="s">
        <v>85</v>
      </c>
      <c r="O2769" s="2" t="s">
        <v>2095</v>
      </c>
      <c r="P2769" s="59" t="s">
        <v>1783</v>
      </c>
    </row>
    <row r="2770" spans="1:16" ht="22" customHeight="1" x14ac:dyDescent="0.15">
      <c r="A2770" s="10" t="str">
        <f t="shared" ref="A2770:A2833" si="457">B2770&amp;"_"&amp;D2770&amp;"_"&amp;E2770&amp;"_"&amp;F2770&amp;"_"&amp;G2770</f>
        <v>518_10_12_10_polygon</v>
      </c>
      <c r="B2770" s="2">
        <v>518</v>
      </c>
      <c r="C2770" s="30" t="str">
        <f>VLOOKUP(B2770,gachas!A:C,3)</f>
        <v>ミクガチャC</v>
      </c>
      <c r="D2770" s="21">
        <v>10</v>
      </c>
      <c r="E2770" s="2">
        <f t="shared" si="456"/>
        <v>12</v>
      </c>
      <c r="F2770" s="2">
        <v>10</v>
      </c>
      <c r="G2770" s="3" t="s">
        <v>22</v>
      </c>
      <c r="H2770" s="2">
        <v>50</v>
      </c>
      <c r="I2770" s="117">
        <v>518100</v>
      </c>
      <c r="J2770" s="112" t="s">
        <v>85</v>
      </c>
      <c r="K2770" s="2" t="s">
        <v>85</v>
      </c>
      <c r="L2770" s="2">
        <v>0</v>
      </c>
      <c r="M2770" s="2" t="s">
        <v>85</v>
      </c>
      <c r="N2770" s="2" t="s">
        <v>85</v>
      </c>
      <c r="O2770" s="2" t="s">
        <v>2095</v>
      </c>
      <c r="P2770" s="2" t="s">
        <v>143</v>
      </c>
    </row>
    <row r="2771" spans="1:16" ht="22" customHeight="1" x14ac:dyDescent="0.15">
      <c r="A2771" s="10" t="str">
        <f t="shared" si="457"/>
        <v>518_10_13_10_polygon</v>
      </c>
      <c r="B2771" s="2">
        <v>518</v>
      </c>
      <c r="C2771" s="30" t="str">
        <f>VLOOKUP(B2771,gachas!A:C,3)</f>
        <v>ミクガチャC</v>
      </c>
      <c r="D2771" s="21">
        <v>10</v>
      </c>
      <c r="E2771" s="2">
        <f t="shared" si="456"/>
        <v>13</v>
      </c>
      <c r="F2771" s="2">
        <v>10</v>
      </c>
      <c r="G2771" s="3" t="s">
        <v>22</v>
      </c>
      <c r="H2771" s="2">
        <v>50</v>
      </c>
      <c r="I2771" s="117">
        <v>518100</v>
      </c>
      <c r="J2771" s="112" t="s">
        <v>85</v>
      </c>
      <c r="K2771" s="2" t="s">
        <v>85</v>
      </c>
      <c r="L2771" s="2">
        <v>0</v>
      </c>
      <c r="M2771" s="2" t="s">
        <v>85</v>
      </c>
      <c r="N2771" s="2" t="s">
        <v>85</v>
      </c>
      <c r="O2771" s="2" t="s">
        <v>2095</v>
      </c>
      <c r="P2771" s="2" t="s">
        <v>143</v>
      </c>
    </row>
    <row r="2772" spans="1:16" ht="22" customHeight="1" x14ac:dyDescent="0.15">
      <c r="A2772" s="10" t="str">
        <f t="shared" si="457"/>
        <v>518_10_14_10_polygon</v>
      </c>
      <c r="B2772" s="2">
        <v>518</v>
      </c>
      <c r="C2772" s="30" t="str">
        <f>VLOOKUP(B2772,gachas!A:C,3)</f>
        <v>ミクガチャC</v>
      </c>
      <c r="D2772" s="21">
        <v>10</v>
      </c>
      <c r="E2772" s="2">
        <f t="shared" si="456"/>
        <v>14</v>
      </c>
      <c r="F2772" s="2">
        <v>10</v>
      </c>
      <c r="G2772" s="3" t="s">
        <v>22</v>
      </c>
      <c r="H2772" s="2">
        <v>50</v>
      </c>
      <c r="I2772" s="117">
        <v>518100</v>
      </c>
      <c r="J2772" s="112" t="s">
        <v>85</v>
      </c>
      <c r="K2772" s="2" t="s">
        <v>85</v>
      </c>
      <c r="L2772" s="2">
        <v>0</v>
      </c>
      <c r="M2772" s="2" t="s">
        <v>85</v>
      </c>
      <c r="N2772" s="2" t="s">
        <v>85</v>
      </c>
      <c r="O2772" s="2" t="s">
        <v>2095</v>
      </c>
      <c r="P2772" s="2" t="s">
        <v>143</v>
      </c>
    </row>
    <row r="2773" spans="1:16" ht="22" customHeight="1" x14ac:dyDescent="0.15">
      <c r="A2773" s="10" t="str">
        <f t="shared" si="457"/>
        <v>518_10_15_10_polygon</v>
      </c>
      <c r="B2773" s="2">
        <v>518</v>
      </c>
      <c r="C2773" s="30" t="str">
        <f>VLOOKUP(B2773,gachas!A:C,3)</f>
        <v>ミクガチャC</v>
      </c>
      <c r="D2773" s="21">
        <v>10</v>
      </c>
      <c r="E2773" s="2">
        <f t="shared" si="456"/>
        <v>15</v>
      </c>
      <c r="F2773" s="2">
        <v>10</v>
      </c>
      <c r="G2773" s="3" t="s">
        <v>22</v>
      </c>
      <c r="H2773" s="2">
        <v>50</v>
      </c>
      <c r="I2773" s="117">
        <v>518100</v>
      </c>
      <c r="J2773" s="112" t="s">
        <v>85</v>
      </c>
      <c r="K2773" s="117">
        <v>518105</v>
      </c>
      <c r="L2773" s="2">
        <v>1</v>
      </c>
      <c r="M2773" s="2" t="s">
        <v>85</v>
      </c>
      <c r="N2773" s="2" t="s">
        <v>85</v>
      </c>
      <c r="O2773" s="2" t="s">
        <v>2095</v>
      </c>
      <c r="P2773" s="2" t="s">
        <v>2548</v>
      </c>
    </row>
    <row r="2774" spans="1:16" ht="22" customHeight="1" x14ac:dyDescent="0.15">
      <c r="A2774" s="10" t="str">
        <f t="shared" si="457"/>
        <v>518_10_16_10_polygon</v>
      </c>
      <c r="B2774" s="2">
        <v>518</v>
      </c>
      <c r="C2774" s="30" t="str">
        <f>VLOOKUP(B2774,gachas!A:C,3)</f>
        <v>ミクガチャC</v>
      </c>
      <c r="D2774" s="21">
        <v>10</v>
      </c>
      <c r="E2774" s="2">
        <f t="shared" si="456"/>
        <v>16</v>
      </c>
      <c r="F2774" s="2">
        <v>10</v>
      </c>
      <c r="G2774" s="3" t="s">
        <v>22</v>
      </c>
      <c r="H2774" s="2">
        <v>25</v>
      </c>
      <c r="I2774" s="117">
        <v>518100</v>
      </c>
      <c r="J2774" s="112" t="s">
        <v>85</v>
      </c>
      <c r="K2774" s="2" t="s">
        <v>85</v>
      </c>
      <c r="L2774" s="2">
        <v>0</v>
      </c>
      <c r="M2774" s="2" t="s">
        <v>85</v>
      </c>
      <c r="N2774" s="2" t="s">
        <v>85</v>
      </c>
      <c r="O2774" s="2" t="s">
        <v>2095</v>
      </c>
      <c r="P2774" s="59" t="s">
        <v>1783</v>
      </c>
    </row>
    <row r="2775" spans="1:16" ht="22" customHeight="1" x14ac:dyDescent="0.15">
      <c r="A2775" s="10" t="str">
        <f t="shared" si="457"/>
        <v>518_10_17_10_polygon</v>
      </c>
      <c r="B2775" s="2">
        <v>518</v>
      </c>
      <c r="C2775" s="30" t="str">
        <f>VLOOKUP(B2775,gachas!A:C,3)</f>
        <v>ミクガチャC</v>
      </c>
      <c r="D2775" s="21">
        <v>10</v>
      </c>
      <c r="E2775" s="2">
        <f t="shared" si="456"/>
        <v>17</v>
      </c>
      <c r="F2775" s="2">
        <v>10</v>
      </c>
      <c r="G2775" s="3" t="s">
        <v>22</v>
      </c>
      <c r="H2775" s="2">
        <v>50</v>
      </c>
      <c r="I2775" s="117">
        <v>518100</v>
      </c>
      <c r="J2775" s="112" t="s">
        <v>85</v>
      </c>
      <c r="K2775" s="2" t="s">
        <v>85</v>
      </c>
      <c r="L2775" s="2">
        <v>0</v>
      </c>
      <c r="M2775" s="2" t="s">
        <v>85</v>
      </c>
      <c r="N2775" s="2" t="s">
        <v>85</v>
      </c>
      <c r="O2775" s="2" t="s">
        <v>2095</v>
      </c>
      <c r="P2775" s="2" t="s">
        <v>143</v>
      </c>
    </row>
    <row r="2776" spans="1:16" ht="22" customHeight="1" x14ac:dyDescent="0.15">
      <c r="A2776" s="10" t="str">
        <f t="shared" si="457"/>
        <v>518_10_18_10_polygon</v>
      </c>
      <c r="B2776" s="2">
        <v>518</v>
      </c>
      <c r="C2776" s="30" t="str">
        <f>VLOOKUP(B2776,gachas!A:C,3)</f>
        <v>ミクガチャC</v>
      </c>
      <c r="D2776" s="21">
        <v>10</v>
      </c>
      <c r="E2776" s="2">
        <f t="shared" si="456"/>
        <v>18</v>
      </c>
      <c r="F2776" s="2">
        <v>10</v>
      </c>
      <c r="G2776" s="3" t="s">
        <v>22</v>
      </c>
      <c r="H2776" s="2">
        <v>50</v>
      </c>
      <c r="I2776" s="117">
        <v>518100</v>
      </c>
      <c r="J2776" s="112" t="s">
        <v>85</v>
      </c>
      <c r="K2776" s="2" t="s">
        <v>85</v>
      </c>
      <c r="L2776" s="2">
        <v>0</v>
      </c>
      <c r="M2776" s="2" t="s">
        <v>85</v>
      </c>
      <c r="N2776" s="2" t="s">
        <v>85</v>
      </c>
      <c r="O2776" s="2" t="s">
        <v>2095</v>
      </c>
      <c r="P2776" s="2" t="s">
        <v>143</v>
      </c>
    </row>
    <row r="2777" spans="1:16" ht="22" customHeight="1" x14ac:dyDescent="0.15">
      <c r="A2777" s="10" t="str">
        <f t="shared" si="457"/>
        <v>518_10_19_10_polygon</v>
      </c>
      <c r="B2777" s="2">
        <v>518</v>
      </c>
      <c r="C2777" s="30" t="str">
        <f>VLOOKUP(B2777,gachas!A:C,3)</f>
        <v>ミクガチャC</v>
      </c>
      <c r="D2777" s="21">
        <v>10</v>
      </c>
      <c r="E2777" s="2">
        <f t="shared" si="456"/>
        <v>19</v>
      </c>
      <c r="F2777" s="2">
        <v>10</v>
      </c>
      <c r="G2777" s="3" t="s">
        <v>22</v>
      </c>
      <c r="H2777" s="2">
        <v>50</v>
      </c>
      <c r="I2777" s="117">
        <v>518100</v>
      </c>
      <c r="J2777" s="112" t="s">
        <v>85</v>
      </c>
      <c r="K2777" s="2" t="s">
        <v>85</v>
      </c>
      <c r="L2777" s="2">
        <v>0</v>
      </c>
      <c r="M2777" s="2" t="s">
        <v>85</v>
      </c>
      <c r="N2777" s="2" t="s">
        <v>85</v>
      </c>
      <c r="O2777" s="2" t="s">
        <v>2095</v>
      </c>
      <c r="P2777" s="2" t="s">
        <v>143</v>
      </c>
    </row>
    <row r="2778" spans="1:16" ht="22" customHeight="1" x14ac:dyDescent="0.15">
      <c r="A2778" s="10" t="str">
        <f t="shared" si="457"/>
        <v>518_10_20_10_polygon</v>
      </c>
      <c r="B2778" s="2">
        <v>518</v>
      </c>
      <c r="C2778" s="30" t="str">
        <f>VLOOKUP(B2778,gachas!A:C,3)</f>
        <v>ミクガチャC</v>
      </c>
      <c r="D2778" s="21">
        <v>10</v>
      </c>
      <c r="E2778" s="2">
        <f t="shared" si="456"/>
        <v>20</v>
      </c>
      <c r="F2778" s="2">
        <v>10</v>
      </c>
      <c r="G2778" s="3" t="s">
        <v>22</v>
      </c>
      <c r="H2778" s="2">
        <v>50</v>
      </c>
      <c r="I2778" s="117">
        <v>518100</v>
      </c>
      <c r="J2778" s="112" t="s">
        <v>85</v>
      </c>
      <c r="K2778" s="117">
        <v>518105</v>
      </c>
      <c r="L2778" s="2">
        <v>1</v>
      </c>
      <c r="M2778" s="2" t="s">
        <v>85</v>
      </c>
      <c r="N2778" s="2" t="s">
        <v>85</v>
      </c>
      <c r="O2778" s="2" t="s">
        <v>2095</v>
      </c>
      <c r="P2778" s="2" t="s">
        <v>2548</v>
      </c>
    </row>
    <row r="2779" spans="1:16" ht="22" customHeight="1" x14ac:dyDescent="0.15">
      <c r="A2779" s="10" t="str">
        <f t="shared" si="457"/>
        <v>518_10_21_10_polygon</v>
      </c>
      <c r="B2779" s="2">
        <v>518</v>
      </c>
      <c r="C2779" s="30" t="str">
        <f>VLOOKUP(B2779,gachas!A:C,3)</f>
        <v>ミクガチャC</v>
      </c>
      <c r="D2779" s="21">
        <v>10</v>
      </c>
      <c r="E2779" s="2">
        <f t="shared" si="456"/>
        <v>21</v>
      </c>
      <c r="F2779" s="2">
        <v>10</v>
      </c>
      <c r="G2779" s="3" t="s">
        <v>22</v>
      </c>
      <c r="H2779" s="2">
        <v>25</v>
      </c>
      <c r="I2779" s="117">
        <v>518100</v>
      </c>
      <c r="J2779" s="112" t="s">
        <v>85</v>
      </c>
      <c r="K2779" s="2" t="s">
        <v>85</v>
      </c>
      <c r="L2779" s="2">
        <v>0</v>
      </c>
      <c r="M2779" s="2" t="s">
        <v>85</v>
      </c>
      <c r="N2779" s="2" t="s">
        <v>85</v>
      </c>
      <c r="O2779" s="2" t="s">
        <v>2095</v>
      </c>
      <c r="P2779" s="59" t="s">
        <v>1783</v>
      </c>
    </row>
    <row r="2780" spans="1:16" ht="22" customHeight="1" x14ac:dyDescent="0.15">
      <c r="A2780" s="10" t="str">
        <f t="shared" si="457"/>
        <v>518_10_22_10_polygon</v>
      </c>
      <c r="B2780" s="2">
        <v>518</v>
      </c>
      <c r="C2780" s="30" t="str">
        <f>VLOOKUP(B2780,gachas!A:C,3)</f>
        <v>ミクガチャC</v>
      </c>
      <c r="D2780" s="21">
        <v>10</v>
      </c>
      <c r="E2780" s="2">
        <f t="shared" si="456"/>
        <v>22</v>
      </c>
      <c r="F2780" s="2">
        <v>10</v>
      </c>
      <c r="G2780" s="3" t="s">
        <v>22</v>
      </c>
      <c r="H2780" s="2">
        <v>50</v>
      </c>
      <c r="I2780" s="117">
        <v>518100</v>
      </c>
      <c r="J2780" s="112" t="s">
        <v>85</v>
      </c>
      <c r="K2780" s="2" t="s">
        <v>85</v>
      </c>
      <c r="L2780" s="2">
        <v>0</v>
      </c>
      <c r="M2780" s="2" t="s">
        <v>85</v>
      </c>
      <c r="N2780" s="2" t="s">
        <v>85</v>
      </c>
      <c r="O2780" s="2" t="s">
        <v>2095</v>
      </c>
      <c r="P2780" s="2" t="s">
        <v>143</v>
      </c>
    </row>
    <row r="2781" spans="1:16" ht="22" customHeight="1" x14ac:dyDescent="0.15">
      <c r="A2781" s="10" t="str">
        <f t="shared" si="457"/>
        <v>518_10_23_10_polygon</v>
      </c>
      <c r="B2781" s="2">
        <v>518</v>
      </c>
      <c r="C2781" s="30" t="str">
        <f>VLOOKUP(B2781,gachas!A:C,3)</f>
        <v>ミクガチャC</v>
      </c>
      <c r="D2781" s="21">
        <v>10</v>
      </c>
      <c r="E2781" s="2">
        <f t="shared" si="456"/>
        <v>23</v>
      </c>
      <c r="F2781" s="2">
        <v>10</v>
      </c>
      <c r="G2781" s="3" t="s">
        <v>22</v>
      </c>
      <c r="H2781" s="2">
        <v>50</v>
      </c>
      <c r="I2781" s="117">
        <v>518100</v>
      </c>
      <c r="J2781" s="112" t="s">
        <v>85</v>
      </c>
      <c r="K2781" s="2" t="s">
        <v>85</v>
      </c>
      <c r="L2781" s="2">
        <v>0</v>
      </c>
      <c r="M2781" s="2" t="s">
        <v>85</v>
      </c>
      <c r="N2781" s="2" t="s">
        <v>85</v>
      </c>
      <c r="O2781" s="2" t="s">
        <v>2095</v>
      </c>
      <c r="P2781" s="2" t="s">
        <v>143</v>
      </c>
    </row>
    <row r="2782" spans="1:16" ht="22" customHeight="1" x14ac:dyDescent="0.15">
      <c r="A2782" s="10" t="str">
        <f t="shared" si="457"/>
        <v>518_10_24_10_polygon</v>
      </c>
      <c r="B2782" s="2">
        <v>518</v>
      </c>
      <c r="C2782" s="30" t="str">
        <f>VLOOKUP(B2782,gachas!A:C,3)</f>
        <v>ミクガチャC</v>
      </c>
      <c r="D2782" s="21">
        <v>10</v>
      </c>
      <c r="E2782" s="2">
        <f t="shared" si="456"/>
        <v>24</v>
      </c>
      <c r="F2782" s="2">
        <v>10</v>
      </c>
      <c r="G2782" s="3" t="s">
        <v>22</v>
      </c>
      <c r="H2782" s="2">
        <v>50</v>
      </c>
      <c r="I2782" s="117">
        <v>518100</v>
      </c>
      <c r="J2782" s="112" t="s">
        <v>85</v>
      </c>
      <c r="K2782" s="2" t="s">
        <v>85</v>
      </c>
      <c r="L2782" s="2">
        <v>0</v>
      </c>
      <c r="M2782" s="2" t="s">
        <v>85</v>
      </c>
      <c r="N2782" s="2" t="s">
        <v>85</v>
      </c>
      <c r="O2782" s="2" t="s">
        <v>2095</v>
      </c>
      <c r="P2782" s="2" t="s">
        <v>143</v>
      </c>
    </row>
    <row r="2783" spans="1:16" ht="22" customHeight="1" x14ac:dyDescent="0.15">
      <c r="A2783" s="10" t="str">
        <f t="shared" si="457"/>
        <v>518_10_25_10_polygon</v>
      </c>
      <c r="B2783" s="2">
        <v>518</v>
      </c>
      <c r="C2783" s="30" t="str">
        <f>VLOOKUP(B2783,gachas!A:C,3)</f>
        <v>ミクガチャC</v>
      </c>
      <c r="D2783" s="21">
        <v>10</v>
      </c>
      <c r="E2783" s="2">
        <f t="shared" si="456"/>
        <v>25</v>
      </c>
      <c r="F2783" s="2">
        <v>10</v>
      </c>
      <c r="G2783" s="3" t="s">
        <v>22</v>
      </c>
      <c r="H2783" s="2">
        <v>50</v>
      </c>
      <c r="I2783" s="117">
        <v>518100</v>
      </c>
      <c r="J2783" s="112" t="s">
        <v>85</v>
      </c>
      <c r="K2783" s="117">
        <v>518105</v>
      </c>
      <c r="L2783" s="2">
        <v>1</v>
      </c>
      <c r="M2783" s="2" t="s">
        <v>85</v>
      </c>
      <c r="N2783" s="2" t="s">
        <v>85</v>
      </c>
      <c r="O2783" s="2" t="s">
        <v>2095</v>
      </c>
      <c r="P2783" s="2" t="s">
        <v>2548</v>
      </c>
    </row>
    <row r="2784" spans="1:16" ht="22" customHeight="1" x14ac:dyDescent="0.15">
      <c r="A2784" s="10" t="str">
        <f t="shared" si="457"/>
        <v>518_10_26_10_polygon</v>
      </c>
      <c r="B2784" s="2">
        <v>518</v>
      </c>
      <c r="C2784" s="30" t="str">
        <f>VLOOKUP(B2784,gachas!A:C,3)</f>
        <v>ミクガチャC</v>
      </c>
      <c r="D2784" s="21">
        <v>10</v>
      </c>
      <c r="E2784" s="2">
        <f t="shared" si="456"/>
        <v>26</v>
      </c>
      <c r="F2784" s="2">
        <v>10</v>
      </c>
      <c r="G2784" s="3" t="s">
        <v>22</v>
      </c>
      <c r="H2784" s="2">
        <v>25</v>
      </c>
      <c r="I2784" s="117">
        <v>518100</v>
      </c>
      <c r="J2784" s="112" t="s">
        <v>85</v>
      </c>
      <c r="K2784" s="2" t="s">
        <v>85</v>
      </c>
      <c r="L2784" s="2">
        <v>0</v>
      </c>
      <c r="M2784" s="2" t="s">
        <v>85</v>
      </c>
      <c r="N2784" s="2" t="s">
        <v>85</v>
      </c>
      <c r="O2784" s="2" t="s">
        <v>2095</v>
      </c>
      <c r="P2784" s="59" t="s">
        <v>1783</v>
      </c>
    </row>
    <row r="2785" spans="1:16" ht="22" customHeight="1" x14ac:dyDescent="0.15">
      <c r="A2785" s="10" t="str">
        <f t="shared" si="457"/>
        <v>518_10_27_10_polygon</v>
      </c>
      <c r="B2785" s="2">
        <v>518</v>
      </c>
      <c r="C2785" s="30" t="str">
        <f>VLOOKUP(B2785,gachas!A:C,3)</f>
        <v>ミクガチャC</v>
      </c>
      <c r="D2785" s="21">
        <v>10</v>
      </c>
      <c r="E2785" s="2">
        <f t="shared" si="456"/>
        <v>27</v>
      </c>
      <c r="F2785" s="2">
        <v>10</v>
      </c>
      <c r="G2785" s="3" t="s">
        <v>22</v>
      </c>
      <c r="H2785" s="2">
        <v>50</v>
      </c>
      <c r="I2785" s="117">
        <v>518100</v>
      </c>
      <c r="J2785" s="112" t="s">
        <v>85</v>
      </c>
      <c r="K2785" s="2" t="s">
        <v>85</v>
      </c>
      <c r="L2785" s="2">
        <v>0</v>
      </c>
      <c r="M2785" s="2" t="s">
        <v>85</v>
      </c>
      <c r="N2785" s="2" t="s">
        <v>85</v>
      </c>
      <c r="O2785" s="2" t="s">
        <v>2095</v>
      </c>
      <c r="P2785" s="2" t="s">
        <v>143</v>
      </c>
    </row>
    <row r="2786" spans="1:16" ht="22" customHeight="1" x14ac:dyDescent="0.15">
      <c r="A2786" s="10" t="str">
        <f t="shared" si="457"/>
        <v>518_10_28_10_polygon</v>
      </c>
      <c r="B2786" s="2">
        <v>518</v>
      </c>
      <c r="C2786" s="30" t="str">
        <f>VLOOKUP(B2786,gachas!A:C,3)</f>
        <v>ミクガチャC</v>
      </c>
      <c r="D2786" s="21">
        <v>10</v>
      </c>
      <c r="E2786" s="2">
        <f t="shared" si="456"/>
        <v>28</v>
      </c>
      <c r="F2786" s="2">
        <v>10</v>
      </c>
      <c r="G2786" s="3" t="s">
        <v>22</v>
      </c>
      <c r="H2786" s="2">
        <v>50</v>
      </c>
      <c r="I2786" s="117">
        <v>518100</v>
      </c>
      <c r="J2786" s="112" t="s">
        <v>85</v>
      </c>
      <c r="K2786" s="2" t="s">
        <v>85</v>
      </c>
      <c r="L2786" s="2">
        <v>0</v>
      </c>
      <c r="M2786" s="2" t="s">
        <v>85</v>
      </c>
      <c r="N2786" s="2" t="s">
        <v>85</v>
      </c>
      <c r="O2786" s="2" t="s">
        <v>2095</v>
      </c>
      <c r="P2786" s="2" t="s">
        <v>143</v>
      </c>
    </row>
    <row r="2787" spans="1:16" ht="22" customHeight="1" x14ac:dyDescent="0.15">
      <c r="A2787" s="10" t="str">
        <f t="shared" si="457"/>
        <v>518_10_29_10_polygon</v>
      </c>
      <c r="B2787" s="2">
        <v>518</v>
      </c>
      <c r="C2787" s="30" t="str">
        <f>VLOOKUP(B2787,gachas!A:C,3)</f>
        <v>ミクガチャC</v>
      </c>
      <c r="D2787" s="21">
        <v>10</v>
      </c>
      <c r="E2787" s="2">
        <f t="shared" si="456"/>
        <v>29</v>
      </c>
      <c r="F2787" s="2">
        <v>10</v>
      </c>
      <c r="G2787" s="3" t="s">
        <v>22</v>
      </c>
      <c r="H2787" s="2">
        <v>50</v>
      </c>
      <c r="I2787" s="117">
        <v>518100</v>
      </c>
      <c r="J2787" s="112" t="s">
        <v>85</v>
      </c>
      <c r="K2787" s="2" t="s">
        <v>85</v>
      </c>
      <c r="L2787" s="2">
        <v>0</v>
      </c>
      <c r="M2787" s="2" t="s">
        <v>85</v>
      </c>
      <c r="N2787" s="2" t="s">
        <v>85</v>
      </c>
      <c r="O2787" s="2" t="s">
        <v>2095</v>
      </c>
      <c r="P2787" s="2" t="s">
        <v>143</v>
      </c>
    </row>
    <row r="2788" spans="1:16" ht="22" customHeight="1" x14ac:dyDescent="0.15">
      <c r="A2788" s="10" t="str">
        <f t="shared" si="457"/>
        <v>518_10_30_10_polygon</v>
      </c>
      <c r="B2788" s="2">
        <v>518</v>
      </c>
      <c r="C2788" s="30" t="str">
        <f>VLOOKUP(B2788,gachas!A:C,3)</f>
        <v>ミクガチャC</v>
      </c>
      <c r="D2788" s="21">
        <v>10</v>
      </c>
      <c r="E2788" s="2">
        <f t="shared" si="456"/>
        <v>30</v>
      </c>
      <c r="F2788" s="2">
        <v>10</v>
      </c>
      <c r="G2788" s="3" t="s">
        <v>22</v>
      </c>
      <c r="H2788" s="2">
        <v>50</v>
      </c>
      <c r="I2788" s="117">
        <v>518100</v>
      </c>
      <c r="J2788" s="112" t="s">
        <v>85</v>
      </c>
      <c r="K2788" s="117">
        <v>518105</v>
      </c>
      <c r="L2788" s="2">
        <v>1</v>
      </c>
      <c r="M2788" s="2" t="s">
        <v>85</v>
      </c>
      <c r="N2788" s="2" t="s">
        <v>85</v>
      </c>
      <c r="O2788" s="2" t="s">
        <v>2095</v>
      </c>
      <c r="P2788" s="2" t="s">
        <v>2548</v>
      </c>
    </row>
    <row r="2789" spans="1:16" ht="22" customHeight="1" x14ac:dyDescent="0.15">
      <c r="A2789" s="10" t="str">
        <f t="shared" si="457"/>
        <v>518_10_31_10_polygon</v>
      </c>
      <c r="B2789" s="2">
        <v>518</v>
      </c>
      <c r="C2789" s="30" t="str">
        <f>VLOOKUP(B2789,gachas!A:C,3)</f>
        <v>ミクガチャC</v>
      </c>
      <c r="D2789" s="21">
        <v>10</v>
      </c>
      <c r="E2789" s="2">
        <f t="shared" si="456"/>
        <v>31</v>
      </c>
      <c r="F2789" s="2">
        <v>10</v>
      </c>
      <c r="G2789" s="3" t="s">
        <v>22</v>
      </c>
      <c r="H2789" s="2">
        <v>25</v>
      </c>
      <c r="I2789" s="117">
        <v>518100</v>
      </c>
      <c r="J2789" s="112" t="s">
        <v>85</v>
      </c>
      <c r="K2789" s="2" t="s">
        <v>85</v>
      </c>
      <c r="L2789" s="2">
        <v>0</v>
      </c>
      <c r="M2789" s="2" t="s">
        <v>85</v>
      </c>
      <c r="N2789" s="2" t="s">
        <v>85</v>
      </c>
      <c r="O2789" s="2" t="s">
        <v>2095</v>
      </c>
      <c r="P2789" s="59" t="s">
        <v>1783</v>
      </c>
    </row>
    <row r="2790" spans="1:16" ht="22" customHeight="1" x14ac:dyDescent="0.15">
      <c r="A2790" s="10" t="str">
        <f t="shared" si="457"/>
        <v>518_10_32_10_polygon</v>
      </c>
      <c r="B2790" s="2">
        <v>518</v>
      </c>
      <c r="C2790" s="30" t="str">
        <f>VLOOKUP(B2790,gachas!A:C,3)</f>
        <v>ミクガチャC</v>
      </c>
      <c r="D2790" s="21">
        <v>10</v>
      </c>
      <c r="E2790" s="2">
        <f t="shared" si="456"/>
        <v>32</v>
      </c>
      <c r="F2790" s="2">
        <v>10</v>
      </c>
      <c r="G2790" s="3" t="s">
        <v>22</v>
      </c>
      <c r="H2790" s="2">
        <v>50</v>
      </c>
      <c r="I2790" s="117">
        <v>518100</v>
      </c>
      <c r="J2790" s="112" t="s">
        <v>85</v>
      </c>
      <c r="K2790" s="2" t="s">
        <v>85</v>
      </c>
      <c r="L2790" s="2">
        <v>0</v>
      </c>
      <c r="M2790" s="2" t="s">
        <v>85</v>
      </c>
      <c r="N2790" s="2" t="s">
        <v>85</v>
      </c>
      <c r="O2790" s="2" t="s">
        <v>2095</v>
      </c>
      <c r="P2790" s="2" t="s">
        <v>143</v>
      </c>
    </row>
    <row r="2791" spans="1:16" ht="22" customHeight="1" x14ac:dyDescent="0.15">
      <c r="A2791" s="10" t="str">
        <f t="shared" si="457"/>
        <v>518_10_33_10_polygon</v>
      </c>
      <c r="B2791" s="2">
        <v>518</v>
      </c>
      <c r="C2791" s="30" t="str">
        <f>VLOOKUP(B2791,gachas!A:C,3)</f>
        <v>ミクガチャC</v>
      </c>
      <c r="D2791" s="21">
        <v>10</v>
      </c>
      <c r="E2791" s="2">
        <f t="shared" si="456"/>
        <v>33</v>
      </c>
      <c r="F2791" s="2">
        <v>10</v>
      </c>
      <c r="G2791" s="3" t="s">
        <v>22</v>
      </c>
      <c r="H2791" s="2">
        <v>50</v>
      </c>
      <c r="I2791" s="117">
        <v>518100</v>
      </c>
      <c r="J2791" s="112" t="s">
        <v>85</v>
      </c>
      <c r="K2791" s="2" t="s">
        <v>85</v>
      </c>
      <c r="L2791" s="2">
        <v>0</v>
      </c>
      <c r="M2791" s="2" t="s">
        <v>85</v>
      </c>
      <c r="N2791" s="2" t="s">
        <v>85</v>
      </c>
      <c r="O2791" s="2" t="s">
        <v>2095</v>
      </c>
      <c r="P2791" s="2" t="s">
        <v>143</v>
      </c>
    </row>
    <row r="2792" spans="1:16" ht="22" customHeight="1" x14ac:dyDescent="0.15">
      <c r="A2792" s="10" t="str">
        <f t="shared" si="457"/>
        <v>518_10_34_10_polygon</v>
      </c>
      <c r="B2792" s="2">
        <v>518</v>
      </c>
      <c r="C2792" s="30" t="str">
        <f>VLOOKUP(B2792,gachas!A:C,3)</f>
        <v>ミクガチャC</v>
      </c>
      <c r="D2792" s="21">
        <v>10</v>
      </c>
      <c r="E2792" s="2">
        <f t="shared" si="456"/>
        <v>34</v>
      </c>
      <c r="F2792" s="2">
        <v>10</v>
      </c>
      <c r="G2792" s="3" t="s">
        <v>22</v>
      </c>
      <c r="H2792" s="2">
        <v>50</v>
      </c>
      <c r="I2792" s="117">
        <v>518100</v>
      </c>
      <c r="J2792" s="112" t="s">
        <v>85</v>
      </c>
      <c r="K2792" s="2" t="s">
        <v>85</v>
      </c>
      <c r="L2792" s="2">
        <v>0</v>
      </c>
      <c r="M2792" s="2" t="s">
        <v>85</v>
      </c>
      <c r="N2792" s="2" t="s">
        <v>85</v>
      </c>
      <c r="O2792" s="2" t="s">
        <v>2095</v>
      </c>
      <c r="P2792" s="2" t="s">
        <v>143</v>
      </c>
    </row>
    <row r="2793" spans="1:16" ht="22" customHeight="1" x14ac:dyDescent="0.15">
      <c r="A2793" s="10" t="str">
        <f t="shared" si="457"/>
        <v>518_10_35_10_polygon</v>
      </c>
      <c r="B2793" s="2">
        <v>518</v>
      </c>
      <c r="C2793" s="30" t="str">
        <f>VLOOKUP(B2793,gachas!A:C,3)</f>
        <v>ミクガチャC</v>
      </c>
      <c r="D2793" s="21">
        <v>10</v>
      </c>
      <c r="E2793" s="2">
        <f t="shared" si="456"/>
        <v>35</v>
      </c>
      <c r="F2793" s="2">
        <v>10</v>
      </c>
      <c r="G2793" s="3" t="s">
        <v>22</v>
      </c>
      <c r="H2793" s="2">
        <v>50</v>
      </c>
      <c r="I2793" s="117">
        <v>518100</v>
      </c>
      <c r="J2793" s="112" t="s">
        <v>85</v>
      </c>
      <c r="K2793" s="117">
        <v>518105</v>
      </c>
      <c r="L2793" s="2">
        <v>1</v>
      </c>
      <c r="M2793" s="2" t="s">
        <v>85</v>
      </c>
      <c r="N2793" s="2" t="s">
        <v>85</v>
      </c>
      <c r="O2793" s="2" t="s">
        <v>2095</v>
      </c>
      <c r="P2793" s="2" t="s">
        <v>2548</v>
      </c>
    </row>
    <row r="2794" spans="1:16" ht="22" customHeight="1" x14ac:dyDescent="0.15">
      <c r="A2794" s="10" t="str">
        <f t="shared" si="457"/>
        <v>518_10_36_10_polygon</v>
      </c>
      <c r="B2794" s="2">
        <v>518</v>
      </c>
      <c r="C2794" s="30" t="str">
        <f>VLOOKUP(B2794,gachas!A:C,3)</f>
        <v>ミクガチャC</v>
      </c>
      <c r="D2794" s="21">
        <v>10</v>
      </c>
      <c r="E2794" s="2">
        <f t="shared" si="456"/>
        <v>36</v>
      </c>
      <c r="F2794" s="2">
        <v>10</v>
      </c>
      <c r="G2794" s="3" t="s">
        <v>22</v>
      </c>
      <c r="H2794" s="2">
        <v>25</v>
      </c>
      <c r="I2794" s="117">
        <v>518100</v>
      </c>
      <c r="J2794" s="112" t="s">
        <v>85</v>
      </c>
      <c r="K2794" s="2" t="s">
        <v>85</v>
      </c>
      <c r="L2794" s="2">
        <v>0</v>
      </c>
      <c r="M2794" s="2" t="s">
        <v>85</v>
      </c>
      <c r="N2794" s="2" t="s">
        <v>85</v>
      </c>
      <c r="O2794" s="2" t="s">
        <v>2095</v>
      </c>
      <c r="P2794" s="59" t="s">
        <v>1783</v>
      </c>
    </row>
    <row r="2795" spans="1:16" ht="22" customHeight="1" x14ac:dyDescent="0.15">
      <c r="A2795" s="10" t="str">
        <f t="shared" si="457"/>
        <v>518_10_37_10_polygon</v>
      </c>
      <c r="B2795" s="2">
        <v>518</v>
      </c>
      <c r="C2795" s="30" t="str">
        <f>VLOOKUP(B2795,gachas!A:C,3)</f>
        <v>ミクガチャC</v>
      </c>
      <c r="D2795" s="21">
        <v>10</v>
      </c>
      <c r="E2795" s="2">
        <f t="shared" si="456"/>
        <v>37</v>
      </c>
      <c r="F2795" s="2">
        <v>10</v>
      </c>
      <c r="G2795" s="3" t="s">
        <v>22</v>
      </c>
      <c r="H2795" s="2">
        <v>50</v>
      </c>
      <c r="I2795" s="117">
        <v>518100</v>
      </c>
      <c r="J2795" s="112" t="s">
        <v>85</v>
      </c>
      <c r="K2795" s="2" t="s">
        <v>85</v>
      </c>
      <c r="L2795" s="2">
        <v>0</v>
      </c>
      <c r="M2795" s="2" t="s">
        <v>85</v>
      </c>
      <c r="N2795" s="2" t="s">
        <v>85</v>
      </c>
      <c r="O2795" s="2" t="s">
        <v>2095</v>
      </c>
      <c r="P2795" s="2" t="s">
        <v>143</v>
      </c>
    </row>
    <row r="2796" spans="1:16" ht="22" customHeight="1" x14ac:dyDescent="0.15">
      <c r="A2796" s="10" t="str">
        <f t="shared" si="457"/>
        <v>518_10_38_10_polygon</v>
      </c>
      <c r="B2796" s="2">
        <v>518</v>
      </c>
      <c r="C2796" s="30" t="str">
        <f>VLOOKUP(B2796,gachas!A:C,3)</f>
        <v>ミクガチャC</v>
      </c>
      <c r="D2796" s="21">
        <v>10</v>
      </c>
      <c r="E2796" s="2">
        <f t="shared" si="456"/>
        <v>38</v>
      </c>
      <c r="F2796" s="2">
        <v>10</v>
      </c>
      <c r="G2796" s="3" t="s">
        <v>22</v>
      </c>
      <c r="H2796" s="2">
        <v>50</v>
      </c>
      <c r="I2796" s="117">
        <v>518100</v>
      </c>
      <c r="J2796" s="112" t="s">
        <v>85</v>
      </c>
      <c r="K2796" s="2" t="s">
        <v>85</v>
      </c>
      <c r="L2796" s="2">
        <v>0</v>
      </c>
      <c r="M2796" s="2" t="s">
        <v>85</v>
      </c>
      <c r="N2796" s="2" t="s">
        <v>85</v>
      </c>
      <c r="O2796" s="2" t="s">
        <v>2095</v>
      </c>
      <c r="P2796" s="2" t="s">
        <v>143</v>
      </c>
    </row>
    <row r="2797" spans="1:16" ht="22" customHeight="1" x14ac:dyDescent="0.15">
      <c r="A2797" s="10" t="str">
        <f t="shared" si="457"/>
        <v>518_10_39_10_polygon</v>
      </c>
      <c r="B2797" s="2">
        <v>518</v>
      </c>
      <c r="C2797" s="30" t="str">
        <f>VLOOKUP(B2797,gachas!A:C,3)</f>
        <v>ミクガチャC</v>
      </c>
      <c r="D2797" s="21">
        <v>10</v>
      </c>
      <c r="E2797" s="2">
        <f t="shared" si="456"/>
        <v>39</v>
      </c>
      <c r="F2797" s="2">
        <v>10</v>
      </c>
      <c r="G2797" s="3" t="s">
        <v>22</v>
      </c>
      <c r="H2797" s="2">
        <v>50</v>
      </c>
      <c r="I2797" s="117">
        <v>518100</v>
      </c>
      <c r="J2797" s="112" t="s">
        <v>85</v>
      </c>
      <c r="K2797" s="2" t="s">
        <v>85</v>
      </c>
      <c r="L2797" s="2">
        <v>0</v>
      </c>
      <c r="M2797" s="2" t="s">
        <v>85</v>
      </c>
      <c r="N2797" s="2" t="s">
        <v>85</v>
      </c>
      <c r="O2797" s="2" t="s">
        <v>2095</v>
      </c>
      <c r="P2797" s="2" t="s">
        <v>143</v>
      </c>
    </row>
    <row r="2798" spans="1:16" ht="22" customHeight="1" x14ac:dyDescent="0.15">
      <c r="A2798" s="10" t="str">
        <f t="shared" si="457"/>
        <v>518_10_40_10_polygon</v>
      </c>
      <c r="B2798" s="2">
        <v>518</v>
      </c>
      <c r="C2798" s="30" t="str">
        <f>VLOOKUP(B2798,gachas!A:C,3)</f>
        <v>ミクガチャC</v>
      </c>
      <c r="D2798" s="21">
        <v>10</v>
      </c>
      <c r="E2798" s="2">
        <f t="shared" si="456"/>
        <v>40</v>
      </c>
      <c r="F2798" s="2">
        <v>10</v>
      </c>
      <c r="G2798" s="3" t="s">
        <v>22</v>
      </c>
      <c r="H2798" s="2">
        <v>50</v>
      </c>
      <c r="I2798" s="117">
        <v>518100</v>
      </c>
      <c r="J2798" s="112" t="s">
        <v>85</v>
      </c>
      <c r="K2798" s="117">
        <v>518105</v>
      </c>
      <c r="L2798" s="2">
        <v>1</v>
      </c>
      <c r="M2798" s="2" t="s">
        <v>85</v>
      </c>
      <c r="N2798" s="2" t="s">
        <v>85</v>
      </c>
      <c r="O2798" s="2" t="s">
        <v>2095</v>
      </c>
      <c r="P2798" s="2" t="s">
        <v>2548</v>
      </c>
    </row>
    <row r="2799" spans="1:16" ht="22" customHeight="1" x14ac:dyDescent="0.15">
      <c r="A2799" s="10" t="str">
        <f t="shared" si="457"/>
        <v>518_10_41_10_polygon</v>
      </c>
      <c r="B2799" s="2">
        <v>518</v>
      </c>
      <c r="C2799" s="30" t="str">
        <f>VLOOKUP(B2799,gachas!A:C,3)</f>
        <v>ミクガチャC</v>
      </c>
      <c r="D2799" s="21">
        <v>10</v>
      </c>
      <c r="E2799" s="2">
        <f t="shared" si="456"/>
        <v>41</v>
      </c>
      <c r="F2799" s="2">
        <v>10</v>
      </c>
      <c r="G2799" s="3" t="s">
        <v>22</v>
      </c>
      <c r="H2799" s="2">
        <v>25</v>
      </c>
      <c r="I2799" s="117">
        <v>518100</v>
      </c>
      <c r="J2799" s="112" t="s">
        <v>85</v>
      </c>
      <c r="K2799" s="2" t="s">
        <v>85</v>
      </c>
      <c r="L2799" s="2">
        <v>0</v>
      </c>
      <c r="M2799" s="2" t="s">
        <v>85</v>
      </c>
      <c r="N2799" s="2" t="s">
        <v>85</v>
      </c>
      <c r="O2799" s="2" t="s">
        <v>2095</v>
      </c>
      <c r="P2799" s="59" t="s">
        <v>1783</v>
      </c>
    </row>
    <row r="2800" spans="1:16" ht="22" customHeight="1" x14ac:dyDescent="0.15">
      <c r="A2800" s="10" t="str">
        <f t="shared" si="457"/>
        <v>518_10_42_10_polygon</v>
      </c>
      <c r="B2800" s="2">
        <v>518</v>
      </c>
      <c r="C2800" s="30" t="str">
        <f>VLOOKUP(B2800,gachas!A:C,3)</f>
        <v>ミクガチャC</v>
      </c>
      <c r="D2800" s="21">
        <v>10</v>
      </c>
      <c r="E2800" s="2">
        <f t="shared" si="456"/>
        <v>42</v>
      </c>
      <c r="F2800" s="2">
        <v>10</v>
      </c>
      <c r="G2800" s="3" t="s">
        <v>22</v>
      </c>
      <c r="H2800" s="2">
        <v>50</v>
      </c>
      <c r="I2800" s="117">
        <v>518100</v>
      </c>
      <c r="J2800" s="112" t="s">
        <v>85</v>
      </c>
      <c r="K2800" s="2" t="s">
        <v>85</v>
      </c>
      <c r="L2800" s="2">
        <v>0</v>
      </c>
      <c r="M2800" s="2" t="s">
        <v>85</v>
      </c>
      <c r="N2800" s="2" t="s">
        <v>85</v>
      </c>
      <c r="O2800" s="2" t="s">
        <v>2095</v>
      </c>
      <c r="P2800" s="2" t="s">
        <v>143</v>
      </c>
    </row>
    <row r="2801" spans="1:16" ht="22" customHeight="1" x14ac:dyDescent="0.15">
      <c r="A2801" s="10" t="str">
        <f t="shared" si="457"/>
        <v>518_10_43_10_polygon</v>
      </c>
      <c r="B2801" s="2">
        <v>518</v>
      </c>
      <c r="C2801" s="30" t="str">
        <f>VLOOKUP(B2801,gachas!A:C,3)</f>
        <v>ミクガチャC</v>
      </c>
      <c r="D2801" s="21">
        <v>10</v>
      </c>
      <c r="E2801" s="2">
        <f t="shared" si="456"/>
        <v>43</v>
      </c>
      <c r="F2801" s="2">
        <v>10</v>
      </c>
      <c r="G2801" s="3" t="s">
        <v>22</v>
      </c>
      <c r="H2801" s="2">
        <v>50</v>
      </c>
      <c r="I2801" s="117">
        <v>518100</v>
      </c>
      <c r="J2801" s="112" t="s">
        <v>85</v>
      </c>
      <c r="K2801" s="2" t="s">
        <v>85</v>
      </c>
      <c r="L2801" s="2">
        <v>0</v>
      </c>
      <c r="M2801" s="2" t="s">
        <v>85</v>
      </c>
      <c r="N2801" s="2" t="s">
        <v>85</v>
      </c>
      <c r="O2801" s="2" t="s">
        <v>2095</v>
      </c>
      <c r="P2801" s="2" t="s">
        <v>143</v>
      </c>
    </row>
    <row r="2802" spans="1:16" ht="22" customHeight="1" x14ac:dyDescent="0.15">
      <c r="A2802" s="10" t="str">
        <f t="shared" si="457"/>
        <v>518_10_44_10_polygon</v>
      </c>
      <c r="B2802" s="2">
        <v>518</v>
      </c>
      <c r="C2802" s="30" t="str">
        <f>VLOOKUP(B2802,gachas!A:C,3)</f>
        <v>ミクガチャC</v>
      </c>
      <c r="D2802" s="21">
        <v>10</v>
      </c>
      <c r="E2802" s="2">
        <f t="shared" si="456"/>
        <v>44</v>
      </c>
      <c r="F2802" s="2">
        <v>10</v>
      </c>
      <c r="G2802" s="3" t="s">
        <v>22</v>
      </c>
      <c r="H2802" s="2">
        <v>50</v>
      </c>
      <c r="I2802" s="117">
        <v>518100</v>
      </c>
      <c r="J2802" s="112" t="s">
        <v>85</v>
      </c>
      <c r="K2802" s="2" t="s">
        <v>85</v>
      </c>
      <c r="L2802" s="2">
        <v>0</v>
      </c>
      <c r="M2802" s="2" t="s">
        <v>85</v>
      </c>
      <c r="N2802" s="2" t="s">
        <v>85</v>
      </c>
      <c r="O2802" s="2" t="s">
        <v>2095</v>
      </c>
      <c r="P2802" s="2" t="s">
        <v>143</v>
      </c>
    </row>
    <row r="2803" spans="1:16" ht="22" customHeight="1" x14ac:dyDescent="0.15">
      <c r="A2803" s="10" t="str">
        <f t="shared" si="457"/>
        <v>518_10_45_10_polygon</v>
      </c>
      <c r="B2803" s="2">
        <v>518</v>
      </c>
      <c r="C2803" s="30" t="str">
        <f>VLOOKUP(B2803,gachas!A:C,3)</f>
        <v>ミクガチャC</v>
      </c>
      <c r="D2803" s="21">
        <v>10</v>
      </c>
      <c r="E2803" s="2">
        <f t="shared" si="456"/>
        <v>45</v>
      </c>
      <c r="F2803" s="2">
        <v>10</v>
      </c>
      <c r="G2803" s="3" t="s">
        <v>22</v>
      </c>
      <c r="H2803" s="2">
        <v>50</v>
      </c>
      <c r="I2803" s="117">
        <v>518100</v>
      </c>
      <c r="J2803" s="112" t="s">
        <v>85</v>
      </c>
      <c r="K2803" s="117">
        <v>518105</v>
      </c>
      <c r="L2803" s="2">
        <v>1</v>
      </c>
      <c r="M2803" s="2" t="s">
        <v>85</v>
      </c>
      <c r="N2803" s="2" t="s">
        <v>85</v>
      </c>
      <c r="O2803" s="2" t="s">
        <v>2095</v>
      </c>
      <c r="P2803" s="2" t="s">
        <v>2548</v>
      </c>
    </row>
    <row r="2804" spans="1:16" ht="22" customHeight="1" x14ac:dyDescent="0.15">
      <c r="A2804" s="10" t="str">
        <f t="shared" si="457"/>
        <v>518_10_46_10_polygon</v>
      </c>
      <c r="B2804" s="2">
        <v>518</v>
      </c>
      <c r="C2804" s="30" t="str">
        <f>VLOOKUP(B2804,gachas!A:C,3)</f>
        <v>ミクガチャC</v>
      </c>
      <c r="D2804" s="21">
        <v>10</v>
      </c>
      <c r="E2804" s="2">
        <f t="shared" si="456"/>
        <v>46</v>
      </c>
      <c r="F2804" s="2">
        <v>10</v>
      </c>
      <c r="G2804" s="3" t="s">
        <v>22</v>
      </c>
      <c r="H2804" s="2">
        <v>25</v>
      </c>
      <c r="I2804" s="117">
        <v>518100</v>
      </c>
      <c r="J2804" s="112" t="s">
        <v>85</v>
      </c>
      <c r="K2804" s="2" t="s">
        <v>85</v>
      </c>
      <c r="L2804" s="2">
        <v>0</v>
      </c>
      <c r="M2804" s="2" t="s">
        <v>85</v>
      </c>
      <c r="N2804" s="2" t="s">
        <v>85</v>
      </c>
      <c r="O2804" s="2" t="s">
        <v>2095</v>
      </c>
      <c r="P2804" s="59" t="s">
        <v>1783</v>
      </c>
    </row>
    <row r="2805" spans="1:16" ht="22" customHeight="1" x14ac:dyDescent="0.15">
      <c r="A2805" s="10" t="str">
        <f t="shared" si="457"/>
        <v>518_10_47_10_polygon</v>
      </c>
      <c r="B2805" s="2">
        <v>518</v>
      </c>
      <c r="C2805" s="30" t="str">
        <f>VLOOKUP(B2805,gachas!A:C,3)</f>
        <v>ミクガチャC</v>
      </c>
      <c r="D2805" s="21">
        <v>10</v>
      </c>
      <c r="E2805" s="2">
        <f t="shared" si="456"/>
        <v>47</v>
      </c>
      <c r="F2805" s="2">
        <v>10</v>
      </c>
      <c r="G2805" s="3" t="s">
        <v>22</v>
      </c>
      <c r="H2805" s="2">
        <v>50</v>
      </c>
      <c r="I2805" s="117">
        <v>518100</v>
      </c>
      <c r="J2805" s="112" t="s">
        <v>85</v>
      </c>
      <c r="K2805" s="2" t="s">
        <v>85</v>
      </c>
      <c r="L2805" s="2">
        <v>0</v>
      </c>
      <c r="M2805" s="2" t="s">
        <v>85</v>
      </c>
      <c r="N2805" s="2" t="s">
        <v>85</v>
      </c>
      <c r="O2805" s="2" t="s">
        <v>2095</v>
      </c>
      <c r="P2805" s="2" t="s">
        <v>143</v>
      </c>
    </row>
    <row r="2806" spans="1:16" ht="22" customHeight="1" x14ac:dyDescent="0.15">
      <c r="A2806" s="10" t="str">
        <f t="shared" si="457"/>
        <v>518_10_48_10_polygon</v>
      </c>
      <c r="B2806" s="2">
        <v>518</v>
      </c>
      <c r="C2806" s="30" t="str">
        <f>VLOOKUP(B2806,gachas!A:C,3)</f>
        <v>ミクガチャC</v>
      </c>
      <c r="D2806" s="21">
        <v>10</v>
      </c>
      <c r="E2806" s="2">
        <f t="shared" si="456"/>
        <v>48</v>
      </c>
      <c r="F2806" s="2">
        <v>10</v>
      </c>
      <c r="G2806" s="3" t="s">
        <v>22</v>
      </c>
      <c r="H2806" s="2">
        <v>50</v>
      </c>
      <c r="I2806" s="117">
        <v>518100</v>
      </c>
      <c r="J2806" s="112" t="s">
        <v>85</v>
      </c>
      <c r="K2806" s="2" t="s">
        <v>85</v>
      </c>
      <c r="L2806" s="2">
        <v>0</v>
      </c>
      <c r="M2806" s="2" t="s">
        <v>85</v>
      </c>
      <c r="N2806" s="2" t="s">
        <v>85</v>
      </c>
      <c r="O2806" s="2" t="s">
        <v>2095</v>
      </c>
      <c r="P2806" s="2" t="s">
        <v>143</v>
      </c>
    </row>
    <row r="2807" spans="1:16" ht="22" customHeight="1" x14ac:dyDescent="0.15">
      <c r="A2807" s="10" t="str">
        <f t="shared" si="457"/>
        <v>518_10_49_10_polygon</v>
      </c>
      <c r="B2807" s="2">
        <v>518</v>
      </c>
      <c r="C2807" s="30" t="str">
        <f>VLOOKUP(B2807,gachas!A:C,3)</f>
        <v>ミクガチャC</v>
      </c>
      <c r="D2807" s="21">
        <v>10</v>
      </c>
      <c r="E2807" s="2">
        <f t="shared" si="456"/>
        <v>49</v>
      </c>
      <c r="F2807" s="2">
        <v>10</v>
      </c>
      <c r="G2807" s="3" t="s">
        <v>22</v>
      </c>
      <c r="H2807" s="2">
        <v>50</v>
      </c>
      <c r="I2807" s="117">
        <v>518100</v>
      </c>
      <c r="J2807" s="112" t="s">
        <v>85</v>
      </c>
      <c r="K2807" s="2" t="s">
        <v>85</v>
      </c>
      <c r="L2807" s="2">
        <v>0</v>
      </c>
      <c r="M2807" s="2" t="s">
        <v>85</v>
      </c>
      <c r="N2807" s="2" t="s">
        <v>85</v>
      </c>
      <c r="O2807" s="2" t="s">
        <v>2095</v>
      </c>
      <c r="P2807" s="2" t="s">
        <v>143</v>
      </c>
    </row>
    <row r="2808" spans="1:16" ht="22" customHeight="1" x14ac:dyDescent="0.15">
      <c r="A2808" s="10" t="str">
        <f t="shared" si="457"/>
        <v>518_10_50_10_polygon</v>
      </c>
      <c r="B2808" s="2">
        <v>518</v>
      </c>
      <c r="C2808" s="30" t="str">
        <f>VLOOKUP(B2808,gachas!A:C,3)</f>
        <v>ミクガチャC</v>
      </c>
      <c r="D2808" s="21">
        <v>10</v>
      </c>
      <c r="E2808" s="2">
        <f t="shared" si="456"/>
        <v>50</v>
      </c>
      <c r="F2808" s="2">
        <v>10</v>
      </c>
      <c r="G2808" s="3" t="s">
        <v>22</v>
      </c>
      <c r="H2808" s="2">
        <v>50</v>
      </c>
      <c r="I2808" s="117">
        <v>518100</v>
      </c>
      <c r="J2808" s="112" t="s">
        <v>85</v>
      </c>
      <c r="K2808" s="117">
        <v>518105</v>
      </c>
      <c r="L2808" s="2">
        <v>1</v>
      </c>
      <c r="M2808" s="2" t="s">
        <v>85</v>
      </c>
      <c r="N2808" s="2" t="s">
        <v>85</v>
      </c>
      <c r="O2808" s="2" t="s">
        <v>2095</v>
      </c>
      <c r="P2808" s="2" t="s">
        <v>2548</v>
      </c>
    </row>
    <row r="2809" spans="1:16" ht="22" customHeight="1" x14ac:dyDescent="0.15">
      <c r="A2809" s="10" t="str">
        <f t="shared" si="457"/>
        <v>519_1_0_1_polygon</v>
      </c>
      <c r="B2809" s="2">
        <v>519</v>
      </c>
      <c r="C2809" s="30" t="str">
        <f>VLOOKUP(B2809,gachas!A:C,3)</f>
        <v>タワー攻略応援ガチャ</v>
      </c>
      <c r="D2809" s="21">
        <v>1</v>
      </c>
      <c r="E2809" s="2">
        <v>0</v>
      </c>
      <c r="F2809" s="2">
        <v>1</v>
      </c>
      <c r="G2809" s="3" t="s">
        <v>1566</v>
      </c>
      <c r="H2809" s="2">
        <v>5</v>
      </c>
      <c r="I2809" s="117">
        <v>519010</v>
      </c>
      <c r="J2809" s="112" t="s">
        <v>85</v>
      </c>
      <c r="K2809" s="2" t="s">
        <v>84</v>
      </c>
      <c r="L2809" s="2">
        <v>0</v>
      </c>
      <c r="M2809" s="2" t="s">
        <v>1571</v>
      </c>
      <c r="N2809" s="2" t="s">
        <v>1571</v>
      </c>
      <c r="O2809" s="2" t="s">
        <v>118</v>
      </c>
      <c r="P2809" s="18" t="s">
        <v>84</v>
      </c>
    </row>
    <row r="2810" spans="1:16" ht="22" customHeight="1" x14ac:dyDescent="0.15">
      <c r="A2810" s="10" t="str">
        <f t="shared" si="457"/>
        <v>519_10_0_10_polygon</v>
      </c>
      <c r="B2810" s="2">
        <v>519</v>
      </c>
      <c r="C2810" s="30" t="str">
        <f>VLOOKUP(B2810,gachas!A:C,3)</f>
        <v>タワー攻略応援ガチャ</v>
      </c>
      <c r="D2810" s="21">
        <v>10</v>
      </c>
      <c r="E2810" s="2">
        <v>0</v>
      </c>
      <c r="F2810" s="2">
        <v>10</v>
      </c>
      <c r="G2810" s="3" t="s">
        <v>1566</v>
      </c>
      <c r="H2810" s="2">
        <v>50</v>
      </c>
      <c r="I2810" s="117">
        <v>519100</v>
      </c>
      <c r="J2810" s="112" t="s">
        <v>85</v>
      </c>
      <c r="K2810" s="2">
        <v>519100</v>
      </c>
      <c r="L2810" s="2">
        <v>1</v>
      </c>
      <c r="M2810" s="2" t="s">
        <v>1571</v>
      </c>
      <c r="N2810" s="2" t="s">
        <v>1571</v>
      </c>
      <c r="O2810" s="2" t="s">
        <v>118</v>
      </c>
      <c r="P2810" s="2" t="s">
        <v>2571</v>
      </c>
    </row>
    <row r="2811" spans="1:16" ht="22" customHeight="1" x14ac:dyDescent="0.15">
      <c r="A2811" s="10" t="str">
        <f t="shared" si="457"/>
        <v>519_10_1_10_polygon</v>
      </c>
      <c r="B2811" s="2">
        <v>519</v>
      </c>
      <c r="C2811" s="30" t="str">
        <f>VLOOKUP(B2811,gachas!A:C,3)</f>
        <v>タワー攻略応援ガチャ</v>
      </c>
      <c r="D2811" s="21">
        <v>10</v>
      </c>
      <c r="E2811" s="2">
        <f t="shared" ref="E2811" si="458">E2810+1</f>
        <v>1</v>
      </c>
      <c r="F2811" s="2">
        <v>10</v>
      </c>
      <c r="G2811" s="3" t="s">
        <v>1566</v>
      </c>
      <c r="H2811" s="2">
        <v>25</v>
      </c>
      <c r="I2811" s="117">
        <v>519100</v>
      </c>
      <c r="J2811" s="112" t="s">
        <v>84</v>
      </c>
      <c r="K2811" s="2">
        <v>519100</v>
      </c>
      <c r="L2811" s="2">
        <v>1</v>
      </c>
      <c r="M2811" s="2" t="s">
        <v>1571</v>
      </c>
      <c r="N2811" s="2" t="s">
        <v>1571</v>
      </c>
      <c r="O2811" s="2" t="s">
        <v>118</v>
      </c>
      <c r="P2811" s="59" t="s">
        <v>1783</v>
      </c>
    </row>
    <row r="2812" spans="1:16" ht="22" customHeight="1" x14ac:dyDescent="0.15">
      <c r="A2812" s="10" t="str">
        <f t="shared" si="457"/>
        <v>520_10_1_1_polygon</v>
      </c>
      <c r="B2812" s="2">
        <v>520</v>
      </c>
      <c r="C2812" s="30" t="str">
        <f>VLOOKUP(B2812,gachas!A:C,3)</f>
        <v>確定ステップアップ</v>
      </c>
      <c r="D2812" s="21">
        <v>10</v>
      </c>
      <c r="E2812" s="2">
        <v>1</v>
      </c>
      <c r="F2812" s="2">
        <v>1</v>
      </c>
      <c r="G2812" s="3" t="s">
        <v>22</v>
      </c>
      <c r="H2812" s="2">
        <v>3</v>
      </c>
      <c r="I2812" s="112" t="str">
        <f>CONCATENATE(B2812,"101")</f>
        <v>520101</v>
      </c>
      <c r="J2812" s="112" t="s">
        <v>84</v>
      </c>
      <c r="K2812" s="112" t="s">
        <v>84</v>
      </c>
      <c r="L2812" s="2">
        <v>0</v>
      </c>
      <c r="M2812" s="2" t="s">
        <v>84</v>
      </c>
      <c r="N2812" s="2" t="s">
        <v>84</v>
      </c>
      <c r="O2812" s="2" t="s">
        <v>841</v>
      </c>
      <c r="P2812" s="2" t="str">
        <f>CONCATENATE("tips_",B2812,"_0",E2812,".png")</f>
        <v>tips_520_01.png</v>
      </c>
    </row>
    <row r="2813" spans="1:16" ht="22" customHeight="1" x14ac:dyDescent="0.15">
      <c r="A2813" s="10" t="str">
        <f t="shared" si="457"/>
        <v>520_10_2_3_polygon</v>
      </c>
      <c r="B2813" s="2">
        <v>520</v>
      </c>
      <c r="C2813" s="30" t="str">
        <f>VLOOKUP(B2813,gachas!A:C,3)</f>
        <v>確定ステップアップ</v>
      </c>
      <c r="D2813" s="21">
        <v>10</v>
      </c>
      <c r="E2813" s="2">
        <v>2</v>
      </c>
      <c r="F2813" s="2">
        <v>3</v>
      </c>
      <c r="G2813" s="3" t="s">
        <v>22</v>
      </c>
      <c r="H2813" s="2">
        <v>9</v>
      </c>
      <c r="I2813" s="112" t="str">
        <f>CONCATENATE(B2813,"101")</f>
        <v>520101</v>
      </c>
      <c r="J2813" s="112" t="str">
        <f>CONCATENATE(B2813,"102")</f>
        <v>520102</v>
      </c>
      <c r="K2813" s="112" t="s">
        <v>84</v>
      </c>
      <c r="L2813" s="2">
        <v>0</v>
      </c>
      <c r="M2813" s="2" t="s">
        <v>84</v>
      </c>
      <c r="N2813" s="2" t="s">
        <v>84</v>
      </c>
      <c r="O2813" s="2" t="s">
        <v>841</v>
      </c>
      <c r="P2813" s="2" t="str">
        <f t="shared" ref="P2813:P2816" si="459">CONCATENATE("tips_",B2813,"_0",E2813,".png")</f>
        <v>tips_520_02.png</v>
      </c>
    </row>
    <row r="2814" spans="1:16" ht="22" customHeight="1" x14ac:dyDescent="0.15">
      <c r="A2814" s="10" t="str">
        <f t="shared" si="457"/>
        <v>520_10_3_5_polygon</v>
      </c>
      <c r="B2814" s="2">
        <v>520</v>
      </c>
      <c r="C2814" s="30" t="str">
        <f>VLOOKUP(B2814,gachas!A:C,3)</f>
        <v>確定ステップアップ</v>
      </c>
      <c r="D2814" s="21">
        <v>10</v>
      </c>
      <c r="E2814" s="2">
        <v>3</v>
      </c>
      <c r="F2814" s="2">
        <v>5</v>
      </c>
      <c r="G2814" s="3" t="s">
        <v>22</v>
      </c>
      <c r="H2814" s="2">
        <v>15</v>
      </c>
      <c r="I2814" s="112" t="str">
        <f>CONCATENATE(B2814,"101")</f>
        <v>520101</v>
      </c>
      <c r="J2814" s="112" t="str">
        <f>CONCATENATE(B2814,"103")</f>
        <v>520103</v>
      </c>
      <c r="K2814" s="112" t="s">
        <v>84</v>
      </c>
      <c r="L2814" s="2">
        <v>0</v>
      </c>
      <c r="M2814" s="2" t="s">
        <v>84</v>
      </c>
      <c r="N2814" s="2" t="s">
        <v>84</v>
      </c>
      <c r="O2814" s="2" t="s">
        <v>841</v>
      </c>
      <c r="P2814" s="2" t="str">
        <f t="shared" si="459"/>
        <v>tips_520_03.png</v>
      </c>
    </row>
    <row r="2815" spans="1:16" ht="22" customHeight="1" x14ac:dyDescent="0.15">
      <c r="A2815" s="10" t="str">
        <f t="shared" si="457"/>
        <v>520_10_4_10_polygon</v>
      </c>
      <c r="B2815" s="2">
        <v>520</v>
      </c>
      <c r="C2815" s="30" t="str">
        <f>VLOOKUP(B2815,gachas!A:C,3)</f>
        <v>確定ステップアップ</v>
      </c>
      <c r="D2815" s="21">
        <v>10</v>
      </c>
      <c r="E2815" s="2">
        <v>4</v>
      </c>
      <c r="F2815" s="2">
        <v>10</v>
      </c>
      <c r="G2815" s="3" t="s">
        <v>22</v>
      </c>
      <c r="H2815" s="2">
        <v>35</v>
      </c>
      <c r="I2815" s="112" t="str">
        <f>CONCATENATE(B2815,"100")</f>
        <v>520100</v>
      </c>
      <c r="J2815" s="112" t="str">
        <f>CONCATENATE(B2815,"104")</f>
        <v>520104</v>
      </c>
      <c r="K2815" s="112" t="s">
        <v>84</v>
      </c>
      <c r="L2815" s="2">
        <v>0</v>
      </c>
      <c r="M2815" s="2" t="s">
        <v>84</v>
      </c>
      <c r="N2815" s="2" t="s">
        <v>84</v>
      </c>
      <c r="O2815" s="2" t="s">
        <v>841</v>
      </c>
      <c r="P2815" s="2" t="str">
        <f t="shared" si="459"/>
        <v>tips_520_04.png</v>
      </c>
    </row>
    <row r="2816" spans="1:16" ht="22" customHeight="1" x14ac:dyDescent="0.15">
      <c r="A2816" s="10" t="str">
        <f t="shared" si="457"/>
        <v>520_10_5_10_polygon</v>
      </c>
      <c r="B2816" s="2">
        <v>520</v>
      </c>
      <c r="C2816" s="30" t="str">
        <f>VLOOKUP(B2816,gachas!A:C,3)</f>
        <v>確定ステップアップ</v>
      </c>
      <c r="D2816" s="21">
        <v>10</v>
      </c>
      <c r="E2816" s="2">
        <v>5</v>
      </c>
      <c r="F2816" s="2">
        <v>10</v>
      </c>
      <c r="G2816" s="3" t="s">
        <v>22</v>
      </c>
      <c r="H2816" s="2">
        <v>50</v>
      </c>
      <c r="I2816" s="112" t="str">
        <f>CONCATENATE(B2816,"100")</f>
        <v>520100</v>
      </c>
      <c r="J2816" s="112" t="s">
        <v>84</v>
      </c>
      <c r="K2816" s="112" t="str">
        <f>CONCATENATE(B2816,"105")</f>
        <v>520105</v>
      </c>
      <c r="L2816" s="2">
        <v>1</v>
      </c>
      <c r="M2816" s="2" t="s">
        <v>84</v>
      </c>
      <c r="N2816" s="2" t="s">
        <v>84</v>
      </c>
      <c r="O2816" s="2" t="s">
        <v>841</v>
      </c>
      <c r="P2816" s="2" t="str">
        <f t="shared" si="459"/>
        <v>tips_520_05.png</v>
      </c>
    </row>
    <row r="2817" spans="1:16" ht="22" customHeight="1" x14ac:dyDescent="0.15">
      <c r="A2817" s="10" t="str">
        <f t="shared" si="457"/>
        <v>520_10_6_1_polygon</v>
      </c>
      <c r="B2817" s="2">
        <v>520</v>
      </c>
      <c r="C2817" s="30" t="str">
        <f>VLOOKUP(B2817,gachas!A:C,3)</f>
        <v>確定ステップアップ</v>
      </c>
      <c r="D2817" s="21">
        <v>10</v>
      </c>
      <c r="E2817" s="2">
        <v>6</v>
      </c>
      <c r="F2817" s="2">
        <v>1</v>
      </c>
      <c r="G2817" s="3" t="s">
        <v>22</v>
      </c>
      <c r="H2817" s="2">
        <v>3</v>
      </c>
      <c r="I2817" s="112" t="str">
        <f>CONCATENATE(B2817,"101")</f>
        <v>520101</v>
      </c>
      <c r="J2817" s="112" t="s">
        <v>84</v>
      </c>
      <c r="K2817" s="112" t="s">
        <v>84</v>
      </c>
      <c r="L2817" s="2">
        <v>0</v>
      </c>
      <c r="M2817" s="2" t="s">
        <v>84</v>
      </c>
      <c r="N2817" s="2" t="s">
        <v>84</v>
      </c>
      <c r="O2817" s="2" t="s">
        <v>841</v>
      </c>
      <c r="P2817" s="2" t="s">
        <v>2590</v>
      </c>
    </row>
    <row r="2818" spans="1:16" ht="22" customHeight="1" x14ac:dyDescent="0.15">
      <c r="A2818" s="10" t="str">
        <f t="shared" si="457"/>
        <v>520_10_7_3_polygon</v>
      </c>
      <c r="B2818" s="2">
        <v>520</v>
      </c>
      <c r="C2818" s="30" t="str">
        <f>VLOOKUP(B2818,gachas!A:C,3)</f>
        <v>確定ステップアップ</v>
      </c>
      <c r="D2818" s="21">
        <v>10</v>
      </c>
      <c r="E2818" s="2">
        <v>7</v>
      </c>
      <c r="F2818" s="2">
        <v>3</v>
      </c>
      <c r="G2818" s="3" t="s">
        <v>22</v>
      </c>
      <c r="H2818" s="2">
        <v>9</v>
      </c>
      <c r="I2818" s="112" t="str">
        <f>CONCATENATE(B2818,"101")</f>
        <v>520101</v>
      </c>
      <c r="J2818" s="112" t="str">
        <f>CONCATENATE(B2818,"102")</f>
        <v>520102</v>
      </c>
      <c r="K2818" s="112" t="s">
        <v>84</v>
      </c>
      <c r="L2818" s="2">
        <v>0</v>
      </c>
      <c r="M2818" s="2" t="s">
        <v>84</v>
      </c>
      <c r="N2818" s="2" t="s">
        <v>84</v>
      </c>
      <c r="O2818" s="2" t="s">
        <v>841</v>
      </c>
      <c r="P2818" s="2" t="s">
        <v>2591</v>
      </c>
    </row>
    <row r="2819" spans="1:16" ht="22" customHeight="1" x14ac:dyDescent="0.15">
      <c r="A2819" s="10" t="str">
        <f t="shared" si="457"/>
        <v>520_10_8_5_polygon</v>
      </c>
      <c r="B2819" s="2">
        <v>520</v>
      </c>
      <c r="C2819" s="30" t="str">
        <f>VLOOKUP(B2819,gachas!A:C,3)</f>
        <v>確定ステップアップ</v>
      </c>
      <c r="D2819" s="21">
        <v>10</v>
      </c>
      <c r="E2819" s="2">
        <v>8</v>
      </c>
      <c r="F2819" s="2">
        <v>5</v>
      </c>
      <c r="G2819" s="3" t="s">
        <v>22</v>
      </c>
      <c r="H2819" s="2">
        <v>15</v>
      </c>
      <c r="I2819" s="112" t="str">
        <f>CONCATENATE(B2819,"101")</f>
        <v>520101</v>
      </c>
      <c r="J2819" s="112" t="str">
        <f>CONCATENATE(B2819,"103")</f>
        <v>520103</v>
      </c>
      <c r="K2819" s="112" t="s">
        <v>84</v>
      </c>
      <c r="L2819" s="2">
        <v>0</v>
      </c>
      <c r="M2819" s="2" t="s">
        <v>84</v>
      </c>
      <c r="N2819" s="2" t="s">
        <v>84</v>
      </c>
      <c r="O2819" s="2" t="s">
        <v>841</v>
      </c>
      <c r="P2819" s="2" t="s">
        <v>2592</v>
      </c>
    </row>
    <row r="2820" spans="1:16" ht="22" customHeight="1" x14ac:dyDescent="0.15">
      <c r="A2820" s="10" t="str">
        <f t="shared" si="457"/>
        <v>520_10_9_10_polygon</v>
      </c>
      <c r="B2820" s="2">
        <v>520</v>
      </c>
      <c r="C2820" s="30" t="str">
        <f>VLOOKUP(B2820,gachas!A:C,3)</f>
        <v>確定ステップアップ</v>
      </c>
      <c r="D2820" s="21">
        <v>10</v>
      </c>
      <c r="E2820" s="2">
        <v>9</v>
      </c>
      <c r="F2820" s="2">
        <v>10</v>
      </c>
      <c r="G2820" s="3" t="s">
        <v>22</v>
      </c>
      <c r="H2820" s="2">
        <v>35</v>
      </c>
      <c r="I2820" s="112" t="str">
        <f>CONCATENATE(B2820,"100")</f>
        <v>520100</v>
      </c>
      <c r="J2820" s="112" t="str">
        <f>CONCATENATE(B2820,"104")</f>
        <v>520104</v>
      </c>
      <c r="K2820" s="112" t="s">
        <v>84</v>
      </c>
      <c r="L2820" s="2">
        <v>0</v>
      </c>
      <c r="M2820" s="2" t="s">
        <v>84</v>
      </c>
      <c r="N2820" s="2" t="s">
        <v>84</v>
      </c>
      <c r="O2820" s="2" t="s">
        <v>841</v>
      </c>
      <c r="P2820" s="2" t="s">
        <v>2593</v>
      </c>
    </row>
    <row r="2821" spans="1:16" ht="22" customHeight="1" x14ac:dyDescent="0.15">
      <c r="A2821" s="10" t="str">
        <f t="shared" si="457"/>
        <v>520_10_10_10_polygon</v>
      </c>
      <c r="B2821" s="2">
        <v>520</v>
      </c>
      <c r="C2821" s="30" t="str">
        <f>VLOOKUP(B2821,gachas!A:C,3)</f>
        <v>確定ステップアップ</v>
      </c>
      <c r="D2821" s="21">
        <v>10</v>
      </c>
      <c r="E2821" s="2">
        <v>10</v>
      </c>
      <c r="F2821" s="2">
        <v>10</v>
      </c>
      <c r="G2821" s="3" t="s">
        <v>22</v>
      </c>
      <c r="H2821" s="2">
        <v>50</v>
      </c>
      <c r="I2821" s="112" t="str">
        <f>CONCATENATE(B2821,"100")</f>
        <v>520100</v>
      </c>
      <c r="J2821" s="112" t="s">
        <v>84</v>
      </c>
      <c r="K2821" s="112" t="str">
        <f>CONCATENATE(B2821,"105")</f>
        <v>520105</v>
      </c>
      <c r="L2821" s="2">
        <v>1</v>
      </c>
      <c r="M2821" s="2" t="s">
        <v>84</v>
      </c>
      <c r="N2821" s="2" t="s">
        <v>84</v>
      </c>
      <c r="O2821" s="2" t="s">
        <v>841</v>
      </c>
      <c r="P2821" s="2" t="s">
        <v>2594</v>
      </c>
    </row>
    <row r="2822" spans="1:16" ht="22" customHeight="1" x14ac:dyDescent="0.15">
      <c r="A2822" s="10" t="str">
        <f t="shared" si="457"/>
        <v>520_10_11_1_polygon</v>
      </c>
      <c r="B2822" s="2">
        <v>520</v>
      </c>
      <c r="C2822" s="30" t="str">
        <f>VLOOKUP(B2822,gachas!A:C,3)</f>
        <v>確定ステップアップ</v>
      </c>
      <c r="D2822" s="21">
        <v>10</v>
      </c>
      <c r="E2822" s="2">
        <v>11</v>
      </c>
      <c r="F2822" s="2">
        <v>1</v>
      </c>
      <c r="G2822" s="3" t="s">
        <v>22</v>
      </c>
      <c r="H2822" s="2">
        <v>3</v>
      </c>
      <c r="I2822" s="112" t="str">
        <f>CONCATENATE(B2822,"101")</f>
        <v>520101</v>
      </c>
      <c r="J2822" s="112" t="s">
        <v>84</v>
      </c>
      <c r="K2822" s="112" t="s">
        <v>84</v>
      </c>
      <c r="L2822" s="2">
        <v>0</v>
      </c>
      <c r="M2822" s="2" t="s">
        <v>84</v>
      </c>
      <c r="N2822" s="2" t="s">
        <v>84</v>
      </c>
      <c r="O2822" s="2" t="s">
        <v>841</v>
      </c>
      <c r="P2822" s="2" t="s">
        <v>2590</v>
      </c>
    </row>
    <row r="2823" spans="1:16" ht="22" customHeight="1" x14ac:dyDescent="0.15">
      <c r="A2823" s="10" t="str">
        <f t="shared" si="457"/>
        <v>520_10_12_3_polygon</v>
      </c>
      <c r="B2823" s="2">
        <v>520</v>
      </c>
      <c r="C2823" s="30" t="str">
        <f>VLOOKUP(B2823,gachas!A:C,3)</f>
        <v>確定ステップアップ</v>
      </c>
      <c r="D2823" s="21">
        <v>10</v>
      </c>
      <c r="E2823" s="2">
        <v>12</v>
      </c>
      <c r="F2823" s="2">
        <v>3</v>
      </c>
      <c r="G2823" s="3" t="s">
        <v>22</v>
      </c>
      <c r="H2823" s="2">
        <v>9</v>
      </c>
      <c r="I2823" s="112" t="str">
        <f>CONCATENATE(B2823,"101")</f>
        <v>520101</v>
      </c>
      <c r="J2823" s="112" t="str">
        <f>CONCATENATE(B2823,"102")</f>
        <v>520102</v>
      </c>
      <c r="K2823" s="112" t="s">
        <v>84</v>
      </c>
      <c r="L2823" s="2">
        <v>0</v>
      </c>
      <c r="M2823" s="2" t="s">
        <v>84</v>
      </c>
      <c r="N2823" s="2" t="s">
        <v>84</v>
      </c>
      <c r="O2823" s="2" t="s">
        <v>841</v>
      </c>
      <c r="P2823" s="2" t="s">
        <v>2591</v>
      </c>
    </row>
    <row r="2824" spans="1:16" ht="22" customHeight="1" x14ac:dyDescent="0.15">
      <c r="A2824" s="10" t="str">
        <f t="shared" si="457"/>
        <v>520_10_13_5_polygon</v>
      </c>
      <c r="B2824" s="2">
        <v>520</v>
      </c>
      <c r="C2824" s="30" t="str">
        <f>VLOOKUP(B2824,gachas!A:C,3)</f>
        <v>確定ステップアップ</v>
      </c>
      <c r="D2824" s="21">
        <v>10</v>
      </c>
      <c r="E2824" s="2">
        <v>13</v>
      </c>
      <c r="F2824" s="2">
        <v>5</v>
      </c>
      <c r="G2824" s="3" t="s">
        <v>22</v>
      </c>
      <c r="H2824" s="2">
        <v>15</v>
      </c>
      <c r="I2824" s="112" t="str">
        <f>CONCATENATE(B2824,"101")</f>
        <v>520101</v>
      </c>
      <c r="J2824" s="112" t="str">
        <f>CONCATENATE(B2824,"103")</f>
        <v>520103</v>
      </c>
      <c r="K2824" s="112" t="s">
        <v>84</v>
      </c>
      <c r="L2824" s="2">
        <v>0</v>
      </c>
      <c r="M2824" s="2" t="s">
        <v>84</v>
      </c>
      <c r="N2824" s="2" t="s">
        <v>84</v>
      </c>
      <c r="O2824" s="2" t="s">
        <v>841</v>
      </c>
      <c r="P2824" s="2" t="s">
        <v>2592</v>
      </c>
    </row>
    <row r="2825" spans="1:16" ht="22" customHeight="1" x14ac:dyDescent="0.15">
      <c r="A2825" s="10" t="str">
        <f t="shared" si="457"/>
        <v>520_10_14_10_polygon</v>
      </c>
      <c r="B2825" s="2">
        <v>520</v>
      </c>
      <c r="C2825" s="30" t="str">
        <f>VLOOKUP(B2825,gachas!A:C,3)</f>
        <v>確定ステップアップ</v>
      </c>
      <c r="D2825" s="21">
        <v>10</v>
      </c>
      <c r="E2825" s="2">
        <v>14</v>
      </c>
      <c r="F2825" s="2">
        <v>10</v>
      </c>
      <c r="G2825" s="3" t="s">
        <v>22</v>
      </c>
      <c r="H2825" s="2">
        <v>35</v>
      </c>
      <c r="I2825" s="112" t="str">
        <f>CONCATENATE(B2825,"100")</f>
        <v>520100</v>
      </c>
      <c r="J2825" s="112" t="str">
        <f>CONCATENATE(B2825,"104")</f>
        <v>520104</v>
      </c>
      <c r="K2825" s="112" t="s">
        <v>84</v>
      </c>
      <c r="L2825" s="2">
        <v>0</v>
      </c>
      <c r="M2825" s="2" t="s">
        <v>84</v>
      </c>
      <c r="N2825" s="2" t="s">
        <v>84</v>
      </c>
      <c r="O2825" s="2" t="s">
        <v>841</v>
      </c>
      <c r="P2825" s="2" t="s">
        <v>2593</v>
      </c>
    </row>
    <row r="2826" spans="1:16" ht="22" customHeight="1" x14ac:dyDescent="0.15">
      <c r="A2826" s="10" t="str">
        <f t="shared" si="457"/>
        <v>520_10_15_10_polygon</v>
      </c>
      <c r="B2826" s="2">
        <v>520</v>
      </c>
      <c r="C2826" s="30" t="str">
        <f>VLOOKUP(B2826,gachas!A:C,3)</f>
        <v>確定ステップアップ</v>
      </c>
      <c r="D2826" s="21">
        <v>10</v>
      </c>
      <c r="E2826" s="2">
        <v>15</v>
      </c>
      <c r="F2826" s="2">
        <v>10</v>
      </c>
      <c r="G2826" s="3" t="s">
        <v>22</v>
      </c>
      <c r="H2826" s="2">
        <v>50</v>
      </c>
      <c r="I2826" s="112" t="str">
        <f>CONCATENATE(B2826,"100")</f>
        <v>520100</v>
      </c>
      <c r="J2826" s="112" t="s">
        <v>84</v>
      </c>
      <c r="K2826" s="112" t="str">
        <f>CONCATENATE(B2826,"105")</f>
        <v>520105</v>
      </c>
      <c r="L2826" s="2">
        <v>1</v>
      </c>
      <c r="M2826" s="2" t="s">
        <v>84</v>
      </c>
      <c r="N2826" s="2" t="s">
        <v>84</v>
      </c>
      <c r="O2826" s="2" t="s">
        <v>841</v>
      </c>
      <c r="P2826" s="2" t="s">
        <v>2594</v>
      </c>
    </row>
    <row r="2827" spans="1:16" ht="22" customHeight="1" x14ac:dyDescent="0.15">
      <c r="A2827" s="10" t="str">
        <f t="shared" si="457"/>
        <v>520_10_16_1_polygon</v>
      </c>
      <c r="B2827" s="2">
        <v>520</v>
      </c>
      <c r="C2827" s="30" t="str">
        <f>VLOOKUP(B2827,gachas!A:C,3)</f>
        <v>確定ステップアップ</v>
      </c>
      <c r="D2827" s="21">
        <v>10</v>
      </c>
      <c r="E2827" s="2">
        <v>16</v>
      </c>
      <c r="F2827" s="2">
        <v>1</v>
      </c>
      <c r="G2827" s="3" t="s">
        <v>22</v>
      </c>
      <c r="H2827" s="2">
        <v>3</v>
      </c>
      <c r="I2827" s="112" t="str">
        <f>CONCATENATE(B2827,"101")</f>
        <v>520101</v>
      </c>
      <c r="J2827" s="112" t="s">
        <v>84</v>
      </c>
      <c r="K2827" s="112" t="s">
        <v>84</v>
      </c>
      <c r="L2827" s="2">
        <v>0</v>
      </c>
      <c r="M2827" s="2" t="s">
        <v>84</v>
      </c>
      <c r="N2827" s="2" t="s">
        <v>84</v>
      </c>
      <c r="O2827" s="2" t="s">
        <v>841</v>
      </c>
      <c r="P2827" s="2" t="s">
        <v>2590</v>
      </c>
    </row>
    <row r="2828" spans="1:16" ht="22" customHeight="1" x14ac:dyDescent="0.15">
      <c r="A2828" s="10" t="str">
        <f t="shared" si="457"/>
        <v>520_10_17_3_polygon</v>
      </c>
      <c r="B2828" s="2">
        <v>520</v>
      </c>
      <c r="C2828" s="30" t="str">
        <f>VLOOKUP(B2828,gachas!A:C,3)</f>
        <v>確定ステップアップ</v>
      </c>
      <c r="D2828" s="21">
        <v>10</v>
      </c>
      <c r="E2828" s="2">
        <v>17</v>
      </c>
      <c r="F2828" s="2">
        <v>3</v>
      </c>
      <c r="G2828" s="3" t="s">
        <v>22</v>
      </c>
      <c r="H2828" s="2">
        <v>9</v>
      </c>
      <c r="I2828" s="112" t="str">
        <f>CONCATENATE(B2828,"101")</f>
        <v>520101</v>
      </c>
      <c r="J2828" s="112" t="str">
        <f>CONCATENATE(B2828,"102")</f>
        <v>520102</v>
      </c>
      <c r="K2828" s="112" t="s">
        <v>84</v>
      </c>
      <c r="L2828" s="2">
        <v>0</v>
      </c>
      <c r="M2828" s="2" t="s">
        <v>84</v>
      </c>
      <c r="N2828" s="2" t="s">
        <v>84</v>
      </c>
      <c r="O2828" s="2" t="s">
        <v>841</v>
      </c>
      <c r="P2828" s="2" t="s">
        <v>2591</v>
      </c>
    </row>
    <row r="2829" spans="1:16" ht="22" customHeight="1" x14ac:dyDescent="0.15">
      <c r="A2829" s="10" t="str">
        <f t="shared" si="457"/>
        <v>520_10_18_5_polygon</v>
      </c>
      <c r="B2829" s="2">
        <v>520</v>
      </c>
      <c r="C2829" s="30" t="str">
        <f>VLOOKUP(B2829,gachas!A:C,3)</f>
        <v>確定ステップアップ</v>
      </c>
      <c r="D2829" s="21">
        <v>10</v>
      </c>
      <c r="E2829" s="2">
        <v>18</v>
      </c>
      <c r="F2829" s="2">
        <v>5</v>
      </c>
      <c r="G2829" s="3" t="s">
        <v>22</v>
      </c>
      <c r="H2829" s="2">
        <v>15</v>
      </c>
      <c r="I2829" s="112" t="str">
        <f>CONCATENATE(B2829,"101")</f>
        <v>520101</v>
      </c>
      <c r="J2829" s="112" t="str">
        <f>CONCATENATE(B2829,"103")</f>
        <v>520103</v>
      </c>
      <c r="K2829" s="112" t="s">
        <v>84</v>
      </c>
      <c r="L2829" s="2">
        <v>0</v>
      </c>
      <c r="M2829" s="2" t="s">
        <v>84</v>
      </c>
      <c r="N2829" s="2" t="s">
        <v>84</v>
      </c>
      <c r="O2829" s="2" t="s">
        <v>841</v>
      </c>
      <c r="P2829" s="2" t="s">
        <v>2592</v>
      </c>
    </row>
    <row r="2830" spans="1:16" ht="22" customHeight="1" x14ac:dyDescent="0.15">
      <c r="A2830" s="10" t="str">
        <f t="shared" si="457"/>
        <v>520_10_19_10_polygon</v>
      </c>
      <c r="B2830" s="2">
        <v>520</v>
      </c>
      <c r="C2830" s="30" t="str">
        <f>VLOOKUP(B2830,gachas!A:C,3)</f>
        <v>確定ステップアップ</v>
      </c>
      <c r="D2830" s="21">
        <v>10</v>
      </c>
      <c r="E2830" s="2">
        <v>19</v>
      </c>
      <c r="F2830" s="2">
        <v>10</v>
      </c>
      <c r="G2830" s="3" t="s">
        <v>22</v>
      </c>
      <c r="H2830" s="2">
        <v>35</v>
      </c>
      <c r="I2830" s="112" t="str">
        <f>CONCATENATE(B2830,"100")</f>
        <v>520100</v>
      </c>
      <c r="J2830" s="112" t="str">
        <f>CONCATENATE(B2830,"104")</f>
        <v>520104</v>
      </c>
      <c r="K2830" s="112" t="s">
        <v>84</v>
      </c>
      <c r="L2830" s="2">
        <v>0</v>
      </c>
      <c r="M2830" s="2" t="s">
        <v>84</v>
      </c>
      <c r="N2830" s="2" t="s">
        <v>84</v>
      </c>
      <c r="O2830" s="2" t="s">
        <v>841</v>
      </c>
      <c r="P2830" s="2" t="s">
        <v>2593</v>
      </c>
    </row>
    <row r="2831" spans="1:16" ht="22" customHeight="1" x14ac:dyDescent="0.15">
      <c r="A2831" s="10" t="str">
        <f t="shared" si="457"/>
        <v>520_10_20_10_polygon</v>
      </c>
      <c r="B2831" s="2">
        <v>520</v>
      </c>
      <c r="C2831" s="30" t="str">
        <f>VLOOKUP(B2831,gachas!A:C,3)</f>
        <v>確定ステップアップ</v>
      </c>
      <c r="D2831" s="21">
        <v>10</v>
      </c>
      <c r="E2831" s="2">
        <v>20</v>
      </c>
      <c r="F2831" s="2">
        <v>10</v>
      </c>
      <c r="G2831" s="3" t="s">
        <v>22</v>
      </c>
      <c r="H2831" s="2">
        <v>50</v>
      </c>
      <c r="I2831" s="112" t="str">
        <f>CONCATENATE(B2831,"100")</f>
        <v>520100</v>
      </c>
      <c r="J2831" s="112" t="s">
        <v>84</v>
      </c>
      <c r="K2831" s="112" t="str">
        <f>CONCATENATE(B2831,"105")</f>
        <v>520105</v>
      </c>
      <c r="L2831" s="2">
        <v>1</v>
      </c>
      <c r="M2831" s="2" t="s">
        <v>84</v>
      </c>
      <c r="N2831" s="2" t="s">
        <v>84</v>
      </c>
      <c r="O2831" s="2" t="s">
        <v>841</v>
      </c>
      <c r="P2831" s="2" t="s">
        <v>2594</v>
      </c>
    </row>
    <row r="2832" spans="1:16" ht="22" customHeight="1" x14ac:dyDescent="0.15">
      <c r="A2832" s="10" t="str">
        <f t="shared" si="457"/>
        <v>520_10_21_1_polygon</v>
      </c>
      <c r="B2832" s="2">
        <v>520</v>
      </c>
      <c r="C2832" s="30" t="str">
        <f>VLOOKUP(B2832,gachas!A:C,3)</f>
        <v>確定ステップアップ</v>
      </c>
      <c r="D2832" s="21">
        <v>10</v>
      </c>
      <c r="E2832" s="2">
        <v>21</v>
      </c>
      <c r="F2832" s="2">
        <v>1</v>
      </c>
      <c r="G2832" s="3" t="s">
        <v>22</v>
      </c>
      <c r="H2832" s="2">
        <v>3</v>
      </c>
      <c r="I2832" s="112" t="str">
        <f>CONCATENATE(B2832,"101")</f>
        <v>520101</v>
      </c>
      <c r="J2832" s="112" t="s">
        <v>84</v>
      </c>
      <c r="K2832" s="112" t="s">
        <v>84</v>
      </c>
      <c r="L2832" s="2">
        <v>0</v>
      </c>
      <c r="M2832" s="2" t="s">
        <v>84</v>
      </c>
      <c r="N2832" s="2" t="s">
        <v>84</v>
      </c>
      <c r="O2832" s="2" t="s">
        <v>841</v>
      </c>
      <c r="P2832" s="2" t="s">
        <v>2590</v>
      </c>
    </row>
    <row r="2833" spans="1:16" ht="22" customHeight="1" x14ac:dyDescent="0.15">
      <c r="A2833" s="10" t="str">
        <f t="shared" si="457"/>
        <v>520_10_22_3_polygon</v>
      </c>
      <c r="B2833" s="2">
        <v>520</v>
      </c>
      <c r="C2833" s="30" t="str">
        <f>VLOOKUP(B2833,gachas!A:C,3)</f>
        <v>確定ステップアップ</v>
      </c>
      <c r="D2833" s="21">
        <v>10</v>
      </c>
      <c r="E2833" s="2">
        <v>22</v>
      </c>
      <c r="F2833" s="2">
        <v>3</v>
      </c>
      <c r="G2833" s="3" t="s">
        <v>22</v>
      </c>
      <c r="H2833" s="2">
        <v>9</v>
      </c>
      <c r="I2833" s="112" t="str">
        <f>CONCATENATE(B2833,"101")</f>
        <v>520101</v>
      </c>
      <c r="J2833" s="112" t="str">
        <f>CONCATENATE(B2833,"102")</f>
        <v>520102</v>
      </c>
      <c r="K2833" s="112" t="s">
        <v>84</v>
      </c>
      <c r="L2833" s="2">
        <v>0</v>
      </c>
      <c r="M2833" s="2" t="s">
        <v>84</v>
      </c>
      <c r="N2833" s="2" t="s">
        <v>84</v>
      </c>
      <c r="O2833" s="2" t="s">
        <v>841</v>
      </c>
      <c r="P2833" s="2" t="s">
        <v>2591</v>
      </c>
    </row>
    <row r="2834" spans="1:16" ht="22" customHeight="1" x14ac:dyDescent="0.15">
      <c r="A2834" s="10" t="str">
        <f t="shared" ref="A2834:A2898" si="460">B2834&amp;"_"&amp;D2834&amp;"_"&amp;E2834&amp;"_"&amp;F2834&amp;"_"&amp;G2834</f>
        <v>520_10_23_5_polygon</v>
      </c>
      <c r="B2834" s="2">
        <v>520</v>
      </c>
      <c r="C2834" s="30" t="str">
        <f>VLOOKUP(B2834,gachas!A:C,3)</f>
        <v>確定ステップアップ</v>
      </c>
      <c r="D2834" s="21">
        <v>10</v>
      </c>
      <c r="E2834" s="2">
        <v>23</v>
      </c>
      <c r="F2834" s="2">
        <v>5</v>
      </c>
      <c r="G2834" s="3" t="s">
        <v>22</v>
      </c>
      <c r="H2834" s="2">
        <v>15</v>
      </c>
      <c r="I2834" s="112" t="str">
        <f>CONCATENATE(B2834,"101")</f>
        <v>520101</v>
      </c>
      <c r="J2834" s="112" t="str">
        <f>CONCATENATE(B2834,"103")</f>
        <v>520103</v>
      </c>
      <c r="K2834" s="112" t="s">
        <v>84</v>
      </c>
      <c r="L2834" s="2">
        <v>0</v>
      </c>
      <c r="M2834" s="2" t="s">
        <v>84</v>
      </c>
      <c r="N2834" s="2" t="s">
        <v>84</v>
      </c>
      <c r="O2834" s="2" t="s">
        <v>841</v>
      </c>
      <c r="P2834" s="2" t="s">
        <v>2592</v>
      </c>
    </row>
    <row r="2835" spans="1:16" ht="22" customHeight="1" x14ac:dyDescent="0.15">
      <c r="A2835" s="10" t="str">
        <f t="shared" si="460"/>
        <v>520_10_24_10_polygon</v>
      </c>
      <c r="B2835" s="2">
        <v>520</v>
      </c>
      <c r="C2835" s="30" t="str">
        <f>VLOOKUP(B2835,gachas!A:C,3)</f>
        <v>確定ステップアップ</v>
      </c>
      <c r="D2835" s="21">
        <v>10</v>
      </c>
      <c r="E2835" s="2">
        <v>24</v>
      </c>
      <c r="F2835" s="2">
        <v>10</v>
      </c>
      <c r="G2835" s="3" t="s">
        <v>22</v>
      </c>
      <c r="H2835" s="2">
        <v>35</v>
      </c>
      <c r="I2835" s="112" t="str">
        <f>CONCATENATE(B2835,"100")</f>
        <v>520100</v>
      </c>
      <c r="J2835" s="112" t="str">
        <f>CONCATENATE(B2835,"104")</f>
        <v>520104</v>
      </c>
      <c r="K2835" s="112" t="s">
        <v>84</v>
      </c>
      <c r="L2835" s="2">
        <v>0</v>
      </c>
      <c r="M2835" s="2" t="s">
        <v>84</v>
      </c>
      <c r="N2835" s="2" t="s">
        <v>84</v>
      </c>
      <c r="O2835" s="2" t="s">
        <v>841</v>
      </c>
      <c r="P2835" s="2" t="s">
        <v>2593</v>
      </c>
    </row>
    <row r="2836" spans="1:16" ht="22" customHeight="1" x14ac:dyDescent="0.15">
      <c r="A2836" s="10" t="str">
        <f t="shared" si="460"/>
        <v>520_10_25_10_polygon</v>
      </c>
      <c r="B2836" s="2">
        <v>520</v>
      </c>
      <c r="C2836" s="30" t="str">
        <f>VLOOKUP(B2836,gachas!A:C,3)</f>
        <v>確定ステップアップ</v>
      </c>
      <c r="D2836" s="21">
        <v>10</v>
      </c>
      <c r="E2836" s="2">
        <v>25</v>
      </c>
      <c r="F2836" s="2">
        <v>10</v>
      </c>
      <c r="G2836" s="3" t="s">
        <v>22</v>
      </c>
      <c r="H2836" s="2">
        <v>50</v>
      </c>
      <c r="I2836" s="112" t="str">
        <f>CONCATENATE(B2836,"100")</f>
        <v>520100</v>
      </c>
      <c r="J2836" s="112" t="s">
        <v>84</v>
      </c>
      <c r="K2836" s="112" t="str">
        <f>CONCATENATE(B2836,"105")</f>
        <v>520105</v>
      </c>
      <c r="L2836" s="2">
        <v>1</v>
      </c>
      <c r="M2836" s="2" t="s">
        <v>84</v>
      </c>
      <c r="N2836" s="2" t="s">
        <v>84</v>
      </c>
      <c r="O2836" s="2" t="s">
        <v>841</v>
      </c>
      <c r="P2836" s="2" t="s">
        <v>2594</v>
      </c>
    </row>
    <row r="2837" spans="1:16" ht="22" customHeight="1" x14ac:dyDescent="0.15">
      <c r="A2837" s="10" t="str">
        <f t="shared" si="460"/>
        <v>520_10_26_1_polygon</v>
      </c>
      <c r="B2837" s="2">
        <v>520</v>
      </c>
      <c r="C2837" s="30" t="str">
        <f>VLOOKUP(B2837,gachas!A:C,3)</f>
        <v>確定ステップアップ</v>
      </c>
      <c r="D2837" s="21">
        <v>10</v>
      </c>
      <c r="E2837" s="2">
        <v>26</v>
      </c>
      <c r="F2837" s="2">
        <v>1</v>
      </c>
      <c r="G2837" s="3" t="s">
        <v>22</v>
      </c>
      <c r="H2837" s="2">
        <v>3</v>
      </c>
      <c r="I2837" s="112" t="str">
        <f>CONCATENATE(B2837,"101")</f>
        <v>520101</v>
      </c>
      <c r="J2837" s="112" t="s">
        <v>84</v>
      </c>
      <c r="K2837" s="112" t="s">
        <v>84</v>
      </c>
      <c r="L2837" s="2">
        <v>0</v>
      </c>
      <c r="M2837" s="2" t="s">
        <v>84</v>
      </c>
      <c r="N2837" s="2" t="s">
        <v>84</v>
      </c>
      <c r="O2837" s="2" t="s">
        <v>841</v>
      </c>
      <c r="P2837" s="2" t="s">
        <v>2590</v>
      </c>
    </row>
    <row r="2838" spans="1:16" ht="22" customHeight="1" x14ac:dyDescent="0.15">
      <c r="A2838" s="10" t="str">
        <f t="shared" si="460"/>
        <v>520_10_27_3_polygon</v>
      </c>
      <c r="B2838" s="2">
        <v>520</v>
      </c>
      <c r="C2838" s="30" t="str">
        <f>VLOOKUP(B2838,gachas!A:C,3)</f>
        <v>確定ステップアップ</v>
      </c>
      <c r="D2838" s="21">
        <v>10</v>
      </c>
      <c r="E2838" s="2">
        <v>27</v>
      </c>
      <c r="F2838" s="2">
        <v>3</v>
      </c>
      <c r="G2838" s="3" t="s">
        <v>22</v>
      </c>
      <c r="H2838" s="2">
        <v>9</v>
      </c>
      <c r="I2838" s="112" t="str">
        <f>CONCATENATE(B2838,"101")</f>
        <v>520101</v>
      </c>
      <c r="J2838" s="112" t="str">
        <f>CONCATENATE(B2838,"102")</f>
        <v>520102</v>
      </c>
      <c r="K2838" s="112" t="s">
        <v>84</v>
      </c>
      <c r="L2838" s="2">
        <v>0</v>
      </c>
      <c r="M2838" s="2" t="s">
        <v>84</v>
      </c>
      <c r="N2838" s="2" t="s">
        <v>84</v>
      </c>
      <c r="O2838" s="2" t="s">
        <v>841</v>
      </c>
      <c r="P2838" s="2" t="s">
        <v>2591</v>
      </c>
    </row>
    <row r="2839" spans="1:16" ht="22" customHeight="1" x14ac:dyDescent="0.15">
      <c r="A2839" s="10" t="str">
        <f t="shared" si="460"/>
        <v>520_10_28_5_polygon</v>
      </c>
      <c r="B2839" s="2">
        <v>520</v>
      </c>
      <c r="C2839" s="30" t="str">
        <f>VLOOKUP(B2839,gachas!A:C,3)</f>
        <v>確定ステップアップ</v>
      </c>
      <c r="D2839" s="21">
        <v>10</v>
      </c>
      <c r="E2839" s="2">
        <v>28</v>
      </c>
      <c r="F2839" s="2">
        <v>5</v>
      </c>
      <c r="G2839" s="3" t="s">
        <v>22</v>
      </c>
      <c r="H2839" s="2">
        <v>15</v>
      </c>
      <c r="I2839" s="112" t="str">
        <f>CONCATENATE(B2839,"101")</f>
        <v>520101</v>
      </c>
      <c r="J2839" s="112" t="str">
        <f>CONCATENATE(B2839,"103")</f>
        <v>520103</v>
      </c>
      <c r="K2839" s="112" t="s">
        <v>84</v>
      </c>
      <c r="L2839" s="2">
        <v>0</v>
      </c>
      <c r="M2839" s="2" t="s">
        <v>84</v>
      </c>
      <c r="N2839" s="2" t="s">
        <v>84</v>
      </c>
      <c r="O2839" s="2" t="s">
        <v>841</v>
      </c>
      <c r="P2839" s="2" t="s">
        <v>2592</v>
      </c>
    </row>
    <row r="2840" spans="1:16" ht="22" customHeight="1" x14ac:dyDescent="0.15">
      <c r="A2840" s="10" t="str">
        <f t="shared" si="460"/>
        <v>520_10_29_10_polygon</v>
      </c>
      <c r="B2840" s="2">
        <v>520</v>
      </c>
      <c r="C2840" s="30" t="str">
        <f>VLOOKUP(B2840,gachas!A:C,3)</f>
        <v>確定ステップアップ</v>
      </c>
      <c r="D2840" s="21">
        <v>10</v>
      </c>
      <c r="E2840" s="2">
        <v>29</v>
      </c>
      <c r="F2840" s="2">
        <v>10</v>
      </c>
      <c r="G2840" s="3" t="s">
        <v>22</v>
      </c>
      <c r="H2840" s="2">
        <v>35</v>
      </c>
      <c r="I2840" s="112" t="str">
        <f>CONCATENATE(B2840,"100")</f>
        <v>520100</v>
      </c>
      <c r="J2840" s="112" t="str">
        <f>CONCATENATE(B2840,"104")</f>
        <v>520104</v>
      </c>
      <c r="K2840" s="112" t="s">
        <v>84</v>
      </c>
      <c r="L2840" s="2">
        <v>0</v>
      </c>
      <c r="M2840" s="2" t="s">
        <v>84</v>
      </c>
      <c r="N2840" s="2" t="s">
        <v>84</v>
      </c>
      <c r="O2840" s="2" t="s">
        <v>841</v>
      </c>
      <c r="P2840" s="2" t="s">
        <v>2593</v>
      </c>
    </row>
    <row r="2841" spans="1:16" ht="22" customHeight="1" x14ac:dyDescent="0.15">
      <c r="A2841" s="10" t="str">
        <f t="shared" si="460"/>
        <v>520_10_30_10_polygon</v>
      </c>
      <c r="B2841" s="2">
        <v>520</v>
      </c>
      <c r="C2841" s="30" t="str">
        <f>VLOOKUP(B2841,gachas!A:C,3)</f>
        <v>確定ステップアップ</v>
      </c>
      <c r="D2841" s="21">
        <v>10</v>
      </c>
      <c r="E2841" s="2">
        <v>30</v>
      </c>
      <c r="F2841" s="2">
        <v>10</v>
      </c>
      <c r="G2841" s="3" t="s">
        <v>22</v>
      </c>
      <c r="H2841" s="2">
        <v>50</v>
      </c>
      <c r="I2841" s="112" t="str">
        <f>CONCATENATE(B2841,"100")</f>
        <v>520100</v>
      </c>
      <c r="J2841" s="112" t="s">
        <v>84</v>
      </c>
      <c r="K2841" s="112" t="str">
        <f>CONCATENATE(B2841,"105")</f>
        <v>520105</v>
      </c>
      <c r="L2841" s="2">
        <v>1</v>
      </c>
      <c r="M2841" s="2" t="s">
        <v>84</v>
      </c>
      <c r="N2841" s="2" t="s">
        <v>84</v>
      </c>
      <c r="O2841" s="2" t="s">
        <v>841</v>
      </c>
      <c r="P2841" s="2" t="s">
        <v>2594</v>
      </c>
    </row>
    <row r="2842" spans="1:16" ht="22" customHeight="1" x14ac:dyDescent="0.15">
      <c r="A2842" s="10" t="str">
        <f t="shared" si="460"/>
        <v>520_10_31_1_polygon</v>
      </c>
      <c r="B2842" s="2">
        <v>520</v>
      </c>
      <c r="C2842" s="30" t="str">
        <f>VLOOKUP(B2842,gachas!A:C,3)</f>
        <v>確定ステップアップ</v>
      </c>
      <c r="D2842" s="21">
        <v>10</v>
      </c>
      <c r="E2842" s="2">
        <v>31</v>
      </c>
      <c r="F2842" s="2">
        <v>1</v>
      </c>
      <c r="G2842" s="3" t="s">
        <v>22</v>
      </c>
      <c r="H2842" s="2">
        <v>3</v>
      </c>
      <c r="I2842" s="112" t="str">
        <f>CONCATENATE(B2842,"101")</f>
        <v>520101</v>
      </c>
      <c r="J2842" s="112" t="s">
        <v>84</v>
      </c>
      <c r="K2842" s="112" t="s">
        <v>84</v>
      </c>
      <c r="L2842" s="2">
        <v>0</v>
      </c>
      <c r="M2842" s="2" t="s">
        <v>84</v>
      </c>
      <c r="N2842" s="2" t="s">
        <v>84</v>
      </c>
      <c r="O2842" s="2" t="s">
        <v>841</v>
      </c>
      <c r="P2842" s="2" t="s">
        <v>2590</v>
      </c>
    </row>
    <row r="2843" spans="1:16" ht="22" customHeight="1" x14ac:dyDescent="0.15">
      <c r="A2843" s="10" t="str">
        <f t="shared" si="460"/>
        <v>520_10_32_3_polygon</v>
      </c>
      <c r="B2843" s="2">
        <v>520</v>
      </c>
      <c r="C2843" s="30" t="str">
        <f>VLOOKUP(B2843,gachas!A:C,3)</f>
        <v>確定ステップアップ</v>
      </c>
      <c r="D2843" s="21">
        <v>10</v>
      </c>
      <c r="E2843" s="2">
        <v>32</v>
      </c>
      <c r="F2843" s="2">
        <v>3</v>
      </c>
      <c r="G2843" s="3" t="s">
        <v>22</v>
      </c>
      <c r="H2843" s="2">
        <v>9</v>
      </c>
      <c r="I2843" s="112" t="str">
        <f>CONCATENATE(B2843,"101")</f>
        <v>520101</v>
      </c>
      <c r="J2843" s="112" t="str">
        <f>CONCATENATE(B2843,"102")</f>
        <v>520102</v>
      </c>
      <c r="K2843" s="112" t="s">
        <v>84</v>
      </c>
      <c r="L2843" s="2">
        <v>0</v>
      </c>
      <c r="M2843" s="2" t="s">
        <v>84</v>
      </c>
      <c r="N2843" s="2" t="s">
        <v>84</v>
      </c>
      <c r="O2843" s="2" t="s">
        <v>841</v>
      </c>
      <c r="P2843" s="2" t="s">
        <v>2591</v>
      </c>
    </row>
    <row r="2844" spans="1:16" ht="22" customHeight="1" x14ac:dyDescent="0.15">
      <c r="A2844" s="10" t="str">
        <f t="shared" si="460"/>
        <v>520_10_33_5_polygon</v>
      </c>
      <c r="B2844" s="2">
        <v>520</v>
      </c>
      <c r="C2844" s="30" t="str">
        <f>VLOOKUP(B2844,gachas!A:C,3)</f>
        <v>確定ステップアップ</v>
      </c>
      <c r="D2844" s="21">
        <v>10</v>
      </c>
      <c r="E2844" s="2">
        <v>33</v>
      </c>
      <c r="F2844" s="2">
        <v>5</v>
      </c>
      <c r="G2844" s="3" t="s">
        <v>22</v>
      </c>
      <c r="H2844" s="2">
        <v>15</v>
      </c>
      <c r="I2844" s="112" t="str">
        <f>CONCATENATE(B2844,"101")</f>
        <v>520101</v>
      </c>
      <c r="J2844" s="112" t="str">
        <f>CONCATENATE(B2844,"103")</f>
        <v>520103</v>
      </c>
      <c r="K2844" s="112" t="s">
        <v>84</v>
      </c>
      <c r="L2844" s="2">
        <v>0</v>
      </c>
      <c r="M2844" s="2" t="s">
        <v>84</v>
      </c>
      <c r="N2844" s="2" t="s">
        <v>84</v>
      </c>
      <c r="O2844" s="2" t="s">
        <v>841</v>
      </c>
      <c r="P2844" s="2" t="s">
        <v>2592</v>
      </c>
    </row>
    <row r="2845" spans="1:16" ht="22" customHeight="1" x14ac:dyDescent="0.15">
      <c r="A2845" s="10" t="str">
        <f t="shared" si="460"/>
        <v>520_10_34_10_polygon</v>
      </c>
      <c r="B2845" s="2">
        <v>520</v>
      </c>
      <c r="C2845" s="30" t="str">
        <f>VLOOKUP(B2845,gachas!A:C,3)</f>
        <v>確定ステップアップ</v>
      </c>
      <c r="D2845" s="21">
        <v>10</v>
      </c>
      <c r="E2845" s="2">
        <v>34</v>
      </c>
      <c r="F2845" s="2">
        <v>10</v>
      </c>
      <c r="G2845" s="3" t="s">
        <v>22</v>
      </c>
      <c r="H2845" s="2">
        <v>35</v>
      </c>
      <c r="I2845" s="112" t="str">
        <f>CONCATENATE(B2845,"100")</f>
        <v>520100</v>
      </c>
      <c r="J2845" s="112" t="str">
        <f>CONCATENATE(B2845,"104")</f>
        <v>520104</v>
      </c>
      <c r="K2845" s="112" t="s">
        <v>84</v>
      </c>
      <c r="L2845" s="2">
        <v>0</v>
      </c>
      <c r="M2845" s="2" t="s">
        <v>84</v>
      </c>
      <c r="N2845" s="2" t="s">
        <v>84</v>
      </c>
      <c r="O2845" s="2" t="s">
        <v>841</v>
      </c>
      <c r="P2845" s="2" t="s">
        <v>2593</v>
      </c>
    </row>
    <row r="2846" spans="1:16" ht="22" customHeight="1" x14ac:dyDescent="0.15">
      <c r="A2846" s="10" t="str">
        <f t="shared" si="460"/>
        <v>520_10_35_10_polygon</v>
      </c>
      <c r="B2846" s="2">
        <v>520</v>
      </c>
      <c r="C2846" s="30" t="str">
        <f>VLOOKUP(B2846,gachas!A:C,3)</f>
        <v>確定ステップアップ</v>
      </c>
      <c r="D2846" s="21">
        <v>10</v>
      </c>
      <c r="E2846" s="2">
        <v>35</v>
      </c>
      <c r="F2846" s="2">
        <v>10</v>
      </c>
      <c r="G2846" s="3" t="s">
        <v>22</v>
      </c>
      <c r="H2846" s="2">
        <v>50</v>
      </c>
      <c r="I2846" s="112" t="str">
        <f>CONCATENATE(B2846,"100")</f>
        <v>520100</v>
      </c>
      <c r="J2846" s="112" t="s">
        <v>84</v>
      </c>
      <c r="K2846" s="112" t="str">
        <f>CONCATENATE(B2846,"105")</f>
        <v>520105</v>
      </c>
      <c r="L2846" s="2">
        <v>1</v>
      </c>
      <c r="M2846" s="2" t="s">
        <v>84</v>
      </c>
      <c r="N2846" s="2" t="s">
        <v>84</v>
      </c>
      <c r="O2846" s="2" t="s">
        <v>841</v>
      </c>
      <c r="P2846" s="2" t="s">
        <v>2594</v>
      </c>
    </row>
    <row r="2847" spans="1:16" ht="22" customHeight="1" x14ac:dyDescent="0.15">
      <c r="A2847" s="10" t="str">
        <f t="shared" si="460"/>
        <v>520_10_36_1_polygon</v>
      </c>
      <c r="B2847" s="2">
        <v>520</v>
      </c>
      <c r="C2847" s="30" t="str">
        <f>VLOOKUP(B2847,gachas!A:C,3)</f>
        <v>確定ステップアップ</v>
      </c>
      <c r="D2847" s="21">
        <v>10</v>
      </c>
      <c r="E2847" s="2">
        <v>36</v>
      </c>
      <c r="F2847" s="2">
        <v>1</v>
      </c>
      <c r="G2847" s="3" t="s">
        <v>22</v>
      </c>
      <c r="H2847" s="2">
        <v>3</v>
      </c>
      <c r="I2847" s="112" t="str">
        <f>CONCATENATE(B2847,"101")</f>
        <v>520101</v>
      </c>
      <c r="J2847" s="112" t="s">
        <v>84</v>
      </c>
      <c r="K2847" s="112" t="s">
        <v>84</v>
      </c>
      <c r="L2847" s="2">
        <v>0</v>
      </c>
      <c r="M2847" s="2" t="s">
        <v>84</v>
      </c>
      <c r="N2847" s="2" t="s">
        <v>84</v>
      </c>
      <c r="O2847" s="2" t="s">
        <v>841</v>
      </c>
      <c r="P2847" s="2" t="s">
        <v>2590</v>
      </c>
    </row>
    <row r="2848" spans="1:16" ht="22" customHeight="1" x14ac:dyDescent="0.15">
      <c r="A2848" s="10" t="str">
        <f t="shared" si="460"/>
        <v>520_10_37_3_polygon</v>
      </c>
      <c r="B2848" s="2">
        <v>520</v>
      </c>
      <c r="C2848" s="30" t="str">
        <f>VLOOKUP(B2848,gachas!A:C,3)</f>
        <v>確定ステップアップ</v>
      </c>
      <c r="D2848" s="21">
        <v>10</v>
      </c>
      <c r="E2848" s="2">
        <v>37</v>
      </c>
      <c r="F2848" s="2">
        <v>3</v>
      </c>
      <c r="G2848" s="3" t="s">
        <v>22</v>
      </c>
      <c r="H2848" s="2">
        <v>9</v>
      </c>
      <c r="I2848" s="112" t="str">
        <f>CONCATENATE(B2848,"101")</f>
        <v>520101</v>
      </c>
      <c r="J2848" s="112" t="str">
        <f>CONCATENATE(B2848,"102")</f>
        <v>520102</v>
      </c>
      <c r="K2848" s="112" t="s">
        <v>84</v>
      </c>
      <c r="L2848" s="2">
        <v>0</v>
      </c>
      <c r="M2848" s="2" t="s">
        <v>84</v>
      </c>
      <c r="N2848" s="2" t="s">
        <v>84</v>
      </c>
      <c r="O2848" s="2" t="s">
        <v>841</v>
      </c>
      <c r="P2848" s="2" t="s">
        <v>2591</v>
      </c>
    </row>
    <row r="2849" spans="1:16" ht="22" customHeight="1" x14ac:dyDescent="0.15">
      <c r="A2849" s="10" t="str">
        <f t="shared" si="460"/>
        <v>520_10_38_5_polygon</v>
      </c>
      <c r="B2849" s="2">
        <v>520</v>
      </c>
      <c r="C2849" s="30" t="str">
        <f>VLOOKUP(B2849,gachas!A:C,3)</f>
        <v>確定ステップアップ</v>
      </c>
      <c r="D2849" s="21">
        <v>10</v>
      </c>
      <c r="E2849" s="2">
        <v>38</v>
      </c>
      <c r="F2849" s="2">
        <v>5</v>
      </c>
      <c r="G2849" s="3" t="s">
        <v>22</v>
      </c>
      <c r="H2849" s="2">
        <v>15</v>
      </c>
      <c r="I2849" s="112" t="str">
        <f>CONCATENATE(B2849,"101")</f>
        <v>520101</v>
      </c>
      <c r="J2849" s="112" t="str">
        <f>CONCATENATE(B2849,"103")</f>
        <v>520103</v>
      </c>
      <c r="K2849" s="112" t="s">
        <v>84</v>
      </c>
      <c r="L2849" s="2">
        <v>0</v>
      </c>
      <c r="M2849" s="2" t="s">
        <v>84</v>
      </c>
      <c r="N2849" s="2" t="s">
        <v>84</v>
      </c>
      <c r="O2849" s="2" t="s">
        <v>841</v>
      </c>
      <c r="P2849" s="2" t="s">
        <v>2592</v>
      </c>
    </row>
    <row r="2850" spans="1:16" ht="22" customHeight="1" x14ac:dyDescent="0.15">
      <c r="A2850" s="10" t="str">
        <f t="shared" si="460"/>
        <v>520_10_39_10_polygon</v>
      </c>
      <c r="B2850" s="2">
        <v>520</v>
      </c>
      <c r="C2850" s="30" t="str">
        <f>VLOOKUP(B2850,gachas!A:C,3)</f>
        <v>確定ステップアップ</v>
      </c>
      <c r="D2850" s="21">
        <v>10</v>
      </c>
      <c r="E2850" s="2">
        <v>39</v>
      </c>
      <c r="F2850" s="2">
        <v>10</v>
      </c>
      <c r="G2850" s="3" t="s">
        <v>22</v>
      </c>
      <c r="H2850" s="2">
        <v>35</v>
      </c>
      <c r="I2850" s="112" t="str">
        <f>CONCATENATE(B2850,"100")</f>
        <v>520100</v>
      </c>
      <c r="J2850" s="112" t="str">
        <f>CONCATENATE(B2850,"104")</f>
        <v>520104</v>
      </c>
      <c r="K2850" s="112" t="s">
        <v>84</v>
      </c>
      <c r="L2850" s="2">
        <v>0</v>
      </c>
      <c r="M2850" s="2" t="s">
        <v>84</v>
      </c>
      <c r="N2850" s="2" t="s">
        <v>84</v>
      </c>
      <c r="O2850" s="2" t="s">
        <v>841</v>
      </c>
      <c r="P2850" s="2" t="s">
        <v>2593</v>
      </c>
    </row>
    <row r="2851" spans="1:16" ht="22" customHeight="1" x14ac:dyDescent="0.15">
      <c r="A2851" s="10" t="str">
        <f t="shared" si="460"/>
        <v>520_10_40_10_polygon</v>
      </c>
      <c r="B2851" s="2">
        <v>520</v>
      </c>
      <c r="C2851" s="30" t="str">
        <f>VLOOKUP(B2851,gachas!A:C,3)</f>
        <v>確定ステップアップ</v>
      </c>
      <c r="D2851" s="21">
        <v>10</v>
      </c>
      <c r="E2851" s="2">
        <v>40</v>
      </c>
      <c r="F2851" s="2">
        <v>10</v>
      </c>
      <c r="G2851" s="3" t="s">
        <v>22</v>
      </c>
      <c r="H2851" s="2">
        <v>50</v>
      </c>
      <c r="I2851" s="112" t="str">
        <f>CONCATENATE(B2851,"100")</f>
        <v>520100</v>
      </c>
      <c r="J2851" s="112" t="s">
        <v>84</v>
      </c>
      <c r="K2851" s="112" t="str">
        <f>CONCATENATE(B2851,"105")</f>
        <v>520105</v>
      </c>
      <c r="L2851" s="2">
        <v>1</v>
      </c>
      <c r="M2851" s="2" t="s">
        <v>84</v>
      </c>
      <c r="N2851" s="2" t="s">
        <v>84</v>
      </c>
      <c r="O2851" s="2" t="s">
        <v>841</v>
      </c>
      <c r="P2851" s="2" t="s">
        <v>2594</v>
      </c>
    </row>
    <row r="2852" spans="1:16" ht="22" customHeight="1" x14ac:dyDescent="0.15">
      <c r="A2852" s="10" t="str">
        <f t="shared" si="460"/>
        <v>520_10_41_1_polygon</v>
      </c>
      <c r="B2852" s="2">
        <v>520</v>
      </c>
      <c r="C2852" s="30" t="str">
        <f>VLOOKUP(B2852,gachas!A:C,3)</f>
        <v>確定ステップアップ</v>
      </c>
      <c r="D2852" s="21">
        <v>10</v>
      </c>
      <c r="E2852" s="2">
        <v>41</v>
      </c>
      <c r="F2852" s="2">
        <v>1</v>
      </c>
      <c r="G2852" s="3" t="s">
        <v>22</v>
      </c>
      <c r="H2852" s="2">
        <v>3</v>
      </c>
      <c r="I2852" s="112" t="str">
        <f>CONCATENATE(B2852,"101")</f>
        <v>520101</v>
      </c>
      <c r="J2852" s="112" t="s">
        <v>84</v>
      </c>
      <c r="K2852" s="112" t="s">
        <v>84</v>
      </c>
      <c r="L2852" s="2">
        <v>0</v>
      </c>
      <c r="M2852" s="2" t="s">
        <v>84</v>
      </c>
      <c r="N2852" s="2" t="s">
        <v>84</v>
      </c>
      <c r="O2852" s="2" t="s">
        <v>841</v>
      </c>
      <c r="P2852" s="2" t="s">
        <v>2590</v>
      </c>
    </row>
    <row r="2853" spans="1:16" ht="22" customHeight="1" x14ac:dyDescent="0.15">
      <c r="A2853" s="10" t="str">
        <f t="shared" si="460"/>
        <v>520_10_42_3_polygon</v>
      </c>
      <c r="B2853" s="2">
        <v>520</v>
      </c>
      <c r="C2853" s="30" t="str">
        <f>VLOOKUP(B2853,gachas!A:C,3)</f>
        <v>確定ステップアップ</v>
      </c>
      <c r="D2853" s="21">
        <v>10</v>
      </c>
      <c r="E2853" s="2">
        <v>42</v>
      </c>
      <c r="F2853" s="2">
        <v>3</v>
      </c>
      <c r="G2853" s="3" t="s">
        <v>22</v>
      </c>
      <c r="H2853" s="2">
        <v>9</v>
      </c>
      <c r="I2853" s="112" t="str">
        <f>CONCATENATE(B2853,"101")</f>
        <v>520101</v>
      </c>
      <c r="J2853" s="112" t="str">
        <f>CONCATENATE(B2853,"102")</f>
        <v>520102</v>
      </c>
      <c r="K2853" s="112" t="s">
        <v>84</v>
      </c>
      <c r="L2853" s="2">
        <v>0</v>
      </c>
      <c r="M2853" s="2" t="s">
        <v>84</v>
      </c>
      <c r="N2853" s="2" t="s">
        <v>84</v>
      </c>
      <c r="O2853" s="2" t="s">
        <v>841</v>
      </c>
      <c r="P2853" s="2" t="s">
        <v>2591</v>
      </c>
    </row>
    <row r="2854" spans="1:16" ht="22" customHeight="1" x14ac:dyDescent="0.15">
      <c r="A2854" s="10" t="str">
        <f t="shared" si="460"/>
        <v>520_10_43_5_polygon</v>
      </c>
      <c r="B2854" s="2">
        <v>520</v>
      </c>
      <c r="C2854" s="30" t="str">
        <f>VLOOKUP(B2854,gachas!A:C,3)</f>
        <v>確定ステップアップ</v>
      </c>
      <c r="D2854" s="21">
        <v>10</v>
      </c>
      <c r="E2854" s="2">
        <v>43</v>
      </c>
      <c r="F2854" s="2">
        <v>5</v>
      </c>
      <c r="G2854" s="3" t="s">
        <v>22</v>
      </c>
      <c r="H2854" s="2">
        <v>15</v>
      </c>
      <c r="I2854" s="112" t="str">
        <f>CONCATENATE(B2854,"101")</f>
        <v>520101</v>
      </c>
      <c r="J2854" s="112" t="str">
        <f>CONCATENATE(B2854,"103")</f>
        <v>520103</v>
      </c>
      <c r="K2854" s="112" t="s">
        <v>84</v>
      </c>
      <c r="L2854" s="2">
        <v>0</v>
      </c>
      <c r="M2854" s="2" t="s">
        <v>84</v>
      </c>
      <c r="N2854" s="2" t="s">
        <v>84</v>
      </c>
      <c r="O2854" s="2" t="s">
        <v>841</v>
      </c>
      <c r="P2854" s="2" t="s">
        <v>2592</v>
      </c>
    </row>
    <row r="2855" spans="1:16" ht="22" customHeight="1" x14ac:dyDescent="0.15">
      <c r="A2855" s="10" t="str">
        <f t="shared" si="460"/>
        <v>520_10_44_10_polygon</v>
      </c>
      <c r="B2855" s="2">
        <v>520</v>
      </c>
      <c r="C2855" s="30" t="str">
        <f>VLOOKUP(B2855,gachas!A:C,3)</f>
        <v>確定ステップアップ</v>
      </c>
      <c r="D2855" s="21">
        <v>10</v>
      </c>
      <c r="E2855" s="2">
        <v>44</v>
      </c>
      <c r="F2855" s="2">
        <v>10</v>
      </c>
      <c r="G2855" s="3" t="s">
        <v>22</v>
      </c>
      <c r="H2855" s="2">
        <v>35</v>
      </c>
      <c r="I2855" s="112" t="str">
        <f>CONCATENATE(B2855,"100")</f>
        <v>520100</v>
      </c>
      <c r="J2855" s="112" t="str">
        <f>CONCATENATE(B2855,"104")</f>
        <v>520104</v>
      </c>
      <c r="K2855" s="112" t="s">
        <v>84</v>
      </c>
      <c r="L2855" s="2">
        <v>0</v>
      </c>
      <c r="M2855" s="2" t="s">
        <v>84</v>
      </c>
      <c r="N2855" s="2" t="s">
        <v>84</v>
      </c>
      <c r="O2855" s="2" t="s">
        <v>841</v>
      </c>
      <c r="P2855" s="2" t="s">
        <v>2593</v>
      </c>
    </row>
    <row r="2856" spans="1:16" ht="22" customHeight="1" x14ac:dyDescent="0.15">
      <c r="A2856" s="10" t="str">
        <f t="shared" si="460"/>
        <v>520_10_45_10_polygon</v>
      </c>
      <c r="B2856" s="2">
        <v>520</v>
      </c>
      <c r="C2856" s="30" t="str">
        <f>VLOOKUP(B2856,gachas!A:C,3)</f>
        <v>確定ステップアップ</v>
      </c>
      <c r="D2856" s="21">
        <v>10</v>
      </c>
      <c r="E2856" s="2">
        <v>45</v>
      </c>
      <c r="F2856" s="2">
        <v>10</v>
      </c>
      <c r="G2856" s="3" t="s">
        <v>22</v>
      </c>
      <c r="H2856" s="2">
        <v>50</v>
      </c>
      <c r="I2856" s="112" t="str">
        <f>CONCATENATE(B2856,"100")</f>
        <v>520100</v>
      </c>
      <c r="J2856" s="112" t="s">
        <v>84</v>
      </c>
      <c r="K2856" s="112" t="str">
        <f>CONCATENATE(B2856,"105")</f>
        <v>520105</v>
      </c>
      <c r="L2856" s="2">
        <v>1</v>
      </c>
      <c r="M2856" s="2" t="s">
        <v>84</v>
      </c>
      <c r="N2856" s="2" t="s">
        <v>84</v>
      </c>
      <c r="O2856" s="2" t="s">
        <v>841</v>
      </c>
      <c r="P2856" s="2" t="s">
        <v>2594</v>
      </c>
    </row>
    <row r="2857" spans="1:16" ht="22" customHeight="1" x14ac:dyDescent="0.15">
      <c r="A2857" s="10" t="str">
        <f t="shared" si="460"/>
        <v>520_10_46_1_polygon</v>
      </c>
      <c r="B2857" s="2">
        <v>520</v>
      </c>
      <c r="C2857" s="30" t="str">
        <f>VLOOKUP(B2857,gachas!A:C,3)</f>
        <v>確定ステップアップ</v>
      </c>
      <c r="D2857" s="21">
        <v>10</v>
      </c>
      <c r="E2857" s="2">
        <v>46</v>
      </c>
      <c r="F2857" s="2">
        <v>1</v>
      </c>
      <c r="G2857" s="3" t="s">
        <v>22</v>
      </c>
      <c r="H2857" s="2">
        <v>3</v>
      </c>
      <c r="I2857" s="112" t="str">
        <f>CONCATENATE(B2857,"101")</f>
        <v>520101</v>
      </c>
      <c r="J2857" s="112" t="s">
        <v>84</v>
      </c>
      <c r="K2857" s="112" t="s">
        <v>84</v>
      </c>
      <c r="L2857" s="2">
        <v>0</v>
      </c>
      <c r="M2857" s="2" t="s">
        <v>84</v>
      </c>
      <c r="N2857" s="2" t="s">
        <v>84</v>
      </c>
      <c r="O2857" s="2" t="s">
        <v>841</v>
      </c>
      <c r="P2857" s="2" t="s">
        <v>2590</v>
      </c>
    </row>
    <row r="2858" spans="1:16" ht="22" customHeight="1" x14ac:dyDescent="0.15">
      <c r="A2858" s="10" t="str">
        <f t="shared" si="460"/>
        <v>520_10_47_3_polygon</v>
      </c>
      <c r="B2858" s="2">
        <v>520</v>
      </c>
      <c r="C2858" s="30" t="str">
        <f>VLOOKUP(B2858,gachas!A:C,3)</f>
        <v>確定ステップアップ</v>
      </c>
      <c r="D2858" s="21">
        <v>10</v>
      </c>
      <c r="E2858" s="2">
        <v>47</v>
      </c>
      <c r="F2858" s="2">
        <v>3</v>
      </c>
      <c r="G2858" s="3" t="s">
        <v>22</v>
      </c>
      <c r="H2858" s="2">
        <v>9</v>
      </c>
      <c r="I2858" s="112" t="str">
        <f>CONCATENATE(B2858,"101")</f>
        <v>520101</v>
      </c>
      <c r="J2858" s="112" t="str">
        <f>CONCATENATE(B2858,"102")</f>
        <v>520102</v>
      </c>
      <c r="K2858" s="112" t="s">
        <v>84</v>
      </c>
      <c r="L2858" s="2">
        <v>0</v>
      </c>
      <c r="M2858" s="2" t="s">
        <v>84</v>
      </c>
      <c r="N2858" s="2" t="s">
        <v>84</v>
      </c>
      <c r="O2858" s="2" t="s">
        <v>841</v>
      </c>
      <c r="P2858" s="2" t="s">
        <v>2591</v>
      </c>
    </row>
    <row r="2859" spans="1:16" ht="22" customHeight="1" x14ac:dyDescent="0.15">
      <c r="A2859" s="10" t="str">
        <f t="shared" si="460"/>
        <v>520_10_48_5_polygon</v>
      </c>
      <c r="B2859" s="2">
        <v>520</v>
      </c>
      <c r="C2859" s="30" t="str">
        <f>VLOOKUP(B2859,gachas!A:C,3)</f>
        <v>確定ステップアップ</v>
      </c>
      <c r="D2859" s="21">
        <v>10</v>
      </c>
      <c r="E2859" s="2">
        <v>48</v>
      </c>
      <c r="F2859" s="2">
        <v>5</v>
      </c>
      <c r="G2859" s="3" t="s">
        <v>22</v>
      </c>
      <c r="H2859" s="2">
        <v>15</v>
      </c>
      <c r="I2859" s="112" t="str">
        <f>CONCATENATE(B2859,"101")</f>
        <v>520101</v>
      </c>
      <c r="J2859" s="112" t="str">
        <f>CONCATENATE(B2859,"103")</f>
        <v>520103</v>
      </c>
      <c r="K2859" s="112" t="s">
        <v>84</v>
      </c>
      <c r="L2859" s="2">
        <v>0</v>
      </c>
      <c r="M2859" s="2" t="s">
        <v>84</v>
      </c>
      <c r="N2859" s="2" t="s">
        <v>84</v>
      </c>
      <c r="O2859" s="2" t="s">
        <v>841</v>
      </c>
      <c r="P2859" s="2" t="s">
        <v>2592</v>
      </c>
    </row>
    <row r="2860" spans="1:16" ht="22" customHeight="1" x14ac:dyDescent="0.15">
      <c r="A2860" s="10" t="str">
        <f t="shared" si="460"/>
        <v>520_10_49_10_polygon</v>
      </c>
      <c r="B2860" s="2">
        <v>520</v>
      </c>
      <c r="C2860" s="30" t="str">
        <f>VLOOKUP(B2860,gachas!A:C,3)</f>
        <v>確定ステップアップ</v>
      </c>
      <c r="D2860" s="21">
        <v>10</v>
      </c>
      <c r="E2860" s="2">
        <v>49</v>
      </c>
      <c r="F2860" s="2">
        <v>10</v>
      </c>
      <c r="G2860" s="3" t="s">
        <v>22</v>
      </c>
      <c r="H2860" s="2">
        <v>35</v>
      </c>
      <c r="I2860" s="112" t="str">
        <f>CONCATENATE(B2860,"100")</f>
        <v>520100</v>
      </c>
      <c r="J2860" s="112" t="str">
        <f>CONCATENATE(B2860,"104")</f>
        <v>520104</v>
      </c>
      <c r="K2860" s="112" t="s">
        <v>84</v>
      </c>
      <c r="L2860" s="2">
        <v>0</v>
      </c>
      <c r="M2860" s="2" t="s">
        <v>84</v>
      </c>
      <c r="N2860" s="2" t="s">
        <v>84</v>
      </c>
      <c r="O2860" s="2" t="s">
        <v>841</v>
      </c>
      <c r="P2860" s="2" t="s">
        <v>2593</v>
      </c>
    </row>
    <row r="2861" spans="1:16" ht="22" customHeight="1" x14ac:dyDescent="0.15">
      <c r="A2861" s="10" t="str">
        <f t="shared" si="460"/>
        <v>520_10_50_10_polygon</v>
      </c>
      <c r="B2861" s="2">
        <v>520</v>
      </c>
      <c r="C2861" s="30" t="str">
        <f>VLOOKUP(B2861,gachas!A:C,3)</f>
        <v>確定ステップアップ</v>
      </c>
      <c r="D2861" s="21">
        <v>10</v>
      </c>
      <c r="E2861" s="2">
        <v>50</v>
      </c>
      <c r="F2861" s="2">
        <v>10</v>
      </c>
      <c r="G2861" s="3" t="s">
        <v>22</v>
      </c>
      <c r="H2861" s="2">
        <v>50</v>
      </c>
      <c r="I2861" s="112" t="str">
        <f>CONCATENATE(B2861,"100")</f>
        <v>520100</v>
      </c>
      <c r="J2861" s="112" t="s">
        <v>84</v>
      </c>
      <c r="K2861" s="112" t="str">
        <f>CONCATENATE(B2861,"105")</f>
        <v>520105</v>
      </c>
      <c r="L2861" s="2">
        <v>1</v>
      </c>
      <c r="M2861" s="2" t="s">
        <v>84</v>
      </c>
      <c r="N2861" s="2" t="s">
        <v>84</v>
      </c>
      <c r="O2861" s="2" t="s">
        <v>841</v>
      </c>
      <c r="P2861" s="2" t="s">
        <v>2594</v>
      </c>
    </row>
    <row r="2862" spans="1:16" ht="22" customHeight="1" x14ac:dyDescent="0.15">
      <c r="A2862" s="10" t="str">
        <f t="shared" si="460"/>
        <v>520_10_0_10_polygon</v>
      </c>
      <c r="B2862" s="2">
        <v>520</v>
      </c>
      <c r="C2862" s="30" t="str">
        <f>VLOOKUP(B2862,gachas!A:C,3)</f>
        <v>確定ステップアップ</v>
      </c>
      <c r="D2862" s="21">
        <v>10</v>
      </c>
      <c r="E2862" s="2">
        <v>0</v>
      </c>
      <c r="F2862" s="2">
        <v>10</v>
      </c>
      <c r="G2862" s="3" t="s">
        <v>22</v>
      </c>
      <c r="H2862" s="2">
        <v>50</v>
      </c>
      <c r="I2862" s="112" t="str">
        <f>CONCATENATE(B2862,"100")</f>
        <v>520100</v>
      </c>
      <c r="J2862" s="112" t="s">
        <v>84</v>
      </c>
      <c r="K2862" s="112" t="s">
        <v>84</v>
      </c>
      <c r="L2862" s="2">
        <v>0</v>
      </c>
      <c r="M2862" s="2" t="s">
        <v>84</v>
      </c>
      <c r="N2862" s="2" t="s">
        <v>84</v>
      </c>
      <c r="O2862" s="2" t="s">
        <v>841</v>
      </c>
      <c r="P2862" s="2" t="s">
        <v>2595</v>
      </c>
    </row>
    <row r="2863" spans="1:16" ht="21" customHeight="1" x14ac:dyDescent="0.15">
      <c r="A2863" s="10" t="str">
        <f t="shared" si="460"/>
        <v>521_1_0_1_polygon</v>
      </c>
      <c r="B2863" s="2">
        <v>521</v>
      </c>
      <c r="C2863" s="30" t="str">
        <f>VLOOKUP(B2863,gachas!A:C,3)</f>
        <v>新クラファーコレクション</v>
      </c>
      <c r="D2863" s="21">
        <v>1</v>
      </c>
      <c r="E2863" s="2">
        <v>0</v>
      </c>
      <c r="F2863" s="2">
        <v>1</v>
      </c>
      <c r="G2863" s="3" t="s">
        <v>22</v>
      </c>
      <c r="H2863" s="2">
        <v>5</v>
      </c>
      <c r="I2863" s="114" t="str">
        <f t="shared" ref="I2863:I2865" si="461">B2863&amp;TEXT(D2863,"00")&amp;E2863</f>
        <v>521010</v>
      </c>
      <c r="J2863" s="112" t="s">
        <v>84</v>
      </c>
      <c r="K2863" s="76" t="s">
        <v>84</v>
      </c>
      <c r="L2863" s="2">
        <v>0</v>
      </c>
      <c r="M2863" s="2" t="s">
        <v>84</v>
      </c>
      <c r="N2863" s="2" t="s">
        <v>84</v>
      </c>
      <c r="O2863" s="2" t="s">
        <v>841</v>
      </c>
      <c r="P2863" s="18" t="s">
        <v>84</v>
      </c>
    </row>
    <row r="2864" spans="1:16" ht="21" customHeight="1" x14ac:dyDescent="0.15">
      <c r="A2864" s="10" t="str">
        <f t="shared" ref="A2864" si="462">B2864&amp;"_"&amp;D2864&amp;"_"&amp;E2864&amp;"_"&amp;F2864&amp;"_"&amp;G2864</f>
        <v>521_10_1_10_polygon</v>
      </c>
      <c r="B2864" s="2">
        <v>521</v>
      </c>
      <c r="C2864" s="30" t="str">
        <f>VLOOKUP(B2864,gachas!A:C,3)</f>
        <v>新クラファーコレクション</v>
      </c>
      <c r="D2864" s="21">
        <v>10</v>
      </c>
      <c r="E2864" s="2">
        <v>1</v>
      </c>
      <c r="F2864" s="2">
        <v>10</v>
      </c>
      <c r="G2864" s="3" t="s">
        <v>22</v>
      </c>
      <c r="H2864" s="2">
        <v>25</v>
      </c>
      <c r="I2864" s="114" t="s">
        <v>2596</v>
      </c>
      <c r="J2864" s="112" t="s">
        <v>84</v>
      </c>
      <c r="K2864" s="76" t="s">
        <v>84</v>
      </c>
      <c r="L2864" s="2">
        <v>0</v>
      </c>
      <c r="M2864" s="2" t="s">
        <v>84</v>
      </c>
      <c r="N2864" s="2" t="s">
        <v>84</v>
      </c>
      <c r="O2864" s="2" t="s">
        <v>841</v>
      </c>
      <c r="P2864" s="59" t="s">
        <v>1783</v>
      </c>
    </row>
    <row r="2865" spans="1:16" ht="21" customHeight="1" x14ac:dyDescent="0.15">
      <c r="A2865" s="10" t="str">
        <f t="shared" si="460"/>
        <v>521_10_0_10_polygon</v>
      </c>
      <c r="B2865" s="2">
        <v>521</v>
      </c>
      <c r="C2865" s="30" t="str">
        <f>VLOOKUP(B2865,gachas!A:C,3)</f>
        <v>新クラファーコレクション</v>
      </c>
      <c r="D2865" s="21">
        <v>10</v>
      </c>
      <c r="E2865" s="2">
        <v>0</v>
      </c>
      <c r="F2865" s="2">
        <v>10</v>
      </c>
      <c r="G2865" s="3" t="s">
        <v>22</v>
      </c>
      <c r="H2865" s="2">
        <v>50</v>
      </c>
      <c r="I2865" s="114" t="str">
        <f t="shared" si="461"/>
        <v>521100</v>
      </c>
      <c r="J2865" s="112" t="s">
        <v>84</v>
      </c>
      <c r="K2865" s="76" t="s">
        <v>84</v>
      </c>
      <c r="L2865" s="2">
        <v>0</v>
      </c>
      <c r="M2865" s="2" t="s">
        <v>84</v>
      </c>
      <c r="N2865" s="2" t="s">
        <v>84</v>
      </c>
      <c r="O2865" s="2" t="s">
        <v>841</v>
      </c>
      <c r="P2865" s="2" t="s">
        <v>1077</v>
      </c>
    </row>
    <row r="2866" spans="1:16" ht="22" customHeight="1" x14ac:dyDescent="0.15">
      <c r="A2866" s="10" t="str">
        <f t="shared" si="460"/>
        <v>522_1_0_1_polygon</v>
      </c>
      <c r="B2866" s="2">
        <v>522</v>
      </c>
      <c r="C2866" s="30" t="str">
        <f>VLOOKUP(B2866,gachas!A:C,3)</f>
        <v>バレンタインガチャA&lt;トウカ、ヴァニレ&gt;</v>
      </c>
      <c r="D2866" s="21">
        <v>1</v>
      </c>
      <c r="E2866" s="2">
        <v>0</v>
      </c>
      <c r="F2866" s="2">
        <v>1</v>
      </c>
      <c r="G2866" s="3" t="s">
        <v>22</v>
      </c>
      <c r="H2866" s="2">
        <v>5</v>
      </c>
      <c r="I2866" s="117" t="str">
        <f>CONCATENATE(B2866,"010")</f>
        <v>522010</v>
      </c>
      <c r="J2866" s="112" t="s">
        <v>84</v>
      </c>
      <c r="K2866" s="2" t="s">
        <v>84</v>
      </c>
      <c r="L2866" s="2">
        <v>0</v>
      </c>
      <c r="M2866" s="2" t="s">
        <v>84</v>
      </c>
      <c r="N2866" s="2" t="s">
        <v>84</v>
      </c>
      <c r="O2866" s="2" t="s">
        <v>841</v>
      </c>
      <c r="P2866" s="2" t="s">
        <v>84</v>
      </c>
    </row>
    <row r="2867" spans="1:16" ht="22" customHeight="1" x14ac:dyDescent="0.15">
      <c r="A2867" s="10" t="str">
        <f t="shared" si="460"/>
        <v>522_10_0_10_polygon</v>
      </c>
      <c r="B2867" s="2">
        <v>522</v>
      </c>
      <c r="C2867" s="30" t="str">
        <f>VLOOKUP(B2867,gachas!A:C,3)</f>
        <v>バレンタインガチャA&lt;トウカ、ヴァニレ&gt;</v>
      </c>
      <c r="D2867" s="21">
        <v>10</v>
      </c>
      <c r="E2867" s="2">
        <v>0</v>
      </c>
      <c r="F2867" s="2">
        <v>10</v>
      </c>
      <c r="G2867" s="3" t="s">
        <v>22</v>
      </c>
      <c r="H2867" s="2">
        <v>50</v>
      </c>
      <c r="I2867" s="117" t="str">
        <f>CONCATENATE(B2867,"100")</f>
        <v>522100</v>
      </c>
      <c r="J2867" s="112" t="s">
        <v>84</v>
      </c>
      <c r="K2867" s="2" t="s">
        <v>84</v>
      </c>
      <c r="L2867" s="2">
        <v>0</v>
      </c>
      <c r="M2867" s="2" t="s">
        <v>84</v>
      </c>
      <c r="N2867" s="2" t="s">
        <v>84</v>
      </c>
      <c r="O2867" s="2" t="s">
        <v>841</v>
      </c>
      <c r="P2867" s="2" t="s">
        <v>143</v>
      </c>
    </row>
    <row r="2868" spans="1:16" ht="22" customHeight="1" x14ac:dyDescent="0.15">
      <c r="A2868" s="10" t="str">
        <f t="shared" si="460"/>
        <v>522_10_1_10_polygon</v>
      </c>
      <c r="B2868" s="2">
        <v>522</v>
      </c>
      <c r="C2868" s="30" t="str">
        <f>VLOOKUP(B2868,gachas!A:C,3)</f>
        <v>バレンタインガチャA&lt;トウカ、ヴァニレ&gt;</v>
      </c>
      <c r="D2868" s="21">
        <v>10</v>
      </c>
      <c r="E2868" s="2">
        <f>E2867+1</f>
        <v>1</v>
      </c>
      <c r="F2868" s="2">
        <v>10</v>
      </c>
      <c r="G2868" s="3" t="s">
        <v>22</v>
      </c>
      <c r="H2868" s="2">
        <v>25</v>
      </c>
      <c r="I2868" s="117" t="str">
        <f t="shared" ref="I2868:I2931" si="463">CONCATENATE(B2868,"100")</f>
        <v>522100</v>
      </c>
      <c r="J2868" s="112" t="s">
        <v>84</v>
      </c>
      <c r="K2868" s="2" t="s">
        <v>84</v>
      </c>
      <c r="L2868" s="2">
        <v>0</v>
      </c>
      <c r="M2868" s="2" t="s">
        <v>84</v>
      </c>
      <c r="N2868" s="2" t="s">
        <v>84</v>
      </c>
      <c r="O2868" s="2" t="s">
        <v>841</v>
      </c>
      <c r="P2868" s="59" t="s">
        <v>1783</v>
      </c>
    </row>
    <row r="2869" spans="1:16" ht="22" customHeight="1" x14ac:dyDescent="0.15">
      <c r="A2869" s="10" t="str">
        <f t="shared" si="460"/>
        <v>522_10_2_10_polygon</v>
      </c>
      <c r="B2869" s="2">
        <v>522</v>
      </c>
      <c r="C2869" s="30" t="str">
        <f>VLOOKUP(B2869,gachas!A:C,3)</f>
        <v>バレンタインガチャA&lt;トウカ、ヴァニレ&gt;</v>
      </c>
      <c r="D2869" s="21">
        <v>10</v>
      </c>
      <c r="E2869" s="2">
        <f t="shared" ref="E2869:E2917" si="464">E2868+1</f>
        <v>2</v>
      </c>
      <c r="F2869" s="2">
        <v>10</v>
      </c>
      <c r="G2869" s="3" t="s">
        <v>22</v>
      </c>
      <c r="H2869" s="2">
        <v>50</v>
      </c>
      <c r="I2869" s="117" t="str">
        <f t="shared" si="463"/>
        <v>522100</v>
      </c>
      <c r="J2869" s="112" t="s">
        <v>84</v>
      </c>
      <c r="K2869" s="2" t="s">
        <v>84</v>
      </c>
      <c r="L2869" s="2">
        <v>0</v>
      </c>
      <c r="M2869" s="2" t="s">
        <v>84</v>
      </c>
      <c r="N2869" s="2" t="s">
        <v>84</v>
      </c>
      <c r="O2869" s="2" t="s">
        <v>841</v>
      </c>
      <c r="P2869" s="2" t="s">
        <v>143</v>
      </c>
    </row>
    <row r="2870" spans="1:16" ht="22" customHeight="1" x14ac:dyDescent="0.15">
      <c r="A2870" s="10" t="str">
        <f t="shared" si="460"/>
        <v>522_10_3_10_polygon</v>
      </c>
      <c r="B2870" s="2">
        <v>522</v>
      </c>
      <c r="C2870" s="30" t="str">
        <f>VLOOKUP(B2870,gachas!A:C,3)</f>
        <v>バレンタインガチャA&lt;トウカ、ヴァニレ&gt;</v>
      </c>
      <c r="D2870" s="21">
        <v>10</v>
      </c>
      <c r="E2870" s="2">
        <f t="shared" si="464"/>
        <v>3</v>
      </c>
      <c r="F2870" s="2">
        <v>10</v>
      </c>
      <c r="G2870" s="3" t="s">
        <v>22</v>
      </c>
      <c r="H2870" s="2">
        <v>50</v>
      </c>
      <c r="I2870" s="117" t="str">
        <f t="shared" si="463"/>
        <v>522100</v>
      </c>
      <c r="J2870" s="112" t="s">
        <v>84</v>
      </c>
      <c r="K2870" s="2" t="s">
        <v>84</v>
      </c>
      <c r="L2870" s="2">
        <v>0</v>
      </c>
      <c r="M2870" s="2" t="s">
        <v>84</v>
      </c>
      <c r="N2870" s="2" t="s">
        <v>84</v>
      </c>
      <c r="O2870" s="2" t="s">
        <v>841</v>
      </c>
      <c r="P2870" s="2" t="s">
        <v>143</v>
      </c>
    </row>
    <row r="2871" spans="1:16" ht="22" customHeight="1" x14ac:dyDescent="0.15">
      <c r="A2871" s="10" t="str">
        <f t="shared" si="460"/>
        <v>522_10_4_10_polygon</v>
      </c>
      <c r="B2871" s="2">
        <v>522</v>
      </c>
      <c r="C2871" s="30" t="str">
        <f>VLOOKUP(B2871,gachas!A:C,3)</f>
        <v>バレンタインガチャA&lt;トウカ、ヴァニレ&gt;</v>
      </c>
      <c r="D2871" s="21">
        <v>10</v>
      </c>
      <c r="E2871" s="2">
        <f t="shared" si="464"/>
        <v>4</v>
      </c>
      <c r="F2871" s="2">
        <v>10</v>
      </c>
      <c r="G2871" s="3" t="s">
        <v>22</v>
      </c>
      <c r="H2871" s="2">
        <v>50</v>
      </c>
      <c r="I2871" s="117" t="str">
        <f t="shared" si="463"/>
        <v>522100</v>
      </c>
      <c r="J2871" s="112" t="s">
        <v>84</v>
      </c>
      <c r="K2871" s="2" t="s">
        <v>84</v>
      </c>
      <c r="L2871" s="2">
        <v>0</v>
      </c>
      <c r="M2871" s="2" t="s">
        <v>84</v>
      </c>
      <c r="N2871" s="2" t="s">
        <v>84</v>
      </c>
      <c r="O2871" s="2" t="s">
        <v>841</v>
      </c>
      <c r="P2871" s="2" t="s">
        <v>143</v>
      </c>
    </row>
    <row r="2872" spans="1:16" ht="22" customHeight="1" x14ac:dyDescent="0.15">
      <c r="A2872" s="10" t="str">
        <f t="shared" si="460"/>
        <v>522_10_5_10_polygon</v>
      </c>
      <c r="B2872" s="2">
        <v>522</v>
      </c>
      <c r="C2872" s="30" t="str">
        <f>VLOOKUP(B2872,gachas!A:C,3)</f>
        <v>バレンタインガチャA&lt;トウカ、ヴァニレ&gt;</v>
      </c>
      <c r="D2872" s="21">
        <v>10</v>
      </c>
      <c r="E2872" s="2">
        <f t="shared" si="464"/>
        <v>5</v>
      </c>
      <c r="F2872" s="2">
        <v>10</v>
      </c>
      <c r="G2872" s="3" t="s">
        <v>22</v>
      </c>
      <c r="H2872" s="2">
        <v>50</v>
      </c>
      <c r="I2872" s="117" t="str">
        <f t="shared" si="463"/>
        <v>522100</v>
      </c>
      <c r="J2872" s="112" t="s">
        <v>84</v>
      </c>
      <c r="K2872" s="117" t="str">
        <f>CONCATENATE(B2872,"105")</f>
        <v>522105</v>
      </c>
      <c r="L2872" s="2">
        <v>1</v>
      </c>
      <c r="M2872" s="2" t="s">
        <v>84</v>
      </c>
      <c r="N2872" s="2" t="s">
        <v>84</v>
      </c>
      <c r="O2872" s="2" t="s">
        <v>841</v>
      </c>
      <c r="P2872" s="2" t="s">
        <v>2626</v>
      </c>
    </row>
    <row r="2873" spans="1:16" ht="22" customHeight="1" x14ac:dyDescent="0.15">
      <c r="A2873" s="10" t="str">
        <f t="shared" si="460"/>
        <v>522_10_6_10_polygon</v>
      </c>
      <c r="B2873" s="2">
        <v>522</v>
      </c>
      <c r="C2873" s="30" t="str">
        <f>VLOOKUP(B2873,gachas!A:C,3)</f>
        <v>バレンタインガチャA&lt;トウカ、ヴァニレ&gt;</v>
      </c>
      <c r="D2873" s="21">
        <v>10</v>
      </c>
      <c r="E2873" s="2">
        <f t="shared" si="464"/>
        <v>6</v>
      </c>
      <c r="F2873" s="2">
        <v>10</v>
      </c>
      <c r="G2873" s="3" t="s">
        <v>22</v>
      </c>
      <c r="H2873" s="2">
        <v>25</v>
      </c>
      <c r="I2873" s="117" t="str">
        <f t="shared" si="463"/>
        <v>522100</v>
      </c>
      <c r="J2873" s="112" t="s">
        <v>84</v>
      </c>
      <c r="K2873" s="2" t="s">
        <v>84</v>
      </c>
      <c r="L2873" s="2">
        <v>0</v>
      </c>
      <c r="M2873" s="2" t="s">
        <v>84</v>
      </c>
      <c r="N2873" s="2" t="s">
        <v>84</v>
      </c>
      <c r="O2873" s="2" t="s">
        <v>841</v>
      </c>
      <c r="P2873" s="59" t="s">
        <v>1783</v>
      </c>
    </row>
    <row r="2874" spans="1:16" ht="22" customHeight="1" x14ac:dyDescent="0.15">
      <c r="A2874" s="10" t="str">
        <f t="shared" si="460"/>
        <v>522_10_7_10_polygon</v>
      </c>
      <c r="B2874" s="2">
        <v>522</v>
      </c>
      <c r="C2874" s="30" t="str">
        <f>VLOOKUP(B2874,gachas!A:C,3)</f>
        <v>バレンタインガチャA&lt;トウカ、ヴァニレ&gt;</v>
      </c>
      <c r="D2874" s="21">
        <v>10</v>
      </c>
      <c r="E2874" s="2">
        <f t="shared" si="464"/>
        <v>7</v>
      </c>
      <c r="F2874" s="2">
        <v>10</v>
      </c>
      <c r="G2874" s="3" t="s">
        <v>22</v>
      </c>
      <c r="H2874" s="2">
        <v>50</v>
      </c>
      <c r="I2874" s="117" t="str">
        <f t="shared" si="463"/>
        <v>522100</v>
      </c>
      <c r="J2874" s="112" t="s">
        <v>84</v>
      </c>
      <c r="K2874" s="2" t="s">
        <v>84</v>
      </c>
      <c r="L2874" s="2">
        <v>0</v>
      </c>
      <c r="M2874" s="2" t="s">
        <v>84</v>
      </c>
      <c r="N2874" s="2" t="s">
        <v>84</v>
      </c>
      <c r="O2874" s="2" t="s">
        <v>841</v>
      </c>
      <c r="P2874" s="2" t="s">
        <v>143</v>
      </c>
    </row>
    <row r="2875" spans="1:16" ht="22" customHeight="1" x14ac:dyDescent="0.15">
      <c r="A2875" s="10" t="str">
        <f t="shared" si="460"/>
        <v>522_10_8_10_polygon</v>
      </c>
      <c r="B2875" s="2">
        <v>522</v>
      </c>
      <c r="C2875" s="30" t="str">
        <f>VLOOKUP(B2875,gachas!A:C,3)</f>
        <v>バレンタインガチャA&lt;トウカ、ヴァニレ&gt;</v>
      </c>
      <c r="D2875" s="21">
        <v>10</v>
      </c>
      <c r="E2875" s="2">
        <f t="shared" si="464"/>
        <v>8</v>
      </c>
      <c r="F2875" s="2">
        <v>10</v>
      </c>
      <c r="G2875" s="3" t="s">
        <v>22</v>
      </c>
      <c r="H2875" s="2">
        <v>50</v>
      </c>
      <c r="I2875" s="117" t="str">
        <f t="shared" si="463"/>
        <v>522100</v>
      </c>
      <c r="J2875" s="112" t="s">
        <v>84</v>
      </c>
      <c r="K2875" s="2" t="s">
        <v>84</v>
      </c>
      <c r="L2875" s="2">
        <v>0</v>
      </c>
      <c r="M2875" s="2" t="s">
        <v>84</v>
      </c>
      <c r="N2875" s="2" t="s">
        <v>84</v>
      </c>
      <c r="O2875" s="2" t="s">
        <v>841</v>
      </c>
      <c r="P2875" s="2" t="s">
        <v>143</v>
      </c>
    </row>
    <row r="2876" spans="1:16" ht="22" customHeight="1" x14ac:dyDescent="0.15">
      <c r="A2876" s="10" t="str">
        <f t="shared" si="460"/>
        <v>522_10_9_10_polygon</v>
      </c>
      <c r="B2876" s="2">
        <v>522</v>
      </c>
      <c r="C2876" s="30" t="str">
        <f>VLOOKUP(B2876,gachas!A:C,3)</f>
        <v>バレンタインガチャA&lt;トウカ、ヴァニレ&gt;</v>
      </c>
      <c r="D2876" s="21">
        <v>10</v>
      </c>
      <c r="E2876" s="2">
        <f t="shared" si="464"/>
        <v>9</v>
      </c>
      <c r="F2876" s="2">
        <v>10</v>
      </c>
      <c r="G2876" s="3" t="s">
        <v>22</v>
      </c>
      <c r="H2876" s="2">
        <v>50</v>
      </c>
      <c r="I2876" s="117" t="str">
        <f t="shared" si="463"/>
        <v>522100</v>
      </c>
      <c r="J2876" s="112" t="s">
        <v>84</v>
      </c>
      <c r="K2876" s="2" t="s">
        <v>84</v>
      </c>
      <c r="L2876" s="2">
        <v>0</v>
      </c>
      <c r="M2876" s="2" t="s">
        <v>84</v>
      </c>
      <c r="N2876" s="2" t="s">
        <v>84</v>
      </c>
      <c r="O2876" s="2" t="s">
        <v>841</v>
      </c>
      <c r="P2876" s="2" t="s">
        <v>143</v>
      </c>
    </row>
    <row r="2877" spans="1:16" ht="22" customHeight="1" x14ac:dyDescent="0.15">
      <c r="A2877" s="10" t="str">
        <f t="shared" si="460"/>
        <v>522_10_10_10_polygon</v>
      </c>
      <c r="B2877" s="2">
        <v>522</v>
      </c>
      <c r="C2877" s="30" t="str">
        <f>VLOOKUP(B2877,gachas!A:C,3)</f>
        <v>バレンタインガチャA&lt;トウカ、ヴァニレ&gt;</v>
      </c>
      <c r="D2877" s="21">
        <v>10</v>
      </c>
      <c r="E2877" s="2">
        <f t="shared" si="464"/>
        <v>10</v>
      </c>
      <c r="F2877" s="2">
        <v>10</v>
      </c>
      <c r="G2877" s="3" t="s">
        <v>22</v>
      </c>
      <c r="H2877" s="2">
        <v>50</v>
      </c>
      <c r="I2877" s="117" t="str">
        <f t="shared" si="463"/>
        <v>522100</v>
      </c>
      <c r="J2877" s="112" t="s">
        <v>84</v>
      </c>
      <c r="K2877" s="117" t="str">
        <f>CONCATENATE(B2877,"105")</f>
        <v>522105</v>
      </c>
      <c r="L2877" s="2">
        <v>1</v>
      </c>
      <c r="M2877" s="2" t="s">
        <v>84</v>
      </c>
      <c r="N2877" s="2" t="s">
        <v>84</v>
      </c>
      <c r="O2877" s="2" t="s">
        <v>841</v>
      </c>
      <c r="P2877" s="2" t="s">
        <v>2626</v>
      </c>
    </row>
    <row r="2878" spans="1:16" ht="22" customHeight="1" x14ac:dyDescent="0.15">
      <c r="A2878" s="10" t="str">
        <f t="shared" si="460"/>
        <v>522_10_11_10_polygon</v>
      </c>
      <c r="B2878" s="2">
        <v>522</v>
      </c>
      <c r="C2878" s="30" t="str">
        <f>VLOOKUP(B2878,gachas!A:C,3)</f>
        <v>バレンタインガチャA&lt;トウカ、ヴァニレ&gt;</v>
      </c>
      <c r="D2878" s="21">
        <v>10</v>
      </c>
      <c r="E2878" s="2">
        <f t="shared" si="464"/>
        <v>11</v>
      </c>
      <c r="F2878" s="2">
        <v>10</v>
      </c>
      <c r="G2878" s="3" t="s">
        <v>22</v>
      </c>
      <c r="H2878" s="2">
        <v>25</v>
      </c>
      <c r="I2878" s="117" t="str">
        <f t="shared" si="463"/>
        <v>522100</v>
      </c>
      <c r="J2878" s="112" t="s">
        <v>84</v>
      </c>
      <c r="K2878" s="2" t="s">
        <v>84</v>
      </c>
      <c r="L2878" s="2">
        <v>0</v>
      </c>
      <c r="M2878" s="2" t="s">
        <v>84</v>
      </c>
      <c r="N2878" s="2" t="s">
        <v>84</v>
      </c>
      <c r="O2878" s="2" t="s">
        <v>841</v>
      </c>
      <c r="P2878" s="59" t="s">
        <v>1783</v>
      </c>
    </row>
    <row r="2879" spans="1:16" ht="22" customHeight="1" x14ac:dyDescent="0.15">
      <c r="A2879" s="10" t="str">
        <f t="shared" si="460"/>
        <v>522_10_12_10_polygon</v>
      </c>
      <c r="B2879" s="2">
        <v>522</v>
      </c>
      <c r="C2879" s="30" t="str">
        <f>VLOOKUP(B2879,gachas!A:C,3)</f>
        <v>バレンタインガチャA&lt;トウカ、ヴァニレ&gt;</v>
      </c>
      <c r="D2879" s="21">
        <v>10</v>
      </c>
      <c r="E2879" s="2">
        <f t="shared" si="464"/>
        <v>12</v>
      </c>
      <c r="F2879" s="2">
        <v>10</v>
      </c>
      <c r="G2879" s="3" t="s">
        <v>22</v>
      </c>
      <c r="H2879" s="2">
        <v>50</v>
      </c>
      <c r="I2879" s="117" t="str">
        <f t="shared" si="463"/>
        <v>522100</v>
      </c>
      <c r="J2879" s="112" t="s">
        <v>84</v>
      </c>
      <c r="K2879" s="2" t="s">
        <v>84</v>
      </c>
      <c r="L2879" s="2">
        <v>0</v>
      </c>
      <c r="M2879" s="2" t="s">
        <v>84</v>
      </c>
      <c r="N2879" s="2" t="s">
        <v>84</v>
      </c>
      <c r="O2879" s="2" t="s">
        <v>841</v>
      </c>
      <c r="P2879" s="2" t="s">
        <v>143</v>
      </c>
    </row>
    <row r="2880" spans="1:16" ht="22" customHeight="1" x14ac:dyDescent="0.15">
      <c r="A2880" s="10" t="str">
        <f t="shared" si="460"/>
        <v>522_10_13_10_polygon</v>
      </c>
      <c r="B2880" s="2">
        <v>522</v>
      </c>
      <c r="C2880" s="30" t="str">
        <f>VLOOKUP(B2880,gachas!A:C,3)</f>
        <v>バレンタインガチャA&lt;トウカ、ヴァニレ&gt;</v>
      </c>
      <c r="D2880" s="21">
        <v>10</v>
      </c>
      <c r="E2880" s="2">
        <f t="shared" si="464"/>
        <v>13</v>
      </c>
      <c r="F2880" s="2">
        <v>10</v>
      </c>
      <c r="G2880" s="3" t="s">
        <v>22</v>
      </c>
      <c r="H2880" s="2">
        <v>50</v>
      </c>
      <c r="I2880" s="117" t="str">
        <f t="shared" si="463"/>
        <v>522100</v>
      </c>
      <c r="J2880" s="112" t="s">
        <v>84</v>
      </c>
      <c r="K2880" s="2" t="s">
        <v>84</v>
      </c>
      <c r="L2880" s="2">
        <v>0</v>
      </c>
      <c r="M2880" s="2" t="s">
        <v>84</v>
      </c>
      <c r="N2880" s="2" t="s">
        <v>84</v>
      </c>
      <c r="O2880" s="2" t="s">
        <v>841</v>
      </c>
      <c r="P2880" s="2" t="s">
        <v>143</v>
      </c>
    </row>
    <row r="2881" spans="1:16" ht="22" customHeight="1" x14ac:dyDescent="0.15">
      <c r="A2881" s="10" t="str">
        <f t="shared" si="460"/>
        <v>522_10_14_10_polygon</v>
      </c>
      <c r="B2881" s="2">
        <v>522</v>
      </c>
      <c r="C2881" s="30" t="str">
        <f>VLOOKUP(B2881,gachas!A:C,3)</f>
        <v>バレンタインガチャA&lt;トウカ、ヴァニレ&gt;</v>
      </c>
      <c r="D2881" s="21">
        <v>10</v>
      </c>
      <c r="E2881" s="2">
        <f t="shared" si="464"/>
        <v>14</v>
      </c>
      <c r="F2881" s="2">
        <v>10</v>
      </c>
      <c r="G2881" s="3" t="s">
        <v>22</v>
      </c>
      <c r="H2881" s="2">
        <v>50</v>
      </c>
      <c r="I2881" s="117" t="str">
        <f t="shared" si="463"/>
        <v>522100</v>
      </c>
      <c r="J2881" s="112" t="s">
        <v>84</v>
      </c>
      <c r="K2881" s="2" t="s">
        <v>84</v>
      </c>
      <c r="L2881" s="2">
        <v>0</v>
      </c>
      <c r="M2881" s="2" t="s">
        <v>84</v>
      </c>
      <c r="N2881" s="2" t="s">
        <v>84</v>
      </c>
      <c r="O2881" s="2" t="s">
        <v>841</v>
      </c>
      <c r="P2881" s="2" t="s">
        <v>143</v>
      </c>
    </row>
    <row r="2882" spans="1:16" ht="22" customHeight="1" x14ac:dyDescent="0.15">
      <c r="A2882" s="10" t="str">
        <f t="shared" si="460"/>
        <v>522_10_15_10_polygon</v>
      </c>
      <c r="B2882" s="2">
        <v>522</v>
      </c>
      <c r="C2882" s="30" t="str">
        <f>VLOOKUP(B2882,gachas!A:C,3)</f>
        <v>バレンタインガチャA&lt;トウカ、ヴァニレ&gt;</v>
      </c>
      <c r="D2882" s="21">
        <v>10</v>
      </c>
      <c r="E2882" s="2">
        <f t="shared" si="464"/>
        <v>15</v>
      </c>
      <c r="F2882" s="2">
        <v>10</v>
      </c>
      <c r="G2882" s="3" t="s">
        <v>22</v>
      </c>
      <c r="H2882" s="2">
        <v>50</v>
      </c>
      <c r="I2882" s="117" t="str">
        <f t="shared" si="463"/>
        <v>522100</v>
      </c>
      <c r="J2882" s="112" t="s">
        <v>84</v>
      </c>
      <c r="K2882" s="117" t="str">
        <f>CONCATENATE(B2882,"105")</f>
        <v>522105</v>
      </c>
      <c r="L2882" s="2">
        <v>1</v>
      </c>
      <c r="M2882" s="2" t="s">
        <v>84</v>
      </c>
      <c r="N2882" s="2" t="s">
        <v>84</v>
      </c>
      <c r="O2882" s="2" t="s">
        <v>841</v>
      </c>
      <c r="P2882" s="2" t="s">
        <v>2626</v>
      </c>
    </row>
    <row r="2883" spans="1:16" ht="22" customHeight="1" x14ac:dyDescent="0.15">
      <c r="A2883" s="10" t="str">
        <f t="shared" si="460"/>
        <v>522_10_16_10_polygon</v>
      </c>
      <c r="B2883" s="2">
        <v>522</v>
      </c>
      <c r="C2883" s="30" t="str">
        <f>VLOOKUP(B2883,gachas!A:C,3)</f>
        <v>バレンタインガチャA&lt;トウカ、ヴァニレ&gt;</v>
      </c>
      <c r="D2883" s="21">
        <v>10</v>
      </c>
      <c r="E2883" s="2">
        <f t="shared" si="464"/>
        <v>16</v>
      </c>
      <c r="F2883" s="2">
        <v>10</v>
      </c>
      <c r="G2883" s="3" t="s">
        <v>22</v>
      </c>
      <c r="H2883" s="2">
        <v>25</v>
      </c>
      <c r="I2883" s="117" t="str">
        <f t="shared" si="463"/>
        <v>522100</v>
      </c>
      <c r="J2883" s="112" t="s">
        <v>84</v>
      </c>
      <c r="K2883" s="2" t="s">
        <v>84</v>
      </c>
      <c r="L2883" s="2">
        <v>0</v>
      </c>
      <c r="M2883" s="2" t="s">
        <v>84</v>
      </c>
      <c r="N2883" s="2" t="s">
        <v>84</v>
      </c>
      <c r="O2883" s="2" t="s">
        <v>841</v>
      </c>
      <c r="P2883" s="59" t="s">
        <v>1783</v>
      </c>
    </row>
    <row r="2884" spans="1:16" ht="22" customHeight="1" x14ac:dyDescent="0.15">
      <c r="A2884" s="10" t="str">
        <f t="shared" si="460"/>
        <v>522_10_17_10_polygon</v>
      </c>
      <c r="B2884" s="2">
        <v>522</v>
      </c>
      <c r="C2884" s="30" t="str">
        <f>VLOOKUP(B2884,gachas!A:C,3)</f>
        <v>バレンタインガチャA&lt;トウカ、ヴァニレ&gt;</v>
      </c>
      <c r="D2884" s="21">
        <v>10</v>
      </c>
      <c r="E2884" s="2">
        <f t="shared" si="464"/>
        <v>17</v>
      </c>
      <c r="F2884" s="2">
        <v>10</v>
      </c>
      <c r="G2884" s="3" t="s">
        <v>22</v>
      </c>
      <c r="H2884" s="2">
        <v>50</v>
      </c>
      <c r="I2884" s="117" t="str">
        <f t="shared" si="463"/>
        <v>522100</v>
      </c>
      <c r="J2884" s="112" t="s">
        <v>84</v>
      </c>
      <c r="K2884" s="2" t="s">
        <v>84</v>
      </c>
      <c r="L2884" s="2">
        <v>0</v>
      </c>
      <c r="M2884" s="2" t="s">
        <v>84</v>
      </c>
      <c r="N2884" s="2" t="s">
        <v>84</v>
      </c>
      <c r="O2884" s="2" t="s">
        <v>841</v>
      </c>
      <c r="P2884" s="2" t="s">
        <v>143</v>
      </c>
    </row>
    <row r="2885" spans="1:16" ht="22" customHeight="1" x14ac:dyDescent="0.15">
      <c r="A2885" s="10" t="str">
        <f t="shared" si="460"/>
        <v>522_10_18_10_polygon</v>
      </c>
      <c r="B2885" s="2">
        <v>522</v>
      </c>
      <c r="C2885" s="30" t="str">
        <f>VLOOKUP(B2885,gachas!A:C,3)</f>
        <v>バレンタインガチャA&lt;トウカ、ヴァニレ&gt;</v>
      </c>
      <c r="D2885" s="21">
        <v>10</v>
      </c>
      <c r="E2885" s="2">
        <f t="shared" si="464"/>
        <v>18</v>
      </c>
      <c r="F2885" s="2">
        <v>10</v>
      </c>
      <c r="G2885" s="3" t="s">
        <v>22</v>
      </c>
      <c r="H2885" s="2">
        <v>50</v>
      </c>
      <c r="I2885" s="117" t="str">
        <f t="shared" si="463"/>
        <v>522100</v>
      </c>
      <c r="J2885" s="112" t="s">
        <v>84</v>
      </c>
      <c r="K2885" s="2" t="s">
        <v>84</v>
      </c>
      <c r="L2885" s="2">
        <v>0</v>
      </c>
      <c r="M2885" s="2" t="s">
        <v>84</v>
      </c>
      <c r="N2885" s="2" t="s">
        <v>84</v>
      </c>
      <c r="O2885" s="2" t="s">
        <v>841</v>
      </c>
      <c r="P2885" s="2" t="s">
        <v>143</v>
      </c>
    </row>
    <row r="2886" spans="1:16" ht="22" customHeight="1" x14ac:dyDescent="0.15">
      <c r="A2886" s="10" t="str">
        <f t="shared" si="460"/>
        <v>522_10_19_10_polygon</v>
      </c>
      <c r="B2886" s="2">
        <v>522</v>
      </c>
      <c r="C2886" s="30" t="str">
        <f>VLOOKUP(B2886,gachas!A:C,3)</f>
        <v>バレンタインガチャA&lt;トウカ、ヴァニレ&gt;</v>
      </c>
      <c r="D2886" s="21">
        <v>10</v>
      </c>
      <c r="E2886" s="2">
        <f t="shared" si="464"/>
        <v>19</v>
      </c>
      <c r="F2886" s="2">
        <v>10</v>
      </c>
      <c r="G2886" s="3" t="s">
        <v>22</v>
      </c>
      <c r="H2886" s="2">
        <v>50</v>
      </c>
      <c r="I2886" s="117" t="str">
        <f t="shared" si="463"/>
        <v>522100</v>
      </c>
      <c r="J2886" s="112" t="s">
        <v>84</v>
      </c>
      <c r="K2886" s="2" t="s">
        <v>84</v>
      </c>
      <c r="L2886" s="2">
        <v>0</v>
      </c>
      <c r="M2886" s="2" t="s">
        <v>84</v>
      </c>
      <c r="N2886" s="2" t="s">
        <v>84</v>
      </c>
      <c r="O2886" s="2" t="s">
        <v>841</v>
      </c>
      <c r="P2886" s="2" t="s">
        <v>143</v>
      </c>
    </row>
    <row r="2887" spans="1:16" ht="22" customHeight="1" x14ac:dyDescent="0.15">
      <c r="A2887" s="10" t="str">
        <f t="shared" si="460"/>
        <v>522_10_20_10_polygon</v>
      </c>
      <c r="B2887" s="2">
        <v>522</v>
      </c>
      <c r="C2887" s="30" t="str">
        <f>VLOOKUP(B2887,gachas!A:C,3)</f>
        <v>バレンタインガチャA&lt;トウカ、ヴァニレ&gt;</v>
      </c>
      <c r="D2887" s="21">
        <v>10</v>
      </c>
      <c r="E2887" s="2">
        <f t="shared" si="464"/>
        <v>20</v>
      </c>
      <c r="F2887" s="2">
        <v>10</v>
      </c>
      <c r="G2887" s="3" t="s">
        <v>22</v>
      </c>
      <c r="H2887" s="2">
        <v>50</v>
      </c>
      <c r="I2887" s="117" t="str">
        <f t="shared" si="463"/>
        <v>522100</v>
      </c>
      <c r="J2887" s="112" t="s">
        <v>84</v>
      </c>
      <c r="K2887" s="117" t="str">
        <f>CONCATENATE(B2887,"105")</f>
        <v>522105</v>
      </c>
      <c r="L2887" s="2">
        <v>1</v>
      </c>
      <c r="M2887" s="2" t="s">
        <v>84</v>
      </c>
      <c r="N2887" s="2" t="s">
        <v>84</v>
      </c>
      <c r="O2887" s="2" t="s">
        <v>841</v>
      </c>
      <c r="P2887" s="2" t="s">
        <v>2626</v>
      </c>
    </row>
    <row r="2888" spans="1:16" ht="22" customHeight="1" x14ac:dyDescent="0.15">
      <c r="A2888" s="10" t="str">
        <f t="shared" si="460"/>
        <v>522_10_21_10_polygon</v>
      </c>
      <c r="B2888" s="2">
        <v>522</v>
      </c>
      <c r="C2888" s="30" t="str">
        <f>VLOOKUP(B2888,gachas!A:C,3)</f>
        <v>バレンタインガチャA&lt;トウカ、ヴァニレ&gt;</v>
      </c>
      <c r="D2888" s="21">
        <v>10</v>
      </c>
      <c r="E2888" s="2">
        <f t="shared" si="464"/>
        <v>21</v>
      </c>
      <c r="F2888" s="2">
        <v>10</v>
      </c>
      <c r="G2888" s="3" t="s">
        <v>22</v>
      </c>
      <c r="H2888" s="2">
        <v>25</v>
      </c>
      <c r="I2888" s="117" t="str">
        <f t="shared" si="463"/>
        <v>522100</v>
      </c>
      <c r="J2888" s="112" t="s">
        <v>84</v>
      </c>
      <c r="K2888" s="2" t="s">
        <v>84</v>
      </c>
      <c r="L2888" s="2">
        <v>0</v>
      </c>
      <c r="M2888" s="2" t="s">
        <v>84</v>
      </c>
      <c r="N2888" s="2" t="s">
        <v>84</v>
      </c>
      <c r="O2888" s="2" t="s">
        <v>841</v>
      </c>
      <c r="P2888" s="59" t="s">
        <v>1783</v>
      </c>
    </row>
    <row r="2889" spans="1:16" ht="22" customHeight="1" x14ac:dyDescent="0.15">
      <c r="A2889" s="10" t="str">
        <f t="shared" si="460"/>
        <v>522_10_22_10_polygon</v>
      </c>
      <c r="B2889" s="2">
        <v>522</v>
      </c>
      <c r="C2889" s="30" t="str">
        <f>VLOOKUP(B2889,gachas!A:C,3)</f>
        <v>バレンタインガチャA&lt;トウカ、ヴァニレ&gt;</v>
      </c>
      <c r="D2889" s="21">
        <v>10</v>
      </c>
      <c r="E2889" s="2">
        <f t="shared" si="464"/>
        <v>22</v>
      </c>
      <c r="F2889" s="2">
        <v>10</v>
      </c>
      <c r="G2889" s="3" t="s">
        <v>22</v>
      </c>
      <c r="H2889" s="2">
        <v>50</v>
      </c>
      <c r="I2889" s="117" t="str">
        <f t="shared" si="463"/>
        <v>522100</v>
      </c>
      <c r="J2889" s="112" t="s">
        <v>84</v>
      </c>
      <c r="K2889" s="2" t="s">
        <v>84</v>
      </c>
      <c r="L2889" s="2">
        <v>0</v>
      </c>
      <c r="M2889" s="2" t="s">
        <v>84</v>
      </c>
      <c r="N2889" s="2" t="s">
        <v>84</v>
      </c>
      <c r="O2889" s="2" t="s">
        <v>841</v>
      </c>
      <c r="P2889" s="2" t="s">
        <v>143</v>
      </c>
    </row>
    <row r="2890" spans="1:16" ht="22" customHeight="1" x14ac:dyDescent="0.15">
      <c r="A2890" s="10" t="str">
        <f t="shared" si="460"/>
        <v>522_10_23_10_polygon</v>
      </c>
      <c r="B2890" s="2">
        <v>522</v>
      </c>
      <c r="C2890" s="30" t="str">
        <f>VLOOKUP(B2890,gachas!A:C,3)</f>
        <v>バレンタインガチャA&lt;トウカ、ヴァニレ&gt;</v>
      </c>
      <c r="D2890" s="21">
        <v>10</v>
      </c>
      <c r="E2890" s="2">
        <f t="shared" si="464"/>
        <v>23</v>
      </c>
      <c r="F2890" s="2">
        <v>10</v>
      </c>
      <c r="G2890" s="3" t="s">
        <v>22</v>
      </c>
      <c r="H2890" s="2">
        <v>50</v>
      </c>
      <c r="I2890" s="117" t="str">
        <f t="shared" si="463"/>
        <v>522100</v>
      </c>
      <c r="J2890" s="112" t="s">
        <v>84</v>
      </c>
      <c r="K2890" s="2" t="s">
        <v>84</v>
      </c>
      <c r="L2890" s="2">
        <v>0</v>
      </c>
      <c r="M2890" s="2" t="s">
        <v>84</v>
      </c>
      <c r="N2890" s="2" t="s">
        <v>84</v>
      </c>
      <c r="O2890" s="2" t="s">
        <v>841</v>
      </c>
      <c r="P2890" s="2" t="s">
        <v>143</v>
      </c>
    </row>
    <row r="2891" spans="1:16" ht="22" customHeight="1" x14ac:dyDescent="0.15">
      <c r="A2891" s="10" t="str">
        <f t="shared" si="460"/>
        <v>522_10_24_10_polygon</v>
      </c>
      <c r="B2891" s="2">
        <v>522</v>
      </c>
      <c r="C2891" s="30" t="str">
        <f>VLOOKUP(B2891,gachas!A:C,3)</f>
        <v>バレンタインガチャA&lt;トウカ、ヴァニレ&gt;</v>
      </c>
      <c r="D2891" s="21">
        <v>10</v>
      </c>
      <c r="E2891" s="2">
        <f t="shared" si="464"/>
        <v>24</v>
      </c>
      <c r="F2891" s="2">
        <v>10</v>
      </c>
      <c r="G2891" s="3" t="s">
        <v>22</v>
      </c>
      <c r="H2891" s="2">
        <v>50</v>
      </c>
      <c r="I2891" s="117" t="str">
        <f t="shared" si="463"/>
        <v>522100</v>
      </c>
      <c r="J2891" s="112" t="s">
        <v>84</v>
      </c>
      <c r="K2891" s="2" t="s">
        <v>84</v>
      </c>
      <c r="L2891" s="2">
        <v>0</v>
      </c>
      <c r="M2891" s="2" t="s">
        <v>84</v>
      </c>
      <c r="N2891" s="2" t="s">
        <v>84</v>
      </c>
      <c r="O2891" s="2" t="s">
        <v>841</v>
      </c>
      <c r="P2891" s="2" t="s">
        <v>143</v>
      </c>
    </row>
    <row r="2892" spans="1:16" ht="22" customHeight="1" x14ac:dyDescent="0.15">
      <c r="A2892" s="10" t="str">
        <f t="shared" si="460"/>
        <v>522_10_25_10_polygon</v>
      </c>
      <c r="B2892" s="2">
        <v>522</v>
      </c>
      <c r="C2892" s="30" t="str">
        <f>VLOOKUP(B2892,gachas!A:C,3)</f>
        <v>バレンタインガチャA&lt;トウカ、ヴァニレ&gt;</v>
      </c>
      <c r="D2892" s="21">
        <v>10</v>
      </c>
      <c r="E2892" s="2">
        <f t="shared" si="464"/>
        <v>25</v>
      </c>
      <c r="F2892" s="2">
        <v>10</v>
      </c>
      <c r="G2892" s="3" t="s">
        <v>22</v>
      </c>
      <c r="H2892" s="2">
        <v>50</v>
      </c>
      <c r="I2892" s="117" t="str">
        <f t="shared" si="463"/>
        <v>522100</v>
      </c>
      <c r="J2892" s="112" t="s">
        <v>84</v>
      </c>
      <c r="K2892" s="117" t="str">
        <f>CONCATENATE(B2892,"105")</f>
        <v>522105</v>
      </c>
      <c r="L2892" s="2">
        <v>1</v>
      </c>
      <c r="M2892" s="2" t="s">
        <v>84</v>
      </c>
      <c r="N2892" s="2" t="s">
        <v>84</v>
      </c>
      <c r="O2892" s="2" t="s">
        <v>841</v>
      </c>
      <c r="P2892" s="2" t="s">
        <v>2626</v>
      </c>
    </row>
    <row r="2893" spans="1:16" ht="22" customHeight="1" x14ac:dyDescent="0.15">
      <c r="A2893" s="10" t="str">
        <f t="shared" si="460"/>
        <v>522_10_26_10_polygon</v>
      </c>
      <c r="B2893" s="2">
        <v>522</v>
      </c>
      <c r="C2893" s="30" t="str">
        <f>VLOOKUP(B2893,gachas!A:C,3)</f>
        <v>バレンタインガチャA&lt;トウカ、ヴァニレ&gt;</v>
      </c>
      <c r="D2893" s="21">
        <v>10</v>
      </c>
      <c r="E2893" s="2">
        <f t="shared" si="464"/>
        <v>26</v>
      </c>
      <c r="F2893" s="2">
        <v>10</v>
      </c>
      <c r="G2893" s="3" t="s">
        <v>22</v>
      </c>
      <c r="H2893" s="2">
        <v>25</v>
      </c>
      <c r="I2893" s="117" t="str">
        <f t="shared" si="463"/>
        <v>522100</v>
      </c>
      <c r="J2893" s="112" t="s">
        <v>84</v>
      </c>
      <c r="K2893" s="2" t="s">
        <v>84</v>
      </c>
      <c r="L2893" s="2">
        <v>0</v>
      </c>
      <c r="M2893" s="2" t="s">
        <v>84</v>
      </c>
      <c r="N2893" s="2" t="s">
        <v>84</v>
      </c>
      <c r="O2893" s="2" t="s">
        <v>841</v>
      </c>
      <c r="P2893" s="59" t="s">
        <v>1783</v>
      </c>
    </row>
    <row r="2894" spans="1:16" ht="22" customHeight="1" x14ac:dyDescent="0.15">
      <c r="A2894" s="10" t="str">
        <f t="shared" si="460"/>
        <v>522_10_27_10_polygon</v>
      </c>
      <c r="B2894" s="2">
        <v>522</v>
      </c>
      <c r="C2894" s="30" t="str">
        <f>VLOOKUP(B2894,gachas!A:C,3)</f>
        <v>バレンタインガチャA&lt;トウカ、ヴァニレ&gt;</v>
      </c>
      <c r="D2894" s="21">
        <v>10</v>
      </c>
      <c r="E2894" s="2">
        <f t="shared" si="464"/>
        <v>27</v>
      </c>
      <c r="F2894" s="2">
        <v>10</v>
      </c>
      <c r="G2894" s="3" t="s">
        <v>22</v>
      </c>
      <c r="H2894" s="2">
        <v>50</v>
      </c>
      <c r="I2894" s="117" t="str">
        <f t="shared" si="463"/>
        <v>522100</v>
      </c>
      <c r="J2894" s="112" t="s">
        <v>84</v>
      </c>
      <c r="K2894" s="2" t="s">
        <v>84</v>
      </c>
      <c r="L2894" s="2">
        <v>0</v>
      </c>
      <c r="M2894" s="2" t="s">
        <v>84</v>
      </c>
      <c r="N2894" s="2" t="s">
        <v>84</v>
      </c>
      <c r="O2894" s="2" t="s">
        <v>841</v>
      </c>
      <c r="P2894" s="2" t="s">
        <v>143</v>
      </c>
    </row>
    <row r="2895" spans="1:16" ht="22" customHeight="1" x14ac:dyDescent="0.15">
      <c r="A2895" s="10" t="str">
        <f t="shared" si="460"/>
        <v>522_10_28_10_polygon</v>
      </c>
      <c r="B2895" s="2">
        <v>522</v>
      </c>
      <c r="C2895" s="30" t="str">
        <f>VLOOKUP(B2895,gachas!A:C,3)</f>
        <v>バレンタインガチャA&lt;トウカ、ヴァニレ&gt;</v>
      </c>
      <c r="D2895" s="21">
        <v>10</v>
      </c>
      <c r="E2895" s="2">
        <f t="shared" si="464"/>
        <v>28</v>
      </c>
      <c r="F2895" s="2">
        <v>10</v>
      </c>
      <c r="G2895" s="3" t="s">
        <v>22</v>
      </c>
      <c r="H2895" s="2">
        <v>50</v>
      </c>
      <c r="I2895" s="117" t="str">
        <f t="shared" si="463"/>
        <v>522100</v>
      </c>
      <c r="J2895" s="112" t="s">
        <v>84</v>
      </c>
      <c r="K2895" s="2" t="s">
        <v>84</v>
      </c>
      <c r="L2895" s="2">
        <v>0</v>
      </c>
      <c r="M2895" s="2" t="s">
        <v>84</v>
      </c>
      <c r="N2895" s="2" t="s">
        <v>84</v>
      </c>
      <c r="O2895" s="2" t="s">
        <v>841</v>
      </c>
      <c r="P2895" s="2" t="s">
        <v>143</v>
      </c>
    </row>
    <row r="2896" spans="1:16" ht="22" customHeight="1" x14ac:dyDescent="0.15">
      <c r="A2896" s="10" t="str">
        <f t="shared" si="460"/>
        <v>522_10_29_10_polygon</v>
      </c>
      <c r="B2896" s="2">
        <v>522</v>
      </c>
      <c r="C2896" s="30" t="str">
        <f>VLOOKUP(B2896,gachas!A:C,3)</f>
        <v>バレンタインガチャA&lt;トウカ、ヴァニレ&gt;</v>
      </c>
      <c r="D2896" s="21">
        <v>10</v>
      </c>
      <c r="E2896" s="2">
        <f t="shared" si="464"/>
        <v>29</v>
      </c>
      <c r="F2896" s="2">
        <v>10</v>
      </c>
      <c r="G2896" s="3" t="s">
        <v>22</v>
      </c>
      <c r="H2896" s="2">
        <v>50</v>
      </c>
      <c r="I2896" s="117" t="str">
        <f t="shared" si="463"/>
        <v>522100</v>
      </c>
      <c r="J2896" s="112" t="s">
        <v>84</v>
      </c>
      <c r="K2896" s="2" t="s">
        <v>84</v>
      </c>
      <c r="L2896" s="2">
        <v>0</v>
      </c>
      <c r="M2896" s="2" t="s">
        <v>84</v>
      </c>
      <c r="N2896" s="2" t="s">
        <v>84</v>
      </c>
      <c r="O2896" s="2" t="s">
        <v>841</v>
      </c>
      <c r="P2896" s="2" t="s">
        <v>143</v>
      </c>
    </row>
    <row r="2897" spans="1:16" ht="22" customHeight="1" x14ac:dyDescent="0.15">
      <c r="A2897" s="10" t="str">
        <f t="shared" si="460"/>
        <v>522_10_30_10_polygon</v>
      </c>
      <c r="B2897" s="2">
        <v>522</v>
      </c>
      <c r="C2897" s="30" t="str">
        <f>VLOOKUP(B2897,gachas!A:C,3)</f>
        <v>バレンタインガチャA&lt;トウカ、ヴァニレ&gt;</v>
      </c>
      <c r="D2897" s="21">
        <v>10</v>
      </c>
      <c r="E2897" s="2">
        <f t="shared" si="464"/>
        <v>30</v>
      </c>
      <c r="F2897" s="2">
        <v>10</v>
      </c>
      <c r="G2897" s="3" t="s">
        <v>22</v>
      </c>
      <c r="H2897" s="2">
        <v>50</v>
      </c>
      <c r="I2897" s="117" t="str">
        <f t="shared" si="463"/>
        <v>522100</v>
      </c>
      <c r="J2897" s="112" t="s">
        <v>84</v>
      </c>
      <c r="K2897" s="117" t="str">
        <f>CONCATENATE(B2897,"105")</f>
        <v>522105</v>
      </c>
      <c r="L2897" s="2">
        <v>1</v>
      </c>
      <c r="M2897" s="2" t="s">
        <v>84</v>
      </c>
      <c r="N2897" s="2" t="s">
        <v>84</v>
      </c>
      <c r="O2897" s="2" t="s">
        <v>841</v>
      </c>
      <c r="P2897" s="2" t="s">
        <v>2626</v>
      </c>
    </row>
    <row r="2898" spans="1:16" ht="22" customHeight="1" x14ac:dyDescent="0.15">
      <c r="A2898" s="10" t="str">
        <f t="shared" si="460"/>
        <v>522_10_31_10_polygon</v>
      </c>
      <c r="B2898" s="2">
        <v>522</v>
      </c>
      <c r="C2898" s="30" t="str">
        <f>VLOOKUP(B2898,gachas!A:C,3)</f>
        <v>バレンタインガチャA&lt;トウカ、ヴァニレ&gt;</v>
      </c>
      <c r="D2898" s="21">
        <v>10</v>
      </c>
      <c r="E2898" s="2">
        <f t="shared" si="464"/>
        <v>31</v>
      </c>
      <c r="F2898" s="2">
        <v>10</v>
      </c>
      <c r="G2898" s="3" t="s">
        <v>22</v>
      </c>
      <c r="H2898" s="2">
        <v>25</v>
      </c>
      <c r="I2898" s="117" t="str">
        <f t="shared" si="463"/>
        <v>522100</v>
      </c>
      <c r="J2898" s="112" t="s">
        <v>84</v>
      </c>
      <c r="K2898" s="2" t="s">
        <v>84</v>
      </c>
      <c r="L2898" s="2">
        <v>0</v>
      </c>
      <c r="M2898" s="2" t="s">
        <v>84</v>
      </c>
      <c r="N2898" s="2" t="s">
        <v>84</v>
      </c>
      <c r="O2898" s="2" t="s">
        <v>841</v>
      </c>
      <c r="P2898" s="59" t="s">
        <v>1783</v>
      </c>
    </row>
    <row r="2899" spans="1:16" ht="22" customHeight="1" x14ac:dyDescent="0.15">
      <c r="A2899" s="10" t="str">
        <f t="shared" ref="A2899:A2950" si="465">B2899&amp;"_"&amp;D2899&amp;"_"&amp;E2899&amp;"_"&amp;F2899&amp;"_"&amp;G2899</f>
        <v>522_10_32_10_polygon</v>
      </c>
      <c r="B2899" s="2">
        <v>522</v>
      </c>
      <c r="C2899" s="30" t="str">
        <f>VLOOKUP(B2899,gachas!A:C,3)</f>
        <v>バレンタインガチャA&lt;トウカ、ヴァニレ&gt;</v>
      </c>
      <c r="D2899" s="21">
        <v>10</v>
      </c>
      <c r="E2899" s="2">
        <f t="shared" si="464"/>
        <v>32</v>
      </c>
      <c r="F2899" s="2">
        <v>10</v>
      </c>
      <c r="G2899" s="3" t="s">
        <v>22</v>
      </c>
      <c r="H2899" s="2">
        <v>50</v>
      </c>
      <c r="I2899" s="117" t="str">
        <f t="shared" si="463"/>
        <v>522100</v>
      </c>
      <c r="J2899" s="112" t="s">
        <v>84</v>
      </c>
      <c r="K2899" s="2" t="s">
        <v>84</v>
      </c>
      <c r="L2899" s="2">
        <v>0</v>
      </c>
      <c r="M2899" s="2" t="s">
        <v>84</v>
      </c>
      <c r="N2899" s="2" t="s">
        <v>84</v>
      </c>
      <c r="O2899" s="2" t="s">
        <v>841</v>
      </c>
      <c r="P2899" s="2" t="s">
        <v>143</v>
      </c>
    </row>
    <row r="2900" spans="1:16" ht="22" customHeight="1" x14ac:dyDescent="0.15">
      <c r="A2900" s="10" t="str">
        <f t="shared" si="465"/>
        <v>522_10_33_10_polygon</v>
      </c>
      <c r="B2900" s="2">
        <v>522</v>
      </c>
      <c r="C2900" s="30" t="str">
        <f>VLOOKUP(B2900,gachas!A:C,3)</f>
        <v>バレンタインガチャA&lt;トウカ、ヴァニレ&gt;</v>
      </c>
      <c r="D2900" s="21">
        <v>10</v>
      </c>
      <c r="E2900" s="2">
        <f t="shared" si="464"/>
        <v>33</v>
      </c>
      <c r="F2900" s="2">
        <v>10</v>
      </c>
      <c r="G2900" s="3" t="s">
        <v>22</v>
      </c>
      <c r="H2900" s="2">
        <v>50</v>
      </c>
      <c r="I2900" s="117" t="str">
        <f t="shared" si="463"/>
        <v>522100</v>
      </c>
      <c r="J2900" s="112" t="s">
        <v>84</v>
      </c>
      <c r="K2900" s="2" t="s">
        <v>84</v>
      </c>
      <c r="L2900" s="2">
        <v>0</v>
      </c>
      <c r="M2900" s="2" t="s">
        <v>84</v>
      </c>
      <c r="N2900" s="2" t="s">
        <v>84</v>
      </c>
      <c r="O2900" s="2" t="s">
        <v>841</v>
      </c>
      <c r="P2900" s="2" t="s">
        <v>143</v>
      </c>
    </row>
    <row r="2901" spans="1:16" ht="22" customHeight="1" x14ac:dyDescent="0.15">
      <c r="A2901" s="10" t="str">
        <f t="shared" si="465"/>
        <v>522_10_34_10_polygon</v>
      </c>
      <c r="B2901" s="2">
        <v>522</v>
      </c>
      <c r="C2901" s="30" t="str">
        <f>VLOOKUP(B2901,gachas!A:C,3)</f>
        <v>バレンタインガチャA&lt;トウカ、ヴァニレ&gt;</v>
      </c>
      <c r="D2901" s="21">
        <v>10</v>
      </c>
      <c r="E2901" s="2">
        <f t="shared" si="464"/>
        <v>34</v>
      </c>
      <c r="F2901" s="2">
        <v>10</v>
      </c>
      <c r="G2901" s="3" t="s">
        <v>22</v>
      </c>
      <c r="H2901" s="2">
        <v>50</v>
      </c>
      <c r="I2901" s="117" t="str">
        <f t="shared" si="463"/>
        <v>522100</v>
      </c>
      <c r="J2901" s="112" t="s">
        <v>84</v>
      </c>
      <c r="K2901" s="2" t="s">
        <v>84</v>
      </c>
      <c r="L2901" s="2">
        <v>0</v>
      </c>
      <c r="M2901" s="2" t="s">
        <v>84</v>
      </c>
      <c r="N2901" s="2" t="s">
        <v>84</v>
      </c>
      <c r="O2901" s="2" t="s">
        <v>841</v>
      </c>
      <c r="P2901" s="2" t="s">
        <v>143</v>
      </c>
    </row>
    <row r="2902" spans="1:16" ht="22" customHeight="1" x14ac:dyDescent="0.15">
      <c r="A2902" s="10" t="str">
        <f t="shared" si="465"/>
        <v>522_10_35_10_polygon</v>
      </c>
      <c r="B2902" s="2">
        <v>522</v>
      </c>
      <c r="C2902" s="30" t="str">
        <f>VLOOKUP(B2902,gachas!A:C,3)</f>
        <v>バレンタインガチャA&lt;トウカ、ヴァニレ&gt;</v>
      </c>
      <c r="D2902" s="21">
        <v>10</v>
      </c>
      <c r="E2902" s="2">
        <f t="shared" si="464"/>
        <v>35</v>
      </c>
      <c r="F2902" s="2">
        <v>10</v>
      </c>
      <c r="G2902" s="3" t="s">
        <v>22</v>
      </c>
      <c r="H2902" s="2">
        <v>50</v>
      </c>
      <c r="I2902" s="117" t="str">
        <f t="shared" si="463"/>
        <v>522100</v>
      </c>
      <c r="J2902" s="112" t="s">
        <v>84</v>
      </c>
      <c r="K2902" s="117" t="str">
        <f>CONCATENATE(B2902,"105")</f>
        <v>522105</v>
      </c>
      <c r="L2902" s="2">
        <v>1</v>
      </c>
      <c r="M2902" s="2" t="s">
        <v>84</v>
      </c>
      <c r="N2902" s="2" t="s">
        <v>84</v>
      </c>
      <c r="O2902" s="2" t="s">
        <v>841</v>
      </c>
      <c r="P2902" s="2" t="s">
        <v>2626</v>
      </c>
    </row>
    <row r="2903" spans="1:16" ht="22" customHeight="1" x14ac:dyDescent="0.15">
      <c r="A2903" s="10" t="str">
        <f t="shared" si="465"/>
        <v>522_10_36_10_polygon</v>
      </c>
      <c r="B2903" s="2">
        <v>522</v>
      </c>
      <c r="C2903" s="30" t="str">
        <f>VLOOKUP(B2903,gachas!A:C,3)</f>
        <v>バレンタインガチャA&lt;トウカ、ヴァニレ&gt;</v>
      </c>
      <c r="D2903" s="21">
        <v>10</v>
      </c>
      <c r="E2903" s="2">
        <f t="shared" si="464"/>
        <v>36</v>
      </c>
      <c r="F2903" s="2">
        <v>10</v>
      </c>
      <c r="G2903" s="3" t="s">
        <v>22</v>
      </c>
      <c r="H2903" s="2">
        <v>25</v>
      </c>
      <c r="I2903" s="117" t="str">
        <f t="shared" si="463"/>
        <v>522100</v>
      </c>
      <c r="J2903" s="112" t="s">
        <v>84</v>
      </c>
      <c r="K2903" s="2" t="s">
        <v>84</v>
      </c>
      <c r="L2903" s="2">
        <v>0</v>
      </c>
      <c r="M2903" s="2" t="s">
        <v>84</v>
      </c>
      <c r="N2903" s="2" t="s">
        <v>84</v>
      </c>
      <c r="O2903" s="2" t="s">
        <v>841</v>
      </c>
      <c r="P2903" s="59" t="s">
        <v>1783</v>
      </c>
    </row>
    <row r="2904" spans="1:16" ht="22" customHeight="1" x14ac:dyDescent="0.15">
      <c r="A2904" s="10" t="str">
        <f t="shared" si="465"/>
        <v>522_10_37_10_polygon</v>
      </c>
      <c r="B2904" s="2">
        <v>522</v>
      </c>
      <c r="C2904" s="30" t="str">
        <f>VLOOKUP(B2904,gachas!A:C,3)</f>
        <v>バレンタインガチャA&lt;トウカ、ヴァニレ&gt;</v>
      </c>
      <c r="D2904" s="21">
        <v>10</v>
      </c>
      <c r="E2904" s="2">
        <f t="shared" si="464"/>
        <v>37</v>
      </c>
      <c r="F2904" s="2">
        <v>10</v>
      </c>
      <c r="G2904" s="3" t="s">
        <v>22</v>
      </c>
      <c r="H2904" s="2">
        <v>50</v>
      </c>
      <c r="I2904" s="117" t="str">
        <f t="shared" si="463"/>
        <v>522100</v>
      </c>
      <c r="J2904" s="112" t="s">
        <v>84</v>
      </c>
      <c r="K2904" s="2" t="s">
        <v>84</v>
      </c>
      <c r="L2904" s="2">
        <v>0</v>
      </c>
      <c r="M2904" s="2" t="s">
        <v>84</v>
      </c>
      <c r="N2904" s="2" t="s">
        <v>84</v>
      </c>
      <c r="O2904" s="2" t="s">
        <v>841</v>
      </c>
      <c r="P2904" s="2" t="s">
        <v>143</v>
      </c>
    </row>
    <row r="2905" spans="1:16" ht="22" customHeight="1" x14ac:dyDescent="0.15">
      <c r="A2905" s="10" t="str">
        <f t="shared" si="465"/>
        <v>522_10_38_10_polygon</v>
      </c>
      <c r="B2905" s="2">
        <v>522</v>
      </c>
      <c r="C2905" s="30" t="str">
        <f>VLOOKUP(B2905,gachas!A:C,3)</f>
        <v>バレンタインガチャA&lt;トウカ、ヴァニレ&gt;</v>
      </c>
      <c r="D2905" s="21">
        <v>10</v>
      </c>
      <c r="E2905" s="2">
        <f t="shared" si="464"/>
        <v>38</v>
      </c>
      <c r="F2905" s="2">
        <v>10</v>
      </c>
      <c r="G2905" s="3" t="s">
        <v>22</v>
      </c>
      <c r="H2905" s="2">
        <v>50</v>
      </c>
      <c r="I2905" s="117" t="str">
        <f t="shared" si="463"/>
        <v>522100</v>
      </c>
      <c r="J2905" s="112" t="s">
        <v>84</v>
      </c>
      <c r="K2905" s="2" t="s">
        <v>84</v>
      </c>
      <c r="L2905" s="2">
        <v>0</v>
      </c>
      <c r="M2905" s="2" t="s">
        <v>84</v>
      </c>
      <c r="N2905" s="2" t="s">
        <v>84</v>
      </c>
      <c r="O2905" s="2" t="s">
        <v>841</v>
      </c>
      <c r="P2905" s="2" t="s">
        <v>143</v>
      </c>
    </row>
    <row r="2906" spans="1:16" ht="22" customHeight="1" x14ac:dyDescent="0.15">
      <c r="A2906" s="10" t="str">
        <f t="shared" si="465"/>
        <v>522_10_39_10_polygon</v>
      </c>
      <c r="B2906" s="2">
        <v>522</v>
      </c>
      <c r="C2906" s="30" t="str">
        <f>VLOOKUP(B2906,gachas!A:C,3)</f>
        <v>バレンタインガチャA&lt;トウカ、ヴァニレ&gt;</v>
      </c>
      <c r="D2906" s="21">
        <v>10</v>
      </c>
      <c r="E2906" s="2">
        <f t="shared" si="464"/>
        <v>39</v>
      </c>
      <c r="F2906" s="2">
        <v>10</v>
      </c>
      <c r="G2906" s="3" t="s">
        <v>22</v>
      </c>
      <c r="H2906" s="2">
        <v>50</v>
      </c>
      <c r="I2906" s="117" t="str">
        <f t="shared" si="463"/>
        <v>522100</v>
      </c>
      <c r="J2906" s="112" t="s">
        <v>84</v>
      </c>
      <c r="K2906" s="2" t="s">
        <v>84</v>
      </c>
      <c r="L2906" s="2">
        <v>0</v>
      </c>
      <c r="M2906" s="2" t="s">
        <v>84</v>
      </c>
      <c r="N2906" s="2" t="s">
        <v>84</v>
      </c>
      <c r="O2906" s="2" t="s">
        <v>841</v>
      </c>
      <c r="P2906" s="2" t="s">
        <v>143</v>
      </c>
    </row>
    <row r="2907" spans="1:16" ht="22" customHeight="1" x14ac:dyDescent="0.15">
      <c r="A2907" s="10" t="str">
        <f t="shared" si="465"/>
        <v>522_10_40_10_polygon</v>
      </c>
      <c r="B2907" s="2">
        <v>522</v>
      </c>
      <c r="C2907" s="30" t="str">
        <f>VLOOKUP(B2907,gachas!A:C,3)</f>
        <v>バレンタインガチャA&lt;トウカ、ヴァニレ&gt;</v>
      </c>
      <c r="D2907" s="21">
        <v>10</v>
      </c>
      <c r="E2907" s="2">
        <f t="shared" si="464"/>
        <v>40</v>
      </c>
      <c r="F2907" s="2">
        <v>10</v>
      </c>
      <c r="G2907" s="3" t="s">
        <v>22</v>
      </c>
      <c r="H2907" s="2">
        <v>50</v>
      </c>
      <c r="I2907" s="117" t="str">
        <f t="shared" si="463"/>
        <v>522100</v>
      </c>
      <c r="J2907" s="112" t="s">
        <v>84</v>
      </c>
      <c r="K2907" s="117" t="str">
        <f>CONCATENATE(B2907,"105")</f>
        <v>522105</v>
      </c>
      <c r="L2907" s="2">
        <v>1</v>
      </c>
      <c r="M2907" s="2" t="s">
        <v>84</v>
      </c>
      <c r="N2907" s="2" t="s">
        <v>84</v>
      </c>
      <c r="O2907" s="2" t="s">
        <v>841</v>
      </c>
      <c r="P2907" s="2" t="s">
        <v>2626</v>
      </c>
    </row>
    <row r="2908" spans="1:16" ht="22" customHeight="1" x14ac:dyDescent="0.15">
      <c r="A2908" s="10" t="str">
        <f t="shared" si="465"/>
        <v>522_10_41_10_polygon</v>
      </c>
      <c r="B2908" s="2">
        <v>522</v>
      </c>
      <c r="C2908" s="30" t="str">
        <f>VLOOKUP(B2908,gachas!A:C,3)</f>
        <v>バレンタインガチャA&lt;トウカ、ヴァニレ&gt;</v>
      </c>
      <c r="D2908" s="21">
        <v>10</v>
      </c>
      <c r="E2908" s="2">
        <f t="shared" si="464"/>
        <v>41</v>
      </c>
      <c r="F2908" s="2">
        <v>10</v>
      </c>
      <c r="G2908" s="3" t="s">
        <v>22</v>
      </c>
      <c r="H2908" s="2">
        <v>25</v>
      </c>
      <c r="I2908" s="117" t="str">
        <f t="shared" si="463"/>
        <v>522100</v>
      </c>
      <c r="J2908" s="112" t="s">
        <v>84</v>
      </c>
      <c r="K2908" s="2" t="s">
        <v>84</v>
      </c>
      <c r="L2908" s="2">
        <v>0</v>
      </c>
      <c r="M2908" s="2" t="s">
        <v>84</v>
      </c>
      <c r="N2908" s="2" t="s">
        <v>84</v>
      </c>
      <c r="O2908" s="2" t="s">
        <v>841</v>
      </c>
      <c r="P2908" s="59" t="s">
        <v>1783</v>
      </c>
    </row>
    <row r="2909" spans="1:16" ht="22" customHeight="1" x14ac:dyDescent="0.15">
      <c r="A2909" s="10" t="str">
        <f t="shared" si="465"/>
        <v>522_10_42_10_polygon</v>
      </c>
      <c r="B2909" s="2">
        <v>522</v>
      </c>
      <c r="C2909" s="30" t="str">
        <f>VLOOKUP(B2909,gachas!A:C,3)</f>
        <v>バレンタインガチャA&lt;トウカ、ヴァニレ&gt;</v>
      </c>
      <c r="D2909" s="21">
        <v>10</v>
      </c>
      <c r="E2909" s="2">
        <f t="shared" si="464"/>
        <v>42</v>
      </c>
      <c r="F2909" s="2">
        <v>10</v>
      </c>
      <c r="G2909" s="3" t="s">
        <v>22</v>
      </c>
      <c r="H2909" s="2">
        <v>50</v>
      </c>
      <c r="I2909" s="117" t="str">
        <f t="shared" si="463"/>
        <v>522100</v>
      </c>
      <c r="J2909" s="112" t="s">
        <v>84</v>
      </c>
      <c r="K2909" s="2" t="s">
        <v>84</v>
      </c>
      <c r="L2909" s="2">
        <v>0</v>
      </c>
      <c r="M2909" s="2" t="s">
        <v>84</v>
      </c>
      <c r="N2909" s="2" t="s">
        <v>84</v>
      </c>
      <c r="O2909" s="2" t="s">
        <v>841</v>
      </c>
      <c r="P2909" s="2" t="s">
        <v>143</v>
      </c>
    </row>
    <row r="2910" spans="1:16" ht="22" customHeight="1" x14ac:dyDescent="0.15">
      <c r="A2910" s="10" t="str">
        <f t="shared" si="465"/>
        <v>522_10_43_10_polygon</v>
      </c>
      <c r="B2910" s="2">
        <v>522</v>
      </c>
      <c r="C2910" s="30" t="str">
        <f>VLOOKUP(B2910,gachas!A:C,3)</f>
        <v>バレンタインガチャA&lt;トウカ、ヴァニレ&gt;</v>
      </c>
      <c r="D2910" s="21">
        <v>10</v>
      </c>
      <c r="E2910" s="2">
        <f t="shared" si="464"/>
        <v>43</v>
      </c>
      <c r="F2910" s="2">
        <v>10</v>
      </c>
      <c r="G2910" s="3" t="s">
        <v>22</v>
      </c>
      <c r="H2910" s="2">
        <v>50</v>
      </c>
      <c r="I2910" s="117" t="str">
        <f t="shared" si="463"/>
        <v>522100</v>
      </c>
      <c r="J2910" s="112" t="s">
        <v>84</v>
      </c>
      <c r="K2910" s="2" t="s">
        <v>84</v>
      </c>
      <c r="L2910" s="2">
        <v>0</v>
      </c>
      <c r="M2910" s="2" t="s">
        <v>84</v>
      </c>
      <c r="N2910" s="2" t="s">
        <v>84</v>
      </c>
      <c r="O2910" s="2" t="s">
        <v>841</v>
      </c>
      <c r="P2910" s="2" t="s">
        <v>143</v>
      </c>
    </row>
    <row r="2911" spans="1:16" ht="22" customHeight="1" x14ac:dyDescent="0.15">
      <c r="A2911" s="10" t="str">
        <f t="shared" si="465"/>
        <v>522_10_44_10_polygon</v>
      </c>
      <c r="B2911" s="2">
        <v>522</v>
      </c>
      <c r="C2911" s="30" t="str">
        <f>VLOOKUP(B2911,gachas!A:C,3)</f>
        <v>バレンタインガチャA&lt;トウカ、ヴァニレ&gt;</v>
      </c>
      <c r="D2911" s="21">
        <v>10</v>
      </c>
      <c r="E2911" s="2">
        <f t="shared" si="464"/>
        <v>44</v>
      </c>
      <c r="F2911" s="2">
        <v>10</v>
      </c>
      <c r="G2911" s="3" t="s">
        <v>22</v>
      </c>
      <c r="H2911" s="2">
        <v>50</v>
      </c>
      <c r="I2911" s="117" t="str">
        <f t="shared" si="463"/>
        <v>522100</v>
      </c>
      <c r="J2911" s="112" t="s">
        <v>84</v>
      </c>
      <c r="K2911" s="2" t="s">
        <v>84</v>
      </c>
      <c r="L2911" s="2">
        <v>0</v>
      </c>
      <c r="M2911" s="2" t="s">
        <v>84</v>
      </c>
      <c r="N2911" s="2" t="s">
        <v>84</v>
      </c>
      <c r="O2911" s="2" t="s">
        <v>841</v>
      </c>
      <c r="P2911" s="2" t="s">
        <v>143</v>
      </c>
    </row>
    <row r="2912" spans="1:16" ht="22" customHeight="1" x14ac:dyDescent="0.15">
      <c r="A2912" s="10" t="str">
        <f t="shared" si="465"/>
        <v>522_10_45_10_polygon</v>
      </c>
      <c r="B2912" s="2">
        <v>522</v>
      </c>
      <c r="C2912" s="30" t="str">
        <f>VLOOKUP(B2912,gachas!A:C,3)</f>
        <v>バレンタインガチャA&lt;トウカ、ヴァニレ&gt;</v>
      </c>
      <c r="D2912" s="21">
        <v>10</v>
      </c>
      <c r="E2912" s="2">
        <f t="shared" si="464"/>
        <v>45</v>
      </c>
      <c r="F2912" s="2">
        <v>10</v>
      </c>
      <c r="G2912" s="3" t="s">
        <v>22</v>
      </c>
      <c r="H2912" s="2">
        <v>50</v>
      </c>
      <c r="I2912" s="117" t="str">
        <f t="shared" si="463"/>
        <v>522100</v>
      </c>
      <c r="J2912" s="112" t="s">
        <v>84</v>
      </c>
      <c r="K2912" s="117" t="str">
        <f>CONCATENATE(B2912,"105")</f>
        <v>522105</v>
      </c>
      <c r="L2912" s="2">
        <v>1</v>
      </c>
      <c r="M2912" s="2" t="s">
        <v>84</v>
      </c>
      <c r="N2912" s="2" t="s">
        <v>84</v>
      </c>
      <c r="O2912" s="2" t="s">
        <v>841</v>
      </c>
      <c r="P2912" s="2" t="s">
        <v>2626</v>
      </c>
    </row>
    <row r="2913" spans="1:16" ht="22" customHeight="1" x14ac:dyDescent="0.15">
      <c r="A2913" s="10" t="str">
        <f t="shared" si="465"/>
        <v>522_10_46_10_polygon</v>
      </c>
      <c r="B2913" s="2">
        <v>522</v>
      </c>
      <c r="C2913" s="30" t="str">
        <f>VLOOKUP(B2913,gachas!A:C,3)</f>
        <v>バレンタインガチャA&lt;トウカ、ヴァニレ&gt;</v>
      </c>
      <c r="D2913" s="21">
        <v>10</v>
      </c>
      <c r="E2913" s="2">
        <f t="shared" si="464"/>
        <v>46</v>
      </c>
      <c r="F2913" s="2">
        <v>10</v>
      </c>
      <c r="G2913" s="3" t="s">
        <v>22</v>
      </c>
      <c r="H2913" s="2">
        <v>25</v>
      </c>
      <c r="I2913" s="117" t="str">
        <f t="shared" si="463"/>
        <v>522100</v>
      </c>
      <c r="J2913" s="112" t="s">
        <v>84</v>
      </c>
      <c r="K2913" s="2" t="s">
        <v>84</v>
      </c>
      <c r="L2913" s="2">
        <v>0</v>
      </c>
      <c r="M2913" s="2" t="s">
        <v>84</v>
      </c>
      <c r="N2913" s="2" t="s">
        <v>84</v>
      </c>
      <c r="O2913" s="2" t="s">
        <v>841</v>
      </c>
      <c r="P2913" s="59" t="s">
        <v>1783</v>
      </c>
    </row>
    <row r="2914" spans="1:16" ht="22" customHeight="1" x14ac:dyDescent="0.15">
      <c r="A2914" s="10" t="str">
        <f t="shared" si="465"/>
        <v>522_10_47_10_polygon</v>
      </c>
      <c r="B2914" s="2">
        <v>522</v>
      </c>
      <c r="C2914" s="30" t="str">
        <f>VLOOKUP(B2914,gachas!A:C,3)</f>
        <v>バレンタインガチャA&lt;トウカ、ヴァニレ&gt;</v>
      </c>
      <c r="D2914" s="21">
        <v>10</v>
      </c>
      <c r="E2914" s="2">
        <f t="shared" si="464"/>
        <v>47</v>
      </c>
      <c r="F2914" s="2">
        <v>10</v>
      </c>
      <c r="G2914" s="3" t="s">
        <v>22</v>
      </c>
      <c r="H2914" s="2">
        <v>50</v>
      </c>
      <c r="I2914" s="117" t="str">
        <f t="shared" si="463"/>
        <v>522100</v>
      </c>
      <c r="J2914" s="112" t="s">
        <v>84</v>
      </c>
      <c r="K2914" s="2" t="s">
        <v>84</v>
      </c>
      <c r="L2914" s="2">
        <v>0</v>
      </c>
      <c r="M2914" s="2" t="s">
        <v>84</v>
      </c>
      <c r="N2914" s="2" t="s">
        <v>84</v>
      </c>
      <c r="O2914" s="2" t="s">
        <v>841</v>
      </c>
      <c r="P2914" s="2" t="s">
        <v>143</v>
      </c>
    </row>
    <row r="2915" spans="1:16" ht="22" customHeight="1" x14ac:dyDescent="0.15">
      <c r="A2915" s="10" t="str">
        <f t="shared" si="465"/>
        <v>522_10_48_10_polygon</v>
      </c>
      <c r="B2915" s="2">
        <v>522</v>
      </c>
      <c r="C2915" s="30" t="str">
        <f>VLOOKUP(B2915,gachas!A:C,3)</f>
        <v>バレンタインガチャA&lt;トウカ、ヴァニレ&gt;</v>
      </c>
      <c r="D2915" s="21">
        <v>10</v>
      </c>
      <c r="E2915" s="2">
        <f t="shared" si="464"/>
        <v>48</v>
      </c>
      <c r="F2915" s="2">
        <v>10</v>
      </c>
      <c r="G2915" s="3" t="s">
        <v>22</v>
      </c>
      <c r="H2915" s="2">
        <v>50</v>
      </c>
      <c r="I2915" s="117" t="str">
        <f t="shared" si="463"/>
        <v>522100</v>
      </c>
      <c r="J2915" s="112" t="s">
        <v>84</v>
      </c>
      <c r="K2915" s="2" t="s">
        <v>84</v>
      </c>
      <c r="L2915" s="2">
        <v>0</v>
      </c>
      <c r="M2915" s="2" t="s">
        <v>84</v>
      </c>
      <c r="N2915" s="2" t="s">
        <v>84</v>
      </c>
      <c r="O2915" s="2" t="s">
        <v>841</v>
      </c>
      <c r="P2915" s="2" t="s">
        <v>143</v>
      </c>
    </row>
    <row r="2916" spans="1:16" ht="22" customHeight="1" x14ac:dyDescent="0.15">
      <c r="A2916" s="10" t="str">
        <f t="shared" si="465"/>
        <v>522_10_49_10_polygon</v>
      </c>
      <c r="B2916" s="2">
        <v>522</v>
      </c>
      <c r="C2916" s="30" t="str">
        <f>VLOOKUP(B2916,gachas!A:C,3)</f>
        <v>バレンタインガチャA&lt;トウカ、ヴァニレ&gt;</v>
      </c>
      <c r="D2916" s="21">
        <v>10</v>
      </c>
      <c r="E2916" s="2">
        <f t="shared" si="464"/>
        <v>49</v>
      </c>
      <c r="F2916" s="2">
        <v>10</v>
      </c>
      <c r="G2916" s="3" t="s">
        <v>22</v>
      </c>
      <c r="H2916" s="2">
        <v>50</v>
      </c>
      <c r="I2916" s="117" t="str">
        <f t="shared" si="463"/>
        <v>522100</v>
      </c>
      <c r="J2916" s="112" t="s">
        <v>84</v>
      </c>
      <c r="K2916" s="2" t="s">
        <v>84</v>
      </c>
      <c r="L2916" s="2">
        <v>0</v>
      </c>
      <c r="M2916" s="2" t="s">
        <v>84</v>
      </c>
      <c r="N2916" s="2" t="s">
        <v>84</v>
      </c>
      <c r="O2916" s="2" t="s">
        <v>841</v>
      </c>
      <c r="P2916" s="2" t="s">
        <v>143</v>
      </c>
    </row>
    <row r="2917" spans="1:16" ht="22" customHeight="1" x14ac:dyDescent="0.15">
      <c r="A2917" s="10" t="str">
        <f t="shared" si="465"/>
        <v>522_10_50_10_polygon</v>
      </c>
      <c r="B2917" s="2">
        <v>522</v>
      </c>
      <c r="C2917" s="30" t="str">
        <f>VLOOKUP(B2917,gachas!A:C,3)</f>
        <v>バレンタインガチャA&lt;トウカ、ヴァニレ&gt;</v>
      </c>
      <c r="D2917" s="21">
        <v>10</v>
      </c>
      <c r="E2917" s="2">
        <f t="shared" si="464"/>
        <v>50</v>
      </c>
      <c r="F2917" s="2">
        <v>10</v>
      </c>
      <c r="G2917" s="3" t="s">
        <v>22</v>
      </c>
      <c r="H2917" s="2">
        <v>50</v>
      </c>
      <c r="I2917" s="117" t="str">
        <f t="shared" si="463"/>
        <v>522100</v>
      </c>
      <c r="J2917" s="112" t="s">
        <v>84</v>
      </c>
      <c r="K2917" s="117" t="str">
        <f>CONCATENATE(B2917,"105")</f>
        <v>522105</v>
      </c>
      <c r="L2917" s="2">
        <v>1</v>
      </c>
      <c r="M2917" s="2" t="s">
        <v>84</v>
      </c>
      <c r="N2917" s="2" t="s">
        <v>84</v>
      </c>
      <c r="O2917" s="2" t="s">
        <v>841</v>
      </c>
      <c r="P2917" s="2" t="s">
        <v>2626</v>
      </c>
    </row>
    <row r="2918" spans="1:16" ht="22" customHeight="1" x14ac:dyDescent="0.15">
      <c r="A2918" s="10" t="str">
        <f t="shared" si="465"/>
        <v>523_1_0_1_polygon</v>
      </c>
      <c r="B2918" s="2">
        <v>523</v>
      </c>
      <c r="C2918" s="30" t="str">
        <f>VLOOKUP(B2918,gachas!A:C,3)</f>
        <v>バレンタインガチャB&lt;フォンデュ、コルネ&gt;</v>
      </c>
      <c r="D2918" s="21">
        <v>1</v>
      </c>
      <c r="E2918" s="2">
        <v>0</v>
      </c>
      <c r="F2918" s="2">
        <v>1</v>
      </c>
      <c r="G2918" s="3" t="s">
        <v>22</v>
      </c>
      <c r="H2918" s="2">
        <v>5</v>
      </c>
      <c r="I2918" s="117" t="str">
        <f>CONCATENATE(B2918,"010")</f>
        <v>523010</v>
      </c>
      <c r="J2918" s="112" t="s">
        <v>84</v>
      </c>
      <c r="K2918" s="2" t="s">
        <v>84</v>
      </c>
      <c r="L2918" s="2">
        <v>0</v>
      </c>
      <c r="M2918" s="2" t="s">
        <v>84</v>
      </c>
      <c r="N2918" s="2" t="s">
        <v>84</v>
      </c>
      <c r="O2918" s="2" t="s">
        <v>841</v>
      </c>
      <c r="P2918" s="2" t="s">
        <v>84</v>
      </c>
    </row>
    <row r="2919" spans="1:16" ht="22" customHeight="1" x14ac:dyDescent="0.15">
      <c r="A2919" s="10" t="str">
        <f t="shared" si="465"/>
        <v>523_10_0_10_polygon</v>
      </c>
      <c r="B2919" s="2">
        <v>523</v>
      </c>
      <c r="C2919" s="30" t="str">
        <f>VLOOKUP(B2919,gachas!A:C,3)</f>
        <v>バレンタインガチャB&lt;フォンデュ、コルネ&gt;</v>
      </c>
      <c r="D2919" s="21">
        <v>10</v>
      </c>
      <c r="E2919" s="2">
        <v>0</v>
      </c>
      <c r="F2919" s="2">
        <v>10</v>
      </c>
      <c r="G2919" s="3" t="s">
        <v>22</v>
      </c>
      <c r="H2919" s="2">
        <v>50</v>
      </c>
      <c r="I2919" s="117" t="str">
        <f t="shared" si="463"/>
        <v>523100</v>
      </c>
      <c r="J2919" s="112" t="s">
        <v>84</v>
      </c>
      <c r="K2919" s="2" t="s">
        <v>84</v>
      </c>
      <c r="L2919" s="2">
        <v>0</v>
      </c>
      <c r="M2919" s="2" t="s">
        <v>84</v>
      </c>
      <c r="N2919" s="2" t="s">
        <v>84</v>
      </c>
      <c r="O2919" s="2" t="s">
        <v>841</v>
      </c>
      <c r="P2919" s="2" t="s">
        <v>143</v>
      </c>
    </row>
    <row r="2920" spans="1:16" ht="22" customHeight="1" x14ac:dyDescent="0.15">
      <c r="A2920" s="10" t="str">
        <f t="shared" si="465"/>
        <v>523_10_1_10_polygon</v>
      </c>
      <c r="B2920" s="2">
        <v>523</v>
      </c>
      <c r="C2920" s="30" t="str">
        <f>VLOOKUP(B2920,gachas!A:C,3)</f>
        <v>バレンタインガチャB&lt;フォンデュ、コルネ&gt;</v>
      </c>
      <c r="D2920" s="21">
        <v>10</v>
      </c>
      <c r="E2920" s="2">
        <f>E2919+1</f>
        <v>1</v>
      </c>
      <c r="F2920" s="2">
        <v>10</v>
      </c>
      <c r="G2920" s="3" t="s">
        <v>22</v>
      </c>
      <c r="H2920" s="2">
        <v>25</v>
      </c>
      <c r="I2920" s="117" t="str">
        <f t="shared" si="463"/>
        <v>523100</v>
      </c>
      <c r="J2920" s="112" t="s">
        <v>84</v>
      </c>
      <c r="K2920" s="2" t="s">
        <v>84</v>
      </c>
      <c r="L2920" s="2">
        <v>0</v>
      </c>
      <c r="M2920" s="2" t="s">
        <v>84</v>
      </c>
      <c r="N2920" s="2" t="s">
        <v>84</v>
      </c>
      <c r="O2920" s="2" t="s">
        <v>841</v>
      </c>
      <c r="P2920" s="59" t="s">
        <v>1783</v>
      </c>
    </row>
    <row r="2921" spans="1:16" ht="22" customHeight="1" x14ac:dyDescent="0.15">
      <c r="A2921" s="10" t="str">
        <f t="shared" si="465"/>
        <v>523_10_2_10_polygon</v>
      </c>
      <c r="B2921" s="2">
        <v>523</v>
      </c>
      <c r="C2921" s="30" t="str">
        <f>VLOOKUP(B2921,gachas!A:C,3)</f>
        <v>バレンタインガチャB&lt;フォンデュ、コルネ&gt;</v>
      </c>
      <c r="D2921" s="21">
        <v>10</v>
      </c>
      <c r="E2921" s="2">
        <f t="shared" ref="E2921:E2969" si="466">E2920+1</f>
        <v>2</v>
      </c>
      <c r="F2921" s="2">
        <v>10</v>
      </c>
      <c r="G2921" s="3" t="s">
        <v>22</v>
      </c>
      <c r="H2921" s="2">
        <v>50</v>
      </c>
      <c r="I2921" s="117" t="str">
        <f t="shared" si="463"/>
        <v>523100</v>
      </c>
      <c r="J2921" s="112" t="s">
        <v>84</v>
      </c>
      <c r="K2921" s="2" t="s">
        <v>84</v>
      </c>
      <c r="L2921" s="2">
        <v>0</v>
      </c>
      <c r="M2921" s="2" t="s">
        <v>84</v>
      </c>
      <c r="N2921" s="2" t="s">
        <v>84</v>
      </c>
      <c r="O2921" s="2" t="s">
        <v>841</v>
      </c>
      <c r="P2921" s="2" t="s">
        <v>143</v>
      </c>
    </row>
    <row r="2922" spans="1:16" ht="22" customHeight="1" x14ac:dyDescent="0.15">
      <c r="A2922" s="10" t="str">
        <f t="shared" si="465"/>
        <v>523_10_3_10_polygon</v>
      </c>
      <c r="B2922" s="2">
        <v>523</v>
      </c>
      <c r="C2922" s="30" t="str">
        <f>VLOOKUP(B2922,gachas!A:C,3)</f>
        <v>バレンタインガチャB&lt;フォンデュ、コルネ&gt;</v>
      </c>
      <c r="D2922" s="21">
        <v>10</v>
      </c>
      <c r="E2922" s="2">
        <f t="shared" si="466"/>
        <v>3</v>
      </c>
      <c r="F2922" s="2">
        <v>10</v>
      </c>
      <c r="G2922" s="3" t="s">
        <v>22</v>
      </c>
      <c r="H2922" s="2">
        <v>50</v>
      </c>
      <c r="I2922" s="117" t="str">
        <f t="shared" si="463"/>
        <v>523100</v>
      </c>
      <c r="J2922" s="112" t="s">
        <v>84</v>
      </c>
      <c r="K2922" s="2" t="s">
        <v>84</v>
      </c>
      <c r="L2922" s="2">
        <v>0</v>
      </c>
      <c r="M2922" s="2" t="s">
        <v>84</v>
      </c>
      <c r="N2922" s="2" t="s">
        <v>84</v>
      </c>
      <c r="O2922" s="2" t="s">
        <v>841</v>
      </c>
      <c r="P2922" s="2" t="s">
        <v>143</v>
      </c>
    </row>
    <row r="2923" spans="1:16" ht="22" customHeight="1" x14ac:dyDescent="0.15">
      <c r="A2923" s="10" t="str">
        <f t="shared" si="465"/>
        <v>523_10_4_10_polygon</v>
      </c>
      <c r="B2923" s="2">
        <v>523</v>
      </c>
      <c r="C2923" s="30" t="str">
        <f>VLOOKUP(B2923,gachas!A:C,3)</f>
        <v>バレンタインガチャB&lt;フォンデュ、コルネ&gt;</v>
      </c>
      <c r="D2923" s="21">
        <v>10</v>
      </c>
      <c r="E2923" s="2">
        <f t="shared" si="466"/>
        <v>4</v>
      </c>
      <c r="F2923" s="2">
        <v>10</v>
      </c>
      <c r="G2923" s="3" t="s">
        <v>22</v>
      </c>
      <c r="H2923" s="2">
        <v>50</v>
      </c>
      <c r="I2923" s="117" t="str">
        <f t="shared" si="463"/>
        <v>523100</v>
      </c>
      <c r="J2923" s="112" t="s">
        <v>84</v>
      </c>
      <c r="K2923" s="2" t="s">
        <v>84</v>
      </c>
      <c r="L2923" s="2">
        <v>0</v>
      </c>
      <c r="M2923" s="2" t="s">
        <v>84</v>
      </c>
      <c r="N2923" s="2" t="s">
        <v>84</v>
      </c>
      <c r="O2923" s="2" t="s">
        <v>841</v>
      </c>
      <c r="P2923" s="2" t="s">
        <v>143</v>
      </c>
    </row>
    <row r="2924" spans="1:16" ht="22" customHeight="1" x14ac:dyDescent="0.15">
      <c r="A2924" s="10" t="str">
        <f t="shared" si="465"/>
        <v>523_10_5_10_polygon</v>
      </c>
      <c r="B2924" s="2">
        <v>523</v>
      </c>
      <c r="C2924" s="30" t="str">
        <f>VLOOKUP(B2924,gachas!A:C,3)</f>
        <v>バレンタインガチャB&lt;フォンデュ、コルネ&gt;</v>
      </c>
      <c r="D2924" s="21">
        <v>10</v>
      </c>
      <c r="E2924" s="2">
        <f t="shared" si="466"/>
        <v>5</v>
      </c>
      <c r="F2924" s="2">
        <v>10</v>
      </c>
      <c r="G2924" s="3" t="s">
        <v>22</v>
      </c>
      <c r="H2924" s="2">
        <v>50</v>
      </c>
      <c r="I2924" s="117" t="str">
        <f t="shared" si="463"/>
        <v>523100</v>
      </c>
      <c r="J2924" s="112" t="s">
        <v>84</v>
      </c>
      <c r="K2924" s="117" t="str">
        <f>CONCATENATE(B2924,"105")</f>
        <v>523105</v>
      </c>
      <c r="L2924" s="2">
        <v>1</v>
      </c>
      <c r="M2924" s="2" t="s">
        <v>84</v>
      </c>
      <c r="N2924" s="2" t="s">
        <v>84</v>
      </c>
      <c r="O2924" s="2" t="s">
        <v>841</v>
      </c>
      <c r="P2924" s="2" t="s">
        <v>2627</v>
      </c>
    </row>
    <row r="2925" spans="1:16" ht="22" customHeight="1" x14ac:dyDescent="0.15">
      <c r="A2925" s="10" t="str">
        <f t="shared" si="465"/>
        <v>523_10_6_10_polygon</v>
      </c>
      <c r="B2925" s="2">
        <v>523</v>
      </c>
      <c r="C2925" s="30" t="str">
        <f>VLOOKUP(B2925,gachas!A:C,3)</f>
        <v>バレンタインガチャB&lt;フォンデュ、コルネ&gt;</v>
      </c>
      <c r="D2925" s="21">
        <v>10</v>
      </c>
      <c r="E2925" s="2">
        <f t="shared" si="466"/>
        <v>6</v>
      </c>
      <c r="F2925" s="2">
        <v>10</v>
      </c>
      <c r="G2925" s="3" t="s">
        <v>22</v>
      </c>
      <c r="H2925" s="2">
        <v>25</v>
      </c>
      <c r="I2925" s="117" t="str">
        <f t="shared" si="463"/>
        <v>523100</v>
      </c>
      <c r="J2925" s="112" t="s">
        <v>84</v>
      </c>
      <c r="K2925" s="2" t="s">
        <v>84</v>
      </c>
      <c r="L2925" s="2">
        <v>0</v>
      </c>
      <c r="M2925" s="2" t="s">
        <v>84</v>
      </c>
      <c r="N2925" s="2" t="s">
        <v>84</v>
      </c>
      <c r="O2925" s="2" t="s">
        <v>841</v>
      </c>
      <c r="P2925" s="59" t="s">
        <v>1783</v>
      </c>
    </row>
    <row r="2926" spans="1:16" ht="22" customHeight="1" x14ac:dyDescent="0.15">
      <c r="A2926" s="10" t="str">
        <f t="shared" si="465"/>
        <v>523_10_7_10_polygon</v>
      </c>
      <c r="B2926" s="2">
        <v>523</v>
      </c>
      <c r="C2926" s="30" t="str">
        <f>VLOOKUP(B2926,gachas!A:C,3)</f>
        <v>バレンタインガチャB&lt;フォンデュ、コルネ&gt;</v>
      </c>
      <c r="D2926" s="21">
        <v>10</v>
      </c>
      <c r="E2926" s="2">
        <f t="shared" si="466"/>
        <v>7</v>
      </c>
      <c r="F2926" s="2">
        <v>10</v>
      </c>
      <c r="G2926" s="3" t="s">
        <v>22</v>
      </c>
      <c r="H2926" s="2">
        <v>50</v>
      </c>
      <c r="I2926" s="117" t="str">
        <f t="shared" si="463"/>
        <v>523100</v>
      </c>
      <c r="J2926" s="112" t="s">
        <v>84</v>
      </c>
      <c r="K2926" s="2" t="s">
        <v>84</v>
      </c>
      <c r="L2926" s="2">
        <v>0</v>
      </c>
      <c r="M2926" s="2" t="s">
        <v>84</v>
      </c>
      <c r="N2926" s="2" t="s">
        <v>84</v>
      </c>
      <c r="O2926" s="2" t="s">
        <v>841</v>
      </c>
      <c r="P2926" s="2" t="s">
        <v>143</v>
      </c>
    </row>
    <row r="2927" spans="1:16" ht="22" customHeight="1" x14ac:dyDescent="0.15">
      <c r="A2927" s="10" t="str">
        <f t="shared" si="465"/>
        <v>523_10_8_10_polygon</v>
      </c>
      <c r="B2927" s="2">
        <v>523</v>
      </c>
      <c r="C2927" s="30" t="str">
        <f>VLOOKUP(B2927,gachas!A:C,3)</f>
        <v>バレンタインガチャB&lt;フォンデュ、コルネ&gt;</v>
      </c>
      <c r="D2927" s="21">
        <v>10</v>
      </c>
      <c r="E2927" s="2">
        <f t="shared" si="466"/>
        <v>8</v>
      </c>
      <c r="F2927" s="2">
        <v>10</v>
      </c>
      <c r="G2927" s="3" t="s">
        <v>22</v>
      </c>
      <c r="H2927" s="2">
        <v>50</v>
      </c>
      <c r="I2927" s="117" t="str">
        <f t="shared" si="463"/>
        <v>523100</v>
      </c>
      <c r="J2927" s="112" t="s">
        <v>84</v>
      </c>
      <c r="K2927" s="2" t="s">
        <v>84</v>
      </c>
      <c r="L2927" s="2">
        <v>0</v>
      </c>
      <c r="M2927" s="2" t="s">
        <v>84</v>
      </c>
      <c r="N2927" s="2" t="s">
        <v>84</v>
      </c>
      <c r="O2927" s="2" t="s">
        <v>841</v>
      </c>
      <c r="P2927" s="2" t="s">
        <v>143</v>
      </c>
    </row>
    <row r="2928" spans="1:16" ht="22" customHeight="1" x14ac:dyDescent="0.15">
      <c r="A2928" s="10" t="str">
        <f t="shared" si="465"/>
        <v>523_10_9_10_polygon</v>
      </c>
      <c r="B2928" s="2">
        <v>523</v>
      </c>
      <c r="C2928" s="30" t="str">
        <f>VLOOKUP(B2928,gachas!A:C,3)</f>
        <v>バレンタインガチャB&lt;フォンデュ、コルネ&gt;</v>
      </c>
      <c r="D2928" s="21">
        <v>10</v>
      </c>
      <c r="E2928" s="2">
        <f t="shared" si="466"/>
        <v>9</v>
      </c>
      <c r="F2928" s="2">
        <v>10</v>
      </c>
      <c r="G2928" s="3" t="s">
        <v>22</v>
      </c>
      <c r="H2928" s="2">
        <v>50</v>
      </c>
      <c r="I2928" s="117" t="str">
        <f t="shared" si="463"/>
        <v>523100</v>
      </c>
      <c r="J2928" s="112" t="s">
        <v>84</v>
      </c>
      <c r="K2928" s="2" t="s">
        <v>84</v>
      </c>
      <c r="L2928" s="2">
        <v>0</v>
      </c>
      <c r="M2928" s="2" t="s">
        <v>84</v>
      </c>
      <c r="N2928" s="2" t="s">
        <v>84</v>
      </c>
      <c r="O2928" s="2" t="s">
        <v>841</v>
      </c>
      <c r="P2928" s="2" t="s">
        <v>143</v>
      </c>
    </row>
    <row r="2929" spans="1:16" ht="22" customHeight="1" x14ac:dyDescent="0.15">
      <c r="A2929" s="10" t="str">
        <f t="shared" si="465"/>
        <v>523_10_10_10_polygon</v>
      </c>
      <c r="B2929" s="2">
        <v>523</v>
      </c>
      <c r="C2929" s="30" t="str">
        <f>VLOOKUP(B2929,gachas!A:C,3)</f>
        <v>バレンタインガチャB&lt;フォンデュ、コルネ&gt;</v>
      </c>
      <c r="D2929" s="21">
        <v>10</v>
      </c>
      <c r="E2929" s="2">
        <f t="shared" si="466"/>
        <v>10</v>
      </c>
      <c r="F2929" s="2">
        <v>10</v>
      </c>
      <c r="G2929" s="3" t="s">
        <v>22</v>
      </c>
      <c r="H2929" s="2">
        <v>50</v>
      </c>
      <c r="I2929" s="117" t="str">
        <f t="shared" si="463"/>
        <v>523100</v>
      </c>
      <c r="J2929" s="112" t="s">
        <v>84</v>
      </c>
      <c r="K2929" s="117" t="str">
        <f>CONCATENATE(B2929,"105")</f>
        <v>523105</v>
      </c>
      <c r="L2929" s="2">
        <v>1</v>
      </c>
      <c r="M2929" s="2" t="s">
        <v>84</v>
      </c>
      <c r="N2929" s="2" t="s">
        <v>84</v>
      </c>
      <c r="O2929" s="2" t="s">
        <v>841</v>
      </c>
      <c r="P2929" s="2" t="s">
        <v>2627</v>
      </c>
    </row>
    <row r="2930" spans="1:16" ht="22" customHeight="1" x14ac:dyDescent="0.15">
      <c r="A2930" s="10" t="str">
        <f t="shared" si="465"/>
        <v>523_10_11_10_polygon</v>
      </c>
      <c r="B2930" s="2">
        <v>523</v>
      </c>
      <c r="C2930" s="30" t="str">
        <f>VLOOKUP(B2930,gachas!A:C,3)</f>
        <v>バレンタインガチャB&lt;フォンデュ、コルネ&gt;</v>
      </c>
      <c r="D2930" s="21">
        <v>10</v>
      </c>
      <c r="E2930" s="2">
        <f t="shared" si="466"/>
        <v>11</v>
      </c>
      <c r="F2930" s="2">
        <v>10</v>
      </c>
      <c r="G2930" s="3" t="s">
        <v>22</v>
      </c>
      <c r="H2930" s="2">
        <v>25</v>
      </c>
      <c r="I2930" s="117" t="str">
        <f t="shared" si="463"/>
        <v>523100</v>
      </c>
      <c r="J2930" s="112" t="s">
        <v>84</v>
      </c>
      <c r="K2930" s="2" t="s">
        <v>84</v>
      </c>
      <c r="L2930" s="2">
        <v>0</v>
      </c>
      <c r="M2930" s="2" t="s">
        <v>84</v>
      </c>
      <c r="N2930" s="2" t="s">
        <v>84</v>
      </c>
      <c r="O2930" s="2" t="s">
        <v>841</v>
      </c>
      <c r="P2930" s="59" t="s">
        <v>1783</v>
      </c>
    </row>
    <row r="2931" spans="1:16" ht="22" customHeight="1" x14ac:dyDescent="0.15">
      <c r="A2931" s="10" t="str">
        <f t="shared" si="465"/>
        <v>523_10_12_10_polygon</v>
      </c>
      <c r="B2931" s="2">
        <v>523</v>
      </c>
      <c r="C2931" s="30" t="str">
        <f>VLOOKUP(B2931,gachas!A:C,3)</f>
        <v>バレンタインガチャB&lt;フォンデュ、コルネ&gt;</v>
      </c>
      <c r="D2931" s="21">
        <v>10</v>
      </c>
      <c r="E2931" s="2">
        <f t="shared" si="466"/>
        <v>12</v>
      </c>
      <c r="F2931" s="2">
        <v>10</v>
      </c>
      <c r="G2931" s="3" t="s">
        <v>22</v>
      </c>
      <c r="H2931" s="2">
        <v>50</v>
      </c>
      <c r="I2931" s="117" t="str">
        <f t="shared" si="463"/>
        <v>523100</v>
      </c>
      <c r="J2931" s="112" t="s">
        <v>84</v>
      </c>
      <c r="K2931" s="2" t="s">
        <v>84</v>
      </c>
      <c r="L2931" s="2">
        <v>0</v>
      </c>
      <c r="M2931" s="2" t="s">
        <v>84</v>
      </c>
      <c r="N2931" s="2" t="s">
        <v>84</v>
      </c>
      <c r="O2931" s="2" t="s">
        <v>841</v>
      </c>
      <c r="P2931" s="2" t="s">
        <v>143</v>
      </c>
    </row>
    <row r="2932" spans="1:16" ht="22" customHeight="1" x14ac:dyDescent="0.15">
      <c r="A2932" s="10" t="str">
        <f t="shared" si="465"/>
        <v>523_10_13_10_polygon</v>
      </c>
      <c r="B2932" s="2">
        <v>523</v>
      </c>
      <c r="C2932" s="30" t="str">
        <f>VLOOKUP(B2932,gachas!A:C,3)</f>
        <v>バレンタインガチャB&lt;フォンデュ、コルネ&gt;</v>
      </c>
      <c r="D2932" s="21">
        <v>10</v>
      </c>
      <c r="E2932" s="2">
        <f t="shared" si="466"/>
        <v>13</v>
      </c>
      <c r="F2932" s="2">
        <v>10</v>
      </c>
      <c r="G2932" s="3" t="s">
        <v>22</v>
      </c>
      <c r="H2932" s="2">
        <v>50</v>
      </c>
      <c r="I2932" s="117" t="str">
        <f t="shared" ref="I2932:I2969" si="467">CONCATENATE(B2932,"100")</f>
        <v>523100</v>
      </c>
      <c r="J2932" s="112" t="s">
        <v>84</v>
      </c>
      <c r="K2932" s="2" t="s">
        <v>84</v>
      </c>
      <c r="L2932" s="2">
        <v>0</v>
      </c>
      <c r="M2932" s="2" t="s">
        <v>84</v>
      </c>
      <c r="N2932" s="2" t="s">
        <v>84</v>
      </c>
      <c r="O2932" s="2" t="s">
        <v>841</v>
      </c>
      <c r="P2932" s="2" t="s">
        <v>143</v>
      </c>
    </row>
    <row r="2933" spans="1:16" ht="22" customHeight="1" x14ac:dyDescent="0.15">
      <c r="A2933" s="10" t="str">
        <f t="shared" si="465"/>
        <v>523_10_14_10_polygon</v>
      </c>
      <c r="B2933" s="2">
        <v>523</v>
      </c>
      <c r="C2933" s="30" t="str">
        <f>VLOOKUP(B2933,gachas!A:C,3)</f>
        <v>バレンタインガチャB&lt;フォンデュ、コルネ&gt;</v>
      </c>
      <c r="D2933" s="21">
        <v>10</v>
      </c>
      <c r="E2933" s="2">
        <f t="shared" si="466"/>
        <v>14</v>
      </c>
      <c r="F2933" s="2">
        <v>10</v>
      </c>
      <c r="G2933" s="3" t="s">
        <v>22</v>
      </c>
      <c r="H2933" s="2">
        <v>50</v>
      </c>
      <c r="I2933" s="117" t="str">
        <f t="shared" si="467"/>
        <v>523100</v>
      </c>
      <c r="J2933" s="112" t="s">
        <v>84</v>
      </c>
      <c r="K2933" s="2" t="s">
        <v>84</v>
      </c>
      <c r="L2933" s="2">
        <v>0</v>
      </c>
      <c r="M2933" s="2" t="s">
        <v>84</v>
      </c>
      <c r="N2933" s="2" t="s">
        <v>84</v>
      </c>
      <c r="O2933" s="2" t="s">
        <v>841</v>
      </c>
      <c r="P2933" s="2" t="s">
        <v>143</v>
      </c>
    </row>
    <row r="2934" spans="1:16" ht="22" customHeight="1" x14ac:dyDescent="0.15">
      <c r="A2934" s="10" t="str">
        <f t="shared" si="465"/>
        <v>523_10_15_10_polygon</v>
      </c>
      <c r="B2934" s="2">
        <v>523</v>
      </c>
      <c r="C2934" s="30" t="str">
        <f>VLOOKUP(B2934,gachas!A:C,3)</f>
        <v>バレンタインガチャB&lt;フォンデュ、コルネ&gt;</v>
      </c>
      <c r="D2934" s="21">
        <v>10</v>
      </c>
      <c r="E2934" s="2">
        <f t="shared" si="466"/>
        <v>15</v>
      </c>
      <c r="F2934" s="2">
        <v>10</v>
      </c>
      <c r="G2934" s="3" t="s">
        <v>22</v>
      </c>
      <c r="H2934" s="2">
        <v>50</v>
      </c>
      <c r="I2934" s="117" t="str">
        <f t="shared" si="467"/>
        <v>523100</v>
      </c>
      <c r="J2934" s="112" t="s">
        <v>84</v>
      </c>
      <c r="K2934" s="117" t="str">
        <f>CONCATENATE(B2934,"105")</f>
        <v>523105</v>
      </c>
      <c r="L2934" s="2">
        <v>1</v>
      </c>
      <c r="M2934" s="2" t="s">
        <v>84</v>
      </c>
      <c r="N2934" s="2" t="s">
        <v>84</v>
      </c>
      <c r="O2934" s="2" t="s">
        <v>841</v>
      </c>
      <c r="P2934" s="2" t="s">
        <v>2627</v>
      </c>
    </row>
    <row r="2935" spans="1:16" ht="22" customHeight="1" x14ac:dyDescent="0.15">
      <c r="A2935" s="10" t="str">
        <f t="shared" si="465"/>
        <v>523_10_16_10_polygon</v>
      </c>
      <c r="B2935" s="2">
        <v>523</v>
      </c>
      <c r="C2935" s="30" t="str">
        <f>VLOOKUP(B2935,gachas!A:C,3)</f>
        <v>バレンタインガチャB&lt;フォンデュ、コルネ&gt;</v>
      </c>
      <c r="D2935" s="21">
        <v>10</v>
      </c>
      <c r="E2935" s="2">
        <f t="shared" si="466"/>
        <v>16</v>
      </c>
      <c r="F2935" s="2">
        <v>10</v>
      </c>
      <c r="G2935" s="3" t="s">
        <v>22</v>
      </c>
      <c r="H2935" s="2">
        <v>25</v>
      </c>
      <c r="I2935" s="117" t="str">
        <f t="shared" si="467"/>
        <v>523100</v>
      </c>
      <c r="J2935" s="112" t="s">
        <v>84</v>
      </c>
      <c r="K2935" s="2" t="s">
        <v>84</v>
      </c>
      <c r="L2935" s="2">
        <v>0</v>
      </c>
      <c r="M2935" s="2" t="s">
        <v>84</v>
      </c>
      <c r="N2935" s="2" t="s">
        <v>84</v>
      </c>
      <c r="O2935" s="2" t="s">
        <v>841</v>
      </c>
      <c r="P2935" s="59" t="s">
        <v>1783</v>
      </c>
    </row>
    <row r="2936" spans="1:16" ht="22" customHeight="1" x14ac:dyDescent="0.15">
      <c r="A2936" s="10" t="str">
        <f t="shared" si="465"/>
        <v>523_10_17_10_polygon</v>
      </c>
      <c r="B2936" s="2">
        <v>523</v>
      </c>
      <c r="C2936" s="30" t="str">
        <f>VLOOKUP(B2936,gachas!A:C,3)</f>
        <v>バレンタインガチャB&lt;フォンデュ、コルネ&gt;</v>
      </c>
      <c r="D2936" s="21">
        <v>10</v>
      </c>
      <c r="E2936" s="2">
        <f t="shared" si="466"/>
        <v>17</v>
      </c>
      <c r="F2936" s="2">
        <v>10</v>
      </c>
      <c r="G2936" s="3" t="s">
        <v>22</v>
      </c>
      <c r="H2936" s="2">
        <v>50</v>
      </c>
      <c r="I2936" s="117" t="str">
        <f t="shared" si="467"/>
        <v>523100</v>
      </c>
      <c r="J2936" s="112" t="s">
        <v>84</v>
      </c>
      <c r="K2936" s="2" t="s">
        <v>84</v>
      </c>
      <c r="L2936" s="2">
        <v>0</v>
      </c>
      <c r="M2936" s="2" t="s">
        <v>84</v>
      </c>
      <c r="N2936" s="2" t="s">
        <v>84</v>
      </c>
      <c r="O2936" s="2" t="s">
        <v>841</v>
      </c>
      <c r="P2936" s="2" t="s">
        <v>143</v>
      </c>
    </row>
    <row r="2937" spans="1:16" ht="22" customHeight="1" x14ac:dyDescent="0.15">
      <c r="A2937" s="10" t="str">
        <f t="shared" si="465"/>
        <v>523_10_18_10_polygon</v>
      </c>
      <c r="B2937" s="2">
        <v>523</v>
      </c>
      <c r="C2937" s="30" t="str">
        <f>VLOOKUP(B2937,gachas!A:C,3)</f>
        <v>バレンタインガチャB&lt;フォンデュ、コルネ&gt;</v>
      </c>
      <c r="D2937" s="21">
        <v>10</v>
      </c>
      <c r="E2937" s="2">
        <f t="shared" si="466"/>
        <v>18</v>
      </c>
      <c r="F2937" s="2">
        <v>10</v>
      </c>
      <c r="G2937" s="3" t="s">
        <v>22</v>
      </c>
      <c r="H2937" s="2">
        <v>50</v>
      </c>
      <c r="I2937" s="117" t="str">
        <f t="shared" si="467"/>
        <v>523100</v>
      </c>
      <c r="J2937" s="112" t="s">
        <v>84</v>
      </c>
      <c r="K2937" s="2" t="s">
        <v>84</v>
      </c>
      <c r="L2937" s="2">
        <v>0</v>
      </c>
      <c r="M2937" s="2" t="s">
        <v>84</v>
      </c>
      <c r="N2937" s="2" t="s">
        <v>84</v>
      </c>
      <c r="O2937" s="2" t="s">
        <v>841</v>
      </c>
      <c r="P2937" s="2" t="s">
        <v>143</v>
      </c>
    </row>
    <row r="2938" spans="1:16" ht="22" customHeight="1" x14ac:dyDescent="0.15">
      <c r="A2938" s="10" t="str">
        <f t="shared" si="465"/>
        <v>523_10_19_10_polygon</v>
      </c>
      <c r="B2938" s="2">
        <v>523</v>
      </c>
      <c r="C2938" s="30" t="str">
        <f>VLOOKUP(B2938,gachas!A:C,3)</f>
        <v>バレンタインガチャB&lt;フォンデュ、コルネ&gt;</v>
      </c>
      <c r="D2938" s="21">
        <v>10</v>
      </c>
      <c r="E2938" s="2">
        <f t="shared" si="466"/>
        <v>19</v>
      </c>
      <c r="F2938" s="2">
        <v>10</v>
      </c>
      <c r="G2938" s="3" t="s">
        <v>22</v>
      </c>
      <c r="H2938" s="2">
        <v>50</v>
      </c>
      <c r="I2938" s="117" t="str">
        <f t="shared" si="467"/>
        <v>523100</v>
      </c>
      <c r="J2938" s="112" t="s">
        <v>84</v>
      </c>
      <c r="K2938" s="2" t="s">
        <v>84</v>
      </c>
      <c r="L2938" s="2">
        <v>0</v>
      </c>
      <c r="M2938" s="2" t="s">
        <v>84</v>
      </c>
      <c r="N2938" s="2" t="s">
        <v>84</v>
      </c>
      <c r="O2938" s="2" t="s">
        <v>841</v>
      </c>
      <c r="P2938" s="2" t="s">
        <v>143</v>
      </c>
    </row>
    <row r="2939" spans="1:16" ht="22" customHeight="1" x14ac:dyDescent="0.15">
      <c r="A2939" s="10" t="str">
        <f t="shared" si="465"/>
        <v>523_10_20_10_polygon</v>
      </c>
      <c r="B2939" s="2">
        <v>523</v>
      </c>
      <c r="C2939" s="30" t="str">
        <f>VLOOKUP(B2939,gachas!A:C,3)</f>
        <v>バレンタインガチャB&lt;フォンデュ、コルネ&gt;</v>
      </c>
      <c r="D2939" s="21">
        <v>10</v>
      </c>
      <c r="E2939" s="2">
        <f t="shared" si="466"/>
        <v>20</v>
      </c>
      <c r="F2939" s="2">
        <v>10</v>
      </c>
      <c r="G2939" s="3" t="s">
        <v>22</v>
      </c>
      <c r="H2939" s="2">
        <v>50</v>
      </c>
      <c r="I2939" s="117" t="str">
        <f t="shared" si="467"/>
        <v>523100</v>
      </c>
      <c r="J2939" s="112" t="s">
        <v>84</v>
      </c>
      <c r="K2939" s="117" t="str">
        <f>CONCATENATE(B2939,"105")</f>
        <v>523105</v>
      </c>
      <c r="L2939" s="2">
        <v>1</v>
      </c>
      <c r="M2939" s="2" t="s">
        <v>84</v>
      </c>
      <c r="N2939" s="2" t="s">
        <v>84</v>
      </c>
      <c r="O2939" s="2" t="s">
        <v>841</v>
      </c>
      <c r="P2939" s="2" t="s">
        <v>2627</v>
      </c>
    </row>
    <row r="2940" spans="1:16" ht="22" customHeight="1" x14ac:dyDescent="0.15">
      <c r="A2940" s="10" t="str">
        <f t="shared" si="465"/>
        <v>523_10_21_10_polygon</v>
      </c>
      <c r="B2940" s="2">
        <v>523</v>
      </c>
      <c r="C2940" s="30" t="str">
        <f>VLOOKUP(B2940,gachas!A:C,3)</f>
        <v>バレンタインガチャB&lt;フォンデュ、コルネ&gt;</v>
      </c>
      <c r="D2940" s="21">
        <v>10</v>
      </c>
      <c r="E2940" s="2">
        <f t="shared" si="466"/>
        <v>21</v>
      </c>
      <c r="F2940" s="2">
        <v>10</v>
      </c>
      <c r="G2940" s="3" t="s">
        <v>22</v>
      </c>
      <c r="H2940" s="2">
        <v>25</v>
      </c>
      <c r="I2940" s="117" t="str">
        <f t="shared" si="467"/>
        <v>523100</v>
      </c>
      <c r="J2940" s="112" t="s">
        <v>84</v>
      </c>
      <c r="K2940" s="2" t="s">
        <v>84</v>
      </c>
      <c r="L2940" s="2">
        <v>0</v>
      </c>
      <c r="M2940" s="2" t="s">
        <v>84</v>
      </c>
      <c r="N2940" s="2" t="s">
        <v>84</v>
      </c>
      <c r="O2940" s="2" t="s">
        <v>841</v>
      </c>
      <c r="P2940" s="59" t="s">
        <v>1783</v>
      </c>
    </row>
    <row r="2941" spans="1:16" ht="22" customHeight="1" x14ac:dyDescent="0.15">
      <c r="A2941" s="10" t="str">
        <f t="shared" si="465"/>
        <v>523_10_22_10_polygon</v>
      </c>
      <c r="B2941" s="2">
        <v>523</v>
      </c>
      <c r="C2941" s="30" t="str">
        <f>VLOOKUP(B2941,gachas!A:C,3)</f>
        <v>バレンタインガチャB&lt;フォンデュ、コルネ&gt;</v>
      </c>
      <c r="D2941" s="21">
        <v>10</v>
      </c>
      <c r="E2941" s="2">
        <f t="shared" si="466"/>
        <v>22</v>
      </c>
      <c r="F2941" s="2">
        <v>10</v>
      </c>
      <c r="G2941" s="3" t="s">
        <v>22</v>
      </c>
      <c r="H2941" s="2">
        <v>50</v>
      </c>
      <c r="I2941" s="117" t="str">
        <f t="shared" si="467"/>
        <v>523100</v>
      </c>
      <c r="J2941" s="112" t="s">
        <v>84</v>
      </c>
      <c r="K2941" s="2" t="s">
        <v>84</v>
      </c>
      <c r="L2941" s="2">
        <v>0</v>
      </c>
      <c r="M2941" s="2" t="s">
        <v>84</v>
      </c>
      <c r="N2941" s="2" t="s">
        <v>84</v>
      </c>
      <c r="O2941" s="2" t="s">
        <v>841</v>
      </c>
      <c r="P2941" s="2" t="s">
        <v>143</v>
      </c>
    </row>
    <row r="2942" spans="1:16" ht="22" customHeight="1" x14ac:dyDescent="0.15">
      <c r="A2942" s="10" t="str">
        <f t="shared" si="465"/>
        <v>523_10_23_10_polygon</v>
      </c>
      <c r="B2942" s="2">
        <v>523</v>
      </c>
      <c r="C2942" s="30" t="str">
        <f>VLOOKUP(B2942,gachas!A:C,3)</f>
        <v>バレンタインガチャB&lt;フォンデュ、コルネ&gt;</v>
      </c>
      <c r="D2942" s="21">
        <v>10</v>
      </c>
      <c r="E2942" s="2">
        <f t="shared" si="466"/>
        <v>23</v>
      </c>
      <c r="F2942" s="2">
        <v>10</v>
      </c>
      <c r="G2942" s="3" t="s">
        <v>22</v>
      </c>
      <c r="H2942" s="2">
        <v>50</v>
      </c>
      <c r="I2942" s="117" t="str">
        <f t="shared" si="467"/>
        <v>523100</v>
      </c>
      <c r="J2942" s="112" t="s">
        <v>84</v>
      </c>
      <c r="K2942" s="2" t="s">
        <v>84</v>
      </c>
      <c r="L2942" s="2">
        <v>0</v>
      </c>
      <c r="M2942" s="2" t="s">
        <v>84</v>
      </c>
      <c r="N2942" s="2" t="s">
        <v>84</v>
      </c>
      <c r="O2942" s="2" t="s">
        <v>841</v>
      </c>
      <c r="P2942" s="2" t="s">
        <v>143</v>
      </c>
    </row>
    <row r="2943" spans="1:16" ht="22" customHeight="1" x14ac:dyDescent="0.15">
      <c r="A2943" s="10" t="str">
        <f t="shared" si="465"/>
        <v>523_10_24_10_polygon</v>
      </c>
      <c r="B2943" s="2">
        <v>523</v>
      </c>
      <c r="C2943" s="30" t="str">
        <f>VLOOKUP(B2943,gachas!A:C,3)</f>
        <v>バレンタインガチャB&lt;フォンデュ、コルネ&gt;</v>
      </c>
      <c r="D2943" s="21">
        <v>10</v>
      </c>
      <c r="E2943" s="2">
        <f t="shared" si="466"/>
        <v>24</v>
      </c>
      <c r="F2943" s="2">
        <v>10</v>
      </c>
      <c r="G2943" s="3" t="s">
        <v>22</v>
      </c>
      <c r="H2943" s="2">
        <v>50</v>
      </c>
      <c r="I2943" s="117" t="str">
        <f t="shared" si="467"/>
        <v>523100</v>
      </c>
      <c r="J2943" s="112" t="s">
        <v>84</v>
      </c>
      <c r="K2943" s="2" t="s">
        <v>84</v>
      </c>
      <c r="L2943" s="2">
        <v>0</v>
      </c>
      <c r="M2943" s="2" t="s">
        <v>84</v>
      </c>
      <c r="N2943" s="2" t="s">
        <v>84</v>
      </c>
      <c r="O2943" s="2" t="s">
        <v>841</v>
      </c>
      <c r="P2943" s="2" t="s">
        <v>143</v>
      </c>
    </row>
    <row r="2944" spans="1:16" ht="22" customHeight="1" x14ac:dyDescent="0.15">
      <c r="A2944" s="10" t="str">
        <f t="shared" si="465"/>
        <v>523_10_25_10_polygon</v>
      </c>
      <c r="B2944" s="2">
        <v>523</v>
      </c>
      <c r="C2944" s="30" t="str">
        <f>VLOOKUP(B2944,gachas!A:C,3)</f>
        <v>バレンタインガチャB&lt;フォンデュ、コルネ&gt;</v>
      </c>
      <c r="D2944" s="21">
        <v>10</v>
      </c>
      <c r="E2944" s="2">
        <f t="shared" si="466"/>
        <v>25</v>
      </c>
      <c r="F2944" s="2">
        <v>10</v>
      </c>
      <c r="G2944" s="3" t="s">
        <v>22</v>
      </c>
      <c r="H2944" s="2">
        <v>50</v>
      </c>
      <c r="I2944" s="117" t="str">
        <f t="shared" si="467"/>
        <v>523100</v>
      </c>
      <c r="J2944" s="112" t="s">
        <v>84</v>
      </c>
      <c r="K2944" s="117" t="str">
        <f>CONCATENATE(B2944,"105")</f>
        <v>523105</v>
      </c>
      <c r="L2944" s="2">
        <v>1</v>
      </c>
      <c r="M2944" s="2" t="s">
        <v>84</v>
      </c>
      <c r="N2944" s="2" t="s">
        <v>84</v>
      </c>
      <c r="O2944" s="2" t="s">
        <v>841</v>
      </c>
      <c r="P2944" s="2" t="s">
        <v>2627</v>
      </c>
    </row>
    <row r="2945" spans="1:16" ht="22" customHeight="1" x14ac:dyDescent="0.15">
      <c r="A2945" s="10" t="str">
        <f t="shared" si="465"/>
        <v>523_10_26_10_polygon</v>
      </c>
      <c r="B2945" s="2">
        <v>523</v>
      </c>
      <c r="C2945" s="30" t="str">
        <f>VLOOKUP(B2945,gachas!A:C,3)</f>
        <v>バレンタインガチャB&lt;フォンデュ、コルネ&gt;</v>
      </c>
      <c r="D2945" s="21">
        <v>10</v>
      </c>
      <c r="E2945" s="2">
        <f t="shared" si="466"/>
        <v>26</v>
      </c>
      <c r="F2945" s="2">
        <v>10</v>
      </c>
      <c r="G2945" s="3" t="s">
        <v>22</v>
      </c>
      <c r="H2945" s="2">
        <v>25</v>
      </c>
      <c r="I2945" s="117" t="str">
        <f t="shared" si="467"/>
        <v>523100</v>
      </c>
      <c r="J2945" s="112" t="s">
        <v>84</v>
      </c>
      <c r="K2945" s="2" t="s">
        <v>84</v>
      </c>
      <c r="L2945" s="2">
        <v>0</v>
      </c>
      <c r="M2945" s="2" t="s">
        <v>84</v>
      </c>
      <c r="N2945" s="2" t="s">
        <v>84</v>
      </c>
      <c r="O2945" s="2" t="s">
        <v>841</v>
      </c>
      <c r="P2945" s="59" t="s">
        <v>1783</v>
      </c>
    </row>
    <row r="2946" spans="1:16" ht="22" customHeight="1" x14ac:dyDescent="0.15">
      <c r="A2946" s="10" t="str">
        <f t="shared" si="465"/>
        <v>523_10_27_10_polygon</v>
      </c>
      <c r="B2946" s="2">
        <v>523</v>
      </c>
      <c r="C2946" s="30" t="str">
        <f>VLOOKUP(B2946,gachas!A:C,3)</f>
        <v>バレンタインガチャB&lt;フォンデュ、コルネ&gt;</v>
      </c>
      <c r="D2946" s="21">
        <v>10</v>
      </c>
      <c r="E2946" s="2">
        <f t="shared" si="466"/>
        <v>27</v>
      </c>
      <c r="F2946" s="2">
        <v>10</v>
      </c>
      <c r="G2946" s="3" t="s">
        <v>22</v>
      </c>
      <c r="H2946" s="2">
        <v>50</v>
      </c>
      <c r="I2946" s="117" t="str">
        <f t="shared" si="467"/>
        <v>523100</v>
      </c>
      <c r="J2946" s="112" t="s">
        <v>84</v>
      </c>
      <c r="K2946" s="2" t="s">
        <v>84</v>
      </c>
      <c r="L2946" s="2">
        <v>0</v>
      </c>
      <c r="M2946" s="2" t="s">
        <v>84</v>
      </c>
      <c r="N2946" s="2" t="s">
        <v>84</v>
      </c>
      <c r="O2946" s="2" t="s">
        <v>841</v>
      </c>
      <c r="P2946" s="2" t="s">
        <v>143</v>
      </c>
    </row>
    <row r="2947" spans="1:16" ht="22" customHeight="1" x14ac:dyDescent="0.15">
      <c r="A2947" s="10" t="str">
        <f t="shared" si="465"/>
        <v>523_10_28_10_polygon</v>
      </c>
      <c r="B2947" s="2">
        <v>523</v>
      </c>
      <c r="C2947" s="30" t="str">
        <f>VLOOKUP(B2947,gachas!A:C,3)</f>
        <v>バレンタインガチャB&lt;フォンデュ、コルネ&gt;</v>
      </c>
      <c r="D2947" s="21">
        <v>10</v>
      </c>
      <c r="E2947" s="2">
        <f t="shared" si="466"/>
        <v>28</v>
      </c>
      <c r="F2947" s="2">
        <v>10</v>
      </c>
      <c r="G2947" s="3" t="s">
        <v>22</v>
      </c>
      <c r="H2947" s="2">
        <v>50</v>
      </c>
      <c r="I2947" s="117" t="str">
        <f t="shared" si="467"/>
        <v>523100</v>
      </c>
      <c r="J2947" s="112" t="s">
        <v>84</v>
      </c>
      <c r="K2947" s="2" t="s">
        <v>84</v>
      </c>
      <c r="L2947" s="2">
        <v>0</v>
      </c>
      <c r="M2947" s="2" t="s">
        <v>84</v>
      </c>
      <c r="N2947" s="2" t="s">
        <v>84</v>
      </c>
      <c r="O2947" s="2" t="s">
        <v>841</v>
      </c>
      <c r="P2947" s="2" t="s">
        <v>143</v>
      </c>
    </row>
    <row r="2948" spans="1:16" ht="22" customHeight="1" x14ac:dyDescent="0.15">
      <c r="A2948" s="10" t="str">
        <f t="shared" si="465"/>
        <v>523_10_29_10_polygon</v>
      </c>
      <c r="B2948" s="2">
        <v>523</v>
      </c>
      <c r="C2948" s="30" t="str">
        <f>VLOOKUP(B2948,gachas!A:C,3)</f>
        <v>バレンタインガチャB&lt;フォンデュ、コルネ&gt;</v>
      </c>
      <c r="D2948" s="21">
        <v>10</v>
      </c>
      <c r="E2948" s="2">
        <f t="shared" si="466"/>
        <v>29</v>
      </c>
      <c r="F2948" s="2">
        <v>10</v>
      </c>
      <c r="G2948" s="3" t="s">
        <v>22</v>
      </c>
      <c r="H2948" s="2">
        <v>50</v>
      </c>
      <c r="I2948" s="117" t="str">
        <f t="shared" si="467"/>
        <v>523100</v>
      </c>
      <c r="J2948" s="112" t="s">
        <v>84</v>
      </c>
      <c r="K2948" s="2" t="s">
        <v>84</v>
      </c>
      <c r="L2948" s="2">
        <v>0</v>
      </c>
      <c r="M2948" s="2" t="s">
        <v>84</v>
      </c>
      <c r="N2948" s="2" t="s">
        <v>84</v>
      </c>
      <c r="O2948" s="2" t="s">
        <v>841</v>
      </c>
      <c r="P2948" s="2" t="s">
        <v>143</v>
      </c>
    </row>
    <row r="2949" spans="1:16" ht="22" customHeight="1" x14ac:dyDescent="0.15">
      <c r="A2949" s="10" t="str">
        <f t="shared" si="465"/>
        <v>523_10_30_10_polygon</v>
      </c>
      <c r="B2949" s="2">
        <v>523</v>
      </c>
      <c r="C2949" s="30" t="str">
        <f>VLOOKUP(B2949,gachas!A:C,3)</f>
        <v>バレンタインガチャB&lt;フォンデュ、コルネ&gt;</v>
      </c>
      <c r="D2949" s="21">
        <v>10</v>
      </c>
      <c r="E2949" s="2">
        <f t="shared" si="466"/>
        <v>30</v>
      </c>
      <c r="F2949" s="2">
        <v>10</v>
      </c>
      <c r="G2949" s="3" t="s">
        <v>22</v>
      </c>
      <c r="H2949" s="2">
        <v>50</v>
      </c>
      <c r="I2949" s="117" t="str">
        <f t="shared" si="467"/>
        <v>523100</v>
      </c>
      <c r="J2949" s="112" t="s">
        <v>84</v>
      </c>
      <c r="K2949" s="117" t="str">
        <f>CONCATENATE(B2949,"105")</f>
        <v>523105</v>
      </c>
      <c r="L2949" s="2">
        <v>1</v>
      </c>
      <c r="M2949" s="2" t="s">
        <v>84</v>
      </c>
      <c r="N2949" s="2" t="s">
        <v>84</v>
      </c>
      <c r="O2949" s="2" t="s">
        <v>841</v>
      </c>
      <c r="P2949" s="2" t="s">
        <v>2627</v>
      </c>
    </row>
    <row r="2950" spans="1:16" ht="22" customHeight="1" x14ac:dyDescent="0.15">
      <c r="A2950" s="10" t="str">
        <f t="shared" si="465"/>
        <v>523_10_31_10_polygon</v>
      </c>
      <c r="B2950" s="2">
        <v>523</v>
      </c>
      <c r="C2950" s="30" t="str">
        <f>VLOOKUP(B2950,gachas!A:C,3)</f>
        <v>バレンタインガチャB&lt;フォンデュ、コルネ&gt;</v>
      </c>
      <c r="D2950" s="21">
        <v>10</v>
      </c>
      <c r="E2950" s="2">
        <f t="shared" si="466"/>
        <v>31</v>
      </c>
      <c r="F2950" s="2">
        <v>10</v>
      </c>
      <c r="G2950" s="3" t="s">
        <v>22</v>
      </c>
      <c r="H2950" s="2">
        <v>25</v>
      </c>
      <c r="I2950" s="117" t="str">
        <f t="shared" si="467"/>
        <v>523100</v>
      </c>
      <c r="J2950" s="112" t="s">
        <v>84</v>
      </c>
      <c r="K2950" s="2" t="s">
        <v>84</v>
      </c>
      <c r="L2950" s="2">
        <v>0</v>
      </c>
      <c r="M2950" s="2" t="s">
        <v>84</v>
      </c>
      <c r="N2950" s="2" t="s">
        <v>84</v>
      </c>
      <c r="O2950" s="2" t="s">
        <v>841</v>
      </c>
      <c r="P2950" s="59" t="s">
        <v>1783</v>
      </c>
    </row>
    <row r="2951" spans="1:16" ht="22" customHeight="1" x14ac:dyDescent="0.15">
      <c r="A2951" s="10" t="str">
        <f t="shared" ref="A2951:A3014" si="468">B2951&amp;"_"&amp;D2951&amp;"_"&amp;E2951&amp;"_"&amp;F2951&amp;"_"&amp;G2951</f>
        <v>523_10_32_10_polygon</v>
      </c>
      <c r="B2951" s="2">
        <v>523</v>
      </c>
      <c r="C2951" s="30" t="str">
        <f>VLOOKUP(B2951,gachas!A:C,3)</f>
        <v>バレンタインガチャB&lt;フォンデュ、コルネ&gt;</v>
      </c>
      <c r="D2951" s="21">
        <v>10</v>
      </c>
      <c r="E2951" s="2">
        <f t="shared" si="466"/>
        <v>32</v>
      </c>
      <c r="F2951" s="2">
        <v>10</v>
      </c>
      <c r="G2951" s="3" t="s">
        <v>22</v>
      </c>
      <c r="H2951" s="2">
        <v>50</v>
      </c>
      <c r="I2951" s="117" t="str">
        <f t="shared" si="467"/>
        <v>523100</v>
      </c>
      <c r="J2951" s="112" t="s">
        <v>84</v>
      </c>
      <c r="K2951" s="2" t="s">
        <v>84</v>
      </c>
      <c r="L2951" s="2">
        <v>0</v>
      </c>
      <c r="M2951" s="2" t="s">
        <v>84</v>
      </c>
      <c r="N2951" s="2" t="s">
        <v>84</v>
      </c>
      <c r="O2951" s="2" t="s">
        <v>841</v>
      </c>
      <c r="P2951" s="2" t="s">
        <v>143</v>
      </c>
    </row>
    <row r="2952" spans="1:16" ht="22" customHeight="1" x14ac:dyDescent="0.15">
      <c r="A2952" s="10" t="str">
        <f t="shared" si="468"/>
        <v>523_10_33_10_polygon</v>
      </c>
      <c r="B2952" s="2">
        <v>523</v>
      </c>
      <c r="C2952" s="30" t="str">
        <f>VLOOKUP(B2952,gachas!A:C,3)</f>
        <v>バレンタインガチャB&lt;フォンデュ、コルネ&gt;</v>
      </c>
      <c r="D2952" s="21">
        <v>10</v>
      </c>
      <c r="E2952" s="2">
        <f t="shared" si="466"/>
        <v>33</v>
      </c>
      <c r="F2952" s="2">
        <v>10</v>
      </c>
      <c r="G2952" s="3" t="s">
        <v>22</v>
      </c>
      <c r="H2952" s="2">
        <v>50</v>
      </c>
      <c r="I2952" s="117" t="str">
        <f t="shared" si="467"/>
        <v>523100</v>
      </c>
      <c r="J2952" s="112" t="s">
        <v>84</v>
      </c>
      <c r="K2952" s="2" t="s">
        <v>84</v>
      </c>
      <c r="L2952" s="2">
        <v>0</v>
      </c>
      <c r="M2952" s="2" t="s">
        <v>84</v>
      </c>
      <c r="N2952" s="2" t="s">
        <v>84</v>
      </c>
      <c r="O2952" s="2" t="s">
        <v>841</v>
      </c>
      <c r="P2952" s="2" t="s">
        <v>143</v>
      </c>
    </row>
    <row r="2953" spans="1:16" ht="22" customHeight="1" x14ac:dyDescent="0.15">
      <c r="A2953" s="10" t="str">
        <f t="shared" si="468"/>
        <v>523_10_34_10_polygon</v>
      </c>
      <c r="B2953" s="2">
        <v>523</v>
      </c>
      <c r="C2953" s="30" t="str">
        <f>VLOOKUP(B2953,gachas!A:C,3)</f>
        <v>バレンタインガチャB&lt;フォンデュ、コルネ&gt;</v>
      </c>
      <c r="D2953" s="21">
        <v>10</v>
      </c>
      <c r="E2953" s="2">
        <f t="shared" si="466"/>
        <v>34</v>
      </c>
      <c r="F2953" s="2">
        <v>10</v>
      </c>
      <c r="G2953" s="3" t="s">
        <v>22</v>
      </c>
      <c r="H2953" s="2">
        <v>50</v>
      </c>
      <c r="I2953" s="117" t="str">
        <f t="shared" si="467"/>
        <v>523100</v>
      </c>
      <c r="J2953" s="112" t="s">
        <v>84</v>
      </c>
      <c r="K2953" s="2" t="s">
        <v>84</v>
      </c>
      <c r="L2953" s="2">
        <v>0</v>
      </c>
      <c r="M2953" s="2" t="s">
        <v>84</v>
      </c>
      <c r="N2953" s="2" t="s">
        <v>84</v>
      </c>
      <c r="O2953" s="2" t="s">
        <v>841</v>
      </c>
      <c r="P2953" s="2" t="s">
        <v>143</v>
      </c>
    </row>
    <row r="2954" spans="1:16" ht="22" customHeight="1" x14ac:dyDescent="0.15">
      <c r="A2954" s="10" t="str">
        <f t="shared" si="468"/>
        <v>523_10_35_10_polygon</v>
      </c>
      <c r="B2954" s="2">
        <v>523</v>
      </c>
      <c r="C2954" s="30" t="str">
        <f>VLOOKUP(B2954,gachas!A:C,3)</f>
        <v>バレンタインガチャB&lt;フォンデュ、コルネ&gt;</v>
      </c>
      <c r="D2954" s="21">
        <v>10</v>
      </c>
      <c r="E2954" s="2">
        <f t="shared" si="466"/>
        <v>35</v>
      </c>
      <c r="F2954" s="2">
        <v>10</v>
      </c>
      <c r="G2954" s="3" t="s">
        <v>22</v>
      </c>
      <c r="H2954" s="2">
        <v>50</v>
      </c>
      <c r="I2954" s="117" t="str">
        <f t="shared" si="467"/>
        <v>523100</v>
      </c>
      <c r="J2954" s="112" t="s">
        <v>84</v>
      </c>
      <c r="K2954" s="117" t="str">
        <f>CONCATENATE(B2954,"105")</f>
        <v>523105</v>
      </c>
      <c r="L2954" s="2">
        <v>1</v>
      </c>
      <c r="M2954" s="2" t="s">
        <v>84</v>
      </c>
      <c r="N2954" s="2" t="s">
        <v>84</v>
      </c>
      <c r="O2954" s="2" t="s">
        <v>841</v>
      </c>
      <c r="P2954" s="2" t="s">
        <v>2627</v>
      </c>
    </row>
    <row r="2955" spans="1:16" ht="22" customHeight="1" x14ac:dyDescent="0.15">
      <c r="A2955" s="10" t="str">
        <f t="shared" si="468"/>
        <v>523_10_36_10_polygon</v>
      </c>
      <c r="B2955" s="2">
        <v>523</v>
      </c>
      <c r="C2955" s="30" t="str">
        <f>VLOOKUP(B2955,gachas!A:C,3)</f>
        <v>バレンタインガチャB&lt;フォンデュ、コルネ&gt;</v>
      </c>
      <c r="D2955" s="21">
        <v>10</v>
      </c>
      <c r="E2955" s="2">
        <f t="shared" si="466"/>
        <v>36</v>
      </c>
      <c r="F2955" s="2">
        <v>10</v>
      </c>
      <c r="G2955" s="3" t="s">
        <v>22</v>
      </c>
      <c r="H2955" s="2">
        <v>25</v>
      </c>
      <c r="I2955" s="117" t="str">
        <f t="shared" si="467"/>
        <v>523100</v>
      </c>
      <c r="J2955" s="112" t="s">
        <v>84</v>
      </c>
      <c r="K2955" s="2" t="s">
        <v>84</v>
      </c>
      <c r="L2955" s="2">
        <v>0</v>
      </c>
      <c r="M2955" s="2" t="s">
        <v>84</v>
      </c>
      <c r="N2955" s="2" t="s">
        <v>84</v>
      </c>
      <c r="O2955" s="2" t="s">
        <v>841</v>
      </c>
      <c r="P2955" s="59" t="s">
        <v>1783</v>
      </c>
    </row>
    <row r="2956" spans="1:16" ht="22" customHeight="1" x14ac:dyDescent="0.15">
      <c r="A2956" s="10" t="str">
        <f t="shared" si="468"/>
        <v>523_10_37_10_polygon</v>
      </c>
      <c r="B2956" s="2">
        <v>523</v>
      </c>
      <c r="C2956" s="30" t="str">
        <f>VLOOKUP(B2956,gachas!A:C,3)</f>
        <v>バレンタインガチャB&lt;フォンデュ、コルネ&gt;</v>
      </c>
      <c r="D2956" s="21">
        <v>10</v>
      </c>
      <c r="E2956" s="2">
        <f t="shared" si="466"/>
        <v>37</v>
      </c>
      <c r="F2956" s="2">
        <v>10</v>
      </c>
      <c r="G2956" s="3" t="s">
        <v>22</v>
      </c>
      <c r="H2956" s="2">
        <v>50</v>
      </c>
      <c r="I2956" s="117" t="str">
        <f t="shared" si="467"/>
        <v>523100</v>
      </c>
      <c r="J2956" s="112" t="s">
        <v>84</v>
      </c>
      <c r="K2956" s="2" t="s">
        <v>84</v>
      </c>
      <c r="L2956" s="2">
        <v>0</v>
      </c>
      <c r="M2956" s="2" t="s">
        <v>84</v>
      </c>
      <c r="N2956" s="2" t="s">
        <v>84</v>
      </c>
      <c r="O2956" s="2" t="s">
        <v>841</v>
      </c>
      <c r="P2956" s="2" t="s">
        <v>143</v>
      </c>
    </row>
    <row r="2957" spans="1:16" ht="22" customHeight="1" x14ac:dyDescent="0.15">
      <c r="A2957" s="10" t="str">
        <f t="shared" si="468"/>
        <v>523_10_38_10_polygon</v>
      </c>
      <c r="B2957" s="2">
        <v>523</v>
      </c>
      <c r="C2957" s="30" t="str">
        <f>VLOOKUP(B2957,gachas!A:C,3)</f>
        <v>バレンタインガチャB&lt;フォンデュ、コルネ&gt;</v>
      </c>
      <c r="D2957" s="21">
        <v>10</v>
      </c>
      <c r="E2957" s="2">
        <f t="shared" si="466"/>
        <v>38</v>
      </c>
      <c r="F2957" s="2">
        <v>10</v>
      </c>
      <c r="G2957" s="3" t="s">
        <v>22</v>
      </c>
      <c r="H2957" s="2">
        <v>50</v>
      </c>
      <c r="I2957" s="117" t="str">
        <f t="shared" si="467"/>
        <v>523100</v>
      </c>
      <c r="J2957" s="112" t="s">
        <v>84</v>
      </c>
      <c r="K2957" s="2" t="s">
        <v>84</v>
      </c>
      <c r="L2957" s="2">
        <v>0</v>
      </c>
      <c r="M2957" s="2" t="s">
        <v>84</v>
      </c>
      <c r="N2957" s="2" t="s">
        <v>84</v>
      </c>
      <c r="O2957" s="2" t="s">
        <v>841</v>
      </c>
      <c r="P2957" s="2" t="s">
        <v>143</v>
      </c>
    </row>
    <row r="2958" spans="1:16" ht="22" customHeight="1" x14ac:dyDescent="0.15">
      <c r="A2958" s="10" t="str">
        <f t="shared" si="468"/>
        <v>523_10_39_10_polygon</v>
      </c>
      <c r="B2958" s="2">
        <v>523</v>
      </c>
      <c r="C2958" s="30" t="str">
        <f>VLOOKUP(B2958,gachas!A:C,3)</f>
        <v>バレンタインガチャB&lt;フォンデュ、コルネ&gt;</v>
      </c>
      <c r="D2958" s="21">
        <v>10</v>
      </c>
      <c r="E2958" s="2">
        <f t="shared" si="466"/>
        <v>39</v>
      </c>
      <c r="F2958" s="2">
        <v>10</v>
      </c>
      <c r="G2958" s="3" t="s">
        <v>22</v>
      </c>
      <c r="H2958" s="2">
        <v>50</v>
      </c>
      <c r="I2958" s="117" t="str">
        <f t="shared" si="467"/>
        <v>523100</v>
      </c>
      <c r="J2958" s="112" t="s">
        <v>84</v>
      </c>
      <c r="K2958" s="2" t="s">
        <v>84</v>
      </c>
      <c r="L2958" s="2">
        <v>0</v>
      </c>
      <c r="M2958" s="2" t="s">
        <v>84</v>
      </c>
      <c r="N2958" s="2" t="s">
        <v>84</v>
      </c>
      <c r="O2958" s="2" t="s">
        <v>841</v>
      </c>
      <c r="P2958" s="2" t="s">
        <v>143</v>
      </c>
    </row>
    <row r="2959" spans="1:16" ht="22" customHeight="1" x14ac:dyDescent="0.15">
      <c r="A2959" s="10" t="str">
        <f t="shared" si="468"/>
        <v>523_10_40_10_polygon</v>
      </c>
      <c r="B2959" s="2">
        <v>523</v>
      </c>
      <c r="C2959" s="30" t="str">
        <f>VLOOKUP(B2959,gachas!A:C,3)</f>
        <v>バレンタインガチャB&lt;フォンデュ、コルネ&gt;</v>
      </c>
      <c r="D2959" s="21">
        <v>10</v>
      </c>
      <c r="E2959" s="2">
        <f t="shared" si="466"/>
        <v>40</v>
      </c>
      <c r="F2959" s="2">
        <v>10</v>
      </c>
      <c r="G2959" s="3" t="s">
        <v>22</v>
      </c>
      <c r="H2959" s="2">
        <v>50</v>
      </c>
      <c r="I2959" s="117" t="str">
        <f t="shared" si="467"/>
        <v>523100</v>
      </c>
      <c r="J2959" s="112" t="s">
        <v>84</v>
      </c>
      <c r="K2959" s="117" t="str">
        <f>CONCATENATE(B2959,"105")</f>
        <v>523105</v>
      </c>
      <c r="L2959" s="2">
        <v>1</v>
      </c>
      <c r="M2959" s="2" t="s">
        <v>84</v>
      </c>
      <c r="N2959" s="2" t="s">
        <v>84</v>
      </c>
      <c r="O2959" s="2" t="s">
        <v>841</v>
      </c>
      <c r="P2959" s="2" t="s">
        <v>2627</v>
      </c>
    </row>
    <row r="2960" spans="1:16" ht="22" customHeight="1" x14ac:dyDescent="0.15">
      <c r="A2960" s="10" t="str">
        <f t="shared" si="468"/>
        <v>523_10_41_10_polygon</v>
      </c>
      <c r="B2960" s="2">
        <v>523</v>
      </c>
      <c r="C2960" s="30" t="str">
        <f>VLOOKUP(B2960,gachas!A:C,3)</f>
        <v>バレンタインガチャB&lt;フォンデュ、コルネ&gt;</v>
      </c>
      <c r="D2960" s="21">
        <v>10</v>
      </c>
      <c r="E2960" s="2">
        <f t="shared" si="466"/>
        <v>41</v>
      </c>
      <c r="F2960" s="2">
        <v>10</v>
      </c>
      <c r="G2960" s="3" t="s">
        <v>22</v>
      </c>
      <c r="H2960" s="2">
        <v>25</v>
      </c>
      <c r="I2960" s="117" t="str">
        <f t="shared" si="467"/>
        <v>523100</v>
      </c>
      <c r="J2960" s="112" t="s">
        <v>84</v>
      </c>
      <c r="K2960" s="2" t="s">
        <v>84</v>
      </c>
      <c r="L2960" s="2">
        <v>0</v>
      </c>
      <c r="M2960" s="2" t="s">
        <v>84</v>
      </c>
      <c r="N2960" s="2" t="s">
        <v>84</v>
      </c>
      <c r="O2960" s="2" t="s">
        <v>841</v>
      </c>
      <c r="P2960" s="59" t="s">
        <v>1783</v>
      </c>
    </row>
    <row r="2961" spans="1:16" ht="22" customHeight="1" x14ac:dyDescent="0.15">
      <c r="A2961" s="10" t="str">
        <f t="shared" si="468"/>
        <v>523_10_42_10_polygon</v>
      </c>
      <c r="B2961" s="2">
        <v>523</v>
      </c>
      <c r="C2961" s="30" t="str">
        <f>VLOOKUP(B2961,gachas!A:C,3)</f>
        <v>バレンタインガチャB&lt;フォンデュ、コルネ&gt;</v>
      </c>
      <c r="D2961" s="21">
        <v>10</v>
      </c>
      <c r="E2961" s="2">
        <f t="shared" si="466"/>
        <v>42</v>
      </c>
      <c r="F2961" s="2">
        <v>10</v>
      </c>
      <c r="G2961" s="3" t="s">
        <v>22</v>
      </c>
      <c r="H2961" s="2">
        <v>50</v>
      </c>
      <c r="I2961" s="117" t="str">
        <f t="shared" si="467"/>
        <v>523100</v>
      </c>
      <c r="J2961" s="112" t="s">
        <v>84</v>
      </c>
      <c r="K2961" s="2" t="s">
        <v>84</v>
      </c>
      <c r="L2961" s="2">
        <v>0</v>
      </c>
      <c r="M2961" s="2" t="s">
        <v>84</v>
      </c>
      <c r="N2961" s="2" t="s">
        <v>84</v>
      </c>
      <c r="O2961" s="2" t="s">
        <v>841</v>
      </c>
      <c r="P2961" s="2" t="s">
        <v>143</v>
      </c>
    </row>
    <row r="2962" spans="1:16" ht="22" customHeight="1" x14ac:dyDescent="0.15">
      <c r="A2962" s="10" t="str">
        <f t="shared" si="468"/>
        <v>523_10_43_10_polygon</v>
      </c>
      <c r="B2962" s="2">
        <v>523</v>
      </c>
      <c r="C2962" s="30" t="str">
        <f>VLOOKUP(B2962,gachas!A:C,3)</f>
        <v>バレンタインガチャB&lt;フォンデュ、コルネ&gt;</v>
      </c>
      <c r="D2962" s="21">
        <v>10</v>
      </c>
      <c r="E2962" s="2">
        <f t="shared" si="466"/>
        <v>43</v>
      </c>
      <c r="F2962" s="2">
        <v>10</v>
      </c>
      <c r="G2962" s="3" t="s">
        <v>22</v>
      </c>
      <c r="H2962" s="2">
        <v>50</v>
      </c>
      <c r="I2962" s="117" t="str">
        <f t="shared" si="467"/>
        <v>523100</v>
      </c>
      <c r="J2962" s="112" t="s">
        <v>84</v>
      </c>
      <c r="K2962" s="2" t="s">
        <v>84</v>
      </c>
      <c r="L2962" s="2">
        <v>0</v>
      </c>
      <c r="M2962" s="2" t="s">
        <v>84</v>
      </c>
      <c r="N2962" s="2" t="s">
        <v>84</v>
      </c>
      <c r="O2962" s="2" t="s">
        <v>841</v>
      </c>
      <c r="P2962" s="2" t="s">
        <v>143</v>
      </c>
    </row>
    <row r="2963" spans="1:16" ht="22" customHeight="1" x14ac:dyDescent="0.15">
      <c r="A2963" s="10" t="str">
        <f t="shared" si="468"/>
        <v>523_10_44_10_polygon</v>
      </c>
      <c r="B2963" s="2">
        <v>523</v>
      </c>
      <c r="C2963" s="30" t="str">
        <f>VLOOKUP(B2963,gachas!A:C,3)</f>
        <v>バレンタインガチャB&lt;フォンデュ、コルネ&gt;</v>
      </c>
      <c r="D2963" s="21">
        <v>10</v>
      </c>
      <c r="E2963" s="2">
        <f t="shared" si="466"/>
        <v>44</v>
      </c>
      <c r="F2963" s="2">
        <v>10</v>
      </c>
      <c r="G2963" s="3" t="s">
        <v>22</v>
      </c>
      <c r="H2963" s="2">
        <v>50</v>
      </c>
      <c r="I2963" s="117" t="str">
        <f t="shared" si="467"/>
        <v>523100</v>
      </c>
      <c r="J2963" s="112" t="s">
        <v>84</v>
      </c>
      <c r="K2963" s="2" t="s">
        <v>84</v>
      </c>
      <c r="L2963" s="2">
        <v>0</v>
      </c>
      <c r="M2963" s="2" t="s">
        <v>84</v>
      </c>
      <c r="N2963" s="2" t="s">
        <v>84</v>
      </c>
      <c r="O2963" s="2" t="s">
        <v>841</v>
      </c>
      <c r="P2963" s="2" t="s">
        <v>143</v>
      </c>
    </row>
    <row r="2964" spans="1:16" ht="22" customHeight="1" x14ac:dyDescent="0.15">
      <c r="A2964" s="10" t="str">
        <f t="shared" si="468"/>
        <v>523_10_45_10_polygon</v>
      </c>
      <c r="B2964" s="2">
        <v>523</v>
      </c>
      <c r="C2964" s="30" t="str">
        <f>VLOOKUP(B2964,gachas!A:C,3)</f>
        <v>バレンタインガチャB&lt;フォンデュ、コルネ&gt;</v>
      </c>
      <c r="D2964" s="21">
        <v>10</v>
      </c>
      <c r="E2964" s="2">
        <f t="shared" si="466"/>
        <v>45</v>
      </c>
      <c r="F2964" s="2">
        <v>10</v>
      </c>
      <c r="G2964" s="3" t="s">
        <v>22</v>
      </c>
      <c r="H2964" s="2">
        <v>50</v>
      </c>
      <c r="I2964" s="117" t="str">
        <f t="shared" si="467"/>
        <v>523100</v>
      </c>
      <c r="J2964" s="112" t="s">
        <v>84</v>
      </c>
      <c r="K2964" s="117" t="str">
        <f>CONCATENATE(B2964,"105")</f>
        <v>523105</v>
      </c>
      <c r="L2964" s="2">
        <v>1</v>
      </c>
      <c r="M2964" s="2" t="s">
        <v>84</v>
      </c>
      <c r="N2964" s="2" t="s">
        <v>84</v>
      </c>
      <c r="O2964" s="2" t="s">
        <v>841</v>
      </c>
      <c r="P2964" s="2" t="s">
        <v>2627</v>
      </c>
    </row>
    <row r="2965" spans="1:16" ht="22" customHeight="1" x14ac:dyDescent="0.15">
      <c r="A2965" s="10" t="str">
        <f t="shared" si="468"/>
        <v>523_10_46_10_polygon</v>
      </c>
      <c r="B2965" s="2">
        <v>523</v>
      </c>
      <c r="C2965" s="30" t="str">
        <f>VLOOKUP(B2965,gachas!A:C,3)</f>
        <v>バレンタインガチャB&lt;フォンデュ、コルネ&gt;</v>
      </c>
      <c r="D2965" s="21">
        <v>10</v>
      </c>
      <c r="E2965" s="2">
        <f t="shared" si="466"/>
        <v>46</v>
      </c>
      <c r="F2965" s="2">
        <v>10</v>
      </c>
      <c r="G2965" s="3" t="s">
        <v>22</v>
      </c>
      <c r="H2965" s="2">
        <v>25</v>
      </c>
      <c r="I2965" s="117" t="str">
        <f t="shared" si="467"/>
        <v>523100</v>
      </c>
      <c r="J2965" s="112" t="s">
        <v>84</v>
      </c>
      <c r="K2965" s="2" t="s">
        <v>84</v>
      </c>
      <c r="L2965" s="2">
        <v>0</v>
      </c>
      <c r="M2965" s="2" t="s">
        <v>84</v>
      </c>
      <c r="N2965" s="2" t="s">
        <v>84</v>
      </c>
      <c r="O2965" s="2" t="s">
        <v>841</v>
      </c>
      <c r="P2965" s="59" t="s">
        <v>1783</v>
      </c>
    </row>
    <row r="2966" spans="1:16" ht="22" customHeight="1" x14ac:dyDescent="0.15">
      <c r="A2966" s="10" t="str">
        <f t="shared" si="468"/>
        <v>523_10_47_10_polygon</v>
      </c>
      <c r="B2966" s="2">
        <v>523</v>
      </c>
      <c r="C2966" s="30" t="str">
        <f>VLOOKUP(B2966,gachas!A:C,3)</f>
        <v>バレンタインガチャB&lt;フォンデュ、コルネ&gt;</v>
      </c>
      <c r="D2966" s="21">
        <v>10</v>
      </c>
      <c r="E2966" s="2">
        <f t="shared" si="466"/>
        <v>47</v>
      </c>
      <c r="F2966" s="2">
        <v>10</v>
      </c>
      <c r="G2966" s="3" t="s">
        <v>22</v>
      </c>
      <c r="H2966" s="2">
        <v>50</v>
      </c>
      <c r="I2966" s="117" t="str">
        <f t="shared" si="467"/>
        <v>523100</v>
      </c>
      <c r="J2966" s="112" t="s">
        <v>84</v>
      </c>
      <c r="K2966" s="2" t="s">
        <v>84</v>
      </c>
      <c r="L2966" s="2">
        <v>0</v>
      </c>
      <c r="M2966" s="2" t="s">
        <v>84</v>
      </c>
      <c r="N2966" s="2" t="s">
        <v>84</v>
      </c>
      <c r="O2966" s="2" t="s">
        <v>841</v>
      </c>
      <c r="P2966" s="2" t="s">
        <v>143</v>
      </c>
    </row>
    <row r="2967" spans="1:16" ht="22" customHeight="1" x14ac:dyDescent="0.15">
      <c r="A2967" s="10" t="str">
        <f t="shared" si="468"/>
        <v>523_10_48_10_polygon</v>
      </c>
      <c r="B2967" s="2">
        <v>523</v>
      </c>
      <c r="C2967" s="30" t="str">
        <f>VLOOKUP(B2967,gachas!A:C,3)</f>
        <v>バレンタインガチャB&lt;フォンデュ、コルネ&gt;</v>
      </c>
      <c r="D2967" s="21">
        <v>10</v>
      </c>
      <c r="E2967" s="2">
        <f t="shared" si="466"/>
        <v>48</v>
      </c>
      <c r="F2967" s="2">
        <v>10</v>
      </c>
      <c r="G2967" s="3" t="s">
        <v>22</v>
      </c>
      <c r="H2967" s="2">
        <v>50</v>
      </c>
      <c r="I2967" s="117" t="str">
        <f t="shared" si="467"/>
        <v>523100</v>
      </c>
      <c r="J2967" s="112" t="s">
        <v>84</v>
      </c>
      <c r="K2967" s="2" t="s">
        <v>84</v>
      </c>
      <c r="L2967" s="2">
        <v>0</v>
      </c>
      <c r="M2967" s="2" t="s">
        <v>84</v>
      </c>
      <c r="N2967" s="2" t="s">
        <v>84</v>
      </c>
      <c r="O2967" s="2" t="s">
        <v>841</v>
      </c>
      <c r="P2967" s="2" t="s">
        <v>143</v>
      </c>
    </row>
    <row r="2968" spans="1:16" ht="22" customHeight="1" x14ac:dyDescent="0.15">
      <c r="A2968" s="10" t="str">
        <f t="shared" si="468"/>
        <v>523_10_49_10_polygon</v>
      </c>
      <c r="B2968" s="2">
        <v>523</v>
      </c>
      <c r="C2968" s="30" t="str">
        <f>VLOOKUP(B2968,gachas!A:C,3)</f>
        <v>バレンタインガチャB&lt;フォンデュ、コルネ&gt;</v>
      </c>
      <c r="D2968" s="21">
        <v>10</v>
      </c>
      <c r="E2968" s="2">
        <f t="shared" si="466"/>
        <v>49</v>
      </c>
      <c r="F2968" s="2">
        <v>10</v>
      </c>
      <c r="G2968" s="3" t="s">
        <v>22</v>
      </c>
      <c r="H2968" s="2">
        <v>50</v>
      </c>
      <c r="I2968" s="117" t="str">
        <f t="shared" si="467"/>
        <v>523100</v>
      </c>
      <c r="J2968" s="112" t="s">
        <v>84</v>
      </c>
      <c r="K2968" s="2" t="s">
        <v>84</v>
      </c>
      <c r="L2968" s="2">
        <v>0</v>
      </c>
      <c r="M2968" s="2" t="s">
        <v>84</v>
      </c>
      <c r="N2968" s="2" t="s">
        <v>84</v>
      </c>
      <c r="O2968" s="2" t="s">
        <v>841</v>
      </c>
      <c r="P2968" s="2" t="s">
        <v>143</v>
      </c>
    </row>
    <row r="2969" spans="1:16" ht="22" customHeight="1" x14ac:dyDescent="0.15">
      <c r="A2969" s="10" t="str">
        <f t="shared" si="468"/>
        <v>523_10_50_10_polygon</v>
      </c>
      <c r="B2969" s="2">
        <v>523</v>
      </c>
      <c r="C2969" s="30" t="str">
        <f>VLOOKUP(B2969,gachas!A:C,3)</f>
        <v>バレンタインガチャB&lt;フォンデュ、コルネ&gt;</v>
      </c>
      <c r="D2969" s="21">
        <v>10</v>
      </c>
      <c r="E2969" s="2">
        <f t="shared" si="466"/>
        <v>50</v>
      </c>
      <c r="F2969" s="2">
        <v>10</v>
      </c>
      <c r="G2969" s="3" t="s">
        <v>22</v>
      </c>
      <c r="H2969" s="2">
        <v>50</v>
      </c>
      <c r="I2969" s="117" t="str">
        <f t="shared" si="467"/>
        <v>523100</v>
      </c>
      <c r="J2969" s="112" t="s">
        <v>84</v>
      </c>
      <c r="K2969" s="117" t="str">
        <f>CONCATENATE(B2969,"105")</f>
        <v>523105</v>
      </c>
      <c r="L2969" s="2">
        <v>1</v>
      </c>
      <c r="M2969" s="2" t="s">
        <v>84</v>
      </c>
      <c r="N2969" s="2" t="s">
        <v>84</v>
      </c>
      <c r="O2969" s="2" t="s">
        <v>841</v>
      </c>
      <c r="P2969" s="2" t="s">
        <v>2627</v>
      </c>
    </row>
    <row r="2970" spans="1:16" ht="22" customHeight="1" x14ac:dyDescent="0.15">
      <c r="A2970" s="10" t="str">
        <f t="shared" si="468"/>
        <v>524_1_0_1_polygon</v>
      </c>
      <c r="B2970" s="2">
        <v>524</v>
      </c>
      <c r="C2970" s="30" t="str">
        <f>VLOOKUP(B2970,gachas!A:C,3)</f>
        <v>フィーバーフェス（1日目）</v>
      </c>
      <c r="D2970" s="21">
        <v>1</v>
      </c>
      <c r="E2970" s="2">
        <v>0</v>
      </c>
      <c r="F2970" s="2">
        <v>1</v>
      </c>
      <c r="G2970" s="3" t="s">
        <v>22</v>
      </c>
      <c r="H2970" s="2">
        <v>5</v>
      </c>
      <c r="I2970" s="114" t="str">
        <f>CONCATENATE(B2970,IF(D2970=1,"01","10"),0)</f>
        <v>524010</v>
      </c>
      <c r="J2970" s="112" t="s">
        <v>84</v>
      </c>
      <c r="K2970" s="112" t="s">
        <v>84</v>
      </c>
      <c r="L2970" s="2">
        <v>0</v>
      </c>
      <c r="M2970" s="2" t="s">
        <v>84</v>
      </c>
      <c r="N2970" s="2" t="s">
        <v>84</v>
      </c>
      <c r="O2970" s="2" t="s">
        <v>841</v>
      </c>
      <c r="P2970" s="2" t="s">
        <v>84</v>
      </c>
    </row>
    <row r="2971" spans="1:16" ht="22" customHeight="1" x14ac:dyDescent="0.15">
      <c r="A2971" s="10" t="str">
        <f t="shared" si="468"/>
        <v>524_10_0_10_polygon</v>
      </c>
      <c r="B2971" s="2">
        <v>524</v>
      </c>
      <c r="C2971" s="30" t="str">
        <f>VLOOKUP(B2971,gachas!A:C,3)</f>
        <v>フィーバーフェス（1日目）</v>
      </c>
      <c r="D2971" s="21">
        <v>10</v>
      </c>
      <c r="E2971" s="2">
        <v>0</v>
      </c>
      <c r="F2971" s="2">
        <v>10</v>
      </c>
      <c r="G2971" s="3" t="s">
        <v>22</v>
      </c>
      <c r="H2971" s="2">
        <v>50</v>
      </c>
      <c r="I2971" s="114" t="str">
        <f>CONCATENATE(B2971,IF(D2971=1,"01","10"),0)</f>
        <v>524100</v>
      </c>
      <c r="J2971" s="112" t="s">
        <v>84</v>
      </c>
      <c r="K2971" s="112" t="str">
        <f t="shared" ref="K2971:K3021" si="469">I2971</f>
        <v>524100</v>
      </c>
      <c r="L2971" s="2">
        <v>1</v>
      </c>
      <c r="M2971" s="2" t="s">
        <v>84</v>
      </c>
      <c r="N2971" s="2" t="s">
        <v>84</v>
      </c>
      <c r="O2971" s="2" t="s">
        <v>841</v>
      </c>
      <c r="P2971" s="2" t="s">
        <v>2571</v>
      </c>
    </row>
    <row r="2972" spans="1:16" ht="22" customHeight="1" x14ac:dyDescent="0.15">
      <c r="A2972" s="10" t="str">
        <f t="shared" si="468"/>
        <v>524_10_1_10_polygon</v>
      </c>
      <c r="B2972" s="2">
        <v>524</v>
      </c>
      <c r="C2972" s="30" t="str">
        <f>VLOOKUP(B2972,gachas!A:C,3)</f>
        <v>フィーバーフェス（1日目）</v>
      </c>
      <c r="D2972" s="21">
        <v>10</v>
      </c>
      <c r="E2972" s="2">
        <f>E2971+1</f>
        <v>1</v>
      </c>
      <c r="F2972" s="2">
        <v>10</v>
      </c>
      <c r="G2972" s="3" t="s">
        <v>22</v>
      </c>
      <c r="H2972" s="2">
        <v>50</v>
      </c>
      <c r="I2972" s="114" t="str">
        <f>CONCATENATE(B2972,IF(D2972=1,"01","10"),0)</f>
        <v>524100</v>
      </c>
      <c r="J2972" s="112" t="s">
        <v>84</v>
      </c>
      <c r="K2972" s="112" t="str">
        <f t="shared" si="469"/>
        <v>524100</v>
      </c>
      <c r="L2972" s="2">
        <v>1</v>
      </c>
      <c r="M2972" s="2" t="s">
        <v>84</v>
      </c>
      <c r="N2972" s="2" t="s">
        <v>84</v>
      </c>
      <c r="O2972" s="2" t="s">
        <v>841</v>
      </c>
      <c r="P2972" s="2" t="s">
        <v>2571</v>
      </c>
    </row>
    <row r="2973" spans="1:16" ht="22" customHeight="1" x14ac:dyDescent="0.15">
      <c r="A2973" s="10" t="str">
        <f t="shared" si="468"/>
        <v>524_10_2_10_polygon</v>
      </c>
      <c r="B2973" s="2">
        <v>524</v>
      </c>
      <c r="C2973" s="30" t="str">
        <f>VLOOKUP(B2973,gachas!A:C,3)</f>
        <v>フィーバーフェス（1日目）</v>
      </c>
      <c r="D2973" s="21">
        <v>10</v>
      </c>
      <c r="E2973" s="2">
        <f t="shared" ref="E2973:E3021" si="470">E2972+1</f>
        <v>2</v>
      </c>
      <c r="F2973" s="2">
        <v>10</v>
      </c>
      <c r="G2973" s="3" t="s">
        <v>22</v>
      </c>
      <c r="H2973" s="2">
        <v>50</v>
      </c>
      <c r="I2973" s="114" t="str">
        <f t="shared" ref="I2973:I3036" si="471">CONCATENATE(B2973,IF(D2973=1,"01","10"),0)</f>
        <v>524100</v>
      </c>
      <c r="J2973" s="112" t="s">
        <v>84</v>
      </c>
      <c r="K2973" s="112" t="str">
        <f t="shared" si="469"/>
        <v>524100</v>
      </c>
      <c r="L2973" s="2">
        <v>1</v>
      </c>
      <c r="M2973" s="2" t="s">
        <v>84</v>
      </c>
      <c r="N2973" s="2" t="s">
        <v>84</v>
      </c>
      <c r="O2973" s="2" t="s">
        <v>841</v>
      </c>
      <c r="P2973" s="2" t="s">
        <v>2571</v>
      </c>
    </row>
    <row r="2974" spans="1:16" ht="22" customHeight="1" x14ac:dyDescent="0.15">
      <c r="A2974" s="10" t="str">
        <f t="shared" si="468"/>
        <v>524_10_3_10_polygon</v>
      </c>
      <c r="B2974" s="2">
        <v>524</v>
      </c>
      <c r="C2974" s="30" t="str">
        <f>VLOOKUP(B2974,gachas!A:C,3)</f>
        <v>フィーバーフェス（1日目）</v>
      </c>
      <c r="D2974" s="21">
        <v>10</v>
      </c>
      <c r="E2974" s="2">
        <f t="shared" si="470"/>
        <v>3</v>
      </c>
      <c r="F2974" s="2">
        <v>10</v>
      </c>
      <c r="G2974" s="3" t="s">
        <v>22</v>
      </c>
      <c r="H2974" s="2">
        <v>50</v>
      </c>
      <c r="I2974" s="114" t="str">
        <f t="shared" si="471"/>
        <v>524100</v>
      </c>
      <c r="J2974" s="112" t="s">
        <v>84</v>
      </c>
      <c r="K2974" s="112" t="str">
        <f t="shared" si="469"/>
        <v>524100</v>
      </c>
      <c r="L2974" s="2">
        <v>1</v>
      </c>
      <c r="M2974" s="2" t="s">
        <v>84</v>
      </c>
      <c r="N2974" s="2" t="s">
        <v>84</v>
      </c>
      <c r="O2974" s="2" t="s">
        <v>841</v>
      </c>
      <c r="P2974" s="2" t="s">
        <v>2571</v>
      </c>
    </row>
    <row r="2975" spans="1:16" ht="22" customHeight="1" x14ac:dyDescent="0.15">
      <c r="A2975" s="10" t="str">
        <f t="shared" si="468"/>
        <v>524_10_4_10_polygon</v>
      </c>
      <c r="B2975" s="2">
        <v>524</v>
      </c>
      <c r="C2975" s="30" t="str">
        <f>VLOOKUP(B2975,gachas!A:C,3)</f>
        <v>フィーバーフェス（1日目）</v>
      </c>
      <c r="D2975" s="21">
        <v>10</v>
      </c>
      <c r="E2975" s="2">
        <f t="shared" si="470"/>
        <v>4</v>
      </c>
      <c r="F2975" s="2">
        <v>10</v>
      </c>
      <c r="G2975" s="3" t="s">
        <v>22</v>
      </c>
      <c r="H2975" s="2">
        <v>50</v>
      </c>
      <c r="I2975" s="114" t="str">
        <f t="shared" si="471"/>
        <v>524100</v>
      </c>
      <c r="J2975" s="112" t="s">
        <v>84</v>
      </c>
      <c r="K2975" s="112" t="str">
        <f t="shared" si="469"/>
        <v>524100</v>
      </c>
      <c r="L2975" s="2">
        <v>1</v>
      </c>
      <c r="M2975" s="2" t="s">
        <v>84</v>
      </c>
      <c r="N2975" s="2" t="s">
        <v>84</v>
      </c>
      <c r="O2975" s="2" t="s">
        <v>841</v>
      </c>
      <c r="P2975" s="2" t="s">
        <v>2571</v>
      </c>
    </row>
    <row r="2976" spans="1:16" ht="22" customHeight="1" x14ac:dyDescent="0.15">
      <c r="A2976" s="10" t="str">
        <f t="shared" si="468"/>
        <v>524_10_5_10_polygon</v>
      </c>
      <c r="B2976" s="2">
        <v>524</v>
      </c>
      <c r="C2976" s="30" t="str">
        <f>VLOOKUP(B2976,gachas!A:C,3)</f>
        <v>フィーバーフェス（1日目）</v>
      </c>
      <c r="D2976" s="21">
        <v>10</v>
      </c>
      <c r="E2976" s="2">
        <f t="shared" si="470"/>
        <v>5</v>
      </c>
      <c r="F2976" s="2">
        <v>10</v>
      </c>
      <c r="G2976" s="3" t="s">
        <v>22</v>
      </c>
      <c r="H2976" s="2">
        <v>50</v>
      </c>
      <c r="I2976" s="114" t="str">
        <f t="shared" si="471"/>
        <v>524100</v>
      </c>
      <c r="J2976" s="112" t="str">
        <f>CONCATENATE(B2976,D2976,5)</f>
        <v>524105</v>
      </c>
      <c r="K2976" s="112" t="str">
        <f t="shared" si="469"/>
        <v>524100</v>
      </c>
      <c r="L2976" s="2">
        <v>1</v>
      </c>
      <c r="M2976" s="2" t="s">
        <v>84</v>
      </c>
      <c r="N2976" s="2" t="s">
        <v>84</v>
      </c>
      <c r="O2976" s="2" t="s">
        <v>841</v>
      </c>
      <c r="P2976" s="2" t="s">
        <v>2648</v>
      </c>
    </row>
    <row r="2977" spans="1:16" ht="22" customHeight="1" x14ac:dyDescent="0.15">
      <c r="A2977" s="10" t="str">
        <f t="shared" si="468"/>
        <v>524_10_6_10_polygon</v>
      </c>
      <c r="B2977" s="2">
        <v>524</v>
      </c>
      <c r="C2977" s="30" t="str">
        <f>VLOOKUP(B2977,gachas!A:C,3)</f>
        <v>フィーバーフェス（1日目）</v>
      </c>
      <c r="D2977" s="21">
        <v>10</v>
      </c>
      <c r="E2977" s="2">
        <f t="shared" si="470"/>
        <v>6</v>
      </c>
      <c r="F2977" s="2">
        <v>10</v>
      </c>
      <c r="G2977" s="3" t="s">
        <v>22</v>
      </c>
      <c r="H2977" s="2">
        <v>50</v>
      </c>
      <c r="I2977" s="114" t="str">
        <f t="shared" si="471"/>
        <v>524100</v>
      </c>
      <c r="J2977" s="112" t="s">
        <v>84</v>
      </c>
      <c r="K2977" s="112" t="str">
        <f t="shared" si="469"/>
        <v>524100</v>
      </c>
      <c r="L2977" s="2">
        <v>1</v>
      </c>
      <c r="M2977" s="2" t="s">
        <v>84</v>
      </c>
      <c r="N2977" s="2" t="s">
        <v>84</v>
      </c>
      <c r="O2977" s="2" t="s">
        <v>841</v>
      </c>
      <c r="P2977" s="2" t="s">
        <v>2571</v>
      </c>
    </row>
    <row r="2978" spans="1:16" ht="22" customHeight="1" x14ac:dyDescent="0.15">
      <c r="A2978" s="10" t="str">
        <f t="shared" si="468"/>
        <v>524_10_7_10_polygon</v>
      </c>
      <c r="B2978" s="2">
        <v>524</v>
      </c>
      <c r="C2978" s="30" t="str">
        <f>VLOOKUP(B2978,gachas!A:C,3)</f>
        <v>フィーバーフェス（1日目）</v>
      </c>
      <c r="D2978" s="21">
        <v>10</v>
      </c>
      <c r="E2978" s="2">
        <f t="shared" si="470"/>
        <v>7</v>
      </c>
      <c r="F2978" s="2">
        <v>10</v>
      </c>
      <c r="G2978" s="3" t="s">
        <v>22</v>
      </c>
      <c r="H2978" s="2">
        <v>50</v>
      </c>
      <c r="I2978" s="114" t="str">
        <f t="shared" si="471"/>
        <v>524100</v>
      </c>
      <c r="J2978" s="112" t="s">
        <v>84</v>
      </c>
      <c r="K2978" s="112" t="str">
        <f t="shared" si="469"/>
        <v>524100</v>
      </c>
      <c r="L2978" s="2">
        <v>1</v>
      </c>
      <c r="M2978" s="2" t="s">
        <v>84</v>
      </c>
      <c r="N2978" s="2" t="s">
        <v>84</v>
      </c>
      <c r="O2978" s="2" t="s">
        <v>841</v>
      </c>
      <c r="P2978" s="2" t="s">
        <v>2571</v>
      </c>
    </row>
    <row r="2979" spans="1:16" ht="22" customHeight="1" x14ac:dyDescent="0.15">
      <c r="A2979" s="10" t="str">
        <f t="shared" si="468"/>
        <v>524_10_8_10_polygon</v>
      </c>
      <c r="B2979" s="2">
        <v>524</v>
      </c>
      <c r="C2979" s="30" t="str">
        <f>VLOOKUP(B2979,gachas!A:C,3)</f>
        <v>フィーバーフェス（1日目）</v>
      </c>
      <c r="D2979" s="21">
        <v>10</v>
      </c>
      <c r="E2979" s="2">
        <f t="shared" si="470"/>
        <v>8</v>
      </c>
      <c r="F2979" s="2">
        <v>10</v>
      </c>
      <c r="G2979" s="3" t="s">
        <v>22</v>
      </c>
      <c r="H2979" s="2">
        <v>50</v>
      </c>
      <c r="I2979" s="114" t="str">
        <f t="shared" si="471"/>
        <v>524100</v>
      </c>
      <c r="J2979" s="112" t="s">
        <v>84</v>
      </c>
      <c r="K2979" s="112" t="str">
        <f t="shared" si="469"/>
        <v>524100</v>
      </c>
      <c r="L2979" s="2">
        <v>1</v>
      </c>
      <c r="M2979" s="2" t="s">
        <v>84</v>
      </c>
      <c r="N2979" s="2" t="s">
        <v>84</v>
      </c>
      <c r="O2979" s="2" t="s">
        <v>841</v>
      </c>
      <c r="P2979" s="2" t="s">
        <v>2571</v>
      </c>
    </row>
    <row r="2980" spans="1:16" ht="22" customHeight="1" x14ac:dyDescent="0.15">
      <c r="A2980" s="10" t="str">
        <f t="shared" si="468"/>
        <v>524_10_9_10_polygon</v>
      </c>
      <c r="B2980" s="2">
        <v>524</v>
      </c>
      <c r="C2980" s="30" t="str">
        <f>VLOOKUP(B2980,gachas!A:C,3)</f>
        <v>フィーバーフェス（1日目）</v>
      </c>
      <c r="D2980" s="21">
        <v>10</v>
      </c>
      <c r="E2980" s="2">
        <f t="shared" si="470"/>
        <v>9</v>
      </c>
      <c r="F2980" s="2">
        <v>10</v>
      </c>
      <c r="G2980" s="3" t="s">
        <v>22</v>
      </c>
      <c r="H2980" s="2">
        <v>50</v>
      </c>
      <c r="I2980" s="114" t="str">
        <f t="shared" si="471"/>
        <v>524100</v>
      </c>
      <c r="J2980" s="112" t="s">
        <v>84</v>
      </c>
      <c r="K2980" s="112" t="str">
        <f t="shared" si="469"/>
        <v>524100</v>
      </c>
      <c r="L2980" s="2">
        <v>1</v>
      </c>
      <c r="M2980" s="2" t="s">
        <v>84</v>
      </c>
      <c r="N2980" s="2" t="s">
        <v>84</v>
      </c>
      <c r="O2980" s="2" t="s">
        <v>841</v>
      </c>
      <c r="P2980" s="2" t="s">
        <v>2571</v>
      </c>
    </row>
    <row r="2981" spans="1:16" ht="22" customHeight="1" x14ac:dyDescent="0.15">
      <c r="A2981" s="10" t="str">
        <f t="shared" si="468"/>
        <v>524_10_10_10_polygon</v>
      </c>
      <c r="B2981" s="2">
        <v>524</v>
      </c>
      <c r="C2981" s="30" t="str">
        <f>VLOOKUP(B2981,gachas!A:C,3)</f>
        <v>フィーバーフェス（1日目）</v>
      </c>
      <c r="D2981" s="21">
        <v>10</v>
      </c>
      <c r="E2981" s="2">
        <f t="shared" si="470"/>
        <v>10</v>
      </c>
      <c r="F2981" s="2">
        <v>10</v>
      </c>
      <c r="G2981" s="3" t="s">
        <v>22</v>
      </c>
      <c r="H2981" s="2">
        <v>50</v>
      </c>
      <c r="I2981" s="114" t="str">
        <f t="shared" si="471"/>
        <v>524100</v>
      </c>
      <c r="J2981" s="112" t="str">
        <f>CONCATENATE(B2981,D2981,5)</f>
        <v>524105</v>
      </c>
      <c r="K2981" s="112" t="str">
        <f t="shared" si="469"/>
        <v>524100</v>
      </c>
      <c r="L2981" s="2">
        <v>1</v>
      </c>
      <c r="M2981" s="2" t="s">
        <v>84</v>
      </c>
      <c r="N2981" s="2" t="s">
        <v>84</v>
      </c>
      <c r="O2981" s="2" t="s">
        <v>841</v>
      </c>
      <c r="P2981" s="2" t="s">
        <v>2648</v>
      </c>
    </row>
    <row r="2982" spans="1:16" ht="22" customHeight="1" x14ac:dyDescent="0.15">
      <c r="A2982" s="10" t="str">
        <f t="shared" si="468"/>
        <v>524_10_11_10_polygon</v>
      </c>
      <c r="B2982" s="2">
        <v>524</v>
      </c>
      <c r="C2982" s="30" t="str">
        <f>VLOOKUP(B2982,gachas!A:C,3)</f>
        <v>フィーバーフェス（1日目）</v>
      </c>
      <c r="D2982" s="21">
        <v>10</v>
      </c>
      <c r="E2982" s="2">
        <f t="shared" si="470"/>
        <v>11</v>
      </c>
      <c r="F2982" s="2">
        <v>10</v>
      </c>
      <c r="G2982" s="3" t="s">
        <v>22</v>
      </c>
      <c r="H2982" s="2">
        <v>50</v>
      </c>
      <c r="I2982" s="114" t="str">
        <f t="shared" si="471"/>
        <v>524100</v>
      </c>
      <c r="J2982" s="112" t="s">
        <v>84</v>
      </c>
      <c r="K2982" s="112" t="str">
        <f t="shared" si="469"/>
        <v>524100</v>
      </c>
      <c r="L2982" s="2">
        <v>1</v>
      </c>
      <c r="M2982" s="2" t="s">
        <v>84</v>
      </c>
      <c r="N2982" s="2" t="s">
        <v>84</v>
      </c>
      <c r="O2982" s="2" t="s">
        <v>841</v>
      </c>
      <c r="P2982" s="2" t="s">
        <v>2571</v>
      </c>
    </row>
    <row r="2983" spans="1:16" ht="22" customHeight="1" x14ac:dyDescent="0.15">
      <c r="A2983" s="10" t="str">
        <f t="shared" si="468"/>
        <v>524_10_12_10_polygon</v>
      </c>
      <c r="B2983" s="2">
        <v>524</v>
      </c>
      <c r="C2983" s="30" t="str">
        <f>VLOOKUP(B2983,gachas!A:C,3)</f>
        <v>フィーバーフェス（1日目）</v>
      </c>
      <c r="D2983" s="21">
        <v>10</v>
      </c>
      <c r="E2983" s="2">
        <f t="shared" si="470"/>
        <v>12</v>
      </c>
      <c r="F2983" s="2">
        <v>10</v>
      </c>
      <c r="G2983" s="3" t="s">
        <v>22</v>
      </c>
      <c r="H2983" s="2">
        <v>50</v>
      </c>
      <c r="I2983" s="114" t="str">
        <f t="shared" si="471"/>
        <v>524100</v>
      </c>
      <c r="J2983" s="112" t="s">
        <v>84</v>
      </c>
      <c r="K2983" s="112" t="str">
        <f t="shared" si="469"/>
        <v>524100</v>
      </c>
      <c r="L2983" s="2">
        <v>1</v>
      </c>
      <c r="M2983" s="2" t="s">
        <v>84</v>
      </c>
      <c r="N2983" s="2" t="s">
        <v>84</v>
      </c>
      <c r="O2983" s="2" t="s">
        <v>841</v>
      </c>
      <c r="P2983" s="2" t="s">
        <v>2571</v>
      </c>
    </row>
    <row r="2984" spans="1:16" ht="22" customHeight="1" x14ac:dyDescent="0.15">
      <c r="A2984" s="10" t="str">
        <f t="shared" si="468"/>
        <v>524_10_13_10_polygon</v>
      </c>
      <c r="B2984" s="2">
        <v>524</v>
      </c>
      <c r="C2984" s="30" t="str">
        <f>VLOOKUP(B2984,gachas!A:C,3)</f>
        <v>フィーバーフェス（1日目）</v>
      </c>
      <c r="D2984" s="21">
        <v>10</v>
      </c>
      <c r="E2984" s="2">
        <f t="shared" si="470"/>
        <v>13</v>
      </c>
      <c r="F2984" s="2">
        <v>10</v>
      </c>
      <c r="G2984" s="3" t="s">
        <v>22</v>
      </c>
      <c r="H2984" s="2">
        <v>50</v>
      </c>
      <c r="I2984" s="114" t="str">
        <f t="shared" si="471"/>
        <v>524100</v>
      </c>
      <c r="J2984" s="112" t="s">
        <v>84</v>
      </c>
      <c r="K2984" s="112" t="str">
        <f t="shared" si="469"/>
        <v>524100</v>
      </c>
      <c r="L2984" s="2">
        <v>1</v>
      </c>
      <c r="M2984" s="2" t="s">
        <v>84</v>
      </c>
      <c r="N2984" s="2" t="s">
        <v>84</v>
      </c>
      <c r="O2984" s="2" t="s">
        <v>841</v>
      </c>
      <c r="P2984" s="2" t="s">
        <v>2571</v>
      </c>
    </row>
    <row r="2985" spans="1:16" ht="22" customHeight="1" x14ac:dyDescent="0.15">
      <c r="A2985" s="10" t="str">
        <f t="shared" si="468"/>
        <v>524_10_14_10_polygon</v>
      </c>
      <c r="B2985" s="2">
        <v>524</v>
      </c>
      <c r="C2985" s="30" t="str">
        <f>VLOOKUP(B2985,gachas!A:C,3)</f>
        <v>フィーバーフェス（1日目）</v>
      </c>
      <c r="D2985" s="21">
        <v>10</v>
      </c>
      <c r="E2985" s="2">
        <f t="shared" si="470"/>
        <v>14</v>
      </c>
      <c r="F2985" s="2">
        <v>10</v>
      </c>
      <c r="G2985" s="3" t="s">
        <v>22</v>
      </c>
      <c r="H2985" s="2">
        <v>50</v>
      </c>
      <c r="I2985" s="114" t="str">
        <f t="shared" si="471"/>
        <v>524100</v>
      </c>
      <c r="J2985" s="112" t="s">
        <v>84</v>
      </c>
      <c r="K2985" s="112" t="str">
        <f t="shared" si="469"/>
        <v>524100</v>
      </c>
      <c r="L2985" s="2">
        <v>1</v>
      </c>
      <c r="M2985" s="2" t="s">
        <v>84</v>
      </c>
      <c r="N2985" s="2" t="s">
        <v>84</v>
      </c>
      <c r="O2985" s="2" t="s">
        <v>841</v>
      </c>
      <c r="P2985" s="2" t="s">
        <v>2571</v>
      </c>
    </row>
    <row r="2986" spans="1:16" ht="22" customHeight="1" x14ac:dyDescent="0.15">
      <c r="A2986" s="10" t="str">
        <f t="shared" si="468"/>
        <v>524_10_15_10_polygon</v>
      </c>
      <c r="B2986" s="2">
        <v>524</v>
      </c>
      <c r="C2986" s="30" t="str">
        <f>VLOOKUP(B2986,gachas!A:C,3)</f>
        <v>フィーバーフェス（1日目）</v>
      </c>
      <c r="D2986" s="21">
        <v>10</v>
      </c>
      <c r="E2986" s="2">
        <f t="shared" si="470"/>
        <v>15</v>
      </c>
      <c r="F2986" s="2">
        <v>10</v>
      </c>
      <c r="G2986" s="3" t="s">
        <v>22</v>
      </c>
      <c r="H2986" s="2">
        <v>50</v>
      </c>
      <c r="I2986" s="114" t="str">
        <f t="shared" si="471"/>
        <v>524100</v>
      </c>
      <c r="J2986" s="112" t="str">
        <f>CONCATENATE(B2986,D2986,5)</f>
        <v>524105</v>
      </c>
      <c r="K2986" s="112" t="str">
        <f t="shared" si="469"/>
        <v>524100</v>
      </c>
      <c r="L2986" s="2">
        <v>1</v>
      </c>
      <c r="M2986" s="2" t="s">
        <v>84</v>
      </c>
      <c r="N2986" s="2" t="s">
        <v>84</v>
      </c>
      <c r="O2986" s="2" t="s">
        <v>841</v>
      </c>
      <c r="P2986" s="2" t="s">
        <v>2648</v>
      </c>
    </row>
    <row r="2987" spans="1:16" ht="22" customHeight="1" x14ac:dyDescent="0.15">
      <c r="A2987" s="10" t="str">
        <f t="shared" si="468"/>
        <v>524_10_16_10_polygon</v>
      </c>
      <c r="B2987" s="2">
        <v>524</v>
      </c>
      <c r="C2987" s="30" t="str">
        <f>VLOOKUP(B2987,gachas!A:C,3)</f>
        <v>フィーバーフェス（1日目）</v>
      </c>
      <c r="D2987" s="21">
        <v>10</v>
      </c>
      <c r="E2987" s="2">
        <f t="shared" si="470"/>
        <v>16</v>
      </c>
      <c r="F2987" s="2">
        <v>10</v>
      </c>
      <c r="G2987" s="3" t="s">
        <v>22</v>
      </c>
      <c r="H2987" s="2">
        <v>50</v>
      </c>
      <c r="I2987" s="114" t="str">
        <f t="shared" si="471"/>
        <v>524100</v>
      </c>
      <c r="J2987" s="112" t="s">
        <v>84</v>
      </c>
      <c r="K2987" s="112" t="str">
        <f t="shared" si="469"/>
        <v>524100</v>
      </c>
      <c r="L2987" s="2">
        <v>1</v>
      </c>
      <c r="M2987" s="2" t="s">
        <v>84</v>
      </c>
      <c r="N2987" s="2" t="s">
        <v>84</v>
      </c>
      <c r="O2987" s="2" t="s">
        <v>841</v>
      </c>
      <c r="P2987" s="2" t="s">
        <v>2571</v>
      </c>
    </row>
    <row r="2988" spans="1:16" ht="22" customHeight="1" x14ac:dyDescent="0.15">
      <c r="A2988" s="10" t="str">
        <f t="shared" si="468"/>
        <v>524_10_17_10_polygon</v>
      </c>
      <c r="B2988" s="2">
        <v>524</v>
      </c>
      <c r="C2988" s="30" t="str">
        <f>VLOOKUP(B2988,gachas!A:C,3)</f>
        <v>フィーバーフェス（1日目）</v>
      </c>
      <c r="D2988" s="21">
        <v>10</v>
      </c>
      <c r="E2988" s="2">
        <f t="shared" si="470"/>
        <v>17</v>
      </c>
      <c r="F2988" s="2">
        <v>10</v>
      </c>
      <c r="G2988" s="3" t="s">
        <v>22</v>
      </c>
      <c r="H2988" s="2">
        <v>50</v>
      </c>
      <c r="I2988" s="114" t="str">
        <f t="shared" si="471"/>
        <v>524100</v>
      </c>
      <c r="J2988" s="112" t="s">
        <v>84</v>
      </c>
      <c r="K2988" s="112" t="str">
        <f t="shared" si="469"/>
        <v>524100</v>
      </c>
      <c r="L2988" s="2">
        <v>1</v>
      </c>
      <c r="M2988" s="2" t="s">
        <v>84</v>
      </c>
      <c r="N2988" s="2" t="s">
        <v>84</v>
      </c>
      <c r="O2988" s="2" t="s">
        <v>841</v>
      </c>
      <c r="P2988" s="2" t="s">
        <v>2571</v>
      </c>
    </row>
    <row r="2989" spans="1:16" ht="22" customHeight="1" x14ac:dyDescent="0.15">
      <c r="A2989" s="10" t="str">
        <f t="shared" si="468"/>
        <v>524_10_18_10_polygon</v>
      </c>
      <c r="B2989" s="2">
        <v>524</v>
      </c>
      <c r="C2989" s="30" t="str">
        <f>VLOOKUP(B2989,gachas!A:C,3)</f>
        <v>フィーバーフェス（1日目）</v>
      </c>
      <c r="D2989" s="21">
        <v>10</v>
      </c>
      <c r="E2989" s="2">
        <f t="shared" si="470"/>
        <v>18</v>
      </c>
      <c r="F2989" s="2">
        <v>10</v>
      </c>
      <c r="G2989" s="3" t="s">
        <v>22</v>
      </c>
      <c r="H2989" s="2">
        <v>50</v>
      </c>
      <c r="I2989" s="114" t="str">
        <f t="shared" si="471"/>
        <v>524100</v>
      </c>
      <c r="J2989" s="112" t="s">
        <v>84</v>
      </c>
      <c r="K2989" s="112" t="str">
        <f t="shared" si="469"/>
        <v>524100</v>
      </c>
      <c r="L2989" s="2">
        <v>1</v>
      </c>
      <c r="M2989" s="2" t="s">
        <v>84</v>
      </c>
      <c r="N2989" s="2" t="s">
        <v>84</v>
      </c>
      <c r="O2989" s="2" t="s">
        <v>841</v>
      </c>
      <c r="P2989" s="2" t="s">
        <v>2571</v>
      </c>
    </row>
    <row r="2990" spans="1:16" ht="22" customHeight="1" x14ac:dyDescent="0.15">
      <c r="A2990" s="10" t="str">
        <f t="shared" si="468"/>
        <v>524_10_19_10_polygon</v>
      </c>
      <c r="B2990" s="2">
        <v>524</v>
      </c>
      <c r="C2990" s="30" t="str">
        <f>VLOOKUP(B2990,gachas!A:C,3)</f>
        <v>フィーバーフェス（1日目）</v>
      </c>
      <c r="D2990" s="21">
        <v>10</v>
      </c>
      <c r="E2990" s="2">
        <f t="shared" si="470"/>
        <v>19</v>
      </c>
      <c r="F2990" s="2">
        <v>10</v>
      </c>
      <c r="G2990" s="3" t="s">
        <v>22</v>
      </c>
      <c r="H2990" s="2">
        <v>50</v>
      </c>
      <c r="I2990" s="114" t="str">
        <f t="shared" si="471"/>
        <v>524100</v>
      </c>
      <c r="J2990" s="112" t="s">
        <v>84</v>
      </c>
      <c r="K2990" s="112" t="str">
        <f t="shared" si="469"/>
        <v>524100</v>
      </c>
      <c r="L2990" s="2">
        <v>1</v>
      </c>
      <c r="M2990" s="2" t="s">
        <v>84</v>
      </c>
      <c r="N2990" s="2" t="s">
        <v>84</v>
      </c>
      <c r="O2990" s="2" t="s">
        <v>841</v>
      </c>
      <c r="P2990" s="2" t="s">
        <v>2571</v>
      </c>
    </row>
    <row r="2991" spans="1:16" ht="22" customHeight="1" x14ac:dyDescent="0.15">
      <c r="A2991" s="10" t="str">
        <f t="shared" si="468"/>
        <v>524_10_20_10_polygon</v>
      </c>
      <c r="B2991" s="2">
        <v>524</v>
      </c>
      <c r="C2991" s="30" t="str">
        <f>VLOOKUP(B2991,gachas!A:C,3)</f>
        <v>フィーバーフェス（1日目）</v>
      </c>
      <c r="D2991" s="21">
        <v>10</v>
      </c>
      <c r="E2991" s="2">
        <f t="shared" si="470"/>
        <v>20</v>
      </c>
      <c r="F2991" s="2">
        <v>10</v>
      </c>
      <c r="G2991" s="3" t="s">
        <v>22</v>
      </c>
      <c r="H2991" s="2">
        <v>50</v>
      </c>
      <c r="I2991" s="114" t="str">
        <f t="shared" si="471"/>
        <v>524100</v>
      </c>
      <c r="J2991" s="112" t="str">
        <f>CONCATENATE(B2991,D2991,5)</f>
        <v>524105</v>
      </c>
      <c r="K2991" s="112" t="str">
        <f t="shared" si="469"/>
        <v>524100</v>
      </c>
      <c r="L2991" s="2">
        <v>1</v>
      </c>
      <c r="M2991" s="2" t="s">
        <v>84</v>
      </c>
      <c r="N2991" s="2" t="s">
        <v>84</v>
      </c>
      <c r="O2991" s="2" t="s">
        <v>841</v>
      </c>
      <c r="P2991" s="2" t="s">
        <v>2648</v>
      </c>
    </row>
    <row r="2992" spans="1:16" ht="22" customHeight="1" x14ac:dyDescent="0.15">
      <c r="A2992" s="10" t="str">
        <f t="shared" si="468"/>
        <v>524_10_21_10_polygon</v>
      </c>
      <c r="B2992" s="2">
        <v>524</v>
      </c>
      <c r="C2992" s="30" t="str">
        <f>VLOOKUP(B2992,gachas!A:C,3)</f>
        <v>フィーバーフェス（1日目）</v>
      </c>
      <c r="D2992" s="21">
        <v>10</v>
      </c>
      <c r="E2992" s="2">
        <f t="shared" si="470"/>
        <v>21</v>
      </c>
      <c r="F2992" s="2">
        <v>10</v>
      </c>
      <c r="G2992" s="3" t="s">
        <v>22</v>
      </c>
      <c r="H2992" s="2">
        <v>50</v>
      </c>
      <c r="I2992" s="114" t="str">
        <f t="shared" si="471"/>
        <v>524100</v>
      </c>
      <c r="J2992" s="112" t="s">
        <v>84</v>
      </c>
      <c r="K2992" s="112" t="str">
        <f t="shared" si="469"/>
        <v>524100</v>
      </c>
      <c r="L2992" s="2">
        <v>1</v>
      </c>
      <c r="M2992" s="2" t="s">
        <v>84</v>
      </c>
      <c r="N2992" s="2" t="s">
        <v>84</v>
      </c>
      <c r="O2992" s="2" t="s">
        <v>841</v>
      </c>
      <c r="P2992" s="2" t="s">
        <v>2571</v>
      </c>
    </row>
    <row r="2993" spans="1:16" ht="22" customHeight="1" x14ac:dyDescent="0.15">
      <c r="A2993" s="10" t="str">
        <f t="shared" si="468"/>
        <v>524_10_22_10_polygon</v>
      </c>
      <c r="B2993" s="2">
        <v>524</v>
      </c>
      <c r="C2993" s="30" t="str">
        <f>VLOOKUP(B2993,gachas!A:C,3)</f>
        <v>フィーバーフェス（1日目）</v>
      </c>
      <c r="D2993" s="21">
        <v>10</v>
      </c>
      <c r="E2993" s="2">
        <f t="shared" si="470"/>
        <v>22</v>
      </c>
      <c r="F2993" s="2">
        <v>10</v>
      </c>
      <c r="G2993" s="3" t="s">
        <v>22</v>
      </c>
      <c r="H2993" s="2">
        <v>50</v>
      </c>
      <c r="I2993" s="114" t="str">
        <f t="shared" si="471"/>
        <v>524100</v>
      </c>
      <c r="J2993" s="112" t="s">
        <v>84</v>
      </c>
      <c r="K2993" s="112" t="str">
        <f t="shared" si="469"/>
        <v>524100</v>
      </c>
      <c r="L2993" s="2">
        <v>1</v>
      </c>
      <c r="M2993" s="2" t="s">
        <v>84</v>
      </c>
      <c r="N2993" s="2" t="s">
        <v>84</v>
      </c>
      <c r="O2993" s="2" t="s">
        <v>841</v>
      </c>
      <c r="P2993" s="2" t="s">
        <v>2571</v>
      </c>
    </row>
    <row r="2994" spans="1:16" ht="22" customHeight="1" x14ac:dyDescent="0.15">
      <c r="A2994" s="10" t="str">
        <f t="shared" si="468"/>
        <v>524_10_23_10_polygon</v>
      </c>
      <c r="B2994" s="2">
        <v>524</v>
      </c>
      <c r="C2994" s="30" t="str">
        <f>VLOOKUP(B2994,gachas!A:C,3)</f>
        <v>フィーバーフェス（1日目）</v>
      </c>
      <c r="D2994" s="21">
        <v>10</v>
      </c>
      <c r="E2994" s="2">
        <f t="shared" si="470"/>
        <v>23</v>
      </c>
      <c r="F2994" s="2">
        <v>10</v>
      </c>
      <c r="G2994" s="3" t="s">
        <v>22</v>
      </c>
      <c r="H2994" s="2">
        <v>50</v>
      </c>
      <c r="I2994" s="114" t="str">
        <f t="shared" si="471"/>
        <v>524100</v>
      </c>
      <c r="J2994" s="112" t="s">
        <v>84</v>
      </c>
      <c r="K2994" s="112" t="str">
        <f t="shared" si="469"/>
        <v>524100</v>
      </c>
      <c r="L2994" s="2">
        <v>1</v>
      </c>
      <c r="M2994" s="2" t="s">
        <v>84</v>
      </c>
      <c r="N2994" s="2" t="s">
        <v>84</v>
      </c>
      <c r="O2994" s="2" t="s">
        <v>841</v>
      </c>
      <c r="P2994" s="2" t="s">
        <v>2571</v>
      </c>
    </row>
    <row r="2995" spans="1:16" ht="22" customHeight="1" x14ac:dyDescent="0.15">
      <c r="A2995" s="10" t="str">
        <f t="shared" si="468"/>
        <v>524_10_24_10_polygon</v>
      </c>
      <c r="B2995" s="2">
        <v>524</v>
      </c>
      <c r="C2995" s="30" t="str">
        <f>VLOOKUP(B2995,gachas!A:C,3)</f>
        <v>フィーバーフェス（1日目）</v>
      </c>
      <c r="D2995" s="21">
        <v>10</v>
      </c>
      <c r="E2995" s="2">
        <f t="shared" si="470"/>
        <v>24</v>
      </c>
      <c r="F2995" s="2">
        <v>10</v>
      </c>
      <c r="G2995" s="3" t="s">
        <v>22</v>
      </c>
      <c r="H2995" s="2">
        <v>50</v>
      </c>
      <c r="I2995" s="114" t="str">
        <f t="shared" si="471"/>
        <v>524100</v>
      </c>
      <c r="J2995" s="112" t="s">
        <v>84</v>
      </c>
      <c r="K2995" s="112" t="str">
        <f t="shared" si="469"/>
        <v>524100</v>
      </c>
      <c r="L2995" s="2">
        <v>1</v>
      </c>
      <c r="M2995" s="2" t="s">
        <v>84</v>
      </c>
      <c r="N2995" s="2" t="s">
        <v>84</v>
      </c>
      <c r="O2995" s="2" t="s">
        <v>841</v>
      </c>
      <c r="P2995" s="2" t="s">
        <v>2571</v>
      </c>
    </row>
    <row r="2996" spans="1:16" ht="22" customHeight="1" x14ac:dyDescent="0.15">
      <c r="A2996" s="10" t="str">
        <f t="shared" si="468"/>
        <v>524_10_25_10_polygon</v>
      </c>
      <c r="B2996" s="2">
        <v>524</v>
      </c>
      <c r="C2996" s="30" t="str">
        <f>VLOOKUP(B2996,gachas!A:C,3)</f>
        <v>フィーバーフェス（1日目）</v>
      </c>
      <c r="D2996" s="21">
        <v>10</v>
      </c>
      <c r="E2996" s="2">
        <f t="shared" si="470"/>
        <v>25</v>
      </c>
      <c r="F2996" s="2">
        <v>10</v>
      </c>
      <c r="G2996" s="3" t="s">
        <v>22</v>
      </c>
      <c r="H2996" s="2">
        <v>50</v>
      </c>
      <c r="I2996" s="114" t="str">
        <f t="shared" si="471"/>
        <v>524100</v>
      </c>
      <c r="J2996" s="112" t="str">
        <f>CONCATENATE(B2996,D2996,5)</f>
        <v>524105</v>
      </c>
      <c r="K2996" s="112" t="str">
        <f t="shared" si="469"/>
        <v>524100</v>
      </c>
      <c r="L2996" s="2">
        <v>1</v>
      </c>
      <c r="M2996" s="2" t="s">
        <v>84</v>
      </c>
      <c r="N2996" s="2" t="s">
        <v>84</v>
      </c>
      <c r="O2996" s="2" t="s">
        <v>841</v>
      </c>
      <c r="P2996" s="2" t="s">
        <v>2648</v>
      </c>
    </row>
    <row r="2997" spans="1:16" ht="22" customHeight="1" x14ac:dyDescent="0.15">
      <c r="A2997" s="10" t="str">
        <f t="shared" si="468"/>
        <v>524_10_26_10_polygon</v>
      </c>
      <c r="B2997" s="2">
        <v>524</v>
      </c>
      <c r="C2997" s="30" t="str">
        <f>VLOOKUP(B2997,gachas!A:C,3)</f>
        <v>フィーバーフェス（1日目）</v>
      </c>
      <c r="D2997" s="21">
        <v>10</v>
      </c>
      <c r="E2997" s="2">
        <f t="shared" si="470"/>
        <v>26</v>
      </c>
      <c r="F2997" s="2">
        <v>10</v>
      </c>
      <c r="G2997" s="3" t="s">
        <v>22</v>
      </c>
      <c r="H2997" s="2">
        <v>50</v>
      </c>
      <c r="I2997" s="114" t="str">
        <f t="shared" si="471"/>
        <v>524100</v>
      </c>
      <c r="J2997" s="112" t="s">
        <v>84</v>
      </c>
      <c r="K2997" s="112" t="str">
        <f t="shared" si="469"/>
        <v>524100</v>
      </c>
      <c r="L2997" s="2">
        <v>1</v>
      </c>
      <c r="M2997" s="2" t="s">
        <v>84</v>
      </c>
      <c r="N2997" s="2" t="s">
        <v>84</v>
      </c>
      <c r="O2997" s="2" t="s">
        <v>841</v>
      </c>
      <c r="P2997" s="2" t="s">
        <v>2571</v>
      </c>
    </row>
    <row r="2998" spans="1:16" ht="22" customHeight="1" x14ac:dyDescent="0.15">
      <c r="A2998" s="10" t="str">
        <f t="shared" si="468"/>
        <v>524_10_27_10_polygon</v>
      </c>
      <c r="B2998" s="2">
        <v>524</v>
      </c>
      <c r="C2998" s="30" t="str">
        <f>VLOOKUP(B2998,gachas!A:C,3)</f>
        <v>フィーバーフェス（1日目）</v>
      </c>
      <c r="D2998" s="21">
        <v>10</v>
      </c>
      <c r="E2998" s="2">
        <f t="shared" si="470"/>
        <v>27</v>
      </c>
      <c r="F2998" s="2">
        <v>10</v>
      </c>
      <c r="G2998" s="3" t="s">
        <v>22</v>
      </c>
      <c r="H2998" s="2">
        <v>50</v>
      </c>
      <c r="I2998" s="114" t="str">
        <f t="shared" si="471"/>
        <v>524100</v>
      </c>
      <c r="J2998" s="112" t="s">
        <v>84</v>
      </c>
      <c r="K2998" s="112" t="str">
        <f t="shared" si="469"/>
        <v>524100</v>
      </c>
      <c r="L2998" s="2">
        <v>1</v>
      </c>
      <c r="M2998" s="2" t="s">
        <v>84</v>
      </c>
      <c r="N2998" s="2" t="s">
        <v>84</v>
      </c>
      <c r="O2998" s="2" t="s">
        <v>841</v>
      </c>
      <c r="P2998" s="2" t="s">
        <v>2571</v>
      </c>
    </row>
    <row r="2999" spans="1:16" ht="22" customHeight="1" x14ac:dyDescent="0.15">
      <c r="A2999" s="10" t="str">
        <f t="shared" si="468"/>
        <v>524_10_28_10_polygon</v>
      </c>
      <c r="B2999" s="2">
        <v>524</v>
      </c>
      <c r="C2999" s="30" t="str">
        <f>VLOOKUP(B2999,gachas!A:C,3)</f>
        <v>フィーバーフェス（1日目）</v>
      </c>
      <c r="D2999" s="21">
        <v>10</v>
      </c>
      <c r="E2999" s="2">
        <f t="shared" si="470"/>
        <v>28</v>
      </c>
      <c r="F2999" s="2">
        <v>10</v>
      </c>
      <c r="G2999" s="3" t="s">
        <v>22</v>
      </c>
      <c r="H2999" s="2">
        <v>50</v>
      </c>
      <c r="I2999" s="114" t="str">
        <f t="shared" si="471"/>
        <v>524100</v>
      </c>
      <c r="J2999" s="112" t="s">
        <v>84</v>
      </c>
      <c r="K2999" s="112" t="str">
        <f t="shared" si="469"/>
        <v>524100</v>
      </c>
      <c r="L2999" s="2">
        <v>1</v>
      </c>
      <c r="M2999" s="2" t="s">
        <v>84</v>
      </c>
      <c r="N2999" s="2" t="s">
        <v>84</v>
      </c>
      <c r="O2999" s="2" t="s">
        <v>841</v>
      </c>
      <c r="P2999" s="2" t="s">
        <v>2571</v>
      </c>
    </row>
    <row r="3000" spans="1:16" ht="22" customHeight="1" x14ac:dyDescent="0.15">
      <c r="A3000" s="10" t="str">
        <f t="shared" si="468"/>
        <v>524_10_29_10_polygon</v>
      </c>
      <c r="B3000" s="2">
        <v>524</v>
      </c>
      <c r="C3000" s="30" t="str">
        <f>VLOOKUP(B3000,gachas!A:C,3)</f>
        <v>フィーバーフェス（1日目）</v>
      </c>
      <c r="D3000" s="21">
        <v>10</v>
      </c>
      <c r="E3000" s="2">
        <f t="shared" si="470"/>
        <v>29</v>
      </c>
      <c r="F3000" s="2">
        <v>10</v>
      </c>
      <c r="G3000" s="3" t="s">
        <v>22</v>
      </c>
      <c r="H3000" s="2">
        <v>50</v>
      </c>
      <c r="I3000" s="114" t="str">
        <f t="shared" si="471"/>
        <v>524100</v>
      </c>
      <c r="J3000" s="112" t="s">
        <v>84</v>
      </c>
      <c r="K3000" s="112" t="str">
        <f t="shared" si="469"/>
        <v>524100</v>
      </c>
      <c r="L3000" s="2">
        <v>1</v>
      </c>
      <c r="M3000" s="2" t="s">
        <v>84</v>
      </c>
      <c r="N3000" s="2" t="s">
        <v>84</v>
      </c>
      <c r="O3000" s="2" t="s">
        <v>841</v>
      </c>
      <c r="P3000" s="2" t="s">
        <v>2571</v>
      </c>
    </row>
    <row r="3001" spans="1:16" ht="22" customHeight="1" x14ac:dyDescent="0.15">
      <c r="A3001" s="10" t="str">
        <f t="shared" si="468"/>
        <v>524_10_30_10_polygon</v>
      </c>
      <c r="B3001" s="2">
        <v>524</v>
      </c>
      <c r="C3001" s="30" t="str">
        <f>VLOOKUP(B3001,gachas!A:C,3)</f>
        <v>フィーバーフェス（1日目）</v>
      </c>
      <c r="D3001" s="21">
        <v>10</v>
      </c>
      <c r="E3001" s="2">
        <f t="shared" si="470"/>
        <v>30</v>
      </c>
      <c r="F3001" s="2">
        <v>10</v>
      </c>
      <c r="G3001" s="3" t="s">
        <v>22</v>
      </c>
      <c r="H3001" s="2">
        <v>50</v>
      </c>
      <c r="I3001" s="114" t="str">
        <f t="shared" si="471"/>
        <v>524100</v>
      </c>
      <c r="J3001" s="112" t="str">
        <f>CONCATENATE(B3001,D3001,5)</f>
        <v>524105</v>
      </c>
      <c r="K3001" s="112" t="str">
        <f t="shared" si="469"/>
        <v>524100</v>
      </c>
      <c r="L3001" s="2">
        <v>1</v>
      </c>
      <c r="M3001" s="2" t="s">
        <v>84</v>
      </c>
      <c r="N3001" s="2" t="s">
        <v>84</v>
      </c>
      <c r="O3001" s="2" t="s">
        <v>841</v>
      </c>
      <c r="P3001" s="2" t="s">
        <v>2648</v>
      </c>
    </row>
    <row r="3002" spans="1:16" ht="22" customHeight="1" x14ac:dyDescent="0.15">
      <c r="A3002" s="10" t="str">
        <f t="shared" si="468"/>
        <v>524_10_31_10_polygon</v>
      </c>
      <c r="B3002" s="2">
        <v>524</v>
      </c>
      <c r="C3002" s="30" t="str">
        <f>VLOOKUP(B3002,gachas!A:C,3)</f>
        <v>フィーバーフェス（1日目）</v>
      </c>
      <c r="D3002" s="21">
        <v>10</v>
      </c>
      <c r="E3002" s="2">
        <f t="shared" si="470"/>
        <v>31</v>
      </c>
      <c r="F3002" s="2">
        <v>10</v>
      </c>
      <c r="G3002" s="3" t="s">
        <v>22</v>
      </c>
      <c r="H3002" s="2">
        <v>50</v>
      </c>
      <c r="I3002" s="114" t="str">
        <f t="shared" si="471"/>
        <v>524100</v>
      </c>
      <c r="J3002" s="112" t="s">
        <v>84</v>
      </c>
      <c r="K3002" s="112" t="str">
        <f t="shared" si="469"/>
        <v>524100</v>
      </c>
      <c r="L3002" s="2">
        <v>1</v>
      </c>
      <c r="M3002" s="2" t="s">
        <v>84</v>
      </c>
      <c r="N3002" s="2" t="s">
        <v>84</v>
      </c>
      <c r="O3002" s="2" t="s">
        <v>841</v>
      </c>
      <c r="P3002" s="2" t="s">
        <v>2571</v>
      </c>
    </row>
    <row r="3003" spans="1:16" ht="22" customHeight="1" x14ac:dyDescent="0.15">
      <c r="A3003" s="10" t="str">
        <f t="shared" si="468"/>
        <v>524_10_32_10_polygon</v>
      </c>
      <c r="B3003" s="2">
        <v>524</v>
      </c>
      <c r="C3003" s="30" t="str">
        <f>VLOOKUP(B3003,gachas!A:C,3)</f>
        <v>フィーバーフェス（1日目）</v>
      </c>
      <c r="D3003" s="21">
        <v>10</v>
      </c>
      <c r="E3003" s="2">
        <f t="shared" si="470"/>
        <v>32</v>
      </c>
      <c r="F3003" s="2">
        <v>10</v>
      </c>
      <c r="G3003" s="3" t="s">
        <v>22</v>
      </c>
      <c r="H3003" s="2">
        <v>50</v>
      </c>
      <c r="I3003" s="114" t="str">
        <f t="shared" si="471"/>
        <v>524100</v>
      </c>
      <c r="J3003" s="112" t="s">
        <v>84</v>
      </c>
      <c r="K3003" s="112" t="str">
        <f t="shared" si="469"/>
        <v>524100</v>
      </c>
      <c r="L3003" s="2">
        <v>1</v>
      </c>
      <c r="M3003" s="2" t="s">
        <v>84</v>
      </c>
      <c r="N3003" s="2" t="s">
        <v>84</v>
      </c>
      <c r="O3003" s="2" t="s">
        <v>841</v>
      </c>
      <c r="P3003" s="2" t="s">
        <v>2571</v>
      </c>
    </row>
    <row r="3004" spans="1:16" ht="22" customHeight="1" x14ac:dyDescent="0.15">
      <c r="A3004" s="10" t="str">
        <f t="shared" si="468"/>
        <v>524_10_33_10_polygon</v>
      </c>
      <c r="B3004" s="2">
        <v>524</v>
      </c>
      <c r="C3004" s="30" t="str">
        <f>VLOOKUP(B3004,gachas!A:C,3)</f>
        <v>フィーバーフェス（1日目）</v>
      </c>
      <c r="D3004" s="21">
        <v>10</v>
      </c>
      <c r="E3004" s="2">
        <f t="shared" si="470"/>
        <v>33</v>
      </c>
      <c r="F3004" s="2">
        <v>10</v>
      </c>
      <c r="G3004" s="3" t="s">
        <v>22</v>
      </c>
      <c r="H3004" s="2">
        <v>50</v>
      </c>
      <c r="I3004" s="114" t="str">
        <f t="shared" si="471"/>
        <v>524100</v>
      </c>
      <c r="J3004" s="112" t="s">
        <v>84</v>
      </c>
      <c r="K3004" s="112" t="str">
        <f t="shared" si="469"/>
        <v>524100</v>
      </c>
      <c r="L3004" s="2">
        <v>1</v>
      </c>
      <c r="M3004" s="2" t="s">
        <v>84</v>
      </c>
      <c r="N3004" s="2" t="s">
        <v>84</v>
      </c>
      <c r="O3004" s="2" t="s">
        <v>841</v>
      </c>
      <c r="P3004" s="2" t="s">
        <v>2571</v>
      </c>
    </row>
    <row r="3005" spans="1:16" ht="22" customHeight="1" x14ac:dyDescent="0.15">
      <c r="A3005" s="10" t="str">
        <f t="shared" si="468"/>
        <v>524_10_34_10_polygon</v>
      </c>
      <c r="B3005" s="2">
        <v>524</v>
      </c>
      <c r="C3005" s="30" t="str">
        <f>VLOOKUP(B3005,gachas!A:C,3)</f>
        <v>フィーバーフェス（1日目）</v>
      </c>
      <c r="D3005" s="21">
        <v>10</v>
      </c>
      <c r="E3005" s="2">
        <f t="shared" si="470"/>
        <v>34</v>
      </c>
      <c r="F3005" s="2">
        <v>10</v>
      </c>
      <c r="G3005" s="3" t="s">
        <v>22</v>
      </c>
      <c r="H3005" s="2">
        <v>50</v>
      </c>
      <c r="I3005" s="114" t="str">
        <f t="shared" si="471"/>
        <v>524100</v>
      </c>
      <c r="J3005" s="112" t="s">
        <v>84</v>
      </c>
      <c r="K3005" s="112" t="str">
        <f t="shared" si="469"/>
        <v>524100</v>
      </c>
      <c r="L3005" s="2">
        <v>1</v>
      </c>
      <c r="M3005" s="2" t="s">
        <v>84</v>
      </c>
      <c r="N3005" s="2" t="s">
        <v>84</v>
      </c>
      <c r="O3005" s="2" t="s">
        <v>841</v>
      </c>
      <c r="P3005" s="2" t="s">
        <v>2571</v>
      </c>
    </row>
    <row r="3006" spans="1:16" ht="22" customHeight="1" x14ac:dyDescent="0.15">
      <c r="A3006" s="10" t="str">
        <f t="shared" si="468"/>
        <v>524_10_35_10_polygon</v>
      </c>
      <c r="B3006" s="2">
        <v>524</v>
      </c>
      <c r="C3006" s="30" t="str">
        <f>VLOOKUP(B3006,gachas!A:C,3)</f>
        <v>フィーバーフェス（1日目）</v>
      </c>
      <c r="D3006" s="21">
        <v>10</v>
      </c>
      <c r="E3006" s="2">
        <f t="shared" si="470"/>
        <v>35</v>
      </c>
      <c r="F3006" s="2">
        <v>10</v>
      </c>
      <c r="G3006" s="3" t="s">
        <v>22</v>
      </c>
      <c r="H3006" s="2">
        <v>50</v>
      </c>
      <c r="I3006" s="114" t="str">
        <f t="shared" si="471"/>
        <v>524100</v>
      </c>
      <c r="J3006" s="112" t="str">
        <f>CONCATENATE(B3006,D3006,5)</f>
        <v>524105</v>
      </c>
      <c r="K3006" s="112" t="str">
        <f t="shared" si="469"/>
        <v>524100</v>
      </c>
      <c r="L3006" s="2">
        <v>1</v>
      </c>
      <c r="M3006" s="2" t="s">
        <v>84</v>
      </c>
      <c r="N3006" s="2" t="s">
        <v>84</v>
      </c>
      <c r="O3006" s="2" t="s">
        <v>841</v>
      </c>
      <c r="P3006" s="2" t="s">
        <v>2648</v>
      </c>
    </row>
    <row r="3007" spans="1:16" ht="22" customHeight="1" x14ac:dyDescent="0.15">
      <c r="A3007" s="10" t="str">
        <f t="shared" si="468"/>
        <v>524_10_36_10_polygon</v>
      </c>
      <c r="B3007" s="2">
        <v>524</v>
      </c>
      <c r="C3007" s="30" t="str">
        <f>VLOOKUP(B3007,gachas!A:C,3)</f>
        <v>フィーバーフェス（1日目）</v>
      </c>
      <c r="D3007" s="21">
        <v>10</v>
      </c>
      <c r="E3007" s="2">
        <f t="shared" si="470"/>
        <v>36</v>
      </c>
      <c r="F3007" s="2">
        <v>10</v>
      </c>
      <c r="G3007" s="3" t="s">
        <v>22</v>
      </c>
      <c r="H3007" s="2">
        <v>50</v>
      </c>
      <c r="I3007" s="114" t="str">
        <f t="shared" si="471"/>
        <v>524100</v>
      </c>
      <c r="J3007" s="112" t="s">
        <v>84</v>
      </c>
      <c r="K3007" s="112" t="str">
        <f t="shared" si="469"/>
        <v>524100</v>
      </c>
      <c r="L3007" s="2">
        <v>1</v>
      </c>
      <c r="M3007" s="2" t="s">
        <v>84</v>
      </c>
      <c r="N3007" s="2" t="s">
        <v>84</v>
      </c>
      <c r="O3007" s="2" t="s">
        <v>841</v>
      </c>
      <c r="P3007" s="2" t="s">
        <v>2571</v>
      </c>
    </row>
    <row r="3008" spans="1:16" ht="22" customHeight="1" x14ac:dyDescent="0.15">
      <c r="A3008" s="10" t="str">
        <f t="shared" si="468"/>
        <v>524_10_37_10_polygon</v>
      </c>
      <c r="B3008" s="2">
        <v>524</v>
      </c>
      <c r="C3008" s="30" t="str">
        <f>VLOOKUP(B3008,gachas!A:C,3)</f>
        <v>フィーバーフェス（1日目）</v>
      </c>
      <c r="D3008" s="21">
        <v>10</v>
      </c>
      <c r="E3008" s="2">
        <f t="shared" si="470"/>
        <v>37</v>
      </c>
      <c r="F3008" s="2">
        <v>10</v>
      </c>
      <c r="G3008" s="3" t="s">
        <v>22</v>
      </c>
      <c r="H3008" s="2">
        <v>50</v>
      </c>
      <c r="I3008" s="114" t="str">
        <f t="shared" si="471"/>
        <v>524100</v>
      </c>
      <c r="J3008" s="112" t="s">
        <v>84</v>
      </c>
      <c r="K3008" s="112" t="str">
        <f t="shared" si="469"/>
        <v>524100</v>
      </c>
      <c r="L3008" s="2">
        <v>1</v>
      </c>
      <c r="M3008" s="2" t="s">
        <v>84</v>
      </c>
      <c r="N3008" s="2" t="s">
        <v>84</v>
      </c>
      <c r="O3008" s="2" t="s">
        <v>841</v>
      </c>
      <c r="P3008" s="2" t="s">
        <v>2571</v>
      </c>
    </row>
    <row r="3009" spans="1:16" ht="22" customHeight="1" x14ac:dyDescent="0.15">
      <c r="A3009" s="10" t="str">
        <f t="shared" si="468"/>
        <v>524_10_38_10_polygon</v>
      </c>
      <c r="B3009" s="2">
        <v>524</v>
      </c>
      <c r="C3009" s="30" t="str">
        <f>VLOOKUP(B3009,gachas!A:C,3)</f>
        <v>フィーバーフェス（1日目）</v>
      </c>
      <c r="D3009" s="21">
        <v>10</v>
      </c>
      <c r="E3009" s="2">
        <f t="shared" si="470"/>
        <v>38</v>
      </c>
      <c r="F3009" s="2">
        <v>10</v>
      </c>
      <c r="G3009" s="3" t="s">
        <v>22</v>
      </c>
      <c r="H3009" s="2">
        <v>50</v>
      </c>
      <c r="I3009" s="114" t="str">
        <f t="shared" si="471"/>
        <v>524100</v>
      </c>
      <c r="J3009" s="112" t="s">
        <v>84</v>
      </c>
      <c r="K3009" s="112" t="str">
        <f t="shared" si="469"/>
        <v>524100</v>
      </c>
      <c r="L3009" s="2">
        <v>1</v>
      </c>
      <c r="M3009" s="2" t="s">
        <v>84</v>
      </c>
      <c r="N3009" s="2" t="s">
        <v>84</v>
      </c>
      <c r="O3009" s="2" t="s">
        <v>841</v>
      </c>
      <c r="P3009" s="2" t="s">
        <v>2571</v>
      </c>
    </row>
    <row r="3010" spans="1:16" ht="22" customHeight="1" x14ac:dyDescent="0.15">
      <c r="A3010" s="10" t="str">
        <f t="shared" si="468"/>
        <v>524_10_39_10_polygon</v>
      </c>
      <c r="B3010" s="2">
        <v>524</v>
      </c>
      <c r="C3010" s="30" t="str">
        <f>VLOOKUP(B3010,gachas!A:C,3)</f>
        <v>フィーバーフェス（1日目）</v>
      </c>
      <c r="D3010" s="21">
        <v>10</v>
      </c>
      <c r="E3010" s="2">
        <f t="shared" si="470"/>
        <v>39</v>
      </c>
      <c r="F3010" s="2">
        <v>10</v>
      </c>
      <c r="G3010" s="3" t="s">
        <v>22</v>
      </c>
      <c r="H3010" s="2">
        <v>50</v>
      </c>
      <c r="I3010" s="114" t="str">
        <f t="shared" si="471"/>
        <v>524100</v>
      </c>
      <c r="J3010" s="112" t="s">
        <v>84</v>
      </c>
      <c r="K3010" s="112" t="str">
        <f t="shared" si="469"/>
        <v>524100</v>
      </c>
      <c r="L3010" s="2">
        <v>1</v>
      </c>
      <c r="M3010" s="2" t="s">
        <v>84</v>
      </c>
      <c r="N3010" s="2" t="s">
        <v>84</v>
      </c>
      <c r="O3010" s="2" t="s">
        <v>841</v>
      </c>
      <c r="P3010" s="2" t="s">
        <v>2571</v>
      </c>
    </row>
    <row r="3011" spans="1:16" ht="22" customHeight="1" x14ac:dyDescent="0.15">
      <c r="A3011" s="10" t="str">
        <f t="shared" si="468"/>
        <v>524_10_40_10_polygon</v>
      </c>
      <c r="B3011" s="2">
        <v>524</v>
      </c>
      <c r="C3011" s="30" t="str">
        <f>VLOOKUP(B3011,gachas!A:C,3)</f>
        <v>フィーバーフェス（1日目）</v>
      </c>
      <c r="D3011" s="21">
        <v>10</v>
      </c>
      <c r="E3011" s="2">
        <f t="shared" si="470"/>
        <v>40</v>
      </c>
      <c r="F3011" s="2">
        <v>10</v>
      </c>
      <c r="G3011" s="3" t="s">
        <v>22</v>
      </c>
      <c r="H3011" s="2">
        <v>50</v>
      </c>
      <c r="I3011" s="114" t="str">
        <f t="shared" si="471"/>
        <v>524100</v>
      </c>
      <c r="J3011" s="112" t="str">
        <f>CONCATENATE(B3011,D3011,5)</f>
        <v>524105</v>
      </c>
      <c r="K3011" s="112" t="str">
        <f t="shared" si="469"/>
        <v>524100</v>
      </c>
      <c r="L3011" s="2">
        <v>1</v>
      </c>
      <c r="M3011" s="2" t="s">
        <v>84</v>
      </c>
      <c r="N3011" s="2" t="s">
        <v>84</v>
      </c>
      <c r="O3011" s="2" t="s">
        <v>841</v>
      </c>
      <c r="P3011" s="2" t="s">
        <v>2648</v>
      </c>
    </row>
    <row r="3012" spans="1:16" ht="22" customHeight="1" x14ac:dyDescent="0.15">
      <c r="A3012" s="10" t="str">
        <f t="shared" si="468"/>
        <v>524_10_41_10_polygon</v>
      </c>
      <c r="B3012" s="2">
        <v>524</v>
      </c>
      <c r="C3012" s="30" t="str">
        <f>VLOOKUP(B3012,gachas!A:C,3)</f>
        <v>フィーバーフェス（1日目）</v>
      </c>
      <c r="D3012" s="21">
        <v>10</v>
      </c>
      <c r="E3012" s="2">
        <f t="shared" si="470"/>
        <v>41</v>
      </c>
      <c r="F3012" s="2">
        <v>10</v>
      </c>
      <c r="G3012" s="3" t="s">
        <v>22</v>
      </c>
      <c r="H3012" s="2">
        <v>50</v>
      </c>
      <c r="I3012" s="114" t="str">
        <f t="shared" si="471"/>
        <v>524100</v>
      </c>
      <c r="J3012" s="112" t="s">
        <v>84</v>
      </c>
      <c r="K3012" s="112" t="str">
        <f t="shared" si="469"/>
        <v>524100</v>
      </c>
      <c r="L3012" s="2">
        <v>1</v>
      </c>
      <c r="M3012" s="2" t="s">
        <v>84</v>
      </c>
      <c r="N3012" s="2" t="s">
        <v>84</v>
      </c>
      <c r="O3012" s="2" t="s">
        <v>841</v>
      </c>
      <c r="P3012" s="2" t="s">
        <v>2571</v>
      </c>
    </row>
    <row r="3013" spans="1:16" ht="22" customHeight="1" x14ac:dyDescent="0.15">
      <c r="A3013" s="10" t="str">
        <f t="shared" si="468"/>
        <v>524_10_42_10_polygon</v>
      </c>
      <c r="B3013" s="2">
        <v>524</v>
      </c>
      <c r="C3013" s="30" t="str">
        <f>VLOOKUP(B3013,gachas!A:C,3)</f>
        <v>フィーバーフェス（1日目）</v>
      </c>
      <c r="D3013" s="21">
        <v>10</v>
      </c>
      <c r="E3013" s="2">
        <f t="shared" si="470"/>
        <v>42</v>
      </c>
      <c r="F3013" s="2">
        <v>10</v>
      </c>
      <c r="G3013" s="3" t="s">
        <v>22</v>
      </c>
      <c r="H3013" s="2">
        <v>50</v>
      </c>
      <c r="I3013" s="114" t="str">
        <f t="shared" si="471"/>
        <v>524100</v>
      </c>
      <c r="J3013" s="112" t="s">
        <v>84</v>
      </c>
      <c r="K3013" s="112" t="str">
        <f t="shared" si="469"/>
        <v>524100</v>
      </c>
      <c r="L3013" s="2">
        <v>1</v>
      </c>
      <c r="M3013" s="2" t="s">
        <v>84</v>
      </c>
      <c r="N3013" s="2" t="s">
        <v>84</v>
      </c>
      <c r="O3013" s="2" t="s">
        <v>841</v>
      </c>
      <c r="P3013" s="2" t="s">
        <v>2571</v>
      </c>
    </row>
    <row r="3014" spans="1:16" ht="22" customHeight="1" x14ac:dyDescent="0.15">
      <c r="A3014" s="10" t="str">
        <f t="shared" si="468"/>
        <v>524_10_43_10_polygon</v>
      </c>
      <c r="B3014" s="2">
        <v>524</v>
      </c>
      <c r="C3014" s="30" t="str">
        <f>VLOOKUP(B3014,gachas!A:C,3)</f>
        <v>フィーバーフェス（1日目）</v>
      </c>
      <c r="D3014" s="21">
        <v>10</v>
      </c>
      <c r="E3014" s="2">
        <f t="shared" si="470"/>
        <v>43</v>
      </c>
      <c r="F3014" s="2">
        <v>10</v>
      </c>
      <c r="G3014" s="3" t="s">
        <v>22</v>
      </c>
      <c r="H3014" s="2">
        <v>50</v>
      </c>
      <c r="I3014" s="114" t="str">
        <f t="shared" si="471"/>
        <v>524100</v>
      </c>
      <c r="J3014" s="112" t="s">
        <v>84</v>
      </c>
      <c r="K3014" s="112" t="str">
        <f t="shared" si="469"/>
        <v>524100</v>
      </c>
      <c r="L3014" s="2">
        <v>1</v>
      </c>
      <c r="M3014" s="2" t="s">
        <v>84</v>
      </c>
      <c r="N3014" s="2" t="s">
        <v>84</v>
      </c>
      <c r="O3014" s="2" t="s">
        <v>841</v>
      </c>
      <c r="P3014" s="2" t="s">
        <v>2571</v>
      </c>
    </row>
    <row r="3015" spans="1:16" ht="22" customHeight="1" x14ac:dyDescent="0.15">
      <c r="A3015" s="10" t="str">
        <f t="shared" ref="A3015:A3125" si="472">B3015&amp;"_"&amp;D3015&amp;"_"&amp;E3015&amp;"_"&amp;F3015&amp;"_"&amp;G3015</f>
        <v>524_10_44_10_polygon</v>
      </c>
      <c r="B3015" s="2">
        <v>524</v>
      </c>
      <c r="C3015" s="30" t="str">
        <f>VLOOKUP(B3015,gachas!A:C,3)</f>
        <v>フィーバーフェス（1日目）</v>
      </c>
      <c r="D3015" s="21">
        <v>10</v>
      </c>
      <c r="E3015" s="2">
        <f t="shared" si="470"/>
        <v>44</v>
      </c>
      <c r="F3015" s="2">
        <v>10</v>
      </c>
      <c r="G3015" s="3" t="s">
        <v>22</v>
      </c>
      <c r="H3015" s="2">
        <v>50</v>
      </c>
      <c r="I3015" s="114" t="str">
        <f t="shared" si="471"/>
        <v>524100</v>
      </c>
      <c r="J3015" s="112" t="s">
        <v>84</v>
      </c>
      <c r="K3015" s="112" t="str">
        <f t="shared" si="469"/>
        <v>524100</v>
      </c>
      <c r="L3015" s="2">
        <v>1</v>
      </c>
      <c r="M3015" s="2" t="s">
        <v>84</v>
      </c>
      <c r="N3015" s="2" t="s">
        <v>84</v>
      </c>
      <c r="O3015" s="2" t="s">
        <v>841</v>
      </c>
      <c r="P3015" s="2" t="s">
        <v>2571</v>
      </c>
    </row>
    <row r="3016" spans="1:16" ht="22" customHeight="1" x14ac:dyDescent="0.15">
      <c r="A3016" s="10" t="str">
        <f t="shared" si="472"/>
        <v>524_10_45_10_polygon</v>
      </c>
      <c r="B3016" s="2">
        <v>524</v>
      </c>
      <c r="C3016" s="30" t="str">
        <f>VLOOKUP(B3016,gachas!A:C,3)</f>
        <v>フィーバーフェス（1日目）</v>
      </c>
      <c r="D3016" s="21">
        <v>10</v>
      </c>
      <c r="E3016" s="2">
        <f t="shared" si="470"/>
        <v>45</v>
      </c>
      <c r="F3016" s="2">
        <v>10</v>
      </c>
      <c r="G3016" s="3" t="s">
        <v>22</v>
      </c>
      <c r="H3016" s="2">
        <v>50</v>
      </c>
      <c r="I3016" s="114" t="str">
        <f t="shared" si="471"/>
        <v>524100</v>
      </c>
      <c r="J3016" s="112" t="str">
        <f>CONCATENATE(B3016,D3016,5)</f>
        <v>524105</v>
      </c>
      <c r="K3016" s="112" t="str">
        <f t="shared" si="469"/>
        <v>524100</v>
      </c>
      <c r="L3016" s="2">
        <v>1</v>
      </c>
      <c r="M3016" s="2" t="s">
        <v>84</v>
      </c>
      <c r="N3016" s="2" t="s">
        <v>84</v>
      </c>
      <c r="O3016" s="2" t="s">
        <v>841</v>
      </c>
      <c r="P3016" s="2" t="s">
        <v>2648</v>
      </c>
    </row>
    <row r="3017" spans="1:16" ht="22" customHeight="1" x14ac:dyDescent="0.15">
      <c r="A3017" s="10" t="str">
        <f t="shared" si="472"/>
        <v>524_10_46_10_polygon</v>
      </c>
      <c r="B3017" s="2">
        <v>524</v>
      </c>
      <c r="C3017" s="30" t="str">
        <f>VLOOKUP(B3017,gachas!A:C,3)</f>
        <v>フィーバーフェス（1日目）</v>
      </c>
      <c r="D3017" s="21">
        <v>10</v>
      </c>
      <c r="E3017" s="2">
        <f t="shared" si="470"/>
        <v>46</v>
      </c>
      <c r="F3017" s="2">
        <v>10</v>
      </c>
      <c r="G3017" s="3" t="s">
        <v>22</v>
      </c>
      <c r="H3017" s="2">
        <v>50</v>
      </c>
      <c r="I3017" s="114" t="str">
        <f t="shared" si="471"/>
        <v>524100</v>
      </c>
      <c r="J3017" s="112" t="s">
        <v>84</v>
      </c>
      <c r="K3017" s="112" t="str">
        <f t="shared" si="469"/>
        <v>524100</v>
      </c>
      <c r="L3017" s="2">
        <v>1</v>
      </c>
      <c r="M3017" s="2" t="s">
        <v>84</v>
      </c>
      <c r="N3017" s="2" t="s">
        <v>84</v>
      </c>
      <c r="O3017" s="2" t="s">
        <v>841</v>
      </c>
      <c r="P3017" s="2" t="s">
        <v>2571</v>
      </c>
    </row>
    <row r="3018" spans="1:16" ht="22" customHeight="1" x14ac:dyDescent="0.15">
      <c r="A3018" s="10" t="str">
        <f t="shared" si="472"/>
        <v>524_10_47_10_polygon</v>
      </c>
      <c r="B3018" s="2">
        <v>524</v>
      </c>
      <c r="C3018" s="30" t="str">
        <f>VLOOKUP(B3018,gachas!A:C,3)</f>
        <v>フィーバーフェス（1日目）</v>
      </c>
      <c r="D3018" s="21">
        <v>10</v>
      </c>
      <c r="E3018" s="2">
        <f t="shared" si="470"/>
        <v>47</v>
      </c>
      <c r="F3018" s="2">
        <v>10</v>
      </c>
      <c r="G3018" s="3" t="s">
        <v>22</v>
      </c>
      <c r="H3018" s="2">
        <v>50</v>
      </c>
      <c r="I3018" s="114" t="str">
        <f t="shared" si="471"/>
        <v>524100</v>
      </c>
      <c r="J3018" s="112" t="s">
        <v>84</v>
      </c>
      <c r="K3018" s="112" t="str">
        <f t="shared" si="469"/>
        <v>524100</v>
      </c>
      <c r="L3018" s="2">
        <v>1</v>
      </c>
      <c r="M3018" s="2" t="s">
        <v>84</v>
      </c>
      <c r="N3018" s="2" t="s">
        <v>84</v>
      </c>
      <c r="O3018" s="2" t="s">
        <v>841</v>
      </c>
      <c r="P3018" s="2" t="s">
        <v>2571</v>
      </c>
    </row>
    <row r="3019" spans="1:16" ht="22" customHeight="1" x14ac:dyDescent="0.15">
      <c r="A3019" s="10" t="str">
        <f t="shared" si="472"/>
        <v>524_10_48_10_polygon</v>
      </c>
      <c r="B3019" s="2">
        <v>524</v>
      </c>
      <c r="C3019" s="30" t="str">
        <f>VLOOKUP(B3019,gachas!A:C,3)</f>
        <v>フィーバーフェス（1日目）</v>
      </c>
      <c r="D3019" s="21">
        <v>10</v>
      </c>
      <c r="E3019" s="2">
        <f t="shared" si="470"/>
        <v>48</v>
      </c>
      <c r="F3019" s="2">
        <v>10</v>
      </c>
      <c r="G3019" s="3" t="s">
        <v>22</v>
      </c>
      <c r="H3019" s="2">
        <v>50</v>
      </c>
      <c r="I3019" s="114" t="str">
        <f t="shared" si="471"/>
        <v>524100</v>
      </c>
      <c r="J3019" s="112" t="s">
        <v>84</v>
      </c>
      <c r="K3019" s="112" t="str">
        <f t="shared" si="469"/>
        <v>524100</v>
      </c>
      <c r="L3019" s="2">
        <v>1</v>
      </c>
      <c r="M3019" s="2" t="s">
        <v>84</v>
      </c>
      <c r="N3019" s="2" t="s">
        <v>84</v>
      </c>
      <c r="O3019" s="2" t="s">
        <v>841</v>
      </c>
      <c r="P3019" s="2" t="s">
        <v>2571</v>
      </c>
    </row>
    <row r="3020" spans="1:16" ht="22" customHeight="1" x14ac:dyDescent="0.15">
      <c r="A3020" s="10" t="str">
        <f t="shared" si="472"/>
        <v>524_10_49_10_polygon</v>
      </c>
      <c r="B3020" s="2">
        <v>524</v>
      </c>
      <c r="C3020" s="30" t="str">
        <f>VLOOKUP(B3020,gachas!A:C,3)</f>
        <v>フィーバーフェス（1日目）</v>
      </c>
      <c r="D3020" s="21">
        <v>10</v>
      </c>
      <c r="E3020" s="2">
        <f t="shared" si="470"/>
        <v>49</v>
      </c>
      <c r="F3020" s="2">
        <v>10</v>
      </c>
      <c r="G3020" s="3" t="s">
        <v>22</v>
      </c>
      <c r="H3020" s="2">
        <v>50</v>
      </c>
      <c r="I3020" s="114" t="str">
        <f t="shared" si="471"/>
        <v>524100</v>
      </c>
      <c r="J3020" s="112" t="s">
        <v>84</v>
      </c>
      <c r="K3020" s="112" t="str">
        <f t="shared" si="469"/>
        <v>524100</v>
      </c>
      <c r="L3020" s="2">
        <v>1</v>
      </c>
      <c r="M3020" s="2" t="s">
        <v>84</v>
      </c>
      <c r="N3020" s="2" t="s">
        <v>84</v>
      </c>
      <c r="O3020" s="2" t="s">
        <v>841</v>
      </c>
      <c r="P3020" s="2" t="s">
        <v>2571</v>
      </c>
    </row>
    <row r="3021" spans="1:16" ht="22" customHeight="1" x14ac:dyDescent="0.15">
      <c r="A3021" s="10" t="str">
        <f t="shared" si="472"/>
        <v>524_10_50_10_polygon</v>
      </c>
      <c r="B3021" s="2">
        <v>524</v>
      </c>
      <c r="C3021" s="30" t="str">
        <f>VLOOKUP(B3021,gachas!A:C,3)</f>
        <v>フィーバーフェス（1日目）</v>
      </c>
      <c r="D3021" s="21">
        <v>10</v>
      </c>
      <c r="E3021" s="2">
        <f t="shared" si="470"/>
        <v>50</v>
      </c>
      <c r="F3021" s="2">
        <v>10</v>
      </c>
      <c r="G3021" s="3" t="s">
        <v>22</v>
      </c>
      <c r="H3021" s="2">
        <v>50</v>
      </c>
      <c r="I3021" s="114" t="str">
        <f t="shared" si="471"/>
        <v>524100</v>
      </c>
      <c r="J3021" s="112" t="str">
        <f>CONCATENATE(B3021,D3021,5)</f>
        <v>524105</v>
      </c>
      <c r="K3021" s="112" t="str">
        <f t="shared" si="469"/>
        <v>524100</v>
      </c>
      <c r="L3021" s="2">
        <v>1</v>
      </c>
      <c r="M3021" s="2" t="s">
        <v>84</v>
      </c>
      <c r="N3021" s="2" t="s">
        <v>84</v>
      </c>
      <c r="O3021" s="2" t="s">
        <v>841</v>
      </c>
      <c r="P3021" s="2" t="s">
        <v>2648</v>
      </c>
    </row>
    <row r="3022" spans="1:16" ht="22" customHeight="1" x14ac:dyDescent="0.15">
      <c r="A3022" s="10" t="str">
        <f t="shared" si="472"/>
        <v>525_1_0_1_polygon</v>
      </c>
      <c r="B3022" s="2">
        <v>525</v>
      </c>
      <c r="C3022" s="30" t="str">
        <f>VLOOKUP(B3022,gachas!A:C,3)</f>
        <v>フィーバーフェス（2日目）</v>
      </c>
      <c r="D3022" s="21">
        <v>1</v>
      </c>
      <c r="E3022" s="2">
        <v>0</v>
      </c>
      <c r="F3022" s="2">
        <v>1</v>
      </c>
      <c r="G3022" s="3" t="s">
        <v>22</v>
      </c>
      <c r="H3022" s="2">
        <v>5</v>
      </c>
      <c r="I3022" s="114" t="str">
        <f t="shared" si="471"/>
        <v>525010</v>
      </c>
      <c r="J3022" s="112" t="s">
        <v>84</v>
      </c>
      <c r="K3022" s="112" t="s">
        <v>84</v>
      </c>
      <c r="L3022" s="2">
        <v>0</v>
      </c>
      <c r="M3022" s="2" t="s">
        <v>84</v>
      </c>
      <c r="N3022" s="2" t="s">
        <v>84</v>
      </c>
      <c r="O3022" s="2" t="s">
        <v>841</v>
      </c>
      <c r="P3022" s="2" t="s">
        <v>84</v>
      </c>
    </row>
    <row r="3023" spans="1:16" ht="22" customHeight="1" x14ac:dyDescent="0.15">
      <c r="A3023" s="10" t="str">
        <f t="shared" si="472"/>
        <v>525_10_0_10_polygon</v>
      </c>
      <c r="B3023" s="2">
        <v>525</v>
      </c>
      <c r="C3023" s="30" t="str">
        <f>VLOOKUP(B3023,gachas!A:C,3)</f>
        <v>フィーバーフェス（2日目）</v>
      </c>
      <c r="D3023" s="21">
        <v>10</v>
      </c>
      <c r="E3023" s="2">
        <v>0</v>
      </c>
      <c r="F3023" s="2">
        <v>10</v>
      </c>
      <c r="G3023" s="3" t="s">
        <v>22</v>
      </c>
      <c r="H3023" s="2">
        <v>50</v>
      </c>
      <c r="I3023" s="114" t="str">
        <f t="shared" si="471"/>
        <v>525100</v>
      </c>
      <c r="J3023" s="112" t="s">
        <v>84</v>
      </c>
      <c r="K3023" s="112" t="str">
        <f t="shared" ref="K3023:K3073" si="473">I3023</f>
        <v>525100</v>
      </c>
      <c r="L3023" s="2">
        <v>1</v>
      </c>
      <c r="M3023" s="2" t="s">
        <v>84</v>
      </c>
      <c r="N3023" s="2" t="s">
        <v>84</v>
      </c>
      <c r="O3023" s="2" t="s">
        <v>841</v>
      </c>
      <c r="P3023" s="2" t="s">
        <v>2571</v>
      </c>
    </row>
    <row r="3024" spans="1:16" ht="22" customHeight="1" x14ac:dyDescent="0.15">
      <c r="A3024" s="10" t="str">
        <f t="shared" si="472"/>
        <v>525_10_1_10_polygon</v>
      </c>
      <c r="B3024" s="2">
        <v>525</v>
      </c>
      <c r="C3024" s="30" t="str">
        <f>VLOOKUP(B3024,gachas!A:C,3)</f>
        <v>フィーバーフェス（2日目）</v>
      </c>
      <c r="D3024" s="21">
        <v>10</v>
      </c>
      <c r="E3024" s="2">
        <f>E3023+1</f>
        <v>1</v>
      </c>
      <c r="F3024" s="2">
        <v>10</v>
      </c>
      <c r="G3024" s="3" t="s">
        <v>22</v>
      </c>
      <c r="H3024" s="2">
        <v>50</v>
      </c>
      <c r="I3024" s="114" t="str">
        <f t="shared" si="471"/>
        <v>525100</v>
      </c>
      <c r="J3024" s="112" t="s">
        <v>84</v>
      </c>
      <c r="K3024" s="112" t="str">
        <f t="shared" si="473"/>
        <v>525100</v>
      </c>
      <c r="L3024" s="2">
        <v>1</v>
      </c>
      <c r="M3024" s="2" t="s">
        <v>84</v>
      </c>
      <c r="N3024" s="2" t="s">
        <v>84</v>
      </c>
      <c r="O3024" s="2" t="s">
        <v>841</v>
      </c>
      <c r="P3024" s="2" t="s">
        <v>2571</v>
      </c>
    </row>
    <row r="3025" spans="1:16" ht="22" customHeight="1" x14ac:dyDescent="0.15">
      <c r="A3025" s="10" t="str">
        <f t="shared" si="472"/>
        <v>525_10_2_10_polygon</v>
      </c>
      <c r="B3025" s="2">
        <v>525</v>
      </c>
      <c r="C3025" s="30" t="str">
        <f>VLOOKUP(B3025,gachas!A:C,3)</f>
        <v>フィーバーフェス（2日目）</v>
      </c>
      <c r="D3025" s="21">
        <v>10</v>
      </c>
      <c r="E3025" s="2">
        <f t="shared" ref="E3025:E3073" si="474">E3024+1</f>
        <v>2</v>
      </c>
      <c r="F3025" s="2">
        <v>10</v>
      </c>
      <c r="G3025" s="3" t="s">
        <v>22</v>
      </c>
      <c r="H3025" s="2">
        <v>50</v>
      </c>
      <c r="I3025" s="114" t="str">
        <f t="shared" si="471"/>
        <v>525100</v>
      </c>
      <c r="J3025" s="112" t="s">
        <v>84</v>
      </c>
      <c r="K3025" s="112" t="str">
        <f t="shared" si="473"/>
        <v>525100</v>
      </c>
      <c r="L3025" s="2">
        <v>1</v>
      </c>
      <c r="M3025" s="2" t="s">
        <v>84</v>
      </c>
      <c r="N3025" s="2" t="s">
        <v>84</v>
      </c>
      <c r="O3025" s="2" t="s">
        <v>841</v>
      </c>
      <c r="P3025" s="2" t="s">
        <v>2571</v>
      </c>
    </row>
    <row r="3026" spans="1:16" ht="22" customHeight="1" x14ac:dyDescent="0.15">
      <c r="A3026" s="10" t="str">
        <f t="shared" si="472"/>
        <v>525_10_3_10_polygon</v>
      </c>
      <c r="B3026" s="2">
        <v>525</v>
      </c>
      <c r="C3026" s="30" t="str">
        <f>VLOOKUP(B3026,gachas!A:C,3)</f>
        <v>フィーバーフェス（2日目）</v>
      </c>
      <c r="D3026" s="21">
        <v>10</v>
      </c>
      <c r="E3026" s="2">
        <f t="shared" si="474"/>
        <v>3</v>
      </c>
      <c r="F3026" s="2">
        <v>10</v>
      </c>
      <c r="G3026" s="3" t="s">
        <v>22</v>
      </c>
      <c r="H3026" s="2">
        <v>50</v>
      </c>
      <c r="I3026" s="114" t="str">
        <f t="shared" si="471"/>
        <v>525100</v>
      </c>
      <c r="J3026" s="112" t="s">
        <v>84</v>
      </c>
      <c r="K3026" s="112" t="str">
        <f t="shared" si="473"/>
        <v>525100</v>
      </c>
      <c r="L3026" s="2">
        <v>1</v>
      </c>
      <c r="M3026" s="2" t="s">
        <v>84</v>
      </c>
      <c r="N3026" s="2" t="s">
        <v>84</v>
      </c>
      <c r="O3026" s="2" t="s">
        <v>841</v>
      </c>
      <c r="P3026" s="2" t="s">
        <v>2571</v>
      </c>
    </row>
    <row r="3027" spans="1:16" ht="22" customHeight="1" x14ac:dyDescent="0.15">
      <c r="A3027" s="10" t="str">
        <f t="shared" si="472"/>
        <v>525_10_4_10_polygon</v>
      </c>
      <c r="B3027" s="2">
        <v>525</v>
      </c>
      <c r="C3027" s="30" t="str">
        <f>VLOOKUP(B3027,gachas!A:C,3)</f>
        <v>フィーバーフェス（2日目）</v>
      </c>
      <c r="D3027" s="21">
        <v>10</v>
      </c>
      <c r="E3027" s="2">
        <f t="shared" si="474"/>
        <v>4</v>
      </c>
      <c r="F3027" s="2">
        <v>10</v>
      </c>
      <c r="G3027" s="3" t="s">
        <v>22</v>
      </c>
      <c r="H3027" s="2">
        <v>50</v>
      </c>
      <c r="I3027" s="114" t="str">
        <f t="shared" si="471"/>
        <v>525100</v>
      </c>
      <c r="J3027" s="112" t="s">
        <v>84</v>
      </c>
      <c r="K3027" s="112" t="str">
        <f t="shared" si="473"/>
        <v>525100</v>
      </c>
      <c r="L3027" s="2">
        <v>1</v>
      </c>
      <c r="M3027" s="2" t="s">
        <v>84</v>
      </c>
      <c r="N3027" s="2" t="s">
        <v>84</v>
      </c>
      <c r="O3027" s="2" t="s">
        <v>841</v>
      </c>
      <c r="P3027" s="2" t="s">
        <v>2571</v>
      </c>
    </row>
    <row r="3028" spans="1:16" ht="22" customHeight="1" x14ac:dyDescent="0.15">
      <c r="A3028" s="10" t="str">
        <f t="shared" si="472"/>
        <v>525_10_5_10_polygon</v>
      </c>
      <c r="B3028" s="2">
        <v>525</v>
      </c>
      <c r="C3028" s="30" t="str">
        <f>VLOOKUP(B3028,gachas!A:C,3)</f>
        <v>フィーバーフェス（2日目）</v>
      </c>
      <c r="D3028" s="21">
        <v>10</v>
      </c>
      <c r="E3028" s="2">
        <f t="shared" si="474"/>
        <v>5</v>
      </c>
      <c r="F3028" s="2">
        <v>10</v>
      </c>
      <c r="G3028" s="3" t="s">
        <v>22</v>
      </c>
      <c r="H3028" s="2">
        <v>50</v>
      </c>
      <c r="I3028" s="114" t="str">
        <f t="shared" si="471"/>
        <v>525100</v>
      </c>
      <c r="J3028" s="112" t="str">
        <f>CONCATENATE(B3028,D3028,5)</f>
        <v>525105</v>
      </c>
      <c r="K3028" s="112" t="str">
        <f t="shared" si="473"/>
        <v>525100</v>
      </c>
      <c r="L3028" s="2">
        <v>1</v>
      </c>
      <c r="M3028" s="2" t="s">
        <v>84</v>
      </c>
      <c r="N3028" s="2" t="s">
        <v>84</v>
      </c>
      <c r="O3028" s="2" t="s">
        <v>841</v>
      </c>
      <c r="P3028" s="2" t="s">
        <v>2648</v>
      </c>
    </row>
    <row r="3029" spans="1:16" ht="22" customHeight="1" x14ac:dyDescent="0.15">
      <c r="A3029" s="10" t="str">
        <f t="shared" si="472"/>
        <v>525_10_6_10_polygon</v>
      </c>
      <c r="B3029" s="2">
        <v>525</v>
      </c>
      <c r="C3029" s="30" t="str">
        <f>VLOOKUP(B3029,gachas!A:C,3)</f>
        <v>フィーバーフェス（2日目）</v>
      </c>
      <c r="D3029" s="21">
        <v>10</v>
      </c>
      <c r="E3029" s="2">
        <f t="shared" si="474"/>
        <v>6</v>
      </c>
      <c r="F3029" s="2">
        <v>10</v>
      </c>
      <c r="G3029" s="3" t="s">
        <v>22</v>
      </c>
      <c r="H3029" s="2">
        <v>50</v>
      </c>
      <c r="I3029" s="114" t="str">
        <f t="shared" si="471"/>
        <v>525100</v>
      </c>
      <c r="J3029" s="112" t="s">
        <v>84</v>
      </c>
      <c r="K3029" s="112" t="str">
        <f t="shared" si="473"/>
        <v>525100</v>
      </c>
      <c r="L3029" s="2">
        <v>1</v>
      </c>
      <c r="M3029" s="2" t="s">
        <v>84</v>
      </c>
      <c r="N3029" s="2" t="s">
        <v>84</v>
      </c>
      <c r="O3029" s="2" t="s">
        <v>841</v>
      </c>
      <c r="P3029" s="2" t="s">
        <v>2571</v>
      </c>
    </row>
    <row r="3030" spans="1:16" ht="22" customHeight="1" x14ac:dyDescent="0.15">
      <c r="A3030" s="10" t="str">
        <f t="shared" si="472"/>
        <v>525_10_7_10_polygon</v>
      </c>
      <c r="B3030" s="2">
        <v>525</v>
      </c>
      <c r="C3030" s="30" t="str">
        <f>VLOOKUP(B3030,gachas!A:C,3)</f>
        <v>フィーバーフェス（2日目）</v>
      </c>
      <c r="D3030" s="21">
        <v>10</v>
      </c>
      <c r="E3030" s="2">
        <f t="shared" si="474"/>
        <v>7</v>
      </c>
      <c r="F3030" s="2">
        <v>10</v>
      </c>
      <c r="G3030" s="3" t="s">
        <v>22</v>
      </c>
      <c r="H3030" s="2">
        <v>50</v>
      </c>
      <c r="I3030" s="114" t="str">
        <f t="shared" si="471"/>
        <v>525100</v>
      </c>
      <c r="J3030" s="112" t="s">
        <v>84</v>
      </c>
      <c r="K3030" s="112" t="str">
        <f t="shared" si="473"/>
        <v>525100</v>
      </c>
      <c r="L3030" s="2">
        <v>1</v>
      </c>
      <c r="M3030" s="2" t="s">
        <v>84</v>
      </c>
      <c r="N3030" s="2" t="s">
        <v>84</v>
      </c>
      <c r="O3030" s="2" t="s">
        <v>841</v>
      </c>
      <c r="P3030" s="2" t="s">
        <v>2571</v>
      </c>
    </row>
    <row r="3031" spans="1:16" ht="22" customHeight="1" x14ac:dyDescent="0.15">
      <c r="A3031" s="10" t="str">
        <f t="shared" si="472"/>
        <v>525_10_8_10_polygon</v>
      </c>
      <c r="B3031" s="2">
        <v>525</v>
      </c>
      <c r="C3031" s="30" t="str">
        <f>VLOOKUP(B3031,gachas!A:C,3)</f>
        <v>フィーバーフェス（2日目）</v>
      </c>
      <c r="D3031" s="21">
        <v>10</v>
      </c>
      <c r="E3031" s="2">
        <f t="shared" si="474"/>
        <v>8</v>
      </c>
      <c r="F3031" s="2">
        <v>10</v>
      </c>
      <c r="G3031" s="3" t="s">
        <v>22</v>
      </c>
      <c r="H3031" s="2">
        <v>50</v>
      </c>
      <c r="I3031" s="114" t="str">
        <f t="shared" si="471"/>
        <v>525100</v>
      </c>
      <c r="J3031" s="112" t="s">
        <v>84</v>
      </c>
      <c r="K3031" s="112" t="str">
        <f t="shared" si="473"/>
        <v>525100</v>
      </c>
      <c r="L3031" s="2">
        <v>1</v>
      </c>
      <c r="M3031" s="2" t="s">
        <v>84</v>
      </c>
      <c r="N3031" s="2" t="s">
        <v>84</v>
      </c>
      <c r="O3031" s="2" t="s">
        <v>841</v>
      </c>
      <c r="P3031" s="2" t="s">
        <v>2571</v>
      </c>
    </row>
    <row r="3032" spans="1:16" ht="22" customHeight="1" x14ac:dyDescent="0.15">
      <c r="A3032" s="10" t="str">
        <f t="shared" si="472"/>
        <v>525_10_9_10_polygon</v>
      </c>
      <c r="B3032" s="2">
        <v>525</v>
      </c>
      <c r="C3032" s="30" t="str">
        <f>VLOOKUP(B3032,gachas!A:C,3)</f>
        <v>フィーバーフェス（2日目）</v>
      </c>
      <c r="D3032" s="21">
        <v>10</v>
      </c>
      <c r="E3032" s="2">
        <f t="shared" si="474"/>
        <v>9</v>
      </c>
      <c r="F3032" s="2">
        <v>10</v>
      </c>
      <c r="G3032" s="3" t="s">
        <v>22</v>
      </c>
      <c r="H3032" s="2">
        <v>50</v>
      </c>
      <c r="I3032" s="114" t="str">
        <f t="shared" si="471"/>
        <v>525100</v>
      </c>
      <c r="J3032" s="112" t="s">
        <v>84</v>
      </c>
      <c r="K3032" s="112" t="str">
        <f t="shared" si="473"/>
        <v>525100</v>
      </c>
      <c r="L3032" s="2">
        <v>1</v>
      </c>
      <c r="M3032" s="2" t="s">
        <v>84</v>
      </c>
      <c r="N3032" s="2" t="s">
        <v>84</v>
      </c>
      <c r="O3032" s="2" t="s">
        <v>841</v>
      </c>
      <c r="P3032" s="2" t="s">
        <v>2571</v>
      </c>
    </row>
    <row r="3033" spans="1:16" ht="22" customHeight="1" x14ac:dyDescent="0.15">
      <c r="A3033" s="10" t="str">
        <f t="shared" si="472"/>
        <v>525_10_10_10_polygon</v>
      </c>
      <c r="B3033" s="2">
        <v>525</v>
      </c>
      <c r="C3033" s="30" t="str">
        <f>VLOOKUP(B3033,gachas!A:C,3)</f>
        <v>フィーバーフェス（2日目）</v>
      </c>
      <c r="D3033" s="21">
        <v>10</v>
      </c>
      <c r="E3033" s="2">
        <f t="shared" si="474"/>
        <v>10</v>
      </c>
      <c r="F3033" s="2">
        <v>10</v>
      </c>
      <c r="G3033" s="3" t="s">
        <v>22</v>
      </c>
      <c r="H3033" s="2">
        <v>50</v>
      </c>
      <c r="I3033" s="114" t="str">
        <f t="shared" si="471"/>
        <v>525100</v>
      </c>
      <c r="J3033" s="112" t="str">
        <f>CONCATENATE(B3033,D3033,5)</f>
        <v>525105</v>
      </c>
      <c r="K3033" s="112" t="str">
        <f t="shared" si="473"/>
        <v>525100</v>
      </c>
      <c r="L3033" s="2">
        <v>1</v>
      </c>
      <c r="M3033" s="2" t="s">
        <v>84</v>
      </c>
      <c r="N3033" s="2" t="s">
        <v>84</v>
      </c>
      <c r="O3033" s="2" t="s">
        <v>841</v>
      </c>
      <c r="P3033" s="2" t="s">
        <v>2648</v>
      </c>
    </row>
    <row r="3034" spans="1:16" ht="22" customHeight="1" x14ac:dyDescent="0.15">
      <c r="A3034" s="10" t="str">
        <f t="shared" si="472"/>
        <v>525_10_11_10_polygon</v>
      </c>
      <c r="B3034" s="2">
        <v>525</v>
      </c>
      <c r="C3034" s="30" t="str">
        <f>VLOOKUP(B3034,gachas!A:C,3)</f>
        <v>フィーバーフェス（2日目）</v>
      </c>
      <c r="D3034" s="21">
        <v>10</v>
      </c>
      <c r="E3034" s="2">
        <f t="shared" si="474"/>
        <v>11</v>
      </c>
      <c r="F3034" s="2">
        <v>10</v>
      </c>
      <c r="G3034" s="3" t="s">
        <v>22</v>
      </c>
      <c r="H3034" s="2">
        <v>50</v>
      </c>
      <c r="I3034" s="114" t="str">
        <f t="shared" si="471"/>
        <v>525100</v>
      </c>
      <c r="J3034" s="112" t="s">
        <v>84</v>
      </c>
      <c r="K3034" s="112" t="str">
        <f t="shared" si="473"/>
        <v>525100</v>
      </c>
      <c r="L3034" s="2">
        <v>1</v>
      </c>
      <c r="M3034" s="2" t="s">
        <v>84</v>
      </c>
      <c r="N3034" s="2" t="s">
        <v>84</v>
      </c>
      <c r="O3034" s="2" t="s">
        <v>841</v>
      </c>
      <c r="P3034" s="2" t="s">
        <v>2571</v>
      </c>
    </row>
    <row r="3035" spans="1:16" ht="22" customHeight="1" x14ac:dyDescent="0.15">
      <c r="A3035" s="10" t="str">
        <f t="shared" si="472"/>
        <v>525_10_12_10_polygon</v>
      </c>
      <c r="B3035" s="2">
        <v>525</v>
      </c>
      <c r="C3035" s="30" t="str">
        <f>VLOOKUP(B3035,gachas!A:C,3)</f>
        <v>フィーバーフェス（2日目）</v>
      </c>
      <c r="D3035" s="21">
        <v>10</v>
      </c>
      <c r="E3035" s="2">
        <f t="shared" si="474"/>
        <v>12</v>
      </c>
      <c r="F3035" s="2">
        <v>10</v>
      </c>
      <c r="G3035" s="3" t="s">
        <v>22</v>
      </c>
      <c r="H3035" s="2">
        <v>50</v>
      </c>
      <c r="I3035" s="114" t="str">
        <f t="shared" si="471"/>
        <v>525100</v>
      </c>
      <c r="J3035" s="112" t="s">
        <v>84</v>
      </c>
      <c r="K3035" s="112" t="str">
        <f t="shared" si="473"/>
        <v>525100</v>
      </c>
      <c r="L3035" s="2">
        <v>1</v>
      </c>
      <c r="M3035" s="2" t="s">
        <v>84</v>
      </c>
      <c r="N3035" s="2" t="s">
        <v>84</v>
      </c>
      <c r="O3035" s="2" t="s">
        <v>841</v>
      </c>
      <c r="P3035" s="2" t="s">
        <v>2571</v>
      </c>
    </row>
    <row r="3036" spans="1:16" ht="22" customHeight="1" x14ac:dyDescent="0.15">
      <c r="A3036" s="10" t="str">
        <f t="shared" si="472"/>
        <v>525_10_13_10_polygon</v>
      </c>
      <c r="B3036" s="2">
        <v>525</v>
      </c>
      <c r="C3036" s="30" t="str">
        <f>VLOOKUP(B3036,gachas!A:C,3)</f>
        <v>フィーバーフェス（2日目）</v>
      </c>
      <c r="D3036" s="21">
        <v>10</v>
      </c>
      <c r="E3036" s="2">
        <f t="shared" si="474"/>
        <v>13</v>
      </c>
      <c r="F3036" s="2">
        <v>10</v>
      </c>
      <c r="G3036" s="3" t="s">
        <v>22</v>
      </c>
      <c r="H3036" s="2">
        <v>50</v>
      </c>
      <c r="I3036" s="114" t="str">
        <f t="shared" si="471"/>
        <v>525100</v>
      </c>
      <c r="J3036" s="112" t="s">
        <v>84</v>
      </c>
      <c r="K3036" s="112" t="str">
        <f t="shared" si="473"/>
        <v>525100</v>
      </c>
      <c r="L3036" s="2">
        <v>1</v>
      </c>
      <c r="M3036" s="2" t="s">
        <v>84</v>
      </c>
      <c r="N3036" s="2" t="s">
        <v>84</v>
      </c>
      <c r="O3036" s="2" t="s">
        <v>841</v>
      </c>
      <c r="P3036" s="2" t="s">
        <v>2571</v>
      </c>
    </row>
    <row r="3037" spans="1:16" ht="22" customHeight="1" x14ac:dyDescent="0.15">
      <c r="A3037" s="10" t="str">
        <f t="shared" si="472"/>
        <v>525_10_14_10_polygon</v>
      </c>
      <c r="B3037" s="2">
        <v>525</v>
      </c>
      <c r="C3037" s="30" t="str">
        <f>VLOOKUP(B3037,gachas!A:C,3)</f>
        <v>フィーバーフェス（2日目）</v>
      </c>
      <c r="D3037" s="21">
        <v>10</v>
      </c>
      <c r="E3037" s="2">
        <f t="shared" si="474"/>
        <v>14</v>
      </c>
      <c r="F3037" s="2">
        <v>10</v>
      </c>
      <c r="G3037" s="3" t="s">
        <v>22</v>
      </c>
      <c r="H3037" s="2">
        <v>50</v>
      </c>
      <c r="I3037" s="114" t="str">
        <f t="shared" ref="I3037:I3100" si="475">CONCATENATE(B3037,IF(D3037=1,"01","10"),0)</f>
        <v>525100</v>
      </c>
      <c r="J3037" s="112" t="s">
        <v>84</v>
      </c>
      <c r="K3037" s="112" t="str">
        <f t="shared" si="473"/>
        <v>525100</v>
      </c>
      <c r="L3037" s="2">
        <v>1</v>
      </c>
      <c r="M3037" s="2" t="s">
        <v>84</v>
      </c>
      <c r="N3037" s="2" t="s">
        <v>84</v>
      </c>
      <c r="O3037" s="2" t="s">
        <v>841</v>
      </c>
      <c r="P3037" s="2" t="s">
        <v>2571</v>
      </c>
    </row>
    <row r="3038" spans="1:16" ht="22" customHeight="1" x14ac:dyDescent="0.15">
      <c r="A3038" s="10" t="str">
        <f t="shared" si="472"/>
        <v>525_10_15_10_polygon</v>
      </c>
      <c r="B3038" s="2">
        <v>525</v>
      </c>
      <c r="C3038" s="30" t="str">
        <f>VLOOKUP(B3038,gachas!A:C,3)</f>
        <v>フィーバーフェス（2日目）</v>
      </c>
      <c r="D3038" s="21">
        <v>10</v>
      </c>
      <c r="E3038" s="2">
        <f t="shared" si="474"/>
        <v>15</v>
      </c>
      <c r="F3038" s="2">
        <v>10</v>
      </c>
      <c r="G3038" s="3" t="s">
        <v>22</v>
      </c>
      <c r="H3038" s="2">
        <v>50</v>
      </c>
      <c r="I3038" s="114" t="str">
        <f t="shared" si="475"/>
        <v>525100</v>
      </c>
      <c r="J3038" s="112" t="str">
        <f>CONCATENATE(B3038,D3038,5)</f>
        <v>525105</v>
      </c>
      <c r="K3038" s="112" t="str">
        <f t="shared" si="473"/>
        <v>525100</v>
      </c>
      <c r="L3038" s="2">
        <v>1</v>
      </c>
      <c r="M3038" s="2" t="s">
        <v>84</v>
      </c>
      <c r="N3038" s="2" t="s">
        <v>84</v>
      </c>
      <c r="O3038" s="2" t="s">
        <v>841</v>
      </c>
      <c r="P3038" s="2" t="s">
        <v>2648</v>
      </c>
    </row>
    <row r="3039" spans="1:16" ht="22" customHeight="1" x14ac:dyDescent="0.15">
      <c r="A3039" s="10" t="str">
        <f t="shared" si="472"/>
        <v>525_10_16_10_polygon</v>
      </c>
      <c r="B3039" s="2">
        <v>525</v>
      </c>
      <c r="C3039" s="30" t="str">
        <f>VLOOKUP(B3039,gachas!A:C,3)</f>
        <v>フィーバーフェス（2日目）</v>
      </c>
      <c r="D3039" s="21">
        <v>10</v>
      </c>
      <c r="E3039" s="2">
        <f t="shared" si="474"/>
        <v>16</v>
      </c>
      <c r="F3039" s="2">
        <v>10</v>
      </c>
      <c r="G3039" s="3" t="s">
        <v>22</v>
      </c>
      <c r="H3039" s="2">
        <v>50</v>
      </c>
      <c r="I3039" s="114" t="str">
        <f t="shared" si="475"/>
        <v>525100</v>
      </c>
      <c r="J3039" s="112" t="s">
        <v>84</v>
      </c>
      <c r="K3039" s="112" t="str">
        <f t="shared" si="473"/>
        <v>525100</v>
      </c>
      <c r="L3039" s="2">
        <v>1</v>
      </c>
      <c r="M3039" s="2" t="s">
        <v>84</v>
      </c>
      <c r="N3039" s="2" t="s">
        <v>84</v>
      </c>
      <c r="O3039" s="2" t="s">
        <v>841</v>
      </c>
      <c r="P3039" s="2" t="s">
        <v>2571</v>
      </c>
    </row>
    <row r="3040" spans="1:16" ht="22" customHeight="1" x14ac:dyDescent="0.15">
      <c r="A3040" s="10" t="str">
        <f t="shared" si="472"/>
        <v>525_10_17_10_polygon</v>
      </c>
      <c r="B3040" s="2">
        <v>525</v>
      </c>
      <c r="C3040" s="30" t="str">
        <f>VLOOKUP(B3040,gachas!A:C,3)</f>
        <v>フィーバーフェス（2日目）</v>
      </c>
      <c r="D3040" s="21">
        <v>10</v>
      </c>
      <c r="E3040" s="2">
        <f t="shared" si="474"/>
        <v>17</v>
      </c>
      <c r="F3040" s="2">
        <v>10</v>
      </c>
      <c r="G3040" s="3" t="s">
        <v>22</v>
      </c>
      <c r="H3040" s="2">
        <v>50</v>
      </c>
      <c r="I3040" s="114" t="str">
        <f t="shared" si="475"/>
        <v>525100</v>
      </c>
      <c r="J3040" s="112" t="s">
        <v>84</v>
      </c>
      <c r="K3040" s="112" t="str">
        <f t="shared" si="473"/>
        <v>525100</v>
      </c>
      <c r="L3040" s="2">
        <v>1</v>
      </c>
      <c r="M3040" s="2" t="s">
        <v>84</v>
      </c>
      <c r="N3040" s="2" t="s">
        <v>84</v>
      </c>
      <c r="O3040" s="2" t="s">
        <v>841</v>
      </c>
      <c r="P3040" s="2" t="s">
        <v>2571</v>
      </c>
    </row>
    <row r="3041" spans="1:16" ht="22" customHeight="1" x14ac:dyDescent="0.15">
      <c r="A3041" s="10" t="str">
        <f t="shared" si="472"/>
        <v>525_10_18_10_polygon</v>
      </c>
      <c r="B3041" s="2">
        <v>525</v>
      </c>
      <c r="C3041" s="30" t="str">
        <f>VLOOKUP(B3041,gachas!A:C,3)</f>
        <v>フィーバーフェス（2日目）</v>
      </c>
      <c r="D3041" s="21">
        <v>10</v>
      </c>
      <c r="E3041" s="2">
        <f t="shared" si="474"/>
        <v>18</v>
      </c>
      <c r="F3041" s="2">
        <v>10</v>
      </c>
      <c r="G3041" s="3" t="s">
        <v>22</v>
      </c>
      <c r="H3041" s="2">
        <v>50</v>
      </c>
      <c r="I3041" s="114" t="str">
        <f t="shared" si="475"/>
        <v>525100</v>
      </c>
      <c r="J3041" s="112" t="s">
        <v>84</v>
      </c>
      <c r="K3041" s="112" t="str">
        <f t="shared" si="473"/>
        <v>525100</v>
      </c>
      <c r="L3041" s="2">
        <v>1</v>
      </c>
      <c r="M3041" s="2" t="s">
        <v>84</v>
      </c>
      <c r="N3041" s="2" t="s">
        <v>84</v>
      </c>
      <c r="O3041" s="2" t="s">
        <v>841</v>
      </c>
      <c r="P3041" s="2" t="s">
        <v>2571</v>
      </c>
    </row>
    <row r="3042" spans="1:16" ht="22" customHeight="1" x14ac:dyDescent="0.15">
      <c r="A3042" s="10" t="str">
        <f t="shared" si="472"/>
        <v>525_10_19_10_polygon</v>
      </c>
      <c r="B3042" s="2">
        <v>525</v>
      </c>
      <c r="C3042" s="30" t="str">
        <f>VLOOKUP(B3042,gachas!A:C,3)</f>
        <v>フィーバーフェス（2日目）</v>
      </c>
      <c r="D3042" s="21">
        <v>10</v>
      </c>
      <c r="E3042" s="2">
        <f t="shared" si="474"/>
        <v>19</v>
      </c>
      <c r="F3042" s="2">
        <v>10</v>
      </c>
      <c r="G3042" s="3" t="s">
        <v>22</v>
      </c>
      <c r="H3042" s="2">
        <v>50</v>
      </c>
      <c r="I3042" s="114" t="str">
        <f t="shared" si="475"/>
        <v>525100</v>
      </c>
      <c r="J3042" s="112" t="s">
        <v>84</v>
      </c>
      <c r="K3042" s="112" t="str">
        <f t="shared" si="473"/>
        <v>525100</v>
      </c>
      <c r="L3042" s="2">
        <v>1</v>
      </c>
      <c r="M3042" s="2" t="s">
        <v>84</v>
      </c>
      <c r="N3042" s="2" t="s">
        <v>84</v>
      </c>
      <c r="O3042" s="2" t="s">
        <v>841</v>
      </c>
      <c r="P3042" s="2" t="s">
        <v>2571</v>
      </c>
    </row>
    <row r="3043" spans="1:16" ht="22" customHeight="1" x14ac:dyDescent="0.15">
      <c r="A3043" s="10" t="str">
        <f t="shared" si="472"/>
        <v>525_10_20_10_polygon</v>
      </c>
      <c r="B3043" s="2">
        <v>525</v>
      </c>
      <c r="C3043" s="30" t="str">
        <f>VLOOKUP(B3043,gachas!A:C,3)</f>
        <v>フィーバーフェス（2日目）</v>
      </c>
      <c r="D3043" s="21">
        <v>10</v>
      </c>
      <c r="E3043" s="2">
        <f t="shared" si="474"/>
        <v>20</v>
      </c>
      <c r="F3043" s="2">
        <v>10</v>
      </c>
      <c r="G3043" s="3" t="s">
        <v>22</v>
      </c>
      <c r="H3043" s="2">
        <v>50</v>
      </c>
      <c r="I3043" s="114" t="str">
        <f t="shared" si="475"/>
        <v>525100</v>
      </c>
      <c r="J3043" s="112" t="str">
        <f>CONCATENATE(B3043,D3043,5)</f>
        <v>525105</v>
      </c>
      <c r="K3043" s="112" t="str">
        <f t="shared" si="473"/>
        <v>525100</v>
      </c>
      <c r="L3043" s="2">
        <v>1</v>
      </c>
      <c r="M3043" s="2" t="s">
        <v>84</v>
      </c>
      <c r="N3043" s="2" t="s">
        <v>84</v>
      </c>
      <c r="O3043" s="2" t="s">
        <v>841</v>
      </c>
      <c r="P3043" s="2" t="s">
        <v>2648</v>
      </c>
    </row>
    <row r="3044" spans="1:16" ht="22" customHeight="1" x14ac:dyDescent="0.15">
      <c r="A3044" s="10" t="str">
        <f t="shared" si="472"/>
        <v>525_10_21_10_polygon</v>
      </c>
      <c r="B3044" s="2">
        <v>525</v>
      </c>
      <c r="C3044" s="30" t="str">
        <f>VLOOKUP(B3044,gachas!A:C,3)</f>
        <v>フィーバーフェス（2日目）</v>
      </c>
      <c r="D3044" s="21">
        <v>10</v>
      </c>
      <c r="E3044" s="2">
        <f t="shared" si="474"/>
        <v>21</v>
      </c>
      <c r="F3044" s="2">
        <v>10</v>
      </c>
      <c r="G3044" s="3" t="s">
        <v>22</v>
      </c>
      <c r="H3044" s="2">
        <v>50</v>
      </c>
      <c r="I3044" s="114" t="str">
        <f t="shared" si="475"/>
        <v>525100</v>
      </c>
      <c r="J3044" s="112" t="s">
        <v>84</v>
      </c>
      <c r="K3044" s="112" t="str">
        <f t="shared" si="473"/>
        <v>525100</v>
      </c>
      <c r="L3044" s="2">
        <v>1</v>
      </c>
      <c r="M3044" s="2" t="s">
        <v>84</v>
      </c>
      <c r="N3044" s="2" t="s">
        <v>84</v>
      </c>
      <c r="O3044" s="2" t="s">
        <v>841</v>
      </c>
      <c r="P3044" s="2" t="s">
        <v>2571</v>
      </c>
    </row>
    <row r="3045" spans="1:16" ht="22" customHeight="1" x14ac:dyDescent="0.15">
      <c r="A3045" s="10" t="str">
        <f t="shared" si="472"/>
        <v>525_10_22_10_polygon</v>
      </c>
      <c r="B3045" s="2">
        <v>525</v>
      </c>
      <c r="C3045" s="30" t="str">
        <f>VLOOKUP(B3045,gachas!A:C,3)</f>
        <v>フィーバーフェス（2日目）</v>
      </c>
      <c r="D3045" s="21">
        <v>10</v>
      </c>
      <c r="E3045" s="2">
        <f t="shared" si="474"/>
        <v>22</v>
      </c>
      <c r="F3045" s="2">
        <v>10</v>
      </c>
      <c r="G3045" s="3" t="s">
        <v>22</v>
      </c>
      <c r="H3045" s="2">
        <v>50</v>
      </c>
      <c r="I3045" s="114" t="str">
        <f t="shared" si="475"/>
        <v>525100</v>
      </c>
      <c r="J3045" s="112" t="s">
        <v>84</v>
      </c>
      <c r="K3045" s="112" t="str">
        <f t="shared" si="473"/>
        <v>525100</v>
      </c>
      <c r="L3045" s="2">
        <v>1</v>
      </c>
      <c r="M3045" s="2" t="s">
        <v>84</v>
      </c>
      <c r="N3045" s="2" t="s">
        <v>84</v>
      </c>
      <c r="O3045" s="2" t="s">
        <v>841</v>
      </c>
      <c r="P3045" s="2" t="s">
        <v>2571</v>
      </c>
    </row>
    <row r="3046" spans="1:16" ht="22" customHeight="1" x14ac:dyDescent="0.15">
      <c r="A3046" s="10" t="str">
        <f t="shared" si="472"/>
        <v>525_10_23_10_polygon</v>
      </c>
      <c r="B3046" s="2">
        <v>525</v>
      </c>
      <c r="C3046" s="30" t="str">
        <f>VLOOKUP(B3046,gachas!A:C,3)</f>
        <v>フィーバーフェス（2日目）</v>
      </c>
      <c r="D3046" s="21">
        <v>10</v>
      </c>
      <c r="E3046" s="2">
        <f t="shared" si="474"/>
        <v>23</v>
      </c>
      <c r="F3046" s="2">
        <v>10</v>
      </c>
      <c r="G3046" s="3" t="s">
        <v>22</v>
      </c>
      <c r="H3046" s="2">
        <v>50</v>
      </c>
      <c r="I3046" s="114" t="str">
        <f t="shared" si="475"/>
        <v>525100</v>
      </c>
      <c r="J3046" s="112" t="s">
        <v>84</v>
      </c>
      <c r="K3046" s="112" t="str">
        <f t="shared" si="473"/>
        <v>525100</v>
      </c>
      <c r="L3046" s="2">
        <v>1</v>
      </c>
      <c r="M3046" s="2" t="s">
        <v>84</v>
      </c>
      <c r="N3046" s="2" t="s">
        <v>84</v>
      </c>
      <c r="O3046" s="2" t="s">
        <v>841</v>
      </c>
      <c r="P3046" s="2" t="s">
        <v>2571</v>
      </c>
    </row>
    <row r="3047" spans="1:16" ht="22" customHeight="1" x14ac:dyDescent="0.15">
      <c r="A3047" s="10" t="str">
        <f t="shared" si="472"/>
        <v>525_10_24_10_polygon</v>
      </c>
      <c r="B3047" s="2">
        <v>525</v>
      </c>
      <c r="C3047" s="30" t="str">
        <f>VLOOKUP(B3047,gachas!A:C,3)</f>
        <v>フィーバーフェス（2日目）</v>
      </c>
      <c r="D3047" s="21">
        <v>10</v>
      </c>
      <c r="E3047" s="2">
        <f t="shared" si="474"/>
        <v>24</v>
      </c>
      <c r="F3047" s="2">
        <v>10</v>
      </c>
      <c r="G3047" s="3" t="s">
        <v>22</v>
      </c>
      <c r="H3047" s="2">
        <v>50</v>
      </c>
      <c r="I3047" s="114" t="str">
        <f t="shared" si="475"/>
        <v>525100</v>
      </c>
      <c r="J3047" s="112" t="s">
        <v>84</v>
      </c>
      <c r="K3047" s="112" t="str">
        <f t="shared" si="473"/>
        <v>525100</v>
      </c>
      <c r="L3047" s="2">
        <v>1</v>
      </c>
      <c r="M3047" s="2" t="s">
        <v>84</v>
      </c>
      <c r="N3047" s="2" t="s">
        <v>84</v>
      </c>
      <c r="O3047" s="2" t="s">
        <v>841</v>
      </c>
      <c r="P3047" s="2" t="s">
        <v>2571</v>
      </c>
    </row>
    <row r="3048" spans="1:16" ht="22" customHeight="1" x14ac:dyDescent="0.15">
      <c r="A3048" s="10" t="str">
        <f t="shared" si="472"/>
        <v>525_10_25_10_polygon</v>
      </c>
      <c r="B3048" s="2">
        <v>525</v>
      </c>
      <c r="C3048" s="30" t="str">
        <f>VLOOKUP(B3048,gachas!A:C,3)</f>
        <v>フィーバーフェス（2日目）</v>
      </c>
      <c r="D3048" s="21">
        <v>10</v>
      </c>
      <c r="E3048" s="2">
        <f t="shared" si="474"/>
        <v>25</v>
      </c>
      <c r="F3048" s="2">
        <v>10</v>
      </c>
      <c r="G3048" s="3" t="s">
        <v>22</v>
      </c>
      <c r="H3048" s="2">
        <v>50</v>
      </c>
      <c r="I3048" s="114" t="str">
        <f t="shared" si="475"/>
        <v>525100</v>
      </c>
      <c r="J3048" s="112" t="str">
        <f>CONCATENATE(B3048,D3048,5)</f>
        <v>525105</v>
      </c>
      <c r="K3048" s="112" t="str">
        <f t="shared" si="473"/>
        <v>525100</v>
      </c>
      <c r="L3048" s="2">
        <v>1</v>
      </c>
      <c r="M3048" s="2" t="s">
        <v>84</v>
      </c>
      <c r="N3048" s="2" t="s">
        <v>84</v>
      </c>
      <c r="O3048" s="2" t="s">
        <v>841</v>
      </c>
      <c r="P3048" s="2" t="s">
        <v>2648</v>
      </c>
    </row>
    <row r="3049" spans="1:16" ht="22" customHeight="1" x14ac:dyDescent="0.15">
      <c r="A3049" s="10" t="str">
        <f t="shared" si="472"/>
        <v>525_10_26_10_polygon</v>
      </c>
      <c r="B3049" s="2">
        <v>525</v>
      </c>
      <c r="C3049" s="30" t="str">
        <f>VLOOKUP(B3049,gachas!A:C,3)</f>
        <v>フィーバーフェス（2日目）</v>
      </c>
      <c r="D3049" s="21">
        <v>10</v>
      </c>
      <c r="E3049" s="2">
        <f t="shared" si="474"/>
        <v>26</v>
      </c>
      <c r="F3049" s="2">
        <v>10</v>
      </c>
      <c r="G3049" s="3" t="s">
        <v>22</v>
      </c>
      <c r="H3049" s="2">
        <v>50</v>
      </c>
      <c r="I3049" s="114" t="str">
        <f t="shared" si="475"/>
        <v>525100</v>
      </c>
      <c r="J3049" s="112" t="s">
        <v>84</v>
      </c>
      <c r="K3049" s="112" t="str">
        <f t="shared" si="473"/>
        <v>525100</v>
      </c>
      <c r="L3049" s="2">
        <v>1</v>
      </c>
      <c r="M3049" s="2" t="s">
        <v>84</v>
      </c>
      <c r="N3049" s="2" t="s">
        <v>84</v>
      </c>
      <c r="O3049" s="2" t="s">
        <v>841</v>
      </c>
      <c r="P3049" s="2" t="s">
        <v>2571</v>
      </c>
    </row>
    <row r="3050" spans="1:16" ht="22" customHeight="1" x14ac:dyDescent="0.15">
      <c r="A3050" s="10" t="str">
        <f t="shared" si="472"/>
        <v>525_10_27_10_polygon</v>
      </c>
      <c r="B3050" s="2">
        <v>525</v>
      </c>
      <c r="C3050" s="30" t="str">
        <f>VLOOKUP(B3050,gachas!A:C,3)</f>
        <v>フィーバーフェス（2日目）</v>
      </c>
      <c r="D3050" s="21">
        <v>10</v>
      </c>
      <c r="E3050" s="2">
        <f t="shared" si="474"/>
        <v>27</v>
      </c>
      <c r="F3050" s="2">
        <v>10</v>
      </c>
      <c r="G3050" s="3" t="s">
        <v>22</v>
      </c>
      <c r="H3050" s="2">
        <v>50</v>
      </c>
      <c r="I3050" s="114" t="str">
        <f t="shared" si="475"/>
        <v>525100</v>
      </c>
      <c r="J3050" s="112" t="s">
        <v>84</v>
      </c>
      <c r="K3050" s="112" t="str">
        <f t="shared" si="473"/>
        <v>525100</v>
      </c>
      <c r="L3050" s="2">
        <v>1</v>
      </c>
      <c r="M3050" s="2" t="s">
        <v>84</v>
      </c>
      <c r="N3050" s="2" t="s">
        <v>84</v>
      </c>
      <c r="O3050" s="2" t="s">
        <v>841</v>
      </c>
      <c r="P3050" s="2" t="s">
        <v>2571</v>
      </c>
    </row>
    <row r="3051" spans="1:16" ht="22" customHeight="1" x14ac:dyDescent="0.15">
      <c r="A3051" s="10" t="str">
        <f t="shared" si="472"/>
        <v>525_10_28_10_polygon</v>
      </c>
      <c r="B3051" s="2">
        <v>525</v>
      </c>
      <c r="C3051" s="30" t="str">
        <f>VLOOKUP(B3051,gachas!A:C,3)</f>
        <v>フィーバーフェス（2日目）</v>
      </c>
      <c r="D3051" s="21">
        <v>10</v>
      </c>
      <c r="E3051" s="2">
        <f t="shared" si="474"/>
        <v>28</v>
      </c>
      <c r="F3051" s="2">
        <v>10</v>
      </c>
      <c r="G3051" s="3" t="s">
        <v>22</v>
      </c>
      <c r="H3051" s="2">
        <v>50</v>
      </c>
      <c r="I3051" s="114" t="str">
        <f t="shared" si="475"/>
        <v>525100</v>
      </c>
      <c r="J3051" s="112" t="s">
        <v>84</v>
      </c>
      <c r="K3051" s="112" t="str">
        <f t="shared" si="473"/>
        <v>525100</v>
      </c>
      <c r="L3051" s="2">
        <v>1</v>
      </c>
      <c r="M3051" s="2" t="s">
        <v>84</v>
      </c>
      <c r="N3051" s="2" t="s">
        <v>84</v>
      </c>
      <c r="O3051" s="2" t="s">
        <v>841</v>
      </c>
      <c r="P3051" s="2" t="s">
        <v>2571</v>
      </c>
    </row>
    <row r="3052" spans="1:16" ht="22" customHeight="1" x14ac:dyDescent="0.15">
      <c r="A3052" s="10" t="str">
        <f t="shared" si="472"/>
        <v>525_10_29_10_polygon</v>
      </c>
      <c r="B3052" s="2">
        <v>525</v>
      </c>
      <c r="C3052" s="30" t="str">
        <f>VLOOKUP(B3052,gachas!A:C,3)</f>
        <v>フィーバーフェス（2日目）</v>
      </c>
      <c r="D3052" s="21">
        <v>10</v>
      </c>
      <c r="E3052" s="2">
        <f t="shared" si="474"/>
        <v>29</v>
      </c>
      <c r="F3052" s="2">
        <v>10</v>
      </c>
      <c r="G3052" s="3" t="s">
        <v>22</v>
      </c>
      <c r="H3052" s="2">
        <v>50</v>
      </c>
      <c r="I3052" s="114" t="str">
        <f t="shared" si="475"/>
        <v>525100</v>
      </c>
      <c r="J3052" s="112" t="s">
        <v>84</v>
      </c>
      <c r="K3052" s="112" t="str">
        <f t="shared" si="473"/>
        <v>525100</v>
      </c>
      <c r="L3052" s="2">
        <v>1</v>
      </c>
      <c r="M3052" s="2" t="s">
        <v>84</v>
      </c>
      <c r="N3052" s="2" t="s">
        <v>84</v>
      </c>
      <c r="O3052" s="2" t="s">
        <v>841</v>
      </c>
      <c r="P3052" s="2" t="s">
        <v>2571</v>
      </c>
    </row>
    <row r="3053" spans="1:16" ht="22" customHeight="1" x14ac:dyDescent="0.15">
      <c r="A3053" s="10" t="str">
        <f t="shared" si="472"/>
        <v>525_10_30_10_polygon</v>
      </c>
      <c r="B3053" s="2">
        <v>525</v>
      </c>
      <c r="C3053" s="30" t="str">
        <f>VLOOKUP(B3053,gachas!A:C,3)</f>
        <v>フィーバーフェス（2日目）</v>
      </c>
      <c r="D3053" s="21">
        <v>10</v>
      </c>
      <c r="E3053" s="2">
        <f t="shared" si="474"/>
        <v>30</v>
      </c>
      <c r="F3053" s="2">
        <v>10</v>
      </c>
      <c r="G3053" s="3" t="s">
        <v>22</v>
      </c>
      <c r="H3053" s="2">
        <v>50</v>
      </c>
      <c r="I3053" s="114" t="str">
        <f t="shared" si="475"/>
        <v>525100</v>
      </c>
      <c r="J3053" s="112" t="str">
        <f>CONCATENATE(B3053,D3053,5)</f>
        <v>525105</v>
      </c>
      <c r="K3053" s="112" t="str">
        <f t="shared" si="473"/>
        <v>525100</v>
      </c>
      <c r="L3053" s="2">
        <v>1</v>
      </c>
      <c r="M3053" s="2" t="s">
        <v>84</v>
      </c>
      <c r="N3053" s="2" t="s">
        <v>84</v>
      </c>
      <c r="O3053" s="2" t="s">
        <v>841</v>
      </c>
      <c r="P3053" s="2" t="s">
        <v>2648</v>
      </c>
    </row>
    <row r="3054" spans="1:16" ht="22" customHeight="1" x14ac:dyDescent="0.15">
      <c r="A3054" s="10" t="str">
        <f t="shared" si="472"/>
        <v>525_10_31_10_polygon</v>
      </c>
      <c r="B3054" s="2">
        <v>525</v>
      </c>
      <c r="C3054" s="30" t="str">
        <f>VLOOKUP(B3054,gachas!A:C,3)</f>
        <v>フィーバーフェス（2日目）</v>
      </c>
      <c r="D3054" s="21">
        <v>10</v>
      </c>
      <c r="E3054" s="2">
        <f t="shared" si="474"/>
        <v>31</v>
      </c>
      <c r="F3054" s="2">
        <v>10</v>
      </c>
      <c r="G3054" s="3" t="s">
        <v>22</v>
      </c>
      <c r="H3054" s="2">
        <v>50</v>
      </c>
      <c r="I3054" s="114" t="str">
        <f t="shared" si="475"/>
        <v>525100</v>
      </c>
      <c r="J3054" s="112" t="s">
        <v>84</v>
      </c>
      <c r="K3054" s="112" t="str">
        <f t="shared" si="473"/>
        <v>525100</v>
      </c>
      <c r="L3054" s="2">
        <v>1</v>
      </c>
      <c r="M3054" s="2" t="s">
        <v>84</v>
      </c>
      <c r="N3054" s="2" t="s">
        <v>84</v>
      </c>
      <c r="O3054" s="2" t="s">
        <v>841</v>
      </c>
      <c r="P3054" s="2" t="s">
        <v>2571</v>
      </c>
    </row>
    <row r="3055" spans="1:16" ht="22" customHeight="1" x14ac:dyDescent="0.15">
      <c r="A3055" s="10" t="str">
        <f t="shared" si="472"/>
        <v>525_10_32_10_polygon</v>
      </c>
      <c r="B3055" s="2">
        <v>525</v>
      </c>
      <c r="C3055" s="30" t="str">
        <f>VLOOKUP(B3055,gachas!A:C,3)</f>
        <v>フィーバーフェス（2日目）</v>
      </c>
      <c r="D3055" s="21">
        <v>10</v>
      </c>
      <c r="E3055" s="2">
        <f t="shared" si="474"/>
        <v>32</v>
      </c>
      <c r="F3055" s="2">
        <v>10</v>
      </c>
      <c r="G3055" s="3" t="s">
        <v>22</v>
      </c>
      <c r="H3055" s="2">
        <v>50</v>
      </c>
      <c r="I3055" s="114" t="str">
        <f t="shared" si="475"/>
        <v>525100</v>
      </c>
      <c r="J3055" s="112" t="s">
        <v>84</v>
      </c>
      <c r="K3055" s="112" t="str">
        <f t="shared" si="473"/>
        <v>525100</v>
      </c>
      <c r="L3055" s="2">
        <v>1</v>
      </c>
      <c r="M3055" s="2" t="s">
        <v>84</v>
      </c>
      <c r="N3055" s="2" t="s">
        <v>84</v>
      </c>
      <c r="O3055" s="2" t="s">
        <v>841</v>
      </c>
      <c r="P3055" s="2" t="s">
        <v>2571</v>
      </c>
    </row>
    <row r="3056" spans="1:16" ht="22" customHeight="1" x14ac:dyDescent="0.15">
      <c r="A3056" s="10" t="str">
        <f t="shared" si="472"/>
        <v>525_10_33_10_polygon</v>
      </c>
      <c r="B3056" s="2">
        <v>525</v>
      </c>
      <c r="C3056" s="30" t="str">
        <f>VLOOKUP(B3056,gachas!A:C,3)</f>
        <v>フィーバーフェス（2日目）</v>
      </c>
      <c r="D3056" s="21">
        <v>10</v>
      </c>
      <c r="E3056" s="2">
        <f t="shared" si="474"/>
        <v>33</v>
      </c>
      <c r="F3056" s="2">
        <v>10</v>
      </c>
      <c r="G3056" s="3" t="s">
        <v>22</v>
      </c>
      <c r="H3056" s="2">
        <v>50</v>
      </c>
      <c r="I3056" s="114" t="str">
        <f t="shared" si="475"/>
        <v>525100</v>
      </c>
      <c r="J3056" s="112" t="s">
        <v>84</v>
      </c>
      <c r="K3056" s="112" t="str">
        <f t="shared" si="473"/>
        <v>525100</v>
      </c>
      <c r="L3056" s="2">
        <v>1</v>
      </c>
      <c r="M3056" s="2" t="s">
        <v>84</v>
      </c>
      <c r="N3056" s="2" t="s">
        <v>84</v>
      </c>
      <c r="O3056" s="2" t="s">
        <v>841</v>
      </c>
      <c r="P3056" s="2" t="s">
        <v>2571</v>
      </c>
    </row>
    <row r="3057" spans="1:16" ht="22" customHeight="1" x14ac:dyDescent="0.15">
      <c r="A3057" s="10" t="str">
        <f t="shared" si="472"/>
        <v>525_10_34_10_polygon</v>
      </c>
      <c r="B3057" s="2">
        <v>525</v>
      </c>
      <c r="C3057" s="30" t="str">
        <f>VLOOKUP(B3057,gachas!A:C,3)</f>
        <v>フィーバーフェス（2日目）</v>
      </c>
      <c r="D3057" s="21">
        <v>10</v>
      </c>
      <c r="E3057" s="2">
        <f t="shared" si="474"/>
        <v>34</v>
      </c>
      <c r="F3057" s="2">
        <v>10</v>
      </c>
      <c r="G3057" s="3" t="s">
        <v>22</v>
      </c>
      <c r="H3057" s="2">
        <v>50</v>
      </c>
      <c r="I3057" s="114" t="str">
        <f t="shared" si="475"/>
        <v>525100</v>
      </c>
      <c r="J3057" s="112" t="s">
        <v>84</v>
      </c>
      <c r="K3057" s="112" t="str">
        <f t="shared" si="473"/>
        <v>525100</v>
      </c>
      <c r="L3057" s="2">
        <v>1</v>
      </c>
      <c r="M3057" s="2" t="s">
        <v>84</v>
      </c>
      <c r="N3057" s="2" t="s">
        <v>84</v>
      </c>
      <c r="O3057" s="2" t="s">
        <v>841</v>
      </c>
      <c r="P3057" s="2" t="s">
        <v>2571</v>
      </c>
    </row>
    <row r="3058" spans="1:16" ht="22" customHeight="1" x14ac:dyDescent="0.15">
      <c r="A3058" s="10" t="str">
        <f t="shared" si="472"/>
        <v>525_10_35_10_polygon</v>
      </c>
      <c r="B3058" s="2">
        <v>525</v>
      </c>
      <c r="C3058" s="30" t="str">
        <f>VLOOKUP(B3058,gachas!A:C,3)</f>
        <v>フィーバーフェス（2日目）</v>
      </c>
      <c r="D3058" s="21">
        <v>10</v>
      </c>
      <c r="E3058" s="2">
        <f t="shared" si="474"/>
        <v>35</v>
      </c>
      <c r="F3058" s="2">
        <v>10</v>
      </c>
      <c r="G3058" s="3" t="s">
        <v>22</v>
      </c>
      <c r="H3058" s="2">
        <v>50</v>
      </c>
      <c r="I3058" s="114" t="str">
        <f t="shared" si="475"/>
        <v>525100</v>
      </c>
      <c r="J3058" s="112" t="str">
        <f>CONCATENATE(B3058,D3058,5)</f>
        <v>525105</v>
      </c>
      <c r="K3058" s="112" t="str">
        <f t="shared" si="473"/>
        <v>525100</v>
      </c>
      <c r="L3058" s="2">
        <v>1</v>
      </c>
      <c r="M3058" s="2" t="s">
        <v>84</v>
      </c>
      <c r="N3058" s="2" t="s">
        <v>84</v>
      </c>
      <c r="O3058" s="2" t="s">
        <v>841</v>
      </c>
      <c r="P3058" s="2" t="s">
        <v>2648</v>
      </c>
    </row>
    <row r="3059" spans="1:16" ht="22" customHeight="1" x14ac:dyDescent="0.15">
      <c r="A3059" s="10" t="str">
        <f t="shared" si="472"/>
        <v>525_10_36_10_polygon</v>
      </c>
      <c r="B3059" s="2">
        <v>525</v>
      </c>
      <c r="C3059" s="30" t="str">
        <f>VLOOKUP(B3059,gachas!A:C,3)</f>
        <v>フィーバーフェス（2日目）</v>
      </c>
      <c r="D3059" s="21">
        <v>10</v>
      </c>
      <c r="E3059" s="2">
        <f t="shared" si="474"/>
        <v>36</v>
      </c>
      <c r="F3059" s="2">
        <v>10</v>
      </c>
      <c r="G3059" s="3" t="s">
        <v>22</v>
      </c>
      <c r="H3059" s="2">
        <v>50</v>
      </c>
      <c r="I3059" s="114" t="str">
        <f t="shared" si="475"/>
        <v>525100</v>
      </c>
      <c r="J3059" s="112" t="s">
        <v>84</v>
      </c>
      <c r="K3059" s="112" t="str">
        <f t="shared" si="473"/>
        <v>525100</v>
      </c>
      <c r="L3059" s="2">
        <v>1</v>
      </c>
      <c r="M3059" s="2" t="s">
        <v>84</v>
      </c>
      <c r="N3059" s="2" t="s">
        <v>84</v>
      </c>
      <c r="O3059" s="2" t="s">
        <v>841</v>
      </c>
      <c r="P3059" s="2" t="s">
        <v>2571</v>
      </c>
    </row>
    <row r="3060" spans="1:16" ht="22" customHeight="1" x14ac:dyDescent="0.15">
      <c r="A3060" s="10" t="str">
        <f t="shared" si="472"/>
        <v>525_10_37_10_polygon</v>
      </c>
      <c r="B3060" s="2">
        <v>525</v>
      </c>
      <c r="C3060" s="30" t="str">
        <f>VLOOKUP(B3060,gachas!A:C,3)</f>
        <v>フィーバーフェス（2日目）</v>
      </c>
      <c r="D3060" s="21">
        <v>10</v>
      </c>
      <c r="E3060" s="2">
        <f t="shared" si="474"/>
        <v>37</v>
      </c>
      <c r="F3060" s="2">
        <v>10</v>
      </c>
      <c r="G3060" s="3" t="s">
        <v>22</v>
      </c>
      <c r="H3060" s="2">
        <v>50</v>
      </c>
      <c r="I3060" s="114" t="str">
        <f t="shared" si="475"/>
        <v>525100</v>
      </c>
      <c r="J3060" s="112" t="s">
        <v>84</v>
      </c>
      <c r="K3060" s="112" t="str">
        <f t="shared" si="473"/>
        <v>525100</v>
      </c>
      <c r="L3060" s="2">
        <v>1</v>
      </c>
      <c r="M3060" s="2" t="s">
        <v>84</v>
      </c>
      <c r="N3060" s="2" t="s">
        <v>84</v>
      </c>
      <c r="O3060" s="2" t="s">
        <v>841</v>
      </c>
      <c r="P3060" s="2" t="s">
        <v>2571</v>
      </c>
    </row>
    <row r="3061" spans="1:16" ht="22" customHeight="1" x14ac:dyDescent="0.15">
      <c r="A3061" s="10" t="str">
        <f t="shared" si="472"/>
        <v>525_10_38_10_polygon</v>
      </c>
      <c r="B3061" s="2">
        <v>525</v>
      </c>
      <c r="C3061" s="30" t="str">
        <f>VLOOKUP(B3061,gachas!A:C,3)</f>
        <v>フィーバーフェス（2日目）</v>
      </c>
      <c r="D3061" s="21">
        <v>10</v>
      </c>
      <c r="E3061" s="2">
        <f t="shared" si="474"/>
        <v>38</v>
      </c>
      <c r="F3061" s="2">
        <v>10</v>
      </c>
      <c r="G3061" s="3" t="s">
        <v>22</v>
      </c>
      <c r="H3061" s="2">
        <v>50</v>
      </c>
      <c r="I3061" s="114" t="str">
        <f t="shared" si="475"/>
        <v>525100</v>
      </c>
      <c r="J3061" s="112" t="s">
        <v>84</v>
      </c>
      <c r="K3061" s="112" t="str">
        <f t="shared" si="473"/>
        <v>525100</v>
      </c>
      <c r="L3061" s="2">
        <v>1</v>
      </c>
      <c r="M3061" s="2" t="s">
        <v>84</v>
      </c>
      <c r="N3061" s="2" t="s">
        <v>84</v>
      </c>
      <c r="O3061" s="2" t="s">
        <v>841</v>
      </c>
      <c r="P3061" s="2" t="s">
        <v>2571</v>
      </c>
    </row>
    <row r="3062" spans="1:16" ht="22" customHeight="1" x14ac:dyDescent="0.15">
      <c r="A3062" s="10" t="str">
        <f t="shared" si="472"/>
        <v>525_10_39_10_polygon</v>
      </c>
      <c r="B3062" s="2">
        <v>525</v>
      </c>
      <c r="C3062" s="30" t="str">
        <f>VLOOKUP(B3062,gachas!A:C,3)</f>
        <v>フィーバーフェス（2日目）</v>
      </c>
      <c r="D3062" s="21">
        <v>10</v>
      </c>
      <c r="E3062" s="2">
        <f t="shared" si="474"/>
        <v>39</v>
      </c>
      <c r="F3062" s="2">
        <v>10</v>
      </c>
      <c r="G3062" s="3" t="s">
        <v>22</v>
      </c>
      <c r="H3062" s="2">
        <v>50</v>
      </c>
      <c r="I3062" s="114" t="str">
        <f t="shared" si="475"/>
        <v>525100</v>
      </c>
      <c r="J3062" s="112" t="s">
        <v>84</v>
      </c>
      <c r="K3062" s="112" t="str">
        <f t="shared" si="473"/>
        <v>525100</v>
      </c>
      <c r="L3062" s="2">
        <v>1</v>
      </c>
      <c r="M3062" s="2" t="s">
        <v>84</v>
      </c>
      <c r="N3062" s="2" t="s">
        <v>84</v>
      </c>
      <c r="O3062" s="2" t="s">
        <v>841</v>
      </c>
      <c r="P3062" s="2" t="s">
        <v>2571</v>
      </c>
    </row>
    <row r="3063" spans="1:16" ht="22" customHeight="1" x14ac:dyDescent="0.15">
      <c r="A3063" s="10" t="str">
        <f t="shared" si="472"/>
        <v>525_10_40_10_polygon</v>
      </c>
      <c r="B3063" s="2">
        <v>525</v>
      </c>
      <c r="C3063" s="30" t="str">
        <f>VLOOKUP(B3063,gachas!A:C,3)</f>
        <v>フィーバーフェス（2日目）</v>
      </c>
      <c r="D3063" s="21">
        <v>10</v>
      </c>
      <c r="E3063" s="2">
        <f t="shared" si="474"/>
        <v>40</v>
      </c>
      <c r="F3063" s="2">
        <v>10</v>
      </c>
      <c r="G3063" s="3" t="s">
        <v>22</v>
      </c>
      <c r="H3063" s="2">
        <v>50</v>
      </c>
      <c r="I3063" s="114" t="str">
        <f t="shared" si="475"/>
        <v>525100</v>
      </c>
      <c r="J3063" s="112" t="str">
        <f>CONCATENATE(B3063,D3063,5)</f>
        <v>525105</v>
      </c>
      <c r="K3063" s="112" t="str">
        <f t="shared" si="473"/>
        <v>525100</v>
      </c>
      <c r="L3063" s="2">
        <v>1</v>
      </c>
      <c r="M3063" s="2" t="s">
        <v>84</v>
      </c>
      <c r="N3063" s="2" t="s">
        <v>84</v>
      </c>
      <c r="O3063" s="2" t="s">
        <v>841</v>
      </c>
      <c r="P3063" s="2" t="s">
        <v>2648</v>
      </c>
    </row>
    <row r="3064" spans="1:16" ht="22" customHeight="1" x14ac:dyDescent="0.15">
      <c r="A3064" s="10" t="str">
        <f t="shared" si="472"/>
        <v>525_10_41_10_polygon</v>
      </c>
      <c r="B3064" s="2">
        <v>525</v>
      </c>
      <c r="C3064" s="30" t="str">
        <f>VLOOKUP(B3064,gachas!A:C,3)</f>
        <v>フィーバーフェス（2日目）</v>
      </c>
      <c r="D3064" s="21">
        <v>10</v>
      </c>
      <c r="E3064" s="2">
        <f t="shared" si="474"/>
        <v>41</v>
      </c>
      <c r="F3064" s="2">
        <v>10</v>
      </c>
      <c r="G3064" s="3" t="s">
        <v>22</v>
      </c>
      <c r="H3064" s="2">
        <v>50</v>
      </c>
      <c r="I3064" s="114" t="str">
        <f t="shared" si="475"/>
        <v>525100</v>
      </c>
      <c r="J3064" s="112" t="s">
        <v>84</v>
      </c>
      <c r="K3064" s="112" t="str">
        <f t="shared" si="473"/>
        <v>525100</v>
      </c>
      <c r="L3064" s="2">
        <v>1</v>
      </c>
      <c r="M3064" s="2" t="s">
        <v>84</v>
      </c>
      <c r="N3064" s="2" t="s">
        <v>84</v>
      </c>
      <c r="O3064" s="2" t="s">
        <v>841</v>
      </c>
      <c r="P3064" s="2" t="s">
        <v>2571</v>
      </c>
    </row>
    <row r="3065" spans="1:16" ht="22" customHeight="1" x14ac:dyDescent="0.15">
      <c r="A3065" s="10" t="str">
        <f t="shared" si="472"/>
        <v>525_10_42_10_polygon</v>
      </c>
      <c r="B3065" s="2">
        <v>525</v>
      </c>
      <c r="C3065" s="30" t="str">
        <f>VLOOKUP(B3065,gachas!A:C,3)</f>
        <v>フィーバーフェス（2日目）</v>
      </c>
      <c r="D3065" s="21">
        <v>10</v>
      </c>
      <c r="E3065" s="2">
        <f t="shared" si="474"/>
        <v>42</v>
      </c>
      <c r="F3065" s="2">
        <v>10</v>
      </c>
      <c r="G3065" s="3" t="s">
        <v>22</v>
      </c>
      <c r="H3065" s="2">
        <v>50</v>
      </c>
      <c r="I3065" s="114" t="str">
        <f t="shared" si="475"/>
        <v>525100</v>
      </c>
      <c r="J3065" s="112" t="s">
        <v>84</v>
      </c>
      <c r="K3065" s="112" t="str">
        <f t="shared" si="473"/>
        <v>525100</v>
      </c>
      <c r="L3065" s="2">
        <v>1</v>
      </c>
      <c r="M3065" s="2" t="s">
        <v>84</v>
      </c>
      <c r="N3065" s="2" t="s">
        <v>84</v>
      </c>
      <c r="O3065" s="2" t="s">
        <v>841</v>
      </c>
      <c r="P3065" s="2" t="s">
        <v>2571</v>
      </c>
    </row>
    <row r="3066" spans="1:16" ht="22" customHeight="1" x14ac:dyDescent="0.15">
      <c r="A3066" s="10" t="str">
        <f t="shared" si="472"/>
        <v>525_10_43_10_polygon</v>
      </c>
      <c r="B3066" s="2">
        <v>525</v>
      </c>
      <c r="C3066" s="30" t="str">
        <f>VLOOKUP(B3066,gachas!A:C,3)</f>
        <v>フィーバーフェス（2日目）</v>
      </c>
      <c r="D3066" s="21">
        <v>10</v>
      </c>
      <c r="E3066" s="2">
        <f t="shared" si="474"/>
        <v>43</v>
      </c>
      <c r="F3066" s="2">
        <v>10</v>
      </c>
      <c r="G3066" s="3" t="s">
        <v>22</v>
      </c>
      <c r="H3066" s="2">
        <v>50</v>
      </c>
      <c r="I3066" s="114" t="str">
        <f t="shared" si="475"/>
        <v>525100</v>
      </c>
      <c r="J3066" s="112" t="s">
        <v>84</v>
      </c>
      <c r="K3066" s="112" t="str">
        <f t="shared" si="473"/>
        <v>525100</v>
      </c>
      <c r="L3066" s="2">
        <v>1</v>
      </c>
      <c r="M3066" s="2" t="s">
        <v>84</v>
      </c>
      <c r="N3066" s="2" t="s">
        <v>84</v>
      </c>
      <c r="O3066" s="2" t="s">
        <v>841</v>
      </c>
      <c r="P3066" s="2" t="s">
        <v>2571</v>
      </c>
    </row>
    <row r="3067" spans="1:16" ht="22" customHeight="1" x14ac:dyDescent="0.15">
      <c r="A3067" s="10" t="str">
        <f t="shared" si="472"/>
        <v>525_10_44_10_polygon</v>
      </c>
      <c r="B3067" s="2">
        <v>525</v>
      </c>
      <c r="C3067" s="30" t="str">
        <f>VLOOKUP(B3067,gachas!A:C,3)</f>
        <v>フィーバーフェス（2日目）</v>
      </c>
      <c r="D3067" s="21">
        <v>10</v>
      </c>
      <c r="E3067" s="2">
        <f t="shared" si="474"/>
        <v>44</v>
      </c>
      <c r="F3067" s="2">
        <v>10</v>
      </c>
      <c r="G3067" s="3" t="s">
        <v>22</v>
      </c>
      <c r="H3067" s="2">
        <v>50</v>
      </c>
      <c r="I3067" s="114" t="str">
        <f t="shared" si="475"/>
        <v>525100</v>
      </c>
      <c r="J3067" s="112" t="s">
        <v>84</v>
      </c>
      <c r="K3067" s="112" t="str">
        <f t="shared" si="473"/>
        <v>525100</v>
      </c>
      <c r="L3067" s="2">
        <v>1</v>
      </c>
      <c r="M3067" s="2" t="s">
        <v>84</v>
      </c>
      <c r="N3067" s="2" t="s">
        <v>84</v>
      </c>
      <c r="O3067" s="2" t="s">
        <v>841</v>
      </c>
      <c r="P3067" s="2" t="s">
        <v>2571</v>
      </c>
    </row>
    <row r="3068" spans="1:16" ht="22" customHeight="1" x14ac:dyDescent="0.15">
      <c r="A3068" s="10" t="str">
        <f t="shared" si="472"/>
        <v>525_10_45_10_polygon</v>
      </c>
      <c r="B3068" s="2">
        <v>525</v>
      </c>
      <c r="C3068" s="30" t="str">
        <f>VLOOKUP(B3068,gachas!A:C,3)</f>
        <v>フィーバーフェス（2日目）</v>
      </c>
      <c r="D3068" s="21">
        <v>10</v>
      </c>
      <c r="E3068" s="2">
        <f t="shared" si="474"/>
        <v>45</v>
      </c>
      <c r="F3068" s="2">
        <v>10</v>
      </c>
      <c r="G3068" s="3" t="s">
        <v>22</v>
      </c>
      <c r="H3068" s="2">
        <v>50</v>
      </c>
      <c r="I3068" s="114" t="str">
        <f t="shared" si="475"/>
        <v>525100</v>
      </c>
      <c r="J3068" s="112" t="str">
        <f>CONCATENATE(B3068,D3068,5)</f>
        <v>525105</v>
      </c>
      <c r="K3068" s="112" t="str">
        <f t="shared" si="473"/>
        <v>525100</v>
      </c>
      <c r="L3068" s="2">
        <v>1</v>
      </c>
      <c r="M3068" s="2" t="s">
        <v>84</v>
      </c>
      <c r="N3068" s="2" t="s">
        <v>84</v>
      </c>
      <c r="O3068" s="2" t="s">
        <v>841</v>
      </c>
      <c r="P3068" s="2" t="s">
        <v>2648</v>
      </c>
    </row>
    <row r="3069" spans="1:16" ht="22" customHeight="1" x14ac:dyDescent="0.15">
      <c r="A3069" s="10" t="str">
        <f t="shared" si="472"/>
        <v>525_10_46_10_polygon</v>
      </c>
      <c r="B3069" s="2">
        <v>525</v>
      </c>
      <c r="C3069" s="30" t="str">
        <f>VLOOKUP(B3069,gachas!A:C,3)</f>
        <v>フィーバーフェス（2日目）</v>
      </c>
      <c r="D3069" s="21">
        <v>10</v>
      </c>
      <c r="E3069" s="2">
        <f t="shared" si="474"/>
        <v>46</v>
      </c>
      <c r="F3069" s="2">
        <v>10</v>
      </c>
      <c r="G3069" s="3" t="s">
        <v>22</v>
      </c>
      <c r="H3069" s="2">
        <v>50</v>
      </c>
      <c r="I3069" s="114" t="str">
        <f t="shared" si="475"/>
        <v>525100</v>
      </c>
      <c r="J3069" s="112" t="s">
        <v>84</v>
      </c>
      <c r="K3069" s="112" t="str">
        <f t="shared" si="473"/>
        <v>525100</v>
      </c>
      <c r="L3069" s="2">
        <v>1</v>
      </c>
      <c r="M3069" s="2" t="s">
        <v>84</v>
      </c>
      <c r="N3069" s="2" t="s">
        <v>84</v>
      </c>
      <c r="O3069" s="2" t="s">
        <v>841</v>
      </c>
      <c r="P3069" s="2" t="s">
        <v>2571</v>
      </c>
    </row>
    <row r="3070" spans="1:16" ht="22" customHeight="1" x14ac:dyDescent="0.15">
      <c r="A3070" s="10" t="str">
        <f t="shared" si="472"/>
        <v>525_10_47_10_polygon</v>
      </c>
      <c r="B3070" s="2">
        <v>525</v>
      </c>
      <c r="C3070" s="30" t="str">
        <f>VLOOKUP(B3070,gachas!A:C,3)</f>
        <v>フィーバーフェス（2日目）</v>
      </c>
      <c r="D3070" s="21">
        <v>10</v>
      </c>
      <c r="E3070" s="2">
        <f t="shared" si="474"/>
        <v>47</v>
      </c>
      <c r="F3070" s="2">
        <v>10</v>
      </c>
      <c r="G3070" s="3" t="s">
        <v>22</v>
      </c>
      <c r="H3070" s="2">
        <v>50</v>
      </c>
      <c r="I3070" s="114" t="str">
        <f t="shared" si="475"/>
        <v>525100</v>
      </c>
      <c r="J3070" s="112" t="s">
        <v>84</v>
      </c>
      <c r="K3070" s="112" t="str">
        <f t="shared" si="473"/>
        <v>525100</v>
      </c>
      <c r="L3070" s="2">
        <v>1</v>
      </c>
      <c r="M3070" s="2" t="s">
        <v>84</v>
      </c>
      <c r="N3070" s="2" t="s">
        <v>84</v>
      </c>
      <c r="O3070" s="2" t="s">
        <v>841</v>
      </c>
      <c r="P3070" s="2" t="s">
        <v>2571</v>
      </c>
    </row>
    <row r="3071" spans="1:16" ht="22" customHeight="1" x14ac:dyDescent="0.15">
      <c r="A3071" s="10" t="str">
        <f t="shared" si="472"/>
        <v>525_10_48_10_polygon</v>
      </c>
      <c r="B3071" s="2">
        <v>525</v>
      </c>
      <c r="C3071" s="30" t="str">
        <f>VLOOKUP(B3071,gachas!A:C,3)</f>
        <v>フィーバーフェス（2日目）</v>
      </c>
      <c r="D3071" s="21">
        <v>10</v>
      </c>
      <c r="E3071" s="2">
        <f t="shared" si="474"/>
        <v>48</v>
      </c>
      <c r="F3071" s="2">
        <v>10</v>
      </c>
      <c r="G3071" s="3" t="s">
        <v>22</v>
      </c>
      <c r="H3071" s="2">
        <v>50</v>
      </c>
      <c r="I3071" s="114" t="str">
        <f t="shared" si="475"/>
        <v>525100</v>
      </c>
      <c r="J3071" s="112" t="s">
        <v>84</v>
      </c>
      <c r="K3071" s="112" t="str">
        <f t="shared" si="473"/>
        <v>525100</v>
      </c>
      <c r="L3071" s="2">
        <v>1</v>
      </c>
      <c r="M3071" s="2" t="s">
        <v>84</v>
      </c>
      <c r="N3071" s="2" t="s">
        <v>84</v>
      </c>
      <c r="O3071" s="2" t="s">
        <v>841</v>
      </c>
      <c r="P3071" s="2" t="s">
        <v>2571</v>
      </c>
    </row>
    <row r="3072" spans="1:16" ht="22" customHeight="1" x14ac:dyDescent="0.15">
      <c r="A3072" s="10" t="str">
        <f t="shared" si="472"/>
        <v>525_10_49_10_polygon</v>
      </c>
      <c r="B3072" s="2">
        <v>525</v>
      </c>
      <c r="C3072" s="30" t="str">
        <f>VLOOKUP(B3072,gachas!A:C,3)</f>
        <v>フィーバーフェス（2日目）</v>
      </c>
      <c r="D3072" s="21">
        <v>10</v>
      </c>
      <c r="E3072" s="2">
        <f t="shared" si="474"/>
        <v>49</v>
      </c>
      <c r="F3072" s="2">
        <v>10</v>
      </c>
      <c r="G3072" s="3" t="s">
        <v>22</v>
      </c>
      <c r="H3072" s="2">
        <v>50</v>
      </c>
      <c r="I3072" s="114" t="str">
        <f t="shared" si="475"/>
        <v>525100</v>
      </c>
      <c r="J3072" s="112" t="s">
        <v>84</v>
      </c>
      <c r="K3072" s="112" t="str">
        <f t="shared" si="473"/>
        <v>525100</v>
      </c>
      <c r="L3072" s="2">
        <v>1</v>
      </c>
      <c r="M3072" s="2" t="s">
        <v>84</v>
      </c>
      <c r="N3072" s="2" t="s">
        <v>84</v>
      </c>
      <c r="O3072" s="2" t="s">
        <v>841</v>
      </c>
      <c r="P3072" s="2" t="s">
        <v>2571</v>
      </c>
    </row>
    <row r="3073" spans="1:16" ht="22" customHeight="1" x14ac:dyDescent="0.15">
      <c r="A3073" s="10" t="str">
        <f t="shared" si="472"/>
        <v>525_10_50_10_polygon</v>
      </c>
      <c r="B3073" s="2">
        <v>525</v>
      </c>
      <c r="C3073" s="30" t="str">
        <f>VLOOKUP(B3073,gachas!A:C,3)</f>
        <v>フィーバーフェス（2日目）</v>
      </c>
      <c r="D3073" s="21">
        <v>10</v>
      </c>
      <c r="E3073" s="2">
        <f t="shared" si="474"/>
        <v>50</v>
      </c>
      <c r="F3073" s="2">
        <v>10</v>
      </c>
      <c r="G3073" s="3" t="s">
        <v>22</v>
      </c>
      <c r="H3073" s="2">
        <v>50</v>
      </c>
      <c r="I3073" s="114" t="str">
        <f t="shared" si="475"/>
        <v>525100</v>
      </c>
      <c r="J3073" s="112" t="str">
        <f>CONCATENATE(B3073,D3073,5)</f>
        <v>525105</v>
      </c>
      <c r="K3073" s="112" t="str">
        <f t="shared" si="473"/>
        <v>525100</v>
      </c>
      <c r="L3073" s="2">
        <v>1</v>
      </c>
      <c r="M3073" s="2" t="s">
        <v>84</v>
      </c>
      <c r="N3073" s="2" t="s">
        <v>84</v>
      </c>
      <c r="O3073" s="2" t="s">
        <v>841</v>
      </c>
      <c r="P3073" s="2" t="s">
        <v>2648</v>
      </c>
    </row>
    <row r="3074" spans="1:16" ht="22" customHeight="1" x14ac:dyDescent="0.15">
      <c r="A3074" s="10" t="str">
        <f t="shared" si="472"/>
        <v>526_1_0_1_polygon</v>
      </c>
      <c r="B3074" s="2">
        <v>526</v>
      </c>
      <c r="C3074" s="30" t="str">
        <f>VLOOKUP(B3074,gachas!A:C,3)</f>
        <v>フィーバーフェス（3日目）</v>
      </c>
      <c r="D3074" s="21">
        <v>1</v>
      </c>
      <c r="E3074" s="2">
        <v>0</v>
      </c>
      <c r="F3074" s="2">
        <v>1</v>
      </c>
      <c r="G3074" s="3" t="s">
        <v>22</v>
      </c>
      <c r="H3074" s="2">
        <v>5</v>
      </c>
      <c r="I3074" s="114" t="str">
        <f t="shared" si="475"/>
        <v>526010</v>
      </c>
      <c r="J3074" s="112" t="s">
        <v>84</v>
      </c>
      <c r="K3074" s="112" t="s">
        <v>84</v>
      </c>
      <c r="L3074" s="2">
        <v>0</v>
      </c>
      <c r="M3074" s="2" t="s">
        <v>84</v>
      </c>
      <c r="N3074" s="2" t="s">
        <v>84</v>
      </c>
      <c r="O3074" s="2" t="s">
        <v>841</v>
      </c>
      <c r="P3074" s="2" t="s">
        <v>84</v>
      </c>
    </row>
    <row r="3075" spans="1:16" ht="22" customHeight="1" x14ac:dyDescent="0.15">
      <c r="A3075" s="10" t="str">
        <f t="shared" si="472"/>
        <v>526_10_0_10_polygon</v>
      </c>
      <c r="B3075" s="2">
        <v>526</v>
      </c>
      <c r="C3075" s="30" t="str">
        <f>VLOOKUP(B3075,gachas!A:C,3)</f>
        <v>フィーバーフェス（3日目）</v>
      </c>
      <c r="D3075" s="21">
        <v>10</v>
      </c>
      <c r="E3075" s="2">
        <v>0</v>
      </c>
      <c r="F3075" s="2">
        <v>10</v>
      </c>
      <c r="G3075" s="3" t="s">
        <v>22</v>
      </c>
      <c r="H3075" s="2">
        <v>50</v>
      </c>
      <c r="I3075" s="114" t="str">
        <f t="shared" si="475"/>
        <v>526100</v>
      </c>
      <c r="J3075" s="112" t="s">
        <v>84</v>
      </c>
      <c r="K3075" s="112" t="str">
        <f t="shared" ref="K3075:K3125" si="476">I3075</f>
        <v>526100</v>
      </c>
      <c r="L3075" s="2">
        <v>1</v>
      </c>
      <c r="M3075" s="2" t="s">
        <v>84</v>
      </c>
      <c r="N3075" s="2" t="s">
        <v>84</v>
      </c>
      <c r="O3075" s="2" t="s">
        <v>841</v>
      </c>
      <c r="P3075" s="2" t="s">
        <v>2571</v>
      </c>
    </row>
    <row r="3076" spans="1:16" ht="22" customHeight="1" x14ac:dyDescent="0.15">
      <c r="A3076" s="10" t="str">
        <f t="shared" si="472"/>
        <v>526_10_1_10_polygon</v>
      </c>
      <c r="B3076" s="2">
        <v>526</v>
      </c>
      <c r="C3076" s="30" t="str">
        <f>VLOOKUP(B3076,gachas!A:C,3)</f>
        <v>フィーバーフェス（3日目）</v>
      </c>
      <c r="D3076" s="21">
        <v>10</v>
      </c>
      <c r="E3076" s="2">
        <f>E3075+1</f>
        <v>1</v>
      </c>
      <c r="F3076" s="2">
        <v>10</v>
      </c>
      <c r="G3076" s="3" t="s">
        <v>22</v>
      </c>
      <c r="H3076" s="2">
        <v>50</v>
      </c>
      <c r="I3076" s="114" t="str">
        <f t="shared" si="475"/>
        <v>526100</v>
      </c>
      <c r="J3076" s="112" t="s">
        <v>84</v>
      </c>
      <c r="K3076" s="112" t="str">
        <f t="shared" si="476"/>
        <v>526100</v>
      </c>
      <c r="L3076" s="2">
        <v>1</v>
      </c>
      <c r="M3076" s="2" t="s">
        <v>84</v>
      </c>
      <c r="N3076" s="2" t="s">
        <v>84</v>
      </c>
      <c r="O3076" s="2" t="s">
        <v>841</v>
      </c>
      <c r="P3076" s="2" t="s">
        <v>2571</v>
      </c>
    </row>
    <row r="3077" spans="1:16" ht="22" customHeight="1" x14ac:dyDescent="0.15">
      <c r="A3077" s="10" t="str">
        <f t="shared" si="472"/>
        <v>526_10_2_10_polygon</v>
      </c>
      <c r="B3077" s="2">
        <v>526</v>
      </c>
      <c r="C3077" s="30" t="str">
        <f>VLOOKUP(B3077,gachas!A:C,3)</f>
        <v>フィーバーフェス（3日目）</v>
      </c>
      <c r="D3077" s="21">
        <v>10</v>
      </c>
      <c r="E3077" s="2">
        <f t="shared" ref="E3077:E3125" si="477">E3076+1</f>
        <v>2</v>
      </c>
      <c r="F3077" s="2">
        <v>10</v>
      </c>
      <c r="G3077" s="3" t="s">
        <v>22</v>
      </c>
      <c r="H3077" s="2">
        <v>50</v>
      </c>
      <c r="I3077" s="114" t="str">
        <f t="shared" si="475"/>
        <v>526100</v>
      </c>
      <c r="J3077" s="112" t="s">
        <v>84</v>
      </c>
      <c r="K3077" s="112" t="str">
        <f t="shared" si="476"/>
        <v>526100</v>
      </c>
      <c r="L3077" s="2">
        <v>1</v>
      </c>
      <c r="M3077" s="2" t="s">
        <v>84</v>
      </c>
      <c r="N3077" s="2" t="s">
        <v>84</v>
      </c>
      <c r="O3077" s="2" t="s">
        <v>841</v>
      </c>
      <c r="P3077" s="2" t="s">
        <v>2571</v>
      </c>
    </row>
    <row r="3078" spans="1:16" ht="22" customHeight="1" x14ac:dyDescent="0.15">
      <c r="A3078" s="10" t="str">
        <f t="shared" si="472"/>
        <v>526_10_3_10_polygon</v>
      </c>
      <c r="B3078" s="2">
        <v>526</v>
      </c>
      <c r="C3078" s="30" t="str">
        <f>VLOOKUP(B3078,gachas!A:C,3)</f>
        <v>フィーバーフェス（3日目）</v>
      </c>
      <c r="D3078" s="21">
        <v>10</v>
      </c>
      <c r="E3078" s="2">
        <f t="shared" si="477"/>
        <v>3</v>
      </c>
      <c r="F3078" s="2">
        <v>10</v>
      </c>
      <c r="G3078" s="3" t="s">
        <v>22</v>
      </c>
      <c r="H3078" s="2">
        <v>50</v>
      </c>
      <c r="I3078" s="114" t="str">
        <f t="shared" si="475"/>
        <v>526100</v>
      </c>
      <c r="J3078" s="112" t="s">
        <v>84</v>
      </c>
      <c r="K3078" s="112" t="str">
        <f t="shared" si="476"/>
        <v>526100</v>
      </c>
      <c r="L3078" s="2">
        <v>1</v>
      </c>
      <c r="M3078" s="2" t="s">
        <v>84</v>
      </c>
      <c r="N3078" s="2" t="s">
        <v>84</v>
      </c>
      <c r="O3078" s="2" t="s">
        <v>841</v>
      </c>
      <c r="P3078" s="2" t="s">
        <v>2571</v>
      </c>
    </row>
    <row r="3079" spans="1:16" ht="22" customHeight="1" x14ac:dyDescent="0.15">
      <c r="A3079" s="10" t="str">
        <f t="shared" si="472"/>
        <v>526_10_4_10_polygon</v>
      </c>
      <c r="B3079" s="2">
        <v>526</v>
      </c>
      <c r="C3079" s="30" t="str">
        <f>VLOOKUP(B3079,gachas!A:C,3)</f>
        <v>フィーバーフェス（3日目）</v>
      </c>
      <c r="D3079" s="21">
        <v>10</v>
      </c>
      <c r="E3079" s="2">
        <f t="shared" si="477"/>
        <v>4</v>
      </c>
      <c r="F3079" s="2">
        <v>10</v>
      </c>
      <c r="G3079" s="3" t="s">
        <v>22</v>
      </c>
      <c r="H3079" s="2">
        <v>50</v>
      </c>
      <c r="I3079" s="114" t="str">
        <f t="shared" si="475"/>
        <v>526100</v>
      </c>
      <c r="J3079" s="112" t="s">
        <v>84</v>
      </c>
      <c r="K3079" s="112" t="str">
        <f t="shared" si="476"/>
        <v>526100</v>
      </c>
      <c r="L3079" s="2">
        <v>1</v>
      </c>
      <c r="M3079" s="2" t="s">
        <v>84</v>
      </c>
      <c r="N3079" s="2" t="s">
        <v>84</v>
      </c>
      <c r="O3079" s="2" t="s">
        <v>841</v>
      </c>
      <c r="P3079" s="2" t="s">
        <v>2571</v>
      </c>
    </row>
    <row r="3080" spans="1:16" ht="22" customHeight="1" x14ac:dyDescent="0.15">
      <c r="A3080" s="10" t="str">
        <f t="shared" si="472"/>
        <v>526_10_5_10_polygon</v>
      </c>
      <c r="B3080" s="2">
        <v>526</v>
      </c>
      <c r="C3080" s="30" t="str">
        <f>VLOOKUP(B3080,gachas!A:C,3)</f>
        <v>フィーバーフェス（3日目）</v>
      </c>
      <c r="D3080" s="21">
        <v>10</v>
      </c>
      <c r="E3080" s="2">
        <f t="shared" si="477"/>
        <v>5</v>
      </c>
      <c r="F3080" s="2">
        <v>10</v>
      </c>
      <c r="G3080" s="3" t="s">
        <v>22</v>
      </c>
      <c r="H3080" s="2">
        <v>50</v>
      </c>
      <c r="I3080" s="114" t="str">
        <f t="shared" si="475"/>
        <v>526100</v>
      </c>
      <c r="J3080" s="112" t="str">
        <f>CONCATENATE(B3080,D3080,5)</f>
        <v>526105</v>
      </c>
      <c r="K3080" s="112" t="str">
        <f t="shared" si="476"/>
        <v>526100</v>
      </c>
      <c r="L3080" s="2">
        <v>1</v>
      </c>
      <c r="M3080" s="2" t="s">
        <v>84</v>
      </c>
      <c r="N3080" s="2" t="s">
        <v>84</v>
      </c>
      <c r="O3080" s="2" t="s">
        <v>841</v>
      </c>
      <c r="P3080" s="2" t="s">
        <v>2648</v>
      </c>
    </row>
    <row r="3081" spans="1:16" ht="22" customHeight="1" x14ac:dyDescent="0.15">
      <c r="A3081" s="10" t="str">
        <f t="shared" si="472"/>
        <v>526_10_6_10_polygon</v>
      </c>
      <c r="B3081" s="2">
        <v>526</v>
      </c>
      <c r="C3081" s="30" t="str">
        <f>VLOOKUP(B3081,gachas!A:C,3)</f>
        <v>フィーバーフェス（3日目）</v>
      </c>
      <c r="D3081" s="21">
        <v>10</v>
      </c>
      <c r="E3081" s="2">
        <f t="shared" si="477"/>
        <v>6</v>
      </c>
      <c r="F3081" s="2">
        <v>10</v>
      </c>
      <c r="G3081" s="3" t="s">
        <v>22</v>
      </c>
      <c r="H3081" s="2">
        <v>50</v>
      </c>
      <c r="I3081" s="114" t="str">
        <f t="shared" si="475"/>
        <v>526100</v>
      </c>
      <c r="J3081" s="112" t="s">
        <v>84</v>
      </c>
      <c r="K3081" s="112" t="str">
        <f t="shared" si="476"/>
        <v>526100</v>
      </c>
      <c r="L3081" s="2">
        <v>1</v>
      </c>
      <c r="M3081" s="2" t="s">
        <v>84</v>
      </c>
      <c r="N3081" s="2" t="s">
        <v>84</v>
      </c>
      <c r="O3081" s="2" t="s">
        <v>841</v>
      </c>
      <c r="P3081" s="2" t="s">
        <v>2571</v>
      </c>
    </row>
    <row r="3082" spans="1:16" ht="22" customHeight="1" x14ac:dyDescent="0.15">
      <c r="A3082" s="10" t="str">
        <f t="shared" si="472"/>
        <v>526_10_7_10_polygon</v>
      </c>
      <c r="B3082" s="2">
        <v>526</v>
      </c>
      <c r="C3082" s="30" t="str">
        <f>VLOOKUP(B3082,gachas!A:C,3)</f>
        <v>フィーバーフェス（3日目）</v>
      </c>
      <c r="D3082" s="21">
        <v>10</v>
      </c>
      <c r="E3082" s="2">
        <f t="shared" si="477"/>
        <v>7</v>
      </c>
      <c r="F3082" s="2">
        <v>10</v>
      </c>
      <c r="G3082" s="3" t="s">
        <v>22</v>
      </c>
      <c r="H3082" s="2">
        <v>50</v>
      </c>
      <c r="I3082" s="114" t="str">
        <f t="shared" si="475"/>
        <v>526100</v>
      </c>
      <c r="J3082" s="112" t="s">
        <v>84</v>
      </c>
      <c r="K3082" s="112" t="str">
        <f t="shared" si="476"/>
        <v>526100</v>
      </c>
      <c r="L3082" s="2">
        <v>1</v>
      </c>
      <c r="M3082" s="2" t="s">
        <v>84</v>
      </c>
      <c r="N3082" s="2" t="s">
        <v>84</v>
      </c>
      <c r="O3082" s="2" t="s">
        <v>841</v>
      </c>
      <c r="P3082" s="2" t="s">
        <v>2571</v>
      </c>
    </row>
    <row r="3083" spans="1:16" ht="22" customHeight="1" x14ac:dyDescent="0.15">
      <c r="A3083" s="10" t="str">
        <f t="shared" si="472"/>
        <v>526_10_8_10_polygon</v>
      </c>
      <c r="B3083" s="2">
        <v>526</v>
      </c>
      <c r="C3083" s="30" t="str">
        <f>VLOOKUP(B3083,gachas!A:C,3)</f>
        <v>フィーバーフェス（3日目）</v>
      </c>
      <c r="D3083" s="21">
        <v>10</v>
      </c>
      <c r="E3083" s="2">
        <f t="shared" si="477"/>
        <v>8</v>
      </c>
      <c r="F3083" s="2">
        <v>10</v>
      </c>
      <c r="G3083" s="3" t="s">
        <v>22</v>
      </c>
      <c r="H3083" s="2">
        <v>50</v>
      </c>
      <c r="I3083" s="114" t="str">
        <f t="shared" si="475"/>
        <v>526100</v>
      </c>
      <c r="J3083" s="112" t="s">
        <v>84</v>
      </c>
      <c r="K3083" s="112" t="str">
        <f t="shared" si="476"/>
        <v>526100</v>
      </c>
      <c r="L3083" s="2">
        <v>1</v>
      </c>
      <c r="M3083" s="2" t="s">
        <v>84</v>
      </c>
      <c r="N3083" s="2" t="s">
        <v>84</v>
      </c>
      <c r="O3083" s="2" t="s">
        <v>841</v>
      </c>
      <c r="P3083" s="2" t="s">
        <v>2571</v>
      </c>
    </row>
    <row r="3084" spans="1:16" ht="22" customHeight="1" x14ac:dyDescent="0.15">
      <c r="A3084" s="10" t="str">
        <f t="shared" si="472"/>
        <v>526_10_9_10_polygon</v>
      </c>
      <c r="B3084" s="2">
        <v>526</v>
      </c>
      <c r="C3084" s="30" t="str">
        <f>VLOOKUP(B3084,gachas!A:C,3)</f>
        <v>フィーバーフェス（3日目）</v>
      </c>
      <c r="D3084" s="21">
        <v>10</v>
      </c>
      <c r="E3084" s="2">
        <f t="shared" si="477"/>
        <v>9</v>
      </c>
      <c r="F3084" s="2">
        <v>10</v>
      </c>
      <c r="G3084" s="3" t="s">
        <v>22</v>
      </c>
      <c r="H3084" s="2">
        <v>50</v>
      </c>
      <c r="I3084" s="114" t="str">
        <f t="shared" si="475"/>
        <v>526100</v>
      </c>
      <c r="J3084" s="112" t="s">
        <v>84</v>
      </c>
      <c r="K3084" s="112" t="str">
        <f t="shared" si="476"/>
        <v>526100</v>
      </c>
      <c r="L3084" s="2">
        <v>1</v>
      </c>
      <c r="M3084" s="2" t="s">
        <v>84</v>
      </c>
      <c r="N3084" s="2" t="s">
        <v>84</v>
      </c>
      <c r="O3084" s="2" t="s">
        <v>841</v>
      </c>
      <c r="P3084" s="2" t="s">
        <v>2571</v>
      </c>
    </row>
    <row r="3085" spans="1:16" ht="22" customHeight="1" x14ac:dyDescent="0.15">
      <c r="A3085" s="10" t="str">
        <f t="shared" si="472"/>
        <v>526_10_10_10_polygon</v>
      </c>
      <c r="B3085" s="2">
        <v>526</v>
      </c>
      <c r="C3085" s="30" t="str">
        <f>VLOOKUP(B3085,gachas!A:C,3)</f>
        <v>フィーバーフェス（3日目）</v>
      </c>
      <c r="D3085" s="21">
        <v>10</v>
      </c>
      <c r="E3085" s="2">
        <f t="shared" si="477"/>
        <v>10</v>
      </c>
      <c r="F3085" s="2">
        <v>10</v>
      </c>
      <c r="G3085" s="3" t="s">
        <v>22</v>
      </c>
      <c r="H3085" s="2">
        <v>50</v>
      </c>
      <c r="I3085" s="114" t="str">
        <f t="shared" si="475"/>
        <v>526100</v>
      </c>
      <c r="J3085" s="112" t="str">
        <f>CONCATENATE(B3085,D3085,5)</f>
        <v>526105</v>
      </c>
      <c r="K3085" s="112" t="str">
        <f t="shared" si="476"/>
        <v>526100</v>
      </c>
      <c r="L3085" s="2">
        <v>1</v>
      </c>
      <c r="M3085" s="2" t="s">
        <v>84</v>
      </c>
      <c r="N3085" s="2" t="s">
        <v>84</v>
      </c>
      <c r="O3085" s="2" t="s">
        <v>841</v>
      </c>
      <c r="P3085" s="2" t="s">
        <v>2648</v>
      </c>
    </row>
    <row r="3086" spans="1:16" ht="22" customHeight="1" x14ac:dyDescent="0.15">
      <c r="A3086" s="10" t="str">
        <f t="shared" si="472"/>
        <v>526_10_11_10_polygon</v>
      </c>
      <c r="B3086" s="2">
        <v>526</v>
      </c>
      <c r="C3086" s="30" t="str">
        <f>VLOOKUP(B3086,gachas!A:C,3)</f>
        <v>フィーバーフェス（3日目）</v>
      </c>
      <c r="D3086" s="21">
        <v>10</v>
      </c>
      <c r="E3086" s="2">
        <f t="shared" si="477"/>
        <v>11</v>
      </c>
      <c r="F3086" s="2">
        <v>10</v>
      </c>
      <c r="G3086" s="3" t="s">
        <v>22</v>
      </c>
      <c r="H3086" s="2">
        <v>50</v>
      </c>
      <c r="I3086" s="114" t="str">
        <f t="shared" si="475"/>
        <v>526100</v>
      </c>
      <c r="J3086" s="112" t="s">
        <v>84</v>
      </c>
      <c r="K3086" s="112" t="str">
        <f t="shared" si="476"/>
        <v>526100</v>
      </c>
      <c r="L3086" s="2">
        <v>1</v>
      </c>
      <c r="M3086" s="2" t="s">
        <v>84</v>
      </c>
      <c r="N3086" s="2" t="s">
        <v>84</v>
      </c>
      <c r="O3086" s="2" t="s">
        <v>841</v>
      </c>
      <c r="P3086" s="2" t="s">
        <v>2571</v>
      </c>
    </row>
    <row r="3087" spans="1:16" ht="22" customHeight="1" x14ac:dyDescent="0.15">
      <c r="A3087" s="10" t="str">
        <f t="shared" si="472"/>
        <v>526_10_12_10_polygon</v>
      </c>
      <c r="B3087" s="2">
        <v>526</v>
      </c>
      <c r="C3087" s="30" t="str">
        <f>VLOOKUP(B3087,gachas!A:C,3)</f>
        <v>フィーバーフェス（3日目）</v>
      </c>
      <c r="D3087" s="21">
        <v>10</v>
      </c>
      <c r="E3087" s="2">
        <f t="shared" si="477"/>
        <v>12</v>
      </c>
      <c r="F3087" s="2">
        <v>10</v>
      </c>
      <c r="G3087" s="3" t="s">
        <v>22</v>
      </c>
      <c r="H3087" s="2">
        <v>50</v>
      </c>
      <c r="I3087" s="114" t="str">
        <f t="shared" si="475"/>
        <v>526100</v>
      </c>
      <c r="J3087" s="112" t="s">
        <v>84</v>
      </c>
      <c r="K3087" s="112" t="str">
        <f t="shared" si="476"/>
        <v>526100</v>
      </c>
      <c r="L3087" s="2">
        <v>1</v>
      </c>
      <c r="M3087" s="2" t="s">
        <v>84</v>
      </c>
      <c r="N3087" s="2" t="s">
        <v>84</v>
      </c>
      <c r="O3087" s="2" t="s">
        <v>841</v>
      </c>
      <c r="P3087" s="2" t="s">
        <v>2571</v>
      </c>
    </row>
    <row r="3088" spans="1:16" ht="22" customHeight="1" x14ac:dyDescent="0.15">
      <c r="A3088" s="10" t="str">
        <f t="shared" si="472"/>
        <v>526_10_13_10_polygon</v>
      </c>
      <c r="B3088" s="2">
        <v>526</v>
      </c>
      <c r="C3088" s="30" t="str">
        <f>VLOOKUP(B3088,gachas!A:C,3)</f>
        <v>フィーバーフェス（3日目）</v>
      </c>
      <c r="D3088" s="21">
        <v>10</v>
      </c>
      <c r="E3088" s="2">
        <f t="shared" si="477"/>
        <v>13</v>
      </c>
      <c r="F3088" s="2">
        <v>10</v>
      </c>
      <c r="G3088" s="3" t="s">
        <v>22</v>
      </c>
      <c r="H3088" s="2">
        <v>50</v>
      </c>
      <c r="I3088" s="114" t="str">
        <f t="shared" si="475"/>
        <v>526100</v>
      </c>
      <c r="J3088" s="112" t="s">
        <v>84</v>
      </c>
      <c r="K3088" s="112" t="str">
        <f t="shared" si="476"/>
        <v>526100</v>
      </c>
      <c r="L3088" s="2">
        <v>1</v>
      </c>
      <c r="M3088" s="2" t="s">
        <v>84</v>
      </c>
      <c r="N3088" s="2" t="s">
        <v>84</v>
      </c>
      <c r="O3088" s="2" t="s">
        <v>841</v>
      </c>
      <c r="P3088" s="2" t="s">
        <v>2571</v>
      </c>
    </row>
    <row r="3089" spans="1:16" ht="22" customHeight="1" x14ac:dyDescent="0.15">
      <c r="A3089" s="10" t="str">
        <f t="shared" si="472"/>
        <v>526_10_14_10_polygon</v>
      </c>
      <c r="B3089" s="2">
        <v>526</v>
      </c>
      <c r="C3089" s="30" t="str">
        <f>VLOOKUP(B3089,gachas!A:C,3)</f>
        <v>フィーバーフェス（3日目）</v>
      </c>
      <c r="D3089" s="21">
        <v>10</v>
      </c>
      <c r="E3089" s="2">
        <f t="shared" si="477"/>
        <v>14</v>
      </c>
      <c r="F3089" s="2">
        <v>10</v>
      </c>
      <c r="G3089" s="3" t="s">
        <v>22</v>
      </c>
      <c r="H3089" s="2">
        <v>50</v>
      </c>
      <c r="I3089" s="114" t="str">
        <f t="shared" si="475"/>
        <v>526100</v>
      </c>
      <c r="J3089" s="112" t="s">
        <v>84</v>
      </c>
      <c r="K3089" s="112" t="str">
        <f t="shared" si="476"/>
        <v>526100</v>
      </c>
      <c r="L3089" s="2">
        <v>1</v>
      </c>
      <c r="M3089" s="2" t="s">
        <v>84</v>
      </c>
      <c r="N3089" s="2" t="s">
        <v>84</v>
      </c>
      <c r="O3089" s="2" t="s">
        <v>841</v>
      </c>
      <c r="P3089" s="2" t="s">
        <v>2571</v>
      </c>
    </row>
    <row r="3090" spans="1:16" ht="22" customHeight="1" x14ac:dyDescent="0.15">
      <c r="A3090" s="10" t="str">
        <f t="shared" si="472"/>
        <v>526_10_15_10_polygon</v>
      </c>
      <c r="B3090" s="2">
        <v>526</v>
      </c>
      <c r="C3090" s="30" t="str">
        <f>VLOOKUP(B3090,gachas!A:C,3)</f>
        <v>フィーバーフェス（3日目）</v>
      </c>
      <c r="D3090" s="21">
        <v>10</v>
      </c>
      <c r="E3090" s="2">
        <f t="shared" si="477"/>
        <v>15</v>
      </c>
      <c r="F3090" s="2">
        <v>10</v>
      </c>
      <c r="G3090" s="3" t="s">
        <v>22</v>
      </c>
      <c r="H3090" s="2">
        <v>50</v>
      </c>
      <c r="I3090" s="114" t="str">
        <f t="shared" si="475"/>
        <v>526100</v>
      </c>
      <c r="J3090" s="112" t="str">
        <f>CONCATENATE(B3090,D3090,5)</f>
        <v>526105</v>
      </c>
      <c r="K3090" s="112" t="str">
        <f t="shared" si="476"/>
        <v>526100</v>
      </c>
      <c r="L3090" s="2">
        <v>1</v>
      </c>
      <c r="M3090" s="2" t="s">
        <v>84</v>
      </c>
      <c r="N3090" s="2" t="s">
        <v>84</v>
      </c>
      <c r="O3090" s="2" t="s">
        <v>841</v>
      </c>
      <c r="P3090" s="2" t="s">
        <v>2648</v>
      </c>
    </row>
    <row r="3091" spans="1:16" ht="22" customHeight="1" x14ac:dyDescent="0.15">
      <c r="A3091" s="10" t="str">
        <f t="shared" si="472"/>
        <v>526_10_16_10_polygon</v>
      </c>
      <c r="B3091" s="2">
        <v>526</v>
      </c>
      <c r="C3091" s="30" t="str">
        <f>VLOOKUP(B3091,gachas!A:C,3)</f>
        <v>フィーバーフェス（3日目）</v>
      </c>
      <c r="D3091" s="21">
        <v>10</v>
      </c>
      <c r="E3091" s="2">
        <f t="shared" si="477"/>
        <v>16</v>
      </c>
      <c r="F3091" s="2">
        <v>10</v>
      </c>
      <c r="G3091" s="3" t="s">
        <v>22</v>
      </c>
      <c r="H3091" s="2">
        <v>50</v>
      </c>
      <c r="I3091" s="114" t="str">
        <f t="shared" si="475"/>
        <v>526100</v>
      </c>
      <c r="J3091" s="112" t="s">
        <v>84</v>
      </c>
      <c r="K3091" s="112" t="str">
        <f t="shared" si="476"/>
        <v>526100</v>
      </c>
      <c r="L3091" s="2">
        <v>1</v>
      </c>
      <c r="M3091" s="2" t="s">
        <v>84</v>
      </c>
      <c r="N3091" s="2" t="s">
        <v>84</v>
      </c>
      <c r="O3091" s="2" t="s">
        <v>841</v>
      </c>
      <c r="P3091" s="2" t="s">
        <v>2571</v>
      </c>
    </row>
    <row r="3092" spans="1:16" ht="22" customHeight="1" x14ac:dyDescent="0.15">
      <c r="A3092" s="10" t="str">
        <f t="shared" si="472"/>
        <v>526_10_17_10_polygon</v>
      </c>
      <c r="B3092" s="2">
        <v>526</v>
      </c>
      <c r="C3092" s="30" t="str">
        <f>VLOOKUP(B3092,gachas!A:C,3)</f>
        <v>フィーバーフェス（3日目）</v>
      </c>
      <c r="D3092" s="21">
        <v>10</v>
      </c>
      <c r="E3092" s="2">
        <f t="shared" si="477"/>
        <v>17</v>
      </c>
      <c r="F3092" s="2">
        <v>10</v>
      </c>
      <c r="G3092" s="3" t="s">
        <v>22</v>
      </c>
      <c r="H3092" s="2">
        <v>50</v>
      </c>
      <c r="I3092" s="114" t="str">
        <f t="shared" si="475"/>
        <v>526100</v>
      </c>
      <c r="J3092" s="112" t="s">
        <v>84</v>
      </c>
      <c r="K3092" s="112" t="str">
        <f t="shared" si="476"/>
        <v>526100</v>
      </c>
      <c r="L3092" s="2">
        <v>1</v>
      </c>
      <c r="M3092" s="2" t="s">
        <v>84</v>
      </c>
      <c r="N3092" s="2" t="s">
        <v>84</v>
      </c>
      <c r="O3092" s="2" t="s">
        <v>841</v>
      </c>
      <c r="P3092" s="2" t="s">
        <v>2571</v>
      </c>
    </row>
    <row r="3093" spans="1:16" ht="22" customHeight="1" x14ac:dyDescent="0.15">
      <c r="A3093" s="10" t="str">
        <f t="shared" si="472"/>
        <v>526_10_18_10_polygon</v>
      </c>
      <c r="B3093" s="2">
        <v>526</v>
      </c>
      <c r="C3093" s="30" t="str">
        <f>VLOOKUP(B3093,gachas!A:C,3)</f>
        <v>フィーバーフェス（3日目）</v>
      </c>
      <c r="D3093" s="21">
        <v>10</v>
      </c>
      <c r="E3093" s="2">
        <f t="shared" si="477"/>
        <v>18</v>
      </c>
      <c r="F3093" s="2">
        <v>10</v>
      </c>
      <c r="G3093" s="3" t="s">
        <v>22</v>
      </c>
      <c r="H3093" s="2">
        <v>50</v>
      </c>
      <c r="I3093" s="114" t="str">
        <f t="shared" si="475"/>
        <v>526100</v>
      </c>
      <c r="J3093" s="112" t="s">
        <v>84</v>
      </c>
      <c r="K3093" s="112" t="str">
        <f t="shared" si="476"/>
        <v>526100</v>
      </c>
      <c r="L3093" s="2">
        <v>1</v>
      </c>
      <c r="M3093" s="2" t="s">
        <v>84</v>
      </c>
      <c r="N3093" s="2" t="s">
        <v>84</v>
      </c>
      <c r="O3093" s="2" t="s">
        <v>841</v>
      </c>
      <c r="P3093" s="2" t="s">
        <v>2571</v>
      </c>
    </row>
    <row r="3094" spans="1:16" ht="22" customHeight="1" x14ac:dyDescent="0.15">
      <c r="A3094" s="10" t="str">
        <f t="shared" si="472"/>
        <v>526_10_19_10_polygon</v>
      </c>
      <c r="B3094" s="2">
        <v>526</v>
      </c>
      <c r="C3094" s="30" t="str">
        <f>VLOOKUP(B3094,gachas!A:C,3)</f>
        <v>フィーバーフェス（3日目）</v>
      </c>
      <c r="D3094" s="21">
        <v>10</v>
      </c>
      <c r="E3094" s="2">
        <f t="shared" si="477"/>
        <v>19</v>
      </c>
      <c r="F3094" s="2">
        <v>10</v>
      </c>
      <c r="G3094" s="3" t="s">
        <v>22</v>
      </c>
      <c r="H3094" s="2">
        <v>50</v>
      </c>
      <c r="I3094" s="114" t="str">
        <f t="shared" si="475"/>
        <v>526100</v>
      </c>
      <c r="J3094" s="112" t="s">
        <v>84</v>
      </c>
      <c r="K3094" s="112" t="str">
        <f t="shared" si="476"/>
        <v>526100</v>
      </c>
      <c r="L3094" s="2">
        <v>1</v>
      </c>
      <c r="M3094" s="2" t="s">
        <v>84</v>
      </c>
      <c r="N3094" s="2" t="s">
        <v>84</v>
      </c>
      <c r="O3094" s="2" t="s">
        <v>841</v>
      </c>
      <c r="P3094" s="2" t="s">
        <v>2571</v>
      </c>
    </row>
    <row r="3095" spans="1:16" ht="22" customHeight="1" x14ac:dyDescent="0.15">
      <c r="A3095" s="10" t="str">
        <f t="shared" si="472"/>
        <v>526_10_20_10_polygon</v>
      </c>
      <c r="B3095" s="2">
        <v>526</v>
      </c>
      <c r="C3095" s="30" t="str">
        <f>VLOOKUP(B3095,gachas!A:C,3)</f>
        <v>フィーバーフェス（3日目）</v>
      </c>
      <c r="D3095" s="21">
        <v>10</v>
      </c>
      <c r="E3095" s="2">
        <f t="shared" si="477"/>
        <v>20</v>
      </c>
      <c r="F3095" s="2">
        <v>10</v>
      </c>
      <c r="G3095" s="3" t="s">
        <v>22</v>
      </c>
      <c r="H3095" s="2">
        <v>50</v>
      </c>
      <c r="I3095" s="114" t="str">
        <f t="shared" si="475"/>
        <v>526100</v>
      </c>
      <c r="J3095" s="112" t="str">
        <f>CONCATENATE(B3095,D3095,5)</f>
        <v>526105</v>
      </c>
      <c r="K3095" s="112" t="str">
        <f t="shared" si="476"/>
        <v>526100</v>
      </c>
      <c r="L3095" s="2">
        <v>1</v>
      </c>
      <c r="M3095" s="2" t="s">
        <v>84</v>
      </c>
      <c r="N3095" s="2" t="s">
        <v>84</v>
      </c>
      <c r="O3095" s="2" t="s">
        <v>841</v>
      </c>
      <c r="P3095" s="2" t="s">
        <v>2648</v>
      </c>
    </row>
    <row r="3096" spans="1:16" ht="22" customHeight="1" x14ac:dyDescent="0.15">
      <c r="A3096" s="10" t="str">
        <f t="shared" si="472"/>
        <v>526_10_21_10_polygon</v>
      </c>
      <c r="B3096" s="2">
        <v>526</v>
      </c>
      <c r="C3096" s="30" t="str">
        <f>VLOOKUP(B3096,gachas!A:C,3)</f>
        <v>フィーバーフェス（3日目）</v>
      </c>
      <c r="D3096" s="21">
        <v>10</v>
      </c>
      <c r="E3096" s="2">
        <f t="shared" si="477"/>
        <v>21</v>
      </c>
      <c r="F3096" s="2">
        <v>10</v>
      </c>
      <c r="G3096" s="3" t="s">
        <v>22</v>
      </c>
      <c r="H3096" s="2">
        <v>50</v>
      </c>
      <c r="I3096" s="114" t="str">
        <f t="shared" si="475"/>
        <v>526100</v>
      </c>
      <c r="J3096" s="112" t="s">
        <v>84</v>
      </c>
      <c r="K3096" s="112" t="str">
        <f t="shared" si="476"/>
        <v>526100</v>
      </c>
      <c r="L3096" s="2">
        <v>1</v>
      </c>
      <c r="M3096" s="2" t="s">
        <v>84</v>
      </c>
      <c r="N3096" s="2" t="s">
        <v>84</v>
      </c>
      <c r="O3096" s="2" t="s">
        <v>841</v>
      </c>
      <c r="P3096" s="2" t="s">
        <v>2571</v>
      </c>
    </row>
    <row r="3097" spans="1:16" ht="22" customHeight="1" x14ac:dyDescent="0.15">
      <c r="A3097" s="10" t="str">
        <f t="shared" si="472"/>
        <v>526_10_22_10_polygon</v>
      </c>
      <c r="B3097" s="2">
        <v>526</v>
      </c>
      <c r="C3097" s="30" t="str">
        <f>VLOOKUP(B3097,gachas!A:C,3)</f>
        <v>フィーバーフェス（3日目）</v>
      </c>
      <c r="D3097" s="21">
        <v>10</v>
      </c>
      <c r="E3097" s="2">
        <f t="shared" si="477"/>
        <v>22</v>
      </c>
      <c r="F3097" s="2">
        <v>10</v>
      </c>
      <c r="G3097" s="3" t="s">
        <v>22</v>
      </c>
      <c r="H3097" s="2">
        <v>50</v>
      </c>
      <c r="I3097" s="114" t="str">
        <f t="shared" si="475"/>
        <v>526100</v>
      </c>
      <c r="J3097" s="112" t="s">
        <v>84</v>
      </c>
      <c r="K3097" s="112" t="str">
        <f t="shared" si="476"/>
        <v>526100</v>
      </c>
      <c r="L3097" s="2">
        <v>1</v>
      </c>
      <c r="M3097" s="2" t="s">
        <v>84</v>
      </c>
      <c r="N3097" s="2" t="s">
        <v>84</v>
      </c>
      <c r="O3097" s="2" t="s">
        <v>841</v>
      </c>
      <c r="P3097" s="2" t="s">
        <v>2571</v>
      </c>
    </row>
    <row r="3098" spans="1:16" ht="22" customHeight="1" x14ac:dyDescent="0.15">
      <c r="A3098" s="10" t="str">
        <f t="shared" si="472"/>
        <v>526_10_23_10_polygon</v>
      </c>
      <c r="B3098" s="2">
        <v>526</v>
      </c>
      <c r="C3098" s="30" t="str">
        <f>VLOOKUP(B3098,gachas!A:C,3)</f>
        <v>フィーバーフェス（3日目）</v>
      </c>
      <c r="D3098" s="21">
        <v>10</v>
      </c>
      <c r="E3098" s="2">
        <f t="shared" si="477"/>
        <v>23</v>
      </c>
      <c r="F3098" s="2">
        <v>10</v>
      </c>
      <c r="G3098" s="3" t="s">
        <v>22</v>
      </c>
      <c r="H3098" s="2">
        <v>50</v>
      </c>
      <c r="I3098" s="114" t="str">
        <f t="shared" si="475"/>
        <v>526100</v>
      </c>
      <c r="J3098" s="112" t="s">
        <v>84</v>
      </c>
      <c r="K3098" s="112" t="str">
        <f t="shared" si="476"/>
        <v>526100</v>
      </c>
      <c r="L3098" s="2">
        <v>1</v>
      </c>
      <c r="M3098" s="2" t="s">
        <v>84</v>
      </c>
      <c r="N3098" s="2" t="s">
        <v>84</v>
      </c>
      <c r="O3098" s="2" t="s">
        <v>841</v>
      </c>
      <c r="P3098" s="2" t="s">
        <v>2571</v>
      </c>
    </row>
    <row r="3099" spans="1:16" ht="22" customHeight="1" x14ac:dyDescent="0.15">
      <c r="A3099" s="10" t="str">
        <f t="shared" si="472"/>
        <v>526_10_24_10_polygon</v>
      </c>
      <c r="B3099" s="2">
        <v>526</v>
      </c>
      <c r="C3099" s="30" t="str">
        <f>VLOOKUP(B3099,gachas!A:C,3)</f>
        <v>フィーバーフェス（3日目）</v>
      </c>
      <c r="D3099" s="21">
        <v>10</v>
      </c>
      <c r="E3099" s="2">
        <f t="shared" si="477"/>
        <v>24</v>
      </c>
      <c r="F3099" s="2">
        <v>10</v>
      </c>
      <c r="G3099" s="3" t="s">
        <v>22</v>
      </c>
      <c r="H3099" s="2">
        <v>50</v>
      </c>
      <c r="I3099" s="114" t="str">
        <f t="shared" si="475"/>
        <v>526100</v>
      </c>
      <c r="J3099" s="112" t="s">
        <v>84</v>
      </c>
      <c r="K3099" s="112" t="str">
        <f t="shared" si="476"/>
        <v>526100</v>
      </c>
      <c r="L3099" s="2">
        <v>1</v>
      </c>
      <c r="M3099" s="2" t="s">
        <v>84</v>
      </c>
      <c r="N3099" s="2" t="s">
        <v>84</v>
      </c>
      <c r="O3099" s="2" t="s">
        <v>841</v>
      </c>
      <c r="P3099" s="2" t="s">
        <v>2571</v>
      </c>
    </row>
    <row r="3100" spans="1:16" ht="22" customHeight="1" x14ac:dyDescent="0.15">
      <c r="A3100" s="10" t="str">
        <f t="shared" si="472"/>
        <v>526_10_25_10_polygon</v>
      </c>
      <c r="B3100" s="2">
        <v>526</v>
      </c>
      <c r="C3100" s="30" t="str">
        <f>VLOOKUP(B3100,gachas!A:C,3)</f>
        <v>フィーバーフェス（3日目）</v>
      </c>
      <c r="D3100" s="21">
        <v>10</v>
      </c>
      <c r="E3100" s="2">
        <f t="shared" si="477"/>
        <v>25</v>
      </c>
      <c r="F3100" s="2">
        <v>10</v>
      </c>
      <c r="G3100" s="3" t="s">
        <v>22</v>
      </c>
      <c r="H3100" s="2">
        <v>50</v>
      </c>
      <c r="I3100" s="114" t="str">
        <f t="shared" si="475"/>
        <v>526100</v>
      </c>
      <c r="J3100" s="112" t="str">
        <f>CONCATENATE(B3100,D3100,5)</f>
        <v>526105</v>
      </c>
      <c r="K3100" s="112" t="str">
        <f t="shared" si="476"/>
        <v>526100</v>
      </c>
      <c r="L3100" s="2">
        <v>1</v>
      </c>
      <c r="M3100" s="2" t="s">
        <v>84</v>
      </c>
      <c r="N3100" s="2" t="s">
        <v>84</v>
      </c>
      <c r="O3100" s="2" t="s">
        <v>841</v>
      </c>
      <c r="P3100" s="2" t="s">
        <v>2648</v>
      </c>
    </row>
    <row r="3101" spans="1:16" ht="22" customHeight="1" x14ac:dyDescent="0.15">
      <c r="A3101" s="10" t="str">
        <f t="shared" si="472"/>
        <v>526_10_26_10_polygon</v>
      </c>
      <c r="B3101" s="2">
        <v>526</v>
      </c>
      <c r="C3101" s="30" t="str">
        <f>VLOOKUP(B3101,gachas!A:C,3)</f>
        <v>フィーバーフェス（3日目）</v>
      </c>
      <c r="D3101" s="21">
        <v>10</v>
      </c>
      <c r="E3101" s="2">
        <f t="shared" si="477"/>
        <v>26</v>
      </c>
      <c r="F3101" s="2">
        <v>10</v>
      </c>
      <c r="G3101" s="3" t="s">
        <v>22</v>
      </c>
      <c r="H3101" s="2">
        <v>50</v>
      </c>
      <c r="I3101" s="114" t="str">
        <f t="shared" ref="I3101:I3125" si="478">CONCATENATE(B3101,IF(D3101=1,"01","10"),0)</f>
        <v>526100</v>
      </c>
      <c r="J3101" s="112" t="s">
        <v>84</v>
      </c>
      <c r="K3101" s="112" t="str">
        <f t="shared" si="476"/>
        <v>526100</v>
      </c>
      <c r="L3101" s="2">
        <v>1</v>
      </c>
      <c r="M3101" s="2" t="s">
        <v>84</v>
      </c>
      <c r="N3101" s="2" t="s">
        <v>84</v>
      </c>
      <c r="O3101" s="2" t="s">
        <v>841</v>
      </c>
      <c r="P3101" s="2" t="s">
        <v>2571</v>
      </c>
    </row>
    <row r="3102" spans="1:16" ht="22" customHeight="1" x14ac:dyDescent="0.15">
      <c r="A3102" s="10" t="str">
        <f t="shared" si="472"/>
        <v>526_10_27_10_polygon</v>
      </c>
      <c r="B3102" s="2">
        <v>526</v>
      </c>
      <c r="C3102" s="30" t="str">
        <f>VLOOKUP(B3102,gachas!A:C,3)</f>
        <v>フィーバーフェス（3日目）</v>
      </c>
      <c r="D3102" s="21">
        <v>10</v>
      </c>
      <c r="E3102" s="2">
        <f t="shared" si="477"/>
        <v>27</v>
      </c>
      <c r="F3102" s="2">
        <v>10</v>
      </c>
      <c r="G3102" s="3" t="s">
        <v>22</v>
      </c>
      <c r="H3102" s="2">
        <v>50</v>
      </c>
      <c r="I3102" s="114" t="str">
        <f t="shared" si="478"/>
        <v>526100</v>
      </c>
      <c r="J3102" s="112" t="s">
        <v>84</v>
      </c>
      <c r="K3102" s="112" t="str">
        <f t="shared" si="476"/>
        <v>526100</v>
      </c>
      <c r="L3102" s="2">
        <v>1</v>
      </c>
      <c r="M3102" s="2" t="s">
        <v>84</v>
      </c>
      <c r="N3102" s="2" t="s">
        <v>84</v>
      </c>
      <c r="O3102" s="2" t="s">
        <v>841</v>
      </c>
      <c r="P3102" s="2" t="s">
        <v>2571</v>
      </c>
    </row>
    <row r="3103" spans="1:16" ht="22" customHeight="1" x14ac:dyDescent="0.15">
      <c r="A3103" s="10" t="str">
        <f t="shared" si="472"/>
        <v>526_10_28_10_polygon</v>
      </c>
      <c r="B3103" s="2">
        <v>526</v>
      </c>
      <c r="C3103" s="30" t="str">
        <f>VLOOKUP(B3103,gachas!A:C,3)</f>
        <v>フィーバーフェス（3日目）</v>
      </c>
      <c r="D3103" s="21">
        <v>10</v>
      </c>
      <c r="E3103" s="2">
        <f t="shared" si="477"/>
        <v>28</v>
      </c>
      <c r="F3103" s="2">
        <v>10</v>
      </c>
      <c r="G3103" s="3" t="s">
        <v>22</v>
      </c>
      <c r="H3103" s="2">
        <v>50</v>
      </c>
      <c r="I3103" s="114" t="str">
        <f t="shared" si="478"/>
        <v>526100</v>
      </c>
      <c r="J3103" s="112" t="s">
        <v>84</v>
      </c>
      <c r="K3103" s="112" t="str">
        <f t="shared" si="476"/>
        <v>526100</v>
      </c>
      <c r="L3103" s="2">
        <v>1</v>
      </c>
      <c r="M3103" s="2" t="s">
        <v>84</v>
      </c>
      <c r="N3103" s="2" t="s">
        <v>84</v>
      </c>
      <c r="O3103" s="2" t="s">
        <v>841</v>
      </c>
      <c r="P3103" s="2" t="s">
        <v>2571</v>
      </c>
    </row>
    <row r="3104" spans="1:16" ht="22" customHeight="1" x14ac:dyDescent="0.15">
      <c r="A3104" s="10" t="str">
        <f t="shared" si="472"/>
        <v>526_10_29_10_polygon</v>
      </c>
      <c r="B3104" s="2">
        <v>526</v>
      </c>
      <c r="C3104" s="30" t="str">
        <f>VLOOKUP(B3104,gachas!A:C,3)</f>
        <v>フィーバーフェス（3日目）</v>
      </c>
      <c r="D3104" s="21">
        <v>10</v>
      </c>
      <c r="E3104" s="2">
        <f t="shared" si="477"/>
        <v>29</v>
      </c>
      <c r="F3104" s="2">
        <v>10</v>
      </c>
      <c r="G3104" s="3" t="s">
        <v>22</v>
      </c>
      <c r="H3104" s="2">
        <v>50</v>
      </c>
      <c r="I3104" s="114" t="str">
        <f t="shared" si="478"/>
        <v>526100</v>
      </c>
      <c r="J3104" s="112" t="s">
        <v>84</v>
      </c>
      <c r="K3104" s="112" t="str">
        <f t="shared" si="476"/>
        <v>526100</v>
      </c>
      <c r="L3104" s="2">
        <v>1</v>
      </c>
      <c r="M3104" s="2" t="s">
        <v>84</v>
      </c>
      <c r="N3104" s="2" t="s">
        <v>84</v>
      </c>
      <c r="O3104" s="2" t="s">
        <v>841</v>
      </c>
      <c r="P3104" s="2" t="s">
        <v>2571</v>
      </c>
    </row>
    <row r="3105" spans="1:16" ht="22" customHeight="1" x14ac:dyDescent="0.15">
      <c r="A3105" s="10" t="str">
        <f t="shared" si="472"/>
        <v>526_10_30_10_polygon</v>
      </c>
      <c r="B3105" s="2">
        <v>526</v>
      </c>
      <c r="C3105" s="30" t="str">
        <f>VLOOKUP(B3105,gachas!A:C,3)</f>
        <v>フィーバーフェス（3日目）</v>
      </c>
      <c r="D3105" s="21">
        <v>10</v>
      </c>
      <c r="E3105" s="2">
        <f t="shared" si="477"/>
        <v>30</v>
      </c>
      <c r="F3105" s="2">
        <v>10</v>
      </c>
      <c r="G3105" s="3" t="s">
        <v>22</v>
      </c>
      <c r="H3105" s="2">
        <v>50</v>
      </c>
      <c r="I3105" s="114" t="str">
        <f t="shared" si="478"/>
        <v>526100</v>
      </c>
      <c r="J3105" s="112" t="str">
        <f>CONCATENATE(B3105,D3105,5)</f>
        <v>526105</v>
      </c>
      <c r="K3105" s="112" t="str">
        <f t="shared" si="476"/>
        <v>526100</v>
      </c>
      <c r="L3105" s="2">
        <v>1</v>
      </c>
      <c r="M3105" s="2" t="s">
        <v>84</v>
      </c>
      <c r="N3105" s="2" t="s">
        <v>84</v>
      </c>
      <c r="O3105" s="2" t="s">
        <v>841</v>
      </c>
      <c r="P3105" s="2" t="s">
        <v>2648</v>
      </c>
    </row>
    <row r="3106" spans="1:16" ht="22" customHeight="1" x14ac:dyDescent="0.15">
      <c r="A3106" s="10" t="str">
        <f t="shared" si="472"/>
        <v>526_10_31_10_polygon</v>
      </c>
      <c r="B3106" s="2">
        <v>526</v>
      </c>
      <c r="C3106" s="30" t="str">
        <f>VLOOKUP(B3106,gachas!A:C,3)</f>
        <v>フィーバーフェス（3日目）</v>
      </c>
      <c r="D3106" s="21">
        <v>10</v>
      </c>
      <c r="E3106" s="2">
        <f t="shared" si="477"/>
        <v>31</v>
      </c>
      <c r="F3106" s="2">
        <v>10</v>
      </c>
      <c r="G3106" s="3" t="s">
        <v>22</v>
      </c>
      <c r="H3106" s="2">
        <v>50</v>
      </c>
      <c r="I3106" s="114" t="str">
        <f t="shared" si="478"/>
        <v>526100</v>
      </c>
      <c r="J3106" s="112" t="s">
        <v>84</v>
      </c>
      <c r="K3106" s="112" t="str">
        <f t="shared" si="476"/>
        <v>526100</v>
      </c>
      <c r="L3106" s="2">
        <v>1</v>
      </c>
      <c r="M3106" s="2" t="s">
        <v>84</v>
      </c>
      <c r="N3106" s="2" t="s">
        <v>84</v>
      </c>
      <c r="O3106" s="2" t="s">
        <v>841</v>
      </c>
      <c r="P3106" s="2" t="s">
        <v>2571</v>
      </c>
    </row>
    <row r="3107" spans="1:16" ht="22" customHeight="1" x14ac:dyDescent="0.15">
      <c r="A3107" s="10" t="str">
        <f t="shared" si="472"/>
        <v>526_10_32_10_polygon</v>
      </c>
      <c r="B3107" s="2">
        <v>526</v>
      </c>
      <c r="C3107" s="30" t="str">
        <f>VLOOKUP(B3107,gachas!A:C,3)</f>
        <v>フィーバーフェス（3日目）</v>
      </c>
      <c r="D3107" s="21">
        <v>10</v>
      </c>
      <c r="E3107" s="2">
        <f t="shared" si="477"/>
        <v>32</v>
      </c>
      <c r="F3107" s="2">
        <v>10</v>
      </c>
      <c r="G3107" s="3" t="s">
        <v>22</v>
      </c>
      <c r="H3107" s="2">
        <v>50</v>
      </c>
      <c r="I3107" s="114" t="str">
        <f t="shared" si="478"/>
        <v>526100</v>
      </c>
      <c r="J3107" s="112" t="s">
        <v>84</v>
      </c>
      <c r="K3107" s="112" t="str">
        <f t="shared" si="476"/>
        <v>526100</v>
      </c>
      <c r="L3107" s="2">
        <v>1</v>
      </c>
      <c r="M3107" s="2" t="s">
        <v>84</v>
      </c>
      <c r="N3107" s="2" t="s">
        <v>84</v>
      </c>
      <c r="O3107" s="2" t="s">
        <v>841</v>
      </c>
      <c r="P3107" s="2" t="s">
        <v>2571</v>
      </c>
    </row>
    <row r="3108" spans="1:16" ht="22" customHeight="1" x14ac:dyDescent="0.15">
      <c r="A3108" s="10" t="str">
        <f t="shared" si="472"/>
        <v>526_10_33_10_polygon</v>
      </c>
      <c r="B3108" s="2">
        <v>526</v>
      </c>
      <c r="C3108" s="30" t="str">
        <f>VLOOKUP(B3108,gachas!A:C,3)</f>
        <v>フィーバーフェス（3日目）</v>
      </c>
      <c r="D3108" s="21">
        <v>10</v>
      </c>
      <c r="E3108" s="2">
        <f t="shared" si="477"/>
        <v>33</v>
      </c>
      <c r="F3108" s="2">
        <v>10</v>
      </c>
      <c r="G3108" s="3" t="s">
        <v>22</v>
      </c>
      <c r="H3108" s="2">
        <v>50</v>
      </c>
      <c r="I3108" s="114" t="str">
        <f t="shared" si="478"/>
        <v>526100</v>
      </c>
      <c r="J3108" s="112" t="s">
        <v>84</v>
      </c>
      <c r="K3108" s="112" t="str">
        <f t="shared" si="476"/>
        <v>526100</v>
      </c>
      <c r="L3108" s="2">
        <v>1</v>
      </c>
      <c r="M3108" s="2" t="s">
        <v>84</v>
      </c>
      <c r="N3108" s="2" t="s">
        <v>84</v>
      </c>
      <c r="O3108" s="2" t="s">
        <v>841</v>
      </c>
      <c r="P3108" s="2" t="s">
        <v>2571</v>
      </c>
    </row>
    <row r="3109" spans="1:16" ht="22" customHeight="1" x14ac:dyDescent="0.15">
      <c r="A3109" s="10" t="str">
        <f t="shared" si="472"/>
        <v>526_10_34_10_polygon</v>
      </c>
      <c r="B3109" s="2">
        <v>526</v>
      </c>
      <c r="C3109" s="30" t="str">
        <f>VLOOKUP(B3109,gachas!A:C,3)</f>
        <v>フィーバーフェス（3日目）</v>
      </c>
      <c r="D3109" s="21">
        <v>10</v>
      </c>
      <c r="E3109" s="2">
        <f t="shared" si="477"/>
        <v>34</v>
      </c>
      <c r="F3109" s="2">
        <v>10</v>
      </c>
      <c r="G3109" s="3" t="s">
        <v>22</v>
      </c>
      <c r="H3109" s="2">
        <v>50</v>
      </c>
      <c r="I3109" s="114" t="str">
        <f t="shared" si="478"/>
        <v>526100</v>
      </c>
      <c r="J3109" s="112" t="s">
        <v>84</v>
      </c>
      <c r="K3109" s="112" t="str">
        <f t="shared" si="476"/>
        <v>526100</v>
      </c>
      <c r="L3109" s="2">
        <v>1</v>
      </c>
      <c r="M3109" s="2" t="s">
        <v>84</v>
      </c>
      <c r="N3109" s="2" t="s">
        <v>84</v>
      </c>
      <c r="O3109" s="2" t="s">
        <v>841</v>
      </c>
      <c r="P3109" s="2" t="s">
        <v>2571</v>
      </c>
    </row>
    <row r="3110" spans="1:16" ht="22" customHeight="1" x14ac:dyDescent="0.15">
      <c r="A3110" s="10" t="str">
        <f t="shared" si="472"/>
        <v>526_10_35_10_polygon</v>
      </c>
      <c r="B3110" s="2">
        <v>526</v>
      </c>
      <c r="C3110" s="30" t="str">
        <f>VLOOKUP(B3110,gachas!A:C,3)</f>
        <v>フィーバーフェス（3日目）</v>
      </c>
      <c r="D3110" s="21">
        <v>10</v>
      </c>
      <c r="E3110" s="2">
        <f t="shared" si="477"/>
        <v>35</v>
      </c>
      <c r="F3110" s="2">
        <v>10</v>
      </c>
      <c r="G3110" s="3" t="s">
        <v>22</v>
      </c>
      <c r="H3110" s="2">
        <v>50</v>
      </c>
      <c r="I3110" s="114" t="str">
        <f t="shared" si="478"/>
        <v>526100</v>
      </c>
      <c r="J3110" s="112" t="str">
        <f>CONCATENATE(B3110,D3110,5)</f>
        <v>526105</v>
      </c>
      <c r="K3110" s="112" t="str">
        <f t="shared" si="476"/>
        <v>526100</v>
      </c>
      <c r="L3110" s="2">
        <v>1</v>
      </c>
      <c r="M3110" s="2" t="s">
        <v>84</v>
      </c>
      <c r="N3110" s="2" t="s">
        <v>84</v>
      </c>
      <c r="O3110" s="2" t="s">
        <v>841</v>
      </c>
      <c r="P3110" s="2" t="s">
        <v>2648</v>
      </c>
    </row>
    <row r="3111" spans="1:16" ht="22" customHeight="1" x14ac:dyDescent="0.15">
      <c r="A3111" s="10" t="str">
        <f t="shared" si="472"/>
        <v>526_10_36_10_polygon</v>
      </c>
      <c r="B3111" s="2">
        <v>526</v>
      </c>
      <c r="C3111" s="30" t="str">
        <f>VLOOKUP(B3111,gachas!A:C,3)</f>
        <v>フィーバーフェス（3日目）</v>
      </c>
      <c r="D3111" s="21">
        <v>10</v>
      </c>
      <c r="E3111" s="2">
        <f t="shared" si="477"/>
        <v>36</v>
      </c>
      <c r="F3111" s="2">
        <v>10</v>
      </c>
      <c r="G3111" s="3" t="s">
        <v>22</v>
      </c>
      <c r="H3111" s="2">
        <v>50</v>
      </c>
      <c r="I3111" s="114" t="str">
        <f t="shared" si="478"/>
        <v>526100</v>
      </c>
      <c r="J3111" s="112" t="s">
        <v>84</v>
      </c>
      <c r="K3111" s="112" t="str">
        <f t="shared" si="476"/>
        <v>526100</v>
      </c>
      <c r="L3111" s="2">
        <v>1</v>
      </c>
      <c r="M3111" s="2" t="s">
        <v>84</v>
      </c>
      <c r="N3111" s="2" t="s">
        <v>84</v>
      </c>
      <c r="O3111" s="2" t="s">
        <v>841</v>
      </c>
      <c r="P3111" s="2" t="s">
        <v>2571</v>
      </c>
    </row>
    <row r="3112" spans="1:16" ht="22" customHeight="1" x14ac:dyDescent="0.15">
      <c r="A3112" s="10" t="str">
        <f t="shared" si="472"/>
        <v>526_10_37_10_polygon</v>
      </c>
      <c r="B3112" s="2">
        <v>526</v>
      </c>
      <c r="C3112" s="30" t="str">
        <f>VLOOKUP(B3112,gachas!A:C,3)</f>
        <v>フィーバーフェス（3日目）</v>
      </c>
      <c r="D3112" s="21">
        <v>10</v>
      </c>
      <c r="E3112" s="2">
        <f t="shared" si="477"/>
        <v>37</v>
      </c>
      <c r="F3112" s="2">
        <v>10</v>
      </c>
      <c r="G3112" s="3" t="s">
        <v>22</v>
      </c>
      <c r="H3112" s="2">
        <v>50</v>
      </c>
      <c r="I3112" s="114" t="str">
        <f t="shared" si="478"/>
        <v>526100</v>
      </c>
      <c r="J3112" s="112" t="s">
        <v>84</v>
      </c>
      <c r="K3112" s="112" t="str">
        <f t="shared" si="476"/>
        <v>526100</v>
      </c>
      <c r="L3112" s="2">
        <v>1</v>
      </c>
      <c r="M3112" s="2" t="s">
        <v>84</v>
      </c>
      <c r="N3112" s="2" t="s">
        <v>84</v>
      </c>
      <c r="O3112" s="2" t="s">
        <v>841</v>
      </c>
      <c r="P3112" s="2" t="s">
        <v>2571</v>
      </c>
    </row>
    <row r="3113" spans="1:16" ht="22" customHeight="1" x14ac:dyDescent="0.15">
      <c r="A3113" s="10" t="str">
        <f t="shared" si="472"/>
        <v>526_10_38_10_polygon</v>
      </c>
      <c r="B3113" s="2">
        <v>526</v>
      </c>
      <c r="C3113" s="30" t="str">
        <f>VLOOKUP(B3113,gachas!A:C,3)</f>
        <v>フィーバーフェス（3日目）</v>
      </c>
      <c r="D3113" s="21">
        <v>10</v>
      </c>
      <c r="E3113" s="2">
        <f t="shared" si="477"/>
        <v>38</v>
      </c>
      <c r="F3113" s="2">
        <v>10</v>
      </c>
      <c r="G3113" s="3" t="s">
        <v>22</v>
      </c>
      <c r="H3113" s="2">
        <v>50</v>
      </c>
      <c r="I3113" s="114" t="str">
        <f t="shared" si="478"/>
        <v>526100</v>
      </c>
      <c r="J3113" s="112" t="s">
        <v>84</v>
      </c>
      <c r="K3113" s="112" t="str">
        <f t="shared" si="476"/>
        <v>526100</v>
      </c>
      <c r="L3113" s="2">
        <v>1</v>
      </c>
      <c r="M3113" s="2" t="s">
        <v>84</v>
      </c>
      <c r="N3113" s="2" t="s">
        <v>84</v>
      </c>
      <c r="O3113" s="2" t="s">
        <v>841</v>
      </c>
      <c r="P3113" s="2" t="s">
        <v>2571</v>
      </c>
    </row>
    <row r="3114" spans="1:16" ht="22" customHeight="1" x14ac:dyDescent="0.15">
      <c r="A3114" s="10" t="str">
        <f t="shared" si="472"/>
        <v>526_10_39_10_polygon</v>
      </c>
      <c r="B3114" s="2">
        <v>526</v>
      </c>
      <c r="C3114" s="30" t="str">
        <f>VLOOKUP(B3114,gachas!A:C,3)</f>
        <v>フィーバーフェス（3日目）</v>
      </c>
      <c r="D3114" s="21">
        <v>10</v>
      </c>
      <c r="E3114" s="2">
        <f t="shared" si="477"/>
        <v>39</v>
      </c>
      <c r="F3114" s="2">
        <v>10</v>
      </c>
      <c r="G3114" s="3" t="s">
        <v>22</v>
      </c>
      <c r="H3114" s="2">
        <v>50</v>
      </c>
      <c r="I3114" s="114" t="str">
        <f t="shared" si="478"/>
        <v>526100</v>
      </c>
      <c r="J3114" s="112" t="s">
        <v>84</v>
      </c>
      <c r="K3114" s="112" t="str">
        <f t="shared" si="476"/>
        <v>526100</v>
      </c>
      <c r="L3114" s="2">
        <v>1</v>
      </c>
      <c r="M3114" s="2" t="s">
        <v>84</v>
      </c>
      <c r="N3114" s="2" t="s">
        <v>84</v>
      </c>
      <c r="O3114" s="2" t="s">
        <v>841</v>
      </c>
      <c r="P3114" s="2" t="s">
        <v>2571</v>
      </c>
    </row>
    <row r="3115" spans="1:16" ht="22" customHeight="1" x14ac:dyDescent="0.15">
      <c r="A3115" s="10" t="str">
        <f t="shared" si="472"/>
        <v>526_10_40_10_polygon</v>
      </c>
      <c r="B3115" s="2">
        <v>526</v>
      </c>
      <c r="C3115" s="30" t="str">
        <f>VLOOKUP(B3115,gachas!A:C,3)</f>
        <v>フィーバーフェス（3日目）</v>
      </c>
      <c r="D3115" s="21">
        <v>10</v>
      </c>
      <c r="E3115" s="2">
        <f t="shared" si="477"/>
        <v>40</v>
      </c>
      <c r="F3115" s="2">
        <v>10</v>
      </c>
      <c r="G3115" s="3" t="s">
        <v>22</v>
      </c>
      <c r="H3115" s="2">
        <v>50</v>
      </c>
      <c r="I3115" s="114" t="str">
        <f t="shared" si="478"/>
        <v>526100</v>
      </c>
      <c r="J3115" s="112" t="str">
        <f>CONCATENATE(B3115,D3115,5)</f>
        <v>526105</v>
      </c>
      <c r="K3115" s="112" t="str">
        <f t="shared" si="476"/>
        <v>526100</v>
      </c>
      <c r="L3115" s="2">
        <v>1</v>
      </c>
      <c r="M3115" s="2" t="s">
        <v>84</v>
      </c>
      <c r="N3115" s="2" t="s">
        <v>84</v>
      </c>
      <c r="O3115" s="2" t="s">
        <v>841</v>
      </c>
      <c r="P3115" s="2" t="s">
        <v>2648</v>
      </c>
    </row>
    <row r="3116" spans="1:16" ht="22" customHeight="1" x14ac:dyDescent="0.15">
      <c r="A3116" s="10" t="str">
        <f t="shared" si="472"/>
        <v>526_10_41_10_polygon</v>
      </c>
      <c r="B3116" s="2">
        <v>526</v>
      </c>
      <c r="C3116" s="30" t="str">
        <f>VLOOKUP(B3116,gachas!A:C,3)</f>
        <v>フィーバーフェス（3日目）</v>
      </c>
      <c r="D3116" s="21">
        <v>10</v>
      </c>
      <c r="E3116" s="2">
        <f t="shared" si="477"/>
        <v>41</v>
      </c>
      <c r="F3116" s="2">
        <v>10</v>
      </c>
      <c r="G3116" s="3" t="s">
        <v>22</v>
      </c>
      <c r="H3116" s="2">
        <v>50</v>
      </c>
      <c r="I3116" s="114" t="str">
        <f t="shared" si="478"/>
        <v>526100</v>
      </c>
      <c r="J3116" s="112" t="s">
        <v>84</v>
      </c>
      <c r="K3116" s="112" t="str">
        <f t="shared" si="476"/>
        <v>526100</v>
      </c>
      <c r="L3116" s="2">
        <v>1</v>
      </c>
      <c r="M3116" s="2" t="s">
        <v>84</v>
      </c>
      <c r="N3116" s="2" t="s">
        <v>84</v>
      </c>
      <c r="O3116" s="2" t="s">
        <v>841</v>
      </c>
      <c r="P3116" s="2" t="s">
        <v>2571</v>
      </c>
    </row>
    <row r="3117" spans="1:16" ht="22" customHeight="1" x14ac:dyDescent="0.15">
      <c r="A3117" s="10" t="str">
        <f t="shared" si="472"/>
        <v>526_10_42_10_polygon</v>
      </c>
      <c r="B3117" s="2">
        <v>526</v>
      </c>
      <c r="C3117" s="30" t="str">
        <f>VLOOKUP(B3117,gachas!A:C,3)</f>
        <v>フィーバーフェス（3日目）</v>
      </c>
      <c r="D3117" s="21">
        <v>10</v>
      </c>
      <c r="E3117" s="2">
        <f t="shared" si="477"/>
        <v>42</v>
      </c>
      <c r="F3117" s="2">
        <v>10</v>
      </c>
      <c r="G3117" s="3" t="s">
        <v>22</v>
      </c>
      <c r="H3117" s="2">
        <v>50</v>
      </c>
      <c r="I3117" s="114" t="str">
        <f t="shared" si="478"/>
        <v>526100</v>
      </c>
      <c r="J3117" s="112" t="s">
        <v>84</v>
      </c>
      <c r="K3117" s="112" t="str">
        <f t="shared" si="476"/>
        <v>526100</v>
      </c>
      <c r="L3117" s="2">
        <v>1</v>
      </c>
      <c r="M3117" s="2" t="s">
        <v>84</v>
      </c>
      <c r="N3117" s="2" t="s">
        <v>84</v>
      </c>
      <c r="O3117" s="2" t="s">
        <v>841</v>
      </c>
      <c r="P3117" s="2" t="s">
        <v>2571</v>
      </c>
    </row>
    <row r="3118" spans="1:16" ht="22" customHeight="1" x14ac:dyDescent="0.15">
      <c r="A3118" s="10" t="str">
        <f t="shared" si="472"/>
        <v>526_10_43_10_polygon</v>
      </c>
      <c r="B3118" s="2">
        <v>526</v>
      </c>
      <c r="C3118" s="30" t="str">
        <f>VLOOKUP(B3118,gachas!A:C,3)</f>
        <v>フィーバーフェス（3日目）</v>
      </c>
      <c r="D3118" s="21">
        <v>10</v>
      </c>
      <c r="E3118" s="2">
        <f t="shared" si="477"/>
        <v>43</v>
      </c>
      <c r="F3118" s="2">
        <v>10</v>
      </c>
      <c r="G3118" s="3" t="s">
        <v>22</v>
      </c>
      <c r="H3118" s="2">
        <v>50</v>
      </c>
      <c r="I3118" s="114" t="str">
        <f t="shared" si="478"/>
        <v>526100</v>
      </c>
      <c r="J3118" s="112" t="s">
        <v>84</v>
      </c>
      <c r="K3118" s="112" t="str">
        <f t="shared" si="476"/>
        <v>526100</v>
      </c>
      <c r="L3118" s="2">
        <v>1</v>
      </c>
      <c r="M3118" s="2" t="s">
        <v>84</v>
      </c>
      <c r="N3118" s="2" t="s">
        <v>84</v>
      </c>
      <c r="O3118" s="2" t="s">
        <v>841</v>
      </c>
      <c r="P3118" s="2" t="s">
        <v>2571</v>
      </c>
    </row>
    <row r="3119" spans="1:16" ht="22" customHeight="1" x14ac:dyDescent="0.15">
      <c r="A3119" s="10" t="str">
        <f t="shared" si="472"/>
        <v>526_10_44_10_polygon</v>
      </c>
      <c r="B3119" s="2">
        <v>526</v>
      </c>
      <c r="C3119" s="30" t="str">
        <f>VLOOKUP(B3119,gachas!A:C,3)</f>
        <v>フィーバーフェス（3日目）</v>
      </c>
      <c r="D3119" s="21">
        <v>10</v>
      </c>
      <c r="E3119" s="2">
        <f t="shared" si="477"/>
        <v>44</v>
      </c>
      <c r="F3119" s="2">
        <v>10</v>
      </c>
      <c r="G3119" s="3" t="s">
        <v>22</v>
      </c>
      <c r="H3119" s="2">
        <v>50</v>
      </c>
      <c r="I3119" s="114" t="str">
        <f t="shared" si="478"/>
        <v>526100</v>
      </c>
      <c r="J3119" s="112" t="s">
        <v>84</v>
      </c>
      <c r="K3119" s="112" t="str">
        <f t="shared" si="476"/>
        <v>526100</v>
      </c>
      <c r="L3119" s="2">
        <v>1</v>
      </c>
      <c r="M3119" s="2" t="s">
        <v>84</v>
      </c>
      <c r="N3119" s="2" t="s">
        <v>84</v>
      </c>
      <c r="O3119" s="2" t="s">
        <v>841</v>
      </c>
      <c r="P3119" s="2" t="s">
        <v>2571</v>
      </c>
    </row>
    <row r="3120" spans="1:16" ht="22" customHeight="1" x14ac:dyDescent="0.15">
      <c r="A3120" s="10" t="str">
        <f t="shared" si="472"/>
        <v>526_10_45_10_polygon</v>
      </c>
      <c r="B3120" s="2">
        <v>526</v>
      </c>
      <c r="C3120" s="30" t="str">
        <f>VLOOKUP(B3120,gachas!A:C,3)</f>
        <v>フィーバーフェス（3日目）</v>
      </c>
      <c r="D3120" s="21">
        <v>10</v>
      </c>
      <c r="E3120" s="2">
        <f t="shared" si="477"/>
        <v>45</v>
      </c>
      <c r="F3120" s="2">
        <v>10</v>
      </c>
      <c r="G3120" s="3" t="s">
        <v>22</v>
      </c>
      <c r="H3120" s="2">
        <v>50</v>
      </c>
      <c r="I3120" s="114" t="str">
        <f t="shared" si="478"/>
        <v>526100</v>
      </c>
      <c r="J3120" s="112" t="str">
        <f>CONCATENATE(B3120,D3120,5)</f>
        <v>526105</v>
      </c>
      <c r="K3120" s="112" t="str">
        <f t="shared" si="476"/>
        <v>526100</v>
      </c>
      <c r="L3120" s="2">
        <v>1</v>
      </c>
      <c r="M3120" s="2" t="s">
        <v>84</v>
      </c>
      <c r="N3120" s="2" t="s">
        <v>84</v>
      </c>
      <c r="O3120" s="2" t="s">
        <v>841</v>
      </c>
      <c r="P3120" s="2" t="s">
        <v>2648</v>
      </c>
    </row>
    <row r="3121" spans="1:16" ht="22" customHeight="1" x14ac:dyDescent="0.15">
      <c r="A3121" s="10" t="str">
        <f t="shared" si="472"/>
        <v>526_10_46_10_polygon</v>
      </c>
      <c r="B3121" s="2">
        <v>526</v>
      </c>
      <c r="C3121" s="30" t="str">
        <f>VLOOKUP(B3121,gachas!A:C,3)</f>
        <v>フィーバーフェス（3日目）</v>
      </c>
      <c r="D3121" s="21">
        <v>10</v>
      </c>
      <c r="E3121" s="2">
        <f t="shared" si="477"/>
        <v>46</v>
      </c>
      <c r="F3121" s="2">
        <v>10</v>
      </c>
      <c r="G3121" s="3" t="s">
        <v>22</v>
      </c>
      <c r="H3121" s="2">
        <v>50</v>
      </c>
      <c r="I3121" s="114" t="str">
        <f t="shared" si="478"/>
        <v>526100</v>
      </c>
      <c r="J3121" s="112" t="s">
        <v>84</v>
      </c>
      <c r="K3121" s="112" t="str">
        <f t="shared" si="476"/>
        <v>526100</v>
      </c>
      <c r="L3121" s="2">
        <v>1</v>
      </c>
      <c r="M3121" s="2" t="s">
        <v>84</v>
      </c>
      <c r="N3121" s="2" t="s">
        <v>84</v>
      </c>
      <c r="O3121" s="2" t="s">
        <v>841</v>
      </c>
      <c r="P3121" s="2" t="s">
        <v>2571</v>
      </c>
    </row>
    <row r="3122" spans="1:16" ht="22" customHeight="1" x14ac:dyDescent="0.15">
      <c r="A3122" s="10" t="str">
        <f t="shared" si="472"/>
        <v>526_10_47_10_polygon</v>
      </c>
      <c r="B3122" s="2">
        <v>526</v>
      </c>
      <c r="C3122" s="30" t="str">
        <f>VLOOKUP(B3122,gachas!A:C,3)</f>
        <v>フィーバーフェス（3日目）</v>
      </c>
      <c r="D3122" s="21">
        <v>10</v>
      </c>
      <c r="E3122" s="2">
        <f t="shared" si="477"/>
        <v>47</v>
      </c>
      <c r="F3122" s="2">
        <v>10</v>
      </c>
      <c r="G3122" s="3" t="s">
        <v>22</v>
      </c>
      <c r="H3122" s="2">
        <v>50</v>
      </c>
      <c r="I3122" s="114" t="str">
        <f t="shared" si="478"/>
        <v>526100</v>
      </c>
      <c r="J3122" s="112" t="s">
        <v>84</v>
      </c>
      <c r="K3122" s="112" t="str">
        <f t="shared" si="476"/>
        <v>526100</v>
      </c>
      <c r="L3122" s="2">
        <v>1</v>
      </c>
      <c r="M3122" s="2" t="s">
        <v>84</v>
      </c>
      <c r="N3122" s="2" t="s">
        <v>84</v>
      </c>
      <c r="O3122" s="2" t="s">
        <v>841</v>
      </c>
      <c r="P3122" s="2" t="s">
        <v>2571</v>
      </c>
    </row>
    <row r="3123" spans="1:16" ht="22" customHeight="1" x14ac:dyDescent="0.15">
      <c r="A3123" s="10" t="str">
        <f t="shared" si="472"/>
        <v>526_10_48_10_polygon</v>
      </c>
      <c r="B3123" s="2">
        <v>526</v>
      </c>
      <c r="C3123" s="30" t="str">
        <f>VLOOKUP(B3123,gachas!A:C,3)</f>
        <v>フィーバーフェス（3日目）</v>
      </c>
      <c r="D3123" s="21">
        <v>10</v>
      </c>
      <c r="E3123" s="2">
        <f t="shared" si="477"/>
        <v>48</v>
      </c>
      <c r="F3123" s="2">
        <v>10</v>
      </c>
      <c r="G3123" s="3" t="s">
        <v>22</v>
      </c>
      <c r="H3123" s="2">
        <v>50</v>
      </c>
      <c r="I3123" s="114" t="str">
        <f t="shared" si="478"/>
        <v>526100</v>
      </c>
      <c r="J3123" s="112" t="s">
        <v>84</v>
      </c>
      <c r="K3123" s="112" t="str">
        <f t="shared" si="476"/>
        <v>526100</v>
      </c>
      <c r="L3123" s="2">
        <v>1</v>
      </c>
      <c r="M3123" s="2" t="s">
        <v>84</v>
      </c>
      <c r="N3123" s="2" t="s">
        <v>84</v>
      </c>
      <c r="O3123" s="2" t="s">
        <v>841</v>
      </c>
      <c r="P3123" s="2" t="s">
        <v>2571</v>
      </c>
    </row>
    <row r="3124" spans="1:16" ht="22" customHeight="1" x14ac:dyDescent="0.15">
      <c r="A3124" s="10" t="str">
        <f t="shared" si="472"/>
        <v>526_10_49_10_polygon</v>
      </c>
      <c r="B3124" s="2">
        <v>526</v>
      </c>
      <c r="C3124" s="30" t="str">
        <f>VLOOKUP(B3124,gachas!A:C,3)</f>
        <v>フィーバーフェス（3日目）</v>
      </c>
      <c r="D3124" s="21">
        <v>10</v>
      </c>
      <c r="E3124" s="2">
        <f t="shared" si="477"/>
        <v>49</v>
      </c>
      <c r="F3124" s="2">
        <v>10</v>
      </c>
      <c r="G3124" s="3" t="s">
        <v>22</v>
      </c>
      <c r="H3124" s="2">
        <v>50</v>
      </c>
      <c r="I3124" s="114" t="str">
        <f t="shared" si="478"/>
        <v>526100</v>
      </c>
      <c r="J3124" s="112" t="s">
        <v>84</v>
      </c>
      <c r="K3124" s="112" t="str">
        <f t="shared" si="476"/>
        <v>526100</v>
      </c>
      <c r="L3124" s="2">
        <v>1</v>
      </c>
      <c r="M3124" s="2" t="s">
        <v>84</v>
      </c>
      <c r="N3124" s="2" t="s">
        <v>84</v>
      </c>
      <c r="O3124" s="2" t="s">
        <v>841</v>
      </c>
      <c r="P3124" s="2" t="s">
        <v>2571</v>
      </c>
    </row>
    <row r="3125" spans="1:16" ht="22" customHeight="1" x14ac:dyDescent="0.15">
      <c r="A3125" s="10" t="str">
        <f t="shared" si="472"/>
        <v>526_10_50_10_polygon</v>
      </c>
      <c r="B3125" s="2">
        <v>526</v>
      </c>
      <c r="C3125" s="30" t="str">
        <f>VLOOKUP(B3125,gachas!A:C,3)</f>
        <v>フィーバーフェス（3日目）</v>
      </c>
      <c r="D3125" s="21">
        <v>10</v>
      </c>
      <c r="E3125" s="2">
        <f t="shared" si="477"/>
        <v>50</v>
      </c>
      <c r="F3125" s="2">
        <v>10</v>
      </c>
      <c r="G3125" s="3" t="s">
        <v>22</v>
      </c>
      <c r="H3125" s="2">
        <v>50</v>
      </c>
      <c r="I3125" s="114" t="str">
        <f t="shared" si="478"/>
        <v>526100</v>
      </c>
      <c r="J3125" s="112" t="str">
        <f>CONCATENATE(B3125,D3125,5)</f>
        <v>526105</v>
      </c>
      <c r="K3125" s="112" t="str">
        <f t="shared" si="476"/>
        <v>526100</v>
      </c>
      <c r="L3125" s="2">
        <v>1</v>
      </c>
      <c r="M3125" s="2" t="s">
        <v>84</v>
      </c>
      <c r="N3125" s="2" t="s">
        <v>84</v>
      </c>
      <c r="O3125" s="2" t="s">
        <v>841</v>
      </c>
      <c r="P3125" s="2" t="s">
        <v>2648</v>
      </c>
    </row>
    <row r="3126" spans="1:16" ht="22" customHeight="1" x14ac:dyDescent="0.15">
      <c r="A3126" s="10" t="str">
        <f t="shared" ref="A3126:A3177" si="479">B3126&amp;"_"&amp;D3126&amp;"_"&amp;E3126&amp;"_"&amp;F3126&amp;"_"&amp;G3126</f>
        <v>527_1_0_1_polygon</v>
      </c>
      <c r="B3126" s="2">
        <v>527</v>
      </c>
      <c r="C3126" s="30" t="str">
        <f>VLOOKUP(B3126,gachas!A:C,3)</f>
        <v>アビリティピックアップ（プロテクトブレイク）</v>
      </c>
      <c r="D3126" s="21">
        <v>1</v>
      </c>
      <c r="E3126" s="2">
        <v>0</v>
      </c>
      <c r="F3126" s="2">
        <v>1</v>
      </c>
      <c r="G3126" s="3" t="s">
        <v>22</v>
      </c>
      <c r="H3126" s="2">
        <v>5</v>
      </c>
      <c r="I3126" s="114" t="str">
        <f t="shared" ref="I3126" si="480">CONCATENATE(B3126,IF(D3126=1,"01","10"),0)</f>
        <v>527010</v>
      </c>
      <c r="J3126" s="112" t="s">
        <v>84</v>
      </c>
      <c r="K3126" s="112" t="s">
        <v>84</v>
      </c>
      <c r="L3126" s="2">
        <v>0</v>
      </c>
      <c r="M3126" s="2" t="s">
        <v>84</v>
      </c>
      <c r="N3126" s="2" t="s">
        <v>84</v>
      </c>
      <c r="O3126" s="2" t="s">
        <v>841</v>
      </c>
      <c r="P3126" s="18" t="s">
        <v>84</v>
      </c>
    </row>
    <row r="3127" spans="1:16" ht="22" customHeight="1" x14ac:dyDescent="0.15">
      <c r="A3127" s="10" t="str">
        <f t="shared" si="479"/>
        <v>527_10_0_10_polygon</v>
      </c>
      <c r="B3127" s="2">
        <v>527</v>
      </c>
      <c r="C3127" s="30" t="str">
        <f>VLOOKUP(B3127,gachas!A:C,3)</f>
        <v>アビリティピックアップ（プロテクトブレイク）</v>
      </c>
      <c r="D3127" s="21">
        <v>10</v>
      </c>
      <c r="E3127" s="2">
        <v>0</v>
      </c>
      <c r="F3127" s="2">
        <v>10</v>
      </c>
      <c r="G3127" s="3" t="s">
        <v>22</v>
      </c>
      <c r="H3127" s="2">
        <v>50</v>
      </c>
      <c r="I3127" s="114" t="str">
        <f t="shared" ref="I3127:I3178" si="481">CONCATENATE(B3127,IF(D3127=1,"01","10"),0)</f>
        <v>527100</v>
      </c>
      <c r="J3127" s="112" t="s">
        <v>84</v>
      </c>
      <c r="K3127" s="112" t="s">
        <v>84</v>
      </c>
      <c r="L3127" s="2">
        <v>0</v>
      </c>
      <c r="M3127" s="2" t="s">
        <v>84</v>
      </c>
      <c r="N3127" s="2" t="s">
        <v>84</v>
      </c>
      <c r="O3127" s="2" t="s">
        <v>841</v>
      </c>
      <c r="P3127" s="2" t="s">
        <v>143</v>
      </c>
    </row>
    <row r="3128" spans="1:16" ht="22" customHeight="1" x14ac:dyDescent="0.15">
      <c r="A3128" s="10" t="str">
        <f t="shared" si="479"/>
        <v>527_10_1_10_polygon</v>
      </c>
      <c r="B3128" s="2">
        <v>527</v>
      </c>
      <c r="C3128" s="30" t="str">
        <f>VLOOKUP(B3128,gachas!A:C,3)</f>
        <v>アビリティピックアップ（プロテクトブレイク）</v>
      </c>
      <c r="D3128" s="21">
        <v>10</v>
      </c>
      <c r="E3128" s="2">
        <f>E3127+1</f>
        <v>1</v>
      </c>
      <c r="F3128" s="2">
        <v>10</v>
      </c>
      <c r="G3128" s="3" t="s">
        <v>22</v>
      </c>
      <c r="H3128" s="2">
        <v>25</v>
      </c>
      <c r="I3128" s="114" t="str">
        <f t="shared" si="481"/>
        <v>527100</v>
      </c>
      <c r="J3128" s="112" t="s">
        <v>84</v>
      </c>
      <c r="K3128" s="2" t="s">
        <v>84</v>
      </c>
      <c r="L3128" s="2">
        <v>0</v>
      </c>
      <c r="M3128" s="2" t="s">
        <v>84</v>
      </c>
      <c r="N3128" s="2" t="s">
        <v>84</v>
      </c>
      <c r="O3128" s="2" t="s">
        <v>841</v>
      </c>
      <c r="P3128" s="59" t="s">
        <v>1783</v>
      </c>
    </row>
    <row r="3129" spans="1:16" ht="22" customHeight="1" x14ac:dyDescent="0.15">
      <c r="A3129" s="10" t="str">
        <f t="shared" si="479"/>
        <v>527_10_2_10_polygon</v>
      </c>
      <c r="B3129" s="2">
        <v>527</v>
      </c>
      <c r="C3129" s="30" t="str">
        <f>VLOOKUP(B3129,gachas!A:C,3)</f>
        <v>アビリティピックアップ（プロテクトブレイク）</v>
      </c>
      <c r="D3129" s="21">
        <v>10</v>
      </c>
      <c r="E3129" s="2">
        <f t="shared" ref="E3129:E3177" si="482">E3128+1</f>
        <v>2</v>
      </c>
      <c r="F3129" s="2">
        <v>10</v>
      </c>
      <c r="G3129" s="3" t="s">
        <v>22</v>
      </c>
      <c r="H3129" s="2">
        <v>50</v>
      </c>
      <c r="I3129" s="114" t="str">
        <f t="shared" si="481"/>
        <v>527100</v>
      </c>
      <c r="J3129" s="112" t="s">
        <v>84</v>
      </c>
      <c r="K3129" s="2" t="s">
        <v>84</v>
      </c>
      <c r="L3129" s="2">
        <v>0</v>
      </c>
      <c r="M3129" s="2" t="s">
        <v>84</v>
      </c>
      <c r="N3129" s="2" t="s">
        <v>84</v>
      </c>
      <c r="O3129" s="2" t="s">
        <v>841</v>
      </c>
      <c r="P3129" s="2" t="s">
        <v>143</v>
      </c>
    </row>
    <row r="3130" spans="1:16" ht="22" customHeight="1" x14ac:dyDescent="0.15">
      <c r="A3130" s="10" t="str">
        <f t="shared" si="479"/>
        <v>527_10_3_10_polygon</v>
      </c>
      <c r="B3130" s="2">
        <v>527</v>
      </c>
      <c r="C3130" s="30" t="str">
        <f>VLOOKUP(B3130,gachas!A:C,3)</f>
        <v>アビリティピックアップ（プロテクトブレイク）</v>
      </c>
      <c r="D3130" s="21">
        <v>10</v>
      </c>
      <c r="E3130" s="2">
        <f t="shared" si="482"/>
        <v>3</v>
      </c>
      <c r="F3130" s="2">
        <v>10</v>
      </c>
      <c r="G3130" s="3" t="s">
        <v>22</v>
      </c>
      <c r="H3130" s="2">
        <v>50</v>
      </c>
      <c r="I3130" s="114" t="str">
        <f t="shared" si="481"/>
        <v>527100</v>
      </c>
      <c r="J3130" s="112" t="s">
        <v>84</v>
      </c>
      <c r="K3130" s="2" t="s">
        <v>84</v>
      </c>
      <c r="L3130" s="2">
        <v>0</v>
      </c>
      <c r="M3130" s="2" t="s">
        <v>84</v>
      </c>
      <c r="N3130" s="2" t="s">
        <v>84</v>
      </c>
      <c r="O3130" s="2" t="s">
        <v>841</v>
      </c>
      <c r="P3130" s="2" t="s">
        <v>143</v>
      </c>
    </row>
    <row r="3131" spans="1:16" ht="22" customHeight="1" x14ac:dyDescent="0.15">
      <c r="A3131" s="10" t="str">
        <f t="shared" si="479"/>
        <v>527_10_4_10_polygon</v>
      </c>
      <c r="B3131" s="2">
        <v>527</v>
      </c>
      <c r="C3131" s="30" t="str">
        <f>VLOOKUP(B3131,gachas!A:C,3)</f>
        <v>アビリティピックアップ（プロテクトブレイク）</v>
      </c>
      <c r="D3131" s="21">
        <v>10</v>
      </c>
      <c r="E3131" s="2">
        <f t="shared" si="482"/>
        <v>4</v>
      </c>
      <c r="F3131" s="2">
        <v>10</v>
      </c>
      <c r="G3131" s="3" t="s">
        <v>22</v>
      </c>
      <c r="H3131" s="2">
        <v>50</v>
      </c>
      <c r="I3131" s="114" t="str">
        <f t="shared" si="481"/>
        <v>527100</v>
      </c>
      <c r="J3131" s="112" t="s">
        <v>84</v>
      </c>
      <c r="K3131" s="2" t="s">
        <v>84</v>
      </c>
      <c r="L3131" s="2">
        <v>0</v>
      </c>
      <c r="M3131" s="2" t="s">
        <v>84</v>
      </c>
      <c r="N3131" s="2" t="s">
        <v>84</v>
      </c>
      <c r="O3131" s="2" t="s">
        <v>841</v>
      </c>
      <c r="P3131" s="2" t="s">
        <v>143</v>
      </c>
    </row>
    <row r="3132" spans="1:16" ht="22" customHeight="1" x14ac:dyDescent="0.15">
      <c r="A3132" s="10" t="str">
        <f t="shared" si="479"/>
        <v>527_10_5_10_polygon</v>
      </c>
      <c r="B3132" s="2">
        <v>527</v>
      </c>
      <c r="C3132" s="30" t="str">
        <f>VLOOKUP(B3132,gachas!A:C,3)</f>
        <v>アビリティピックアップ（プロテクトブレイク）</v>
      </c>
      <c r="D3132" s="21">
        <v>10</v>
      </c>
      <c r="E3132" s="2">
        <f t="shared" si="482"/>
        <v>5</v>
      </c>
      <c r="F3132" s="2">
        <v>10</v>
      </c>
      <c r="G3132" s="3" t="s">
        <v>22</v>
      </c>
      <c r="H3132" s="2">
        <v>50</v>
      </c>
      <c r="I3132" s="114" t="str">
        <f t="shared" si="481"/>
        <v>527100</v>
      </c>
      <c r="J3132" s="112" t="s">
        <v>84</v>
      </c>
      <c r="K3132" s="117" t="str">
        <f>CONCATENATE(B3132,"105")</f>
        <v>527105</v>
      </c>
      <c r="L3132" s="2">
        <v>1</v>
      </c>
      <c r="M3132" s="2" t="s">
        <v>84</v>
      </c>
      <c r="N3132" s="2" t="s">
        <v>84</v>
      </c>
      <c r="O3132" s="2" t="s">
        <v>841</v>
      </c>
      <c r="P3132" s="2" t="s">
        <v>2625</v>
      </c>
    </row>
    <row r="3133" spans="1:16" ht="22" customHeight="1" x14ac:dyDescent="0.15">
      <c r="A3133" s="10" t="str">
        <f t="shared" si="479"/>
        <v>527_10_6_10_polygon</v>
      </c>
      <c r="B3133" s="2">
        <v>527</v>
      </c>
      <c r="C3133" s="30" t="str">
        <f>VLOOKUP(B3133,gachas!A:C,3)</f>
        <v>アビリティピックアップ（プロテクトブレイク）</v>
      </c>
      <c r="D3133" s="21">
        <v>10</v>
      </c>
      <c r="E3133" s="2">
        <f t="shared" si="482"/>
        <v>6</v>
      </c>
      <c r="F3133" s="2">
        <v>10</v>
      </c>
      <c r="G3133" s="3" t="s">
        <v>22</v>
      </c>
      <c r="H3133" s="2">
        <v>25</v>
      </c>
      <c r="I3133" s="114" t="str">
        <f t="shared" si="481"/>
        <v>527100</v>
      </c>
      <c r="J3133" s="112" t="s">
        <v>84</v>
      </c>
      <c r="K3133" s="2" t="s">
        <v>84</v>
      </c>
      <c r="L3133" s="2">
        <v>0</v>
      </c>
      <c r="M3133" s="2" t="s">
        <v>84</v>
      </c>
      <c r="N3133" s="2" t="s">
        <v>84</v>
      </c>
      <c r="O3133" s="2" t="s">
        <v>841</v>
      </c>
      <c r="P3133" s="59" t="s">
        <v>1783</v>
      </c>
    </row>
    <row r="3134" spans="1:16" ht="22" customHeight="1" x14ac:dyDescent="0.15">
      <c r="A3134" s="10" t="str">
        <f t="shared" si="479"/>
        <v>527_10_7_10_polygon</v>
      </c>
      <c r="B3134" s="2">
        <v>527</v>
      </c>
      <c r="C3134" s="30" t="str">
        <f>VLOOKUP(B3134,gachas!A:C,3)</f>
        <v>アビリティピックアップ（プロテクトブレイク）</v>
      </c>
      <c r="D3134" s="21">
        <v>10</v>
      </c>
      <c r="E3134" s="2">
        <f t="shared" si="482"/>
        <v>7</v>
      </c>
      <c r="F3134" s="2">
        <v>10</v>
      </c>
      <c r="G3134" s="3" t="s">
        <v>22</v>
      </c>
      <c r="H3134" s="2">
        <v>50</v>
      </c>
      <c r="I3134" s="114" t="str">
        <f t="shared" si="481"/>
        <v>527100</v>
      </c>
      <c r="J3134" s="112" t="s">
        <v>84</v>
      </c>
      <c r="K3134" s="2" t="s">
        <v>84</v>
      </c>
      <c r="L3134" s="2">
        <v>0</v>
      </c>
      <c r="M3134" s="2" t="s">
        <v>84</v>
      </c>
      <c r="N3134" s="2" t="s">
        <v>84</v>
      </c>
      <c r="O3134" s="2" t="s">
        <v>841</v>
      </c>
      <c r="P3134" s="2" t="s">
        <v>143</v>
      </c>
    </row>
    <row r="3135" spans="1:16" ht="22" customHeight="1" x14ac:dyDescent="0.15">
      <c r="A3135" s="10" t="str">
        <f t="shared" si="479"/>
        <v>527_10_8_10_polygon</v>
      </c>
      <c r="B3135" s="2">
        <v>527</v>
      </c>
      <c r="C3135" s="30" t="str">
        <f>VLOOKUP(B3135,gachas!A:C,3)</f>
        <v>アビリティピックアップ（プロテクトブレイク）</v>
      </c>
      <c r="D3135" s="21">
        <v>10</v>
      </c>
      <c r="E3135" s="2">
        <f t="shared" si="482"/>
        <v>8</v>
      </c>
      <c r="F3135" s="2">
        <v>10</v>
      </c>
      <c r="G3135" s="3" t="s">
        <v>22</v>
      </c>
      <c r="H3135" s="2">
        <v>50</v>
      </c>
      <c r="I3135" s="114" t="str">
        <f t="shared" si="481"/>
        <v>527100</v>
      </c>
      <c r="J3135" s="112" t="s">
        <v>84</v>
      </c>
      <c r="K3135" s="2" t="s">
        <v>84</v>
      </c>
      <c r="L3135" s="2">
        <v>0</v>
      </c>
      <c r="M3135" s="2" t="s">
        <v>84</v>
      </c>
      <c r="N3135" s="2" t="s">
        <v>84</v>
      </c>
      <c r="O3135" s="2" t="s">
        <v>841</v>
      </c>
      <c r="P3135" s="2" t="s">
        <v>143</v>
      </c>
    </row>
    <row r="3136" spans="1:16" ht="22" customHeight="1" x14ac:dyDescent="0.15">
      <c r="A3136" s="10" t="str">
        <f t="shared" si="479"/>
        <v>527_10_9_10_polygon</v>
      </c>
      <c r="B3136" s="2">
        <v>527</v>
      </c>
      <c r="C3136" s="30" t="str">
        <f>VLOOKUP(B3136,gachas!A:C,3)</f>
        <v>アビリティピックアップ（プロテクトブレイク）</v>
      </c>
      <c r="D3136" s="21">
        <v>10</v>
      </c>
      <c r="E3136" s="2">
        <f t="shared" si="482"/>
        <v>9</v>
      </c>
      <c r="F3136" s="2">
        <v>10</v>
      </c>
      <c r="G3136" s="3" t="s">
        <v>22</v>
      </c>
      <c r="H3136" s="2">
        <v>50</v>
      </c>
      <c r="I3136" s="114" t="str">
        <f t="shared" si="481"/>
        <v>527100</v>
      </c>
      <c r="J3136" s="112" t="s">
        <v>84</v>
      </c>
      <c r="K3136" s="2" t="s">
        <v>84</v>
      </c>
      <c r="L3136" s="2">
        <v>0</v>
      </c>
      <c r="M3136" s="2" t="s">
        <v>84</v>
      </c>
      <c r="N3136" s="2" t="s">
        <v>84</v>
      </c>
      <c r="O3136" s="2" t="s">
        <v>841</v>
      </c>
      <c r="P3136" s="2" t="s">
        <v>143</v>
      </c>
    </row>
    <row r="3137" spans="1:16" ht="22" customHeight="1" x14ac:dyDescent="0.15">
      <c r="A3137" s="10" t="str">
        <f t="shared" si="479"/>
        <v>527_10_10_10_polygon</v>
      </c>
      <c r="B3137" s="2">
        <v>527</v>
      </c>
      <c r="C3137" s="30" t="str">
        <f>VLOOKUP(B3137,gachas!A:C,3)</f>
        <v>アビリティピックアップ（プロテクトブレイク）</v>
      </c>
      <c r="D3137" s="21">
        <v>10</v>
      </c>
      <c r="E3137" s="2">
        <f t="shared" si="482"/>
        <v>10</v>
      </c>
      <c r="F3137" s="2">
        <v>10</v>
      </c>
      <c r="G3137" s="3" t="s">
        <v>22</v>
      </c>
      <c r="H3137" s="2">
        <v>50</v>
      </c>
      <c r="I3137" s="114" t="str">
        <f t="shared" si="481"/>
        <v>527100</v>
      </c>
      <c r="J3137" s="112" t="s">
        <v>84</v>
      </c>
      <c r="K3137" s="117" t="str">
        <f>CONCATENATE(B3137,"105")</f>
        <v>527105</v>
      </c>
      <c r="L3137" s="2">
        <v>1</v>
      </c>
      <c r="M3137" s="2" t="s">
        <v>84</v>
      </c>
      <c r="N3137" s="2" t="s">
        <v>84</v>
      </c>
      <c r="O3137" s="2" t="s">
        <v>841</v>
      </c>
      <c r="P3137" s="2" t="s">
        <v>2625</v>
      </c>
    </row>
    <row r="3138" spans="1:16" ht="22" customHeight="1" x14ac:dyDescent="0.15">
      <c r="A3138" s="10" t="str">
        <f t="shared" si="479"/>
        <v>527_10_11_10_polygon</v>
      </c>
      <c r="B3138" s="2">
        <v>527</v>
      </c>
      <c r="C3138" s="30" t="str">
        <f>VLOOKUP(B3138,gachas!A:C,3)</f>
        <v>アビリティピックアップ（プロテクトブレイク）</v>
      </c>
      <c r="D3138" s="21">
        <v>10</v>
      </c>
      <c r="E3138" s="2">
        <f t="shared" si="482"/>
        <v>11</v>
      </c>
      <c r="F3138" s="2">
        <v>10</v>
      </c>
      <c r="G3138" s="3" t="s">
        <v>22</v>
      </c>
      <c r="H3138" s="2">
        <v>25</v>
      </c>
      <c r="I3138" s="114" t="str">
        <f t="shared" si="481"/>
        <v>527100</v>
      </c>
      <c r="J3138" s="112" t="s">
        <v>84</v>
      </c>
      <c r="K3138" s="2" t="s">
        <v>84</v>
      </c>
      <c r="L3138" s="2">
        <v>0</v>
      </c>
      <c r="M3138" s="2" t="s">
        <v>84</v>
      </c>
      <c r="N3138" s="2" t="s">
        <v>84</v>
      </c>
      <c r="O3138" s="2" t="s">
        <v>841</v>
      </c>
      <c r="P3138" s="59" t="s">
        <v>1783</v>
      </c>
    </row>
    <row r="3139" spans="1:16" ht="22" customHeight="1" x14ac:dyDescent="0.15">
      <c r="A3139" s="10" t="str">
        <f t="shared" si="479"/>
        <v>527_10_12_10_polygon</v>
      </c>
      <c r="B3139" s="2">
        <v>527</v>
      </c>
      <c r="C3139" s="30" t="str">
        <f>VLOOKUP(B3139,gachas!A:C,3)</f>
        <v>アビリティピックアップ（プロテクトブレイク）</v>
      </c>
      <c r="D3139" s="21">
        <v>10</v>
      </c>
      <c r="E3139" s="2">
        <f t="shared" si="482"/>
        <v>12</v>
      </c>
      <c r="F3139" s="2">
        <v>10</v>
      </c>
      <c r="G3139" s="3" t="s">
        <v>22</v>
      </c>
      <c r="H3139" s="2">
        <v>50</v>
      </c>
      <c r="I3139" s="114" t="str">
        <f t="shared" si="481"/>
        <v>527100</v>
      </c>
      <c r="J3139" s="112" t="s">
        <v>84</v>
      </c>
      <c r="K3139" s="2" t="s">
        <v>84</v>
      </c>
      <c r="L3139" s="2">
        <v>0</v>
      </c>
      <c r="M3139" s="2" t="s">
        <v>84</v>
      </c>
      <c r="N3139" s="2" t="s">
        <v>84</v>
      </c>
      <c r="O3139" s="2" t="s">
        <v>841</v>
      </c>
      <c r="P3139" s="2" t="s">
        <v>143</v>
      </c>
    </row>
    <row r="3140" spans="1:16" ht="22" customHeight="1" x14ac:dyDescent="0.15">
      <c r="A3140" s="10" t="str">
        <f t="shared" si="479"/>
        <v>527_10_13_10_polygon</v>
      </c>
      <c r="B3140" s="2">
        <v>527</v>
      </c>
      <c r="C3140" s="30" t="str">
        <f>VLOOKUP(B3140,gachas!A:C,3)</f>
        <v>アビリティピックアップ（プロテクトブレイク）</v>
      </c>
      <c r="D3140" s="21">
        <v>10</v>
      </c>
      <c r="E3140" s="2">
        <f t="shared" si="482"/>
        <v>13</v>
      </c>
      <c r="F3140" s="2">
        <v>10</v>
      </c>
      <c r="G3140" s="3" t="s">
        <v>22</v>
      </c>
      <c r="H3140" s="2">
        <v>50</v>
      </c>
      <c r="I3140" s="114" t="str">
        <f t="shared" si="481"/>
        <v>527100</v>
      </c>
      <c r="J3140" s="112" t="s">
        <v>84</v>
      </c>
      <c r="K3140" s="2" t="s">
        <v>84</v>
      </c>
      <c r="L3140" s="2">
        <v>0</v>
      </c>
      <c r="M3140" s="2" t="s">
        <v>84</v>
      </c>
      <c r="N3140" s="2" t="s">
        <v>84</v>
      </c>
      <c r="O3140" s="2" t="s">
        <v>841</v>
      </c>
      <c r="P3140" s="2" t="s">
        <v>143</v>
      </c>
    </row>
    <row r="3141" spans="1:16" ht="22" customHeight="1" x14ac:dyDescent="0.15">
      <c r="A3141" s="10" t="str">
        <f t="shared" si="479"/>
        <v>527_10_14_10_polygon</v>
      </c>
      <c r="B3141" s="2">
        <v>527</v>
      </c>
      <c r="C3141" s="30" t="str">
        <f>VLOOKUP(B3141,gachas!A:C,3)</f>
        <v>アビリティピックアップ（プロテクトブレイク）</v>
      </c>
      <c r="D3141" s="21">
        <v>10</v>
      </c>
      <c r="E3141" s="2">
        <f t="shared" si="482"/>
        <v>14</v>
      </c>
      <c r="F3141" s="2">
        <v>10</v>
      </c>
      <c r="G3141" s="3" t="s">
        <v>22</v>
      </c>
      <c r="H3141" s="2">
        <v>50</v>
      </c>
      <c r="I3141" s="114" t="str">
        <f t="shared" si="481"/>
        <v>527100</v>
      </c>
      <c r="J3141" s="112" t="s">
        <v>84</v>
      </c>
      <c r="K3141" s="2" t="s">
        <v>84</v>
      </c>
      <c r="L3141" s="2">
        <v>0</v>
      </c>
      <c r="M3141" s="2" t="s">
        <v>84</v>
      </c>
      <c r="N3141" s="2" t="s">
        <v>84</v>
      </c>
      <c r="O3141" s="2" t="s">
        <v>841</v>
      </c>
      <c r="P3141" s="2" t="s">
        <v>143</v>
      </c>
    </row>
    <row r="3142" spans="1:16" ht="22" customHeight="1" x14ac:dyDescent="0.15">
      <c r="A3142" s="10" t="str">
        <f t="shared" si="479"/>
        <v>527_10_15_10_polygon</v>
      </c>
      <c r="B3142" s="2">
        <v>527</v>
      </c>
      <c r="C3142" s="30" t="str">
        <f>VLOOKUP(B3142,gachas!A:C,3)</f>
        <v>アビリティピックアップ（プロテクトブレイク）</v>
      </c>
      <c r="D3142" s="21">
        <v>10</v>
      </c>
      <c r="E3142" s="2">
        <f t="shared" si="482"/>
        <v>15</v>
      </c>
      <c r="F3142" s="2">
        <v>10</v>
      </c>
      <c r="G3142" s="3" t="s">
        <v>22</v>
      </c>
      <c r="H3142" s="2">
        <v>50</v>
      </c>
      <c r="I3142" s="114" t="str">
        <f t="shared" si="481"/>
        <v>527100</v>
      </c>
      <c r="J3142" s="112" t="s">
        <v>84</v>
      </c>
      <c r="K3142" s="117" t="str">
        <f>CONCATENATE(B3142,"105")</f>
        <v>527105</v>
      </c>
      <c r="L3142" s="2">
        <v>1</v>
      </c>
      <c r="M3142" s="2" t="s">
        <v>84</v>
      </c>
      <c r="N3142" s="2" t="s">
        <v>84</v>
      </c>
      <c r="O3142" s="2" t="s">
        <v>841</v>
      </c>
      <c r="P3142" s="2" t="s">
        <v>2625</v>
      </c>
    </row>
    <row r="3143" spans="1:16" ht="22" customHeight="1" x14ac:dyDescent="0.15">
      <c r="A3143" s="10" t="str">
        <f t="shared" si="479"/>
        <v>527_10_16_10_polygon</v>
      </c>
      <c r="B3143" s="2">
        <v>527</v>
      </c>
      <c r="C3143" s="30" t="str">
        <f>VLOOKUP(B3143,gachas!A:C,3)</f>
        <v>アビリティピックアップ（プロテクトブレイク）</v>
      </c>
      <c r="D3143" s="21">
        <v>10</v>
      </c>
      <c r="E3143" s="2">
        <f t="shared" si="482"/>
        <v>16</v>
      </c>
      <c r="F3143" s="2">
        <v>10</v>
      </c>
      <c r="G3143" s="3" t="s">
        <v>22</v>
      </c>
      <c r="H3143" s="2">
        <v>25</v>
      </c>
      <c r="I3143" s="114" t="str">
        <f t="shared" si="481"/>
        <v>527100</v>
      </c>
      <c r="J3143" s="112" t="s">
        <v>84</v>
      </c>
      <c r="K3143" s="2" t="s">
        <v>84</v>
      </c>
      <c r="L3143" s="2">
        <v>0</v>
      </c>
      <c r="M3143" s="2" t="s">
        <v>84</v>
      </c>
      <c r="N3143" s="2" t="s">
        <v>84</v>
      </c>
      <c r="O3143" s="2" t="s">
        <v>841</v>
      </c>
      <c r="P3143" s="59" t="s">
        <v>1783</v>
      </c>
    </row>
    <row r="3144" spans="1:16" ht="22" customHeight="1" x14ac:dyDescent="0.15">
      <c r="A3144" s="10" t="str">
        <f t="shared" si="479"/>
        <v>527_10_17_10_polygon</v>
      </c>
      <c r="B3144" s="2">
        <v>527</v>
      </c>
      <c r="C3144" s="30" t="str">
        <f>VLOOKUP(B3144,gachas!A:C,3)</f>
        <v>アビリティピックアップ（プロテクトブレイク）</v>
      </c>
      <c r="D3144" s="21">
        <v>10</v>
      </c>
      <c r="E3144" s="2">
        <f t="shared" si="482"/>
        <v>17</v>
      </c>
      <c r="F3144" s="2">
        <v>10</v>
      </c>
      <c r="G3144" s="3" t="s">
        <v>22</v>
      </c>
      <c r="H3144" s="2">
        <v>50</v>
      </c>
      <c r="I3144" s="114" t="str">
        <f t="shared" si="481"/>
        <v>527100</v>
      </c>
      <c r="J3144" s="112" t="s">
        <v>84</v>
      </c>
      <c r="K3144" s="2" t="s">
        <v>84</v>
      </c>
      <c r="L3144" s="2">
        <v>0</v>
      </c>
      <c r="M3144" s="2" t="s">
        <v>84</v>
      </c>
      <c r="N3144" s="2" t="s">
        <v>84</v>
      </c>
      <c r="O3144" s="2" t="s">
        <v>841</v>
      </c>
      <c r="P3144" s="2" t="s">
        <v>143</v>
      </c>
    </row>
    <row r="3145" spans="1:16" ht="22" customHeight="1" x14ac:dyDescent="0.15">
      <c r="A3145" s="10" t="str">
        <f t="shared" si="479"/>
        <v>527_10_18_10_polygon</v>
      </c>
      <c r="B3145" s="2">
        <v>527</v>
      </c>
      <c r="C3145" s="30" t="str">
        <f>VLOOKUP(B3145,gachas!A:C,3)</f>
        <v>アビリティピックアップ（プロテクトブレイク）</v>
      </c>
      <c r="D3145" s="21">
        <v>10</v>
      </c>
      <c r="E3145" s="2">
        <f t="shared" si="482"/>
        <v>18</v>
      </c>
      <c r="F3145" s="2">
        <v>10</v>
      </c>
      <c r="G3145" s="3" t="s">
        <v>22</v>
      </c>
      <c r="H3145" s="2">
        <v>50</v>
      </c>
      <c r="I3145" s="114" t="str">
        <f t="shared" si="481"/>
        <v>527100</v>
      </c>
      <c r="J3145" s="112" t="s">
        <v>84</v>
      </c>
      <c r="K3145" s="2" t="s">
        <v>84</v>
      </c>
      <c r="L3145" s="2">
        <v>0</v>
      </c>
      <c r="M3145" s="2" t="s">
        <v>84</v>
      </c>
      <c r="N3145" s="2" t="s">
        <v>84</v>
      </c>
      <c r="O3145" s="2" t="s">
        <v>841</v>
      </c>
      <c r="P3145" s="2" t="s">
        <v>143</v>
      </c>
    </row>
    <row r="3146" spans="1:16" ht="22" customHeight="1" x14ac:dyDescent="0.15">
      <c r="A3146" s="10" t="str">
        <f t="shared" si="479"/>
        <v>527_10_19_10_polygon</v>
      </c>
      <c r="B3146" s="2">
        <v>527</v>
      </c>
      <c r="C3146" s="30" t="str">
        <f>VLOOKUP(B3146,gachas!A:C,3)</f>
        <v>アビリティピックアップ（プロテクトブレイク）</v>
      </c>
      <c r="D3146" s="21">
        <v>10</v>
      </c>
      <c r="E3146" s="2">
        <f t="shared" si="482"/>
        <v>19</v>
      </c>
      <c r="F3146" s="2">
        <v>10</v>
      </c>
      <c r="G3146" s="3" t="s">
        <v>22</v>
      </c>
      <c r="H3146" s="2">
        <v>50</v>
      </c>
      <c r="I3146" s="114" t="str">
        <f t="shared" si="481"/>
        <v>527100</v>
      </c>
      <c r="J3146" s="112" t="s">
        <v>84</v>
      </c>
      <c r="K3146" s="2" t="s">
        <v>84</v>
      </c>
      <c r="L3146" s="2">
        <v>0</v>
      </c>
      <c r="M3146" s="2" t="s">
        <v>84</v>
      </c>
      <c r="N3146" s="2" t="s">
        <v>84</v>
      </c>
      <c r="O3146" s="2" t="s">
        <v>841</v>
      </c>
      <c r="P3146" s="2" t="s">
        <v>143</v>
      </c>
    </row>
    <row r="3147" spans="1:16" ht="22" customHeight="1" x14ac:dyDescent="0.15">
      <c r="A3147" s="10" t="str">
        <f t="shared" si="479"/>
        <v>527_10_20_10_polygon</v>
      </c>
      <c r="B3147" s="2">
        <v>527</v>
      </c>
      <c r="C3147" s="30" t="str">
        <f>VLOOKUP(B3147,gachas!A:C,3)</f>
        <v>アビリティピックアップ（プロテクトブレイク）</v>
      </c>
      <c r="D3147" s="21">
        <v>10</v>
      </c>
      <c r="E3147" s="2">
        <f t="shared" si="482"/>
        <v>20</v>
      </c>
      <c r="F3147" s="2">
        <v>10</v>
      </c>
      <c r="G3147" s="3" t="s">
        <v>22</v>
      </c>
      <c r="H3147" s="2">
        <v>50</v>
      </c>
      <c r="I3147" s="114" t="str">
        <f t="shared" si="481"/>
        <v>527100</v>
      </c>
      <c r="J3147" s="112" t="s">
        <v>84</v>
      </c>
      <c r="K3147" s="117" t="str">
        <f>CONCATENATE(B3147,"105")</f>
        <v>527105</v>
      </c>
      <c r="L3147" s="2">
        <v>1</v>
      </c>
      <c r="M3147" s="2" t="s">
        <v>84</v>
      </c>
      <c r="N3147" s="2" t="s">
        <v>84</v>
      </c>
      <c r="O3147" s="2" t="s">
        <v>841</v>
      </c>
      <c r="P3147" s="2" t="s">
        <v>2625</v>
      </c>
    </row>
    <row r="3148" spans="1:16" ht="22" customHeight="1" x14ac:dyDescent="0.15">
      <c r="A3148" s="10" t="str">
        <f t="shared" si="479"/>
        <v>527_10_21_10_polygon</v>
      </c>
      <c r="B3148" s="2">
        <v>527</v>
      </c>
      <c r="C3148" s="30" t="str">
        <f>VLOOKUP(B3148,gachas!A:C,3)</f>
        <v>アビリティピックアップ（プロテクトブレイク）</v>
      </c>
      <c r="D3148" s="21">
        <v>10</v>
      </c>
      <c r="E3148" s="2">
        <f t="shared" si="482"/>
        <v>21</v>
      </c>
      <c r="F3148" s="2">
        <v>10</v>
      </c>
      <c r="G3148" s="3" t="s">
        <v>22</v>
      </c>
      <c r="H3148" s="2">
        <v>25</v>
      </c>
      <c r="I3148" s="114" t="str">
        <f t="shared" si="481"/>
        <v>527100</v>
      </c>
      <c r="J3148" s="112" t="s">
        <v>84</v>
      </c>
      <c r="K3148" s="2" t="s">
        <v>84</v>
      </c>
      <c r="L3148" s="2">
        <v>0</v>
      </c>
      <c r="M3148" s="2" t="s">
        <v>84</v>
      </c>
      <c r="N3148" s="2" t="s">
        <v>84</v>
      </c>
      <c r="O3148" s="2" t="s">
        <v>841</v>
      </c>
      <c r="P3148" s="59" t="s">
        <v>1783</v>
      </c>
    </row>
    <row r="3149" spans="1:16" ht="22" customHeight="1" x14ac:dyDescent="0.15">
      <c r="A3149" s="10" t="str">
        <f t="shared" si="479"/>
        <v>527_10_22_10_polygon</v>
      </c>
      <c r="B3149" s="2">
        <v>527</v>
      </c>
      <c r="C3149" s="30" t="str">
        <f>VLOOKUP(B3149,gachas!A:C,3)</f>
        <v>アビリティピックアップ（プロテクトブレイク）</v>
      </c>
      <c r="D3149" s="21">
        <v>10</v>
      </c>
      <c r="E3149" s="2">
        <f t="shared" si="482"/>
        <v>22</v>
      </c>
      <c r="F3149" s="2">
        <v>10</v>
      </c>
      <c r="G3149" s="3" t="s">
        <v>22</v>
      </c>
      <c r="H3149" s="2">
        <v>50</v>
      </c>
      <c r="I3149" s="114" t="str">
        <f t="shared" si="481"/>
        <v>527100</v>
      </c>
      <c r="J3149" s="112" t="s">
        <v>84</v>
      </c>
      <c r="K3149" s="2" t="s">
        <v>84</v>
      </c>
      <c r="L3149" s="2">
        <v>0</v>
      </c>
      <c r="M3149" s="2" t="s">
        <v>84</v>
      </c>
      <c r="N3149" s="2" t="s">
        <v>84</v>
      </c>
      <c r="O3149" s="2" t="s">
        <v>841</v>
      </c>
      <c r="P3149" s="2" t="s">
        <v>143</v>
      </c>
    </row>
    <row r="3150" spans="1:16" ht="22" customHeight="1" x14ac:dyDescent="0.15">
      <c r="A3150" s="10" t="str">
        <f t="shared" si="479"/>
        <v>527_10_23_10_polygon</v>
      </c>
      <c r="B3150" s="2">
        <v>527</v>
      </c>
      <c r="C3150" s="30" t="str">
        <f>VLOOKUP(B3150,gachas!A:C,3)</f>
        <v>アビリティピックアップ（プロテクトブレイク）</v>
      </c>
      <c r="D3150" s="21">
        <v>10</v>
      </c>
      <c r="E3150" s="2">
        <f t="shared" si="482"/>
        <v>23</v>
      </c>
      <c r="F3150" s="2">
        <v>10</v>
      </c>
      <c r="G3150" s="3" t="s">
        <v>22</v>
      </c>
      <c r="H3150" s="2">
        <v>50</v>
      </c>
      <c r="I3150" s="114" t="str">
        <f t="shared" si="481"/>
        <v>527100</v>
      </c>
      <c r="J3150" s="112" t="s">
        <v>84</v>
      </c>
      <c r="K3150" s="2" t="s">
        <v>84</v>
      </c>
      <c r="L3150" s="2">
        <v>0</v>
      </c>
      <c r="M3150" s="2" t="s">
        <v>84</v>
      </c>
      <c r="N3150" s="2" t="s">
        <v>84</v>
      </c>
      <c r="O3150" s="2" t="s">
        <v>841</v>
      </c>
      <c r="P3150" s="2" t="s">
        <v>143</v>
      </c>
    </row>
    <row r="3151" spans="1:16" ht="22" customHeight="1" x14ac:dyDescent="0.15">
      <c r="A3151" s="10" t="str">
        <f t="shared" si="479"/>
        <v>527_10_24_10_polygon</v>
      </c>
      <c r="B3151" s="2">
        <v>527</v>
      </c>
      <c r="C3151" s="30" t="str">
        <f>VLOOKUP(B3151,gachas!A:C,3)</f>
        <v>アビリティピックアップ（プロテクトブレイク）</v>
      </c>
      <c r="D3151" s="21">
        <v>10</v>
      </c>
      <c r="E3151" s="2">
        <f t="shared" si="482"/>
        <v>24</v>
      </c>
      <c r="F3151" s="2">
        <v>10</v>
      </c>
      <c r="G3151" s="3" t="s">
        <v>22</v>
      </c>
      <c r="H3151" s="2">
        <v>50</v>
      </c>
      <c r="I3151" s="114" t="str">
        <f t="shared" si="481"/>
        <v>527100</v>
      </c>
      <c r="J3151" s="112" t="s">
        <v>84</v>
      </c>
      <c r="K3151" s="2" t="s">
        <v>84</v>
      </c>
      <c r="L3151" s="2">
        <v>0</v>
      </c>
      <c r="M3151" s="2" t="s">
        <v>84</v>
      </c>
      <c r="N3151" s="2" t="s">
        <v>84</v>
      </c>
      <c r="O3151" s="2" t="s">
        <v>841</v>
      </c>
      <c r="P3151" s="2" t="s">
        <v>143</v>
      </c>
    </row>
    <row r="3152" spans="1:16" ht="22" customHeight="1" x14ac:dyDescent="0.15">
      <c r="A3152" s="10" t="str">
        <f t="shared" si="479"/>
        <v>527_10_25_10_polygon</v>
      </c>
      <c r="B3152" s="2">
        <v>527</v>
      </c>
      <c r="C3152" s="30" t="str">
        <f>VLOOKUP(B3152,gachas!A:C,3)</f>
        <v>アビリティピックアップ（プロテクトブレイク）</v>
      </c>
      <c r="D3152" s="21">
        <v>10</v>
      </c>
      <c r="E3152" s="2">
        <f t="shared" si="482"/>
        <v>25</v>
      </c>
      <c r="F3152" s="2">
        <v>10</v>
      </c>
      <c r="G3152" s="3" t="s">
        <v>22</v>
      </c>
      <c r="H3152" s="2">
        <v>50</v>
      </c>
      <c r="I3152" s="114" t="str">
        <f t="shared" si="481"/>
        <v>527100</v>
      </c>
      <c r="J3152" s="112" t="s">
        <v>84</v>
      </c>
      <c r="K3152" s="117" t="str">
        <f>CONCATENATE(B3152,"105")</f>
        <v>527105</v>
      </c>
      <c r="L3152" s="2">
        <v>1</v>
      </c>
      <c r="M3152" s="2" t="s">
        <v>84</v>
      </c>
      <c r="N3152" s="2" t="s">
        <v>84</v>
      </c>
      <c r="O3152" s="2" t="s">
        <v>841</v>
      </c>
      <c r="P3152" s="2" t="s">
        <v>2625</v>
      </c>
    </row>
    <row r="3153" spans="1:16" ht="22" customHeight="1" x14ac:dyDescent="0.15">
      <c r="A3153" s="10" t="str">
        <f t="shared" si="479"/>
        <v>527_10_26_10_polygon</v>
      </c>
      <c r="B3153" s="2">
        <v>527</v>
      </c>
      <c r="C3153" s="30" t="str">
        <f>VLOOKUP(B3153,gachas!A:C,3)</f>
        <v>アビリティピックアップ（プロテクトブレイク）</v>
      </c>
      <c r="D3153" s="21">
        <v>10</v>
      </c>
      <c r="E3153" s="2">
        <f t="shared" si="482"/>
        <v>26</v>
      </c>
      <c r="F3153" s="2">
        <v>10</v>
      </c>
      <c r="G3153" s="3" t="s">
        <v>22</v>
      </c>
      <c r="H3153" s="2">
        <v>25</v>
      </c>
      <c r="I3153" s="114" t="str">
        <f t="shared" si="481"/>
        <v>527100</v>
      </c>
      <c r="J3153" s="112" t="s">
        <v>84</v>
      </c>
      <c r="K3153" s="2" t="s">
        <v>84</v>
      </c>
      <c r="L3153" s="2">
        <v>0</v>
      </c>
      <c r="M3153" s="2" t="s">
        <v>84</v>
      </c>
      <c r="N3153" s="2" t="s">
        <v>84</v>
      </c>
      <c r="O3153" s="2" t="s">
        <v>841</v>
      </c>
      <c r="P3153" s="59" t="s">
        <v>1783</v>
      </c>
    </row>
    <row r="3154" spans="1:16" ht="22" customHeight="1" x14ac:dyDescent="0.15">
      <c r="A3154" s="10" t="str">
        <f t="shared" si="479"/>
        <v>527_10_27_10_polygon</v>
      </c>
      <c r="B3154" s="2">
        <v>527</v>
      </c>
      <c r="C3154" s="30" t="str">
        <f>VLOOKUP(B3154,gachas!A:C,3)</f>
        <v>アビリティピックアップ（プロテクトブレイク）</v>
      </c>
      <c r="D3154" s="21">
        <v>10</v>
      </c>
      <c r="E3154" s="2">
        <f t="shared" si="482"/>
        <v>27</v>
      </c>
      <c r="F3154" s="2">
        <v>10</v>
      </c>
      <c r="G3154" s="3" t="s">
        <v>22</v>
      </c>
      <c r="H3154" s="2">
        <v>50</v>
      </c>
      <c r="I3154" s="114" t="str">
        <f t="shared" si="481"/>
        <v>527100</v>
      </c>
      <c r="J3154" s="112" t="s">
        <v>84</v>
      </c>
      <c r="K3154" s="2" t="s">
        <v>84</v>
      </c>
      <c r="L3154" s="2">
        <v>0</v>
      </c>
      <c r="M3154" s="2" t="s">
        <v>84</v>
      </c>
      <c r="N3154" s="2" t="s">
        <v>84</v>
      </c>
      <c r="O3154" s="2" t="s">
        <v>841</v>
      </c>
      <c r="P3154" s="2" t="s">
        <v>143</v>
      </c>
    </row>
    <row r="3155" spans="1:16" ht="22" customHeight="1" x14ac:dyDescent="0.15">
      <c r="A3155" s="10" t="str">
        <f t="shared" si="479"/>
        <v>527_10_28_10_polygon</v>
      </c>
      <c r="B3155" s="2">
        <v>527</v>
      </c>
      <c r="C3155" s="30" t="str">
        <f>VLOOKUP(B3155,gachas!A:C,3)</f>
        <v>アビリティピックアップ（プロテクトブレイク）</v>
      </c>
      <c r="D3155" s="21">
        <v>10</v>
      </c>
      <c r="E3155" s="2">
        <f t="shared" si="482"/>
        <v>28</v>
      </c>
      <c r="F3155" s="2">
        <v>10</v>
      </c>
      <c r="G3155" s="3" t="s">
        <v>22</v>
      </c>
      <c r="H3155" s="2">
        <v>50</v>
      </c>
      <c r="I3155" s="114" t="str">
        <f t="shared" si="481"/>
        <v>527100</v>
      </c>
      <c r="J3155" s="112" t="s">
        <v>84</v>
      </c>
      <c r="K3155" s="2" t="s">
        <v>84</v>
      </c>
      <c r="L3155" s="2">
        <v>0</v>
      </c>
      <c r="M3155" s="2" t="s">
        <v>84</v>
      </c>
      <c r="N3155" s="2" t="s">
        <v>84</v>
      </c>
      <c r="O3155" s="2" t="s">
        <v>841</v>
      </c>
      <c r="P3155" s="2" t="s">
        <v>143</v>
      </c>
    </row>
    <row r="3156" spans="1:16" ht="22" customHeight="1" x14ac:dyDescent="0.15">
      <c r="A3156" s="10" t="str">
        <f t="shared" si="479"/>
        <v>527_10_29_10_polygon</v>
      </c>
      <c r="B3156" s="2">
        <v>527</v>
      </c>
      <c r="C3156" s="30" t="str">
        <f>VLOOKUP(B3156,gachas!A:C,3)</f>
        <v>アビリティピックアップ（プロテクトブレイク）</v>
      </c>
      <c r="D3156" s="21">
        <v>10</v>
      </c>
      <c r="E3156" s="2">
        <f t="shared" si="482"/>
        <v>29</v>
      </c>
      <c r="F3156" s="2">
        <v>10</v>
      </c>
      <c r="G3156" s="3" t="s">
        <v>22</v>
      </c>
      <c r="H3156" s="2">
        <v>50</v>
      </c>
      <c r="I3156" s="114" t="str">
        <f t="shared" si="481"/>
        <v>527100</v>
      </c>
      <c r="J3156" s="112" t="s">
        <v>84</v>
      </c>
      <c r="K3156" s="2" t="s">
        <v>84</v>
      </c>
      <c r="L3156" s="2">
        <v>0</v>
      </c>
      <c r="M3156" s="2" t="s">
        <v>84</v>
      </c>
      <c r="N3156" s="2" t="s">
        <v>84</v>
      </c>
      <c r="O3156" s="2" t="s">
        <v>841</v>
      </c>
      <c r="P3156" s="2" t="s">
        <v>143</v>
      </c>
    </row>
    <row r="3157" spans="1:16" ht="22" customHeight="1" x14ac:dyDescent="0.15">
      <c r="A3157" s="10" t="str">
        <f t="shared" si="479"/>
        <v>527_10_30_10_polygon</v>
      </c>
      <c r="B3157" s="2">
        <v>527</v>
      </c>
      <c r="C3157" s="30" t="str">
        <f>VLOOKUP(B3157,gachas!A:C,3)</f>
        <v>アビリティピックアップ（プロテクトブレイク）</v>
      </c>
      <c r="D3157" s="21">
        <v>10</v>
      </c>
      <c r="E3157" s="2">
        <f t="shared" si="482"/>
        <v>30</v>
      </c>
      <c r="F3157" s="2">
        <v>10</v>
      </c>
      <c r="G3157" s="3" t="s">
        <v>22</v>
      </c>
      <c r="H3157" s="2">
        <v>50</v>
      </c>
      <c r="I3157" s="114" t="str">
        <f t="shared" si="481"/>
        <v>527100</v>
      </c>
      <c r="J3157" s="112" t="s">
        <v>84</v>
      </c>
      <c r="K3157" s="117" t="str">
        <f>CONCATENATE(B3157,"105")</f>
        <v>527105</v>
      </c>
      <c r="L3157" s="2">
        <v>1</v>
      </c>
      <c r="M3157" s="2" t="s">
        <v>84</v>
      </c>
      <c r="N3157" s="2" t="s">
        <v>84</v>
      </c>
      <c r="O3157" s="2" t="s">
        <v>841</v>
      </c>
      <c r="P3157" s="2" t="s">
        <v>2625</v>
      </c>
    </row>
    <row r="3158" spans="1:16" ht="22" customHeight="1" x14ac:dyDescent="0.15">
      <c r="A3158" s="10" t="str">
        <f t="shared" si="479"/>
        <v>527_10_31_10_polygon</v>
      </c>
      <c r="B3158" s="2">
        <v>527</v>
      </c>
      <c r="C3158" s="30" t="str">
        <f>VLOOKUP(B3158,gachas!A:C,3)</f>
        <v>アビリティピックアップ（プロテクトブレイク）</v>
      </c>
      <c r="D3158" s="21">
        <v>10</v>
      </c>
      <c r="E3158" s="2">
        <f t="shared" si="482"/>
        <v>31</v>
      </c>
      <c r="F3158" s="2">
        <v>10</v>
      </c>
      <c r="G3158" s="3" t="s">
        <v>22</v>
      </c>
      <c r="H3158" s="2">
        <v>25</v>
      </c>
      <c r="I3158" s="114" t="str">
        <f t="shared" si="481"/>
        <v>527100</v>
      </c>
      <c r="J3158" s="112" t="s">
        <v>84</v>
      </c>
      <c r="K3158" s="2" t="s">
        <v>84</v>
      </c>
      <c r="L3158" s="2">
        <v>0</v>
      </c>
      <c r="M3158" s="2" t="s">
        <v>84</v>
      </c>
      <c r="N3158" s="2" t="s">
        <v>84</v>
      </c>
      <c r="O3158" s="2" t="s">
        <v>841</v>
      </c>
      <c r="P3158" s="59" t="s">
        <v>1783</v>
      </c>
    </row>
    <row r="3159" spans="1:16" ht="22" customHeight="1" x14ac:dyDescent="0.15">
      <c r="A3159" s="10" t="str">
        <f t="shared" si="479"/>
        <v>527_10_32_10_polygon</v>
      </c>
      <c r="B3159" s="2">
        <v>527</v>
      </c>
      <c r="C3159" s="30" t="str">
        <f>VLOOKUP(B3159,gachas!A:C,3)</f>
        <v>アビリティピックアップ（プロテクトブレイク）</v>
      </c>
      <c r="D3159" s="21">
        <v>10</v>
      </c>
      <c r="E3159" s="2">
        <f t="shared" si="482"/>
        <v>32</v>
      </c>
      <c r="F3159" s="2">
        <v>10</v>
      </c>
      <c r="G3159" s="3" t="s">
        <v>22</v>
      </c>
      <c r="H3159" s="2">
        <v>50</v>
      </c>
      <c r="I3159" s="114" t="str">
        <f t="shared" si="481"/>
        <v>527100</v>
      </c>
      <c r="J3159" s="112" t="s">
        <v>84</v>
      </c>
      <c r="K3159" s="2" t="s">
        <v>84</v>
      </c>
      <c r="L3159" s="2">
        <v>0</v>
      </c>
      <c r="M3159" s="2" t="s">
        <v>84</v>
      </c>
      <c r="N3159" s="2" t="s">
        <v>84</v>
      </c>
      <c r="O3159" s="2" t="s">
        <v>841</v>
      </c>
      <c r="P3159" s="2" t="s">
        <v>143</v>
      </c>
    </row>
    <row r="3160" spans="1:16" ht="22" customHeight="1" x14ac:dyDescent="0.15">
      <c r="A3160" s="10" t="str">
        <f t="shared" si="479"/>
        <v>527_10_33_10_polygon</v>
      </c>
      <c r="B3160" s="2">
        <v>527</v>
      </c>
      <c r="C3160" s="30" t="str">
        <f>VLOOKUP(B3160,gachas!A:C,3)</f>
        <v>アビリティピックアップ（プロテクトブレイク）</v>
      </c>
      <c r="D3160" s="21">
        <v>10</v>
      </c>
      <c r="E3160" s="2">
        <f t="shared" si="482"/>
        <v>33</v>
      </c>
      <c r="F3160" s="2">
        <v>10</v>
      </c>
      <c r="G3160" s="3" t="s">
        <v>22</v>
      </c>
      <c r="H3160" s="2">
        <v>50</v>
      </c>
      <c r="I3160" s="114" t="str">
        <f t="shared" si="481"/>
        <v>527100</v>
      </c>
      <c r="J3160" s="112" t="s">
        <v>84</v>
      </c>
      <c r="K3160" s="2" t="s">
        <v>84</v>
      </c>
      <c r="L3160" s="2">
        <v>0</v>
      </c>
      <c r="M3160" s="2" t="s">
        <v>84</v>
      </c>
      <c r="N3160" s="2" t="s">
        <v>84</v>
      </c>
      <c r="O3160" s="2" t="s">
        <v>841</v>
      </c>
      <c r="P3160" s="2" t="s">
        <v>143</v>
      </c>
    </row>
    <row r="3161" spans="1:16" ht="22" customHeight="1" x14ac:dyDescent="0.15">
      <c r="A3161" s="10" t="str">
        <f t="shared" si="479"/>
        <v>527_10_34_10_polygon</v>
      </c>
      <c r="B3161" s="2">
        <v>527</v>
      </c>
      <c r="C3161" s="30" t="str">
        <f>VLOOKUP(B3161,gachas!A:C,3)</f>
        <v>アビリティピックアップ（プロテクトブレイク）</v>
      </c>
      <c r="D3161" s="21">
        <v>10</v>
      </c>
      <c r="E3161" s="2">
        <f t="shared" si="482"/>
        <v>34</v>
      </c>
      <c r="F3161" s="2">
        <v>10</v>
      </c>
      <c r="G3161" s="3" t="s">
        <v>22</v>
      </c>
      <c r="H3161" s="2">
        <v>50</v>
      </c>
      <c r="I3161" s="114" t="str">
        <f t="shared" si="481"/>
        <v>527100</v>
      </c>
      <c r="J3161" s="112" t="s">
        <v>84</v>
      </c>
      <c r="K3161" s="2" t="s">
        <v>84</v>
      </c>
      <c r="L3161" s="2">
        <v>0</v>
      </c>
      <c r="M3161" s="2" t="s">
        <v>84</v>
      </c>
      <c r="N3161" s="2" t="s">
        <v>84</v>
      </c>
      <c r="O3161" s="2" t="s">
        <v>841</v>
      </c>
      <c r="P3161" s="2" t="s">
        <v>143</v>
      </c>
    </row>
    <row r="3162" spans="1:16" ht="22" customHeight="1" x14ac:dyDescent="0.15">
      <c r="A3162" s="10" t="str">
        <f t="shared" si="479"/>
        <v>527_10_35_10_polygon</v>
      </c>
      <c r="B3162" s="2">
        <v>527</v>
      </c>
      <c r="C3162" s="30" t="str">
        <f>VLOOKUP(B3162,gachas!A:C,3)</f>
        <v>アビリティピックアップ（プロテクトブレイク）</v>
      </c>
      <c r="D3162" s="21">
        <v>10</v>
      </c>
      <c r="E3162" s="2">
        <f t="shared" si="482"/>
        <v>35</v>
      </c>
      <c r="F3162" s="2">
        <v>10</v>
      </c>
      <c r="G3162" s="3" t="s">
        <v>22</v>
      </c>
      <c r="H3162" s="2">
        <v>50</v>
      </c>
      <c r="I3162" s="114" t="str">
        <f t="shared" si="481"/>
        <v>527100</v>
      </c>
      <c r="J3162" s="112" t="s">
        <v>84</v>
      </c>
      <c r="K3162" s="117" t="str">
        <f>CONCATENATE(B3162,"105")</f>
        <v>527105</v>
      </c>
      <c r="L3162" s="2">
        <v>1</v>
      </c>
      <c r="M3162" s="2" t="s">
        <v>84</v>
      </c>
      <c r="N3162" s="2" t="s">
        <v>84</v>
      </c>
      <c r="O3162" s="2" t="s">
        <v>841</v>
      </c>
      <c r="P3162" s="2" t="s">
        <v>2625</v>
      </c>
    </row>
    <row r="3163" spans="1:16" ht="22" customHeight="1" x14ac:dyDescent="0.15">
      <c r="A3163" s="10" t="str">
        <f t="shared" si="479"/>
        <v>527_10_36_10_polygon</v>
      </c>
      <c r="B3163" s="2">
        <v>527</v>
      </c>
      <c r="C3163" s="30" t="str">
        <f>VLOOKUP(B3163,gachas!A:C,3)</f>
        <v>アビリティピックアップ（プロテクトブレイク）</v>
      </c>
      <c r="D3163" s="21">
        <v>10</v>
      </c>
      <c r="E3163" s="2">
        <f t="shared" si="482"/>
        <v>36</v>
      </c>
      <c r="F3163" s="2">
        <v>10</v>
      </c>
      <c r="G3163" s="3" t="s">
        <v>22</v>
      </c>
      <c r="H3163" s="2">
        <v>25</v>
      </c>
      <c r="I3163" s="114" t="str">
        <f t="shared" si="481"/>
        <v>527100</v>
      </c>
      <c r="J3163" s="112" t="s">
        <v>84</v>
      </c>
      <c r="K3163" s="2" t="s">
        <v>84</v>
      </c>
      <c r="L3163" s="2">
        <v>0</v>
      </c>
      <c r="M3163" s="2" t="s">
        <v>84</v>
      </c>
      <c r="N3163" s="2" t="s">
        <v>84</v>
      </c>
      <c r="O3163" s="2" t="s">
        <v>841</v>
      </c>
      <c r="P3163" s="59" t="s">
        <v>1783</v>
      </c>
    </row>
    <row r="3164" spans="1:16" ht="22" customHeight="1" x14ac:dyDescent="0.15">
      <c r="A3164" s="10" t="str">
        <f t="shared" si="479"/>
        <v>527_10_37_10_polygon</v>
      </c>
      <c r="B3164" s="2">
        <v>527</v>
      </c>
      <c r="C3164" s="30" t="str">
        <f>VLOOKUP(B3164,gachas!A:C,3)</f>
        <v>アビリティピックアップ（プロテクトブレイク）</v>
      </c>
      <c r="D3164" s="21">
        <v>10</v>
      </c>
      <c r="E3164" s="2">
        <f t="shared" si="482"/>
        <v>37</v>
      </c>
      <c r="F3164" s="2">
        <v>10</v>
      </c>
      <c r="G3164" s="3" t="s">
        <v>22</v>
      </c>
      <c r="H3164" s="2">
        <v>50</v>
      </c>
      <c r="I3164" s="114" t="str">
        <f t="shared" si="481"/>
        <v>527100</v>
      </c>
      <c r="J3164" s="112" t="s">
        <v>84</v>
      </c>
      <c r="K3164" s="2" t="s">
        <v>84</v>
      </c>
      <c r="L3164" s="2">
        <v>0</v>
      </c>
      <c r="M3164" s="2" t="s">
        <v>84</v>
      </c>
      <c r="N3164" s="2" t="s">
        <v>84</v>
      </c>
      <c r="O3164" s="2" t="s">
        <v>841</v>
      </c>
      <c r="P3164" s="2" t="s">
        <v>143</v>
      </c>
    </row>
    <row r="3165" spans="1:16" ht="22" customHeight="1" x14ac:dyDescent="0.15">
      <c r="A3165" s="10" t="str">
        <f t="shared" si="479"/>
        <v>527_10_38_10_polygon</v>
      </c>
      <c r="B3165" s="2">
        <v>527</v>
      </c>
      <c r="C3165" s="30" t="str">
        <f>VLOOKUP(B3165,gachas!A:C,3)</f>
        <v>アビリティピックアップ（プロテクトブレイク）</v>
      </c>
      <c r="D3165" s="21">
        <v>10</v>
      </c>
      <c r="E3165" s="2">
        <f t="shared" si="482"/>
        <v>38</v>
      </c>
      <c r="F3165" s="2">
        <v>10</v>
      </c>
      <c r="G3165" s="3" t="s">
        <v>22</v>
      </c>
      <c r="H3165" s="2">
        <v>50</v>
      </c>
      <c r="I3165" s="114" t="str">
        <f t="shared" si="481"/>
        <v>527100</v>
      </c>
      <c r="J3165" s="112" t="s">
        <v>84</v>
      </c>
      <c r="K3165" s="2" t="s">
        <v>84</v>
      </c>
      <c r="L3165" s="2">
        <v>0</v>
      </c>
      <c r="M3165" s="2" t="s">
        <v>84</v>
      </c>
      <c r="N3165" s="2" t="s">
        <v>84</v>
      </c>
      <c r="O3165" s="2" t="s">
        <v>841</v>
      </c>
      <c r="P3165" s="2" t="s">
        <v>143</v>
      </c>
    </row>
    <row r="3166" spans="1:16" ht="22" customHeight="1" x14ac:dyDescent="0.15">
      <c r="A3166" s="10" t="str">
        <f t="shared" si="479"/>
        <v>527_10_39_10_polygon</v>
      </c>
      <c r="B3166" s="2">
        <v>527</v>
      </c>
      <c r="C3166" s="30" t="str">
        <f>VLOOKUP(B3166,gachas!A:C,3)</f>
        <v>アビリティピックアップ（プロテクトブレイク）</v>
      </c>
      <c r="D3166" s="21">
        <v>10</v>
      </c>
      <c r="E3166" s="2">
        <f t="shared" si="482"/>
        <v>39</v>
      </c>
      <c r="F3166" s="2">
        <v>10</v>
      </c>
      <c r="G3166" s="3" t="s">
        <v>22</v>
      </c>
      <c r="H3166" s="2">
        <v>50</v>
      </c>
      <c r="I3166" s="114" t="str">
        <f t="shared" si="481"/>
        <v>527100</v>
      </c>
      <c r="J3166" s="112" t="s">
        <v>84</v>
      </c>
      <c r="K3166" s="2" t="s">
        <v>84</v>
      </c>
      <c r="L3166" s="2">
        <v>0</v>
      </c>
      <c r="M3166" s="2" t="s">
        <v>84</v>
      </c>
      <c r="N3166" s="2" t="s">
        <v>84</v>
      </c>
      <c r="O3166" s="2" t="s">
        <v>841</v>
      </c>
      <c r="P3166" s="2" t="s">
        <v>143</v>
      </c>
    </row>
    <row r="3167" spans="1:16" ht="22" customHeight="1" x14ac:dyDescent="0.15">
      <c r="A3167" s="10" t="str">
        <f t="shared" si="479"/>
        <v>527_10_40_10_polygon</v>
      </c>
      <c r="B3167" s="2">
        <v>527</v>
      </c>
      <c r="C3167" s="30" t="str">
        <f>VLOOKUP(B3167,gachas!A:C,3)</f>
        <v>アビリティピックアップ（プロテクトブレイク）</v>
      </c>
      <c r="D3167" s="21">
        <v>10</v>
      </c>
      <c r="E3167" s="2">
        <f t="shared" si="482"/>
        <v>40</v>
      </c>
      <c r="F3167" s="2">
        <v>10</v>
      </c>
      <c r="G3167" s="3" t="s">
        <v>22</v>
      </c>
      <c r="H3167" s="2">
        <v>50</v>
      </c>
      <c r="I3167" s="114" t="str">
        <f t="shared" si="481"/>
        <v>527100</v>
      </c>
      <c r="J3167" s="112" t="s">
        <v>84</v>
      </c>
      <c r="K3167" s="117" t="str">
        <f>CONCATENATE(B3167,"105")</f>
        <v>527105</v>
      </c>
      <c r="L3167" s="2">
        <v>1</v>
      </c>
      <c r="M3167" s="2" t="s">
        <v>84</v>
      </c>
      <c r="N3167" s="2" t="s">
        <v>84</v>
      </c>
      <c r="O3167" s="2" t="s">
        <v>841</v>
      </c>
      <c r="P3167" s="2" t="s">
        <v>2625</v>
      </c>
    </row>
    <row r="3168" spans="1:16" ht="22" customHeight="1" x14ac:dyDescent="0.15">
      <c r="A3168" s="10" t="str">
        <f t="shared" si="479"/>
        <v>527_10_41_10_polygon</v>
      </c>
      <c r="B3168" s="2">
        <v>527</v>
      </c>
      <c r="C3168" s="30" t="str">
        <f>VLOOKUP(B3168,gachas!A:C,3)</f>
        <v>アビリティピックアップ（プロテクトブレイク）</v>
      </c>
      <c r="D3168" s="21">
        <v>10</v>
      </c>
      <c r="E3168" s="2">
        <f t="shared" si="482"/>
        <v>41</v>
      </c>
      <c r="F3168" s="2">
        <v>10</v>
      </c>
      <c r="G3168" s="3" t="s">
        <v>22</v>
      </c>
      <c r="H3168" s="2">
        <v>25</v>
      </c>
      <c r="I3168" s="114" t="str">
        <f t="shared" si="481"/>
        <v>527100</v>
      </c>
      <c r="J3168" s="112" t="s">
        <v>84</v>
      </c>
      <c r="K3168" s="2" t="s">
        <v>84</v>
      </c>
      <c r="L3168" s="2">
        <v>0</v>
      </c>
      <c r="M3168" s="2" t="s">
        <v>84</v>
      </c>
      <c r="N3168" s="2" t="s">
        <v>84</v>
      </c>
      <c r="O3168" s="2" t="s">
        <v>841</v>
      </c>
      <c r="P3168" s="59" t="s">
        <v>1783</v>
      </c>
    </row>
    <row r="3169" spans="1:16" ht="22" customHeight="1" x14ac:dyDescent="0.15">
      <c r="A3169" s="10" t="str">
        <f t="shared" si="479"/>
        <v>527_10_42_10_polygon</v>
      </c>
      <c r="B3169" s="2">
        <v>527</v>
      </c>
      <c r="C3169" s="30" t="str">
        <f>VLOOKUP(B3169,gachas!A:C,3)</f>
        <v>アビリティピックアップ（プロテクトブレイク）</v>
      </c>
      <c r="D3169" s="21">
        <v>10</v>
      </c>
      <c r="E3169" s="2">
        <f t="shared" si="482"/>
        <v>42</v>
      </c>
      <c r="F3169" s="2">
        <v>10</v>
      </c>
      <c r="G3169" s="3" t="s">
        <v>22</v>
      </c>
      <c r="H3169" s="2">
        <v>50</v>
      </c>
      <c r="I3169" s="114" t="str">
        <f t="shared" si="481"/>
        <v>527100</v>
      </c>
      <c r="J3169" s="112" t="s">
        <v>84</v>
      </c>
      <c r="K3169" s="2" t="s">
        <v>84</v>
      </c>
      <c r="L3169" s="2">
        <v>0</v>
      </c>
      <c r="M3169" s="2" t="s">
        <v>84</v>
      </c>
      <c r="N3169" s="2" t="s">
        <v>84</v>
      </c>
      <c r="O3169" s="2" t="s">
        <v>841</v>
      </c>
      <c r="P3169" s="2" t="s">
        <v>143</v>
      </c>
    </row>
    <row r="3170" spans="1:16" ht="22" customHeight="1" x14ac:dyDescent="0.15">
      <c r="A3170" s="10" t="str">
        <f t="shared" si="479"/>
        <v>527_10_43_10_polygon</v>
      </c>
      <c r="B3170" s="2">
        <v>527</v>
      </c>
      <c r="C3170" s="30" t="str">
        <f>VLOOKUP(B3170,gachas!A:C,3)</f>
        <v>アビリティピックアップ（プロテクトブレイク）</v>
      </c>
      <c r="D3170" s="21">
        <v>10</v>
      </c>
      <c r="E3170" s="2">
        <f t="shared" si="482"/>
        <v>43</v>
      </c>
      <c r="F3170" s="2">
        <v>10</v>
      </c>
      <c r="G3170" s="3" t="s">
        <v>22</v>
      </c>
      <c r="H3170" s="2">
        <v>50</v>
      </c>
      <c r="I3170" s="114" t="str">
        <f t="shared" si="481"/>
        <v>527100</v>
      </c>
      <c r="J3170" s="112" t="s">
        <v>84</v>
      </c>
      <c r="K3170" s="2" t="s">
        <v>84</v>
      </c>
      <c r="L3170" s="2">
        <v>0</v>
      </c>
      <c r="M3170" s="2" t="s">
        <v>84</v>
      </c>
      <c r="N3170" s="2" t="s">
        <v>84</v>
      </c>
      <c r="O3170" s="2" t="s">
        <v>841</v>
      </c>
      <c r="P3170" s="2" t="s">
        <v>143</v>
      </c>
    </row>
    <row r="3171" spans="1:16" ht="22" customHeight="1" x14ac:dyDescent="0.15">
      <c r="A3171" s="10" t="str">
        <f t="shared" si="479"/>
        <v>527_10_44_10_polygon</v>
      </c>
      <c r="B3171" s="2">
        <v>527</v>
      </c>
      <c r="C3171" s="30" t="str">
        <f>VLOOKUP(B3171,gachas!A:C,3)</f>
        <v>アビリティピックアップ（プロテクトブレイク）</v>
      </c>
      <c r="D3171" s="21">
        <v>10</v>
      </c>
      <c r="E3171" s="2">
        <f t="shared" si="482"/>
        <v>44</v>
      </c>
      <c r="F3171" s="2">
        <v>10</v>
      </c>
      <c r="G3171" s="3" t="s">
        <v>22</v>
      </c>
      <c r="H3171" s="2">
        <v>50</v>
      </c>
      <c r="I3171" s="114" t="str">
        <f t="shared" si="481"/>
        <v>527100</v>
      </c>
      <c r="J3171" s="112" t="s">
        <v>84</v>
      </c>
      <c r="K3171" s="2" t="s">
        <v>84</v>
      </c>
      <c r="L3171" s="2">
        <v>0</v>
      </c>
      <c r="M3171" s="2" t="s">
        <v>84</v>
      </c>
      <c r="N3171" s="2" t="s">
        <v>84</v>
      </c>
      <c r="O3171" s="2" t="s">
        <v>841</v>
      </c>
      <c r="P3171" s="2" t="s">
        <v>143</v>
      </c>
    </row>
    <row r="3172" spans="1:16" ht="22" customHeight="1" x14ac:dyDescent="0.15">
      <c r="A3172" s="10" t="str">
        <f t="shared" si="479"/>
        <v>527_10_45_10_polygon</v>
      </c>
      <c r="B3172" s="2">
        <v>527</v>
      </c>
      <c r="C3172" s="30" t="str">
        <f>VLOOKUP(B3172,gachas!A:C,3)</f>
        <v>アビリティピックアップ（プロテクトブレイク）</v>
      </c>
      <c r="D3172" s="21">
        <v>10</v>
      </c>
      <c r="E3172" s="2">
        <f t="shared" si="482"/>
        <v>45</v>
      </c>
      <c r="F3172" s="2">
        <v>10</v>
      </c>
      <c r="G3172" s="3" t="s">
        <v>22</v>
      </c>
      <c r="H3172" s="2">
        <v>50</v>
      </c>
      <c r="I3172" s="114" t="str">
        <f t="shared" si="481"/>
        <v>527100</v>
      </c>
      <c r="J3172" s="112" t="s">
        <v>84</v>
      </c>
      <c r="K3172" s="117" t="str">
        <f>CONCATENATE(B3172,"105")</f>
        <v>527105</v>
      </c>
      <c r="L3172" s="2">
        <v>1</v>
      </c>
      <c r="M3172" s="2" t="s">
        <v>84</v>
      </c>
      <c r="N3172" s="2" t="s">
        <v>84</v>
      </c>
      <c r="O3172" s="2" t="s">
        <v>841</v>
      </c>
      <c r="P3172" s="2" t="s">
        <v>2625</v>
      </c>
    </row>
    <row r="3173" spans="1:16" ht="22" customHeight="1" x14ac:dyDescent="0.15">
      <c r="A3173" s="10" t="str">
        <f t="shared" si="479"/>
        <v>527_10_46_10_polygon</v>
      </c>
      <c r="B3173" s="2">
        <v>527</v>
      </c>
      <c r="C3173" s="30" t="str">
        <f>VLOOKUP(B3173,gachas!A:C,3)</f>
        <v>アビリティピックアップ（プロテクトブレイク）</v>
      </c>
      <c r="D3173" s="21">
        <v>10</v>
      </c>
      <c r="E3173" s="2">
        <f t="shared" si="482"/>
        <v>46</v>
      </c>
      <c r="F3173" s="2">
        <v>10</v>
      </c>
      <c r="G3173" s="3" t="s">
        <v>22</v>
      </c>
      <c r="H3173" s="2">
        <v>25</v>
      </c>
      <c r="I3173" s="114" t="str">
        <f t="shared" si="481"/>
        <v>527100</v>
      </c>
      <c r="J3173" s="112" t="s">
        <v>84</v>
      </c>
      <c r="K3173" s="2" t="s">
        <v>84</v>
      </c>
      <c r="L3173" s="2">
        <v>0</v>
      </c>
      <c r="M3173" s="2" t="s">
        <v>84</v>
      </c>
      <c r="N3173" s="2" t="s">
        <v>84</v>
      </c>
      <c r="O3173" s="2" t="s">
        <v>841</v>
      </c>
      <c r="P3173" s="59" t="s">
        <v>1783</v>
      </c>
    </row>
    <row r="3174" spans="1:16" ht="22" customHeight="1" x14ac:dyDescent="0.15">
      <c r="A3174" s="10" t="str">
        <f t="shared" si="479"/>
        <v>527_10_47_10_polygon</v>
      </c>
      <c r="B3174" s="2">
        <v>527</v>
      </c>
      <c r="C3174" s="30" t="str">
        <f>VLOOKUP(B3174,gachas!A:C,3)</f>
        <v>アビリティピックアップ（プロテクトブレイク）</v>
      </c>
      <c r="D3174" s="21">
        <v>10</v>
      </c>
      <c r="E3174" s="2">
        <f t="shared" si="482"/>
        <v>47</v>
      </c>
      <c r="F3174" s="2">
        <v>10</v>
      </c>
      <c r="G3174" s="3" t="s">
        <v>22</v>
      </c>
      <c r="H3174" s="2">
        <v>50</v>
      </c>
      <c r="I3174" s="114" t="str">
        <f t="shared" si="481"/>
        <v>527100</v>
      </c>
      <c r="J3174" s="112" t="s">
        <v>84</v>
      </c>
      <c r="K3174" s="2" t="s">
        <v>84</v>
      </c>
      <c r="L3174" s="2">
        <v>0</v>
      </c>
      <c r="M3174" s="2" t="s">
        <v>84</v>
      </c>
      <c r="N3174" s="2" t="s">
        <v>84</v>
      </c>
      <c r="O3174" s="2" t="s">
        <v>841</v>
      </c>
      <c r="P3174" s="2" t="s">
        <v>143</v>
      </c>
    </row>
    <row r="3175" spans="1:16" ht="22" customHeight="1" x14ac:dyDescent="0.15">
      <c r="A3175" s="10" t="str">
        <f t="shared" si="479"/>
        <v>527_10_48_10_polygon</v>
      </c>
      <c r="B3175" s="2">
        <v>527</v>
      </c>
      <c r="C3175" s="30" t="str">
        <f>VLOOKUP(B3175,gachas!A:C,3)</f>
        <v>アビリティピックアップ（プロテクトブレイク）</v>
      </c>
      <c r="D3175" s="21">
        <v>10</v>
      </c>
      <c r="E3175" s="2">
        <f t="shared" si="482"/>
        <v>48</v>
      </c>
      <c r="F3175" s="2">
        <v>10</v>
      </c>
      <c r="G3175" s="3" t="s">
        <v>22</v>
      </c>
      <c r="H3175" s="2">
        <v>50</v>
      </c>
      <c r="I3175" s="114" t="str">
        <f t="shared" si="481"/>
        <v>527100</v>
      </c>
      <c r="J3175" s="112" t="s">
        <v>84</v>
      </c>
      <c r="K3175" s="2" t="s">
        <v>84</v>
      </c>
      <c r="L3175" s="2">
        <v>0</v>
      </c>
      <c r="M3175" s="2" t="s">
        <v>84</v>
      </c>
      <c r="N3175" s="2" t="s">
        <v>84</v>
      </c>
      <c r="O3175" s="2" t="s">
        <v>841</v>
      </c>
      <c r="P3175" s="2" t="s">
        <v>143</v>
      </c>
    </row>
    <row r="3176" spans="1:16" ht="22" customHeight="1" x14ac:dyDescent="0.15">
      <c r="A3176" s="10" t="str">
        <f t="shared" si="479"/>
        <v>527_10_49_10_polygon</v>
      </c>
      <c r="B3176" s="2">
        <v>527</v>
      </c>
      <c r="C3176" s="30" t="str">
        <f>VLOOKUP(B3176,gachas!A:C,3)</f>
        <v>アビリティピックアップ（プロテクトブレイク）</v>
      </c>
      <c r="D3176" s="21">
        <v>10</v>
      </c>
      <c r="E3176" s="2">
        <f t="shared" si="482"/>
        <v>49</v>
      </c>
      <c r="F3176" s="2">
        <v>10</v>
      </c>
      <c r="G3176" s="3" t="s">
        <v>22</v>
      </c>
      <c r="H3176" s="2">
        <v>50</v>
      </c>
      <c r="I3176" s="114" t="str">
        <f t="shared" si="481"/>
        <v>527100</v>
      </c>
      <c r="J3176" s="112" t="s">
        <v>84</v>
      </c>
      <c r="K3176" s="2" t="s">
        <v>84</v>
      </c>
      <c r="L3176" s="2">
        <v>0</v>
      </c>
      <c r="M3176" s="2" t="s">
        <v>84</v>
      </c>
      <c r="N3176" s="2" t="s">
        <v>84</v>
      </c>
      <c r="O3176" s="2" t="s">
        <v>841</v>
      </c>
      <c r="P3176" s="2" t="s">
        <v>143</v>
      </c>
    </row>
    <row r="3177" spans="1:16" ht="22" customHeight="1" x14ac:dyDescent="0.15">
      <c r="A3177" s="10" t="str">
        <f t="shared" si="479"/>
        <v>527_10_50_10_polygon</v>
      </c>
      <c r="B3177" s="2">
        <v>527</v>
      </c>
      <c r="C3177" s="30" t="str">
        <f>VLOOKUP(B3177,gachas!A:C,3)</f>
        <v>アビリティピックアップ（プロテクトブレイク）</v>
      </c>
      <c r="D3177" s="21">
        <v>10</v>
      </c>
      <c r="E3177" s="2">
        <f t="shared" si="482"/>
        <v>50</v>
      </c>
      <c r="F3177" s="2">
        <v>10</v>
      </c>
      <c r="G3177" s="3" t="s">
        <v>22</v>
      </c>
      <c r="H3177" s="2">
        <v>50</v>
      </c>
      <c r="I3177" s="114" t="str">
        <f t="shared" si="481"/>
        <v>527100</v>
      </c>
      <c r="J3177" s="112" t="s">
        <v>84</v>
      </c>
      <c r="K3177" s="117" t="str">
        <f>CONCATENATE(B3177,"105")</f>
        <v>527105</v>
      </c>
      <c r="L3177" s="2">
        <v>1</v>
      </c>
      <c r="M3177" s="2" t="s">
        <v>84</v>
      </c>
      <c r="N3177" s="2" t="s">
        <v>84</v>
      </c>
      <c r="O3177" s="2" t="s">
        <v>841</v>
      </c>
      <c r="P3177" s="2" t="s">
        <v>2625</v>
      </c>
    </row>
    <row r="3178" spans="1:16" ht="22" customHeight="1" x14ac:dyDescent="0.15">
      <c r="A3178" s="10" t="str">
        <f t="shared" ref="A3178" si="483">B3178&amp;"_"&amp;D3178&amp;"_"&amp;E3178&amp;"_"&amp;F3178&amp;"_"&amp;G3178</f>
        <v>528_1_0_1_polygon</v>
      </c>
      <c r="B3178" s="2">
        <v>528</v>
      </c>
      <c r="C3178" s="30" t="str">
        <f>VLOOKUP(B3178,gachas!A:C,3)</f>
        <v>ニューフェイスピックアップ</v>
      </c>
      <c r="D3178" s="21">
        <v>1</v>
      </c>
      <c r="E3178" s="2">
        <v>0</v>
      </c>
      <c r="F3178" s="2">
        <v>1</v>
      </c>
      <c r="G3178" s="3" t="s">
        <v>22</v>
      </c>
      <c r="H3178" s="2">
        <v>5</v>
      </c>
      <c r="I3178" s="114" t="str">
        <f t="shared" si="481"/>
        <v>528010</v>
      </c>
      <c r="J3178" s="112" t="s">
        <v>84</v>
      </c>
      <c r="K3178" s="112" t="s">
        <v>84</v>
      </c>
      <c r="L3178" s="2">
        <v>0</v>
      </c>
      <c r="M3178" s="2" t="s">
        <v>84</v>
      </c>
      <c r="N3178" s="2" t="s">
        <v>84</v>
      </c>
      <c r="O3178" s="2" t="s">
        <v>841</v>
      </c>
      <c r="P3178" s="18" t="s">
        <v>84</v>
      </c>
    </row>
    <row r="3179" spans="1:16" ht="22" customHeight="1" x14ac:dyDescent="0.15">
      <c r="A3179" s="10" t="str">
        <f t="shared" ref="A3179:A3229" si="484">B3179&amp;"_"&amp;D3179&amp;"_"&amp;E3179&amp;"_"&amp;F3179&amp;"_"&amp;G3179</f>
        <v>528_10_0_10_polygon</v>
      </c>
      <c r="B3179" s="2">
        <v>528</v>
      </c>
      <c r="C3179" s="30" t="str">
        <f>VLOOKUP(B3179,gachas!A:C,3)</f>
        <v>ニューフェイスピックアップ</v>
      </c>
      <c r="D3179" s="21">
        <v>10</v>
      </c>
      <c r="E3179" s="2">
        <v>0</v>
      </c>
      <c r="F3179" s="2">
        <v>10</v>
      </c>
      <c r="G3179" s="3" t="s">
        <v>22</v>
      </c>
      <c r="H3179" s="2">
        <v>50</v>
      </c>
      <c r="I3179" s="114" t="str">
        <f t="shared" ref="I3179:I3229" si="485">CONCATENATE(B3179,IF(D3179=1,"01","10"),0)</f>
        <v>528100</v>
      </c>
      <c r="J3179" s="112" t="s">
        <v>84</v>
      </c>
      <c r="K3179" s="112" t="s">
        <v>84</v>
      </c>
      <c r="L3179" s="2">
        <v>0</v>
      </c>
      <c r="M3179" s="2" t="s">
        <v>84</v>
      </c>
      <c r="N3179" s="2" t="s">
        <v>84</v>
      </c>
      <c r="O3179" s="2" t="s">
        <v>841</v>
      </c>
      <c r="P3179" s="2" t="s">
        <v>143</v>
      </c>
    </row>
    <row r="3180" spans="1:16" ht="22" customHeight="1" x14ac:dyDescent="0.15">
      <c r="A3180" s="10" t="str">
        <f t="shared" si="484"/>
        <v>528_10_1_10_polygon</v>
      </c>
      <c r="B3180" s="2">
        <v>528</v>
      </c>
      <c r="C3180" s="30" t="str">
        <f>VLOOKUP(B3180,gachas!A:C,3)</f>
        <v>ニューフェイスピックアップ</v>
      </c>
      <c r="D3180" s="21">
        <v>10</v>
      </c>
      <c r="E3180" s="2">
        <f>E3179+1</f>
        <v>1</v>
      </c>
      <c r="F3180" s="2">
        <v>10</v>
      </c>
      <c r="G3180" s="3" t="s">
        <v>22</v>
      </c>
      <c r="H3180" s="2">
        <v>50</v>
      </c>
      <c r="I3180" s="114" t="str">
        <f t="shared" si="485"/>
        <v>528100</v>
      </c>
      <c r="J3180" s="112" t="s">
        <v>84</v>
      </c>
      <c r="K3180" s="2" t="s">
        <v>84</v>
      </c>
      <c r="L3180" s="2">
        <v>0</v>
      </c>
      <c r="M3180" s="2" t="s">
        <v>84</v>
      </c>
      <c r="N3180" s="2" t="s">
        <v>84</v>
      </c>
      <c r="O3180" s="2" t="s">
        <v>841</v>
      </c>
      <c r="P3180" s="2" t="s">
        <v>143</v>
      </c>
    </row>
    <row r="3181" spans="1:16" ht="22" customHeight="1" x14ac:dyDescent="0.15">
      <c r="A3181" s="10" t="str">
        <f t="shared" si="484"/>
        <v>528_10_2_10_polygon</v>
      </c>
      <c r="B3181" s="2">
        <v>528</v>
      </c>
      <c r="C3181" s="30" t="str">
        <f>VLOOKUP(B3181,gachas!A:C,3)</f>
        <v>ニューフェイスピックアップ</v>
      </c>
      <c r="D3181" s="21">
        <v>10</v>
      </c>
      <c r="E3181" s="2">
        <f t="shared" ref="E3181:E3239" si="486">E3180+1</f>
        <v>2</v>
      </c>
      <c r="F3181" s="2">
        <v>10</v>
      </c>
      <c r="G3181" s="3" t="s">
        <v>22</v>
      </c>
      <c r="H3181" s="2">
        <v>50</v>
      </c>
      <c r="I3181" s="114" t="str">
        <f t="shared" si="485"/>
        <v>528100</v>
      </c>
      <c r="J3181" s="112" t="s">
        <v>84</v>
      </c>
      <c r="K3181" s="2" t="s">
        <v>84</v>
      </c>
      <c r="L3181" s="2">
        <v>0</v>
      </c>
      <c r="M3181" s="2" t="s">
        <v>84</v>
      </c>
      <c r="N3181" s="2" t="s">
        <v>84</v>
      </c>
      <c r="O3181" s="2" t="s">
        <v>841</v>
      </c>
      <c r="P3181" s="2" t="s">
        <v>143</v>
      </c>
    </row>
    <row r="3182" spans="1:16" ht="22" customHeight="1" x14ac:dyDescent="0.15">
      <c r="A3182" s="10" t="str">
        <f t="shared" si="484"/>
        <v>528_10_3_10_polygon</v>
      </c>
      <c r="B3182" s="2">
        <v>528</v>
      </c>
      <c r="C3182" s="30" t="str">
        <f>VLOOKUP(B3182,gachas!A:C,3)</f>
        <v>ニューフェイスピックアップ</v>
      </c>
      <c r="D3182" s="21">
        <v>10</v>
      </c>
      <c r="E3182" s="2">
        <f t="shared" si="486"/>
        <v>3</v>
      </c>
      <c r="F3182" s="2">
        <v>10</v>
      </c>
      <c r="G3182" s="3" t="s">
        <v>22</v>
      </c>
      <c r="H3182" s="2">
        <v>50</v>
      </c>
      <c r="I3182" s="114" t="str">
        <f t="shared" si="485"/>
        <v>528100</v>
      </c>
      <c r="J3182" s="112" t="s">
        <v>84</v>
      </c>
      <c r="K3182" s="117" t="str">
        <f>CONCATENATE(B3182,"105")</f>
        <v>528105</v>
      </c>
      <c r="L3182" s="2">
        <v>1</v>
      </c>
      <c r="M3182" s="2" t="s">
        <v>84</v>
      </c>
      <c r="N3182" s="2" t="s">
        <v>84</v>
      </c>
      <c r="O3182" s="2" t="s">
        <v>841</v>
      </c>
      <c r="P3182" s="2" t="s">
        <v>2636</v>
      </c>
    </row>
    <row r="3183" spans="1:16" ht="22" customHeight="1" x14ac:dyDescent="0.15">
      <c r="A3183" s="10" t="str">
        <f t="shared" si="484"/>
        <v>528_10_4_10_polygon</v>
      </c>
      <c r="B3183" s="2">
        <v>528</v>
      </c>
      <c r="C3183" s="30" t="str">
        <f>VLOOKUP(B3183,gachas!A:C,3)</f>
        <v>ニューフェイスピックアップ</v>
      </c>
      <c r="D3183" s="21">
        <v>10</v>
      </c>
      <c r="E3183" s="2">
        <f t="shared" si="486"/>
        <v>4</v>
      </c>
      <c r="F3183" s="2">
        <v>10</v>
      </c>
      <c r="G3183" s="3" t="s">
        <v>22</v>
      </c>
      <c r="H3183" s="2">
        <v>50</v>
      </c>
      <c r="I3183" s="114" t="str">
        <f t="shared" si="485"/>
        <v>528100</v>
      </c>
      <c r="J3183" s="112" t="s">
        <v>84</v>
      </c>
      <c r="K3183" s="2" t="s">
        <v>84</v>
      </c>
      <c r="L3183" s="2">
        <v>0</v>
      </c>
      <c r="M3183" s="2" t="s">
        <v>84</v>
      </c>
      <c r="N3183" s="2" t="s">
        <v>84</v>
      </c>
      <c r="O3183" s="2" t="s">
        <v>841</v>
      </c>
      <c r="P3183" s="2" t="s">
        <v>2637</v>
      </c>
    </row>
    <row r="3184" spans="1:16" ht="22" customHeight="1" x14ac:dyDescent="0.15">
      <c r="A3184" s="10" t="str">
        <f t="shared" si="484"/>
        <v>528_10_5_10_polygon</v>
      </c>
      <c r="B3184" s="2">
        <v>528</v>
      </c>
      <c r="C3184" s="30" t="str">
        <f>VLOOKUP(B3184,gachas!A:C,3)</f>
        <v>ニューフェイスピックアップ</v>
      </c>
      <c r="D3184" s="21">
        <v>10</v>
      </c>
      <c r="E3184" s="2">
        <f t="shared" si="486"/>
        <v>5</v>
      </c>
      <c r="F3184" s="2">
        <v>10</v>
      </c>
      <c r="G3184" s="3" t="s">
        <v>22</v>
      </c>
      <c r="H3184" s="2">
        <v>50</v>
      </c>
      <c r="I3184" s="114" t="str">
        <f t="shared" si="485"/>
        <v>528100</v>
      </c>
      <c r="J3184" s="112" t="s">
        <v>84</v>
      </c>
      <c r="K3184" s="2" t="s">
        <v>84</v>
      </c>
      <c r="L3184" s="2">
        <v>0</v>
      </c>
      <c r="M3184" s="2" t="s">
        <v>84</v>
      </c>
      <c r="N3184" s="2" t="s">
        <v>84</v>
      </c>
      <c r="O3184" s="2" t="s">
        <v>841</v>
      </c>
      <c r="P3184" s="2" t="s">
        <v>2637</v>
      </c>
    </row>
    <row r="3185" spans="1:16" ht="22" customHeight="1" x14ac:dyDescent="0.15">
      <c r="A3185" s="10" t="str">
        <f t="shared" si="484"/>
        <v>528_10_6_10_polygon</v>
      </c>
      <c r="B3185" s="2">
        <v>528</v>
      </c>
      <c r="C3185" s="30" t="str">
        <f>VLOOKUP(B3185,gachas!A:C,3)</f>
        <v>ニューフェイスピックアップ</v>
      </c>
      <c r="D3185" s="21">
        <v>10</v>
      </c>
      <c r="E3185" s="2">
        <f t="shared" si="486"/>
        <v>6</v>
      </c>
      <c r="F3185" s="2">
        <v>10</v>
      </c>
      <c r="G3185" s="3" t="s">
        <v>22</v>
      </c>
      <c r="H3185" s="2">
        <v>50</v>
      </c>
      <c r="I3185" s="114" t="str">
        <f t="shared" si="485"/>
        <v>528100</v>
      </c>
      <c r="J3185" s="112" t="s">
        <v>84</v>
      </c>
      <c r="K3185" s="117" t="str">
        <f t="shared" ref="K3185" si="487">CONCATENATE(B3185,"105")</f>
        <v>528105</v>
      </c>
      <c r="L3185" s="2">
        <v>1</v>
      </c>
      <c r="M3185" s="2" t="s">
        <v>84</v>
      </c>
      <c r="N3185" s="2" t="s">
        <v>84</v>
      </c>
      <c r="O3185" s="2" t="s">
        <v>841</v>
      </c>
      <c r="P3185" s="2" t="s">
        <v>2636</v>
      </c>
    </row>
    <row r="3186" spans="1:16" ht="22" customHeight="1" x14ac:dyDescent="0.15">
      <c r="A3186" s="10" t="str">
        <f t="shared" si="484"/>
        <v>528_10_7_10_polygon</v>
      </c>
      <c r="B3186" s="2">
        <v>528</v>
      </c>
      <c r="C3186" s="30" t="str">
        <f>VLOOKUP(B3186,gachas!A:C,3)</f>
        <v>ニューフェイスピックアップ</v>
      </c>
      <c r="D3186" s="21">
        <v>10</v>
      </c>
      <c r="E3186" s="2">
        <f t="shared" si="486"/>
        <v>7</v>
      </c>
      <c r="F3186" s="2">
        <v>10</v>
      </c>
      <c r="G3186" s="3" t="s">
        <v>22</v>
      </c>
      <c r="H3186" s="2">
        <v>50</v>
      </c>
      <c r="I3186" s="114" t="str">
        <f t="shared" si="485"/>
        <v>528100</v>
      </c>
      <c r="J3186" s="112" t="s">
        <v>84</v>
      </c>
      <c r="K3186" s="2" t="s">
        <v>84</v>
      </c>
      <c r="L3186" s="2">
        <v>0</v>
      </c>
      <c r="M3186" s="2" t="s">
        <v>84</v>
      </c>
      <c r="N3186" s="2" t="s">
        <v>84</v>
      </c>
      <c r="O3186" s="2" t="s">
        <v>841</v>
      </c>
      <c r="P3186" s="2" t="s">
        <v>2637</v>
      </c>
    </row>
    <row r="3187" spans="1:16" ht="22" customHeight="1" x14ac:dyDescent="0.15">
      <c r="A3187" s="10" t="str">
        <f t="shared" si="484"/>
        <v>528_10_8_10_polygon</v>
      </c>
      <c r="B3187" s="2">
        <v>528</v>
      </c>
      <c r="C3187" s="30" t="str">
        <f>VLOOKUP(B3187,gachas!A:C,3)</f>
        <v>ニューフェイスピックアップ</v>
      </c>
      <c r="D3187" s="21">
        <v>10</v>
      </c>
      <c r="E3187" s="2">
        <f t="shared" si="486"/>
        <v>8</v>
      </c>
      <c r="F3187" s="2">
        <v>10</v>
      </c>
      <c r="G3187" s="3" t="s">
        <v>22</v>
      </c>
      <c r="H3187" s="2">
        <v>50</v>
      </c>
      <c r="I3187" s="114" t="str">
        <f t="shared" si="485"/>
        <v>528100</v>
      </c>
      <c r="J3187" s="112" t="s">
        <v>84</v>
      </c>
      <c r="K3187" s="2" t="s">
        <v>84</v>
      </c>
      <c r="L3187" s="2">
        <v>0</v>
      </c>
      <c r="M3187" s="2" t="s">
        <v>84</v>
      </c>
      <c r="N3187" s="2" t="s">
        <v>84</v>
      </c>
      <c r="O3187" s="2" t="s">
        <v>841</v>
      </c>
      <c r="P3187" s="2" t="s">
        <v>2637</v>
      </c>
    </row>
    <row r="3188" spans="1:16" ht="22" customHeight="1" x14ac:dyDescent="0.15">
      <c r="A3188" s="10" t="str">
        <f t="shared" si="484"/>
        <v>528_10_9_10_polygon</v>
      </c>
      <c r="B3188" s="2">
        <v>528</v>
      </c>
      <c r="C3188" s="30" t="str">
        <f>VLOOKUP(B3188,gachas!A:C,3)</f>
        <v>ニューフェイスピックアップ</v>
      </c>
      <c r="D3188" s="21">
        <v>10</v>
      </c>
      <c r="E3188" s="2">
        <f t="shared" si="486"/>
        <v>9</v>
      </c>
      <c r="F3188" s="2">
        <v>10</v>
      </c>
      <c r="G3188" s="3" t="s">
        <v>22</v>
      </c>
      <c r="H3188" s="2">
        <v>50</v>
      </c>
      <c r="I3188" s="114" t="str">
        <f t="shared" si="485"/>
        <v>528100</v>
      </c>
      <c r="J3188" s="112" t="s">
        <v>84</v>
      </c>
      <c r="K3188" s="117" t="str">
        <f t="shared" ref="K3188" si="488">CONCATENATE(B3188,"105")</f>
        <v>528105</v>
      </c>
      <c r="L3188" s="2">
        <v>1</v>
      </c>
      <c r="M3188" s="2" t="s">
        <v>84</v>
      </c>
      <c r="N3188" s="2" t="s">
        <v>84</v>
      </c>
      <c r="O3188" s="2" t="s">
        <v>841</v>
      </c>
      <c r="P3188" s="2" t="s">
        <v>2636</v>
      </c>
    </row>
    <row r="3189" spans="1:16" ht="22" customHeight="1" x14ac:dyDescent="0.15">
      <c r="A3189" s="10" t="str">
        <f t="shared" si="484"/>
        <v>528_10_10_10_polygon</v>
      </c>
      <c r="B3189" s="2">
        <v>528</v>
      </c>
      <c r="C3189" s="30" t="str">
        <f>VLOOKUP(B3189,gachas!A:C,3)</f>
        <v>ニューフェイスピックアップ</v>
      </c>
      <c r="D3189" s="21">
        <v>10</v>
      </c>
      <c r="E3189" s="2">
        <f t="shared" si="486"/>
        <v>10</v>
      </c>
      <c r="F3189" s="2">
        <v>10</v>
      </c>
      <c r="G3189" s="3" t="s">
        <v>22</v>
      </c>
      <c r="H3189" s="2">
        <v>50</v>
      </c>
      <c r="I3189" s="114" t="str">
        <f t="shared" si="485"/>
        <v>528100</v>
      </c>
      <c r="J3189" s="112" t="s">
        <v>84</v>
      </c>
      <c r="K3189" s="2" t="s">
        <v>84</v>
      </c>
      <c r="L3189" s="2">
        <v>0</v>
      </c>
      <c r="M3189" s="2" t="s">
        <v>84</v>
      </c>
      <c r="N3189" s="2" t="s">
        <v>84</v>
      </c>
      <c r="O3189" s="2" t="s">
        <v>841</v>
      </c>
      <c r="P3189" s="2" t="s">
        <v>2637</v>
      </c>
    </row>
    <row r="3190" spans="1:16" ht="22" customHeight="1" x14ac:dyDescent="0.15">
      <c r="A3190" s="10" t="str">
        <f t="shared" si="484"/>
        <v>528_10_11_10_polygon</v>
      </c>
      <c r="B3190" s="2">
        <v>528</v>
      </c>
      <c r="C3190" s="30" t="str">
        <f>VLOOKUP(B3190,gachas!A:C,3)</f>
        <v>ニューフェイスピックアップ</v>
      </c>
      <c r="D3190" s="21">
        <v>10</v>
      </c>
      <c r="E3190" s="2">
        <f t="shared" si="486"/>
        <v>11</v>
      </c>
      <c r="F3190" s="2">
        <v>10</v>
      </c>
      <c r="G3190" s="3" t="s">
        <v>22</v>
      </c>
      <c r="H3190" s="2">
        <v>50</v>
      </c>
      <c r="I3190" s="114" t="str">
        <f t="shared" si="485"/>
        <v>528100</v>
      </c>
      <c r="J3190" s="112" t="s">
        <v>84</v>
      </c>
      <c r="K3190" s="2" t="s">
        <v>84</v>
      </c>
      <c r="L3190" s="2">
        <v>0</v>
      </c>
      <c r="M3190" s="2" t="s">
        <v>84</v>
      </c>
      <c r="N3190" s="2" t="s">
        <v>84</v>
      </c>
      <c r="O3190" s="2" t="s">
        <v>841</v>
      </c>
      <c r="P3190" s="2" t="s">
        <v>2637</v>
      </c>
    </row>
    <row r="3191" spans="1:16" ht="22" customHeight="1" x14ac:dyDescent="0.15">
      <c r="A3191" s="10" t="str">
        <f t="shared" si="484"/>
        <v>528_10_12_10_polygon</v>
      </c>
      <c r="B3191" s="2">
        <v>528</v>
      </c>
      <c r="C3191" s="30" t="str">
        <f>VLOOKUP(B3191,gachas!A:C,3)</f>
        <v>ニューフェイスピックアップ</v>
      </c>
      <c r="D3191" s="21">
        <v>10</v>
      </c>
      <c r="E3191" s="2">
        <f t="shared" si="486"/>
        <v>12</v>
      </c>
      <c r="F3191" s="2">
        <v>10</v>
      </c>
      <c r="G3191" s="3" t="s">
        <v>22</v>
      </c>
      <c r="H3191" s="2">
        <v>50</v>
      </c>
      <c r="I3191" s="114" t="str">
        <f t="shared" si="485"/>
        <v>528100</v>
      </c>
      <c r="J3191" s="112" t="s">
        <v>84</v>
      </c>
      <c r="K3191" s="117" t="str">
        <f t="shared" ref="K3191" si="489">CONCATENATE(B3191,"105")</f>
        <v>528105</v>
      </c>
      <c r="L3191" s="2">
        <v>1</v>
      </c>
      <c r="M3191" s="2" t="s">
        <v>84</v>
      </c>
      <c r="N3191" s="2" t="s">
        <v>84</v>
      </c>
      <c r="O3191" s="2" t="s">
        <v>841</v>
      </c>
      <c r="P3191" s="2" t="s">
        <v>2636</v>
      </c>
    </row>
    <row r="3192" spans="1:16" ht="22" customHeight="1" x14ac:dyDescent="0.15">
      <c r="A3192" s="10" t="str">
        <f t="shared" si="484"/>
        <v>528_10_13_10_polygon</v>
      </c>
      <c r="B3192" s="2">
        <v>528</v>
      </c>
      <c r="C3192" s="30" t="str">
        <f>VLOOKUP(B3192,gachas!A:C,3)</f>
        <v>ニューフェイスピックアップ</v>
      </c>
      <c r="D3192" s="21">
        <v>10</v>
      </c>
      <c r="E3192" s="2">
        <f t="shared" si="486"/>
        <v>13</v>
      </c>
      <c r="F3192" s="2">
        <v>10</v>
      </c>
      <c r="G3192" s="3" t="s">
        <v>22</v>
      </c>
      <c r="H3192" s="2">
        <v>50</v>
      </c>
      <c r="I3192" s="114" t="str">
        <f t="shared" si="485"/>
        <v>528100</v>
      </c>
      <c r="J3192" s="112" t="s">
        <v>84</v>
      </c>
      <c r="K3192" s="2" t="s">
        <v>84</v>
      </c>
      <c r="L3192" s="2">
        <v>0</v>
      </c>
      <c r="M3192" s="2" t="s">
        <v>84</v>
      </c>
      <c r="N3192" s="2" t="s">
        <v>84</v>
      </c>
      <c r="O3192" s="2" t="s">
        <v>841</v>
      </c>
      <c r="P3192" s="2" t="s">
        <v>2637</v>
      </c>
    </row>
    <row r="3193" spans="1:16" ht="22" customHeight="1" x14ac:dyDescent="0.15">
      <c r="A3193" s="10" t="str">
        <f t="shared" si="484"/>
        <v>528_10_14_10_polygon</v>
      </c>
      <c r="B3193" s="2">
        <v>528</v>
      </c>
      <c r="C3193" s="30" t="str">
        <f>VLOOKUP(B3193,gachas!A:C,3)</f>
        <v>ニューフェイスピックアップ</v>
      </c>
      <c r="D3193" s="21">
        <v>10</v>
      </c>
      <c r="E3193" s="2">
        <f t="shared" si="486"/>
        <v>14</v>
      </c>
      <c r="F3193" s="2">
        <v>10</v>
      </c>
      <c r="G3193" s="3" t="s">
        <v>22</v>
      </c>
      <c r="H3193" s="2">
        <v>50</v>
      </c>
      <c r="I3193" s="114" t="str">
        <f t="shared" si="485"/>
        <v>528100</v>
      </c>
      <c r="J3193" s="112" t="s">
        <v>84</v>
      </c>
      <c r="K3193" s="2" t="s">
        <v>84</v>
      </c>
      <c r="L3193" s="2">
        <v>0</v>
      </c>
      <c r="M3193" s="2" t="s">
        <v>84</v>
      </c>
      <c r="N3193" s="2" t="s">
        <v>84</v>
      </c>
      <c r="O3193" s="2" t="s">
        <v>841</v>
      </c>
      <c r="P3193" s="2" t="s">
        <v>2637</v>
      </c>
    </row>
    <row r="3194" spans="1:16" ht="22" customHeight="1" x14ac:dyDescent="0.15">
      <c r="A3194" s="10" t="str">
        <f t="shared" si="484"/>
        <v>528_10_15_10_polygon</v>
      </c>
      <c r="B3194" s="2">
        <v>528</v>
      </c>
      <c r="C3194" s="30" t="str">
        <f>VLOOKUP(B3194,gachas!A:C,3)</f>
        <v>ニューフェイスピックアップ</v>
      </c>
      <c r="D3194" s="21">
        <v>10</v>
      </c>
      <c r="E3194" s="2">
        <f t="shared" si="486"/>
        <v>15</v>
      </c>
      <c r="F3194" s="2">
        <v>10</v>
      </c>
      <c r="G3194" s="3" t="s">
        <v>22</v>
      </c>
      <c r="H3194" s="2">
        <v>50</v>
      </c>
      <c r="I3194" s="114" t="str">
        <f t="shared" si="485"/>
        <v>528100</v>
      </c>
      <c r="J3194" s="112" t="s">
        <v>84</v>
      </c>
      <c r="K3194" s="117" t="str">
        <f t="shared" ref="K3194" si="490">CONCATENATE(B3194,"105")</f>
        <v>528105</v>
      </c>
      <c r="L3194" s="2">
        <v>1</v>
      </c>
      <c r="M3194" s="2" t="s">
        <v>84</v>
      </c>
      <c r="N3194" s="2" t="s">
        <v>84</v>
      </c>
      <c r="O3194" s="2" t="s">
        <v>841</v>
      </c>
      <c r="P3194" s="2" t="s">
        <v>2636</v>
      </c>
    </row>
    <row r="3195" spans="1:16" ht="22" customHeight="1" x14ac:dyDescent="0.15">
      <c r="A3195" s="10" t="str">
        <f t="shared" si="484"/>
        <v>528_10_16_10_polygon</v>
      </c>
      <c r="B3195" s="2">
        <v>528</v>
      </c>
      <c r="C3195" s="30" t="str">
        <f>VLOOKUP(B3195,gachas!A:C,3)</f>
        <v>ニューフェイスピックアップ</v>
      </c>
      <c r="D3195" s="21">
        <v>10</v>
      </c>
      <c r="E3195" s="2">
        <f t="shared" si="486"/>
        <v>16</v>
      </c>
      <c r="F3195" s="2">
        <v>10</v>
      </c>
      <c r="G3195" s="3" t="s">
        <v>22</v>
      </c>
      <c r="H3195" s="2">
        <v>50</v>
      </c>
      <c r="I3195" s="114" t="str">
        <f t="shared" si="485"/>
        <v>528100</v>
      </c>
      <c r="J3195" s="112" t="s">
        <v>84</v>
      </c>
      <c r="K3195" s="2" t="s">
        <v>84</v>
      </c>
      <c r="L3195" s="2">
        <v>0</v>
      </c>
      <c r="M3195" s="2" t="s">
        <v>84</v>
      </c>
      <c r="N3195" s="2" t="s">
        <v>84</v>
      </c>
      <c r="O3195" s="2" t="s">
        <v>841</v>
      </c>
      <c r="P3195" s="2" t="s">
        <v>2637</v>
      </c>
    </row>
    <row r="3196" spans="1:16" ht="22" customHeight="1" x14ac:dyDescent="0.15">
      <c r="A3196" s="10" t="str">
        <f t="shared" si="484"/>
        <v>528_10_17_10_polygon</v>
      </c>
      <c r="B3196" s="2">
        <v>528</v>
      </c>
      <c r="C3196" s="30" t="str">
        <f>VLOOKUP(B3196,gachas!A:C,3)</f>
        <v>ニューフェイスピックアップ</v>
      </c>
      <c r="D3196" s="21">
        <v>10</v>
      </c>
      <c r="E3196" s="2">
        <f t="shared" si="486"/>
        <v>17</v>
      </c>
      <c r="F3196" s="2">
        <v>10</v>
      </c>
      <c r="G3196" s="3" t="s">
        <v>22</v>
      </c>
      <c r="H3196" s="2">
        <v>50</v>
      </c>
      <c r="I3196" s="114" t="str">
        <f t="shared" si="485"/>
        <v>528100</v>
      </c>
      <c r="J3196" s="112" t="s">
        <v>84</v>
      </c>
      <c r="K3196" s="2" t="s">
        <v>84</v>
      </c>
      <c r="L3196" s="2">
        <v>0</v>
      </c>
      <c r="M3196" s="2" t="s">
        <v>84</v>
      </c>
      <c r="N3196" s="2" t="s">
        <v>84</v>
      </c>
      <c r="O3196" s="2" t="s">
        <v>841</v>
      </c>
      <c r="P3196" s="2" t="s">
        <v>2637</v>
      </c>
    </row>
    <row r="3197" spans="1:16" ht="22" customHeight="1" x14ac:dyDescent="0.15">
      <c r="A3197" s="10" t="str">
        <f t="shared" si="484"/>
        <v>528_10_18_10_polygon</v>
      </c>
      <c r="B3197" s="2">
        <v>528</v>
      </c>
      <c r="C3197" s="30" t="str">
        <f>VLOOKUP(B3197,gachas!A:C,3)</f>
        <v>ニューフェイスピックアップ</v>
      </c>
      <c r="D3197" s="21">
        <v>10</v>
      </c>
      <c r="E3197" s="2">
        <f t="shared" si="486"/>
        <v>18</v>
      </c>
      <c r="F3197" s="2">
        <v>10</v>
      </c>
      <c r="G3197" s="3" t="s">
        <v>22</v>
      </c>
      <c r="H3197" s="2">
        <v>50</v>
      </c>
      <c r="I3197" s="114" t="str">
        <f t="shared" si="485"/>
        <v>528100</v>
      </c>
      <c r="J3197" s="112" t="s">
        <v>84</v>
      </c>
      <c r="K3197" s="117" t="str">
        <f t="shared" ref="K3197" si="491">CONCATENATE(B3197,"105")</f>
        <v>528105</v>
      </c>
      <c r="L3197" s="2">
        <v>1</v>
      </c>
      <c r="M3197" s="2" t="s">
        <v>84</v>
      </c>
      <c r="N3197" s="2" t="s">
        <v>84</v>
      </c>
      <c r="O3197" s="2" t="s">
        <v>841</v>
      </c>
      <c r="P3197" s="2" t="s">
        <v>2636</v>
      </c>
    </row>
    <row r="3198" spans="1:16" ht="22" customHeight="1" x14ac:dyDescent="0.15">
      <c r="A3198" s="10" t="str">
        <f t="shared" si="484"/>
        <v>528_10_19_10_polygon</v>
      </c>
      <c r="B3198" s="2">
        <v>528</v>
      </c>
      <c r="C3198" s="30" t="str">
        <f>VLOOKUP(B3198,gachas!A:C,3)</f>
        <v>ニューフェイスピックアップ</v>
      </c>
      <c r="D3198" s="21">
        <v>10</v>
      </c>
      <c r="E3198" s="2">
        <f t="shared" si="486"/>
        <v>19</v>
      </c>
      <c r="F3198" s="2">
        <v>10</v>
      </c>
      <c r="G3198" s="3" t="s">
        <v>22</v>
      </c>
      <c r="H3198" s="2">
        <v>50</v>
      </c>
      <c r="I3198" s="114" t="str">
        <f t="shared" si="485"/>
        <v>528100</v>
      </c>
      <c r="J3198" s="112" t="s">
        <v>84</v>
      </c>
      <c r="K3198" s="2" t="s">
        <v>84</v>
      </c>
      <c r="L3198" s="2">
        <v>0</v>
      </c>
      <c r="M3198" s="2" t="s">
        <v>84</v>
      </c>
      <c r="N3198" s="2" t="s">
        <v>84</v>
      </c>
      <c r="O3198" s="2" t="s">
        <v>841</v>
      </c>
      <c r="P3198" s="2" t="s">
        <v>2637</v>
      </c>
    </row>
    <row r="3199" spans="1:16" ht="22" customHeight="1" x14ac:dyDescent="0.15">
      <c r="A3199" s="10" t="str">
        <f t="shared" si="484"/>
        <v>528_10_20_10_polygon</v>
      </c>
      <c r="B3199" s="2">
        <v>528</v>
      </c>
      <c r="C3199" s="30" t="str">
        <f>VLOOKUP(B3199,gachas!A:C,3)</f>
        <v>ニューフェイスピックアップ</v>
      </c>
      <c r="D3199" s="21">
        <v>10</v>
      </c>
      <c r="E3199" s="2">
        <f t="shared" si="486"/>
        <v>20</v>
      </c>
      <c r="F3199" s="2">
        <v>10</v>
      </c>
      <c r="G3199" s="3" t="s">
        <v>22</v>
      </c>
      <c r="H3199" s="2">
        <v>50</v>
      </c>
      <c r="I3199" s="114" t="str">
        <f t="shared" si="485"/>
        <v>528100</v>
      </c>
      <c r="J3199" s="112" t="s">
        <v>84</v>
      </c>
      <c r="K3199" s="2" t="s">
        <v>84</v>
      </c>
      <c r="L3199" s="2">
        <v>0</v>
      </c>
      <c r="M3199" s="2" t="s">
        <v>84</v>
      </c>
      <c r="N3199" s="2" t="s">
        <v>84</v>
      </c>
      <c r="O3199" s="2" t="s">
        <v>841</v>
      </c>
      <c r="P3199" s="2" t="s">
        <v>2637</v>
      </c>
    </row>
    <row r="3200" spans="1:16" ht="22" customHeight="1" x14ac:dyDescent="0.15">
      <c r="A3200" s="10" t="str">
        <f t="shared" si="484"/>
        <v>528_10_21_10_polygon</v>
      </c>
      <c r="B3200" s="2">
        <v>528</v>
      </c>
      <c r="C3200" s="30" t="str">
        <f>VLOOKUP(B3200,gachas!A:C,3)</f>
        <v>ニューフェイスピックアップ</v>
      </c>
      <c r="D3200" s="21">
        <v>10</v>
      </c>
      <c r="E3200" s="2">
        <f t="shared" si="486"/>
        <v>21</v>
      </c>
      <c r="F3200" s="2">
        <v>10</v>
      </c>
      <c r="G3200" s="3" t="s">
        <v>22</v>
      </c>
      <c r="H3200" s="2">
        <v>50</v>
      </c>
      <c r="I3200" s="114" t="str">
        <f t="shared" si="485"/>
        <v>528100</v>
      </c>
      <c r="J3200" s="112" t="s">
        <v>84</v>
      </c>
      <c r="K3200" s="117" t="str">
        <f t="shared" ref="K3200" si="492">CONCATENATE(B3200,"105")</f>
        <v>528105</v>
      </c>
      <c r="L3200" s="2">
        <v>1</v>
      </c>
      <c r="M3200" s="2" t="s">
        <v>84</v>
      </c>
      <c r="N3200" s="2" t="s">
        <v>84</v>
      </c>
      <c r="O3200" s="2" t="s">
        <v>841</v>
      </c>
      <c r="P3200" s="2" t="s">
        <v>2636</v>
      </c>
    </row>
    <row r="3201" spans="1:16" ht="22" customHeight="1" x14ac:dyDescent="0.15">
      <c r="A3201" s="10" t="str">
        <f t="shared" si="484"/>
        <v>528_10_22_10_polygon</v>
      </c>
      <c r="B3201" s="2">
        <v>528</v>
      </c>
      <c r="C3201" s="30" t="str">
        <f>VLOOKUP(B3201,gachas!A:C,3)</f>
        <v>ニューフェイスピックアップ</v>
      </c>
      <c r="D3201" s="21">
        <v>10</v>
      </c>
      <c r="E3201" s="2">
        <f t="shared" si="486"/>
        <v>22</v>
      </c>
      <c r="F3201" s="2">
        <v>10</v>
      </c>
      <c r="G3201" s="3" t="s">
        <v>22</v>
      </c>
      <c r="H3201" s="2">
        <v>50</v>
      </c>
      <c r="I3201" s="114" t="str">
        <f t="shared" si="485"/>
        <v>528100</v>
      </c>
      <c r="J3201" s="112" t="s">
        <v>84</v>
      </c>
      <c r="K3201" s="2" t="s">
        <v>84</v>
      </c>
      <c r="L3201" s="2">
        <v>0</v>
      </c>
      <c r="M3201" s="2" t="s">
        <v>84</v>
      </c>
      <c r="N3201" s="2" t="s">
        <v>84</v>
      </c>
      <c r="O3201" s="2" t="s">
        <v>841</v>
      </c>
      <c r="P3201" s="2" t="s">
        <v>2637</v>
      </c>
    </row>
    <row r="3202" spans="1:16" ht="22" customHeight="1" x14ac:dyDescent="0.15">
      <c r="A3202" s="10" t="str">
        <f t="shared" si="484"/>
        <v>528_10_23_10_polygon</v>
      </c>
      <c r="B3202" s="2">
        <v>528</v>
      </c>
      <c r="C3202" s="30" t="str">
        <f>VLOOKUP(B3202,gachas!A:C,3)</f>
        <v>ニューフェイスピックアップ</v>
      </c>
      <c r="D3202" s="21">
        <v>10</v>
      </c>
      <c r="E3202" s="2">
        <f t="shared" si="486"/>
        <v>23</v>
      </c>
      <c r="F3202" s="2">
        <v>10</v>
      </c>
      <c r="G3202" s="3" t="s">
        <v>22</v>
      </c>
      <c r="H3202" s="2">
        <v>50</v>
      </c>
      <c r="I3202" s="114" t="str">
        <f t="shared" si="485"/>
        <v>528100</v>
      </c>
      <c r="J3202" s="112" t="s">
        <v>84</v>
      </c>
      <c r="K3202" s="2" t="s">
        <v>84</v>
      </c>
      <c r="L3202" s="2">
        <v>0</v>
      </c>
      <c r="M3202" s="2" t="s">
        <v>84</v>
      </c>
      <c r="N3202" s="2" t="s">
        <v>84</v>
      </c>
      <c r="O3202" s="2" t="s">
        <v>841</v>
      </c>
      <c r="P3202" s="2" t="s">
        <v>2637</v>
      </c>
    </row>
    <row r="3203" spans="1:16" ht="22" customHeight="1" x14ac:dyDescent="0.15">
      <c r="A3203" s="10" t="str">
        <f t="shared" si="484"/>
        <v>528_10_24_10_polygon</v>
      </c>
      <c r="B3203" s="2">
        <v>528</v>
      </c>
      <c r="C3203" s="30" t="str">
        <f>VLOOKUP(B3203,gachas!A:C,3)</f>
        <v>ニューフェイスピックアップ</v>
      </c>
      <c r="D3203" s="21">
        <v>10</v>
      </c>
      <c r="E3203" s="2">
        <f t="shared" si="486"/>
        <v>24</v>
      </c>
      <c r="F3203" s="2">
        <v>10</v>
      </c>
      <c r="G3203" s="3" t="s">
        <v>22</v>
      </c>
      <c r="H3203" s="2">
        <v>50</v>
      </c>
      <c r="I3203" s="114" t="str">
        <f t="shared" si="485"/>
        <v>528100</v>
      </c>
      <c r="J3203" s="112" t="s">
        <v>84</v>
      </c>
      <c r="K3203" s="117" t="str">
        <f t="shared" ref="K3203" si="493">CONCATENATE(B3203,"105")</f>
        <v>528105</v>
      </c>
      <c r="L3203" s="2">
        <v>1</v>
      </c>
      <c r="M3203" s="2" t="s">
        <v>84</v>
      </c>
      <c r="N3203" s="2" t="s">
        <v>84</v>
      </c>
      <c r="O3203" s="2" t="s">
        <v>841</v>
      </c>
      <c r="P3203" s="2" t="s">
        <v>2636</v>
      </c>
    </row>
    <row r="3204" spans="1:16" ht="22" customHeight="1" x14ac:dyDescent="0.15">
      <c r="A3204" s="10" t="str">
        <f t="shared" si="484"/>
        <v>528_10_25_10_polygon</v>
      </c>
      <c r="B3204" s="2">
        <v>528</v>
      </c>
      <c r="C3204" s="30" t="str">
        <f>VLOOKUP(B3204,gachas!A:C,3)</f>
        <v>ニューフェイスピックアップ</v>
      </c>
      <c r="D3204" s="21">
        <v>10</v>
      </c>
      <c r="E3204" s="2">
        <f t="shared" si="486"/>
        <v>25</v>
      </c>
      <c r="F3204" s="2">
        <v>10</v>
      </c>
      <c r="G3204" s="3" t="s">
        <v>22</v>
      </c>
      <c r="H3204" s="2">
        <v>50</v>
      </c>
      <c r="I3204" s="114" t="str">
        <f t="shared" si="485"/>
        <v>528100</v>
      </c>
      <c r="J3204" s="112" t="s">
        <v>84</v>
      </c>
      <c r="K3204" s="2" t="s">
        <v>84</v>
      </c>
      <c r="L3204" s="2">
        <v>0</v>
      </c>
      <c r="M3204" s="2" t="s">
        <v>84</v>
      </c>
      <c r="N3204" s="2" t="s">
        <v>84</v>
      </c>
      <c r="O3204" s="2" t="s">
        <v>841</v>
      </c>
      <c r="P3204" s="2" t="s">
        <v>2637</v>
      </c>
    </row>
    <row r="3205" spans="1:16" ht="22" customHeight="1" x14ac:dyDescent="0.15">
      <c r="A3205" s="10" t="str">
        <f t="shared" si="484"/>
        <v>528_10_26_10_polygon</v>
      </c>
      <c r="B3205" s="2">
        <v>528</v>
      </c>
      <c r="C3205" s="30" t="str">
        <f>VLOOKUP(B3205,gachas!A:C,3)</f>
        <v>ニューフェイスピックアップ</v>
      </c>
      <c r="D3205" s="21">
        <v>10</v>
      </c>
      <c r="E3205" s="2">
        <f t="shared" si="486"/>
        <v>26</v>
      </c>
      <c r="F3205" s="2">
        <v>10</v>
      </c>
      <c r="G3205" s="3" t="s">
        <v>22</v>
      </c>
      <c r="H3205" s="2">
        <v>50</v>
      </c>
      <c r="I3205" s="114" t="str">
        <f t="shared" si="485"/>
        <v>528100</v>
      </c>
      <c r="J3205" s="112" t="s">
        <v>84</v>
      </c>
      <c r="K3205" s="2" t="s">
        <v>84</v>
      </c>
      <c r="L3205" s="2">
        <v>0</v>
      </c>
      <c r="M3205" s="2" t="s">
        <v>84</v>
      </c>
      <c r="N3205" s="2" t="s">
        <v>84</v>
      </c>
      <c r="O3205" s="2" t="s">
        <v>841</v>
      </c>
      <c r="P3205" s="2" t="s">
        <v>2637</v>
      </c>
    </row>
    <row r="3206" spans="1:16" ht="22" customHeight="1" x14ac:dyDescent="0.15">
      <c r="A3206" s="10" t="str">
        <f t="shared" si="484"/>
        <v>528_10_27_10_polygon</v>
      </c>
      <c r="B3206" s="2">
        <v>528</v>
      </c>
      <c r="C3206" s="30" t="str">
        <f>VLOOKUP(B3206,gachas!A:C,3)</f>
        <v>ニューフェイスピックアップ</v>
      </c>
      <c r="D3206" s="21">
        <v>10</v>
      </c>
      <c r="E3206" s="2">
        <f t="shared" si="486"/>
        <v>27</v>
      </c>
      <c r="F3206" s="2">
        <v>10</v>
      </c>
      <c r="G3206" s="3" t="s">
        <v>22</v>
      </c>
      <c r="H3206" s="2">
        <v>50</v>
      </c>
      <c r="I3206" s="114" t="str">
        <f t="shared" si="485"/>
        <v>528100</v>
      </c>
      <c r="J3206" s="112" t="s">
        <v>84</v>
      </c>
      <c r="K3206" s="117" t="str">
        <f t="shared" ref="K3206" si="494">CONCATENATE(B3206,"105")</f>
        <v>528105</v>
      </c>
      <c r="L3206" s="2">
        <v>1</v>
      </c>
      <c r="M3206" s="2" t="s">
        <v>84</v>
      </c>
      <c r="N3206" s="2" t="s">
        <v>84</v>
      </c>
      <c r="O3206" s="2" t="s">
        <v>841</v>
      </c>
      <c r="P3206" s="2" t="s">
        <v>2636</v>
      </c>
    </row>
    <row r="3207" spans="1:16" ht="22" customHeight="1" x14ac:dyDescent="0.15">
      <c r="A3207" s="10" t="str">
        <f t="shared" si="484"/>
        <v>528_10_28_10_polygon</v>
      </c>
      <c r="B3207" s="2">
        <v>528</v>
      </c>
      <c r="C3207" s="30" t="str">
        <f>VLOOKUP(B3207,gachas!A:C,3)</f>
        <v>ニューフェイスピックアップ</v>
      </c>
      <c r="D3207" s="21">
        <v>10</v>
      </c>
      <c r="E3207" s="2">
        <f t="shared" si="486"/>
        <v>28</v>
      </c>
      <c r="F3207" s="2">
        <v>10</v>
      </c>
      <c r="G3207" s="3" t="s">
        <v>22</v>
      </c>
      <c r="H3207" s="2">
        <v>50</v>
      </c>
      <c r="I3207" s="114" t="str">
        <f t="shared" si="485"/>
        <v>528100</v>
      </c>
      <c r="J3207" s="112" t="s">
        <v>84</v>
      </c>
      <c r="K3207" s="2" t="s">
        <v>84</v>
      </c>
      <c r="L3207" s="2">
        <v>0</v>
      </c>
      <c r="M3207" s="2" t="s">
        <v>84</v>
      </c>
      <c r="N3207" s="2" t="s">
        <v>84</v>
      </c>
      <c r="O3207" s="2" t="s">
        <v>841</v>
      </c>
      <c r="P3207" s="2" t="s">
        <v>2637</v>
      </c>
    </row>
    <row r="3208" spans="1:16" ht="22" customHeight="1" x14ac:dyDescent="0.15">
      <c r="A3208" s="10" t="str">
        <f t="shared" si="484"/>
        <v>528_10_29_10_polygon</v>
      </c>
      <c r="B3208" s="2">
        <v>528</v>
      </c>
      <c r="C3208" s="30" t="str">
        <f>VLOOKUP(B3208,gachas!A:C,3)</f>
        <v>ニューフェイスピックアップ</v>
      </c>
      <c r="D3208" s="21">
        <v>10</v>
      </c>
      <c r="E3208" s="2">
        <f t="shared" si="486"/>
        <v>29</v>
      </c>
      <c r="F3208" s="2">
        <v>10</v>
      </c>
      <c r="G3208" s="3" t="s">
        <v>22</v>
      </c>
      <c r="H3208" s="2">
        <v>50</v>
      </c>
      <c r="I3208" s="114" t="str">
        <f t="shared" si="485"/>
        <v>528100</v>
      </c>
      <c r="J3208" s="112" t="s">
        <v>84</v>
      </c>
      <c r="K3208" s="2" t="s">
        <v>84</v>
      </c>
      <c r="L3208" s="2">
        <v>0</v>
      </c>
      <c r="M3208" s="2" t="s">
        <v>84</v>
      </c>
      <c r="N3208" s="2" t="s">
        <v>84</v>
      </c>
      <c r="O3208" s="2" t="s">
        <v>841</v>
      </c>
      <c r="P3208" s="2" t="s">
        <v>2637</v>
      </c>
    </row>
    <row r="3209" spans="1:16" ht="22" customHeight="1" x14ac:dyDescent="0.15">
      <c r="A3209" s="10" t="str">
        <f t="shared" si="484"/>
        <v>528_10_30_10_polygon</v>
      </c>
      <c r="B3209" s="2">
        <v>528</v>
      </c>
      <c r="C3209" s="30" t="str">
        <f>VLOOKUP(B3209,gachas!A:C,3)</f>
        <v>ニューフェイスピックアップ</v>
      </c>
      <c r="D3209" s="21">
        <v>10</v>
      </c>
      <c r="E3209" s="2">
        <f t="shared" si="486"/>
        <v>30</v>
      </c>
      <c r="F3209" s="2">
        <v>10</v>
      </c>
      <c r="G3209" s="3" t="s">
        <v>22</v>
      </c>
      <c r="H3209" s="2">
        <v>50</v>
      </c>
      <c r="I3209" s="114" t="str">
        <f t="shared" si="485"/>
        <v>528100</v>
      </c>
      <c r="J3209" s="112" t="s">
        <v>84</v>
      </c>
      <c r="K3209" s="117" t="str">
        <f t="shared" ref="K3209" si="495">CONCATENATE(B3209,"105")</f>
        <v>528105</v>
      </c>
      <c r="L3209" s="2">
        <v>1</v>
      </c>
      <c r="M3209" s="2" t="s">
        <v>84</v>
      </c>
      <c r="N3209" s="2" t="s">
        <v>84</v>
      </c>
      <c r="O3209" s="2" t="s">
        <v>841</v>
      </c>
      <c r="P3209" s="2" t="s">
        <v>2636</v>
      </c>
    </row>
    <row r="3210" spans="1:16" ht="22" customHeight="1" x14ac:dyDescent="0.15">
      <c r="A3210" s="10" t="str">
        <f t="shared" si="484"/>
        <v>528_10_31_10_polygon</v>
      </c>
      <c r="B3210" s="2">
        <v>528</v>
      </c>
      <c r="C3210" s="30" t="str">
        <f>VLOOKUP(B3210,gachas!A:C,3)</f>
        <v>ニューフェイスピックアップ</v>
      </c>
      <c r="D3210" s="21">
        <v>10</v>
      </c>
      <c r="E3210" s="2">
        <f t="shared" si="486"/>
        <v>31</v>
      </c>
      <c r="F3210" s="2">
        <v>10</v>
      </c>
      <c r="G3210" s="3" t="s">
        <v>22</v>
      </c>
      <c r="H3210" s="2">
        <v>50</v>
      </c>
      <c r="I3210" s="114" t="str">
        <f t="shared" si="485"/>
        <v>528100</v>
      </c>
      <c r="J3210" s="112" t="s">
        <v>84</v>
      </c>
      <c r="K3210" s="2" t="s">
        <v>84</v>
      </c>
      <c r="L3210" s="2">
        <v>0</v>
      </c>
      <c r="M3210" s="2" t="s">
        <v>84</v>
      </c>
      <c r="N3210" s="2" t="s">
        <v>84</v>
      </c>
      <c r="O3210" s="2" t="s">
        <v>841</v>
      </c>
      <c r="P3210" s="2" t="s">
        <v>2637</v>
      </c>
    </row>
    <row r="3211" spans="1:16" ht="22" customHeight="1" x14ac:dyDescent="0.15">
      <c r="A3211" s="10" t="str">
        <f t="shared" si="484"/>
        <v>528_10_32_10_polygon</v>
      </c>
      <c r="B3211" s="2">
        <v>528</v>
      </c>
      <c r="C3211" s="30" t="str">
        <f>VLOOKUP(B3211,gachas!A:C,3)</f>
        <v>ニューフェイスピックアップ</v>
      </c>
      <c r="D3211" s="21">
        <v>10</v>
      </c>
      <c r="E3211" s="2">
        <f t="shared" si="486"/>
        <v>32</v>
      </c>
      <c r="F3211" s="2">
        <v>10</v>
      </c>
      <c r="G3211" s="3" t="s">
        <v>22</v>
      </c>
      <c r="H3211" s="2">
        <v>50</v>
      </c>
      <c r="I3211" s="114" t="str">
        <f t="shared" si="485"/>
        <v>528100</v>
      </c>
      <c r="J3211" s="112" t="s">
        <v>84</v>
      </c>
      <c r="K3211" s="2" t="s">
        <v>84</v>
      </c>
      <c r="L3211" s="2">
        <v>0</v>
      </c>
      <c r="M3211" s="2" t="s">
        <v>84</v>
      </c>
      <c r="N3211" s="2" t="s">
        <v>84</v>
      </c>
      <c r="O3211" s="2" t="s">
        <v>841</v>
      </c>
      <c r="P3211" s="2" t="s">
        <v>2637</v>
      </c>
    </row>
    <row r="3212" spans="1:16" ht="22" customHeight="1" x14ac:dyDescent="0.15">
      <c r="A3212" s="10" t="str">
        <f t="shared" si="484"/>
        <v>528_10_33_10_polygon</v>
      </c>
      <c r="B3212" s="2">
        <v>528</v>
      </c>
      <c r="C3212" s="30" t="str">
        <f>VLOOKUP(B3212,gachas!A:C,3)</f>
        <v>ニューフェイスピックアップ</v>
      </c>
      <c r="D3212" s="21">
        <v>10</v>
      </c>
      <c r="E3212" s="2">
        <f t="shared" si="486"/>
        <v>33</v>
      </c>
      <c r="F3212" s="2">
        <v>10</v>
      </c>
      <c r="G3212" s="3" t="s">
        <v>22</v>
      </c>
      <c r="H3212" s="2">
        <v>50</v>
      </c>
      <c r="I3212" s="114" t="str">
        <f t="shared" si="485"/>
        <v>528100</v>
      </c>
      <c r="J3212" s="112" t="s">
        <v>84</v>
      </c>
      <c r="K3212" s="117" t="str">
        <f t="shared" ref="K3212" si="496">CONCATENATE(B3212,"105")</f>
        <v>528105</v>
      </c>
      <c r="L3212" s="2">
        <v>1</v>
      </c>
      <c r="M3212" s="2" t="s">
        <v>84</v>
      </c>
      <c r="N3212" s="2" t="s">
        <v>84</v>
      </c>
      <c r="O3212" s="2" t="s">
        <v>841</v>
      </c>
      <c r="P3212" s="2" t="s">
        <v>2636</v>
      </c>
    </row>
    <row r="3213" spans="1:16" ht="22" customHeight="1" x14ac:dyDescent="0.15">
      <c r="A3213" s="10" t="str">
        <f t="shared" si="484"/>
        <v>528_10_34_10_polygon</v>
      </c>
      <c r="B3213" s="2">
        <v>528</v>
      </c>
      <c r="C3213" s="30" t="str">
        <f>VLOOKUP(B3213,gachas!A:C,3)</f>
        <v>ニューフェイスピックアップ</v>
      </c>
      <c r="D3213" s="21">
        <v>10</v>
      </c>
      <c r="E3213" s="2">
        <f t="shared" si="486"/>
        <v>34</v>
      </c>
      <c r="F3213" s="2">
        <v>10</v>
      </c>
      <c r="G3213" s="3" t="s">
        <v>22</v>
      </c>
      <c r="H3213" s="2">
        <v>50</v>
      </c>
      <c r="I3213" s="114" t="str">
        <f t="shared" si="485"/>
        <v>528100</v>
      </c>
      <c r="J3213" s="112" t="s">
        <v>84</v>
      </c>
      <c r="K3213" s="2" t="s">
        <v>84</v>
      </c>
      <c r="L3213" s="2">
        <v>0</v>
      </c>
      <c r="M3213" s="2" t="s">
        <v>84</v>
      </c>
      <c r="N3213" s="2" t="s">
        <v>84</v>
      </c>
      <c r="O3213" s="2" t="s">
        <v>841</v>
      </c>
      <c r="P3213" s="2" t="s">
        <v>2637</v>
      </c>
    </row>
    <row r="3214" spans="1:16" ht="22" customHeight="1" x14ac:dyDescent="0.15">
      <c r="A3214" s="10" t="str">
        <f t="shared" si="484"/>
        <v>528_10_35_10_polygon</v>
      </c>
      <c r="B3214" s="2">
        <v>528</v>
      </c>
      <c r="C3214" s="30" t="str">
        <f>VLOOKUP(B3214,gachas!A:C,3)</f>
        <v>ニューフェイスピックアップ</v>
      </c>
      <c r="D3214" s="21">
        <v>10</v>
      </c>
      <c r="E3214" s="2">
        <f t="shared" si="486"/>
        <v>35</v>
      </c>
      <c r="F3214" s="2">
        <v>10</v>
      </c>
      <c r="G3214" s="3" t="s">
        <v>22</v>
      </c>
      <c r="H3214" s="2">
        <v>50</v>
      </c>
      <c r="I3214" s="114" t="str">
        <f t="shared" si="485"/>
        <v>528100</v>
      </c>
      <c r="J3214" s="112" t="s">
        <v>84</v>
      </c>
      <c r="K3214" s="2" t="s">
        <v>84</v>
      </c>
      <c r="L3214" s="2">
        <v>0</v>
      </c>
      <c r="M3214" s="2" t="s">
        <v>84</v>
      </c>
      <c r="N3214" s="2" t="s">
        <v>84</v>
      </c>
      <c r="O3214" s="2" t="s">
        <v>841</v>
      </c>
      <c r="P3214" s="2" t="s">
        <v>2637</v>
      </c>
    </row>
    <row r="3215" spans="1:16" ht="22" customHeight="1" x14ac:dyDescent="0.15">
      <c r="A3215" s="10" t="str">
        <f t="shared" si="484"/>
        <v>528_10_36_10_polygon</v>
      </c>
      <c r="B3215" s="2">
        <v>528</v>
      </c>
      <c r="C3215" s="30" t="str">
        <f>VLOOKUP(B3215,gachas!A:C,3)</f>
        <v>ニューフェイスピックアップ</v>
      </c>
      <c r="D3215" s="21">
        <v>10</v>
      </c>
      <c r="E3215" s="2">
        <f t="shared" si="486"/>
        <v>36</v>
      </c>
      <c r="F3215" s="2">
        <v>10</v>
      </c>
      <c r="G3215" s="3" t="s">
        <v>22</v>
      </c>
      <c r="H3215" s="2">
        <v>50</v>
      </c>
      <c r="I3215" s="114" t="str">
        <f t="shared" si="485"/>
        <v>528100</v>
      </c>
      <c r="J3215" s="112" t="s">
        <v>84</v>
      </c>
      <c r="K3215" s="117" t="str">
        <f t="shared" ref="K3215" si="497">CONCATENATE(B3215,"105")</f>
        <v>528105</v>
      </c>
      <c r="L3215" s="2">
        <v>1</v>
      </c>
      <c r="M3215" s="2" t="s">
        <v>84</v>
      </c>
      <c r="N3215" s="2" t="s">
        <v>84</v>
      </c>
      <c r="O3215" s="2" t="s">
        <v>841</v>
      </c>
      <c r="P3215" s="2" t="s">
        <v>2636</v>
      </c>
    </row>
    <row r="3216" spans="1:16" ht="22" customHeight="1" x14ac:dyDescent="0.15">
      <c r="A3216" s="10" t="str">
        <f t="shared" si="484"/>
        <v>528_10_37_10_polygon</v>
      </c>
      <c r="B3216" s="2">
        <v>528</v>
      </c>
      <c r="C3216" s="30" t="str">
        <f>VLOOKUP(B3216,gachas!A:C,3)</f>
        <v>ニューフェイスピックアップ</v>
      </c>
      <c r="D3216" s="21">
        <v>10</v>
      </c>
      <c r="E3216" s="2">
        <f t="shared" si="486"/>
        <v>37</v>
      </c>
      <c r="F3216" s="2">
        <v>10</v>
      </c>
      <c r="G3216" s="3" t="s">
        <v>22</v>
      </c>
      <c r="H3216" s="2">
        <v>50</v>
      </c>
      <c r="I3216" s="114" t="str">
        <f t="shared" si="485"/>
        <v>528100</v>
      </c>
      <c r="J3216" s="112" t="s">
        <v>84</v>
      </c>
      <c r="K3216" s="2" t="s">
        <v>84</v>
      </c>
      <c r="L3216" s="2">
        <v>0</v>
      </c>
      <c r="M3216" s="2" t="s">
        <v>84</v>
      </c>
      <c r="N3216" s="2" t="s">
        <v>84</v>
      </c>
      <c r="O3216" s="2" t="s">
        <v>841</v>
      </c>
      <c r="P3216" s="2" t="s">
        <v>2637</v>
      </c>
    </row>
    <row r="3217" spans="1:16" ht="22" customHeight="1" x14ac:dyDescent="0.15">
      <c r="A3217" s="10" t="str">
        <f t="shared" si="484"/>
        <v>528_10_38_10_polygon</v>
      </c>
      <c r="B3217" s="2">
        <v>528</v>
      </c>
      <c r="C3217" s="30" t="str">
        <f>VLOOKUP(B3217,gachas!A:C,3)</f>
        <v>ニューフェイスピックアップ</v>
      </c>
      <c r="D3217" s="21">
        <v>10</v>
      </c>
      <c r="E3217" s="2">
        <f t="shared" si="486"/>
        <v>38</v>
      </c>
      <c r="F3217" s="2">
        <v>10</v>
      </c>
      <c r="G3217" s="3" t="s">
        <v>22</v>
      </c>
      <c r="H3217" s="2">
        <v>50</v>
      </c>
      <c r="I3217" s="114" t="str">
        <f t="shared" si="485"/>
        <v>528100</v>
      </c>
      <c r="J3217" s="112" t="s">
        <v>84</v>
      </c>
      <c r="K3217" s="2" t="s">
        <v>84</v>
      </c>
      <c r="L3217" s="2">
        <v>0</v>
      </c>
      <c r="M3217" s="2" t="s">
        <v>84</v>
      </c>
      <c r="N3217" s="2" t="s">
        <v>84</v>
      </c>
      <c r="O3217" s="2" t="s">
        <v>841</v>
      </c>
      <c r="P3217" s="2" t="s">
        <v>2637</v>
      </c>
    </row>
    <row r="3218" spans="1:16" ht="22" customHeight="1" x14ac:dyDescent="0.15">
      <c r="A3218" s="10" t="str">
        <f t="shared" si="484"/>
        <v>528_10_39_10_polygon</v>
      </c>
      <c r="B3218" s="2">
        <v>528</v>
      </c>
      <c r="C3218" s="30" t="str">
        <f>VLOOKUP(B3218,gachas!A:C,3)</f>
        <v>ニューフェイスピックアップ</v>
      </c>
      <c r="D3218" s="21">
        <v>10</v>
      </c>
      <c r="E3218" s="2">
        <f t="shared" si="486"/>
        <v>39</v>
      </c>
      <c r="F3218" s="2">
        <v>10</v>
      </c>
      <c r="G3218" s="3" t="s">
        <v>22</v>
      </c>
      <c r="H3218" s="2">
        <v>50</v>
      </c>
      <c r="I3218" s="114" t="str">
        <f t="shared" si="485"/>
        <v>528100</v>
      </c>
      <c r="J3218" s="112" t="s">
        <v>84</v>
      </c>
      <c r="K3218" s="117" t="str">
        <f t="shared" ref="K3218" si="498">CONCATENATE(B3218,"105")</f>
        <v>528105</v>
      </c>
      <c r="L3218" s="2">
        <v>1</v>
      </c>
      <c r="M3218" s="2" t="s">
        <v>84</v>
      </c>
      <c r="N3218" s="2" t="s">
        <v>84</v>
      </c>
      <c r="O3218" s="2" t="s">
        <v>841</v>
      </c>
      <c r="P3218" s="2" t="s">
        <v>2636</v>
      </c>
    </row>
    <row r="3219" spans="1:16" ht="22" customHeight="1" x14ac:dyDescent="0.15">
      <c r="A3219" s="10" t="str">
        <f t="shared" si="484"/>
        <v>528_10_40_10_polygon</v>
      </c>
      <c r="B3219" s="2">
        <v>528</v>
      </c>
      <c r="C3219" s="30" t="str">
        <f>VLOOKUP(B3219,gachas!A:C,3)</f>
        <v>ニューフェイスピックアップ</v>
      </c>
      <c r="D3219" s="21">
        <v>10</v>
      </c>
      <c r="E3219" s="2">
        <f t="shared" si="486"/>
        <v>40</v>
      </c>
      <c r="F3219" s="2">
        <v>10</v>
      </c>
      <c r="G3219" s="3" t="s">
        <v>22</v>
      </c>
      <c r="H3219" s="2">
        <v>50</v>
      </c>
      <c r="I3219" s="114" t="str">
        <f t="shared" si="485"/>
        <v>528100</v>
      </c>
      <c r="J3219" s="112" t="s">
        <v>84</v>
      </c>
      <c r="K3219" s="2" t="s">
        <v>84</v>
      </c>
      <c r="L3219" s="2">
        <v>0</v>
      </c>
      <c r="M3219" s="2" t="s">
        <v>84</v>
      </c>
      <c r="N3219" s="2" t="s">
        <v>84</v>
      </c>
      <c r="O3219" s="2" t="s">
        <v>841</v>
      </c>
      <c r="P3219" s="2" t="s">
        <v>2637</v>
      </c>
    </row>
    <row r="3220" spans="1:16" ht="22" customHeight="1" x14ac:dyDescent="0.15">
      <c r="A3220" s="10" t="str">
        <f t="shared" si="484"/>
        <v>528_10_41_10_polygon</v>
      </c>
      <c r="B3220" s="2">
        <v>528</v>
      </c>
      <c r="C3220" s="30" t="str">
        <f>VLOOKUP(B3220,gachas!A:C,3)</f>
        <v>ニューフェイスピックアップ</v>
      </c>
      <c r="D3220" s="21">
        <v>10</v>
      </c>
      <c r="E3220" s="2">
        <f t="shared" si="486"/>
        <v>41</v>
      </c>
      <c r="F3220" s="2">
        <v>10</v>
      </c>
      <c r="G3220" s="3" t="s">
        <v>22</v>
      </c>
      <c r="H3220" s="2">
        <v>50</v>
      </c>
      <c r="I3220" s="114" t="str">
        <f t="shared" si="485"/>
        <v>528100</v>
      </c>
      <c r="J3220" s="112" t="s">
        <v>84</v>
      </c>
      <c r="K3220" s="2" t="s">
        <v>84</v>
      </c>
      <c r="L3220" s="2">
        <v>0</v>
      </c>
      <c r="M3220" s="2" t="s">
        <v>84</v>
      </c>
      <c r="N3220" s="2" t="s">
        <v>84</v>
      </c>
      <c r="O3220" s="2" t="s">
        <v>841</v>
      </c>
      <c r="P3220" s="2" t="s">
        <v>2637</v>
      </c>
    </row>
    <row r="3221" spans="1:16" ht="22" customHeight="1" x14ac:dyDescent="0.15">
      <c r="A3221" s="10" t="str">
        <f t="shared" si="484"/>
        <v>528_10_42_10_polygon</v>
      </c>
      <c r="B3221" s="2">
        <v>528</v>
      </c>
      <c r="C3221" s="30" t="str">
        <f>VLOOKUP(B3221,gachas!A:C,3)</f>
        <v>ニューフェイスピックアップ</v>
      </c>
      <c r="D3221" s="21">
        <v>10</v>
      </c>
      <c r="E3221" s="2">
        <f t="shared" si="486"/>
        <v>42</v>
      </c>
      <c r="F3221" s="2">
        <v>10</v>
      </c>
      <c r="G3221" s="3" t="s">
        <v>22</v>
      </c>
      <c r="H3221" s="2">
        <v>50</v>
      </c>
      <c r="I3221" s="114" t="str">
        <f t="shared" si="485"/>
        <v>528100</v>
      </c>
      <c r="J3221" s="112" t="s">
        <v>84</v>
      </c>
      <c r="K3221" s="117" t="str">
        <f t="shared" ref="K3221" si="499">CONCATENATE(B3221,"105")</f>
        <v>528105</v>
      </c>
      <c r="L3221" s="2">
        <v>1</v>
      </c>
      <c r="M3221" s="2" t="s">
        <v>84</v>
      </c>
      <c r="N3221" s="2" t="s">
        <v>84</v>
      </c>
      <c r="O3221" s="2" t="s">
        <v>841</v>
      </c>
      <c r="P3221" s="2" t="s">
        <v>2636</v>
      </c>
    </row>
    <row r="3222" spans="1:16" ht="22" customHeight="1" x14ac:dyDescent="0.15">
      <c r="A3222" s="10" t="str">
        <f t="shared" si="484"/>
        <v>528_10_43_10_polygon</v>
      </c>
      <c r="B3222" s="2">
        <v>528</v>
      </c>
      <c r="C3222" s="30" t="str">
        <f>VLOOKUP(B3222,gachas!A:C,3)</f>
        <v>ニューフェイスピックアップ</v>
      </c>
      <c r="D3222" s="21">
        <v>10</v>
      </c>
      <c r="E3222" s="2">
        <f t="shared" si="486"/>
        <v>43</v>
      </c>
      <c r="F3222" s="2">
        <v>10</v>
      </c>
      <c r="G3222" s="3" t="s">
        <v>22</v>
      </c>
      <c r="H3222" s="2">
        <v>50</v>
      </c>
      <c r="I3222" s="114" t="str">
        <f t="shared" si="485"/>
        <v>528100</v>
      </c>
      <c r="J3222" s="112" t="s">
        <v>84</v>
      </c>
      <c r="K3222" s="2" t="s">
        <v>84</v>
      </c>
      <c r="L3222" s="2">
        <v>0</v>
      </c>
      <c r="M3222" s="2" t="s">
        <v>84</v>
      </c>
      <c r="N3222" s="2" t="s">
        <v>84</v>
      </c>
      <c r="O3222" s="2" t="s">
        <v>841</v>
      </c>
      <c r="P3222" s="2" t="s">
        <v>2637</v>
      </c>
    </row>
    <row r="3223" spans="1:16" ht="22" customHeight="1" x14ac:dyDescent="0.15">
      <c r="A3223" s="10" t="str">
        <f t="shared" si="484"/>
        <v>528_10_44_10_polygon</v>
      </c>
      <c r="B3223" s="2">
        <v>528</v>
      </c>
      <c r="C3223" s="30" t="str">
        <f>VLOOKUP(B3223,gachas!A:C,3)</f>
        <v>ニューフェイスピックアップ</v>
      </c>
      <c r="D3223" s="21">
        <v>10</v>
      </c>
      <c r="E3223" s="2">
        <f t="shared" si="486"/>
        <v>44</v>
      </c>
      <c r="F3223" s="2">
        <v>10</v>
      </c>
      <c r="G3223" s="3" t="s">
        <v>22</v>
      </c>
      <c r="H3223" s="2">
        <v>50</v>
      </c>
      <c r="I3223" s="114" t="str">
        <f t="shared" si="485"/>
        <v>528100</v>
      </c>
      <c r="J3223" s="112" t="s">
        <v>84</v>
      </c>
      <c r="K3223" s="2" t="s">
        <v>84</v>
      </c>
      <c r="L3223" s="2">
        <v>0</v>
      </c>
      <c r="M3223" s="2" t="s">
        <v>84</v>
      </c>
      <c r="N3223" s="2" t="s">
        <v>84</v>
      </c>
      <c r="O3223" s="2" t="s">
        <v>841</v>
      </c>
      <c r="P3223" s="2" t="s">
        <v>2637</v>
      </c>
    </row>
    <row r="3224" spans="1:16" ht="22" customHeight="1" x14ac:dyDescent="0.15">
      <c r="A3224" s="10" t="str">
        <f t="shared" si="484"/>
        <v>528_10_45_10_polygon</v>
      </c>
      <c r="B3224" s="2">
        <v>528</v>
      </c>
      <c r="C3224" s="30" t="str">
        <f>VLOOKUP(B3224,gachas!A:C,3)</f>
        <v>ニューフェイスピックアップ</v>
      </c>
      <c r="D3224" s="21">
        <v>10</v>
      </c>
      <c r="E3224" s="2">
        <f t="shared" si="486"/>
        <v>45</v>
      </c>
      <c r="F3224" s="2">
        <v>10</v>
      </c>
      <c r="G3224" s="3" t="s">
        <v>22</v>
      </c>
      <c r="H3224" s="2">
        <v>50</v>
      </c>
      <c r="I3224" s="114" t="str">
        <f t="shared" si="485"/>
        <v>528100</v>
      </c>
      <c r="J3224" s="112" t="s">
        <v>84</v>
      </c>
      <c r="K3224" s="117" t="str">
        <f t="shared" ref="K3224" si="500">CONCATENATE(B3224,"105")</f>
        <v>528105</v>
      </c>
      <c r="L3224" s="2">
        <v>1</v>
      </c>
      <c r="M3224" s="2" t="s">
        <v>84</v>
      </c>
      <c r="N3224" s="2" t="s">
        <v>84</v>
      </c>
      <c r="O3224" s="2" t="s">
        <v>841</v>
      </c>
      <c r="P3224" s="2" t="s">
        <v>2636</v>
      </c>
    </row>
    <row r="3225" spans="1:16" ht="22" customHeight="1" x14ac:dyDescent="0.15">
      <c r="A3225" s="10" t="str">
        <f t="shared" si="484"/>
        <v>528_10_46_10_polygon</v>
      </c>
      <c r="B3225" s="2">
        <v>528</v>
      </c>
      <c r="C3225" s="30" t="str">
        <f>VLOOKUP(B3225,gachas!A:C,3)</f>
        <v>ニューフェイスピックアップ</v>
      </c>
      <c r="D3225" s="21">
        <v>10</v>
      </c>
      <c r="E3225" s="2">
        <f t="shared" si="486"/>
        <v>46</v>
      </c>
      <c r="F3225" s="2">
        <v>10</v>
      </c>
      <c r="G3225" s="3" t="s">
        <v>22</v>
      </c>
      <c r="H3225" s="2">
        <v>50</v>
      </c>
      <c r="I3225" s="114" t="str">
        <f t="shared" si="485"/>
        <v>528100</v>
      </c>
      <c r="J3225" s="112" t="s">
        <v>84</v>
      </c>
      <c r="K3225" s="2" t="s">
        <v>84</v>
      </c>
      <c r="L3225" s="2">
        <v>0</v>
      </c>
      <c r="M3225" s="2" t="s">
        <v>84</v>
      </c>
      <c r="N3225" s="2" t="s">
        <v>84</v>
      </c>
      <c r="O3225" s="2" t="s">
        <v>841</v>
      </c>
      <c r="P3225" s="2" t="s">
        <v>2637</v>
      </c>
    </row>
    <row r="3226" spans="1:16" ht="22" customHeight="1" x14ac:dyDescent="0.15">
      <c r="A3226" s="10" t="str">
        <f t="shared" si="484"/>
        <v>528_10_47_10_polygon</v>
      </c>
      <c r="B3226" s="2">
        <v>528</v>
      </c>
      <c r="C3226" s="30" t="str">
        <f>VLOOKUP(B3226,gachas!A:C,3)</f>
        <v>ニューフェイスピックアップ</v>
      </c>
      <c r="D3226" s="21">
        <v>10</v>
      </c>
      <c r="E3226" s="2">
        <f t="shared" si="486"/>
        <v>47</v>
      </c>
      <c r="F3226" s="2">
        <v>10</v>
      </c>
      <c r="G3226" s="3" t="s">
        <v>22</v>
      </c>
      <c r="H3226" s="2">
        <v>50</v>
      </c>
      <c r="I3226" s="114" t="str">
        <f t="shared" si="485"/>
        <v>528100</v>
      </c>
      <c r="J3226" s="112" t="s">
        <v>84</v>
      </c>
      <c r="K3226" s="2" t="s">
        <v>84</v>
      </c>
      <c r="L3226" s="2">
        <v>0</v>
      </c>
      <c r="M3226" s="2" t="s">
        <v>84</v>
      </c>
      <c r="N3226" s="2" t="s">
        <v>84</v>
      </c>
      <c r="O3226" s="2" t="s">
        <v>841</v>
      </c>
      <c r="P3226" s="2" t="s">
        <v>2637</v>
      </c>
    </row>
    <row r="3227" spans="1:16" ht="22" customHeight="1" x14ac:dyDescent="0.15">
      <c r="A3227" s="10" t="str">
        <f t="shared" si="484"/>
        <v>528_10_48_10_polygon</v>
      </c>
      <c r="B3227" s="2">
        <v>528</v>
      </c>
      <c r="C3227" s="30" t="str">
        <f>VLOOKUP(B3227,gachas!A:C,3)</f>
        <v>ニューフェイスピックアップ</v>
      </c>
      <c r="D3227" s="21">
        <v>10</v>
      </c>
      <c r="E3227" s="2">
        <f t="shared" si="486"/>
        <v>48</v>
      </c>
      <c r="F3227" s="2">
        <v>10</v>
      </c>
      <c r="G3227" s="3" t="s">
        <v>22</v>
      </c>
      <c r="H3227" s="2">
        <v>50</v>
      </c>
      <c r="I3227" s="114" t="str">
        <f t="shared" si="485"/>
        <v>528100</v>
      </c>
      <c r="J3227" s="112" t="s">
        <v>84</v>
      </c>
      <c r="K3227" s="117" t="str">
        <f t="shared" ref="K3227" si="501">CONCATENATE(B3227,"105")</f>
        <v>528105</v>
      </c>
      <c r="L3227" s="2">
        <v>1</v>
      </c>
      <c r="M3227" s="2" t="s">
        <v>84</v>
      </c>
      <c r="N3227" s="2" t="s">
        <v>84</v>
      </c>
      <c r="O3227" s="2" t="s">
        <v>841</v>
      </c>
      <c r="P3227" s="2" t="s">
        <v>2636</v>
      </c>
    </row>
    <row r="3228" spans="1:16" ht="22" customHeight="1" x14ac:dyDescent="0.15">
      <c r="A3228" s="10" t="str">
        <f t="shared" si="484"/>
        <v>528_10_49_10_polygon</v>
      </c>
      <c r="B3228" s="2">
        <v>528</v>
      </c>
      <c r="C3228" s="30" t="str">
        <f>VLOOKUP(B3228,gachas!A:C,3)</f>
        <v>ニューフェイスピックアップ</v>
      </c>
      <c r="D3228" s="21">
        <v>10</v>
      </c>
      <c r="E3228" s="2">
        <f t="shared" si="486"/>
        <v>49</v>
      </c>
      <c r="F3228" s="2">
        <v>10</v>
      </c>
      <c r="G3228" s="3" t="s">
        <v>22</v>
      </c>
      <c r="H3228" s="2">
        <v>50</v>
      </c>
      <c r="I3228" s="114" t="str">
        <f t="shared" si="485"/>
        <v>528100</v>
      </c>
      <c r="J3228" s="112" t="s">
        <v>84</v>
      </c>
      <c r="K3228" s="2" t="s">
        <v>84</v>
      </c>
      <c r="L3228" s="2">
        <v>0</v>
      </c>
      <c r="M3228" s="2" t="s">
        <v>84</v>
      </c>
      <c r="N3228" s="2" t="s">
        <v>84</v>
      </c>
      <c r="O3228" s="2" t="s">
        <v>841</v>
      </c>
      <c r="P3228" s="2" t="s">
        <v>2637</v>
      </c>
    </row>
    <row r="3229" spans="1:16" ht="22" customHeight="1" x14ac:dyDescent="0.15">
      <c r="A3229" s="10" t="str">
        <f t="shared" si="484"/>
        <v>528_10_50_10_polygon</v>
      </c>
      <c r="B3229" s="2">
        <v>528</v>
      </c>
      <c r="C3229" s="30" t="str">
        <f>VLOOKUP(B3229,gachas!A:C,3)</f>
        <v>ニューフェイスピックアップ</v>
      </c>
      <c r="D3229" s="21">
        <v>10</v>
      </c>
      <c r="E3229" s="2">
        <f t="shared" si="486"/>
        <v>50</v>
      </c>
      <c r="F3229" s="2">
        <v>10</v>
      </c>
      <c r="G3229" s="3" t="s">
        <v>22</v>
      </c>
      <c r="H3229" s="2">
        <v>50</v>
      </c>
      <c r="I3229" s="114" t="str">
        <f t="shared" si="485"/>
        <v>528100</v>
      </c>
      <c r="J3229" s="112" t="s">
        <v>84</v>
      </c>
      <c r="K3229" s="2" t="s">
        <v>84</v>
      </c>
      <c r="L3229" s="2">
        <v>0</v>
      </c>
      <c r="M3229" s="2" t="s">
        <v>84</v>
      </c>
      <c r="N3229" s="2" t="s">
        <v>84</v>
      </c>
      <c r="O3229" s="2" t="s">
        <v>841</v>
      </c>
      <c r="P3229" s="2" t="s">
        <v>2637</v>
      </c>
    </row>
    <row r="3230" spans="1:16" ht="22" customHeight="1" x14ac:dyDescent="0.15">
      <c r="A3230" s="10" t="str">
        <f t="shared" ref="A3230:A3303" si="502">B3230&amp;"_"&amp;D3230&amp;"_"&amp;E3230&amp;"_"&amp;F3230&amp;"_"&amp;G3230</f>
        <v>528_10_51_10_polygon</v>
      </c>
      <c r="B3230" s="2">
        <v>528</v>
      </c>
      <c r="C3230" s="30" t="str">
        <f>VLOOKUP(B3230,gachas!A:C,3)</f>
        <v>ニューフェイスピックアップ</v>
      </c>
      <c r="D3230" s="21">
        <v>10</v>
      </c>
      <c r="E3230" s="2">
        <f t="shared" si="486"/>
        <v>51</v>
      </c>
      <c r="F3230" s="2">
        <v>10</v>
      </c>
      <c r="G3230" s="3" t="s">
        <v>22</v>
      </c>
      <c r="H3230" s="2">
        <v>50</v>
      </c>
      <c r="I3230" s="114" t="str">
        <f t="shared" ref="I3230:I3300" si="503">CONCATENATE(B3230,IF(D3230=1,"01","10"),0)</f>
        <v>528100</v>
      </c>
      <c r="J3230" s="112" t="s">
        <v>84</v>
      </c>
      <c r="K3230" s="117" t="str">
        <f t="shared" ref="K3230" si="504">CONCATENATE(B3230,"105")</f>
        <v>528105</v>
      </c>
      <c r="L3230" s="2">
        <v>1</v>
      </c>
      <c r="M3230" s="2" t="s">
        <v>84</v>
      </c>
      <c r="N3230" s="2" t="s">
        <v>84</v>
      </c>
      <c r="O3230" s="2" t="s">
        <v>841</v>
      </c>
      <c r="P3230" s="2" t="s">
        <v>2636</v>
      </c>
    </row>
    <row r="3231" spans="1:16" ht="22" customHeight="1" x14ac:dyDescent="0.15">
      <c r="A3231" s="10" t="str">
        <f t="shared" si="502"/>
        <v>528_10_52_10_polygon</v>
      </c>
      <c r="B3231" s="2">
        <v>528</v>
      </c>
      <c r="C3231" s="30" t="str">
        <f>VLOOKUP(B3231,gachas!A:C,3)</f>
        <v>ニューフェイスピックアップ</v>
      </c>
      <c r="D3231" s="21">
        <v>10</v>
      </c>
      <c r="E3231" s="2">
        <f t="shared" si="486"/>
        <v>52</v>
      </c>
      <c r="F3231" s="2">
        <v>10</v>
      </c>
      <c r="G3231" s="3" t="s">
        <v>22</v>
      </c>
      <c r="H3231" s="2">
        <v>50</v>
      </c>
      <c r="I3231" s="114" t="str">
        <f t="shared" si="503"/>
        <v>528100</v>
      </c>
      <c r="J3231" s="112" t="s">
        <v>84</v>
      </c>
      <c r="K3231" s="2" t="s">
        <v>84</v>
      </c>
      <c r="L3231" s="2">
        <v>0</v>
      </c>
      <c r="M3231" s="2" t="s">
        <v>84</v>
      </c>
      <c r="N3231" s="2" t="s">
        <v>84</v>
      </c>
      <c r="O3231" s="2" t="s">
        <v>841</v>
      </c>
      <c r="P3231" s="2" t="s">
        <v>2637</v>
      </c>
    </row>
    <row r="3232" spans="1:16" ht="22" customHeight="1" x14ac:dyDescent="0.15">
      <c r="A3232" s="10" t="str">
        <f t="shared" si="502"/>
        <v>528_10_53_10_polygon</v>
      </c>
      <c r="B3232" s="2">
        <v>528</v>
      </c>
      <c r="C3232" s="30" t="str">
        <f>VLOOKUP(B3232,gachas!A:C,3)</f>
        <v>ニューフェイスピックアップ</v>
      </c>
      <c r="D3232" s="21">
        <v>10</v>
      </c>
      <c r="E3232" s="2">
        <f t="shared" si="486"/>
        <v>53</v>
      </c>
      <c r="F3232" s="2">
        <v>10</v>
      </c>
      <c r="G3232" s="3" t="s">
        <v>22</v>
      </c>
      <c r="H3232" s="2">
        <v>50</v>
      </c>
      <c r="I3232" s="114" t="str">
        <f t="shared" si="503"/>
        <v>528100</v>
      </c>
      <c r="J3232" s="112" t="s">
        <v>84</v>
      </c>
      <c r="K3232" s="2" t="s">
        <v>84</v>
      </c>
      <c r="L3232" s="2">
        <v>0</v>
      </c>
      <c r="M3232" s="2" t="s">
        <v>84</v>
      </c>
      <c r="N3232" s="2" t="s">
        <v>84</v>
      </c>
      <c r="O3232" s="2" t="s">
        <v>841</v>
      </c>
      <c r="P3232" s="2" t="s">
        <v>2637</v>
      </c>
    </row>
    <row r="3233" spans="1:16" ht="22" customHeight="1" x14ac:dyDescent="0.15">
      <c r="A3233" s="10" t="str">
        <f t="shared" si="502"/>
        <v>528_10_54_10_polygon</v>
      </c>
      <c r="B3233" s="2">
        <v>528</v>
      </c>
      <c r="C3233" s="30" t="str">
        <f>VLOOKUP(B3233,gachas!A:C,3)</f>
        <v>ニューフェイスピックアップ</v>
      </c>
      <c r="D3233" s="21">
        <v>10</v>
      </c>
      <c r="E3233" s="2">
        <f t="shared" si="486"/>
        <v>54</v>
      </c>
      <c r="F3233" s="2">
        <v>10</v>
      </c>
      <c r="G3233" s="3" t="s">
        <v>22</v>
      </c>
      <c r="H3233" s="2">
        <v>50</v>
      </c>
      <c r="I3233" s="114" t="str">
        <f t="shared" si="503"/>
        <v>528100</v>
      </c>
      <c r="J3233" s="112" t="s">
        <v>84</v>
      </c>
      <c r="K3233" s="117" t="str">
        <f t="shared" ref="K3233" si="505">CONCATENATE(B3233,"105")</f>
        <v>528105</v>
      </c>
      <c r="L3233" s="2">
        <v>1</v>
      </c>
      <c r="M3233" s="2" t="s">
        <v>84</v>
      </c>
      <c r="N3233" s="2" t="s">
        <v>84</v>
      </c>
      <c r="O3233" s="2" t="s">
        <v>841</v>
      </c>
      <c r="P3233" s="2" t="s">
        <v>2636</v>
      </c>
    </row>
    <row r="3234" spans="1:16" ht="22" customHeight="1" x14ac:dyDescent="0.15">
      <c r="A3234" s="10" t="str">
        <f t="shared" si="502"/>
        <v>528_10_55_10_polygon</v>
      </c>
      <c r="B3234" s="2">
        <v>528</v>
      </c>
      <c r="C3234" s="30" t="str">
        <f>VLOOKUP(B3234,gachas!A:C,3)</f>
        <v>ニューフェイスピックアップ</v>
      </c>
      <c r="D3234" s="21">
        <v>10</v>
      </c>
      <c r="E3234" s="2">
        <f t="shared" si="486"/>
        <v>55</v>
      </c>
      <c r="F3234" s="2">
        <v>10</v>
      </c>
      <c r="G3234" s="3" t="s">
        <v>22</v>
      </c>
      <c r="H3234" s="2">
        <v>50</v>
      </c>
      <c r="I3234" s="114" t="str">
        <f t="shared" si="503"/>
        <v>528100</v>
      </c>
      <c r="J3234" s="112" t="s">
        <v>84</v>
      </c>
      <c r="K3234" s="2" t="s">
        <v>84</v>
      </c>
      <c r="L3234" s="2">
        <v>0</v>
      </c>
      <c r="M3234" s="2" t="s">
        <v>84</v>
      </c>
      <c r="N3234" s="2" t="s">
        <v>84</v>
      </c>
      <c r="O3234" s="2" t="s">
        <v>841</v>
      </c>
      <c r="P3234" s="2" t="s">
        <v>2637</v>
      </c>
    </row>
    <row r="3235" spans="1:16" ht="22" customHeight="1" x14ac:dyDescent="0.15">
      <c r="A3235" s="10" t="str">
        <f t="shared" si="502"/>
        <v>528_10_56_10_polygon</v>
      </c>
      <c r="B3235" s="2">
        <v>528</v>
      </c>
      <c r="C3235" s="30" t="str">
        <f>VLOOKUP(B3235,gachas!A:C,3)</f>
        <v>ニューフェイスピックアップ</v>
      </c>
      <c r="D3235" s="21">
        <v>10</v>
      </c>
      <c r="E3235" s="2">
        <f t="shared" si="486"/>
        <v>56</v>
      </c>
      <c r="F3235" s="2">
        <v>10</v>
      </c>
      <c r="G3235" s="3" t="s">
        <v>22</v>
      </c>
      <c r="H3235" s="2">
        <v>50</v>
      </c>
      <c r="I3235" s="114" t="str">
        <f t="shared" si="503"/>
        <v>528100</v>
      </c>
      <c r="J3235" s="112" t="s">
        <v>84</v>
      </c>
      <c r="K3235" s="2" t="s">
        <v>84</v>
      </c>
      <c r="L3235" s="2">
        <v>0</v>
      </c>
      <c r="M3235" s="2" t="s">
        <v>84</v>
      </c>
      <c r="N3235" s="2" t="s">
        <v>84</v>
      </c>
      <c r="O3235" s="2" t="s">
        <v>841</v>
      </c>
      <c r="P3235" s="2" t="s">
        <v>2637</v>
      </c>
    </row>
    <row r="3236" spans="1:16" ht="22" customHeight="1" x14ac:dyDescent="0.15">
      <c r="A3236" s="10" t="str">
        <f t="shared" si="502"/>
        <v>528_10_57_10_polygon</v>
      </c>
      <c r="B3236" s="2">
        <v>528</v>
      </c>
      <c r="C3236" s="30" t="str">
        <f>VLOOKUP(B3236,gachas!A:C,3)</f>
        <v>ニューフェイスピックアップ</v>
      </c>
      <c r="D3236" s="21">
        <v>10</v>
      </c>
      <c r="E3236" s="2">
        <f t="shared" si="486"/>
        <v>57</v>
      </c>
      <c r="F3236" s="2">
        <v>10</v>
      </c>
      <c r="G3236" s="3" t="s">
        <v>22</v>
      </c>
      <c r="H3236" s="2">
        <v>50</v>
      </c>
      <c r="I3236" s="114" t="str">
        <f t="shared" si="503"/>
        <v>528100</v>
      </c>
      <c r="J3236" s="112" t="s">
        <v>84</v>
      </c>
      <c r="K3236" s="117" t="str">
        <f t="shared" ref="K3236" si="506">CONCATENATE(B3236,"105")</f>
        <v>528105</v>
      </c>
      <c r="L3236" s="2">
        <v>1</v>
      </c>
      <c r="M3236" s="2" t="s">
        <v>84</v>
      </c>
      <c r="N3236" s="2" t="s">
        <v>84</v>
      </c>
      <c r="O3236" s="2" t="s">
        <v>841</v>
      </c>
      <c r="P3236" s="2" t="s">
        <v>2636</v>
      </c>
    </row>
    <row r="3237" spans="1:16" ht="22" customHeight="1" x14ac:dyDescent="0.15">
      <c r="A3237" s="10" t="str">
        <f t="shared" si="502"/>
        <v>528_10_58_10_polygon</v>
      </c>
      <c r="B3237" s="2">
        <v>528</v>
      </c>
      <c r="C3237" s="30" t="str">
        <f>VLOOKUP(B3237,gachas!A:C,3)</f>
        <v>ニューフェイスピックアップ</v>
      </c>
      <c r="D3237" s="21">
        <v>10</v>
      </c>
      <c r="E3237" s="2">
        <f t="shared" si="486"/>
        <v>58</v>
      </c>
      <c r="F3237" s="2">
        <v>10</v>
      </c>
      <c r="G3237" s="3" t="s">
        <v>22</v>
      </c>
      <c r="H3237" s="2">
        <v>50</v>
      </c>
      <c r="I3237" s="114" t="str">
        <f t="shared" si="503"/>
        <v>528100</v>
      </c>
      <c r="J3237" s="112" t="s">
        <v>84</v>
      </c>
      <c r="K3237" s="2" t="s">
        <v>84</v>
      </c>
      <c r="L3237" s="2">
        <v>0</v>
      </c>
      <c r="M3237" s="2" t="s">
        <v>84</v>
      </c>
      <c r="N3237" s="2" t="s">
        <v>84</v>
      </c>
      <c r="O3237" s="2" t="s">
        <v>841</v>
      </c>
      <c r="P3237" s="2" t="s">
        <v>2637</v>
      </c>
    </row>
    <row r="3238" spans="1:16" ht="22" customHeight="1" x14ac:dyDescent="0.15">
      <c r="A3238" s="10" t="str">
        <f t="shared" si="502"/>
        <v>528_10_59_10_polygon</v>
      </c>
      <c r="B3238" s="2">
        <v>528</v>
      </c>
      <c r="C3238" s="30" t="str">
        <f>VLOOKUP(B3238,gachas!A:C,3)</f>
        <v>ニューフェイスピックアップ</v>
      </c>
      <c r="D3238" s="21">
        <v>10</v>
      </c>
      <c r="E3238" s="2">
        <f t="shared" si="486"/>
        <v>59</v>
      </c>
      <c r="F3238" s="2">
        <v>10</v>
      </c>
      <c r="G3238" s="3" t="s">
        <v>22</v>
      </c>
      <c r="H3238" s="2">
        <v>50</v>
      </c>
      <c r="I3238" s="114" t="str">
        <f t="shared" si="503"/>
        <v>528100</v>
      </c>
      <c r="J3238" s="112" t="s">
        <v>84</v>
      </c>
      <c r="K3238" s="2" t="s">
        <v>84</v>
      </c>
      <c r="L3238" s="2">
        <v>0</v>
      </c>
      <c r="M3238" s="2" t="s">
        <v>84</v>
      </c>
      <c r="N3238" s="2" t="s">
        <v>84</v>
      </c>
      <c r="O3238" s="2" t="s">
        <v>841</v>
      </c>
      <c r="P3238" s="2" t="s">
        <v>2637</v>
      </c>
    </row>
    <row r="3239" spans="1:16" ht="22" customHeight="1" x14ac:dyDescent="0.15">
      <c r="A3239" s="10" t="str">
        <f t="shared" si="502"/>
        <v>528_10_60_10_polygon</v>
      </c>
      <c r="B3239" s="2">
        <v>528</v>
      </c>
      <c r="C3239" s="30" t="str">
        <f>VLOOKUP(B3239,gachas!A:C,3)</f>
        <v>ニューフェイスピックアップ</v>
      </c>
      <c r="D3239" s="21">
        <v>10</v>
      </c>
      <c r="E3239" s="2">
        <f t="shared" si="486"/>
        <v>60</v>
      </c>
      <c r="F3239" s="2">
        <v>10</v>
      </c>
      <c r="G3239" s="3" t="s">
        <v>22</v>
      </c>
      <c r="H3239" s="2">
        <v>50</v>
      </c>
      <c r="I3239" s="114" t="str">
        <f t="shared" si="503"/>
        <v>528100</v>
      </c>
      <c r="J3239" s="112" t="s">
        <v>84</v>
      </c>
      <c r="K3239" s="117" t="str">
        <f t="shared" ref="K3239" si="507">CONCATENATE(B3239,"105")</f>
        <v>528105</v>
      </c>
      <c r="L3239" s="2">
        <v>1</v>
      </c>
      <c r="M3239" s="2" t="s">
        <v>84</v>
      </c>
      <c r="N3239" s="2" t="s">
        <v>84</v>
      </c>
      <c r="O3239" s="2" t="s">
        <v>841</v>
      </c>
      <c r="P3239" s="2" t="s">
        <v>2636</v>
      </c>
    </row>
    <row r="3240" spans="1:16" ht="22" customHeight="1" x14ac:dyDescent="0.15">
      <c r="A3240" s="10" t="str">
        <f t="shared" si="502"/>
        <v>529_1_0_1_polygon</v>
      </c>
      <c r="B3240" s="2">
        <v>529</v>
      </c>
      <c r="C3240" s="30" t="str">
        <f>VLOOKUP(B3240,gachas!A:C,3)</f>
        <v>スペシャルサマーガチャ＋SideA</v>
      </c>
      <c r="D3240" s="21">
        <v>1</v>
      </c>
      <c r="E3240" s="2">
        <v>0</v>
      </c>
      <c r="F3240" s="2">
        <v>1</v>
      </c>
      <c r="G3240" s="3" t="s">
        <v>22</v>
      </c>
      <c r="H3240" s="2">
        <v>5</v>
      </c>
      <c r="I3240" s="114" t="str">
        <f t="shared" si="503"/>
        <v>529010</v>
      </c>
      <c r="J3240" s="112" t="s">
        <v>84</v>
      </c>
      <c r="K3240" s="2" t="s">
        <v>84</v>
      </c>
      <c r="L3240" s="2">
        <v>0</v>
      </c>
      <c r="M3240" s="2" t="s">
        <v>84</v>
      </c>
      <c r="N3240" s="2" t="s">
        <v>84</v>
      </c>
      <c r="O3240" s="2" t="s">
        <v>841</v>
      </c>
      <c r="P3240" s="2" t="s">
        <v>86</v>
      </c>
    </row>
    <row r="3241" spans="1:16" ht="22" customHeight="1" x14ac:dyDescent="0.15">
      <c r="A3241" s="10" t="str">
        <f t="shared" ref="A3241" si="508">B3241&amp;"_"&amp;D3241&amp;"_"&amp;E3241&amp;"_"&amp;F3241&amp;"_"&amp;G3241</f>
        <v>529_10_0_10_polygon</v>
      </c>
      <c r="B3241" s="2">
        <v>529</v>
      </c>
      <c r="C3241" s="30" t="str">
        <f>VLOOKUP(B3241,gachas!A:C,3)</f>
        <v>スペシャルサマーガチャ＋SideA</v>
      </c>
      <c r="D3241" s="21">
        <v>10</v>
      </c>
      <c r="E3241" s="2">
        <v>0</v>
      </c>
      <c r="F3241" s="2">
        <v>10</v>
      </c>
      <c r="G3241" s="3" t="s">
        <v>22</v>
      </c>
      <c r="H3241" s="2">
        <v>50</v>
      </c>
      <c r="I3241" s="114" t="str">
        <f t="shared" ref="I3241" si="509">CONCATENATE(B3241,IF(D3241=1,"01","10"),0)</f>
        <v>529100</v>
      </c>
      <c r="J3241" s="112" t="s">
        <v>84</v>
      </c>
      <c r="K3241" s="112" t="str">
        <f t="shared" ref="K3241" si="510">I3241</f>
        <v>529100</v>
      </c>
      <c r="L3241" s="2">
        <v>1</v>
      </c>
      <c r="M3241" s="2" t="s">
        <v>84</v>
      </c>
      <c r="N3241" s="2" t="s">
        <v>84</v>
      </c>
      <c r="O3241" s="2" t="s">
        <v>841</v>
      </c>
      <c r="P3241" s="2" t="s">
        <v>2712</v>
      </c>
    </row>
    <row r="3242" spans="1:16" ht="22" customHeight="1" x14ac:dyDescent="0.15">
      <c r="A3242" s="10" t="str">
        <f t="shared" si="502"/>
        <v>529_10_1_10_polygon</v>
      </c>
      <c r="B3242" s="2">
        <v>529</v>
      </c>
      <c r="C3242" s="30" t="str">
        <f>VLOOKUP(B3242,gachas!A:C,3)</f>
        <v>スペシャルサマーガチャ＋SideA</v>
      </c>
      <c r="D3242" s="21">
        <v>10</v>
      </c>
      <c r="E3242" s="2">
        <f>E3240+1</f>
        <v>1</v>
      </c>
      <c r="F3242" s="2">
        <v>10</v>
      </c>
      <c r="G3242" s="3" t="s">
        <v>22</v>
      </c>
      <c r="H3242" s="2">
        <v>25</v>
      </c>
      <c r="I3242" s="114" t="str">
        <f t="shared" si="503"/>
        <v>529100</v>
      </c>
      <c r="J3242" s="112" t="s">
        <v>84</v>
      </c>
      <c r="K3242" s="112" t="str">
        <f t="shared" ref="K3242:K3269" si="511">I3242</f>
        <v>529100</v>
      </c>
      <c r="L3242" s="2">
        <v>1</v>
      </c>
      <c r="M3242" s="2" t="s">
        <v>84</v>
      </c>
      <c r="N3242" s="2" t="s">
        <v>84</v>
      </c>
      <c r="O3242" s="2" t="s">
        <v>841</v>
      </c>
      <c r="P3242" s="59" t="s">
        <v>1783</v>
      </c>
    </row>
    <row r="3243" spans="1:16" ht="22" customHeight="1" x14ac:dyDescent="0.15">
      <c r="A3243" s="10" t="str">
        <f t="shared" si="502"/>
        <v>529_10_2_10_polygon</v>
      </c>
      <c r="B3243" s="2">
        <v>529</v>
      </c>
      <c r="C3243" s="30" t="str">
        <f>VLOOKUP(B3243,gachas!A:C,3)</f>
        <v>スペシャルサマーガチャ＋SideA</v>
      </c>
      <c r="D3243" s="21">
        <v>10</v>
      </c>
      <c r="E3243" s="2">
        <f t="shared" ref="E3243:E3269" si="512">E3242+1</f>
        <v>2</v>
      </c>
      <c r="F3243" s="2">
        <v>10</v>
      </c>
      <c r="G3243" s="3" t="s">
        <v>22</v>
      </c>
      <c r="H3243" s="2">
        <v>50</v>
      </c>
      <c r="I3243" s="114" t="str">
        <f t="shared" si="503"/>
        <v>529100</v>
      </c>
      <c r="J3243" s="112" t="s">
        <v>84</v>
      </c>
      <c r="K3243" s="112" t="str">
        <f t="shared" si="511"/>
        <v>529100</v>
      </c>
      <c r="L3243" s="2">
        <v>1</v>
      </c>
      <c r="M3243" s="2" t="s">
        <v>84</v>
      </c>
      <c r="N3243" s="2" t="s">
        <v>84</v>
      </c>
      <c r="O3243" s="2" t="s">
        <v>841</v>
      </c>
      <c r="P3243" s="2" t="s">
        <v>2712</v>
      </c>
    </row>
    <row r="3244" spans="1:16" ht="22" customHeight="1" x14ac:dyDescent="0.15">
      <c r="A3244" s="10" t="str">
        <f t="shared" si="502"/>
        <v>529_10_3_10_polygon</v>
      </c>
      <c r="B3244" s="2">
        <v>529</v>
      </c>
      <c r="C3244" s="30" t="str">
        <f>VLOOKUP(B3244,gachas!A:C,3)</f>
        <v>スペシャルサマーガチャ＋SideA</v>
      </c>
      <c r="D3244" s="21">
        <v>10</v>
      </c>
      <c r="E3244" s="2">
        <f t="shared" si="512"/>
        <v>3</v>
      </c>
      <c r="F3244" s="2">
        <v>10</v>
      </c>
      <c r="G3244" s="3" t="s">
        <v>22</v>
      </c>
      <c r="H3244" s="2">
        <v>50</v>
      </c>
      <c r="I3244" s="114" t="str">
        <f t="shared" si="503"/>
        <v>529100</v>
      </c>
      <c r="J3244" s="112" t="s">
        <v>84</v>
      </c>
      <c r="K3244" s="112" t="str">
        <f t="shared" si="511"/>
        <v>529100</v>
      </c>
      <c r="L3244" s="2">
        <v>1</v>
      </c>
      <c r="M3244" s="2" t="s">
        <v>84</v>
      </c>
      <c r="N3244" s="2" t="s">
        <v>84</v>
      </c>
      <c r="O3244" s="2" t="s">
        <v>841</v>
      </c>
      <c r="P3244" s="2" t="s">
        <v>2712</v>
      </c>
    </row>
    <row r="3245" spans="1:16" ht="22" customHeight="1" x14ac:dyDescent="0.15">
      <c r="A3245" s="10" t="str">
        <f t="shared" si="502"/>
        <v>529_10_4_10_polygon</v>
      </c>
      <c r="B3245" s="2">
        <v>529</v>
      </c>
      <c r="C3245" s="30" t="str">
        <f>VLOOKUP(B3245,gachas!A:C,3)</f>
        <v>スペシャルサマーガチャ＋SideA</v>
      </c>
      <c r="D3245" s="21">
        <v>10</v>
      </c>
      <c r="E3245" s="2">
        <f t="shared" si="512"/>
        <v>4</v>
      </c>
      <c r="F3245" s="2">
        <v>10</v>
      </c>
      <c r="G3245" s="3" t="s">
        <v>22</v>
      </c>
      <c r="H3245" s="2">
        <v>25</v>
      </c>
      <c r="I3245" s="114" t="str">
        <f t="shared" si="503"/>
        <v>529100</v>
      </c>
      <c r="J3245" s="112" t="s">
        <v>84</v>
      </c>
      <c r="K3245" s="112" t="str">
        <f t="shared" si="511"/>
        <v>529100</v>
      </c>
      <c r="L3245" s="2">
        <v>1</v>
      </c>
      <c r="M3245" s="2" t="s">
        <v>84</v>
      </c>
      <c r="N3245" s="2" t="s">
        <v>84</v>
      </c>
      <c r="O3245" s="2" t="s">
        <v>841</v>
      </c>
      <c r="P3245" s="59" t="s">
        <v>1783</v>
      </c>
    </row>
    <row r="3246" spans="1:16" ht="22" customHeight="1" x14ac:dyDescent="0.15">
      <c r="A3246" s="10" t="str">
        <f t="shared" si="502"/>
        <v>529_10_5_10_polygon</v>
      </c>
      <c r="B3246" s="2">
        <v>529</v>
      </c>
      <c r="C3246" s="30" t="str">
        <f>VLOOKUP(B3246,gachas!A:C,3)</f>
        <v>スペシャルサマーガチャ＋SideA</v>
      </c>
      <c r="D3246" s="21">
        <v>10</v>
      </c>
      <c r="E3246" s="2">
        <f t="shared" si="512"/>
        <v>5</v>
      </c>
      <c r="F3246" s="2">
        <v>10</v>
      </c>
      <c r="G3246" s="3" t="s">
        <v>22</v>
      </c>
      <c r="H3246" s="2">
        <v>50</v>
      </c>
      <c r="I3246" s="114" t="str">
        <f t="shared" si="503"/>
        <v>529100</v>
      </c>
      <c r="J3246" s="112" t="s">
        <v>84</v>
      </c>
      <c r="K3246" s="112" t="str">
        <f t="shared" si="511"/>
        <v>529100</v>
      </c>
      <c r="L3246" s="2">
        <v>1</v>
      </c>
      <c r="M3246" s="2" t="s">
        <v>84</v>
      </c>
      <c r="N3246" s="2" t="s">
        <v>84</v>
      </c>
      <c r="O3246" s="2" t="s">
        <v>841</v>
      </c>
      <c r="P3246" s="2" t="s">
        <v>2712</v>
      </c>
    </row>
    <row r="3247" spans="1:16" ht="22" customHeight="1" x14ac:dyDescent="0.15">
      <c r="A3247" s="10" t="str">
        <f t="shared" si="502"/>
        <v>529_10_6_10_polygon</v>
      </c>
      <c r="B3247" s="2">
        <v>529</v>
      </c>
      <c r="C3247" s="30" t="str">
        <f>VLOOKUP(B3247,gachas!A:C,3)</f>
        <v>スペシャルサマーガチャ＋SideA</v>
      </c>
      <c r="D3247" s="21">
        <v>10</v>
      </c>
      <c r="E3247" s="2">
        <f t="shared" si="512"/>
        <v>6</v>
      </c>
      <c r="F3247" s="2">
        <v>10</v>
      </c>
      <c r="G3247" s="3" t="s">
        <v>22</v>
      </c>
      <c r="H3247" s="2">
        <v>50</v>
      </c>
      <c r="I3247" s="114" t="str">
        <f t="shared" si="503"/>
        <v>529100</v>
      </c>
      <c r="J3247" s="112" t="s">
        <v>84</v>
      </c>
      <c r="K3247" s="112" t="str">
        <f t="shared" si="511"/>
        <v>529100</v>
      </c>
      <c r="L3247" s="2">
        <v>1</v>
      </c>
      <c r="M3247" s="2" t="s">
        <v>84</v>
      </c>
      <c r="N3247" s="2" t="s">
        <v>84</v>
      </c>
      <c r="O3247" s="2" t="s">
        <v>841</v>
      </c>
      <c r="P3247" s="2" t="s">
        <v>2712</v>
      </c>
    </row>
    <row r="3248" spans="1:16" ht="22" customHeight="1" x14ac:dyDescent="0.15">
      <c r="A3248" s="10" t="str">
        <f t="shared" si="502"/>
        <v>529_10_7_10_polygon</v>
      </c>
      <c r="B3248" s="2">
        <v>529</v>
      </c>
      <c r="C3248" s="30" t="str">
        <f>VLOOKUP(B3248,gachas!A:C,3)</f>
        <v>スペシャルサマーガチャ＋SideA</v>
      </c>
      <c r="D3248" s="21">
        <v>10</v>
      </c>
      <c r="E3248" s="2">
        <f t="shared" si="512"/>
        <v>7</v>
      </c>
      <c r="F3248" s="2">
        <v>10</v>
      </c>
      <c r="G3248" s="3" t="s">
        <v>22</v>
      </c>
      <c r="H3248" s="2">
        <v>25</v>
      </c>
      <c r="I3248" s="114" t="str">
        <f t="shared" si="503"/>
        <v>529100</v>
      </c>
      <c r="J3248" s="112" t="s">
        <v>84</v>
      </c>
      <c r="K3248" s="112" t="str">
        <f t="shared" si="511"/>
        <v>529100</v>
      </c>
      <c r="L3248" s="2">
        <v>1</v>
      </c>
      <c r="M3248" s="2" t="s">
        <v>84</v>
      </c>
      <c r="N3248" s="2" t="s">
        <v>84</v>
      </c>
      <c r="O3248" s="2" t="s">
        <v>841</v>
      </c>
      <c r="P3248" s="59" t="s">
        <v>1783</v>
      </c>
    </row>
    <row r="3249" spans="1:16" ht="22" customHeight="1" x14ac:dyDescent="0.15">
      <c r="A3249" s="10" t="str">
        <f t="shared" si="502"/>
        <v>529_10_8_10_polygon</v>
      </c>
      <c r="B3249" s="2">
        <v>529</v>
      </c>
      <c r="C3249" s="30" t="str">
        <f>VLOOKUP(B3249,gachas!A:C,3)</f>
        <v>スペシャルサマーガチャ＋SideA</v>
      </c>
      <c r="D3249" s="21">
        <v>10</v>
      </c>
      <c r="E3249" s="2">
        <f t="shared" si="512"/>
        <v>8</v>
      </c>
      <c r="F3249" s="2">
        <v>10</v>
      </c>
      <c r="G3249" s="3" t="s">
        <v>22</v>
      </c>
      <c r="H3249" s="2">
        <v>50</v>
      </c>
      <c r="I3249" s="114" t="str">
        <f t="shared" si="503"/>
        <v>529100</v>
      </c>
      <c r="J3249" s="112" t="s">
        <v>84</v>
      </c>
      <c r="K3249" s="112" t="str">
        <f t="shared" si="511"/>
        <v>529100</v>
      </c>
      <c r="L3249" s="2">
        <v>1</v>
      </c>
      <c r="M3249" s="2" t="s">
        <v>84</v>
      </c>
      <c r="N3249" s="2" t="s">
        <v>84</v>
      </c>
      <c r="O3249" s="2" t="s">
        <v>841</v>
      </c>
      <c r="P3249" s="2" t="s">
        <v>2712</v>
      </c>
    </row>
    <row r="3250" spans="1:16" ht="22" customHeight="1" x14ac:dyDescent="0.15">
      <c r="A3250" s="10" t="str">
        <f t="shared" si="502"/>
        <v>529_10_9_10_polygon</v>
      </c>
      <c r="B3250" s="2">
        <v>529</v>
      </c>
      <c r="C3250" s="30" t="str">
        <f>VLOOKUP(B3250,gachas!A:C,3)</f>
        <v>スペシャルサマーガチャ＋SideA</v>
      </c>
      <c r="D3250" s="21">
        <v>10</v>
      </c>
      <c r="E3250" s="2">
        <f t="shared" si="512"/>
        <v>9</v>
      </c>
      <c r="F3250" s="2">
        <v>10</v>
      </c>
      <c r="G3250" s="3" t="s">
        <v>22</v>
      </c>
      <c r="H3250" s="2">
        <v>50</v>
      </c>
      <c r="I3250" s="114" t="str">
        <f t="shared" si="503"/>
        <v>529100</v>
      </c>
      <c r="J3250" s="112" t="s">
        <v>84</v>
      </c>
      <c r="K3250" s="112" t="str">
        <f t="shared" si="511"/>
        <v>529100</v>
      </c>
      <c r="L3250" s="2">
        <v>1</v>
      </c>
      <c r="M3250" s="2" t="s">
        <v>84</v>
      </c>
      <c r="N3250" s="2" t="s">
        <v>84</v>
      </c>
      <c r="O3250" s="2" t="s">
        <v>841</v>
      </c>
      <c r="P3250" s="2" t="s">
        <v>2712</v>
      </c>
    </row>
    <row r="3251" spans="1:16" ht="22" customHeight="1" x14ac:dyDescent="0.15">
      <c r="A3251" s="10" t="str">
        <f t="shared" si="502"/>
        <v>529_10_10_10_polygon</v>
      </c>
      <c r="B3251" s="2">
        <v>529</v>
      </c>
      <c r="C3251" s="30" t="str">
        <f>VLOOKUP(B3251,gachas!A:C,3)</f>
        <v>スペシャルサマーガチャ＋SideA</v>
      </c>
      <c r="D3251" s="21">
        <v>10</v>
      </c>
      <c r="E3251" s="2">
        <f t="shared" si="512"/>
        <v>10</v>
      </c>
      <c r="F3251" s="2">
        <v>10</v>
      </c>
      <c r="G3251" s="3" t="s">
        <v>22</v>
      </c>
      <c r="H3251" s="2">
        <v>25</v>
      </c>
      <c r="I3251" s="114" t="str">
        <f t="shared" si="503"/>
        <v>529100</v>
      </c>
      <c r="J3251" s="112" t="s">
        <v>84</v>
      </c>
      <c r="K3251" s="112" t="str">
        <f t="shared" si="511"/>
        <v>529100</v>
      </c>
      <c r="L3251" s="2">
        <v>1</v>
      </c>
      <c r="M3251" s="2" t="s">
        <v>84</v>
      </c>
      <c r="N3251" s="2" t="s">
        <v>84</v>
      </c>
      <c r="O3251" s="2" t="s">
        <v>841</v>
      </c>
      <c r="P3251" s="59" t="s">
        <v>1783</v>
      </c>
    </row>
    <row r="3252" spans="1:16" ht="22" customHeight="1" x14ac:dyDescent="0.15">
      <c r="A3252" s="10" t="str">
        <f t="shared" si="502"/>
        <v>529_10_11_10_polygon</v>
      </c>
      <c r="B3252" s="2">
        <v>529</v>
      </c>
      <c r="C3252" s="30" t="str">
        <f>VLOOKUP(B3252,gachas!A:C,3)</f>
        <v>スペシャルサマーガチャ＋SideA</v>
      </c>
      <c r="D3252" s="21">
        <v>10</v>
      </c>
      <c r="E3252" s="2">
        <f t="shared" si="512"/>
        <v>11</v>
      </c>
      <c r="F3252" s="2">
        <v>10</v>
      </c>
      <c r="G3252" s="3" t="s">
        <v>22</v>
      </c>
      <c r="H3252" s="2">
        <v>50</v>
      </c>
      <c r="I3252" s="114" t="str">
        <f t="shared" si="503"/>
        <v>529100</v>
      </c>
      <c r="J3252" s="112" t="s">
        <v>84</v>
      </c>
      <c r="K3252" s="112" t="str">
        <f t="shared" si="511"/>
        <v>529100</v>
      </c>
      <c r="L3252" s="2">
        <v>1</v>
      </c>
      <c r="M3252" s="2" t="s">
        <v>84</v>
      </c>
      <c r="N3252" s="2" t="s">
        <v>84</v>
      </c>
      <c r="O3252" s="2" t="s">
        <v>841</v>
      </c>
      <c r="P3252" s="2" t="s">
        <v>2712</v>
      </c>
    </row>
    <row r="3253" spans="1:16" ht="22" customHeight="1" x14ac:dyDescent="0.15">
      <c r="A3253" s="10" t="str">
        <f t="shared" si="502"/>
        <v>529_10_12_10_polygon</v>
      </c>
      <c r="B3253" s="2">
        <v>529</v>
      </c>
      <c r="C3253" s="30" t="str">
        <f>VLOOKUP(B3253,gachas!A:C,3)</f>
        <v>スペシャルサマーガチャ＋SideA</v>
      </c>
      <c r="D3253" s="21">
        <v>10</v>
      </c>
      <c r="E3253" s="2">
        <f t="shared" si="512"/>
        <v>12</v>
      </c>
      <c r="F3253" s="2">
        <v>10</v>
      </c>
      <c r="G3253" s="3" t="s">
        <v>22</v>
      </c>
      <c r="H3253" s="2">
        <v>50</v>
      </c>
      <c r="I3253" s="114" t="str">
        <f t="shared" si="503"/>
        <v>529100</v>
      </c>
      <c r="J3253" s="112" t="s">
        <v>84</v>
      </c>
      <c r="K3253" s="112" t="str">
        <f t="shared" si="511"/>
        <v>529100</v>
      </c>
      <c r="L3253" s="2">
        <v>1</v>
      </c>
      <c r="M3253" s="2" t="s">
        <v>84</v>
      </c>
      <c r="N3253" s="2" t="s">
        <v>84</v>
      </c>
      <c r="O3253" s="2" t="s">
        <v>841</v>
      </c>
      <c r="P3253" s="2" t="s">
        <v>2712</v>
      </c>
    </row>
    <row r="3254" spans="1:16" ht="22" customHeight="1" x14ac:dyDescent="0.15">
      <c r="A3254" s="10" t="str">
        <f t="shared" si="502"/>
        <v>529_10_13_10_polygon</v>
      </c>
      <c r="B3254" s="2">
        <v>529</v>
      </c>
      <c r="C3254" s="30" t="str">
        <f>VLOOKUP(B3254,gachas!A:C,3)</f>
        <v>スペシャルサマーガチャ＋SideA</v>
      </c>
      <c r="D3254" s="21">
        <v>10</v>
      </c>
      <c r="E3254" s="2">
        <f t="shared" si="512"/>
        <v>13</v>
      </c>
      <c r="F3254" s="2">
        <v>10</v>
      </c>
      <c r="G3254" s="3" t="s">
        <v>22</v>
      </c>
      <c r="H3254" s="2">
        <v>25</v>
      </c>
      <c r="I3254" s="114" t="str">
        <f t="shared" si="503"/>
        <v>529100</v>
      </c>
      <c r="J3254" s="112" t="s">
        <v>84</v>
      </c>
      <c r="K3254" s="112" t="str">
        <f t="shared" si="511"/>
        <v>529100</v>
      </c>
      <c r="L3254" s="2">
        <v>1</v>
      </c>
      <c r="M3254" s="2" t="s">
        <v>84</v>
      </c>
      <c r="N3254" s="2" t="s">
        <v>84</v>
      </c>
      <c r="O3254" s="2" t="s">
        <v>841</v>
      </c>
      <c r="P3254" s="59" t="s">
        <v>1783</v>
      </c>
    </row>
    <row r="3255" spans="1:16" ht="22" customHeight="1" x14ac:dyDescent="0.15">
      <c r="A3255" s="10" t="str">
        <f t="shared" si="502"/>
        <v>529_10_14_10_polygon</v>
      </c>
      <c r="B3255" s="2">
        <v>529</v>
      </c>
      <c r="C3255" s="30" t="str">
        <f>VLOOKUP(B3255,gachas!A:C,3)</f>
        <v>スペシャルサマーガチャ＋SideA</v>
      </c>
      <c r="D3255" s="21">
        <v>10</v>
      </c>
      <c r="E3255" s="2">
        <f t="shared" si="512"/>
        <v>14</v>
      </c>
      <c r="F3255" s="2">
        <v>10</v>
      </c>
      <c r="G3255" s="3" t="s">
        <v>22</v>
      </c>
      <c r="H3255" s="2">
        <v>50</v>
      </c>
      <c r="I3255" s="114" t="str">
        <f t="shared" si="503"/>
        <v>529100</v>
      </c>
      <c r="J3255" s="112" t="s">
        <v>84</v>
      </c>
      <c r="K3255" s="112" t="str">
        <f t="shared" si="511"/>
        <v>529100</v>
      </c>
      <c r="L3255" s="2">
        <v>1</v>
      </c>
      <c r="M3255" s="2" t="s">
        <v>84</v>
      </c>
      <c r="N3255" s="2" t="s">
        <v>84</v>
      </c>
      <c r="O3255" s="2" t="s">
        <v>841</v>
      </c>
      <c r="P3255" s="2" t="s">
        <v>2712</v>
      </c>
    </row>
    <row r="3256" spans="1:16" ht="22" customHeight="1" x14ac:dyDescent="0.15">
      <c r="A3256" s="10" t="str">
        <f t="shared" si="502"/>
        <v>529_10_15_10_polygon</v>
      </c>
      <c r="B3256" s="2">
        <v>529</v>
      </c>
      <c r="C3256" s="30" t="str">
        <f>VLOOKUP(B3256,gachas!A:C,3)</f>
        <v>スペシャルサマーガチャ＋SideA</v>
      </c>
      <c r="D3256" s="21">
        <v>10</v>
      </c>
      <c r="E3256" s="2">
        <f t="shared" si="512"/>
        <v>15</v>
      </c>
      <c r="F3256" s="2">
        <v>10</v>
      </c>
      <c r="G3256" s="3" t="s">
        <v>22</v>
      </c>
      <c r="H3256" s="2">
        <v>50</v>
      </c>
      <c r="I3256" s="114" t="str">
        <f t="shared" si="503"/>
        <v>529100</v>
      </c>
      <c r="J3256" s="112" t="s">
        <v>84</v>
      </c>
      <c r="K3256" s="112" t="str">
        <f t="shared" si="511"/>
        <v>529100</v>
      </c>
      <c r="L3256" s="2">
        <v>1</v>
      </c>
      <c r="M3256" s="2" t="s">
        <v>84</v>
      </c>
      <c r="N3256" s="2" t="s">
        <v>84</v>
      </c>
      <c r="O3256" s="2" t="s">
        <v>841</v>
      </c>
      <c r="P3256" s="2" t="s">
        <v>2712</v>
      </c>
    </row>
    <row r="3257" spans="1:16" ht="22" customHeight="1" x14ac:dyDescent="0.15">
      <c r="A3257" s="10" t="str">
        <f t="shared" si="502"/>
        <v>529_10_16_10_polygon</v>
      </c>
      <c r="B3257" s="2">
        <v>529</v>
      </c>
      <c r="C3257" s="30" t="str">
        <f>VLOOKUP(B3257,gachas!A:C,3)</f>
        <v>スペシャルサマーガチャ＋SideA</v>
      </c>
      <c r="D3257" s="21">
        <v>10</v>
      </c>
      <c r="E3257" s="2">
        <f t="shared" si="512"/>
        <v>16</v>
      </c>
      <c r="F3257" s="2">
        <v>10</v>
      </c>
      <c r="G3257" s="3" t="s">
        <v>22</v>
      </c>
      <c r="H3257" s="2">
        <v>25</v>
      </c>
      <c r="I3257" s="114" t="str">
        <f t="shared" si="503"/>
        <v>529100</v>
      </c>
      <c r="J3257" s="112" t="s">
        <v>84</v>
      </c>
      <c r="K3257" s="112" t="str">
        <f t="shared" si="511"/>
        <v>529100</v>
      </c>
      <c r="L3257" s="2">
        <v>1</v>
      </c>
      <c r="M3257" s="2" t="s">
        <v>84</v>
      </c>
      <c r="N3257" s="2" t="s">
        <v>84</v>
      </c>
      <c r="O3257" s="2" t="s">
        <v>841</v>
      </c>
      <c r="P3257" s="59" t="s">
        <v>1783</v>
      </c>
    </row>
    <row r="3258" spans="1:16" ht="22" customHeight="1" x14ac:dyDescent="0.15">
      <c r="A3258" s="10" t="str">
        <f t="shared" si="502"/>
        <v>529_10_17_10_polygon</v>
      </c>
      <c r="B3258" s="2">
        <v>529</v>
      </c>
      <c r="C3258" s="30" t="str">
        <f>VLOOKUP(B3258,gachas!A:C,3)</f>
        <v>スペシャルサマーガチャ＋SideA</v>
      </c>
      <c r="D3258" s="21">
        <v>10</v>
      </c>
      <c r="E3258" s="2">
        <f t="shared" si="512"/>
        <v>17</v>
      </c>
      <c r="F3258" s="2">
        <v>10</v>
      </c>
      <c r="G3258" s="3" t="s">
        <v>22</v>
      </c>
      <c r="H3258" s="2">
        <v>50</v>
      </c>
      <c r="I3258" s="114" t="str">
        <f t="shared" si="503"/>
        <v>529100</v>
      </c>
      <c r="J3258" s="112" t="s">
        <v>84</v>
      </c>
      <c r="K3258" s="112" t="str">
        <f t="shared" si="511"/>
        <v>529100</v>
      </c>
      <c r="L3258" s="2">
        <v>1</v>
      </c>
      <c r="M3258" s="2" t="s">
        <v>84</v>
      </c>
      <c r="N3258" s="2" t="s">
        <v>84</v>
      </c>
      <c r="O3258" s="2" t="s">
        <v>841</v>
      </c>
      <c r="P3258" s="2" t="s">
        <v>2712</v>
      </c>
    </row>
    <row r="3259" spans="1:16" ht="22" customHeight="1" x14ac:dyDescent="0.15">
      <c r="A3259" s="10" t="str">
        <f t="shared" si="502"/>
        <v>529_10_18_10_polygon</v>
      </c>
      <c r="B3259" s="2">
        <v>529</v>
      </c>
      <c r="C3259" s="30" t="str">
        <f>VLOOKUP(B3259,gachas!A:C,3)</f>
        <v>スペシャルサマーガチャ＋SideA</v>
      </c>
      <c r="D3259" s="21">
        <v>10</v>
      </c>
      <c r="E3259" s="2">
        <f t="shared" si="512"/>
        <v>18</v>
      </c>
      <c r="F3259" s="2">
        <v>10</v>
      </c>
      <c r="G3259" s="3" t="s">
        <v>22</v>
      </c>
      <c r="H3259" s="2">
        <v>50</v>
      </c>
      <c r="I3259" s="114" t="str">
        <f t="shared" si="503"/>
        <v>529100</v>
      </c>
      <c r="J3259" s="112" t="s">
        <v>84</v>
      </c>
      <c r="K3259" s="112" t="str">
        <f t="shared" si="511"/>
        <v>529100</v>
      </c>
      <c r="L3259" s="2">
        <v>1</v>
      </c>
      <c r="M3259" s="2" t="s">
        <v>84</v>
      </c>
      <c r="N3259" s="2" t="s">
        <v>84</v>
      </c>
      <c r="O3259" s="2" t="s">
        <v>841</v>
      </c>
      <c r="P3259" s="2" t="s">
        <v>2712</v>
      </c>
    </row>
    <row r="3260" spans="1:16" ht="22" customHeight="1" x14ac:dyDescent="0.15">
      <c r="A3260" s="10" t="str">
        <f t="shared" si="502"/>
        <v>529_10_19_10_polygon</v>
      </c>
      <c r="B3260" s="2">
        <v>529</v>
      </c>
      <c r="C3260" s="30" t="str">
        <f>VLOOKUP(B3260,gachas!A:C,3)</f>
        <v>スペシャルサマーガチャ＋SideA</v>
      </c>
      <c r="D3260" s="21">
        <v>10</v>
      </c>
      <c r="E3260" s="2">
        <f t="shared" si="512"/>
        <v>19</v>
      </c>
      <c r="F3260" s="2">
        <v>10</v>
      </c>
      <c r="G3260" s="3" t="s">
        <v>22</v>
      </c>
      <c r="H3260" s="2">
        <v>25</v>
      </c>
      <c r="I3260" s="114" t="str">
        <f t="shared" si="503"/>
        <v>529100</v>
      </c>
      <c r="J3260" s="112" t="s">
        <v>84</v>
      </c>
      <c r="K3260" s="112" t="str">
        <f t="shared" si="511"/>
        <v>529100</v>
      </c>
      <c r="L3260" s="2">
        <v>1</v>
      </c>
      <c r="M3260" s="2" t="s">
        <v>84</v>
      </c>
      <c r="N3260" s="2" t="s">
        <v>84</v>
      </c>
      <c r="O3260" s="2" t="s">
        <v>841</v>
      </c>
      <c r="P3260" s="59" t="s">
        <v>1783</v>
      </c>
    </row>
    <row r="3261" spans="1:16" ht="22" customHeight="1" x14ac:dyDescent="0.15">
      <c r="A3261" s="10" t="str">
        <f t="shared" si="502"/>
        <v>529_10_20_10_polygon</v>
      </c>
      <c r="B3261" s="2">
        <v>529</v>
      </c>
      <c r="C3261" s="30" t="str">
        <f>VLOOKUP(B3261,gachas!A:C,3)</f>
        <v>スペシャルサマーガチャ＋SideA</v>
      </c>
      <c r="D3261" s="21">
        <v>10</v>
      </c>
      <c r="E3261" s="2">
        <f t="shared" si="512"/>
        <v>20</v>
      </c>
      <c r="F3261" s="2">
        <v>10</v>
      </c>
      <c r="G3261" s="3" t="s">
        <v>22</v>
      </c>
      <c r="H3261" s="2">
        <v>50</v>
      </c>
      <c r="I3261" s="114" t="str">
        <f t="shared" si="503"/>
        <v>529100</v>
      </c>
      <c r="J3261" s="112" t="s">
        <v>84</v>
      </c>
      <c r="K3261" s="112" t="str">
        <f t="shared" si="511"/>
        <v>529100</v>
      </c>
      <c r="L3261" s="2">
        <v>1</v>
      </c>
      <c r="M3261" s="2" t="s">
        <v>84</v>
      </c>
      <c r="N3261" s="2" t="s">
        <v>84</v>
      </c>
      <c r="O3261" s="2" t="s">
        <v>841</v>
      </c>
      <c r="P3261" s="2" t="s">
        <v>2712</v>
      </c>
    </row>
    <row r="3262" spans="1:16" ht="22" customHeight="1" x14ac:dyDescent="0.15">
      <c r="A3262" s="10" t="str">
        <f t="shared" si="502"/>
        <v>529_10_21_10_polygon</v>
      </c>
      <c r="B3262" s="2">
        <v>529</v>
      </c>
      <c r="C3262" s="30" t="str">
        <f>VLOOKUP(B3262,gachas!A:C,3)</f>
        <v>スペシャルサマーガチャ＋SideA</v>
      </c>
      <c r="D3262" s="21">
        <v>10</v>
      </c>
      <c r="E3262" s="2">
        <f t="shared" si="512"/>
        <v>21</v>
      </c>
      <c r="F3262" s="2">
        <v>10</v>
      </c>
      <c r="G3262" s="3" t="s">
        <v>22</v>
      </c>
      <c r="H3262" s="2">
        <v>50</v>
      </c>
      <c r="I3262" s="114" t="str">
        <f t="shared" si="503"/>
        <v>529100</v>
      </c>
      <c r="J3262" s="112" t="s">
        <v>84</v>
      </c>
      <c r="K3262" s="112" t="str">
        <f t="shared" si="511"/>
        <v>529100</v>
      </c>
      <c r="L3262" s="2">
        <v>1</v>
      </c>
      <c r="M3262" s="2" t="s">
        <v>84</v>
      </c>
      <c r="N3262" s="2" t="s">
        <v>84</v>
      </c>
      <c r="O3262" s="2" t="s">
        <v>841</v>
      </c>
      <c r="P3262" s="2" t="s">
        <v>2712</v>
      </c>
    </row>
    <row r="3263" spans="1:16" ht="22" customHeight="1" x14ac:dyDescent="0.15">
      <c r="A3263" s="10" t="str">
        <f t="shared" si="502"/>
        <v>529_10_22_10_polygon</v>
      </c>
      <c r="B3263" s="2">
        <v>529</v>
      </c>
      <c r="C3263" s="30" t="str">
        <f>VLOOKUP(B3263,gachas!A:C,3)</f>
        <v>スペシャルサマーガチャ＋SideA</v>
      </c>
      <c r="D3263" s="21">
        <v>10</v>
      </c>
      <c r="E3263" s="2">
        <f t="shared" si="512"/>
        <v>22</v>
      </c>
      <c r="F3263" s="2">
        <v>10</v>
      </c>
      <c r="G3263" s="3" t="s">
        <v>22</v>
      </c>
      <c r="H3263" s="2">
        <v>25</v>
      </c>
      <c r="I3263" s="114" t="str">
        <f t="shared" si="503"/>
        <v>529100</v>
      </c>
      <c r="J3263" s="112" t="s">
        <v>84</v>
      </c>
      <c r="K3263" s="112" t="str">
        <f t="shared" si="511"/>
        <v>529100</v>
      </c>
      <c r="L3263" s="2">
        <v>1</v>
      </c>
      <c r="M3263" s="2" t="s">
        <v>84</v>
      </c>
      <c r="N3263" s="2" t="s">
        <v>84</v>
      </c>
      <c r="O3263" s="2" t="s">
        <v>841</v>
      </c>
      <c r="P3263" s="59" t="s">
        <v>1783</v>
      </c>
    </row>
    <row r="3264" spans="1:16" ht="22" customHeight="1" x14ac:dyDescent="0.15">
      <c r="A3264" s="10" t="str">
        <f t="shared" si="502"/>
        <v>529_10_23_10_polygon</v>
      </c>
      <c r="B3264" s="2">
        <v>529</v>
      </c>
      <c r="C3264" s="30" t="str">
        <f>VLOOKUP(B3264,gachas!A:C,3)</f>
        <v>スペシャルサマーガチャ＋SideA</v>
      </c>
      <c r="D3264" s="21">
        <v>10</v>
      </c>
      <c r="E3264" s="2">
        <f t="shared" si="512"/>
        <v>23</v>
      </c>
      <c r="F3264" s="2">
        <v>10</v>
      </c>
      <c r="G3264" s="3" t="s">
        <v>22</v>
      </c>
      <c r="H3264" s="2">
        <v>50</v>
      </c>
      <c r="I3264" s="114" t="str">
        <f t="shared" si="503"/>
        <v>529100</v>
      </c>
      <c r="J3264" s="112" t="s">
        <v>84</v>
      </c>
      <c r="K3264" s="112" t="str">
        <f t="shared" si="511"/>
        <v>529100</v>
      </c>
      <c r="L3264" s="2">
        <v>1</v>
      </c>
      <c r="M3264" s="2" t="s">
        <v>84</v>
      </c>
      <c r="N3264" s="2" t="s">
        <v>84</v>
      </c>
      <c r="O3264" s="2" t="s">
        <v>841</v>
      </c>
      <c r="P3264" s="2" t="s">
        <v>2712</v>
      </c>
    </row>
    <row r="3265" spans="1:16" ht="22" customHeight="1" x14ac:dyDescent="0.15">
      <c r="A3265" s="10" t="str">
        <f t="shared" si="502"/>
        <v>529_10_24_10_polygon</v>
      </c>
      <c r="B3265" s="2">
        <v>529</v>
      </c>
      <c r="C3265" s="30" t="str">
        <f>VLOOKUP(B3265,gachas!A:C,3)</f>
        <v>スペシャルサマーガチャ＋SideA</v>
      </c>
      <c r="D3265" s="21">
        <v>10</v>
      </c>
      <c r="E3265" s="2">
        <f t="shared" si="512"/>
        <v>24</v>
      </c>
      <c r="F3265" s="2">
        <v>10</v>
      </c>
      <c r="G3265" s="3" t="s">
        <v>22</v>
      </c>
      <c r="H3265" s="2">
        <v>50</v>
      </c>
      <c r="I3265" s="114" t="str">
        <f t="shared" si="503"/>
        <v>529100</v>
      </c>
      <c r="J3265" s="112" t="s">
        <v>84</v>
      </c>
      <c r="K3265" s="112" t="str">
        <f t="shared" si="511"/>
        <v>529100</v>
      </c>
      <c r="L3265" s="2">
        <v>1</v>
      </c>
      <c r="M3265" s="2" t="s">
        <v>84</v>
      </c>
      <c r="N3265" s="2" t="s">
        <v>84</v>
      </c>
      <c r="O3265" s="2" t="s">
        <v>841</v>
      </c>
      <c r="P3265" s="2" t="s">
        <v>2712</v>
      </c>
    </row>
    <row r="3266" spans="1:16" ht="22" customHeight="1" x14ac:dyDescent="0.15">
      <c r="A3266" s="10" t="str">
        <f t="shared" si="502"/>
        <v>529_10_25_10_polygon</v>
      </c>
      <c r="B3266" s="2">
        <v>529</v>
      </c>
      <c r="C3266" s="30" t="str">
        <f>VLOOKUP(B3266,gachas!A:C,3)</f>
        <v>スペシャルサマーガチャ＋SideA</v>
      </c>
      <c r="D3266" s="21">
        <v>10</v>
      </c>
      <c r="E3266" s="2">
        <f t="shared" si="512"/>
        <v>25</v>
      </c>
      <c r="F3266" s="2">
        <v>10</v>
      </c>
      <c r="G3266" s="3" t="s">
        <v>22</v>
      </c>
      <c r="H3266" s="2">
        <v>25</v>
      </c>
      <c r="I3266" s="114" t="str">
        <f t="shared" si="503"/>
        <v>529100</v>
      </c>
      <c r="J3266" s="112" t="s">
        <v>84</v>
      </c>
      <c r="K3266" s="112" t="str">
        <f t="shared" si="511"/>
        <v>529100</v>
      </c>
      <c r="L3266" s="2">
        <v>1</v>
      </c>
      <c r="M3266" s="2" t="s">
        <v>84</v>
      </c>
      <c r="N3266" s="2" t="s">
        <v>84</v>
      </c>
      <c r="O3266" s="2" t="s">
        <v>841</v>
      </c>
      <c r="P3266" s="59" t="s">
        <v>1783</v>
      </c>
    </row>
    <row r="3267" spans="1:16" ht="22" customHeight="1" x14ac:dyDescent="0.15">
      <c r="A3267" s="10" t="str">
        <f t="shared" si="502"/>
        <v>529_10_26_10_polygon</v>
      </c>
      <c r="B3267" s="2">
        <v>529</v>
      </c>
      <c r="C3267" s="30" t="str">
        <f>VLOOKUP(B3267,gachas!A:C,3)</f>
        <v>スペシャルサマーガチャ＋SideA</v>
      </c>
      <c r="D3267" s="21">
        <v>10</v>
      </c>
      <c r="E3267" s="2">
        <f t="shared" si="512"/>
        <v>26</v>
      </c>
      <c r="F3267" s="2">
        <v>10</v>
      </c>
      <c r="G3267" s="3" t="s">
        <v>22</v>
      </c>
      <c r="H3267" s="2">
        <v>50</v>
      </c>
      <c r="I3267" s="114" t="str">
        <f t="shared" si="503"/>
        <v>529100</v>
      </c>
      <c r="J3267" s="112" t="s">
        <v>84</v>
      </c>
      <c r="K3267" s="112" t="str">
        <f t="shared" si="511"/>
        <v>529100</v>
      </c>
      <c r="L3267" s="2">
        <v>1</v>
      </c>
      <c r="M3267" s="2" t="s">
        <v>84</v>
      </c>
      <c r="N3267" s="2" t="s">
        <v>84</v>
      </c>
      <c r="O3267" s="2" t="s">
        <v>841</v>
      </c>
      <c r="P3267" s="2" t="s">
        <v>2712</v>
      </c>
    </row>
    <row r="3268" spans="1:16" ht="22" customHeight="1" x14ac:dyDescent="0.15">
      <c r="A3268" s="10" t="str">
        <f t="shared" si="502"/>
        <v>529_10_27_10_polygon</v>
      </c>
      <c r="B3268" s="2">
        <v>529</v>
      </c>
      <c r="C3268" s="30" t="str">
        <f>VLOOKUP(B3268,gachas!A:C,3)</f>
        <v>スペシャルサマーガチャ＋SideA</v>
      </c>
      <c r="D3268" s="21">
        <v>10</v>
      </c>
      <c r="E3268" s="2">
        <f t="shared" si="512"/>
        <v>27</v>
      </c>
      <c r="F3268" s="2">
        <v>10</v>
      </c>
      <c r="G3268" s="3" t="s">
        <v>22</v>
      </c>
      <c r="H3268" s="2">
        <v>50</v>
      </c>
      <c r="I3268" s="114" t="str">
        <f t="shared" si="503"/>
        <v>529100</v>
      </c>
      <c r="J3268" s="112" t="s">
        <v>84</v>
      </c>
      <c r="K3268" s="112" t="str">
        <f t="shared" si="511"/>
        <v>529100</v>
      </c>
      <c r="L3268" s="2">
        <v>1</v>
      </c>
      <c r="M3268" s="2" t="s">
        <v>84</v>
      </c>
      <c r="N3268" s="2" t="s">
        <v>84</v>
      </c>
      <c r="O3268" s="2" t="s">
        <v>841</v>
      </c>
      <c r="P3268" s="2" t="s">
        <v>2712</v>
      </c>
    </row>
    <row r="3269" spans="1:16" ht="22" customHeight="1" x14ac:dyDescent="0.15">
      <c r="A3269" s="10" t="str">
        <f t="shared" si="502"/>
        <v>529_10_28_10_polygon</v>
      </c>
      <c r="B3269" s="2">
        <v>529</v>
      </c>
      <c r="C3269" s="30" t="str">
        <f>VLOOKUP(B3269,gachas!A:C,3)</f>
        <v>スペシャルサマーガチャ＋SideA</v>
      </c>
      <c r="D3269" s="21">
        <v>10</v>
      </c>
      <c r="E3269" s="2">
        <f t="shared" si="512"/>
        <v>28</v>
      </c>
      <c r="F3269" s="2">
        <v>10</v>
      </c>
      <c r="G3269" s="3" t="s">
        <v>22</v>
      </c>
      <c r="H3269" s="2">
        <v>25</v>
      </c>
      <c r="I3269" s="114" t="str">
        <f t="shared" si="503"/>
        <v>529100</v>
      </c>
      <c r="J3269" s="112" t="s">
        <v>84</v>
      </c>
      <c r="K3269" s="112" t="str">
        <f t="shared" si="511"/>
        <v>529100</v>
      </c>
      <c r="L3269" s="2">
        <v>1</v>
      </c>
      <c r="M3269" s="2" t="s">
        <v>84</v>
      </c>
      <c r="N3269" s="2" t="s">
        <v>84</v>
      </c>
      <c r="O3269" s="2" t="s">
        <v>841</v>
      </c>
      <c r="P3269" s="59" t="s">
        <v>1783</v>
      </c>
    </row>
    <row r="3270" spans="1:16" ht="22" customHeight="1" x14ac:dyDescent="0.15">
      <c r="A3270" s="10" t="str">
        <f t="shared" ref="A3270:A3299" si="513">B3270&amp;"_"&amp;D3270&amp;"_"&amp;E3270&amp;"_"&amp;F3270&amp;"_"&amp;G3270</f>
        <v>530_1_0_1_polygon</v>
      </c>
      <c r="B3270" s="2">
        <v>530</v>
      </c>
      <c r="C3270" s="30" t="str">
        <f>VLOOKUP(B3270,gachas!A:C,3)</f>
        <v>スペシャルサマーガチャ＋SideB</v>
      </c>
      <c r="D3270" s="21">
        <v>1</v>
      </c>
      <c r="E3270" s="2">
        <v>0</v>
      </c>
      <c r="F3270" s="2">
        <v>1</v>
      </c>
      <c r="G3270" s="3" t="s">
        <v>22</v>
      </c>
      <c r="H3270" s="2">
        <v>5</v>
      </c>
      <c r="I3270" s="114" t="str">
        <f t="shared" ref="I3270:I3299" si="514">CONCATENATE(B3270,IF(D3270=1,"01","10"),0)</f>
        <v>530010</v>
      </c>
      <c r="J3270" s="112" t="s">
        <v>84</v>
      </c>
      <c r="K3270" s="2" t="s">
        <v>84</v>
      </c>
      <c r="L3270" s="2">
        <v>0</v>
      </c>
      <c r="M3270" s="2" t="s">
        <v>84</v>
      </c>
      <c r="N3270" s="2" t="s">
        <v>84</v>
      </c>
      <c r="O3270" s="2" t="s">
        <v>841</v>
      </c>
      <c r="P3270" s="2" t="s">
        <v>84</v>
      </c>
    </row>
    <row r="3271" spans="1:16" ht="22" customHeight="1" x14ac:dyDescent="0.15">
      <c r="A3271" s="10" t="str">
        <f t="shared" si="513"/>
        <v>530_10_0_10_polygon</v>
      </c>
      <c r="B3271" s="2">
        <v>530</v>
      </c>
      <c r="C3271" s="30" t="str">
        <f>VLOOKUP(B3271,gachas!A:C,3)</f>
        <v>スペシャルサマーガチャ＋SideB</v>
      </c>
      <c r="D3271" s="21">
        <v>10</v>
      </c>
      <c r="E3271" s="2">
        <v>0</v>
      </c>
      <c r="F3271" s="2">
        <v>10</v>
      </c>
      <c r="G3271" s="3" t="s">
        <v>22</v>
      </c>
      <c r="H3271" s="2">
        <v>50</v>
      </c>
      <c r="I3271" s="114" t="str">
        <f t="shared" si="514"/>
        <v>530100</v>
      </c>
      <c r="J3271" s="112" t="s">
        <v>84</v>
      </c>
      <c r="K3271" s="112" t="str">
        <f t="shared" ref="K3271:K3299" si="515">I3271</f>
        <v>530100</v>
      </c>
      <c r="L3271" s="2">
        <v>1</v>
      </c>
      <c r="M3271" s="2" t="s">
        <v>84</v>
      </c>
      <c r="N3271" s="2" t="s">
        <v>84</v>
      </c>
      <c r="O3271" s="2" t="s">
        <v>841</v>
      </c>
      <c r="P3271" s="2" t="s">
        <v>2712</v>
      </c>
    </row>
    <row r="3272" spans="1:16" ht="22" customHeight="1" x14ac:dyDescent="0.15">
      <c r="A3272" s="10" t="str">
        <f t="shared" si="513"/>
        <v>530_10_1_10_polygon</v>
      </c>
      <c r="B3272" s="2">
        <v>530</v>
      </c>
      <c r="C3272" s="30" t="str">
        <f>VLOOKUP(B3272,gachas!A:C,3)</f>
        <v>スペシャルサマーガチャ＋SideB</v>
      </c>
      <c r="D3272" s="21">
        <v>10</v>
      </c>
      <c r="E3272" s="2">
        <f>E3270+1</f>
        <v>1</v>
      </c>
      <c r="F3272" s="2">
        <v>10</v>
      </c>
      <c r="G3272" s="3" t="s">
        <v>22</v>
      </c>
      <c r="H3272" s="2">
        <v>25</v>
      </c>
      <c r="I3272" s="114" t="str">
        <f t="shared" si="514"/>
        <v>530100</v>
      </c>
      <c r="J3272" s="112" t="s">
        <v>84</v>
      </c>
      <c r="K3272" s="112" t="str">
        <f t="shared" si="515"/>
        <v>530100</v>
      </c>
      <c r="L3272" s="2">
        <v>1</v>
      </c>
      <c r="M3272" s="2" t="s">
        <v>84</v>
      </c>
      <c r="N3272" s="2" t="s">
        <v>84</v>
      </c>
      <c r="O3272" s="2" t="s">
        <v>841</v>
      </c>
      <c r="P3272" s="59" t="s">
        <v>1783</v>
      </c>
    </row>
    <row r="3273" spans="1:16" ht="22" customHeight="1" x14ac:dyDescent="0.15">
      <c r="A3273" s="10" t="str">
        <f t="shared" si="513"/>
        <v>530_10_2_10_polygon</v>
      </c>
      <c r="B3273" s="2">
        <v>530</v>
      </c>
      <c r="C3273" s="30" t="str">
        <f>VLOOKUP(B3273,gachas!A:C,3)</f>
        <v>スペシャルサマーガチャ＋SideB</v>
      </c>
      <c r="D3273" s="21">
        <v>10</v>
      </c>
      <c r="E3273" s="2">
        <f t="shared" ref="E3273:E3299" si="516">E3272+1</f>
        <v>2</v>
      </c>
      <c r="F3273" s="2">
        <v>10</v>
      </c>
      <c r="G3273" s="3" t="s">
        <v>22</v>
      </c>
      <c r="H3273" s="2">
        <v>50</v>
      </c>
      <c r="I3273" s="114" t="str">
        <f t="shared" si="514"/>
        <v>530100</v>
      </c>
      <c r="J3273" s="112" t="s">
        <v>84</v>
      </c>
      <c r="K3273" s="112" t="str">
        <f t="shared" si="515"/>
        <v>530100</v>
      </c>
      <c r="L3273" s="2">
        <v>1</v>
      </c>
      <c r="M3273" s="2" t="s">
        <v>84</v>
      </c>
      <c r="N3273" s="2" t="s">
        <v>84</v>
      </c>
      <c r="O3273" s="2" t="s">
        <v>841</v>
      </c>
      <c r="P3273" s="2" t="s">
        <v>2712</v>
      </c>
    </row>
    <row r="3274" spans="1:16" ht="22" customHeight="1" x14ac:dyDescent="0.15">
      <c r="A3274" s="10" t="str">
        <f t="shared" si="513"/>
        <v>530_10_3_10_polygon</v>
      </c>
      <c r="B3274" s="2">
        <v>530</v>
      </c>
      <c r="C3274" s="30" t="str">
        <f>VLOOKUP(B3274,gachas!A:C,3)</f>
        <v>スペシャルサマーガチャ＋SideB</v>
      </c>
      <c r="D3274" s="21">
        <v>10</v>
      </c>
      <c r="E3274" s="2">
        <f t="shared" si="516"/>
        <v>3</v>
      </c>
      <c r="F3274" s="2">
        <v>10</v>
      </c>
      <c r="G3274" s="3" t="s">
        <v>22</v>
      </c>
      <c r="H3274" s="2">
        <v>50</v>
      </c>
      <c r="I3274" s="114" t="str">
        <f t="shared" si="514"/>
        <v>530100</v>
      </c>
      <c r="J3274" s="112" t="s">
        <v>84</v>
      </c>
      <c r="K3274" s="112" t="str">
        <f t="shared" si="515"/>
        <v>530100</v>
      </c>
      <c r="L3274" s="2">
        <v>1</v>
      </c>
      <c r="M3274" s="2" t="s">
        <v>84</v>
      </c>
      <c r="N3274" s="2" t="s">
        <v>84</v>
      </c>
      <c r="O3274" s="2" t="s">
        <v>841</v>
      </c>
      <c r="P3274" s="2" t="s">
        <v>2712</v>
      </c>
    </row>
    <row r="3275" spans="1:16" ht="22" customHeight="1" x14ac:dyDescent="0.15">
      <c r="A3275" s="10" t="str">
        <f t="shared" si="513"/>
        <v>530_10_4_10_polygon</v>
      </c>
      <c r="B3275" s="2">
        <v>530</v>
      </c>
      <c r="C3275" s="30" t="str">
        <f>VLOOKUP(B3275,gachas!A:C,3)</f>
        <v>スペシャルサマーガチャ＋SideB</v>
      </c>
      <c r="D3275" s="21">
        <v>10</v>
      </c>
      <c r="E3275" s="2">
        <f t="shared" si="516"/>
        <v>4</v>
      </c>
      <c r="F3275" s="2">
        <v>10</v>
      </c>
      <c r="G3275" s="3" t="s">
        <v>22</v>
      </c>
      <c r="H3275" s="2">
        <v>25</v>
      </c>
      <c r="I3275" s="114" t="str">
        <f t="shared" si="514"/>
        <v>530100</v>
      </c>
      <c r="J3275" s="112" t="s">
        <v>84</v>
      </c>
      <c r="K3275" s="112" t="str">
        <f t="shared" si="515"/>
        <v>530100</v>
      </c>
      <c r="L3275" s="2">
        <v>1</v>
      </c>
      <c r="M3275" s="2" t="s">
        <v>84</v>
      </c>
      <c r="N3275" s="2" t="s">
        <v>84</v>
      </c>
      <c r="O3275" s="2" t="s">
        <v>841</v>
      </c>
      <c r="P3275" s="59" t="s">
        <v>1783</v>
      </c>
    </row>
    <row r="3276" spans="1:16" ht="22" customHeight="1" x14ac:dyDescent="0.15">
      <c r="A3276" s="10" t="str">
        <f t="shared" si="513"/>
        <v>530_10_5_10_polygon</v>
      </c>
      <c r="B3276" s="2">
        <v>530</v>
      </c>
      <c r="C3276" s="30" t="str">
        <f>VLOOKUP(B3276,gachas!A:C,3)</f>
        <v>スペシャルサマーガチャ＋SideB</v>
      </c>
      <c r="D3276" s="21">
        <v>10</v>
      </c>
      <c r="E3276" s="2">
        <f t="shared" si="516"/>
        <v>5</v>
      </c>
      <c r="F3276" s="2">
        <v>10</v>
      </c>
      <c r="G3276" s="3" t="s">
        <v>22</v>
      </c>
      <c r="H3276" s="2">
        <v>50</v>
      </c>
      <c r="I3276" s="114" t="str">
        <f t="shared" si="514"/>
        <v>530100</v>
      </c>
      <c r="J3276" s="112" t="s">
        <v>84</v>
      </c>
      <c r="K3276" s="112" t="str">
        <f t="shared" si="515"/>
        <v>530100</v>
      </c>
      <c r="L3276" s="2">
        <v>1</v>
      </c>
      <c r="M3276" s="2" t="s">
        <v>84</v>
      </c>
      <c r="N3276" s="2" t="s">
        <v>84</v>
      </c>
      <c r="O3276" s="2" t="s">
        <v>841</v>
      </c>
      <c r="P3276" s="2" t="s">
        <v>2712</v>
      </c>
    </row>
    <row r="3277" spans="1:16" ht="22" customHeight="1" x14ac:dyDescent="0.15">
      <c r="A3277" s="10" t="str">
        <f t="shared" si="513"/>
        <v>530_10_6_10_polygon</v>
      </c>
      <c r="B3277" s="2">
        <v>530</v>
      </c>
      <c r="C3277" s="30" t="str">
        <f>VLOOKUP(B3277,gachas!A:C,3)</f>
        <v>スペシャルサマーガチャ＋SideB</v>
      </c>
      <c r="D3277" s="21">
        <v>10</v>
      </c>
      <c r="E3277" s="2">
        <f t="shared" si="516"/>
        <v>6</v>
      </c>
      <c r="F3277" s="2">
        <v>10</v>
      </c>
      <c r="G3277" s="3" t="s">
        <v>22</v>
      </c>
      <c r="H3277" s="2">
        <v>50</v>
      </c>
      <c r="I3277" s="114" t="str">
        <f t="shared" si="514"/>
        <v>530100</v>
      </c>
      <c r="J3277" s="112" t="s">
        <v>84</v>
      </c>
      <c r="K3277" s="112" t="str">
        <f t="shared" si="515"/>
        <v>530100</v>
      </c>
      <c r="L3277" s="2">
        <v>1</v>
      </c>
      <c r="M3277" s="2" t="s">
        <v>84</v>
      </c>
      <c r="N3277" s="2" t="s">
        <v>84</v>
      </c>
      <c r="O3277" s="2" t="s">
        <v>841</v>
      </c>
      <c r="P3277" s="2" t="s">
        <v>2712</v>
      </c>
    </row>
    <row r="3278" spans="1:16" ht="22" customHeight="1" x14ac:dyDescent="0.15">
      <c r="A3278" s="10" t="str">
        <f t="shared" si="513"/>
        <v>530_10_7_10_polygon</v>
      </c>
      <c r="B3278" s="2">
        <v>530</v>
      </c>
      <c r="C3278" s="30" t="str">
        <f>VLOOKUP(B3278,gachas!A:C,3)</f>
        <v>スペシャルサマーガチャ＋SideB</v>
      </c>
      <c r="D3278" s="21">
        <v>10</v>
      </c>
      <c r="E3278" s="2">
        <f t="shared" si="516"/>
        <v>7</v>
      </c>
      <c r="F3278" s="2">
        <v>10</v>
      </c>
      <c r="G3278" s="3" t="s">
        <v>22</v>
      </c>
      <c r="H3278" s="2">
        <v>25</v>
      </c>
      <c r="I3278" s="114" t="str">
        <f t="shared" si="514"/>
        <v>530100</v>
      </c>
      <c r="J3278" s="112" t="s">
        <v>84</v>
      </c>
      <c r="K3278" s="112" t="str">
        <f t="shared" si="515"/>
        <v>530100</v>
      </c>
      <c r="L3278" s="2">
        <v>1</v>
      </c>
      <c r="M3278" s="2" t="s">
        <v>84</v>
      </c>
      <c r="N3278" s="2" t="s">
        <v>84</v>
      </c>
      <c r="O3278" s="2" t="s">
        <v>841</v>
      </c>
      <c r="P3278" s="59" t="s">
        <v>1783</v>
      </c>
    </row>
    <row r="3279" spans="1:16" ht="22" customHeight="1" x14ac:dyDescent="0.15">
      <c r="A3279" s="10" t="str">
        <f t="shared" si="513"/>
        <v>530_10_8_10_polygon</v>
      </c>
      <c r="B3279" s="2">
        <v>530</v>
      </c>
      <c r="C3279" s="30" t="str">
        <f>VLOOKUP(B3279,gachas!A:C,3)</f>
        <v>スペシャルサマーガチャ＋SideB</v>
      </c>
      <c r="D3279" s="21">
        <v>10</v>
      </c>
      <c r="E3279" s="2">
        <f t="shared" si="516"/>
        <v>8</v>
      </c>
      <c r="F3279" s="2">
        <v>10</v>
      </c>
      <c r="G3279" s="3" t="s">
        <v>22</v>
      </c>
      <c r="H3279" s="2">
        <v>50</v>
      </c>
      <c r="I3279" s="114" t="str">
        <f t="shared" si="514"/>
        <v>530100</v>
      </c>
      <c r="J3279" s="112" t="s">
        <v>84</v>
      </c>
      <c r="K3279" s="112" t="str">
        <f t="shared" si="515"/>
        <v>530100</v>
      </c>
      <c r="L3279" s="2">
        <v>1</v>
      </c>
      <c r="M3279" s="2" t="s">
        <v>84</v>
      </c>
      <c r="N3279" s="2" t="s">
        <v>84</v>
      </c>
      <c r="O3279" s="2" t="s">
        <v>841</v>
      </c>
      <c r="P3279" s="2" t="s">
        <v>2712</v>
      </c>
    </row>
    <row r="3280" spans="1:16" ht="22" customHeight="1" x14ac:dyDescent="0.15">
      <c r="A3280" s="10" t="str">
        <f t="shared" si="513"/>
        <v>530_10_9_10_polygon</v>
      </c>
      <c r="B3280" s="2">
        <v>530</v>
      </c>
      <c r="C3280" s="30" t="str">
        <f>VLOOKUP(B3280,gachas!A:C,3)</f>
        <v>スペシャルサマーガチャ＋SideB</v>
      </c>
      <c r="D3280" s="21">
        <v>10</v>
      </c>
      <c r="E3280" s="2">
        <f t="shared" si="516"/>
        <v>9</v>
      </c>
      <c r="F3280" s="2">
        <v>10</v>
      </c>
      <c r="G3280" s="3" t="s">
        <v>22</v>
      </c>
      <c r="H3280" s="2">
        <v>50</v>
      </c>
      <c r="I3280" s="114" t="str">
        <f t="shared" si="514"/>
        <v>530100</v>
      </c>
      <c r="J3280" s="112" t="s">
        <v>84</v>
      </c>
      <c r="K3280" s="112" t="str">
        <f t="shared" si="515"/>
        <v>530100</v>
      </c>
      <c r="L3280" s="2">
        <v>1</v>
      </c>
      <c r="M3280" s="2" t="s">
        <v>84</v>
      </c>
      <c r="N3280" s="2" t="s">
        <v>84</v>
      </c>
      <c r="O3280" s="2" t="s">
        <v>841</v>
      </c>
      <c r="P3280" s="2" t="s">
        <v>2712</v>
      </c>
    </row>
    <row r="3281" spans="1:16" ht="22" customHeight="1" x14ac:dyDescent="0.15">
      <c r="A3281" s="10" t="str">
        <f t="shared" si="513"/>
        <v>530_10_10_10_polygon</v>
      </c>
      <c r="B3281" s="2">
        <v>530</v>
      </c>
      <c r="C3281" s="30" t="str">
        <f>VLOOKUP(B3281,gachas!A:C,3)</f>
        <v>スペシャルサマーガチャ＋SideB</v>
      </c>
      <c r="D3281" s="21">
        <v>10</v>
      </c>
      <c r="E3281" s="2">
        <f t="shared" si="516"/>
        <v>10</v>
      </c>
      <c r="F3281" s="2">
        <v>10</v>
      </c>
      <c r="G3281" s="3" t="s">
        <v>22</v>
      </c>
      <c r="H3281" s="2">
        <v>25</v>
      </c>
      <c r="I3281" s="114" t="str">
        <f t="shared" si="514"/>
        <v>530100</v>
      </c>
      <c r="J3281" s="112" t="s">
        <v>84</v>
      </c>
      <c r="K3281" s="112" t="str">
        <f t="shared" si="515"/>
        <v>530100</v>
      </c>
      <c r="L3281" s="2">
        <v>1</v>
      </c>
      <c r="M3281" s="2" t="s">
        <v>84</v>
      </c>
      <c r="N3281" s="2" t="s">
        <v>84</v>
      </c>
      <c r="O3281" s="2" t="s">
        <v>841</v>
      </c>
      <c r="P3281" s="59" t="s">
        <v>1783</v>
      </c>
    </row>
    <row r="3282" spans="1:16" ht="22" customHeight="1" x14ac:dyDescent="0.15">
      <c r="A3282" s="10" t="str">
        <f t="shared" si="513"/>
        <v>530_10_11_10_polygon</v>
      </c>
      <c r="B3282" s="2">
        <v>530</v>
      </c>
      <c r="C3282" s="30" t="str">
        <f>VLOOKUP(B3282,gachas!A:C,3)</f>
        <v>スペシャルサマーガチャ＋SideB</v>
      </c>
      <c r="D3282" s="21">
        <v>10</v>
      </c>
      <c r="E3282" s="2">
        <f t="shared" si="516"/>
        <v>11</v>
      </c>
      <c r="F3282" s="2">
        <v>10</v>
      </c>
      <c r="G3282" s="3" t="s">
        <v>22</v>
      </c>
      <c r="H3282" s="2">
        <v>50</v>
      </c>
      <c r="I3282" s="114" t="str">
        <f t="shared" si="514"/>
        <v>530100</v>
      </c>
      <c r="J3282" s="112" t="s">
        <v>84</v>
      </c>
      <c r="K3282" s="112" t="str">
        <f t="shared" si="515"/>
        <v>530100</v>
      </c>
      <c r="L3282" s="2">
        <v>1</v>
      </c>
      <c r="M3282" s="2" t="s">
        <v>84</v>
      </c>
      <c r="N3282" s="2" t="s">
        <v>84</v>
      </c>
      <c r="O3282" s="2" t="s">
        <v>841</v>
      </c>
      <c r="P3282" s="2" t="s">
        <v>2712</v>
      </c>
    </row>
    <row r="3283" spans="1:16" ht="22" customHeight="1" x14ac:dyDescent="0.15">
      <c r="A3283" s="10" t="str">
        <f t="shared" si="513"/>
        <v>530_10_12_10_polygon</v>
      </c>
      <c r="B3283" s="2">
        <v>530</v>
      </c>
      <c r="C3283" s="30" t="str">
        <f>VLOOKUP(B3283,gachas!A:C,3)</f>
        <v>スペシャルサマーガチャ＋SideB</v>
      </c>
      <c r="D3283" s="21">
        <v>10</v>
      </c>
      <c r="E3283" s="2">
        <f t="shared" si="516"/>
        <v>12</v>
      </c>
      <c r="F3283" s="2">
        <v>10</v>
      </c>
      <c r="G3283" s="3" t="s">
        <v>22</v>
      </c>
      <c r="H3283" s="2">
        <v>50</v>
      </c>
      <c r="I3283" s="114" t="str">
        <f t="shared" si="514"/>
        <v>530100</v>
      </c>
      <c r="J3283" s="112" t="s">
        <v>84</v>
      </c>
      <c r="K3283" s="112" t="str">
        <f t="shared" si="515"/>
        <v>530100</v>
      </c>
      <c r="L3283" s="2">
        <v>1</v>
      </c>
      <c r="M3283" s="2" t="s">
        <v>84</v>
      </c>
      <c r="N3283" s="2" t="s">
        <v>84</v>
      </c>
      <c r="O3283" s="2" t="s">
        <v>841</v>
      </c>
      <c r="P3283" s="2" t="s">
        <v>2712</v>
      </c>
    </row>
    <row r="3284" spans="1:16" ht="22" customHeight="1" x14ac:dyDescent="0.15">
      <c r="A3284" s="10" t="str">
        <f t="shared" si="513"/>
        <v>530_10_13_10_polygon</v>
      </c>
      <c r="B3284" s="2">
        <v>530</v>
      </c>
      <c r="C3284" s="30" t="str">
        <f>VLOOKUP(B3284,gachas!A:C,3)</f>
        <v>スペシャルサマーガチャ＋SideB</v>
      </c>
      <c r="D3284" s="21">
        <v>10</v>
      </c>
      <c r="E3284" s="2">
        <f t="shared" si="516"/>
        <v>13</v>
      </c>
      <c r="F3284" s="2">
        <v>10</v>
      </c>
      <c r="G3284" s="3" t="s">
        <v>22</v>
      </c>
      <c r="H3284" s="2">
        <v>25</v>
      </c>
      <c r="I3284" s="114" t="str">
        <f t="shared" si="514"/>
        <v>530100</v>
      </c>
      <c r="J3284" s="112" t="s">
        <v>84</v>
      </c>
      <c r="K3284" s="112" t="str">
        <f t="shared" si="515"/>
        <v>530100</v>
      </c>
      <c r="L3284" s="2">
        <v>1</v>
      </c>
      <c r="M3284" s="2" t="s">
        <v>84</v>
      </c>
      <c r="N3284" s="2" t="s">
        <v>84</v>
      </c>
      <c r="O3284" s="2" t="s">
        <v>841</v>
      </c>
      <c r="P3284" s="59" t="s">
        <v>1783</v>
      </c>
    </row>
    <row r="3285" spans="1:16" ht="22" customHeight="1" x14ac:dyDescent="0.15">
      <c r="A3285" s="10" t="str">
        <f t="shared" si="513"/>
        <v>530_10_14_10_polygon</v>
      </c>
      <c r="B3285" s="2">
        <v>530</v>
      </c>
      <c r="C3285" s="30" t="str">
        <f>VLOOKUP(B3285,gachas!A:C,3)</f>
        <v>スペシャルサマーガチャ＋SideB</v>
      </c>
      <c r="D3285" s="21">
        <v>10</v>
      </c>
      <c r="E3285" s="2">
        <f t="shared" si="516"/>
        <v>14</v>
      </c>
      <c r="F3285" s="2">
        <v>10</v>
      </c>
      <c r="G3285" s="3" t="s">
        <v>22</v>
      </c>
      <c r="H3285" s="2">
        <v>50</v>
      </c>
      <c r="I3285" s="114" t="str">
        <f t="shared" si="514"/>
        <v>530100</v>
      </c>
      <c r="J3285" s="112" t="s">
        <v>84</v>
      </c>
      <c r="K3285" s="112" t="str">
        <f t="shared" si="515"/>
        <v>530100</v>
      </c>
      <c r="L3285" s="2">
        <v>1</v>
      </c>
      <c r="M3285" s="2" t="s">
        <v>84</v>
      </c>
      <c r="N3285" s="2" t="s">
        <v>84</v>
      </c>
      <c r="O3285" s="2" t="s">
        <v>841</v>
      </c>
      <c r="P3285" s="2" t="s">
        <v>2712</v>
      </c>
    </row>
    <row r="3286" spans="1:16" ht="22" customHeight="1" x14ac:dyDescent="0.15">
      <c r="A3286" s="10" t="str">
        <f t="shared" si="513"/>
        <v>530_10_15_10_polygon</v>
      </c>
      <c r="B3286" s="2">
        <v>530</v>
      </c>
      <c r="C3286" s="30" t="str">
        <f>VLOOKUP(B3286,gachas!A:C,3)</f>
        <v>スペシャルサマーガチャ＋SideB</v>
      </c>
      <c r="D3286" s="21">
        <v>10</v>
      </c>
      <c r="E3286" s="2">
        <f t="shared" si="516"/>
        <v>15</v>
      </c>
      <c r="F3286" s="2">
        <v>10</v>
      </c>
      <c r="G3286" s="3" t="s">
        <v>22</v>
      </c>
      <c r="H3286" s="2">
        <v>50</v>
      </c>
      <c r="I3286" s="114" t="str">
        <f t="shared" si="514"/>
        <v>530100</v>
      </c>
      <c r="J3286" s="112" t="s">
        <v>84</v>
      </c>
      <c r="K3286" s="112" t="str">
        <f t="shared" si="515"/>
        <v>530100</v>
      </c>
      <c r="L3286" s="2">
        <v>1</v>
      </c>
      <c r="M3286" s="2" t="s">
        <v>84</v>
      </c>
      <c r="N3286" s="2" t="s">
        <v>84</v>
      </c>
      <c r="O3286" s="2" t="s">
        <v>841</v>
      </c>
      <c r="P3286" s="2" t="s">
        <v>2712</v>
      </c>
    </row>
    <row r="3287" spans="1:16" ht="22" customHeight="1" x14ac:dyDescent="0.15">
      <c r="A3287" s="10" t="str">
        <f t="shared" si="513"/>
        <v>530_10_16_10_polygon</v>
      </c>
      <c r="B3287" s="2">
        <v>530</v>
      </c>
      <c r="C3287" s="30" t="str">
        <f>VLOOKUP(B3287,gachas!A:C,3)</f>
        <v>スペシャルサマーガチャ＋SideB</v>
      </c>
      <c r="D3287" s="21">
        <v>10</v>
      </c>
      <c r="E3287" s="2">
        <f t="shared" si="516"/>
        <v>16</v>
      </c>
      <c r="F3287" s="2">
        <v>10</v>
      </c>
      <c r="G3287" s="3" t="s">
        <v>22</v>
      </c>
      <c r="H3287" s="2">
        <v>25</v>
      </c>
      <c r="I3287" s="114" t="str">
        <f t="shared" si="514"/>
        <v>530100</v>
      </c>
      <c r="J3287" s="112" t="s">
        <v>84</v>
      </c>
      <c r="K3287" s="112" t="str">
        <f t="shared" si="515"/>
        <v>530100</v>
      </c>
      <c r="L3287" s="2">
        <v>1</v>
      </c>
      <c r="M3287" s="2" t="s">
        <v>84</v>
      </c>
      <c r="N3287" s="2" t="s">
        <v>84</v>
      </c>
      <c r="O3287" s="2" t="s">
        <v>841</v>
      </c>
      <c r="P3287" s="59" t="s">
        <v>1783</v>
      </c>
    </row>
    <row r="3288" spans="1:16" ht="22" customHeight="1" x14ac:dyDescent="0.15">
      <c r="A3288" s="10" t="str">
        <f t="shared" si="513"/>
        <v>530_10_17_10_polygon</v>
      </c>
      <c r="B3288" s="2">
        <v>530</v>
      </c>
      <c r="C3288" s="30" t="str">
        <f>VLOOKUP(B3288,gachas!A:C,3)</f>
        <v>スペシャルサマーガチャ＋SideB</v>
      </c>
      <c r="D3288" s="21">
        <v>10</v>
      </c>
      <c r="E3288" s="2">
        <f t="shared" si="516"/>
        <v>17</v>
      </c>
      <c r="F3288" s="2">
        <v>10</v>
      </c>
      <c r="G3288" s="3" t="s">
        <v>22</v>
      </c>
      <c r="H3288" s="2">
        <v>50</v>
      </c>
      <c r="I3288" s="114" t="str">
        <f t="shared" si="514"/>
        <v>530100</v>
      </c>
      <c r="J3288" s="112" t="s">
        <v>84</v>
      </c>
      <c r="K3288" s="112" t="str">
        <f t="shared" si="515"/>
        <v>530100</v>
      </c>
      <c r="L3288" s="2">
        <v>1</v>
      </c>
      <c r="M3288" s="2" t="s">
        <v>84</v>
      </c>
      <c r="N3288" s="2" t="s">
        <v>84</v>
      </c>
      <c r="O3288" s="2" t="s">
        <v>841</v>
      </c>
      <c r="P3288" s="2" t="s">
        <v>2712</v>
      </c>
    </row>
    <row r="3289" spans="1:16" ht="22" customHeight="1" x14ac:dyDescent="0.15">
      <c r="A3289" s="10" t="str">
        <f t="shared" si="513"/>
        <v>530_10_18_10_polygon</v>
      </c>
      <c r="B3289" s="2">
        <v>530</v>
      </c>
      <c r="C3289" s="30" t="str">
        <f>VLOOKUP(B3289,gachas!A:C,3)</f>
        <v>スペシャルサマーガチャ＋SideB</v>
      </c>
      <c r="D3289" s="21">
        <v>10</v>
      </c>
      <c r="E3289" s="2">
        <f t="shared" si="516"/>
        <v>18</v>
      </c>
      <c r="F3289" s="2">
        <v>10</v>
      </c>
      <c r="G3289" s="3" t="s">
        <v>22</v>
      </c>
      <c r="H3289" s="2">
        <v>50</v>
      </c>
      <c r="I3289" s="114" t="str">
        <f t="shared" si="514"/>
        <v>530100</v>
      </c>
      <c r="J3289" s="112" t="s">
        <v>84</v>
      </c>
      <c r="K3289" s="112" t="str">
        <f t="shared" si="515"/>
        <v>530100</v>
      </c>
      <c r="L3289" s="2">
        <v>1</v>
      </c>
      <c r="M3289" s="2" t="s">
        <v>84</v>
      </c>
      <c r="N3289" s="2" t="s">
        <v>84</v>
      </c>
      <c r="O3289" s="2" t="s">
        <v>841</v>
      </c>
      <c r="P3289" s="2" t="s">
        <v>2712</v>
      </c>
    </row>
    <row r="3290" spans="1:16" ht="22" customHeight="1" x14ac:dyDescent="0.15">
      <c r="A3290" s="10" t="str">
        <f t="shared" si="513"/>
        <v>530_10_19_10_polygon</v>
      </c>
      <c r="B3290" s="2">
        <v>530</v>
      </c>
      <c r="C3290" s="30" t="str">
        <f>VLOOKUP(B3290,gachas!A:C,3)</f>
        <v>スペシャルサマーガチャ＋SideB</v>
      </c>
      <c r="D3290" s="21">
        <v>10</v>
      </c>
      <c r="E3290" s="2">
        <f t="shared" si="516"/>
        <v>19</v>
      </c>
      <c r="F3290" s="2">
        <v>10</v>
      </c>
      <c r="G3290" s="3" t="s">
        <v>22</v>
      </c>
      <c r="H3290" s="2">
        <v>25</v>
      </c>
      <c r="I3290" s="114" t="str">
        <f t="shared" si="514"/>
        <v>530100</v>
      </c>
      <c r="J3290" s="112" t="s">
        <v>84</v>
      </c>
      <c r="K3290" s="112" t="str">
        <f t="shared" si="515"/>
        <v>530100</v>
      </c>
      <c r="L3290" s="2">
        <v>1</v>
      </c>
      <c r="M3290" s="2" t="s">
        <v>84</v>
      </c>
      <c r="N3290" s="2" t="s">
        <v>84</v>
      </c>
      <c r="O3290" s="2" t="s">
        <v>841</v>
      </c>
      <c r="P3290" s="59" t="s">
        <v>1783</v>
      </c>
    </row>
    <row r="3291" spans="1:16" ht="22" customHeight="1" x14ac:dyDescent="0.15">
      <c r="A3291" s="10" t="str">
        <f t="shared" si="513"/>
        <v>530_10_20_10_polygon</v>
      </c>
      <c r="B3291" s="2">
        <v>530</v>
      </c>
      <c r="C3291" s="30" t="str">
        <f>VLOOKUP(B3291,gachas!A:C,3)</f>
        <v>スペシャルサマーガチャ＋SideB</v>
      </c>
      <c r="D3291" s="21">
        <v>10</v>
      </c>
      <c r="E3291" s="2">
        <f t="shared" si="516"/>
        <v>20</v>
      </c>
      <c r="F3291" s="2">
        <v>10</v>
      </c>
      <c r="G3291" s="3" t="s">
        <v>22</v>
      </c>
      <c r="H3291" s="2">
        <v>50</v>
      </c>
      <c r="I3291" s="114" t="str">
        <f t="shared" si="514"/>
        <v>530100</v>
      </c>
      <c r="J3291" s="112" t="s">
        <v>84</v>
      </c>
      <c r="K3291" s="112" t="str">
        <f t="shared" si="515"/>
        <v>530100</v>
      </c>
      <c r="L3291" s="2">
        <v>1</v>
      </c>
      <c r="M3291" s="2" t="s">
        <v>84</v>
      </c>
      <c r="N3291" s="2" t="s">
        <v>84</v>
      </c>
      <c r="O3291" s="2" t="s">
        <v>841</v>
      </c>
      <c r="P3291" s="2" t="s">
        <v>2712</v>
      </c>
    </row>
    <row r="3292" spans="1:16" ht="22" customHeight="1" x14ac:dyDescent="0.15">
      <c r="A3292" s="10" t="str">
        <f t="shared" si="513"/>
        <v>530_10_21_10_polygon</v>
      </c>
      <c r="B3292" s="2">
        <v>530</v>
      </c>
      <c r="C3292" s="30" t="str">
        <f>VLOOKUP(B3292,gachas!A:C,3)</f>
        <v>スペシャルサマーガチャ＋SideB</v>
      </c>
      <c r="D3292" s="21">
        <v>10</v>
      </c>
      <c r="E3292" s="2">
        <f t="shared" si="516"/>
        <v>21</v>
      </c>
      <c r="F3292" s="2">
        <v>10</v>
      </c>
      <c r="G3292" s="3" t="s">
        <v>22</v>
      </c>
      <c r="H3292" s="2">
        <v>50</v>
      </c>
      <c r="I3292" s="114" t="str">
        <f t="shared" si="514"/>
        <v>530100</v>
      </c>
      <c r="J3292" s="112" t="s">
        <v>84</v>
      </c>
      <c r="K3292" s="112" t="str">
        <f t="shared" si="515"/>
        <v>530100</v>
      </c>
      <c r="L3292" s="2">
        <v>1</v>
      </c>
      <c r="M3292" s="2" t="s">
        <v>84</v>
      </c>
      <c r="N3292" s="2" t="s">
        <v>84</v>
      </c>
      <c r="O3292" s="2" t="s">
        <v>841</v>
      </c>
      <c r="P3292" s="2" t="s">
        <v>2712</v>
      </c>
    </row>
    <row r="3293" spans="1:16" ht="22" customHeight="1" x14ac:dyDescent="0.15">
      <c r="A3293" s="10" t="str">
        <f t="shared" si="513"/>
        <v>530_10_22_10_polygon</v>
      </c>
      <c r="B3293" s="2">
        <v>530</v>
      </c>
      <c r="C3293" s="30" t="str">
        <f>VLOOKUP(B3293,gachas!A:C,3)</f>
        <v>スペシャルサマーガチャ＋SideB</v>
      </c>
      <c r="D3293" s="21">
        <v>10</v>
      </c>
      <c r="E3293" s="2">
        <f t="shared" si="516"/>
        <v>22</v>
      </c>
      <c r="F3293" s="2">
        <v>10</v>
      </c>
      <c r="G3293" s="3" t="s">
        <v>22</v>
      </c>
      <c r="H3293" s="2">
        <v>25</v>
      </c>
      <c r="I3293" s="114" t="str">
        <f t="shared" si="514"/>
        <v>530100</v>
      </c>
      <c r="J3293" s="112" t="s">
        <v>84</v>
      </c>
      <c r="K3293" s="112" t="str">
        <f t="shared" si="515"/>
        <v>530100</v>
      </c>
      <c r="L3293" s="2">
        <v>1</v>
      </c>
      <c r="M3293" s="2" t="s">
        <v>84</v>
      </c>
      <c r="N3293" s="2" t="s">
        <v>84</v>
      </c>
      <c r="O3293" s="2" t="s">
        <v>841</v>
      </c>
      <c r="P3293" s="59" t="s">
        <v>1783</v>
      </c>
    </row>
    <row r="3294" spans="1:16" ht="22" customHeight="1" x14ac:dyDescent="0.15">
      <c r="A3294" s="10" t="str">
        <f t="shared" si="513"/>
        <v>530_10_23_10_polygon</v>
      </c>
      <c r="B3294" s="2">
        <v>530</v>
      </c>
      <c r="C3294" s="30" t="str">
        <f>VLOOKUP(B3294,gachas!A:C,3)</f>
        <v>スペシャルサマーガチャ＋SideB</v>
      </c>
      <c r="D3294" s="21">
        <v>10</v>
      </c>
      <c r="E3294" s="2">
        <f t="shared" si="516"/>
        <v>23</v>
      </c>
      <c r="F3294" s="2">
        <v>10</v>
      </c>
      <c r="G3294" s="3" t="s">
        <v>22</v>
      </c>
      <c r="H3294" s="2">
        <v>50</v>
      </c>
      <c r="I3294" s="114" t="str">
        <f t="shared" si="514"/>
        <v>530100</v>
      </c>
      <c r="J3294" s="112" t="s">
        <v>84</v>
      </c>
      <c r="K3294" s="112" t="str">
        <f t="shared" si="515"/>
        <v>530100</v>
      </c>
      <c r="L3294" s="2">
        <v>1</v>
      </c>
      <c r="M3294" s="2" t="s">
        <v>84</v>
      </c>
      <c r="N3294" s="2" t="s">
        <v>84</v>
      </c>
      <c r="O3294" s="2" t="s">
        <v>841</v>
      </c>
      <c r="P3294" s="2" t="s">
        <v>2712</v>
      </c>
    </row>
    <row r="3295" spans="1:16" ht="22" customHeight="1" x14ac:dyDescent="0.15">
      <c r="A3295" s="10" t="str">
        <f t="shared" si="513"/>
        <v>530_10_24_10_polygon</v>
      </c>
      <c r="B3295" s="2">
        <v>530</v>
      </c>
      <c r="C3295" s="30" t="str">
        <f>VLOOKUP(B3295,gachas!A:C,3)</f>
        <v>スペシャルサマーガチャ＋SideB</v>
      </c>
      <c r="D3295" s="21">
        <v>10</v>
      </c>
      <c r="E3295" s="2">
        <f t="shared" si="516"/>
        <v>24</v>
      </c>
      <c r="F3295" s="2">
        <v>10</v>
      </c>
      <c r="G3295" s="3" t="s">
        <v>22</v>
      </c>
      <c r="H3295" s="2">
        <v>50</v>
      </c>
      <c r="I3295" s="114" t="str">
        <f t="shared" si="514"/>
        <v>530100</v>
      </c>
      <c r="J3295" s="112" t="s">
        <v>84</v>
      </c>
      <c r="K3295" s="112" t="str">
        <f t="shared" si="515"/>
        <v>530100</v>
      </c>
      <c r="L3295" s="2">
        <v>1</v>
      </c>
      <c r="M3295" s="2" t="s">
        <v>84</v>
      </c>
      <c r="N3295" s="2" t="s">
        <v>84</v>
      </c>
      <c r="O3295" s="2" t="s">
        <v>841</v>
      </c>
      <c r="P3295" s="2" t="s">
        <v>2712</v>
      </c>
    </row>
    <row r="3296" spans="1:16" ht="22" customHeight="1" x14ac:dyDescent="0.15">
      <c r="A3296" s="10" t="str">
        <f t="shared" si="513"/>
        <v>530_10_25_10_polygon</v>
      </c>
      <c r="B3296" s="2">
        <v>530</v>
      </c>
      <c r="C3296" s="30" t="str">
        <f>VLOOKUP(B3296,gachas!A:C,3)</f>
        <v>スペシャルサマーガチャ＋SideB</v>
      </c>
      <c r="D3296" s="21">
        <v>10</v>
      </c>
      <c r="E3296" s="2">
        <f t="shared" si="516"/>
        <v>25</v>
      </c>
      <c r="F3296" s="2">
        <v>10</v>
      </c>
      <c r="G3296" s="3" t="s">
        <v>22</v>
      </c>
      <c r="H3296" s="2">
        <v>25</v>
      </c>
      <c r="I3296" s="114" t="str">
        <f t="shared" si="514"/>
        <v>530100</v>
      </c>
      <c r="J3296" s="112" t="s">
        <v>84</v>
      </c>
      <c r="K3296" s="112" t="str">
        <f t="shared" si="515"/>
        <v>530100</v>
      </c>
      <c r="L3296" s="2">
        <v>1</v>
      </c>
      <c r="M3296" s="2" t="s">
        <v>84</v>
      </c>
      <c r="N3296" s="2" t="s">
        <v>84</v>
      </c>
      <c r="O3296" s="2" t="s">
        <v>841</v>
      </c>
      <c r="P3296" s="59" t="s">
        <v>1783</v>
      </c>
    </row>
    <row r="3297" spans="1:16" ht="22" customHeight="1" x14ac:dyDescent="0.15">
      <c r="A3297" s="10" t="str">
        <f t="shared" si="513"/>
        <v>530_10_26_10_polygon</v>
      </c>
      <c r="B3297" s="2">
        <v>530</v>
      </c>
      <c r="C3297" s="30" t="str">
        <f>VLOOKUP(B3297,gachas!A:C,3)</f>
        <v>スペシャルサマーガチャ＋SideB</v>
      </c>
      <c r="D3297" s="21">
        <v>10</v>
      </c>
      <c r="E3297" s="2">
        <f t="shared" si="516"/>
        <v>26</v>
      </c>
      <c r="F3297" s="2">
        <v>10</v>
      </c>
      <c r="G3297" s="3" t="s">
        <v>22</v>
      </c>
      <c r="H3297" s="2">
        <v>50</v>
      </c>
      <c r="I3297" s="114" t="str">
        <f t="shared" si="514"/>
        <v>530100</v>
      </c>
      <c r="J3297" s="112" t="s">
        <v>84</v>
      </c>
      <c r="K3297" s="112" t="str">
        <f t="shared" si="515"/>
        <v>530100</v>
      </c>
      <c r="L3297" s="2">
        <v>1</v>
      </c>
      <c r="M3297" s="2" t="s">
        <v>84</v>
      </c>
      <c r="N3297" s="2" t="s">
        <v>84</v>
      </c>
      <c r="O3297" s="2" t="s">
        <v>841</v>
      </c>
      <c r="P3297" s="2" t="s">
        <v>2712</v>
      </c>
    </row>
    <row r="3298" spans="1:16" ht="22" customHeight="1" x14ac:dyDescent="0.15">
      <c r="A3298" s="10" t="str">
        <f t="shared" si="513"/>
        <v>530_10_27_10_polygon</v>
      </c>
      <c r="B3298" s="2">
        <v>530</v>
      </c>
      <c r="C3298" s="30" t="str">
        <f>VLOOKUP(B3298,gachas!A:C,3)</f>
        <v>スペシャルサマーガチャ＋SideB</v>
      </c>
      <c r="D3298" s="21">
        <v>10</v>
      </c>
      <c r="E3298" s="2">
        <f t="shared" si="516"/>
        <v>27</v>
      </c>
      <c r="F3298" s="2">
        <v>10</v>
      </c>
      <c r="G3298" s="3" t="s">
        <v>22</v>
      </c>
      <c r="H3298" s="2">
        <v>50</v>
      </c>
      <c r="I3298" s="114" t="str">
        <f t="shared" si="514"/>
        <v>530100</v>
      </c>
      <c r="J3298" s="112" t="s">
        <v>84</v>
      </c>
      <c r="K3298" s="112" t="str">
        <f t="shared" si="515"/>
        <v>530100</v>
      </c>
      <c r="L3298" s="2">
        <v>1</v>
      </c>
      <c r="M3298" s="2" t="s">
        <v>84</v>
      </c>
      <c r="N3298" s="2" t="s">
        <v>84</v>
      </c>
      <c r="O3298" s="2" t="s">
        <v>841</v>
      </c>
      <c r="P3298" s="2" t="s">
        <v>2712</v>
      </c>
    </row>
    <row r="3299" spans="1:16" ht="22" customHeight="1" x14ac:dyDescent="0.15">
      <c r="A3299" s="10" t="str">
        <f t="shared" si="513"/>
        <v>530_10_28_10_polygon</v>
      </c>
      <c r="B3299" s="2">
        <v>530</v>
      </c>
      <c r="C3299" s="30" t="str">
        <f>VLOOKUP(B3299,gachas!A:C,3)</f>
        <v>スペシャルサマーガチャ＋SideB</v>
      </c>
      <c r="D3299" s="21">
        <v>10</v>
      </c>
      <c r="E3299" s="2">
        <f t="shared" si="516"/>
        <v>28</v>
      </c>
      <c r="F3299" s="2">
        <v>10</v>
      </c>
      <c r="G3299" s="3" t="s">
        <v>22</v>
      </c>
      <c r="H3299" s="2">
        <v>25</v>
      </c>
      <c r="I3299" s="114" t="str">
        <f t="shared" si="514"/>
        <v>530100</v>
      </c>
      <c r="J3299" s="112" t="s">
        <v>84</v>
      </c>
      <c r="K3299" s="112" t="str">
        <f t="shared" si="515"/>
        <v>530100</v>
      </c>
      <c r="L3299" s="2">
        <v>1</v>
      </c>
      <c r="M3299" s="2" t="s">
        <v>84</v>
      </c>
      <c r="N3299" s="2" t="s">
        <v>84</v>
      </c>
      <c r="O3299" s="2" t="s">
        <v>841</v>
      </c>
      <c r="P3299" s="59" t="s">
        <v>1783</v>
      </c>
    </row>
    <row r="3300" spans="1:16" ht="22" customHeight="1" x14ac:dyDescent="0.15">
      <c r="A3300" s="10" t="str">
        <f t="shared" si="502"/>
        <v>531_1_0_1_polygon</v>
      </c>
      <c r="B3300" s="2">
        <v>531</v>
      </c>
      <c r="C3300" s="30" t="str">
        <f>VLOOKUP(B3300,gachas!A:C,3)</f>
        <v>1日1回無料スペシャルサマーガチャ(22日)</v>
      </c>
      <c r="D3300" s="21">
        <v>1</v>
      </c>
      <c r="E3300" s="2">
        <v>0</v>
      </c>
      <c r="F3300" s="2">
        <v>1</v>
      </c>
      <c r="G3300" s="3" t="s">
        <v>1566</v>
      </c>
      <c r="H3300" s="2">
        <v>0</v>
      </c>
      <c r="I3300" s="114" t="str">
        <f t="shared" si="503"/>
        <v>531010</v>
      </c>
      <c r="J3300" s="112">
        <v>531105</v>
      </c>
      <c r="K3300" s="2" t="s">
        <v>85</v>
      </c>
      <c r="L3300" s="2">
        <v>0</v>
      </c>
      <c r="M3300" s="2" t="s">
        <v>1571</v>
      </c>
      <c r="N3300" s="2" t="s">
        <v>1571</v>
      </c>
      <c r="O3300" s="2" t="s">
        <v>118</v>
      </c>
      <c r="P3300" s="2" t="s">
        <v>2709</v>
      </c>
    </row>
    <row r="3301" spans="1:16" ht="22" customHeight="1" x14ac:dyDescent="0.15">
      <c r="A3301" s="10" t="str">
        <f t="shared" si="502"/>
        <v>532_1_1_1_polygon</v>
      </c>
      <c r="B3301" s="2">
        <v>532</v>
      </c>
      <c r="C3301" s="30" t="str">
        <f>VLOOKUP(B3301,gachas!A:C,3)</f>
        <v>常設レアガチャ（日本神話in)</v>
      </c>
      <c r="D3301" s="21">
        <v>1</v>
      </c>
      <c r="E3301" s="2">
        <v>1</v>
      </c>
      <c r="F3301" s="2">
        <v>1</v>
      </c>
      <c r="G3301" s="3" t="s">
        <v>22</v>
      </c>
      <c r="H3301" s="2">
        <v>5</v>
      </c>
      <c r="I3301" s="117" t="str">
        <f>I3303</f>
        <v>532100</v>
      </c>
      <c r="J3301" s="112" t="s">
        <v>84</v>
      </c>
      <c r="K3301" s="2" t="s">
        <v>84</v>
      </c>
      <c r="L3301" s="2">
        <v>0</v>
      </c>
      <c r="M3301" s="2" t="s">
        <v>84</v>
      </c>
      <c r="N3301" s="2" t="s">
        <v>84</v>
      </c>
      <c r="O3301" s="2" t="s">
        <v>841</v>
      </c>
      <c r="P3301" s="2" t="s">
        <v>142</v>
      </c>
    </row>
    <row r="3302" spans="1:16" ht="22" customHeight="1" x14ac:dyDescent="0.15">
      <c r="A3302" s="10" t="str">
        <f t="shared" si="502"/>
        <v>532_1_0_1_polygon</v>
      </c>
      <c r="B3302" s="2">
        <v>532</v>
      </c>
      <c r="C3302" s="30" t="str">
        <f>VLOOKUP(B3302,gachas!A:C,3)</f>
        <v>常設レアガチャ（日本神話in)</v>
      </c>
      <c r="D3302" s="21">
        <v>1</v>
      </c>
      <c r="E3302" s="2">
        <v>0</v>
      </c>
      <c r="F3302" s="2">
        <v>1</v>
      </c>
      <c r="G3302" s="3" t="s">
        <v>22</v>
      </c>
      <c r="H3302" s="2">
        <v>5</v>
      </c>
      <c r="I3302" s="117" t="str">
        <f t="shared" ref="I3302:I3303" si="517">B3302&amp;TEXT(D3302,"00")&amp;E3302</f>
        <v>532010</v>
      </c>
      <c r="J3302" s="112" t="s">
        <v>84</v>
      </c>
      <c r="K3302" s="2" t="s">
        <v>84</v>
      </c>
      <c r="L3302" s="2">
        <v>0</v>
      </c>
      <c r="M3302" s="2" t="s">
        <v>84</v>
      </c>
      <c r="N3302" s="2" t="s">
        <v>84</v>
      </c>
      <c r="O3302" s="2" t="s">
        <v>841</v>
      </c>
      <c r="P3302" s="2" t="s">
        <v>84</v>
      </c>
    </row>
    <row r="3303" spans="1:16" ht="22" customHeight="1" x14ac:dyDescent="0.15">
      <c r="A3303" s="139" t="str">
        <f t="shared" si="502"/>
        <v>532_10_0_10_polygon</v>
      </c>
      <c r="B3303" s="2">
        <v>532</v>
      </c>
      <c r="C3303" s="30" t="str">
        <f>VLOOKUP(B3303,gachas!A:C,3)</f>
        <v>常設レアガチャ（日本神話in)</v>
      </c>
      <c r="D3303" s="21">
        <v>10</v>
      </c>
      <c r="E3303" s="2">
        <v>0</v>
      </c>
      <c r="F3303" s="2">
        <v>10</v>
      </c>
      <c r="G3303" s="3" t="s">
        <v>22</v>
      </c>
      <c r="H3303" s="2">
        <v>50</v>
      </c>
      <c r="I3303" s="117" t="str">
        <f t="shared" si="517"/>
        <v>532100</v>
      </c>
      <c r="J3303" s="112" t="s">
        <v>84</v>
      </c>
      <c r="K3303" s="2" t="s">
        <v>84</v>
      </c>
      <c r="L3303" s="2">
        <v>0</v>
      </c>
      <c r="M3303" s="2" t="s">
        <v>84</v>
      </c>
      <c r="N3303" s="2" t="s">
        <v>84</v>
      </c>
      <c r="O3303" s="2" t="s">
        <v>841</v>
      </c>
      <c r="P3303" s="2" t="s">
        <v>143</v>
      </c>
    </row>
    <row r="3304" spans="1:16" ht="22" customHeight="1" x14ac:dyDescent="0.15">
      <c r="A3304" s="10" t="str">
        <f t="shared" ref="A3304:A3367" si="518">B3304&amp;"_"&amp;D3304&amp;"_"&amp;E3304&amp;"_"&amp;F3304&amp;"_"&amp;G3304</f>
        <v>533_1_0_1_polygon</v>
      </c>
      <c r="B3304" s="2">
        <v>533</v>
      </c>
      <c r="C3304" s="30" t="str">
        <f>VLOOKUP(B3304,gachas!A:C,3)</f>
        <v>1日1回無料スペシャルサマーガチャ(23日)</v>
      </c>
      <c r="D3304" s="21">
        <v>1</v>
      </c>
      <c r="E3304" s="2">
        <v>0</v>
      </c>
      <c r="F3304" s="2">
        <v>1</v>
      </c>
      <c r="G3304" s="3" t="s">
        <v>1566</v>
      </c>
      <c r="H3304" s="2">
        <v>0</v>
      </c>
      <c r="I3304" s="114">
        <v>531010</v>
      </c>
      <c r="J3304" s="112">
        <v>533105</v>
      </c>
      <c r="K3304" s="2" t="s">
        <v>85</v>
      </c>
      <c r="L3304" s="2">
        <v>0</v>
      </c>
      <c r="M3304" s="2" t="s">
        <v>1571</v>
      </c>
      <c r="N3304" s="2" t="s">
        <v>1571</v>
      </c>
      <c r="O3304" s="2" t="s">
        <v>118</v>
      </c>
      <c r="P3304" s="2" t="s">
        <v>2705</v>
      </c>
    </row>
    <row r="3305" spans="1:16" ht="22" customHeight="1" x14ac:dyDescent="0.15">
      <c r="A3305" s="10" t="str">
        <f t="shared" si="518"/>
        <v>534_1_0_1_polygon</v>
      </c>
      <c r="B3305" s="2">
        <v>534</v>
      </c>
      <c r="C3305" s="30" t="str">
        <f>VLOOKUP(B3305,gachas!A:C,3)</f>
        <v>1日1回無料スペシャルサマーガチャ(24日)</v>
      </c>
      <c r="D3305" s="21">
        <v>1</v>
      </c>
      <c r="E3305" s="2">
        <v>0</v>
      </c>
      <c r="F3305" s="2">
        <v>1</v>
      </c>
      <c r="G3305" s="3" t="s">
        <v>1566</v>
      </c>
      <c r="H3305" s="2">
        <v>0</v>
      </c>
      <c r="I3305" s="114">
        <v>531010</v>
      </c>
      <c r="J3305" s="112">
        <v>534105</v>
      </c>
      <c r="K3305" s="2" t="s">
        <v>85</v>
      </c>
      <c r="L3305" s="2">
        <v>0</v>
      </c>
      <c r="M3305" s="2" t="s">
        <v>1571</v>
      </c>
      <c r="N3305" s="2" t="s">
        <v>1571</v>
      </c>
      <c r="O3305" s="2" t="s">
        <v>118</v>
      </c>
      <c r="P3305" s="2" t="s">
        <v>2706</v>
      </c>
    </row>
    <row r="3306" spans="1:16" ht="22" customHeight="1" x14ac:dyDescent="0.15">
      <c r="A3306" s="10" t="str">
        <f t="shared" si="518"/>
        <v>535_1_0_1_polygon</v>
      </c>
      <c r="B3306" s="2">
        <v>535</v>
      </c>
      <c r="C3306" s="30" t="str">
        <f>VLOOKUP(B3306,gachas!A:C,3)</f>
        <v>1日1回無料スペシャルサマーガチャ(25日)</v>
      </c>
      <c r="D3306" s="21">
        <v>1</v>
      </c>
      <c r="E3306" s="2">
        <v>0</v>
      </c>
      <c r="F3306" s="2">
        <v>1</v>
      </c>
      <c r="G3306" s="3" t="s">
        <v>1566</v>
      </c>
      <c r="H3306" s="2">
        <v>0</v>
      </c>
      <c r="I3306" s="114">
        <v>531010</v>
      </c>
      <c r="J3306" s="112">
        <v>535105</v>
      </c>
      <c r="K3306" s="2" t="s">
        <v>85</v>
      </c>
      <c r="L3306" s="2">
        <v>0</v>
      </c>
      <c r="M3306" s="2" t="s">
        <v>1571</v>
      </c>
      <c r="N3306" s="2" t="s">
        <v>1571</v>
      </c>
      <c r="O3306" s="2" t="s">
        <v>118</v>
      </c>
      <c r="P3306" s="2" t="s">
        <v>2707</v>
      </c>
    </row>
    <row r="3307" spans="1:16" ht="22" customHeight="1" x14ac:dyDescent="0.15">
      <c r="A3307" s="10" t="str">
        <f t="shared" si="518"/>
        <v>536_1_0_1_polygon</v>
      </c>
      <c r="B3307" s="2">
        <v>536</v>
      </c>
      <c r="C3307" s="30" t="str">
        <f>VLOOKUP(B3307,gachas!A:C,3)</f>
        <v>1日1回無料スペシャルサマーガチャ(26日)</v>
      </c>
      <c r="D3307" s="21">
        <v>1</v>
      </c>
      <c r="E3307" s="2">
        <v>0</v>
      </c>
      <c r="F3307" s="2">
        <v>1</v>
      </c>
      <c r="G3307" s="3" t="s">
        <v>1566</v>
      </c>
      <c r="H3307" s="2">
        <v>0</v>
      </c>
      <c r="I3307" s="114">
        <v>531010</v>
      </c>
      <c r="J3307" s="112">
        <v>536105</v>
      </c>
      <c r="K3307" s="2" t="s">
        <v>85</v>
      </c>
      <c r="L3307" s="2">
        <v>0</v>
      </c>
      <c r="M3307" s="2" t="s">
        <v>1571</v>
      </c>
      <c r="N3307" s="2" t="s">
        <v>1571</v>
      </c>
      <c r="O3307" s="2" t="s">
        <v>118</v>
      </c>
      <c r="P3307" s="2" t="s">
        <v>2708</v>
      </c>
    </row>
    <row r="3308" spans="1:16" ht="22" customHeight="1" x14ac:dyDescent="0.15">
      <c r="A3308" s="10" t="str">
        <f t="shared" si="518"/>
        <v>537_1_0_1_polygon</v>
      </c>
      <c r="B3308" s="2">
        <v>537</v>
      </c>
      <c r="C3308" s="30" t="str">
        <f>VLOOKUP(B3308,gachas!A:C,3)</f>
        <v>1日1回無料スペシャルサマーガチャ(27日)</v>
      </c>
      <c r="D3308" s="21">
        <v>1</v>
      </c>
      <c r="E3308" s="2">
        <v>0</v>
      </c>
      <c r="F3308" s="2">
        <v>1</v>
      </c>
      <c r="G3308" s="3" t="s">
        <v>1566</v>
      </c>
      <c r="H3308" s="2">
        <v>0</v>
      </c>
      <c r="I3308" s="114">
        <v>531010</v>
      </c>
      <c r="J3308" s="112">
        <v>537105</v>
      </c>
      <c r="K3308" s="2" t="s">
        <v>85</v>
      </c>
      <c r="L3308" s="2">
        <v>0</v>
      </c>
      <c r="M3308" s="2" t="s">
        <v>1571</v>
      </c>
      <c r="N3308" s="2" t="s">
        <v>1571</v>
      </c>
      <c r="O3308" s="2" t="s">
        <v>118</v>
      </c>
      <c r="P3308" s="2" t="s">
        <v>2704</v>
      </c>
    </row>
    <row r="3309" spans="1:16" ht="22" customHeight="1" x14ac:dyDescent="0.15">
      <c r="A3309" s="10" t="str">
        <f t="shared" si="518"/>
        <v>538_1_0_1_polygon</v>
      </c>
      <c r="B3309" s="2">
        <v>538</v>
      </c>
      <c r="C3309" s="30" t="str">
        <f>VLOOKUP(B3309,gachas!A:C,3)</f>
        <v>1日1回無料スペシャルサマーガチャ(28日)</v>
      </c>
      <c r="D3309" s="21">
        <v>1</v>
      </c>
      <c r="E3309" s="2">
        <v>0</v>
      </c>
      <c r="F3309" s="2">
        <v>1</v>
      </c>
      <c r="G3309" s="3" t="s">
        <v>1566</v>
      </c>
      <c r="H3309" s="2">
        <v>0</v>
      </c>
      <c r="I3309" s="114">
        <v>538010</v>
      </c>
      <c r="J3309" s="112">
        <v>538105</v>
      </c>
      <c r="K3309" s="2" t="s">
        <v>85</v>
      </c>
      <c r="L3309" s="2">
        <v>0</v>
      </c>
      <c r="M3309" s="2" t="s">
        <v>1571</v>
      </c>
      <c r="N3309" s="2" t="s">
        <v>1571</v>
      </c>
      <c r="O3309" s="2" t="s">
        <v>118</v>
      </c>
      <c r="P3309" s="2" t="s">
        <v>2713</v>
      </c>
    </row>
    <row r="3310" spans="1:16" ht="22" customHeight="1" x14ac:dyDescent="0.15">
      <c r="A3310" s="10" t="str">
        <f t="shared" si="518"/>
        <v>539_1_0_1_polygon</v>
      </c>
      <c r="B3310" s="2">
        <v>539</v>
      </c>
      <c r="C3310" s="30" t="str">
        <f>VLOOKUP(B3310,gachas!A:C,3)</f>
        <v>超フェス&lt;パウリ、ベルヌーイ&gt;</v>
      </c>
      <c r="D3310" s="21">
        <v>1</v>
      </c>
      <c r="E3310" s="2">
        <v>0</v>
      </c>
      <c r="F3310" s="2">
        <v>1</v>
      </c>
      <c r="G3310" s="3" t="s">
        <v>22</v>
      </c>
      <c r="H3310" s="2">
        <v>5</v>
      </c>
      <c r="I3310" s="112" t="str">
        <f>CONCATENATE(B3310,100)</f>
        <v>539100</v>
      </c>
      <c r="J3310" s="112" t="s">
        <v>84</v>
      </c>
      <c r="K3310" s="112" t="s">
        <v>84</v>
      </c>
      <c r="L3310" s="2">
        <v>0</v>
      </c>
      <c r="M3310" s="2" t="s">
        <v>84</v>
      </c>
      <c r="N3310" s="2" t="s">
        <v>84</v>
      </c>
      <c r="O3310" s="2" t="s">
        <v>841</v>
      </c>
      <c r="P3310" s="2" t="s">
        <v>2572</v>
      </c>
    </row>
    <row r="3311" spans="1:16" ht="22" customHeight="1" x14ac:dyDescent="0.15">
      <c r="A3311" s="10" t="str">
        <f t="shared" si="518"/>
        <v>539_10_0_10_polygon</v>
      </c>
      <c r="B3311" s="2">
        <v>539</v>
      </c>
      <c r="C3311" s="30" t="str">
        <f>VLOOKUP(B3311,gachas!A:C,3)</f>
        <v>超フェス&lt;パウリ、ベルヌーイ&gt;</v>
      </c>
      <c r="D3311" s="21">
        <v>10</v>
      </c>
      <c r="E3311" s="2">
        <v>0</v>
      </c>
      <c r="F3311" s="2">
        <v>10</v>
      </c>
      <c r="G3311" s="3" t="s">
        <v>22</v>
      </c>
      <c r="H3311" s="2">
        <v>50</v>
      </c>
      <c r="I3311" s="112" t="str">
        <f t="shared" ref="I3311:I3315" si="519">CONCATENATE(B3311,100)</f>
        <v>539100</v>
      </c>
      <c r="J3311" s="112" t="s">
        <v>84</v>
      </c>
      <c r="K3311" s="112" t="str">
        <f>I3311</f>
        <v>539100</v>
      </c>
      <c r="L3311" s="2">
        <v>1</v>
      </c>
      <c r="M3311" s="2" t="s">
        <v>84</v>
      </c>
      <c r="N3311" s="2" t="s">
        <v>84</v>
      </c>
      <c r="O3311" s="2" t="s">
        <v>841</v>
      </c>
      <c r="P3311" s="2" t="s">
        <v>2571</v>
      </c>
    </row>
    <row r="3312" spans="1:16" ht="22" customHeight="1" x14ac:dyDescent="0.15">
      <c r="A3312" s="10" t="str">
        <f t="shared" si="518"/>
        <v>540_1_0_1_polygon</v>
      </c>
      <c r="B3312" s="2">
        <v>540</v>
      </c>
      <c r="C3312" s="30" t="str">
        <f>VLOOKUP(B3312,gachas!A:C,3)</f>
        <v>超フェス&lt;パウリ、セキ&gt;</v>
      </c>
      <c r="D3312" s="21">
        <v>1</v>
      </c>
      <c r="E3312" s="2">
        <v>0</v>
      </c>
      <c r="F3312" s="2">
        <v>1</v>
      </c>
      <c r="G3312" s="3" t="s">
        <v>22</v>
      </c>
      <c r="H3312" s="2">
        <v>5</v>
      </c>
      <c r="I3312" s="112" t="str">
        <f t="shared" si="519"/>
        <v>540100</v>
      </c>
      <c r="J3312" s="112" t="s">
        <v>84</v>
      </c>
      <c r="K3312" s="112" t="s">
        <v>84</v>
      </c>
      <c r="L3312" s="2">
        <v>0</v>
      </c>
      <c r="M3312" s="2" t="s">
        <v>84</v>
      </c>
      <c r="N3312" s="2" t="s">
        <v>84</v>
      </c>
      <c r="O3312" s="2" t="s">
        <v>841</v>
      </c>
      <c r="P3312" s="2" t="s">
        <v>2572</v>
      </c>
    </row>
    <row r="3313" spans="1:16" ht="22" customHeight="1" x14ac:dyDescent="0.15">
      <c r="A3313" s="10" t="str">
        <f t="shared" si="518"/>
        <v>540_10_0_10_polygon</v>
      </c>
      <c r="B3313" s="2">
        <v>540</v>
      </c>
      <c r="C3313" s="30" t="str">
        <f>VLOOKUP(B3313,gachas!A:C,3)</f>
        <v>超フェス&lt;パウリ、セキ&gt;</v>
      </c>
      <c r="D3313" s="21">
        <v>10</v>
      </c>
      <c r="E3313" s="2">
        <v>0</v>
      </c>
      <c r="F3313" s="2">
        <v>10</v>
      </c>
      <c r="G3313" s="3" t="s">
        <v>22</v>
      </c>
      <c r="H3313" s="2">
        <v>50</v>
      </c>
      <c r="I3313" s="112" t="str">
        <f t="shared" si="519"/>
        <v>540100</v>
      </c>
      <c r="J3313" s="112" t="s">
        <v>84</v>
      </c>
      <c r="K3313" s="112" t="str">
        <f>I3313</f>
        <v>540100</v>
      </c>
      <c r="L3313" s="2">
        <v>1</v>
      </c>
      <c r="M3313" s="2" t="s">
        <v>84</v>
      </c>
      <c r="N3313" s="2" t="s">
        <v>84</v>
      </c>
      <c r="O3313" s="2" t="s">
        <v>841</v>
      </c>
      <c r="P3313" s="2" t="s">
        <v>2571</v>
      </c>
    </row>
    <row r="3314" spans="1:16" ht="22" customHeight="1" x14ac:dyDescent="0.15">
      <c r="A3314" s="10" t="str">
        <f t="shared" si="518"/>
        <v>541_1_0_1_polygon</v>
      </c>
      <c r="B3314" s="2">
        <v>541</v>
      </c>
      <c r="C3314" s="30" t="str">
        <f>VLOOKUP(B3314,gachas!A:C,3)</f>
        <v>超フェス&lt;パウリ、ファラデー&gt;</v>
      </c>
      <c r="D3314" s="21">
        <v>1</v>
      </c>
      <c r="E3314" s="2">
        <v>0</v>
      </c>
      <c r="F3314" s="2">
        <v>1</v>
      </c>
      <c r="G3314" s="3" t="s">
        <v>22</v>
      </c>
      <c r="H3314" s="2">
        <v>5</v>
      </c>
      <c r="I3314" s="112" t="str">
        <f t="shared" si="519"/>
        <v>541100</v>
      </c>
      <c r="J3314" s="112" t="s">
        <v>84</v>
      </c>
      <c r="K3314" s="112" t="s">
        <v>84</v>
      </c>
      <c r="L3314" s="2">
        <v>0</v>
      </c>
      <c r="M3314" s="2" t="s">
        <v>84</v>
      </c>
      <c r="N3314" s="2" t="s">
        <v>84</v>
      </c>
      <c r="O3314" s="2" t="s">
        <v>841</v>
      </c>
      <c r="P3314" s="2" t="s">
        <v>2572</v>
      </c>
    </row>
    <row r="3315" spans="1:16" ht="22" customHeight="1" x14ac:dyDescent="0.15">
      <c r="A3315" s="10" t="str">
        <f t="shared" si="518"/>
        <v>541_10_0_10_polygon</v>
      </c>
      <c r="B3315" s="2">
        <v>541</v>
      </c>
      <c r="C3315" s="30" t="str">
        <f>VLOOKUP(B3315,gachas!A:C,3)</f>
        <v>超フェス&lt;パウリ、ファラデー&gt;</v>
      </c>
      <c r="D3315" s="21">
        <v>10</v>
      </c>
      <c r="E3315" s="2">
        <v>0</v>
      </c>
      <c r="F3315" s="2">
        <v>10</v>
      </c>
      <c r="G3315" s="3" t="s">
        <v>22</v>
      </c>
      <c r="H3315" s="2">
        <v>50</v>
      </c>
      <c r="I3315" s="112" t="str">
        <f t="shared" si="519"/>
        <v>541100</v>
      </c>
      <c r="J3315" s="112" t="s">
        <v>84</v>
      </c>
      <c r="K3315" s="112" t="str">
        <f>I3315</f>
        <v>541100</v>
      </c>
      <c r="L3315" s="2">
        <v>1</v>
      </c>
      <c r="M3315" s="2" t="s">
        <v>84</v>
      </c>
      <c r="N3315" s="2" t="s">
        <v>84</v>
      </c>
      <c r="O3315" s="2" t="s">
        <v>841</v>
      </c>
      <c r="P3315" s="2" t="s">
        <v>2571</v>
      </c>
    </row>
    <row r="3316" spans="1:16" ht="22" customHeight="1" x14ac:dyDescent="0.15">
      <c r="A3316" s="10" t="str">
        <f t="shared" si="518"/>
        <v>542_10_0_10_polygon</v>
      </c>
      <c r="B3316" s="2">
        <v>542</v>
      </c>
      <c r="C3316" s="30" t="str">
        <f>VLOOKUP(B3316,gachas!A:C,3)</f>
        <v>ランキング対抗ガチャ&lt;ド・モルガン&gt;</v>
      </c>
      <c r="D3316" s="21">
        <v>10</v>
      </c>
      <c r="E3316" s="2">
        <v>0</v>
      </c>
      <c r="F3316" s="2">
        <v>10</v>
      </c>
      <c r="G3316" s="3" t="s">
        <v>22</v>
      </c>
      <c r="H3316" s="2">
        <v>50</v>
      </c>
      <c r="I3316" s="114" t="str">
        <f t="shared" ref="I3316:I3317" si="520">B3316&amp;TEXT(D3316,"00")&amp;E3316</f>
        <v>542100</v>
      </c>
      <c r="J3316" s="112" t="s">
        <v>84</v>
      </c>
      <c r="K3316" s="116" t="s">
        <v>2443</v>
      </c>
      <c r="L3316" s="2">
        <v>0</v>
      </c>
      <c r="M3316" s="2" t="s">
        <v>84</v>
      </c>
      <c r="N3316" s="2" t="s">
        <v>84</v>
      </c>
      <c r="O3316" s="2" t="s">
        <v>841</v>
      </c>
      <c r="P3316" s="6" t="s">
        <v>2766</v>
      </c>
    </row>
    <row r="3317" spans="1:16" ht="22" customHeight="1" x14ac:dyDescent="0.15">
      <c r="A3317" s="10" t="str">
        <f t="shared" si="518"/>
        <v>542_10_1_1_polygon</v>
      </c>
      <c r="B3317" s="2">
        <v>542</v>
      </c>
      <c r="C3317" s="30" t="str">
        <f>VLOOKUP(B3317,gachas!A:C,3)</f>
        <v>ランキング対抗ガチャ&lt;ド・モルガン&gt;</v>
      </c>
      <c r="D3317" s="21">
        <v>10</v>
      </c>
      <c r="E3317" s="2">
        <v>1</v>
      </c>
      <c r="F3317" s="2">
        <v>1</v>
      </c>
      <c r="G3317" s="3" t="s">
        <v>22</v>
      </c>
      <c r="H3317" s="2">
        <v>1</v>
      </c>
      <c r="I3317" s="114" t="str">
        <f t="shared" si="520"/>
        <v>542101</v>
      </c>
      <c r="J3317" s="112" t="s">
        <v>84</v>
      </c>
      <c r="K3317" s="116" t="s">
        <v>2443</v>
      </c>
      <c r="L3317" s="2">
        <v>0</v>
      </c>
      <c r="M3317" s="2" t="s">
        <v>84</v>
      </c>
      <c r="N3317" s="2" t="s">
        <v>84</v>
      </c>
      <c r="O3317" s="2" t="s">
        <v>841</v>
      </c>
      <c r="P3317" s="6" t="s">
        <v>546</v>
      </c>
    </row>
    <row r="3318" spans="1:16" ht="22" customHeight="1" x14ac:dyDescent="0.15">
      <c r="A3318" s="10" t="str">
        <f t="shared" si="518"/>
        <v>542_10_2_3_polygon</v>
      </c>
      <c r="B3318" s="2">
        <v>542</v>
      </c>
      <c r="C3318" s="30" t="str">
        <f>VLOOKUP(B3318,gachas!A:C,3)</f>
        <v>ランキング対抗ガチャ&lt;ド・モルガン&gt;</v>
      </c>
      <c r="D3318" s="21">
        <v>10</v>
      </c>
      <c r="E3318" s="2">
        <v>2</v>
      </c>
      <c r="F3318" s="2">
        <v>3</v>
      </c>
      <c r="G3318" s="3" t="s">
        <v>22</v>
      </c>
      <c r="H3318" s="2">
        <v>9</v>
      </c>
      <c r="I3318" s="119" t="str">
        <f>I3317</f>
        <v>542101</v>
      </c>
      <c r="J3318" s="112" t="s">
        <v>84</v>
      </c>
      <c r="K3318" s="116" t="s">
        <v>2443</v>
      </c>
      <c r="L3318" s="2">
        <v>0</v>
      </c>
      <c r="M3318" s="2" t="s">
        <v>84</v>
      </c>
      <c r="N3318" s="2" t="s">
        <v>84</v>
      </c>
      <c r="O3318" s="2" t="s">
        <v>841</v>
      </c>
      <c r="P3318" s="6" t="s">
        <v>1273</v>
      </c>
    </row>
    <row r="3319" spans="1:16" ht="22" customHeight="1" x14ac:dyDescent="0.15">
      <c r="A3319" s="10" t="str">
        <f t="shared" si="518"/>
        <v>542_10_3_10_polygon</v>
      </c>
      <c r="B3319" s="2">
        <v>542</v>
      </c>
      <c r="C3319" s="30" t="str">
        <f>VLOOKUP(B3319,gachas!A:C,3)</f>
        <v>ランキング対抗ガチャ&lt;ド・モルガン&gt;</v>
      </c>
      <c r="D3319" s="21">
        <v>10</v>
      </c>
      <c r="E3319" s="2">
        <v>3</v>
      </c>
      <c r="F3319" s="2">
        <v>10</v>
      </c>
      <c r="G3319" s="3" t="s">
        <v>22</v>
      </c>
      <c r="H3319" s="2">
        <v>35</v>
      </c>
      <c r="I3319" s="114" t="str">
        <f t="shared" ref="I3319:I3322" si="521">B3319&amp;TEXT(D3319,"00")&amp;E3319</f>
        <v>542103</v>
      </c>
      <c r="J3319" s="112" t="str">
        <f>I3319</f>
        <v>542103</v>
      </c>
      <c r="K3319" s="116" t="s">
        <v>2443</v>
      </c>
      <c r="L3319" s="2">
        <v>0</v>
      </c>
      <c r="M3319" s="2" t="s">
        <v>84</v>
      </c>
      <c r="N3319" s="2" t="s">
        <v>84</v>
      </c>
      <c r="O3319" s="2" t="s">
        <v>841</v>
      </c>
      <c r="P3319" s="6" t="s">
        <v>2767</v>
      </c>
    </row>
    <row r="3320" spans="1:16" ht="22" customHeight="1" x14ac:dyDescent="0.15">
      <c r="A3320" s="10" t="str">
        <f t="shared" si="518"/>
        <v>542_10_4_10_polygon</v>
      </c>
      <c r="B3320" s="2">
        <v>542</v>
      </c>
      <c r="C3320" s="30" t="str">
        <f>VLOOKUP(B3320,gachas!A:C,3)</f>
        <v>ランキング対抗ガチャ&lt;ド・モルガン&gt;</v>
      </c>
      <c r="D3320" s="21">
        <v>10</v>
      </c>
      <c r="E3320" s="2">
        <v>4</v>
      </c>
      <c r="F3320" s="2">
        <v>10</v>
      </c>
      <c r="G3320" s="3" t="s">
        <v>22</v>
      </c>
      <c r="H3320" s="2">
        <v>50</v>
      </c>
      <c r="I3320" s="114" t="str">
        <f t="shared" si="521"/>
        <v>542104</v>
      </c>
      <c r="J3320" s="112" t="s">
        <v>84</v>
      </c>
      <c r="K3320" s="116" t="str">
        <f>I3320</f>
        <v>542104</v>
      </c>
      <c r="L3320" s="2">
        <v>1</v>
      </c>
      <c r="M3320" s="2" t="s">
        <v>84</v>
      </c>
      <c r="N3320" s="2" t="s">
        <v>84</v>
      </c>
      <c r="O3320" s="2" t="s">
        <v>841</v>
      </c>
      <c r="P3320" s="6" t="s">
        <v>2768</v>
      </c>
    </row>
    <row r="3321" spans="1:16" ht="22" customHeight="1" x14ac:dyDescent="0.15">
      <c r="A3321" s="10" t="str">
        <f t="shared" si="518"/>
        <v>542_10_5_10_polygon</v>
      </c>
      <c r="B3321" s="2">
        <v>542</v>
      </c>
      <c r="C3321" s="30" t="str">
        <f>VLOOKUP(B3321,gachas!A:C,3)</f>
        <v>ランキング対抗ガチャ&lt;ド・モルガン&gt;</v>
      </c>
      <c r="D3321" s="21">
        <v>10</v>
      </c>
      <c r="E3321" s="2">
        <v>5</v>
      </c>
      <c r="F3321" s="2">
        <v>10</v>
      </c>
      <c r="G3321" s="3" t="s">
        <v>22</v>
      </c>
      <c r="H3321" s="2">
        <v>50</v>
      </c>
      <c r="I3321" s="114" t="str">
        <f t="shared" si="521"/>
        <v>542105</v>
      </c>
      <c r="J3321" s="112" t="str">
        <f>I3321</f>
        <v>542105</v>
      </c>
      <c r="K3321" s="116" t="s">
        <v>2443</v>
      </c>
      <c r="L3321" s="2">
        <v>0</v>
      </c>
      <c r="M3321" s="2" t="s">
        <v>84</v>
      </c>
      <c r="N3321" s="2" t="s">
        <v>84</v>
      </c>
      <c r="O3321" s="2" t="s">
        <v>841</v>
      </c>
      <c r="P3321" s="6" t="s">
        <v>2769</v>
      </c>
    </row>
    <row r="3322" spans="1:16" ht="22" customHeight="1" x14ac:dyDescent="0.15">
      <c r="A3322" s="10" t="str">
        <f t="shared" si="518"/>
        <v>542_10_6_10_polygon</v>
      </c>
      <c r="B3322" s="2">
        <v>542</v>
      </c>
      <c r="C3322" s="30" t="str">
        <f>VLOOKUP(B3322,gachas!A:C,3)</f>
        <v>ランキング対抗ガチャ&lt;ド・モルガン&gt;</v>
      </c>
      <c r="D3322" s="21">
        <v>10</v>
      </c>
      <c r="E3322" s="2">
        <v>6</v>
      </c>
      <c r="F3322" s="2">
        <v>10</v>
      </c>
      <c r="G3322" s="3" t="s">
        <v>22</v>
      </c>
      <c r="H3322" s="2">
        <v>50</v>
      </c>
      <c r="I3322" s="114" t="str">
        <f t="shared" si="521"/>
        <v>542106</v>
      </c>
      <c r="J3322" s="112" t="str">
        <f>I3322</f>
        <v>542106</v>
      </c>
      <c r="K3322" s="116" t="s">
        <v>2443</v>
      </c>
      <c r="L3322" s="2">
        <v>0</v>
      </c>
      <c r="M3322" s="2" t="s">
        <v>84</v>
      </c>
      <c r="N3322" s="2" t="s">
        <v>84</v>
      </c>
      <c r="O3322" s="2" t="s">
        <v>841</v>
      </c>
      <c r="P3322" s="6" t="s">
        <v>2770</v>
      </c>
    </row>
    <row r="3323" spans="1:16" ht="22" customHeight="1" x14ac:dyDescent="0.15">
      <c r="A3323" s="10" t="str">
        <f t="shared" si="518"/>
        <v>542_10_7_10_polygon</v>
      </c>
      <c r="B3323" s="2">
        <v>542</v>
      </c>
      <c r="C3323" s="30" t="str">
        <f>VLOOKUP(B3323,gachas!A:C,3)</f>
        <v>ランキング対抗ガチャ&lt;ド・モルガン&gt;</v>
      </c>
      <c r="D3323" s="21">
        <v>10</v>
      </c>
      <c r="E3323" s="2">
        <v>7</v>
      </c>
      <c r="F3323" s="2">
        <v>10</v>
      </c>
      <c r="G3323" s="3" t="s">
        <v>22</v>
      </c>
      <c r="H3323" s="2">
        <v>50</v>
      </c>
      <c r="I3323" s="119" t="str">
        <f>I3316</f>
        <v>542100</v>
      </c>
      <c r="J3323" s="112" t="s">
        <v>84</v>
      </c>
      <c r="K3323" s="116" t="s">
        <v>2443</v>
      </c>
      <c r="L3323" s="2">
        <v>0</v>
      </c>
      <c r="M3323" s="2" t="s">
        <v>84</v>
      </c>
      <c r="N3323" s="2" t="s">
        <v>84</v>
      </c>
      <c r="O3323" s="2" t="s">
        <v>841</v>
      </c>
      <c r="P3323" s="6" t="s">
        <v>2771</v>
      </c>
    </row>
    <row r="3324" spans="1:16" ht="22" customHeight="1" x14ac:dyDescent="0.15">
      <c r="A3324" s="10" t="str">
        <f t="shared" si="518"/>
        <v>543_1_0_1_polygon</v>
      </c>
      <c r="B3324" s="2">
        <v>543</v>
      </c>
      <c r="C3324" s="30" t="str">
        <f>VLOOKUP(B3324,gachas!A:C,3)</f>
        <v>1日1回無料ホワイトデーガチャ</v>
      </c>
      <c r="D3324" s="21">
        <v>1</v>
      </c>
      <c r="E3324" s="2">
        <v>0</v>
      </c>
      <c r="F3324" s="2">
        <v>1</v>
      </c>
      <c r="G3324" s="3" t="s">
        <v>1566</v>
      </c>
      <c r="H3324" s="2">
        <v>0</v>
      </c>
      <c r="I3324" s="117" t="str">
        <f>CONCATENATE(B3324,"100")</f>
        <v>543100</v>
      </c>
      <c r="J3324" s="112" t="s">
        <v>1571</v>
      </c>
      <c r="K3324" s="2" t="s">
        <v>85</v>
      </c>
      <c r="L3324" s="2">
        <v>0</v>
      </c>
      <c r="M3324" s="2" t="s">
        <v>1571</v>
      </c>
      <c r="N3324" s="2" t="s">
        <v>1571</v>
      </c>
      <c r="O3324" s="2" t="s">
        <v>118</v>
      </c>
      <c r="P3324" s="2" t="s">
        <v>84</v>
      </c>
    </row>
    <row r="3325" spans="1:16" ht="22" customHeight="1" x14ac:dyDescent="0.15">
      <c r="A3325" s="10" t="str">
        <f t="shared" si="518"/>
        <v>544_1_0_1_polygon</v>
      </c>
      <c r="B3325" s="2">
        <v>544</v>
      </c>
      <c r="C3325" s="30" t="str">
        <f>VLOOKUP(B3325,gachas!A:C,3)</f>
        <v>ホワイトデーガチャ</v>
      </c>
      <c r="D3325" s="21">
        <v>1</v>
      </c>
      <c r="E3325" s="2">
        <v>0</v>
      </c>
      <c r="F3325" s="2">
        <v>1</v>
      </c>
      <c r="G3325" s="3" t="s">
        <v>22</v>
      </c>
      <c r="H3325" s="2">
        <v>5</v>
      </c>
      <c r="I3325" s="117" t="str">
        <f>CONCATENATE(B3325,"010")</f>
        <v>544010</v>
      </c>
      <c r="J3325" s="112" t="s">
        <v>84</v>
      </c>
      <c r="K3325" s="2" t="s">
        <v>84</v>
      </c>
      <c r="L3325" s="2">
        <v>0</v>
      </c>
      <c r="M3325" s="2" t="s">
        <v>84</v>
      </c>
      <c r="N3325" s="2" t="s">
        <v>84</v>
      </c>
      <c r="O3325" s="2" t="s">
        <v>841</v>
      </c>
      <c r="P3325" s="2" t="s">
        <v>84</v>
      </c>
    </row>
    <row r="3326" spans="1:16" ht="22" customHeight="1" x14ac:dyDescent="0.15">
      <c r="A3326" s="10" t="str">
        <f t="shared" si="518"/>
        <v>544_10_0_10_polygon</v>
      </c>
      <c r="B3326" s="2">
        <v>544</v>
      </c>
      <c r="C3326" s="30" t="str">
        <f>VLOOKUP(B3326,gachas!A:C,3)</f>
        <v>ホワイトデーガチャ</v>
      </c>
      <c r="D3326" s="21">
        <v>10</v>
      </c>
      <c r="E3326" s="2">
        <v>0</v>
      </c>
      <c r="F3326" s="2">
        <v>10</v>
      </c>
      <c r="G3326" s="3" t="s">
        <v>22</v>
      </c>
      <c r="H3326" s="2">
        <v>50</v>
      </c>
      <c r="I3326" s="117" t="str">
        <f t="shared" ref="I3326:I3376" si="522">CONCATENATE(B3326,"100")</f>
        <v>544100</v>
      </c>
      <c r="J3326" s="112" t="s">
        <v>84</v>
      </c>
      <c r="K3326" s="117" t="str">
        <f>CONCATENATE(B3326,"100")</f>
        <v>544100</v>
      </c>
      <c r="L3326" s="2">
        <v>1</v>
      </c>
      <c r="M3326" s="2" t="s">
        <v>84</v>
      </c>
      <c r="N3326" s="2" t="s">
        <v>84</v>
      </c>
      <c r="O3326" s="2" t="s">
        <v>841</v>
      </c>
      <c r="P3326" s="2" t="s">
        <v>2777</v>
      </c>
    </row>
    <row r="3327" spans="1:16" ht="22" customHeight="1" x14ac:dyDescent="0.15">
      <c r="A3327" s="10" t="str">
        <f t="shared" si="518"/>
        <v>544_10_1_10_polygon</v>
      </c>
      <c r="B3327" s="2">
        <v>544</v>
      </c>
      <c r="C3327" s="30" t="str">
        <f>VLOOKUP(B3327,gachas!A:C,3)</f>
        <v>ホワイトデーガチャ</v>
      </c>
      <c r="D3327" s="21">
        <v>10</v>
      </c>
      <c r="E3327" s="2">
        <f>E3326+1</f>
        <v>1</v>
      </c>
      <c r="F3327" s="2">
        <v>10</v>
      </c>
      <c r="G3327" s="3" t="s">
        <v>22</v>
      </c>
      <c r="H3327" s="2">
        <v>25</v>
      </c>
      <c r="I3327" s="117" t="str">
        <f t="shared" si="522"/>
        <v>544100</v>
      </c>
      <c r="J3327" s="112" t="s">
        <v>84</v>
      </c>
      <c r="K3327" s="2" t="s">
        <v>84</v>
      </c>
      <c r="L3327" s="2">
        <v>0</v>
      </c>
      <c r="M3327" s="2" t="s">
        <v>84</v>
      </c>
      <c r="N3327" s="2" t="s">
        <v>84</v>
      </c>
      <c r="O3327" s="2" t="s">
        <v>841</v>
      </c>
      <c r="P3327" s="59" t="s">
        <v>1783</v>
      </c>
    </row>
    <row r="3328" spans="1:16" ht="22" customHeight="1" x14ac:dyDescent="0.15">
      <c r="A3328" s="10" t="str">
        <f t="shared" si="518"/>
        <v>544_10_2_10_polygon</v>
      </c>
      <c r="B3328" s="2">
        <v>544</v>
      </c>
      <c r="C3328" s="30" t="str">
        <f>VLOOKUP(B3328,gachas!A:C,3)</f>
        <v>ホワイトデーガチャ</v>
      </c>
      <c r="D3328" s="21">
        <v>10</v>
      </c>
      <c r="E3328" s="2">
        <f t="shared" ref="E3328:E3376" si="523">E3327+1</f>
        <v>2</v>
      </c>
      <c r="F3328" s="2">
        <v>10</v>
      </c>
      <c r="G3328" s="3" t="s">
        <v>22</v>
      </c>
      <c r="H3328" s="2">
        <v>50</v>
      </c>
      <c r="I3328" s="117" t="str">
        <f t="shared" si="522"/>
        <v>544100</v>
      </c>
      <c r="J3328" s="112" t="str">
        <f>CONCATENATE(B3327,"102")</f>
        <v>544102</v>
      </c>
      <c r="K3328" s="117" t="str">
        <f>CONCATENATE(B3328,"100")</f>
        <v>544100</v>
      </c>
      <c r="L3328" s="2">
        <v>1</v>
      </c>
      <c r="M3328" s="2" t="s">
        <v>84</v>
      </c>
      <c r="N3328" s="2" t="s">
        <v>84</v>
      </c>
      <c r="O3328" s="2" t="s">
        <v>841</v>
      </c>
      <c r="P3328" s="2" t="s">
        <v>2778</v>
      </c>
    </row>
    <row r="3329" spans="1:16" ht="22" customHeight="1" x14ac:dyDescent="0.15">
      <c r="A3329" s="10" t="str">
        <f t="shared" si="518"/>
        <v>544_10_3_10_polygon</v>
      </c>
      <c r="B3329" s="2">
        <v>544</v>
      </c>
      <c r="C3329" s="30" t="str">
        <f>VLOOKUP(B3329,gachas!A:C,3)</f>
        <v>ホワイトデーガチャ</v>
      </c>
      <c r="D3329" s="21">
        <v>10</v>
      </c>
      <c r="E3329" s="2">
        <f t="shared" si="523"/>
        <v>3</v>
      </c>
      <c r="F3329" s="2">
        <v>10</v>
      </c>
      <c r="G3329" s="3" t="s">
        <v>22</v>
      </c>
      <c r="H3329" s="2">
        <v>50</v>
      </c>
      <c r="I3329" s="117" t="str">
        <f t="shared" si="522"/>
        <v>544100</v>
      </c>
      <c r="J3329" s="112" t="str">
        <f>CONCATENATE(B3328,"103")</f>
        <v>544103</v>
      </c>
      <c r="K3329" s="117" t="str">
        <f>CONCATENATE(B3329,"100")</f>
        <v>544100</v>
      </c>
      <c r="L3329" s="2">
        <v>1</v>
      </c>
      <c r="M3329" s="2" t="s">
        <v>84</v>
      </c>
      <c r="N3329" s="2" t="s">
        <v>84</v>
      </c>
      <c r="O3329" s="2" t="s">
        <v>841</v>
      </c>
      <c r="P3329" s="2" t="s">
        <v>2779</v>
      </c>
    </row>
    <row r="3330" spans="1:16" ht="22" customHeight="1" x14ac:dyDescent="0.15">
      <c r="A3330" s="10" t="str">
        <f t="shared" si="518"/>
        <v>544_10_4_10_polygon</v>
      </c>
      <c r="B3330" s="2">
        <v>544</v>
      </c>
      <c r="C3330" s="30" t="str">
        <f>VLOOKUP(B3330,gachas!A:C,3)</f>
        <v>ホワイトデーガチャ</v>
      </c>
      <c r="D3330" s="21">
        <v>10</v>
      </c>
      <c r="E3330" s="2">
        <f t="shared" si="523"/>
        <v>4</v>
      </c>
      <c r="F3330" s="2">
        <v>10</v>
      </c>
      <c r="G3330" s="3" t="s">
        <v>22</v>
      </c>
      <c r="H3330" s="2">
        <v>50</v>
      </c>
      <c r="I3330" s="117" t="str">
        <f t="shared" si="522"/>
        <v>544100</v>
      </c>
      <c r="J3330" s="112" t="str">
        <f>CONCATENATE(B3329,"104")</f>
        <v>544104</v>
      </c>
      <c r="K3330" s="117" t="str">
        <f>CONCATENATE(B3330,"100")</f>
        <v>544100</v>
      </c>
      <c r="L3330" s="2">
        <v>1</v>
      </c>
      <c r="M3330" s="2" t="s">
        <v>84</v>
      </c>
      <c r="N3330" s="2" t="s">
        <v>84</v>
      </c>
      <c r="O3330" s="2" t="s">
        <v>841</v>
      </c>
      <c r="P3330" s="2" t="s">
        <v>2780</v>
      </c>
    </row>
    <row r="3331" spans="1:16" ht="22" customHeight="1" x14ac:dyDescent="0.15">
      <c r="A3331" s="10" t="str">
        <f t="shared" si="518"/>
        <v>544_10_5_10_polygon</v>
      </c>
      <c r="B3331" s="2">
        <v>544</v>
      </c>
      <c r="C3331" s="30" t="str">
        <f>VLOOKUP(B3331,gachas!A:C,3)</f>
        <v>ホワイトデーガチャ</v>
      </c>
      <c r="D3331" s="21">
        <v>10</v>
      </c>
      <c r="E3331" s="2">
        <f t="shared" si="523"/>
        <v>5</v>
      </c>
      <c r="F3331" s="2">
        <v>10</v>
      </c>
      <c r="G3331" s="3" t="s">
        <v>22</v>
      </c>
      <c r="H3331" s="2">
        <v>50</v>
      </c>
      <c r="I3331" s="117" t="str">
        <f t="shared" si="522"/>
        <v>544100</v>
      </c>
      <c r="J3331" s="112" t="s">
        <v>84</v>
      </c>
      <c r="K3331" s="117" t="str">
        <f>CONCATENATE(B3331,"105")</f>
        <v>544105</v>
      </c>
      <c r="L3331" s="2">
        <v>1</v>
      </c>
      <c r="M3331" s="2" t="s">
        <v>84</v>
      </c>
      <c r="N3331" s="2" t="s">
        <v>84</v>
      </c>
      <c r="O3331" s="2" t="s">
        <v>841</v>
      </c>
      <c r="P3331" s="2" t="s">
        <v>2776</v>
      </c>
    </row>
    <row r="3332" spans="1:16" ht="22" customHeight="1" x14ac:dyDescent="0.15">
      <c r="A3332" s="10" t="str">
        <f t="shared" si="518"/>
        <v>544_10_6_10_polygon</v>
      </c>
      <c r="B3332" s="2">
        <v>544</v>
      </c>
      <c r="C3332" s="30" t="str">
        <f>VLOOKUP(B3332,gachas!A:C,3)</f>
        <v>ホワイトデーガチャ</v>
      </c>
      <c r="D3332" s="21">
        <v>10</v>
      </c>
      <c r="E3332" s="2">
        <f t="shared" si="523"/>
        <v>6</v>
      </c>
      <c r="F3332" s="2">
        <v>10</v>
      </c>
      <c r="G3332" s="3" t="s">
        <v>22</v>
      </c>
      <c r="H3332" s="2">
        <v>25</v>
      </c>
      <c r="I3332" s="117" t="str">
        <f t="shared" si="522"/>
        <v>544100</v>
      </c>
      <c r="J3332" s="112" t="s">
        <v>84</v>
      </c>
      <c r="K3332" s="2" t="s">
        <v>84</v>
      </c>
      <c r="L3332" s="2">
        <v>0</v>
      </c>
      <c r="M3332" s="2" t="s">
        <v>84</v>
      </c>
      <c r="N3332" s="2" t="s">
        <v>84</v>
      </c>
      <c r="O3332" s="2" t="s">
        <v>841</v>
      </c>
      <c r="P3332" s="59" t="s">
        <v>1783</v>
      </c>
    </row>
    <row r="3333" spans="1:16" ht="22" customHeight="1" x14ac:dyDescent="0.15">
      <c r="A3333" s="10" t="str">
        <f t="shared" si="518"/>
        <v>544_10_7_10_polygon</v>
      </c>
      <c r="B3333" s="2">
        <v>544</v>
      </c>
      <c r="C3333" s="30" t="str">
        <f>VLOOKUP(B3333,gachas!A:C,3)</f>
        <v>ホワイトデーガチャ</v>
      </c>
      <c r="D3333" s="21">
        <v>10</v>
      </c>
      <c r="E3333" s="2">
        <f t="shared" si="523"/>
        <v>7</v>
      </c>
      <c r="F3333" s="2">
        <v>10</v>
      </c>
      <c r="G3333" s="3" t="s">
        <v>22</v>
      </c>
      <c r="H3333" s="2">
        <v>50</v>
      </c>
      <c r="I3333" s="117" t="str">
        <f t="shared" si="522"/>
        <v>544100</v>
      </c>
      <c r="J3333" s="112" t="str">
        <f>CONCATENATE(B3332,"102")</f>
        <v>544102</v>
      </c>
      <c r="K3333" s="117" t="str">
        <f>CONCATENATE(B3333,"100")</f>
        <v>544100</v>
      </c>
      <c r="L3333" s="2">
        <v>1</v>
      </c>
      <c r="M3333" s="2" t="s">
        <v>84</v>
      </c>
      <c r="N3333" s="2" t="s">
        <v>84</v>
      </c>
      <c r="O3333" s="2" t="s">
        <v>841</v>
      </c>
      <c r="P3333" s="2" t="s">
        <v>2778</v>
      </c>
    </row>
    <row r="3334" spans="1:16" ht="22" customHeight="1" x14ac:dyDescent="0.15">
      <c r="A3334" s="10" t="str">
        <f t="shared" si="518"/>
        <v>544_10_8_10_polygon</v>
      </c>
      <c r="B3334" s="2">
        <v>544</v>
      </c>
      <c r="C3334" s="30" t="str">
        <f>VLOOKUP(B3334,gachas!A:C,3)</f>
        <v>ホワイトデーガチャ</v>
      </c>
      <c r="D3334" s="21">
        <v>10</v>
      </c>
      <c r="E3334" s="2">
        <f t="shared" si="523"/>
        <v>8</v>
      </c>
      <c r="F3334" s="2">
        <v>10</v>
      </c>
      <c r="G3334" s="3" t="s">
        <v>22</v>
      </c>
      <c r="H3334" s="2">
        <v>50</v>
      </c>
      <c r="I3334" s="117" t="str">
        <f t="shared" si="522"/>
        <v>544100</v>
      </c>
      <c r="J3334" s="112" t="str">
        <f>CONCATENATE(B3333,"103")</f>
        <v>544103</v>
      </c>
      <c r="K3334" s="117" t="str">
        <f>CONCATENATE(B3334,"100")</f>
        <v>544100</v>
      </c>
      <c r="L3334" s="2">
        <v>1</v>
      </c>
      <c r="M3334" s="2" t="s">
        <v>84</v>
      </c>
      <c r="N3334" s="2" t="s">
        <v>84</v>
      </c>
      <c r="O3334" s="2" t="s">
        <v>841</v>
      </c>
      <c r="P3334" s="2" t="s">
        <v>2779</v>
      </c>
    </row>
    <row r="3335" spans="1:16" ht="22" customHeight="1" x14ac:dyDescent="0.15">
      <c r="A3335" s="10" t="str">
        <f t="shared" si="518"/>
        <v>544_10_9_10_polygon</v>
      </c>
      <c r="B3335" s="2">
        <v>544</v>
      </c>
      <c r="C3335" s="30" t="str">
        <f>VLOOKUP(B3335,gachas!A:C,3)</f>
        <v>ホワイトデーガチャ</v>
      </c>
      <c r="D3335" s="21">
        <v>10</v>
      </c>
      <c r="E3335" s="2">
        <f t="shared" si="523"/>
        <v>9</v>
      </c>
      <c r="F3335" s="2">
        <v>10</v>
      </c>
      <c r="G3335" s="3" t="s">
        <v>22</v>
      </c>
      <c r="H3335" s="2">
        <v>50</v>
      </c>
      <c r="I3335" s="117" t="str">
        <f t="shared" si="522"/>
        <v>544100</v>
      </c>
      <c r="J3335" s="112" t="str">
        <f>CONCATENATE(B3334,"104")</f>
        <v>544104</v>
      </c>
      <c r="K3335" s="117" t="str">
        <f>CONCATENATE(B3335,"100")</f>
        <v>544100</v>
      </c>
      <c r="L3335" s="2">
        <v>1</v>
      </c>
      <c r="M3335" s="2" t="s">
        <v>84</v>
      </c>
      <c r="N3335" s="2" t="s">
        <v>84</v>
      </c>
      <c r="O3335" s="2" t="s">
        <v>841</v>
      </c>
      <c r="P3335" s="2" t="s">
        <v>2780</v>
      </c>
    </row>
    <row r="3336" spans="1:16" ht="22" customHeight="1" x14ac:dyDescent="0.15">
      <c r="A3336" s="10" t="str">
        <f t="shared" si="518"/>
        <v>544_10_10_10_polygon</v>
      </c>
      <c r="B3336" s="2">
        <v>544</v>
      </c>
      <c r="C3336" s="30" t="str">
        <f>VLOOKUP(B3336,gachas!A:C,3)</f>
        <v>ホワイトデーガチャ</v>
      </c>
      <c r="D3336" s="21">
        <v>10</v>
      </c>
      <c r="E3336" s="2">
        <f t="shared" si="523"/>
        <v>10</v>
      </c>
      <c r="F3336" s="2">
        <v>10</v>
      </c>
      <c r="G3336" s="3" t="s">
        <v>22</v>
      </c>
      <c r="H3336" s="2">
        <v>50</v>
      </c>
      <c r="I3336" s="117" t="str">
        <f t="shared" si="522"/>
        <v>544100</v>
      </c>
      <c r="J3336" s="112" t="s">
        <v>84</v>
      </c>
      <c r="K3336" s="117" t="str">
        <f>CONCATENATE(B3336,"105")</f>
        <v>544105</v>
      </c>
      <c r="L3336" s="2">
        <v>1</v>
      </c>
      <c r="M3336" s="2" t="s">
        <v>84</v>
      </c>
      <c r="N3336" s="2" t="s">
        <v>84</v>
      </c>
      <c r="O3336" s="2" t="s">
        <v>841</v>
      </c>
      <c r="P3336" s="2" t="s">
        <v>2776</v>
      </c>
    </row>
    <row r="3337" spans="1:16" ht="22" customHeight="1" x14ac:dyDescent="0.15">
      <c r="A3337" s="10" t="str">
        <f t="shared" si="518"/>
        <v>544_10_11_10_polygon</v>
      </c>
      <c r="B3337" s="2">
        <v>544</v>
      </c>
      <c r="C3337" s="30" t="str">
        <f>VLOOKUP(B3337,gachas!A:C,3)</f>
        <v>ホワイトデーガチャ</v>
      </c>
      <c r="D3337" s="21">
        <v>10</v>
      </c>
      <c r="E3337" s="2">
        <f t="shared" si="523"/>
        <v>11</v>
      </c>
      <c r="F3337" s="2">
        <v>10</v>
      </c>
      <c r="G3337" s="3" t="s">
        <v>22</v>
      </c>
      <c r="H3337" s="2">
        <v>25</v>
      </c>
      <c r="I3337" s="117" t="str">
        <f t="shared" si="522"/>
        <v>544100</v>
      </c>
      <c r="J3337" s="112" t="s">
        <v>84</v>
      </c>
      <c r="K3337" s="2" t="s">
        <v>84</v>
      </c>
      <c r="L3337" s="2">
        <v>0</v>
      </c>
      <c r="M3337" s="2" t="s">
        <v>84</v>
      </c>
      <c r="N3337" s="2" t="s">
        <v>84</v>
      </c>
      <c r="O3337" s="2" t="s">
        <v>841</v>
      </c>
      <c r="P3337" s="59" t="s">
        <v>1783</v>
      </c>
    </row>
    <row r="3338" spans="1:16" ht="22" customHeight="1" x14ac:dyDescent="0.15">
      <c r="A3338" s="10" t="str">
        <f t="shared" si="518"/>
        <v>544_10_12_10_polygon</v>
      </c>
      <c r="B3338" s="2">
        <v>544</v>
      </c>
      <c r="C3338" s="30" t="str">
        <f>VLOOKUP(B3338,gachas!A:C,3)</f>
        <v>ホワイトデーガチャ</v>
      </c>
      <c r="D3338" s="21">
        <v>10</v>
      </c>
      <c r="E3338" s="2">
        <f t="shared" si="523"/>
        <v>12</v>
      </c>
      <c r="F3338" s="2">
        <v>10</v>
      </c>
      <c r="G3338" s="3" t="s">
        <v>22</v>
      </c>
      <c r="H3338" s="2">
        <v>50</v>
      </c>
      <c r="I3338" s="117" t="str">
        <f t="shared" si="522"/>
        <v>544100</v>
      </c>
      <c r="J3338" s="112" t="str">
        <f>CONCATENATE(B3337,"102")</f>
        <v>544102</v>
      </c>
      <c r="K3338" s="117" t="str">
        <f>CONCATENATE(B3338,"100")</f>
        <v>544100</v>
      </c>
      <c r="L3338" s="2">
        <v>1</v>
      </c>
      <c r="M3338" s="2" t="s">
        <v>84</v>
      </c>
      <c r="N3338" s="2" t="s">
        <v>84</v>
      </c>
      <c r="O3338" s="2" t="s">
        <v>841</v>
      </c>
      <c r="P3338" s="2" t="s">
        <v>2778</v>
      </c>
    </row>
    <row r="3339" spans="1:16" ht="22" customHeight="1" x14ac:dyDescent="0.15">
      <c r="A3339" s="10" t="str">
        <f t="shared" si="518"/>
        <v>544_10_13_10_polygon</v>
      </c>
      <c r="B3339" s="2">
        <v>544</v>
      </c>
      <c r="C3339" s="30" t="str">
        <f>VLOOKUP(B3339,gachas!A:C,3)</f>
        <v>ホワイトデーガチャ</v>
      </c>
      <c r="D3339" s="21">
        <v>10</v>
      </c>
      <c r="E3339" s="2">
        <f t="shared" si="523"/>
        <v>13</v>
      </c>
      <c r="F3339" s="2">
        <v>10</v>
      </c>
      <c r="G3339" s="3" t="s">
        <v>22</v>
      </c>
      <c r="H3339" s="2">
        <v>50</v>
      </c>
      <c r="I3339" s="117" t="str">
        <f t="shared" si="522"/>
        <v>544100</v>
      </c>
      <c r="J3339" s="112" t="str">
        <f>CONCATENATE(B3338,"103")</f>
        <v>544103</v>
      </c>
      <c r="K3339" s="117" t="str">
        <f>CONCATENATE(B3339,"100")</f>
        <v>544100</v>
      </c>
      <c r="L3339" s="2">
        <v>1</v>
      </c>
      <c r="M3339" s="2" t="s">
        <v>84</v>
      </c>
      <c r="N3339" s="2" t="s">
        <v>84</v>
      </c>
      <c r="O3339" s="2" t="s">
        <v>841</v>
      </c>
      <c r="P3339" s="2" t="s">
        <v>2779</v>
      </c>
    </row>
    <row r="3340" spans="1:16" ht="22" customHeight="1" x14ac:dyDescent="0.15">
      <c r="A3340" s="10" t="str">
        <f t="shared" si="518"/>
        <v>544_10_14_10_polygon</v>
      </c>
      <c r="B3340" s="2">
        <v>544</v>
      </c>
      <c r="C3340" s="30" t="str">
        <f>VLOOKUP(B3340,gachas!A:C,3)</f>
        <v>ホワイトデーガチャ</v>
      </c>
      <c r="D3340" s="21">
        <v>10</v>
      </c>
      <c r="E3340" s="2">
        <f t="shared" si="523"/>
        <v>14</v>
      </c>
      <c r="F3340" s="2">
        <v>10</v>
      </c>
      <c r="G3340" s="3" t="s">
        <v>22</v>
      </c>
      <c r="H3340" s="2">
        <v>50</v>
      </c>
      <c r="I3340" s="117" t="str">
        <f t="shared" si="522"/>
        <v>544100</v>
      </c>
      <c r="J3340" s="112" t="str">
        <f>CONCATENATE(B3339,"104")</f>
        <v>544104</v>
      </c>
      <c r="K3340" s="117" t="str">
        <f>CONCATENATE(B3340,"100")</f>
        <v>544100</v>
      </c>
      <c r="L3340" s="2">
        <v>1</v>
      </c>
      <c r="M3340" s="2" t="s">
        <v>84</v>
      </c>
      <c r="N3340" s="2" t="s">
        <v>84</v>
      </c>
      <c r="O3340" s="2" t="s">
        <v>841</v>
      </c>
      <c r="P3340" s="2" t="s">
        <v>2780</v>
      </c>
    </row>
    <row r="3341" spans="1:16" ht="22" customHeight="1" x14ac:dyDescent="0.15">
      <c r="A3341" s="10" t="str">
        <f t="shared" si="518"/>
        <v>544_10_15_10_polygon</v>
      </c>
      <c r="B3341" s="2">
        <v>544</v>
      </c>
      <c r="C3341" s="30" t="str">
        <f>VLOOKUP(B3341,gachas!A:C,3)</f>
        <v>ホワイトデーガチャ</v>
      </c>
      <c r="D3341" s="21">
        <v>10</v>
      </c>
      <c r="E3341" s="2">
        <f t="shared" si="523"/>
        <v>15</v>
      </c>
      <c r="F3341" s="2">
        <v>10</v>
      </c>
      <c r="G3341" s="3" t="s">
        <v>22</v>
      </c>
      <c r="H3341" s="2">
        <v>50</v>
      </c>
      <c r="I3341" s="117" t="str">
        <f t="shared" si="522"/>
        <v>544100</v>
      </c>
      <c r="J3341" s="112" t="s">
        <v>84</v>
      </c>
      <c r="K3341" s="117" t="str">
        <f>CONCATENATE(B3341,"105")</f>
        <v>544105</v>
      </c>
      <c r="L3341" s="2">
        <v>1</v>
      </c>
      <c r="M3341" s="2" t="s">
        <v>84</v>
      </c>
      <c r="N3341" s="2" t="s">
        <v>84</v>
      </c>
      <c r="O3341" s="2" t="s">
        <v>841</v>
      </c>
      <c r="P3341" s="2" t="s">
        <v>2776</v>
      </c>
    </row>
    <row r="3342" spans="1:16" ht="22" customHeight="1" x14ac:dyDescent="0.15">
      <c r="A3342" s="10" t="str">
        <f t="shared" si="518"/>
        <v>544_10_16_10_polygon</v>
      </c>
      <c r="B3342" s="2">
        <v>544</v>
      </c>
      <c r="C3342" s="30" t="str">
        <f>VLOOKUP(B3342,gachas!A:C,3)</f>
        <v>ホワイトデーガチャ</v>
      </c>
      <c r="D3342" s="21">
        <v>10</v>
      </c>
      <c r="E3342" s="2">
        <f t="shared" si="523"/>
        <v>16</v>
      </c>
      <c r="F3342" s="2">
        <v>10</v>
      </c>
      <c r="G3342" s="3" t="s">
        <v>22</v>
      </c>
      <c r="H3342" s="2">
        <v>25</v>
      </c>
      <c r="I3342" s="117" t="str">
        <f t="shared" si="522"/>
        <v>544100</v>
      </c>
      <c r="J3342" s="112" t="s">
        <v>84</v>
      </c>
      <c r="K3342" s="2" t="s">
        <v>84</v>
      </c>
      <c r="L3342" s="2">
        <v>0</v>
      </c>
      <c r="M3342" s="2" t="s">
        <v>84</v>
      </c>
      <c r="N3342" s="2" t="s">
        <v>84</v>
      </c>
      <c r="O3342" s="2" t="s">
        <v>841</v>
      </c>
      <c r="P3342" s="59" t="s">
        <v>1783</v>
      </c>
    </row>
    <row r="3343" spans="1:16" ht="22" customHeight="1" x14ac:dyDescent="0.15">
      <c r="A3343" s="10" t="str">
        <f t="shared" si="518"/>
        <v>544_10_17_10_polygon</v>
      </c>
      <c r="B3343" s="2">
        <v>544</v>
      </c>
      <c r="C3343" s="30" t="str">
        <f>VLOOKUP(B3343,gachas!A:C,3)</f>
        <v>ホワイトデーガチャ</v>
      </c>
      <c r="D3343" s="21">
        <v>10</v>
      </c>
      <c r="E3343" s="2">
        <f t="shared" si="523"/>
        <v>17</v>
      </c>
      <c r="F3343" s="2">
        <v>10</v>
      </c>
      <c r="G3343" s="3" t="s">
        <v>22</v>
      </c>
      <c r="H3343" s="2">
        <v>50</v>
      </c>
      <c r="I3343" s="117" t="str">
        <f t="shared" si="522"/>
        <v>544100</v>
      </c>
      <c r="J3343" s="112" t="str">
        <f>CONCATENATE(B3342,"102")</f>
        <v>544102</v>
      </c>
      <c r="K3343" s="117" t="str">
        <f>CONCATENATE(B3343,"100")</f>
        <v>544100</v>
      </c>
      <c r="L3343" s="2">
        <v>1</v>
      </c>
      <c r="M3343" s="2" t="s">
        <v>84</v>
      </c>
      <c r="N3343" s="2" t="s">
        <v>84</v>
      </c>
      <c r="O3343" s="2" t="s">
        <v>841</v>
      </c>
      <c r="P3343" s="2" t="s">
        <v>2778</v>
      </c>
    </row>
    <row r="3344" spans="1:16" ht="22" customHeight="1" x14ac:dyDescent="0.15">
      <c r="A3344" s="10" t="str">
        <f t="shared" si="518"/>
        <v>544_10_18_10_polygon</v>
      </c>
      <c r="B3344" s="2">
        <v>544</v>
      </c>
      <c r="C3344" s="30" t="str">
        <f>VLOOKUP(B3344,gachas!A:C,3)</f>
        <v>ホワイトデーガチャ</v>
      </c>
      <c r="D3344" s="21">
        <v>10</v>
      </c>
      <c r="E3344" s="2">
        <f t="shared" si="523"/>
        <v>18</v>
      </c>
      <c r="F3344" s="2">
        <v>10</v>
      </c>
      <c r="G3344" s="3" t="s">
        <v>22</v>
      </c>
      <c r="H3344" s="2">
        <v>50</v>
      </c>
      <c r="I3344" s="117" t="str">
        <f t="shared" si="522"/>
        <v>544100</v>
      </c>
      <c r="J3344" s="112" t="str">
        <f>CONCATENATE(B3343,"103")</f>
        <v>544103</v>
      </c>
      <c r="K3344" s="117" t="str">
        <f>CONCATENATE(B3344,"100")</f>
        <v>544100</v>
      </c>
      <c r="L3344" s="2">
        <v>1</v>
      </c>
      <c r="M3344" s="2" t="s">
        <v>84</v>
      </c>
      <c r="N3344" s="2" t="s">
        <v>84</v>
      </c>
      <c r="O3344" s="2" t="s">
        <v>841</v>
      </c>
      <c r="P3344" s="2" t="s">
        <v>2779</v>
      </c>
    </row>
    <row r="3345" spans="1:16" ht="22" customHeight="1" x14ac:dyDescent="0.15">
      <c r="A3345" s="10" t="str">
        <f t="shared" si="518"/>
        <v>544_10_19_10_polygon</v>
      </c>
      <c r="B3345" s="2">
        <v>544</v>
      </c>
      <c r="C3345" s="30" t="str">
        <f>VLOOKUP(B3345,gachas!A:C,3)</f>
        <v>ホワイトデーガチャ</v>
      </c>
      <c r="D3345" s="21">
        <v>10</v>
      </c>
      <c r="E3345" s="2">
        <f t="shared" si="523"/>
        <v>19</v>
      </c>
      <c r="F3345" s="2">
        <v>10</v>
      </c>
      <c r="G3345" s="3" t="s">
        <v>22</v>
      </c>
      <c r="H3345" s="2">
        <v>50</v>
      </c>
      <c r="I3345" s="117" t="str">
        <f t="shared" si="522"/>
        <v>544100</v>
      </c>
      <c r="J3345" s="112" t="str">
        <f>CONCATENATE(B3344,"104")</f>
        <v>544104</v>
      </c>
      <c r="K3345" s="117" t="str">
        <f>CONCATENATE(B3345,"100")</f>
        <v>544100</v>
      </c>
      <c r="L3345" s="2">
        <v>1</v>
      </c>
      <c r="M3345" s="2" t="s">
        <v>84</v>
      </c>
      <c r="N3345" s="2" t="s">
        <v>84</v>
      </c>
      <c r="O3345" s="2" t="s">
        <v>841</v>
      </c>
      <c r="P3345" s="2" t="s">
        <v>2780</v>
      </c>
    </row>
    <row r="3346" spans="1:16" ht="22" customHeight="1" x14ac:dyDescent="0.15">
      <c r="A3346" s="10" t="str">
        <f t="shared" si="518"/>
        <v>544_10_20_10_polygon</v>
      </c>
      <c r="B3346" s="2">
        <v>544</v>
      </c>
      <c r="C3346" s="30" t="str">
        <f>VLOOKUP(B3346,gachas!A:C,3)</f>
        <v>ホワイトデーガチャ</v>
      </c>
      <c r="D3346" s="21">
        <v>10</v>
      </c>
      <c r="E3346" s="2">
        <f t="shared" si="523"/>
        <v>20</v>
      </c>
      <c r="F3346" s="2">
        <v>10</v>
      </c>
      <c r="G3346" s="3" t="s">
        <v>22</v>
      </c>
      <c r="H3346" s="2">
        <v>50</v>
      </c>
      <c r="I3346" s="117" t="str">
        <f t="shared" si="522"/>
        <v>544100</v>
      </c>
      <c r="J3346" s="112" t="s">
        <v>84</v>
      </c>
      <c r="K3346" s="117" t="str">
        <f>CONCATENATE(B3346,"105")</f>
        <v>544105</v>
      </c>
      <c r="L3346" s="2">
        <v>1</v>
      </c>
      <c r="M3346" s="2" t="s">
        <v>84</v>
      </c>
      <c r="N3346" s="2" t="s">
        <v>84</v>
      </c>
      <c r="O3346" s="2" t="s">
        <v>841</v>
      </c>
      <c r="P3346" s="2" t="s">
        <v>2776</v>
      </c>
    </row>
    <row r="3347" spans="1:16" ht="22" customHeight="1" x14ac:dyDescent="0.15">
      <c r="A3347" s="10" t="str">
        <f t="shared" si="518"/>
        <v>544_10_21_10_polygon</v>
      </c>
      <c r="B3347" s="2">
        <v>544</v>
      </c>
      <c r="C3347" s="30" t="str">
        <f>VLOOKUP(B3347,gachas!A:C,3)</f>
        <v>ホワイトデーガチャ</v>
      </c>
      <c r="D3347" s="21">
        <v>10</v>
      </c>
      <c r="E3347" s="2">
        <f t="shared" si="523"/>
        <v>21</v>
      </c>
      <c r="F3347" s="2">
        <v>10</v>
      </c>
      <c r="G3347" s="3" t="s">
        <v>22</v>
      </c>
      <c r="H3347" s="2">
        <v>25</v>
      </c>
      <c r="I3347" s="117" t="str">
        <f t="shared" si="522"/>
        <v>544100</v>
      </c>
      <c r="J3347" s="112" t="s">
        <v>84</v>
      </c>
      <c r="K3347" s="2" t="s">
        <v>84</v>
      </c>
      <c r="L3347" s="2">
        <v>0</v>
      </c>
      <c r="M3347" s="2" t="s">
        <v>84</v>
      </c>
      <c r="N3347" s="2" t="s">
        <v>84</v>
      </c>
      <c r="O3347" s="2" t="s">
        <v>841</v>
      </c>
      <c r="P3347" s="59" t="s">
        <v>1783</v>
      </c>
    </row>
    <row r="3348" spans="1:16" ht="22" customHeight="1" x14ac:dyDescent="0.15">
      <c r="A3348" s="10" t="str">
        <f t="shared" si="518"/>
        <v>544_10_22_10_polygon</v>
      </c>
      <c r="B3348" s="2">
        <v>544</v>
      </c>
      <c r="C3348" s="30" t="str">
        <f>VLOOKUP(B3348,gachas!A:C,3)</f>
        <v>ホワイトデーガチャ</v>
      </c>
      <c r="D3348" s="21">
        <v>10</v>
      </c>
      <c r="E3348" s="2">
        <f t="shared" si="523"/>
        <v>22</v>
      </c>
      <c r="F3348" s="2">
        <v>10</v>
      </c>
      <c r="G3348" s="3" t="s">
        <v>22</v>
      </c>
      <c r="H3348" s="2">
        <v>50</v>
      </c>
      <c r="I3348" s="117" t="str">
        <f t="shared" si="522"/>
        <v>544100</v>
      </c>
      <c r="J3348" s="112" t="str">
        <f>CONCATENATE(B3347,"102")</f>
        <v>544102</v>
      </c>
      <c r="K3348" s="117" t="str">
        <f>CONCATENATE(B3348,"100")</f>
        <v>544100</v>
      </c>
      <c r="L3348" s="2">
        <v>1</v>
      </c>
      <c r="M3348" s="2" t="s">
        <v>84</v>
      </c>
      <c r="N3348" s="2" t="s">
        <v>84</v>
      </c>
      <c r="O3348" s="2" t="s">
        <v>841</v>
      </c>
      <c r="P3348" s="2" t="s">
        <v>2778</v>
      </c>
    </row>
    <row r="3349" spans="1:16" ht="22" customHeight="1" x14ac:dyDescent="0.15">
      <c r="A3349" s="10" t="str">
        <f t="shared" si="518"/>
        <v>544_10_23_10_polygon</v>
      </c>
      <c r="B3349" s="2">
        <v>544</v>
      </c>
      <c r="C3349" s="30" t="str">
        <f>VLOOKUP(B3349,gachas!A:C,3)</f>
        <v>ホワイトデーガチャ</v>
      </c>
      <c r="D3349" s="21">
        <v>10</v>
      </c>
      <c r="E3349" s="2">
        <f t="shared" si="523"/>
        <v>23</v>
      </c>
      <c r="F3349" s="2">
        <v>10</v>
      </c>
      <c r="G3349" s="3" t="s">
        <v>22</v>
      </c>
      <c r="H3349" s="2">
        <v>50</v>
      </c>
      <c r="I3349" s="117" t="str">
        <f t="shared" si="522"/>
        <v>544100</v>
      </c>
      <c r="J3349" s="112" t="str">
        <f>CONCATENATE(B3348,"103")</f>
        <v>544103</v>
      </c>
      <c r="K3349" s="117" t="str">
        <f>CONCATENATE(B3349,"100")</f>
        <v>544100</v>
      </c>
      <c r="L3349" s="2">
        <v>1</v>
      </c>
      <c r="M3349" s="2" t="s">
        <v>84</v>
      </c>
      <c r="N3349" s="2" t="s">
        <v>84</v>
      </c>
      <c r="O3349" s="2" t="s">
        <v>841</v>
      </c>
      <c r="P3349" s="2" t="s">
        <v>2779</v>
      </c>
    </row>
    <row r="3350" spans="1:16" ht="22" customHeight="1" x14ac:dyDescent="0.15">
      <c r="A3350" s="10" t="str">
        <f t="shared" si="518"/>
        <v>544_10_24_10_polygon</v>
      </c>
      <c r="B3350" s="2">
        <v>544</v>
      </c>
      <c r="C3350" s="30" t="str">
        <f>VLOOKUP(B3350,gachas!A:C,3)</f>
        <v>ホワイトデーガチャ</v>
      </c>
      <c r="D3350" s="21">
        <v>10</v>
      </c>
      <c r="E3350" s="2">
        <f t="shared" si="523"/>
        <v>24</v>
      </c>
      <c r="F3350" s="2">
        <v>10</v>
      </c>
      <c r="G3350" s="3" t="s">
        <v>22</v>
      </c>
      <c r="H3350" s="2">
        <v>50</v>
      </c>
      <c r="I3350" s="117" t="str">
        <f t="shared" si="522"/>
        <v>544100</v>
      </c>
      <c r="J3350" s="112" t="str">
        <f>CONCATENATE(B3349,"104")</f>
        <v>544104</v>
      </c>
      <c r="K3350" s="117" t="str">
        <f>CONCATENATE(B3350,"100")</f>
        <v>544100</v>
      </c>
      <c r="L3350" s="2">
        <v>1</v>
      </c>
      <c r="M3350" s="2" t="s">
        <v>84</v>
      </c>
      <c r="N3350" s="2" t="s">
        <v>84</v>
      </c>
      <c r="O3350" s="2" t="s">
        <v>841</v>
      </c>
      <c r="P3350" s="2" t="s">
        <v>2780</v>
      </c>
    </row>
    <row r="3351" spans="1:16" ht="22" customHeight="1" x14ac:dyDescent="0.15">
      <c r="A3351" s="10" t="str">
        <f t="shared" si="518"/>
        <v>544_10_25_10_polygon</v>
      </c>
      <c r="B3351" s="2">
        <v>544</v>
      </c>
      <c r="C3351" s="30" t="str">
        <f>VLOOKUP(B3351,gachas!A:C,3)</f>
        <v>ホワイトデーガチャ</v>
      </c>
      <c r="D3351" s="21">
        <v>10</v>
      </c>
      <c r="E3351" s="2">
        <f t="shared" si="523"/>
        <v>25</v>
      </c>
      <c r="F3351" s="2">
        <v>10</v>
      </c>
      <c r="G3351" s="3" t="s">
        <v>22</v>
      </c>
      <c r="H3351" s="2">
        <v>50</v>
      </c>
      <c r="I3351" s="117" t="str">
        <f t="shared" si="522"/>
        <v>544100</v>
      </c>
      <c r="J3351" s="112" t="s">
        <v>84</v>
      </c>
      <c r="K3351" s="117" t="str">
        <f>CONCATENATE(B3351,"105")</f>
        <v>544105</v>
      </c>
      <c r="L3351" s="2">
        <v>1</v>
      </c>
      <c r="M3351" s="2" t="s">
        <v>84</v>
      </c>
      <c r="N3351" s="2" t="s">
        <v>84</v>
      </c>
      <c r="O3351" s="2" t="s">
        <v>841</v>
      </c>
      <c r="P3351" s="2" t="s">
        <v>2776</v>
      </c>
    </row>
    <row r="3352" spans="1:16" ht="22" customHeight="1" x14ac:dyDescent="0.15">
      <c r="A3352" s="10" t="str">
        <f t="shared" si="518"/>
        <v>544_10_26_10_polygon</v>
      </c>
      <c r="B3352" s="2">
        <v>544</v>
      </c>
      <c r="C3352" s="30" t="str">
        <f>VLOOKUP(B3352,gachas!A:C,3)</f>
        <v>ホワイトデーガチャ</v>
      </c>
      <c r="D3352" s="21">
        <v>10</v>
      </c>
      <c r="E3352" s="2">
        <f t="shared" si="523"/>
        <v>26</v>
      </c>
      <c r="F3352" s="2">
        <v>10</v>
      </c>
      <c r="G3352" s="3" t="s">
        <v>22</v>
      </c>
      <c r="H3352" s="2">
        <v>25</v>
      </c>
      <c r="I3352" s="117" t="str">
        <f t="shared" si="522"/>
        <v>544100</v>
      </c>
      <c r="J3352" s="112" t="s">
        <v>84</v>
      </c>
      <c r="K3352" s="2" t="s">
        <v>84</v>
      </c>
      <c r="L3352" s="2">
        <v>0</v>
      </c>
      <c r="M3352" s="2" t="s">
        <v>84</v>
      </c>
      <c r="N3352" s="2" t="s">
        <v>84</v>
      </c>
      <c r="O3352" s="2" t="s">
        <v>841</v>
      </c>
      <c r="P3352" s="59" t="s">
        <v>1783</v>
      </c>
    </row>
    <row r="3353" spans="1:16" ht="22" customHeight="1" x14ac:dyDescent="0.15">
      <c r="A3353" s="10" t="str">
        <f t="shared" si="518"/>
        <v>544_10_27_10_polygon</v>
      </c>
      <c r="B3353" s="2">
        <v>544</v>
      </c>
      <c r="C3353" s="30" t="str">
        <f>VLOOKUP(B3353,gachas!A:C,3)</f>
        <v>ホワイトデーガチャ</v>
      </c>
      <c r="D3353" s="21">
        <v>10</v>
      </c>
      <c r="E3353" s="2">
        <f t="shared" si="523"/>
        <v>27</v>
      </c>
      <c r="F3353" s="2">
        <v>10</v>
      </c>
      <c r="G3353" s="3" t="s">
        <v>22</v>
      </c>
      <c r="H3353" s="2">
        <v>50</v>
      </c>
      <c r="I3353" s="117" t="str">
        <f t="shared" si="522"/>
        <v>544100</v>
      </c>
      <c r="J3353" s="112" t="str">
        <f>CONCATENATE(B3352,"102")</f>
        <v>544102</v>
      </c>
      <c r="K3353" s="117" t="str">
        <f>CONCATENATE(B3353,"100")</f>
        <v>544100</v>
      </c>
      <c r="L3353" s="2">
        <v>1</v>
      </c>
      <c r="M3353" s="2" t="s">
        <v>84</v>
      </c>
      <c r="N3353" s="2" t="s">
        <v>84</v>
      </c>
      <c r="O3353" s="2" t="s">
        <v>841</v>
      </c>
      <c r="P3353" s="2" t="s">
        <v>2778</v>
      </c>
    </row>
    <row r="3354" spans="1:16" ht="22" customHeight="1" x14ac:dyDescent="0.15">
      <c r="A3354" s="10" t="str">
        <f t="shared" si="518"/>
        <v>544_10_28_10_polygon</v>
      </c>
      <c r="B3354" s="2">
        <v>544</v>
      </c>
      <c r="C3354" s="30" t="str">
        <f>VLOOKUP(B3354,gachas!A:C,3)</f>
        <v>ホワイトデーガチャ</v>
      </c>
      <c r="D3354" s="21">
        <v>10</v>
      </c>
      <c r="E3354" s="2">
        <f t="shared" si="523"/>
        <v>28</v>
      </c>
      <c r="F3354" s="2">
        <v>10</v>
      </c>
      <c r="G3354" s="3" t="s">
        <v>22</v>
      </c>
      <c r="H3354" s="2">
        <v>50</v>
      </c>
      <c r="I3354" s="117" t="str">
        <f t="shared" si="522"/>
        <v>544100</v>
      </c>
      <c r="J3354" s="112" t="str">
        <f>CONCATENATE(B3353,"103")</f>
        <v>544103</v>
      </c>
      <c r="K3354" s="117" t="str">
        <f>CONCATENATE(B3354,"100")</f>
        <v>544100</v>
      </c>
      <c r="L3354" s="2">
        <v>1</v>
      </c>
      <c r="M3354" s="2" t="s">
        <v>84</v>
      </c>
      <c r="N3354" s="2" t="s">
        <v>84</v>
      </c>
      <c r="O3354" s="2" t="s">
        <v>841</v>
      </c>
      <c r="P3354" s="2" t="s">
        <v>2779</v>
      </c>
    </row>
    <row r="3355" spans="1:16" ht="22" customHeight="1" x14ac:dyDescent="0.15">
      <c r="A3355" s="10" t="str">
        <f t="shared" si="518"/>
        <v>544_10_29_10_polygon</v>
      </c>
      <c r="B3355" s="2">
        <v>544</v>
      </c>
      <c r="C3355" s="30" t="str">
        <f>VLOOKUP(B3355,gachas!A:C,3)</f>
        <v>ホワイトデーガチャ</v>
      </c>
      <c r="D3355" s="21">
        <v>10</v>
      </c>
      <c r="E3355" s="2">
        <f t="shared" si="523"/>
        <v>29</v>
      </c>
      <c r="F3355" s="2">
        <v>10</v>
      </c>
      <c r="G3355" s="3" t="s">
        <v>22</v>
      </c>
      <c r="H3355" s="2">
        <v>50</v>
      </c>
      <c r="I3355" s="117" t="str">
        <f t="shared" si="522"/>
        <v>544100</v>
      </c>
      <c r="J3355" s="112" t="str">
        <f>CONCATENATE(B3354,"104")</f>
        <v>544104</v>
      </c>
      <c r="K3355" s="117" t="str">
        <f>CONCATENATE(B3355,"100")</f>
        <v>544100</v>
      </c>
      <c r="L3355" s="2">
        <v>1</v>
      </c>
      <c r="M3355" s="2" t="s">
        <v>84</v>
      </c>
      <c r="N3355" s="2" t="s">
        <v>84</v>
      </c>
      <c r="O3355" s="2" t="s">
        <v>841</v>
      </c>
      <c r="P3355" s="2" t="s">
        <v>2780</v>
      </c>
    </row>
    <row r="3356" spans="1:16" ht="22" customHeight="1" x14ac:dyDescent="0.15">
      <c r="A3356" s="10" t="str">
        <f t="shared" si="518"/>
        <v>544_10_30_10_polygon</v>
      </c>
      <c r="B3356" s="2">
        <v>544</v>
      </c>
      <c r="C3356" s="30" t="str">
        <f>VLOOKUP(B3356,gachas!A:C,3)</f>
        <v>ホワイトデーガチャ</v>
      </c>
      <c r="D3356" s="21">
        <v>10</v>
      </c>
      <c r="E3356" s="2">
        <f t="shared" si="523"/>
        <v>30</v>
      </c>
      <c r="F3356" s="2">
        <v>10</v>
      </c>
      <c r="G3356" s="3" t="s">
        <v>22</v>
      </c>
      <c r="H3356" s="2">
        <v>50</v>
      </c>
      <c r="I3356" s="117" t="str">
        <f t="shared" si="522"/>
        <v>544100</v>
      </c>
      <c r="J3356" s="112" t="s">
        <v>84</v>
      </c>
      <c r="K3356" s="117" t="str">
        <f>CONCATENATE(B3356,"105")</f>
        <v>544105</v>
      </c>
      <c r="L3356" s="2">
        <v>1</v>
      </c>
      <c r="M3356" s="2" t="s">
        <v>84</v>
      </c>
      <c r="N3356" s="2" t="s">
        <v>84</v>
      </c>
      <c r="O3356" s="2" t="s">
        <v>841</v>
      </c>
      <c r="P3356" s="2" t="s">
        <v>2776</v>
      </c>
    </row>
    <row r="3357" spans="1:16" ht="22" customHeight="1" x14ac:dyDescent="0.15">
      <c r="A3357" s="10" t="str">
        <f t="shared" si="518"/>
        <v>544_10_31_10_polygon</v>
      </c>
      <c r="B3357" s="2">
        <v>544</v>
      </c>
      <c r="C3357" s="30" t="str">
        <f>VLOOKUP(B3357,gachas!A:C,3)</f>
        <v>ホワイトデーガチャ</v>
      </c>
      <c r="D3357" s="21">
        <v>10</v>
      </c>
      <c r="E3357" s="2">
        <f t="shared" si="523"/>
        <v>31</v>
      </c>
      <c r="F3357" s="2">
        <v>10</v>
      </c>
      <c r="G3357" s="3" t="s">
        <v>22</v>
      </c>
      <c r="H3357" s="2">
        <v>25</v>
      </c>
      <c r="I3357" s="117" t="str">
        <f t="shared" si="522"/>
        <v>544100</v>
      </c>
      <c r="J3357" s="112" t="s">
        <v>84</v>
      </c>
      <c r="K3357" s="2" t="s">
        <v>84</v>
      </c>
      <c r="L3357" s="2">
        <v>0</v>
      </c>
      <c r="M3357" s="2" t="s">
        <v>84</v>
      </c>
      <c r="N3357" s="2" t="s">
        <v>84</v>
      </c>
      <c r="O3357" s="2" t="s">
        <v>841</v>
      </c>
      <c r="P3357" s="59" t="s">
        <v>1783</v>
      </c>
    </row>
    <row r="3358" spans="1:16" ht="22" customHeight="1" x14ac:dyDescent="0.15">
      <c r="A3358" s="10" t="str">
        <f t="shared" si="518"/>
        <v>544_10_32_10_polygon</v>
      </c>
      <c r="B3358" s="2">
        <v>544</v>
      </c>
      <c r="C3358" s="30" t="str">
        <f>VLOOKUP(B3358,gachas!A:C,3)</f>
        <v>ホワイトデーガチャ</v>
      </c>
      <c r="D3358" s="21">
        <v>10</v>
      </c>
      <c r="E3358" s="2">
        <f t="shared" si="523"/>
        <v>32</v>
      </c>
      <c r="F3358" s="2">
        <v>10</v>
      </c>
      <c r="G3358" s="3" t="s">
        <v>22</v>
      </c>
      <c r="H3358" s="2">
        <v>50</v>
      </c>
      <c r="I3358" s="117" t="str">
        <f t="shared" si="522"/>
        <v>544100</v>
      </c>
      <c r="J3358" s="112" t="str">
        <f>CONCATENATE(B3357,"102")</f>
        <v>544102</v>
      </c>
      <c r="K3358" s="117" t="str">
        <f>CONCATENATE(B3358,"100")</f>
        <v>544100</v>
      </c>
      <c r="L3358" s="2">
        <v>1</v>
      </c>
      <c r="M3358" s="2" t="s">
        <v>84</v>
      </c>
      <c r="N3358" s="2" t="s">
        <v>84</v>
      </c>
      <c r="O3358" s="2" t="s">
        <v>841</v>
      </c>
      <c r="P3358" s="2" t="s">
        <v>2778</v>
      </c>
    </row>
    <row r="3359" spans="1:16" ht="22" customHeight="1" x14ac:dyDescent="0.15">
      <c r="A3359" s="10" t="str">
        <f t="shared" si="518"/>
        <v>544_10_33_10_polygon</v>
      </c>
      <c r="B3359" s="2">
        <v>544</v>
      </c>
      <c r="C3359" s="30" t="str">
        <f>VLOOKUP(B3359,gachas!A:C,3)</f>
        <v>ホワイトデーガチャ</v>
      </c>
      <c r="D3359" s="21">
        <v>10</v>
      </c>
      <c r="E3359" s="2">
        <f t="shared" si="523"/>
        <v>33</v>
      </c>
      <c r="F3359" s="2">
        <v>10</v>
      </c>
      <c r="G3359" s="3" t="s">
        <v>22</v>
      </c>
      <c r="H3359" s="2">
        <v>50</v>
      </c>
      <c r="I3359" s="117" t="str">
        <f t="shared" si="522"/>
        <v>544100</v>
      </c>
      <c r="J3359" s="112" t="str">
        <f>CONCATENATE(B3358,"103")</f>
        <v>544103</v>
      </c>
      <c r="K3359" s="117" t="str">
        <f>CONCATENATE(B3359,"100")</f>
        <v>544100</v>
      </c>
      <c r="L3359" s="2">
        <v>1</v>
      </c>
      <c r="M3359" s="2" t="s">
        <v>84</v>
      </c>
      <c r="N3359" s="2" t="s">
        <v>84</v>
      </c>
      <c r="O3359" s="2" t="s">
        <v>841</v>
      </c>
      <c r="P3359" s="2" t="s">
        <v>2779</v>
      </c>
    </row>
    <row r="3360" spans="1:16" ht="22" customHeight="1" x14ac:dyDescent="0.15">
      <c r="A3360" s="10" t="str">
        <f t="shared" si="518"/>
        <v>544_10_34_10_polygon</v>
      </c>
      <c r="B3360" s="2">
        <v>544</v>
      </c>
      <c r="C3360" s="30" t="str">
        <f>VLOOKUP(B3360,gachas!A:C,3)</f>
        <v>ホワイトデーガチャ</v>
      </c>
      <c r="D3360" s="21">
        <v>10</v>
      </c>
      <c r="E3360" s="2">
        <f t="shared" si="523"/>
        <v>34</v>
      </c>
      <c r="F3360" s="2">
        <v>10</v>
      </c>
      <c r="G3360" s="3" t="s">
        <v>22</v>
      </c>
      <c r="H3360" s="2">
        <v>50</v>
      </c>
      <c r="I3360" s="117" t="str">
        <f t="shared" si="522"/>
        <v>544100</v>
      </c>
      <c r="J3360" s="112" t="str">
        <f>CONCATENATE(B3359,"104")</f>
        <v>544104</v>
      </c>
      <c r="K3360" s="117" t="str">
        <f>CONCATENATE(B3360,"100")</f>
        <v>544100</v>
      </c>
      <c r="L3360" s="2">
        <v>1</v>
      </c>
      <c r="M3360" s="2" t="s">
        <v>84</v>
      </c>
      <c r="N3360" s="2" t="s">
        <v>84</v>
      </c>
      <c r="O3360" s="2" t="s">
        <v>841</v>
      </c>
      <c r="P3360" s="2" t="s">
        <v>2780</v>
      </c>
    </row>
    <row r="3361" spans="1:16" ht="22" customHeight="1" x14ac:dyDescent="0.15">
      <c r="A3361" s="10" t="str">
        <f t="shared" si="518"/>
        <v>544_10_35_10_polygon</v>
      </c>
      <c r="B3361" s="2">
        <v>544</v>
      </c>
      <c r="C3361" s="30" t="str">
        <f>VLOOKUP(B3361,gachas!A:C,3)</f>
        <v>ホワイトデーガチャ</v>
      </c>
      <c r="D3361" s="21">
        <v>10</v>
      </c>
      <c r="E3361" s="2">
        <f t="shared" si="523"/>
        <v>35</v>
      </c>
      <c r="F3361" s="2">
        <v>10</v>
      </c>
      <c r="G3361" s="3" t="s">
        <v>22</v>
      </c>
      <c r="H3361" s="2">
        <v>50</v>
      </c>
      <c r="I3361" s="117" t="str">
        <f t="shared" si="522"/>
        <v>544100</v>
      </c>
      <c r="J3361" s="112" t="s">
        <v>84</v>
      </c>
      <c r="K3361" s="117" t="str">
        <f>CONCATENATE(B3361,"105")</f>
        <v>544105</v>
      </c>
      <c r="L3361" s="2">
        <v>1</v>
      </c>
      <c r="M3361" s="2" t="s">
        <v>84</v>
      </c>
      <c r="N3361" s="2" t="s">
        <v>84</v>
      </c>
      <c r="O3361" s="2" t="s">
        <v>841</v>
      </c>
      <c r="P3361" s="2" t="s">
        <v>2776</v>
      </c>
    </row>
    <row r="3362" spans="1:16" ht="22" customHeight="1" x14ac:dyDescent="0.15">
      <c r="A3362" s="10" t="str">
        <f t="shared" si="518"/>
        <v>544_10_36_10_polygon</v>
      </c>
      <c r="B3362" s="2">
        <v>544</v>
      </c>
      <c r="C3362" s="30" t="str">
        <f>VLOOKUP(B3362,gachas!A:C,3)</f>
        <v>ホワイトデーガチャ</v>
      </c>
      <c r="D3362" s="21">
        <v>10</v>
      </c>
      <c r="E3362" s="2">
        <f t="shared" si="523"/>
        <v>36</v>
      </c>
      <c r="F3362" s="2">
        <v>10</v>
      </c>
      <c r="G3362" s="3" t="s">
        <v>22</v>
      </c>
      <c r="H3362" s="2">
        <v>25</v>
      </c>
      <c r="I3362" s="117" t="str">
        <f t="shared" si="522"/>
        <v>544100</v>
      </c>
      <c r="J3362" s="112" t="s">
        <v>84</v>
      </c>
      <c r="K3362" s="2" t="s">
        <v>84</v>
      </c>
      <c r="L3362" s="2">
        <v>0</v>
      </c>
      <c r="M3362" s="2" t="s">
        <v>84</v>
      </c>
      <c r="N3362" s="2" t="s">
        <v>84</v>
      </c>
      <c r="O3362" s="2" t="s">
        <v>841</v>
      </c>
      <c r="P3362" s="59" t="s">
        <v>1783</v>
      </c>
    </row>
    <row r="3363" spans="1:16" ht="22" customHeight="1" x14ac:dyDescent="0.15">
      <c r="A3363" s="10" t="str">
        <f t="shared" si="518"/>
        <v>544_10_37_10_polygon</v>
      </c>
      <c r="B3363" s="2">
        <v>544</v>
      </c>
      <c r="C3363" s="30" t="str">
        <f>VLOOKUP(B3363,gachas!A:C,3)</f>
        <v>ホワイトデーガチャ</v>
      </c>
      <c r="D3363" s="21">
        <v>10</v>
      </c>
      <c r="E3363" s="2">
        <f t="shared" si="523"/>
        <v>37</v>
      </c>
      <c r="F3363" s="2">
        <v>10</v>
      </c>
      <c r="G3363" s="3" t="s">
        <v>22</v>
      </c>
      <c r="H3363" s="2">
        <v>50</v>
      </c>
      <c r="I3363" s="117" t="str">
        <f t="shared" si="522"/>
        <v>544100</v>
      </c>
      <c r="J3363" s="112" t="str">
        <f>CONCATENATE(B3362,"102")</f>
        <v>544102</v>
      </c>
      <c r="K3363" s="117" t="str">
        <f>CONCATENATE(B3363,"100")</f>
        <v>544100</v>
      </c>
      <c r="L3363" s="2">
        <v>1</v>
      </c>
      <c r="M3363" s="2" t="s">
        <v>84</v>
      </c>
      <c r="N3363" s="2" t="s">
        <v>84</v>
      </c>
      <c r="O3363" s="2" t="s">
        <v>841</v>
      </c>
      <c r="P3363" s="2" t="s">
        <v>2778</v>
      </c>
    </row>
    <row r="3364" spans="1:16" ht="22" customHeight="1" x14ac:dyDescent="0.15">
      <c r="A3364" s="10" t="str">
        <f t="shared" si="518"/>
        <v>544_10_38_10_polygon</v>
      </c>
      <c r="B3364" s="2">
        <v>544</v>
      </c>
      <c r="C3364" s="30" t="str">
        <f>VLOOKUP(B3364,gachas!A:C,3)</f>
        <v>ホワイトデーガチャ</v>
      </c>
      <c r="D3364" s="21">
        <v>10</v>
      </c>
      <c r="E3364" s="2">
        <f t="shared" si="523"/>
        <v>38</v>
      </c>
      <c r="F3364" s="2">
        <v>10</v>
      </c>
      <c r="G3364" s="3" t="s">
        <v>22</v>
      </c>
      <c r="H3364" s="2">
        <v>50</v>
      </c>
      <c r="I3364" s="117" t="str">
        <f t="shared" si="522"/>
        <v>544100</v>
      </c>
      <c r="J3364" s="112" t="str">
        <f>CONCATENATE(B3363,"103")</f>
        <v>544103</v>
      </c>
      <c r="K3364" s="117" t="str">
        <f>CONCATENATE(B3364,"100")</f>
        <v>544100</v>
      </c>
      <c r="L3364" s="2">
        <v>1</v>
      </c>
      <c r="M3364" s="2" t="s">
        <v>84</v>
      </c>
      <c r="N3364" s="2" t="s">
        <v>84</v>
      </c>
      <c r="O3364" s="2" t="s">
        <v>841</v>
      </c>
      <c r="P3364" s="2" t="s">
        <v>2779</v>
      </c>
    </row>
    <row r="3365" spans="1:16" ht="22" customHeight="1" x14ac:dyDescent="0.15">
      <c r="A3365" s="10" t="str">
        <f t="shared" si="518"/>
        <v>544_10_39_10_polygon</v>
      </c>
      <c r="B3365" s="2">
        <v>544</v>
      </c>
      <c r="C3365" s="30" t="str">
        <f>VLOOKUP(B3365,gachas!A:C,3)</f>
        <v>ホワイトデーガチャ</v>
      </c>
      <c r="D3365" s="21">
        <v>10</v>
      </c>
      <c r="E3365" s="2">
        <f t="shared" si="523"/>
        <v>39</v>
      </c>
      <c r="F3365" s="2">
        <v>10</v>
      </c>
      <c r="G3365" s="3" t="s">
        <v>22</v>
      </c>
      <c r="H3365" s="2">
        <v>50</v>
      </c>
      <c r="I3365" s="117" t="str">
        <f t="shared" si="522"/>
        <v>544100</v>
      </c>
      <c r="J3365" s="112" t="str">
        <f>CONCATENATE(B3364,"104")</f>
        <v>544104</v>
      </c>
      <c r="K3365" s="117" t="str">
        <f>CONCATENATE(B3365,"100")</f>
        <v>544100</v>
      </c>
      <c r="L3365" s="2">
        <v>1</v>
      </c>
      <c r="M3365" s="2" t="s">
        <v>84</v>
      </c>
      <c r="N3365" s="2" t="s">
        <v>84</v>
      </c>
      <c r="O3365" s="2" t="s">
        <v>841</v>
      </c>
      <c r="P3365" s="2" t="s">
        <v>2780</v>
      </c>
    </row>
    <row r="3366" spans="1:16" ht="22" customHeight="1" x14ac:dyDescent="0.15">
      <c r="A3366" s="10" t="str">
        <f t="shared" si="518"/>
        <v>544_10_40_10_polygon</v>
      </c>
      <c r="B3366" s="2">
        <v>544</v>
      </c>
      <c r="C3366" s="30" t="str">
        <f>VLOOKUP(B3366,gachas!A:C,3)</f>
        <v>ホワイトデーガチャ</v>
      </c>
      <c r="D3366" s="21">
        <v>10</v>
      </c>
      <c r="E3366" s="2">
        <f t="shared" si="523"/>
        <v>40</v>
      </c>
      <c r="F3366" s="2">
        <v>10</v>
      </c>
      <c r="G3366" s="3" t="s">
        <v>22</v>
      </c>
      <c r="H3366" s="2">
        <v>50</v>
      </c>
      <c r="I3366" s="117" t="str">
        <f t="shared" si="522"/>
        <v>544100</v>
      </c>
      <c r="J3366" s="112" t="s">
        <v>84</v>
      </c>
      <c r="K3366" s="117" t="str">
        <f>CONCATENATE(B3366,"105")</f>
        <v>544105</v>
      </c>
      <c r="L3366" s="2">
        <v>1</v>
      </c>
      <c r="M3366" s="2" t="s">
        <v>84</v>
      </c>
      <c r="N3366" s="2" t="s">
        <v>84</v>
      </c>
      <c r="O3366" s="2" t="s">
        <v>841</v>
      </c>
      <c r="P3366" s="2" t="s">
        <v>2776</v>
      </c>
    </row>
    <row r="3367" spans="1:16" ht="22" customHeight="1" x14ac:dyDescent="0.15">
      <c r="A3367" s="10" t="str">
        <f t="shared" si="518"/>
        <v>544_10_41_10_polygon</v>
      </c>
      <c r="B3367" s="2">
        <v>544</v>
      </c>
      <c r="C3367" s="30" t="str">
        <f>VLOOKUP(B3367,gachas!A:C,3)</f>
        <v>ホワイトデーガチャ</v>
      </c>
      <c r="D3367" s="21">
        <v>10</v>
      </c>
      <c r="E3367" s="2">
        <f t="shared" si="523"/>
        <v>41</v>
      </c>
      <c r="F3367" s="2">
        <v>10</v>
      </c>
      <c r="G3367" s="3" t="s">
        <v>22</v>
      </c>
      <c r="H3367" s="2">
        <v>25</v>
      </c>
      <c r="I3367" s="117" t="str">
        <f t="shared" si="522"/>
        <v>544100</v>
      </c>
      <c r="J3367" s="112" t="s">
        <v>84</v>
      </c>
      <c r="K3367" s="2" t="s">
        <v>84</v>
      </c>
      <c r="L3367" s="2">
        <v>0</v>
      </c>
      <c r="M3367" s="2" t="s">
        <v>84</v>
      </c>
      <c r="N3367" s="2" t="s">
        <v>84</v>
      </c>
      <c r="O3367" s="2" t="s">
        <v>841</v>
      </c>
      <c r="P3367" s="59" t="s">
        <v>1783</v>
      </c>
    </row>
    <row r="3368" spans="1:16" ht="22" customHeight="1" x14ac:dyDescent="0.15">
      <c r="A3368" s="10" t="str">
        <f t="shared" ref="A3368:A3431" si="524">B3368&amp;"_"&amp;D3368&amp;"_"&amp;E3368&amp;"_"&amp;F3368&amp;"_"&amp;G3368</f>
        <v>544_10_42_10_polygon</v>
      </c>
      <c r="B3368" s="2">
        <v>544</v>
      </c>
      <c r="C3368" s="30" t="str">
        <f>VLOOKUP(B3368,gachas!A:C,3)</f>
        <v>ホワイトデーガチャ</v>
      </c>
      <c r="D3368" s="21">
        <v>10</v>
      </c>
      <c r="E3368" s="2">
        <f t="shared" si="523"/>
        <v>42</v>
      </c>
      <c r="F3368" s="2">
        <v>10</v>
      </c>
      <c r="G3368" s="3" t="s">
        <v>22</v>
      </c>
      <c r="H3368" s="2">
        <v>50</v>
      </c>
      <c r="I3368" s="117" t="str">
        <f t="shared" si="522"/>
        <v>544100</v>
      </c>
      <c r="J3368" s="112" t="str">
        <f>CONCATENATE(B3367,"102")</f>
        <v>544102</v>
      </c>
      <c r="K3368" s="117" t="str">
        <f>CONCATENATE(B3368,"100")</f>
        <v>544100</v>
      </c>
      <c r="L3368" s="2">
        <v>1</v>
      </c>
      <c r="M3368" s="2" t="s">
        <v>84</v>
      </c>
      <c r="N3368" s="2" t="s">
        <v>84</v>
      </c>
      <c r="O3368" s="2" t="s">
        <v>841</v>
      </c>
      <c r="P3368" s="2" t="s">
        <v>2778</v>
      </c>
    </row>
    <row r="3369" spans="1:16" ht="22" customHeight="1" x14ac:dyDescent="0.15">
      <c r="A3369" s="10" t="str">
        <f t="shared" si="524"/>
        <v>544_10_43_10_polygon</v>
      </c>
      <c r="B3369" s="2">
        <v>544</v>
      </c>
      <c r="C3369" s="30" t="str">
        <f>VLOOKUP(B3369,gachas!A:C,3)</f>
        <v>ホワイトデーガチャ</v>
      </c>
      <c r="D3369" s="21">
        <v>10</v>
      </c>
      <c r="E3369" s="2">
        <f t="shared" si="523"/>
        <v>43</v>
      </c>
      <c r="F3369" s="2">
        <v>10</v>
      </c>
      <c r="G3369" s="3" t="s">
        <v>22</v>
      </c>
      <c r="H3369" s="2">
        <v>50</v>
      </c>
      <c r="I3369" s="117" t="str">
        <f t="shared" si="522"/>
        <v>544100</v>
      </c>
      <c r="J3369" s="112" t="str">
        <f>CONCATENATE(B3368,"103")</f>
        <v>544103</v>
      </c>
      <c r="K3369" s="117" t="str">
        <f>CONCATENATE(B3369,"100")</f>
        <v>544100</v>
      </c>
      <c r="L3369" s="2">
        <v>1</v>
      </c>
      <c r="M3369" s="2" t="s">
        <v>84</v>
      </c>
      <c r="N3369" s="2" t="s">
        <v>84</v>
      </c>
      <c r="O3369" s="2" t="s">
        <v>841</v>
      </c>
      <c r="P3369" s="2" t="s">
        <v>2779</v>
      </c>
    </row>
    <row r="3370" spans="1:16" ht="22" customHeight="1" x14ac:dyDescent="0.15">
      <c r="A3370" s="10" t="str">
        <f t="shared" si="524"/>
        <v>544_10_44_10_polygon</v>
      </c>
      <c r="B3370" s="2">
        <v>544</v>
      </c>
      <c r="C3370" s="30" t="str">
        <f>VLOOKUP(B3370,gachas!A:C,3)</f>
        <v>ホワイトデーガチャ</v>
      </c>
      <c r="D3370" s="21">
        <v>10</v>
      </c>
      <c r="E3370" s="2">
        <f t="shared" si="523"/>
        <v>44</v>
      </c>
      <c r="F3370" s="2">
        <v>10</v>
      </c>
      <c r="G3370" s="3" t="s">
        <v>22</v>
      </c>
      <c r="H3370" s="2">
        <v>50</v>
      </c>
      <c r="I3370" s="117" t="str">
        <f t="shared" si="522"/>
        <v>544100</v>
      </c>
      <c r="J3370" s="112" t="str">
        <f>CONCATENATE(B3369,"104")</f>
        <v>544104</v>
      </c>
      <c r="K3370" s="117" t="str">
        <f>CONCATENATE(B3370,"100")</f>
        <v>544100</v>
      </c>
      <c r="L3370" s="2">
        <v>1</v>
      </c>
      <c r="M3370" s="2" t="s">
        <v>84</v>
      </c>
      <c r="N3370" s="2" t="s">
        <v>84</v>
      </c>
      <c r="O3370" s="2" t="s">
        <v>841</v>
      </c>
      <c r="P3370" s="2" t="s">
        <v>2780</v>
      </c>
    </row>
    <row r="3371" spans="1:16" ht="22" customHeight="1" x14ac:dyDescent="0.15">
      <c r="A3371" s="10" t="str">
        <f t="shared" si="524"/>
        <v>544_10_45_10_polygon</v>
      </c>
      <c r="B3371" s="2">
        <v>544</v>
      </c>
      <c r="C3371" s="30" t="str">
        <f>VLOOKUP(B3371,gachas!A:C,3)</f>
        <v>ホワイトデーガチャ</v>
      </c>
      <c r="D3371" s="21">
        <v>10</v>
      </c>
      <c r="E3371" s="2">
        <f t="shared" si="523"/>
        <v>45</v>
      </c>
      <c r="F3371" s="2">
        <v>10</v>
      </c>
      <c r="G3371" s="3" t="s">
        <v>22</v>
      </c>
      <c r="H3371" s="2">
        <v>50</v>
      </c>
      <c r="I3371" s="117" t="str">
        <f t="shared" si="522"/>
        <v>544100</v>
      </c>
      <c r="J3371" s="112" t="s">
        <v>84</v>
      </c>
      <c r="K3371" s="117" t="str">
        <f>CONCATENATE(B3371,"105")</f>
        <v>544105</v>
      </c>
      <c r="L3371" s="2">
        <v>1</v>
      </c>
      <c r="M3371" s="2" t="s">
        <v>84</v>
      </c>
      <c r="N3371" s="2" t="s">
        <v>84</v>
      </c>
      <c r="O3371" s="2" t="s">
        <v>841</v>
      </c>
      <c r="P3371" s="2" t="s">
        <v>2776</v>
      </c>
    </row>
    <row r="3372" spans="1:16" ht="22" customHeight="1" x14ac:dyDescent="0.15">
      <c r="A3372" s="10" t="str">
        <f t="shared" si="524"/>
        <v>544_10_46_10_polygon</v>
      </c>
      <c r="B3372" s="2">
        <v>544</v>
      </c>
      <c r="C3372" s="30" t="str">
        <f>VLOOKUP(B3372,gachas!A:C,3)</f>
        <v>ホワイトデーガチャ</v>
      </c>
      <c r="D3372" s="21">
        <v>10</v>
      </c>
      <c r="E3372" s="2">
        <f t="shared" si="523"/>
        <v>46</v>
      </c>
      <c r="F3372" s="2">
        <v>10</v>
      </c>
      <c r="G3372" s="3" t="s">
        <v>22</v>
      </c>
      <c r="H3372" s="2">
        <v>25</v>
      </c>
      <c r="I3372" s="117" t="str">
        <f t="shared" si="522"/>
        <v>544100</v>
      </c>
      <c r="J3372" s="112" t="s">
        <v>84</v>
      </c>
      <c r="K3372" s="2" t="s">
        <v>84</v>
      </c>
      <c r="L3372" s="2">
        <v>0</v>
      </c>
      <c r="M3372" s="2" t="s">
        <v>84</v>
      </c>
      <c r="N3372" s="2" t="s">
        <v>84</v>
      </c>
      <c r="O3372" s="2" t="s">
        <v>841</v>
      </c>
      <c r="P3372" s="59" t="s">
        <v>1783</v>
      </c>
    </row>
    <row r="3373" spans="1:16" ht="22" customHeight="1" x14ac:dyDescent="0.15">
      <c r="A3373" s="10" t="str">
        <f t="shared" si="524"/>
        <v>544_10_47_10_polygon</v>
      </c>
      <c r="B3373" s="2">
        <v>544</v>
      </c>
      <c r="C3373" s="30" t="str">
        <f>VLOOKUP(B3373,gachas!A:C,3)</f>
        <v>ホワイトデーガチャ</v>
      </c>
      <c r="D3373" s="21">
        <v>10</v>
      </c>
      <c r="E3373" s="2">
        <f t="shared" si="523"/>
        <v>47</v>
      </c>
      <c r="F3373" s="2">
        <v>10</v>
      </c>
      <c r="G3373" s="3" t="s">
        <v>22</v>
      </c>
      <c r="H3373" s="2">
        <v>50</v>
      </c>
      <c r="I3373" s="117" t="str">
        <f t="shared" si="522"/>
        <v>544100</v>
      </c>
      <c r="J3373" s="112" t="str">
        <f>CONCATENATE(B3372,"102")</f>
        <v>544102</v>
      </c>
      <c r="K3373" s="117" t="str">
        <f>CONCATENATE(B3373,"100")</f>
        <v>544100</v>
      </c>
      <c r="L3373" s="2">
        <v>1</v>
      </c>
      <c r="M3373" s="2" t="s">
        <v>84</v>
      </c>
      <c r="N3373" s="2" t="s">
        <v>84</v>
      </c>
      <c r="O3373" s="2" t="s">
        <v>841</v>
      </c>
      <c r="P3373" s="2" t="s">
        <v>2778</v>
      </c>
    </row>
    <row r="3374" spans="1:16" ht="22" customHeight="1" x14ac:dyDescent="0.15">
      <c r="A3374" s="10" t="str">
        <f t="shared" si="524"/>
        <v>544_10_48_10_polygon</v>
      </c>
      <c r="B3374" s="2">
        <v>544</v>
      </c>
      <c r="C3374" s="30" t="str">
        <f>VLOOKUP(B3374,gachas!A:C,3)</f>
        <v>ホワイトデーガチャ</v>
      </c>
      <c r="D3374" s="21">
        <v>10</v>
      </c>
      <c r="E3374" s="2">
        <f t="shared" si="523"/>
        <v>48</v>
      </c>
      <c r="F3374" s="2">
        <v>10</v>
      </c>
      <c r="G3374" s="3" t="s">
        <v>22</v>
      </c>
      <c r="H3374" s="2">
        <v>50</v>
      </c>
      <c r="I3374" s="117" t="str">
        <f t="shared" si="522"/>
        <v>544100</v>
      </c>
      <c r="J3374" s="112" t="str">
        <f>CONCATENATE(B3373,"103")</f>
        <v>544103</v>
      </c>
      <c r="K3374" s="117" t="str">
        <f>CONCATENATE(B3374,"100")</f>
        <v>544100</v>
      </c>
      <c r="L3374" s="2">
        <v>1</v>
      </c>
      <c r="M3374" s="2" t="s">
        <v>84</v>
      </c>
      <c r="N3374" s="2" t="s">
        <v>84</v>
      </c>
      <c r="O3374" s="2" t="s">
        <v>841</v>
      </c>
      <c r="P3374" s="2" t="s">
        <v>2779</v>
      </c>
    </row>
    <row r="3375" spans="1:16" ht="22" customHeight="1" x14ac:dyDescent="0.15">
      <c r="A3375" s="10" t="str">
        <f t="shared" si="524"/>
        <v>544_10_49_10_polygon</v>
      </c>
      <c r="B3375" s="2">
        <v>544</v>
      </c>
      <c r="C3375" s="30" t="str">
        <f>VLOOKUP(B3375,gachas!A:C,3)</f>
        <v>ホワイトデーガチャ</v>
      </c>
      <c r="D3375" s="21">
        <v>10</v>
      </c>
      <c r="E3375" s="2">
        <f t="shared" si="523"/>
        <v>49</v>
      </c>
      <c r="F3375" s="2">
        <v>10</v>
      </c>
      <c r="G3375" s="3" t="s">
        <v>22</v>
      </c>
      <c r="H3375" s="2">
        <v>50</v>
      </c>
      <c r="I3375" s="117" t="str">
        <f t="shared" si="522"/>
        <v>544100</v>
      </c>
      <c r="J3375" s="112" t="str">
        <f>CONCATENATE(B3374,"104")</f>
        <v>544104</v>
      </c>
      <c r="K3375" s="117" t="str">
        <f>CONCATENATE(B3375,"100")</f>
        <v>544100</v>
      </c>
      <c r="L3375" s="2">
        <v>1</v>
      </c>
      <c r="M3375" s="2" t="s">
        <v>84</v>
      </c>
      <c r="N3375" s="2" t="s">
        <v>84</v>
      </c>
      <c r="O3375" s="2" t="s">
        <v>841</v>
      </c>
      <c r="P3375" s="2" t="s">
        <v>2780</v>
      </c>
    </row>
    <row r="3376" spans="1:16" ht="22" customHeight="1" x14ac:dyDescent="0.15">
      <c r="A3376" s="10" t="str">
        <f t="shared" si="524"/>
        <v>544_10_50_10_polygon</v>
      </c>
      <c r="B3376" s="2">
        <v>544</v>
      </c>
      <c r="C3376" s="30" t="str">
        <f>VLOOKUP(B3376,gachas!A:C,3)</f>
        <v>ホワイトデーガチャ</v>
      </c>
      <c r="D3376" s="21">
        <v>10</v>
      </c>
      <c r="E3376" s="2">
        <f t="shared" si="523"/>
        <v>50</v>
      </c>
      <c r="F3376" s="2">
        <v>10</v>
      </c>
      <c r="G3376" s="3" t="s">
        <v>22</v>
      </c>
      <c r="H3376" s="2">
        <v>50</v>
      </c>
      <c r="I3376" s="117" t="str">
        <f t="shared" si="522"/>
        <v>544100</v>
      </c>
      <c r="J3376" s="112" t="s">
        <v>84</v>
      </c>
      <c r="K3376" s="117" t="str">
        <f>CONCATENATE(B3376,"105")</f>
        <v>544105</v>
      </c>
      <c r="L3376" s="2">
        <v>1</v>
      </c>
      <c r="M3376" s="2" t="s">
        <v>84</v>
      </c>
      <c r="N3376" s="2" t="s">
        <v>84</v>
      </c>
      <c r="O3376" s="2" t="s">
        <v>841</v>
      </c>
      <c r="P3376" s="2" t="s">
        <v>2776</v>
      </c>
    </row>
    <row r="3377" spans="1:16" ht="22" customHeight="1" x14ac:dyDescent="0.15">
      <c r="A3377" s="10" t="str">
        <f t="shared" si="524"/>
        <v>545_1_0_1_polygon</v>
      </c>
      <c r="B3377" s="2">
        <v>545</v>
      </c>
      <c r="C3377" s="30" t="str">
        <f>VLOOKUP(B3377,gachas!A:C,3)</f>
        <v>バグUPセレクション</v>
      </c>
      <c r="D3377" s="21">
        <v>1</v>
      </c>
      <c r="E3377" s="2">
        <v>0</v>
      </c>
      <c r="F3377" s="2">
        <v>1</v>
      </c>
      <c r="G3377" s="3" t="s">
        <v>22</v>
      </c>
      <c r="H3377" s="2">
        <v>5</v>
      </c>
      <c r="I3377" s="117" t="str">
        <f>CONCATENATE(B3377,"010")</f>
        <v>545010</v>
      </c>
      <c r="J3377" s="112" t="s">
        <v>84</v>
      </c>
      <c r="K3377" s="2" t="s">
        <v>84</v>
      </c>
      <c r="L3377" s="2">
        <v>0</v>
      </c>
      <c r="M3377" s="2" t="s">
        <v>84</v>
      </c>
      <c r="N3377" s="2" t="s">
        <v>84</v>
      </c>
      <c r="O3377" s="2" t="s">
        <v>841</v>
      </c>
      <c r="P3377" s="2" t="s">
        <v>84</v>
      </c>
    </row>
    <row r="3378" spans="1:16" ht="22" customHeight="1" x14ac:dyDescent="0.15">
      <c r="A3378" s="10" t="str">
        <f t="shared" si="524"/>
        <v>545_10_0_10_polygon</v>
      </c>
      <c r="B3378" s="2">
        <v>545</v>
      </c>
      <c r="C3378" s="30" t="str">
        <f>VLOOKUP(B3378,gachas!A:C,3)</f>
        <v>バグUPセレクション</v>
      </c>
      <c r="D3378" s="21">
        <v>10</v>
      </c>
      <c r="E3378" s="2">
        <v>0</v>
      </c>
      <c r="F3378" s="2">
        <v>10</v>
      </c>
      <c r="G3378" s="3" t="s">
        <v>22</v>
      </c>
      <c r="H3378" s="2">
        <v>50</v>
      </c>
      <c r="I3378" s="117" t="str">
        <f t="shared" ref="I3378:I3381" si="525">CONCATENATE(B3378,"100")</f>
        <v>545100</v>
      </c>
      <c r="J3378" s="112" t="s">
        <v>84</v>
      </c>
      <c r="K3378" s="2" t="s">
        <v>84</v>
      </c>
      <c r="L3378" s="2">
        <v>0</v>
      </c>
      <c r="M3378" s="2" t="s">
        <v>84</v>
      </c>
      <c r="N3378" s="2" t="s">
        <v>84</v>
      </c>
      <c r="O3378" s="2" t="s">
        <v>841</v>
      </c>
      <c r="P3378" s="2" t="s">
        <v>2637</v>
      </c>
    </row>
    <row r="3379" spans="1:16" ht="22" customHeight="1" x14ac:dyDescent="0.15">
      <c r="A3379" s="10" t="str">
        <f t="shared" si="524"/>
        <v>545_10_1_10_polygon</v>
      </c>
      <c r="B3379" s="2">
        <v>545</v>
      </c>
      <c r="C3379" s="30" t="str">
        <f>VLOOKUP(B3379,gachas!A:C,3)</f>
        <v>バグUPセレクション</v>
      </c>
      <c r="D3379" s="21">
        <v>10</v>
      </c>
      <c r="E3379" s="2">
        <f>E3378+1</f>
        <v>1</v>
      </c>
      <c r="F3379" s="2">
        <v>10</v>
      </c>
      <c r="G3379" s="3" t="s">
        <v>22</v>
      </c>
      <c r="H3379" s="2">
        <v>50</v>
      </c>
      <c r="I3379" s="117" t="str">
        <f t="shared" si="525"/>
        <v>545100</v>
      </c>
      <c r="J3379" s="112" t="s">
        <v>84</v>
      </c>
      <c r="K3379" s="2" t="s">
        <v>84</v>
      </c>
      <c r="L3379" s="2">
        <v>0</v>
      </c>
      <c r="M3379" s="2" t="s">
        <v>84</v>
      </c>
      <c r="N3379" s="2" t="s">
        <v>84</v>
      </c>
      <c r="O3379" s="2" t="s">
        <v>841</v>
      </c>
      <c r="P3379" s="2" t="s">
        <v>2637</v>
      </c>
    </row>
    <row r="3380" spans="1:16" ht="22" customHeight="1" x14ac:dyDescent="0.15">
      <c r="A3380" s="10" t="str">
        <f t="shared" si="524"/>
        <v>545_10_2_10_polygon</v>
      </c>
      <c r="B3380" s="2">
        <v>545</v>
      </c>
      <c r="C3380" s="30" t="str">
        <f>VLOOKUP(B3380,gachas!A:C,3)</f>
        <v>バグUPセレクション</v>
      </c>
      <c r="D3380" s="21">
        <v>10</v>
      </c>
      <c r="E3380" s="2">
        <f t="shared" ref="E3380:E3408" si="526">E3379+1</f>
        <v>2</v>
      </c>
      <c r="F3380" s="2">
        <v>10</v>
      </c>
      <c r="G3380" s="3" t="s">
        <v>22</v>
      </c>
      <c r="H3380" s="2">
        <v>50</v>
      </c>
      <c r="I3380" s="117" t="str">
        <f t="shared" si="525"/>
        <v>545100</v>
      </c>
      <c r="J3380" s="112" t="s">
        <v>84</v>
      </c>
      <c r="K3380" s="2" t="s">
        <v>84</v>
      </c>
      <c r="L3380" s="2">
        <v>0</v>
      </c>
      <c r="M3380" s="2" t="s">
        <v>84</v>
      </c>
      <c r="N3380" s="2" t="s">
        <v>84</v>
      </c>
      <c r="O3380" s="2" t="s">
        <v>841</v>
      </c>
      <c r="P3380" s="2" t="s">
        <v>2637</v>
      </c>
    </row>
    <row r="3381" spans="1:16" ht="22" customHeight="1" x14ac:dyDescent="0.15">
      <c r="A3381" s="10" t="str">
        <f t="shared" si="524"/>
        <v>545_10_3_10_polygon</v>
      </c>
      <c r="B3381" s="2">
        <v>545</v>
      </c>
      <c r="C3381" s="30" t="str">
        <f>VLOOKUP(B3381,gachas!A:C,3)</f>
        <v>バグUPセレクション</v>
      </c>
      <c r="D3381" s="21">
        <v>10</v>
      </c>
      <c r="E3381" s="2">
        <f t="shared" si="526"/>
        <v>3</v>
      </c>
      <c r="F3381" s="2">
        <v>10</v>
      </c>
      <c r="G3381" s="3" t="s">
        <v>22</v>
      </c>
      <c r="H3381" s="2">
        <v>50</v>
      </c>
      <c r="I3381" s="117" t="str">
        <f t="shared" si="525"/>
        <v>545100</v>
      </c>
      <c r="J3381" s="112" t="s">
        <v>84</v>
      </c>
      <c r="K3381" s="117" t="str">
        <f>CONCATENATE(B3381,"105")</f>
        <v>545105</v>
      </c>
      <c r="L3381" s="2">
        <v>1</v>
      </c>
      <c r="M3381" s="2" t="s">
        <v>84</v>
      </c>
      <c r="N3381" s="2" t="s">
        <v>84</v>
      </c>
      <c r="O3381" s="2" t="s">
        <v>841</v>
      </c>
      <c r="P3381" s="2" t="s">
        <v>2781</v>
      </c>
    </row>
    <row r="3382" spans="1:16" ht="22" customHeight="1" x14ac:dyDescent="0.15">
      <c r="A3382" s="10" t="str">
        <f t="shared" si="524"/>
        <v>545_10_4_10_polygon</v>
      </c>
      <c r="B3382" s="2">
        <v>545</v>
      </c>
      <c r="C3382" s="30" t="str">
        <f>VLOOKUP(B3382,gachas!A:C,3)</f>
        <v>バグUPセレクション</v>
      </c>
      <c r="D3382" s="21">
        <v>10</v>
      </c>
      <c r="E3382" s="2">
        <f t="shared" si="526"/>
        <v>4</v>
      </c>
      <c r="F3382" s="2">
        <v>10</v>
      </c>
      <c r="G3382" s="3" t="s">
        <v>22</v>
      </c>
      <c r="H3382" s="2">
        <v>50</v>
      </c>
      <c r="I3382" s="117" t="str">
        <f t="shared" ref="I3382:I3408" si="527">CONCATENATE(B3382,"100")</f>
        <v>545100</v>
      </c>
      <c r="J3382" s="112" t="s">
        <v>84</v>
      </c>
      <c r="K3382" s="2" t="s">
        <v>84</v>
      </c>
      <c r="L3382" s="2">
        <v>0</v>
      </c>
      <c r="M3382" s="2" t="s">
        <v>84</v>
      </c>
      <c r="N3382" s="2" t="s">
        <v>84</v>
      </c>
      <c r="O3382" s="2" t="s">
        <v>841</v>
      </c>
      <c r="P3382" s="2" t="s">
        <v>2637</v>
      </c>
    </row>
    <row r="3383" spans="1:16" ht="22" customHeight="1" x14ac:dyDescent="0.15">
      <c r="A3383" s="10" t="str">
        <f t="shared" si="524"/>
        <v>545_10_5_10_polygon</v>
      </c>
      <c r="B3383" s="2">
        <v>545</v>
      </c>
      <c r="C3383" s="30" t="str">
        <f>VLOOKUP(B3383,gachas!A:C,3)</f>
        <v>バグUPセレクション</v>
      </c>
      <c r="D3383" s="21">
        <v>10</v>
      </c>
      <c r="E3383" s="2">
        <f t="shared" si="526"/>
        <v>5</v>
      </c>
      <c r="F3383" s="2">
        <v>10</v>
      </c>
      <c r="G3383" s="3" t="s">
        <v>22</v>
      </c>
      <c r="H3383" s="2">
        <v>50</v>
      </c>
      <c r="I3383" s="117" t="str">
        <f t="shared" si="527"/>
        <v>545100</v>
      </c>
      <c r="J3383" s="112" t="s">
        <v>84</v>
      </c>
      <c r="K3383" s="2" t="s">
        <v>84</v>
      </c>
      <c r="L3383" s="2">
        <v>0</v>
      </c>
      <c r="M3383" s="2" t="s">
        <v>84</v>
      </c>
      <c r="N3383" s="2" t="s">
        <v>84</v>
      </c>
      <c r="O3383" s="2" t="s">
        <v>841</v>
      </c>
      <c r="P3383" s="2" t="s">
        <v>2637</v>
      </c>
    </row>
    <row r="3384" spans="1:16" ht="22" customHeight="1" x14ac:dyDescent="0.15">
      <c r="A3384" s="10" t="str">
        <f t="shared" si="524"/>
        <v>545_10_6_10_polygon</v>
      </c>
      <c r="B3384" s="2">
        <v>545</v>
      </c>
      <c r="C3384" s="30" t="str">
        <f>VLOOKUP(B3384,gachas!A:C,3)</f>
        <v>バグUPセレクション</v>
      </c>
      <c r="D3384" s="21">
        <v>10</v>
      </c>
      <c r="E3384" s="2">
        <f t="shared" si="526"/>
        <v>6</v>
      </c>
      <c r="F3384" s="2">
        <v>10</v>
      </c>
      <c r="G3384" s="3" t="s">
        <v>22</v>
      </c>
      <c r="H3384" s="2">
        <v>50</v>
      </c>
      <c r="I3384" s="117" t="str">
        <f t="shared" si="527"/>
        <v>545100</v>
      </c>
      <c r="J3384" s="112" t="s">
        <v>84</v>
      </c>
      <c r="K3384" s="117" t="str">
        <f>CONCATENATE(B3384,"105")</f>
        <v>545105</v>
      </c>
      <c r="L3384" s="2">
        <v>1</v>
      </c>
      <c r="M3384" s="2" t="s">
        <v>84</v>
      </c>
      <c r="N3384" s="2" t="s">
        <v>84</v>
      </c>
      <c r="O3384" s="2" t="s">
        <v>841</v>
      </c>
      <c r="P3384" s="2" t="s">
        <v>2781</v>
      </c>
    </row>
    <row r="3385" spans="1:16" ht="22" customHeight="1" x14ac:dyDescent="0.15">
      <c r="A3385" s="10" t="str">
        <f t="shared" si="524"/>
        <v>545_10_7_10_polygon</v>
      </c>
      <c r="B3385" s="2">
        <v>545</v>
      </c>
      <c r="C3385" s="30" t="str">
        <f>VLOOKUP(B3385,gachas!A:C,3)</f>
        <v>バグUPセレクション</v>
      </c>
      <c r="D3385" s="21">
        <v>10</v>
      </c>
      <c r="E3385" s="2">
        <f t="shared" si="526"/>
        <v>7</v>
      </c>
      <c r="F3385" s="2">
        <v>10</v>
      </c>
      <c r="G3385" s="3" t="s">
        <v>22</v>
      </c>
      <c r="H3385" s="2">
        <v>50</v>
      </c>
      <c r="I3385" s="117" t="str">
        <f t="shared" si="527"/>
        <v>545100</v>
      </c>
      <c r="J3385" s="112" t="s">
        <v>84</v>
      </c>
      <c r="K3385" s="2" t="s">
        <v>84</v>
      </c>
      <c r="L3385" s="2">
        <v>0</v>
      </c>
      <c r="M3385" s="2" t="s">
        <v>84</v>
      </c>
      <c r="N3385" s="2" t="s">
        <v>84</v>
      </c>
      <c r="O3385" s="2" t="s">
        <v>841</v>
      </c>
      <c r="P3385" s="2" t="s">
        <v>2637</v>
      </c>
    </row>
    <row r="3386" spans="1:16" ht="22" customHeight="1" x14ac:dyDescent="0.15">
      <c r="A3386" s="10" t="str">
        <f t="shared" si="524"/>
        <v>545_10_8_10_polygon</v>
      </c>
      <c r="B3386" s="2">
        <v>545</v>
      </c>
      <c r="C3386" s="30" t="str">
        <f>VLOOKUP(B3386,gachas!A:C,3)</f>
        <v>バグUPセレクション</v>
      </c>
      <c r="D3386" s="21">
        <v>10</v>
      </c>
      <c r="E3386" s="2">
        <f t="shared" si="526"/>
        <v>8</v>
      </c>
      <c r="F3386" s="2">
        <v>10</v>
      </c>
      <c r="G3386" s="3" t="s">
        <v>22</v>
      </c>
      <c r="H3386" s="2">
        <v>50</v>
      </c>
      <c r="I3386" s="117" t="str">
        <f t="shared" si="527"/>
        <v>545100</v>
      </c>
      <c r="J3386" s="112" t="s">
        <v>84</v>
      </c>
      <c r="K3386" s="2" t="s">
        <v>84</v>
      </c>
      <c r="L3386" s="2">
        <v>0</v>
      </c>
      <c r="M3386" s="2" t="s">
        <v>84</v>
      </c>
      <c r="N3386" s="2" t="s">
        <v>84</v>
      </c>
      <c r="O3386" s="2" t="s">
        <v>841</v>
      </c>
      <c r="P3386" s="2" t="s">
        <v>2637</v>
      </c>
    </row>
    <row r="3387" spans="1:16" ht="22" customHeight="1" x14ac:dyDescent="0.15">
      <c r="A3387" s="10" t="str">
        <f t="shared" si="524"/>
        <v>545_10_9_10_polygon</v>
      </c>
      <c r="B3387" s="2">
        <v>545</v>
      </c>
      <c r="C3387" s="30" t="str">
        <f>VLOOKUP(B3387,gachas!A:C,3)</f>
        <v>バグUPセレクション</v>
      </c>
      <c r="D3387" s="21">
        <v>10</v>
      </c>
      <c r="E3387" s="2">
        <f t="shared" si="526"/>
        <v>9</v>
      </c>
      <c r="F3387" s="2">
        <v>10</v>
      </c>
      <c r="G3387" s="3" t="s">
        <v>22</v>
      </c>
      <c r="H3387" s="2">
        <v>50</v>
      </c>
      <c r="I3387" s="117" t="str">
        <f t="shared" si="527"/>
        <v>545100</v>
      </c>
      <c r="J3387" s="112" t="s">
        <v>84</v>
      </c>
      <c r="K3387" s="117" t="str">
        <f>CONCATENATE(B3387,"105")</f>
        <v>545105</v>
      </c>
      <c r="L3387" s="2">
        <v>1</v>
      </c>
      <c r="M3387" s="2" t="s">
        <v>84</v>
      </c>
      <c r="N3387" s="2" t="s">
        <v>84</v>
      </c>
      <c r="O3387" s="2" t="s">
        <v>841</v>
      </c>
      <c r="P3387" s="2" t="s">
        <v>2781</v>
      </c>
    </row>
    <row r="3388" spans="1:16" ht="22" customHeight="1" x14ac:dyDescent="0.15">
      <c r="A3388" s="10" t="str">
        <f t="shared" si="524"/>
        <v>545_10_10_10_polygon</v>
      </c>
      <c r="B3388" s="2">
        <v>545</v>
      </c>
      <c r="C3388" s="30" t="str">
        <f>VLOOKUP(B3388,gachas!A:C,3)</f>
        <v>バグUPセレクション</v>
      </c>
      <c r="D3388" s="21">
        <v>10</v>
      </c>
      <c r="E3388" s="2">
        <f t="shared" si="526"/>
        <v>10</v>
      </c>
      <c r="F3388" s="2">
        <v>10</v>
      </c>
      <c r="G3388" s="3" t="s">
        <v>22</v>
      </c>
      <c r="H3388" s="2">
        <v>50</v>
      </c>
      <c r="I3388" s="117" t="str">
        <f t="shared" si="527"/>
        <v>545100</v>
      </c>
      <c r="J3388" s="112" t="s">
        <v>84</v>
      </c>
      <c r="K3388" s="2" t="s">
        <v>84</v>
      </c>
      <c r="L3388" s="2">
        <v>0</v>
      </c>
      <c r="M3388" s="2" t="s">
        <v>84</v>
      </c>
      <c r="N3388" s="2" t="s">
        <v>84</v>
      </c>
      <c r="O3388" s="2" t="s">
        <v>841</v>
      </c>
      <c r="P3388" s="2" t="s">
        <v>2637</v>
      </c>
    </row>
    <row r="3389" spans="1:16" ht="22" customHeight="1" x14ac:dyDescent="0.15">
      <c r="A3389" s="10" t="str">
        <f t="shared" si="524"/>
        <v>545_10_11_10_polygon</v>
      </c>
      <c r="B3389" s="2">
        <v>545</v>
      </c>
      <c r="C3389" s="30" t="str">
        <f>VLOOKUP(B3389,gachas!A:C,3)</f>
        <v>バグUPセレクション</v>
      </c>
      <c r="D3389" s="21">
        <v>10</v>
      </c>
      <c r="E3389" s="2">
        <f t="shared" si="526"/>
        <v>11</v>
      </c>
      <c r="F3389" s="2">
        <v>10</v>
      </c>
      <c r="G3389" s="3" t="s">
        <v>22</v>
      </c>
      <c r="H3389" s="2">
        <v>50</v>
      </c>
      <c r="I3389" s="117" t="str">
        <f t="shared" si="527"/>
        <v>545100</v>
      </c>
      <c r="J3389" s="112" t="s">
        <v>84</v>
      </c>
      <c r="K3389" s="2" t="s">
        <v>84</v>
      </c>
      <c r="L3389" s="2">
        <v>0</v>
      </c>
      <c r="M3389" s="2" t="s">
        <v>84</v>
      </c>
      <c r="N3389" s="2" t="s">
        <v>84</v>
      </c>
      <c r="O3389" s="2" t="s">
        <v>841</v>
      </c>
      <c r="P3389" s="2" t="s">
        <v>2637</v>
      </c>
    </row>
    <row r="3390" spans="1:16" ht="22" customHeight="1" x14ac:dyDescent="0.15">
      <c r="A3390" s="10" t="str">
        <f t="shared" si="524"/>
        <v>545_10_12_10_polygon</v>
      </c>
      <c r="B3390" s="2">
        <v>545</v>
      </c>
      <c r="C3390" s="30" t="str">
        <f>VLOOKUP(B3390,gachas!A:C,3)</f>
        <v>バグUPセレクション</v>
      </c>
      <c r="D3390" s="21">
        <v>10</v>
      </c>
      <c r="E3390" s="2">
        <f t="shared" si="526"/>
        <v>12</v>
      </c>
      <c r="F3390" s="2">
        <v>10</v>
      </c>
      <c r="G3390" s="3" t="s">
        <v>22</v>
      </c>
      <c r="H3390" s="2">
        <v>50</v>
      </c>
      <c r="I3390" s="117" t="str">
        <f t="shared" si="527"/>
        <v>545100</v>
      </c>
      <c r="J3390" s="112" t="s">
        <v>84</v>
      </c>
      <c r="K3390" s="117" t="str">
        <f>CONCATENATE(B3390,"105")</f>
        <v>545105</v>
      </c>
      <c r="L3390" s="2">
        <v>1</v>
      </c>
      <c r="M3390" s="2" t="s">
        <v>84</v>
      </c>
      <c r="N3390" s="2" t="s">
        <v>84</v>
      </c>
      <c r="O3390" s="2" t="s">
        <v>841</v>
      </c>
      <c r="P3390" s="2" t="s">
        <v>2781</v>
      </c>
    </row>
    <row r="3391" spans="1:16" ht="22" customHeight="1" x14ac:dyDescent="0.15">
      <c r="A3391" s="10" t="str">
        <f t="shared" si="524"/>
        <v>545_10_13_10_polygon</v>
      </c>
      <c r="B3391" s="2">
        <v>545</v>
      </c>
      <c r="C3391" s="30" t="str">
        <f>VLOOKUP(B3391,gachas!A:C,3)</f>
        <v>バグUPセレクション</v>
      </c>
      <c r="D3391" s="21">
        <v>10</v>
      </c>
      <c r="E3391" s="2">
        <f t="shared" si="526"/>
        <v>13</v>
      </c>
      <c r="F3391" s="2">
        <v>10</v>
      </c>
      <c r="G3391" s="3" t="s">
        <v>22</v>
      </c>
      <c r="H3391" s="2">
        <v>50</v>
      </c>
      <c r="I3391" s="117" t="str">
        <f t="shared" si="527"/>
        <v>545100</v>
      </c>
      <c r="J3391" s="112" t="s">
        <v>84</v>
      </c>
      <c r="K3391" s="2" t="s">
        <v>84</v>
      </c>
      <c r="L3391" s="2">
        <v>0</v>
      </c>
      <c r="M3391" s="2" t="s">
        <v>84</v>
      </c>
      <c r="N3391" s="2" t="s">
        <v>84</v>
      </c>
      <c r="O3391" s="2" t="s">
        <v>841</v>
      </c>
      <c r="P3391" s="2" t="s">
        <v>2637</v>
      </c>
    </row>
    <row r="3392" spans="1:16" ht="22" customHeight="1" x14ac:dyDescent="0.15">
      <c r="A3392" s="10" t="str">
        <f t="shared" si="524"/>
        <v>545_10_14_10_polygon</v>
      </c>
      <c r="B3392" s="2">
        <v>545</v>
      </c>
      <c r="C3392" s="30" t="str">
        <f>VLOOKUP(B3392,gachas!A:C,3)</f>
        <v>バグUPセレクション</v>
      </c>
      <c r="D3392" s="21">
        <v>10</v>
      </c>
      <c r="E3392" s="2">
        <f t="shared" si="526"/>
        <v>14</v>
      </c>
      <c r="F3392" s="2">
        <v>10</v>
      </c>
      <c r="G3392" s="3" t="s">
        <v>22</v>
      </c>
      <c r="H3392" s="2">
        <v>50</v>
      </c>
      <c r="I3392" s="117" t="str">
        <f t="shared" si="527"/>
        <v>545100</v>
      </c>
      <c r="J3392" s="112" t="s">
        <v>84</v>
      </c>
      <c r="K3392" s="2" t="s">
        <v>84</v>
      </c>
      <c r="L3392" s="2">
        <v>0</v>
      </c>
      <c r="M3392" s="2" t="s">
        <v>84</v>
      </c>
      <c r="N3392" s="2" t="s">
        <v>84</v>
      </c>
      <c r="O3392" s="2" t="s">
        <v>841</v>
      </c>
      <c r="P3392" s="2" t="s">
        <v>2637</v>
      </c>
    </row>
    <row r="3393" spans="1:16" ht="22" customHeight="1" x14ac:dyDescent="0.15">
      <c r="A3393" s="10" t="str">
        <f t="shared" si="524"/>
        <v>545_10_15_10_polygon</v>
      </c>
      <c r="B3393" s="2">
        <v>545</v>
      </c>
      <c r="C3393" s="30" t="str">
        <f>VLOOKUP(B3393,gachas!A:C,3)</f>
        <v>バグUPセレクション</v>
      </c>
      <c r="D3393" s="21">
        <v>10</v>
      </c>
      <c r="E3393" s="2">
        <f t="shared" si="526"/>
        <v>15</v>
      </c>
      <c r="F3393" s="2">
        <v>10</v>
      </c>
      <c r="G3393" s="3" t="s">
        <v>22</v>
      </c>
      <c r="H3393" s="2">
        <v>50</v>
      </c>
      <c r="I3393" s="117" t="str">
        <f t="shared" si="527"/>
        <v>545100</v>
      </c>
      <c r="J3393" s="112" t="s">
        <v>84</v>
      </c>
      <c r="K3393" s="117" t="str">
        <f>CONCATENATE(B3393,"105")</f>
        <v>545105</v>
      </c>
      <c r="L3393" s="2">
        <v>1</v>
      </c>
      <c r="M3393" s="2" t="s">
        <v>84</v>
      </c>
      <c r="N3393" s="2" t="s">
        <v>84</v>
      </c>
      <c r="O3393" s="2" t="s">
        <v>841</v>
      </c>
      <c r="P3393" s="2" t="s">
        <v>2781</v>
      </c>
    </row>
    <row r="3394" spans="1:16" ht="22" customHeight="1" x14ac:dyDescent="0.15">
      <c r="A3394" s="10" t="str">
        <f t="shared" si="524"/>
        <v>545_10_16_10_polygon</v>
      </c>
      <c r="B3394" s="2">
        <v>545</v>
      </c>
      <c r="C3394" s="30" t="str">
        <f>VLOOKUP(B3394,gachas!A:C,3)</f>
        <v>バグUPセレクション</v>
      </c>
      <c r="D3394" s="21">
        <v>10</v>
      </c>
      <c r="E3394" s="2">
        <f t="shared" si="526"/>
        <v>16</v>
      </c>
      <c r="F3394" s="2">
        <v>10</v>
      </c>
      <c r="G3394" s="3" t="s">
        <v>22</v>
      </c>
      <c r="H3394" s="2">
        <v>50</v>
      </c>
      <c r="I3394" s="117" t="str">
        <f t="shared" si="527"/>
        <v>545100</v>
      </c>
      <c r="J3394" s="112" t="s">
        <v>84</v>
      </c>
      <c r="K3394" s="2" t="s">
        <v>84</v>
      </c>
      <c r="L3394" s="2">
        <v>0</v>
      </c>
      <c r="M3394" s="2" t="s">
        <v>84</v>
      </c>
      <c r="N3394" s="2" t="s">
        <v>84</v>
      </c>
      <c r="O3394" s="2" t="s">
        <v>841</v>
      </c>
      <c r="P3394" s="2" t="s">
        <v>2637</v>
      </c>
    </row>
    <row r="3395" spans="1:16" ht="22" customHeight="1" x14ac:dyDescent="0.15">
      <c r="A3395" s="10" t="str">
        <f t="shared" si="524"/>
        <v>545_10_17_10_polygon</v>
      </c>
      <c r="B3395" s="2">
        <v>545</v>
      </c>
      <c r="C3395" s="30" t="str">
        <f>VLOOKUP(B3395,gachas!A:C,3)</f>
        <v>バグUPセレクション</v>
      </c>
      <c r="D3395" s="21">
        <v>10</v>
      </c>
      <c r="E3395" s="2">
        <f t="shared" si="526"/>
        <v>17</v>
      </c>
      <c r="F3395" s="2">
        <v>10</v>
      </c>
      <c r="G3395" s="3" t="s">
        <v>22</v>
      </c>
      <c r="H3395" s="2">
        <v>50</v>
      </c>
      <c r="I3395" s="117" t="str">
        <f t="shared" si="527"/>
        <v>545100</v>
      </c>
      <c r="J3395" s="112" t="s">
        <v>84</v>
      </c>
      <c r="K3395" s="2" t="s">
        <v>84</v>
      </c>
      <c r="L3395" s="2">
        <v>0</v>
      </c>
      <c r="M3395" s="2" t="s">
        <v>84</v>
      </c>
      <c r="N3395" s="2" t="s">
        <v>84</v>
      </c>
      <c r="O3395" s="2" t="s">
        <v>841</v>
      </c>
      <c r="P3395" s="2" t="s">
        <v>2637</v>
      </c>
    </row>
    <row r="3396" spans="1:16" ht="22" customHeight="1" x14ac:dyDescent="0.15">
      <c r="A3396" s="10" t="str">
        <f t="shared" si="524"/>
        <v>545_10_18_10_polygon</v>
      </c>
      <c r="B3396" s="2">
        <v>545</v>
      </c>
      <c r="C3396" s="30" t="str">
        <f>VLOOKUP(B3396,gachas!A:C,3)</f>
        <v>バグUPセレクション</v>
      </c>
      <c r="D3396" s="21">
        <v>10</v>
      </c>
      <c r="E3396" s="2">
        <f t="shared" si="526"/>
        <v>18</v>
      </c>
      <c r="F3396" s="2">
        <v>10</v>
      </c>
      <c r="G3396" s="3" t="s">
        <v>22</v>
      </c>
      <c r="H3396" s="2">
        <v>50</v>
      </c>
      <c r="I3396" s="117" t="str">
        <f t="shared" si="527"/>
        <v>545100</v>
      </c>
      <c r="J3396" s="112" t="s">
        <v>84</v>
      </c>
      <c r="K3396" s="117" t="str">
        <f>CONCATENATE(B3396,"105")</f>
        <v>545105</v>
      </c>
      <c r="L3396" s="2">
        <v>1</v>
      </c>
      <c r="M3396" s="2" t="s">
        <v>84</v>
      </c>
      <c r="N3396" s="2" t="s">
        <v>84</v>
      </c>
      <c r="O3396" s="2" t="s">
        <v>841</v>
      </c>
      <c r="P3396" s="2" t="s">
        <v>2781</v>
      </c>
    </row>
    <row r="3397" spans="1:16" ht="22" customHeight="1" x14ac:dyDescent="0.15">
      <c r="A3397" s="10" t="str">
        <f t="shared" si="524"/>
        <v>545_10_19_10_polygon</v>
      </c>
      <c r="B3397" s="2">
        <v>545</v>
      </c>
      <c r="C3397" s="30" t="str">
        <f>VLOOKUP(B3397,gachas!A:C,3)</f>
        <v>バグUPセレクション</v>
      </c>
      <c r="D3397" s="21">
        <v>10</v>
      </c>
      <c r="E3397" s="2">
        <f t="shared" si="526"/>
        <v>19</v>
      </c>
      <c r="F3397" s="2">
        <v>10</v>
      </c>
      <c r="G3397" s="3" t="s">
        <v>22</v>
      </c>
      <c r="H3397" s="2">
        <v>50</v>
      </c>
      <c r="I3397" s="117" t="str">
        <f t="shared" si="527"/>
        <v>545100</v>
      </c>
      <c r="J3397" s="112" t="s">
        <v>84</v>
      </c>
      <c r="K3397" s="2" t="s">
        <v>84</v>
      </c>
      <c r="L3397" s="2">
        <v>0</v>
      </c>
      <c r="M3397" s="2" t="s">
        <v>84</v>
      </c>
      <c r="N3397" s="2" t="s">
        <v>84</v>
      </c>
      <c r="O3397" s="2" t="s">
        <v>841</v>
      </c>
      <c r="P3397" s="2" t="s">
        <v>2637</v>
      </c>
    </row>
    <row r="3398" spans="1:16" ht="22" customHeight="1" x14ac:dyDescent="0.15">
      <c r="A3398" s="10" t="str">
        <f t="shared" si="524"/>
        <v>545_10_20_10_polygon</v>
      </c>
      <c r="B3398" s="2">
        <v>545</v>
      </c>
      <c r="C3398" s="30" t="str">
        <f>VLOOKUP(B3398,gachas!A:C,3)</f>
        <v>バグUPセレクション</v>
      </c>
      <c r="D3398" s="21">
        <v>10</v>
      </c>
      <c r="E3398" s="2">
        <f t="shared" si="526"/>
        <v>20</v>
      </c>
      <c r="F3398" s="2">
        <v>10</v>
      </c>
      <c r="G3398" s="3" t="s">
        <v>22</v>
      </c>
      <c r="H3398" s="2">
        <v>50</v>
      </c>
      <c r="I3398" s="117" t="str">
        <f t="shared" si="527"/>
        <v>545100</v>
      </c>
      <c r="J3398" s="112" t="s">
        <v>84</v>
      </c>
      <c r="K3398" s="2" t="s">
        <v>84</v>
      </c>
      <c r="L3398" s="2">
        <v>0</v>
      </c>
      <c r="M3398" s="2" t="s">
        <v>84</v>
      </c>
      <c r="N3398" s="2" t="s">
        <v>84</v>
      </c>
      <c r="O3398" s="2" t="s">
        <v>841</v>
      </c>
      <c r="P3398" s="2" t="s">
        <v>2637</v>
      </c>
    </row>
    <row r="3399" spans="1:16" ht="22" customHeight="1" x14ac:dyDescent="0.15">
      <c r="A3399" s="10" t="str">
        <f t="shared" si="524"/>
        <v>545_10_21_10_polygon</v>
      </c>
      <c r="B3399" s="2">
        <v>545</v>
      </c>
      <c r="C3399" s="30" t="str">
        <f>VLOOKUP(B3399,gachas!A:C,3)</f>
        <v>バグUPセレクション</v>
      </c>
      <c r="D3399" s="21">
        <v>10</v>
      </c>
      <c r="E3399" s="2">
        <f t="shared" si="526"/>
        <v>21</v>
      </c>
      <c r="F3399" s="2">
        <v>10</v>
      </c>
      <c r="G3399" s="3" t="s">
        <v>22</v>
      </c>
      <c r="H3399" s="2">
        <v>50</v>
      </c>
      <c r="I3399" s="117" t="str">
        <f t="shared" si="527"/>
        <v>545100</v>
      </c>
      <c r="J3399" s="112" t="s">
        <v>84</v>
      </c>
      <c r="K3399" s="117" t="str">
        <f>CONCATENATE(B3399,"105")</f>
        <v>545105</v>
      </c>
      <c r="L3399" s="2">
        <v>1</v>
      </c>
      <c r="M3399" s="2" t="s">
        <v>84</v>
      </c>
      <c r="N3399" s="2" t="s">
        <v>84</v>
      </c>
      <c r="O3399" s="2" t="s">
        <v>841</v>
      </c>
      <c r="P3399" s="2" t="s">
        <v>2781</v>
      </c>
    </row>
    <row r="3400" spans="1:16" ht="22" customHeight="1" x14ac:dyDescent="0.15">
      <c r="A3400" s="10" t="str">
        <f t="shared" si="524"/>
        <v>545_10_22_10_polygon</v>
      </c>
      <c r="B3400" s="2">
        <v>545</v>
      </c>
      <c r="C3400" s="30" t="str">
        <f>VLOOKUP(B3400,gachas!A:C,3)</f>
        <v>バグUPセレクション</v>
      </c>
      <c r="D3400" s="21">
        <v>10</v>
      </c>
      <c r="E3400" s="2">
        <f t="shared" si="526"/>
        <v>22</v>
      </c>
      <c r="F3400" s="2">
        <v>10</v>
      </c>
      <c r="G3400" s="3" t="s">
        <v>22</v>
      </c>
      <c r="H3400" s="2">
        <v>50</v>
      </c>
      <c r="I3400" s="117" t="str">
        <f t="shared" si="527"/>
        <v>545100</v>
      </c>
      <c r="J3400" s="112" t="s">
        <v>84</v>
      </c>
      <c r="K3400" s="2" t="s">
        <v>84</v>
      </c>
      <c r="L3400" s="2">
        <v>0</v>
      </c>
      <c r="M3400" s="2" t="s">
        <v>84</v>
      </c>
      <c r="N3400" s="2" t="s">
        <v>84</v>
      </c>
      <c r="O3400" s="2" t="s">
        <v>841</v>
      </c>
      <c r="P3400" s="2" t="s">
        <v>2637</v>
      </c>
    </row>
    <row r="3401" spans="1:16" ht="22" customHeight="1" x14ac:dyDescent="0.15">
      <c r="A3401" s="10" t="str">
        <f t="shared" si="524"/>
        <v>545_10_23_10_polygon</v>
      </c>
      <c r="B3401" s="2">
        <v>545</v>
      </c>
      <c r="C3401" s="30" t="str">
        <f>VLOOKUP(B3401,gachas!A:C,3)</f>
        <v>バグUPセレクション</v>
      </c>
      <c r="D3401" s="21">
        <v>10</v>
      </c>
      <c r="E3401" s="2">
        <f t="shared" si="526"/>
        <v>23</v>
      </c>
      <c r="F3401" s="2">
        <v>10</v>
      </c>
      <c r="G3401" s="3" t="s">
        <v>22</v>
      </c>
      <c r="H3401" s="2">
        <v>50</v>
      </c>
      <c r="I3401" s="117" t="str">
        <f t="shared" si="527"/>
        <v>545100</v>
      </c>
      <c r="J3401" s="112" t="s">
        <v>84</v>
      </c>
      <c r="K3401" s="2" t="s">
        <v>84</v>
      </c>
      <c r="L3401" s="2">
        <v>0</v>
      </c>
      <c r="M3401" s="2" t="s">
        <v>84</v>
      </c>
      <c r="N3401" s="2" t="s">
        <v>84</v>
      </c>
      <c r="O3401" s="2" t="s">
        <v>841</v>
      </c>
      <c r="P3401" s="2" t="s">
        <v>2637</v>
      </c>
    </row>
    <row r="3402" spans="1:16" ht="22" customHeight="1" x14ac:dyDescent="0.15">
      <c r="A3402" s="10" t="str">
        <f t="shared" si="524"/>
        <v>545_10_24_10_polygon</v>
      </c>
      <c r="B3402" s="2">
        <v>545</v>
      </c>
      <c r="C3402" s="30" t="str">
        <f>VLOOKUP(B3402,gachas!A:C,3)</f>
        <v>バグUPセレクション</v>
      </c>
      <c r="D3402" s="21">
        <v>10</v>
      </c>
      <c r="E3402" s="2">
        <f t="shared" si="526"/>
        <v>24</v>
      </c>
      <c r="F3402" s="2">
        <v>10</v>
      </c>
      <c r="G3402" s="3" t="s">
        <v>22</v>
      </c>
      <c r="H3402" s="2">
        <v>50</v>
      </c>
      <c r="I3402" s="117" t="str">
        <f t="shared" si="527"/>
        <v>545100</v>
      </c>
      <c r="J3402" s="112" t="s">
        <v>84</v>
      </c>
      <c r="K3402" s="117" t="str">
        <f>CONCATENATE(B3402,"105")</f>
        <v>545105</v>
      </c>
      <c r="L3402" s="2">
        <v>1</v>
      </c>
      <c r="M3402" s="2" t="s">
        <v>84</v>
      </c>
      <c r="N3402" s="2" t="s">
        <v>84</v>
      </c>
      <c r="O3402" s="2" t="s">
        <v>841</v>
      </c>
      <c r="P3402" s="2" t="s">
        <v>2781</v>
      </c>
    </row>
    <row r="3403" spans="1:16" ht="22" customHeight="1" x14ac:dyDescent="0.15">
      <c r="A3403" s="10" t="str">
        <f t="shared" si="524"/>
        <v>545_10_25_10_polygon</v>
      </c>
      <c r="B3403" s="2">
        <v>545</v>
      </c>
      <c r="C3403" s="30" t="str">
        <f>VLOOKUP(B3403,gachas!A:C,3)</f>
        <v>バグUPセレクション</v>
      </c>
      <c r="D3403" s="21">
        <v>10</v>
      </c>
      <c r="E3403" s="2">
        <f t="shared" si="526"/>
        <v>25</v>
      </c>
      <c r="F3403" s="2">
        <v>10</v>
      </c>
      <c r="G3403" s="3" t="s">
        <v>22</v>
      </c>
      <c r="H3403" s="2">
        <v>50</v>
      </c>
      <c r="I3403" s="117" t="str">
        <f t="shared" si="527"/>
        <v>545100</v>
      </c>
      <c r="J3403" s="112" t="s">
        <v>84</v>
      </c>
      <c r="K3403" s="2" t="s">
        <v>84</v>
      </c>
      <c r="L3403" s="2">
        <v>0</v>
      </c>
      <c r="M3403" s="2" t="s">
        <v>84</v>
      </c>
      <c r="N3403" s="2" t="s">
        <v>84</v>
      </c>
      <c r="O3403" s="2" t="s">
        <v>841</v>
      </c>
      <c r="P3403" s="2" t="s">
        <v>2637</v>
      </c>
    </row>
    <row r="3404" spans="1:16" ht="22" customHeight="1" x14ac:dyDescent="0.15">
      <c r="A3404" s="10" t="str">
        <f t="shared" si="524"/>
        <v>545_10_26_10_polygon</v>
      </c>
      <c r="B3404" s="2">
        <v>545</v>
      </c>
      <c r="C3404" s="30" t="str">
        <f>VLOOKUP(B3404,gachas!A:C,3)</f>
        <v>バグUPセレクション</v>
      </c>
      <c r="D3404" s="21">
        <v>10</v>
      </c>
      <c r="E3404" s="2">
        <f t="shared" si="526"/>
        <v>26</v>
      </c>
      <c r="F3404" s="2">
        <v>10</v>
      </c>
      <c r="G3404" s="3" t="s">
        <v>22</v>
      </c>
      <c r="H3404" s="2">
        <v>50</v>
      </c>
      <c r="I3404" s="117" t="str">
        <f t="shared" si="527"/>
        <v>545100</v>
      </c>
      <c r="J3404" s="112" t="s">
        <v>84</v>
      </c>
      <c r="K3404" s="2" t="s">
        <v>84</v>
      </c>
      <c r="L3404" s="2">
        <v>0</v>
      </c>
      <c r="M3404" s="2" t="s">
        <v>84</v>
      </c>
      <c r="N3404" s="2" t="s">
        <v>84</v>
      </c>
      <c r="O3404" s="2" t="s">
        <v>841</v>
      </c>
      <c r="P3404" s="2" t="s">
        <v>2637</v>
      </c>
    </row>
    <row r="3405" spans="1:16" ht="22" customHeight="1" x14ac:dyDescent="0.15">
      <c r="A3405" s="10" t="str">
        <f t="shared" si="524"/>
        <v>545_10_27_10_polygon</v>
      </c>
      <c r="B3405" s="2">
        <v>545</v>
      </c>
      <c r="C3405" s="30" t="str">
        <f>VLOOKUP(B3405,gachas!A:C,3)</f>
        <v>バグUPセレクション</v>
      </c>
      <c r="D3405" s="21">
        <v>10</v>
      </c>
      <c r="E3405" s="2">
        <f t="shared" si="526"/>
        <v>27</v>
      </c>
      <c r="F3405" s="2">
        <v>10</v>
      </c>
      <c r="G3405" s="3" t="s">
        <v>22</v>
      </c>
      <c r="H3405" s="2">
        <v>50</v>
      </c>
      <c r="I3405" s="117" t="str">
        <f t="shared" si="527"/>
        <v>545100</v>
      </c>
      <c r="J3405" s="112" t="s">
        <v>84</v>
      </c>
      <c r="K3405" s="117" t="str">
        <f>CONCATENATE(B3405,"105")</f>
        <v>545105</v>
      </c>
      <c r="L3405" s="2">
        <v>1</v>
      </c>
      <c r="M3405" s="2" t="s">
        <v>84</v>
      </c>
      <c r="N3405" s="2" t="s">
        <v>84</v>
      </c>
      <c r="O3405" s="2" t="s">
        <v>841</v>
      </c>
      <c r="P3405" s="2" t="s">
        <v>2781</v>
      </c>
    </row>
    <row r="3406" spans="1:16" ht="22" customHeight="1" x14ac:dyDescent="0.15">
      <c r="A3406" s="10" t="str">
        <f t="shared" si="524"/>
        <v>545_10_28_10_polygon</v>
      </c>
      <c r="B3406" s="2">
        <v>545</v>
      </c>
      <c r="C3406" s="30" t="str">
        <f>VLOOKUP(B3406,gachas!A:C,3)</f>
        <v>バグUPセレクション</v>
      </c>
      <c r="D3406" s="21">
        <v>10</v>
      </c>
      <c r="E3406" s="2">
        <f t="shared" si="526"/>
        <v>28</v>
      </c>
      <c r="F3406" s="2">
        <v>10</v>
      </c>
      <c r="G3406" s="3" t="s">
        <v>22</v>
      </c>
      <c r="H3406" s="2">
        <v>50</v>
      </c>
      <c r="I3406" s="117" t="str">
        <f t="shared" si="527"/>
        <v>545100</v>
      </c>
      <c r="J3406" s="112" t="s">
        <v>84</v>
      </c>
      <c r="K3406" s="2" t="s">
        <v>84</v>
      </c>
      <c r="L3406" s="2">
        <v>0</v>
      </c>
      <c r="M3406" s="2" t="s">
        <v>84</v>
      </c>
      <c r="N3406" s="2" t="s">
        <v>84</v>
      </c>
      <c r="O3406" s="2" t="s">
        <v>841</v>
      </c>
      <c r="P3406" s="2" t="s">
        <v>2637</v>
      </c>
    </row>
    <row r="3407" spans="1:16" ht="22" customHeight="1" x14ac:dyDescent="0.15">
      <c r="A3407" s="10" t="str">
        <f t="shared" si="524"/>
        <v>545_10_29_10_polygon</v>
      </c>
      <c r="B3407" s="2">
        <v>545</v>
      </c>
      <c r="C3407" s="30" t="str">
        <f>VLOOKUP(B3407,gachas!A:C,3)</f>
        <v>バグUPセレクション</v>
      </c>
      <c r="D3407" s="21">
        <v>10</v>
      </c>
      <c r="E3407" s="2">
        <f t="shared" si="526"/>
        <v>29</v>
      </c>
      <c r="F3407" s="2">
        <v>10</v>
      </c>
      <c r="G3407" s="3" t="s">
        <v>22</v>
      </c>
      <c r="H3407" s="2">
        <v>50</v>
      </c>
      <c r="I3407" s="117" t="str">
        <f t="shared" si="527"/>
        <v>545100</v>
      </c>
      <c r="J3407" s="112" t="s">
        <v>84</v>
      </c>
      <c r="K3407" s="2" t="s">
        <v>84</v>
      </c>
      <c r="L3407" s="2">
        <v>0</v>
      </c>
      <c r="M3407" s="2" t="s">
        <v>84</v>
      </c>
      <c r="N3407" s="2" t="s">
        <v>84</v>
      </c>
      <c r="O3407" s="2" t="s">
        <v>841</v>
      </c>
      <c r="P3407" s="2" t="s">
        <v>2637</v>
      </c>
    </row>
    <row r="3408" spans="1:16" ht="22" customHeight="1" x14ac:dyDescent="0.15">
      <c r="A3408" s="10" t="str">
        <f t="shared" si="524"/>
        <v>545_10_30_10_polygon</v>
      </c>
      <c r="B3408" s="2">
        <v>545</v>
      </c>
      <c r="C3408" s="30" t="str">
        <f>VLOOKUP(B3408,gachas!A:C,3)</f>
        <v>バグUPセレクション</v>
      </c>
      <c r="D3408" s="21">
        <v>10</v>
      </c>
      <c r="E3408" s="2">
        <f t="shared" si="526"/>
        <v>30</v>
      </c>
      <c r="F3408" s="2">
        <v>10</v>
      </c>
      <c r="G3408" s="3" t="s">
        <v>22</v>
      </c>
      <c r="H3408" s="2">
        <v>50</v>
      </c>
      <c r="I3408" s="117" t="str">
        <f t="shared" si="527"/>
        <v>545100</v>
      </c>
      <c r="J3408" s="112" t="s">
        <v>84</v>
      </c>
      <c r="K3408" s="117" t="str">
        <f>CONCATENATE(B3408,"105")</f>
        <v>545105</v>
      </c>
      <c r="L3408" s="2">
        <v>1</v>
      </c>
      <c r="M3408" s="2" t="s">
        <v>84</v>
      </c>
      <c r="N3408" s="2" t="s">
        <v>84</v>
      </c>
      <c r="O3408" s="2" t="s">
        <v>841</v>
      </c>
      <c r="P3408" s="2" t="s">
        <v>2781</v>
      </c>
    </row>
    <row r="3409" spans="1:16" ht="22" customHeight="1" x14ac:dyDescent="0.15">
      <c r="A3409" s="10" t="str">
        <f t="shared" si="524"/>
        <v>546_1_0_1_polygon</v>
      </c>
      <c r="B3409" s="2">
        <v>546</v>
      </c>
      <c r="C3409" s="30" t="str">
        <f>VLOOKUP(B3409,gachas!A:C,3)</f>
        <v>アビリティピックアップ（お邪魔ブレイク）</v>
      </c>
      <c r="D3409" s="21">
        <v>1</v>
      </c>
      <c r="E3409" s="2">
        <v>0</v>
      </c>
      <c r="F3409" s="2">
        <v>1</v>
      </c>
      <c r="G3409" s="3" t="s">
        <v>22</v>
      </c>
      <c r="H3409" s="2">
        <v>5</v>
      </c>
      <c r="I3409" s="114" t="str">
        <f t="shared" ref="I3409:I3460" si="528">CONCATENATE(B3409,IF(D3409=1,"01","10"),0)</f>
        <v>546010</v>
      </c>
      <c r="J3409" s="112" t="s">
        <v>84</v>
      </c>
      <c r="K3409" s="112" t="s">
        <v>84</v>
      </c>
      <c r="L3409" s="2">
        <v>0</v>
      </c>
      <c r="M3409" s="2" t="s">
        <v>84</v>
      </c>
      <c r="N3409" s="2" t="s">
        <v>84</v>
      </c>
      <c r="O3409" s="2" t="s">
        <v>841</v>
      </c>
      <c r="P3409" s="18" t="s">
        <v>84</v>
      </c>
    </row>
    <row r="3410" spans="1:16" ht="22" customHeight="1" x14ac:dyDescent="0.15">
      <c r="A3410" s="10" t="str">
        <f t="shared" si="524"/>
        <v>546_10_0_10_polygon</v>
      </c>
      <c r="B3410" s="2">
        <v>546</v>
      </c>
      <c r="C3410" s="30" t="str">
        <f>VLOOKUP(B3410,gachas!A:C,3)</f>
        <v>アビリティピックアップ（お邪魔ブレイク）</v>
      </c>
      <c r="D3410" s="21">
        <v>10</v>
      </c>
      <c r="E3410" s="2">
        <v>0</v>
      </c>
      <c r="F3410" s="2">
        <v>10</v>
      </c>
      <c r="G3410" s="3" t="s">
        <v>22</v>
      </c>
      <c r="H3410" s="2">
        <v>50</v>
      </c>
      <c r="I3410" s="114" t="str">
        <f t="shared" si="528"/>
        <v>546100</v>
      </c>
      <c r="J3410" s="112" t="s">
        <v>84</v>
      </c>
      <c r="K3410" s="112" t="s">
        <v>84</v>
      </c>
      <c r="L3410" s="2">
        <v>0</v>
      </c>
      <c r="M3410" s="2" t="s">
        <v>84</v>
      </c>
      <c r="N3410" s="2" t="s">
        <v>84</v>
      </c>
      <c r="O3410" s="2" t="s">
        <v>841</v>
      </c>
      <c r="P3410" s="2" t="s">
        <v>143</v>
      </c>
    </row>
    <row r="3411" spans="1:16" ht="22" customHeight="1" x14ac:dyDescent="0.15">
      <c r="A3411" s="10" t="str">
        <f t="shared" si="524"/>
        <v>546_10_1_10_polygon</v>
      </c>
      <c r="B3411" s="2">
        <v>546</v>
      </c>
      <c r="C3411" s="30" t="str">
        <f>VLOOKUP(B3411,gachas!A:C,3)</f>
        <v>アビリティピックアップ（お邪魔ブレイク）</v>
      </c>
      <c r="D3411" s="21">
        <v>10</v>
      </c>
      <c r="E3411" s="2">
        <f>E3410+1</f>
        <v>1</v>
      </c>
      <c r="F3411" s="2">
        <v>10</v>
      </c>
      <c r="G3411" s="3" t="s">
        <v>22</v>
      </c>
      <c r="H3411" s="2">
        <v>25</v>
      </c>
      <c r="I3411" s="114" t="str">
        <f t="shared" si="528"/>
        <v>546100</v>
      </c>
      <c r="J3411" s="112" t="s">
        <v>84</v>
      </c>
      <c r="K3411" s="2" t="s">
        <v>84</v>
      </c>
      <c r="L3411" s="2">
        <v>0</v>
      </c>
      <c r="M3411" s="2" t="s">
        <v>84</v>
      </c>
      <c r="N3411" s="2" t="s">
        <v>84</v>
      </c>
      <c r="O3411" s="2" t="s">
        <v>841</v>
      </c>
      <c r="P3411" s="59" t="s">
        <v>1783</v>
      </c>
    </row>
    <row r="3412" spans="1:16" ht="22" customHeight="1" x14ac:dyDescent="0.15">
      <c r="A3412" s="10" t="str">
        <f t="shared" si="524"/>
        <v>546_10_2_10_polygon</v>
      </c>
      <c r="B3412" s="2">
        <v>546</v>
      </c>
      <c r="C3412" s="30" t="str">
        <f>VLOOKUP(B3412,gachas!A:C,3)</f>
        <v>アビリティピックアップ（お邪魔ブレイク）</v>
      </c>
      <c r="D3412" s="21">
        <v>10</v>
      </c>
      <c r="E3412" s="2">
        <f t="shared" ref="E3412:E3460" si="529">E3411+1</f>
        <v>2</v>
      </c>
      <c r="F3412" s="2">
        <v>10</v>
      </c>
      <c r="G3412" s="3" t="s">
        <v>22</v>
      </c>
      <c r="H3412" s="2">
        <v>50</v>
      </c>
      <c r="I3412" s="114" t="str">
        <f t="shared" si="528"/>
        <v>546100</v>
      </c>
      <c r="J3412" s="112" t="s">
        <v>84</v>
      </c>
      <c r="K3412" s="2" t="s">
        <v>84</v>
      </c>
      <c r="L3412" s="2">
        <v>0</v>
      </c>
      <c r="M3412" s="2" t="s">
        <v>84</v>
      </c>
      <c r="N3412" s="2" t="s">
        <v>84</v>
      </c>
      <c r="O3412" s="2" t="s">
        <v>841</v>
      </c>
      <c r="P3412" s="2" t="s">
        <v>143</v>
      </c>
    </row>
    <row r="3413" spans="1:16" ht="22" customHeight="1" x14ac:dyDescent="0.15">
      <c r="A3413" s="10" t="str">
        <f t="shared" si="524"/>
        <v>546_10_3_10_polygon</v>
      </c>
      <c r="B3413" s="2">
        <v>546</v>
      </c>
      <c r="C3413" s="30" t="str">
        <f>VLOOKUP(B3413,gachas!A:C,3)</f>
        <v>アビリティピックアップ（お邪魔ブレイク）</v>
      </c>
      <c r="D3413" s="21">
        <v>10</v>
      </c>
      <c r="E3413" s="2">
        <f t="shared" si="529"/>
        <v>3</v>
      </c>
      <c r="F3413" s="2">
        <v>10</v>
      </c>
      <c r="G3413" s="3" t="s">
        <v>22</v>
      </c>
      <c r="H3413" s="2">
        <v>50</v>
      </c>
      <c r="I3413" s="114" t="str">
        <f t="shared" si="528"/>
        <v>546100</v>
      </c>
      <c r="J3413" s="112" t="s">
        <v>84</v>
      </c>
      <c r="K3413" s="2" t="s">
        <v>84</v>
      </c>
      <c r="L3413" s="2">
        <v>0</v>
      </c>
      <c r="M3413" s="2" t="s">
        <v>84</v>
      </c>
      <c r="N3413" s="2" t="s">
        <v>84</v>
      </c>
      <c r="O3413" s="2" t="s">
        <v>841</v>
      </c>
      <c r="P3413" s="2" t="s">
        <v>143</v>
      </c>
    </row>
    <row r="3414" spans="1:16" ht="22" customHeight="1" x14ac:dyDescent="0.15">
      <c r="A3414" s="10" t="str">
        <f t="shared" si="524"/>
        <v>546_10_4_10_polygon</v>
      </c>
      <c r="B3414" s="2">
        <v>546</v>
      </c>
      <c r="C3414" s="30" t="str">
        <f>VLOOKUP(B3414,gachas!A:C,3)</f>
        <v>アビリティピックアップ（お邪魔ブレイク）</v>
      </c>
      <c r="D3414" s="21">
        <v>10</v>
      </c>
      <c r="E3414" s="2">
        <f t="shared" si="529"/>
        <v>4</v>
      </c>
      <c r="F3414" s="2">
        <v>10</v>
      </c>
      <c r="G3414" s="3" t="s">
        <v>22</v>
      </c>
      <c r="H3414" s="2">
        <v>50</v>
      </c>
      <c r="I3414" s="114" t="str">
        <f t="shared" si="528"/>
        <v>546100</v>
      </c>
      <c r="J3414" s="112" t="s">
        <v>84</v>
      </c>
      <c r="K3414" s="2" t="s">
        <v>84</v>
      </c>
      <c r="L3414" s="2">
        <v>0</v>
      </c>
      <c r="M3414" s="2" t="s">
        <v>84</v>
      </c>
      <c r="N3414" s="2" t="s">
        <v>84</v>
      </c>
      <c r="O3414" s="2" t="s">
        <v>841</v>
      </c>
      <c r="P3414" s="2" t="s">
        <v>143</v>
      </c>
    </row>
    <row r="3415" spans="1:16" ht="22" customHeight="1" x14ac:dyDescent="0.15">
      <c r="A3415" s="10" t="str">
        <f t="shared" si="524"/>
        <v>546_10_5_10_polygon</v>
      </c>
      <c r="B3415" s="2">
        <v>546</v>
      </c>
      <c r="C3415" s="30" t="str">
        <f>VLOOKUP(B3415,gachas!A:C,3)</f>
        <v>アビリティピックアップ（お邪魔ブレイク）</v>
      </c>
      <c r="D3415" s="21">
        <v>10</v>
      </c>
      <c r="E3415" s="2">
        <f t="shared" si="529"/>
        <v>5</v>
      </c>
      <c r="F3415" s="2">
        <v>10</v>
      </c>
      <c r="G3415" s="3" t="s">
        <v>22</v>
      </c>
      <c r="H3415" s="2">
        <v>50</v>
      </c>
      <c r="I3415" s="114" t="str">
        <f t="shared" si="528"/>
        <v>546100</v>
      </c>
      <c r="J3415" s="112" t="s">
        <v>84</v>
      </c>
      <c r="K3415" s="117" t="str">
        <f>CONCATENATE(B3415,"100")</f>
        <v>546100</v>
      </c>
      <c r="L3415" s="2">
        <v>1</v>
      </c>
      <c r="M3415" s="2" t="s">
        <v>84</v>
      </c>
      <c r="N3415" s="2" t="s">
        <v>84</v>
      </c>
      <c r="O3415" s="2" t="s">
        <v>841</v>
      </c>
      <c r="P3415" s="2" t="s">
        <v>2822</v>
      </c>
    </row>
    <row r="3416" spans="1:16" ht="22" customHeight="1" x14ac:dyDescent="0.15">
      <c r="A3416" s="10" t="str">
        <f t="shared" si="524"/>
        <v>546_10_6_10_polygon</v>
      </c>
      <c r="B3416" s="2">
        <v>546</v>
      </c>
      <c r="C3416" s="30" t="str">
        <f>VLOOKUP(B3416,gachas!A:C,3)</f>
        <v>アビリティピックアップ（お邪魔ブレイク）</v>
      </c>
      <c r="D3416" s="21">
        <v>10</v>
      </c>
      <c r="E3416" s="2">
        <f t="shared" si="529"/>
        <v>6</v>
      </c>
      <c r="F3416" s="2">
        <v>10</v>
      </c>
      <c r="G3416" s="3" t="s">
        <v>22</v>
      </c>
      <c r="H3416" s="2">
        <v>25</v>
      </c>
      <c r="I3416" s="114" t="str">
        <f t="shared" si="528"/>
        <v>546100</v>
      </c>
      <c r="J3416" s="112" t="s">
        <v>84</v>
      </c>
      <c r="K3416" s="2" t="s">
        <v>84</v>
      </c>
      <c r="L3416" s="2">
        <v>0</v>
      </c>
      <c r="M3416" s="2" t="s">
        <v>84</v>
      </c>
      <c r="N3416" s="2" t="s">
        <v>84</v>
      </c>
      <c r="O3416" s="2" t="s">
        <v>841</v>
      </c>
      <c r="P3416" s="59" t="s">
        <v>1783</v>
      </c>
    </row>
    <row r="3417" spans="1:16" ht="22" customHeight="1" x14ac:dyDescent="0.15">
      <c r="A3417" s="10" t="str">
        <f t="shared" si="524"/>
        <v>546_10_7_10_polygon</v>
      </c>
      <c r="B3417" s="2">
        <v>546</v>
      </c>
      <c r="C3417" s="30" t="str">
        <f>VLOOKUP(B3417,gachas!A:C,3)</f>
        <v>アビリティピックアップ（お邪魔ブレイク）</v>
      </c>
      <c r="D3417" s="21">
        <v>10</v>
      </c>
      <c r="E3417" s="2">
        <f t="shared" si="529"/>
        <v>7</v>
      </c>
      <c r="F3417" s="2">
        <v>10</v>
      </c>
      <c r="G3417" s="3" t="s">
        <v>22</v>
      </c>
      <c r="H3417" s="2">
        <v>50</v>
      </c>
      <c r="I3417" s="114" t="str">
        <f t="shared" si="528"/>
        <v>546100</v>
      </c>
      <c r="J3417" s="112" t="s">
        <v>84</v>
      </c>
      <c r="K3417" s="2" t="s">
        <v>84</v>
      </c>
      <c r="L3417" s="2">
        <v>0</v>
      </c>
      <c r="M3417" s="2" t="s">
        <v>84</v>
      </c>
      <c r="N3417" s="2" t="s">
        <v>84</v>
      </c>
      <c r="O3417" s="2" t="s">
        <v>841</v>
      </c>
      <c r="P3417" s="2" t="s">
        <v>143</v>
      </c>
    </row>
    <row r="3418" spans="1:16" ht="22" customHeight="1" x14ac:dyDescent="0.15">
      <c r="A3418" s="10" t="str">
        <f t="shared" si="524"/>
        <v>546_10_8_10_polygon</v>
      </c>
      <c r="B3418" s="2">
        <v>546</v>
      </c>
      <c r="C3418" s="30" t="str">
        <f>VLOOKUP(B3418,gachas!A:C,3)</f>
        <v>アビリティピックアップ（お邪魔ブレイク）</v>
      </c>
      <c r="D3418" s="21">
        <v>10</v>
      </c>
      <c r="E3418" s="2">
        <f t="shared" si="529"/>
        <v>8</v>
      </c>
      <c r="F3418" s="2">
        <v>10</v>
      </c>
      <c r="G3418" s="3" t="s">
        <v>22</v>
      </c>
      <c r="H3418" s="2">
        <v>50</v>
      </c>
      <c r="I3418" s="114" t="str">
        <f t="shared" si="528"/>
        <v>546100</v>
      </c>
      <c r="J3418" s="112" t="s">
        <v>84</v>
      </c>
      <c r="K3418" s="2" t="s">
        <v>84</v>
      </c>
      <c r="L3418" s="2">
        <v>0</v>
      </c>
      <c r="M3418" s="2" t="s">
        <v>84</v>
      </c>
      <c r="N3418" s="2" t="s">
        <v>84</v>
      </c>
      <c r="O3418" s="2" t="s">
        <v>841</v>
      </c>
      <c r="P3418" s="2" t="s">
        <v>143</v>
      </c>
    </row>
    <row r="3419" spans="1:16" ht="22" customHeight="1" x14ac:dyDescent="0.15">
      <c r="A3419" s="10" t="str">
        <f t="shared" si="524"/>
        <v>546_10_9_10_polygon</v>
      </c>
      <c r="B3419" s="2">
        <v>546</v>
      </c>
      <c r="C3419" s="30" t="str">
        <f>VLOOKUP(B3419,gachas!A:C,3)</f>
        <v>アビリティピックアップ（お邪魔ブレイク）</v>
      </c>
      <c r="D3419" s="21">
        <v>10</v>
      </c>
      <c r="E3419" s="2">
        <f t="shared" si="529"/>
        <v>9</v>
      </c>
      <c r="F3419" s="2">
        <v>10</v>
      </c>
      <c r="G3419" s="3" t="s">
        <v>22</v>
      </c>
      <c r="H3419" s="2">
        <v>50</v>
      </c>
      <c r="I3419" s="114" t="str">
        <f t="shared" si="528"/>
        <v>546100</v>
      </c>
      <c r="J3419" s="112" t="s">
        <v>84</v>
      </c>
      <c r="K3419" s="2" t="s">
        <v>84</v>
      </c>
      <c r="L3419" s="2">
        <v>0</v>
      </c>
      <c r="M3419" s="2" t="s">
        <v>84</v>
      </c>
      <c r="N3419" s="2" t="s">
        <v>84</v>
      </c>
      <c r="O3419" s="2" t="s">
        <v>841</v>
      </c>
      <c r="P3419" s="2" t="s">
        <v>143</v>
      </c>
    </row>
    <row r="3420" spans="1:16" ht="22" customHeight="1" x14ac:dyDescent="0.15">
      <c r="A3420" s="10" t="str">
        <f t="shared" si="524"/>
        <v>546_10_10_10_polygon</v>
      </c>
      <c r="B3420" s="2">
        <v>546</v>
      </c>
      <c r="C3420" s="30" t="str">
        <f>VLOOKUP(B3420,gachas!A:C,3)</f>
        <v>アビリティピックアップ（お邪魔ブレイク）</v>
      </c>
      <c r="D3420" s="21">
        <v>10</v>
      </c>
      <c r="E3420" s="2">
        <f t="shared" si="529"/>
        <v>10</v>
      </c>
      <c r="F3420" s="2">
        <v>10</v>
      </c>
      <c r="G3420" s="3" t="s">
        <v>22</v>
      </c>
      <c r="H3420" s="2">
        <v>50</v>
      </c>
      <c r="I3420" s="114" t="str">
        <f t="shared" si="528"/>
        <v>546100</v>
      </c>
      <c r="J3420" s="112" t="s">
        <v>84</v>
      </c>
      <c r="K3420" s="117" t="str">
        <f>CONCATENATE(B3420,"100")</f>
        <v>546100</v>
      </c>
      <c r="L3420" s="2">
        <v>1</v>
      </c>
      <c r="M3420" s="2" t="s">
        <v>84</v>
      </c>
      <c r="N3420" s="2" t="s">
        <v>84</v>
      </c>
      <c r="O3420" s="2" t="s">
        <v>841</v>
      </c>
      <c r="P3420" s="2" t="s">
        <v>2822</v>
      </c>
    </row>
    <row r="3421" spans="1:16" ht="22" customHeight="1" x14ac:dyDescent="0.15">
      <c r="A3421" s="10" t="str">
        <f t="shared" si="524"/>
        <v>546_10_11_10_polygon</v>
      </c>
      <c r="B3421" s="2">
        <v>546</v>
      </c>
      <c r="C3421" s="30" t="str">
        <f>VLOOKUP(B3421,gachas!A:C,3)</f>
        <v>アビリティピックアップ（お邪魔ブレイク）</v>
      </c>
      <c r="D3421" s="21">
        <v>10</v>
      </c>
      <c r="E3421" s="2">
        <f t="shared" si="529"/>
        <v>11</v>
      </c>
      <c r="F3421" s="2">
        <v>10</v>
      </c>
      <c r="G3421" s="3" t="s">
        <v>22</v>
      </c>
      <c r="H3421" s="2">
        <v>25</v>
      </c>
      <c r="I3421" s="114" t="str">
        <f t="shared" si="528"/>
        <v>546100</v>
      </c>
      <c r="J3421" s="112" t="s">
        <v>84</v>
      </c>
      <c r="K3421" s="2" t="s">
        <v>84</v>
      </c>
      <c r="L3421" s="2">
        <v>0</v>
      </c>
      <c r="M3421" s="2" t="s">
        <v>84</v>
      </c>
      <c r="N3421" s="2" t="s">
        <v>84</v>
      </c>
      <c r="O3421" s="2" t="s">
        <v>841</v>
      </c>
      <c r="P3421" s="59" t="s">
        <v>1783</v>
      </c>
    </row>
    <row r="3422" spans="1:16" ht="22" customHeight="1" x14ac:dyDescent="0.15">
      <c r="A3422" s="10" t="str">
        <f t="shared" si="524"/>
        <v>546_10_12_10_polygon</v>
      </c>
      <c r="B3422" s="2">
        <v>546</v>
      </c>
      <c r="C3422" s="30" t="str">
        <f>VLOOKUP(B3422,gachas!A:C,3)</f>
        <v>アビリティピックアップ（お邪魔ブレイク）</v>
      </c>
      <c r="D3422" s="21">
        <v>10</v>
      </c>
      <c r="E3422" s="2">
        <f t="shared" si="529"/>
        <v>12</v>
      </c>
      <c r="F3422" s="2">
        <v>10</v>
      </c>
      <c r="G3422" s="3" t="s">
        <v>22</v>
      </c>
      <c r="H3422" s="2">
        <v>50</v>
      </c>
      <c r="I3422" s="114" t="str">
        <f t="shared" si="528"/>
        <v>546100</v>
      </c>
      <c r="J3422" s="112" t="s">
        <v>84</v>
      </c>
      <c r="K3422" s="2" t="s">
        <v>84</v>
      </c>
      <c r="L3422" s="2">
        <v>0</v>
      </c>
      <c r="M3422" s="2" t="s">
        <v>84</v>
      </c>
      <c r="N3422" s="2" t="s">
        <v>84</v>
      </c>
      <c r="O3422" s="2" t="s">
        <v>841</v>
      </c>
      <c r="P3422" s="2" t="s">
        <v>143</v>
      </c>
    </row>
    <row r="3423" spans="1:16" ht="22" customHeight="1" x14ac:dyDescent="0.15">
      <c r="A3423" s="10" t="str">
        <f t="shared" si="524"/>
        <v>546_10_13_10_polygon</v>
      </c>
      <c r="B3423" s="2">
        <v>546</v>
      </c>
      <c r="C3423" s="30" t="str">
        <f>VLOOKUP(B3423,gachas!A:C,3)</f>
        <v>アビリティピックアップ（お邪魔ブレイク）</v>
      </c>
      <c r="D3423" s="21">
        <v>10</v>
      </c>
      <c r="E3423" s="2">
        <f t="shared" si="529"/>
        <v>13</v>
      </c>
      <c r="F3423" s="2">
        <v>10</v>
      </c>
      <c r="G3423" s="3" t="s">
        <v>22</v>
      </c>
      <c r="H3423" s="2">
        <v>50</v>
      </c>
      <c r="I3423" s="114" t="str">
        <f t="shared" si="528"/>
        <v>546100</v>
      </c>
      <c r="J3423" s="112" t="s">
        <v>84</v>
      </c>
      <c r="K3423" s="2" t="s">
        <v>84</v>
      </c>
      <c r="L3423" s="2">
        <v>0</v>
      </c>
      <c r="M3423" s="2" t="s">
        <v>84</v>
      </c>
      <c r="N3423" s="2" t="s">
        <v>84</v>
      </c>
      <c r="O3423" s="2" t="s">
        <v>841</v>
      </c>
      <c r="P3423" s="2" t="s">
        <v>143</v>
      </c>
    </row>
    <row r="3424" spans="1:16" ht="22" customHeight="1" x14ac:dyDescent="0.15">
      <c r="A3424" s="10" t="str">
        <f t="shared" si="524"/>
        <v>546_10_14_10_polygon</v>
      </c>
      <c r="B3424" s="2">
        <v>546</v>
      </c>
      <c r="C3424" s="30" t="str">
        <f>VLOOKUP(B3424,gachas!A:C,3)</f>
        <v>アビリティピックアップ（お邪魔ブレイク）</v>
      </c>
      <c r="D3424" s="21">
        <v>10</v>
      </c>
      <c r="E3424" s="2">
        <f t="shared" si="529"/>
        <v>14</v>
      </c>
      <c r="F3424" s="2">
        <v>10</v>
      </c>
      <c r="G3424" s="3" t="s">
        <v>22</v>
      </c>
      <c r="H3424" s="2">
        <v>50</v>
      </c>
      <c r="I3424" s="114" t="str">
        <f t="shared" si="528"/>
        <v>546100</v>
      </c>
      <c r="J3424" s="112" t="s">
        <v>84</v>
      </c>
      <c r="K3424" s="2" t="s">
        <v>84</v>
      </c>
      <c r="L3424" s="2">
        <v>0</v>
      </c>
      <c r="M3424" s="2" t="s">
        <v>84</v>
      </c>
      <c r="N3424" s="2" t="s">
        <v>84</v>
      </c>
      <c r="O3424" s="2" t="s">
        <v>841</v>
      </c>
      <c r="P3424" s="2" t="s">
        <v>143</v>
      </c>
    </row>
    <row r="3425" spans="1:16" ht="22" customHeight="1" x14ac:dyDescent="0.15">
      <c r="A3425" s="10" t="str">
        <f t="shared" si="524"/>
        <v>546_10_15_10_polygon</v>
      </c>
      <c r="B3425" s="2">
        <v>546</v>
      </c>
      <c r="C3425" s="30" t="str">
        <f>VLOOKUP(B3425,gachas!A:C,3)</f>
        <v>アビリティピックアップ（お邪魔ブレイク）</v>
      </c>
      <c r="D3425" s="21">
        <v>10</v>
      </c>
      <c r="E3425" s="2">
        <f t="shared" si="529"/>
        <v>15</v>
      </c>
      <c r="F3425" s="2">
        <v>10</v>
      </c>
      <c r="G3425" s="3" t="s">
        <v>22</v>
      </c>
      <c r="H3425" s="2">
        <v>50</v>
      </c>
      <c r="I3425" s="114" t="str">
        <f t="shared" si="528"/>
        <v>546100</v>
      </c>
      <c r="J3425" s="112" t="s">
        <v>84</v>
      </c>
      <c r="K3425" s="117" t="str">
        <f>CONCATENATE(B3425,"100")</f>
        <v>546100</v>
      </c>
      <c r="L3425" s="2">
        <v>1</v>
      </c>
      <c r="M3425" s="2" t="s">
        <v>84</v>
      </c>
      <c r="N3425" s="2" t="s">
        <v>84</v>
      </c>
      <c r="O3425" s="2" t="s">
        <v>841</v>
      </c>
      <c r="P3425" s="2" t="s">
        <v>2822</v>
      </c>
    </row>
    <row r="3426" spans="1:16" ht="22" customHeight="1" x14ac:dyDescent="0.15">
      <c r="A3426" s="10" t="str">
        <f t="shared" si="524"/>
        <v>546_10_16_10_polygon</v>
      </c>
      <c r="B3426" s="2">
        <v>546</v>
      </c>
      <c r="C3426" s="30" t="str">
        <f>VLOOKUP(B3426,gachas!A:C,3)</f>
        <v>アビリティピックアップ（お邪魔ブレイク）</v>
      </c>
      <c r="D3426" s="21">
        <v>10</v>
      </c>
      <c r="E3426" s="2">
        <f t="shared" si="529"/>
        <v>16</v>
      </c>
      <c r="F3426" s="2">
        <v>10</v>
      </c>
      <c r="G3426" s="3" t="s">
        <v>22</v>
      </c>
      <c r="H3426" s="2">
        <v>25</v>
      </c>
      <c r="I3426" s="114" t="str">
        <f t="shared" si="528"/>
        <v>546100</v>
      </c>
      <c r="J3426" s="112" t="s">
        <v>84</v>
      </c>
      <c r="K3426" s="2" t="s">
        <v>84</v>
      </c>
      <c r="L3426" s="2">
        <v>0</v>
      </c>
      <c r="M3426" s="2" t="s">
        <v>84</v>
      </c>
      <c r="N3426" s="2" t="s">
        <v>84</v>
      </c>
      <c r="O3426" s="2" t="s">
        <v>841</v>
      </c>
      <c r="P3426" s="59" t="s">
        <v>1783</v>
      </c>
    </row>
    <row r="3427" spans="1:16" ht="22" customHeight="1" x14ac:dyDescent="0.15">
      <c r="A3427" s="10" t="str">
        <f t="shared" si="524"/>
        <v>546_10_17_10_polygon</v>
      </c>
      <c r="B3427" s="2">
        <v>546</v>
      </c>
      <c r="C3427" s="30" t="str">
        <f>VLOOKUP(B3427,gachas!A:C,3)</f>
        <v>アビリティピックアップ（お邪魔ブレイク）</v>
      </c>
      <c r="D3427" s="21">
        <v>10</v>
      </c>
      <c r="E3427" s="2">
        <f t="shared" si="529"/>
        <v>17</v>
      </c>
      <c r="F3427" s="2">
        <v>10</v>
      </c>
      <c r="G3427" s="3" t="s">
        <v>22</v>
      </c>
      <c r="H3427" s="2">
        <v>50</v>
      </c>
      <c r="I3427" s="114" t="str">
        <f t="shared" si="528"/>
        <v>546100</v>
      </c>
      <c r="J3427" s="112" t="s">
        <v>84</v>
      </c>
      <c r="K3427" s="2" t="s">
        <v>84</v>
      </c>
      <c r="L3427" s="2">
        <v>0</v>
      </c>
      <c r="M3427" s="2" t="s">
        <v>84</v>
      </c>
      <c r="N3427" s="2" t="s">
        <v>84</v>
      </c>
      <c r="O3427" s="2" t="s">
        <v>841</v>
      </c>
      <c r="P3427" s="2" t="s">
        <v>143</v>
      </c>
    </row>
    <row r="3428" spans="1:16" ht="22" customHeight="1" x14ac:dyDescent="0.15">
      <c r="A3428" s="10" t="str">
        <f t="shared" si="524"/>
        <v>546_10_18_10_polygon</v>
      </c>
      <c r="B3428" s="2">
        <v>546</v>
      </c>
      <c r="C3428" s="30" t="str">
        <f>VLOOKUP(B3428,gachas!A:C,3)</f>
        <v>アビリティピックアップ（お邪魔ブレイク）</v>
      </c>
      <c r="D3428" s="21">
        <v>10</v>
      </c>
      <c r="E3428" s="2">
        <f t="shared" si="529"/>
        <v>18</v>
      </c>
      <c r="F3428" s="2">
        <v>10</v>
      </c>
      <c r="G3428" s="3" t="s">
        <v>22</v>
      </c>
      <c r="H3428" s="2">
        <v>50</v>
      </c>
      <c r="I3428" s="114" t="str">
        <f t="shared" si="528"/>
        <v>546100</v>
      </c>
      <c r="J3428" s="112" t="s">
        <v>84</v>
      </c>
      <c r="K3428" s="2" t="s">
        <v>84</v>
      </c>
      <c r="L3428" s="2">
        <v>0</v>
      </c>
      <c r="M3428" s="2" t="s">
        <v>84</v>
      </c>
      <c r="N3428" s="2" t="s">
        <v>84</v>
      </c>
      <c r="O3428" s="2" t="s">
        <v>841</v>
      </c>
      <c r="P3428" s="2" t="s">
        <v>143</v>
      </c>
    </row>
    <row r="3429" spans="1:16" ht="22" customHeight="1" x14ac:dyDescent="0.15">
      <c r="A3429" s="10" t="str">
        <f t="shared" si="524"/>
        <v>546_10_19_10_polygon</v>
      </c>
      <c r="B3429" s="2">
        <v>546</v>
      </c>
      <c r="C3429" s="30" t="str">
        <f>VLOOKUP(B3429,gachas!A:C,3)</f>
        <v>アビリティピックアップ（お邪魔ブレイク）</v>
      </c>
      <c r="D3429" s="21">
        <v>10</v>
      </c>
      <c r="E3429" s="2">
        <f t="shared" si="529"/>
        <v>19</v>
      </c>
      <c r="F3429" s="2">
        <v>10</v>
      </c>
      <c r="G3429" s="3" t="s">
        <v>22</v>
      </c>
      <c r="H3429" s="2">
        <v>50</v>
      </c>
      <c r="I3429" s="114" t="str">
        <f t="shared" si="528"/>
        <v>546100</v>
      </c>
      <c r="J3429" s="112" t="s">
        <v>84</v>
      </c>
      <c r="K3429" s="2" t="s">
        <v>84</v>
      </c>
      <c r="L3429" s="2">
        <v>0</v>
      </c>
      <c r="M3429" s="2" t="s">
        <v>84</v>
      </c>
      <c r="N3429" s="2" t="s">
        <v>84</v>
      </c>
      <c r="O3429" s="2" t="s">
        <v>841</v>
      </c>
      <c r="P3429" s="2" t="s">
        <v>143</v>
      </c>
    </row>
    <row r="3430" spans="1:16" ht="22" customHeight="1" x14ac:dyDescent="0.15">
      <c r="A3430" s="10" t="str">
        <f t="shared" si="524"/>
        <v>546_10_20_10_polygon</v>
      </c>
      <c r="B3430" s="2">
        <v>546</v>
      </c>
      <c r="C3430" s="30" t="str">
        <f>VLOOKUP(B3430,gachas!A:C,3)</f>
        <v>アビリティピックアップ（お邪魔ブレイク）</v>
      </c>
      <c r="D3430" s="21">
        <v>10</v>
      </c>
      <c r="E3430" s="2">
        <f t="shared" si="529"/>
        <v>20</v>
      </c>
      <c r="F3430" s="2">
        <v>10</v>
      </c>
      <c r="G3430" s="3" t="s">
        <v>22</v>
      </c>
      <c r="H3430" s="2">
        <v>50</v>
      </c>
      <c r="I3430" s="114" t="str">
        <f t="shared" si="528"/>
        <v>546100</v>
      </c>
      <c r="J3430" s="112" t="s">
        <v>84</v>
      </c>
      <c r="K3430" s="117" t="str">
        <f>CONCATENATE(B3430,"100")</f>
        <v>546100</v>
      </c>
      <c r="L3430" s="2">
        <v>1</v>
      </c>
      <c r="M3430" s="2" t="s">
        <v>84</v>
      </c>
      <c r="N3430" s="2" t="s">
        <v>84</v>
      </c>
      <c r="O3430" s="2" t="s">
        <v>841</v>
      </c>
      <c r="P3430" s="2" t="s">
        <v>2822</v>
      </c>
    </row>
    <row r="3431" spans="1:16" ht="22" customHeight="1" x14ac:dyDescent="0.15">
      <c r="A3431" s="10" t="str">
        <f t="shared" si="524"/>
        <v>546_10_21_10_polygon</v>
      </c>
      <c r="B3431" s="2">
        <v>546</v>
      </c>
      <c r="C3431" s="30" t="str">
        <f>VLOOKUP(B3431,gachas!A:C,3)</f>
        <v>アビリティピックアップ（お邪魔ブレイク）</v>
      </c>
      <c r="D3431" s="21">
        <v>10</v>
      </c>
      <c r="E3431" s="2">
        <f t="shared" si="529"/>
        <v>21</v>
      </c>
      <c r="F3431" s="2">
        <v>10</v>
      </c>
      <c r="G3431" s="3" t="s">
        <v>22</v>
      </c>
      <c r="H3431" s="2">
        <v>25</v>
      </c>
      <c r="I3431" s="114" t="str">
        <f t="shared" si="528"/>
        <v>546100</v>
      </c>
      <c r="J3431" s="112" t="s">
        <v>84</v>
      </c>
      <c r="K3431" s="2" t="s">
        <v>84</v>
      </c>
      <c r="L3431" s="2">
        <v>0</v>
      </c>
      <c r="M3431" s="2" t="s">
        <v>84</v>
      </c>
      <c r="N3431" s="2" t="s">
        <v>84</v>
      </c>
      <c r="O3431" s="2" t="s">
        <v>841</v>
      </c>
      <c r="P3431" s="59" t="s">
        <v>1783</v>
      </c>
    </row>
    <row r="3432" spans="1:16" ht="22" customHeight="1" x14ac:dyDescent="0.15">
      <c r="A3432" s="10" t="str">
        <f t="shared" ref="A3432:A3496" si="530">B3432&amp;"_"&amp;D3432&amp;"_"&amp;E3432&amp;"_"&amp;F3432&amp;"_"&amp;G3432</f>
        <v>546_10_22_10_polygon</v>
      </c>
      <c r="B3432" s="2">
        <v>546</v>
      </c>
      <c r="C3432" s="30" t="str">
        <f>VLOOKUP(B3432,gachas!A:C,3)</f>
        <v>アビリティピックアップ（お邪魔ブレイク）</v>
      </c>
      <c r="D3432" s="21">
        <v>10</v>
      </c>
      <c r="E3432" s="2">
        <f t="shared" si="529"/>
        <v>22</v>
      </c>
      <c r="F3432" s="2">
        <v>10</v>
      </c>
      <c r="G3432" s="3" t="s">
        <v>22</v>
      </c>
      <c r="H3432" s="2">
        <v>50</v>
      </c>
      <c r="I3432" s="114" t="str">
        <f t="shared" si="528"/>
        <v>546100</v>
      </c>
      <c r="J3432" s="112" t="s">
        <v>84</v>
      </c>
      <c r="K3432" s="2" t="s">
        <v>84</v>
      </c>
      <c r="L3432" s="2">
        <v>0</v>
      </c>
      <c r="M3432" s="2" t="s">
        <v>84</v>
      </c>
      <c r="N3432" s="2" t="s">
        <v>84</v>
      </c>
      <c r="O3432" s="2" t="s">
        <v>841</v>
      </c>
      <c r="P3432" s="2" t="s">
        <v>143</v>
      </c>
    </row>
    <row r="3433" spans="1:16" ht="22" customHeight="1" x14ac:dyDescent="0.15">
      <c r="A3433" s="10" t="str">
        <f t="shared" si="530"/>
        <v>546_10_23_10_polygon</v>
      </c>
      <c r="B3433" s="2">
        <v>546</v>
      </c>
      <c r="C3433" s="30" t="str">
        <f>VLOOKUP(B3433,gachas!A:C,3)</f>
        <v>アビリティピックアップ（お邪魔ブレイク）</v>
      </c>
      <c r="D3433" s="21">
        <v>10</v>
      </c>
      <c r="E3433" s="2">
        <f t="shared" si="529"/>
        <v>23</v>
      </c>
      <c r="F3433" s="2">
        <v>10</v>
      </c>
      <c r="G3433" s="3" t="s">
        <v>22</v>
      </c>
      <c r="H3433" s="2">
        <v>50</v>
      </c>
      <c r="I3433" s="114" t="str">
        <f t="shared" si="528"/>
        <v>546100</v>
      </c>
      <c r="J3433" s="112" t="s">
        <v>84</v>
      </c>
      <c r="K3433" s="2" t="s">
        <v>84</v>
      </c>
      <c r="L3433" s="2">
        <v>0</v>
      </c>
      <c r="M3433" s="2" t="s">
        <v>84</v>
      </c>
      <c r="N3433" s="2" t="s">
        <v>84</v>
      </c>
      <c r="O3433" s="2" t="s">
        <v>841</v>
      </c>
      <c r="P3433" s="2" t="s">
        <v>143</v>
      </c>
    </row>
    <row r="3434" spans="1:16" ht="22" customHeight="1" x14ac:dyDescent="0.15">
      <c r="A3434" s="10" t="str">
        <f t="shared" si="530"/>
        <v>546_10_24_10_polygon</v>
      </c>
      <c r="B3434" s="2">
        <v>546</v>
      </c>
      <c r="C3434" s="30" t="str">
        <f>VLOOKUP(B3434,gachas!A:C,3)</f>
        <v>アビリティピックアップ（お邪魔ブレイク）</v>
      </c>
      <c r="D3434" s="21">
        <v>10</v>
      </c>
      <c r="E3434" s="2">
        <f t="shared" si="529"/>
        <v>24</v>
      </c>
      <c r="F3434" s="2">
        <v>10</v>
      </c>
      <c r="G3434" s="3" t="s">
        <v>22</v>
      </c>
      <c r="H3434" s="2">
        <v>50</v>
      </c>
      <c r="I3434" s="114" t="str">
        <f t="shared" si="528"/>
        <v>546100</v>
      </c>
      <c r="J3434" s="112" t="s">
        <v>84</v>
      </c>
      <c r="K3434" s="2" t="s">
        <v>84</v>
      </c>
      <c r="L3434" s="2">
        <v>0</v>
      </c>
      <c r="M3434" s="2" t="s">
        <v>84</v>
      </c>
      <c r="N3434" s="2" t="s">
        <v>84</v>
      </c>
      <c r="O3434" s="2" t="s">
        <v>841</v>
      </c>
      <c r="P3434" s="2" t="s">
        <v>143</v>
      </c>
    </row>
    <row r="3435" spans="1:16" ht="22" customHeight="1" x14ac:dyDescent="0.15">
      <c r="A3435" s="10" t="str">
        <f t="shared" si="530"/>
        <v>546_10_25_10_polygon</v>
      </c>
      <c r="B3435" s="2">
        <v>546</v>
      </c>
      <c r="C3435" s="30" t="str">
        <f>VLOOKUP(B3435,gachas!A:C,3)</f>
        <v>アビリティピックアップ（お邪魔ブレイク）</v>
      </c>
      <c r="D3435" s="21">
        <v>10</v>
      </c>
      <c r="E3435" s="2">
        <f t="shared" si="529"/>
        <v>25</v>
      </c>
      <c r="F3435" s="2">
        <v>10</v>
      </c>
      <c r="G3435" s="3" t="s">
        <v>22</v>
      </c>
      <c r="H3435" s="2">
        <v>50</v>
      </c>
      <c r="I3435" s="114" t="str">
        <f t="shared" si="528"/>
        <v>546100</v>
      </c>
      <c r="J3435" s="112" t="s">
        <v>84</v>
      </c>
      <c r="K3435" s="117" t="str">
        <f>CONCATENATE(B3435,"100")</f>
        <v>546100</v>
      </c>
      <c r="L3435" s="2">
        <v>1</v>
      </c>
      <c r="M3435" s="2" t="s">
        <v>84</v>
      </c>
      <c r="N3435" s="2" t="s">
        <v>84</v>
      </c>
      <c r="O3435" s="2" t="s">
        <v>841</v>
      </c>
      <c r="P3435" s="2" t="s">
        <v>2822</v>
      </c>
    </row>
    <row r="3436" spans="1:16" ht="22" customHeight="1" x14ac:dyDescent="0.15">
      <c r="A3436" s="10" t="str">
        <f t="shared" si="530"/>
        <v>546_10_26_10_polygon</v>
      </c>
      <c r="B3436" s="2">
        <v>546</v>
      </c>
      <c r="C3436" s="30" t="str">
        <f>VLOOKUP(B3436,gachas!A:C,3)</f>
        <v>アビリティピックアップ（お邪魔ブレイク）</v>
      </c>
      <c r="D3436" s="21">
        <v>10</v>
      </c>
      <c r="E3436" s="2">
        <f t="shared" si="529"/>
        <v>26</v>
      </c>
      <c r="F3436" s="2">
        <v>10</v>
      </c>
      <c r="G3436" s="3" t="s">
        <v>22</v>
      </c>
      <c r="H3436" s="2">
        <v>25</v>
      </c>
      <c r="I3436" s="114" t="str">
        <f t="shared" si="528"/>
        <v>546100</v>
      </c>
      <c r="J3436" s="112" t="s">
        <v>84</v>
      </c>
      <c r="K3436" s="2" t="s">
        <v>84</v>
      </c>
      <c r="L3436" s="2">
        <v>0</v>
      </c>
      <c r="M3436" s="2" t="s">
        <v>84</v>
      </c>
      <c r="N3436" s="2" t="s">
        <v>84</v>
      </c>
      <c r="O3436" s="2" t="s">
        <v>841</v>
      </c>
      <c r="P3436" s="59" t="s">
        <v>1783</v>
      </c>
    </row>
    <row r="3437" spans="1:16" ht="22" customHeight="1" x14ac:dyDescent="0.15">
      <c r="A3437" s="10" t="str">
        <f t="shared" si="530"/>
        <v>546_10_27_10_polygon</v>
      </c>
      <c r="B3437" s="2">
        <v>546</v>
      </c>
      <c r="C3437" s="30" t="str">
        <f>VLOOKUP(B3437,gachas!A:C,3)</f>
        <v>アビリティピックアップ（お邪魔ブレイク）</v>
      </c>
      <c r="D3437" s="21">
        <v>10</v>
      </c>
      <c r="E3437" s="2">
        <f t="shared" si="529"/>
        <v>27</v>
      </c>
      <c r="F3437" s="2">
        <v>10</v>
      </c>
      <c r="G3437" s="3" t="s">
        <v>22</v>
      </c>
      <c r="H3437" s="2">
        <v>50</v>
      </c>
      <c r="I3437" s="114" t="str">
        <f t="shared" si="528"/>
        <v>546100</v>
      </c>
      <c r="J3437" s="112" t="s">
        <v>84</v>
      </c>
      <c r="K3437" s="2" t="s">
        <v>84</v>
      </c>
      <c r="L3437" s="2">
        <v>0</v>
      </c>
      <c r="M3437" s="2" t="s">
        <v>84</v>
      </c>
      <c r="N3437" s="2" t="s">
        <v>84</v>
      </c>
      <c r="O3437" s="2" t="s">
        <v>841</v>
      </c>
      <c r="P3437" s="2" t="s">
        <v>143</v>
      </c>
    </row>
    <row r="3438" spans="1:16" ht="22" customHeight="1" x14ac:dyDescent="0.15">
      <c r="A3438" s="10" t="str">
        <f t="shared" si="530"/>
        <v>546_10_28_10_polygon</v>
      </c>
      <c r="B3438" s="2">
        <v>546</v>
      </c>
      <c r="C3438" s="30" t="str">
        <f>VLOOKUP(B3438,gachas!A:C,3)</f>
        <v>アビリティピックアップ（お邪魔ブレイク）</v>
      </c>
      <c r="D3438" s="21">
        <v>10</v>
      </c>
      <c r="E3438" s="2">
        <f t="shared" si="529"/>
        <v>28</v>
      </c>
      <c r="F3438" s="2">
        <v>10</v>
      </c>
      <c r="G3438" s="3" t="s">
        <v>22</v>
      </c>
      <c r="H3438" s="2">
        <v>50</v>
      </c>
      <c r="I3438" s="114" t="str">
        <f t="shared" si="528"/>
        <v>546100</v>
      </c>
      <c r="J3438" s="112" t="s">
        <v>84</v>
      </c>
      <c r="K3438" s="2" t="s">
        <v>84</v>
      </c>
      <c r="L3438" s="2">
        <v>0</v>
      </c>
      <c r="M3438" s="2" t="s">
        <v>84</v>
      </c>
      <c r="N3438" s="2" t="s">
        <v>84</v>
      </c>
      <c r="O3438" s="2" t="s">
        <v>841</v>
      </c>
      <c r="P3438" s="2" t="s">
        <v>143</v>
      </c>
    </row>
    <row r="3439" spans="1:16" ht="22" customHeight="1" x14ac:dyDescent="0.15">
      <c r="A3439" s="10" t="str">
        <f t="shared" si="530"/>
        <v>546_10_29_10_polygon</v>
      </c>
      <c r="B3439" s="2">
        <v>546</v>
      </c>
      <c r="C3439" s="30" t="str">
        <f>VLOOKUP(B3439,gachas!A:C,3)</f>
        <v>アビリティピックアップ（お邪魔ブレイク）</v>
      </c>
      <c r="D3439" s="21">
        <v>10</v>
      </c>
      <c r="E3439" s="2">
        <f t="shared" si="529"/>
        <v>29</v>
      </c>
      <c r="F3439" s="2">
        <v>10</v>
      </c>
      <c r="G3439" s="3" t="s">
        <v>22</v>
      </c>
      <c r="H3439" s="2">
        <v>50</v>
      </c>
      <c r="I3439" s="114" t="str">
        <f t="shared" si="528"/>
        <v>546100</v>
      </c>
      <c r="J3439" s="112" t="s">
        <v>84</v>
      </c>
      <c r="K3439" s="2" t="s">
        <v>84</v>
      </c>
      <c r="L3439" s="2">
        <v>0</v>
      </c>
      <c r="M3439" s="2" t="s">
        <v>84</v>
      </c>
      <c r="N3439" s="2" t="s">
        <v>84</v>
      </c>
      <c r="O3439" s="2" t="s">
        <v>841</v>
      </c>
      <c r="P3439" s="2" t="s">
        <v>143</v>
      </c>
    </row>
    <row r="3440" spans="1:16" ht="22" customHeight="1" x14ac:dyDescent="0.15">
      <c r="A3440" s="10" t="str">
        <f t="shared" si="530"/>
        <v>546_10_30_10_polygon</v>
      </c>
      <c r="B3440" s="2">
        <v>546</v>
      </c>
      <c r="C3440" s="30" t="str">
        <f>VLOOKUP(B3440,gachas!A:C,3)</f>
        <v>アビリティピックアップ（お邪魔ブレイク）</v>
      </c>
      <c r="D3440" s="21">
        <v>10</v>
      </c>
      <c r="E3440" s="2">
        <f t="shared" si="529"/>
        <v>30</v>
      </c>
      <c r="F3440" s="2">
        <v>10</v>
      </c>
      <c r="G3440" s="3" t="s">
        <v>22</v>
      </c>
      <c r="H3440" s="2">
        <v>50</v>
      </c>
      <c r="I3440" s="114" t="str">
        <f t="shared" si="528"/>
        <v>546100</v>
      </c>
      <c r="J3440" s="112" t="s">
        <v>84</v>
      </c>
      <c r="K3440" s="117" t="str">
        <f>CONCATENATE(B3440,"100")</f>
        <v>546100</v>
      </c>
      <c r="L3440" s="2">
        <v>1</v>
      </c>
      <c r="M3440" s="2" t="s">
        <v>84</v>
      </c>
      <c r="N3440" s="2" t="s">
        <v>84</v>
      </c>
      <c r="O3440" s="2" t="s">
        <v>841</v>
      </c>
      <c r="P3440" s="2" t="s">
        <v>2822</v>
      </c>
    </row>
    <row r="3441" spans="1:16" ht="22" customHeight="1" x14ac:dyDescent="0.15">
      <c r="A3441" s="10" t="str">
        <f t="shared" si="530"/>
        <v>546_10_31_10_polygon</v>
      </c>
      <c r="B3441" s="2">
        <v>546</v>
      </c>
      <c r="C3441" s="30" t="str">
        <f>VLOOKUP(B3441,gachas!A:C,3)</f>
        <v>アビリティピックアップ（お邪魔ブレイク）</v>
      </c>
      <c r="D3441" s="21">
        <v>10</v>
      </c>
      <c r="E3441" s="2">
        <f t="shared" si="529"/>
        <v>31</v>
      </c>
      <c r="F3441" s="2">
        <v>10</v>
      </c>
      <c r="G3441" s="3" t="s">
        <v>22</v>
      </c>
      <c r="H3441" s="2">
        <v>25</v>
      </c>
      <c r="I3441" s="114" t="str">
        <f t="shared" si="528"/>
        <v>546100</v>
      </c>
      <c r="J3441" s="112" t="s">
        <v>84</v>
      </c>
      <c r="K3441" s="2" t="s">
        <v>84</v>
      </c>
      <c r="L3441" s="2">
        <v>0</v>
      </c>
      <c r="M3441" s="2" t="s">
        <v>84</v>
      </c>
      <c r="N3441" s="2" t="s">
        <v>84</v>
      </c>
      <c r="O3441" s="2" t="s">
        <v>841</v>
      </c>
      <c r="P3441" s="59" t="s">
        <v>1783</v>
      </c>
    </row>
    <row r="3442" spans="1:16" ht="22" customHeight="1" x14ac:dyDescent="0.15">
      <c r="A3442" s="10" t="str">
        <f t="shared" si="530"/>
        <v>546_10_32_10_polygon</v>
      </c>
      <c r="B3442" s="2">
        <v>546</v>
      </c>
      <c r="C3442" s="30" t="str">
        <f>VLOOKUP(B3442,gachas!A:C,3)</f>
        <v>アビリティピックアップ（お邪魔ブレイク）</v>
      </c>
      <c r="D3442" s="21">
        <v>10</v>
      </c>
      <c r="E3442" s="2">
        <f t="shared" si="529"/>
        <v>32</v>
      </c>
      <c r="F3442" s="2">
        <v>10</v>
      </c>
      <c r="G3442" s="3" t="s">
        <v>22</v>
      </c>
      <c r="H3442" s="2">
        <v>50</v>
      </c>
      <c r="I3442" s="114" t="str">
        <f t="shared" si="528"/>
        <v>546100</v>
      </c>
      <c r="J3442" s="112" t="s">
        <v>84</v>
      </c>
      <c r="K3442" s="2" t="s">
        <v>84</v>
      </c>
      <c r="L3442" s="2">
        <v>0</v>
      </c>
      <c r="M3442" s="2" t="s">
        <v>84</v>
      </c>
      <c r="N3442" s="2" t="s">
        <v>84</v>
      </c>
      <c r="O3442" s="2" t="s">
        <v>841</v>
      </c>
      <c r="P3442" s="2" t="s">
        <v>143</v>
      </c>
    </row>
    <row r="3443" spans="1:16" ht="22" customHeight="1" x14ac:dyDescent="0.15">
      <c r="A3443" s="10" t="str">
        <f t="shared" si="530"/>
        <v>546_10_33_10_polygon</v>
      </c>
      <c r="B3443" s="2">
        <v>546</v>
      </c>
      <c r="C3443" s="30" t="str">
        <f>VLOOKUP(B3443,gachas!A:C,3)</f>
        <v>アビリティピックアップ（お邪魔ブレイク）</v>
      </c>
      <c r="D3443" s="21">
        <v>10</v>
      </c>
      <c r="E3443" s="2">
        <f t="shared" si="529"/>
        <v>33</v>
      </c>
      <c r="F3443" s="2">
        <v>10</v>
      </c>
      <c r="G3443" s="3" t="s">
        <v>22</v>
      </c>
      <c r="H3443" s="2">
        <v>50</v>
      </c>
      <c r="I3443" s="114" t="str">
        <f t="shared" si="528"/>
        <v>546100</v>
      </c>
      <c r="J3443" s="112" t="s">
        <v>84</v>
      </c>
      <c r="K3443" s="2" t="s">
        <v>84</v>
      </c>
      <c r="L3443" s="2">
        <v>0</v>
      </c>
      <c r="M3443" s="2" t="s">
        <v>84</v>
      </c>
      <c r="N3443" s="2" t="s">
        <v>84</v>
      </c>
      <c r="O3443" s="2" t="s">
        <v>841</v>
      </c>
      <c r="P3443" s="2" t="s">
        <v>143</v>
      </c>
    </row>
    <row r="3444" spans="1:16" ht="22" customHeight="1" x14ac:dyDescent="0.15">
      <c r="A3444" s="10" t="str">
        <f t="shared" si="530"/>
        <v>546_10_34_10_polygon</v>
      </c>
      <c r="B3444" s="2">
        <v>546</v>
      </c>
      <c r="C3444" s="30" t="str">
        <f>VLOOKUP(B3444,gachas!A:C,3)</f>
        <v>アビリティピックアップ（お邪魔ブレイク）</v>
      </c>
      <c r="D3444" s="21">
        <v>10</v>
      </c>
      <c r="E3444" s="2">
        <f t="shared" si="529"/>
        <v>34</v>
      </c>
      <c r="F3444" s="2">
        <v>10</v>
      </c>
      <c r="G3444" s="3" t="s">
        <v>22</v>
      </c>
      <c r="H3444" s="2">
        <v>50</v>
      </c>
      <c r="I3444" s="114" t="str">
        <f t="shared" si="528"/>
        <v>546100</v>
      </c>
      <c r="J3444" s="112" t="s">
        <v>84</v>
      </c>
      <c r="K3444" s="2" t="s">
        <v>84</v>
      </c>
      <c r="L3444" s="2">
        <v>0</v>
      </c>
      <c r="M3444" s="2" t="s">
        <v>84</v>
      </c>
      <c r="N3444" s="2" t="s">
        <v>84</v>
      </c>
      <c r="O3444" s="2" t="s">
        <v>841</v>
      </c>
      <c r="P3444" s="2" t="s">
        <v>143</v>
      </c>
    </row>
    <row r="3445" spans="1:16" ht="22" customHeight="1" x14ac:dyDescent="0.15">
      <c r="A3445" s="10" t="str">
        <f t="shared" si="530"/>
        <v>546_10_35_10_polygon</v>
      </c>
      <c r="B3445" s="2">
        <v>546</v>
      </c>
      <c r="C3445" s="30" t="str">
        <f>VLOOKUP(B3445,gachas!A:C,3)</f>
        <v>アビリティピックアップ（お邪魔ブレイク）</v>
      </c>
      <c r="D3445" s="21">
        <v>10</v>
      </c>
      <c r="E3445" s="2">
        <f t="shared" si="529"/>
        <v>35</v>
      </c>
      <c r="F3445" s="2">
        <v>10</v>
      </c>
      <c r="G3445" s="3" t="s">
        <v>22</v>
      </c>
      <c r="H3445" s="2">
        <v>50</v>
      </c>
      <c r="I3445" s="114" t="str">
        <f t="shared" si="528"/>
        <v>546100</v>
      </c>
      <c r="J3445" s="112" t="s">
        <v>84</v>
      </c>
      <c r="K3445" s="117" t="str">
        <f>CONCATENATE(B3445,"100")</f>
        <v>546100</v>
      </c>
      <c r="L3445" s="2">
        <v>1</v>
      </c>
      <c r="M3445" s="2" t="s">
        <v>84</v>
      </c>
      <c r="N3445" s="2" t="s">
        <v>84</v>
      </c>
      <c r="O3445" s="2" t="s">
        <v>841</v>
      </c>
      <c r="P3445" s="2" t="s">
        <v>2822</v>
      </c>
    </row>
    <row r="3446" spans="1:16" ht="22" customHeight="1" x14ac:dyDescent="0.15">
      <c r="A3446" s="10" t="str">
        <f t="shared" si="530"/>
        <v>546_10_36_10_polygon</v>
      </c>
      <c r="B3446" s="2">
        <v>546</v>
      </c>
      <c r="C3446" s="30" t="str">
        <f>VLOOKUP(B3446,gachas!A:C,3)</f>
        <v>アビリティピックアップ（お邪魔ブレイク）</v>
      </c>
      <c r="D3446" s="21">
        <v>10</v>
      </c>
      <c r="E3446" s="2">
        <f t="shared" si="529"/>
        <v>36</v>
      </c>
      <c r="F3446" s="2">
        <v>10</v>
      </c>
      <c r="G3446" s="3" t="s">
        <v>22</v>
      </c>
      <c r="H3446" s="2">
        <v>25</v>
      </c>
      <c r="I3446" s="114" t="str">
        <f t="shared" si="528"/>
        <v>546100</v>
      </c>
      <c r="J3446" s="112" t="s">
        <v>84</v>
      </c>
      <c r="K3446" s="2" t="s">
        <v>84</v>
      </c>
      <c r="L3446" s="2">
        <v>0</v>
      </c>
      <c r="M3446" s="2" t="s">
        <v>84</v>
      </c>
      <c r="N3446" s="2" t="s">
        <v>84</v>
      </c>
      <c r="O3446" s="2" t="s">
        <v>841</v>
      </c>
      <c r="P3446" s="59" t="s">
        <v>1783</v>
      </c>
    </row>
    <row r="3447" spans="1:16" ht="22" customHeight="1" x14ac:dyDescent="0.15">
      <c r="A3447" s="10" t="str">
        <f t="shared" si="530"/>
        <v>546_10_37_10_polygon</v>
      </c>
      <c r="B3447" s="2">
        <v>546</v>
      </c>
      <c r="C3447" s="30" t="str">
        <f>VLOOKUP(B3447,gachas!A:C,3)</f>
        <v>アビリティピックアップ（お邪魔ブレイク）</v>
      </c>
      <c r="D3447" s="21">
        <v>10</v>
      </c>
      <c r="E3447" s="2">
        <f t="shared" si="529"/>
        <v>37</v>
      </c>
      <c r="F3447" s="2">
        <v>10</v>
      </c>
      <c r="G3447" s="3" t="s">
        <v>22</v>
      </c>
      <c r="H3447" s="2">
        <v>50</v>
      </c>
      <c r="I3447" s="114" t="str">
        <f t="shared" si="528"/>
        <v>546100</v>
      </c>
      <c r="J3447" s="112" t="s">
        <v>84</v>
      </c>
      <c r="K3447" s="2" t="s">
        <v>84</v>
      </c>
      <c r="L3447" s="2">
        <v>0</v>
      </c>
      <c r="M3447" s="2" t="s">
        <v>84</v>
      </c>
      <c r="N3447" s="2" t="s">
        <v>84</v>
      </c>
      <c r="O3447" s="2" t="s">
        <v>841</v>
      </c>
      <c r="P3447" s="2" t="s">
        <v>143</v>
      </c>
    </row>
    <row r="3448" spans="1:16" ht="22" customHeight="1" x14ac:dyDescent="0.15">
      <c r="A3448" s="10" t="str">
        <f t="shared" si="530"/>
        <v>546_10_38_10_polygon</v>
      </c>
      <c r="B3448" s="2">
        <v>546</v>
      </c>
      <c r="C3448" s="30" t="str">
        <f>VLOOKUP(B3448,gachas!A:C,3)</f>
        <v>アビリティピックアップ（お邪魔ブレイク）</v>
      </c>
      <c r="D3448" s="21">
        <v>10</v>
      </c>
      <c r="E3448" s="2">
        <f t="shared" si="529"/>
        <v>38</v>
      </c>
      <c r="F3448" s="2">
        <v>10</v>
      </c>
      <c r="G3448" s="3" t="s">
        <v>22</v>
      </c>
      <c r="H3448" s="2">
        <v>50</v>
      </c>
      <c r="I3448" s="114" t="str">
        <f t="shared" si="528"/>
        <v>546100</v>
      </c>
      <c r="J3448" s="112" t="s">
        <v>84</v>
      </c>
      <c r="K3448" s="2" t="s">
        <v>84</v>
      </c>
      <c r="L3448" s="2">
        <v>0</v>
      </c>
      <c r="M3448" s="2" t="s">
        <v>84</v>
      </c>
      <c r="N3448" s="2" t="s">
        <v>84</v>
      </c>
      <c r="O3448" s="2" t="s">
        <v>841</v>
      </c>
      <c r="P3448" s="2" t="s">
        <v>143</v>
      </c>
    </row>
    <row r="3449" spans="1:16" ht="22" customHeight="1" x14ac:dyDescent="0.15">
      <c r="A3449" s="10" t="str">
        <f t="shared" si="530"/>
        <v>546_10_39_10_polygon</v>
      </c>
      <c r="B3449" s="2">
        <v>546</v>
      </c>
      <c r="C3449" s="30" t="str">
        <f>VLOOKUP(B3449,gachas!A:C,3)</f>
        <v>アビリティピックアップ（お邪魔ブレイク）</v>
      </c>
      <c r="D3449" s="21">
        <v>10</v>
      </c>
      <c r="E3449" s="2">
        <f t="shared" si="529"/>
        <v>39</v>
      </c>
      <c r="F3449" s="2">
        <v>10</v>
      </c>
      <c r="G3449" s="3" t="s">
        <v>22</v>
      </c>
      <c r="H3449" s="2">
        <v>50</v>
      </c>
      <c r="I3449" s="114" t="str">
        <f t="shared" si="528"/>
        <v>546100</v>
      </c>
      <c r="J3449" s="112" t="s">
        <v>84</v>
      </c>
      <c r="K3449" s="2" t="s">
        <v>84</v>
      </c>
      <c r="L3449" s="2">
        <v>0</v>
      </c>
      <c r="M3449" s="2" t="s">
        <v>84</v>
      </c>
      <c r="N3449" s="2" t="s">
        <v>84</v>
      </c>
      <c r="O3449" s="2" t="s">
        <v>841</v>
      </c>
      <c r="P3449" s="2" t="s">
        <v>143</v>
      </c>
    </row>
    <row r="3450" spans="1:16" ht="22" customHeight="1" x14ac:dyDescent="0.15">
      <c r="A3450" s="10" t="str">
        <f t="shared" si="530"/>
        <v>546_10_40_10_polygon</v>
      </c>
      <c r="B3450" s="2">
        <v>546</v>
      </c>
      <c r="C3450" s="30" t="str">
        <f>VLOOKUP(B3450,gachas!A:C,3)</f>
        <v>アビリティピックアップ（お邪魔ブレイク）</v>
      </c>
      <c r="D3450" s="21">
        <v>10</v>
      </c>
      <c r="E3450" s="2">
        <f t="shared" si="529"/>
        <v>40</v>
      </c>
      <c r="F3450" s="2">
        <v>10</v>
      </c>
      <c r="G3450" s="3" t="s">
        <v>22</v>
      </c>
      <c r="H3450" s="2">
        <v>50</v>
      </c>
      <c r="I3450" s="114" t="str">
        <f t="shared" si="528"/>
        <v>546100</v>
      </c>
      <c r="J3450" s="112" t="s">
        <v>84</v>
      </c>
      <c r="K3450" s="117" t="str">
        <f>CONCATENATE(B3450,"100")</f>
        <v>546100</v>
      </c>
      <c r="L3450" s="2">
        <v>1</v>
      </c>
      <c r="M3450" s="2" t="s">
        <v>84</v>
      </c>
      <c r="N3450" s="2" t="s">
        <v>84</v>
      </c>
      <c r="O3450" s="2" t="s">
        <v>841</v>
      </c>
      <c r="P3450" s="2" t="s">
        <v>2822</v>
      </c>
    </row>
    <row r="3451" spans="1:16" ht="22" customHeight="1" x14ac:dyDescent="0.15">
      <c r="A3451" s="10" t="str">
        <f t="shared" si="530"/>
        <v>546_10_41_10_polygon</v>
      </c>
      <c r="B3451" s="2">
        <v>546</v>
      </c>
      <c r="C3451" s="30" t="str">
        <f>VLOOKUP(B3451,gachas!A:C,3)</f>
        <v>アビリティピックアップ（お邪魔ブレイク）</v>
      </c>
      <c r="D3451" s="21">
        <v>10</v>
      </c>
      <c r="E3451" s="2">
        <f t="shared" si="529"/>
        <v>41</v>
      </c>
      <c r="F3451" s="2">
        <v>10</v>
      </c>
      <c r="G3451" s="3" t="s">
        <v>22</v>
      </c>
      <c r="H3451" s="2">
        <v>25</v>
      </c>
      <c r="I3451" s="114" t="str">
        <f t="shared" si="528"/>
        <v>546100</v>
      </c>
      <c r="J3451" s="112" t="s">
        <v>84</v>
      </c>
      <c r="K3451" s="2" t="s">
        <v>84</v>
      </c>
      <c r="L3451" s="2">
        <v>0</v>
      </c>
      <c r="M3451" s="2" t="s">
        <v>84</v>
      </c>
      <c r="N3451" s="2" t="s">
        <v>84</v>
      </c>
      <c r="O3451" s="2" t="s">
        <v>841</v>
      </c>
      <c r="P3451" s="59" t="s">
        <v>1783</v>
      </c>
    </row>
    <row r="3452" spans="1:16" ht="22" customHeight="1" x14ac:dyDescent="0.15">
      <c r="A3452" s="10" t="str">
        <f t="shared" si="530"/>
        <v>546_10_42_10_polygon</v>
      </c>
      <c r="B3452" s="2">
        <v>546</v>
      </c>
      <c r="C3452" s="30" t="str">
        <f>VLOOKUP(B3452,gachas!A:C,3)</f>
        <v>アビリティピックアップ（お邪魔ブレイク）</v>
      </c>
      <c r="D3452" s="21">
        <v>10</v>
      </c>
      <c r="E3452" s="2">
        <f t="shared" si="529"/>
        <v>42</v>
      </c>
      <c r="F3452" s="2">
        <v>10</v>
      </c>
      <c r="G3452" s="3" t="s">
        <v>22</v>
      </c>
      <c r="H3452" s="2">
        <v>50</v>
      </c>
      <c r="I3452" s="114" t="str">
        <f t="shared" si="528"/>
        <v>546100</v>
      </c>
      <c r="J3452" s="112" t="s">
        <v>84</v>
      </c>
      <c r="K3452" s="2" t="s">
        <v>84</v>
      </c>
      <c r="L3452" s="2">
        <v>0</v>
      </c>
      <c r="M3452" s="2" t="s">
        <v>84</v>
      </c>
      <c r="N3452" s="2" t="s">
        <v>84</v>
      </c>
      <c r="O3452" s="2" t="s">
        <v>841</v>
      </c>
      <c r="P3452" s="2" t="s">
        <v>143</v>
      </c>
    </row>
    <row r="3453" spans="1:16" ht="22" customHeight="1" x14ac:dyDescent="0.15">
      <c r="A3453" s="10" t="str">
        <f t="shared" si="530"/>
        <v>546_10_43_10_polygon</v>
      </c>
      <c r="B3453" s="2">
        <v>546</v>
      </c>
      <c r="C3453" s="30" t="str">
        <f>VLOOKUP(B3453,gachas!A:C,3)</f>
        <v>アビリティピックアップ（お邪魔ブレイク）</v>
      </c>
      <c r="D3453" s="21">
        <v>10</v>
      </c>
      <c r="E3453" s="2">
        <f t="shared" si="529"/>
        <v>43</v>
      </c>
      <c r="F3453" s="2">
        <v>10</v>
      </c>
      <c r="G3453" s="3" t="s">
        <v>22</v>
      </c>
      <c r="H3453" s="2">
        <v>50</v>
      </c>
      <c r="I3453" s="114" t="str">
        <f t="shared" si="528"/>
        <v>546100</v>
      </c>
      <c r="J3453" s="112" t="s">
        <v>84</v>
      </c>
      <c r="K3453" s="2" t="s">
        <v>84</v>
      </c>
      <c r="L3453" s="2">
        <v>0</v>
      </c>
      <c r="M3453" s="2" t="s">
        <v>84</v>
      </c>
      <c r="N3453" s="2" t="s">
        <v>84</v>
      </c>
      <c r="O3453" s="2" t="s">
        <v>841</v>
      </c>
      <c r="P3453" s="2" t="s">
        <v>143</v>
      </c>
    </row>
    <row r="3454" spans="1:16" ht="22" customHeight="1" x14ac:dyDescent="0.15">
      <c r="A3454" s="10" t="str">
        <f t="shared" si="530"/>
        <v>546_10_44_10_polygon</v>
      </c>
      <c r="B3454" s="2">
        <v>546</v>
      </c>
      <c r="C3454" s="30" t="str">
        <f>VLOOKUP(B3454,gachas!A:C,3)</f>
        <v>アビリティピックアップ（お邪魔ブレイク）</v>
      </c>
      <c r="D3454" s="21">
        <v>10</v>
      </c>
      <c r="E3454" s="2">
        <f t="shared" si="529"/>
        <v>44</v>
      </c>
      <c r="F3454" s="2">
        <v>10</v>
      </c>
      <c r="G3454" s="3" t="s">
        <v>22</v>
      </c>
      <c r="H3454" s="2">
        <v>50</v>
      </c>
      <c r="I3454" s="114" t="str">
        <f t="shared" si="528"/>
        <v>546100</v>
      </c>
      <c r="J3454" s="112" t="s">
        <v>84</v>
      </c>
      <c r="K3454" s="2" t="s">
        <v>84</v>
      </c>
      <c r="L3454" s="2">
        <v>0</v>
      </c>
      <c r="M3454" s="2" t="s">
        <v>84</v>
      </c>
      <c r="N3454" s="2" t="s">
        <v>84</v>
      </c>
      <c r="O3454" s="2" t="s">
        <v>841</v>
      </c>
      <c r="P3454" s="2" t="s">
        <v>143</v>
      </c>
    </row>
    <row r="3455" spans="1:16" ht="22" customHeight="1" x14ac:dyDescent="0.15">
      <c r="A3455" s="10" t="str">
        <f t="shared" si="530"/>
        <v>546_10_45_10_polygon</v>
      </c>
      <c r="B3455" s="2">
        <v>546</v>
      </c>
      <c r="C3455" s="30" t="str">
        <f>VLOOKUP(B3455,gachas!A:C,3)</f>
        <v>アビリティピックアップ（お邪魔ブレイク）</v>
      </c>
      <c r="D3455" s="21">
        <v>10</v>
      </c>
      <c r="E3455" s="2">
        <f t="shared" si="529"/>
        <v>45</v>
      </c>
      <c r="F3455" s="2">
        <v>10</v>
      </c>
      <c r="G3455" s="3" t="s">
        <v>22</v>
      </c>
      <c r="H3455" s="2">
        <v>50</v>
      </c>
      <c r="I3455" s="114" t="str">
        <f t="shared" si="528"/>
        <v>546100</v>
      </c>
      <c r="J3455" s="112" t="s">
        <v>84</v>
      </c>
      <c r="K3455" s="117" t="str">
        <f>CONCATENATE(B3455,"100")</f>
        <v>546100</v>
      </c>
      <c r="L3455" s="2">
        <v>1</v>
      </c>
      <c r="M3455" s="2" t="s">
        <v>84</v>
      </c>
      <c r="N3455" s="2" t="s">
        <v>84</v>
      </c>
      <c r="O3455" s="2" t="s">
        <v>841</v>
      </c>
      <c r="P3455" s="2" t="s">
        <v>2822</v>
      </c>
    </row>
    <row r="3456" spans="1:16" ht="22" customHeight="1" x14ac:dyDescent="0.15">
      <c r="A3456" s="10" t="str">
        <f t="shared" si="530"/>
        <v>546_10_46_10_polygon</v>
      </c>
      <c r="B3456" s="2">
        <v>546</v>
      </c>
      <c r="C3456" s="30" t="str">
        <f>VLOOKUP(B3456,gachas!A:C,3)</f>
        <v>アビリティピックアップ（お邪魔ブレイク）</v>
      </c>
      <c r="D3456" s="21">
        <v>10</v>
      </c>
      <c r="E3456" s="2">
        <f t="shared" si="529"/>
        <v>46</v>
      </c>
      <c r="F3456" s="2">
        <v>10</v>
      </c>
      <c r="G3456" s="3" t="s">
        <v>22</v>
      </c>
      <c r="H3456" s="2">
        <v>25</v>
      </c>
      <c r="I3456" s="114" t="str">
        <f t="shared" si="528"/>
        <v>546100</v>
      </c>
      <c r="J3456" s="112" t="s">
        <v>84</v>
      </c>
      <c r="K3456" s="2" t="s">
        <v>84</v>
      </c>
      <c r="L3456" s="2">
        <v>0</v>
      </c>
      <c r="M3456" s="2" t="s">
        <v>84</v>
      </c>
      <c r="N3456" s="2" t="s">
        <v>84</v>
      </c>
      <c r="O3456" s="2" t="s">
        <v>841</v>
      </c>
      <c r="P3456" s="59" t="s">
        <v>1783</v>
      </c>
    </row>
    <row r="3457" spans="1:16" ht="22" customHeight="1" x14ac:dyDescent="0.15">
      <c r="A3457" s="10" t="str">
        <f t="shared" si="530"/>
        <v>546_10_47_10_polygon</v>
      </c>
      <c r="B3457" s="2">
        <v>546</v>
      </c>
      <c r="C3457" s="30" t="str">
        <f>VLOOKUP(B3457,gachas!A:C,3)</f>
        <v>アビリティピックアップ（お邪魔ブレイク）</v>
      </c>
      <c r="D3457" s="21">
        <v>10</v>
      </c>
      <c r="E3457" s="2">
        <f t="shared" si="529"/>
        <v>47</v>
      </c>
      <c r="F3457" s="2">
        <v>10</v>
      </c>
      <c r="G3457" s="3" t="s">
        <v>22</v>
      </c>
      <c r="H3457" s="2">
        <v>50</v>
      </c>
      <c r="I3457" s="114" t="str">
        <f t="shared" si="528"/>
        <v>546100</v>
      </c>
      <c r="J3457" s="112" t="s">
        <v>84</v>
      </c>
      <c r="K3457" s="2" t="s">
        <v>84</v>
      </c>
      <c r="L3457" s="2">
        <v>0</v>
      </c>
      <c r="M3457" s="2" t="s">
        <v>84</v>
      </c>
      <c r="N3457" s="2" t="s">
        <v>84</v>
      </c>
      <c r="O3457" s="2" t="s">
        <v>841</v>
      </c>
      <c r="P3457" s="2" t="s">
        <v>143</v>
      </c>
    </row>
    <row r="3458" spans="1:16" ht="22" customHeight="1" x14ac:dyDescent="0.15">
      <c r="A3458" s="10" t="str">
        <f t="shared" si="530"/>
        <v>546_10_48_10_polygon</v>
      </c>
      <c r="B3458" s="2">
        <v>546</v>
      </c>
      <c r="C3458" s="30" t="str">
        <f>VLOOKUP(B3458,gachas!A:C,3)</f>
        <v>アビリティピックアップ（お邪魔ブレイク）</v>
      </c>
      <c r="D3458" s="21">
        <v>10</v>
      </c>
      <c r="E3458" s="2">
        <f t="shared" si="529"/>
        <v>48</v>
      </c>
      <c r="F3458" s="2">
        <v>10</v>
      </c>
      <c r="G3458" s="3" t="s">
        <v>22</v>
      </c>
      <c r="H3458" s="2">
        <v>50</v>
      </c>
      <c r="I3458" s="114" t="str">
        <f t="shared" si="528"/>
        <v>546100</v>
      </c>
      <c r="J3458" s="112" t="s">
        <v>84</v>
      </c>
      <c r="K3458" s="2" t="s">
        <v>84</v>
      </c>
      <c r="L3458" s="2">
        <v>0</v>
      </c>
      <c r="M3458" s="2" t="s">
        <v>84</v>
      </c>
      <c r="N3458" s="2" t="s">
        <v>84</v>
      </c>
      <c r="O3458" s="2" t="s">
        <v>841</v>
      </c>
      <c r="P3458" s="2" t="s">
        <v>143</v>
      </c>
    </row>
    <row r="3459" spans="1:16" ht="22" customHeight="1" x14ac:dyDescent="0.15">
      <c r="A3459" s="10" t="str">
        <f t="shared" si="530"/>
        <v>546_10_49_10_polygon</v>
      </c>
      <c r="B3459" s="2">
        <v>546</v>
      </c>
      <c r="C3459" s="30" t="str">
        <f>VLOOKUP(B3459,gachas!A:C,3)</f>
        <v>アビリティピックアップ（お邪魔ブレイク）</v>
      </c>
      <c r="D3459" s="21">
        <v>10</v>
      </c>
      <c r="E3459" s="2">
        <f t="shared" si="529"/>
        <v>49</v>
      </c>
      <c r="F3459" s="2">
        <v>10</v>
      </c>
      <c r="G3459" s="3" t="s">
        <v>22</v>
      </c>
      <c r="H3459" s="2">
        <v>50</v>
      </c>
      <c r="I3459" s="114" t="str">
        <f t="shared" si="528"/>
        <v>546100</v>
      </c>
      <c r="J3459" s="112" t="s">
        <v>84</v>
      </c>
      <c r="K3459" s="2" t="s">
        <v>84</v>
      </c>
      <c r="L3459" s="2">
        <v>0</v>
      </c>
      <c r="M3459" s="2" t="s">
        <v>84</v>
      </c>
      <c r="N3459" s="2" t="s">
        <v>84</v>
      </c>
      <c r="O3459" s="2" t="s">
        <v>841</v>
      </c>
      <c r="P3459" s="2" t="s">
        <v>143</v>
      </c>
    </row>
    <row r="3460" spans="1:16" ht="22" customHeight="1" x14ac:dyDescent="0.15">
      <c r="A3460" s="10" t="str">
        <f t="shared" si="530"/>
        <v>546_10_50_10_polygon</v>
      </c>
      <c r="B3460" s="2">
        <v>546</v>
      </c>
      <c r="C3460" s="30" t="str">
        <f>VLOOKUP(B3460,gachas!A:C,3)</f>
        <v>アビリティピックアップ（お邪魔ブレイク）</v>
      </c>
      <c r="D3460" s="21">
        <v>10</v>
      </c>
      <c r="E3460" s="2">
        <f t="shared" si="529"/>
        <v>50</v>
      </c>
      <c r="F3460" s="2">
        <v>10</v>
      </c>
      <c r="G3460" s="3" t="s">
        <v>22</v>
      </c>
      <c r="H3460" s="2">
        <v>50</v>
      </c>
      <c r="I3460" s="114" t="str">
        <f t="shared" si="528"/>
        <v>546100</v>
      </c>
      <c r="J3460" s="112" t="s">
        <v>84</v>
      </c>
      <c r="K3460" s="117" t="str">
        <f>CONCATENATE(B3460,"100")</f>
        <v>546100</v>
      </c>
      <c r="L3460" s="2">
        <v>1</v>
      </c>
      <c r="M3460" s="2" t="s">
        <v>84</v>
      </c>
      <c r="N3460" s="2" t="s">
        <v>84</v>
      </c>
      <c r="O3460" s="2" t="s">
        <v>841</v>
      </c>
      <c r="P3460" s="2" t="s">
        <v>2822</v>
      </c>
    </row>
    <row r="3461" spans="1:16" ht="22" customHeight="1" x14ac:dyDescent="0.15">
      <c r="A3461" s="10" t="str">
        <f t="shared" ref="A3461" si="531">B3461&amp;"_"&amp;D3461&amp;"_"&amp;E3461&amp;"_"&amp;F3461&amp;"_"&amp;G3461</f>
        <v>547_10_0_10_polygon</v>
      </c>
      <c r="B3461" s="2">
        <v>547</v>
      </c>
      <c r="C3461" s="30" t="str">
        <f>VLOOKUP(B3461,gachas!A:C,3)</f>
        <v>ホワイトデー記念ガチャ男性SP</v>
      </c>
      <c r="D3461" s="21">
        <v>10</v>
      </c>
      <c r="E3461" s="2">
        <v>0</v>
      </c>
      <c r="F3461" s="2">
        <v>10</v>
      </c>
      <c r="G3461" s="3" t="s">
        <v>22</v>
      </c>
      <c r="H3461" s="2">
        <v>40</v>
      </c>
      <c r="I3461" s="114" t="str">
        <f>CONCATENATE(B3461,IF(D3461=1,"01","10"),0)</f>
        <v>547100</v>
      </c>
      <c r="J3461" s="112" t="s">
        <v>84</v>
      </c>
      <c r="K3461" s="112" t="str">
        <f>CONCATENATE(B3461,IF(D3461=1,"01","10"),0)</f>
        <v>547100</v>
      </c>
      <c r="L3461" s="2">
        <v>1</v>
      </c>
      <c r="M3461" s="2" t="s">
        <v>84</v>
      </c>
      <c r="N3461" s="2" t="s">
        <v>84</v>
      </c>
      <c r="O3461" s="2" t="s">
        <v>841</v>
      </c>
      <c r="P3461" s="2" t="s">
        <v>84</v>
      </c>
    </row>
    <row r="3462" spans="1:16" ht="22" customHeight="1" x14ac:dyDescent="0.15">
      <c r="A3462" s="10" t="str">
        <f t="shared" si="530"/>
        <v>548_1_0_1_polygon</v>
      </c>
      <c r="B3462" s="2">
        <v>548</v>
      </c>
      <c r="C3462" s="30" t="str">
        <f>VLOOKUP(B3462,gachas!A:C,3)</f>
        <v>フィーバーフェス（1日目）</v>
      </c>
      <c r="D3462" s="21">
        <v>1</v>
      </c>
      <c r="E3462" s="2">
        <v>0</v>
      </c>
      <c r="F3462" s="2">
        <v>1</v>
      </c>
      <c r="G3462" s="3" t="s">
        <v>22</v>
      </c>
      <c r="H3462" s="2">
        <v>5</v>
      </c>
      <c r="I3462" s="114" t="str">
        <f>CONCATENATE(B3462,IF(D3462=1,"01","10"),0)</f>
        <v>548010</v>
      </c>
      <c r="J3462" s="112" t="s">
        <v>84</v>
      </c>
      <c r="K3462" s="112" t="s">
        <v>84</v>
      </c>
      <c r="L3462" s="2">
        <v>0</v>
      </c>
      <c r="M3462" s="2" t="s">
        <v>84</v>
      </c>
      <c r="N3462" s="2" t="s">
        <v>84</v>
      </c>
      <c r="O3462" s="2" t="s">
        <v>841</v>
      </c>
      <c r="P3462" s="2" t="s">
        <v>84</v>
      </c>
    </row>
    <row r="3463" spans="1:16" ht="22" customHeight="1" x14ac:dyDescent="0.15">
      <c r="A3463" s="10" t="str">
        <f t="shared" si="530"/>
        <v>548_10_0_10_polygon</v>
      </c>
      <c r="B3463" s="2">
        <v>548</v>
      </c>
      <c r="C3463" s="30" t="str">
        <f>VLOOKUP(B3463,gachas!A:C,3)</f>
        <v>フィーバーフェス（1日目）</v>
      </c>
      <c r="D3463" s="21">
        <v>10</v>
      </c>
      <c r="E3463" s="2">
        <v>0</v>
      </c>
      <c r="F3463" s="2">
        <v>10</v>
      </c>
      <c r="G3463" s="3" t="s">
        <v>22</v>
      </c>
      <c r="H3463" s="2">
        <v>50</v>
      </c>
      <c r="I3463" s="114" t="str">
        <f>CONCATENATE(B3463,IF(D3463=1,"01","10"),0)</f>
        <v>548100</v>
      </c>
      <c r="J3463" s="112" t="s">
        <v>84</v>
      </c>
      <c r="K3463" s="112" t="str">
        <f t="shared" ref="K3463:K3513" si="532">I3463</f>
        <v>548100</v>
      </c>
      <c r="L3463" s="2">
        <v>1</v>
      </c>
      <c r="M3463" s="2" t="s">
        <v>84</v>
      </c>
      <c r="N3463" s="2" t="s">
        <v>84</v>
      </c>
      <c r="O3463" s="2" t="s">
        <v>841</v>
      </c>
      <c r="P3463" s="2" t="s">
        <v>2571</v>
      </c>
    </row>
    <row r="3464" spans="1:16" ht="22" customHeight="1" x14ac:dyDescent="0.15">
      <c r="A3464" s="10" t="str">
        <f t="shared" si="530"/>
        <v>548_10_1_10_polygon</v>
      </c>
      <c r="B3464" s="2">
        <v>548</v>
      </c>
      <c r="C3464" s="30" t="str">
        <f>VLOOKUP(B3464,gachas!A:C,3)</f>
        <v>フィーバーフェス（1日目）</v>
      </c>
      <c r="D3464" s="21">
        <v>10</v>
      </c>
      <c r="E3464" s="2">
        <f>E3463+1</f>
        <v>1</v>
      </c>
      <c r="F3464" s="2">
        <v>10</v>
      </c>
      <c r="G3464" s="3" t="s">
        <v>22</v>
      </c>
      <c r="H3464" s="2">
        <v>50</v>
      </c>
      <c r="I3464" s="114" t="str">
        <f>CONCATENATE(B3464,IF(D3464=1,"01","10"),0)</f>
        <v>548100</v>
      </c>
      <c r="J3464" s="112" t="s">
        <v>84</v>
      </c>
      <c r="K3464" s="112" t="str">
        <f t="shared" si="532"/>
        <v>548100</v>
      </c>
      <c r="L3464" s="2">
        <v>1</v>
      </c>
      <c r="M3464" s="2" t="s">
        <v>84</v>
      </c>
      <c r="N3464" s="2" t="s">
        <v>84</v>
      </c>
      <c r="O3464" s="2" t="s">
        <v>841</v>
      </c>
      <c r="P3464" s="2" t="s">
        <v>2571</v>
      </c>
    </row>
    <row r="3465" spans="1:16" ht="22" customHeight="1" x14ac:dyDescent="0.15">
      <c r="A3465" s="10" t="str">
        <f t="shared" si="530"/>
        <v>548_10_2_10_polygon</v>
      </c>
      <c r="B3465" s="2">
        <v>548</v>
      </c>
      <c r="C3465" s="30" t="str">
        <f>VLOOKUP(B3465,gachas!A:C,3)</f>
        <v>フィーバーフェス（1日目）</v>
      </c>
      <c r="D3465" s="21">
        <v>10</v>
      </c>
      <c r="E3465" s="2">
        <f t="shared" ref="E3465:E3513" si="533">E3464+1</f>
        <v>2</v>
      </c>
      <c r="F3465" s="2">
        <v>10</v>
      </c>
      <c r="G3465" s="3" t="s">
        <v>22</v>
      </c>
      <c r="H3465" s="2">
        <v>50</v>
      </c>
      <c r="I3465" s="114" t="str">
        <f t="shared" ref="I3465:I3528" si="534">CONCATENATE(B3465,IF(D3465=1,"01","10"),0)</f>
        <v>548100</v>
      </c>
      <c r="J3465" s="112" t="s">
        <v>84</v>
      </c>
      <c r="K3465" s="112" t="str">
        <f t="shared" si="532"/>
        <v>548100</v>
      </c>
      <c r="L3465" s="2">
        <v>1</v>
      </c>
      <c r="M3465" s="2" t="s">
        <v>84</v>
      </c>
      <c r="N3465" s="2" t="s">
        <v>84</v>
      </c>
      <c r="O3465" s="2" t="s">
        <v>841</v>
      </c>
      <c r="P3465" s="2" t="s">
        <v>2571</v>
      </c>
    </row>
    <row r="3466" spans="1:16" ht="22" customHeight="1" x14ac:dyDescent="0.15">
      <c r="A3466" s="10" t="str">
        <f t="shared" si="530"/>
        <v>548_10_3_10_polygon</v>
      </c>
      <c r="B3466" s="2">
        <v>548</v>
      </c>
      <c r="C3466" s="30" t="str">
        <f>VLOOKUP(B3466,gachas!A:C,3)</f>
        <v>フィーバーフェス（1日目）</v>
      </c>
      <c r="D3466" s="21">
        <v>10</v>
      </c>
      <c r="E3466" s="2">
        <f t="shared" si="533"/>
        <v>3</v>
      </c>
      <c r="F3466" s="2">
        <v>10</v>
      </c>
      <c r="G3466" s="3" t="s">
        <v>22</v>
      </c>
      <c r="H3466" s="2">
        <v>50</v>
      </c>
      <c r="I3466" s="114" t="str">
        <f t="shared" si="534"/>
        <v>548100</v>
      </c>
      <c r="J3466" s="112" t="s">
        <v>84</v>
      </c>
      <c r="K3466" s="112" t="str">
        <f t="shared" si="532"/>
        <v>548100</v>
      </c>
      <c r="L3466" s="2">
        <v>1</v>
      </c>
      <c r="M3466" s="2" t="s">
        <v>84</v>
      </c>
      <c r="N3466" s="2" t="s">
        <v>84</v>
      </c>
      <c r="O3466" s="2" t="s">
        <v>841</v>
      </c>
      <c r="P3466" s="2" t="s">
        <v>2571</v>
      </c>
    </row>
    <row r="3467" spans="1:16" ht="22" customHeight="1" x14ac:dyDescent="0.15">
      <c r="A3467" s="10" t="str">
        <f t="shared" si="530"/>
        <v>548_10_4_10_polygon</v>
      </c>
      <c r="B3467" s="2">
        <v>548</v>
      </c>
      <c r="C3467" s="30" t="str">
        <f>VLOOKUP(B3467,gachas!A:C,3)</f>
        <v>フィーバーフェス（1日目）</v>
      </c>
      <c r="D3467" s="21">
        <v>10</v>
      </c>
      <c r="E3467" s="2">
        <f t="shared" si="533"/>
        <v>4</v>
      </c>
      <c r="F3467" s="2">
        <v>10</v>
      </c>
      <c r="G3467" s="3" t="s">
        <v>22</v>
      </c>
      <c r="H3467" s="2">
        <v>50</v>
      </c>
      <c r="I3467" s="114" t="str">
        <f t="shared" si="534"/>
        <v>548100</v>
      </c>
      <c r="J3467" s="112" t="s">
        <v>84</v>
      </c>
      <c r="K3467" s="112" t="str">
        <f t="shared" si="532"/>
        <v>548100</v>
      </c>
      <c r="L3467" s="2">
        <v>1</v>
      </c>
      <c r="M3467" s="2" t="s">
        <v>84</v>
      </c>
      <c r="N3467" s="2" t="s">
        <v>84</v>
      </c>
      <c r="O3467" s="2" t="s">
        <v>841</v>
      </c>
      <c r="P3467" s="2" t="s">
        <v>2571</v>
      </c>
    </row>
    <row r="3468" spans="1:16" ht="22" customHeight="1" x14ac:dyDescent="0.15">
      <c r="A3468" s="10" t="str">
        <f t="shared" si="530"/>
        <v>548_10_5_10_polygon</v>
      </c>
      <c r="B3468" s="2">
        <v>548</v>
      </c>
      <c r="C3468" s="30" t="str">
        <f>VLOOKUP(B3468,gachas!A:C,3)</f>
        <v>フィーバーフェス（1日目）</v>
      </c>
      <c r="D3468" s="21">
        <v>10</v>
      </c>
      <c r="E3468" s="2">
        <f t="shared" si="533"/>
        <v>5</v>
      </c>
      <c r="F3468" s="2">
        <v>10</v>
      </c>
      <c r="G3468" s="3" t="s">
        <v>22</v>
      </c>
      <c r="H3468" s="2">
        <v>50</v>
      </c>
      <c r="I3468" s="114" t="str">
        <f t="shared" si="534"/>
        <v>548100</v>
      </c>
      <c r="J3468" s="112" t="str">
        <f>CONCATENATE(B3468,D3468,5)</f>
        <v>548105</v>
      </c>
      <c r="K3468" s="112" t="str">
        <f t="shared" si="532"/>
        <v>548100</v>
      </c>
      <c r="L3468" s="2">
        <v>1</v>
      </c>
      <c r="M3468" s="2" t="s">
        <v>84</v>
      </c>
      <c r="N3468" s="2" t="s">
        <v>84</v>
      </c>
      <c r="O3468" s="2" t="s">
        <v>841</v>
      </c>
      <c r="P3468" s="2" t="s">
        <v>2648</v>
      </c>
    </row>
    <row r="3469" spans="1:16" ht="22" customHeight="1" x14ac:dyDescent="0.15">
      <c r="A3469" s="10" t="str">
        <f t="shared" si="530"/>
        <v>548_10_6_10_polygon</v>
      </c>
      <c r="B3469" s="2">
        <v>548</v>
      </c>
      <c r="C3469" s="30" t="str">
        <f>VLOOKUP(B3469,gachas!A:C,3)</f>
        <v>フィーバーフェス（1日目）</v>
      </c>
      <c r="D3469" s="21">
        <v>10</v>
      </c>
      <c r="E3469" s="2">
        <f t="shared" si="533"/>
        <v>6</v>
      </c>
      <c r="F3469" s="2">
        <v>10</v>
      </c>
      <c r="G3469" s="3" t="s">
        <v>22</v>
      </c>
      <c r="H3469" s="2">
        <v>50</v>
      </c>
      <c r="I3469" s="114" t="str">
        <f t="shared" si="534"/>
        <v>548100</v>
      </c>
      <c r="J3469" s="112" t="s">
        <v>84</v>
      </c>
      <c r="K3469" s="112" t="str">
        <f t="shared" si="532"/>
        <v>548100</v>
      </c>
      <c r="L3469" s="2">
        <v>1</v>
      </c>
      <c r="M3469" s="2" t="s">
        <v>84</v>
      </c>
      <c r="N3469" s="2" t="s">
        <v>84</v>
      </c>
      <c r="O3469" s="2" t="s">
        <v>841</v>
      </c>
      <c r="P3469" s="2" t="s">
        <v>2571</v>
      </c>
    </row>
    <row r="3470" spans="1:16" ht="22" customHeight="1" x14ac:dyDescent="0.15">
      <c r="A3470" s="10" t="str">
        <f t="shared" si="530"/>
        <v>548_10_7_10_polygon</v>
      </c>
      <c r="B3470" s="2">
        <v>548</v>
      </c>
      <c r="C3470" s="30" t="str">
        <f>VLOOKUP(B3470,gachas!A:C,3)</f>
        <v>フィーバーフェス（1日目）</v>
      </c>
      <c r="D3470" s="21">
        <v>10</v>
      </c>
      <c r="E3470" s="2">
        <f t="shared" si="533"/>
        <v>7</v>
      </c>
      <c r="F3470" s="2">
        <v>10</v>
      </c>
      <c r="G3470" s="3" t="s">
        <v>22</v>
      </c>
      <c r="H3470" s="2">
        <v>50</v>
      </c>
      <c r="I3470" s="114" t="str">
        <f t="shared" si="534"/>
        <v>548100</v>
      </c>
      <c r="J3470" s="112" t="s">
        <v>84</v>
      </c>
      <c r="K3470" s="112" t="str">
        <f t="shared" si="532"/>
        <v>548100</v>
      </c>
      <c r="L3470" s="2">
        <v>1</v>
      </c>
      <c r="M3470" s="2" t="s">
        <v>84</v>
      </c>
      <c r="N3470" s="2" t="s">
        <v>84</v>
      </c>
      <c r="O3470" s="2" t="s">
        <v>841</v>
      </c>
      <c r="P3470" s="2" t="s">
        <v>2571</v>
      </c>
    </row>
    <row r="3471" spans="1:16" ht="22" customHeight="1" x14ac:dyDescent="0.15">
      <c r="A3471" s="10" t="str">
        <f t="shared" si="530"/>
        <v>548_10_8_10_polygon</v>
      </c>
      <c r="B3471" s="2">
        <v>548</v>
      </c>
      <c r="C3471" s="30" t="str">
        <f>VLOOKUP(B3471,gachas!A:C,3)</f>
        <v>フィーバーフェス（1日目）</v>
      </c>
      <c r="D3471" s="21">
        <v>10</v>
      </c>
      <c r="E3471" s="2">
        <f t="shared" si="533"/>
        <v>8</v>
      </c>
      <c r="F3471" s="2">
        <v>10</v>
      </c>
      <c r="G3471" s="3" t="s">
        <v>22</v>
      </c>
      <c r="H3471" s="2">
        <v>50</v>
      </c>
      <c r="I3471" s="114" t="str">
        <f t="shared" si="534"/>
        <v>548100</v>
      </c>
      <c r="J3471" s="112" t="s">
        <v>84</v>
      </c>
      <c r="K3471" s="112" t="str">
        <f t="shared" si="532"/>
        <v>548100</v>
      </c>
      <c r="L3471" s="2">
        <v>1</v>
      </c>
      <c r="M3471" s="2" t="s">
        <v>84</v>
      </c>
      <c r="N3471" s="2" t="s">
        <v>84</v>
      </c>
      <c r="O3471" s="2" t="s">
        <v>841</v>
      </c>
      <c r="P3471" s="2" t="s">
        <v>2571</v>
      </c>
    </row>
    <row r="3472" spans="1:16" ht="22" customHeight="1" x14ac:dyDescent="0.15">
      <c r="A3472" s="10" t="str">
        <f t="shared" si="530"/>
        <v>548_10_9_10_polygon</v>
      </c>
      <c r="B3472" s="2">
        <v>548</v>
      </c>
      <c r="C3472" s="30" t="str">
        <f>VLOOKUP(B3472,gachas!A:C,3)</f>
        <v>フィーバーフェス（1日目）</v>
      </c>
      <c r="D3472" s="21">
        <v>10</v>
      </c>
      <c r="E3472" s="2">
        <f t="shared" si="533"/>
        <v>9</v>
      </c>
      <c r="F3472" s="2">
        <v>10</v>
      </c>
      <c r="G3472" s="3" t="s">
        <v>22</v>
      </c>
      <c r="H3472" s="2">
        <v>50</v>
      </c>
      <c r="I3472" s="114" t="str">
        <f t="shared" si="534"/>
        <v>548100</v>
      </c>
      <c r="J3472" s="112" t="s">
        <v>84</v>
      </c>
      <c r="K3472" s="112" t="str">
        <f t="shared" si="532"/>
        <v>548100</v>
      </c>
      <c r="L3472" s="2">
        <v>1</v>
      </c>
      <c r="M3472" s="2" t="s">
        <v>84</v>
      </c>
      <c r="N3472" s="2" t="s">
        <v>84</v>
      </c>
      <c r="O3472" s="2" t="s">
        <v>841</v>
      </c>
      <c r="P3472" s="2" t="s">
        <v>2571</v>
      </c>
    </row>
    <row r="3473" spans="1:16" ht="22" customHeight="1" x14ac:dyDescent="0.15">
      <c r="A3473" s="10" t="str">
        <f t="shared" si="530"/>
        <v>548_10_10_10_polygon</v>
      </c>
      <c r="B3473" s="2">
        <v>548</v>
      </c>
      <c r="C3473" s="30" t="str">
        <f>VLOOKUP(B3473,gachas!A:C,3)</f>
        <v>フィーバーフェス（1日目）</v>
      </c>
      <c r="D3473" s="21">
        <v>10</v>
      </c>
      <c r="E3473" s="2">
        <f t="shared" si="533"/>
        <v>10</v>
      </c>
      <c r="F3473" s="2">
        <v>10</v>
      </c>
      <c r="G3473" s="3" t="s">
        <v>22</v>
      </c>
      <c r="H3473" s="2">
        <v>50</v>
      </c>
      <c r="I3473" s="114" t="str">
        <f t="shared" si="534"/>
        <v>548100</v>
      </c>
      <c r="J3473" s="112" t="str">
        <f>CONCATENATE(B3473,D3473,5)</f>
        <v>548105</v>
      </c>
      <c r="K3473" s="112" t="str">
        <f t="shared" si="532"/>
        <v>548100</v>
      </c>
      <c r="L3473" s="2">
        <v>1</v>
      </c>
      <c r="M3473" s="2" t="s">
        <v>84</v>
      </c>
      <c r="N3473" s="2" t="s">
        <v>84</v>
      </c>
      <c r="O3473" s="2" t="s">
        <v>841</v>
      </c>
      <c r="P3473" s="2" t="s">
        <v>2648</v>
      </c>
    </row>
    <row r="3474" spans="1:16" ht="22" customHeight="1" x14ac:dyDescent="0.15">
      <c r="A3474" s="10" t="str">
        <f t="shared" si="530"/>
        <v>548_10_11_10_polygon</v>
      </c>
      <c r="B3474" s="2">
        <v>548</v>
      </c>
      <c r="C3474" s="30" t="str">
        <f>VLOOKUP(B3474,gachas!A:C,3)</f>
        <v>フィーバーフェス（1日目）</v>
      </c>
      <c r="D3474" s="21">
        <v>10</v>
      </c>
      <c r="E3474" s="2">
        <f t="shared" si="533"/>
        <v>11</v>
      </c>
      <c r="F3474" s="2">
        <v>10</v>
      </c>
      <c r="G3474" s="3" t="s">
        <v>22</v>
      </c>
      <c r="H3474" s="2">
        <v>50</v>
      </c>
      <c r="I3474" s="114" t="str">
        <f t="shared" si="534"/>
        <v>548100</v>
      </c>
      <c r="J3474" s="112" t="s">
        <v>84</v>
      </c>
      <c r="K3474" s="112" t="str">
        <f t="shared" si="532"/>
        <v>548100</v>
      </c>
      <c r="L3474" s="2">
        <v>1</v>
      </c>
      <c r="M3474" s="2" t="s">
        <v>84</v>
      </c>
      <c r="N3474" s="2" t="s">
        <v>84</v>
      </c>
      <c r="O3474" s="2" t="s">
        <v>841</v>
      </c>
      <c r="P3474" s="2" t="s">
        <v>2571</v>
      </c>
    </row>
    <row r="3475" spans="1:16" ht="22" customHeight="1" x14ac:dyDescent="0.15">
      <c r="A3475" s="10" t="str">
        <f t="shared" si="530"/>
        <v>548_10_12_10_polygon</v>
      </c>
      <c r="B3475" s="2">
        <v>548</v>
      </c>
      <c r="C3475" s="30" t="str">
        <f>VLOOKUP(B3475,gachas!A:C,3)</f>
        <v>フィーバーフェス（1日目）</v>
      </c>
      <c r="D3475" s="21">
        <v>10</v>
      </c>
      <c r="E3475" s="2">
        <f t="shared" si="533"/>
        <v>12</v>
      </c>
      <c r="F3475" s="2">
        <v>10</v>
      </c>
      <c r="G3475" s="3" t="s">
        <v>22</v>
      </c>
      <c r="H3475" s="2">
        <v>50</v>
      </c>
      <c r="I3475" s="114" t="str">
        <f t="shared" si="534"/>
        <v>548100</v>
      </c>
      <c r="J3475" s="112" t="s">
        <v>84</v>
      </c>
      <c r="K3475" s="112" t="str">
        <f t="shared" si="532"/>
        <v>548100</v>
      </c>
      <c r="L3475" s="2">
        <v>1</v>
      </c>
      <c r="M3475" s="2" t="s">
        <v>84</v>
      </c>
      <c r="N3475" s="2" t="s">
        <v>84</v>
      </c>
      <c r="O3475" s="2" t="s">
        <v>841</v>
      </c>
      <c r="P3475" s="2" t="s">
        <v>2571</v>
      </c>
    </row>
    <row r="3476" spans="1:16" ht="22" customHeight="1" x14ac:dyDescent="0.15">
      <c r="A3476" s="10" t="str">
        <f t="shared" si="530"/>
        <v>548_10_13_10_polygon</v>
      </c>
      <c r="B3476" s="2">
        <v>548</v>
      </c>
      <c r="C3476" s="30" t="str">
        <f>VLOOKUP(B3476,gachas!A:C,3)</f>
        <v>フィーバーフェス（1日目）</v>
      </c>
      <c r="D3476" s="21">
        <v>10</v>
      </c>
      <c r="E3476" s="2">
        <f t="shared" si="533"/>
        <v>13</v>
      </c>
      <c r="F3476" s="2">
        <v>10</v>
      </c>
      <c r="G3476" s="3" t="s">
        <v>22</v>
      </c>
      <c r="H3476" s="2">
        <v>50</v>
      </c>
      <c r="I3476" s="114" t="str">
        <f t="shared" si="534"/>
        <v>548100</v>
      </c>
      <c r="J3476" s="112" t="s">
        <v>84</v>
      </c>
      <c r="K3476" s="112" t="str">
        <f t="shared" si="532"/>
        <v>548100</v>
      </c>
      <c r="L3476" s="2">
        <v>1</v>
      </c>
      <c r="M3476" s="2" t="s">
        <v>84</v>
      </c>
      <c r="N3476" s="2" t="s">
        <v>84</v>
      </c>
      <c r="O3476" s="2" t="s">
        <v>841</v>
      </c>
      <c r="P3476" s="2" t="s">
        <v>2571</v>
      </c>
    </row>
    <row r="3477" spans="1:16" ht="22" customHeight="1" x14ac:dyDescent="0.15">
      <c r="A3477" s="10" t="str">
        <f t="shared" si="530"/>
        <v>548_10_14_10_polygon</v>
      </c>
      <c r="B3477" s="2">
        <v>548</v>
      </c>
      <c r="C3477" s="30" t="str">
        <f>VLOOKUP(B3477,gachas!A:C,3)</f>
        <v>フィーバーフェス（1日目）</v>
      </c>
      <c r="D3477" s="21">
        <v>10</v>
      </c>
      <c r="E3477" s="2">
        <f t="shared" si="533"/>
        <v>14</v>
      </c>
      <c r="F3477" s="2">
        <v>10</v>
      </c>
      <c r="G3477" s="3" t="s">
        <v>22</v>
      </c>
      <c r="H3477" s="2">
        <v>50</v>
      </c>
      <c r="I3477" s="114" t="str">
        <f t="shared" si="534"/>
        <v>548100</v>
      </c>
      <c r="J3477" s="112" t="s">
        <v>84</v>
      </c>
      <c r="K3477" s="112" t="str">
        <f t="shared" si="532"/>
        <v>548100</v>
      </c>
      <c r="L3477" s="2">
        <v>1</v>
      </c>
      <c r="M3477" s="2" t="s">
        <v>84</v>
      </c>
      <c r="N3477" s="2" t="s">
        <v>84</v>
      </c>
      <c r="O3477" s="2" t="s">
        <v>841</v>
      </c>
      <c r="P3477" s="2" t="s">
        <v>2571</v>
      </c>
    </row>
    <row r="3478" spans="1:16" ht="22" customHeight="1" x14ac:dyDescent="0.15">
      <c r="A3478" s="10" t="str">
        <f t="shared" si="530"/>
        <v>548_10_15_10_polygon</v>
      </c>
      <c r="B3478" s="2">
        <v>548</v>
      </c>
      <c r="C3478" s="30" t="str">
        <f>VLOOKUP(B3478,gachas!A:C,3)</f>
        <v>フィーバーフェス（1日目）</v>
      </c>
      <c r="D3478" s="21">
        <v>10</v>
      </c>
      <c r="E3478" s="2">
        <f t="shared" si="533"/>
        <v>15</v>
      </c>
      <c r="F3478" s="2">
        <v>10</v>
      </c>
      <c r="G3478" s="3" t="s">
        <v>22</v>
      </c>
      <c r="H3478" s="2">
        <v>50</v>
      </c>
      <c r="I3478" s="114" t="str">
        <f t="shared" si="534"/>
        <v>548100</v>
      </c>
      <c r="J3478" s="112" t="str">
        <f>CONCATENATE(B3478,D3478,5)</f>
        <v>548105</v>
      </c>
      <c r="K3478" s="112" t="str">
        <f t="shared" si="532"/>
        <v>548100</v>
      </c>
      <c r="L3478" s="2">
        <v>1</v>
      </c>
      <c r="M3478" s="2" t="s">
        <v>84</v>
      </c>
      <c r="N3478" s="2" t="s">
        <v>84</v>
      </c>
      <c r="O3478" s="2" t="s">
        <v>841</v>
      </c>
      <c r="P3478" s="2" t="s">
        <v>2648</v>
      </c>
    </row>
    <row r="3479" spans="1:16" ht="22" customHeight="1" x14ac:dyDescent="0.15">
      <c r="A3479" s="10" t="str">
        <f t="shared" si="530"/>
        <v>548_10_16_10_polygon</v>
      </c>
      <c r="B3479" s="2">
        <v>548</v>
      </c>
      <c r="C3479" s="30" t="str">
        <f>VLOOKUP(B3479,gachas!A:C,3)</f>
        <v>フィーバーフェス（1日目）</v>
      </c>
      <c r="D3479" s="21">
        <v>10</v>
      </c>
      <c r="E3479" s="2">
        <f t="shared" si="533"/>
        <v>16</v>
      </c>
      <c r="F3479" s="2">
        <v>10</v>
      </c>
      <c r="G3479" s="3" t="s">
        <v>22</v>
      </c>
      <c r="H3479" s="2">
        <v>50</v>
      </c>
      <c r="I3479" s="114" t="str">
        <f t="shared" si="534"/>
        <v>548100</v>
      </c>
      <c r="J3479" s="112" t="s">
        <v>84</v>
      </c>
      <c r="K3479" s="112" t="str">
        <f t="shared" si="532"/>
        <v>548100</v>
      </c>
      <c r="L3479" s="2">
        <v>1</v>
      </c>
      <c r="M3479" s="2" t="s">
        <v>84</v>
      </c>
      <c r="N3479" s="2" t="s">
        <v>84</v>
      </c>
      <c r="O3479" s="2" t="s">
        <v>841</v>
      </c>
      <c r="P3479" s="2" t="s">
        <v>2571</v>
      </c>
    </row>
    <row r="3480" spans="1:16" ht="22" customHeight="1" x14ac:dyDescent="0.15">
      <c r="A3480" s="10" t="str">
        <f t="shared" si="530"/>
        <v>548_10_17_10_polygon</v>
      </c>
      <c r="B3480" s="2">
        <v>548</v>
      </c>
      <c r="C3480" s="30" t="str">
        <f>VLOOKUP(B3480,gachas!A:C,3)</f>
        <v>フィーバーフェス（1日目）</v>
      </c>
      <c r="D3480" s="21">
        <v>10</v>
      </c>
      <c r="E3480" s="2">
        <f t="shared" si="533"/>
        <v>17</v>
      </c>
      <c r="F3480" s="2">
        <v>10</v>
      </c>
      <c r="G3480" s="3" t="s">
        <v>22</v>
      </c>
      <c r="H3480" s="2">
        <v>50</v>
      </c>
      <c r="I3480" s="114" t="str">
        <f t="shared" si="534"/>
        <v>548100</v>
      </c>
      <c r="J3480" s="112" t="s">
        <v>84</v>
      </c>
      <c r="K3480" s="112" t="str">
        <f t="shared" si="532"/>
        <v>548100</v>
      </c>
      <c r="L3480" s="2">
        <v>1</v>
      </c>
      <c r="M3480" s="2" t="s">
        <v>84</v>
      </c>
      <c r="N3480" s="2" t="s">
        <v>84</v>
      </c>
      <c r="O3480" s="2" t="s">
        <v>841</v>
      </c>
      <c r="P3480" s="2" t="s">
        <v>2571</v>
      </c>
    </row>
    <row r="3481" spans="1:16" ht="22" customHeight="1" x14ac:dyDescent="0.15">
      <c r="A3481" s="10" t="str">
        <f t="shared" si="530"/>
        <v>548_10_18_10_polygon</v>
      </c>
      <c r="B3481" s="2">
        <v>548</v>
      </c>
      <c r="C3481" s="30" t="str">
        <f>VLOOKUP(B3481,gachas!A:C,3)</f>
        <v>フィーバーフェス（1日目）</v>
      </c>
      <c r="D3481" s="21">
        <v>10</v>
      </c>
      <c r="E3481" s="2">
        <f t="shared" si="533"/>
        <v>18</v>
      </c>
      <c r="F3481" s="2">
        <v>10</v>
      </c>
      <c r="G3481" s="3" t="s">
        <v>22</v>
      </c>
      <c r="H3481" s="2">
        <v>50</v>
      </c>
      <c r="I3481" s="114" t="str">
        <f t="shared" si="534"/>
        <v>548100</v>
      </c>
      <c r="J3481" s="112" t="s">
        <v>84</v>
      </c>
      <c r="K3481" s="112" t="str">
        <f t="shared" si="532"/>
        <v>548100</v>
      </c>
      <c r="L3481" s="2">
        <v>1</v>
      </c>
      <c r="M3481" s="2" t="s">
        <v>84</v>
      </c>
      <c r="N3481" s="2" t="s">
        <v>84</v>
      </c>
      <c r="O3481" s="2" t="s">
        <v>841</v>
      </c>
      <c r="P3481" s="2" t="s">
        <v>2571</v>
      </c>
    </row>
    <row r="3482" spans="1:16" ht="22" customHeight="1" x14ac:dyDescent="0.15">
      <c r="A3482" s="10" t="str">
        <f t="shared" si="530"/>
        <v>548_10_19_10_polygon</v>
      </c>
      <c r="B3482" s="2">
        <v>548</v>
      </c>
      <c r="C3482" s="30" t="str">
        <f>VLOOKUP(B3482,gachas!A:C,3)</f>
        <v>フィーバーフェス（1日目）</v>
      </c>
      <c r="D3482" s="21">
        <v>10</v>
      </c>
      <c r="E3482" s="2">
        <f t="shared" si="533"/>
        <v>19</v>
      </c>
      <c r="F3482" s="2">
        <v>10</v>
      </c>
      <c r="G3482" s="3" t="s">
        <v>22</v>
      </c>
      <c r="H3482" s="2">
        <v>50</v>
      </c>
      <c r="I3482" s="114" t="str">
        <f t="shared" si="534"/>
        <v>548100</v>
      </c>
      <c r="J3482" s="112" t="s">
        <v>84</v>
      </c>
      <c r="K3482" s="112" t="str">
        <f t="shared" si="532"/>
        <v>548100</v>
      </c>
      <c r="L3482" s="2">
        <v>1</v>
      </c>
      <c r="M3482" s="2" t="s">
        <v>84</v>
      </c>
      <c r="N3482" s="2" t="s">
        <v>84</v>
      </c>
      <c r="O3482" s="2" t="s">
        <v>841</v>
      </c>
      <c r="P3482" s="2" t="s">
        <v>2571</v>
      </c>
    </row>
    <row r="3483" spans="1:16" ht="22" customHeight="1" x14ac:dyDescent="0.15">
      <c r="A3483" s="10" t="str">
        <f t="shared" si="530"/>
        <v>548_10_20_10_polygon</v>
      </c>
      <c r="B3483" s="2">
        <v>548</v>
      </c>
      <c r="C3483" s="30" t="str">
        <f>VLOOKUP(B3483,gachas!A:C,3)</f>
        <v>フィーバーフェス（1日目）</v>
      </c>
      <c r="D3483" s="21">
        <v>10</v>
      </c>
      <c r="E3483" s="2">
        <f t="shared" si="533"/>
        <v>20</v>
      </c>
      <c r="F3483" s="2">
        <v>10</v>
      </c>
      <c r="G3483" s="3" t="s">
        <v>22</v>
      </c>
      <c r="H3483" s="2">
        <v>50</v>
      </c>
      <c r="I3483" s="114" t="str">
        <f t="shared" si="534"/>
        <v>548100</v>
      </c>
      <c r="J3483" s="112" t="str">
        <f>CONCATENATE(B3483,D3483,5)</f>
        <v>548105</v>
      </c>
      <c r="K3483" s="112" t="str">
        <f t="shared" si="532"/>
        <v>548100</v>
      </c>
      <c r="L3483" s="2">
        <v>1</v>
      </c>
      <c r="M3483" s="2" t="s">
        <v>84</v>
      </c>
      <c r="N3483" s="2" t="s">
        <v>84</v>
      </c>
      <c r="O3483" s="2" t="s">
        <v>841</v>
      </c>
      <c r="P3483" s="2" t="s">
        <v>2648</v>
      </c>
    </row>
    <row r="3484" spans="1:16" ht="22" customHeight="1" x14ac:dyDescent="0.15">
      <c r="A3484" s="10" t="str">
        <f t="shared" si="530"/>
        <v>548_10_21_10_polygon</v>
      </c>
      <c r="B3484" s="2">
        <v>548</v>
      </c>
      <c r="C3484" s="30" t="str">
        <f>VLOOKUP(B3484,gachas!A:C,3)</f>
        <v>フィーバーフェス（1日目）</v>
      </c>
      <c r="D3484" s="21">
        <v>10</v>
      </c>
      <c r="E3484" s="2">
        <f t="shared" si="533"/>
        <v>21</v>
      </c>
      <c r="F3484" s="2">
        <v>10</v>
      </c>
      <c r="G3484" s="3" t="s">
        <v>22</v>
      </c>
      <c r="H3484" s="2">
        <v>50</v>
      </c>
      <c r="I3484" s="114" t="str">
        <f t="shared" si="534"/>
        <v>548100</v>
      </c>
      <c r="J3484" s="112" t="s">
        <v>84</v>
      </c>
      <c r="K3484" s="112" t="str">
        <f t="shared" si="532"/>
        <v>548100</v>
      </c>
      <c r="L3484" s="2">
        <v>1</v>
      </c>
      <c r="M3484" s="2" t="s">
        <v>84</v>
      </c>
      <c r="N3484" s="2" t="s">
        <v>84</v>
      </c>
      <c r="O3484" s="2" t="s">
        <v>841</v>
      </c>
      <c r="P3484" s="2" t="s">
        <v>2571</v>
      </c>
    </row>
    <row r="3485" spans="1:16" ht="22" customHeight="1" x14ac:dyDescent="0.15">
      <c r="A3485" s="10" t="str">
        <f t="shared" si="530"/>
        <v>548_10_22_10_polygon</v>
      </c>
      <c r="B3485" s="2">
        <v>548</v>
      </c>
      <c r="C3485" s="30" t="str">
        <f>VLOOKUP(B3485,gachas!A:C,3)</f>
        <v>フィーバーフェス（1日目）</v>
      </c>
      <c r="D3485" s="21">
        <v>10</v>
      </c>
      <c r="E3485" s="2">
        <f t="shared" si="533"/>
        <v>22</v>
      </c>
      <c r="F3485" s="2">
        <v>10</v>
      </c>
      <c r="G3485" s="3" t="s">
        <v>22</v>
      </c>
      <c r="H3485" s="2">
        <v>50</v>
      </c>
      <c r="I3485" s="114" t="str">
        <f t="shared" si="534"/>
        <v>548100</v>
      </c>
      <c r="J3485" s="112" t="s">
        <v>84</v>
      </c>
      <c r="K3485" s="112" t="str">
        <f t="shared" si="532"/>
        <v>548100</v>
      </c>
      <c r="L3485" s="2">
        <v>1</v>
      </c>
      <c r="M3485" s="2" t="s">
        <v>84</v>
      </c>
      <c r="N3485" s="2" t="s">
        <v>84</v>
      </c>
      <c r="O3485" s="2" t="s">
        <v>841</v>
      </c>
      <c r="P3485" s="2" t="s">
        <v>2571</v>
      </c>
    </row>
    <row r="3486" spans="1:16" ht="22" customHeight="1" x14ac:dyDescent="0.15">
      <c r="A3486" s="10" t="str">
        <f t="shared" si="530"/>
        <v>548_10_23_10_polygon</v>
      </c>
      <c r="B3486" s="2">
        <v>548</v>
      </c>
      <c r="C3486" s="30" t="str">
        <f>VLOOKUP(B3486,gachas!A:C,3)</f>
        <v>フィーバーフェス（1日目）</v>
      </c>
      <c r="D3486" s="21">
        <v>10</v>
      </c>
      <c r="E3486" s="2">
        <f t="shared" si="533"/>
        <v>23</v>
      </c>
      <c r="F3486" s="2">
        <v>10</v>
      </c>
      <c r="G3486" s="3" t="s">
        <v>22</v>
      </c>
      <c r="H3486" s="2">
        <v>50</v>
      </c>
      <c r="I3486" s="114" t="str">
        <f t="shared" si="534"/>
        <v>548100</v>
      </c>
      <c r="J3486" s="112" t="s">
        <v>84</v>
      </c>
      <c r="K3486" s="112" t="str">
        <f t="shared" si="532"/>
        <v>548100</v>
      </c>
      <c r="L3486" s="2">
        <v>1</v>
      </c>
      <c r="M3486" s="2" t="s">
        <v>84</v>
      </c>
      <c r="N3486" s="2" t="s">
        <v>84</v>
      </c>
      <c r="O3486" s="2" t="s">
        <v>841</v>
      </c>
      <c r="P3486" s="2" t="s">
        <v>2571</v>
      </c>
    </row>
    <row r="3487" spans="1:16" ht="22" customHeight="1" x14ac:dyDescent="0.15">
      <c r="A3487" s="10" t="str">
        <f t="shared" si="530"/>
        <v>548_10_24_10_polygon</v>
      </c>
      <c r="B3487" s="2">
        <v>548</v>
      </c>
      <c r="C3487" s="30" t="str">
        <f>VLOOKUP(B3487,gachas!A:C,3)</f>
        <v>フィーバーフェス（1日目）</v>
      </c>
      <c r="D3487" s="21">
        <v>10</v>
      </c>
      <c r="E3487" s="2">
        <f t="shared" si="533"/>
        <v>24</v>
      </c>
      <c r="F3487" s="2">
        <v>10</v>
      </c>
      <c r="G3487" s="3" t="s">
        <v>22</v>
      </c>
      <c r="H3487" s="2">
        <v>50</v>
      </c>
      <c r="I3487" s="114" t="str">
        <f t="shared" si="534"/>
        <v>548100</v>
      </c>
      <c r="J3487" s="112" t="s">
        <v>84</v>
      </c>
      <c r="K3487" s="112" t="str">
        <f t="shared" si="532"/>
        <v>548100</v>
      </c>
      <c r="L3487" s="2">
        <v>1</v>
      </c>
      <c r="M3487" s="2" t="s">
        <v>84</v>
      </c>
      <c r="N3487" s="2" t="s">
        <v>84</v>
      </c>
      <c r="O3487" s="2" t="s">
        <v>841</v>
      </c>
      <c r="P3487" s="2" t="s">
        <v>2571</v>
      </c>
    </row>
    <row r="3488" spans="1:16" ht="22" customHeight="1" x14ac:dyDescent="0.15">
      <c r="A3488" s="10" t="str">
        <f t="shared" si="530"/>
        <v>548_10_25_10_polygon</v>
      </c>
      <c r="B3488" s="2">
        <v>548</v>
      </c>
      <c r="C3488" s="30" t="str">
        <f>VLOOKUP(B3488,gachas!A:C,3)</f>
        <v>フィーバーフェス（1日目）</v>
      </c>
      <c r="D3488" s="21">
        <v>10</v>
      </c>
      <c r="E3488" s="2">
        <f t="shared" si="533"/>
        <v>25</v>
      </c>
      <c r="F3488" s="2">
        <v>10</v>
      </c>
      <c r="G3488" s="3" t="s">
        <v>22</v>
      </c>
      <c r="H3488" s="2">
        <v>50</v>
      </c>
      <c r="I3488" s="114" t="str">
        <f t="shared" si="534"/>
        <v>548100</v>
      </c>
      <c r="J3488" s="112" t="str">
        <f>CONCATENATE(B3488,D3488,5)</f>
        <v>548105</v>
      </c>
      <c r="K3488" s="112" t="str">
        <f t="shared" si="532"/>
        <v>548100</v>
      </c>
      <c r="L3488" s="2">
        <v>1</v>
      </c>
      <c r="M3488" s="2" t="s">
        <v>84</v>
      </c>
      <c r="N3488" s="2" t="s">
        <v>84</v>
      </c>
      <c r="O3488" s="2" t="s">
        <v>841</v>
      </c>
      <c r="P3488" s="2" t="s">
        <v>2648</v>
      </c>
    </row>
    <row r="3489" spans="1:16" ht="22" customHeight="1" x14ac:dyDescent="0.15">
      <c r="A3489" s="10" t="str">
        <f t="shared" si="530"/>
        <v>548_10_26_10_polygon</v>
      </c>
      <c r="B3489" s="2">
        <v>548</v>
      </c>
      <c r="C3489" s="30" t="str">
        <f>VLOOKUP(B3489,gachas!A:C,3)</f>
        <v>フィーバーフェス（1日目）</v>
      </c>
      <c r="D3489" s="21">
        <v>10</v>
      </c>
      <c r="E3489" s="2">
        <f t="shared" si="533"/>
        <v>26</v>
      </c>
      <c r="F3489" s="2">
        <v>10</v>
      </c>
      <c r="G3489" s="3" t="s">
        <v>22</v>
      </c>
      <c r="H3489" s="2">
        <v>50</v>
      </c>
      <c r="I3489" s="114" t="str">
        <f t="shared" si="534"/>
        <v>548100</v>
      </c>
      <c r="J3489" s="112" t="s">
        <v>84</v>
      </c>
      <c r="K3489" s="112" t="str">
        <f t="shared" si="532"/>
        <v>548100</v>
      </c>
      <c r="L3489" s="2">
        <v>1</v>
      </c>
      <c r="M3489" s="2" t="s">
        <v>84</v>
      </c>
      <c r="N3489" s="2" t="s">
        <v>84</v>
      </c>
      <c r="O3489" s="2" t="s">
        <v>841</v>
      </c>
      <c r="P3489" s="2" t="s">
        <v>2571</v>
      </c>
    </row>
    <row r="3490" spans="1:16" ht="22" customHeight="1" x14ac:dyDescent="0.15">
      <c r="A3490" s="10" t="str">
        <f t="shared" si="530"/>
        <v>548_10_27_10_polygon</v>
      </c>
      <c r="B3490" s="2">
        <v>548</v>
      </c>
      <c r="C3490" s="30" t="str">
        <f>VLOOKUP(B3490,gachas!A:C,3)</f>
        <v>フィーバーフェス（1日目）</v>
      </c>
      <c r="D3490" s="21">
        <v>10</v>
      </c>
      <c r="E3490" s="2">
        <f t="shared" si="533"/>
        <v>27</v>
      </c>
      <c r="F3490" s="2">
        <v>10</v>
      </c>
      <c r="G3490" s="3" t="s">
        <v>22</v>
      </c>
      <c r="H3490" s="2">
        <v>50</v>
      </c>
      <c r="I3490" s="114" t="str">
        <f t="shared" si="534"/>
        <v>548100</v>
      </c>
      <c r="J3490" s="112" t="s">
        <v>84</v>
      </c>
      <c r="K3490" s="112" t="str">
        <f t="shared" si="532"/>
        <v>548100</v>
      </c>
      <c r="L3490" s="2">
        <v>1</v>
      </c>
      <c r="M3490" s="2" t="s">
        <v>84</v>
      </c>
      <c r="N3490" s="2" t="s">
        <v>84</v>
      </c>
      <c r="O3490" s="2" t="s">
        <v>841</v>
      </c>
      <c r="P3490" s="2" t="s">
        <v>2571</v>
      </c>
    </row>
    <row r="3491" spans="1:16" ht="22" customHeight="1" x14ac:dyDescent="0.15">
      <c r="A3491" s="10" t="str">
        <f t="shared" si="530"/>
        <v>548_10_28_10_polygon</v>
      </c>
      <c r="B3491" s="2">
        <v>548</v>
      </c>
      <c r="C3491" s="30" t="str">
        <f>VLOOKUP(B3491,gachas!A:C,3)</f>
        <v>フィーバーフェス（1日目）</v>
      </c>
      <c r="D3491" s="21">
        <v>10</v>
      </c>
      <c r="E3491" s="2">
        <f t="shared" si="533"/>
        <v>28</v>
      </c>
      <c r="F3491" s="2">
        <v>10</v>
      </c>
      <c r="G3491" s="3" t="s">
        <v>22</v>
      </c>
      <c r="H3491" s="2">
        <v>50</v>
      </c>
      <c r="I3491" s="114" t="str">
        <f t="shared" si="534"/>
        <v>548100</v>
      </c>
      <c r="J3491" s="112" t="s">
        <v>84</v>
      </c>
      <c r="K3491" s="112" t="str">
        <f t="shared" si="532"/>
        <v>548100</v>
      </c>
      <c r="L3491" s="2">
        <v>1</v>
      </c>
      <c r="M3491" s="2" t="s">
        <v>84</v>
      </c>
      <c r="N3491" s="2" t="s">
        <v>84</v>
      </c>
      <c r="O3491" s="2" t="s">
        <v>841</v>
      </c>
      <c r="P3491" s="2" t="s">
        <v>2571</v>
      </c>
    </row>
    <row r="3492" spans="1:16" ht="22" customHeight="1" x14ac:dyDescent="0.15">
      <c r="A3492" s="10" t="str">
        <f t="shared" si="530"/>
        <v>548_10_29_10_polygon</v>
      </c>
      <c r="B3492" s="2">
        <v>548</v>
      </c>
      <c r="C3492" s="30" t="str">
        <f>VLOOKUP(B3492,gachas!A:C,3)</f>
        <v>フィーバーフェス（1日目）</v>
      </c>
      <c r="D3492" s="21">
        <v>10</v>
      </c>
      <c r="E3492" s="2">
        <f t="shared" si="533"/>
        <v>29</v>
      </c>
      <c r="F3492" s="2">
        <v>10</v>
      </c>
      <c r="G3492" s="3" t="s">
        <v>22</v>
      </c>
      <c r="H3492" s="2">
        <v>50</v>
      </c>
      <c r="I3492" s="114" t="str">
        <f t="shared" si="534"/>
        <v>548100</v>
      </c>
      <c r="J3492" s="112" t="s">
        <v>84</v>
      </c>
      <c r="K3492" s="112" t="str">
        <f t="shared" si="532"/>
        <v>548100</v>
      </c>
      <c r="L3492" s="2">
        <v>1</v>
      </c>
      <c r="M3492" s="2" t="s">
        <v>84</v>
      </c>
      <c r="N3492" s="2" t="s">
        <v>84</v>
      </c>
      <c r="O3492" s="2" t="s">
        <v>841</v>
      </c>
      <c r="P3492" s="2" t="s">
        <v>2571</v>
      </c>
    </row>
    <row r="3493" spans="1:16" ht="22" customHeight="1" x14ac:dyDescent="0.15">
      <c r="A3493" s="10" t="str">
        <f t="shared" si="530"/>
        <v>548_10_30_10_polygon</v>
      </c>
      <c r="B3493" s="2">
        <v>548</v>
      </c>
      <c r="C3493" s="30" t="str">
        <f>VLOOKUP(B3493,gachas!A:C,3)</f>
        <v>フィーバーフェス（1日目）</v>
      </c>
      <c r="D3493" s="21">
        <v>10</v>
      </c>
      <c r="E3493" s="2">
        <f t="shared" si="533"/>
        <v>30</v>
      </c>
      <c r="F3493" s="2">
        <v>10</v>
      </c>
      <c r="G3493" s="3" t="s">
        <v>22</v>
      </c>
      <c r="H3493" s="2">
        <v>50</v>
      </c>
      <c r="I3493" s="114" t="str">
        <f t="shared" si="534"/>
        <v>548100</v>
      </c>
      <c r="J3493" s="112" t="str">
        <f>CONCATENATE(B3493,D3493,5)</f>
        <v>548105</v>
      </c>
      <c r="K3493" s="112" t="str">
        <f t="shared" si="532"/>
        <v>548100</v>
      </c>
      <c r="L3493" s="2">
        <v>1</v>
      </c>
      <c r="M3493" s="2" t="s">
        <v>84</v>
      </c>
      <c r="N3493" s="2" t="s">
        <v>84</v>
      </c>
      <c r="O3493" s="2" t="s">
        <v>841</v>
      </c>
      <c r="P3493" s="2" t="s">
        <v>2648</v>
      </c>
    </row>
    <row r="3494" spans="1:16" ht="22" customHeight="1" x14ac:dyDescent="0.15">
      <c r="A3494" s="10" t="str">
        <f t="shared" si="530"/>
        <v>548_10_31_10_polygon</v>
      </c>
      <c r="B3494" s="2">
        <v>548</v>
      </c>
      <c r="C3494" s="30" t="str">
        <f>VLOOKUP(B3494,gachas!A:C,3)</f>
        <v>フィーバーフェス（1日目）</v>
      </c>
      <c r="D3494" s="21">
        <v>10</v>
      </c>
      <c r="E3494" s="2">
        <f t="shared" si="533"/>
        <v>31</v>
      </c>
      <c r="F3494" s="2">
        <v>10</v>
      </c>
      <c r="G3494" s="3" t="s">
        <v>22</v>
      </c>
      <c r="H3494" s="2">
        <v>50</v>
      </c>
      <c r="I3494" s="114" t="str">
        <f t="shared" si="534"/>
        <v>548100</v>
      </c>
      <c r="J3494" s="112" t="s">
        <v>84</v>
      </c>
      <c r="K3494" s="112" t="str">
        <f t="shared" si="532"/>
        <v>548100</v>
      </c>
      <c r="L3494" s="2">
        <v>1</v>
      </c>
      <c r="M3494" s="2" t="s">
        <v>84</v>
      </c>
      <c r="N3494" s="2" t="s">
        <v>84</v>
      </c>
      <c r="O3494" s="2" t="s">
        <v>841</v>
      </c>
      <c r="P3494" s="2" t="s">
        <v>2571</v>
      </c>
    </row>
    <row r="3495" spans="1:16" ht="22" customHeight="1" x14ac:dyDescent="0.15">
      <c r="A3495" s="10" t="str">
        <f t="shared" si="530"/>
        <v>548_10_32_10_polygon</v>
      </c>
      <c r="B3495" s="2">
        <v>548</v>
      </c>
      <c r="C3495" s="30" t="str">
        <f>VLOOKUP(B3495,gachas!A:C,3)</f>
        <v>フィーバーフェス（1日目）</v>
      </c>
      <c r="D3495" s="21">
        <v>10</v>
      </c>
      <c r="E3495" s="2">
        <f t="shared" si="533"/>
        <v>32</v>
      </c>
      <c r="F3495" s="2">
        <v>10</v>
      </c>
      <c r="G3495" s="3" t="s">
        <v>22</v>
      </c>
      <c r="H3495" s="2">
        <v>50</v>
      </c>
      <c r="I3495" s="114" t="str">
        <f t="shared" si="534"/>
        <v>548100</v>
      </c>
      <c r="J3495" s="112" t="s">
        <v>84</v>
      </c>
      <c r="K3495" s="112" t="str">
        <f t="shared" si="532"/>
        <v>548100</v>
      </c>
      <c r="L3495" s="2">
        <v>1</v>
      </c>
      <c r="M3495" s="2" t="s">
        <v>84</v>
      </c>
      <c r="N3495" s="2" t="s">
        <v>84</v>
      </c>
      <c r="O3495" s="2" t="s">
        <v>841</v>
      </c>
      <c r="P3495" s="2" t="s">
        <v>2571</v>
      </c>
    </row>
    <row r="3496" spans="1:16" ht="22" customHeight="1" x14ac:dyDescent="0.15">
      <c r="A3496" s="10" t="str">
        <f t="shared" si="530"/>
        <v>548_10_33_10_polygon</v>
      </c>
      <c r="B3496" s="2">
        <v>548</v>
      </c>
      <c r="C3496" s="30" t="str">
        <f>VLOOKUP(B3496,gachas!A:C,3)</f>
        <v>フィーバーフェス（1日目）</v>
      </c>
      <c r="D3496" s="21">
        <v>10</v>
      </c>
      <c r="E3496" s="2">
        <f t="shared" si="533"/>
        <v>33</v>
      </c>
      <c r="F3496" s="2">
        <v>10</v>
      </c>
      <c r="G3496" s="3" t="s">
        <v>22</v>
      </c>
      <c r="H3496" s="2">
        <v>50</v>
      </c>
      <c r="I3496" s="114" t="str">
        <f t="shared" si="534"/>
        <v>548100</v>
      </c>
      <c r="J3496" s="112" t="s">
        <v>84</v>
      </c>
      <c r="K3496" s="112" t="str">
        <f t="shared" si="532"/>
        <v>548100</v>
      </c>
      <c r="L3496" s="2">
        <v>1</v>
      </c>
      <c r="M3496" s="2" t="s">
        <v>84</v>
      </c>
      <c r="N3496" s="2" t="s">
        <v>84</v>
      </c>
      <c r="O3496" s="2" t="s">
        <v>841</v>
      </c>
      <c r="P3496" s="2" t="s">
        <v>2571</v>
      </c>
    </row>
    <row r="3497" spans="1:16" ht="22" customHeight="1" x14ac:dyDescent="0.15">
      <c r="A3497" s="10" t="str">
        <f t="shared" ref="A3497:A3560" si="535">B3497&amp;"_"&amp;D3497&amp;"_"&amp;E3497&amp;"_"&amp;F3497&amp;"_"&amp;G3497</f>
        <v>548_10_34_10_polygon</v>
      </c>
      <c r="B3497" s="2">
        <v>548</v>
      </c>
      <c r="C3497" s="30" t="str">
        <f>VLOOKUP(B3497,gachas!A:C,3)</f>
        <v>フィーバーフェス（1日目）</v>
      </c>
      <c r="D3497" s="21">
        <v>10</v>
      </c>
      <c r="E3497" s="2">
        <f t="shared" si="533"/>
        <v>34</v>
      </c>
      <c r="F3497" s="2">
        <v>10</v>
      </c>
      <c r="G3497" s="3" t="s">
        <v>22</v>
      </c>
      <c r="H3497" s="2">
        <v>50</v>
      </c>
      <c r="I3497" s="114" t="str">
        <f t="shared" si="534"/>
        <v>548100</v>
      </c>
      <c r="J3497" s="112" t="s">
        <v>84</v>
      </c>
      <c r="K3497" s="112" t="str">
        <f t="shared" si="532"/>
        <v>548100</v>
      </c>
      <c r="L3497" s="2">
        <v>1</v>
      </c>
      <c r="M3497" s="2" t="s">
        <v>84</v>
      </c>
      <c r="N3497" s="2" t="s">
        <v>84</v>
      </c>
      <c r="O3497" s="2" t="s">
        <v>841</v>
      </c>
      <c r="P3497" s="2" t="s">
        <v>2571</v>
      </c>
    </row>
    <row r="3498" spans="1:16" ht="22" customHeight="1" x14ac:dyDescent="0.15">
      <c r="A3498" s="10" t="str">
        <f t="shared" si="535"/>
        <v>548_10_35_10_polygon</v>
      </c>
      <c r="B3498" s="2">
        <v>548</v>
      </c>
      <c r="C3498" s="30" t="str">
        <f>VLOOKUP(B3498,gachas!A:C,3)</f>
        <v>フィーバーフェス（1日目）</v>
      </c>
      <c r="D3498" s="21">
        <v>10</v>
      </c>
      <c r="E3498" s="2">
        <f t="shared" si="533"/>
        <v>35</v>
      </c>
      <c r="F3498" s="2">
        <v>10</v>
      </c>
      <c r="G3498" s="3" t="s">
        <v>22</v>
      </c>
      <c r="H3498" s="2">
        <v>50</v>
      </c>
      <c r="I3498" s="114" t="str">
        <f t="shared" si="534"/>
        <v>548100</v>
      </c>
      <c r="J3498" s="112" t="str">
        <f>CONCATENATE(B3498,D3498,5)</f>
        <v>548105</v>
      </c>
      <c r="K3498" s="112" t="str">
        <f t="shared" si="532"/>
        <v>548100</v>
      </c>
      <c r="L3498" s="2">
        <v>1</v>
      </c>
      <c r="M3498" s="2" t="s">
        <v>84</v>
      </c>
      <c r="N3498" s="2" t="s">
        <v>84</v>
      </c>
      <c r="O3498" s="2" t="s">
        <v>841</v>
      </c>
      <c r="P3498" s="2" t="s">
        <v>2648</v>
      </c>
    </row>
    <row r="3499" spans="1:16" ht="22" customHeight="1" x14ac:dyDescent="0.15">
      <c r="A3499" s="10" t="str">
        <f t="shared" si="535"/>
        <v>548_10_36_10_polygon</v>
      </c>
      <c r="B3499" s="2">
        <v>548</v>
      </c>
      <c r="C3499" s="30" t="str">
        <f>VLOOKUP(B3499,gachas!A:C,3)</f>
        <v>フィーバーフェス（1日目）</v>
      </c>
      <c r="D3499" s="21">
        <v>10</v>
      </c>
      <c r="E3499" s="2">
        <f t="shared" si="533"/>
        <v>36</v>
      </c>
      <c r="F3499" s="2">
        <v>10</v>
      </c>
      <c r="G3499" s="3" t="s">
        <v>22</v>
      </c>
      <c r="H3499" s="2">
        <v>50</v>
      </c>
      <c r="I3499" s="114" t="str">
        <f t="shared" si="534"/>
        <v>548100</v>
      </c>
      <c r="J3499" s="112" t="s">
        <v>84</v>
      </c>
      <c r="K3499" s="112" t="str">
        <f t="shared" si="532"/>
        <v>548100</v>
      </c>
      <c r="L3499" s="2">
        <v>1</v>
      </c>
      <c r="M3499" s="2" t="s">
        <v>84</v>
      </c>
      <c r="N3499" s="2" t="s">
        <v>84</v>
      </c>
      <c r="O3499" s="2" t="s">
        <v>841</v>
      </c>
      <c r="P3499" s="2" t="s">
        <v>2571</v>
      </c>
    </row>
    <row r="3500" spans="1:16" ht="22" customHeight="1" x14ac:dyDescent="0.15">
      <c r="A3500" s="10" t="str">
        <f t="shared" si="535"/>
        <v>548_10_37_10_polygon</v>
      </c>
      <c r="B3500" s="2">
        <v>548</v>
      </c>
      <c r="C3500" s="30" t="str">
        <f>VLOOKUP(B3500,gachas!A:C,3)</f>
        <v>フィーバーフェス（1日目）</v>
      </c>
      <c r="D3500" s="21">
        <v>10</v>
      </c>
      <c r="E3500" s="2">
        <f t="shared" si="533"/>
        <v>37</v>
      </c>
      <c r="F3500" s="2">
        <v>10</v>
      </c>
      <c r="G3500" s="3" t="s">
        <v>22</v>
      </c>
      <c r="H3500" s="2">
        <v>50</v>
      </c>
      <c r="I3500" s="114" t="str">
        <f t="shared" si="534"/>
        <v>548100</v>
      </c>
      <c r="J3500" s="112" t="s">
        <v>84</v>
      </c>
      <c r="K3500" s="112" t="str">
        <f t="shared" si="532"/>
        <v>548100</v>
      </c>
      <c r="L3500" s="2">
        <v>1</v>
      </c>
      <c r="M3500" s="2" t="s">
        <v>84</v>
      </c>
      <c r="N3500" s="2" t="s">
        <v>84</v>
      </c>
      <c r="O3500" s="2" t="s">
        <v>841</v>
      </c>
      <c r="P3500" s="2" t="s">
        <v>2571</v>
      </c>
    </row>
    <row r="3501" spans="1:16" ht="22" customHeight="1" x14ac:dyDescent="0.15">
      <c r="A3501" s="10" t="str">
        <f t="shared" si="535"/>
        <v>548_10_38_10_polygon</v>
      </c>
      <c r="B3501" s="2">
        <v>548</v>
      </c>
      <c r="C3501" s="30" t="str">
        <f>VLOOKUP(B3501,gachas!A:C,3)</f>
        <v>フィーバーフェス（1日目）</v>
      </c>
      <c r="D3501" s="21">
        <v>10</v>
      </c>
      <c r="E3501" s="2">
        <f t="shared" si="533"/>
        <v>38</v>
      </c>
      <c r="F3501" s="2">
        <v>10</v>
      </c>
      <c r="G3501" s="3" t="s">
        <v>22</v>
      </c>
      <c r="H3501" s="2">
        <v>50</v>
      </c>
      <c r="I3501" s="114" t="str">
        <f t="shared" si="534"/>
        <v>548100</v>
      </c>
      <c r="J3501" s="112" t="s">
        <v>84</v>
      </c>
      <c r="K3501" s="112" t="str">
        <f t="shared" si="532"/>
        <v>548100</v>
      </c>
      <c r="L3501" s="2">
        <v>1</v>
      </c>
      <c r="M3501" s="2" t="s">
        <v>84</v>
      </c>
      <c r="N3501" s="2" t="s">
        <v>84</v>
      </c>
      <c r="O3501" s="2" t="s">
        <v>841</v>
      </c>
      <c r="P3501" s="2" t="s">
        <v>2571</v>
      </c>
    </row>
    <row r="3502" spans="1:16" ht="22" customHeight="1" x14ac:dyDescent="0.15">
      <c r="A3502" s="10" t="str">
        <f t="shared" si="535"/>
        <v>548_10_39_10_polygon</v>
      </c>
      <c r="B3502" s="2">
        <v>548</v>
      </c>
      <c r="C3502" s="30" t="str">
        <f>VLOOKUP(B3502,gachas!A:C,3)</f>
        <v>フィーバーフェス（1日目）</v>
      </c>
      <c r="D3502" s="21">
        <v>10</v>
      </c>
      <c r="E3502" s="2">
        <f t="shared" si="533"/>
        <v>39</v>
      </c>
      <c r="F3502" s="2">
        <v>10</v>
      </c>
      <c r="G3502" s="3" t="s">
        <v>22</v>
      </c>
      <c r="H3502" s="2">
        <v>50</v>
      </c>
      <c r="I3502" s="114" t="str">
        <f t="shared" si="534"/>
        <v>548100</v>
      </c>
      <c r="J3502" s="112" t="s">
        <v>84</v>
      </c>
      <c r="K3502" s="112" t="str">
        <f t="shared" si="532"/>
        <v>548100</v>
      </c>
      <c r="L3502" s="2">
        <v>1</v>
      </c>
      <c r="M3502" s="2" t="s">
        <v>84</v>
      </c>
      <c r="N3502" s="2" t="s">
        <v>84</v>
      </c>
      <c r="O3502" s="2" t="s">
        <v>841</v>
      </c>
      <c r="P3502" s="2" t="s">
        <v>2571</v>
      </c>
    </row>
    <row r="3503" spans="1:16" ht="22" customHeight="1" x14ac:dyDescent="0.15">
      <c r="A3503" s="10" t="str">
        <f t="shared" si="535"/>
        <v>548_10_40_10_polygon</v>
      </c>
      <c r="B3503" s="2">
        <v>548</v>
      </c>
      <c r="C3503" s="30" t="str">
        <f>VLOOKUP(B3503,gachas!A:C,3)</f>
        <v>フィーバーフェス（1日目）</v>
      </c>
      <c r="D3503" s="21">
        <v>10</v>
      </c>
      <c r="E3503" s="2">
        <f t="shared" si="533"/>
        <v>40</v>
      </c>
      <c r="F3503" s="2">
        <v>10</v>
      </c>
      <c r="G3503" s="3" t="s">
        <v>22</v>
      </c>
      <c r="H3503" s="2">
        <v>50</v>
      </c>
      <c r="I3503" s="114" t="str">
        <f t="shared" si="534"/>
        <v>548100</v>
      </c>
      <c r="J3503" s="112" t="str">
        <f>CONCATENATE(B3503,D3503,5)</f>
        <v>548105</v>
      </c>
      <c r="K3503" s="112" t="str">
        <f t="shared" si="532"/>
        <v>548100</v>
      </c>
      <c r="L3503" s="2">
        <v>1</v>
      </c>
      <c r="M3503" s="2" t="s">
        <v>84</v>
      </c>
      <c r="N3503" s="2" t="s">
        <v>84</v>
      </c>
      <c r="O3503" s="2" t="s">
        <v>841</v>
      </c>
      <c r="P3503" s="2" t="s">
        <v>2648</v>
      </c>
    </row>
    <row r="3504" spans="1:16" ht="22" customHeight="1" x14ac:dyDescent="0.15">
      <c r="A3504" s="10" t="str">
        <f t="shared" si="535"/>
        <v>548_10_41_10_polygon</v>
      </c>
      <c r="B3504" s="2">
        <v>548</v>
      </c>
      <c r="C3504" s="30" t="str">
        <f>VLOOKUP(B3504,gachas!A:C,3)</f>
        <v>フィーバーフェス（1日目）</v>
      </c>
      <c r="D3504" s="21">
        <v>10</v>
      </c>
      <c r="E3504" s="2">
        <f t="shared" si="533"/>
        <v>41</v>
      </c>
      <c r="F3504" s="2">
        <v>10</v>
      </c>
      <c r="G3504" s="3" t="s">
        <v>22</v>
      </c>
      <c r="H3504" s="2">
        <v>50</v>
      </c>
      <c r="I3504" s="114" t="str">
        <f t="shared" si="534"/>
        <v>548100</v>
      </c>
      <c r="J3504" s="112" t="s">
        <v>84</v>
      </c>
      <c r="K3504" s="112" t="str">
        <f t="shared" si="532"/>
        <v>548100</v>
      </c>
      <c r="L3504" s="2">
        <v>1</v>
      </c>
      <c r="M3504" s="2" t="s">
        <v>84</v>
      </c>
      <c r="N3504" s="2" t="s">
        <v>84</v>
      </c>
      <c r="O3504" s="2" t="s">
        <v>841</v>
      </c>
      <c r="P3504" s="2" t="s">
        <v>2571</v>
      </c>
    </row>
    <row r="3505" spans="1:16" ht="22" customHeight="1" x14ac:dyDescent="0.15">
      <c r="A3505" s="10" t="str">
        <f t="shared" si="535"/>
        <v>548_10_42_10_polygon</v>
      </c>
      <c r="B3505" s="2">
        <v>548</v>
      </c>
      <c r="C3505" s="30" t="str">
        <f>VLOOKUP(B3505,gachas!A:C,3)</f>
        <v>フィーバーフェス（1日目）</v>
      </c>
      <c r="D3505" s="21">
        <v>10</v>
      </c>
      <c r="E3505" s="2">
        <f t="shared" si="533"/>
        <v>42</v>
      </c>
      <c r="F3505" s="2">
        <v>10</v>
      </c>
      <c r="G3505" s="3" t="s">
        <v>22</v>
      </c>
      <c r="H3505" s="2">
        <v>50</v>
      </c>
      <c r="I3505" s="114" t="str">
        <f t="shared" si="534"/>
        <v>548100</v>
      </c>
      <c r="J3505" s="112" t="s">
        <v>84</v>
      </c>
      <c r="K3505" s="112" t="str">
        <f t="shared" si="532"/>
        <v>548100</v>
      </c>
      <c r="L3505" s="2">
        <v>1</v>
      </c>
      <c r="M3505" s="2" t="s">
        <v>84</v>
      </c>
      <c r="N3505" s="2" t="s">
        <v>84</v>
      </c>
      <c r="O3505" s="2" t="s">
        <v>841</v>
      </c>
      <c r="P3505" s="2" t="s">
        <v>2571</v>
      </c>
    </row>
    <row r="3506" spans="1:16" ht="22" customHeight="1" x14ac:dyDescent="0.15">
      <c r="A3506" s="10" t="str">
        <f t="shared" si="535"/>
        <v>548_10_43_10_polygon</v>
      </c>
      <c r="B3506" s="2">
        <v>548</v>
      </c>
      <c r="C3506" s="30" t="str">
        <f>VLOOKUP(B3506,gachas!A:C,3)</f>
        <v>フィーバーフェス（1日目）</v>
      </c>
      <c r="D3506" s="21">
        <v>10</v>
      </c>
      <c r="E3506" s="2">
        <f t="shared" si="533"/>
        <v>43</v>
      </c>
      <c r="F3506" s="2">
        <v>10</v>
      </c>
      <c r="G3506" s="3" t="s">
        <v>22</v>
      </c>
      <c r="H3506" s="2">
        <v>50</v>
      </c>
      <c r="I3506" s="114" t="str">
        <f t="shared" si="534"/>
        <v>548100</v>
      </c>
      <c r="J3506" s="112" t="s">
        <v>84</v>
      </c>
      <c r="K3506" s="112" t="str">
        <f t="shared" si="532"/>
        <v>548100</v>
      </c>
      <c r="L3506" s="2">
        <v>1</v>
      </c>
      <c r="M3506" s="2" t="s">
        <v>84</v>
      </c>
      <c r="N3506" s="2" t="s">
        <v>84</v>
      </c>
      <c r="O3506" s="2" t="s">
        <v>841</v>
      </c>
      <c r="P3506" s="2" t="s">
        <v>2571</v>
      </c>
    </row>
    <row r="3507" spans="1:16" ht="22" customHeight="1" x14ac:dyDescent="0.15">
      <c r="A3507" s="10" t="str">
        <f t="shared" si="535"/>
        <v>548_10_44_10_polygon</v>
      </c>
      <c r="B3507" s="2">
        <v>548</v>
      </c>
      <c r="C3507" s="30" t="str">
        <f>VLOOKUP(B3507,gachas!A:C,3)</f>
        <v>フィーバーフェス（1日目）</v>
      </c>
      <c r="D3507" s="21">
        <v>10</v>
      </c>
      <c r="E3507" s="2">
        <f t="shared" si="533"/>
        <v>44</v>
      </c>
      <c r="F3507" s="2">
        <v>10</v>
      </c>
      <c r="G3507" s="3" t="s">
        <v>22</v>
      </c>
      <c r="H3507" s="2">
        <v>50</v>
      </c>
      <c r="I3507" s="114" t="str">
        <f t="shared" si="534"/>
        <v>548100</v>
      </c>
      <c r="J3507" s="112" t="s">
        <v>84</v>
      </c>
      <c r="K3507" s="112" t="str">
        <f t="shared" si="532"/>
        <v>548100</v>
      </c>
      <c r="L3507" s="2">
        <v>1</v>
      </c>
      <c r="M3507" s="2" t="s">
        <v>84</v>
      </c>
      <c r="N3507" s="2" t="s">
        <v>84</v>
      </c>
      <c r="O3507" s="2" t="s">
        <v>841</v>
      </c>
      <c r="P3507" s="2" t="s">
        <v>2571</v>
      </c>
    </row>
    <row r="3508" spans="1:16" ht="22" customHeight="1" x14ac:dyDescent="0.15">
      <c r="A3508" s="10" t="str">
        <f t="shared" si="535"/>
        <v>548_10_45_10_polygon</v>
      </c>
      <c r="B3508" s="2">
        <v>548</v>
      </c>
      <c r="C3508" s="30" t="str">
        <f>VLOOKUP(B3508,gachas!A:C,3)</f>
        <v>フィーバーフェス（1日目）</v>
      </c>
      <c r="D3508" s="21">
        <v>10</v>
      </c>
      <c r="E3508" s="2">
        <f t="shared" si="533"/>
        <v>45</v>
      </c>
      <c r="F3508" s="2">
        <v>10</v>
      </c>
      <c r="G3508" s="3" t="s">
        <v>22</v>
      </c>
      <c r="H3508" s="2">
        <v>50</v>
      </c>
      <c r="I3508" s="114" t="str">
        <f t="shared" si="534"/>
        <v>548100</v>
      </c>
      <c r="J3508" s="112" t="str">
        <f>CONCATENATE(B3508,D3508,5)</f>
        <v>548105</v>
      </c>
      <c r="K3508" s="112" t="str">
        <f t="shared" si="532"/>
        <v>548100</v>
      </c>
      <c r="L3508" s="2">
        <v>1</v>
      </c>
      <c r="M3508" s="2" t="s">
        <v>84</v>
      </c>
      <c r="N3508" s="2" t="s">
        <v>84</v>
      </c>
      <c r="O3508" s="2" t="s">
        <v>841</v>
      </c>
      <c r="P3508" s="2" t="s">
        <v>2648</v>
      </c>
    </row>
    <row r="3509" spans="1:16" ht="22" customHeight="1" x14ac:dyDescent="0.15">
      <c r="A3509" s="10" t="str">
        <f t="shared" si="535"/>
        <v>548_10_46_10_polygon</v>
      </c>
      <c r="B3509" s="2">
        <v>548</v>
      </c>
      <c r="C3509" s="30" t="str">
        <f>VLOOKUP(B3509,gachas!A:C,3)</f>
        <v>フィーバーフェス（1日目）</v>
      </c>
      <c r="D3509" s="21">
        <v>10</v>
      </c>
      <c r="E3509" s="2">
        <f t="shared" si="533"/>
        <v>46</v>
      </c>
      <c r="F3509" s="2">
        <v>10</v>
      </c>
      <c r="G3509" s="3" t="s">
        <v>22</v>
      </c>
      <c r="H3509" s="2">
        <v>50</v>
      </c>
      <c r="I3509" s="114" t="str">
        <f t="shared" si="534"/>
        <v>548100</v>
      </c>
      <c r="J3509" s="112" t="s">
        <v>84</v>
      </c>
      <c r="K3509" s="112" t="str">
        <f t="shared" si="532"/>
        <v>548100</v>
      </c>
      <c r="L3509" s="2">
        <v>1</v>
      </c>
      <c r="M3509" s="2" t="s">
        <v>84</v>
      </c>
      <c r="N3509" s="2" t="s">
        <v>84</v>
      </c>
      <c r="O3509" s="2" t="s">
        <v>841</v>
      </c>
      <c r="P3509" s="2" t="s">
        <v>2571</v>
      </c>
    </row>
    <row r="3510" spans="1:16" ht="22" customHeight="1" x14ac:dyDescent="0.15">
      <c r="A3510" s="10" t="str">
        <f t="shared" si="535"/>
        <v>548_10_47_10_polygon</v>
      </c>
      <c r="B3510" s="2">
        <v>548</v>
      </c>
      <c r="C3510" s="30" t="str">
        <f>VLOOKUP(B3510,gachas!A:C,3)</f>
        <v>フィーバーフェス（1日目）</v>
      </c>
      <c r="D3510" s="21">
        <v>10</v>
      </c>
      <c r="E3510" s="2">
        <f t="shared" si="533"/>
        <v>47</v>
      </c>
      <c r="F3510" s="2">
        <v>10</v>
      </c>
      <c r="G3510" s="3" t="s">
        <v>22</v>
      </c>
      <c r="H3510" s="2">
        <v>50</v>
      </c>
      <c r="I3510" s="114" t="str">
        <f t="shared" si="534"/>
        <v>548100</v>
      </c>
      <c r="J3510" s="112" t="s">
        <v>84</v>
      </c>
      <c r="K3510" s="112" t="str">
        <f t="shared" si="532"/>
        <v>548100</v>
      </c>
      <c r="L3510" s="2">
        <v>1</v>
      </c>
      <c r="M3510" s="2" t="s">
        <v>84</v>
      </c>
      <c r="N3510" s="2" t="s">
        <v>84</v>
      </c>
      <c r="O3510" s="2" t="s">
        <v>841</v>
      </c>
      <c r="P3510" s="2" t="s">
        <v>2571</v>
      </c>
    </row>
    <row r="3511" spans="1:16" ht="22" customHeight="1" x14ac:dyDescent="0.15">
      <c r="A3511" s="10" t="str">
        <f t="shared" si="535"/>
        <v>548_10_48_10_polygon</v>
      </c>
      <c r="B3511" s="2">
        <v>548</v>
      </c>
      <c r="C3511" s="30" t="str">
        <f>VLOOKUP(B3511,gachas!A:C,3)</f>
        <v>フィーバーフェス（1日目）</v>
      </c>
      <c r="D3511" s="21">
        <v>10</v>
      </c>
      <c r="E3511" s="2">
        <f t="shared" si="533"/>
        <v>48</v>
      </c>
      <c r="F3511" s="2">
        <v>10</v>
      </c>
      <c r="G3511" s="3" t="s">
        <v>22</v>
      </c>
      <c r="H3511" s="2">
        <v>50</v>
      </c>
      <c r="I3511" s="114" t="str">
        <f t="shared" si="534"/>
        <v>548100</v>
      </c>
      <c r="J3511" s="112" t="s">
        <v>84</v>
      </c>
      <c r="K3511" s="112" t="str">
        <f t="shared" si="532"/>
        <v>548100</v>
      </c>
      <c r="L3511" s="2">
        <v>1</v>
      </c>
      <c r="M3511" s="2" t="s">
        <v>84</v>
      </c>
      <c r="N3511" s="2" t="s">
        <v>84</v>
      </c>
      <c r="O3511" s="2" t="s">
        <v>841</v>
      </c>
      <c r="P3511" s="2" t="s">
        <v>2571</v>
      </c>
    </row>
    <row r="3512" spans="1:16" ht="22" customHeight="1" x14ac:dyDescent="0.15">
      <c r="A3512" s="10" t="str">
        <f t="shared" si="535"/>
        <v>548_10_49_10_polygon</v>
      </c>
      <c r="B3512" s="2">
        <v>548</v>
      </c>
      <c r="C3512" s="30" t="str">
        <f>VLOOKUP(B3512,gachas!A:C,3)</f>
        <v>フィーバーフェス（1日目）</v>
      </c>
      <c r="D3512" s="21">
        <v>10</v>
      </c>
      <c r="E3512" s="2">
        <f t="shared" si="533"/>
        <v>49</v>
      </c>
      <c r="F3512" s="2">
        <v>10</v>
      </c>
      <c r="G3512" s="3" t="s">
        <v>22</v>
      </c>
      <c r="H3512" s="2">
        <v>50</v>
      </c>
      <c r="I3512" s="114" t="str">
        <f t="shared" si="534"/>
        <v>548100</v>
      </c>
      <c r="J3512" s="112" t="s">
        <v>84</v>
      </c>
      <c r="K3512" s="112" t="str">
        <f t="shared" si="532"/>
        <v>548100</v>
      </c>
      <c r="L3512" s="2">
        <v>1</v>
      </c>
      <c r="M3512" s="2" t="s">
        <v>84</v>
      </c>
      <c r="N3512" s="2" t="s">
        <v>84</v>
      </c>
      <c r="O3512" s="2" t="s">
        <v>841</v>
      </c>
      <c r="P3512" s="2" t="s">
        <v>2571</v>
      </c>
    </row>
    <row r="3513" spans="1:16" ht="22" customHeight="1" x14ac:dyDescent="0.15">
      <c r="A3513" s="10" t="str">
        <f t="shared" si="535"/>
        <v>548_10_50_10_polygon</v>
      </c>
      <c r="B3513" s="2">
        <v>548</v>
      </c>
      <c r="C3513" s="30" t="str">
        <f>VLOOKUP(B3513,gachas!A:C,3)</f>
        <v>フィーバーフェス（1日目）</v>
      </c>
      <c r="D3513" s="21">
        <v>10</v>
      </c>
      <c r="E3513" s="2">
        <f t="shared" si="533"/>
        <v>50</v>
      </c>
      <c r="F3513" s="2">
        <v>10</v>
      </c>
      <c r="G3513" s="3" t="s">
        <v>22</v>
      </c>
      <c r="H3513" s="2">
        <v>50</v>
      </c>
      <c r="I3513" s="114" t="str">
        <f t="shared" si="534"/>
        <v>548100</v>
      </c>
      <c r="J3513" s="112" t="str">
        <f>CONCATENATE(B3513,D3513,5)</f>
        <v>548105</v>
      </c>
      <c r="K3513" s="112" t="str">
        <f t="shared" si="532"/>
        <v>548100</v>
      </c>
      <c r="L3513" s="2">
        <v>1</v>
      </c>
      <c r="M3513" s="2" t="s">
        <v>84</v>
      </c>
      <c r="N3513" s="2" t="s">
        <v>84</v>
      </c>
      <c r="O3513" s="2" t="s">
        <v>841</v>
      </c>
      <c r="P3513" s="2" t="s">
        <v>2648</v>
      </c>
    </row>
    <row r="3514" spans="1:16" ht="22" customHeight="1" x14ac:dyDescent="0.15">
      <c r="A3514" s="10" t="str">
        <f t="shared" si="535"/>
        <v>549_1_0_1_polygon</v>
      </c>
      <c r="B3514" s="2">
        <v>549</v>
      </c>
      <c r="C3514" s="30" t="str">
        <f>VLOOKUP(B3514,gachas!A:C,3)</f>
        <v>フィーバーフェス（2日目）</v>
      </c>
      <c r="D3514" s="21">
        <v>1</v>
      </c>
      <c r="E3514" s="2">
        <v>0</v>
      </c>
      <c r="F3514" s="2">
        <v>1</v>
      </c>
      <c r="G3514" s="3" t="s">
        <v>22</v>
      </c>
      <c r="H3514" s="2">
        <v>5</v>
      </c>
      <c r="I3514" s="114" t="str">
        <f t="shared" si="534"/>
        <v>549010</v>
      </c>
      <c r="J3514" s="112" t="s">
        <v>84</v>
      </c>
      <c r="K3514" s="112" t="s">
        <v>84</v>
      </c>
      <c r="L3514" s="2">
        <v>0</v>
      </c>
      <c r="M3514" s="2" t="s">
        <v>84</v>
      </c>
      <c r="N3514" s="2" t="s">
        <v>84</v>
      </c>
      <c r="O3514" s="2" t="s">
        <v>841</v>
      </c>
      <c r="P3514" s="2" t="s">
        <v>84</v>
      </c>
    </row>
    <row r="3515" spans="1:16" ht="22" customHeight="1" x14ac:dyDescent="0.15">
      <c r="A3515" s="10" t="str">
        <f t="shared" si="535"/>
        <v>549_10_0_10_polygon</v>
      </c>
      <c r="B3515" s="2">
        <v>549</v>
      </c>
      <c r="C3515" s="30" t="str">
        <f>VLOOKUP(B3515,gachas!A:C,3)</f>
        <v>フィーバーフェス（2日目）</v>
      </c>
      <c r="D3515" s="21">
        <v>10</v>
      </c>
      <c r="E3515" s="2">
        <v>0</v>
      </c>
      <c r="F3515" s="2">
        <v>10</v>
      </c>
      <c r="G3515" s="3" t="s">
        <v>22</v>
      </c>
      <c r="H3515" s="2">
        <v>50</v>
      </c>
      <c r="I3515" s="114" t="str">
        <f t="shared" si="534"/>
        <v>549100</v>
      </c>
      <c r="J3515" s="112" t="s">
        <v>84</v>
      </c>
      <c r="K3515" s="112" t="str">
        <f t="shared" ref="K3515:K3565" si="536">I3515</f>
        <v>549100</v>
      </c>
      <c r="L3515" s="2">
        <v>1</v>
      </c>
      <c r="M3515" s="2" t="s">
        <v>84</v>
      </c>
      <c r="N3515" s="2" t="s">
        <v>84</v>
      </c>
      <c r="O3515" s="2" t="s">
        <v>841</v>
      </c>
      <c r="P3515" s="2" t="s">
        <v>2571</v>
      </c>
    </row>
    <row r="3516" spans="1:16" ht="22" customHeight="1" x14ac:dyDescent="0.15">
      <c r="A3516" s="10" t="str">
        <f t="shared" si="535"/>
        <v>549_10_1_10_polygon</v>
      </c>
      <c r="B3516" s="2">
        <v>549</v>
      </c>
      <c r="C3516" s="30" t="str">
        <f>VLOOKUP(B3516,gachas!A:C,3)</f>
        <v>フィーバーフェス（2日目）</v>
      </c>
      <c r="D3516" s="21">
        <v>10</v>
      </c>
      <c r="E3516" s="2">
        <f>E3515+1</f>
        <v>1</v>
      </c>
      <c r="F3516" s="2">
        <v>10</v>
      </c>
      <c r="G3516" s="3" t="s">
        <v>22</v>
      </c>
      <c r="H3516" s="2">
        <v>50</v>
      </c>
      <c r="I3516" s="114" t="str">
        <f t="shared" si="534"/>
        <v>549100</v>
      </c>
      <c r="J3516" s="112" t="s">
        <v>84</v>
      </c>
      <c r="K3516" s="112" t="str">
        <f t="shared" si="536"/>
        <v>549100</v>
      </c>
      <c r="L3516" s="2">
        <v>1</v>
      </c>
      <c r="M3516" s="2" t="s">
        <v>84</v>
      </c>
      <c r="N3516" s="2" t="s">
        <v>84</v>
      </c>
      <c r="O3516" s="2" t="s">
        <v>841</v>
      </c>
      <c r="P3516" s="2" t="s">
        <v>2571</v>
      </c>
    </row>
    <row r="3517" spans="1:16" ht="22" customHeight="1" x14ac:dyDescent="0.15">
      <c r="A3517" s="10" t="str">
        <f t="shared" si="535"/>
        <v>549_10_2_10_polygon</v>
      </c>
      <c r="B3517" s="2">
        <v>549</v>
      </c>
      <c r="C3517" s="30" t="str">
        <f>VLOOKUP(B3517,gachas!A:C,3)</f>
        <v>フィーバーフェス（2日目）</v>
      </c>
      <c r="D3517" s="21">
        <v>10</v>
      </c>
      <c r="E3517" s="2">
        <f t="shared" ref="E3517:E3565" si="537">E3516+1</f>
        <v>2</v>
      </c>
      <c r="F3517" s="2">
        <v>10</v>
      </c>
      <c r="G3517" s="3" t="s">
        <v>22</v>
      </c>
      <c r="H3517" s="2">
        <v>50</v>
      </c>
      <c r="I3517" s="114" t="str">
        <f t="shared" si="534"/>
        <v>549100</v>
      </c>
      <c r="J3517" s="112" t="s">
        <v>84</v>
      </c>
      <c r="K3517" s="112" t="str">
        <f t="shared" si="536"/>
        <v>549100</v>
      </c>
      <c r="L3517" s="2">
        <v>1</v>
      </c>
      <c r="M3517" s="2" t="s">
        <v>84</v>
      </c>
      <c r="N3517" s="2" t="s">
        <v>84</v>
      </c>
      <c r="O3517" s="2" t="s">
        <v>841</v>
      </c>
      <c r="P3517" s="2" t="s">
        <v>2571</v>
      </c>
    </row>
    <row r="3518" spans="1:16" ht="22" customHeight="1" x14ac:dyDescent="0.15">
      <c r="A3518" s="10" t="str">
        <f t="shared" si="535"/>
        <v>549_10_3_10_polygon</v>
      </c>
      <c r="B3518" s="2">
        <v>549</v>
      </c>
      <c r="C3518" s="30" t="str">
        <f>VLOOKUP(B3518,gachas!A:C,3)</f>
        <v>フィーバーフェス（2日目）</v>
      </c>
      <c r="D3518" s="21">
        <v>10</v>
      </c>
      <c r="E3518" s="2">
        <f t="shared" si="537"/>
        <v>3</v>
      </c>
      <c r="F3518" s="2">
        <v>10</v>
      </c>
      <c r="G3518" s="3" t="s">
        <v>22</v>
      </c>
      <c r="H3518" s="2">
        <v>50</v>
      </c>
      <c r="I3518" s="114" t="str">
        <f t="shared" si="534"/>
        <v>549100</v>
      </c>
      <c r="J3518" s="112" t="s">
        <v>84</v>
      </c>
      <c r="K3518" s="112" t="str">
        <f t="shared" si="536"/>
        <v>549100</v>
      </c>
      <c r="L3518" s="2">
        <v>1</v>
      </c>
      <c r="M3518" s="2" t="s">
        <v>84</v>
      </c>
      <c r="N3518" s="2" t="s">
        <v>84</v>
      </c>
      <c r="O3518" s="2" t="s">
        <v>841</v>
      </c>
      <c r="P3518" s="2" t="s">
        <v>2571</v>
      </c>
    </row>
    <row r="3519" spans="1:16" ht="22" customHeight="1" x14ac:dyDescent="0.15">
      <c r="A3519" s="10" t="str">
        <f t="shared" si="535"/>
        <v>549_10_4_10_polygon</v>
      </c>
      <c r="B3519" s="2">
        <v>549</v>
      </c>
      <c r="C3519" s="30" t="str">
        <f>VLOOKUP(B3519,gachas!A:C,3)</f>
        <v>フィーバーフェス（2日目）</v>
      </c>
      <c r="D3519" s="21">
        <v>10</v>
      </c>
      <c r="E3519" s="2">
        <f t="shared" si="537"/>
        <v>4</v>
      </c>
      <c r="F3519" s="2">
        <v>10</v>
      </c>
      <c r="G3519" s="3" t="s">
        <v>22</v>
      </c>
      <c r="H3519" s="2">
        <v>50</v>
      </c>
      <c r="I3519" s="114" t="str">
        <f t="shared" si="534"/>
        <v>549100</v>
      </c>
      <c r="J3519" s="112" t="s">
        <v>84</v>
      </c>
      <c r="K3519" s="112" t="str">
        <f t="shared" si="536"/>
        <v>549100</v>
      </c>
      <c r="L3519" s="2">
        <v>1</v>
      </c>
      <c r="M3519" s="2" t="s">
        <v>84</v>
      </c>
      <c r="N3519" s="2" t="s">
        <v>84</v>
      </c>
      <c r="O3519" s="2" t="s">
        <v>841</v>
      </c>
      <c r="P3519" s="2" t="s">
        <v>2571</v>
      </c>
    </row>
    <row r="3520" spans="1:16" ht="22" customHeight="1" x14ac:dyDescent="0.15">
      <c r="A3520" s="10" t="str">
        <f t="shared" si="535"/>
        <v>549_10_5_10_polygon</v>
      </c>
      <c r="B3520" s="2">
        <v>549</v>
      </c>
      <c r="C3520" s="30" t="str">
        <f>VLOOKUP(B3520,gachas!A:C,3)</f>
        <v>フィーバーフェス（2日目）</v>
      </c>
      <c r="D3520" s="21">
        <v>10</v>
      </c>
      <c r="E3520" s="2">
        <f t="shared" si="537"/>
        <v>5</v>
      </c>
      <c r="F3520" s="2">
        <v>10</v>
      </c>
      <c r="G3520" s="3" t="s">
        <v>22</v>
      </c>
      <c r="H3520" s="2">
        <v>50</v>
      </c>
      <c r="I3520" s="114" t="str">
        <f t="shared" si="534"/>
        <v>549100</v>
      </c>
      <c r="J3520" s="112" t="str">
        <f>CONCATENATE(B3520,D3520,5)</f>
        <v>549105</v>
      </c>
      <c r="K3520" s="112" t="str">
        <f t="shared" si="536"/>
        <v>549100</v>
      </c>
      <c r="L3520" s="2">
        <v>1</v>
      </c>
      <c r="M3520" s="2" t="s">
        <v>84</v>
      </c>
      <c r="N3520" s="2" t="s">
        <v>84</v>
      </c>
      <c r="O3520" s="2" t="s">
        <v>841</v>
      </c>
      <c r="P3520" s="2" t="s">
        <v>2648</v>
      </c>
    </row>
    <row r="3521" spans="1:16" ht="22" customHeight="1" x14ac:dyDescent="0.15">
      <c r="A3521" s="10" t="str">
        <f t="shared" si="535"/>
        <v>549_10_6_10_polygon</v>
      </c>
      <c r="B3521" s="2">
        <v>549</v>
      </c>
      <c r="C3521" s="30" t="str">
        <f>VLOOKUP(B3521,gachas!A:C,3)</f>
        <v>フィーバーフェス（2日目）</v>
      </c>
      <c r="D3521" s="21">
        <v>10</v>
      </c>
      <c r="E3521" s="2">
        <f t="shared" si="537"/>
        <v>6</v>
      </c>
      <c r="F3521" s="2">
        <v>10</v>
      </c>
      <c r="G3521" s="3" t="s">
        <v>22</v>
      </c>
      <c r="H3521" s="2">
        <v>50</v>
      </c>
      <c r="I3521" s="114" t="str">
        <f t="shared" si="534"/>
        <v>549100</v>
      </c>
      <c r="J3521" s="112" t="s">
        <v>84</v>
      </c>
      <c r="K3521" s="112" t="str">
        <f t="shared" si="536"/>
        <v>549100</v>
      </c>
      <c r="L3521" s="2">
        <v>1</v>
      </c>
      <c r="M3521" s="2" t="s">
        <v>84</v>
      </c>
      <c r="N3521" s="2" t="s">
        <v>84</v>
      </c>
      <c r="O3521" s="2" t="s">
        <v>841</v>
      </c>
      <c r="P3521" s="2" t="s">
        <v>2571</v>
      </c>
    </row>
    <row r="3522" spans="1:16" ht="22" customHeight="1" x14ac:dyDescent="0.15">
      <c r="A3522" s="10" t="str">
        <f t="shared" si="535"/>
        <v>549_10_7_10_polygon</v>
      </c>
      <c r="B3522" s="2">
        <v>549</v>
      </c>
      <c r="C3522" s="30" t="str">
        <f>VLOOKUP(B3522,gachas!A:C,3)</f>
        <v>フィーバーフェス（2日目）</v>
      </c>
      <c r="D3522" s="21">
        <v>10</v>
      </c>
      <c r="E3522" s="2">
        <f t="shared" si="537"/>
        <v>7</v>
      </c>
      <c r="F3522" s="2">
        <v>10</v>
      </c>
      <c r="G3522" s="3" t="s">
        <v>22</v>
      </c>
      <c r="H3522" s="2">
        <v>50</v>
      </c>
      <c r="I3522" s="114" t="str">
        <f t="shared" si="534"/>
        <v>549100</v>
      </c>
      <c r="J3522" s="112" t="s">
        <v>84</v>
      </c>
      <c r="K3522" s="112" t="str">
        <f t="shared" si="536"/>
        <v>549100</v>
      </c>
      <c r="L3522" s="2">
        <v>1</v>
      </c>
      <c r="M3522" s="2" t="s">
        <v>84</v>
      </c>
      <c r="N3522" s="2" t="s">
        <v>84</v>
      </c>
      <c r="O3522" s="2" t="s">
        <v>841</v>
      </c>
      <c r="P3522" s="2" t="s">
        <v>2571</v>
      </c>
    </row>
    <row r="3523" spans="1:16" ht="22" customHeight="1" x14ac:dyDescent="0.15">
      <c r="A3523" s="10" t="str">
        <f t="shared" si="535"/>
        <v>549_10_8_10_polygon</v>
      </c>
      <c r="B3523" s="2">
        <v>549</v>
      </c>
      <c r="C3523" s="30" t="str">
        <f>VLOOKUP(B3523,gachas!A:C,3)</f>
        <v>フィーバーフェス（2日目）</v>
      </c>
      <c r="D3523" s="21">
        <v>10</v>
      </c>
      <c r="E3523" s="2">
        <f t="shared" si="537"/>
        <v>8</v>
      </c>
      <c r="F3523" s="2">
        <v>10</v>
      </c>
      <c r="G3523" s="3" t="s">
        <v>22</v>
      </c>
      <c r="H3523" s="2">
        <v>50</v>
      </c>
      <c r="I3523" s="114" t="str">
        <f t="shared" si="534"/>
        <v>549100</v>
      </c>
      <c r="J3523" s="112" t="s">
        <v>84</v>
      </c>
      <c r="K3523" s="112" t="str">
        <f t="shared" si="536"/>
        <v>549100</v>
      </c>
      <c r="L3523" s="2">
        <v>1</v>
      </c>
      <c r="M3523" s="2" t="s">
        <v>84</v>
      </c>
      <c r="N3523" s="2" t="s">
        <v>84</v>
      </c>
      <c r="O3523" s="2" t="s">
        <v>841</v>
      </c>
      <c r="P3523" s="2" t="s">
        <v>2571</v>
      </c>
    </row>
    <row r="3524" spans="1:16" ht="22" customHeight="1" x14ac:dyDescent="0.15">
      <c r="A3524" s="10" t="str">
        <f t="shared" si="535"/>
        <v>549_10_9_10_polygon</v>
      </c>
      <c r="B3524" s="2">
        <v>549</v>
      </c>
      <c r="C3524" s="30" t="str">
        <f>VLOOKUP(B3524,gachas!A:C,3)</f>
        <v>フィーバーフェス（2日目）</v>
      </c>
      <c r="D3524" s="21">
        <v>10</v>
      </c>
      <c r="E3524" s="2">
        <f t="shared" si="537"/>
        <v>9</v>
      </c>
      <c r="F3524" s="2">
        <v>10</v>
      </c>
      <c r="G3524" s="3" t="s">
        <v>22</v>
      </c>
      <c r="H3524" s="2">
        <v>50</v>
      </c>
      <c r="I3524" s="114" t="str">
        <f t="shared" si="534"/>
        <v>549100</v>
      </c>
      <c r="J3524" s="112" t="s">
        <v>84</v>
      </c>
      <c r="K3524" s="112" t="str">
        <f t="shared" si="536"/>
        <v>549100</v>
      </c>
      <c r="L3524" s="2">
        <v>1</v>
      </c>
      <c r="M3524" s="2" t="s">
        <v>84</v>
      </c>
      <c r="N3524" s="2" t="s">
        <v>84</v>
      </c>
      <c r="O3524" s="2" t="s">
        <v>841</v>
      </c>
      <c r="P3524" s="2" t="s">
        <v>2571</v>
      </c>
    </row>
    <row r="3525" spans="1:16" ht="22" customHeight="1" x14ac:dyDescent="0.15">
      <c r="A3525" s="10" t="str">
        <f t="shared" si="535"/>
        <v>549_10_10_10_polygon</v>
      </c>
      <c r="B3525" s="2">
        <v>549</v>
      </c>
      <c r="C3525" s="30" t="str">
        <f>VLOOKUP(B3525,gachas!A:C,3)</f>
        <v>フィーバーフェス（2日目）</v>
      </c>
      <c r="D3525" s="21">
        <v>10</v>
      </c>
      <c r="E3525" s="2">
        <f t="shared" si="537"/>
        <v>10</v>
      </c>
      <c r="F3525" s="2">
        <v>10</v>
      </c>
      <c r="G3525" s="3" t="s">
        <v>22</v>
      </c>
      <c r="H3525" s="2">
        <v>50</v>
      </c>
      <c r="I3525" s="114" t="str">
        <f t="shared" si="534"/>
        <v>549100</v>
      </c>
      <c r="J3525" s="112" t="str">
        <f>CONCATENATE(B3525,D3525,5)</f>
        <v>549105</v>
      </c>
      <c r="K3525" s="112" t="str">
        <f t="shared" si="536"/>
        <v>549100</v>
      </c>
      <c r="L3525" s="2">
        <v>1</v>
      </c>
      <c r="M3525" s="2" t="s">
        <v>84</v>
      </c>
      <c r="N3525" s="2" t="s">
        <v>84</v>
      </c>
      <c r="O3525" s="2" t="s">
        <v>841</v>
      </c>
      <c r="P3525" s="2" t="s">
        <v>2648</v>
      </c>
    </row>
    <row r="3526" spans="1:16" ht="22" customHeight="1" x14ac:dyDescent="0.15">
      <c r="A3526" s="10" t="str">
        <f t="shared" si="535"/>
        <v>549_10_11_10_polygon</v>
      </c>
      <c r="B3526" s="2">
        <v>549</v>
      </c>
      <c r="C3526" s="30" t="str">
        <f>VLOOKUP(B3526,gachas!A:C,3)</f>
        <v>フィーバーフェス（2日目）</v>
      </c>
      <c r="D3526" s="21">
        <v>10</v>
      </c>
      <c r="E3526" s="2">
        <f t="shared" si="537"/>
        <v>11</v>
      </c>
      <c r="F3526" s="2">
        <v>10</v>
      </c>
      <c r="G3526" s="3" t="s">
        <v>22</v>
      </c>
      <c r="H3526" s="2">
        <v>50</v>
      </c>
      <c r="I3526" s="114" t="str">
        <f t="shared" si="534"/>
        <v>549100</v>
      </c>
      <c r="J3526" s="112" t="s">
        <v>84</v>
      </c>
      <c r="K3526" s="112" t="str">
        <f t="shared" si="536"/>
        <v>549100</v>
      </c>
      <c r="L3526" s="2">
        <v>1</v>
      </c>
      <c r="M3526" s="2" t="s">
        <v>84</v>
      </c>
      <c r="N3526" s="2" t="s">
        <v>84</v>
      </c>
      <c r="O3526" s="2" t="s">
        <v>841</v>
      </c>
      <c r="P3526" s="2" t="s">
        <v>2571</v>
      </c>
    </row>
    <row r="3527" spans="1:16" ht="22" customHeight="1" x14ac:dyDescent="0.15">
      <c r="A3527" s="10" t="str">
        <f t="shared" si="535"/>
        <v>549_10_12_10_polygon</v>
      </c>
      <c r="B3527" s="2">
        <v>549</v>
      </c>
      <c r="C3527" s="30" t="str">
        <f>VLOOKUP(B3527,gachas!A:C,3)</f>
        <v>フィーバーフェス（2日目）</v>
      </c>
      <c r="D3527" s="21">
        <v>10</v>
      </c>
      <c r="E3527" s="2">
        <f t="shared" si="537"/>
        <v>12</v>
      </c>
      <c r="F3527" s="2">
        <v>10</v>
      </c>
      <c r="G3527" s="3" t="s">
        <v>22</v>
      </c>
      <c r="H3527" s="2">
        <v>50</v>
      </c>
      <c r="I3527" s="114" t="str">
        <f t="shared" si="534"/>
        <v>549100</v>
      </c>
      <c r="J3527" s="112" t="s">
        <v>84</v>
      </c>
      <c r="K3527" s="112" t="str">
        <f t="shared" si="536"/>
        <v>549100</v>
      </c>
      <c r="L3527" s="2">
        <v>1</v>
      </c>
      <c r="M3527" s="2" t="s">
        <v>84</v>
      </c>
      <c r="N3527" s="2" t="s">
        <v>84</v>
      </c>
      <c r="O3527" s="2" t="s">
        <v>841</v>
      </c>
      <c r="P3527" s="2" t="s">
        <v>2571</v>
      </c>
    </row>
    <row r="3528" spans="1:16" ht="22" customHeight="1" x14ac:dyDescent="0.15">
      <c r="A3528" s="10" t="str">
        <f t="shared" si="535"/>
        <v>549_10_13_10_polygon</v>
      </c>
      <c r="B3528" s="2">
        <v>549</v>
      </c>
      <c r="C3528" s="30" t="str">
        <f>VLOOKUP(B3528,gachas!A:C,3)</f>
        <v>フィーバーフェス（2日目）</v>
      </c>
      <c r="D3528" s="21">
        <v>10</v>
      </c>
      <c r="E3528" s="2">
        <f t="shared" si="537"/>
        <v>13</v>
      </c>
      <c r="F3528" s="2">
        <v>10</v>
      </c>
      <c r="G3528" s="3" t="s">
        <v>22</v>
      </c>
      <c r="H3528" s="2">
        <v>50</v>
      </c>
      <c r="I3528" s="114" t="str">
        <f t="shared" si="534"/>
        <v>549100</v>
      </c>
      <c r="J3528" s="112" t="s">
        <v>84</v>
      </c>
      <c r="K3528" s="112" t="str">
        <f t="shared" si="536"/>
        <v>549100</v>
      </c>
      <c r="L3528" s="2">
        <v>1</v>
      </c>
      <c r="M3528" s="2" t="s">
        <v>84</v>
      </c>
      <c r="N3528" s="2" t="s">
        <v>84</v>
      </c>
      <c r="O3528" s="2" t="s">
        <v>841</v>
      </c>
      <c r="P3528" s="2" t="s">
        <v>2571</v>
      </c>
    </row>
    <row r="3529" spans="1:16" ht="22" customHeight="1" x14ac:dyDescent="0.15">
      <c r="A3529" s="10" t="str">
        <f t="shared" si="535"/>
        <v>549_10_14_10_polygon</v>
      </c>
      <c r="B3529" s="2">
        <v>549</v>
      </c>
      <c r="C3529" s="30" t="str">
        <f>VLOOKUP(B3529,gachas!A:C,3)</f>
        <v>フィーバーフェス（2日目）</v>
      </c>
      <c r="D3529" s="21">
        <v>10</v>
      </c>
      <c r="E3529" s="2">
        <f t="shared" si="537"/>
        <v>14</v>
      </c>
      <c r="F3529" s="2">
        <v>10</v>
      </c>
      <c r="G3529" s="3" t="s">
        <v>22</v>
      </c>
      <c r="H3529" s="2">
        <v>50</v>
      </c>
      <c r="I3529" s="114" t="str">
        <f t="shared" ref="I3529:I3592" si="538">CONCATENATE(B3529,IF(D3529=1,"01","10"),0)</f>
        <v>549100</v>
      </c>
      <c r="J3529" s="112" t="s">
        <v>84</v>
      </c>
      <c r="K3529" s="112" t="str">
        <f t="shared" si="536"/>
        <v>549100</v>
      </c>
      <c r="L3529" s="2">
        <v>1</v>
      </c>
      <c r="M3529" s="2" t="s">
        <v>84</v>
      </c>
      <c r="N3529" s="2" t="s">
        <v>84</v>
      </c>
      <c r="O3529" s="2" t="s">
        <v>841</v>
      </c>
      <c r="P3529" s="2" t="s">
        <v>2571</v>
      </c>
    </row>
    <row r="3530" spans="1:16" ht="22" customHeight="1" x14ac:dyDescent="0.15">
      <c r="A3530" s="10" t="str">
        <f t="shared" si="535"/>
        <v>549_10_15_10_polygon</v>
      </c>
      <c r="B3530" s="2">
        <v>549</v>
      </c>
      <c r="C3530" s="30" t="str">
        <f>VLOOKUP(B3530,gachas!A:C,3)</f>
        <v>フィーバーフェス（2日目）</v>
      </c>
      <c r="D3530" s="21">
        <v>10</v>
      </c>
      <c r="E3530" s="2">
        <f t="shared" si="537"/>
        <v>15</v>
      </c>
      <c r="F3530" s="2">
        <v>10</v>
      </c>
      <c r="G3530" s="3" t="s">
        <v>22</v>
      </c>
      <c r="H3530" s="2">
        <v>50</v>
      </c>
      <c r="I3530" s="114" t="str">
        <f t="shared" si="538"/>
        <v>549100</v>
      </c>
      <c r="J3530" s="112" t="str">
        <f>CONCATENATE(B3530,D3530,5)</f>
        <v>549105</v>
      </c>
      <c r="K3530" s="112" t="str">
        <f t="shared" si="536"/>
        <v>549100</v>
      </c>
      <c r="L3530" s="2">
        <v>1</v>
      </c>
      <c r="M3530" s="2" t="s">
        <v>84</v>
      </c>
      <c r="N3530" s="2" t="s">
        <v>84</v>
      </c>
      <c r="O3530" s="2" t="s">
        <v>841</v>
      </c>
      <c r="P3530" s="2" t="s">
        <v>2648</v>
      </c>
    </row>
    <row r="3531" spans="1:16" ht="22" customHeight="1" x14ac:dyDescent="0.15">
      <c r="A3531" s="10" t="str">
        <f t="shared" si="535"/>
        <v>549_10_16_10_polygon</v>
      </c>
      <c r="B3531" s="2">
        <v>549</v>
      </c>
      <c r="C3531" s="30" t="str">
        <f>VLOOKUP(B3531,gachas!A:C,3)</f>
        <v>フィーバーフェス（2日目）</v>
      </c>
      <c r="D3531" s="21">
        <v>10</v>
      </c>
      <c r="E3531" s="2">
        <f t="shared" si="537"/>
        <v>16</v>
      </c>
      <c r="F3531" s="2">
        <v>10</v>
      </c>
      <c r="G3531" s="3" t="s">
        <v>22</v>
      </c>
      <c r="H3531" s="2">
        <v>50</v>
      </c>
      <c r="I3531" s="114" t="str">
        <f t="shared" si="538"/>
        <v>549100</v>
      </c>
      <c r="J3531" s="112" t="s">
        <v>84</v>
      </c>
      <c r="K3531" s="112" t="str">
        <f t="shared" si="536"/>
        <v>549100</v>
      </c>
      <c r="L3531" s="2">
        <v>1</v>
      </c>
      <c r="M3531" s="2" t="s">
        <v>84</v>
      </c>
      <c r="N3531" s="2" t="s">
        <v>84</v>
      </c>
      <c r="O3531" s="2" t="s">
        <v>841</v>
      </c>
      <c r="P3531" s="2" t="s">
        <v>2571</v>
      </c>
    </row>
    <row r="3532" spans="1:16" ht="22" customHeight="1" x14ac:dyDescent="0.15">
      <c r="A3532" s="10" t="str">
        <f t="shared" si="535"/>
        <v>549_10_17_10_polygon</v>
      </c>
      <c r="B3532" s="2">
        <v>549</v>
      </c>
      <c r="C3532" s="30" t="str">
        <f>VLOOKUP(B3532,gachas!A:C,3)</f>
        <v>フィーバーフェス（2日目）</v>
      </c>
      <c r="D3532" s="21">
        <v>10</v>
      </c>
      <c r="E3532" s="2">
        <f t="shared" si="537"/>
        <v>17</v>
      </c>
      <c r="F3532" s="2">
        <v>10</v>
      </c>
      <c r="G3532" s="3" t="s">
        <v>22</v>
      </c>
      <c r="H3532" s="2">
        <v>50</v>
      </c>
      <c r="I3532" s="114" t="str">
        <f t="shared" si="538"/>
        <v>549100</v>
      </c>
      <c r="J3532" s="112" t="s">
        <v>84</v>
      </c>
      <c r="K3532" s="112" t="str">
        <f t="shared" si="536"/>
        <v>549100</v>
      </c>
      <c r="L3532" s="2">
        <v>1</v>
      </c>
      <c r="M3532" s="2" t="s">
        <v>84</v>
      </c>
      <c r="N3532" s="2" t="s">
        <v>84</v>
      </c>
      <c r="O3532" s="2" t="s">
        <v>841</v>
      </c>
      <c r="P3532" s="2" t="s">
        <v>2571</v>
      </c>
    </row>
    <row r="3533" spans="1:16" ht="22" customHeight="1" x14ac:dyDescent="0.15">
      <c r="A3533" s="10" t="str">
        <f t="shared" si="535"/>
        <v>549_10_18_10_polygon</v>
      </c>
      <c r="B3533" s="2">
        <v>549</v>
      </c>
      <c r="C3533" s="30" t="str">
        <f>VLOOKUP(B3533,gachas!A:C,3)</f>
        <v>フィーバーフェス（2日目）</v>
      </c>
      <c r="D3533" s="21">
        <v>10</v>
      </c>
      <c r="E3533" s="2">
        <f t="shared" si="537"/>
        <v>18</v>
      </c>
      <c r="F3533" s="2">
        <v>10</v>
      </c>
      <c r="G3533" s="3" t="s">
        <v>22</v>
      </c>
      <c r="H3533" s="2">
        <v>50</v>
      </c>
      <c r="I3533" s="114" t="str">
        <f t="shared" si="538"/>
        <v>549100</v>
      </c>
      <c r="J3533" s="112" t="s">
        <v>84</v>
      </c>
      <c r="K3533" s="112" t="str">
        <f t="shared" si="536"/>
        <v>549100</v>
      </c>
      <c r="L3533" s="2">
        <v>1</v>
      </c>
      <c r="M3533" s="2" t="s">
        <v>84</v>
      </c>
      <c r="N3533" s="2" t="s">
        <v>84</v>
      </c>
      <c r="O3533" s="2" t="s">
        <v>841</v>
      </c>
      <c r="P3533" s="2" t="s">
        <v>2571</v>
      </c>
    </row>
    <row r="3534" spans="1:16" ht="22" customHeight="1" x14ac:dyDescent="0.15">
      <c r="A3534" s="10" t="str">
        <f t="shared" si="535"/>
        <v>549_10_19_10_polygon</v>
      </c>
      <c r="B3534" s="2">
        <v>549</v>
      </c>
      <c r="C3534" s="30" t="str">
        <f>VLOOKUP(B3534,gachas!A:C,3)</f>
        <v>フィーバーフェス（2日目）</v>
      </c>
      <c r="D3534" s="21">
        <v>10</v>
      </c>
      <c r="E3534" s="2">
        <f t="shared" si="537"/>
        <v>19</v>
      </c>
      <c r="F3534" s="2">
        <v>10</v>
      </c>
      <c r="G3534" s="3" t="s">
        <v>22</v>
      </c>
      <c r="H3534" s="2">
        <v>50</v>
      </c>
      <c r="I3534" s="114" t="str">
        <f t="shared" si="538"/>
        <v>549100</v>
      </c>
      <c r="J3534" s="112" t="s">
        <v>84</v>
      </c>
      <c r="K3534" s="112" t="str">
        <f t="shared" si="536"/>
        <v>549100</v>
      </c>
      <c r="L3534" s="2">
        <v>1</v>
      </c>
      <c r="M3534" s="2" t="s">
        <v>84</v>
      </c>
      <c r="N3534" s="2" t="s">
        <v>84</v>
      </c>
      <c r="O3534" s="2" t="s">
        <v>841</v>
      </c>
      <c r="P3534" s="2" t="s">
        <v>2571</v>
      </c>
    </row>
    <row r="3535" spans="1:16" ht="22" customHeight="1" x14ac:dyDescent="0.15">
      <c r="A3535" s="10" t="str">
        <f t="shared" si="535"/>
        <v>549_10_20_10_polygon</v>
      </c>
      <c r="B3535" s="2">
        <v>549</v>
      </c>
      <c r="C3535" s="30" t="str">
        <f>VLOOKUP(B3535,gachas!A:C,3)</f>
        <v>フィーバーフェス（2日目）</v>
      </c>
      <c r="D3535" s="21">
        <v>10</v>
      </c>
      <c r="E3535" s="2">
        <f t="shared" si="537"/>
        <v>20</v>
      </c>
      <c r="F3535" s="2">
        <v>10</v>
      </c>
      <c r="G3535" s="3" t="s">
        <v>22</v>
      </c>
      <c r="H3535" s="2">
        <v>50</v>
      </c>
      <c r="I3535" s="114" t="str">
        <f t="shared" si="538"/>
        <v>549100</v>
      </c>
      <c r="J3535" s="112" t="str">
        <f>CONCATENATE(B3535,D3535,5)</f>
        <v>549105</v>
      </c>
      <c r="K3535" s="112" t="str">
        <f t="shared" si="536"/>
        <v>549100</v>
      </c>
      <c r="L3535" s="2">
        <v>1</v>
      </c>
      <c r="M3535" s="2" t="s">
        <v>84</v>
      </c>
      <c r="N3535" s="2" t="s">
        <v>84</v>
      </c>
      <c r="O3535" s="2" t="s">
        <v>841</v>
      </c>
      <c r="P3535" s="2" t="s">
        <v>2648</v>
      </c>
    </row>
    <row r="3536" spans="1:16" ht="22" customHeight="1" x14ac:dyDescent="0.15">
      <c r="A3536" s="10" t="str">
        <f t="shared" si="535"/>
        <v>549_10_21_10_polygon</v>
      </c>
      <c r="B3536" s="2">
        <v>549</v>
      </c>
      <c r="C3536" s="30" t="str">
        <f>VLOOKUP(B3536,gachas!A:C,3)</f>
        <v>フィーバーフェス（2日目）</v>
      </c>
      <c r="D3536" s="21">
        <v>10</v>
      </c>
      <c r="E3536" s="2">
        <f t="shared" si="537"/>
        <v>21</v>
      </c>
      <c r="F3536" s="2">
        <v>10</v>
      </c>
      <c r="G3536" s="3" t="s">
        <v>22</v>
      </c>
      <c r="H3536" s="2">
        <v>50</v>
      </c>
      <c r="I3536" s="114" t="str">
        <f t="shared" si="538"/>
        <v>549100</v>
      </c>
      <c r="J3536" s="112" t="s">
        <v>84</v>
      </c>
      <c r="K3536" s="112" t="str">
        <f t="shared" si="536"/>
        <v>549100</v>
      </c>
      <c r="L3536" s="2">
        <v>1</v>
      </c>
      <c r="M3536" s="2" t="s">
        <v>84</v>
      </c>
      <c r="N3536" s="2" t="s">
        <v>84</v>
      </c>
      <c r="O3536" s="2" t="s">
        <v>841</v>
      </c>
      <c r="P3536" s="2" t="s">
        <v>2571</v>
      </c>
    </row>
    <row r="3537" spans="1:16" ht="22" customHeight="1" x14ac:dyDescent="0.15">
      <c r="A3537" s="10" t="str">
        <f t="shared" si="535"/>
        <v>549_10_22_10_polygon</v>
      </c>
      <c r="B3537" s="2">
        <v>549</v>
      </c>
      <c r="C3537" s="30" t="str">
        <f>VLOOKUP(B3537,gachas!A:C,3)</f>
        <v>フィーバーフェス（2日目）</v>
      </c>
      <c r="D3537" s="21">
        <v>10</v>
      </c>
      <c r="E3537" s="2">
        <f t="shared" si="537"/>
        <v>22</v>
      </c>
      <c r="F3537" s="2">
        <v>10</v>
      </c>
      <c r="G3537" s="3" t="s">
        <v>22</v>
      </c>
      <c r="H3537" s="2">
        <v>50</v>
      </c>
      <c r="I3537" s="114" t="str">
        <f t="shared" si="538"/>
        <v>549100</v>
      </c>
      <c r="J3537" s="112" t="s">
        <v>84</v>
      </c>
      <c r="K3537" s="112" t="str">
        <f t="shared" si="536"/>
        <v>549100</v>
      </c>
      <c r="L3537" s="2">
        <v>1</v>
      </c>
      <c r="M3537" s="2" t="s">
        <v>84</v>
      </c>
      <c r="N3537" s="2" t="s">
        <v>84</v>
      </c>
      <c r="O3537" s="2" t="s">
        <v>841</v>
      </c>
      <c r="P3537" s="2" t="s">
        <v>2571</v>
      </c>
    </row>
    <row r="3538" spans="1:16" ht="22" customHeight="1" x14ac:dyDescent="0.15">
      <c r="A3538" s="10" t="str">
        <f t="shared" si="535"/>
        <v>549_10_23_10_polygon</v>
      </c>
      <c r="B3538" s="2">
        <v>549</v>
      </c>
      <c r="C3538" s="30" t="str">
        <f>VLOOKUP(B3538,gachas!A:C,3)</f>
        <v>フィーバーフェス（2日目）</v>
      </c>
      <c r="D3538" s="21">
        <v>10</v>
      </c>
      <c r="E3538" s="2">
        <f t="shared" si="537"/>
        <v>23</v>
      </c>
      <c r="F3538" s="2">
        <v>10</v>
      </c>
      <c r="G3538" s="3" t="s">
        <v>22</v>
      </c>
      <c r="H3538" s="2">
        <v>50</v>
      </c>
      <c r="I3538" s="114" t="str">
        <f t="shared" si="538"/>
        <v>549100</v>
      </c>
      <c r="J3538" s="112" t="s">
        <v>84</v>
      </c>
      <c r="K3538" s="112" t="str">
        <f t="shared" si="536"/>
        <v>549100</v>
      </c>
      <c r="L3538" s="2">
        <v>1</v>
      </c>
      <c r="M3538" s="2" t="s">
        <v>84</v>
      </c>
      <c r="N3538" s="2" t="s">
        <v>84</v>
      </c>
      <c r="O3538" s="2" t="s">
        <v>841</v>
      </c>
      <c r="P3538" s="2" t="s">
        <v>2571</v>
      </c>
    </row>
    <row r="3539" spans="1:16" ht="22" customHeight="1" x14ac:dyDescent="0.15">
      <c r="A3539" s="10" t="str">
        <f t="shared" si="535"/>
        <v>549_10_24_10_polygon</v>
      </c>
      <c r="B3539" s="2">
        <v>549</v>
      </c>
      <c r="C3539" s="30" t="str">
        <f>VLOOKUP(B3539,gachas!A:C,3)</f>
        <v>フィーバーフェス（2日目）</v>
      </c>
      <c r="D3539" s="21">
        <v>10</v>
      </c>
      <c r="E3539" s="2">
        <f t="shared" si="537"/>
        <v>24</v>
      </c>
      <c r="F3539" s="2">
        <v>10</v>
      </c>
      <c r="G3539" s="3" t="s">
        <v>22</v>
      </c>
      <c r="H3539" s="2">
        <v>50</v>
      </c>
      <c r="I3539" s="114" t="str">
        <f t="shared" si="538"/>
        <v>549100</v>
      </c>
      <c r="J3539" s="112" t="s">
        <v>84</v>
      </c>
      <c r="K3539" s="112" t="str">
        <f t="shared" si="536"/>
        <v>549100</v>
      </c>
      <c r="L3539" s="2">
        <v>1</v>
      </c>
      <c r="M3539" s="2" t="s">
        <v>84</v>
      </c>
      <c r="N3539" s="2" t="s">
        <v>84</v>
      </c>
      <c r="O3539" s="2" t="s">
        <v>841</v>
      </c>
      <c r="P3539" s="2" t="s">
        <v>2571</v>
      </c>
    </row>
    <row r="3540" spans="1:16" ht="22" customHeight="1" x14ac:dyDescent="0.15">
      <c r="A3540" s="10" t="str">
        <f t="shared" si="535"/>
        <v>549_10_25_10_polygon</v>
      </c>
      <c r="B3540" s="2">
        <v>549</v>
      </c>
      <c r="C3540" s="30" t="str">
        <f>VLOOKUP(B3540,gachas!A:C,3)</f>
        <v>フィーバーフェス（2日目）</v>
      </c>
      <c r="D3540" s="21">
        <v>10</v>
      </c>
      <c r="E3540" s="2">
        <f t="shared" si="537"/>
        <v>25</v>
      </c>
      <c r="F3540" s="2">
        <v>10</v>
      </c>
      <c r="G3540" s="3" t="s">
        <v>22</v>
      </c>
      <c r="H3540" s="2">
        <v>50</v>
      </c>
      <c r="I3540" s="114" t="str">
        <f t="shared" si="538"/>
        <v>549100</v>
      </c>
      <c r="J3540" s="112" t="str">
        <f>CONCATENATE(B3540,D3540,5)</f>
        <v>549105</v>
      </c>
      <c r="K3540" s="112" t="str">
        <f t="shared" si="536"/>
        <v>549100</v>
      </c>
      <c r="L3540" s="2">
        <v>1</v>
      </c>
      <c r="M3540" s="2" t="s">
        <v>84</v>
      </c>
      <c r="N3540" s="2" t="s">
        <v>84</v>
      </c>
      <c r="O3540" s="2" t="s">
        <v>841</v>
      </c>
      <c r="P3540" s="2" t="s">
        <v>2648</v>
      </c>
    </row>
    <row r="3541" spans="1:16" ht="22" customHeight="1" x14ac:dyDescent="0.15">
      <c r="A3541" s="10" t="str">
        <f t="shared" si="535"/>
        <v>549_10_26_10_polygon</v>
      </c>
      <c r="B3541" s="2">
        <v>549</v>
      </c>
      <c r="C3541" s="30" t="str">
        <f>VLOOKUP(B3541,gachas!A:C,3)</f>
        <v>フィーバーフェス（2日目）</v>
      </c>
      <c r="D3541" s="21">
        <v>10</v>
      </c>
      <c r="E3541" s="2">
        <f t="shared" si="537"/>
        <v>26</v>
      </c>
      <c r="F3541" s="2">
        <v>10</v>
      </c>
      <c r="G3541" s="3" t="s">
        <v>22</v>
      </c>
      <c r="H3541" s="2">
        <v>50</v>
      </c>
      <c r="I3541" s="114" t="str">
        <f t="shared" si="538"/>
        <v>549100</v>
      </c>
      <c r="J3541" s="112" t="s">
        <v>84</v>
      </c>
      <c r="K3541" s="112" t="str">
        <f t="shared" si="536"/>
        <v>549100</v>
      </c>
      <c r="L3541" s="2">
        <v>1</v>
      </c>
      <c r="M3541" s="2" t="s">
        <v>84</v>
      </c>
      <c r="N3541" s="2" t="s">
        <v>84</v>
      </c>
      <c r="O3541" s="2" t="s">
        <v>841</v>
      </c>
      <c r="P3541" s="2" t="s">
        <v>2571</v>
      </c>
    </row>
    <row r="3542" spans="1:16" ht="22" customHeight="1" x14ac:dyDescent="0.15">
      <c r="A3542" s="10" t="str">
        <f t="shared" si="535"/>
        <v>549_10_27_10_polygon</v>
      </c>
      <c r="B3542" s="2">
        <v>549</v>
      </c>
      <c r="C3542" s="30" t="str">
        <f>VLOOKUP(B3542,gachas!A:C,3)</f>
        <v>フィーバーフェス（2日目）</v>
      </c>
      <c r="D3542" s="21">
        <v>10</v>
      </c>
      <c r="E3542" s="2">
        <f t="shared" si="537"/>
        <v>27</v>
      </c>
      <c r="F3542" s="2">
        <v>10</v>
      </c>
      <c r="G3542" s="3" t="s">
        <v>22</v>
      </c>
      <c r="H3542" s="2">
        <v>50</v>
      </c>
      <c r="I3542" s="114" t="str">
        <f t="shared" si="538"/>
        <v>549100</v>
      </c>
      <c r="J3542" s="112" t="s">
        <v>84</v>
      </c>
      <c r="K3542" s="112" t="str">
        <f t="shared" si="536"/>
        <v>549100</v>
      </c>
      <c r="L3542" s="2">
        <v>1</v>
      </c>
      <c r="M3542" s="2" t="s">
        <v>84</v>
      </c>
      <c r="N3542" s="2" t="s">
        <v>84</v>
      </c>
      <c r="O3542" s="2" t="s">
        <v>841</v>
      </c>
      <c r="P3542" s="2" t="s">
        <v>2571</v>
      </c>
    </row>
    <row r="3543" spans="1:16" ht="22" customHeight="1" x14ac:dyDescent="0.15">
      <c r="A3543" s="10" t="str">
        <f t="shared" si="535"/>
        <v>549_10_28_10_polygon</v>
      </c>
      <c r="B3543" s="2">
        <v>549</v>
      </c>
      <c r="C3543" s="30" t="str">
        <f>VLOOKUP(B3543,gachas!A:C,3)</f>
        <v>フィーバーフェス（2日目）</v>
      </c>
      <c r="D3543" s="21">
        <v>10</v>
      </c>
      <c r="E3543" s="2">
        <f t="shared" si="537"/>
        <v>28</v>
      </c>
      <c r="F3543" s="2">
        <v>10</v>
      </c>
      <c r="G3543" s="3" t="s">
        <v>22</v>
      </c>
      <c r="H3543" s="2">
        <v>50</v>
      </c>
      <c r="I3543" s="114" t="str">
        <f t="shared" si="538"/>
        <v>549100</v>
      </c>
      <c r="J3543" s="112" t="s">
        <v>84</v>
      </c>
      <c r="K3543" s="112" t="str">
        <f t="shared" si="536"/>
        <v>549100</v>
      </c>
      <c r="L3543" s="2">
        <v>1</v>
      </c>
      <c r="M3543" s="2" t="s">
        <v>84</v>
      </c>
      <c r="N3543" s="2" t="s">
        <v>84</v>
      </c>
      <c r="O3543" s="2" t="s">
        <v>841</v>
      </c>
      <c r="P3543" s="2" t="s">
        <v>2571</v>
      </c>
    </row>
    <row r="3544" spans="1:16" ht="22" customHeight="1" x14ac:dyDescent="0.15">
      <c r="A3544" s="10" t="str">
        <f t="shared" si="535"/>
        <v>549_10_29_10_polygon</v>
      </c>
      <c r="B3544" s="2">
        <v>549</v>
      </c>
      <c r="C3544" s="30" t="str">
        <f>VLOOKUP(B3544,gachas!A:C,3)</f>
        <v>フィーバーフェス（2日目）</v>
      </c>
      <c r="D3544" s="21">
        <v>10</v>
      </c>
      <c r="E3544" s="2">
        <f t="shared" si="537"/>
        <v>29</v>
      </c>
      <c r="F3544" s="2">
        <v>10</v>
      </c>
      <c r="G3544" s="3" t="s">
        <v>22</v>
      </c>
      <c r="H3544" s="2">
        <v>50</v>
      </c>
      <c r="I3544" s="114" t="str">
        <f t="shared" si="538"/>
        <v>549100</v>
      </c>
      <c r="J3544" s="112" t="s">
        <v>84</v>
      </c>
      <c r="K3544" s="112" t="str">
        <f t="shared" si="536"/>
        <v>549100</v>
      </c>
      <c r="L3544" s="2">
        <v>1</v>
      </c>
      <c r="M3544" s="2" t="s">
        <v>84</v>
      </c>
      <c r="N3544" s="2" t="s">
        <v>84</v>
      </c>
      <c r="O3544" s="2" t="s">
        <v>841</v>
      </c>
      <c r="P3544" s="2" t="s">
        <v>2571</v>
      </c>
    </row>
    <row r="3545" spans="1:16" ht="22" customHeight="1" x14ac:dyDescent="0.15">
      <c r="A3545" s="10" t="str">
        <f t="shared" si="535"/>
        <v>549_10_30_10_polygon</v>
      </c>
      <c r="B3545" s="2">
        <v>549</v>
      </c>
      <c r="C3545" s="30" t="str">
        <f>VLOOKUP(B3545,gachas!A:C,3)</f>
        <v>フィーバーフェス（2日目）</v>
      </c>
      <c r="D3545" s="21">
        <v>10</v>
      </c>
      <c r="E3545" s="2">
        <f t="shared" si="537"/>
        <v>30</v>
      </c>
      <c r="F3545" s="2">
        <v>10</v>
      </c>
      <c r="G3545" s="3" t="s">
        <v>22</v>
      </c>
      <c r="H3545" s="2">
        <v>50</v>
      </c>
      <c r="I3545" s="114" t="str">
        <f t="shared" si="538"/>
        <v>549100</v>
      </c>
      <c r="J3545" s="112" t="str">
        <f>CONCATENATE(B3545,D3545,5)</f>
        <v>549105</v>
      </c>
      <c r="K3545" s="112" t="str">
        <f t="shared" si="536"/>
        <v>549100</v>
      </c>
      <c r="L3545" s="2">
        <v>1</v>
      </c>
      <c r="M3545" s="2" t="s">
        <v>84</v>
      </c>
      <c r="N3545" s="2" t="s">
        <v>84</v>
      </c>
      <c r="O3545" s="2" t="s">
        <v>841</v>
      </c>
      <c r="P3545" s="2" t="s">
        <v>2648</v>
      </c>
    </row>
    <row r="3546" spans="1:16" ht="22" customHeight="1" x14ac:dyDescent="0.15">
      <c r="A3546" s="10" t="str">
        <f t="shared" si="535"/>
        <v>549_10_31_10_polygon</v>
      </c>
      <c r="B3546" s="2">
        <v>549</v>
      </c>
      <c r="C3546" s="30" t="str">
        <f>VLOOKUP(B3546,gachas!A:C,3)</f>
        <v>フィーバーフェス（2日目）</v>
      </c>
      <c r="D3546" s="21">
        <v>10</v>
      </c>
      <c r="E3546" s="2">
        <f t="shared" si="537"/>
        <v>31</v>
      </c>
      <c r="F3546" s="2">
        <v>10</v>
      </c>
      <c r="G3546" s="3" t="s">
        <v>22</v>
      </c>
      <c r="H3546" s="2">
        <v>50</v>
      </c>
      <c r="I3546" s="114" t="str">
        <f t="shared" si="538"/>
        <v>549100</v>
      </c>
      <c r="J3546" s="112" t="s">
        <v>84</v>
      </c>
      <c r="K3546" s="112" t="str">
        <f t="shared" si="536"/>
        <v>549100</v>
      </c>
      <c r="L3546" s="2">
        <v>1</v>
      </c>
      <c r="M3546" s="2" t="s">
        <v>84</v>
      </c>
      <c r="N3546" s="2" t="s">
        <v>84</v>
      </c>
      <c r="O3546" s="2" t="s">
        <v>841</v>
      </c>
      <c r="P3546" s="2" t="s">
        <v>2571</v>
      </c>
    </row>
    <row r="3547" spans="1:16" ht="22" customHeight="1" x14ac:dyDescent="0.15">
      <c r="A3547" s="10" t="str">
        <f t="shared" si="535"/>
        <v>549_10_32_10_polygon</v>
      </c>
      <c r="B3547" s="2">
        <v>549</v>
      </c>
      <c r="C3547" s="30" t="str">
        <f>VLOOKUP(B3547,gachas!A:C,3)</f>
        <v>フィーバーフェス（2日目）</v>
      </c>
      <c r="D3547" s="21">
        <v>10</v>
      </c>
      <c r="E3547" s="2">
        <f t="shared" si="537"/>
        <v>32</v>
      </c>
      <c r="F3547" s="2">
        <v>10</v>
      </c>
      <c r="G3547" s="3" t="s">
        <v>22</v>
      </c>
      <c r="H3547" s="2">
        <v>50</v>
      </c>
      <c r="I3547" s="114" t="str">
        <f t="shared" si="538"/>
        <v>549100</v>
      </c>
      <c r="J3547" s="112" t="s">
        <v>84</v>
      </c>
      <c r="K3547" s="112" t="str">
        <f t="shared" si="536"/>
        <v>549100</v>
      </c>
      <c r="L3547" s="2">
        <v>1</v>
      </c>
      <c r="M3547" s="2" t="s">
        <v>84</v>
      </c>
      <c r="N3547" s="2" t="s">
        <v>84</v>
      </c>
      <c r="O3547" s="2" t="s">
        <v>841</v>
      </c>
      <c r="P3547" s="2" t="s">
        <v>2571</v>
      </c>
    </row>
    <row r="3548" spans="1:16" ht="22" customHeight="1" x14ac:dyDescent="0.15">
      <c r="A3548" s="10" t="str">
        <f t="shared" si="535"/>
        <v>549_10_33_10_polygon</v>
      </c>
      <c r="B3548" s="2">
        <v>549</v>
      </c>
      <c r="C3548" s="30" t="str">
        <f>VLOOKUP(B3548,gachas!A:C,3)</f>
        <v>フィーバーフェス（2日目）</v>
      </c>
      <c r="D3548" s="21">
        <v>10</v>
      </c>
      <c r="E3548" s="2">
        <f t="shared" si="537"/>
        <v>33</v>
      </c>
      <c r="F3548" s="2">
        <v>10</v>
      </c>
      <c r="G3548" s="3" t="s">
        <v>22</v>
      </c>
      <c r="H3548" s="2">
        <v>50</v>
      </c>
      <c r="I3548" s="114" t="str">
        <f t="shared" si="538"/>
        <v>549100</v>
      </c>
      <c r="J3548" s="112" t="s">
        <v>84</v>
      </c>
      <c r="K3548" s="112" t="str">
        <f t="shared" si="536"/>
        <v>549100</v>
      </c>
      <c r="L3548" s="2">
        <v>1</v>
      </c>
      <c r="M3548" s="2" t="s">
        <v>84</v>
      </c>
      <c r="N3548" s="2" t="s">
        <v>84</v>
      </c>
      <c r="O3548" s="2" t="s">
        <v>841</v>
      </c>
      <c r="P3548" s="2" t="s">
        <v>2571</v>
      </c>
    </row>
    <row r="3549" spans="1:16" ht="22" customHeight="1" x14ac:dyDescent="0.15">
      <c r="A3549" s="10" t="str">
        <f t="shared" si="535"/>
        <v>549_10_34_10_polygon</v>
      </c>
      <c r="B3549" s="2">
        <v>549</v>
      </c>
      <c r="C3549" s="30" t="str">
        <f>VLOOKUP(B3549,gachas!A:C,3)</f>
        <v>フィーバーフェス（2日目）</v>
      </c>
      <c r="D3549" s="21">
        <v>10</v>
      </c>
      <c r="E3549" s="2">
        <f t="shared" si="537"/>
        <v>34</v>
      </c>
      <c r="F3549" s="2">
        <v>10</v>
      </c>
      <c r="G3549" s="3" t="s">
        <v>22</v>
      </c>
      <c r="H3549" s="2">
        <v>50</v>
      </c>
      <c r="I3549" s="114" t="str">
        <f t="shared" si="538"/>
        <v>549100</v>
      </c>
      <c r="J3549" s="112" t="s">
        <v>84</v>
      </c>
      <c r="K3549" s="112" t="str">
        <f t="shared" si="536"/>
        <v>549100</v>
      </c>
      <c r="L3549" s="2">
        <v>1</v>
      </c>
      <c r="M3549" s="2" t="s">
        <v>84</v>
      </c>
      <c r="N3549" s="2" t="s">
        <v>84</v>
      </c>
      <c r="O3549" s="2" t="s">
        <v>841</v>
      </c>
      <c r="P3549" s="2" t="s">
        <v>2571</v>
      </c>
    </row>
    <row r="3550" spans="1:16" ht="22" customHeight="1" x14ac:dyDescent="0.15">
      <c r="A3550" s="10" t="str">
        <f t="shared" si="535"/>
        <v>549_10_35_10_polygon</v>
      </c>
      <c r="B3550" s="2">
        <v>549</v>
      </c>
      <c r="C3550" s="30" t="str">
        <f>VLOOKUP(B3550,gachas!A:C,3)</f>
        <v>フィーバーフェス（2日目）</v>
      </c>
      <c r="D3550" s="21">
        <v>10</v>
      </c>
      <c r="E3550" s="2">
        <f t="shared" si="537"/>
        <v>35</v>
      </c>
      <c r="F3550" s="2">
        <v>10</v>
      </c>
      <c r="G3550" s="3" t="s">
        <v>22</v>
      </c>
      <c r="H3550" s="2">
        <v>50</v>
      </c>
      <c r="I3550" s="114" t="str">
        <f t="shared" si="538"/>
        <v>549100</v>
      </c>
      <c r="J3550" s="112" t="str">
        <f>CONCATENATE(B3550,D3550,5)</f>
        <v>549105</v>
      </c>
      <c r="K3550" s="112" t="str">
        <f t="shared" si="536"/>
        <v>549100</v>
      </c>
      <c r="L3550" s="2">
        <v>1</v>
      </c>
      <c r="M3550" s="2" t="s">
        <v>84</v>
      </c>
      <c r="N3550" s="2" t="s">
        <v>84</v>
      </c>
      <c r="O3550" s="2" t="s">
        <v>841</v>
      </c>
      <c r="P3550" s="2" t="s">
        <v>2648</v>
      </c>
    </row>
    <row r="3551" spans="1:16" ht="22" customHeight="1" x14ac:dyDescent="0.15">
      <c r="A3551" s="10" t="str">
        <f t="shared" si="535"/>
        <v>549_10_36_10_polygon</v>
      </c>
      <c r="B3551" s="2">
        <v>549</v>
      </c>
      <c r="C3551" s="30" t="str">
        <f>VLOOKUP(B3551,gachas!A:C,3)</f>
        <v>フィーバーフェス（2日目）</v>
      </c>
      <c r="D3551" s="21">
        <v>10</v>
      </c>
      <c r="E3551" s="2">
        <f t="shared" si="537"/>
        <v>36</v>
      </c>
      <c r="F3551" s="2">
        <v>10</v>
      </c>
      <c r="G3551" s="3" t="s">
        <v>22</v>
      </c>
      <c r="H3551" s="2">
        <v>50</v>
      </c>
      <c r="I3551" s="114" t="str">
        <f t="shared" si="538"/>
        <v>549100</v>
      </c>
      <c r="J3551" s="112" t="s">
        <v>84</v>
      </c>
      <c r="K3551" s="112" t="str">
        <f t="shared" si="536"/>
        <v>549100</v>
      </c>
      <c r="L3551" s="2">
        <v>1</v>
      </c>
      <c r="M3551" s="2" t="s">
        <v>84</v>
      </c>
      <c r="N3551" s="2" t="s">
        <v>84</v>
      </c>
      <c r="O3551" s="2" t="s">
        <v>841</v>
      </c>
      <c r="P3551" s="2" t="s">
        <v>2571</v>
      </c>
    </row>
    <row r="3552" spans="1:16" ht="22" customHeight="1" x14ac:dyDescent="0.15">
      <c r="A3552" s="10" t="str">
        <f t="shared" si="535"/>
        <v>549_10_37_10_polygon</v>
      </c>
      <c r="B3552" s="2">
        <v>549</v>
      </c>
      <c r="C3552" s="30" t="str">
        <f>VLOOKUP(B3552,gachas!A:C,3)</f>
        <v>フィーバーフェス（2日目）</v>
      </c>
      <c r="D3552" s="21">
        <v>10</v>
      </c>
      <c r="E3552" s="2">
        <f t="shared" si="537"/>
        <v>37</v>
      </c>
      <c r="F3552" s="2">
        <v>10</v>
      </c>
      <c r="G3552" s="3" t="s">
        <v>22</v>
      </c>
      <c r="H3552" s="2">
        <v>50</v>
      </c>
      <c r="I3552" s="114" t="str">
        <f t="shared" si="538"/>
        <v>549100</v>
      </c>
      <c r="J3552" s="112" t="s">
        <v>84</v>
      </c>
      <c r="K3552" s="112" t="str">
        <f t="shared" si="536"/>
        <v>549100</v>
      </c>
      <c r="L3552" s="2">
        <v>1</v>
      </c>
      <c r="M3552" s="2" t="s">
        <v>84</v>
      </c>
      <c r="N3552" s="2" t="s">
        <v>84</v>
      </c>
      <c r="O3552" s="2" t="s">
        <v>841</v>
      </c>
      <c r="P3552" s="2" t="s">
        <v>2571</v>
      </c>
    </row>
    <row r="3553" spans="1:16" ht="22" customHeight="1" x14ac:dyDescent="0.15">
      <c r="A3553" s="10" t="str">
        <f t="shared" si="535"/>
        <v>549_10_38_10_polygon</v>
      </c>
      <c r="B3553" s="2">
        <v>549</v>
      </c>
      <c r="C3553" s="30" t="str">
        <f>VLOOKUP(B3553,gachas!A:C,3)</f>
        <v>フィーバーフェス（2日目）</v>
      </c>
      <c r="D3553" s="21">
        <v>10</v>
      </c>
      <c r="E3553" s="2">
        <f t="shared" si="537"/>
        <v>38</v>
      </c>
      <c r="F3553" s="2">
        <v>10</v>
      </c>
      <c r="G3553" s="3" t="s">
        <v>22</v>
      </c>
      <c r="H3553" s="2">
        <v>50</v>
      </c>
      <c r="I3553" s="114" t="str">
        <f t="shared" si="538"/>
        <v>549100</v>
      </c>
      <c r="J3553" s="112" t="s">
        <v>84</v>
      </c>
      <c r="K3553" s="112" t="str">
        <f t="shared" si="536"/>
        <v>549100</v>
      </c>
      <c r="L3553" s="2">
        <v>1</v>
      </c>
      <c r="M3553" s="2" t="s">
        <v>84</v>
      </c>
      <c r="N3553" s="2" t="s">
        <v>84</v>
      </c>
      <c r="O3553" s="2" t="s">
        <v>841</v>
      </c>
      <c r="P3553" s="2" t="s">
        <v>2571</v>
      </c>
    </row>
    <row r="3554" spans="1:16" ht="22" customHeight="1" x14ac:dyDescent="0.15">
      <c r="A3554" s="10" t="str">
        <f t="shared" si="535"/>
        <v>549_10_39_10_polygon</v>
      </c>
      <c r="B3554" s="2">
        <v>549</v>
      </c>
      <c r="C3554" s="30" t="str">
        <f>VLOOKUP(B3554,gachas!A:C,3)</f>
        <v>フィーバーフェス（2日目）</v>
      </c>
      <c r="D3554" s="21">
        <v>10</v>
      </c>
      <c r="E3554" s="2">
        <f t="shared" si="537"/>
        <v>39</v>
      </c>
      <c r="F3554" s="2">
        <v>10</v>
      </c>
      <c r="G3554" s="3" t="s">
        <v>22</v>
      </c>
      <c r="H3554" s="2">
        <v>50</v>
      </c>
      <c r="I3554" s="114" t="str">
        <f t="shared" si="538"/>
        <v>549100</v>
      </c>
      <c r="J3554" s="112" t="s">
        <v>84</v>
      </c>
      <c r="K3554" s="112" t="str">
        <f t="shared" si="536"/>
        <v>549100</v>
      </c>
      <c r="L3554" s="2">
        <v>1</v>
      </c>
      <c r="M3554" s="2" t="s">
        <v>84</v>
      </c>
      <c r="N3554" s="2" t="s">
        <v>84</v>
      </c>
      <c r="O3554" s="2" t="s">
        <v>841</v>
      </c>
      <c r="P3554" s="2" t="s">
        <v>2571</v>
      </c>
    </row>
    <row r="3555" spans="1:16" ht="22" customHeight="1" x14ac:dyDescent="0.15">
      <c r="A3555" s="10" t="str">
        <f t="shared" si="535"/>
        <v>549_10_40_10_polygon</v>
      </c>
      <c r="B3555" s="2">
        <v>549</v>
      </c>
      <c r="C3555" s="30" t="str">
        <f>VLOOKUP(B3555,gachas!A:C,3)</f>
        <v>フィーバーフェス（2日目）</v>
      </c>
      <c r="D3555" s="21">
        <v>10</v>
      </c>
      <c r="E3555" s="2">
        <f t="shared" si="537"/>
        <v>40</v>
      </c>
      <c r="F3555" s="2">
        <v>10</v>
      </c>
      <c r="G3555" s="3" t="s">
        <v>22</v>
      </c>
      <c r="H3555" s="2">
        <v>50</v>
      </c>
      <c r="I3555" s="114" t="str">
        <f t="shared" si="538"/>
        <v>549100</v>
      </c>
      <c r="J3555" s="112" t="str">
        <f>CONCATENATE(B3555,D3555,5)</f>
        <v>549105</v>
      </c>
      <c r="K3555" s="112" t="str">
        <f t="shared" si="536"/>
        <v>549100</v>
      </c>
      <c r="L3555" s="2">
        <v>1</v>
      </c>
      <c r="M3555" s="2" t="s">
        <v>84</v>
      </c>
      <c r="N3555" s="2" t="s">
        <v>84</v>
      </c>
      <c r="O3555" s="2" t="s">
        <v>841</v>
      </c>
      <c r="P3555" s="2" t="s">
        <v>2648</v>
      </c>
    </row>
    <row r="3556" spans="1:16" ht="22" customHeight="1" x14ac:dyDescent="0.15">
      <c r="A3556" s="10" t="str">
        <f t="shared" si="535"/>
        <v>549_10_41_10_polygon</v>
      </c>
      <c r="B3556" s="2">
        <v>549</v>
      </c>
      <c r="C3556" s="30" t="str">
        <f>VLOOKUP(B3556,gachas!A:C,3)</f>
        <v>フィーバーフェス（2日目）</v>
      </c>
      <c r="D3556" s="21">
        <v>10</v>
      </c>
      <c r="E3556" s="2">
        <f t="shared" si="537"/>
        <v>41</v>
      </c>
      <c r="F3556" s="2">
        <v>10</v>
      </c>
      <c r="G3556" s="3" t="s">
        <v>22</v>
      </c>
      <c r="H3556" s="2">
        <v>50</v>
      </c>
      <c r="I3556" s="114" t="str">
        <f t="shared" si="538"/>
        <v>549100</v>
      </c>
      <c r="J3556" s="112" t="s">
        <v>84</v>
      </c>
      <c r="K3556" s="112" t="str">
        <f t="shared" si="536"/>
        <v>549100</v>
      </c>
      <c r="L3556" s="2">
        <v>1</v>
      </c>
      <c r="M3556" s="2" t="s">
        <v>84</v>
      </c>
      <c r="N3556" s="2" t="s">
        <v>84</v>
      </c>
      <c r="O3556" s="2" t="s">
        <v>841</v>
      </c>
      <c r="P3556" s="2" t="s">
        <v>2571</v>
      </c>
    </row>
    <row r="3557" spans="1:16" ht="22" customHeight="1" x14ac:dyDescent="0.15">
      <c r="A3557" s="10" t="str">
        <f t="shared" si="535"/>
        <v>549_10_42_10_polygon</v>
      </c>
      <c r="B3557" s="2">
        <v>549</v>
      </c>
      <c r="C3557" s="30" t="str">
        <f>VLOOKUP(B3557,gachas!A:C,3)</f>
        <v>フィーバーフェス（2日目）</v>
      </c>
      <c r="D3557" s="21">
        <v>10</v>
      </c>
      <c r="E3557" s="2">
        <f t="shared" si="537"/>
        <v>42</v>
      </c>
      <c r="F3557" s="2">
        <v>10</v>
      </c>
      <c r="G3557" s="3" t="s">
        <v>22</v>
      </c>
      <c r="H3557" s="2">
        <v>50</v>
      </c>
      <c r="I3557" s="114" t="str">
        <f t="shared" si="538"/>
        <v>549100</v>
      </c>
      <c r="J3557" s="112" t="s">
        <v>84</v>
      </c>
      <c r="K3557" s="112" t="str">
        <f t="shared" si="536"/>
        <v>549100</v>
      </c>
      <c r="L3557" s="2">
        <v>1</v>
      </c>
      <c r="M3557" s="2" t="s">
        <v>84</v>
      </c>
      <c r="N3557" s="2" t="s">
        <v>84</v>
      </c>
      <c r="O3557" s="2" t="s">
        <v>841</v>
      </c>
      <c r="P3557" s="2" t="s">
        <v>2571</v>
      </c>
    </row>
    <row r="3558" spans="1:16" ht="22" customHeight="1" x14ac:dyDescent="0.15">
      <c r="A3558" s="10" t="str">
        <f t="shared" si="535"/>
        <v>549_10_43_10_polygon</v>
      </c>
      <c r="B3558" s="2">
        <v>549</v>
      </c>
      <c r="C3558" s="30" t="str">
        <f>VLOOKUP(B3558,gachas!A:C,3)</f>
        <v>フィーバーフェス（2日目）</v>
      </c>
      <c r="D3558" s="21">
        <v>10</v>
      </c>
      <c r="E3558" s="2">
        <f t="shared" si="537"/>
        <v>43</v>
      </c>
      <c r="F3558" s="2">
        <v>10</v>
      </c>
      <c r="G3558" s="3" t="s">
        <v>22</v>
      </c>
      <c r="H3558" s="2">
        <v>50</v>
      </c>
      <c r="I3558" s="114" t="str">
        <f t="shared" si="538"/>
        <v>549100</v>
      </c>
      <c r="J3558" s="112" t="s">
        <v>84</v>
      </c>
      <c r="K3558" s="112" t="str">
        <f t="shared" si="536"/>
        <v>549100</v>
      </c>
      <c r="L3558" s="2">
        <v>1</v>
      </c>
      <c r="M3558" s="2" t="s">
        <v>84</v>
      </c>
      <c r="N3558" s="2" t="s">
        <v>84</v>
      </c>
      <c r="O3558" s="2" t="s">
        <v>841</v>
      </c>
      <c r="P3558" s="2" t="s">
        <v>2571</v>
      </c>
    </row>
    <row r="3559" spans="1:16" ht="22" customHeight="1" x14ac:dyDescent="0.15">
      <c r="A3559" s="10" t="str">
        <f t="shared" si="535"/>
        <v>549_10_44_10_polygon</v>
      </c>
      <c r="B3559" s="2">
        <v>549</v>
      </c>
      <c r="C3559" s="30" t="str">
        <f>VLOOKUP(B3559,gachas!A:C,3)</f>
        <v>フィーバーフェス（2日目）</v>
      </c>
      <c r="D3559" s="21">
        <v>10</v>
      </c>
      <c r="E3559" s="2">
        <f t="shared" si="537"/>
        <v>44</v>
      </c>
      <c r="F3559" s="2">
        <v>10</v>
      </c>
      <c r="G3559" s="3" t="s">
        <v>22</v>
      </c>
      <c r="H3559" s="2">
        <v>50</v>
      </c>
      <c r="I3559" s="114" t="str">
        <f t="shared" si="538"/>
        <v>549100</v>
      </c>
      <c r="J3559" s="112" t="s">
        <v>84</v>
      </c>
      <c r="K3559" s="112" t="str">
        <f t="shared" si="536"/>
        <v>549100</v>
      </c>
      <c r="L3559" s="2">
        <v>1</v>
      </c>
      <c r="M3559" s="2" t="s">
        <v>84</v>
      </c>
      <c r="N3559" s="2" t="s">
        <v>84</v>
      </c>
      <c r="O3559" s="2" t="s">
        <v>841</v>
      </c>
      <c r="P3559" s="2" t="s">
        <v>2571</v>
      </c>
    </row>
    <row r="3560" spans="1:16" ht="22" customHeight="1" x14ac:dyDescent="0.15">
      <c r="A3560" s="10" t="str">
        <f t="shared" si="535"/>
        <v>549_10_45_10_polygon</v>
      </c>
      <c r="B3560" s="2">
        <v>549</v>
      </c>
      <c r="C3560" s="30" t="str">
        <f>VLOOKUP(B3560,gachas!A:C,3)</f>
        <v>フィーバーフェス（2日目）</v>
      </c>
      <c r="D3560" s="21">
        <v>10</v>
      </c>
      <c r="E3560" s="2">
        <f t="shared" si="537"/>
        <v>45</v>
      </c>
      <c r="F3560" s="2">
        <v>10</v>
      </c>
      <c r="G3560" s="3" t="s">
        <v>22</v>
      </c>
      <c r="H3560" s="2">
        <v>50</v>
      </c>
      <c r="I3560" s="114" t="str">
        <f t="shared" si="538"/>
        <v>549100</v>
      </c>
      <c r="J3560" s="112" t="str">
        <f>CONCATENATE(B3560,D3560,5)</f>
        <v>549105</v>
      </c>
      <c r="K3560" s="112" t="str">
        <f t="shared" si="536"/>
        <v>549100</v>
      </c>
      <c r="L3560" s="2">
        <v>1</v>
      </c>
      <c r="M3560" s="2" t="s">
        <v>84</v>
      </c>
      <c r="N3560" s="2" t="s">
        <v>84</v>
      </c>
      <c r="O3560" s="2" t="s">
        <v>841</v>
      </c>
      <c r="P3560" s="2" t="s">
        <v>2648</v>
      </c>
    </row>
    <row r="3561" spans="1:16" ht="22" customHeight="1" x14ac:dyDescent="0.15">
      <c r="A3561" s="10" t="str">
        <f t="shared" ref="A3561:A3617" si="539">B3561&amp;"_"&amp;D3561&amp;"_"&amp;E3561&amp;"_"&amp;F3561&amp;"_"&amp;G3561</f>
        <v>549_10_46_10_polygon</v>
      </c>
      <c r="B3561" s="2">
        <v>549</v>
      </c>
      <c r="C3561" s="30" t="str">
        <f>VLOOKUP(B3561,gachas!A:C,3)</f>
        <v>フィーバーフェス（2日目）</v>
      </c>
      <c r="D3561" s="21">
        <v>10</v>
      </c>
      <c r="E3561" s="2">
        <f t="shared" si="537"/>
        <v>46</v>
      </c>
      <c r="F3561" s="2">
        <v>10</v>
      </c>
      <c r="G3561" s="3" t="s">
        <v>22</v>
      </c>
      <c r="H3561" s="2">
        <v>50</v>
      </c>
      <c r="I3561" s="114" t="str">
        <f t="shared" si="538"/>
        <v>549100</v>
      </c>
      <c r="J3561" s="112" t="s">
        <v>84</v>
      </c>
      <c r="K3561" s="112" t="str">
        <f t="shared" si="536"/>
        <v>549100</v>
      </c>
      <c r="L3561" s="2">
        <v>1</v>
      </c>
      <c r="M3561" s="2" t="s">
        <v>84</v>
      </c>
      <c r="N3561" s="2" t="s">
        <v>84</v>
      </c>
      <c r="O3561" s="2" t="s">
        <v>841</v>
      </c>
      <c r="P3561" s="2" t="s">
        <v>2571</v>
      </c>
    </row>
    <row r="3562" spans="1:16" ht="22" customHeight="1" x14ac:dyDescent="0.15">
      <c r="A3562" s="10" t="str">
        <f t="shared" si="539"/>
        <v>549_10_47_10_polygon</v>
      </c>
      <c r="B3562" s="2">
        <v>549</v>
      </c>
      <c r="C3562" s="30" t="str">
        <f>VLOOKUP(B3562,gachas!A:C,3)</f>
        <v>フィーバーフェス（2日目）</v>
      </c>
      <c r="D3562" s="21">
        <v>10</v>
      </c>
      <c r="E3562" s="2">
        <f t="shared" si="537"/>
        <v>47</v>
      </c>
      <c r="F3562" s="2">
        <v>10</v>
      </c>
      <c r="G3562" s="3" t="s">
        <v>22</v>
      </c>
      <c r="H3562" s="2">
        <v>50</v>
      </c>
      <c r="I3562" s="114" t="str">
        <f t="shared" si="538"/>
        <v>549100</v>
      </c>
      <c r="J3562" s="112" t="s">
        <v>84</v>
      </c>
      <c r="K3562" s="112" t="str">
        <f t="shared" si="536"/>
        <v>549100</v>
      </c>
      <c r="L3562" s="2">
        <v>1</v>
      </c>
      <c r="M3562" s="2" t="s">
        <v>84</v>
      </c>
      <c r="N3562" s="2" t="s">
        <v>84</v>
      </c>
      <c r="O3562" s="2" t="s">
        <v>841</v>
      </c>
      <c r="P3562" s="2" t="s">
        <v>2571</v>
      </c>
    </row>
    <row r="3563" spans="1:16" ht="22" customHeight="1" x14ac:dyDescent="0.15">
      <c r="A3563" s="10" t="str">
        <f t="shared" si="539"/>
        <v>549_10_48_10_polygon</v>
      </c>
      <c r="B3563" s="2">
        <v>549</v>
      </c>
      <c r="C3563" s="30" t="str">
        <f>VLOOKUP(B3563,gachas!A:C,3)</f>
        <v>フィーバーフェス（2日目）</v>
      </c>
      <c r="D3563" s="21">
        <v>10</v>
      </c>
      <c r="E3563" s="2">
        <f t="shared" si="537"/>
        <v>48</v>
      </c>
      <c r="F3563" s="2">
        <v>10</v>
      </c>
      <c r="G3563" s="3" t="s">
        <v>22</v>
      </c>
      <c r="H3563" s="2">
        <v>50</v>
      </c>
      <c r="I3563" s="114" t="str">
        <f t="shared" si="538"/>
        <v>549100</v>
      </c>
      <c r="J3563" s="112" t="s">
        <v>84</v>
      </c>
      <c r="K3563" s="112" t="str">
        <f t="shared" si="536"/>
        <v>549100</v>
      </c>
      <c r="L3563" s="2">
        <v>1</v>
      </c>
      <c r="M3563" s="2" t="s">
        <v>84</v>
      </c>
      <c r="N3563" s="2" t="s">
        <v>84</v>
      </c>
      <c r="O3563" s="2" t="s">
        <v>841</v>
      </c>
      <c r="P3563" s="2" t="s">
        <v>2571</v>
      </c>
    </row>
    <row r="3564" spans="1:16" ht="22" customHeight="1" x14ac:dyDescent="0.15">
      <c r="A3564" s="10" t="str">
        <f t="shared" si="539"/>
        <v>549_10_49_10_polygon</v>
      </c>
      <c r="B3564" s="2">
        <v>549</v>
      </c>
      <c r="C3564" s="30" t="str">
        <f>VLOOKUP(B3564,gachas!A:C,3)</f>
        <v>フィーバーフェス（2日目）</v>
      </c>
      <c r="D3564" s="21">
        <v>10</v>
      </c>
      <c r="E3564" s="2">
        <f t="shared" si="537"/>
        <v>49</v>
      </c>
      <c r="F3564" s="2">
        <v>10</v>
      </c>
      <c r="G3564" s="3" t="s">
        <v>22</v>
      </c>
      <c r="H3564" s="2">
        <v>50</v>
      </c>
      <c r="I3564" s="114" t="str">
        <f t="shared" si="538"/>
        <v>549100</v>
      </c>
      <c r="J3564" s="112" t="s">
        <v>84</v>
      </c>
      <c r="K3564" s="112" t="str">
        <f t="shared" si="536"/>
        <v>549100</v>
      </c>
      <c r="L3564" s="2">
        <v>1</v>
      </c>
      <c r="M3564" s="2" t="s">
        <v>84</v>
      </c>
      <c r="N3564" s="2" t="s">
        <v>84</v>
      </c>
      <c r="O3564" s="2" t="s">
        <v>841</v>
      </c>
      <c r="P3564" s="2" t="s">
        <v>2571</v>
      </c>
    </row>
    <row r="3565" spans="1:16" ht="22" customHeight="1" x14ac:dyDescent="0.15">
      <c r="A3565" s="10" t="str">
        <f t="shared" si="539"/>
        <v>549_10_50_10_polygon</v>
      </c>
      <c r="B3565" s="2">
        <v>549</v>
      </c>
      <c r="C3565" s="30" t="str">
        <f>VLOOKUP(B3565,gachas!A:C,3)</f>
        <v>フィーバーフェス（2日目）</v>
      </c>
      <c r="D3565" s="21">
        <v>10</v>
      </c>
      <c r="E3565" s="2">
        <f t="shared" si="537"/>
        <v>50</v>
      </c>
      <c r="F3565" s="2">
        <v>10</v>
      </c>
      <c r="G3565" s="3" t="s">
        <v>22</v>
      </c>
      <c r="H3565" s="2">
        <v>50</v>
      </c>
      <c r="I3565" s="114" t="str">
        <f t="shared" si="538"/>
        <v>549100</v>
      </c>
      <c r="J3565" s="112" t="str">
        <f>CONCATENATE(B3565,D3565,5)</f>
        <v>549105</v>
      </c>
      <c r="K3565" s="112" t="str">
        <f t="shared" si="536"/>
        <v>549100</v>
      </c>
      <c r="L3565" s="2">
        <v>1</v>
      </c>
      <c r="M3565" s="2" t="s">
        <v>84</v>
      </c>
      <c r="N3565" s="2" t="s">
        <v>84</v>
      </c>
      <c r="O3565" s="2" t="s">
        <v>841</v>
      </c>
      <c r="P3565" s="2" t="s">
        <v>2648</v>
      </c>
    </row>
    <row r="3566" spans="1:16" ht="22" customHeight="1" x14ac:dyDescent="0.15">
      <c r="A3566" s="10" t="str">
        <f t="shared" si="539"/>
        <v>550_1_0_1_polygon</v>
      </c>
      <c r="B3566" s="2">
        <v>550</v>
      </c>
      <c r="C3566" s="30" t="str">
        <f>VLOOKUP(B3566,gachas!A:C,3)</f>
        <v>フィーバーフェス（3日目）</v>
      </c>
      <c r="D3566" s="21">
        <v>1</v>
      </c>
      <c r="E3566" s="2">
        <v>0</v>
      </c>
      <c r="F3566" s="2">
        <v>1</v>
      </c>
      <c r="G3566" s="3" t="s">
        <v>22</v>
      </c>
      <c r="H3566" s="2">
        <v>5</v>
      </c>
      <c r="I3566" s="114" t="str">
        <f t="shared" si="538"/>
        <v>550010</v>
      </c>
      <c r="J3566" s="112" t="s">
        <v>84</v>
      </c>
      <c r="K3566" s="112" t="s">
        <v>84</v>
      </c>
      <c r="L3566" s="2">
        <v>0</v>
      </c>
      <c r="M3566" s="2" t="s">
        <v>84</v>
      </c>
      <c r="N3566" s="2" t="s">
        <v>84</v>
      </c>
      <c r="O3566" s="2" t="s">
        <v>841</v>
      </c>
      <c r="P3566" s="2" t="s">
        <v>84</v>
      </c>
    </row>
    <row r="3567" spans="1:16" ht="22" customHeight="1" x14ac:dyDescent="0.15">
      <c r="A3567" s="10" t="str">
        <f t="shared" si="539"/>
        <v>550_10_0_10_polygon</v>
      </c>
      <c r="B3567" s="2">
        <v>550</v>
      </c>
      <c r="C3567" s="30" t="str">
        <f>VLOOKUP(B3567,gachas!A:C,3)</f>
        <v>フィーバーフェス（3日目）</v>
      </c>
      <c r="D3567" s="21">
        <v>10</v>
      </c>
      <c r="E3567" s="2">
        <v>0</v>
      </c>
      <c r="F3567" s="2">
        <v>10</v>
      </c>
      <c r="G3567" s="3" t="s">
        <v>22</v>
      </c>
      <c r="H3567" s="2">
        <v>50</v>
      </c>
      <c r="I3567" s="114" t="str">
        <f t="shared" si="538"/>
        <v>550100</v>
      </c>
      <c r="J3567" s="112" t="s">
        <v>84</v>
      </c>
      <c r="K3567" s="112" t="str">
        <f t="shared" ref="K3567:K3617" si="540">I3567</f>
        <v>550100</v>
      </c>
      <c r="L3567" s="2">
        <v>1</v>
      </c>
      <c r="M3567" s="2" t="s">
        <v>84</v>
      </c>
      <c r="N3567" s="2" t="s">
        <v>84</v>
      </c>
      <c r="O3567" s="2" t="s">
        <v>841</v>
      </c>
      <c r="P3567" s="2" t="s">
        <v>2571</v>
      </c>
    </row>
    <row r="3568" spans="1:16" ht="22" customHeight="1" x14ac:dyDescent="0.15">
      <c r="A3568" s="10" t="str">
        <f t="shared" si="539"/>
        <v>550_10_1_10_polygon</v>
      </c>
      <c r="B3568" s="2">
        <v>550</v>
      </c>
      <c r="C3568" s="30" t="str">
        <f>VLOOKUP(B3568,gachas!A:C,3)</f>
        <v>フィーバーフェス（3日目）</v>
      </c>
      <c r="D3568" s="21">
        <v>10</v>
      </c>
      <c r="E3568" s="2">
        <f>E3567+1</f>
        <v>1</v>
      </c>
      <c r="F3568" s="2">
        <v>10</v>
      </c>
      <c r="G3568" s="3" t="s">
        <v>22</v>
      </c>
      <c r="H3568" s="2">
        <v>50</v>
      </c>
      <c r="I3568" s="114" t="str">
        <f t="shared" si="538"/>
        <v>550100</v>
      </c>
      <c r="J3568" s="112" t="s">
        <v>84</v>
      </c>
      <c r="K3568" s="112" t="str">
        <f t="shared" si="540"/>
        <v>550100</v>
      </c>
      <c r="L3568" s="2">
        <v>1</v>
      </c>
      <c r="M3568" s="2" t="s">
        <v>84</v>
      </c>
      <c r="N3568" s="2" t="s">
        <v>84</v>
      </c>
      <c r="O3568" s="2" t="s">
        <v>841</v>
      </c>
      <c r="P3568" s="2" t="s">
        <v>2571</v>
      </c>
    </row>
    <row r="3569" spans="1:16" ht="22" customHeight="1" x14ac:dyDescent="0.15">
      <c r="A3569" s="10" t="str">
        <f t="shared" si="539"/>
        <v>550_10_2_10_polygon</v>
      </c>
      <c r="B3569" s="2">
        <v>550</v>
      </c>
      <c r="C3569" s="30" t="str">
        <f>VLOOKUP(B3569,gachas!A:C,3)</f>
        <v>フィーバーフェス（3日目）</v>
      </c>
      <c r="D3569" s="21">
        <v>10</v>
      </c>
      <c r="E3569" s="2">
        <f t="shared" ref="E3569:E3632" si="541">E3568+1</f>
        <v>2</v>
      </c>
      <c r="F3569" s="2">
        <v>10</v>
      </c>
      <c r="G3569" s="3" t="s">
        <v>22</v>
      </c>
      <c r="H3569" s="2">
        <v>50</v>
      </c>
      <c r="I3569" s="114" t="str">
        <f t="shared" si="538"/>
        <v>550100</v>
      </c>
      <c r="J3569" s="112" t="s">
        <v>84</v>
      </c>
      <c r="K3569" s="112" t="str">
        <f t="shared" si="540"/>
        <v>550100</v>
      </c>
      <c r="L3569" s="2">
        <v>1</v>
      </c>
      <c r="M3569" s="2" t="s">
        <v>84</v>
      </c>
      <c r="N3569" s="2" t="s">
        <v>84</v>
      </c>
      <c r="O3569" s="2" t="s">
        <v>841</v>
      </c>
      <c r="P3569" s="2" t="s">
        <v>2571</v>
      </c>
    </row>
    <row r="3570" spans="1:16" ht="22" customHeight="1" x14ac:dyDescent="0.15">
      <c r="A3570" s="10" t="str">
        <f t="shared" si="539"/>
        <v>550_10_3_10_polygon</v>
      </c>
      <c r="B3570" s="2">
        <v>550</v>
      </c>
      <c r="C3570" s="30" t="str">
        <f>VLOOKUP(B3570,gachas!A:C,3)</f>
        <v>フィーバーフェス（3日目）</v>
      </c>
      <c r="D3570" s="21">
        <v>10</v>
      </c>
      <c r="E3570" s="2">
        <f t="shared" si="541"/>
        <v>3</v>
      </c>
      <c r="F3570" s="2">
        <v>10</v>
      </c>
      <c r="G3570" s="3" t="s">
        <v>22</v>
      </c>
      <c r="H3570" s="2">
        <v>50</v>
      </c>
      <c r="I3570" s="114" t="str">
        <f t="shared" si="538"/>
        <v>550100</v>
      </c>
      <c r="J3570" s="112" t="s">
        <v>84</v>
      </c>
      <c r="K3570" s="112" t="str">
        <f t="shared" si="540"/>
        <v>550100</v>
      </c>
      <c r="L3570" s="2">
        <v>1</v>
      </c>
      <c r="M3570" s="2" t="s">
        <v>84</v>
      </c>
      <c r="N3570" s="2" t="s">
        <v>84</v>
      </c>
      <c r="O3570" s="2" t="s">
        <v>841</v>
      </c>
      <c r="P3570" s="2" t="s">
        <v>2571</v>
      </c>
    </row>
    <row r="3571" spans="1:16" ht="22" customHeight="1" x14ac:dyDescent="0.15">
      <c r="A3571" s="10" t="str">
        <f t="shared" si="539"/>
        <v>550_10_4_10_polygon</v>
      </c>
      <c r="B3571" s="2">
        <v>550</v>
      </c>
      <c r="C3571" s="30" t="str">
        <f>VLOOKUP(B3571,gachas!A:C,3)</f>
        <v>フィーバーフェス（3日目）</v>
      </c>
      <c r="D3571" s="21">
        <v>10</v>
      </c>
      <c r="E3571" s="2">
        <f t="shared" si="541"/>
        <v>4</v>
      </c>
      <c r="F3571" s="2">
        <v>10</v>
      </c>
      <c r="G3571" s="3" t="s">
        <v>22</v>
      </c>
      <c r="H3571" s="2">
        <v>50</v>
      </c>
      <c r="I3571" s="114" t="str">
        <f t="shared" si="538"/>
        <v>550100</v>
      </c>
      <c r="J3571" s="112" t="s">
        <v>84</v>
      </c>
      <c r="K3571" s="112" t="str">
        <f t="shared" si="540"/>
        <v>550100</v>
      </c>
      <c r="L3571" s="2">
        <v>1</v>
      </c>
      <c r="M3571" s="2" t="s">
        <v>84</v>
      </c>
      <c r="N3571" s="2" t="s">
        <v>84</v>
      </c>
      <c r="O3571" s="2" t="s">
        <v>841</v>
      </c>
      <c r="P3571" s="2" t="s">
        <v>2571</v>
      </c>
    </row>
    <row r="3572" spans="1:16" ht="22" customHeight="1" x14ac:dyDescent="0.15">
      <c r="A3572" s="10" t="str">
        <f t="shared" si="539"/>
        <v>550_10_5_10_polygon</v>
      </c>
      <c r="B3572" s="2">
        <v>550</v>
      </c>
      <c r="C3572" s="30" t="str">
        <f>VLOOKUP(B3572,gachas!A:C,3)</f>
        <v>フィーバーフェス（3日目）</v>
      </c>
      <c r="D3572" s="21">
        <v>10</v>
      </c>
      <c r="E3572" s="2">
        <f t="shared" si="541"/>
        <v>5</v>
      </c>
      <c r="F3572" s="2">
        <v>10</v>
      </c>
      <c r="G3572" s="3" t="s">
        <v>22</v>
      </c>
      <c r="H3572" s="2">
        <v>50</v>
      </c>
      <c r="I3572" s="114" t="str">
        <f t="shared" si="538"/>
        <v>550100</v>
      </c>
      <c r="J3572" s="112" t="str">
        <f>CONCATENATE(B3572,D3572,5)</f>
        <v>550105</v>
      </c>
      <c r="K3572" s="112" t="str">
        <f t="shared" si="540"/>
        <v>550100</v>
      </c>
      <c r="L3572" s="2">
        <v>1</v>
      </c>
      <c r="M3572" s="2" t="s">
        <v>84</v>
      </c>
      <c r="N3572" s="2" t="s">
        <v>84</v>
      </c>
      <c r="O3572" s="2" t="s">
        <v>841</v>
      </c>
      <c r="P3572" s="2" t="s">
        <v>2648</v>
      </c>
    </row>
    <row r="3573" spans="1:16" ht="22" customHeight="1" x14ac:dyDescent="0.15">
      <c r="A3573" s="10" t="str">
        <f t="shared" si="539"/>
        <v>550_10_6_10_polygon</v>
      </c>
      <c r="B3573" s="2">
        <v>550</v>
      </c>
      <c r="C3573" s="30" t="str">
        <f>VLOOKUP(B3573,gachas!A:C,3)</f>
        <v>フィーバーフェス（3日目）</v>
      </c>
      <c r="D3573" s="21">
        <v>10</v>
      </c>
      <c r="E3573" s="2">
        <f t="shared" si="541"/>
        <v>6</v>
      </c>
      <c r="F3573" s="2">
        <v>10</v>
      </c>
      <c r="G3573" s="3" t="s">
        <v>22</v>
      </c>
      <c r="H3573" s="2">
        <v>50</v>
      </c>
      <c r="I3573" s="114" t="str">
        <f t="shared" si="538"/>
        <v>550100</v>
      </c>
      <c r="J3573" s="112" t="s">
        <v>84</v>
      </c>
      <c r="K3573" s="112" t="str">
        <f t="shared" si="540"/>
        <v>550100</v>
      </c>
      <c r="L3573" s="2">
        <v>1</v>
      </c>
      <c r="M3573" s="2" t="s">
        <v>84</v>
      </c>
      <c r="N3573" s="2" t="s">
        <v>84</v>
      </c>
      <c r="O3573" s="2" t="s">
        <v>841</v>
      </c>
      <c r="P3573" s="2" t="s">
        <v>2571</v>
      </c>
    </row>
    <row r="3574" spans="1:16" ht="22" customHeight="1" x14ac:dyDescent="0.15">
      <c r="A3574" s="10" t="str">
        <f t="shared" si="539"/>
        <v>550_10_7_10_polygon</v>
      </c>
      <c r="B3574" s="2">
        <v>550</v>
      </c>
      <c r="C3574" s="30" t="str">
        <f>VLOOKUP(B3574,gachas!A:C,3)</f>
        <v>フィーバーフェス（3日目）</v>
      </c>
      <c r="D3574" s="21">
        <v>10</v>
      </c>
      <c r="E3574" s="2">
        <f t="shared" si="541"/>
        <v>7</v>
      </c>
      <c r="F3574" s="2">
        <v>10</v>
      </c>
      <c r="G3574" s="3" t="s">
        <v>22</v>
      </c>
      <c r="H3574" s="2">
        <v>50</v>
      </c>
      <c r="I3574" s="114" t="str">
        <f t="shared" si="538"/>
        <v>550100</v>
      </c>
      <c r="J3574" s="112" t="s">
        <v>84</v>
      </c>
      <c r="K3574" s="112" t="str">
        <f t="shared" si="540"/>
        <v>550100</v>
      </c>
      <c r="L3574" s="2">
        <v>1</v>
      </c>
      <c r="M3574" s="2" t="s">
        <v>84</v>
      </c>
      <c r="N3574" s="2" t="s">
        <v>84</v>
      </c>
      <c r="O3574" s="2" t="s">
        <v>841</v>
      </c>
      <c r="P3574" s="2" t="s">
        <v>2571</v>
      </c>
    </row>
    <row r="3575" spans="1:16" ht="22" customHeight="1" x14ac:dyDescent="0.15">
      <c r="A3575" s="10" t="str">
        <f t="shared" si="539"/>
        <v>550_10_8_10_polygon</v>
      </c>
      <c r="B3575" s="2">
        <v>550</v>
      </c>
      <c r="C3575" s="30" t="str">
        <f>VLOOKUP(B3575,gachas!A:C,3)</f>
        <v>フィーバーフェス（3日目）</v>
      </c>
      <c r="D3575" s="21">
        <v>10</v>
      </c>
      <c r="E3575" s="2">
        <f t="shared" si="541"/>
        <v>8</v>
      </c>
      <c r="F3575" s="2">
        <v>10</v>
      </c>
      <c r="G3575" s="3" t="s">
        <v>22</v>
      </c>
      <c r="H3575" s="2">
        <v>50</v>
      </c>
      <c r="I3575" s="114" t="str">
        <f t="shared" si="538"/>
        <v>550100</v>
      </c>
      <c r="J3575" s="112" t="s">
        <v>84</v>
      </c>
      <c r="K3575" s="112" t="str">
        <f t="shared" si="540"/>
        <v>550100</v>
      </c>
      <c r="L3575" s="2">
        <v>1</v>
      </c>
      <c r="M3575" s="2" t="s">
        <v>84</v>
      </c>
      <c r="N3575" s="2" t="s">
        <v>84</v>
      </c>
      <c r="O3575" s="2" t="s">
        <v>841</v>
      </c>
      <c r="P3575" s="2" t="s">
        <v>2571</v>
      </c>
    </row>
    <row r="3576" spans="1:16" ht="22" customHeight="1" x14ac:dyDescent="0.15">
      <c r="A3576" s="10" t="str">
        <f t="shared" si="539"/>
        <v>550_10_9_10_polygon</v>
      </c>
      <c r="B3576" s="2">
        <v>550</v>
      </c>
      <c r="C3576" s="30" t="str">
        <f>VLOOKUP(B3576,gachas!A:C,3)</f>
        <v>フィーバーフェス（3日目）</v>
      </c>
      <c r="D3576" s="21">
        <v>10</v>
      </c>
      <c r="E3576" s="2">
        <f t="shared" si="541"/>
        <v>9</v>
      </c>
      <c r="F3576" s="2">
        <v>10</v>
      </c>
      <c r="G3576" s="3" t="s">
        <v>22</v>
      </c>
      <c r="H3576" s="2">
        <v>50</v>
      </c>
      <c r="I3576" s="114" t="str">
        <f t="shared" si="538"/>
        <v>550100</v>
      </c>
      <c r="J3576" s="112" t="s">
        <v>84</v>
      </c>
      <c r="K3576" s="112" t="str">
        <f t="shared" si="540"/>
        <v>550100</v>
      </c>
      <c r="L3576" s="2">
        <v>1</v>
      </c>
      <c r="M3576" s="2" t="s">
        <v>84</v>
      </c>
      <c r="N3576" s="2" t="s">
        <v>84</v>
      </c>
      <c r="O3576" s="2" t="s">
        <v>841</v>
      </c>
      <c r="P3576" s="2" t="s">
        <v>2571</v>
      </c>
    </row>
    <row r="3577" spans="1:16" ht="22" customHeight="1" x14ac:dyDescent="0.15">
      <c r="A3577" s="10" t="str">
        <f t="shared" si="539"/>
        <v>550_10_10_10_polygon</v>
      </c>
      <c r="B3577" s="2">
        <v>550</v>
      </c>
      <c r="C3577" s="30" t="str">
        <f>VLOOKUP(B3577,gachas!A:C,3)</f>
        <v>フィーバーフェス（3日目）</v>
      </c>
      <c r="D3577" s="21">
        <v>10</v>
      </c>
      <c r="E3577" s="2">
        <f t="shared" si="541"/>
        <v>10</v>
      </c>
      <c r="F3577" s="2">
        <v>10</v>
      </c>
      <c r="G3577" s="3" t="s">
        <v>22</v>
      </c>
      <c r="H3577" s="2">
        <v>50</v>
      </c>
      <c r="I3577" s="114" t="str">
        <f t="shared" si="538"/>
        <v>550100</v>
      </c>
      <c r="J3577" s="112" t="str">
        <f>CONCATENATE(B3577,D3577,5)</f>
        <v>550105</v>
      </c>
      <c r="K3577" s="112" t="str">
        <f t="shared" si="540"/>
        <v>550100</v>
      </c>
      <c r="L3577" s="2">
        <v>1</v>
      </c>
      <c r="M3577" s="2" t="s">
        <v>84</v>
      </c>
      <c r="N3577" s="2" t="s">
        <v>84</v>
      </c>
      <c r="O3577" s="2" t="s">
        <v>841</v>
      </c>
      <c r="P3577" s="2" t="s">
        <v>2648</v>
      </c>
    </row>
    <row r="3578" spans="1:16" ht="22" customHeight="1" x14ac:dyDescent="0.15">
      <c r="A3578" s="10" t="str">
        <f t="shared" si="539"/>
        <v>550_10_11_10_polygon</v>
      </c>
      <c r="B3578" s="2">
        <v>550</v>
      </c>
      <c r="C3578" s="30" t="str">
        <f>VLOOKUP(B3578,gachas!A:C,3)</f>
        <v>フィーバーフェス（3日目）</v>
      </c>
      <c r="D3578" s="21">
        <v>10</v>
      </c>
      <c r="E3578" s="2">
        <f t="shared" si="541"/>
        <v>11</v>
      </c>
      <c r="F3578" s="2">
        <v>10</v>
      </c>
      <c r="G3578" s="3" t="s">
        <v>22</v>
      </c>
      <c r="H3578" s="2">
        <v>50</v>
      </c>
      <c r="I3578" s="114" t="str">
        <f t="shared" si="538"/>
        <v>550100</v>
      </c>
      <c r="J3578" s="112" t="s">
        <v>84</v>
      </c>
      <c r="K3578" s="112" t="str">
        <f t="shared" si="540"/>
        <v>550100</v>
      </c>
      <c r="L3578" s="2">
        <v>1</v>
      </c>
      <c r="M3578" s="2" t="s">
        <v>84</v>
      </c>
      <c r="N3578" s="2" t="s">
        <v>84</v>
      </c>
      <c r="O3578" s="2" t="s">
        <v>841</v>
      </c>
      <c r="P3578" s="2" t="s">
        <v>2571</v>
      </c>
    </row>
    <row r="3579" spans="1:16" ht="22" customHeight="1" x14ac:dyDescent="0.15">
      <c r="A3579" s="10" t="str">
        <f t="shared" si="539"/>
        <v>550_10_12_10_polygon</v>
      </c>
      <c r="B3579" s="2">
        <v>550</v>
      </c>
      <c r="C3579" s="30" t="str">
        <f>VLOOKUP(B3579,gachas!A:C,3)</f>
        <v>フィーバーフェス（3日目）</v>
      </c>
      <c r="D3579" s="21">
        <v>10</v>
      </c>
      <c r="E3579" s="2">
        <f t="shared" si="541"/>
        <v>12</v>
      </c>
      <c r="F3579" s="2">
        <v>10</v>
      </c>
      <c r="G3579" s="3" t="s">
        <v>22</v>
      </c>
      <c r="H3579" s="2">
        <v>50</v>
      </c>
      <c r="I3579" s="114" t="str">
        <f t="shared" si="538"/>
        <v>550100</v>
      </c>
      <c r="J3579" s="112" t="s">
        <v>84</v>
      </c>
      <c r="K3579" s="112" t="str">
        <f t="shared" si="540"/>
        <v>550100</v>
      </c>
      <c r="L3579" s="2">
        <v>1</v>
      </c>
      <c r="M3579" s="2" t="s">
        <v>84</v>
      </c>
      <c r="N3579" s="2" t="s">
        <v>84</v>
      </c>
      <c r="O3579" s="2" t="s">
        <v>841</v>
      </c>
      <c r="P3579" s="2" t="s">
        <v>2571</v>
      </c>
    </row>
    <row r="3580" spans="1:16" ht="22" customHeight="1" x14ac:dyDescent="0.15">
      <c r="A3580" s="10" t="str">
        <f t="shared" si="539"/>
        <v>550_10_13_10_polygon</v>
      </c>
      <c r="B3580" s="2">
        <v>550</v>
      </c>
      <c r="C3580" s="30" t="str">
        <f>VLOOKUP(B3580,gachas!A:C,3)</f>
        <v>フィーバーフェス（3日目）</v>
      </c>
      <c r="D3580" s="21">
        <v>10</v>
      </c>
      <c r="E3580" s="2">
        <f t="shared" si="541"/>
        <v>13</v>
      </c>
      <c r="F3580" s="2">
        <v>10</v>
      </c>
      <c r="G3580" s="3" t="s">
        <v>22</v>
      </c>
      <c r="H3580" s="2">
        <v>50</v>
      </c>
      <c r="I3580" s="114" t="str">
        <f t="shared" si="538"/>
        <v>550100</v>
      </c>
      <c r="J3580" s="112" t="s">
        <v>84</v>
      </c>
      <c r="K3580" s="112" t="str">
        <f t="shared" si="540"/>
        <v>550100</v>
      </c>
      <c r="L3580" s="2">
        <v>1</v>
      </c>
      <c r="M3580" s="2" t="s">
        <v>84</v>
      </c>
      <c r="N3580" s="2" t="s">
        <v>84</v>
      </c>
      <c r="O3580" s="2" t="s">
        <v>841</v>
      </c>
      <c r="P3580" s="2" t="s">
        <v>2571</v>
      </c>
    </row>
    <row r="3581" spans="1:16" ht="22" customHeight="1" x14ac:dyDescent="0.15">
      <c r="A3581" s="10" t="str">
        <f t="shared" si="539"/>
        <v>550_10_14_10_polygon</v>
      </c>
      <c r="B3581" s="2">
        <v>550</v>
      </c>
      <c r="C3581" s="30" t="str">
        <f>VLOOKUP(B3581,gachas!A:C,3)</f>
        <v>フィーバーフェス（3日目）</v>
      </c>
      <c r="D3581" s="21">
        <v>10</v>
      </c>
      <c r="E3581" s="2">
        <f t="shared" si="541"/>
        <v>14</v>
      </c>
      <c r="F3581" s="2">
        <v>10</v>
      </c>
      <c r="G3581" s="3" t="s">
        <v>22</v>
      </c>
      <c r="H3581" s="2">
        <v>50</v>
      </c>
      <c r="I3581" s="114" t="str">
        <f t="shared" si="538"/>
        <v>550100</v>
      </c>
      <c r="J3581" s="112" t="s">
        <v>84</v>
      </c>
      <c r="K3581" s="112" t="str">
        <f t="shared" si="540"/>
        <v>550100</v>
      </c>
      <c r="L3581" s="2">
        <v>1</v>
      </c>
      <c r="M3581" s="2" t="s">
        <v>84</v>
      </c>
      <c r="N3581" s="2" t="s">
        <v>84</v>
      </c>
      <c r="O3581" s="2" t="s">
        <v>841</v>
      </c>
      <c r="P3581" s="2" t="s">
        <v>2571</v>
      </c>
    </row>
    <row r="3582" spans="1:16" ht="22" customHeight="1" x14ac:dyDescent="0.15">
      <c r="A3582" s="10" t="str">
        <f t="shared" si="539"/>
        <v>550_10_15_10_polygon</v>
      </c>
      <c r="B3582" s="2">
        <v>550</v>
      </c>
      <c r="C3582" s="30" t="str">
        <f>VLOOKUP(B3582,gachas!A:C,3)</f>
        <v>フィーバーフェス（3日目）</v>
      </c>
      <c r="D3582" s="21">
        <v>10</v>
      </c>
      <c r="E3582" s="2">
        <f t="shared" si="541"/>
        <v>15</v>
      </c>
      <c r="F3582" s="2">
        <v>10</v>
      </c>
      <c r="G3582" s="3" t="s">
        <v>22</v>
      </c>
      <c r="H3582" s="2">
        <v>50</v>
      </c>
      <c r="I3582" s="114" t="str">
        <f t="shared" si="538"/>
        <v>550100</v>
      </c>
      <c r="J3582" s="112" t="str">
        <f>CONCATENATE(B3582,D3582,5)</f>
        <v>550105</v>
      </c>
      <c r="K3582" s="112" t="str">
        <f t="shared" si="540"/>
        <v>550100</v>
      </c>
      <c r="L3582" s="2">
        <v>1</v>
      </c>
      <c r="M3582" s="2" t="s">
        <v>84</v>
      </c>
      <c r="N3582" s="2" t="s">
        <v>84</v>
      </c>
      <c r="O3582" s="2" t="s">
        <v>841</v>
      </c>
      <c r="P3582" s="2" t="s">
        <v>2648</v>
      </c>
    </row>
    <row r="3583" spans="1:16" ht="22" customHeight="1" x14ac:dyDescent="0.15">
      <c r="A3583" s="10" t="str">
        <f t="shared" si="539"/>
        <v>550_10_16_10_polygon</v>
      </c>
      <c r="B3583" s="2">
        <v>550</v>
      </c>
      <c r="C3583" s="30" t="str">
        <f>VLOOKUP(B3583,gachas!A:C,3)</f>
        <v>フィーバーフェス（3日目）</v>
      </c>
      <c r="D3583" s="21">
        <v>10</v>
      </c>
      <c r="E3583" s="2">
        <f t="shared" si="541"/>
        <v>16</v>
      </c>
      <c r="F3583" s="2">
        <v>10</v>
      </c>
      <c r="G3583" s="3" t="s">
        <v>22</v>
      </c>
      <c r="H3583" s="2">
        <v>50</v>
      </c>
      <c r="I3583" s="114" t="str">
        <f t="shared" si="538"/>
        <v>550100</v>
      </c>
      <c r="J3583" s="112" t="s">
        <v>84</v>
      </c>
      <c r="K3583" s="112" t="str">
        <f t="shared" si="540"/>
        <v>550100</v>
      </c>
      <c r="L3583" s="2">
        <v>1</v>
      </c>
      <c r="M3583" s="2" t="s">
        <v>84</v>
      </c>
      <c r="N3583" s="2" t="s">
        <v>84</v>
      </c>
      <c r="O3583" s="2" t="s">
        <v>841</v>
      </c>
      <c r="P3583" s="2" t="s">
        <v>2571</v>
      </c>
    </row>
    <row r="3584" spans="1:16" ht="22" customHeight="1" x14ac:dyDescent="0.15">
      <c r="A3584" s="10" t="str">
        <f t="shared" si="539"/>
        <v>550_10_17_10_polygon</v>
      </c>
      <c r="B3584" s="2">
        <v>550</v>
      </c>
      <c r="C3584" s="30" t="str">
        <f>VLOOKUP(B3584,gachas!A:C,3)</f>
        <v>フィーバーフェス（3日目）</v>
      </c>
      <c r="D3584" s="21">
        <v>10</v>
      </c>
      <c r="E3584" s="2">
        <f t="shared" si="541"/>
        <v>17</v>
      </c>
      <c r="F3584" s="2">
        <v>10</v>
      </c>
      <c r="G3584" s="3" t="s">
        <v>22</v>
      </c>
      <c r="H3584" s="2">
        <v>50</v>
      </c>
      <c r="I3584" s="114" t="str">
        <f t="shared" si="538"/>
        <v>550100</v>
      </c>
      <c r="J3584" s="112" t="s">
        <v>84</v>
      </c>
      <c r="K3584" s="112" t="str">
        <f t="shared" si="540"/>
        <v>550100</v>
      </c>
      <c r="L3584" s="2">
        <v>1</v>
      </c>
      <c r="M3584" s="2" t="s">
        <v>84</v>
      </c>
      <c r="N3584" s="2" t="s">
        <v>84</v>
      </c>
      <c r="O3584" s="2" t="s">
        <v>841</v>
      </c>
      <c r="P3584" s="2" t="s">
        <v>2571</v>
      </c>
    </row>
    <row r="3585" spans="1:16" ht="22" customHeight="1" x14ac:dyDescent="0.15">
      <c r="A3585" s="10" t="str">
        <f t="shared" si="539"/>
        <v>550_10_18_10_polygon</v>
      </c>
      <c r="B3585" s="2">
        <v>550</v>
      </c>
      <c r="C3585" s="30" t="str">
        <f>VLOOKUP(B3585,gachas!A:C,3)</f>
        <v>フィーバーフェス（3日目）</v>
      </c>
      <c r="D3585" s="21">
        <v>10</v>
      </c>
      <c r="E3585" s="2">
        <f t="shared" si="541"/>
        <v>18</v>
      </c>
      <c r="F3585" s="2">
        <v>10</v>
      </c>
      <c r="G3585" s="3" t="s">
        <v>22</v>
      </c>
      <c r="H3585" s="2">
        <v>50</v>
      </c>
      <c r="I3585" s="114" t="str">
        <f t="shared" si="538"/>
        <v>550100</v>
      </c>
      <c r="J3585" s="112" t="s">
        <v>84</v>
      </c>
      <c r="K3585" s="112" t="str">
        <f t="shared" si="540"/>
        <v>550100</v>
      </c>
      <c r="L3585" s="2">
        <v>1</v>
      </c>
      <c r="M3585" s="2" t="s">
        <v>84</v>
      </c>
      <c r="N3585" s="2" t="s">
        <v>84</v>
      </c>
      <c r="O3585" s="2" t="s">
        <v>841</v>
      </c>
      <c r="P3585" s="2" t="s">
        <v>2571</v>
      </c>
    </row>
    <row r="3586" spans="1:16" ht="22" customHeight="1" x14ac:dyDescent="0.15">
      <c r="A3586" s="10" t="str">
        <f t="shared" si="539"/>
        <v>550_10_19_10_polygon</v>
      </c>
      <c r="B3586" s="2">
        <v>550</v>
      </c>
      <c r="C3586" s="30" t="str">
        <f>VLOOKUP(B3586,gachas!A:C,3)</f>
        <v>フィーバーフェス（3日目）</v>
      </c>
      <c r="D3586" s="21">
        <v>10</v>
      </c>
      <c r="E3586" s="2">
        <f t="shared" si="541"/>
        <v>19</v>
      </c>
      <c r="F3586" s="2">
        <v>10</v>
      </c>
      <c r="G3586" s="3" t="s">
        <v>22</v>
      </c>
      <c r="H3586" s="2">
        <v>50</v>
      </c>
      <c r="I3586" s="114" t="str">
        <f t="shared" si="538"/>
        <v>550100</v>
      </c>
      <c r="J3586" s="112" t="s">
        <v>84</v>
      </c>
      <c r="K3586" s="112" t="str">
        <f t="shared" si="540"/>
        <v>550100</v>
      </c>
      <c r="L3586" s="2">
        <v>1</v>
      </c>
      <c r="M3586" s="2" t="s">
        <v>84</v>
      </c>
      <c r="N3586" s="2" t="s">
        <v>84</v>
      </c>
      <c r="O3586" s="2" t="s">
        <v>841</v>
      </c>
      <c r="P3586" s="2" t="s">
        <v>2571</v>
      </c>
    </row>
    <row r="3587" spans="1:16" ht="22" customHeight="1" x14ac:dyDescent="0.15">
      <c r="A3587" s="10" t="str">
        <f t="shared" si="539"/>
        <v>550_10_20_10_polygon</v>
      </c>
      <c r="B3587" s="2">
        <v>550</v>
      </c>
      <c r="C3587" s="30" t="str">
        <f>VLOOKUP(B3587,gachas!A:C,3)</f>
        <v>フィーバーフェス（3日目）</v>
      </c>
      <c r="D3587" s="21">
        <v>10</v>
      </c>
      <c r="E3587" s="2">
        <f t="shared" si="541"/>
        <v>20</v>
      </c>
      <c r="F3587" s="2">
        <v>10</v>
      </c>
      <c r="G3587" s="3" t="s">
        <v>22</v>
      </c>
      <c r="H3587" s="2">
        <v>50</v>
      </c>
      <c r="I3587" s="114" t="str">
        <f t="shared" si="538"/>
        <v>550100</v>
      </c>
      <c r="J3587" s="112" t="str">
        <f>CONCATENATE(B3587,D3587,5)</f>
        <v>550105</v>
      </c>
      <c r="K3587" s="112" t="str">
        <f t="shared" si="540"/>
        <v>550100</v>
      </c>
      <c r="L3587" s="2">
        <v>1</v>
      </c>
      <c r="M3587" s="2" t="s">
        <v>84</v>
      </c>
      <c r="N3587" s="2" t="s">
        <v>84</v>
      </c>
      <c r="O3587" s="2" t="s">
        <v>841</v>
      </c>
      <c r="P3587" s="2" t="s">
        <v>2648</v>
      </c>
    </row>
    <row r="3588" spans="1:16" ht="22" customHeight="1" x14ac:dyDescent="0.15">
      <c r="A3588" s="10" t="str">
        <f t="shared" si="539"/>
        <v>550_10_21_10_polygon</v>
      </c>
      <c r="B3588" s="2">
        <v>550</v>
      </c>
      <c r="C3588" s="30" t="str">
        <f>VLOOKUP(B3588,gachas!A:C,3)</f>
        <v>フィーバーフェス（3日目）</v>
      </c>
      <c r="D3588" s="21">
        <v>10</v>
      </c>
      <c r="E3588" s="2">
        <f t="shared" si="541"/>
        <v>21</v>
      </c>
      <c r="F3588" s="2">
        <v>10</v>
      </c>
      <c r="G3588" s="3" t="s">
        <v>22</v>
      </c>
      <c r="H3588" s="2">
        <v>50</v>
      </c>
      <c r="I3588" s="114" t="str">
        <f t="shared" si="538"/>
        <v>550100</v>
      </c>
      <c r="J3588" s="112" t="s">
        <v>84</v>
      </c>
      <c r="K3588" s="112" t="str">
        <f t="shared" si="540"/>
        <v>550100</v>
      </c>
      <c r="L3588" s="2">
        <v>1</v>
      </c>
      <c r="M3588" s="2" t="s">
        <v>84</v>
      </c>
      <c r="N3588" s="2" t="s">
        <v>84</v>
      </c>
      <c r="O3588" s="2" t="s">
        <v>841</v>
      </c>
      <c r="P3588" s="2" t="s">
        <v>2571</v>
      </c>
    </row>
    <row r="3589" spans="1:16" ht="22" customHeight="1" x14ac:dyDescent="0.15">
      <c r="A3589" s="10" t="str">
        <f t="shared" si="539"/>
        <v>550_10_22_10_polygon</v>
      </c>
      <c r="B3589" s="2">
        <v>550</v>
      </c>
      <c r="C3589" s="30" t="str">
        <f>VLOOKUP(B3589,gachas!A:C,3)</f>
        <v>フィーバーフェス（3日目）</v>
      </c>
      <c r="D3589" s="21">
        <v>10</v>
      </c>
      <c r="E3589" s="2">
        <f t="shared" si="541"/>
        <v>22</v>
      </c>
      <c r="F3589" s="2">
        <v>10</v>
      </c>
      <c r="G3589" s="3" t="s">
        <v>22</v>
      </c>
      <c r="H3589" s="2">
        <v>50</v>
      </c>
      <c r="I3589" s="114" t="str">
        <f t="shared" si="538"/>
        <v>550100</v>
      </c>
      <c r="J3589" s="112" t="s">
        <v>84</v>
      </c>
      <c r="K3589" s="112" t="str">
        <f t="shared" si="540"/>
        <v>550100</v>
      </c>
      <c r="L3589" s="2">
        <v>1</v>
      </c>
      <c r="M3589" s="2" t="s">
        <v>84</v>
      </c>
      <c r="N3589" s="2" t="s">
        <v>84</v>
      </c>
      <c r="O3589" s="2" t="s">
        <v>841</v>
      </c>
      <c r="P3589" s="2" t="s">
        <v>2571</v>
      </c>
    </row>
    <row r="3590" spans="1:16" ht="22" customHeight="1" x14ac:dyDescent="0.15">
      <c r="A3590" s="10" t="str">
        <f t="shared" si="539"/>
        <v>550_10_23_10_polygon</v>
      </c>
      <c r="B3590" s="2">
        <v>550</v>
      </c>
      <c r="C3590" s="30" t="str">
        <f>VLOOKUP(B3590,gachas!A:C,3)</f>
        <v>フィーバーフェス（3日目）</v>
      </c>
      <c r="D3590" s="21">
        <v>10</v>
      </c>
      <c r="E3590" s="2">
        <f t="shared" si="541"/>
        <v>23</v>
      </c>
      <c r="F3590" s="2">
        <v>10</v>
      </c>
      <c r="G3590" s="3" t="s">
        <v>22</v>
      </c>
      <c r="H3590" s="2">
        <v>50</v>
      </c>
      <c r="I3590" s="114" t="str">
        <f t="shared" si="538"/>
        <v>550100</v>
      </c>
      <c r="J3590" s="112" t="s">
        <v>84</v>
      </c>
      <c r="K3590" s="112" t="str">
        <f t="shared" si="540"/>
        <v>550100</v>
      </c>
      <c r="L3590" s="2">
        <v>1</v>
      </c>
      <c r="M3590" s="2" t="s">
        <v>84</v>
      </c>
      <c r="N3590" s="2" t="s">
        <v>84</v>
      </c>
      <c r="O3590" s="2" t="s">
        <v>841</v>
      </c>
      <c r="P3590" s="2" t="s">
        <v>2571</v>
      </c>
    </row>
    <row r="3591" spans="1:16" ht="22" customHeight="1" x14ac:dyDescent="0.15">
      <c r="A3591" s="10" t="str">
        <f t="shared" si="539"/>
        <v>550_10_24_10_polygon</v>
      </c>
      <c r="B3591" s="2">
        <v>550</v>
      </c>
      <c r="C3591" s="30" t="str">
        <f>VLOOKUP(B3591,gachas!A:C,3)</f>
        <v>フィーバーフェス（3日目）</v>
      </c>
      <c r="D3591" s="21">
        <v>10</v>
      </c>
      <c r="E3591" s="2">
        <f t="shared" si="541"/>
        <v>24</v>
      </c>
      <c r="F3591" s="2">
        <v>10</v>
      </c>
      <c r="G3591" s="3" t="s">
        <v>22</v>
      </c>
      <c r="H3591" s="2">
        <v>50</v>
      </c>
      <c r="I3591" s="114" t="str">
        <f t="shared" si="538"/>
        <v>550100</v>
      </c>
      <c r="J3591" s="112" t="s">
        <v>84</v>
      </c>
      <c r="K3591" s="112" t="str">
        <f t="shared" si="540"/>
        <v>550100</v>
      </c>
      <c r="L3591" s="2">
        <v>1</v>
      </c>
      <c r="M3591" s="2" t="s">
        <v>84</v>
      </c>
      <c r="N3591" s="2" t="s">
        <v>84</v>
      </c>
      <c r="O3591" s="2" t="s">
        <v>841</v>
      </c>
      <c r="P3591" s="2" t="s">
        <v>2571</v>
      </c>
    </row>
    <row r="3592" spans="1:16" ht="22" customHeight="1" x14ac:dyDescent="0.15">
      <c r="A3592" s="10" t="str">
        <f t="shared" si="539"/>
        <v>550_10_25_10_polygon</v>
      </c>
      <c r="B3592" s="2">
        <v>550</v>
      </c>
      <c r="C3592" s="30" t="str">
        <f>VLOOKUP(B3592,gachas!A:C,3)</f>
        <v>フィーバーフェス（3日目）</v>
      </c>
      <c r="D3592" s="21">
        <v>10</v>
      </c>
      <c r="E3592" s="2">
        <f t="shared" si="541"/>
        <v>25</v>
      </c>
      <c r="F3592" s="2">
        <v>10</v>
      </c>
      <c r="G3592" s="3" t="s">
        <v>22</v>
      </c>
      <c r="H3592" s="2">
        <v>50</v>
      </c>
      <c r="I3592" s="114" t="str">
        <f t="shared" si="538"/>
        <v>550100</v>
      </c>
      <c r="J3592" s="112" t="str">
        <f>CONCATENATE(B3592,D3592,5)</f>
        <v>550105</v>
      </c>
      <c r="K3592" s="112" t="str">
        <f t="shared" si="540"/>
        <v>550100</v>
      </c>
      <c r="L3592" s="2">
        <v>1</v>
      </c>
      <c r="M3592" s="2" t="s">
        <v>84</v>
      </c>
      <c r="N3592" s="2" t="s">
        <v>84</v>
      </c>
      <c r="O3592" s="2" t="s">
        <v>841</v>
      </c>
      <c r="P3592" s="2" t="s">
        <v>2648</v>
      </c>
    </row>
    <row r="3593" spans="1:16" ht="22" customHeight="1" x14ac:dyDescent="0.15">
      <c r="A3593" s="10" t="str">
        <f t="shared" si="539"/>
        <v>550_10_26_10_polygon</v>
      </c>
      <c r="B3593" s="2">
        <v>550</v>
      </c>
      <c r="C3593" s="30" t="str">
        <f>VLOOKUP(B3593,gachas!A:C,3)</f>
        <v>フィーバーフェス（3日目）</v>
      </c>
      <c r="D3593" s="21">
        <v>10</v>
      </c>
      <c r="E3593" s="2">
        <f t="shared" si="541"/>
        <v>26</v>
      </c>
      <c r="F3593" s="2">
        <v>10</v>
      </c>
      <c r="G3593" s="3" t="s">
        <v>22</v>
      </c>
      <c r="H3593" s="2">
        <v>50</v>
      </c>
      <c r="I3593" s="114" t="str">
        <f t="shared" ref="I3593:I3617" si="542">CONCATENATE(B3593,IF(D3593=1,"01","10"),0)</f>
        <v>550100</v>
      </c>
      <c r="J3593" s="112" t="s">
        <v>84</v>
      </c>
      <c r="K3593" s="112" t="str">
        <f t="shared" si="540"/>
        <v>550100</v>
      </c>
      <c r="L3593" s="2">
        <v>1</v>
      </c>
      <c r="M3593" s="2" t="s">
        <v>84</v>
      </c>
      <c r="N3593" s="2" t="s">
        <v>84</v>
      </c>
      <c r="O3593" s="2" t="s">
        <v>841</v>
      </c>
      <c r="P3593" s="2" t="s">
        <v>2571</v>
      </c>
    </row>
    <row r="3594" spans="1:16" ht="22" customHeight="1" x14ac:dyDescent="0.15">
      <c r="A3594" s="10" t="str">
        <f t="shared" si="539"/>
        <v>550_10_27_10_polygon</v>
      </c>
      <c r="B3594" s="2">
        <v>550</v>
      </c>
      <c r="C3594" s="30" t="str">
        <f>VLOOKUP(B3594,gachas!A:C,3)</f>
        <v>フィーバーフェス（3日目）</v>
      </c>
      <c r="D3594" s="21">
        <v>10</v>
      </c>
      <c r="E3594" s="2">
        <f t="shared" si="541"/>
        <v>27</v>
      </c>
      <c r="F3594" s="2">
        <v>10</v>
      </c>
      <c r="G3594" s="3" t="s">
        <v>22</v>
      </c>
      <c r="H3594" s="2">
        <v>50</v>
      </c>
      <c r="I3594" s="114" t="str">
        <f t="shared" si="542"/>
        <v>550100</v>
      </c>
      <c r="J3594" s="112" t="s">
        <v>84</v>
      </c>
      <c r="K3594" s="112" t="str">
        <f t="shared" si="540"/>
        <v>550100</v>
      </c>
      <c r="L3594" s="2">
        <v>1</v>
      </c>
      <c r="M3594" s="2" t="s">
        <v>84</v>
      </c>
      <c r="N3594" s="2" t="s">
        <v>84</v>
      </c>
      <c r="O3594" s="2" t="s">
        <v>841</v>
      </c>
      <c r="P3594" s="2" t="s">
        <v>2571</v>
      </c>
    </row>
    <row r="3595" spans="1:16" ht="22" customHeight="1" x14ac:dyDescent="0.15">
      <c r="A3595" s="10" t="str">
        <f t="shared" si="539"/>
        <v>550_10_28_10_polygon</v>
      </c>
      <c r="B3595" s="2">
        <v>550</v>
      </c>
      <c r="C3595" s="30" t="str">
        <f>VLOOKUP(B3595,gachas!A:C,3)</f>
        <v>フィーバーフェス（3日目）</v>
      </c>
      <c r="D3595" s="21">
        <v>10</v>
      </c>
      <c r="E3595" s="2">
        <f t="shared" si="541"/>
        <v>28</v>
      </c>
      <c r="F3595" s="2">
        <v>10</v>
      </c>
      <c r="G3595" s="3" t="s">
        <v>22</v>
      </c>
      <c r="H3595" s="2">
        <v>50</v>
      </c>
      <c r="I3595" s="114" t="str">
        <f t="shared" si="542"/>
        <v>550100</v>
      </c>
      <c r="J3595" s="112" t="s">
        <v>84</v>
      </c>
      <c r="K3595" s="112" t="str">
        <f t="shared" si="540"/>
        <v>550100</v>
      </c>
      <c r="L3595" s="2">
        <v>1</v>
      </c>
      <c r="M3595" s="2" t="s">
        <v>84</v>
      </c>
      <c r="N3595" s="2" t="s">
        <v>84</v>
      </c>
      <c r="O3595" s="2" t="s">
        <v>841</v>
      </c>
      <c r="P3595" s="2" t="s">
        <v>2571</v>
      </c>
    </row>
    <row r="3596" spans="1:16" ht="22" customHeight="1" x14ac:dyDescent="0.15">
      <c r="A3596" s="10" t="str">
        <f t="shared" si="539"/>
        <v>550_10_29_10_polygon</v>
      </c>
      <c r="B3596" s="2">
        <v>550</v>
      </c>
      <c r="C3596" s="30" t="str">
        <f>VLOOKUP(B3596,gachas!A:C,3)</f>
        <v>フィーバーフェス（3日目）</v>
      </c>
      <c r="D3596" s="21">
        <v>10</v>
      </c>
      <c r="E3596" s="2">
        <f t="shared" si="541"/>
        <v>29</v>
      </c>
      <c r="F3596" s="2">
        <v>10</v>
      </c>
      <c r="G3596" s="3" t="s">
        <v>22</v>
      </c>
      <c r="H3596" s="2">
        <v>50</v>
      </c>
      <c r="I3596" s="114" t="str">
        <f t="shared" si="542"/>
        <v>550100</v>
      </c>
      <c r="J3596" s="112" t="s">
        <v>84</v>
      </c>
      <c r="K3596" s="112" t="str">
        <f t="shared" si="540"/>
        <v>550100</v>
      </c>
      <c r="L3596" s="2">
        <v>1</v>
      </c>
      <c r="M3596" s="2" t="s">
        <v>84</v>
      </c>
      <c r="N3596" s="2" t="s">
        <v>84</v>
      </c>
      <c r="O3596" s="2" t="s">
        <v>841</v>
      </c>
      <c r="P3596" s="2" t="s">
        <v>2571</v>
      </c>
    </row>
    <row r="3597" spans="1:16" ht="22" customHeight="1" x14ac:dyDescent="0.15">
      <c r="A3597" s="10" t="str">
        <f t="shared" si="539"/>
        <v>550_10_30_10_polygon</v>
      </c>
      <c r="B3597" s="2">
        <v>550</v>
      </c>
      <c r="C3597" s="30" t="str">
        <f>VLOOKUP(B3597,gachas!A:C,3)</f>
        <v>フィーバーフェス（3日目）</v>
      </c>
      <c r="D3597" s="21">
        <v>10</v>
      </c>
      <c r="E3597" s="2">
        <f t="shared" si="541"/>
        <v>30</v>
      </c>
      <c r="F3597" s="2">
        <v>10</v>
      </c>
      <c r="G3597" s="3" t="s">
        <v>22</v>
      </c>
      <c r="H3597" s="2">
        <v>50</v>
      </c>
      <c r="I3597" s="114" t="str">
        <f t="shared" si="542"/>
        <v>550100</v>
      </c>
      <c r="J3597" s="112" t="str">
        <f>CONCATENATE(B3597,D3597,5)</f>
        <v>550105</v>
      </c>
      <c r="K3597" s="112" t="str">
        <f t="shared" si="540"/>
        <v>550100</v>
      </c>
      <c r="L3597" s="2">
        <v>1</v>
      </c>
      <c r="M3597" s="2" t="s">
        <v>84</v>
      </c>
      <c r="N3597" s="2" t="s">
        <v>84</v>
      </c>
      <c r="O3597" s="2" t="s">
        <v>841</v>
      </c>
      <c r="P3597" s="2" t="s">
        <v>2648</v>
      </c>
    </row>
    <row r="3598" spans="1:16" ht="22" customHeight="1" x14ac:dyDescent="0.15">
      <c r="A3598" s="10" t="str">
        <f t="shared" si="539"/>
        <v>550_10_31_10_polygon</v>
      </c>
      <c r="B3598" s="2">
        <v>550</v>
      </c>
      <c r="C3598" s="30" t="str">
        <f>VLOOKUP(B3598,gachas!A:C,3)</f>
        <v>フィーバーフェス（3日目）</v>
      </c>
      <c r="D3598" s="21">
        <v>10</v>
      </c>
      <c r="E3598" s="2">
        <f t="shared" si="541"/>
        <v>31</v>
      </c>
      <c r="F3598" s="2">
        <v>10</v>
      </c>
      <c r="G3598" s="3" t="s">
        <v>22</v>
      </c>
      <c r="H3598" s="2">
        <v>50</v>
      </c>
      <c r="I3598" s="114" t="str">
        <f t="shared" si="542"/>
        <v>550100</v>
      </c>
      <c r="J3598" s="112" t="s">
        <v>84</v>
      </c>
      <c r="K3598" s="112" t="str">
        <f t="shared" si="540"/>
        <v>550100</v>
      </c>
      <c r="L3598" s="2">
        <v>1</v>
      </c>
      <c r="M3598" s="2" t="s">
        <v>84</v>
      </c>
      <c r="N3598" s="2" t="s">
        <v>84</v>
      </c>
      <c r="O3598" s="2" t="s">
        <v>841</v>
      </c>
      <c r="P3598" s="2" t="s">
        <v>2571</v>
      </c>
    </row>
    <row r="3599" spans="1:16" ht="22" customHeight="1" x14ac:dyDescent="0.15">
      <c r="A3599" s="10" t="str">
        <f t="shared" si="539"/>
        <v>550_10_32_10_polygon</v>
      </c>
      <c r="B3599" s="2">
        <v>550</v>
      </c>
      <c r="C3599" s="30" t="str">
        <f>VLOOKUP(B3599,gachas!A:C,3)</f>
        <v>フィーバーフェス（3日目）</v>
      </c>
      <c r="D3599" s="21">
        <v>10</v>
      </c>
      <c r="E3599" s="2">
        <f t="shared" si="541"/>
        <v>32</v>
      </c>
      <c r="F3599" s="2">
        <v>10</v>
      </c>
      <c r="G3599" s="3" t="s">
        <v>22</v>
      </c>
      <c r="H3599" s="2">
        <v>50</v>
      </c>
      <c r="I3599" s="114" t="str">
        <f t="shared" si="542"/>
        <v>550100</v>
      </c>
      <c r="J3599" s="112" t="s">
        <v>84</v>
      </c>
      <c r="K3599" s="112" t="str">
        <f t="shared" si="540"/>
        <v>550100</v>
      </c>
      <c r="L3599" s="2">
        <v>1</v>
      </c>
      <c r="M3599" s="2" t="s">
        <v>84</v>
      </c>
      <c r="N3599" s="2" t="s">
        <v>84</v>
      </c>
      <c r="O3599" s="2" t="s">
        <v>841</v>
      </c>
      <c r="P3599" s="2" t="s">
        <v>2571</v>
      </c>
    </row>
    <row r="3600" spans="1:16" ht="22" customHeight="1" x14ac:dyDescent="0.15">
      <c r="A3600" s="10" t="str">
        <f t="shared" si="539"/>
        <v>550_10_33_10_polygon</v>
      </c>
      <c r="B3600" s="2">
        <v>550</v>
      </c>
      <c r="C3600" s="30" t="str">
        <f>VLOOKUP(B3600,gachas!A:C,3)</f>
        <v>フィーバーフェス（3日目）</v>
      </c>
      <c r="D3600" s="21">
        <v>10</v>
      </c>
      <c r="E3600" s="2">
        <f t="shared" si="541"/>
        <v>33</v>
      </c>
      <c r="F3600" s="2">
        <v>10</v>
      </c>
      <c r="G3600" s="3" t="s">
        <v>22</v>
      </c>
      <c r="H3600" s="2">
        <v>50</v>
      </c>
      <c r="I3600" s="114" t="str">
        <f t="shared" si="542"/>
        <v>550100</v>
      </c>
      <c r="J3600" s="112" t="s">
        <v>84</v>
      </c>
      <c r="K3600" s="112" t="str">
        <f t="shared" si="540"/>
        <v>550100</v>
      </c>
      <c r="L3600" s="2">
        <v>1</v>
      </c>
      <c r="M3600" s="2" t="s">
        <v>84</v>
      </c>
      <c r="N3600" s="2" t="s">
        <v>84</v>
      </c>
      <c r="O3600" s="2" t="s">
        <v>841</v>
      </c>
      <c r="P3600" s="2" t="s">
        <v>2571</v>
      </c>
    </row>
    <row r="3601" spans="1:16" ht="22" customHeight="1" x14ac:dyDescent="0.15">
      <c r="A3601" s="10" t="str">
        <f t="shared" si="539"/>
        <v>550_10_34_10_polygon</v>
      </c>
      <c r="B3601" s="2">
        <v>550</v>
      </c>
      <c r="C3601" s="30" t="str">
        <f>VLOOKUP(B3601,gachas!A:C,3)</f>
        <v>フィーバーフェス（3日目）</v>
      </c>
      <c r="D3601" s="21">
        <v>10</v>
      </c>
      <c r="E3601" s="2">
        <f t="shared" si="541"/>
        <v>34</v>
      </c>
      <c r="F3601" s="2">
        <v>10</v>
      </c>
      <c r="G3601" s="3" t="s">
        <v>22</v>
      </c>
      <c r="H3601" s="2">
        <v>50</v>
      </c>
      <c r="I3601" s="114" t="str">
        <f t="shared" si="542"/>
        <v>550100</v>
      </c>
      <c r="J3601" s="112" t="s">
        <v>84</v>
      </c>
      <c r="K3601" s="112" t="str">
        <f t="shared" si="540"/>
        <v>550100</v>
      </c>
      <c r="L3601" s="2">
        <v>1</v>
      </c>
      <c r="M3601" s="2" t="s">
        <v>84</v>
      </c>
      <c r="N3601" s="2" t="s">
        <v>84</v>
      </c>
      <c r="O3601" s="2" t="s">
        <v>841</v>
      </c>
      <c r="P3601" s="2" t="s">
        <v>2571</v>
      </c>
    </row>
    <row r="3602" spans="1:16" ht="22" customHeight="1" x14ac:dyDescent="0.15">
      <c r="A3602" s="10" t="str">
        <f t="shared" si="539"/>
        <v>550_10_35_10_polygon</v>
      </c>
      <c r="B3602" s="2">
        <v>550</v>
      </c>
      <c r="C3602" s="30" t="str">
        <f>VLOOKUP(B3602,gachas!A:C,3)</f>
        <v>フィーバーフェス（3日目）</v>
      </c>
      <c r="D3602" s="21">
        <v>10</v>
      </c>
      <c r="E3602" s="2">
        <f t="shared" si="541"/>
        <v>35</v>
      </c>
      <c r="F3602" s="2">
        <v>10</v>
      </c>
      <c r="G3602" s="3" t="s">
        <v>22</v>
      </c>
      <c r="H3602" s="2">
        <v>50</v>
      </c>
      <c r="I3602" s="114" t="str">
        <f t="shared" si="542"/>
        <v>550100</v>
      </c>
      <c r="J3602" s="112" t="str">
        <f>CONCATENATE(B3602,D3602,5)</f>
        <v>550105</v>
      </c>
      <c r="K3602" s="112" t="str">
        <f t="shared" si="540"/>
        <v>550100</v>
      </c>
      <c r="L3602" s="2">
        <v>1</v>
      </c>
      <c r="M3602" s="2" t="s">
        <v>84</v>
      </c>
      <c r="N3602" s="2" t="s">
        <v>84</v>
      </c>
      <c r="O3602" s="2" t="s">
        <v>841</v>
      </c>
      <c r="P3602" s="2" t="s">
        <v>2648</v>
      </c>
    </row>
    <row r="3603" spans="1:16" ht="22" customHeight="1" x14ac:dyDescent="0.15">
      <c r="A3603" s="10" t="str">
        <f t="shared" si="539"/>
        <v>550_10_36_10_polygon</v>
      </c>
      <c r="B3603" s="2">
        <v>550</v>
      </c>
      <c r="C3603" s="30" t="str">
        <f>VLOOKUP(B3603,gachas!A:C,3)</f>
        <v>フィーバーフェス（3日目）</v>
      </c>
      <c r="D3603" s="21">
        <v>10</v>
      </c>
      <c r="E3603" s="2">
        <f t="shared" si="541"/>
        <v>36</v>
      </c>
      <c r="F3603" s="2">
        <v>10</v>
      </c>
      <c r="G3603" s="3" t="s">
        <v>22</v>
      </c>
      <c r="H3603" s="2">
        <v>50</v>
      </c>
      <c r="I3603" s="114" t="str">
        <f t="shared" si="542"/>
        <v>550100</v>
      </c>
      <c r="J3603" s="112" t="s">
        <v>84</v>
      </c>
      <c r="K3603" s="112" t="str">
        <f t="shared" si="540"/>
        <v>550100</v>
      </c>
      <c r="L3603" s="2">
        <v>1</v>
      </c>
      <c r="M3603" s="2" t="s">
        <v>84</v>
      </c>
      <c r="N3603" s="2" t="s">
        <v>84</v>
      </c>
      <c r="O3603" s="2" t="s">
        <v>841</v>
      </c>
      <c r="P3603" s="2" t="s">
        <v>2571</v>
      </c>
    </row>
    <row r="3604" spans="1:16" ht="22" customHeight="1" x14ac:dyDescent="0.15">
      <c r="A3604" s="10" t="str">
        <f t="shared" si="539"/>
        <v>550_10_37_10_polygon</v>
      </c>
      <c r="B3604" s="2">
        <v>550</v>
      </c>
      <c r="C3604" s="30" t="str">
        <f>VLOOKUP(B3604,gachas!A:C,3)</f>
        <v>フィーバーフェス（3日目）</v>
      </c>
      <c r="D3604" s="21">
        <v>10</v>
      </c>
      <c r="E3604" s="2">
        <f t="shared" si="541"/>
        <v>37</v>
      </c>
      <c r="F3604" s="2">
        <v>10</v>
      </c>
      <c r="G3604" s="3" t="s">
        <v>22</v>
      </c>
      <c r="H3604" s="2">
        <v>50</v>
      </c>
      <c r="I3604" s="114" t="str">
        <f t="shared" si="542"/>
        <v>550100</v>
      </c>
      <c r="J3604" s="112" t="s">
        <v>84</v>
      </c>
      <c r="K3604" s="112" t="str">
        <f t="shared" si="540"/>
        <v>550100</v>
      </c>
      <c r="L3604" s="2">
        <v>1</v>
      </c>
      <c r="M3604" s="2" t="s">
        <v>84</v>
      </c>
      <c r="N3604" s="2" t="s">
        <v>84</v>
      </c>
      <c r="O3604" s="2" t="s">
        <v>841</v>
      </c>
      <c r="P3604" s="2" t="s">
        <v>2571</v>
      </c>
    </row>
    <row r="3605" spans="1:16" ht="22" customHeight="1" x14ac:dyDescent="0.15">
      <c r="A3605" s="10" t="str">
        <f t="shared" si="539"/>
        <v>550_10_38_10_polygon</v>
      </c>
      <c r="B3605" s="2">
        <v>550</v>
      </c>
      <c r="C3605" s="30" t="str">
        <f>VLOOKUP(B3605,gachas!A:C,3)</f>
        <v>フィーバーフェス（3日目）</v>
      </c>
      <c r="D3605" s="21">
        <v>10</v>
      </c>
      <c r="E3605" s="2">
        <f t="shared" si="541"/>
        <v>38</v>
      </c>
      <c r="F3605" s="2">
        <v>10</v>
      </c>
      <c r="G3605" s="3" t="s">
        <v>22</v>
      </c>
      <c r="H3605" s="2">
        <v>50</v>
      </c>
      <c r="I3605" s="114" t="str">
        <f t="shared" si="542"/>
        <v>550100</v>
      </c>
      <c r="J3605" s="112" t="s">
        <v>84</v>
      </c>
      <c r="K3605" s="112" t="str">
        <f t="shared" si="540"/>
        <v>550100</v>
      </c>
      <c r="L3605" s="2">
        <v>1</v>
      </c>
      <c r="M3605" s="2" t="s">
        <v>84</v>
      </c>
      <c r="N3605" s="2" t="s">
        <v>84</v>
      </c>
      <c r="O3605" s="2" t="s">
        <v>841</v>
      </c>
      <c r="P3605" s="2" t="s">
        <v>2571</v>
      </c>
    </row>
    <row r="3606" spans="1:16" ht="22" customHeight="1" x14ac:dyDescent="0.15">
      <c r="A3606" s="10" t="str">
        <f t="shared" si="539"/>
        <v>550_10_39_10_polygon</v>
      </c>
      <c r="B3606" s="2">
        <v>550</v>
      </c>
      <c r="C3606" s="30" t="str">
        <f>VLOOKUP(B3606,gachas!A:C,3)</f>
        <v>フィーバーフェス（3日目）</v>
      </c>
      <c r="D3606" s="21">
        <v>10</v>
      </c>
      <c r="E3606" s="2">
        <f t="shared" si="541"/>
        <v>39</v>
      </c>
      <c r="F3606" s="2">
        <v>10</v>
      </c>
      <c r="G3606" s="3" t="s">
        <v>22</v>
      </c>
      <c r="H3606" s="2">
        <v>50</v>
      </c>
      <c r="I3606" s="114" t="str">
        <f t="shared" si="542"/>
        <v>550100</v>
      </c>
      <c r="J3606" s="112" t="s">
        <v>84</v>
      </c>
      <c r="K3606" s="112" t="str">
        <f t="shared" si="540"/>
        <v>550100</v>
      </c>
      <c r="L3606" s="2">
        <v>1</v>
      </c>
      <c r="M3606" s="2" t="s">
        <v>84</v>
      </c>
      <c r="N3606" s="2" t="s">
        <v>84</v>
      </c>
      <c r="O3606" s="2" t="s">
        <v>841</v>
      </c>
      <c r="P3606" s="2" t="s">
        <v>2571</v>
      </c>
    </row>
    <row r="3607" spans="1:16" ht="22" customHeight="1" x14ac:dyDescent="0.15">
      <c r="A3607" s="10" t="str">
        <f t="shared" si="539"/>
        <v>550_10_40_10_polygon</v>
      </c>
      <c r="B3607" s="2">
        <v>550</v>
      </c>
      <c r="C3607" s="30" t="str">
        <f>VLOOKUP(B3607,gachas!A:C,3)</f>
        <v>フィーバーフェス（3日目）</v>
      </c>
      <c r="D3607" s="21">
        <v>10</v>
      </c>
      <c r="E3607" s="2">
        <f t="shared" si="541"/>
        <v>40</v>
      </c>
      <c r="F3607" s="2">
        <v>10</v>
      </c>
      <c r="G3607" s="3" t="s">
        <v>22</v>
      </c>
      <c r="H3607" s="2">
        <v>50</v>
      </c>
      <c r="I3607" s="114" t="str">
        <f t="shared" si="542"/>
        <v>550100</v>
      </c>
      <c r="J3607" s="112" t="str">
        <f>CONCATENATE(B3607,D3607,5)</f>
        <v>550105</v>
      </c>
      <c r="K3607" s="112" t="str">
        <f t="shared" si="540"/>
        <v>550100</v>
      </c>
      <c r="L3607" s="2">
        <v>1</v>
      </c>
      <c r="M3607" s="2" t="s">
        <v>84</v>
      </c>
      <c r="N3607" s="2" t="s">
        <v>84</v>
      </c>
      <c r="O3607" s="2" t="s">
        <v>841</v>
      </c>
      <c r="P3607" s="2" t="s">
        <v>2648</v>
      </c>
    </row>
    <row r="3608" spans="1:16" ht="22" customHeight="1" x14ac:dyDescent="0.15">
      <c r="A3608" s="10" t="str">
        <f t="shared" si="539"/>
        <v>550_10_41_10_polygon</v>
      </c>
      <c r="B3608" s="2">
        <v>550</v>
      </c>
      <c r="C3608" s="30" t="str">
        <f>VLOOKUP(B3608,gachas!A:C,3)</f>
        <v>フィーバーフェス（3日目）</v>
      </c>
      <c r="D3608" s="21">
        <v>10</v>
      </c>
      <c r="E3608" s="2">
        <f t="shared" si="541"/>
        <v>41</v>
      </c>
      <c r="F3608" s="2">
        <v>10</v>
      </c>
      <c r="G3608" s="3" t="s">
        <v>22</v>
      </c>
      <c r="H3608" s="2">
        <v>50</v>
      </c>
      <c r="I3608" s="114" t="str">
        <f t="shared" si="542"/>
        <v>550100</v>
      </c>
      <c r="J3608" s="112" t="s">
        <v>84</v>
      </c>
      <c r="K3608" s="112" t="str">
        <f t="shared" si="540"/>
        <v>550100</v>
      </c>
      <c r="L3608" s="2">
        <v>1</v>
      </c>
      <c r="M3608" s="2" t="s">
        <v>84</v>
      </c>
      <c r="N3608" s="2" t="s">
        <v>84</v>
      </c>
      <c r="O3608" s="2" t="s">
        <v>841</v>
      </c>
      <c r="P3608" s="2" t="s">
        <v>2571</v>
      </c>
    </row>
    <row r="3609" spans="1:16" ht="22" customHeight="1" x14ac:dyDescent="0.15">
      <c r="A3609" s="10" t="str">
        <f t="shared" si="539"/>
        <v>550_10_42_10_polygon</v>
      </c>
      <c r="B3609" s="2">
        <v>550</v>
      </c>
      <c r="C3609" s="30" t="str">
        <f>VLOOKUP(B3609,gachas!A:C,3)</f>
        <v>フィーバーフェス（3日目）</v>
      </c>
      <c r="D3609" s="21">
        <v>10</v>
      </c>
      <c r="E3609" s="2">
        <f t="shared" si="541"/>
        <v>42</v>
      </c>
      <c r="F3609" s="2">
        <v>10</v>
      </c>
      <c r="G3609" s="3" t="s">
        <v>22</v>
      </c>
      <c r="H3609" s="2">
        <v>50</v>
      </c>
      <c r="I3609" s="114" t="str">
        <f t="shared" si="542"/>
        <v>550100</v>
      </c>
      <c r="J3609" s="112" t="s">
        <v>84</v>
      </c>
      <c r="K3609" s="112" t="str">
        <f t="shared" si="540"/>
        <v>550100</v>
      </c>
      <c r="L3609" s="2">
        <v>1</v>
      </c>
      <c r="M3609" s="2" t="s">
        <v>84</v>
      </c>
      <c r="N3609" s="2" t="s">
        <v>84</v>
      </c>
      <c r="O3609" s="2" t="s">
        <v>841</v>
      </c>
      <c r="P3609" s="2" t="s">
        <v>2571</v>
      </c>
    </row>
    <row r="3610" spans="1:16" ht="22" customHeight="1" x14ac:dyDescent="0.15">
      <c r="A3610" s="10" t="str">
        <f t="shared" si="539"/>
        <v>550_10_43_10_polygon</v>
      </c>
      <c r="B3610" s="2">
        <v>550</v>
      </c>
      <c r="C3610" s="30" t="str">
        <f>VLOOKUP(B3610,gachas!A:C,3)</f>
        <v>フィーバーフェス（3日目）</v>
      </c>
      <c r="D3610" s="21">
        <v>10</v>
      </c>
      <c r="E3610" s="2">
        <f t="shared" si="541"/>
        <v>43</v>
      </c>
      <c r="F3610" s="2">
        <v>10</v>
      </c>
      <c r="G3610" s="3" t="s">
        <v>22</v>
      </c>
      <c r="H3610" s="2">
        <v>50</v>
      </c>
      <c r="I3610" s="114" t="str">
        <f t="shared" si="542"/>
        <v>550100</v>
      </c>
      <c r="J3610" s="112" t="s">
        <v>84</v>
      </c>
      <c r="K3610" s="112" t="str">
        <f t="shared" si="540"/>
        <v>550100</v>
      </c>
      <c r="L3610" s="2">
        <v>1</v>
      </c>
      <c r="M3610" s="2" t="s">
        <v>84</v>
      </c>
      <c r="N3610" s="2" t="s">
        <v>84</v>
      </c>
      <c r="O3610" s="2" t="s">
        <v>841</v>
      </c>
      <c r="P3610" s="2" t="s">
        <v>2571</v>
      </c>
    </row>
    <row r="3611" spans="1:16" ht="22" customHeight="1" x14ac:dyDescent="0.15">
      <c r="A3611" s="10" t="str">
        <f t="shared" si="539"/>
        <v>550_10_44_10_polygon</v>
      </c>
      <c r="B3611" s="2">
        <v>550</v>
      </c>
      <c r="C3611" s="30" t="str">
        <f>VLOOKUP(B3611,gachas!A:C,3)</f>
        <v>フィーバーフェス（3日目）</v>
      </c>
      <c r="D3611" s="21">
        <v>10</v>
      </c>
      <c r="E3611" s="2">
        <f t="shared" si="541"/>
        <v>44</v>
      </c>
      <c r="F3611" s="2">
        <v>10</v>
      </c>
      <c r="G3611" s="3" t="s">
        <v>22</v>
      </c>
      <c r="H3611" s="2">
        <v>50</v>
      </c>
      <c r="I3611" s="114" t="str">
        <f t="shared" si="542"/>
        <v>550100</v>
      </c>
      <c r="J3611" s="112" t="s">
        <v>84</v>
      </c>
      <c r="K3611" s="112" t="str">
        <f t="shared" si="540"/>
        <v>550100</v>
      </c>
      <c r="L3611" s="2">
        <v>1</v>
      </c>
      <c r="M3611" s="2" t="s">
        <v>84</v>
      </c>
      <c r="N3611" s="2" t="s">
        <v>84</v>
      </c>
      <c r="O3611" s="2" t="s">
        <v>841</v>
      </c>
      <c r="P3611" s="2" t="s">
        <v>2571</v>
      </c>
    </row>
    <row r="3612" spans="1:16" ht="22" customHeight="1" x14ac:dyDescent="0.15">
      <c r="A3612" s="10" t="str">
        <f t="shared" si="539"/>
        <v>550_10_45_10_polygon</v>
      </c>
      <c r="B3612" s="2">
        <v>550</v>
      </c>
      <c r="C3612" s="30" t="str">
        <f>VLOOKUP(B3612,gachas!A:C,3)</f>
        <v>フィーバーフェス（3日目）</v>
      </c>
      <c r="D3612" s="21">
        <v>10</v>
      </c>
      <c r="E3612" s="2">
        <f t="shared" si="541"/>
        <v>45</v>
      </c>
      <c r="F3612" s="2">
        <v>10</v>
      </c>
      <c r="G3612" s="3" t="s">
        <v>22</v>
      </c>
      <c r="H3612" s="2">
        <v>50</v>
      </c>
      <c r="I3612" s="114" t="str">
        <f t="shared" si="542"/>
        <v>550100</v>
      </c>
      <c r="J3612" s="112" t="str">
        <f>CONCATENATE(B3612,D3612,5)</f>
        <v>550105</v>
      </c>
      <c r="K3612" s="112" t="str">
        <f t="shared" si="540"/>
        <v>550100</v>
      </c>
      <c r="L3612" s="2">
        <v>1</v>
      </c>
      <c r="M3612" s="2" t="s">
        <v>84</v>
      </c>
      <c r="N3612" s="2" t="s">
        <v>84</v>
      </c>
      <c r="O3612" s="2" t="s">
        <v>841</v>
      </c>
      <c r="P3612" s="2" t="s">
        <v>2648</v>
      </c>
    </row>
    <row r="3613" spans="1:16" ht="22" customHeight="1" x14ac:dyDescent="0.15">
      <c r="A3613" s="10" t="str">
        <f t="shared" si="539"/>
        <v>550_10_46_10_polygon</v>
      </c>
      <c r="B3613" s="2">
        <v>550</v>
      </c>
      <c r="C3613" s="30" t="str">
        <f>VLOOKUP(B3613,gachas!A:C,3)</f>
        <v>フィーバーフェス（3日目）</v>
      </c>
      <c r="D3613" s="21">
        <v>10</v>
      </c>
      <c r="E3613" s="2">
        <f t="shared" si="541"/>
        <v>46</v>
      </c>
      <c r="F3613" s="2">
        <v>10</v>
      </c>
      <c r="G3613" s="3" t="s">
        <v>22</v>
      </c>
      <c r="H3613" s="2">
        <v>50</v>
      </c>
      <c r="I3613" s="114" t="str">
        <f t="shared" si="542"/>
        <v>550100</v>
      </c>
      <c r="J3613" s="112" t="s">
        <v>84</v>
      </c>
      <c r="K3613" s="112" t="str">
        <f t="shared" si="540"/>
        <v>550100</v>
      </c>
      <c r="L3613" s="2">
        <v>1</v>
      </c>
      <c r="M3613" s="2" t="s">
        <v>84</v>
      </c>
      <c r="N3613" s="2" t="s">
        <v>84</v>
      </c>
      <c r="O3613" s="2" t="s">
        <v>841</v>
      </c>
      <c r="P3613" s="2" t="s">
        <v>2571</v>
      </c>
    </row>
    <row r="3614" spans="1:16" ht="22" customHeight="1" x14ac:dyDescent="0.15">
      <c r="A3614" s="10" t="str">
        <f t="shared" si="539"/>
        <v>550_10_47_10_polygon</v>
      </c>
      <c r="B3614" s="2">
        <v>550</v>
      </c>
      <c r="C3614" s="30" t="str">
        <f>VLOOKUP(B3614,gachas!A:C,3)</f>
        <v>フィーバーフェス（3日目）</v>
      </c>
      <c r="D3614" s="21">
        <v>10</v>
      </c>
      <c r="E3614" s="2">
        <f t="shared" si="541"/>
        <v>47</v>
      </c>
      <c r="F3614" s="2">
        <v>10</v>
      </c>
      <c r="G3614" s="3" t="s">
        <v>22</v>
      </c>
      <c r="H3614" s="2">
        <v>50</v>
      </c>
      <c r="I3614" s="114" t="str">
        <f t="shared" si="542"/>
        <v>550100</v>
      </c>
      <c r="J3614" s="112" t="s">
        <v>84</v>
      </c>
      <c r="K3614" s="112" t="str">
        <f t="shared" si="540"/>
        <v>550100</v>
      </c>
      <c r="L3614" s="2">
        <v>1</v>
      </c>
      <c r="M3614" s="2" t="s">
        <v>84</v>
      </c>
      <c r="N3614" s="2" t="s">
        <v>84</v>
      </c>
      <c r="O3614" s="2" t="s">
        <v>841</v>
      </c>
      <c r="P3614" s="2" t="s">
        <v>2571</v>
      </c>
    </row>
    <row r="3615" spans="1:16" ht="22" customHeight="1" x14ac:dyDescent="0.15">
      <c r="A3615" s="10" t="str">
        <f t="shared" si="539"/>
        <v>550_10_48_10_polygon</v>
      </c>
      <c r="B3615" s="2">
        <v>550</v>
      </c>
      <c r="C3615" s="30" t="str">
        <f>VLOOKUP(B3615,gachas!A:C,3)</f>
        <v>フィーバーフェス（3日目）</v>
      </c>
      <c r="D3615" s="21">
        <v>10</v>
      </c>
      <c r="E3615" s="2">
        <f t="shared" si="541"/>
        <v>48</v>
      </c>
      <c r="F3615" s="2">
        <v>10</v>
      </c>
      <c r="G3615" s="3" t="s">
        <v>22</v>
      </c>
      <c r="H3615" s="2">
        <v>50</v>
      </c>
      <c r="I3615" s="114" t="str">
        <f t="shared" si="542"/>
        <v>550100</v>
      </c>
      <c r="J3615" s="112" t="s">
        <v>84</v>
      </c>
      <c r="K3615" s="112" t="str">
        <f t="shared" si="540"/>
        <v>550100</v>
      </c>
      <c r="L3615" s="2">
        <v>1</v>
      </c>
      <c r="M3615" s="2" t="s">
        <v>84</v>
      </c>
      <c r="N3615" s="2" t="s">
        <v>84</v>
      </c>
      <c r="O3615" s="2" t="s">
        <v>841</v>
      </c>
      <c r="P3615" s="2" t="s">
        <v>2571</v>
      </c>
    </row>
    <row r="3616" spans="1:16" ht="22" customHeight="1" x14ac:dyDescent="0.15">
      <c r="A3616" s="10" t="str">
        <f t="shared" si="539"/>
        <v>550_10_49_10_polygon</v>
      </c>
      <c r="B3616" s="2">
        <v>550</v>
      </c>
      <c r="C3616" s="30" t="str">
        <f>VLOOKUP(B3616,gachas!A:C,3)</f>
        <v>フィーバーフェス（3日目）</v>
      </c>
      <c r="D3616" s="21">
        <v>10</v>
      </c>
      <c r="E3616" s="2">
        <f t="shared" si="541"/>
        <v>49</v>
      </c>
      <c r="F3616" s="2">
        <v>10</v>
      </c>
      <c r="G3616" s="3" t="s">
        <v>22</v>
      </c>
      <c r="H3616" s="2">
        <v>50</v>
      </c>
      <c r="I3616" s="114" t="str">
        <f t="shared" si="542"/>
        <v>550100</v>
      </c>
      <c r="J3616" s="112" t="s">
        <v>84</v>
      </c>
      <c r="K3616" s="112" t="str">
        <f t="shared" si="540"/>
        <v>550100</v>
      </c>
      <c r="L3616" s="2">
        <v>1</v>
      </c>
      <c r="M3616" s="2" t="s">
        <v>84</v>
      </c>
      <c r="N3616" s="2" t="s">
        <v>84</v>
      </c>
      <c r="O3616" s="2" t="s">
        <v>841</v>
      </c>
      <c r="P3616" s="2" t="s">
        <v>2571</v>
      </c>
    </row>
    <row r="3617" spans="1:16" ht="22" customHeight="1" x14ac:dyDescent="0.15">
      <c r="A3617" s="10" t="str">
        <f t="shared" si="539"/>
        <v>550_10_50_10_polygon</v>
      </c>
      <c r="B3617" s="2">
        <v>550</v>
      </c>
      <c r="C3617" s="30" t="str">
        <f>VLOOKUP(B3617,gachas!A:C,3)</f>
        <v>フィーバーフェス（3日目）</v>
      </c>
      <c r="D3617" s="21">
        <v>10</v>
      </c>
      <c r="E3617" s="2">
        <f t="shared" si="541"/>
        <v>50</v>
      </c>
      <c r="F3617" s="2">
        <v>10</v>
      </c>
      <c r="G3617" s="3" t="s">
        <v>22</v>
      </c>
      <c r="H3617" s="2">
        <v>50</v>
      </c>
      <c r="I3617" s="114" t="str">
        <f t="shared" si="542"/>
        <v>550100</v>
      </c>
      <c r="J3617" s="112" t="str">
        <f>CONCATENATE(B3617,D3617,5)</f>
        <v>550105</v>
      </c>
      <c r="K3617" s="112" t="str">
        <f t="shared" si="540"/>
        <v>550100</v>
      </c>
      <c r="L3617" s="2">
        <v>1</v>
      </c>
      <c r="M3617" s="2" t="s">
        <v>84</v>
      </c>
      <c r="N3617" s="2" t="s">
        <v>84</v>
      </c>
      <c r="O3617" s="2" t="s">
        <v>841</v>
      </c>
      <c r="P3617" s="2" t="s">
        <v>2648</v>
      </c>
    </row>
    <row r="3618" spans="1:16" ht="22" customHeight="1" x14ac:dyDescent="0.15">
      <c r="A3618" s="10" t="str">
        <f t="shared" ref="A3618:A3681" si="543">B3618&amp;"_"&amp;D3618&amp;"_"&amp;E3618&amp;"_"&amp;F3618&amp;"_"&amp;G3618</f>
        <v>551_1_0_1_polygon</v>
      </c>
      <c r="B3618" s="2">
        <v>551</v>
      </c>
      <c r="C3618" s="30" t="str">
        <f>VLOOKUP(B3618,gachas!A:C,3)</f>
        <v>にゃんこガチャA</v>
      </c>
      <c r="D3618" s="21">
        <v>1</v>
      </c>
      <c r="E3618" s="2">
        <v>0</v>
      </c>
      <c r="F3618" s="2">
        <v>1</v>
      </c>
      <c r="G3618" s="3" t="s">
        <v>22</v>
      </c>
      <c r="H3618" s="2">
        <v>5</v>
      </c>
      <c r="I3618" s="114" t="str">
        <f t="shared" ref="I3618:I3681" si="544">CONCATENATE(B3618,IF(D3618=1,"01","10"),0)</f>
        <v>551010</v>
      </c>
      <c r="J3618" s="112" t="s">
        <v>84</v>
      </c>
      <c r="K3618" s="112" t="s">
        <v>84</v>
      </c>
      <c r="L3618" s="2">
        <v>0</v>
      </c>
      <c r="M3618" s="2" t="s">
        <v>84</v>
      </c>
      <c r="N3618" s="2" t="s">
        <v>84</v>
      </c>
      <c r="O3618" s="2" t="s">
        <v>841</v>
      </c>
      <c r="P3618" s="112" t="s">
        <v>84</v>
      </c>
    </row>
    <row r="3619" spans="1:16" ht="22" customHeight="1" x14ac:dyDescent="0.15">
      <c r="A3619" s="10" t="str">
        <f t="shared" si="543"/>
        <v>551_10_0_10_polygon</v>
      </c>
      <c r="B3619" s="2">
        <v>551</v>
      </c>
      <c r="C3619" s="30" t="str">
        <f>VLOOKUP(B3619,gachas!A:C,3)</f>
        <v>にゃんこガチャA</v>
      </c>
      <c r="D3619" s="21">
        <v>10</v>
      </c>
      <c r="E3619" s="2">
        <v>0</v>
      </c>
      <c r="F3619" s="2">
        <v>10</v>
      </c>
      <c r="G3619" s="3" t="s">
        <v>22</v>
      </c>
      <c r="H3619" s="2">
        <v>50</v>
      </c>
      <c r="I3619" s="114" t="str">
        <f t="shared" si="544"/>
        <v>551100</v>
      </c>
      <c r="J3619" s="112" t="s">
        <v>84</v>
      </c>
      <c r="K3619" s="112" t="s">
        <v>84</v>
      </c>
      <c r="L3619" s="2">
        <v>0</v>
      </c>
      <c r="M3619" s="2" t="s">
        <v>84</v>
      </c>
      <c r="N3619" s="2" t="s">
        <v>84</v>
      </c>
      <c r="O3619" s="2" t="s">
        <v>841</v>
      </c>
      <c r="P3619" s="2" t="s">
        <v>2637</v>
      </c>
    </row>
    <row r="3620" spans="1:16" ht="22" customHeight="1" x14ac:dyDescent="0.15">
      <c r="A3620" s="10" t="str">
        <f t="shared" si="543"/>
        <v>551_10_1_10_polygon</v>
      </c>
      <c r="B3620" s="2">
        <v>551</v>
      </c>
      <c r="C3620" s="30" t="str">
        <f>VLOOKUP(B3620,gachas!A:C,3)</f>
        <v>にゃんこガチャA</v>
      </c>
      <c r="D3620" s="21">
        <v>10</v>
      </c>
      <c r="E3620" s="2">
        <f>E3619+1</f>
        <v>1</v>
      </c>
      <c r="F3620" s="2">
        <v>10</v>
      </c>
      <c r="G3620" s="3" t="s">
        <v>22</v>
      </c>
      <c r="H3620" s="2">
        <v>25</v>
      </c>
      <c r="I3620" s="114" t="str">
        <f t="shared" si="544"/>
        <v>551100</v>
      </c>
      <c r="J3620" s="112" t="s">
        <v>84</v>
      </c>
      <c r="K3620" s="112" t="s">
        <v>84</v>
      </c>
      <c r="L3620" s="2">
        <v>0</v>
      </c>
      <c r="M3620" s="2" t="s">
        <v>84</v>
      </c>
      <c r="N3620" s="2" t="s">
        <v>84</v>
      </c>
      <c r="O3620" s="2" t="s">
        <v>841</v>
      </c>
      <c r="P3620" s="59" t="s">
        <v>1783</v>
      </c>
    </row>
    <row r="3621" spans="1:16" ht="22" customHeight="1" x14ac:dyDescent="0.15">
      <c r="A3621" s="10" t="str">
        <f t="shared" si="543"/>
        <v>551_10_2_10_polygon</v>
      </c>
      <c r="B3621" s="2">
        <v>551</v>
      </c>
      <c r="C3621" s="30" t="str">
        <f>VLOOKUP(B3621,gachas!A:C,3)</f>
        <v>にゃんこガチャA</v>
      </c>
      <c r="D3621" s="21">
        <v>10</v>
      </c>
      <c r="E3621" s="2">
        <f t="shared" si="541"/>
        <v>2</v>
      </c>
      <c r="F3621" s="2">
        <v>10</v>
      </c>
      <c r="G3621" s="3" t="s">
        <v>22</v>
      </c>
      <c r="H3621" s="2">
        <v>50</v>
      </c>
      <c r="I3621" s="114" t="str">
        <f t="shared" si="544"/>
        <v>551100</v>
      </c>
      <c r="J3621" s="112" t="str">
        <f t="shared" ref="J3621:J3623" si="545">CONCATENATE(B3621,D3621,5)</f>
        <v>551105</v>
      </c>
      <c r="K3621" s="112" t="s">
        <v>84</v>
      </c>
      <c r="L3621" s="2">
        <v>0</v>
      </c>
      <c r="M3621" s="2" t="s">
        <v>84</v>
      </c>
      <c r="N3621" s="2" t="s">
        <v>84</v>
      </c>
      <c r="O3621" s="2" t="s">
        <v>841</v>
      </c>
      <c r="P3621" s="2" t="s">
        <v>2881</v>
      </c>
    </row>
    <row r="3622" spans="1:16" ht="22" customHeight="1" x14ac:dyDescent="0.15">
      <c r="A3622" s="10" t="str">
        <f t="shared" si="543"/>
        <v>551_10_3_10_polygon</v>
      </c>
      <c r="B3622" s="2">
        <v>551</v>
      </c>
      <c r="C3622" s="30" t="str">
        <f>VLOOKUP(B3622,gachas!A:C,3)</f>
        <v>にゃんこガチャA</v>
      </c>
      <c r="D3622" s="21">
        <v>10</v>
      </c>
      <c r="E3622" s="2">
        <f t="shared" si="541"/>
        <v>3</v>
      </c>
      <c r="F3622" s="2">
        <v>10</v>
      </c>
      <c r="G3622" s="3" t="s">
        <v>22</v>
      </c>
      <c r="H3622" s="2">
        <v>50</v>
      </c>
      <c r="I3622" s="114" t="str">
        <f t="shared" si="544"/>
        <v>551100</v>
      </c>
      <c r="J3622" s="112" t="str">
        <f t="shared" si="545"/>
        <v>551105</v>
      </c>
      <c r="K3622" s="112" t="s">
        <v>84</v>
      </c>
      <c r="L3622" s="2">
        <v>0</v>
      </c>
      <c r="M3622" s="2" t="s">
        <v>84</v>
      </c>
      <c r="N3622" s="2" t="s">
        <v>84</v>
      </c>
      <c r="O3622" s="2" t="s">
        <v>841</v>
      </c>
      <c r="P3622" s="2" t="s">
        <v>2881</v>
      </c>
    </row>
    <row r="3623" spans="1:16" ht="22" customHeight="1" x14ac:dyDescent="0.15">
      <c r="A3623" s="10" t="str">
        <f t="shared" si="543"/>
        <v>551_10_4_10_polygon</v>
      </c>
      <c r="B3623" s="2">
        <v>551</v>
      </c>
      <c r="C3623" s="30" t="str">
        <f>VLOOKUP(B3623,gachas!A:C,3)</f>
        <v>にゃんこガチャA</v>
      </c>
      <c r="D3623" s="21">
        <v>10</v>
      </c>
      <c r="E3623" s="2">
        <f t="shared" si="541"/>
        <v>4</v>
      </c>
      <c r="F3623" s="2">
        <v>10</v>
      </c>
      <c r="G3623" s="3" t="s">
        <v>22</v>
      </c>
      <c r="H3623" s="2">
        <v>50</v>
      </c>
      <c r="I3623" s="114" t="str">
        <f t="shared" si="544"/>
        <v>551100</v>
      </c>
      <c r="J3623" s="112" t="str">
        <f t="shared" si="545"/>
        <v>551105</v>
      </c>
      <c r="K3623" s="112" t="s">
        <v>84</v>
      </c>
      <c r="L3623" s="2">
        <v>0</v>
      </c>
      <c r="M3623" s="2" t="s">
        <v>84</v>
      </c>
      <c r="N3623" s="2" t="s">
        <v>84</v>
      </c>
      <c r="O3623" s="2" t="s">
        <v>841</v>
      </c>
      <c r="P3623" s="2" t="s">
        <v>2881</v>
      </c>
    </row>
    <row r="3624" spans="1:16" ht="22" customHeight="1" x14ac:dyDescent="0.15">
      <c r="A3624" s="10" t="str">
        <f t="shared" si="543"/>
        <v>551_10_5_10_polygon</v>
      </c>
      <c r="B3624" s="2">
        <v>551</v>
      </c>
      <c r="C3624" s="30" t="str">
        <f>VLOOKUP(B3624,gachas!A:C,3)</f>
        <v>にゃんこガチャA</v>
      </c>
      <c r="D3624" s="21">
        <v>10</v>
      </c>
      <c r="E3624" s="2">
        <f t="shared" si="541"/>
        <v>5</v>
      </c>
      <c r="F3624" s="2">
        <v>10</v>
      </c>
      <c r="G3624" s="3" t="s">
        <v>22</v>
      </c>
      <c r="H3624" s="2">
        <v>50</v>
      </c>
      <c r="I3624" s="114" t="str">
        <f t="shared" si="544"/>
        <v>551100</v>
      </c>
      <c r="J3624" s="141" t="s">
        <v>1571</v>
      </c>
      <c r="K3624" s="112" t="str">
        <f t="shared" ref="K3624" si="546">I3624</f>
        <v>551100</v>
      </c>
      <c r="L3624" s="2">
        <v>1</v>
      </c>
      <c r="M3624" s="2" t="s">
        <v>84</v>
      </c>
      <c r="N3624" s="2" t="s">
        <v>84</v>
      </c>
      <c r="O3624" s="2" t="s">
        <v>841</v>
      </c>
      <c r="P3624" s="2" t="s">
        <v>2871</v>
      </c>
    </row>
    <row r="3625" spans="1:16" ht="22" customHeight="1" x14ac:dyDescent="0.15">
      <c r="A3625" s="10" t="str">
        <f t="shared" si="543"/>
        <v>551_10_6_10_polygon</v>
      </c>
      <c r="B3625" s="2">
        <v>551</v>
      </c>
      <c r="C3625" s="30" t="str">
        <f>VLOOKUP(B3625,gachas!A:C,3)</f>
        <v>にゃんこガチャA</v>
      </c>
      <c r="D3625" s="21">
        <v>10</v>
      </c>
      <c r="E3625" s="2">
        <f t="shared" si="541"/>
        <v>6</v>
      </c>
      <c r="F3625" s="2">
        <v>10</v>
      </c>
      <c r="G3625" s="3" t="s">
        <v>22</v>
      </c>
      <c r="H3625" s="2">
        <v>0</v>
      </c>
      <c r="I3625" s="114" t="str">
        <f t="shared" si="544"/>
        <v>551100</v>
      </c>
      <c r="J3625" s="112" t="s">
        <v>84</v>
      </c>
      <c r="K3625" s="112" t="s">
        <v>84</v>
      </c>
      <c r="L3625" s="2">
        <v>0</v>
      </c>
      <c r="M3625" s="2" t="s">
        <v>84</v>
      </c>
      <c r="N3625" s="2" t="s">
        <v>84</v>
      </c>
      <c r="O3625" s="2" t="s">
        <v>841</v>
      </c>
      <c r="P3625" s="2" t="s">
        <v>2872</v>
      </c>
    </row>
    <row r="3626" spans="1:16" ht="22" customHeight="1" x14ac:dyDescent="0.15">
      <c r="A3626" s="10" t="str">
        <f t="shared" si="543"/>
        <v>551_10_7_10_polygon</v>
      </c>
      <c r="B3626" s="2">
        <v>551</v>
      </c>
      <c r="C3626" s="30" t="str">
        <f>VLOOKUP(B3626,gachas!A:C,3)</f>
        <v>にゃんこガチャA</v>
      </c>
      <c r="D3626" s="21">
        <v>10</v>
      </c>
      <c r="E3626" s="2">
        <f t="shared" si="541"/>
        <v>7</v>
      </c>
      <c r="F3626" s="2">
        <v>10</v>
      </c>
      <c r="G3626" s="3" t="s">
        <v>22</v>
      </c>
      <c r="H3626" s="2">
        <v>25</v>
      </c>
      <c r="I3626" s="114" t="str">
        <f t="shared" si="544"/>
        <v>551100</v>
      </c>
      <c r="J3626" s="112" t="s">
        <v>84</v>
      </c>
      <c r="K3626" s="112" t="s">
        <v>84</v>
      </c>
      <c r="L3626" s="2">
        <v>0</v>
      </c>
      <c r="M3626" s="2" t="s">
        <v>84</v>
      </c>
      <c r="N3626" s="2" t="s">
        <v>84</v>
      </c>
      <c r="O3626" s="2" t="s">
        <v>841</v>
      </c>
      <c r="P3626" s="59" t="s">
        <v>1783</v>
      </c>
    </row>
    <row r="3627" spans="1:16" ht="22" customHeight="1" x14ac:dyDescent="0.15">
      <c r="A3627" s="10" t="str">
        <f t="shared" si="543"/>
        <v>551_10_8_10_polygon</v>
      </c>
      <c r="B3627" s="2">
        <v>551</v>
      </c>
      <c r="C3627" s="30" t="str">
        <f>VLOOKUP(B3627,gachas!A:C,3)</f>
        <v>にゃんこガチャA</v>
      </c>
      <c r="D3627" s="21">
        <v>10</v>
      </c>
      <c r="E3627" s="2">
        <f t="shared" si="541"/>
        <v>8</v>
      </c>
      <c r="F3627" s="2">
        <v>10</v>
      </c>
      <c r="G3627" s="3" t="s">
        <v>22</v>
      </c>
      <c r="H3627" s="2">
        <v>50</v>
      </c>
      <c r="I3627" s="114" t="str">
        <f t="shared" si="544"/>
        <v>551100</v>
      </c>
      <c r="J3627" s="112" t="str">
        <f t="shared" ref="J3627:J3629" si="547">CONCATENATE(B3627,D3627,5)</f>
        <v>551105</v>
      </c>
      <c r="K3627" s="112" t="s">
        <v>84</v>
      </c>
      <c r="L3627" s="2">
        <v>0</v>
      </c>
      <c r="M3627" s="2" t="s">
        <v>84</v>
      </c>
      <c r="N3627" s="2" t="s">
        <v>84</v>
      </c>
      <c r="O3627" s="2" t="s">
        <v>841</v>
      </c>
      <c r="P3627" s="2" t="s">
        <v>2881</v>
      </c>
    </row>
    <row r="3628" spans="1:16" ht="22" customHeight="1" x14ac:dyDescent="0.15">
      <c r="A3628" s="10" t="str">
        <f t="shared" si="543"/>
        <v>551_10_9_10_polygon</v>
      </c>
      <c r="B3628" s="2">
        <v>551</v>
      </c>
      <c r="C3628" s="30" t="str">
        <f>VLOOKUP(B3628,gachas!A:C,3)</f>
        <v>にゃんこガチャA</v>
      </c>
      <c r="D3628" s="21">
        <v>10</v>
      </c>
      <c r="E3628" s="2">
        <f t="shared" si="541"/>
        <v>9</v>
      </c>
      <c r="F3628" s="2">
        <v>10</v>
      </c>
      <c r="G3628" s="3" t="s">
        <v>22</v>
      </c>
      <c r="H3628" s="2">
        <v>50</v>
      </c>
      <c r="I3628" s="114" t="str">
        <f t="shared" si="544"/>
        <v>551100</v>
      </c>
      <c r="J3628" s="112" t="str">
        <f t="shared" si="547"/>
        <v>551105</v>
      </c>
      <c r="K3628" s="112" t="s">
        <v>84</v>
      </c>
      <c r="L3628" s="2">
        <v>0</v>
      </c>
      <c r="M3628" s="2" t="s">
        <v>84</v>
      </c>
      <c r="N3628" s="2" t="s">
        <v>84</v>
      </c>
      <c r="O3628" s="2" t="s">
        <v>841</v>
      </c>
      <c r="P3628" s="2" t="s">
        <v>2881</v>
      </c>
    </row>
    <row r="3629" spans="1:16" ht="22" customHeight="1" x14ac:dyDescent="0.15">
      <c r="A3629" s="10" t="str">
        <f t="shared" si="543"/>
        <v>551_10_10_10_polygon</v>
      </c>
      <c r="B3629" s="2">
        <v>551</v>
      </c>
      <c r="C3629" s="30" t="str">
        <f>VLOOKUP(B3629,gachas!A:C,3)</f>
        <v>にゃんこガチャA</v>
      </c>
      <c r="D3629" s="21">
        <v>10</v>
      </c>
      <c r="E3629" s="2">
        <f t="shared" si="541"/>
        <v>10</v>
      </c>
      <c r="F3629" s="2">
        <v>10</v>
      </c>
      <c r="G3629" s="3" t="s">
        <v>22</v>
      </c>
      <c r="H3629" s="2">
        <v>50</v>
      </c>
      <c r="I3629" s="114" t="str">
        <f t="shared" si="544"/>
        <v>551100</v>
      </c>
      <c r="J3629" s="112" t="str">
        <f t="shared" si="547"/>
        <v>551105</v>
      </c>
      <c r="K3629" s="112" t="s">
        <v>84</v>
      </c>
      <c r="L3629" s="2">
        <v>0</v>
      </c>
      <c r="M3629" s="2" t="s">
        <v>84</v>
      </c>
      <c r="N3629" s="2" t="s">
        <v>84</v>
      </c>
      <c r="O3629" s="2" t="s">
        <v>841</v>
      </c>
      <c r="P3629" s="2" t="s">
        <v>2881</v>
      </c>
    </row>
    <row r="3630" spans="1:16" ht="22" customHeight="1" x14ac:dyDescent="0.15">
      <c r="A3630" s="10" t="str">
        <f t="shared" si="543"/>
        <v>551_10_11_10_polygon</v>
      </c>
      <c r="B3630" s="2">
        <v>551</v>
      </c>
      <c r="C3630" s="30" t="str">
        <f>VLOOKUP(B3630,gachas!A:C,3)</f>
        <v>にゃんこガチャA</v>
      </c>
      <c r="D3630" s="21">
        <v>10</v>
      </c>
      <c r="E3630" s="2">
        <f t="shared" si="541"/>
        <v>11</v>
      </c>
      <c r="F3630" s="2">
        <v>10</v>
      </c>
      <c r="G3630" s="3" t="s">
        <v>22</v>
      </c>
      <c r="H3630" s="2">
        <v>50</v>
      </c>
      <c r="I3630" s="114" t="str">
        <f t="shared" si="544"/>
        <v>551100</v>
      </c>
      <c r="J3630" s="141" t="s">
        <v>1571</v>
      </c>
      <c r="K3630" s="112" t="str">
        <f t="shared" ref="K3630" si="548">I3630</f>
        <v>551100</v>
      </c>
      <c r="L3630" s="2">
        <v>1</v>
      </c>
      <c r="M3630" s="2" t="s">
        <v>84</v>
      </c>
      <c r="N3630" s="2" t="s">
        <v>84</v>
      </c>
      <c r="O3630" s="2" t="s">
        <v>841</v>
      </c>
      <c r="P3630" s="2" t="s">
        <v>2871</v>
      </c>
    </row>
    <row r="3631" spans="1:16" ht="22" customHeight="1" x14ac:dyDescent="0.15">
      <c r="A3631" s="10" t="str">
        <f t="shared" si="543"/>
        <v>551_10_12_10_polygon</v>
      </c>
      <c r="B3631" s="2">
        <v>551</v>
      </c>
      <c r="C3631" s="30" t="str">
        <f>VLOOKUP(B3631,gachas!A:C,3)</f>
        <v>にゃんこガチャA</v>
      </c>
      <c r="D3631" s="21">
        <v>10</v>
      </c>
      <c r="E3631" s="2">
        <f t="shared" si="541"/>
        <v>12</v>
      </c>
      <c r="F3631" s="2">
        <v>10</v>
      </c>
      <c r="G3631" s="3" t="s">
        <v>22</v>
      </c>
      <c r="H3631" s="2">
        <v>0</v>
      </c>
      <c r="I3631" s="114" t="str">
        <f t="shared" si="544"/>
        <v>551100</v>
      </c>
      <c r="J3631" s="112" t="s">
        <v>84</v>
      </c>
      <c r="K3631" s="112" t="s">
        <v>84</v>
      </c>
      <c r="L3631" s="2">
        <v>0</v>
      </c>
      <c r="M3631" s="2" t="s">
        <v>84</v>
      </c>
      <c r="N3631" s="2" t="s">
        <v>84</v>
      </c>
      <c r="O3631" s="2" t="s">
        <v>841</v>
      </c>
      <c r="P3631" s="2" t="s">
        <v>2872</v>
      </c>
    </row>
    <row r="3632" spans="1:16" ht="22" customHeight="1" x14ac:dyDescent="0.15">
      <c r="A3632" s="10" t="str">
        <f t="shared" si="543"/>
        <v>551_10_13_10_polygon</v>
      </c>
      <c r="B3632" s="2">
        <v>551</v>
      </c>
      <c r="C3632" s="30" t="str">
        <f>VLOOKUP(B3632,gachas!A:C,3)</f>
        <v>にゃんこガチャA</v>
      </c>
      <c r="D3632" s="21">
        <v>10</v>
      </c>
      <c r="E3632" s="2">
        <f t="shared" si="541"/>
        <v>13</v>
      </c>
      <c r="F3632" s="2">
        <v>10</v>
      </c>
      <c r="G3632" s="3" t="s">
        <v>22</v>
      </c>
      <c r="H3632" s="2">
        <v>25</v>
      </c>
      <c r="I3632" s="114" t="str">
        <f t="shared" si="544"/>
        <v>551100</v>
      </c>
      <c r="J3632" s="112" t="s">
        <v>84</v>
      </c>
      <c r="K3632" s="112" t="s">
        <v>84</v>
      </c>
      <c r="L3632" s="2">
        <v>0</v>
      </c>
      <c r="M3632" s="2" t="s">
        <v>84</v>
      </c>
      <c r="N3632" s="2" t="s">
        <v>84</v>
      </c>
      <c r="O3632" s="2" t="s">
        <v>841</v>
      </c>
      <c r="P3632" s="59" t="s">
        <v>1783</v>
      </c>
    </row>
    <row r="3633" spans="1:16" ht="22" customHeight="1" x14ac:dyDescent="0.15">
      <c r="A3633" s="10" t="str">
        <f t="shared" si="543"/>
        <v>551_10_14_10_polygon</v>
      </c>
      <c r="B3633" s="2">
        <v>551</v>
      </c>
      <c r="C3633" s="30" t="str">
        <f>VLOOKUP(B3633,gachas!A:C,3)</f>
        <v>にゃんこガチャA</v>
      </c>
      <c r="D3633" s="21">
        <v>10</v>
      </c>
      <c r="E3633" s="2">
        <f t="shared" ref="E3633:E3679" si="549">E3632+1</f>
        <v>14</v>
      </c>
      <c r="F3633" s="2">
        <v>10</v>
      </c>
      <c r="G3633" s="3" t="s">
        <v>22</v>
      </c>
      <c r="H3633" s="2">
        <v>50</v>
      </c>
      <c r="I3633" s="114" t="str">
        <f t="shared" si="544"/>
        <v>551100</v>
      </c>
      <c r="J3633" s="112" t="str">
        <f t="shared" ref="J3633:J3635" si="550">CONCATENATE(B3633,D3633,5)</f>
        <v>551105</v>
      </c>
      <c r="K3633" s="112" t="s">
        <v>84</v>
      </c>
      <c r="L3633" s="2">
        <v>0</v>
      </c>
      <c r="M3633" s="2" t="s">
        <v>84</v>
      </c>
      <c r="N3633" s="2" t="s">
        <v>84</v>
      </c>
      <c r="O3633" s="2" t="s">
        <v>841</v>
      </c>
      <c r="P3633" s="2" t="s">
        <v>2881</v>
      </c>
    </row>
    <row r="3634" spans="1:16" ht="22" customHeight="1" x14ac:dyDescent="0.15">
      <c r="A3634" s="10" t="str">
        <f t="shared" si="543"/>
        <v>551_10_15_10_polygon</v>
      </c>
      <c r="B3634" s="2">
        <v>551</v>
      </c>
      <c r="C3634" s="30" t="str">
        <f>VLOOKUP(B3634,gachas!A:C,3)</f>
        <v>にゃんこガチャA</v>
      </c>
      <c r="D3634" s="21">
        <v>10</v>
      </c>
      <c r="E3634" s="2">
        <f t="shared" si="549"/>
        <v>15</v>
      </c>
      <c r="F3634" s="2">
        <v>10</v>
      </c>
      <c r="G3634" s="3" t="s">
        <v>22</v>
      </c>
      <c r="H3634" s="2">
        <v>50</v>
      </c>
      <c r="I3634" s="114" t="str">
        <f t="shared" si="544"/>
        <v>551100</v>
      </c>
      <c r="J3634" s="112" t="str">
        <f t="shared" si="550"/>
        <v>551105</v>
      </c>
      <c r="K3634" s="112" t="s">
        <v>84</v>
      </c>
      <c r="L3634" s="2">
        <v>0</v>
      </c>
      <c r="M3634" s="2" t="s">
        <v>84</v>
      </c>
      <c r="N3634" s="2" t="s">
        <v>84</v>
      </c>
      <c r="O3634" s="2" t="s">
        <v>841</v>
      </c>
      <c r="P3634" s="2" t="s">
        <v>2881</v>
      </c>
    </row>
    <row r="3635" spans="1:16" ht="22" customHeight="1" x14ac:dyDescent="0.15">
      <c r="A3635" s="10" t="str">
        <f t="shared" si="543"/>
        <v>551_10_16_10_polygon</v>
      </c>
      <c r="B3635" s="2">
        <v>551</v>
      </c>
      <c r="C3635" s="30" t="str">
        <f>VLOOKUP(B3635,gachas!A:C,3)</f>
        <v>にゃんこガチャA</v>
      </c>
      <c r="D3635" s="21">
        <v>10</v>
      </c>
      <c r="E3635" s="2">
        <f t="shared" si="549"/>
        <v>16</v>
      </c>
      <c r="F3635" s="2">
        <v>10</v>
      </c>
      <c r="G3635" s="3" t="s">
        <v>22</v>
      </c>
      <c r="H3635" s="2">
        <v>50</v>
      </c>
      <c r="I3635" s="114" t="str">
        <f t="shared" si="544"/>
        <v>551100</v>
      </c>
      <c r="J3635" s="112" t="str">
        <f t="shared" si="550"/>
        <v>551105</v>
      </c>
      <c r="K3635" s="112" t="s">
        <v>84</v>
      </c>
      <c r="L3635" s="2">
        <v>0</v>
      </c>
      <c r="M3635" s="2" t="s">
        <v>84</v>
      </c>
      <c r="N3635" s="2" t="s">
        <v>84</v>
      </c>
      <c r="O3635" s="2" t="s">
        <v>841</v>
      </c>
      <c r="P3635" s="2" t="s">
        <v>2881</v>
      </c>
    </row>
    <row r="3636" spans="1:16" ht="22" customHeight="1" x14ac:dyDescent="0.15">
      <c r="A3636" s="10" t="str">
        <f t="shared" si="543"/>
        <v>551_10_17_10_polygon</v>
      </c>
      <c r="B3636" s="2">
        <v>551</v>
      </c>
      <c r="C3636" s="30" t="str">
        <f>VLOOKUP(B3636,gachas!A:C,3)</f>
        <v>にゃんこガチャA</v>
      </c>
      <c r="D3636" s="21">
        <v>10</v>
      </c>
      <c r="E3636" s="2">
        <f t="shared" si="549"/>
        <v>17</v>
      </c>
      <c r="F3636" s="2">
        <v>10</v>
      </c>
      <c r="G3636" s="3" t="s">
        <v>22</v>
      </c>
      <c r="H3636" s="2">
        <v>50</v>
      </c>
      <c r="I3636" s="114" t="str">
        <f t="shared" si="544"/>
        <v>551100</v>
      </c>
      <c r="J3636" s="141" t="s">
        <v>1571</v>
      </c>
      <c r="K3636" s="112" t="str">
        <f t="shared" ref="K3636" si="551">I3636</f>
        <v>551100</v>
      </c>
      <c r="L3636" s="2">
        <v>1</v>
      </c>
      <c r="M3636" s="2" t="s">
        <v>84</v>
      </c>
      <c r="N3636" s="2" t="s">
        <v>84</v>
      </c>
      <c r="O3636" s="2" t="s">
        <v>841</v>
      </c>
      <c r="P3636" s="2" t="s">
        <v>2871</v>
      </c>
    </row>
    <row r="3637" spans="1:16" ht="22" customHeight="1" x14ac:dyDescent="0.15">
      <c r="A3637" s="10" t="str">
        <f t="shared" si="543"/>
        <v>551_10_18_10_polygon</v>
      </c>
      <c r="B3637" s="2">
        <v>551</v>
      </c>
      <c r="C3637" s="30" t="str">
        <f>VLOOKUP(B3637,gachas!A:C,3)</f>
        <v>にゃんこガチャA</v>
      </c>
      <c r="D3637" s="21">
        <v>10</v>
      </c>
      <c r="E3637" s="2">
        <f t="shared" si="549"/>
        <v>18</v>
      </c>
      <c r="F3637" s="2">
        <v>10</v>
      </c>
      <c r="G3637" s="3" t="s">
        <v>22</v>
      </c>
      <c r="H3637" s="2">
        <v>0</v>
      </c>
      <c r="I3637" s="114" t="str">
        <f t="shared" si="544"/>
        <v>551100</v>
      </c>
      <c r="J3637" s="112" t="s">
        <v>84</v>
      </c>
      <c r="K3637" s="112" t="s">
        <v>84</v>
      </c>
      <c r="L3637" s="2">
        <v>0</v>
      </c>
      <c r="M3637" s="2" t="s">
        <v>84</v>
      </c>
      <c r="N3637" s="2" t="s">
        <v>84</v>
      </c>
      <c r="O3637" s="2" t="s">
        <v>841</v>
      </c>
      <c r="P3637" s="2" t="s">
        <v>2872</v>
      </c>
    </row>
    <row r="3638" spans="1:16" ht="22" customHeight="1" x14ac:dyDescent="0.15">
      <c r="A3638" s="10" t="str">
        <f t="shared" si="543"/>
        <v>551_10_19_10_polygon</v>
      </c>
      <c r="B3638" s="2">
        <v>551</v>
      </c>
      <c r="C3638" s="30" t="str">
        <f>VLOOKUP(B3638,gachas!A:C,3)</f>
        <v>にゃんこガチャA</v>
      </c>
      <c r="D3638" s="21">
        <v>10</v>
      </c>
      <c r="E3638" s="2">
        <f t="shared" si="549"/>
        <v>19</v>
      </c>
      <c r="F3638" s="2">
        <v>10</v>
      </c>
      <c r="G3638" s="3" t="s">
        <v>22</v>
      </c>
      <c r="H3638" s="2">
        <v>25</v>
      </c>
      <c r="I3638" s="114" t="str">
        <f t="shared" si="544"/>
        <v>551100</v>
      </c>
      <c r="J3638" s="112" t="s">
        <v>84</v>
      </c>
      <c r="K3638" s="112" t="s">
        <v>84</v>
      </c>
      <c r="L3638" s="2">
        <v>0</v>
      </c>
      <c r="M3638" s="2" t="s">
        <v>84</v>
      </c>
      <c r="N3638" s="2" t="s">
        <v>84</v>
      </c>
      <c r="O3638" s="2" t="s">
        <v>841</v>
      </c>
      <c r="P3638" s="59" t="s">
        <v>1783</v>
      </c>
    </row>
    <row r="3639" spans="1:16" ht="22" customHeight="1" x14ac:dyDescent="0.15">
      <c r="A3639" s="10" t="str">
        <f t="shared" si="543"/>
        <v>551_10_20_10_polygon</v>
      </c>
      <c r="B3639" s="2">
        <v>551</v>
      </c>
      <c r="C3639" s="30" t="str">
        <f>VLOOKUP(B3639,gachas!A:C,3)</f>
        <v>にゃんこガチャA</v>
      </c>
      <c r="D3639" s="21">
        <v>10</v>
      </c>
      <c r="E3639" s="2">
        <f t="shared" si="549"/>
        <v>20</v>
      </c>
      <c r="F3639" s="2">
        <v>10</v>
      </c>
      <c r="G3639" s="3" t="s">
        <v>22</v>
      </c>
      <c r="H3639" s="2">
        <v>50</v>
      </c>
      <c r="I3639" s="114" t="str">
        <f t="shared" si="544"/>
        <v>551100</v>
      </c>
      <c r="J3639" s="112" t="str">
        <f t="shared" ref="J3639:J3641" si="552">CONCATENATE(B3639,D3639,5)</f>
        <v>551105</v>
      </c>
      <c r="K3639" s="112" t="s">
        <v>84</v>
      </c>
      <c r="L3639" s="2">
        <v>0</v>
      </c>
      <c r="M3639" s="2" t="s">
        <v>84</v>
      </c>
      <c r="N3639" s="2" t="s">
        <v>84</v>
      </c>
      <c r="O3639" s="2" t="s">
        <v>841</v>
      </c>
      <c r="P3639" s="2" t="s">
        <v>2881</v>
      </c>
    </row>
    <row r="3640" spans="1:16" ht="22" customHeight="1" x14ac:dyDescent="0.15">
      <c r="A3640" s="10" t="str">
        <f t="shared" si="543"/>
        <v>551_10_21_10_polygon</v>
      </c>
      <c r="B3640" s="2">
        <v>551</v>
      </c>
      <c r="C3640" s="30" t="str">
        <f>VLOOKUP(B3640,gachas!A:C,3)</f>
        <v>にゃんこガチャA</v>
      </c>
      <c r="D3640" s="21">
        <v>10</v>
      </c>
      <c r="E3640" s="2">
        <f t="shared" si="549"/>
        <v>21</v>
      </c>
      <c r="F3640" s="2">
        <v>10</v>
      </c>
      <c r="G3640" s="3" t="s">
        <v>22</v>
      </c>
      <c r="H3640" s="2">
        <v>50</v>
      </c>
      <c r="I3640" s="114" t="str">
        <f t="shared" si="544"/>
        <v>551100</v>
      </c>
      <c r="J3640" s="112" t="str">
        <f t="shared" si="552"/>
        <v>551105</v>
      </c>
      <c r="K3640" s="112" t="s">
        <v>84</v>
      </c>
      <c r="L3640" s="2">
        <v>0</v>
      </c>
      <c r="M3640" s="2" t="s">
        <v>84</v>
      </c>
      <c r="N3640" s="2" t="s">
        <v>84</v>
      </c>
      <c r="O3640" s="2" t="s">
        <v>841</v>
      </c>
      <c r="P3640" s="2" t="s">
        <v>2881</v>
      </c>
    </row>
    <row r="3641" spans="1:16" ht="22" customHeight="1" x14ac:dyDescent="0.15">
      <c r="A3641" s="10" t="str">
        <f t="shared" si="543"/>
        <v>551_10_22_10_polygon</v>
      </c>
      <c r="B3641" s="2">
        <v>551</v>
      </c>
      <c r="C3641" s="30" t="str">
        <f>VLOOKUP(B3641,gachas!A:C,3)</f>
        <v>にゃんこガチャA</v>
      </c>
      <c r="D3641" s="21">
        <v>10</v>
      </c>
      <c r="E3641" s="2">
        <f t="shared" si="549"/>
        <v>22</v>
      </c>
      <c r="F3641" s="2">
        <v>10</v>
      </c>
      <c r="G3641" s="3" t="s">
        <v>22</v>
      </c>
      <c r="H3641" s="2">
        <v>50</v>
      </c>
      <c r="I3641" s="114" t="str">
        <f t="shared" si="544"/>
        <v>551100</v>
      </c>
      <c r="J3641" s="112" t="str">
        <f t="shared" si="552"/>
        <v>551105</v>
      </c>
      <c r="K3641" s="112" t="s">
        <v>84</v>
      </c>
      <c r="L3641" s="2">
        <v>0</v>
      </c>
      <c r="M3641" s="2" t="s">
        <v>84</v>
      </c>
      <c r="N3641" s="2" t="s">
        <v>84</v>
      </c>
      <c r="O3641" s="2" t="s">
        <v>841</v>
      </c>
      <c r="P3641" s="2" t="s">
        <v>2881</v>
      </c>
    </row>
    <row r="3642" spans="1:16" ht="22" customHeight="1" x14ac:dyDescent="0.15">
      <c r="A3642" s="10" t="str">
        <f t="shared" si="543"/>
        <v>551_10_23_10_polygon</v>
      </c>
      <c r="B3642" s="2">
        <v>551</v>
      </c>
      <c r="C3642" s="30" t="str">
        <f>VLOOKUP(B3642,gachas!A:C,3)</f>
        <v>にゃんこガチャA</v>
      </c>
      <c r="D3642" s="21">
        <v>10</v>
      </c>
      <c r="E3642" s="2">
        <f t="shared" si="549"/>
        <v>23</v>
      </c>
      <c r="F3642" s="2">
        <v>10</v>
      </c>
      <c r="G3642" s="3" t="s">
        <v>22</v>
      </c>
      <c r="H3642" s="2">
        <v>50</v>
      </c>
      <c r="I3642" s="114" t="str">
        <f t="shared" si="544"/>
        <v>551100</v>
      </c>
      <c r="J3642" s="141" t="s">
        <v>1571</v>
      </c>
      <c r="K3642" s="112" t="str">
        <f t="shared" ref="K3642" si="553">I3642</f>
        <v>551100</v>
      </c>
      <c r="L3642" s="2">
        <v>1</v>
      </c>
      <c r="M3642" s="2" t="s">
        <v>84</v>
      </c>
      <c r="N3642" s="2" t="s">
        <v>84</v>
      </c>
      <c r="O3642" s="2" t="s">
        <v>841</v>
      </c>
      <c r="P3642" s="2" t="s">
        <v>2871</v>
      </c>
    </row>
    <row r="3643" spans="1:16" ht="22" customHeight="1" x14ac:dyDescent="0.15">
      <c r="A3643" s="10" t="str">
        <f t="shared" si="543"/>
        <v>551_10_24_10_polygon</v>
      </c>
      <c r="B3643" s="2">
        <v>551</v>
      </c>
      <c r="C3643" s="30" t="str">
        <f>VLOOKUP(B3643,gachas!A:C,3)</f>
        <v>にゃんこガチャA</v>
      </c>
      <c r="D3643" s="21">
        <v>10</v>
      </c>
      <c r="E3643" s="2">
        <f t="shared" si="549"/>
        <v>24</v>
      </c>
      <c r="F3643" s="2">
        <v>10</v>
      </c>
      <c r="G3643" s="3" t="s">
        <v>22</v>
      </c>
      <c r="H3643" s="2">
        <v>0</v>
      </c>
      <c r="I3643" s="114" t="str">
        <f t="shared" si="544"/>
        <v>551100</v>
      </c>
      <c r="J3643" s="112" t="s">
        <v>84</v>
      </c>
      <c r="K3643" s="112" t="s">
        <v>84</v>
      </c>
      <c r="L3643" s="2">
        <v>0</v>
      </c>
      <c r="M3643" s="2" t="s">
        <v>84</v>
      </c>
      <c r="N3643" s="2" t="s">
        <v>84</v>
      </c>
      <c r="O3643" s="2" t="s">
        <v>841</v>
      </c>
      <c r="P3643" s="2" t="s">
        <v>2872</v>
      </c>
    </row>
    <row r="3644" spans="1:16" ht="22" customHeight="1" x14ac:dyDescent="0.15">
      <c r="A3644" s="10" t="str">
        <f t="shared" si="543"/>
        <v>551_10_25_10_polygon</v>
      </c>
      <c r="B3644" s="2">
        <v>551</v>
      </c>
      <c r="C3644" s="30" t="str">
        <f>VLOOKUP(B3644,gachas!A:C,3)</f>
        <v>にゃんこガチャA</v>
      </c>
      <c r="D3644" s="21">
        <v>10</v>
      </c>
      <c r="E3644" s="2">
        <f t="shared" si="549"/>
        <v>25</v>
      </c>
      <c r="F3644" s="2">
        <v>10</v>
      </c>
      <c r="G3644" s="3" t="s">
        <v>22</v>
      </c>
      <c r="H3644" s="2">
        <v>25</v>
      </c>
      <c r="I3644" s="114" t="str">
        <f t="shared" si="544"/>
        <v>551100</v>
      </c>
      <c r="J3644" s="112" t="s">
        <v>84</v>
      </c>
      <c r="K3644" s="112" t="s">
        <v>84</v>
      </c>
      <c r="L3644" s="2">
        <v>0</v>
      </c>
      <c r="M3644" s="2" t="s">
        <v>84</v>
      </c>
      <c r="N3644" s="2" t="s">
        <v>84</v>
      </c>
      <c r="O3644" s="2" t="s">
        <v>841</v>
      </c>
      <c r="P3644" s="59" t="s">
        <v>1783</v>
      </c>
    </row>
    <row r="3645" spans="1:16" ht="22" customHeight="1" x14ac:dyDescent="0.15">
      <c r="A3645" s="10" t="str">
        <f t="shared" si="543"/>
        <v>551_10_26_10_polygon</v>
      </c>
      <c r="B3645" s="2">
        <v>551</v>
      </c>
      <c r="C3645" s="30" t="str">
        <f>VLOOKUP(B3645,gachas!A:C,3)</f>
        <v>にゃんこガチャA</v>
      </c>
      <c r="D3645" s="21">
        <v>10</v>
      </c>
      <c r="E3645" s="2">
        <f t="shared" si="549"/>
        <v>26</v>
      </c>
      <c r="F3645" s="2">
        <v>10</v>
      </c>
      <c r="G3645" s="3" t="s">
        <v>22</v>
      </c>
      <c r="H3645" s="2">
        <v>50</v>
      </c>
      <c r="I3645" s="114" t="str">
        <f t="shared" si="544"/>
        <v>551100</v>
      </c>
      <c r="J3645" s="112" t="str">
        <f t="shared" ref="J3645:J3647" si="554">CONCATENATE(B3645,D3645,5)</f>
        <v>551105</v>
      </c>
      <c r="K3645" s="112" t="s">
        <v>84</v>
      </c>
      <c r="L3645" s="2">
        <v>0</v>
      </c>
      <c r="M3645" s="2" t="s">
        <v>84</v>
      </c>
      <c r="N3645" s="2" t="s">
        <v>84</v>
      </c>
      <c r="O3645" s="2" t="s">
        <v>841</v>
      </c>
      <c r="P3645" s="2" t="s">
        <v>2881</v>
      </c>
    </row>
    <row r="3646" spans="1:16" ht="22" customHeight="1" x14ac:dyDescent="0.15">
      <c r="A3646" s="10" t="str">
        <f t="shared" si="543"/>
        <v>551_10_27_10_polygon</v>
      </c>
      <c r="B3646" s="2">
        <v>551</v>
      </c>
      <c r="C3646" s="30" t="str">
        <f>VLOOKUP(B3646,gachas!A:C,3)</f>
        <v>にゃんこガチャA</v>
      </c>
      <c r="D3646" s="21">
        <v>10</v>
      </c>
      <c r="E3646" s="2">
        <f t="shared" si="549"/>
        <v>27</v>
      </c>
      <c r="F3646" s="2">
        <v>10</v>
      </c>
      <c r="G3646" s="3" t="s">
        <v>22</v>
      </c>
      <c r="H3646" s="2">
        <v>50</v>
      </c>
      <c r="I3646" s="114" t="str">
        <f t="shared" si="544"/>
        <v>551100</v>
      </c>
      <c r="J3646" s="112" t="str">
        <f t="shared" si="554"/>
        <v>551105</v>
      </c>
      <c r="K3646" s="112" t="s">
        <v>84</v>
      </c>
      <c r="L3646" s="2">
        <v>0</v>
      </c>
      <c r="M3646" s="2" t="s">
        <v>84</v>
      </c>
      <c r="N3646" s="2" t="s">
        <v>84</v>
      </c>
      <c r="O3646" s="2" t="s">
        <v>841</v>
      </c>
      <c r="P3646" s="2" t="s">
        <v>2881</v>
      </c>
    </row>
    <row r="3647" spans="1:16" ht="22" customHeight="1" x14ac:dyDescent="0.15">
      <c r="A3647" s="10" t="str">
        <f t="shared" si="543"/>
        <v>551_10_28_10_polygon</v>
      </c>
      <c r="B3647" s="2">
        <v>551</v>
      </c>
      <c r="C3647" s="30" t="str">
        <f>VLOOKUP(B3647,gachas!A:C,3)</f>
        <v>にゃんこガチャA</v>
      </c>
      <c r="D3647" s="21">
        <v>10</v>
      </c>
      <c r="E3647" s="2">
        <f t="shared" si="549"/>
        <v>28</v>
      </c>
      <c r="F3647" s="2">
        <v>10</v>
      </c>
      <c r="G3647" s="3" t="s">
        <v>22</v>
      </c>
      <c r="H3647" s="2">
        <v>50</v>
      </c>
      <c r="I3647" s="114" t="str">
        <f t="shared" si="544"/>
        <v>551100</v>
      </c>
      <c r="J3647" s="112" t="str">
        <f t="shared" si="554"/>
        <v>551105</v>
      </c>
      <c r="K3647" s="112" t="s">
        <v>84</v>
      </c>
      <c r="L3647" s="2">
        <v>0</v>
      </c>
      <c r="M3647" s="2" t="s">
        <v>84</v>
      </c>
      <c r="N3647" s="2" t="s">
        <v>84</v>
      </c>
      <c r="O3647" s="2" t="s">
        <v>841</v>
      </c>
      <c r="P3647" s="2" t="s">
        <v>2881</v>
      </c>
    </row>
    <row r="3648" spans="1:16" ht="22" customHeight="1" x14ac:dyDescent="0.15">
      <c r="A3648" s="10" t="str">
        <f t="shared" si="543"/>
        <v>551_10_29_10_polygon</v>
      </c>
      <c r="B3648" s="2">
        <v>551</v>
      </c>
      <c r="C3648" s="30" t="str">
        <f>VLOOKUP(B3648,gachas!A:C,3)</f>
        <v>にゃんこガチャA</v>
      </c>
      <c r="D3648" s="21">
        <v>10</v>
      </c>
      <c r="E3648" s="2">
        <f t="shared" si="549"/>
        <v>29</v>
      </c>
      <c r="F3648" s="2">
        <v>10</v>
      </c>
      <c r="G3648" s="3" t="s">
        <v>22</v>
      </c>
      <c r="H3648" s="2">
        <v>50</v>
      </c>
      <c r="I3648" s="114" t="str">
        <f t="shared" si="544"/>
        <v>551100</v>
      </c>
      <c r="J3648" s="141" t="s">
        <v>1571</v>
      </c>
      <c r="K3648" s="112" t="str">
        <f t="shared" ref="K3648" si="555">I3648</f>
        <v>551100</v>
      </c>
      <c r="L3648" s="2">
        <v>1</v>
      </c>
      <c r="M3648" s="2" t="s">
        <v>84</v>
      </c>
      <c r="N3648" s="2" t="s">
        <v>84</v>
      </c>
      <c r="O3648" s="2" t="s">
        <v>841</v>
      </c>
      <c r="P3648" s="2" t="s">
        <v>2871</v>
      </c>
    </row>
    <row r="3649" spans="1:16" ht="22" customHeight="1" x14ac:dyDescent="0.15">
      <c r="A3649" s="10" t="str">
        <f t="shared" si="543"/>
        <v>551_10_30_10_polygon</v>
      </c>
      <c r="B3649" s="2">
        <v>551</v>
      </c>
      <c r="C3649" s="30" t="str">
        <f>VLOOKUP(B3649,gachas!A:C,3)</f>
        <v>にゃんこガチャA</v>
      </c>
      <c r="D3649" s="21">
        <v>10</v>
      </c>
      <c r="E3649" s="2">
        <f t="shared" si="549"/>
        <v>30</v>
      </c>
      <c r="F3649" s="2">
        <v>10</v>
      </c>
      <c r="G3649" s="3" t="s">
        <v>22</v>
      </c>
      <c r="H3649" s="2">
        <v>0</v>
      </c>
      <c r="I3649" s="114" t="str">
        <f t="shared" si="544"/>
        <v>551100</v>
      </c>
      <c r="J3649" s="112" t="s">
        <v>84</v>
      </c>
      <c r="K3649" s="112" t="s">
        <v>84</v>
      </c>
      <c r="L3649" s="2">
        <v>0</v>
      </c>
      <c r="M3649" s="2" t="s">
        <v>84</v>
      </c>
      <c r="N3649" s="2" t="s">
        <v>84</v>
      </c>
      <c r="O3649" s="2" t="s">
        <v>841</v>
      </c>
      <c r="P3649" s="2" t="s">
        <v>2872</v>
      </c>
    </row>
    <row r="3650" spans="1:16" ht="22" customHeight="1" x14ac:dyDescent="0.15">
      <c r="A3650" s="10" t="str">
        <f t="shared" si="543"/>
        <v>551_10_31_10_polygon</v>
      </c>
      <c r="B3650" s="2">
        <v>551</v>
      </c>
      <c r="C3650" s="30" t="str">
        <f>VLOOKUP(B3650,gachas!A:C,3)</f>
        <v>にゃんこガチャA</v>
      </c>
      <c r="D3650" s="21">
        <v>10</v>
      </c>
      <c r="E3650" s="2">
        <f t="shared" si="549"/>
        <v>31</v>
      </c>
      <c r="F3650" s="2">
        <v>10</v>
      </c>
      <c r="G3650" s="3" t="s">
        <v>22</v>
      </c>
      <c r="H3650" s="2">
        <v>25</v>
      </c>
      <c r="I3650" s="114" t="str">
        <f t="shared" si="544"/>
        <v>551100</v>
      </c>
      <c r="J3650" s="112" t="s">
        <v>84</v>
      </c>
      <c r="K3650" s="112" t="s">
        <v>84</v>
      </c>
      <c r="L3650" s="2">
        <v>0</v>
      </c>
      <c r="M3650" s="2" t="s">
        <v>84</v>
      </c>
      <c r="N3650" s="2" t="s">
        <v>84</v>
      </c>
      <c r="O3650" s="2" t="s">
        <v>841</v>
      </c>
      <c r="P3650" s="59" t="s">
        <v>1783</v>
      </c>
    </row>
    <row r="3651" spans="1:16" ht="22" customHeight="1" x14ac:dyDescent="0.15">
      <c r="A3651" s="10" t="str">
        <f t="shared" si="543"/>
        <v>551_10_32_10_polygon</v>
      </c>
      <c r="B3651" s="2">
        <v>551</v>
      </c>
      <c r="C3651" s="30" t="str">
        <f>VLOOKUP(B3651,gachas!A:C,3)</f>
        <v>にゃんこガチャA</v>
      </c>
      <c r="D3651" s="21">
        <v>10</v>
      </c>
      <c r="E3651" s="2">
        <f t="shared" si="549"/>
        <v>32</v>
      </c>
      <c r="F3651" s="2">
        <v>10</v>
      </c>
      <c r="G3651" s="3" t="s">
        <v>22</v>
      </c>
      <c r="H3651" s="2">
        <v>50</v>
      </c>
      <c r="I3651" s="114" t="str">
        <f t="shared" si="544"/>
        <v>551100</v>
      </c>
      <c r="J3651" s="112" t="str">
        <f t="shared" ref="J3651:J3653" si="556">CONCATENATE(B3651,D3651,5)</f>
        <v>551105</v>
      </c>
      <c r="K3651" s="112" t="s">
        <v>84</v>
      </c>
      <c r="L3651" s="2">
        <v>0</v>
      </c>
      <c r="M3651" s="2" t="s">
        <v>84</v>
      </c>
      <c r="N3651" s="2" t="s">
        <v>84</v>
      </c>
      <c r="O3651" s="2" t="s">
        <v>841</v>
      </c>
      <c r="P3651" s="2" t="s">
        <v>2881</v>
      </c>
    </row>
    <row r="3652" spans="1:16" ht="22" customHeight="1" x14ac:dyDescent="0.15">
      <c r="A3652" s="10" t="str">
        <f t="shared" si="543"/>
        <v>551_10_33_10_polygon</v>
      </c>
      <c r="B3652" s="2">
        <v>551</v>
      </c>
      <c r="C3652" s="30" t="str">
        <f>VLOOKUP(B3652,gachas!A:C,3)</f>
        <v>にゃんこガチャA</v>
      </c>
      <c r="D3652" s="21">
        <v>10</v>
      </c>
      <c r="E3652" s="2">
        <f t="shared" si="549"/>
        <v>33</v>
      </c>
      <c r="F3652" s="2">
        <v>10</v>
      </c>
      <c r="G3652" s="3" t="s">
        <v>22</v>
      </c>
      <c r="H3652" s="2">
        <v>50</v>
      </c>
      <c r="I3652" s="114" t="str">
        <f t="shared" si="544"/>
        <v>551100</v>
      </c>
      <c r="J3652" s="112" t="str">
        <f t="shared" si="556"/>
        <v>551105</v>
      </c>
      <c r="K3652" s="112" t="s">
        <v>84</v>
      </c>
      <c r="L3652" s="2">
        <v>0</v>
      </c>
      <c r="M3652" s="2" t="s">
        <v>84</v>
      </c>
      <c r="N3652" s="2" t="s">
        <v>84</v>
      </c>
      <c r="O3652" s="2" t="s">
        <v>841</v>
      </c>
      <c r="P3652" s="2" t="s">
        <v>2881</v>
      </c>
    </row>
    <row r="3653" spans="1:16" ht="22" customHeight="1" x14ac:dyDescent="0.15">
      <c r="A3653" s="10" t="str">
        <f t="shared" si="543"/>
        <v>551_10_34_10_polygon</v>
      </c>
      <c r="B3653" s="2">
        <v>551</v>
      </c>
      <c r="C3653" s="30" t="str">
        <f>VLOOKUP(B3653,gachas!A:C,3)</f>
        <v>にゃんこガチャA</v>
      </c>
      <c r="D3653" s="21">
        <v>10</v>
      </c>
      <c r="E3653" s="2">
        <f t="shared" si="549"/>
        <v>34</v>
      </c>
      <c r="F3653" s="2">
        <v>10</v>
      </c>
      <c r="G3653" s="3" t="s">
        <v>22</v>
      </c>
      <c r="H3653" s="2">
        <v>50</v>
      </c>
      <c r="I3653" s="114" t="str">
        <f t="shared" si="544"/>
        <v>551100</v>
      </c>
      <c r="J3653" s="112" t="str">
        <f t="shared" si="556"/>
        <v>551105</v>
      </c>
      <c r="K3653" s="112" t="s">
        <v>84</v>
      </c>
      <c r="L3653" s="2">
        <v>0</v>
      </c>
      <c r="M3653" s="2" t="s">
        <v>84</v>
      </c>
      <c r="N3653" s="2" t="s">
        <v>84</v>
      </c>
      <c r="O3653" s="2" t="s">
        <v>841</v>
      </c>
      <c r="P3653" s="2" t="s">
        <v>2881</v>
      </c>
    </row>
    <row r="3654" spans="1:16" ht="22" customHeight="1" x14ac:dyDescent="0.15">
      <c r="A3654" s="10" t="str">
        <f t="shared" si="543"/>
        <v>551_10_35_10_polygon</v>
      </c>
      <c r="B3654" s="2">
        <v>551</v>
      </c>
      <c r="C3654" s="30" t="str">
        <f>VLOOKUP(B3654,gachas!A:C,3)</f>
        <v>にゃんこガチャA</v>
      </c>
      <c r="D3654" s="21">
        <v>10</v>
      </c>
      <c r="E3654" s="2">
        <f t="shared" si="549"/>
        <v>35</v>
      </c>
      <c r="F3654" s="2">
        <v>10</v>
      </c>
      <c r="G3654" s="3" t="s">
        <v>22</v>
      </c>
      <c r="H3654" s="2">
        <v>50</v>
      </c>
      <c r="I3654" s="114" t="str">
        <f t="shared" si="544"/>
        <v>551100</v>
      </c>
      <c r="J3654" s="141" t="s">
        <v>1571</v>
      </c>
      <c r="K3654" s="112" t="str">
        <f t="shared" ref="K3654" si="557">I3654</f>
        <v>551100</v>
      </c>
      <c r="L3654" s="2">
        <v>1</v>
      </c>
      <c r="M3654" s="2" t="s">
        <v>84</v>
      </c>
      <c r="N3654" s="2" t="s">
        <v>84</v>
      </c>
      <c r="O3654" s="2" t="s">
        <v>841</v>
      </c>
      <c r="P3654" s="2" t="s">
        <v>2871</v>
      </c>
    </row>
    <row r="3655" spans="1:16" ht="22" customHeight="1" x14ac:dyDescent="0.15">
      <c r="A3655" s="10" t="str">
        <f t="shared" si="543"/>
        <v>551_10_36_10_polygon</v>
      </c>
      <c r="B3655" s="2">
        <v>551</v>
      </c>
      <c r="C3655" s="30" t="str">
        <f>VLOOKUP(B3655,gachas!A:C,3)</f>
        <v>にゃんこガチャA</v>
      </c>
      <c r="D3655" s="21">
        <v>10</v>
      </c>
      <c r="E3655" s="2">
        <f t="shared" si="549"/>
        <v>36</v>
      </c>
      <c r="F3655" s="2">
        <v>10</v>
      </c>
      <c r="G3655" s="3" t="s">
        <v>22</v>
      </c>
      <c r="H3655" s="2">
        <v>0</v>
      </c>
      <c r="I3655" s="114" t="str">
        <f t="shared" si="544"/>
        <v>551100</v>
      </c>
      <c r="J3655" s="112" t="s">
        <v>84</v>
      </c>
      <c r="K3655" s="112" t="s">
        <v>84</v>
      </c>
      <c r="L3655" s="2">
        <v>0</v>
      </c>
      <c r="M3655" s="2" t="s">
        <v>84</v>
      </c>
      <c r="N3655" s="2" t="s">
        <v>84</v>
      </c>
      <c r="O3655" s="2" t="s">
        <v>841</v>
      </c>
      <c r="P3655" s="2" t="s">
        <v>2872</v>
      </c>
    </row>
    <row r="3656" spans="1:16" ht="22" customHeight="1" x14ac:dyDescent="0.15">
      <c r="A3656" s="10" t="str">
        <f t="shared" si="543"/>
        <v>551_10_37_10_polygon</v>
      </c>
      <c r="B3656" s="2">
        <v>551</v>
      </c>
      <c r="C3656" s="30" t="str">
        <f>VLOOKUP(B3656,gachas!A:C,3)</f>
        <v>にゃんこガチャA</v>
      </c>
      <c r="D3656" s="21">
        <v>10</v>
      </c>
      <c r="E3656" s="2">
        <f t="shared" si="549"/>
        <v>37</v>
      </c>
      <c r="F3656" s="2">
        <v>10</v>
      </c>
      <c r="G3656" s="3" t="s">
        <v>22</v>
      </c>
      <c r="H3656" s="2">
        <v>25</v>
      </c>
      <c r="I3656" s="114" t="str">
        <f t="shared" si="544"/>
        <v>551100</v>
      </c>
      <c r="J3656" s="112" t="s">
        <v>84</v>
      </c>
      <c r="K3656" s="112" t="s">
        <v>84</v>
      </c>
      <c r="L3656" s="2">
        <v>0</v>
      </c>
      <c r="M3656" s="2" t="s">
        <v>84</v>
      </c>
      <c r="N3656" s="2" t="s">
        <v>84</v>
      </c>
      <c r="O3656" s="2" t="s">
        <v>841</v>
      </c>
      <c r="P3656" s="59" t="s">
        <v>1783</v>
      </c>
    </row>
    <row r="3657" spans="1:16" ht="22" customHeight="1" x14ac:dyDescent="0.15">
      <c r="A3657" s="10" t="str">
        <f t="shared" si="543"/>
        <v>551_10_38_10_polygon</v>
      </c>
      <c r="B3657" s="2">
        <v>551</v>
      </c>
      <c r="C3657" s="30" t="str">
        <f>VLOOKUP(B3657,gachas!A:C,3)</f>
        <v>にゃんこガチャA</v>
      </c>
      <c r="D3657" s="21">
        <v>10</v>
      </c>
      <c r="E3657" s="2">
        <f t="shared" si="549"/>
        <v>38</v>
      </c>
      <c r="F3657" s="2">
        <v>10</v>
      </c>
      <c r="G3657" s="3" t="s">
        <v>22</v>
      </c>
      <c r="H3657" s="2">
        <v>50</v>
      </c>
      <c r="I3657" s="114" t="str">
        <f t="shared" si="544"/>
        <v>551100</v>
      </c>
      <c r="J3657" s="112" t="str">
        <f t="shared" ref="J3657:J3659" si="558">CONCATENATE(B3657,D3657,5)</f>
        <v>551105</v>
      </c>
      <c r="K3657" s="112" t="s">
        <v>84</v>
      </c>
      <c r="L3657" s="2">
        <v>0</v>
      </c>
      <c r="M3657" s="2" t="s">
        <v>84</v>
      </c>
      <c r="N3657" s="2" t="s">
        <v>84</v>
      </c>
      <c r="O3657" s="2" t="s">
        <v>841</v>
      </c>
      <c r="P3657" s="2" t="s">
        <v>2881</v>
      </c>
    </row>
    <row r="3658" spans="1:16" ht="22" customHeight="1" x14ac:dyDescent="0.15">
      <c r="A3658" s="10" t="str">
        <f t="shared" si="543"/>
        <v>551_10_39_10_polygon</v>
      </c>
      <c r="B3658" s="2">
        <v>551</v>
      </c>
      <c r="C3658" s="30" t="str">
        <f>VLOOKUP(B3658,gachas!A:C,3)</f>
        <v>にゃんこガチャA</v>
      </c>
      <c r="D3658" s="21">
        <v>10</v>
      </c>
      <c r="E3658" s="2">
        <f t="shared" si="549"/>
        <v>39</v>
      </c>
      <c r="F3658" s="2">
        <v>10</v>
      </c>
      <c r="G3658" s="3" t="s">
        <v>22</v>
      </c>
      <c r="H3658" s="2">
        <v>50</v>
      </c>
      <c r="I3658" s="114" t="str">
        <f t="shared" si="544"/>
        <v>551100</v>
      </c>
      <c r="J3658" s="112" t="str">
        <f t="shared" si="558"/>
        <v>551105</v>
      </c>
      <c r="K3658" s="112" t="s">
        <v>84</v>
      </c>
      <c r="L3658" s="2">
        <v>0</v>
      </c>
      <c r="M3658" s="2" t="s">
        <v>84</v>
      </c>
      <c r="N3658" s="2" t="s">
        <v>84</v>
      </c>
      <c r="O3658" s="2" t="s">
        <v>841</v>
      </c>
      <c r="P3658" s="2" t="s">
        <v>2881</v>
      </c>
    </row>
    <row r="3659" spans="1:16" ht="22" customHeight="1" x14ac:dyDescent="0.15">
      <c r="A3659" s="10" t="str">
        <f t="shared" si="543"/>
        <v>551_10_40_10_polygon</v>
      </c>
      <c r="B3659" s="2">
        <v>551</v>
      </c>
      <c r="C3659" s="30" t="str">
        <f>VLOOKUP(B3659,gachas!A:C,3)</f>
        <v>にゃんこガチャA</v>
      </c>
      <c r="D3659" s="21">
        <v>10</v>
      </c>
      <c r="E3659" s="2">
        <f t="shared" si="549"/>
        <v>40</v>
      </c>
      <c r="F3659" s="2">
        <v>10</v>
      </c>
      <c r="G3659" s="3" t="s">
        <v>22</v>
      </c>
      <c r="H3659" s="2">
        <v>50</v>
      </c>
      <c r="I3659" s="114" t="str">
        <f t="shared" si="544"/>
        <v>551100</v>
      </c>
      <c r="J3659" s="112" t="str">
        <f t="shared" si="558"/>
        <v>551105</v>
      </c>
      <c r="K3659" s="112" t="s">
        <v>84</v>
      </c>
      <c r="L3659" s="2">
        <v>0</v>
      </c>
      <c r="M3659" s="2" t="s">
        <v>84</v>
      </c>
      <c r="N3659" s="2" t="s">
        <v>84</v>
      </c>
      <c r="O3659" s="2" t="s">
        <v>841</v>
      </c>
      <c r="P3659" s="2" t="s">
        <v>2881</v>
      </c>
    </row>
    <row r="3660" spans="1:16" ht="22" customHeight="1" x14ac:dyDescent="0.15">
      <c r="A3660" s="10" t="str">
        <f t="shared" si="543"/>
        <v>551_10_41_10_polygon</v>
      </c>
      <c r="B3660" s="2">
        <v>551</v>
      </c>
      <c r="C3660" s="30" t="str">
        <f>VLOOKUP(B3660,gachas!A:C,3)</f>
        <v>にゃんこガチャA</v>
      </c>
      <c r="D3660" s="21">
        <v>10</v>
      </c>
      <c r="E3660" s="2">
        <f t="shared" si="549"/>
        <v>41</v>
      </c>
      <c r="F3660" s="2">
        <v>10</v>
      </c>
      <c r="G3660" s="3" t="s">
        <v>22</v>
      </c>
      <c r="H3660" s="2">
        <v>50</v>
      </c>
      <c r="I3660" s="114" t="str">
        <f t="shared" si="544"/>
        <v>551100</v>
      </c>
      <c r="J3660" s="141" t="s">
        <v>1571</v>
      </c>
      <c r="K3660" s="112" t="str">
        <f t="shared" ref="K3660" si="559">I3660</f>
        <v>551100</v>
      </c>
      <c r="L3660" s="2">
        <v>1</v>
      </c>
      <c r="M3660" s="2" t="s">
        <v>84</v>
      </c>
      <c r="N3660" s="2" t="s">
        <v>84</v>
      </c>
      <c r="O3660" s="2" t="s">
        <v>841</v>
      </c>
      <c r="P3660" s="2" t="s">
        <v>2871</v>
      </c>
    </row>
    <row r="3661" spans="1:16" ht="22" customHeight="1" x14ac:dyDescent="0.15">
      <c r="A3661" s="10" t="str">
        <f t="shared" si="543"/>
        <v>551_10_42_10_polygon</v>
      </c>
      <c r="B3661" s="2">
        <v>551</v>
      </c>
      <c r="C3661" s="30" t="str">
        <f>VLOOKUP(B3661,gachas!A:C,3)</f>
        <v>にゃんこガチャA</v>
      </c>
      <c r="D3661" s="21">
        <v>10</v>
      </c>
      <c r="E3661" s="2">
        <f t="shared" si="549"/>
        <v>42</v>
      </c>
      <c r="F3661" s="2">
        <v>10</v>
      </c>
      <c r="G3661" s="3" t="s">
        <v>22</v>
      </c>
      <c r="H3661" s="2">
        <v>0</v>
      </c>
      <c r="I3661" s="114" t="str">
        <f t="shared" si="544"/>
        <v>551100</v>
      </c>
      <c r="J3661" s="112" t="s">
        <v>84</v>
      </c>
      <c r="K3661" s="112" t="s">
        <v>84</v>
      </c>
      <c r="L3661" s="2">
        <v>0</v>
      </c>
      <c r="M3661" s="2" t="s">
        <v>84</v>
      </c>
      <c r="N3661" s="2" t="s">
        <v>84</v>
      </c>
      <c r="O3661" s="2" t="s">
        <v>841</v>
      </c>
      <c r="P3661" s="2" t="s">
        <v>2872</v>
      </c>
    </row>
    <row r="3662" spans="1:16" ht="22" customHeight="1" x14ac:dyDescent="0.15">
      <c r="A3662" s="10" t="str">
        <f t="shared" si="543"/>
        <v>551_10_43_10_polygon</v>
      </c>
      <c r="B3662" s="2">
        <v>551</v>
      </c>
      <c r="C3662" s="30" t="str">
        <f>VLOOKUP(B3662,gachas!A:C,3)</f>
        <v>にゃんこガチャA</v>
      </c>
      <c r="D3662" s="21">
        <v>10</v>
      </c>
      <c r="E3662" s="2">
        <f t="shared" si="549"/>
        <v>43</v>
      </c>
      <c r="F3662" s="2">
        <v>10</v>
      </c>
      <c r="G3662" s="3" t="s">
        <v>22</v>
      </c>
      <c r="H3662" s="2">
        <v>25</v>
      </c>
      <c r="I3662" s="114" t="str">
        <f t="shared" si="544"/>
        <v>551100</v>
      </c>
      <c r="J3662" s="112" t="s">
        <v>84</v>
      </c>
      <c r="K3662" s="112" t="s">
        <v>84</v>
      </c>
      <c r="L3662" s="2">
        <v>0</v>
      </c>
      <c r="M3662" s="2" t="s">
        <v>84</v>
      </c>
      <c r="N3662" s="2" t="s">
        <v>84</v>
      </c>
      <c r="O3662" s="2" t="s">
        <v>841</v>
      </c>
      <c r="P3662" s="59" t="s">
        <v>1783</v>
      </c>
    </row>
    <row r="3663" spans="1:16" ht="22" customHeight="1" x14ac:dyDescent="0.15">
      <c r="A3663" s="10" t="str">
        <f t="shared" si="543"/>
        <v>551_10_44_10_polygon</v>
      </c>
      <c r="B3663" s="2">
        <v>551</v>
      </c>
      <c r="C3663" s="30" t="str">
        <f>VLOOKUP(B3663,gachas!A:C,3)</f>
        <v>にゃんこガチャA</v>
      </c>
      <c r="D3663" s="21">
        <v>10</v>
      </c>
      <c r="E3663" s="2">
        <f t="shared" si="549"/>
        <v>44</v>
      </c>
      <c r="F3663" s="2">
        <v>10</v>
      </c>
      <c r="G3663" s="3" t="s">
        <v>22</v>
      </c>
      <c r="H3663" s="2">
        <v>50</v>
      </c>
      <c r="I3663" s="114" t="str">
        <f t="shared" si="544"/>
        <v>551100</v>
      </c>
      <c r="J3663" s="112" t="str">
        <f t="shared" ref="J3663:J3665" si="560">CONCATENATE(B3663,D3663,5)</f>
        <v>551105</v>
      </c>
      <c r="K3663" s="112" t="s">
        <v>84</v>
      </c>
      <c r="L3663" s="2">
        <v>0</v>
      </c>
      <c r="M3663" s="2" t="s">
        <v>84</v>
      </c>
      <c r="N3663" s="2" t="s">
        <v>84</v>
      </c>
      <c r="O3663" s="2" t="s">
        <v>841</v>
      </c>
      <c r="P3663" s="2" t="s">
        <v>2881</v>
      </c>
    </row>
    <row r="3664" spans="1:16" ht="22" customHeight="1" x14ac:dyDescent="0.15">
      <c r="A3664" s="10" t="str">
        <f t="shared" si="543"/>
        <v>551_10_45_10_polygon</v>
      </c>
      <c r="B3664" s="2">
        <v>551</v>
      </c>
      <c r="C3664" s="30" t="str">
        <f>VLOOKUP(B3664,gachas!A:C,3)</f>
        <v>にゃんこガチャA</v>
      </c>
      <c r="D3664" s="21">
        <v>10</v>
      </c>
      <c r="E3664" s="2">
        <f t="shared" si="549"/>
        <v>45</v>
      </c>
      <c r="F3664" s="2">
        <v>10</v>
      </c>
      <c r="G3664" s="3" t="s">
        <v>22</v>
      </c>
      <c r="H3664" s="2">
        <v>50</v>
      </c>
      <c r="I3664" s="114" t="str">
        <f t="shared" si="544"/>
        <v>551100</v>
      </c>
      <c r="J3664" s="112" t="str">
        <f t="shared" si="560"/>
        <v>551105</v>
      </c>
      <c r="K3664" s="112" t="s">
        <v>84</v>
      </c>
      <c r="L3664" s="2">
        <v>0</v>
      </c>
      <c r="M3664" s="2" t="s">
        <v>84</v>
      </c>
      <c r="N3664" s="2" t="s">
        <v>84</v>
      </c>
      <c r="O3664" s="2" t="s">
        <v>841</v>
      </c>
      <c r="P3664" s="2" t="s">
        <v>2881</v>
      </c>
    </row>
    <row r="3665" spans="1:16" ht="22" customHeight="1" x14ac:dyDescent="0.15">
      <c r="A3665" s="10" t="str">
        <f t="shared" si="543"/>
        <v>551_10_46_10_polygon</v>
      </c>
      <c r="B3665" s="2">
        <v>551</v>
      </c>
      <c r="C3665" s="30" t="str">
        <f>VLOOKUP(B3665,gachas!A:C,3)</f>
        <v>にゃんこガチャA</v>
      </c>
      <c r="D3665" s="21">
        <v>10</v>
      </c>
      <c r="E3665" s="2">
        <f t="shared" si="549"/>
        <v>46</v>
      </c>
      <c r="F3665" s="2">
        <v>10</v>
      </c>
      <c r="G3665" s="3" t="s">
        <v>22</v>
      </c>
      <c r="H3665" s="2">
        <v>50</v>
      </c>
      <c r="I3665" s="114" t="str">
        <f t="shared" si="544"/>
        <v>551100</v>
      </c>
      <c r="J3665" s="112" t="str">
        <f t="shared" si="560"/>
        <v>551105</v>
      </c>
      <c r="K3665" s="112" t="s">
        <v>84</v>
      </c>
      <c r="L3665" s="2">
        <v>0</v>
      </c>
      <c r="M3665" s="2" t="s">
        <v>84</v>
      </c>
      <c r="N3665" s="2" t="s">
        <v>84</v>
      </c>
      <c r="O3665" s="2" t="s">
        <v>841</v>
      </c>
      <c r="P3665" s="2" t="s">
        <v>2881</v>
      </c>
    </row>
    <row r="3666" spans="1:16" ht="22" customHeight="1" x14ac:dyDescent="0.15">
      <c r="A3666" s="10" t="str">
        <f t="shared" si="543"/>
        <v>551_10_47_10_polygon</v>
      </c>
      <c r="B3666" s="2">
        <v>551</v>
      </c>
      <c r="C3666" s="30" t="str">
        <f>VLOOKUP(B3666,gachas!A:C,3)</f>
        <v>にゃんこガチャA</v>
      </c>
      <c r="D3666" s="21">
        <v>10</v>
      </c>
      <c r="E3666" s="2">
        <f t="shared" si="549"/>
        <v>47</v>
      </c>
      <c r="F3666" s="2">
        <v>10</v>
      </c>
      <c r="G3666" s="3" t="s">
        <v>22</v>
      </c>
      <c r="H3666" s="2">
        <v>50</v>
      </c>
      <c r="I3666" s="114" t="str">
        <f t="shared" si="544"/>
        <v>551100</v>
      </c>
      <c r="J3666" s="141" t="s">
        <v>1571</v>
      </c>
      <c r="K3666" s="112" t="str">
        <f t="shared" ref="K3666" si="561">I3666</f>
        <v>551100</v>
      </c>
      <c r="L3666" s="2">
        <v>1</v>
      </c>
      <c r="M3666" s="2" t="s">
        <v>84</v>
      </c>
      <c r="N3666" s="2" t="s">
        <v>84</v>
      </c>
      <c r="O3666" s="2" t="s">
        <v>841</v>
      </c>
      <c r="P3666" s="2" t="s">
        <v>2871</v>
      </c>
    </row>
    <row r="3667" spans="1:16" ht="22" customHeight="1" x14ac:dyDescent="0.15">
      <c r="A3667" s="10" t="str">
        <f t="shared" si="543"/>
        <v>551_10_48_10_polygon</v>
      </c>
      <c r="B3667" s="2">
        <v>551</v>
      </c>
      <c r="C3667" s="30" t="str">
        <f>VLOOKUP(B3667,gachas!A:C,3)</f>
        <v>にゃんこガチャA</v>
      </c>
      <c r="D3667" s="21">
        <v>10</v>
      </c>
      <c r="E3667" s="2">
        <f t="shared" si="549"/>
        <v>48</v>
      </c>
      <c r="F3667" s="2">
        <v>10</v>
      </c>
      <c r="G3667" s="3" t="s">
        <v>22</v>
      </c>
      <c r="H3667" s="2">
        <v>0</v>
      </c>
      <c r="I3667" s="114" t="str">
        <f t="shared" si="544"/>
        <v>551100</v>
      </c>
      <c r="J3667" s="112" t="s">
        <v>84</v>
      </c>
      <c r="K3667" s="112" t="s">
        <v>84</v>
      </c>
      <c r="L3667" s="2">
        <v>0</v>
      </c>
      <c r="M3667" s="2" t="s">
        <v>84</v>
      </c>
      <c r="N3667" s="2" t="s">
        <v>84</v>
      </c>
      <c r="O3667" s="2" t="s">
        <v>841</v>
      </c>
      <c r="P3667" s="2" t="s">
        <v>2872</v>
      </c>
    </row>
    <row r="3668" spans="1:16" ht="22" customHeight="1" x14ac:dyDescent="0.15">
      <c r="A3668" s="10" t="str">
        <f t="shared" si="543"/>
        <v>551_10_49_10_polygon</v>
      </c>
      <c r="B3668" s="2">
        <v>551</v>
      </c>
      <c r="C3668" s="30" t="str">
        <f>VLOOKUP(B3668,gachas!A:C,3)</f>
        <v>にゃんこガチャA</v>
      </c>
      <c r="D3668" s="21">
        <v>10</v>
      </c>
      <c r="E3668" s="2">
        <f t="shared" si="549"/>
        <v>49</v>
      </c>
      <c r="F3668" s="2">
        <v>10</v>
      </c>
      <c r="G3668" s="3" t="s">
        <v>22</v>
      </c>
      <c r="H3668" s="2">
        <v>25</v>
      </c>
      <c r="I3668" s="114" t="str">
        <f t="shared" si="544"/>
        <v>551100</v>
      </c>
      <c r="J3668" s="112" t="s">
        <v>84</v>
      </c>
      <c r="K3668" s="112" t="s">
        <v>84</v>
      </c>
      <c r="L3668" s="2">
        <v>0</v>
      </c>
      <c r="M3668" s="2" t="s">
        <v>84</v>
      </c>
      <c r="N3668" s="2" t="s">
        <v>84</v>
      </c>
      <c r="O3668" s="2" t="s">
        <v>841</v>
      </c>
      <c r="P3668" s="59" t="s">
        <v>1783</v>
      </c>
    </row>
    <row r="3669" spans="1:16" ht="22" customHeight="1" x14ac:dyDescent="0.15">
      <c r="A3669" s="10" t="str">
        <f t="shared" si="543"/>
        <v>551_10_50_10_polygon</v>
      </c>
      <c r="B3669" s="2">
        <v>551</v>
      </c>
      <c r="C3669" s="30" t="str">
        <f>VLOOKUP(B3669,gachas!A:C,3)</f>
        <v>にゃんこガチャA</v>
      </c>
      <c r="D3669" s="21">
        <v>10</v>
      </c>
      <c r="E3669" s="2">
        <f t="shared" si="549"/>
        <v>50</v>
      </c>
      <c r="F3669" s="2">
        <v>10</v>
      </c>
      <c r="G3669" s="3" t="s">
        <v>22</v>
      </c>
      <c r="H3669" s="2">
        <v>50</v>
      </c>
      <c r="I3669" s="114" t="str">
        <f t="shared" si="544"/>
        <v>551100</v>
      </c>
      <c r="J3669" s="112" t="str">
        <f t="shared" ref="J3669:J3671" si="562">CONCATENATE(B3669,D3669,5)</f>
        <v>551105</v>
      </c>
      <c r="K3669" s="112" t="s">
        <v>84</v>
      </c>
      <c r="L3669" s="2">
        <v>0</v>
      </c>
      <c r="M3669" s="2" t="s">
        <v>84</v>
      </c>
      <c r="N3669" s="2" t="s">
        <v>84</v>
      </c>
      <c r="O3669" s="2" t="s">
        <v>841</v>
      </c>
      <c r="P3669" s="2" t="s">
        <v>2881</v>
      </c>
    </row>
    <row r="3670" spans="1:16" ht="22" customHeight="1" x14ac:dyDescent="0.15">
      <c r="A3670" s="10" t="str">
        <f t="shared" si="543"/>
        <v>551_10_51_10_polygon</v>
      </c>
      <c r="B3670" s="2">
        <v>551</v>
      </c>
      <c r="C3670" s="30" t="str">
        <f>VLOOKUP(B3670,gachas!A:C,3)</f>
        <v>にゃんこガチャA</v>
      </c>
      <c r="D3670" s="21">
        <v>10</v>
      </c>
      <c r="E3670" s="2">
        <f t="shared" si="549"/>
        <v>51</v>
      </c>
      <c r="F3670" s="2">
        <v>10</v>
      </c>
      <c r="G3670" s="3" t="s">
        <v>22</v>
      </c>
      <c r="H3670" s="2">
        <v>50</v>
      </c>
      <c r="I3670" s="114" t="str">
        <f t="shared" si="544"/>
        <v>551100</v>
      </c>
      <c r="J3670" s="112" t="str">
        <f t="shared" si="562"/>
        <v>551105</v>
      </c>
      <c r="K3670" s="112" t="s">
        <v>84</v>
      </c>
      <c r="L3670" s="2">
        <v>0</v>
      </c>
      <c r="M3670" s="2" t="s">
        <v>84</v>
      </c>
      <c r="N3670" s="2" t="s">
        <v>84</v>
      </c>
      <c r="O3670" s="2" t="s">
        <v>841</v>
      </c>
      <c r="P3670" s="2" t="s">
        <v>2881</v>
      </c>
    </row>
    <row r="3671" spans="1:16" ht="22" customHeight="1" x14ac:dyDescent="0.15">
      <c r="A3671" s="10" t="str">
        <f t="shared" si="543"/>
        <v>551_10_52_10_polygon</v>
      </c>
      <c r="B3671" s="2">
        <v>551</v>
      </c>
      <c r="C3671" s="30" t="str">
        <f>VLOOKUP(B3671,gachas!A:C,3)</f>
        <v>にゃんこガチャA</v>
      </c>
      <c r="D3671" s="21">
        <v>10</v>
      </c>
      <c r="E3671" s="2">
        <f t="shared" si="549"/>
        <v>52</v>
      </c>
      <c r="F3671" s="2">
        <v>10</v>
      </c>
      <c r="G3671" s="3" t="s">
        <v>22</v>
      </c>
      <c r="H3671" s="2">
        <v>50</v>
      </c>
      <c r="I3671" s="114" t="str">
        <f t="shared" si="544"/>
        <v>551100</v>
      </c>
      <c r="J3671" s="112" t="str">
        <f t="shared" si="562"/>
        <v>551105</v>
      </c>
      <c r="K3671" s="112" t="s">
        <v>84</v>
      </c>
      <c r="L3671" s="2">
        <v>0</v>
      </c>
      <c r="M3671" s="2" t="s">
        <v>84</v>
      </c>
      <c r="N3671" s="2" t="s">
        <v>84</v>
      </c>
      <c r="O3671" s="2" t="s">
        <v>841</v>
      </c>
      <c r="P3671" s="2" t="s">
        <v>2881</v>
      </c>
    </row>
    <row r="3672" spans="1:16" ht="22" customHeight="1" x14ac:dyDescent="0.15">
      <c r="A3672" s="10" t="str">
        <f t="shared" si="543"/>
        <v>551_10_53_10_polygon</v>
      </c>
      <c r="B3672" s="2">
        <v>551</v>
      </c>
      <c r="C3672" s="30" t="str">
        <f>VLOOKUP(B3672,gachas!A:C,3)</f>
        <v>にゃんこガチャA</v>
      </c>
      <c r="D3672" s="21">
        <v>10</v>
      </c>
      <c r="E3672" s="2">
        <f t="shared" si="549"/>
        <v>53</v>
      </c>
      <c r="F3672" s="2">
        <v>10</v>
      </c>
      <c r="G3672" s="3" t="s">
        <v>22</v>
      </c>
      <c r="H3672" s="2">
        <v>50</v>
      </c>
      <c r="I3672" s="114" t="str">
        <f t="shared" si="544"/>
        <v>551100</v>
      </c>
      <c r="J3672" s="141" t="s">
        <v>1571</v>
      </c>
      <c r="K3672" s="112" t="str">
        <f t="shared" ref="K3672" si="563">I3672</f>
        <v>551100</v>
      </c>
      <c r="L3672" s="2">
        <v>1</v>
      </c>
      <c r="M3672" s="2" t="s">
        <v>84</v>
      </c>
      <c r="N3672" s="2" t="s">
        <v>84</v>
      </c>
      <c r="O3672" s="2" t="s">
        <v>841</v>
      </c>
      <c r="P3672" s="2" t="s">
        <v>2871</v>
      </c>
    </row>
    <row r="3673" spans="1:16" ht="22" customHeight="1" x14ac:dyDescent="0.15">
      <c r="A3673" s="10" t="str">
        <f t="shared" si="543"/>
        <v>551_10_54_10_polygon</v>
      </c>
      <c r="B3673" s="2">
        <v>551</v>
      </c>
      <c r="C3673" s="30" t="str">
        <f>VLOOKUP(B3673,gachas!A:C,3)</f>
        <v>にゃんこガチャA</v>
      </c>
      <c r="D3673" s="21">
        <v>10</v>
      </c>
      <c r="E3673" s="2">
        <f t="shared" si="549"/>
        <v>54</v>
      </c>
      <c r="F3673" s="2">
        <v>10</v>
      </c>
      <c r="G3673" s="3" t="s">
        <v>22</v>
      </c>
      <c r="H3673" s="2">
        <v>0</v>
      </c>
      <c r="I3673" s="114" t="str">
        <f t="shared" si="544"/>
        <v>551100</v>
      </c>
      <c r="J3673" s="112" t="s">
        <v>84</v>
      </c>
      <c r="K3673" s="112" t="s">
        <v>84</v>
      </c>
      <c r="L3673" s="2">
        <v>0</v>
      </c>
      <c r="M3673" s="2" t="s">
        <v>84</v>
      </c>
      <c r="N3673" s="2" t="s">
        <v>84</v>
      </c>
      <c r="O3673" s="2" t="s">
        <v>841</v>
      </c>
      <c r="P3673" s="2" t="s">
        <v>2872</v>
      </c>
    </row>
    <row r="3674" spans="1:16" ht="22" customHeight="1" x14ac:dyDescent="0.15">
      <c r="A3674" s="10" t="str">
        <f t="shared" si="543"/>
        <v>551_10_55_10_polygon</v>
      </c>
      <c r="B3674" s="2">
        <v>551</v>
      </c>
      <c r="C3674" s="30" t="str">
        <f>VLOOKUP(B3674,gachas!A:C,3)</f>
        <v>にゃんこガチャA</v>
      </c>
      <c r="D3674" s="21">
        <v>10</v>
      </c>
      <c r="E3674" s="2">
        <f t="shared" si="549"/>
        <v>55</v>
      </c>
      <c r="F3674" s="2">
        <v>10</v>
      </c>
      <c r="G3674" s="3" t="s">
        <v>22</v>
      </c>
      <c r="H3674" s="2">
        <v>25</v>
      </c>
      <c r="I3674" s="114" t="str">
        <f t="shared" si="544"/>
        <v>551100</v>
      </c>
      <c r="J3674" s="112" t="s">
        <v>84</v>
      </c>
      <c r="K3674" s="112" t="s">
        <v>84</v>
      </c>
      <c r="L3674" s="2">
        <v>0</v>
      </c>
      <c r="M3674" s="2" t="s">
        <v>84</v>
      </c>
      <c r="N3674" s="2" t="s">
        <v>84</v>
      </c>
      <c r="O3674" s="2" t="s">
        <v>841</v>
      </c>
      <c r="P3674" s="59" t="s">
        <v>1783</v>
      </c>
    </row>
    <row r="3675" spans="1:16" ht="22" customHeight="1" x14ac:dyDescent="0.15">
      <c r="A3675" s="10" t="str">
        <f t="shared" si="543"/>
        <v>551_10_56_10_polygon</v>
      </c>
      <c r="B3675" s="2">
        <v>551</v>
      </c>
      <c r="C3675" s="30" t="str">
        <f>VLOOKUP(B3675,gachas!A:C,3)</f>
        <v>にゃんこガチャA</v>
      </c>
      <c r="D3675" s="21">
        <v>10</v>
      </c>
      <c r="E3675" s="2">
        <f t="shared" si="549"/>
        <v>56</v>
      </c>
      <c r="F3675" s="2">
        <v>10</v>
      </c>
      <c r="G3675" s="3" t="s">
        <v>22</v>
      </c>
      <c r="H3675" s="2">
        <v>50</v>
      </c>
      <c r="I3675" s="114" t="str">
        <f t="shared" si="544"/>
        <v>551100</v>
      </c>
      <c r="J3675" s="112" t="str">
        <f t="shared" ref="J3675:J3677" si="564">CONCATENATE(B3675,D3675,5)</f>
        <v>551105</v>
      </c>
      <c r="K3675" s="112" t="s">
        <v>84</v>
      </c>
      <c r="L3675" s="2">
        <v>0</v>
      </c>
      <c r="M3675" s="2" t="s">
        <v>84</v>
      </c>
      <c r="N3675" s="2" t="s">
        <v>84</v>
      </c>
      <c r="O3675" s="2" t="s">
        <v>841</v>
      </c>
      <c r="P3675" s="2" t="s">
        <v>2881</v>
      </c>
    </row>
    <row r="3676" spans="1:16" ht="22" customHeight="1" x14ac:dyDescent="0.15">
      <c r="A3676" s="10" t="str">
        <f t="shared" si="543"/>
        <v>551_10_57_10_polygon</v>
      </c>
      <c r="B3676" s="2">
        <v>551</v>
      </c>
      <c r="C3676" s="30" t="str">
        <f>VLOOKUP(B3676,gachas!A:C,3)</f>
        <v>にゃんこガチャA</v>
      </c>
      <c r="D3676" s="21">
        <v>10</v>
      </c>
      <c r="E3676" s="2">
        <f t="shared" si="549"/>
        <v>57</v>
      </c>
      <c r="F3676" s="2">
        <v>10</v>
      </c>
      <c r="G3676" s="3" t="s">
        <v>22</v>
      </c>
      <c r="H3676" s="2">
        <v>50</v>
      </c>
      <c r="I3676" s="114" t="str">
        <f t="shared" si="544"/>
        <v>551100</v>
      </c>
      <c r="J3676" s="112" t="str">
        <f t="shared" si="564"/>
        <v>551105</v>
      </c>
      <c r="K3676" s="112" t="s">
        <v>84</v>
      </c>
      <c r="L3676" s="2">
        <v>0</v>
      </c>
      <c r="M3676" s="2" t="s">
        <v>84</v>
      </c>
      <c r="N3676" s="2" t="s">
        <v>84</v>
      </c>
      <c r="O3676" s="2" t="s">
        <v>841</v>
      </c>
      <c r="P3676" s="2" t="s">
        <v>2881</v>
      </c>
    </row>
    <row r="3677" spans="1:16" ht="22" customHeight="1" x14ac:dyDescent="0.15">
      <c r="A3677" s="10" t="str">
        <f t="shared" si="543"/>
        <v>551_10_58_10_polygon</v>
      </c>
      <c r="B3677" s="2">
        <v>551</v>
      </c>
      <c r="C3677" s="30" t="str">
        <f>VLOOKUP(B3677,gachas!A:C,3)</f>
        <v>にゃんこガチャA</v>
      </c>
      <c r="D3677" s="21">
        <v>10</v>
      </c>
      <c r="E3677" s="2">
        <f t="shared" si="549"/>
        <v>58</v>
      </c>
      <c r="F3677" s="2">
        <v>10</v>
      </c>
      <c r="G3677" s="3" t="s">
        <v>22</v>
      </c>
      <c r="H3677" s="2">
        <v>50</v>
      </c>
      <c r="I3677" s="114" t="str">
        <f t="shared" si="544"/>
        <v>551100</v>
      </c>
      <c r="J3677" s="112" t="str">
        <f t="shared" si="564"/>
        <v>551105</v>
      </c>
      <c r="K3677" s="112" t="s">
        <v>84</v>
      </c>
      <c r="L3677" s="2">
        <v>0</v>
      </c>
      <c r="M3677" s="2" t="s">
        <v>84</v>
      </c>
      <c r="N3677" s="2" t="s">
        <v>84</v>
      </c>
      <c r="O3677" s="2" t="s">
        <v>841</v>
      </c>
      <c r="P3677" s="2" t="s">
        <v>2881</v>
      </c>
    </row>
    <row r="3678" spans="1:16" ht="22" customHeight="1" x14ac:dyDescent="0.15">
      <c r="A3678" s="10" t="str">
        <f t="shared" si="543"/>
        <v>551_10_59_10_polygon</v>
      </c>
      <c r="B3678" s="2">
        <v>551</v>
      </c>
      <c r="C3678" s="30" t="str">
        <f>VLOOKUP(B3678,gachas!A:C,3)</f>
        <v>にゃんこガチャA</v>
      </c>
      <c r="D3678" s="21">
        <v>10</v>
      </c>
      <c r="E3678" s="2">
        <f t="shared" si="549"/>
        <v>59</v>
      </c>
      <c r="F3678" s="2">
        <v>10</v>
      </c>
      <c r="G3678" s="3" t="s">
        <v>22</v>
      </c>
      <c r="H3678" s="2">
        <v>50</v>
      </c>
      <c r="I3678" s="114" t="str">
        <f t="shared" si="544"/>
        <v>551100</v>
      </c>
      <c r="J3678" s="141" t="s">
        <v>1571</v>
      </c>
      <c r="K3678" s="112" t="str">
        <f t="shared" ref="K3678" si="565">I3678</f>
        <v>551100</v>
      </c>
      <c r="L3678" s="2">
        <v>1</v>
      </c>
      <c r="M3678" s="2" t="s">
        <v>84</v>
      </c>
      <c r="N3678" s="2" t="s">
        <v>84</v>
      </c>
      <c r="O3678" s="2" t="s">
        <v>841</v>
      </c>
      <c r="P3678" s="2" t="s">
        <v>2871</v>
      </c>
    </row>
    <row r="3679" spans="1:16" ht="22" customHeight="1" x14ac:dyDescent="0.15">
      <c r="A3679" s="10" t="str">
        <f t="shared" si="543"/>
        <v>551_10_60_10_polygon</v>
      </c>
      <c r="B3679" s="2">
        <v>551</v>
      </c>
      <c r="C3679" s="30" t="str">
        <f>VLOOKUP(B3679,gachas!A:C,3)</f>
        <v>にゃんこガチャA</v>
      </c>
      <c r="D3679" s="21">
        <v>10</v>
      </c>
      <c r="E3679" s="2">
        <f t="shared" si="549"/>
        <v>60</v>
      </c>
      <c r="F3679" s="2">
        <v>10</v>
      </c>
      <c r="G3679" s="3" t="s">
        <v>22</v>
      </c>
      <c r="H3679" s="2">
        <v>0</v>
      </c>
      <c r="I3679" s="114" t="str">
        <f t="shared" si="544"/>
        <v>551100</v>
      </c>
      <c r="J3679" s="112" t="s">
        <v>84</v>
      </c>
      <c r="K3679" s="112" t="s">
        <v>84</v>
      </c>
      <c r="L3679" s="2">
        <v>0</v>
      </c>
      <c r="M3679" s="2" t="s">
        <v>84</v>
      </c>
      <c r="N3679" s="2" t="s">
        <v>84</v>
      </c>
      <c r="O3679" s="2" t="s">
        <v>841</v>
      </c>
      <c r="P3679" s="2" t="s">
        <v>2872</v>
      </c>
    </row>
    <row r="3680" spans="1:16" ht="22" customHeight="1" x14ac:dyDescent="0.15">
      <c r="A3680" s="10" t="str">
        <f t="shared" si="543"/>
        <v>552_1_0_1_polygon</v>
      </c>
      <c r="B3680" s="2">
        <v>552</v>
      </c>
      <c r="C3680" s="30" t="str">
        <f>VLOOKUP(B3680,gachas!A:C,3)</f>
        <v>にゃんこガチャB</v>
      </c>
      <c r="D3680" s="21">
        <v>1</v>
      </c>
      <c r="E3680" s="59">
        <v>0</v>
      </c>
      <c r="F3680" s="2">
        <v>1</v>
      </c>
      <c r="G3680" s="3" t="s">
        <v>22</v>
      </c>
      <c r="H3680" s="2">
        <v>5</v>
      </c>
      <c r="I3680" s="114" t="str">
        <f t="shared" si="544"/>
        <v>552010</v>
      </c>
      <c r="J3680" s="112" t="s">
        <v>84</v>
      </c>
      <c r="K3680" s="112" t="s">
        <v>84</v>
      </c>
      <c r="L3680" s="2">
        <v>0</v>
      </c>
      <c r="M3680" s="2" t="s">
        <v>84</v>
      </c>
      <c r="N3680" s="2" t="s">
        <v>84</v>
      </c>
      <c r="O3680" s="2" t="s">
        <v>841</v>
      </c>
      <c r="P3680" s="112" t="s">
        <v>84</v>
      </c>
    </row>
    <row r="3681" spans="1:16" ht="22" customHeight="1" x14ac:dyDescent="0.15">
      <c r="A3681" s="10" t="str">
        <f t="shared" si="543"/>
        <v>552_10_0_10_polygon</v>
      </c>
      <c r="B3681" s="2">
        <v>552</v>
      </c>
      <c r="C3681" s="30" t="str">
        <f>VLOOKUP(B3681,gachas!A:C,3)</f>
        <v>にゃんこガチャB</v>
      </c>
      <c r="D3681" s="21">
        <v>10</v>
      </c>
      <c r="E3681" s="140">
        <v>0</v>
      </c>
      <c r="F3681" s="2">
        <v>10</v>
      </c>
      <c r="G3681" s="3" t="s">
        <v>22</v>
      </c>
      <c r="H3681" s="2">
        <v>50</v>
      </c>
      <c r="I3681" s="114" t="str">
        <f t="shared" si="544"/>
        <v>552100</v>
      </c>
      <c r="J3681" s="112" t="s">
        <v>84</v>
      </c>
      <c r="K3681" s="112" t="s">
        <v>84</v>
      </c>
      <c r="L3681" s="2">
        <v>0</v>
      </c>
      <c r="M3681" s="2" t="s">
        <v>84</v>
      </c>
      <c r="N3681" s="2" t="s">
        <v>84</v>
      </c>
      <c r="O3681" s="2" t="s">
        <v>841</v>
      </c>
      <c r="P3681" s="2" t="s">
        <v>2637</v>
      </c>
    </row>
    <row r="3682" spans="1:16" ht="22" customHeight="1" x14ac:dyDescent="0.15">
      <c r="A3682" s="10" t="str">
        <f t="shared" ref="A3682:A3779" si="566">B3682&amp;"_"&amp;D3682&amp;"_"&amp;E3682&amp;"_"&amp;F3682&amp;"_"&amp;G3682</f>
        <v>552_10_1_10_polygon</v>
      </c>
      <c r="B3682" s="2">
        <v>552</v>
      </c>
      <c r="C3682" s="30" t="str">
        <f>VLOOKUP(B3682,gachas!A:C,3)</f>
        <v>にゃんこガチャB</v>
      </c>
      <c r="D3682" s="21">
        <v>10</v>
      </c>
      <c r="E3682" s="140">
        <v>1</v>
      </c>
      <c r="F3682" s="2">
        <v>10</v>
      </c>
      <c r="G3682" s="3" t="s">
        <v>22</v>
      </c>
      <c r="H3682" s="2">
        <v>25</v>
      </c>
      <c r="I3682" s="114" t="str">
        <f t="shared" ref="I3682:I3741" si="567">CONCATENATE(B3682,IF(D3682=1,"01","10"),0)</f>
        <v>552100</v>
      </c>
      <c r="J3682" s="112" t="s">
        <v>84</v>
      </c>
      <c r="K3682" s="112" t="s">
        <v>84</v>
      </c>
      <c r="L3682" s="2">
        <v>0</v>
      </c>
      <c r="M3682" s="2" t="s">
        <v>84</v>
      </c>
      <c r="N3682" s="2" t="s">
        <v>84</v>
      </c>
      <c r="O3682" s="2" t="s">
        <v>841</v>
      </c>
      <c r="P3682" s="59" t="s">
        <v>1783</v>
      </c>
    </row>
    <row r="3683" spans="1:16" ht="22" customHeight="1" x14ac:dyDescent="0.15">
      <c r="A3683" s="10" t="str">
        <f t="shared" si="566"/>
        <v>552_10_2_10_polygon</v>
      </c>
      <c r="B3683" s="2">
        <v>552</v>
      </c>
      <c r="C3683" s="30" t="str">
        <f>VLOOKUP(B3683,gachas!A:C,3)</f>
        <v>にゃんこガチャB</v>
      </c>
      <c r="D3683" s="21">
        <v>10</v>
      </c>
      <c r="E3683" s="140">
        <v>2</v>
      </c>
      <c r="F3683" s="2">
        <v>10</v>
      </c>
      <c r="G3683" s="3" t="s">
        <v>22</v>
      </c>
      <c r="H3683" s="2">
        <v>50</v>
      </c>
      <c r="I3683" s="114" t="str">
        <f t="shared" si="567"/>
        <v>552100</v>
      </c>
      <c r="J3683" s="112" t="str">
        <f t="shared" ref="J3683:J3685" si="568">CONCATENATE(B3683,D3683,5)</f>
        <v>552105</v>
      </c>
      <c r="K3683" s="112" t="s">
        <v>84</v>
      </c>
      <c r="L3683" s="2">
        <v>0</v>
      </c>
      <c r="M3683" s="2" t="s">
        <v>84</v>
      </c>
      <c r="N3683" s="2" t="s">
        <v>84</v>
      </c>
      <c r="O3683" s="2" t="s">
        <v>841</v>
      </c>
      <c r="P3683" s="2" t="s">
        <v>2881</v>
      </c>
    </row>
    <row r="3684" spans="1:16" ht="22" customHeight="1" x14ac:dyDescent="0.15">
      <c r="A3684" s="10" t="str">
        <f t="shared" si="566"/>
        <v>552_10_3_10_polygon</v>
      </c>
      <c r="B3684" s="2">
        <v>552</v>
      </c>
      <c r="C3684" s="30" t="str">
        <f>VLOOKUP(B3684,gachas!A:C,3)</f>
        <v>にゃんこガチャB</v>
      </c>
      <c r="D3684" s="21">
        <v>10</v>
      </c>
      <c r="E3684" s="140">
        <v>3</v>
      </c>
      <c r="F3684" s="2">
        <v>10</v>
      </c>
      <c r="G3684" s="3" t="s">
        <v>22</v>
      </c>
      <c r="H3684" s="2">
        <v>50</v>
      </c>
      <c r="I3684" s="114" t="str">
        <f t="shared" si="567"/>
        <v>552100</v>
      </c>
      <c r="J3684" s="112" t="str">
        <f t="shared" si="568"/>
        <v>552105</v>
      </c>
      <c r="K3684" s="112" t="s">
        <v>84</v>
      </c>
      <c r="L3684" s="2">
        <v>0</v>
      </c>
      <c r="M3684" s="2" t="s">
        <v>84</v>
      </c>
      <c r="N3684" s="2" t="s">
        <v>84</v>
      </c>
      <c r="O3684" s="2" t="s">
        <v>841</v>
      </c>
      <c r="P3684" s="2" t="s">
        <v>2881</v>
      </c>
    </row>
    <row r="3685" spans="1:16" ht="22" customHeight="1" x14ac:dyDescent="0.15">
      <c r="A3685" s="10" t="str">
        <f t="shared" si="566"/>
        <v>552_10_4_10_polygon</v>
      </c>
      <c r="B3685" s="2">
        <v>552</v>
      </c>
      <c r="C3685" s="30" t="str">
        <f>VLOOKUP(B3685,gachas!A:C,3)</f>
        <v>にゃんこガチャB</v>
      </c>
      <c r="D3685" s="21">
        <v>10</v>
      </c>
      <c r="E3685" s="140">
        <v>4</v>
      </c>
      <c r="F3685" s="2">
        <v>10</v>
      </c>
      <c r="G3685" s="3" t="s">
        <v>22</v>
      </c>
      <c r="H3685" s="2">
        <v>50</v>
      </c>
      <c r="I3685" s="114" t="str">
        <f t="shared" si="567"/>
        <v>552100</v>
      </c>
      <c r="J3685" s="112" t="str">
        <f t="shared" si="568"/>
        <v>552105</v>
      </c>
      <c r="K3685" s="112" t="s">
        <v>84</v>
      </c>
      <c r="L3685" s="2">
        <v>0</v>
      </c>
      <c r="M3685" s="2" t="s">
        <v>84</v>
      </c>
      <c r="N3685" s="2" t="s">
        <v>84</v>
      </c>
      <c r="O3685" s="2" t="s">
        <v>841</v>
      </c>
      <c r="P3685" s="2" t="s">
        <v>2881</v>
      </c>
    </row>
    <row r="3686" spans="1:16" ht="22" customHeight="1" x14ac:dyDescent="0.15">
      <c r="A3686" s="10" t="str">
        <f t="shared" si="566"/>
        <v>552_10_5_10_polygon</v>
      </c>
      <c r="B3686" s="2">
        <v>552</v>
      </c>
      <c r="C3686" s="30" t="str">
        <f>VLOOKUP(B3686,gachas!A:C,3)</f>
        <v>にゃんこガチャB</v>
      </c>
      <c r="D3686" s="21">
        <v>10</v>
      </c>
      <c r="E3686" s="140">
        <v>5</v>
      </c>
      <c r="F3686" s="2">
        <v>10</v>
      </c>
      <c r="G3686" s="3" t="s">
        <v>22</v>
      </c>
      <c r="H3686" s="2">
        <v>50</v>
      </c>
      <c r="I3686" s="114" t="str">
        <f t="shared" si="567"/>
        <v>552100</v>
      </c>
      <c r="J3686" s="141" t="s">
        <v>1571</v>
      </c>
      <c r="K3686" s="112" t="str">
        <f t="shared" ref="K3686" si="569">I3686</f>
        <v>552100</v>
      </c>
      <c r="L3686" s="2">
        <v>1</v>
      </c>
      <c r="M3686" s="2" t="s">
        <v>84</v>
      </c>
      <c r="N3686" s="2" t="s">
        <v>84</v>
      </c>
      <c r="O3686" s="2" t="s">
        <v>841</v>
      </c>
      <c r="P3686" s="2" t="s">
        <v>2873</v>
      </c>
    </row>
    <row r="3687" spans="1:16" ht="22" customHeight="1" x14ac:dyDescent="0.15">
      <c r="A3687" s="10" t="str">
        <f t="shared" si="566"/>
        <v>552_10_6_10_polygon</v>
      </c>
      <c r="B3687" s="2">
        <v>552</v>
      </c>
      <c r="C3687" s="30" t="str">
        <f>VLOOKUP(B3687,gachas!A:C,3)</f>
        <v>にゃんこガチャB</v>
      </c>
      <c r="D3687" s="21">
        <v>10</v>
      </c>
      <c r="E3687" s="140">
        <v>6</v>
      </c>
      <c r="F3687" s="2">
        <v>10</v>
      </c>
      <c r="G3687" s="3" t="s">
        <v>22</v>
      </c>
      <c r="H3687" s="2">
        <v>0</v>
      </c>
      <c r="I3687" s="114" t="str">
        <f t="shared" si="567"/>
        <v>552100</v>
      </c>
      <c r="J3687" s="112" t="s">
        <v>84</v>
      </c>
      <c r="K3687" s="112" t="s">
        <v>84</v>
      </c>
      <c r="L3687" s="2">
        <v>0</v>
      </c>
      <c r="M3687" s="2" t="s">
        <v>84</v>
      </c>
      <c r="N3687" s="2" t="s">
        <v>84</v>
      </c>
      <c r="O3687" s="2" t="s">
        <v>841</v>
      </c>
      <c r="P3687" s="2" t="s">
        <v>2872</v>
      </c>
    </row>
    <row r="3688" spans="1:16" ht="22" customHeight="1" x14ac:dyDescent="0.15">
      <c r="A3688" s="10" t="str">
        <f t="shared" si="566"/>
        <v>552_10_7_10_polygon</v>
      </c>
      <c r="B3688" s="2">
        <v>552</v>
      </c>
      <c r="C3688" s="30" t="str">
        <f>VLOOKUP(B3688,gachas!A:C,3)</f>
        <v>にゃんこガチャB</v>
      </c>
      <c r="D3688" s="21">
        <v>10</v>
      </c>
      <c r="E3688" s="140">
        <v>7</v>
      </c>
      <c r="F3688" s="2">
        <v>10</v>
      </c>
      <c r="G3688" s="3" t="s">
        <v>22</v>
      </c>
      <c r="H3688" s="2">
        <v>25</v>
      </c>
      <c r="I3688" s="114" t="str">
        <f t="shared" si="567"/>
        <v>552100</v>
      </c>
      <c r="J3688" s="112" t="s">
        <v>84</v>
      </c>
      <c r="K3688" s="112" t="s">
        <v>84</v>
      </c>
      <c r="L3688" s="2">
        <v>0</v>
      </c>
      <c r="M3688" s="2" t="s">
        <v>84</v>
      </c>
      <c r="N3688" s="2" t="s">
        <v>84</v>
      </c>
      <c r="O3688" s="2" t="s">
        <v>841</v>
      </c>
      <c r="P3688" s="59" t="s">
        <v>1783</v>
      </c>
    </row>
    <row r="3689" spans="1:16" ht="22" customHeight="1" x14ac:dyDescent="0.15">
      <c r="A3689" s="10" t="str">
        <f t="shared" si="566"/>
        <v>552_10_8_10_polygon</v>
      </c>
      <c r="B3689" s="2">
        <v>552</v>
      </c>
      <c r="C3689" s="30" t="str">
        <f>VLOOKUP(B3689,gachas!A:C,3)</f>
        <v>にゃんこガチャB</v>
      </c>
      <c r="D3689" s="21">
        <v>10</v>
      </c>
      <c r="E3689" s="140">
        <v>8</v>
      </c>
      <c r="F3689" s="2">
        <v>10</v>
      </c>
      <c r="G3689" s="3" t="s">
        <v>22</v>
      </c>
      <c r="H3689" s="2">
        <v>50</v>
      </c>
      <c r="I3689" s="114" t="str">
        <f t="shared" si="567"/>
        <v>552100</v>
      </c>
      <c r="J3689" s="112" t="str">
        <f t="shared" ref="J3689:J3691" si="570">CONCATENATE(B3689,D3689,5)</f>
        <v>552105</v>
      </c>
      <c r="K3689" s="112" t="s">
        <v>84</v>
      </c>
      <c r="L3689" s="2">
        <v>0</v>
      </c>
      <c r="M3689" s="2" t="s">
        <v>84</v>
      </c>
      <c r="N3689" s="2" t="s">
        <v>84</v>
      </c>
      <c r="O3689" s="2" t="s">
        <v>841</v>
      </c>
      <c r="P3689" s="2" t="s">
        <v>2881</v>
      </c>
    </row>
    <row r="3690" spans="1:16" ht="22" customHeight="1" x14ac:dyDescent="0.15">
      <c r="A3690" s="10" t="str">
        <f t="shared" si="566"/>
        <v>552_10_9_10_polygon</v>
      </c>
      <c r="B3690" s="2">
        <v>552</v>
      </c>
      <c r="C3690" s="30" t="str">
        <f>VLOOKUP(B3690,gachas!A:C,3)</f>
        <v>にゃんこガチャB</v>
      </c>
      <c r="D3690" s="21">
        <v>10</v>
      </c>
      <c r="E3690" s="140">
        <v>9</v>
      </c>
      <c r="F3690" s="2">
        <v>10</v>
      </c>
      <c r="G3690" s="3" t="s">
        <v>22</v>
      </c>
      <c r="H3690" s="2">
        <v>50</v>
      </c>
      <c r="I3690" s="114" t="str">
        <f t="shared" si="567"/>
        <v>552100</v>
      </c>
      <c r="J3690" s="112" t="str">
        <f t="shared" si="570"/>
        <v>552105</v>
      </c>
      <c r="K3690" s="112" t="s">
        <v>84</v>
      </c>
      <c r="L3690" s="2">
        <v>0</v>
      </c>
      <c r="M3690" s="2" t="s">
        <v>84</v>
      </c>
      <c r="N3690" s="2" t="s">
        <v>84</v>
      </c>
      <c r="O3690" s="2" t="s">
        <v>841</v>
      </c>
      <c r="P3690" s="2" t="s">
        <v>2881</v>
      </c>
    </row>
    <row r="3691" spans="1:16" ht="22" customHeight="1" x14ac:dyDescent="0.15">
      <c r="A3691" s="10" t="str">
        <f t="shared" si="566"/>
        <v>552_10_10_10_polygon</v>
      </c>
      <c r="B3691" s="2">
        <v>552</v>
      </c>
      <c r="C3691" s="30" t="str">
        <f>VLOOKUP(B3691,gachas!A:C,3)</f>
        <v>にゃんこガチャB</v>
      </c>
      <c r="D3691" s="21">
        <v>10</v>
      </c>
      <c r="E3691" s="140">
        <v>10</v>
      </c>
      <c r="F3691" s="2">
        <v>10</v>
      </c>
      <c r="G3691" s="3" t="s">
        <v>22</v>
      </c>
      <c r="H3691" s="2">
        <v>50</v>
      </c>
      <c r="I3691" s="114" t="str">
        <f t="shared" si="567"/>
        <v>552100</v>
      </c>
      <c r="J3691" s="112" t="str">
        <f t="shared" si="570"/>
        <v>552105</v>
      </c>
      <c r="K3691" s="112" t="s">
        <v>84</v>
      </c>
      <c r="L3691" s="2">
        <v>0</v>
      </c>
      <c r="M3691" s="2" t="s">
        <v>84</v>
      </c>
      <c r="N3691" s="2" t="s">
        <v>84</v>
      </c>
      <c r="O3691" s="2" t="s">
        <v>841</v>
      </c>
      <c r="P3691" s="2" t="s">
        <v>2881</v>
      </c>
    </row>
    <row r="3692" spans="1:16" ht="22" customHeight="1" x14ac:dyDescent="0.15">
      <c r="A3692" s="10" t="str">
        <f t="shared" si="566"/>
        <v>552_10_11_10_polygon</v>
      </c>
      <c r="B3692" s="2">
        <v>552</v>
      </c>
      <c r="C3692" s="30" t="str">
        <f>VLOOKUP(B3692,gachas!A:C,3)</f>
        <v>にゃんこガチャB</v>
      </c>
      <c r="D3692" s="21">
        <v>10</v>
      </c>
      <c r="E3692" s="140">
        <v>11</v>
      </c>
      <c r="F3692" s="2">
        <v>10</v>
      </c>
      <c r="G3692" s="3" t="s">
        <v>22</v>
      </c>
      <c r="H3692" s="2">
        <v>50</v>
      </c>
      <c r="I3692" s="114" t="str">
        <f t="shared" si="567"/>
        <v>552100</v>
      </c>
      <c r="J3692" s="141" t="s">
        <v>1571</v>
      </c>
      <c r="K3692" s="112" t="str">
        <f t="shared" ref="K3692" si="571">I3692</f>
        <v>552100</v>
      </c>
      <c r="L3692" s="2">
        <v>1</v>
      </c>
      <c r="M3692" s="2" t="s">
        <v>84</v>
      </c>
      <c r="N3692" s="2" t="s">
        <v>84</v>
      </c>
      <c r="O3692" s="2" t="s">
        <v>841</v>
      </c>
      <c r="P3692" s="2" t="s">
        <v>2873</v>
      </c>
    </row>
    <row r="3693" spans="1:16" ht="22" customHeight="1" x14ac:dyDescent="0.15">
      <c r="A3693" s="10" t="str">
        <f t="shared" si="566"/>
        <v>552_10_12_10_polygon</v>
      </c>
      <c r="B3693" s="2">
        <v>552</v>
      </c>
      <c r="C3693" s="30" t="str">
        <f>VLOOKUP(B3693,gachas!A:C,3)</f>
        <v>にゃんこガチャB</v>
      </c>
      <c r="D3693" s="21">
        <v>10</v>
      </c>
      <c r="E3693" s="140">
        <v>12</v>
      </c>
      <c r="F3693" s="2">
        <v>10</v>
      </c>
      <c r="G3693" s="3" t="s">
        <v>22</v>
      </c>
      <c r="H3693" s="2">
        <v>0</v>
      </c>
      <c r="I3693" s="114" t="str">
        <f t="shared" si="567"/>
        <v>552100</v>
      </c>
      <c r="J3693" s="112" t="s">
        <v>84</v>
      </c>
      <c r="K3693" s="112" t="s">
        <v>84</v>
      </c>
      <c r="L3693" s="2">
        <v>0</v>
      </c>
      <c r="M3693" s="2" t="s">
        <v>84</v>
      </c>
      <c r="N3693" s="2" t="s">
        <v>84</v>
      </c>
      <c r="O3693" s="2" t="s">
        <v>841</v>
      </c>
      <c r="P3693" s="2" t="s">
        <v>2872</v>
      </c>
    </row>
    <row r="3694" spans="1:16" ht="22" customHeight="1" x14ac:dyDescent="0.15">
      <c r="A3694" s="10" t="str">
        <f t="shared" si="566"/>
        <v>552_10_13_10_polygon</v>
      </c>
      <c r="B3694" s="2">
        <v>552</v>
      </c>
      <c r="C3694" s="30" t="str">
        <f>VLOOKUP(B3694,gachas!A:C,3)</f>
        <v>にゃんこガチャB</v>
      </c>
      <c r="D3694" s="21">
        <v>10</v>
      </c>
      <c r="E3694" s="140">
        <v>13</v>
      </c>
      <c r="F3694" s="2">
        <v>10</v>
      </c>
      <c r="G3694" s="3" t="s">
        <v>22</v>
      </c>
      <c r="H3694" s="2">
        <v>25</v>
      </c>
      <c r="I3694" s="114" t="str">
        <f t="shared" si="567"/>
        <v>552100</v>
      </c>
      <c r="J3694" s="112" t="s">
        <v>84</v>
      </c>
      <c r="K3694" s="112" t="s">
        <v>84</v>
      </c>
      <c r="L3694" s="2">
        <v>0</v>
      </c>
      <c r="M3694" s="2" t="s">
        <v>84</v>
      </c>
      <c r="N3694" s="2" t="s">
        <v>84</v>
      </c>
      <c r="O3694" s="2" t="s">
        <v>841</v>
      </c>
      <c r="P3694" s="59" t="s">
        <v>1783</v>
      </c>
    </row>
    <row r="3695" spans="1:16" ht="22" customHeight="1" x14ac:dyDescent="0.15">
      <c r="A3695" s="10" t="str">
        <f t="shared" si="566"/>
        <v>552_10_14_10_polygon</v>
      </c>
      <c r="B3695" s="2">
        <v>552</v>
      </c>
      <c r="C3695" s="30" t="str">
        <f>VLOOKUP(B3695,gachas!A:C,3)</f>
        <v>にゃんこガチャB</v>
      </c>
      <c r="D3695" s="21">
        <v>10</v>
      </c>
      <c r="E3695" s="140">
        <v>14</v>
      </c>
      <c r="F3695" s="2">
        <v>10</v>
      </c>
      <c r="G3695" s="3" t="s">
        <v>22</v>
      </c>
      <c r="H3695" s="2">
        <v>50</v>
      </c>
      <c r="I3695" s="114" t="str">
        <f t="shared" si="567"/>
        <v>552100</v>
      </c>
      <c r="J3695" s="112" t="str">
        <f t="shared" ref="J3695:J3697" si="572">CONCATENATE(B3695,D3695,5)</f>
        <v>552105</v>
      </c>
      <c r="K3695" s="112" t="s">
        <v>84</v>
      </c>
      <c r="L3695" s="2">
        <v>0</v>
      </c>
      <c r="M3695" s="2" t="s">
        <v>84</v>
      </c>
      <c r="N3695" s="2" t="s">
        <v>84</v>
      </c>
      <c r="O3695" s="2" t="s">
        <v>841</v>
      </c>
      <c r="P3695" s="2" t="s">
        <v>2881</v>
      </c>
    </row>
    <row r="3696" spans="1:16" ht="22" customHeight="1" x14ac:dyDescent="0.15">
      <c r="A3696" s="10" t="str">
        <f t="shared" si="566"/>
        <v>552_10_15_10_polygon</v>
      </c>
      <c r="B3696" s="2">
        <v>552</v>
      </c>
      <c r="C3696" s="30" t="str">
        <f>VLOOKUP(B3696,gachas!A:C,3)</f>
        <v>にゃんこガチャB</v>
      </c>
      <c r="D3696" s="21">
        <v>10</v>
      </c>
      <c r="E3696" s="140">
        <v>15</v>
      </c>
      <c r="F3696" s="2">
        <v>10</v>
      </c>
      <c r="G3696" s="3" t="s">
        <v>22</v>
      </c>
      <c r="H3696" s="2">
        <v>50</v>
      </c>
      <c r="I3696" s="114" t="str">
        <f t="shared" si="567"/>
        <v>552100</v>
      </c>
      <c r="J3696" s="112" t="str">
        <f t="shared" si="572"/>
        <v>552105</v>
      </c>
      <c r="K3696" s="112" t="s">
        <v>84</v>
      </c>
      <c r="L3696" s="2">
        <v>0</v>
      </c>
      <c r="M3696" s="2" t="s">
        <v>84</v>
      </c>
      <c r="N3696" s="2" t="s">
        <v>84</v>
      </c>
      <c r="O3696" s="2" t="s">
        <v>841</v>
      </c>
      <c r="P3696" s="2" t="s">
        <v>2881</v>
      </c>
    </row>
    <row r="3697" spans="1:16" ht="22" customHeight="1" x14ac:dyDescent="0.15">
      <c r="A3697" s="10" t="str">
        <f t="shared" si="566"/>
        <v>552_10_16_10_polygon</v>
      </c>
      <c r="B3697" s="2">
        <v>552</v>
      </c>
      <c r="C3697" s="30" t="str">
        <f>VLOOKUP(B3697,gachas!A:C,3)</f>
        <v>にゃんこガチャB</v>
      </c>
      <c r="D3697" s="21">
        <v>10</v>
      </c>
      <c r="E3697" s="140">
        <v>16</v>
      </c>
      <c r="F3697" s="2">
        <v>10</v>
      </c>
      <c r="G3697" s="3" t="s">
        <v>22</v>
      </c>
      <c r="H3697" s="2">
        <v>50</v>
      </c>
      <c r="I3697" s="114" t="str">
        <f t="shared" si="567"/>
        <v>552100</v>
      </c>
      <c r="J3697" s="112" t="str">
        <f t="shared" si="572"/>
        <v>552105</v>
      </c>
      <c r="K3697" s="112" t="s">
        <v>84</v>
      </c>
      <c r="L3697" s="2">
        <v>0</v>
      </c>
      <c r="M3697" s="2" t="s">
        <v>84</v>
      </c>
      <c r="N3697" s="2" t="s">
        <v>84</v>
      </c>
      <c r="O3697" s="2" t="s">
        <v>841</v>
      </c>
      <c r="P3697" s="2" t="s">
        <v>2881</v>
      </c>
    </row>
    <row r="3698" spans="1:16" ht="22" customHeight="1" x14ac:dyDescent="0.15">
      <c r="A3698" s="10" t="str">
        <f t="shared" si="566"/>
        <v>552_10_17_10_polygon</v>
      </c>
      <c r="B3698" s="2">
        <v>552</v>
      </c>
      <c r="C3698" s="30" t="str">
        <f>VLOOKUP(B3698,gachas!A:C,3)</f>
        <v>にゃんこガチャB</v>
      </c>
      <c r="D3698" s="21">
        <v>10</v>
      </c>
      <c r="E3698" s="140">
        <v>17</v>
      </c>
      <c r="F3698" s="2">
        <v>10</v>
      </c>
      <c r="G3698" s="3" t="s">
        <v>22</v>
      </c>
      <c r="H3698" s="2">
        <v>50</v>
      </c>
      <c r="I3698" s="114" t="str">
        <f t="shared" si="567"/>
        <v>552100</v>
      </c>
      <c r="J3698" s="141" t="s">
        <v>1571</v>
      </c>
      <c r="K3698" s="112" t="str">
        <f t="shared" ref="K3698" si="573">I3698</f>
        <v>552100</v>
      </c>
      <c r="L3698" s="2">
        <v>1</v>
      </c>
      <c r="M3698" s="2" t="s">
        <v>84</v>
      </c>
      <c r="N3698" s="2" t="s">
        <v>84</v>
      </c>
      <c r="O3698" s="2" t="s">
        <v>841</v>
      </c>
      <c r="P3698" s="2" t="s">
        <v>2873</v>
      </c>
    </row>
    <row r="3699" spans="1:16" ht="22" customHeight="1" x14ac:dyDescent="0.15">
      <c r="A3699" s="10" t="str">
        <f t="shared" si="566"/>
        <v>552_10_18_10_polygon</v>
      </c>
      <c r="B3699" s="2">
        <v>552</v>
      </c>
      <c r="C3699" s="30" t="str">
        <f>VLOOKUP(B3699,gachas!A:C,3)</f>
        <v>にゃんこガチャB</v>
      </c>
      <c r="D3699" s="21">
        <v>10</v>
      </c>
      <c r="E3699" s="140">
        <v>18</v>
      </c>
      <c r="F3699" s="2">
        <v>10</v>
      </c>
      <c r="G3699" s="3" t="s">
        <v>22</v>
      </c>
      <c r="H3699" s="2">
        <v>0</v>
      </c>
      <c r="I3699" s="114" t="str">
        <f t="shared" si="567"/>
        <v>552100</v>
      </c>
      <c r="J3699" s="112" t="s">
        <v>84</v>
      </c>
      <c r="K3699" s="112" t="s">
        <v>84</v>
      </c>
      <c r="L3699" s="2">
        <v>0</v>
      </c>
      <c r="M3699" s="2" t="s">
        <v>84</v>
      </c>
      <c r="N3699" s="2" t="s">
        <v>84</v>
      </c>
      <c r="O3699" s="2" t="s">
        <v>841</v>
      </c>
      <c r="P3699" s="2" t="s">
        <v>2872</v>
      </c>
    </row>
    <row r="3700" spans="1:16" ht="22" customHeight="1" x14ac:dyDescent="0.15">
      <c r="A3700" s="10" t="str">
        <f t="shared" si="566"/>
        <v>552_10_19_10_polygon</v>
      </c>
      <c r="B3700" s="2">
        <v>552</v>
      </c>
      <c r="C3700" s="30" t="str">
        <f>VLOOKUP(B3700,gachas!A:C,3)</f>
        <v>にゃんこガチャB</v>
      </c>
      <c r="D3700" s="21">
        <v>10</v>
      </c>
      <c r="E3700" s="140">
        <v>19</v>
      </c>
      <c r="F3700" s="2">
        <v>10</v>
      </c>
      <c r="G3700" s="3" t="s">
        <v>22</v>
      </c>
      <c r="H3700" s="2">
        <v>25</v>
      </c>
      <c r="I3700" s="114" t="str">
        <f t="shared" si="567"/>
        <v>552100</v>
      </c>
      <c r="J3700" s="112" t="s">
        <v>84</v>
      </c>
      <c r="K3700" s="112" t="s">
        <v>84</v>
      </c>
      <c r="L3700" s="2">
        <v>0</v>
      </c>
      <c r="M3700" s="2" t="s">
        <v>84</v>
      </c>
      <c r="N3700" s="2" t="s">
        <v>84</v>
      </c>
      <c r="O3700" s="2" t="s">
        <v>841</v>
      </c>
      <c r="P3700" s="59" t="s">
        <v>1783</v>
      </c>
    </row>
    <row r="3701" spans="1:16" ht="22" customHeight="1" x14ac:dyDescent="0.15">
      <c r="A3701" s="10" t="str">
        <f t="shared" si="566"/>
        <v>552_10_20_10_polygon</v>
      </c>
      <c r="B3701" s="2">
        <v>552</v>
      </c>
      <c r="C3701" s="30" t="str">
        <f>VLOOKUP(B3701,gachas!A:C,3)</f>
        <v>にゃんこガチャB</v>
      </c>
      <c r="D3701" s="21">
        <v>10</v>
      </c>
      <c r="E3701" s="140">
        <v>20</v>
      </c>
      <c r="F3701" s="2">
        <v>10</v>
      </c>
      <c r="G3701" s="3" t="s">
        <v>22</v>
      </c>
      <c r="H3701" s="2">
        <v>50</v>
      </c>
      <c r="I3701" s="114" t="str">
        <f t="shared" si="567"/>
        <v>552100</v>
      </c>
      <c r="J3701" s="112" t="str">
        <f t="shared" ref="J3701:J3703" si="574">CONCATENATE(B3701,D3701,5)</f>
        <v>552105</v>
      </c>
      <c r="K3701" s="112" t="s">
        <v>84</v>
      </c>
      <c r="L3701" s="2">
        <v>0</v>
      </c>
      <c r="M3701" s="2" t="s">
        <v>84</v>
      </c>
      <c r="N3701" s="2" t="s">
        <v>84</v>
      </c>
      <c r="O3701" s="2" t="s">
        <v>841</v>
      </c>
      <c r="P3701" s="2" t="s">
        <v>2881</v>
      </c>
    </row>
    <row r="3702" spans="1:16" ht="22" customHeight="1" x14ac:dyDescent="0.15">
      <c r="A3702" s="10" t="str">
        <f t="shared" si="566"/>
        <v>552_10_21_10_polygon</v>
      </c>
      <c r="B3702" s="2">
        <v>552</v>
      </c>
      <c r="C3702" s="30" t="str">
        <f>VLOOKUP(B3702,gachas!A:C,3)</f>
        <v>にゃんこガチャB</v>
      </c>
      <c r="D3702" s="21">
        <v>10</v>
      </c>
      <c r="E3702" s="140">
        <v>21</v>
      </c>
      <c r="F3702" s="2">
        <v>10</v>
      </c>
      <c r="G3702" s="3" t="s">
        <v>22</v>
      </c>
      <c r="H3702" s="2">
        <v>50</v>
      </c>
      <c r="I3702" s="114" t="str">
        <f t="shared" si="567"/>
        <v>552100</v>
      </c>
      <c r="J3702" s="112" t="str">
        <f t="shared" si="574"/>
        <v>552105</v>
      </c>
      <c r="K3702" s="112" t="s">
        <v>84</v>
      </c>
      <c r="L3702" s="2">
        <v>0</v>
      </c>
      <c r="M3702" s="2" t="s">
        <v>84</v>
      </c>
      <c r="N3702" s="2" t="s">
        <v>84</v>
      </c>
      <c r="O3702" s="2" t="s">
        <v>841</v>
      </c>
      <c r="P3702" s="2" t="s">
        <v>2881</v>
      </c>
    </row>
    <row r="3703" spans="1:16" ht="22" customHeight="1" x14ac:dyDescent="0.15">
      <c r="A3703" s="10" t="str">
        <f t="shared" si="566"/>
        <v>552_10_22_10_polygon</v>
      </c>
      <c r="B3703" s="2">
        <v>552</v>
      </c>
      <c r="C3703" s="30" t="str">
        <f>VLOOKUP(B3703,gachas!A:C,3)</f>
        <v>にゃんこガチャB</v>
      </c>
      <c r="D3703" s="21">
        <v>10</v>
      </c>
      <c r="E3703" s="140">
        <v>22</v>
      </c>
      <c r="F3703" s="2">
        <v>10</v>
      </c>
      <c r="G3703" s="3" t="s">
        <v>22</v>
      </c>
      <c r="H3703" s="2">
        <v>50</v>
      </c>
      <c r="I3703" s="114" t="str">
        <f t="shared" si="567"/>
        <v>552100</v>
      </c>
      <c r="J3703" s="112" t="str">
        <f t="shared" si="574"/>
        <v>552105</v>
      </c>
      <c r="K3703" s="112" t="s">
        <v>84</v>
      </c>
      <c r="L3703" s="2">
        <v>0</v>
      </c>
      <c r="M3703" s="2" t="s">
        <v>84</v>
      </c>
      <c r="N3703" s="2" t="s">
        <v>84</v>
      </c>
      <c r="O3703" s="2" t="s">
        <v>841</v>
      </c>
      <c r="P3703" s="2" t="s">
        <v>2881</v>
      </c>
    </row>
    <row r="3704" spans="1:16" ht="22" customHeight="1" x14ac:dyDescent="0.15">
      <c r="A3704" s="10" t="str">
        <f t="shared" si="566"/>
        <v>552_10_23_10_polygon</v>
      </c>
      <c r="B3704" s="2">
        <v>552</v>
      </c>
      <c r="C3704" s="30" t="str">
        <f>VLOOKUP(B3704,gachas!A:C,3)</f>
        <v>にゃんこガチャB</v>
      </c>
      <c r="D3704" s="21">
        <v>10</v>
      </c>
      <c r="E3704" s="140">
        <v>23</v>
      </c>
      <c r="F3704" s="2">
        <v>10</v>
      </c>
      <c r="G3704" s="3" t="s">
        <v>22</v>
      </c>
      <c r="H3704" s="2">
        <v>50</v>
      </c>
      <c r="I3704" s="114" t="str">
        <f t="shared" si="567"/>
        <v>552100</v>
      </c>
      <c r="J3704" s="141" t="s">
        <v>1571</v>
      </c>
      <c r="K3704" s="112" t="str">
        <f t="shared" ref="K3704" si="575">I3704</f>
        <v>552100</v>
      </c>
      <c r="L3704" s="2">
        <v>1</v>
      </c>
      <c r="M3704" s="2" t="s">
        <v>84</v>
      </c>
      <c r="N3704" s="2" t="s">
        <v>84</v>
      </c>
      <c r="O3704" s="2" t="s">
        <v>841</v>
      </c>
      <c r="P3704" s="2" t="s">
        <v>2873</v>
      </c>
    </row>
    <row r="3705" spans="1:16" ht="22" customHeight="1" x14ac:dyDescent="0.15">
      <c r="A3705" s="10" t="str">
        <f t="shared" si="566"/>
        <v>552_10_24_10_polygon</v>
      </c>
      <c r="B3705" s="2">
        <v>552</v>
      </c>
      <c r="C3705" s="30" t="str">
        <f>VLOOKUP(B3705,gachas!A:C,3)</f>
        <v>にゃんこガチャB</v>
      </c>
      <c r="D3705" s="21">
        <v>10</v>
      </c>
      <c r="E3705" s="140">
        <v>24</v>
      </c>
      <c r="F3705" s="2">
        <v>10</v>
      </c>
      <c r="G3705" s="3" t="s">
        <v>22</v>
      </c>
      <c r="H3705" s="2">
        <v>0</v>
      </c>
      <c r="I3705" s="114" t="str">
        <f t="shared" si="567"/>
        <v>552100</v>
      </c>
      <c r="J3705" s="112" t="s">
        <v>84</v>
      </c>
      <c r="K3705" s="112" t="s">
        <v>84</v>
      </c>
      <c r="L3705" s="2">
        <v>0</v>
      </c>
      <c r="M3705" s="2" t="s">
        <v>84</v>
      </c>
      <c r="N3705" s="2" t="s">
        <v>84</v>
      </c>
      <c r="O3705" s="2" t="s">
        <v>841</v>
      </c>
      <c r="P3705" s="2" t="s">
        <v>2872</v>
      </c>
    </row>
    <row r="3706" spans="1:16" ht="22" customHeight="1" x14ac:dyDescent="0.15">
      <c r="A3706" s="10" t="str">
        <f t="shared" si="566"/>
        <v>552_10_25_10_polygon</v>
      </c>
      <c r="B3706" s="2">
        <v>552</v>
      </c>
      <c r="C3706" s="30" t="str">
        <f>VLOOKUP(B3706,gachas!A:C,3)</f>
        <v>にゃんこガチャB</v>
      </c>
      <c r="D3706" s="21">
        <v>10</v>
      </c>
      <c r="E3706" s="140">
        <v>25</v>
      </c>
      <c r="F3706" s="2">
        <v>10</v>
      </c>
      <c r="G3706" s="3" t="s">
        <v>22</v>
      </c>
      <c r="H3706" s="2">
        <v>25</v>
      </c>
      <c r="I3706" s="114" t="str">
        <f t="shared" si="567"/>
        <v>552100</v>
      </c>
      <c r="J3706" s="112" t="s">
        <v>84</v>
      </c>
      <c r="K3706" s="112" t="s">
        <v>84</v>
      </c>
      <c r="L3706" s="2">
        <v>0</v>
      </c>
      <c r="M3706" s="2" t="s">
        <v>84</v>
      </c>
      <c r="N3706" s="2" t="s">
        <v>84</v>
      </c>
      <c r="O3706" s="2" t="s">
        <v>841</v>
      </c>
      <c r="P3706" s="59" t="s">
        <v>1783</v>
      </c>
    </row>
    <row r="3707" spans="1:16" ht="22" customHeight="1" x14ac:dyDescent="0.15">
      <c r="A3707" s="10" t="str">
        <f t="shared" si="566"/>
        <v>552_10_26_10_polygon</v>
      </c>
      <c r="B3707" s="2">
        <v>552</v>
      </c>
      <c r="C3707" s="30" t="str">
        <f>VLOOKUP(B3707,gachas!A:C,3)</f>
        <v>にゃんこガチャB</v>
      </c>
      <c r="D3707" s="21">
        <v>10</v>
      </c>
      <c r="E3707" s="140">
        <v>26</v>
      </c>
      <c r="F3707" s="2">
        <v>10</v>
      </c>
      <c r="G3707" s="3" t="s">
        <v>22</v>
      </c>
      <c r="H3707" s="2">
        <v>50</v>
      </c>
      <c r="I3707" s="114" t="str">
        <f t="shared" si="567"/>
        <v>552100</v>
      </c>
      <c r="J3707" s="112" t="str">
        <f t="shared" ref="J3707:J3709" si="576">CONCATENATE(B3707,D3707,5)</f>
        <v>552105</v>
      </c>
      <c r="K3707" s="112" t="s">
        <v>84</v>
      </c>
      <c r="L3707" s="2">
        <v>0</v>
      </c>
      <c r="M3707" s="2" t="s">
        <v>84</v>
      </c>
      <c r="N3707" s="2" t="s">
        <v>84</v>
      </c>
      <c r="O3707" s="2" t="s">
        <v>841</v>
      </c>
      <c r="P3707" s="2" t="s">
        <v>2881</v>
      </c>
    </row>
    <row r="3708" spans="1:16" ht="22" customHeight="1" x14ac:dyDescent="0.15">
      <c r="A3708" s="10" t="str">
        <f t="shared" si="566"/>
        <v>552_10_27_10_polygon</v>
      </c>
      <c r="B3708" s="2">
        <v>552</v>
      </c>
      <c r="C3708" s="30" t="str">
        <f>VLOOKUP(B3708,gachas!A:C,3)</f>
        <v>にゃんこガチャB</v>
      </c>
      <c r="D3708" s="21">
        <v>10</v>
      </c>
      <c r="E3708" s="140">
        <v>27</v>
      </c>
      <c r="F3708" s="2">
        <v>10</v>
      </c>
      <c r="G3708" s="3" t="s">
        <v>22</v>
      </c>
      <c r="H3708" s="2">
        <v>50</v>
      </c>
      <c r="I3708" s="114" t="str">
        <f t="shared" si="567"/>
        <v>552100</v>
      </c>
      <c r="J3708" s="112" t="str">
        <f t="shared" si="576"/>
        <v>552105</v>
      </c>
      <c r="K3708" s="112" t="s">
        <v>84</v>
      </c>
      <c r="L3708" s="2">
        <v>0</v>
      </c>
      <c r="M3708" s="2" t="s">
        <v>84</v>
      </c>
      <c r="N3708" s="2" t="s">
        <v>84</v>
      </c>
      <c r="O3708" s="2" t="s">
        <v>841</v>
      </c>
      <c r="P3708" s="2" t="s">
        <v>2881</v>
      </c>
    </row>
    <row r="3709" spans="1:16" ht="22" customHeight="1" x14ac:dyDescent="0.15">
      <c r="A3709" s="10" t="str">
        <f t="shared" si="566"/>
        <v>552_10_28_10_polygon</v>
      </c>
      <c r="B3709" s="2">
        <v>552</v>
      </c>
      <c r="C3709" s="30" t="str">
        <f>VLOOKUP(B3709,gachas!A:C,3)</f>
        <v>にゃんこガチャB</v>
      </c>
      <c r="D3709" s="21">
        <v>10</v>
      </c>
      <c r="E3709" s="140">
        <v>28</v>
      </c>
      <c r="F3709" s="2">
        <v>10</v>
      </c>
      <c r="G3709" s="3" t="s">
        <v>22</v>
      </c>
      <c r="H3709" s="2">
        <v>50</v>
      </c>
      <c r="I3709" s="114" t="str">
        <f t="shared" si="567"/>
        <v>552100</v>
      </c>
      <c r="J3709" s="112" t="str">
        <f t="shared" si="576"/>
        <v>552105</v>
      </c>
      <c r="K3709" s="112" t="s">
        <v>84</v>
      </c>
      <c r="L3709" s="2">
        <v>0</v>
      </c>
      <c r="M3709" s="2" t="s">
        <v>84</v>
      </c>
      <c r="N3709" s="2" t="s">
        <v>84</v>
      </c>
      <c r="O3709" s="2" t="s">
        <v>841</v>
      </c>
      <c r="P3709" s="2" t="s">
        <v>2881</v>
      </c>
    </row>
    <row r="3710" spans="1:16" ht="22" customHeight="1" x14ac:dyDescent="0.15">
      <c r="A3710" s="10" t="str">
        <f t="shared" si="566"/>
        <v>552_10_29_10_polygon</v>
      </c>
      <c r="B3710" s="2">
        <v>552</v>
      </c>
      <c r="C3710" s="30" t="str">
        <f>VLOOKUP(B3710,gachas!A:C,3)</f>
        <v>にゃんこガチャB</v>
      </c>
      <c r="D3710" s="21">
        <v>10</v>
      </c>
      <c r="E3710" s="140">
        <v>29</v>
      </c>
      <c r="F3710" s="2">
        <v>10</v>
      </c>
      <c r="G3710" s="3" t="s">
        <v>22</v>
      </c>
      <c r="H3710" s="2">
        <v>50</v>
      </c>
      <c r="I3710" s="114" t="str">
        <f t="shared" si="567"/>
        <v>552100</v>
      </c>
      <c r="J3710" s="141" t="s">
        <v>1571</v>
      </c>
      <c r="K3710" s="112" t="str">
        <f t="shared" ref="K3710" si="577">I3710</f>
        <v>552100</v>
      </c>
      <c r="L3710" s="2">
        <v>1</v>
      </c>
      <c r="M3710" s="2" t="s">
        <v>84</v>
      </c>
      <c r="N3710" s="2" t="s">
        <v>84</v>
      </c>
      <c r="O3710" s="2" t="s">
        <v>841</v>
      </c>
      <c r="P3710" s="2" t="s">
        <v>2873</v>
      </c>
    </row>
    <row r="3711" spans="1:16" ht="22" customHeight="1" x14ac:dyDescent="0.15">
      <c r="A3711" s="10" t="str">
        <f t="shared" si="566"/>
        <v>552_10_30_10_polygon</v>
      </c>
      <c r="B3711" s="2">
        <v>552</v>
      </c>
      <c r="C3711" s="30" t="str">
        <f>VLOOKUP(B3711,gachas!A:C,3)</f>
        <v>にゃんこガチャB</v>
      </c>
      <c r="D3711" s="21">
        <v>10</v>
      </c>
      <c r="E3711" s="140">
        <v>30</v>
      </c>
      <c r="F3711" s="2">
        <v>10</v>
      </c>
      <c r="G3711" s="3" t="s">
        <v>22</v>
      </c>
      <c r="H3711" s="2">
        <v>0</v>
      </c>
      <c r="I3711" s="114" t="str">
        <f t="shared" si="567"/>
        <v>552100</v>
      </c>
      <c r="J3711" s="112" t="s">
        <v>84</v>
      </c>
      <c r="K3711" s="112" t="s">
        <v>84</v>
      </c>
      <c r="L3711" s="2">
        <v>0</v>
      </c>
      <c r="M3711" s="2" t="s">
        <v>84</v>
      </c>
      <c r="N3711" s="2" t="s">
        <v>84</v>
      </c>
      <c r="O3711" s="2" t="s">
        <v>841</v>
      </c>
      <c r="P3711" s="2" t="s">
        <v>2872</v>
      </c>
    </row>
    <row r="3712" spans="1:16" ht="22" customHeight="1" x14ac:dyDescent="0.15">
      <c r="A3712" s="10" t="str">
        <f t="shared" si="566"/>
        <v>552_10_31_10_polygon</v>
      </c>
      <c r="B3712" s="2">
        <v>552</v>
      </c>
      <c r="C3712" s="30" t="str">
        <f>VLOOKUP(B3712,gachas!A:C,3)</f>
        <v>にゃんこガチャB</v>
      </c>
      <c r="D3712" s="21">
        <v>10</v>
      </c>
      <c r="E3712" s="140">
        <v>31</v>
      </c>
      <c r="F3712" s="2">
        <v>10</v>
      </c>
      <c r="G3712" s="3" t="s">
        <v>22</v>
      </c>
      <c r="H3712" s="2">
        <v>25</v>
      </c>
      <c r="I3712" s="114" t="str">
        <f t="shared" si="567"/>
        <v>552100</v>
      </c>
      <c r="J3712" s="112" t="s">
        <v>84</v>
      </c>
      <c r="K3712" s="112" t="s">
        <v>84</v>
      </c>
      <c r="L3712" s="2">
        <v>0</v>
      </c>
      <c r="M3712" s="2" t="s">
        <v>84</v>
      </c>
      <c r="N3712" s="2" t="s">
        <v>84</v>
      </c>
      <c r="O3712" s="2" t="s">
        <v>841</v>
      </c>
      <c r="P3712" s="59" t="s">
        <v>1783</v>
      </c>
    </row>
    <row r="3713" spans="1:16" ht="22" customHeight="1" x14ac:dyDescent="0.15">
      <c r="A3713" s="10" t="str">
        <f t="shared" si="566"/>
        <v>552_10_32_10_polygon</v>
      </c>
      <c r="B3713" s="2">
        <v>552</v>
      </c>
      <c r="C3713" s="30" t="str">
        <f>VLOOKUP(B3713,gachas!A:C,3)</f>
        <v>にゃんこガチャB</v>
      </c>
      <c r="D3713" s="21">
        <v>10</v>
      </c>
      <c r="E3713" s="140">
        <v>32</v>
      </c>
      <c r="F3713" s="2">
        <v>10</v>
      </c>
      <c r="G3713" s="3" t="s">
        <v>22</v>
      </c>
      <c r="H3713" s="2">
        <v>50</v>
      </c>
      <c r="I3713" s="114" t="str">
        <f t="shared" si="567"/>
        <v>552100</v>
      </c>
      <c r="J3713" s="112" t="str">
        <f t="shared" ref="J3713:J3715" si="578">CONCATENATE(B3713,D3713,5)</f>
        <v>552105</v>
      </c>
      <c r="K3713" s="112" t="s">
        <v>84</v>
      </c>
      <c r="L3713" s="2">
        <v>0</v>
      </c>
      <c r="M3713" s="2" t="s">
        <v>84</v>
      </c>
      <c r="N3713" s="2" t="s">
        <v>84</v>
      </c>
      <c r="O3713" s="2" t="s">
        <v>841</v>
      </c>
      <c r="P3713" s="2" t="s">
        <v>2881</v>
      </c>
    </row>
    <row r="3714" spans="1:16" ht="22" customHeight="1" x14ac:dyDescent="0.15">
      <c r="A3714" s="10" t="str">
        <f t="shared" si="566"/>
        <v>552_10_33_10_polygon</v>
      </c>
      <c r="B3714" s="2">
        <v>552</v>
      </c>
      <c r="C3714" s="30" t="str">
        <f>VLOOKUP(B3714,gachas!A:C,3)</f>
        <v>にゃんこガチャB</v>
      </c>
      <c r="D3714" s="21">
        <v>10</v>
      </c>
      <c r="E3714" s="140">
        <v>33</v>
      </c>
      <c r="F3714" s="2">
        <v>10</v>
      </c>
      <c r="G3714" s="3" t="s">
        <v>22</v>
      </c>
      <c r="H3714" s="2">
        <v>50</v>
      </c>
      <c r="I3714" s="114" t="str">
        <f t="shared" si="567"/>
        <v>552100</v>
      </c>
      <c r="J3714" s="112" t="str">
        <f t="shared" si="578"/>
        <v>552105</v>
      </c>
      <c r="K3714" s="112" t="s">
        <v>84</v>
      </c>
      <c r="L3714" s="2">
        <v>0</v>
      </c>
      <c r="M3714" s="2" t="s">
        <v>84</v>
      </c>
      <c r="N3714" s="2" t="s">
        <v>84</v>
      </c>
      <c r="O3714" s="2" t="s">
        <v>841</v>
      </c>
      <c r="P3714" s="2" t="s">
        <v>2881</v>
      </c>
    </row>
    <row r="3715" spans="1:16" ht="22" customHeight="1" x14ac:dyDescent="0.15">
      <c r="A3715" s="10" t="str">
        <f t="shared" si="566"/>
        <v>552_10_34_10_polygon</v>
      </c>
      <c r="B3715" s="2">
        <v>552</v>
      </c>
      <c r="C3715" s="30" t="str">
        <f>VLOOKUP(B3715,gachas!A:C,3)</f>
        <v>にゃんこガチャB</v>
      </c>
      <c r="D3715" s="21">
        <v>10</v>
      </c>
      <c r="E3715" s="140">
        <v>34</v>
      </c>
      <c r="F3715" s="2">
        <v>10</v>
      </c>
      <c r="G3715" s="3" t="s">
        <v>22</v>
      </c>
      <c r="H3715" s="2">
        <v>50</v>
      </c>
      <c r="I3715" s="114" t="str">
        <f t="shared" si="567"/>
        <v>552100</v>
      </c>
      <c r="J3715" s="112" t="str">
        <f t="shared" si="578"/>
        <v>552105</v>
      </c>
      <c r="K3715" s="112" t="s">
        <v>84</v>
      </c>
      <c r="L3715" s="2">
        <v>0</v>
      </c>
      <c r="M3715" s="2" t="s">
        <v>84</v>
      </c>
      <c r="N3715" s="2" t="s">
        <v>84</v>
      </c>
      <c r="O3715" s="2" t="s">
        <v>841</v>
      </c>
      <c r="P3715" s="2" t="s">
        <v>2881</v>
      </c>
    </row>
    <row r="3716" spans="1:16" ht="22" customHeight="1" x14ac:dyDescent="0.15">
      <c r="A3716" s="10" t="str">
        <f t="shared" si="566"/>
        <v>552_10_35_10_polygon</v>
      </c>
      <c r="B3716" s="2">
        <v>552</v>
      </c>
      <c r="C3716" s="30" t="str">
        <f>VLOOKUP(B3716,gachas!A:C,3)</f>
        <v>にゃんこガチャB</v>
      </c>
      <c r="D3716" s="21">
        <v>10</v>
      </c>
      <c r="E3716" s="140">
        <v>35</v>
      </c>
      <c r="F3716" s="2">
        <v>10</v>
      </c>
      <c r="G3716" s="3" t="s">
        <v>22</v>
      </c>
      <c r="H3716" s="2">
        <v>50</v>
      </c>
      <c r="I3716" s="114" t="str">
        <f t="shared" si="567"/>
        <v>552100</v>
      </c>
      <c r="J3716" s="141" t="s">
        <v>1571</v>
      </c>
      <c r="K3716" s="112" t="str">
        <f t="shared" ref="K3716" si="579">I3716</f>
        <v>552100</v>
      </c>
      <c r="L3716" s="2">
        <v>1</v>
      </c>
      <c r="M3716" s="2" t="s">
        <v>84</v>
      </c>
      <c r="N3716" s="2" t="s">
        <v>84</v>
      </c>
      <c r="O3716" s="2" t="s">
        <v>841</v>
      </c>
      <c r="P3716" s="2" t="s">
        <v>2873</v>
      </c>
    </row>
    <row r="3717" spans="1:16" ht="22" customHeight="1" x14ac:dyDescent="0.15">
      <c r="A3717" s="10" t="str">
        <f t="shared" si="566"/>
        <v>552_10_36_10_polygon</v>
      </c>
      <c r="B3717" s="2">
        <v>552</v>
      </c>
      <c r="C3717" s="30" t="str">
        <f>VLOOKUP(B3717,gachas!A:C,3)</f>
        <v>にゃんこガチャB</v>
      </c>
      <c r="D3717" s="21">
        <v>10</v>
      </c>
      <c r="E3717" s="140">
        <v>36</v>
      </c>
      <c r="F3717" s="2">
        <v>10</v>
      </c>
      <c r="G3717" s="3" t="s">
        <v>22</v>
      </c>
      <c r="H3717" s="2">
        <v>0</v>
      </c>
      <c r="I3717" s="114" t="str">
        <f t="shared" si="567"/>
        <v>552100</v>
      </c>
      <c r="J3717" s="112" t="s">
        <v>84</v>
      </c>
      <c r="K3717" s="112" t="s">
        <v>84</v>
      </c>
      <c r="L3717" s="2">
        <v>0</v>
      </c>
      <c r="M3717" s="2" t="s">
        <v>84</v>
      </c>
      <c r="N3717" s="2" t="s">
        <v>84</v>
      </c>
      <c r="O3717" s="2" t="s">
        <v>841</v>
      </c>
      <c r="P3717" s="2" t="s">
        <v>2872</v>
      </c>
    </row>
    <row r="3718" spans="1:16" ht="22" customHeight="1" x14ac:dyDescent="0.15">
      <c r="A3718" s="10" t="str">
        <f t="shared" si="566"/>
        <v>552_10_37_10_polygon</v>
      </c>
      <c r="B3718" s="2">
        <v>552</v>
      </c>
      <c r="C3718" s="30" t="str">
        <f>VLOOKUP(B3718,gachas!A:C,3)</f>
        <v>にゃんこガチャB</v>
      </c>
      <c r="D3718" s="21">
        <v>10</v>
      </c>
      <c r="E3718" s="140">
        <v>37</v>
      </c>
      <c r="F3718" s="2">
        <v>10</v>
      </c>
      <c r="G3718" s="3" t="s">
        <v>22</v>
      </c>
      <c r="H3718" s="2">
        <v>25</v>
      </c>
      <c r="I3718" s="114" t="str">
        <f t="shared" si="567"/>
        <v>552100</v>
      </c>
      <c r="J3718" s="112" t="s">
        <v>84</v>
      </c>
      <c r="K3718" s="112" t="s">
        <v>84</v>
      </c>
      <c r="L3718" s="2">
        <v>0</v>
      </c>
      <c r="M3718" s="2" t="s">
        <v>84</v>
      </c>
      <c r="N3718" s="2" t="s">
        <v>84</v>
      </c>
      <c r="O3718" s="2" t="s">
        <v>841</v>
      </c>
      <c r="P3718" s="59" t="s">
        <v>1783</v>
      </c>
    </row>
    <row r="3719" spans="1:16" ht="22" customHeight="1" x14ac:dyDescent="0.15">
      <c r="A3719" s="10" t="str">
        <f t="shared" si="566"/>
        <v>552_10_38_10_polygon</v>
      </c>
      <c r="B3719" s="2">
        <v>552</v>
      </c>
      <c r="C3719" s="30" t="str">
        <f>VLOOKUP(B3719,gachas!A:C,3)</f>
        <v>にゃんこガチャB</v>
      </c>
      <c r="D3719" s="21">
        <v>10</v>
      </c>
      <c r="E3719" s="140">
        <v>38</v>
      </c>
      <c r="F3719" s="2">
        <v>10</v>
      </c>
      <c r="G3719" s="3" t="s">
        <v>22</v>
      </c>
      <c r="H3719" s="2">
        <v>50</v>
      </c>
      <c r="I3719" s="114" t="str">
        <f t="shared" si="567"/>
        <v>552100</v>
      </c>
      <c r="J3719" s="112" t="str">
        <f t="shared" ref="J3719:J3721" si="580">CONCATENATE(B3719,D3719,5)</f>
        <v>552105</v>
      </c>
      <c r="K3719" s="112" t="s">
        <v>84</v>
      </c>
      <c r="L3719" s="2">
        <v>0</v>
      </c>
      <c r="M3719" s="2" t="s">
        <v>84</v>
      </c>
      <c r="N3719" s="2" t="s">
        <v>84</v>
      </c>
      <c r="O3719" s="2" t="s">
        <v>841</v>
      </c>
      <c r="P3719" s="2" t="s">
        <v>2881</v>
      </c>
    </row>
    <row r="3720" spans="1:16" ht="22" customHeight="1" x14ac:dyDescent="0.15">
      <c r="A3720" s="10" t="str">
        <f t="shared" si="566"/>
        <v>552_10_39_10_polygon</v>
      </c>
      <c r="B3720" s="2">
        <v>552</v>
      </c>
      <c r="C3720" s="30" t="str">
        <f>VLOOKUP(B3720,gachas!A:C,3)</f>
        <v>にゃんこガチャB</v>
      </c>
      <c r="D3720" s="21">
        <v>10</v>
      </c>
      <c r="E3720" s="140">
        <v>39</v>
      </c>
      <c r="F3720" s="2">
        <v>10</v>
      </c>
      <c r="G3720" s="3" t="s">
        <v>22</v>
      </c>
      <c r="H3720" s="2">
        <v>50</v>
      </c>
      <c r="I3720" s="114" t="str">
        <f t="shared" si="567"/>
        <v>552100</v>
      </c>
      <c r="J3720" s="112" t="str">
        <f t="shared" si="580"/>
        <v>552105</v>
      </c>
      <c r="K3720" s="112" t="s">
        <v>84</v>
      </c>
      <c r="L3720" s="2">
        <v>0</v>
      </c>
      <c r="M3720" s="2" t="s">
        <v>84</v>
      </c>
      <c r="N3720" s="2" t="s">
        <v>84</v>
      </c>
      <c r="O3720" s="2" t="s">
        <v>841</v>
      </c>
      <c r="P3720" s="2" t="s">
        <v>2881</v>
      </c>
    </row>
    <row r="3721" spans="1:16" ht="22" customHeight="1" x14ac:dyDescent="0.15">
      <c r="A3721" s="10" t="str">
        <f t="shared" si="566"/>
        <v>552_10_40_10_polygon</v>
      </c>
      <c r="B3721" s="2">
        <v>552</v>
      </c>
      <c r="C3721" s="30" t="str">
        <f>VLOOKUP(B3721,gachas!A:C,3)</f>
        <v>にゃんこガチャB</v>
      </c>
      <c r="D3721" s="21">
        <v>10</v>
      </c>
      <c r="E3721" s="140">
        <v>40</v>
      </c>
      <c r="F3721" s="2">
        <v>10</v>
      </c>
      <c r="G3721" s="3" t="s">
        <v>22</v>
      </c>
      <c r="H3721" s="2">
        <v>50</v>
      </c>
      <c r="I3721" s="114" t="str">
        <f t="shared" si="567"/>
        <v>552100</v>
      </c>
      <c r="J3721" s="112" t="str">
        <f t="shared" si="580"/>
        <v>552105</v>
      </c>
      <c r="K3721" s="112" t="s">
        <v>84</v>
      </c>
      <c r="L3721" s="2">
        <v>0</v>
      </c>
      <c r="M3721" s="2" t="s">
        <v>84</v>
      </c>
      <c r="N3721" s="2" t="s">
        <v>84</v>
      </c>
      <c r="O3721" s="2" t="s">
        <v>841</v>
      </c>
      <c r="P3721" s="2" t="s">
        <v>2881</v>
      </c>
    </row>
    <row r="3722" spans="1:16" ht="22" customHeight="1" x14ac:dyDescent="0.15">
      <c r="A3722" s="10" t="str">
        <f t="shared" si="566"/>
        <v>552_10_41_10_polygon</v>
      </c>
      <c r="B3722" s="2">
        <v>552</v>
      </c>
      <c r="C3722" s="30" t="str">
        <f>VLOOKUP(B3722,gachas!A:C,3)</f>
        <v>にゃんこガチャB</v>
      </c>
      <c r="D3722" s="21">
        <v>10</v>
      </c>
      <c r="E3722" s="140">
        <v>41</v>
      </c>
      <c r="F3722" s="2">
        <v>10</v>
      </c>
      <c r="G3722" s="3" t="s">
        <v>22</v>
      </c>
      <c r="H3722" s="2">
        <v>50</v>
      </c>
      <c r="I3722" s="114" t="str">
        <f t="shared" si="567"/>
        <v>552100</v>
      </c>
      <c r="J3722" s="141" t="s">
        <v>1571</v>
      </c>
      <c r="K3722" s="112" t="str">
        <f t="shared" ref="K3722" si="581">I3722</f>
        <v>552100</v>
      </c>
      <c r="L3722" s="2">
        <v>1</v>
      </c>
      <c r="M3722" s="2" t="s">
        <v>84</v>
      </c>
      <c r="N3722" s="2" t="s">
        <v>84</v>
      </c>
      <c r="O3722" s="2" t="s">
        <v>841</v>
      </c>
      <c r="P3722" s="2" t="s">
        <v>2873</v>
      </c>
    </row>
    <row r="3723" spans="1:16" ht="22" customHeight="1" x14ac:dyDescent="0.15">
      <c r="A3723" s="10" t="str">
        <f t="shared" si="566"/>
        <v>552_10_42_10_polygon</v>
      </c>
      <c r="B3723" s="2">
        <v>552</v>
      </c>
      <c r="C3723" s="30" t="str">
        <f>VLOOKUP(B3723,gachas!A:C,3)</f>
        <v>にゃんこガチャB</v>
      </c>
      <c r="D3723" s="21">
        <v>10</v>
      </c>
      <c r="E3723" s="140">
        <v>42</v>
      </c>
      <c r="F3723" s="2">
        <v>10</v>
      </c>
      <c r="G3723" s="3" t="s">
        <v>22</v>
      </c>
      <c r="H3723" s="2">
        <v>0</v>
      </c>
      <c r="I3723" s="114" t="str">
        <f t="shared" si="567"/>
        <v>552100</v>
      </c>
      <c r="J3723" s="112" t="s">
        <v>84</v>
      </c>
      <c r="K3723" s="112" t="s">
        <v>84</v>
      </c>
      <c r="L3723" s="2">
        <v>0</v>
      </c>
      <c r="M3723" s="2" t="s">
        <v>84</v>
      </c>
      <c r="N3723" s="2" t="s">
        <v>84</v>
      </c>
      <c r="O3723" s="2" t="s">
        <v>841</v>
      </c>
      <c r="P3723" s="2" t="s">
        <v>2872</v>
      </c>
    </row>
    <row r="3724" spans="1:16" ht="22" customHeight="1" x14ac:dyDescent="0.15">
      <c r="A3724" s="10" t="str">
        <f t="shared" si="566"/>
        <v>552_10_43_10_polygon</v>
      </c>
      <c r="B3724" s="2">
        <v>552</v>
      </c>
      <c r="C3724" s="30" t="str">
        <f>VLOOKUP(B3724,gachas!A:C,3)</f>
        <v>にゃんこガチャB</v>
      </c>
      <c r="D3724" s="21">
        <v>10</v>
      </c>
      <c r="E3724" s="140">
        <v>43</v>
      </c>
      <c r="F3724" s="2">
        <v>10</v>
      </c>
      <c r="G3724" s="3" t="s">
        <v>22</v>
      </c>
      <c r="H3724" s="2">
        <v>25</v>
      </c>
      <c r="I3724" s="114" t="str">
        <f t="shared" si="567"/>
        <v>552100</v>
      </c>
      <c r="J3724" s="112" t="s">
        <v>84</v>
      </c>
      <c r="K3724" s="112" t="s">
        <v>84</v>
      </c>
      <c r="L3724" s="2">
        <v>0</v>
      </c>
      <c r="M3724" s="2" t="s">
        <v>84</v>
      </c>
      <c r="N3724" s="2" t="s">
        <v>84</v>
      </c>
      <c r="O3724" s="2" t="s">
        <v>841</v>
      </c>
      <c r="P3724" s="59" t="s">
        <v>1783</v>
      </c>
    </row>
    <row r="3725" spans="1:16" ht="22" customHeight="1" x14ac:dyDescent="0.15">
      <c r="A3725" s="10" t="str">
        <f t="shared" si="566"/>
        <v>552_10_44_10_polygon</v>
      </c>
      <c r="B3725" s="2">
        <v>552</v>
      </c>
      <c r="C3725" s="30" t="str">
        <f>VLOOKUP(B3725,gachas!A:C,3)</f>
        <v>にゃんこガチャB</v>
      </c>
      <c r="D3725" s="21">
        <v>10</v>
      </c>
      <c r="E3725" s="140">
        <v>44</v>
      </c>
      <c r="F3725" s="2">
        <v>10</v>
      </c>
      <c r="G3725" s="3" t="s">
        <v>22</v>
      </c>
      <c r="H3725" s="2">
        <v>50</v>
      </c>
      <c r="I3725" s="114" t="str">
        <f t="shared" si="567"/>
        <v>552100</v>
      </c>
      <c r="J3725" s="112" t="str">
        <f t="shared" ref="J3725:J3727" si="582">CONCATENATE(B3725,D3725,5)</f>
        <v>552105</v>
      </c>
      <c r="K3725" s="112" t="s">
        <v>84</v>
      </c>
      <c r="L3725" s="2">
        <v>0</v>
      </c>
      <c r="M3725" s="2" t="s">
        <v>84</v>
      </c>
      <c r="N3725" s="2" t="s">
        <v>84</v>
      </c>
      <c r="O3725" s="2" t="s">
        <v>841</v>
      </c>
      <c r="P3725" s="2" t="s">
        <v>2881</v>
      </c>
    </row>
    <row r="3726" spans="1:16" ht="22" customHeight="1" x14ac:dyDescent="0.15">
      <c r="A3726" s="10" t="str">
        <f t="shared" si="566"/>
        <v>552_10_45_10_polygon</v>
      </c>
      <c r="B3726" s="2">
        <v>552</v>
      </c>
      <c r="C3726" s="30" t="str">
        <f>VLOOKUP(B3726,gachas!A:C,3)</f>
        <v>にゃんこガチャB</v>
      </c>
      <c r="D3726" s="21">
        <v>10</v>
      </c>
      <c r="E3726" s="140">
        <v>45</v>
      </c>
      <c r="F3726" s="2">
        <v>10</v>
      </c>
      <c r="G3726" s="3" t="s">
        <v>22</v>
      </c>
      <c r="H3726" s="2">
        <v>50</v>
      </c>
      <c r="I3726" s="114" t="str">
        <f t="shared" si="567"/>
        <v>552100</v>
      </c>
      <c r="J3726" s="112" t="str">
        <f t="shared" si="582"/>
        <v>552105</v>
      </c>
      <c r="K3726" s="112" t="s">
        <v>84</v>
      </c>
      <c r="L3726" s="2">
        <v>0</v>
      </c>
      <c r="M3726" s="2" t="s">
        <v>84</v>
      </c>
      <c r="N3726" s="2" t="s">
        <v>84</v>
      </c>
      <c r="O3726" s="2" t="s">
        <v>841</v>
      </c>
      <c r="P3726" s="2" t="s">
        <v>2881</v>
      </c>
    </row>
    <row r="3727" spans="1:16" ht="22" customHeight="1" x14ac:dyDescent="0.15">
      <c r="A3727" s="10" t="str">
        <f t="shared" si="566"/>
        <v>552_10_46_10_polygon</v>
      </c>
      <c r="B3727" s="2">
        <v>552</v>
      </c>
      <c r="C3727" s="30" t="str">
        <f>VLOOKUP(B3727,gachas!A:C,3)</f>
        <v>にゃんこガチャB</v>
      </c>
      <c r="D3727" s="21">
        <v>10</v>
      </c>
      <c r="E3727" s="140">
        <v>46</v>
      </c>
      <c r="F3727" s="2">
        <v>10</v>
      </c>
      <c r="G3727" s="3" t="s">
        <v>22</v>
      </c>
      <c r="H3727" s="2">
        <v>50</v>
      </c>
      <c r="I3727" s="114" t="str">
        <f t="shared" si="567"/>
        <v>552100</v>
      </c>
      <c r="J3727" s="112" t="str">
        <f t="shared" si="582"/>
        <v>552105</v>
      </c>
      <c r="K3727" s="112" t="s">
        <v>84</v>
      </c>
      <c r="L3727" s="2">
        <v>0</v>
      </c>
      <c r="M3727" s="2" t="s">
        <v>84</v>
      </c>
      <c r="N3727" s="2" t="s">
        <v>84</v>
      </c>
      <c r="O3727" s="2" t="s">
        <v>841</v>
      </c>
      <c r="P3727" s="2" t="s">
        <v>2881</v>
      </c>
    </row>
    <row r="3728" spans="1:16" ht="22" customHeight="1" x14ac:dyDescent="0.15">
      <c r="A3728" s="10" t="str">
        <f t="shared" si="566"/>
        <v>552_10_47_10_polygon</v>
      </c>
      <c r="B3728" s="2">
        <v>552</v>
      </c>
      <c r="C3728" s="30" t="str">
        <f>VLOOKUP(B3728,gachas!A:C,3)</f>
        <v>にゃんこガチャB</v>
      </c>
      <c r="D3728" s="21">
        <v>10</v>
      </c>
      <c r="E3728" s="140">
        <v>47</v>
      </c>
      <c r="F3728" s="2">
        <v>10</v>
      </c>
      <c r="G3728" s="3" t="s">
        <v>22</v>
      </c>
      <c r="H3728" s="2">
        <v>50</v>
      </c>
      <c r="I3728" s="114" t="str">
        <f t="shared" si="567"/>
        <v>552100</v>
      </c>
      <c r="J3728" s="141" t="s">
        <v>1571</v>
      </c>
      <c r="K3728" s="112" t="str">
        <f t="shared" ref="K3728" si="583">I3728</f>
        <v>552100</v>
      </c>
      <c r="L3728" s="2">
        <v>1</v>
      </c>
      <c r="M3728" s="2" t="s">
        <v>84</v>
      </c>
      <c r="N3728" s="2" t="s">
        <v>84</v>
      </c>
      <c r="O3728" s="2" t="s">
        <v>841</v>
      </c>
      <c r="P3728" s="2" t="s">
        <v>2873</v>
      </c>
    </row>
    <row r="3729" spans="1:16" ht="22" customHeight="1" x14ac:dyDescent="0.15">
      <c r="A3729" s="10" t="str">
        <f t="shared" si="566"/>
        <v>552_10_48_10_polygon</v>
      </c>
      <c r="B3729" s="2">
        <v>552</v>
      </c>
      <c r="C3729" s="30" t="str">
        <f>VLOOKUP(B3729,gachas!A:C,3)</f>
        <v>にゃんこガチャB</v>
      </c>
      <c r="D3729" s="21">
        <v>10</v>
      </c>
      <c r="E3729" s="140">
        <v>48</v>
      </c>
      <c r="F3729" s="2">
        <v>10</v>
      </c>
      <c r="G3729" s="3" t="s">
        <v>22</v>
      </c>
      <c r="H3729" s="2">
        <v>0</v>
      </c>
      <c r="I3729" s="114" t="str">
        <f t="shared" si="567"/>
        <v>552100</v>
      </c>
      <c r="J3729" s="112" t="s">
        <v>84</v>
      </c>
      <c r="K3729" s="112" t="s">
        <v>84</v>
      </c>
      <c r="L3729" s="2">
        <v>0</v>
      </c>
      <c r="M3729" s="2" t="s">
        <v>84</v>
      </c>
      <c r="N3729" s="2" t="s">
        <v>84</v>
      </c>
      <c r="O3729" s="2" t="s">
        <v>841</v>
      </c>
      <c r="P3729" s="2" t="s">
        <v>2872</v>
      </c>
    </row>
    <row r="3730" spans="1:16" ht="22" customHeight="1" x14ac:dyDescent="0.15">
      <c r="A3730" s="10" t="str">
        <f t="shared" si="566"/>
        <v>552_10_49_10_polygon</v>
      </c>
      <c r="B3730" s="2">
        <v>552</v>
      </c>
      <c r="C3730" s="30" t="str">
        <f>VLOOKUP(B3730,gachas!A:C,3)</f>
        <v>にゃんこガチャB</v>
      </c>
      <c r="D3730" s="21">
        <v>10</v>
      </c>
      <c r="E3730" s="140">
        <v>49</v>
      </c>
      <c r="F3730" s="2">
        <v>10</v>
      </c>
      <c r="G3730" s="3" t="s">
        <v>22</v>
      </c>
      <c r="H3730" s="2">
        <v>25</v>
      </c>
      <c r="I3730" s="114" t="str">
        <f t="shared" si="567"/>
        <v>552100</v>
      </c>
      <c r="J3730" s="112" t="s">
        <v>84</v>
      </c>
      <c r="K3730" s="112" t="s">
        <v>84</v>
      </c>
      <c r="L3730" s="2">
        <v>0</v>
      </c>
      <c r="M3730" s="2" t="s">
        <v>84</v>
      </c>
      <c r="N3730" s="2" t="s">
        <v>84</v>
      </c>
      <c r="O3730" s="2" t="s">
        <v>841</v>
      </c>
      <c r="P3730" s="59" t="s">
        <v>1783</v>
      </c>
    </row>
    <row r="3731" spans="1:16" ht="22" customHeight="1" x14ac:dyDescent="0.15">
      <c r="A3731" s="10" t="str">
        <f t="shared" si="566"/>
        <v>552_10_50_10_polygon</v>
      </c>
      <c r="B3731" s="2">
        <v>552</v>
      </c>
      <c r="C3731" s="30" t="str">
        <f>VLOOKUP(B3731,gachas!A:C,3)</f>
        <v>にゃんこガチャB</v>
      </c>
      <c r="D3731" s="21">
        <v>10</v>
      </c>
      <c r="E3731" s="140">
        <v>50</v>
      </c>
      <c r="F3731" s="2">
        <v>10</v>
      </c>
      <c r="G3731" s="3" t="s">
        <v>22</v>
      </c>
      <c r="H3731" s="2">
        <v>50</v>
      </c>
      <c r="I3731" s="114" t="str">
        <f t="shared" si="567"/>
        <v>552100</v>
      </c>
      <c r="J3731" s="112" t="str">
        <f t="shared" ref="J3731:J3733" si="584">CONCATENATE(B3731,D3731,5)</f>
        <v>552105</v>
      </c>
      <c r="K3731" s="112" t="s">
        <v>84</v>
      </c>
      <c r="L3731" s="2">
        <v>0</v>
      </c>
      <c r="M3731" s="2" t="s">
        <v>84</v>
      </c>
      <c r="N3731" s="2" t="s">
        <v>84</v>
      </c>
      <c r="O3731" s="2" t="s">
        <v>841</v>
      </c>
      <c r="P3731" s="2" t="s">
        <v>2881</v>
      </c>
    </row>
    <row r="3732" spans="1:16" ht="22" customHeight="1" x14ac:dyDescent="0.15">
      <c r="A3732" s="10" t="str">
        <f t="shared" si="566"/>
        <v>552_10_51_10_polygon</v>
      </c>
      <c r="B3732" s="2">
        <v>552</v>
      </c>
      <c r="C3732" s="30" t="str">
        <f>VLOOKUP(B3732,gachas!A:C,3)</f>
        <v>にゃんこガチャB</v>
      </c>
      <c r="D3732" s="21">
        <v>10</v>
      </c>
      <c r="E3732" s="140">
        <v>51</v>
      </c>
      <c r="F3732" s="2">
        <v>10</v>
      </c>
      <c r="G3732" s="3" t="s">
        <v>22</v>
      </c>
      <c r="H3732" s="2">
        <v>50</v>
      </c>
      <c r="I3732" s="114" t="str">
        <f t="shared" si="567"/>
        <v>552100</v>
      </c>
      <c r="J3732" s="112" t="str">
        <f t="shared" si="584"/>
        <v>552105</v>
      </c>
      <c r="K3732" s="112" t="s">
        <v>84</v>
      </c>
      <c r="L3732" s="2">
        <v>0</v>
      </c>
      <c r="M3732" s="2" t="s">
        <v>84</v>
      </c>
      <c r="N3732" s="2" t="s">
        <v>84</v>
      </c>
      <c r="O3732" s="2" t="s">
        <v>841</v>
      </c>
      <c r="P3732" s="2" t="s">
        <v>2881</v>
      </c>
    </row>
    <row r="3733" spans="1:16" ht="22" customHeight="1" x14ac:dyDescent="0.15">
      <c r="A3733" s="10" t="str">
        <f t="shared" si="566"/>
        <v>552_10_52_10_polygon</v>
      </c>
      <c r="B3733" s="2">
        <v>552</v>
      </c>
      <c r="C3733" s="30" t="str">
        <f>VLOOKUP(B3733,gachas!A:C,3)</f>
        <v>にゃんこガチャB</v>
      </c>
      <c r="D3733" s="21">
        <v>10</v>
      </c>
      <c r="E3733" s="140">
        <v>52</v>
      </c>
      <c r="F3733" s="2">
        <v>10</v>
      </c>
      <c r="G3733" s="3" t="s">
        <v>22</v>
      </c>
      <c r="H3733" s="2">
        <v>50</v>
      </c>
      <c r="I3733" s="114" t="str">
        <f t="shared" si="567"/>
        <v>552100</v>
      </c>
      <c r="J3733" s="112" t="str">
        <f t="shared" si="584"/>
        <v>552105</v>
      </c>
      <c r="K3733" s="112" t="s">
        <v>84</v>
      </c>
      <c r="L3733" s="2">
        <v>0</v>
      </c>
      <c r="M3733" s="2" t="s">
        <v>84</v>
      </c>
      <c r="N3733" s="2" t="s">
        <v>84</v>
      </c>
      <c r="O3733" s="2" t="s">
        <v>841</v>
      </c>
      <c r="P3733" s="2" t="s">
        <v>2881</v>
      </c>
    </row>
    <row r="3734" spans="1:16" ht="22" customHeight="1" x14ac:dyDescent="0.15">
      <c r="A3734" s="10" t="str">
        <f t="shared" si="566"/>
        <v>552_10_53_10_polygon</v>
      </c>
      <c r="B3734" s="2">
        <v>552</v>
      </c>
      <c r="C3734" s="30" t="str">
        <f>VLOOKUP(B3734,gachas!A:C,3)</f>
        <v>にゃんこガチャB</v>
      </c>
      <c r="D3734" s="21">
        <v>10</v>
      </c>
      <c r="E3734" s="140">
        <v>53</v>
      </c>
      <c r="F3734" s="2">
        <v>10</v>
      </c>
      <c r="G3734" s="3" t="s">
        <v>22</v>
      </c>
      <c r="H3734" s="2">
        <v>50</v>
      </c>
      <c r="I3734" s="114" t="str">
        <f t="shared" si="567"/>
        <v>552100</v>
      </c>
      <c r="J3734" s="141" t="s">
        <v>1571</v>
      </c>
      <c r="K3734" s="112" t="str">
        <f t="shared" ref="K3734" si="585">I3734</f>
        <v>552100</v>
      </c>
      <c r="L3734" s="2">
        <v>1</v>
      </c>
      <c r="M3734" s="2" t="s">
        <v>84</v>
      </c>
      <c r="N3734" s="2" t="s">
        <v>84</v>
      </c>
      <c r="O3734" s="2" t="s">
        <v>841</v>
      </c>
      <c r="P3734" s="2" t="s">
        <v>2873</v>
      </c>
    </row>
    <row r="3735" spans="1:16" ht="22" customHeight="1" x14ac:dyDescent="0.15">
      <c r="A3735" s="10" t="str">
        <f t="shared" si="566"/>
        <v>552_10_54_10_polygon</v>
      </c>
      <c r="B3735" s="2">
        <v>552</v>
      </c>
      <c r="C3735" s="30" t="str">
        <f>VLOOKUP(B3735,gachas!A:C,3)</f>
        <v>にゃんこガチャB</v>
      </c>
      <c r="D3735" s="21">
        <v>10</v>
      </c>
      <c r="E3735" s="140">
        <v>54</v>
      </c>
      <c r="F3735" s="2">
        <v>10</v>
      </c>
      <c r="G3735" s="3" t="s">
        <v>22</v>
      </c>
      <c r="H3735" s="2">
        <v>0</v>
      </c>
      <c r="I3735" s="114" t="str">
        <f t="shared" si="567"/>
        <v>552100</v>
      </c>
      <c r="J3735" s="112" t="s">
        <v>84</v>
      </c>
      <c r="K3735" s="112" t="s">
        <v>84</v>
      </c>
      <c r="L3735" s="2">
        <v>0</v>
      </c>
      <c r="M3735" s="2" t="s">
        <v>84</v>
      </c>
      <c r="N3735" s="2" t="s">
        <v>84</v>
      </c>
      <c r="O3735" s="2" t="s">
        <v>841</v>
      </c>
      <c r="P3735" s="2" t="s">
        <v>2872</v>
      </c>
    </row>
    <row r="3736" spans="1:16" ht="22" customHeight="1" x14ac:dyDescent="0.15">
      <c r="A3736" s="10" t="str">
        <f t="shared" si="566"/>
        <v>552_10_55_10_polygon</v>
      </c>
      <c r="B3736" s="2">
        <v>552</v>
      </c>
      <c r="C3736" s="30" t="str">
        <f>VLOOKUP(B3736,gachas!A:C,3)</f>
        <v>にゃんこガチャB</v>
      </c>
      <c r="D3736" s="21">
        <v>10</v>
      </c>
      <c r="E3736" s="140">
        <v>55</v>
      </c>
      <c r="F3736" s="2">
        <v>10</v>
      </c>
      <c r="G3736" s="3" t="s">
        <v>22</v>
      </c>
      <c r="H3736" s="2">
        <v>25</v>
      </c>
      <c r="I3736" s="114" t="str">
        <f t="shared" si="567"/>
        <v>552100</v>
      </c>
      <c r="J3736" s="112" t="s">
        <v>84</v>
      </c>
      <c r="K3736" s="112" t="s">
        <v>84</v>
      </c>
      <c r="L3736" s="2">
        <v>0</v>
      </c>
      <c r="M3736" s="2" t="s">
        <v>84</v>
      </c>
      <c r="N3736" s="2" t="s">
        <v>84</v>
      </c>
      <c r="O3736" s="2" t="s">
        <v>841</v>
      </c>
      <c r="P3736" s="59" t="s">
        <v>1783</v>
      </c>
    </row>
    <row r="3737" spans="1:16" ht="22" customHeight="1" x14ac:dyDescent="0.15">
      <c r="A3737" s="10" t="str">
        <f t="shared" si="566"/>
        <v>552_10_56_10_polygon</v>
      </c>
      <c r="B3737" s="2">
        <v>552</v>
      </c>
      <c r="C3737" s="30" t="str">
        <f>VLOOKUP(B3737,gachas!A:C,3)</f>
        <v>にゃんこガチャB</v>
      </c>
      <c r="D3737" s="21">
        <v>10</v>
      </c>
      <c r="E3737" s="140">
        <v>56</v>
      </c>
      <c r="F3737" s="2">
        <v>10</v>
      </c>
      <c r="G3737" s="3" t="s">
        <v>22</v>
      </c>
      <c r="H3737" s="2">
        <v>50</v>
      </c>
      <c r="I3737" s="114" t="str">
        <f t="shared" si="567"/>
        <v>552100</v>
      </c>
      <c r="J3737" s="112" t="str">
        <f t="shared" ref="J3737:J3739" si="586">CONCATENATE(B3737,D3737,5)</f>
        <v>552105</v>
      </c>
      <c r="K3737" s="112" t="s">
        <v>84</v>
      </c>
      <c r="L3737" s="2">
        <v>0</v>
      </c>
      <c r="M3737" s="2" t="s">
        <v>84</v>
      </c>
      <c r="N3737" s="2" t="s">
        <v>84</v>
      </c>
      <c r="O3737" s="2" t="s">
        <v>841</v>
      </c>
      <c r="P3737" s="2" t="s">
        <v>2881</v>
      </c>
    </row>
    <row r="3738" spans="1:16" ht="22" customHeight="1" x14ac:dyDescent="0.15">
      <c r="A3738" s="10" t="str">
        <f t="shared" si="566"/>
        <v>552_10_57_10_polygon</v>
      </c>
      <c r="B3738" s="2">
        <v>552</v>
      </c>
      <c r="C3738" s="30" t="str">
        <f>VLOOKUP(B3738,gachas!A:C,3)</f>
        <v>にゃんこガチャB</v>
      </c>
      <c r="D3738" s="21">
        <v>10</v>
      </c>
      <c r="E3738" s="140">
        <v>57</v>
      </c>
      <c r="F3738" s="2">
        <v>10</v>
      </c>
      <c r="G3738" s="3" t="s">
        <v>22</v>
      </c>
      <c r="H3738" s="2">
        <v>50</v>
      </c>
      <c r="I3738" s="114" t="str">
        <f t="shared" si="567"/>
        <v>552100</v>
      </c>
      <c r="J3738" s="112" t="str">
        <f t="shared" si="586"/>
        <v>552105</v>
      </c>
      <c r="K3738" s="112" t="s">
        <v>84</v>
      </c>
      <c r="L3738" s="2">
        <v>0</v>
      </c>
      <c r="M3738" s="2" t="s">
        <v>84</v>
      </c>
      <c r="N3738" s="2" t="s">
        <v>84</v>
      </c>
      <c r="O3738" s="2" t="s">
        <v>841</v>
      </c>
      <c r="P3738" s="2" t="s">
        <v>2881</v>
      </c>
    </row>
    <row r="3739" spans="1:16" ht="22" customHeight="1" x14ac:dyDescent="0.15">
      <c r="A3739" s="10" t="str">
        <f t="shared" si="566"/>
        <v>552_10_58_10_polygon</v>
      </c>
      <c r="B3739" s="2">
        <v>552</v>
      </c>
      <c r="C3739" s="30" t="str">
        <f>VLOOKUP(B3739,gachas!A:C,3)</f>
        <v>にゃんこガチャB</v>
      </c>
      <c r="D3739" s="21">
        <v>10</v>
      </c>
      <c r="E3739" s="140">
        <v>58</v>
      </c>
      <c r="F3739" s="2">
        <v>10</v>
      </c>
      <c r="G3739" s="3" t="s">
        <v>22</v>
      </c>
      <c r="H3739" s="2">
        <v>50</v>
      </c>
      <c r="I3739" s="114" t="str">
        <f t="shared" si="567"/>
        <v>552100</v>
      </c>
      <c r="J3739" s="112" t="str">
        <f t="shared" si="586"/>
        <v>552105</v>
      </c>
      <c r="K3739" s="112" t="s">
        <v>84</v>
      </c>
      <c r="L3739" s="2">
        <v>0</v>
      </c>
      <c r="M3739" s="2" t="s">
        <v>84</v>
      </c>
      <c r="N3739" s="2" t="s">
        <v>84</v>
      </c>
      <c r="O3739" s="2" t="s">
        <v>841</v>
      </c>
      <c r="P3739" s="2" t="s">
        <v>2881</v>
      </c>
    </row>
    <row r="3740" spans="1:16" ht="22" customHeight="1" x14ac:dyDescent="0.15">
      <c r="A3740" s="10" t="str">
        <f t="shared" si="566"/>
        <v>552_10_59_10_polygon</v>
      </c>
      <c r="B3740" s="2">
        <v>552</v>
      </c>
      <c r="C3740" s="30" t="str">
        <f>VLOOKUP(B3740,gachas!A:C,3)</f>
        <v>にゃんこガチャB</v>
      </c>
      <c r="D3740" s="21">
        <v>10</v>
      </c>
      <c r="E3740" s="140">
        <v>59</v>
      </c>
      <c r="F3740" s="2">
        <v>10</v>
      </c>
      <c r="G3740" s="3" t="s">
        <v>22</v>
      </c>
      <c r="H3740" s="2">
        <v>50</v>
      </c>
      <c r="I3740" s="114" t="str">
        <f t="shared" si="567"/>
        <v>552100</v>
      </c>
      <c r="J3740" s="141" t="s">
        <v>1571</v>
      </c>
      <c r="K3740" s="112" t="str">
        <f t="shared" ref="K3740" si="587">I3740</f>
        <v>552100</v>
      </c>
      <c r="L3740" s="2">
        <v>1</v>
      </c>
      <c r="M3740" s="2" t="s">
        <v>84</v>
      </c>
      <c r="N3740" s="2" t="s">
        <v>84</v>
      </c>
      <c r="O3740" s="2" t="s">
        <v>841</v>
      </c>
      <c r="P3740" s="2" t="s">
        <v>2873</v>
      </c>
    </row>
    <row r="3741" spans="1:16" ht="22" customHeight="1" x14ac:dyDescent="0.15">
      <c r="A3741" s="10" t="str">
        <f t="shared" si="566"/>
        <v>552_10_60_10_polygon</v>
      </c>
      <c r="B3741" s="2">
        <v>552</v>
      </c>
      <c r="C3741" s="30" t="str">
        <f>VLOOKUP(B3741,gachas!A:C,3)</f>
        <v>にゃんこガチャB</v>
      </c>
      <c r="D3741" s="21">
        <v>10</v>
      </c>
      <c r="E3741" s="140">
        <v>60</v>
      </c>
      <c r="F3741" s="2">
        <v>10</v>
      </c>
      <c r="G3741" s="3" t="s">
        <v>22</v>
      </c>
      <c r="H3741" s="2">
        <v>0</v>
      </c>
      <c r="I3741" s="114" t="str">
        <f t="shared" si="567"/>
        <v>552100</v>
      </c>
      <c r="J3741" s="112" t="s">
        <v>84</v>
      </c>
      <c r="K3741" s="112" t="s">
        <v>84</v>
      </c>
      <c r="L3741" s="2">
        <v>0</v>
      </c>
      <c r="M3741" s="2" t="s">
        <v>84</v>
      </c>
      <c r="N3741" s="2" t="s">
        <v>84</v>
      </c>
      <c r="O3741" s="2" t="s">
        <v>841</v>
      </c>
      <c r="P3741" s="2" t="s">
        <v>2872</v>
      </c>
    </row>
    <row r="3742" spans="1:16" ht="22" customHeight="1" x14ac:dyDescent="0.15">
      <c r="A3742" s="10" t="str">
        <f t="shared" ref="A3742:A3775" si="588">B3742&amp;"_"&amp;D3742&amp;"_"&amp;E3742&amp;"_"&amp;F3742&amp;"_"&amp;G3742</f>
        <v>553_10_0_10_polygon</v>
      </c>
      <c r="B3742" s="2">
        <v>553</v>
      </c>
      <c r="C3742" s="30" t="str">
        <f>VLOOKUP(B3742,gachas!A:C,3)</f>
        <v>確定ステップアップガチャ</v>
      </c>
      <c r="D3742" s="21">
        <v>10</v>
      </c>
      <c r="E3742" s="2">
        <v>0</v>
      </c>
      <c r="F3742" s="2">
        <v>10</v>
      </c>
      <c r="G3742" s="3" t="s">
        <v>22</v>
      </c>
      <c r="H3742" s="2">
        <v>40</v>
      </c>
      <c r="I3742" s="114" t="str">
        <f>CONCATENATE(B3742,IF(D3742=1,"01","10"),4)</f>
        <v>553104</v>
      </c>
      <c r="J3742" s="112" t="s">
        <v>84</v>
      </c>
      <c r="K3742" s="112" t="str">
        <f>CONCATENATE(B3742,D3742,5)</f>
        <v>553105</v>
      </c>
      <c r="L3742" s="2">
        <v>1</v>
      </c>
      <c r="M3742" s="2" t="s">
        <v>84</v>
      </c>
      <c r="N3742" s="2" t="s">
        <v>84</v>
      </c>
      <c r="O3742" s="2" t="s">
        <v>841</v>
      </c>
      <c r="P3742" s="142" t="s">
        <v>2880</v>
      </c>
    </row>
    <row r="3743" spans="1:16" ht="22" customHeight="1" x14ac:dyDescent="0.15">
      <c r="A3743" s="10" t="str">
        <f t="shared" si="588"/>
        <v>553_10_1_1_polygon</v>
      </c>
      <c r="B3743" s="2">
        <v>553</v>
      </c>
      <c r="C3743" s="30" t="str">
        <f>VLOOKUP(B3743,gachas!A:C,3)</f>
        <v>確定ステップアップガチャ</v>
      </c>
      <c r="D3743" s="21">
        <v>10</v>
      </c>
      <c r="E3743" s="2">
        <f>E3742+1</f>
        <v>1</v>
      </c>
      <c r="F3743" s="2">
        <v>1</v>
      </c>
      <c r="G3743" s="3" t="s">
        <v>22</v>
      </c>
      <c r="H3743" s="2">
        <v>1</v>
      </c>
      <c r="I3743" s="114" t="str">
        <f>CONCATENATE(B3743,IF(D3743=1,"01","10"),1)</f>
        <v>553101</v>
      </c>
      <c r="J3743" s="112" t="s">
        <v>84</v>
      </c>
      <c r="K3743" s="112" t="s">
        <v>84</v>
      </c>
      <c r="L3743" s="2">
        <v>0</v>
      </c>
      <c r="M3743" s="2" t="s">
        <v>84</v>
      </c>
      <c r="N3743" s="2" t="s">
        <v>84</v>
      </c>
      <c r="O3743" s="2" t="s">
        <v>841</v>
      </c>
      <c r="P3743" s="142" t="s">
        <v>2875</v>
      </c>
    </row>
    <row r="3744" spans="1:16" ht="22" customHeight="1" x14ac:dyDescent="0.15">
      <c r="A3744" s="10" t="str">
        <f t="shared" si="588"/>
        <v>553_10_2_2_polygon</v>
      </c>
      <c r="B3744" s="2">
        <v>553</v>
      </c>
      <c r="C3744" s="30" t="str">
        <f>VLOOKUP(B3744,gachas!A:C,3)</f>
        <v>確定ステップアップガチャ</v>
      </c>
      <c r="D3744" s="21">
        <v>10</v>
      </c>
      <c r="E3744" s="2">
        <f t="shared" ref="E3744:E3791" si="589">E3743+1</f>
        <v>2</v>
      </c>
      <c r="F3744" s="2">
        <v>2</v>
      </c>
      <c r="G3744" s="3" t="s">
        <v>22</v>
      </c>
      <c r="H3744" s="2">
        <v>3</v>
      </c>
      <c r="I3744" s="114" t="str">
        <f>CONCATENATE(B3744,IF(D3744=1,"01","10"),1)</f>
        <v>553101</v>
      </c>
      <c r="J3744" s="112" t="str">
        <f>CONCATENATE(B3744,D3744,2)</f>
        <v>553102</v>
      </c>
      <c r="K3744" s="112" t="s">
        <v>84</v>
      </c>
      <c r="L3744" s="2">
        <v>0</v>
      </c>
      <c r="M3744" s="2" t="s">
        <v>84</v>
      </c>
      <c r="N3744" s="2" t="s">
        <v>84</v>
      </c>
      <c r="O3744" s="2" t="s">
        <v>841</v>
      </c>
      <c r="P3744" s="142" t="s">
        <v>2876</v>
      </c>
    </row>
    <row r="3745" spans="1:16" ht="22" customHeight="1" x14ac:dyDescent="0.15">
      <c r="A3745" s="10" t="str">
        <f t="shared" si="588"/>
        <v>553_10_3_3_polygon</v>
      </c>
      <c r="B3745" s="2">
        <v>553</v>
      </c>
      <c r="C3745" s="30" t="str">
        <f>VLOOKUP(B3745,gachas!A:C,3)</f>
        <v>確定ステップアップガチャ</v>
      </c>
      <c r="D3745" s="21">
        <v>10</v>
      </c>
      <c r="E3745" s="2">
        <f t="shared" si="589"/>
        <v>3</v>
      </c>
      <c r="F3745" s="2">
        <v>3</v>
      </c>
      <c r="G3745" s="3" t="s">
        <v>22</v>
      </c>
      <c r="H3745" s="2">
        <v>9</v>
      </c>
      <c r="I3745" s="114" t="str">
        <f>CONCATENATE(B3745,IF(D3745=1,"01","10"),1)</f>
        <v>553101</v>
      </c>
      <c r="J3745" s="112" t="str">
        <f>CONCATENATE(B3745,D3745,3)</f>
        <v>553103</v>
      </c>
      <c r="K3745" s="112" t="s">
        <v>84</v>
      </c>
      <c r="L3745" s="2">
        <v>0</v>
      </c>
      <c r="M3745" s="2" t="s">
        <v>84</v>
      </c>
      <c r="N3745" s="2" t="s">
        <v>84</v>
      </c>
      <c r="O3745" s="2" t="s">
        <v>841</v>
      </c>
      <c r="P3745" s="142" t="s">
        <v>2877</v>
      </c>
    </row>
    <row r="3746" spans="1:16" ht="22" customHeight="1" x14ac:dyDescent="0.15">
      <c r="A3746" s="10" t="str">
        <f t="shared" si="588"/>
        <v>553_10_4_5_polygon</v>
      </c>
      <c r="B3746" s="2">
        <v>553</v>
      </c>
      <c r="C3746" s="30" t="str">
        <f>VLOOKUP(B3746,gachas!A:C,3)</f>
        <v>確定ステップアップガチャ</v>
      </c>
      <c r="D3746" s="21">
        <v>10</v>
      </c>
      <c r="E3746" s="2">
        <f t="shared" si="589"/>
        <v>4</v>
      </c>
      <c r="F3746" s="2">
        <v>5</v>
      </c>
      <c r="G3746" s="3" t="s">
        <v>22</v>
      </c>
      <c r="H3746" s="2">
        <v>20</v>
      </c>
      <c r="I3746" s="114" t="str">
        <f>CONCATENATE(B3746,IF(D3746=1,"01","10"),4)</f>
        <v>553104</v>
      </c>
      <c r="J3746" s="112" t="str">
        <f>CONCATENATE(B3746,D3746,4)</f>
        <v>553104</v>
      </c>
      <c r="K3746" s="112" t="s">
        <v>84</v>
      </c>
      <c r="L3746" s="2">
        <v>0</v>
      </c>
      <c r="M3746" s="2" t="s">
        <v>84</v>
      </c>
      <c r="N3746" s="2" t="s">
        <v>84</v>
      </c>
      <c r="O3746" s="2" t="s">
        <v>841</v>
      </c>
      <c r="P3746" s="142" t="s">
        <v>2878</v>
      </c>
    </row>
    <row r="3747" spans="1:16" ht="22" customHeight="1" x14ac:dyDescent="0.15">
      <c r="A3747" s="10" t="str">
        <f t="shared" si="588"/>
        <v>553_10_5_10_polygon</v>
      </c>
      <c r="B3747" s="2">
        <v>553</v>
      </c>
      <c r="C3747" s="30" t="str">
        <f>VLOOKUP(B3747,gachas!A:C,3)</f>
        <v>確定ステップアップガチャ</v>
      </c>
      <c r="D3747" s="21">
        <v>10</v>
      </c>
      <c r="E3747" s="2">
        <f t="shared" si="589"/>
        <v>5</v>
      </c>
      <c r="F3747" s="2">
        <v>10</v>
      </c>
      <c r="G3747" s="3" t="s">
        <v>22</v>
      </c>
      <c r="H3747" s="2">
        <v>40</v>
      </c>
      <c r="I3747" s="114" t="str">
        <f>CONCATENATE(B3747,IF(D3747=1,"01","10"),4)</f>
        <v>553104</v>
      </c>
      <c r="J3747" s="112" t="s">
        <v>84</v>
      </c>
      <c r="K3747" s="112" t="str">
        <f>CONCATENATE(B3747,D3747,5)</f>
        <v>553105</v>
      </c>
      <c r="L3747" s="2">
        <v>1</v>
      </c>
      <c r="M3747" s="2" t="s">
        <v>84</v>
      </c>
      <c r="N3747" s="2" t="s">
        <v>84</v>
      </c>
      <c r="O3747" s="2" t="s">
        <v>841</v>
      </c>
      <c r="P3747" s="142" t="s">
        <v>2879</v>
      </c>
    </row>
    <row r="3748" spans="1:16" ht="22" customHeight="1" x14ac:dyDescent="0.15">
      <c r="A3748" s="10" t="str">
        <f t="shared" si="588"/>
        <v>553_10_6_1_polygon</v>
      </c>
      <c r="B3748" s="2">
        <v>553</v>
      </c>
      <c r="C3748" s="30" t="str">
        <f>VLOOKUP(B3748,gachas!A:C,3)</f>
        <v>確定ステップアップガチャ</v>
      </c>
      <c r="D3748" s="21">
        <v>10</v>
      </c>
      <c r="E3748" s="2">
        <f t="shared" si="589"/>
        <v>6</v>
      </c>
      <c r="F3748" s="2">
        <v>1</v>
      </c>
      <c r="G3748" s="3" t="s">
        <v>22</v>
      </c>
      <c r="H3748" s="2">
        <v>1</v>
      </c>
      <c r="I3748" s="114" t="str">
        <f>CONCATENATE(B3748,IF(D3748=1,"01","10"),1)</f>
        <v>553101</v>
      </c>
      <c r="J3748" s="112" t="s">
        <v>84</v>
      </c>
      <c r="K3748" s="112" t="s">
        <v>84</v>
      </c>
      <c r="L3748" s="2">
        <v>0</v>
      </c>
      <c r="M3748" s="2" t="s">
        <v>84</v>
      </c>
      <c r="N3748" s="2" t="s">
        <v>84</v>
      </c>
      <c r="O3748" s="2" t="s">
        <v>841</v>
      </c>
      <c r="P3748" s="142" t="s">
        <v>2875</v>
      </c>
    </row>
    <row r="3749" spans="1:16" ht="22" customHeight="1" x14ac:dyDescent="0.15">
      <c r="A3749" s="10" t="str">
        <f t="shared" si="588"/>
        <v>553_10_7_2_polygon</v>
      </c>
      <c r="B3749" s="2">
        <v>553</v>
      </c>
      <c r="C3749" s="30" t="str">
        <f>VLOOKUP(B3749,gachas!A:C,3)</f>
        <v>確定ステップアップガチャ</v>
      </c>
      <c r="D3749" s="21">
        <v>10</v>
      </c>
      <c r="E3749" s="2">
        <f t="shared" si="589"/>
        <v>7</v>
      </c>
      <c r="F3749" s="2">
        <v>2</v>
      </c>
      <c r="G3749" s="3" t="s">
        <v>22</v>
      </c>
      <c r="H3749" s="2">
        <v>3</v>
      </c>
      <c r="I3749" s="114" t="str">
        <f>CONCATENATE(B3749,IF(D3749=1,"01","10"),1)</f>
        <v>553101</v>
      </c>
      <c r="J3749" s="112" t="str">
        <f>CONCATENATE(B3749,D3749,2)</f>
        <v>553102</v>
      </c>
      <c r="K3749" s="112" t="s">
        <v>84</v>
      </c>
      <c r="L3749" s="2">
        <v>0</v>
      </c>
      <c r="M3749" s="2" t="s">
        <v>84</v>
      </c>
      <c r="N3749" s="2" t="s">
        <v>84</v>
      </c>
      <c r="O3749" s="2" t="s">
        <v>841</v>
      </c>
      <c r="P3749" s="142" t="s">
        <v>2876</v>
      </c>
    </row>
    <row r="3750" spans="1:16" ht="22" customHeight="1" x14ac:dyDescent="0.15">
      <c r="A3750" s="10" t="str">
        <f t="shared" si="588"/>
        <v>553_10_8_3_polygon</v>
      </c>
      <c r="B3750" s="2">
        <v>553</v>
      </c>
      <c r="C3750" s="30" t="str">
        <f>VLOOKUP(B3750,gachas!A:C,3)</f>
        <v>確定ステップアップガチャ</v>
      </c>
      <c r="D3750" s="21">
        <v>10</v>
      </c>
      <c r="E3750" s="2">
        <f t="shared" si="589"/>
        <v>8</v>
      </c>
      <c r="F3750" s="2">
        <v>3</v>
      </c>
      <c r="G3750" s="3" t="s">
        <v>22</v>
      </c>
      <c r="H3750" s="2">
        <v>9</v>
      </c>
      <c r="I3750" s="114" t="str">
        <f>CONCATENATE(B3750,IF(D3750=1,"01","10"),1)</f>
        <v>553101</v>
      </c>
      <c r="J3750" s="112" t="str">
        <f>CONCATENATE(B3750,D3750,3)</f>
        <v>553103</v>
      </c>
      <c r="K3750" s="112" t="s">
        <v>84</v>
      </c>
      <c r="L3750" s="2">
        <v>0</v>
      </c>
      <c r="M3750" s="2" t="s">
        <v>84</v>
      </c>
      <c r="N3750" s="2" t="s">
        <v>84</v>
      </c>
      <c r="O3750" s="2" t="s">
        <v>841</v>
      </c>
      <c r="P3750" s="142" t="s">
        <v>2877</v>
      </c>
    </row>
    <row r="3751" spans="1:16" ht="22" customHeight="1" x14ac:dyDescent="0.15">
      <c r="A3751" s="10" t="str">
        <f t="shared" si="588"/>
        <v>553_10_9_5_polygon</v>
      </c>
      <c r="B3751" s="2">
        <v>553</v>
      </c>
      <c r="C3751" s="30" t="str">
        <f>VLOOKUP(B3751,gachas!A:C,3)</f>
        <v>確定ステップアップガチャ</v>
      </c>
      <c r="D3751" s="21">
        <v>10</v>
      </c>
      <c r="E3751" s="2">
        <f t="shared" si="589"/>
        <v>9</v>
      </c>
      <c r="F3751" s="2">
        <v>5</v>
      </c>
      <c r="G3751" s="3" t="s">
        <v>22</v>
      </c>
      <c r="H3751" s="2">
        <v>20</v>
      </c>
      <c r="I3751" s="114" t="str">
        <f>CONCATENATE(B3751,IF(D3751=1,"01","10"),4)</f>
        <v>553104</v>
      </c>
      <c r="J3751" s="112" t="str">
        <f>CONCATENATE(B3751,D3751,4)</f>
        <v>553104</v>
      </c>
      <c r="K3751" s="112" t="s">
        <v>84</v>
      </c>
      <c r="L3751" s="2">
        <v>0</v>
      </c>
      <c r="M3751" s="2" t="s">
        <v>84</v>
      </c>
      <c r="N3751" s="2" t="s">
        <v>84</v>
      </c>
      <c r="O3751" s="2" t="s">
        <v>841</v>
      </c>
      <c r="P3751" s="142" t="s">
        <v>2878</v>
      </c>
    </row>
    <row r="3752" spans="1:16" ht="22" customHeight="1" x14ac:dyDescent="0.15">
      <c r="A3752" s="10" t="str">
        <f t="shared" si="588"/>
        <v>553_10_10_10_polygon</v>
      </c>
      <c r="B3752" s="2">
        <v>553</v>
      </c>
      <c r="C3752" s="30" t="str">
        <f>VLOOKUP(B3752,gachas!A:C,3)</f>
        <v>確定ステップアップガチャ</v>
      </c>
      <c r="D3752" s="21">
        <v>10</v>
      </c>
      <c r="E3752" s="2">
        <f t="shared" si="589"/>
        <v>10</v>
      </c>
      <c r="F3752" s="2">
        <v>10</v>
      </c>
      <c r="G3752" s="3" t="s">
        <v>22</v>
      </c>
      <c r="H3752" s="2">
        <v>40</v>
      </c>
      <c r="I3752" s="114" t="str">
        <f>CONCATENATE(B3752,IF(D3752=1,"01","10"),4)</f>
        <v>553104</v>
      </c>
      <c r="J3752" s="112" t="s">
        <v>84</v>
      </c>
      <c r="K3752" s="112" t="str">
        <f>CONCATENATE(B3752,D3752,5)</f>
        <v>553105</v>
      </c>
      <c r="L3752" s="2">
        <v>1</v>
      </c>
      <c r="M3752" s="2" t="s">
        <v>84</v>
      </c>
      <c r="N3752" s="2" t="s">
        <v>84</v>
      </c>
      <c r="O3752" s="2" t="s">
        <v>841</v>
      </c>
      <c r="P3752" s="142" t="s">
        <v>2879</v>
      </c>
    </row>
    <row r="3753" spans="1:16" ht="22" customHeight="1" x14ac:dyDescent="0.15">
      <c r="A3753" s="10" t="str">
        <f t="shared" si="588"/>
        <v>553_10_11_1_polygon</v>
      </c>
      <c r="B3753" s="2">
        <v>553</v>
      </c>
      <c r="C3753" s="30" t="str">
        <f>VLOOKUP(B3753,gachas!A:C,3)</f>
        <v>確定ステップアップガチャ</v>
      </c>
      <c r="D3753" s="21">
        <v>10</v>
      </c>
      <c r="E3753" s="2">
        <f t="shared" si="589"/>
        <v>11</v>
      </c>
      <c r="F3753" s="2">
        <v>1</v>
      </c>
      <c r="G3753" s="3" t="s">
        <v>22</v>
      </c>
      <c r="H3753" s="2">
        <v>1</v>
      </c>
      <c r="I3753" s="114" t="str">
        <f>CONCATENATE(B3753,IF(D3753=1,"01","10"),1)</f>
        <v>553101</v>
      </c>
      <c r="J3753" s="112" t="s">
        <v>84</v>
      </c>
      <c r="K3753" s="112" t="s">
        <v>84</v>
      </c>
      <c r="L3753" s="2">
        <v>0</v>
      </c>
      <c r="M3753" s="2" t="s">
        <v>84</v>
      </c>
      <c r="N3753" s="2" t="s">
        <v>84</v>
      </c>
      <c r="O3753" s="2" t="s">
        <v>841</v>
      </c>
      <c r="P3753" s="142" t="s">
        <v>2875</v>
      </c>
    </row>
    <row r="3754" spans="1:16" ht="22" customHeight="1" x14ac:dyDescent="0.15">
      <c r="A3754" s="10" t="str">
        <f t="shared" si="588"/>
        <v>553_10_12_2_polygon</v>
      </c>
      <c r="B3754" s="2">
        <v>553</v>
      </c>
      <c r="C3754" s="30" t="str">
        <f>VLOOKUP(B3754,gachas!A:C,3)</f>
        <v>確定ステップアップガチャ</v>
      </c>
      <c r="D3754" s="21">
        <v>10</v>
      </c>
      <c r="E3754" s="2">
        <f t="shared" si="589"/>
        <v>12</v>
      </c>
      <c r="F3754" s="2">
        <v>2</v>
      </c>
      <c r="G3754" s="3" t="s">
        <v>22</v>
      </c>
      <c r="H3754" s="2">
        <v>3</v>
      </c>
      <c r="I3754" s="114" t="str">
        <f>CONCATENATE(B3754,IF(D3754=1,"01","10"),1)</f>
        <v>553101</v>
      </c>
      <c r="J3754" s="112" t="str">
        <f>CONCATENATE(B3754,D3754,2)</f>
        <v>553102</v>
      </c>
      <c r="K3754" s="112" t="s">
        <v>84</v>
      </c>
      <c r="L3754" s="2">
        <v>0</v>
      </c>
      <c r="M3754" s="2" t="s">
        <v>84</v>
      </c>
      <c r="N3754" s="2" t="s">
        <v>84</v>
      </c>
      <c r="O3754" s="2" t="s">
        <v>841</v>
      </c>
      <c r="P3754" s="142" t="s">
        <v>2876</v>
      </c>
    </row>
    <row r="3755" spans="1:16" ht="22" customHeight="1" x14ac:dyDescent="0.15">
      <c r="A3755" s="10" t="str">
        <f t="shared" si="588"/>
        <v>553_10_13_3_polygon</v>
      </c>
      <c r="B3755" s="2">
        <v>553</v>
      </c>
      <c r="C3755" s="30" t="str">
        <f>VLOOKUP(B3755,gachas!A:C,3)</f>
        <v>確定ステップアップガチャ</v>
      </c>
      <c r="D3755" s="21">
        <v>10</v>
      </c>
      <c r="E3755" s="2">
        <f t="shared" si="589"/>
        <v>13</v>
      </c>
      <c r="F3755" s="2">
        <v>3</v>
      </c>
      <c r="G3755" s="3" t="s">
        <v>22</v>
      </c>
      <c r="H3755" s="2">
        <v>9</v>
      </c>
      <c r="I3755" s="114" t="str">
        <f>CONCATENATE(B3755,IF(D3755=1,"01","10"),1)</f>
        <v>553101</v>
      </c>
      <c r="J3755" s="112" t="str">
        <f>CONCATENATE(B3755,D3755,3)</f>
        <v>553103</v>
      </c>
      <c r="K3755" s="112" t="s">
        <v>84</v>
      </c>
      <c r="L3755" s="2">
        <v>0</v>
      </c>
      <c r="M3755" s="2" t="s">
        <v>84</v>
      </c>
      <c r="N3755" s="2" t="s">
        <v>84</v>
      </c>
      <c r="O3755" s="2" t="s">
        <v>841</v>
      </c>
      <c r="P3755" s="142" t="s">
        <v>2877</v>
      </c>
    </row>
    <row r="3756" spans="1:16" ht="22" customHeight="1" x14ac:dyDescent="0.15">
      <c r="A3756" s="10" t="str">
        <f t="shared" si="588"/>
        <v>553_10_14_5_polygon</v>
      </c>
      <c r="B3756" s="2">
        <v>553</v>
      </c>
      <c r="C3756" s="30" t="str">
        <f>VLOOKUP(B3756,gachas!A:C,3)</f>
        <v>確定ステップアップガチャ</v>
      </c>
      <c r="D3756" s="21">
        <v>10</v>
      </c>
      <c r="E3756" s="2">
        <f t="shared" si="589"/>
        <v>14</v>
      </c>
      <c r="F3756" s="2">
        <v>5</v>
      </c>
      <c r="G3756" s="3" t="s">
        <v>22</v>
      </c>
      <c r="H3756" s="2">
        <v>20</v>
      </c>
      <c r="I3756" s="114" t="str">
        <f>CONCATENATE(B3756,IF(D3756=1,"01","10"),4)</f>
        <v>553104</v>
      </c>
      <c r="J3756" s="112" t="str">
        <f>CONCATENATE(B3756,D3756,4)</f>
        <v>553104</v>
      </c>
      <c r="K3756" s="112" t="s">
        <v>84</v>
      </c>
      <c r="L3756" s="2">
        <v>0</v>
      </c>
      <c r="M3756" s="2" t="s">
        <v>84</v>
      </c>
      <c r="N3756" s="2" t="s">
        <v>84</v>
      </c>
      <c r="O3756" s="2" t="s">
        <v>841</v>
      </c>
      <c r="P3756" s="142" t="s">
        <v>2878</v>
      </c>
    </row>
    <row r="3757" spans="1:16" ht="22" customHeight="1" x14ac:dyDescent="0.15">
      <c r="A3757" s="10" t="str">
        <f t="shared" si="588"/>
        <v>553_10_15_10_polygon</v>
      </c>
      <c r="B3757" s="2">
        <v>553</v>
      </c>
      <c r="C3757" s="30" t="str">
        <f>VLOOKUP(B3757,gachas!A:C,3)</f>
        <v>確定ステップアップガチャ</v>
      </c>
      <c r="D3757" s="21">
        <v>10</v>
      </c>
      <c r="E3757" s="2">
        <f t="shared" si="589"/>
        <v>15</v>
      </c>
      <c r="F3757" s="2">
        <v>10</v>
      </c>
      <c r="G3757" s="3" t="s">
        <v>22</v>
      </c>
      <c r="H3757" s="2">
        <v>40</v>
      </c>
      <c r="I3757" s="114" t="str">
        <f>CONCATENATE(B3757,IF(D3757=1,"01","10"),4)</f>
        <v>553104</v>
      </c>
      <c r="J3757" s="112" t="s">
        <v>84</v>
      </c>
      <c r="K3757" s="112" t="str">
        <f>CONCATENATE(B3757,D3757,5)</f>
        <v>553105</v>
      </c>
      <c r="L3757" s="2">
        <v>1</v>
      </c>
      <c r="M3757" s="2" t="s">
        <v>84</v>
      </c>
      <c r="N3757" s="2" t="s">
        <v>84</v>
      </c>
      <c r="O3757" s="2" t="s">
        <v>841</v>
      </c>
      <c r="P3757" s="142" t="s">
        <v>2879</v>
      </c>
    </row>
    <row r="3758" spans="1:16" ht="22" customHeight="1" x14ac:dyDescent="0.15">
      <c r="A3758" s="10" t="str">
        <f t="shared" si="588"/>
        <v>553_10_16_1_polygon</v>
      </c>
      <c r="B3758" s="2">
        <v>553</v>
      </c>
      <c r="C3758" s="30" t="str">
        <f>VLOOKUP(B3758,gachas!A:C,3)</f>
        <v>確定ステップアップガチャ</v>
      </c>
      <c r="D3758" s="21">
        <v>10</v>
      </c>
      <c r="E3758" s="2">
        <f t="shared" si="589"/>
        <v>16</v>
      </c>
      <c r="F3758" s="2">
        <v>1</v>
      </c>
      <c r="G3758" s="3" t="s">
        <v>22</v>
      </c>
      <c r="H3758" s="2">
        <v>1</v>
      </c>
      <c r="I3758" s="114" t="str">
        <f>CONCATENATE(B3758,IF(D3758=1,"01","10"),1)</f>
        <v>553101</v>
      </c>
      <c r="J3758" s="112" t="s">
        <v>84</v>
      </c>
      <c r="K3758" s="112" t="s">
        <v>84</v>
      </c>
      <c r="L3758" s="2">
        <v>0</v>
      </c>
      <c r="M3758" s="2" t="s">
        <v>84</v>
      </c>
      <c r="N3758" s="2" t="s">
        <v>84</v>
      </c>
      <c r="O3758" s="2" t="s">
        <v>841</v>
      </c>
      <c r="P3758" s="142" t="s">
        <v>2875</v>
      </c>
    </row>
    <row r="3759" spans="1:16" ht="22" customHeight="1" x14ac:dyDescent="0.15">
      <c r="A3759" s="10" t="str">
        <f t="shared" si="588"/>
        <v>553_10_17_2_polygon</v>
      </c>
      <c r="B3759" s="2">
        <v>553</v>
      </c>
      <c r="C3759" s="30" t="str">
        <f>VLOOKUP(B3759,gachas!A:C,3)</f>
        <v>確定ステップアップガチャ</v>
      </c>
      <c r="D3759" s="21">
        <v>10</v>
      </c>
      <c r="E3759" s="2">
        <f t="shared" si="589"/>
        <v>17</v>
      </c>
      <c r="F3759" s="2">
        <v>2</v>
      </c>
      <c r="G3759" s="3" t="s">
        <v>22</v>
      </c>
      <c r="H3759" s="2">
        <v>3</v>
      </c>
      <c r="I3759" s="114" t="str">
        <f>CONCATENATE(B3759,IF(D3759=1,"01","10"),1)</f>
        <v>553101</v>
      </c>
      <c r="J3759" s="112" t="str">
        <f>CONCATENATE(B3759,D3759,2)</f>
        <v>553102</v>
      </c>
      <c r="K3759" s="112" t="s">
        <v>84</v>
      </c>
      <c r="L3759" s="2">
        <v>0</v>
      </c>
      <c r="M3759" s="2" t="s">
        <v>84</v>
      </c>
      <c r="N3759" s="2" t="s">
        <v>84</v>
      </c>
      <c r="O3759" s="2" t="s">
        <v>841</v>
      </c>
      <c r="P3759" s="142" t="s">
        <v>2876</v>
      </c>
    </row>
    <row r="3760" spans="1:16" ht="22" customHeight="1" x14ac:dyDescent="0.15">
      <c r="A3760" s="10" t="str">
        <f t="shared" si="588"/>
        <v>553_10_18_3_polygon</v>
      </c>
      <c r="B3760" s="2">
        <v>553</v>
      </c>
      <c r="C3760" s="30" t="str">
        <f>VLOOKUP(B3760,gachas!A:C,3)</f>
        <v>確定ステップアップガチャ</v>
      </c>
      <c r="D3760" s="21">
        <v>10</v>
      </c>
      <c r="E3760" s="2">
        <f t="shared" si="589"/>
        <v>18</v>
      </c>
      <c r="F3760" s="2">
        <v>3</v>
      </c>
      <c r="G3760" s="3" t="s">
        <v>22</v>
      </c>
      <c r="H3760" s="2">
        <v>9</v>
      </c>
      <c r="I3760" s="114" t="str">
        <f>CONCATENATE(B3760,IF(D3760=1,"01","10"),1)</f>
        <v>553101</v>
      </c>
      <c r="J3760" s="112" t="str">
        <f>CONCATENATE(B3760,D3760,3)</f>
        <v>553103</v>
      </c>
      <c r="K3760" s="112" t="s">
        <v>84</v>
      </c>
      <c r="L3760" s="2">
        <v>0</v>
      </c>
      <c r="M3760" s="2" t="s">
        <v>84</v>
      </c>
      <c r="N3760" s="2" t="s">
        <v>84</v>
      </c>
      <c r="O3760" s="2" t="s">
        <v>841</v>
      </c>
      <c r="P3760" s="142" t="s">
        <v>2877</v>
      </c>
    </row>
    <row r="3761" spans="1:16" ht="22" customHeight="1" x14ac:dyDescent="0.15">
      <c r="A3761" s="10" t="str">
        <f t="shared" si="588"/>
        <v>553_10_19_5_polygon</v>
      </c>
      <c r="B3761" s="2">
        <v>553</v>
      </c>
      <c r="C3761" s="30" t="str">
        <f>VLOOKUP(B3761,gachas!A:C,3)</f>
        <v>確定ステップアップガチャ</v>
      </c>
      <c r="D3761" s="21">
        <v>10</v>
      </c>
      <c r="E3761" s="2">
        <f t="shared" si="589"/>
        <v>19</v>
      </c>
      <c r="F3761" s="2">
        <v>5</v>
      </c>
      <c r="G3761" s="3" t="s">
        <v>22</v>
      </c>
      <c r="H3761" s="2">
        <v>20</v>
      </c>
      <c r="I3761" s="114" t="str">
        <f>CONCATENATE(B3761,IF(D3761=1,"01","10"),4)</f>
        <v>553104</v>
      </c>
      <c r="J3761" s="112" t="str">
        <f>CONCATENATE(B3761,D3761,4)</f>
        <v>553104</v>
      </c>
      <c r="K3761" s="112" t="s">
        <v>84</v>
      </c>
      <c r="L3761" s="2">
        <v>0</v>
      </c>
      <c r="M3761" s="2" t="s">
        <v>84</v>
      </c>
      <c r="N3761" s="2" t="s">
        <v>84</v>
      </c>
      <c r="O3761" s="2" t="s">
        <v>841</v>
      </c>
      <c r="P3761" s="142" t="s">
        <v>2878</v>
      </c>
    </row>
    <row r="3762" spans="1:16" ht="22" customHeight="1" x14ac:dyDescent="0.15">
      <c r="A3762" s="10" t="str">
        <f t="shared" si="588"/>
        <v>553_10_20_10_polygon</v>
      </c>
      <c r="B3762" s="2">
        <v>553</v>
      </c>
      <c r="C3762" s="30" t="str">
        <f>VLOOKUP(B3762,gachas!A:C,3)</f>
        <v>確定ステップアップガチャ</v>
      </c>
      <c r="D3762" s="21">
        <v>10</v>
      </c>
      <c r="E3762" s="2">
        <f t="shared" si="589"/>
        <v>20</v>
      </c>
      <c r="F3762" s="2">
        <v>10</v>
      </c>
      <c r="G3762" s="3" t="s">
        <v>22</v>
      </c>
      <c r="H3762" s="2">
        <v>40</v>
      </c>
      <c r="I3762" s="114" t="str">
        <f>CONCATENATE(B3762,IF(D3762=1,"01","10"),4)</f>
        <v>553104</v>
      </c>
      <c r="J3762" s="112" t="s">
        <v>84</v>
      </c>
      <c r="K3762" s="112" t="str">
        <f>CONCATENATE(B3762,D3762,5)</f>
        <v>553105</v>
      </c>
      <c r="L3762" s="2">
        <v>1</v>
      </c>
      <c r="M3762" s="2" t="s">
        <v>84</v>
      </c>
      <c r="N3762" s="2" t="s">
        <v>84</v>
      </c>
      <c r="O3762" s="2" t="s">
        <v>841</v>
      </c>
      <c r="P3762" s="142" t="s">
        <v>2879</v>
      </c>
    </row>
    <row r="3763" spans="1:16" ht="22" customHeight="1" x14ac:dyDescent="0.15">
      <c r="A3763" s="10" t="str">
        <f t="shared" si="588"/>
        <v>553_10_21_1_polygon</v>
      </c>
      <c r="B3763" s="2">
        <v>553</v>
      </c>
      <c r="C3763" s="30" t="str">
        <f>VLOOKUP(B3763,gachas!A:C,3)</f>
        <v>確定ステップアップガチャ</v>
      </c>
      <c r="D3763" s="21">
        <v>10</v>
      </c>
      <c r="E3763" s="2">
        <f t="shared" si="589"/>
        <v>21</v>
      </c>
      <c r="F3763" s="2">
        <v>1</v>
      </c>
      <c r="G3763" s="3" t="s">
        <v>22</v>
      </c>
      <c r="H3763" s="2">
        <v>1</v>
      </c>
      <c r="I3763" s="114" t="str">
        <f>CONCATENATE(B3763,IF(D3763=1,"01","10"),1)</f>
        <v>553101</v>
      </c>
      <c r="J3763" s="112" t="s">
        <v>84</v>
      </c>
      <c r="K3763" s="112" t="s">
        <v>84</v>
      </c>
      <c r="L3763" s="2">
        <v>0</v>
      </c>
      <c r="M3763" s="2" t="s">
        <v>84</v>
      </c>
      <c r="N3763" s="2" t="s">
        <v>84</v>
      </c>
      <c r="O3763" s="2" t="s">
        <v>841</v>
      </c>
      <c r="P3763" s="142" t="s">
        <v>2875</v>
      </c>
    </row>
    <row r="3764" spans="1:16" ht="22" customHeight="1" x14ac:dyDescent="0.15">
      <c r="A3764" s="10" t="str">
        <f t="shared" si="588"/>
        <v>553_10_22_2_polygon</v>
      </c>
      <c r="B3764" s="2">
        <v>553</v>
      </c>
      <c r="C3764" s="30" t="str">
        <f>VLOOKUP(B3764,gachas!A:C,3)</f>
        <v>確定ステップアップガチャ</v>
      </c>
      <c r="D3764" s="21">
        <v>10</v>
      </c>
      <c r="E3764" s="2">
        <f t="shared" si="589"/>
        <v>22</v>
      </c>
      <c r="F3764" s="2">
        <v>2</v>
      </c>
      <c r="G3764" s="3" t="s">
        <v>22</v>
      </c>
      <c r="H3764" s="2">
        <v>3</v>
      </c>
      <c r="I3764" s="114" t="str">
        <f>CONCATENATE(B3764,IF(D3764=1,"01","10"),1)</f>
        <v>553101</v>
      </c>
      <c r="J3764" s="112" t="str">
        <f>CONCATENATE(B3764,D3764,2)</f>
        <v>553102</v>
      </c>
      <c r="K3764" s="112" t="s">
        <v>84</v>
      </c>
      <c r="L3764" s="2">
        <v>0</v>
      </c>
      <c r="M3764" s="2" t="s">
        <v>84</v>
      </c>
      <c r="N3764" s="2" t="s">
        <v>84</v>
      </c>
      <c r="O3764" s="2" t="s">
        <v>841</v>
      </c>
      <c r="P3764" s="142" t="s">
        <v>2876</v>
      </c>
    </row>
    <row r="3765" spans="1:16" ht="22" customHeight="1" x14ac:dyDescent="0.15">
      <c r="A3765" s="10" t="str">
        <f t="shared" si="588"/>
        <v>553_10_23_3_polygon</v>
      </c>
      <c r="B3765" s="2">
        <v>553</v>
      </c>
      <c r="C3765" s="30" t="str">
        <f>VLOOKUP(B3765,gachas!A:C,3)</f>
        <v>確定ステップアップガチャ</v>
      </c>
      <c r="D3765" s="21">
        <v>10</v>
      </c>
      <c r="E3765" s="2">
        <f t="shared" si="589"/>
        <v>23</v>
      </c>
      <c r="F3765" s="2">
        <v>3</v>
      </c>
      <c r="G3765" s="3" t="s">
        <v>22</v>
      </c>
      <c r="H3765" s="2">
        <v>9</v>
      </c>
      <c r="I3765" s="114" t="str">
        <f>CONCATENATE(B3765,IF(D3765=1,"01","10"),1)</f>
        <v>553101</v>
      </c>
      <c r="J3765" s="112" t="str">
        <f>CONCATENATE(B3765,D3765,3)</f>
        <v>553103</v>
      </c>
      <c r="K3765" s="112" t="s">
        <v>84</v>
      </c>
      <c r="L3765" s="2">
        <v>0</v>
      </c>
      <c r="M3765" s="2" t="s">
        <v>84</v>
      </c>
      <c r="N3765" s="2" t="s">
        <v>84</v>
      </c>
      <c r="O3765" s="2" t="s">
        <v>841</v>
      </c>
      <c r="P3765" s="142" t="s">
        <v>2877</v>
      </c>
    </row>
    <row r="3766" spans="1:16" ht="22" customHeight="1" x14ac:dyDescent="0.15">
      <c r="A3766" s="10" t="str">
        <f t="shared" si="588"/>
        <v>553_10_24_5_polygon</v>
      </c>
      <c r="B3766" s="2">
        <v>553</v>
      </c>
      <c r="C3766" s="30" t="str">
        <f>VLOOKUP(B3766,gachas!A:C,3)</f>
        <v>確定ステップアップガチャ</v>
      </c>
      <c r="D3766" s="21">
        <v>10</v>
      </c>
      <c r="E3766" s="2">
        <f t="shared" si="589"/>
        <v>24</v>
      </c>
      <c r="F3766" s="2">
        <v>5</v>
      </c>
      <c r="G3766" s="3" t="s">
        <v>22</v>
      </c>
      <c r="H3766" s="2">
        <v>20</v>
      </c>
      <c r="I3766" s="114" t="str">
        <f>CONCATENATE(B3766,IF(D3766=1,"01","10"),4)</f>
        <v>553104</v>
      </c>
      <c r="J3766" s="112" t="str">
        <f>CONCATENATE(B3766,D3766,4)</f>
        <v>553104</v>
      </c>
      <c r="K3766" s="112" t="s">
        <v>84</v>
      </c>
      <c r="L3766" s="2">
        <v>0</v>
      </c>
      <c r="M3766" s="2" t="s">
        <v>84</v>
      </c>
      <c r="N3766" s="2" t="s">
        <v>84</v>
      </c>
      <c r="O3766" s="2" t="s">
        <v>841</v>
      </c>
      <c r="P3766" s="142" t="s">
        <v>2878</v>
      </c>
    </row>
    <row r="3767" spans="1:16" ht="22" customHeight="1" x14ac:dyDescent="0.15">
      <c r="A3767" s="10" t="str">
        <f t="shared" si="588"/>
        <v>553_10_25_10_polygon</v>
      </c>
      <c r="B3767" s="2">
        <v>553</v>
      </c>
      <c r="C3767" s="30" t="str">
        <f>VLOOKUP(B3767,gachas!A:C,3)</f>
        <v>確定ステップアップガチャ</v>
      </c>
      <c r="D3767" s="21">
        <v>10</v>
      </c>
      <c r="E3767" s="2">
        <f t="shared" si="589"/>
        <v>25</v>
      </c>
      <c r="F3767" s="2">
        <v>10</v>
      </c>
      <c r="G3767" s="3" t="s">
        <v>22</v>
      </c>
      <c r="H3767" s="2">
        <v>40</v>
      </c>
      <c r="I3767" s="114" t="str">
        <f>CONCATENATE(B3767,IF(D3767=1,"01","10"),4)</f>
        <v>553104</v>
      </c>
      <c r="J3767" s="112" t="s">
        <v>84</v>
      </c>
      <c r="K3767" s="112" t="str">
        <f>CONCATENATE(B3767,D3767,5)</f>
        <v>553105</v>
      </c>
      <c r="L3767" s="2">
        <v>1</v>
      </c>
      <c r="M3767" s="2" t="s">
        <v>84</v>
      </c>
      <c r="N3767" s="2" t="s">
        <v>84</v>
      </c>
      <c r="O3767" s="2" t="s">
        <v>841</v>
      </c>
      <c r="P3767" s="142" t="s">
        <v>2879</v>
      </c>
    </row>
    <row r="3768" spans="1:16" ht="22" customHeight="1" x14ac:dyDescent="0.15">
      <c r="A3768" s="10" t="str">
        <f t="shared" si="588"/>
        <v>553_10_26_1_polygon</v>
      </c>
      <c r="B3768" s="2">
        <v>553</v>
      </c>
      <c r="C3768" s="30" t="str">
        <f>VLOOKUP(B3768,gachas!A:C,3)</f>
        <v>確定ステップアップガチャ</v>
      </c>
      <c r="D3768" s="21">
        <v>10</v>
      </c>
      <c r="E3768" s="2">
        <f t="shared" si="589"/>
        <v>26</v>
      </c>
      <c r="F3768" s="2">
        <v>1</v>
      </c>
      <c r="G3768" s="3" t="s">
        <v>22</v>
      </c>
      <c r="H3768" s="2">
        <v>1</v>
      </c>
      <c r="I3768" s="114" t="str">
        <f>CONCATENATE(B3768,IF(D3768=1,"01","10"),1)</f>
        <v>553101</v>
      </c>
      <c r="J3768" s="112" t="s">
        <v>84</v>
      </c>
      <c r="K3768" s="112" t="s">
        <v>84</v>
      </c>
      <c r="L3768" s="2">
        <v>0</v>
      </c>
      <c r="M3768" s="2" t="s">
        <v>84</v>
      </c>
      <c r="N3768" s="2" t="s">
        <v>84</v>
      </c>
      <c r="O3768" s="2" t="s">
        <v>841</v>
      </c>
      <c r="P3768" s="142" t="s">
        <v>2875</v>
      </c>
    </row>
    <row r="3769" spans="1:16" ht="22" customHeight="1" x14ac:dyDescent="0.15">
      <c r="A3769" s="10" t="str">
        <f t="shared" si="588"/>
        <v>553_10_27_2_polygon</v>
      </c>
      <c r="B3769" s="2">
        <v>553</v>
      </c>
      <c r="C3769" s="30" t="str">
        <f>VLOOKUP(B3769,gachas!A:C,3)</f>
        <v>確定ステップアップガチャ</v>
      </c>
      <c r="D3769" s="21">
        <v>10</v>
      </c>
      <c r="E3769" s="2">
        <f t="shared" si="589"/>
        <v>27</v>
      </c>
      <c r="F3769" s="2">
        <v>2</v>
      </c>
      <c r="G3769" s="3" t="s">
        <v>22</v>
      </c>
      <c r="H3769" s="2">
        <v>3</v>
      </c>
      <c r="I3769" s="114" t="str">
        <f>CONCATENATE(B3769,IF(D3769=1,"01","10"),1)</f>
        <v>553101</v>
      </c>
      <c r="J3769" s="112" t="str">
        <f>CONCATENATE(B3769,D3769,2)</f>
        <v>553102</v>
      </c>
      <c r="K3769" s="112" t="s">
        <v>84</v>
      </c>
      <c r="L3769" s="2">
        <v>0</v>
      </c>
      <c r="M3769" s="2" t="s">
        <v>84</v>
      </c>
      <c r="N3769" s="2" t="s">
        <v>84</v>
      </c>
      <c r="O3769" s="2" t="s">
        <v>841</v>
      </c>
      <c r="P3769" s="142" t="s">
        <v>2876</v>
      </c>
    </row>
    <row r="3770" spans="1:16" ht="22" customHeight="1" x14ac:dyDescent="0.15">
      <c r="A3770" s="10" t="str">
        <f t="shared" si="588"/>
        <v>553_10_28_3_polygon</v>
      </c>
      <c r="B3770" s="2">
        <v>553</v>
      </c>
      <c r="C3770" s="30" t="str">
        <f>VLOOKUP(B3770,gachas!A:C,3)</f>
        <v>確定ステップアップガチャ</v>
      </c>
      <c r="D3770" s="21">
        <v>10</v>
      </c>
      <c r="E3770" s="2">
        <f t="shared" si="589"/>
        <v>28</v>
      </c>
      <c r="F3770" s="2">
        <v>3</v>
      </c>
      <c r="G3770" s="3" t="s">
        <v>22</v>
      </c>
      <c r="H3770" s="2">
        <v>9</v>
      </c>
      <c r="I3770" s="114" t="str">
        <f>CONCATENATE(B3770,IF(D3770=1,"01","10"),1)</f>
        <v>553101</v>
      </c>
      <c r="J3770" s="112" t="str">
        <f>CONCATENATE(B3770,D3770,3)</f>
        <v>553103</v>
      </c>
      <c r="K3770" s="112" t="s">
        <v>84</v>
      </c>
      <c r="L3770" s="2">
        <v>0</v>
      </c>
      <c r="M3770" s="2" t="s">
        <v>84</v>
      </c>
      <c r="N3770" s="2" t="s">
        <v>84</v>
      </c>
      <c r="O3770" s="2" t="s">
        <v>841</v>
      </c>
      <c r="P3770" s="142" t="s">
        <v>2877</v>
      </c>
    </row>
    <row r="3771" spans="1:16" ht="22" customHeight="1" x14ac:dyDescent="0.15">
      <c r="A3771" s="10" t="str">
        <f t="shared" si="588"/>
        <v>553_10_29_5_polygon</v>
      </c>
      <c r="B3771" s="2">
        <v>553</v>
      </c>
      <c r="C3771" s="30" t="str">
        <f>VLOOKUP(B3771,gachas!A:C,3)</f>
        <v>確定ステップアップガチャ</v>
      </c>
      <c r="D3771" s="21">
        <v>10</v>
      </c>
      <c r="E3771" s="2">
        <f t="shared" si="589"/>
        <v>29</v>
      </c>
      <c r="F3771" s="2">
        <v>5</v>
      </c>
      <c r="G3771" s="3" t="s">
        <v>22</v>
      </c>
      <c r="H3771" s="2">
        <v>20</v>
      </c>
      <c r="I3771" s="114" t="str">
        <f>CONCATENATE(B3771,IF(D3771=1,"01","10"),4)</f>
        <v>553104</v>
      </c>
      <c r="J3771" s="112" t="str">
        <f>CONCATENATE(B3771,D3771,4)</f>
        <v>553104</v>
      </c>
      <c r="K3771" s="112" t="s">
        <v>84</v>
      </c>
      <c r="L3771" s="2">
        <v>0</v>
      </c>
      <c r="M3771" s="2" t="s">
        <v>84</v>
      </c>
      <c r="N3771" s="2" t="s">
        <v>84</v>
      </c>
      <c r="O3771" s="2" t="s">
        <v>841</v>
      </c>
      <c r="P3771" s="142" t="s">
        <v>2878</v>
      </c>
    </row>
    <row r="3772" spans="1:16" ht="22" customHeight="1" x14ac:dyDescent="0.15">
      <c r="A3772" s="10" t="str">
        <f t="shared" si="588"/>
        <v>553_10_30_10_polygon</v>
      </c>
      <c r="B3772" s="2">
        <v>553</v>
      </c>
      <c r="C3772" s="30" t="str">
        <f>VLOOKUP(B3772,gachas!A:C,3)</f>
        <v>確定ステップアップガチャ</v>
      </c>
      <c r="D3772" s="21">
        <v>10</v>
      </c>
      <c r="E3772" s="2">
        <f t="shared" si="589"/>
        <v>30</v>
      </c>
      <c r="F3772" s="2">
        <v>10</v>
      </c>
      <c r="G3772" s="3" t="s">
        <v>22</v>
      </c>
      <c r="H3772" s="2">
        <v>40</v>
      </c>
      <c r="I3772" s="114" t="str">
        <f>CONCATENATE(B3772,IF(D3772=1,"01","10"),4)</f>
        <v>553104</v>
      </c>
      <c r="J3772" s="112" t="s">
        <v>84</v>
      </c>
      <c r="K3772" s="112" t="str">
        <f>CONCATENATE(B3772,D3772,5)</f>
        <v>553105</v>
      </c>
      <c r="L3772" s="2">
        <v>1</v>
      </c>
      <c r="M3772" s="2" t="s">
        <v>84</v>
      </c>
      <c r="N3772" s="2" t="s">
        <v>84</v>
      </c>
      <c r="O3772" s="2" t="s">
        <v>841</v>
      </c>
      <c r="P3772" s="142" t="s">
        <v>2879</v>
      </c>
    </row>
    <row r="3773" spans="1:16" ht="22" customHeight="1" x14ac:dyDescent="0.15">
      <c r="A3773" s="10" t="str">
        <f t="shared" si="588"/>
        <v>553_10_31_1_polygon</v>
      </c>
      <c r="B3773" s="2">
        <v>553</v>
      </c>
      <c r="C3773" s="30" t="str">
        <f>VLOOKUP(B3773,gachas!A:C,3)</f>
        <v>確定ステップアップガチャ</v>
      </c>
      <c r="D3773" s="21">
        <v>10</v>
      </c>
      <c r="E3773" s="2">
        <f t="shared" si="589"/>
        <v>31</v>
      </c>
      <c r="F3773" s="2">
        <v>1</v>
      </c>
      <c r="G3773" s="3" t="s">
        <v>22</v>
      </c>
      <c r="H3773" s="2">
        <v>1</v>
      </c>
      <c r="I3773" s="114" t="str">
        <f>CONCATENATE(B3773,IF(D3773=1,"01","10"),1)</f>
        <v>553101</v>
      </c>
      <c r="J3773" s="112" t="s">
        <v>84</v>
      </c>
      <c r="K3773" s="112" t="s">
        <v>84</v>
      </c>
      <c r="L3773" s="2">
        <v>0</v>
      </c>
      <c r="M3773" s="2" t="s">
        <v>84</v>
      </c>
      <c r="N3773" s="2" t="s">
        <v>84</v>
      </c>
      <c r="O3773" s="2" t="s">
        <v>841</v>
      </c>
      <c r="P3773" s="142" t="s">
        <v>2875</v>
      </c>
    </row>
    <row r="3774" spans="1:16" ht="22" customHeight="1" x14ac:dyDescent="0.15">
      <c r="A3774" s="10" t="str">
        <f t="shared" si="588"/>
        <v>553_10_32_2_polygon</v>
      </c>
      <c r="B3774" s="2">
        <v>553</v>
      </c>
      <c r="C3774" s="30" t="str">
        <f>VLOOKUP(B3774,gachas!A:C,3)</f>
        <v>確定ステップアップガチャ</v>
      </c>
      <c r="D3774" s="21">
        <v>10</v>
      </c>
      <c r="E3774" s="2">
        <f t="shared" si="589"/>
        <v>32</v>
      </c>
      <c r="F3774" s="2">
        <v>2</v>
      </c>
      <c r="G3774" s="3" t="s">
        <v>22</v>
      </c>
      <c r="H3774" s="2">
        <v>3</v>
      </c>
      <c r="I3774" s="114" t="str">
        <f>CONCATENATE(B3774,IF(D3774=1,"01","10"),1)</f>
        <v>553101</v>
      </c>
      <c r="J3774" s="112" t="str">
        <f>CONCATENATE(B3774,D3774,2)</f>
        <v>553102</v>
      </c>
      <c r="K3774" s="112" t="s">
        <v>84</v>
      </c>
      <c r="L3774" s="2">
        <v>0</v>
      </c>
      <c r="M3774" s="2" t="s">
        <v>84</v>
      </c>
      <c r="N3774" s="2" t="s">
        <v>84</v>
      </c>
      <c r="O3774" s="2" t="s">
        <v>841</v>
      </c>
      <c r="P3774" s="142" t="s">
        <v>2876</v>
      </c>
    </row>
    <row r="3775" spans="1:16" ht="22" customHeight="1" x14ac:dyDescent="0.15">
      <c r="A3775" s="10" t="str">
        <f t="shared" si="588"/>
        <v>553_10_33_3_polygon</v>
      </c>
      <c r="B3775" s="2">
        <v>553</v>
      </c>
      <c r="C3775" s="30" t="str">
        <f>VLOOKUP(B3775,gachas!A:C,3)</f>
        <v>確定ステップアップガチャ</v>
      </c>
      <c r="D3775" s="21">
        <v>10</v>
      </c>
      <c r="E3775" s="2">
        <f t="shared" si="589"/>
        <v>33</v>
      </c>
      <c r="F3775" s="2">
        <v>3</v>
      </c>
      <c r="G3775" s="3" t="s">
        <v>22</v>
      </c>
      <c r="H3775" s="2">
        <v>9</v>
      </c>
      <c r="I3775" s="114" t="str">
        <f>CONCATENATE(B3775,IF(D3775=1,"01","10"),1)</f>
        <v>553101</v>
      </c>
      <c r="J3775" s="112" t="str">
        <f>CONCATENATE(B3775,D3775,3)</f>
        <v>553103</v>
      </c>
      <c r="K3775" s="112" t="s">
        <v>84</v>
      </c>
      <c r="L3775" s="2">
        <v>0</v>
      </c>
      <c r="M3775" s="2" t="s">
        <v>84</v>
      </c>
      <c r="N3775" s="2" t="s">
        <v>84</v>
      </c>
      <c r="O3775" s="2" t="s">
        <v>841</v>
      </c>
      <c r="P3775" s="142" t="s">
        <v>2877</v>
      </c>
    </row>
    <row r="3776" spans="1:16" ht="22" customHeight="1" x14ac:dyDescent="0.15">
      <c r="A3776" s="10" t="str">
        <f t="shared" si="566"/>
        <v>553_10_34_5_polygon</v>
      </c>
      <c r="B3776" s="2">
        <v>553</v>
      </c>
      <c r="C3776" s="30" t="str">
        <f>VLOOKUP(B3776,gachas!A:C,3)</f>
        <v>確定ステップアップガチャ</v>
      </c>
      <c r="D3776" s="21">
        <v>10</v>
      </c>
      <c r="E3776" s="2">
        <f t="shared" si="589"/>
        <v>34</v>
      </c>
      <c r="F3776" s="2">
        <v>5</v>
      </c>
      <c r="G3776" s="3" t="s">
        <v>22</v>
      </c>
      <c r="H3776" s="2">
        <v>20</v>
      </c>
      <c r="I3776" s="114" t="str">
        <f>CONCATENATE(B3776,IF(D3776=1,"01","10"),4)</f>
        <v>553104</v>
      </c>
      <c r="J3776" s="112" t="str">
        <f>CONCATENATE(B3776,D3776,4)</f>
        <v>553104</v>
      </c>
      <c r="K3776" s="112" t="s">
        <v>84</v>
      </c>
      <c r="L3776" s="2">
        <v>0</v>
      </c>
      <c r="M3776" s="2" t="s">
        <v>84</v>
      </c>
      <c r="N3776" s="2" t="s">
        <v>84</v>
      </c>
      <c r="O3776" s="2" t="s">
        <v>841</v>
      </c>
      <c r="P3776" s="142" t="s">
        <v>2878</v>
      </c>
    </row>
    <row r="3777" spans="1:16" ht="22" customHeight="1" x14ac:dyDescent="0.15">
      <c r="A3777" s="10" t="str">
        <f t="shared" si="566"/>
        <v>553_10_35_10_polygon</v>
      </c>
      <c r="B3777" s="2">
        <v>553</v>
      </c>
      <c r="C3777" s="30" t="str">
        <f>VLOOKUP(B3777,gachas!A:C,3)</f>
        <v>確定ステップアップガチャ</v>
      </c>
      <c r="D3777" s="21">
        <v>10</v>
      </c>
      <c r="E3777" s="2">
        <f t="shared" si="589"/>
        <v>35</v>
      </c>
      <c r="F3777" s="2">
        <v>10</v>
      </c>
      <c r="G3777" s="3" t="s">
        <v>22</v>
      </c>
      <c r="H3777" s="2">
        <v>40</v>
      </c>
      <c r="I3777" s="114" t="str">
        <f>CONCATENATE(B3777,IF(D3777=1,"01","10"),4)</f>
        <v>553104</v>
      </c>
      <c r="J3777" s="112" t="s">
        <v>84</v>
      </c>
      <c r="K3777" s="112" t="str">
        <f>CONCATENATE(B3777,D3777,5)</f>
        <v>553105</v>
      </c>
      <c r="L3777" s="2">
        <v>1</v>
      </c>
      <c r="M3777" s="2" t="s">
        <v>84</v>
      </c>
      <c r="N3777" s="2" t="s">
        <v>84</v>
      </c>
      <c r="O3777" s="2" t="s">
        <v>841</v>
      </c>
      <c r="P3777" s="142" t="s">
        <v>2879</v>
      </c>
    </row>
    <row r="3778" spans="1:16" ht="22" customHeight="1" x14ac:dyDescent="0.15">
      <c r="A3778" s="10" t="str">
        <f t="shared" si="566"/>
        <v>553_10_36_1_polygon</v>
      </c>
      <c r="B3778" s="2">
        <v>553</v>
      </c>
      <c r="C3778" s="30" t="str">
        <f>VLOOKUP(B3778,gachas!A:C,3)</f>
        <v>確定ステップアップガチャ</v>
      </c>
      <c r="D3778" s="21">
        <v>10</v>
      </c>
      <c r="E3778" s="2">
        <f t="shared" si="589"/>
        <v>36</v>
      </c>
      <c r="F3778" s="2">
        <v>1</v>
      </c>
      <c r="G3778" s="3" t="s">
        <v>22</v>
      </c>
      <c r="H3778" s="2">
        <v>1</v>
      </c>
      <c r="I3778" s="114" t="str">
        <f>CONCATENATE(B3778,IF(D3778=1,"01","10"),1)</f>
        <v>553101</v>
      </c>
      <c r="J3778" s="112" t="s">
        <v>84</v>
      </c>
      <c r="K3778" s="112" t="s">
        <v>84</v>
      </c>
      <c r="L3778" s="2">
        <v>0</v>
      </c>
      <c r="M3778" s="2" t="s">
        <v>84</v>
      </c>
      <c r="N3778" s="2" t="s">
        <v>84</v>
      </c>
      <c r="O3778" s="2" t="s">
        <v>841</v>
      </c>
      <c r="P3778" s="142" t="s">
        <v>2875</v>
      </c>
    </row>
    <row r="3779" spans="1:16" ht="22" customHeight="1" x14ac:dyDescent="0.15">
      <c r="A3779" s="10" t="str">
        <f t="shared" si="566"/>
        <v>553_10_37_2_polygon</v>
      </c>
      <c r="B3779" s="2">
        <v>553</v>
      </c>
      <c r="C3779" s="30" t="str">
        <f>VLOOKUP(B3779,gachas!A:C,3)</f>
        <v>確定ステップアップガチャ</v>
      </c>
      <c r="D3779" s="21">
        <v>10</v>
      </c>
      <c r="E3779" s="2">
        <f t="shared" si="589"/>
        <v>37</v>
      </c>
      <c r="F3779" s="2">
        <v>2</v>
      </c>
      <c r="G3779" s="3" t="s">
        <v>22</v>
      </c>
      <c r="H3779" s="2">
        <v>3</v>
      </c>
      <c r="I3779" s="114" t="str">
        <f>CONCATENATE(B3779,IF(D3779=1,"01","10"),1)</f>
        <v>553101</v>
      </c>
      <c r="J3779" s="112" t="str">
        <f>CONCATENATE(B3779,D3779,2)</f>
        <v>553102</v>
      </c>
      <c r="K3779" s="112" t="s">
        <v>84</v>
      </c>
      <c r="L3779" s="2">
        <v>0</v>
      </c>
      <c r="M3779" s="2" t="s">
        <v>84</v>
      </c>
      <c r="N3779" s="2" t="s">
        <v>84</v>
      </c>
      <c r="O3779" s="2" t="s">
        <v>841</v>
      </c>
      <c r="P3779" s="142" t="s">
        <v>2876</v>
      </c>
    </row>
    <row r="3780" spans="1:16" ht="22" customHeight="1" x14ac:dyDescent="0.15">
      <c r="A3780" s="10" t="str">
        <f t="shared" ref="A3780:A3792" si="590">B3780&amp;"_"&amp;D3780&amp;"_"&amp;E3780&amp;"_"&amp;F3780&amp;"_"&amp;G3780</f>
        <v>553_10_38_3_polygon</v>
      </c>
      <c r="B3780" s="2">
        <v>553</v>
      </c>
      <c r="C3780" s="30" t="str">
        <f>VLOOKUP(B3780,gachas!A:C,3)</f>
        <v>確定ステップアップガチャ</v>
      </c>
      <c r="D3780" s="21">
        <v>10</v>
      </c>
      <c r="E3780" s="2">
        <f t="shared" si="589"/>
        <v>38</v>
      </c>
      <c r="F3780" s="2">
        <v>3</v>
      </c>
      <c r="G3780" s="3" t="s">
        <v>22</v>
      </c>
      <c r="H3780" s="2">
        <v>9</v>
      </c>
      <c r="I3780" s="114" t="str">
        <f>CONCATENATE(B3780,IF(D3780=1,"01","10"),1)</f>
        <v>553101</v>
      </c>
      <c r="J3780" s="112" t="str">
        <f>CONCATENATE(B3780,D3780,3)</f>
        <v>553103</v>
      </c>
      <c r="K3780" s="112" t="s">
        <v>84</v>
      </c>
      <c r="L3780" s="2">
        <v>0</v>
      </c>
      <c r="M3780" s="2" t="s">
        <v>84</v>
      </c>
      <c r="N3780" s="2" t="s">
        <v>84</v>
      </c>
      <c r="O3780" s="2" t="s">
        <v>841</v>
      </c>
      <c r="P3780" s="142" t="s">
        <v>2877</v>
      </c>
    </row>
    <row r="3781" spans="1:16" ht="22" customHeight="1" x14ac:dyDescent="0.15">
      <c r="A3781" s="10" t="str">
        <f t="shared" si="590"/>
        <v>553_10_39_5_polygon</v>
      </c>
      <c r="B3781" s="2">
        <v>553</v>
      </c>
      <c r="C3781" s="30" t="str">
        <f>VLOOKUP(B3781,gachas!A:C,3)</f>
        <v>確定ステップアップガチャ</v>
      </c>
      <c r="D3781" s="21">
        <v>10</v>
      </c>
      <c r="E3781" s="2">
        <f t="shared" si="589"/>
        <v>39</v>
      </c>
      <c r="F3781" s="2">
        <v>5</v>
      </c>
      <c r="G3781" s="3" t="s">
        <v>22</v>
      </c>
      <c r="H3781" s="2">
        <v>20</v>
      </c>
      <c r="I3781" s="114" t="str">
        <f>CONCATENATE(B3781,IF(D3781=1,"01","10"),4)</f>
        <v>553104</v>
      </c>
      <c r="J3781" s="112" t="str">
        <f>CONCATENATE(B3781,D3781,4)</f>
        <v>553104</v>
      </c>
      <c r="K3781" s="112" t="s">
        <v>84</v>
      </c>
      <c r="L3781" s="2">
        <v>0</v>
      </c>
      <c r="M3781" s="2" t="s">
        <v>84</v>
      </c>
      <c r="N3781" s="2" t="s">
        <v>84</v>
      </c>
      <c r="O3781" s="2" t="s">
        <v>841</v>
      </c>
      <c r="P3781" s="142" t="s">
        <v>2878</v>
      </c>
    </row>
    <row r="3782" spans="1:16" ht="22" customHeight="1" x14ac:dyDescent="0.15">
      <c r="A3782" s="10" t="str">
        <f t="shared" si="590"/>
        <v>553_10_40_10_polygon</v>
      </c>
      <c r="B3782" s="2">
        <v>553</v>
      </c>
      <c r="C3782" s="30" t="str">
        <f>VLOOKUP(B3782,gachas!A:C,3)</f>
        <v>確定ステップアップガチャ</v>
      </c>
      <c r="D3782" s="21">
        <v>10</v>
      </c>
      <c r="E3782" s="2">
        <f t="shared" si="589"/>
        <v>40</v>
      </c>
      <c r="F3782" s="2">
        <v>10</v>
      </c>
      <c r="G3782" s="3" t="s">
        <v>22</v>
      </c>
      <c r="H3782" s="2">
        <v>40</v>
      </c>
      <c r="I3782" s="114" t="str">
        <f>CONCATENATE(B3782,IF(D3782=1,"01","10"),4)</f>
        <v>553104</v>
      </c>
      <c r="J3782" s="112" t="s">
        <v>84</v>
      </c>
      <c r="K3782" s="112" t="str">
        <f>CONCATENATE(B3782,D3782,5)</f>
        <v>553105</v>
      </c>
      <c r="L3782" s="2">
        <v>1</v>
      </c>
      <c r="M3782" s="2" t="s">
        <v>84</v>
      </c>
      <c r="N3782" s="2" t="s">
        <v>84</v>
      </c>
      <c r="O3782" s="2" t="s">
        <v>841</v>
      </c>
      <c r="P3782" s="142" t="s">
        <v>2879</v>
      </c>
    </row>
    <row r="3783" spans="1:16" ht="22" customHeight="1" x14ac:dyDescent="0.15">
      <c r="A3783" s="10" t="str">
        <f t="shared" si="590"/>
        <v>553_10_41_1_polygon</v>
      </c>
      <c r="B3783" s="2">
        <v>553</v>
      </c>
      <c r="C3783" s="30" t="str">
        <f>VLOOKUP(B3783,gachas!A:C,3)</f>
        <v>確定ステップアップガチャ</v>
      </c>
      <c r="D3783" s="21">
        <v>10</v>
      </c>
      <c r="E3783" s="2">
        <f t="shared" si="589"/>
        <v>41</v>
      </c>
      <c r="F3783" s="2">
        <v>1</v>
      </c>
      <c r="G3783" s="3" t="s">
        <v>22</v>
      </c>
      <c r="H3783" s="2">
        <v>1</v>
      </c>
      <c r="I3783" s="114" t="str">
        <f>CONCATENATE(B3783,IF(D3783=1,"01","10"),1)</f>
        <v>553101</v>
      </c>
      <c r="J3783" s="112" t="s">
        <v>84</v>
      </c>
      <c r="K3783" s="112" t="s">
        <v>84</v>
      </c>
      <c r="L3783" s="2">
        <v>0</v>
      </c>
      <c r="M3783" s="2" t="s">
        <v>84</v>
      </c>
      <c r="N3783" s="2" t="s">
        <v>84</v>
      </c>
      <c r="O3783" s="2" t="s">
        <v>841</v>
      </c>
      <c r="P3783" s="142" t="s">
        <v>2875</v>
      </c>
    </row>
    <row r="3784" spans="1:16" ht="22" customHeight="1" x14ac:dyDescent="0.15">
      <c r="A3784" s="10" t="str">
        <f t="shared" si="590"/>
        <v>553_10_42_2_polygon</v>
      </c>
      <c r="B3784" s="2">
        <v>553</v>
      </c>
      <c r="C3784" s="30" t="str">
        <f>VLOOKUP(B3784,gachas!A:C,3)</f>
        <v>確定ステップアップガチャ</v>
      </c>
      <c r="D3784" s="21">
        <v>10</v>
      </c>
      <c r="E3784" s="2">
        <f t="shared" si="589"/>
        <v>42</v>
      </c>
      <c r="F3784" s="2">
        <v>2</v>
      </c>
      <c r="G3784" s="3" t="s">
        <v>22</v>
      </c>
      <c r="H3784" s="2">
        <v>3</v>
      </c>
      <c r="I3784" s="114" t="str">
        <f>CONCATENATE(B3784,IF(D3784=1,"01","10"),1)</f>
        <v>553101</v>
      </c>
      <c r="J3784" s="112" t="str">
        <f>CONCATENATE(B3784,D3784,2)</f>
        <v>553102</v>
      </c>
      <c r="K3784" s="112" t="s">
        <v>84</v>
      </c>
      <c r="L3784" s="2">
        <v>0</v>
      </c>
      <c r="M3784" s="2" t="s">
        <v>84</v>
      </c>
      <c r="N3784" s="2" t="s">
        <v>84</v>
      </c>
      <c r="O3784" s="2" t="s">
        <v>841</v>
      </c>
      <c r="P3784" s="142" t="s">
        <v>2876</v>
      </c>
    </row>
    <row r="3785" spans="1:16" ht="22" customHeight="1" x14ac:dyDescent="0.15">
      <c r="A3785" s="10" t="str">
        <f t="shared" si="590"/>
        <v>553_10_43_3_polygon</v>
      </c>
      <c r="B3785" s="2">
        <v>553</v>
      </c>
      <c r="C3785" s="30" t="str">
        <f>VLOOKUP(B3785,gachas!A:C,3)</f>
        <v>確定ステップアップガチャ</v>
      </c>
      <c r="D3785" s="21">
        <v>10</v>
      </c>
      <c r="E3785" s="2">
        <f t="shared" si="589"/>
        <v>43</v>
      </c>
      <c r="F3785" s="2">
        <v>3</v>
      </c>
      <c r="G3785" s="3" t="s">
        <v>22</v>
      </c>
      <c r="H3785" s="2">
        <v>9</v>
      </c>
      <c r="I3785" s="114" t="str">
        <f>CONCATENATE(B3785,IF(D3785=1,"01","10"),1)</f>
        <v>553101</v>
      </c>
      <c r="J3785" s="112" t="str">
        <f>CONCATENATE(B3785,D3785,3)</f>
        <v>553103</v>
      </c>
      <c r="K3785" s="112" t="s">
        <v>84</v>
      </c>
      <c r="L3785" s="2">
        <v>0</v>
      </c>
      <c r="M3785" s="2" t="s">
        <v>84</v>
      </c>
      <c r="N3785" s="2" t="s">
        <v>84</v>
      </c>
      <c r="O3785" s="2" t="s">
        <v>841</v>
      </c>
      <c r="P3785" s="142" t="s">
        <v>2877</v>
      </c>
    </row>
    <row r="3786" spans="1:16" ht="22" customHeight="1" x14ac:dyDescent="0.15">
      <c r="A3786" s="10" t="str">
        <f t="shared" si="590"/>
        <v>553_10_44_5_polygon</v>
      </c>
      <c r="B3786" s="2">
        <v>553</v>
      </c>
      <c r="C3786" s="30" t="str">
        <f>VLOOKUP(B3786,gachas!A:C,3)</f>
        <v>確定ステップアップガチャ</v>
      </c>
      <c r="D3786" s="21">
        <v>10</v>
      </c>
      <c r="E3786" s="2">
        <f t="shared" si="589"/>
        <v>44</v>
      </c>
      <c r="F3786" s="2">
        <v>5</v>
      </c>
      <c r="G3786" s="3" t="s">
        <v>22</v>
      </c>
      <c r="H3786" s="2">
        <v>20</v>
      </c>
      <c r="I3786" s="114" t="str">
        <f>CONCATENATE(B3786,IF(D3786=1,"01","10"),4)</f>
        <v>553104</v>
      </c>
      <c r="J3786" s="112" t="str">
        <f>CONCATENATE(B3786,D3786,4)</f>
        <v>553104</v>
      </c>
      <c r="K3786" s="112" t="s">
        <v>84</v>
      </c>
      <c r="L3786" s="2">
        <v>0</v>
      </c>
      <c r="M3786" s="2" t="s">
        <v>84</v>
      </c>
      <c r="N3786" s="2" t="s">
        <v>84</v>
      </c>
      <c r="O3786" s="2" t="s">
        <v>841</v>
      </c>
      <c r="P3786" s="142" t="s">
        <v>2878</v>
      </c>
    </row>
    <row r="3787" spans="1:16" ht="22" customHeight="1" x14ac:dyDescent="0.15">
      <c r="A3787" s="10" t="str">
        <f t="shared" si="590"/>
        <v>553_10_45_10_polygon</v>
      </c>
      <c r="B3787" s="2">
        <v>553</v>
      </c>
      <c r="C3787" s="30" t="str">
        <f>VLOOKUP(B3787,gachas!A:C,3)</f>
        <v>確定ステップアップガチャ</v>
      </c>
      <c r="D3787" s="21">
        <v>10</v>
      </c>
      <c r="E3787" s="2">
        <f>E3786+1</f>
        <v>45</v>
      </c>
      <c r="F3787" s="2">
        <v>10</v>
      </c>
      <c r="G3787" s="3" t="s">
        <v>22</v>
      </c>
      <c r="H3787" s="2">
        <v>40</v>
      </c>
      <c r="I3787" s="114" t="str">
        <f>CONCATENATE(B3787,IF(D3787=1,"01","10"),4)</f>
        <v>553104</v>
      </c>
      <c r="J3787" s="112" t="s">
        <v>84</v>
      </c>
      <c r="K3787" s="112" t="str">
        <f>CONCATENATE(B3787,D3787,5)</f>
        <v>553105</v>
      </c>
      <c r="L3787" s="2">
        <v>1</v>
      </c>
      <c r="M3787" s="2" t="s">
        <v>84</v>
      </c>
      <c r="N3787" s="2" t="s">
        <v>84</v>
      </c>
      <c r="O3787" s="2" t="s">
        <v>841</v>
      </c>
      <c r="P3787" s="142" t="s">
        <v>2879</v>
      </c>
    </row>
    <row r="3788" spans="1:16" ht="22" customHeight="1" x14ac:dyDescent="0.15">
      <c r="A3788" s="10" t="str">
        <f t="shared" si="590"/>
        <v>553_10_46_1_polygon</v>
      </c>
      <c r="B3788" s="2">
        <v>553</v>
      </c>
      <c r="C3788" s="30" t="str">
        <f>VLOOKUP(B3788,gachas!A:C,3)</f>
        <v>確定ステップアップガチャ</v>
      </c>
      <c r="D3788" s="21">
        <v>10</v>
      </c>
      <c r="E3788" s="2">
        <f t="shared" si="589"/>
        <v>46</v>
      </c>
      <c r="F3788" s="2">
        <v>1</v>
      </c>
      <c r="G3788" s="3" t="s">
        <v>22</v>
      </c>
      <c r="H3788" s="2">
        <v>1</v>
      </c>
      <c r="I3788" s="114" t="str">
        <f>CONCATENATE(B3788,IF(D3788=1,"01","10"),1)</f>
        <v>553101</v>
      </c>
      <c r="J3788" s="112" t="s">
        <v>84</v>
      </c>
      <c r="K3788" s="112" t="s">
        <v>84</v>
      </c>
      <c r="L3788" s="2">
        <v>0</v>
      </c>
      <c r="M3788" s="2" t="s">
        <v>84</v>
      </c>
      <c r="N3788" s="2" t="s">
        <v>84</v>
      </c>
      <c r="O3788" s="2" t="s">
        <v>841</v>
      </c>
      <c r="P3788" s="142" t="s">
        <v>2875</v>
      </c>
    </row>
    <row r="3789" spans="1:16" ht="22" customHeight="1" x14ac:dyDescent="0.15">
      <c r="A3789" s="10" t="str">
        <f t="shared" si="590"/>
        <v>553_10_47_2_polygon</v>
      </c>
      <c r="B3789" s="2">
        <v>553</v>
      </c>
      <c r="C3789" s="30" t="str">
        <f>VLOOKUP(B3789,gachas!A:C,3)</f>
        <v>確定ステップアップガチャ</v>
      </c>
      <c r="D3789" s="21">
        <v>10</v>
      </c>
      <c r="E3789" s="2">
        <f t="shared" si="589"/>
        <v>47</v>
      </c>
      <c r="F3789" s="2">
        <v>2</v>
      </c>
      <c r="G3789" s="3" t="s">
        <v>22</v>
      </c>
      <c r="H3789" s="2">
        <v>3</v>
      </c>
      <c r="I3789" s="114" t="str">
        <f>CONCATENATE(B3789,IF(D3789=1,"01","10"),1)</f>
        <v>553101</v>
      </c>
      <c r="J3789" s="112" t="str">
        <f>CONCATENATE(B3789,D3789,2)</f>
        <v>553102</v>
      </c>
      <c r="K3789" s="112" t="s">
        <v>84</v>
      </c>
      <c r="L3789" s="2">
        <v>0</v>
      </c>
      <c r="M3789" s="2" t="s">
        <v>84</v>
      </c>
      <c r="N3789" s="2" t="s">
        <v>84</v>
      </c>
      <c r="O3789" s="2" t="s">
        <v>841</v>
      </c>
      <c r="P3789" s="142" t="s">
        <v>2876</v>
      </c>
    </row>
    <row r="3790" spans="1:16" ht="22" customHeight="1" x14ac:dyDescent="0.15">
      <c r="A3790" s="10" t="str">
        <f t="shared" si="590"/>
        <v>553_10_48_3_polygon</v>
      </c>
      <c r="B3790" s="2">
        <v>553</v>
      </c>
      <c r="C3790" s="30" t="str">
        <f>VLOOKUP(B3790,gachas!A:C,3)</f>
        <v>確定ステップアップガチャ</v>
      </c>
      <c r="D3790" s="21">
        <v>10</v>
      </c>
      <c r="E3790" s="2">
        <f t="shared" si="589"/>
        <v>48</v>
      </c>
      <c r="F3790" s="2">
        <v>3</v>
      </c>
      <c r="G3790" s="3" t="s">
        <v>22</v>
      </c>
      <c r="H3790" s="2">
        <v>9</v>
      </c>
      <c r="I3790" s="114" t="str">
        <f>CONCATENATE(B3790,IF(D3790=1,"01","10"),1)</f>
        <v>553101</v>
      </c>
      <c r="J3790" s="112" t="str">
        <f>CONCATENATE(B3790,D3790,3)</f>
        <v>553103</v>
      </c>
      <c r="K3790" s="112" t="s">
        <v>84</v>
      </c>
      <c r="L3790" s="2">
        <v>0</v>
      </c>
      <c r="M3790" s="2" t="s">
        <v>84</v>
      </c>
      <c r="N3790" s="2" t="s">
        <v>84</v>
      </c>
      <c r="O3790" s="2" t="s">
        <v>841</v>
      </c>
      <c r="P3790" s="142" t="s">
        <v>2877</v>
      </c>
    </row>
    <row r="3791" spans="1:16" ht="22" customHeight="1" x14ac:dyDescent="0.15">
      <c r="A3791" s="10" t="str">
        <f t="shared" si="590"/>
        <v>553_10_49_5_polygon</v>
      </c>
      <c r="B3791" s="2">
        <v>553</v>
      </c>
      <c r="C3791" s="30" t="str">
        <f>VLOOKUP(B3791,gachas!A:C,3)</f>
        <v>確定ステップアップガチャ</v>
      </c>
      <c r="D3791" s="21">
        <v>10</v>
      </c>
      <c r="E3791" s="2">
        <f t="shared" si="589"/>
        <v>49</v>
      </c>
      <c r="F3791" s="2">
        <v>5</v>
      </c>
      <c r="G3791" s="3" t="s">
        <v>22</v>
      </c>
      <c r="H3791" s="2">
        <v>20</v>
      </c>
      <c r="I3791" s="114" t="str">
        <f>CONCATENATE(B3791,IF(D3791=1,"01","10"),4)</f>
        <v>553104</v>
      </c>
      <c r="J3791" s="112" t="str">
        <f>CONCATENATE(B3791,D3791,4)</f>
        <v>553104</v>
      </c>
      <c r="K3791" s="112" t="s">
        <v>84</v>
      </c>
      <c r="L3791" s="2">
        <v>0</v>
      </c>
      <c r="M3791" s="2" t="s">
        <v>84</v>
      </c>
      <c r="N3791" s="2" t="s">
        <v>84</v>
      </c>
      <c r="O3791" s="2" t="s">
        <v>841</v>
      </c>
      <c r="P3791" s="142" t="s">
        <v>2878</v>
      </c>
    </row>
    <row r="3792" spans="1:16" ht="22" customHeight="1" x14ac:dyDescent="0.15">
      <c r="A3792" s="10" t="str">
        <f t="shared" si="590"/>
        <v>553_10_50_10_polygon</v>
      </c>
      <c r="B3792" s="2">
        <v>553</v>
      </c>
      <c r="C3792" s="30" t="str">
        <f>VLOOKUP(B3792,gachas!A:C,3)</f>
        <v>確定ステップアップガチャ</v>
      </c>
      <c r="D3792" s="21">
        <v>10</v>
      </c>
      <c r="E3792" s="2">
        <f>E3791+1</f>
        <v>50</v>
      </c>
      <c r="F3792" s="2">
        <v>10</v>
      </c>
      <c r="G3792" s="3" t="s">
        <v>22</v>
      </c>
      <c r="H3792" s="2">
        <v>40</v>
      </c>
      <c r="I3792" s="114" t="str">
        <f>CONCATENATE(B3792,IF(D3792=1,"01","10"),4)</f>
        <v>553104</v>
      </c>
      <c r="J3792" s="112" t="s">
        <v>84</v>
      </c>
      <c r="K3792" s="112" t="str">
        <f>CONCATENATE(B3792,D3792,5)</f>
        <v>553105</v>
      </c>
      <c r="L3792" s="2">
        <v>1</v>
      </c>
      <c r="M3792" s="2" t="s">
        <v>84</v>
      </c>
      <c r="N3792" s="2" t="s">
        <v>84</v>
      </c>
      <c r="O3792" s="2" t="s">
        <v>841</v>
      </c>
      <c r="P3792" s="142" t="s">
        <v>2879</v>
      </c>
    </row>
    <row r="3793" spans="1:17" ht="22" customHeight="1" x14ac:dyDescent="0.15">
      <c r="A3793" s="10" t="str">
        <f t="shared" ref="A3793:A3856" si="591">B3793&amp;"_"&amp;D3793&amp;"_"&amp;E3793&amp;"_"&amp;F3793&amp;"_"&amp;G3793</f>
        <v>554_10_0_5_polygon</v>
      </c>
      <c r="B3793" s="2">
        <v>554</v>
      </c>
      <c r="C3793" s="30" t="str">
        <f>VLOOKUP(B3793,gachas!A:C,3)</f>
        <v>１日１回マスターキーつきガチャ</v>
      </c>
      <c r="D3793" s="21">
        <v>10</v>
      </c>
      <c r="E3793" s="2">
        <v>0</v>
      </c>
      <c r="F3793" s="2">
        <v>5</v>
      </c>
      <c r="G3793" s="3" t="s">
        <v>22</v>
      </c>
      <c r="H3793" s="2">
        <v>15</v>
      </c>
      <c r="I3793" s="114" t="str">
        <f t="shared" ref="I3793:I3796" si="592">CONCATENATE(B3793,IF(D3793=1,"01","10"),0)</f>
        <v>554100</v>
      </c>
      <c r="J3793" s="112" t="str">
        <f>CONCATENATE(B3793,D3793,0)</f>
        <v>554100</v>
      </c>
      <c r="K3793" s="2" t="s">
        <v>84</v>
      </c>
      <c r="L3793" s="2">
        <v>0</v>
      </c>
      <c r="M3793" s="2" t="s">
        <v>84</v>
      </c>
      <c r="N3793" s="2" t="s">
        <v>84</v>
      </c>
      <c r="O3793" s="2" t="s">
        <v>841</v>
      </c>
      <c r="P3793" s="18" t="s">
        <v>2874</v>
      </c>
    </row>
    <row r="3794" spans="1:17" ht="22" customHeight="1" x14ac:dyDescent="0.15">
      <c r="A3794" s="10" t="str">
        <f t="shared" si="591"/>
        <v>555_1_0_1_polygon</v>
      </c>
      <c r="B3794" s="2">
        <v>555</v>
      </c>
      <c r="C3794" s="30" t="str">
        <f>VLOOKUP(B3794,gachas!A:C,3)</f>
        <v>タワー攻略応援ガチャ</v>
      </c>
      <c r="D3794" s="21">
        <v>1</v>
      </c>
      <c r="E3794" s="2">
        <v>0</v>
      </c>
      <c r="F3794" s="2">
        <v>1</v>
      </c>
      <c r="G3794" s="3" t="s">
        <v>1566</v>
      </c>
      <c r="H3794" s="2">
        <v>5</v>
      </c>
      <c r="I3794" s="114" t="str">
        <f t="shared" si="592"/>
        <v>555010</v>
      </c>
      <c r="J3794" s="112" t="s">
        <v>84</v>
      </c>
      <c r="K3794" s="2" t="s">
        <v>84</v>
      </c>
      <c r="L3794" s="2">
        <v>0</v>
      </c>
      <c r="M3794" s="2" t="s">
        <v>1571</v>
      </c>
      <c r="N3794" s="2" t="s">
        <v>1571</v>
      </c>
      <c r="O3794" s="2" t="s">
        <v>118</v>
      </c>
      <c r="P3794" s="18" t="s">
        <v>84</v>
      </c>
    </row>
    <row r="3795" spans="1:17" ht="22" customHeight="1" x14ac:dyDescent="0.15">
      <c r="A3795" s="10" t="str">
        <f t="shared" si="591"/>
        <v>555_10_0_10_polygon</v>
      </c>
      <c r="B3795" s="2">
        <v>555</v>
      </c>
      <c r="C3795" s="30" t="str">
        <f>VLOOKUP(B3795,gachas!A:C,3)</f>
        <v>タワー攻略応援ガチャ</v>
      </c>
      <c r="D3795" s="21">
        <v>10</v>
      </c>
      <c r="E3795" s="2">
        <v>0</v>
      </c>
      <c r="F3795" s="2">
        <v>10</v>
      </c>
      <c r="G3795" s="3" t="s">
        <v>1566</v>
      </c>
      <c r="H3795" s="2">
        <v>50</v>
      </c>
      <c r="I3795" s="114" t="str">
        <f t="shared" si="592"/>
        <v>555100</v>
      </c>
      <c r="J3795" s="112" t="s">
        <v>84</v>
      </c>
      <c r="K3795" s="112" t="str">
        <f>CONCATENATE(B3795,D3795,0)</f>
        <v>555100</v>
      </c>
      <c r="L3795" s="2">
        <v>2</v>
      </c>
      <c r="M3795" s="2" t="s">
        <v>1571</v>
      </c>
      <c r="N3795" s="2" t="s">
        <v>1571</v>
      </c>
      <c r="O3795" s="2" t="s">
        <v>118</v>
      </c>
      <c r="P3795" s="18" t="s">
        <v>2889</v>
      </c>
      <c r="Q3795"/>
    </row>
    <row r="3796" spans="1:17" ht="22" customHeight="1" x14ac:dyDescent="0.15">
      <c r="A3796" s="10" t="str">
        <f t="shared" si="591"/>
        <v>555_10_1_10_polygon</v>
      </c>
      <c r="B3796" s="2">
        <v>555</v>
      </c>
      <c r="C3796" s="30" t="str">
        <f>VLOOKUP(B3796,gachas!A:C,3)</f>
        <v>タワー攻略応援ガチャ</v>
      </c>
      <c r="D3796" s="21">
        <v>10</v>
      </c>
      <c r="E3796" s="2">
        <f t="shared" ref="E3796" si="593">E3795+1</f>
        <v>1</v>
      </c>
      <c r="F3796" s="2">
        <v>10</v>
      </c>
      <c r="G3796" s="3" t="s">
        <v>1566</v>
      </c>
      <c r="H3796" s="2">
        <v>25</v>
      </c>
      <c r="I3796" s="114" t="str">
        <f t="shared" si="592"/>
        <v>555100</v>
      </c>
      <c r="J3796" s="112" t="s">
        <v>84</v>
      </c>
      <c r="K3796" s="112" t="str">
        <f>CONCATENATE(B3796,D3796,0)</f>
        <v>555100</v>
      </c>
      <c r="L3796" s="2">
        <v>2</v>
      </c>
      <c r="M3796" s="2" t="s">
        <v>1571</v>
      </c>
      <c r="N3796" s="2" t="s">
        <v>1571</v>
      </c>
      <c r="O3796" s="2" t="s">
        <v>118</v>
      </c>
      <c r="P3796" s="18" t="s">
        <v>2889</v>
      </c>
      <c r="Q3796"/>
    </row>
    <row r="3797" spans="1:17" ht="21" customHeight="1" x14ac:dyDescent="0.15">
      <c r="A3797" s="10" t="str">
        <f>B3797&amp;"_"&amp;D3797&amp;"_"&amp;E3797&amp;"_"&amp;F3797&amp;"_"&amp;G3797</f>
        <v>556_10_0_10_polygon</v>
      </c>
      <c r="B3797" s="2">
        <v>556</v>
      </c>
      <c r="C3797" s="30" t="str">
        <f>VLOOKUP(B3797,gachas!A:C,3)</f>
        <v>新生活応援セール記念ガチャ</v>
      </c>
      <c r="D3797" s="21">
        <v>10</v>
      </c>
      <c r="E3797" s="2">
        <v>0</v>
      </c>
      <c r="F3797" s="2">
        <v>10</v>
      </c>
      <c r="G3797" s="3" t="s">
        <v>22</v>
      </c>
      <c r="H3797" s="2">
        <v>50</v>
      </c>
      <c r="I3797" s="114" t="str">
        <f>I3804</f>
        <v>556100</v>
      </c>
      <c r="J3797" s="112" t="s">
        <v>84</v>
      </c>
      <c r="K3797" s="2" t="s">
        <v>84</v>
      </c>
      <c r="L3797" s="2">
        <v>0</v>
      </c>
      <c r="M3797" s="2" t="s">
        <v>84</v>
      </c>
      <c r="N3797" s="2" t="s">
        <v>84</v>
      </c>
      <c r="O3797" s="2" t="s">
        <v>841</v>
      </c>
      <c r="P3797" s="18" t="s">
        <v>84</v>
      </c>
    </row>
    <row r="3798" spans="1:17" ht="21" customHeight="1" x14ac:dyDescent="0.15">
      <c r="A3798" s="10" t="str">
        <f t="shared" si="591"/>
        <v>556_10_1_10_polygon</v>
      </c>
      <c r="B3798" s="2">
        <v>556</v>
      </c>
      <c r="C3798" s="30" t="str">
        <f>VLOOKUP(B3798,gachas!A:C,3)</f>
        <v>新生活応援セール記念ガチャ</v>
      </c>
      <c r="D3798" s="21">
        <v>10</v>
      </c>
      <c r="E3798" s="2">
        <v>1</v>
      </c>
      <c r="F3798" s="2">
        <v>10</v>
      </c>
      <c r="G3798" s="3" t="s">
        <v>22</v>
      </c>
      <c r="H3798" s="2">
        <v>25</v>
      </c>
      <c r="I3798" s="127" t="s">
        <v>2908</v>
      </c>
      <c r="J3798" s="112" t="s">
        <v>84</v>
      </c>
      <c r="K3798" s="2" t="s">
        <v>84</v>
      </c>
      <c r="L3798" s="2">
        <v>0</v>
      </c>
      <c r="M3798" s="2" t="s">
        <v>84</v>
      </c>
      <c r="N3798" s="2" t="s">
        <v>84</v>
      </c>
      <c r="O3798" s="2" t="s">
        <v>841</v>
      </c>
      <c r="P3798" s="18" t="s">
        <v>2911</v>
      </c>
    </row>
    <row r="3799" spans="1:17" ht="21" customHeight="1" x14ac:dyDescent="0.15">
      <c r="A3799" s="10" t="str">
        <f t="shared" si="591"/>
        <v>556_10_2_10_polygon</v>
      </c>
      <c r="B3799" s="2">
        <v>556</v>
      </c>
      <c r="C3799" s="30" t="str">
        <f>VLOOKUP(B3799,gachas!A:C,3)</f>
        <v>新生活応援セール記念ガチャ</v>
      </c>
      <c r="D3799" s="21">
        <v>10</v>
      </c>
      <c r="E3799" s="2">
        <v>2</v>
      </c>
      <c r="F3799" s="2">
        <v>10</v>
      </c>
      <c r="G3799" s="3" t="s">
        <v>22</v>
      </c>
      <c r="H3799" s="2">
        <v>50</v>
      </c>
      <c r="I3799" s="114" t="str">
        <f t="shared" ref="I3799:I3804" si="594">I3798</f>
        <v>556100</v>
      </c>
      <c r="J3799" s="125">
        <v>556102</v>
      </c>
      <c r="K3799" s="2" t="s">
        <v>84</v>
      </c>
      <c r="L3799" s="2">
        <v>0</v>
      </c>
      <c r="M3799" s="2" t="s">
        <v>84</v>
      </c>
      <c r="N3799" s="2" t="s">
        <v>84</v>
      </c>
      <c r="O3799" s="2" t="s">
        <v>841</v>
      </c>
      <c r="P3799" s="18" t="s">
        <v>2912</v>
      </c>
    </row>
    <row r="3800" spans="1:17" ht="21" customHeight="1" x14ac:dyDescent="0.15">
      <c r="A3800" s="10" t="str">
        <f t="shared" si="591"/>
        <v>556_10_3_10_polygon</v>
      </c>
      <c r="B3800" s="2">
        <v>556</v>
      </c>
      <c r="C3800" s="30" t="str">
        <f>VLOOKUP(B3800,gachas!A:C,3)</f>
        <v>新生活応援セール記念ガチャ</v>
      </c>
      <c r="D3800" s="21">
        <v>10</v>
      </c>
      <c r="E3800" s="2">
        <v>3</v>
      </c>
      <c r="F3800" s="2">
        <v>10</v>
      </c>
      <c r="G3800" s="3" t="s">
        <v>22</v>
      </c>
      <c r="H3800" s="2">
        <v>50</v>
      </c>
      <c r="I3800" s="114" t="str">
        <f t="shared" si="594"/>
        <v>556100</v>
      </c>
      <c r="J3800" s="125">
        <v>556103</v>
      </c>
      <c r="K3800" s="2" t="s">
        <v>84</v>
      </c>
      <c r="L3800" s="2">
        <v>0</v>
      </c>
      <c r="M3800" s="2" t="s">
        <v>84</v>
      </c>
      <c r="N3800" s="2" t="s">
        <v>84</v>
      </c>
      <c r="O3800" s="2" t="s">
        <v>841</v>
      </c>
      <c r="P3800" s="18" t="s">
        <v>2913</v>
      </c>
    </row>
    <row r="3801" spans="1:17" ht="21" customHeight="1" x14ac:dyDescent="0.15">
      <c r="A3801" s="10" t="str">
        <f t="shared" si="591"/>
        <v>556_10_4_10_polygon</v>
      </c>
      <c r="B3801" s="2">
        <v>556</v>
      </c>
      <c r="C3801" s="30" t="str">
        <f>VLOOKUP(B3801,gachas!A:C,3)</f>
        <v>新生活応援セール記念ガチャ</v>
      </c>
      <c r="D3801" s="21">
        <v>10</v>
      </c>
      <c r="E3801" s="2">
        <v>4</v>
      </c>
      <c r="F3801" s="2">
        <v>10</v>
      </c>
      <c r="G3801" s="3" t="s">
        <v>22</v>
      </c>
      <c r="H3801" s="2">
        <v>50</v>
      </c>
      <c r="I3801" s="114" t="str">
        <f t="shared" si="594"/>
        <v>556100</v>
      </c>
      <c r="J3801" s="112" t="s">
        <v>84</v>
      </c>
      <c r="K3801" s="110" t="s">
        <v>2909</v>
      </c>
      <c r="L3801" s="2">
        <v>2</v>
      </c>
      <c r="M3801" s="2" t="s">
        <v>84</v>
      </c>
      <c r="N3801" s="2" t="s">
        <v>84</v>
      </c>
      <c r="O3801" s="2" t="s">
        <v>841</v>
      </c>
      <c r="P3801" s="18" t="s">
        <v>2914</v>
      </c>
    </row>
    <row r="3802" spans="1:17" ht="21" customHeight="1" x14ac:dyDescent="0.15">
      <c r="A3802" s="10" t="str">
        <f t="shared" si="591"/>
        <v>556_10_5_10_polygon</v>
      </c>
      <c r="B3802" s="2">
        <v>556</v>
      </c>
      <c r="C3802" s="30" t="str">
        <f>VLOOKUP(B3802,gachas!A:C,3)</f>
        <v>新生活応援セール記念ガチャ</v>
      </c>
      <c r="D3802" s="21">
        <v>10</v>
      </c>
      <c r="E3802" s="2">
        <v>5</v>
      </c>
      <c r="F3802" s="2">
        <v>10</v>
      </c>
      <c r="G3802" s="3" t="s">
        <v>22</v>
      </c>
      <c r="H3802" s="2">
        <v>50</v>
      </c>
      <c r="I3802" s="114" t="str">
        <f t="shared" si="594"/>
        <v>556100</v>
      </c>
      <c r="J3802" s="125">
        <v>556105</v>
      </c>
      <c r="K3802" s="2" t="s">
        <v>84</v>
      </c>
      <c r="L3802" s="2">
        <v>0</v>
      </c>
      <c r="M3802" s="2" t="s">
        <v>84</v>
      </c>
      <c r="N3802" s="2" t="s">
        <v>84</v>
      </c>
      <c r="O3802" s="2" t="s">
        <v>841</v>
      </c>
      <c r="P3802" s="18" t="s">
        <v>2915</v>
      </c>
    </row>
    <row r="3803" spans="1:17" ht="21" customHeight="1" x14ac:dyDescent="0.15">
      <c r="A3803" s="10" t="str">
        <f t="shared" si="591"/>
        <v>556_10_6_10_polygon</v>
      </c>
      <c r="B3803" s="2">
        <v>556</v>
      </c>
      <c r="C3803" s="30" t="str">
        <f>VLOOKUP(B3803,gachas!A:C,3)</f>
        <v>新生活応援セール記念ガチャ</v>
      </c>
      <c r="D3803" s="21">
        <v>10</v>
      </c>
      <c r="E3803" s="2">
        <v>6</v>
      </c>
      <c r="F3803" s="2">
        <v>10</v>
      </c>
      <c r="G3803" s="3" t="s">
        <v>22</v>
      </c>
      <c r="H3803" s="2">
        <v>50</v>
      </c>
      <c r="I3803" s="114" t="str">
        <f t="shared" si="594"/>
        <v>556100</v>
      </c>
      <c r="J3803" s="125">
        <v>556106</v>
      </c>
      <c r="K3803" s="2" t="s">
        <v>84</v>
      </c>
      <c r="L3803" s="2">
        <v>0</v>
      </c>
      <c r="M3803" s="2" t="s">
        <v>84</v>
      </c>
      <c r="N3803" s="2" t="s">
        <v>84</v>
      </c>
      <c r="O3803" s="2" t="s">
        <v>841</v>
      </c>
      <c r="P3803" s="18" t="s">
        <v>2916</v>
      </c>
      <c r="Q3803"/>
    </row>
    <row r="3804" spans="1:17" ht="21" customHeight="1" x14ac:dyDescent="0.15">
      <c r="A3804" s="10" t="str">
        <f t="shared" si="591"/>
        <v>556_10_7_10_polygon</v>
      </c>
      <c r="B3804" s="2">
        <v>556</v>
      </c>
      <c r="C3804" s="30" t="str">
        <f>VLOOKUP(B3804,gachas!A:C,3)</f>
        <v>新生活応援セール記念ガチャ</v>
      </c>
      <c r="D3804" s="21">
        <v>10</v>
      </c>
      <c r="E3804" s="2">
        <v>7</v>
      </c>
      <c r="F3804" s="2">
        <v>10</v>
      </c>
      <c r="G3804" s="3" t="s">
        <v>22</v>
      </c>
      <c r="H3804" s="2">
        <v>50</v>
      </c>
      <c r="I3804" s="114" t="str">
        <f t="shared" si="594"/>
        <v>556100</v>
      </c>
      <c r="J3804" s="112" t="s">
        <v>84</v>
      </c>
      <c r="K3804" s="110" t="s">
        <v>2910</v>
      </c>
      <c r="L3804" s="2">
        <v>1</v>
      </c>
      <c r="M3804" s="2" t="s">
        <v>84</v>
      </c>
      <c r="N3804" s="2" t="s">
        <v>84</v>
      </c>
      <c r="O3804" s="2" t="s">
        <v>841</v>
      </c>
      <c r="P3804" s="18" t="s">
        <v>2917</v>
      </c>
      <c r="Q3804"/>
    </row>
    <row r="3805" spans="1:17" ht="22" customHeight="1" x14ac:dyDescent="0.15">
      <c r="A3805" s="10" t="str">
        <f t="shared" si="591"/>
        <v>557_1_0_1_polygon</v>
      </c>
      <c r="B3805" s="2">
        <v>557</v>
      </c>
      <c r="C3805" s="30" t="str">
        <f>VLOOKUP(B3805,gachas!A:C,3)</f>
        <v>春の超フィーバーフェス（青）</v>
      </c>
      <c r="D3805" s="21">
        <v>1</v>
      </c>
      <c r="E3805" s="2">
        <v>0</v>
      </c>
      <c r="F3805" s="2">
        <v>1</v>
      </c>
      <c r="G3805" s="3" t="s">
        <v>22</v>
      </c>
      <c r="H3805" s="2">
        <v>5</v>
      </c>
      <c r="I3805" s="119" t="str">
        <f>I3806</f>
        <v>557100</v>
      </c>
      <c r="J3805" s="112" t="s">
        <v>84</v>
      </c>
      <c r="K3805" s="2" t="s">
        <v>2384</v>
      </c>
      <c r="L3805" s="2">
        <v>0</v>
      </c>
      <c r="M3805" s="2" t="s">
        <v>84</v>
      </c>
      <c r="N3805" s="2" t="s">
        <v>84</v>
      </c>
      <c r="O3805" s="2" t="s">
        <v>841</v>
      </c>
      <c r="P3805" s="2" t="s">
        <v>2572</v>
      </c>
    </row>
    <row r="3806" spans="1:17" ht="22" customHeight="1" x14ac:dyDescent="0.15">
      <c r="A3806" s="10" t="str">
        <f t="shared" si="591"/>
        <v>557_10_0_10_polygon</v>
      </c>
      <c r="B3806" s="2">
        <v>557</v>
      </c>
      <c r="C3806" s="30" t="str">
        <f>VLOOKUP(B3806,gachas!A:C,3)</f>
        <v>春の超フィーバーフェス（青）</v>
      </c>
      <c r="D3806" s="21">
        <v>10</v>
      </c>
      <c r="E3806" s="2">
        <v>0</v>
      </c>
      <c r="F3806" s="2">
        <v>10</v>
      </c>
      <c r="G3806" s="3" t="s">
        <v>22</v>
      </c>
      <c r="H3806" s="2">
        <v>50</v>
      </c>
      <c r="I3806" s="114" t="str">
        <f>B3806&amp;TEXT(D3806,"00")&amp;E3806</f>
        <v>557100</v>
      </c>
      <c r="J3806" s="112" t="s">
        <v>84</v>
      </c>
      <c r="K3806" s="116" t="str">
        <f>I3806</f>
        <v>557100</v>
      </c>
      <c r="L3806" s="2">
        <v>1</v>
      </c>
      <c r="M3806" s="2" t="s">
        <v>84</v>
      </c>
      <c r="N3806" s="2" t="s">
        <v>84</v>
      </c>
      <c r="O3806" s="2" t="s">
        <v>841</v>
      </c>
      <c r="P3806" s="2" t="s">
        <v>2571</v>
      </c>
    </row>
    <row r="3807" spans="1:17" ht="22" customHeight="1" x14ac:dyDescent="0.15">
      <c r="A3807" s="10" t="str">
        <f t="shared" si="591"/>
        <v>558_1_0_1_polygon</v>
      </c>
      <c r="B3807" s="2">
        <v>558</v>
      </c>
      <c r="C3807" s="30" t="str">
        <f>VLOOKUP(B3807,gachas!A:C,3)</f>
        <v>春の超フィーバーフェス（赤）</v>
      </c>
      <c r="D3807" s="21">
        <v>1</v>
      </c>
      <c r="E3807" s="2">
        <v>0</v>
      </c>
      <c r="F3807" s="2">
        <v>1</v>
      </c>
      <c r="G3807" s="3" t="s">
        <v>22</v>
      </c>
      <c r="H3807" s="2">
        <v>5</v>
      </c>
      <c r="I3807" s="119" t="str">
        <f>I3808</f>
        <v>558100</v>
      </c>
      <c r="J3807" s="112" t="s">
        <v>84</v>
      </c>
      <c r="K3807" s="2" t="s">
        <v>2384</v>
      </c>
      <c r="L3807" s="2">
        <v>0</v>
      </c>
      <c r="M3807" s="2" t="s">
        <v>84</v>
      </c>
      <c r="N3807" s="2" t="s">
        <v>84</v>
      </c>
      <c r="O3807" s="2" t="s">
        <v>841</v>
      </c>
      <c r="P3807" s="2" t="s">
        <v>2572</v>
      </c>
    </row>
    <row r="3808" spans="1:17" ht="22" customHeight="1" x14ac:dyDescent="0.15">
      <c r="A3808" s="10" t="str">
        <f t="shared" si="591"/>
        <v>558_10_0_10_polygon</v>
      </c>
      <c r="B3808" s="2">
        <v>558</v>
      </c>
      <c r="C3808" s="30" t="str">
        <f>VLOOKUP(B3808,gachas!A:C,3)</f>
        <v>春の超フィーバーフェス（赤）</v>
      </c>
      <c r="D3808" s="21">
        <v>10</v>
      </c>
      <c r="E3808" s="2">
        <v>0</v>
      </c>
      <c r="F3808" s="2">
        <v>10</v>
      </c>
      <c r="G3808" s="3" t="s">
        <v>22</v>
      </c>
      <c r="H3808" s="2">
        <v>50</v>
      </c>
      <c r="I3808" s="114" t="str">
        <f t="shared" ref="I3808:I3812" si="595">B3808&amp;TEXT(D3808,"00")&amp;E3808</f>
        <v>558100</v>
      </c>
      <c r="J3808" s="112" t="s">
        <v>84</v>
      </c>
      <c r="K3808" s="116" t="str">
        <f>I3808</f>
        <v>558100</v>
      </c>
      <c r="L3808" s="2">
        <v>1</v>
      </c>
      <c r="M3808" s="2" t="s">
        <v>84</v>
      </c>
      <c r="N3808" s="2" t="s">
        <v>84</v>
      </c>
      <c r="O3808" s="2" t="s">
        <v>841</v>
      </c>
      <c r="P3808" s="2" t="s">
        <v>2571</v>
      </c>
    </row>
    <row r="3809" spans="1:16" ht="22" customHeight="1" x14ac:dyDescent="0.15">
      <c r="A3809" s="10" t="str">
        <f t="shared" si="591"/>
        <v>559_1_0_1_polygon</v>
      </c>
      <c r="B3809" s="2">
        <v>559</v>
      </c>
      <c r="C3809" s="30" t="str">
        <f>VLOOKUP(B3809,gachas!A:C,3)</f>
        <v>春の超フィーバーフェス（緑）</v>
      </c>
      <c r="D3809" s="21">
        <v>1</v>
      </c>
      <c r="E3809" s="2">
        <v>0</v>
      </c>
      <c r="F3809" s="2">
        <v>1</v>
      </c>
      <c r="G3809" s="3" t="s">
        <v>22</v>
      </c>
      <c r="H3809" s="2">
        <v>5</v>
      </c>
      <c r="I3809" s="119" t="str">
        <f>I3810</f>
        <v>559100</v>
      </c>
      <c r="J3809" s="112" t="s">
        <v>84</v>
      </c>
      <c r="K3809" s="2" t="s">
        <v>2384</v>
      </c>
      <c r="L3809" s="2">
        <v>0</v>
      </c>
      <c r="M3809" s="2" t="s">
        <v>84</v>
      </c>
      <c r="N3809" s="2" t="s">
        <v>84</v>
      </c>
      <c r="O3809" s="2" t="s">
        <v>841</v>
      </c>
      <c r="P3809" s="2" t="s">
        <v>2572</v>
      </c>
    </row>
    <row r="3810" spans="1:16" ht="22" customHeight="1" x14ac:dyDescent="0.15">
      <c r="A3810" s="10" t="str">
        <f t="shared" si="591"/>
        <v>559_10_0_10_polygon</v>
      </c>
      <c r="B3810" s="2">
        <v>559</v>
      </c>
      <c r="C3810" s="30" t="str">
        <f>VLOOKUP(B3810,gachas!A:C,3)</f>
        <v>春の超フィーバーフェス（緑）</v>
      </c>
      <c r="D3810" s="21">
        <v>10</v>
      </c>
      <c r="E3810" s="2">
        <v>0</v>
      </c>
      <c r="F3810" s="2">
        <v>10</v>
      </c>
      <c r="G3810" s="3" t="s">
        <v>22</v>
      </c>
      <c r="H3810" s="2">
        <v>50</v>
      </c>
      <c r="I3810" s="114" t="str">
        <f t="shared" si="595"/>
        <v>559100</v>
      </c>
      <c r="J3810" s="112" t="s">
        <v>84</v>
      </c>
      <c r="K3810" s="116" t="str">
        <f>I3810</f>
        <v>559100</v>
      </c>
      <c r="L3810" s="2">
        <v>1</v>
      </c>
      <c r="M3810" s="2" t="s">
        <v>84</v>
      </c>
      <c r="N3810" s="2" t="s">
        <v>84</v>
      </c>
      <c r="O3810" s="2" t="s">
        <v>841</v>
      </c>
      <c r="P3810" s="2" t="s">
        <v>2571</v>
      </c>
    </row>
    <row r="3811" spans="1:16" ht="22" customHeight="1" x14ac:dyDescent="0.15">
      <c r="A3811" s="10" t="str">
        <f t="shared" si="591"/>
        <v>560_1_0_1_polygon</v>
      </c>
      <c r="B3811" s="2">
        <v>560</v>
      </c>
      <c r="C3811" s="30" t="str">
        <f>VLOOKUP(B3811,gachas!A:C,3)</f>
        <v>春の超フィーバーフェス（黄）</v>
      </c>
      <c r="D3811" s="21">
        <v>1</v>
      </c>
      <c r="E3811" s="2">
        <v>0</v>
      </c>
      <c r="F3811" s="2">
        <v>1</v>
      </c>
      <c r="G3811" s="3" t="s">
        <v>22</v>
      </c>
      <c r="H3811" s="2">
        <v>5</v>
      </c>
      <c r="I3811" s="119" t="str">
        <f>I3812</f>
        <v>560100</v>
      </c>
      <c r="J3811" s="112" t="s">
        <v>84</v>
      </c>
      <c r="K3811" s="2" t="s">
        <v>2384</v>
      </c>
      <c r="L3811" s="2">
        <v>0</v>
      </c>
      <c r="M3811" s="2" t="s">
        <v>84</v>
      </c>
      <c r="N3811" s="2" t="s">
        <v>84</v>
      </c>
      <c r="O3811" s="2" t="s">
        <v>841</v>
      </c>
      <c r="P3811" s="2" t="s">
        <v>2572</v>
      </c>
    </row>
    <row r="3812" spans="1:16" ht="22" customHeight="1" x14ac:dyDescent="0.15">
      <c r="A3812" s="10" t="str">
        <f t="shared" si="591"/>
        <v>560_10_0_10_polygon</v>
      </c>
      <c r="B3812" s="2">
        <v>560</v>
      </c>
      <c r="C3812" s="30" t="str">
        <f>VLOOKUP(B3812,gachas!A:C,3)</f>
        <v>春の超フィーバーフェス（黄）</v>
      </c>
      <c r="D3812" s="21">
        <v>10</v>
      </c>
      <c r="E3812" s="2">
        <v>0</v>
      </c>
      <c r="F3812" s="2">
        <v>10</v>
      </c>
      <c r="G3812" s="3" t="s">
        <v>22</v>
      </c>
      <c r="H3812" s="2">
        <v>50</v>
      </c>
      <c r="I3812" s="114" t="str">
        <f t="shared" si="595"/>
        <v>560100</v>
      </c>
      <c r="J3812" s="112" t="s">
        <v>84</v>
      </c>
      <c r="K3812" s="116" t="str">
        <f>I3812</f>
        <v>560100</v>
      </c>
      <c r="L3812" s="2">
        <v>1</v>
      </c>
      <c r="M3812" s="2" t="s">
        <v>84</v>
      </c>
      <c r="N3812" s="2" t="s">
        <v>84</v>
      </c>
      <c r="O3812" s="2" t="s">
        <v>841</v>
      </c>
      <c r="P3812" s="2" t="s">
        <v>2571</v>
      </c>
    </row>
    <row r="3813" spans="1:16" ht="22" customHeight="1" x14ac:dyDescent="0.15">
      <c r="A3813" s="10" t="str">
        <f t="shared" si="591"/>
        <v>561_10_0_10_polygon</v>
      </c>
      <c r="B3813" s="2">
        <v>561</v>
      </c>
      <c r="C3813" s="30" t="str">
        <f>VLOOKUP(B3813,gachas!A:C,3)</f>
        <v>ミニステップアップガチャ</v>
      </c>
      <c r="D3813" s="21">
        <v>10</v>
      </c>
      <c r="E3813" s="2">
        <v>0</v>
      </c>
      <c r="F3813" s="2">
        <v>10</v>
      </c>
      <c r="G3813" s="3" t="s">
        <v>22</v>
      </c>
      <c r="H3813" s="2">
        <v>40</v>
      </c>
      <c r="I3813" s="114" t="str">
        <f>CONCATENATE(B3813,IF(D3813=1,"01","10"),4)</f>
        <v>561104</v>
      </c>
      <c r="J3813" s="112" t="s">
        <v>84</v>
      </c>
      <c r="K3813" s="112" t="s">
        <v>84</v>
      </c>
      <c r="L3813" s="2">
        <v>0</v>
      </c>
      <c r="M3813" s="2" t="s">
        <v>84</v>
      </c>
      <c r="N3813" s="2" t="s">
        <v>84</v>
      </c>
      <c r="O3813" s="2" t="s">
        <v>841</v>
      </c>
      <c r="P3813" s="142" t="s">
        <v>2956</v>
      </c>
    </row>
    <row r="3814" spans="1:16" ht="22" customHeight="1" x14ac:dyDescent="0.15">
      <c r="A3814" s="10" t="str">
        <f t="shared" si="591"/>
        <v>561_10_1_1_polygon</v>
      </c>
      <c r="B3814" s="2">
        <v>561</v>
      </c>
      <c r="C3814" s="30" t="str">
        <f>VLOOKUP(B3814,gachas!A:C,3)</f>
        <v>ミニステップアップガチャ</v>
      </c>
      <c r="D3814" s="21">
        <v>10</v>
      </c>
      <c r="E3814" s="2">
        <f>E3813+1</f>
        <v>1</v>
      </c>
      <c r="F3814" s="2">
        <v>1</v>
      </c>
      <c r="G3814" s="3" t="s">
        <v>22</v>
      </c>
      <c r="H3814" s="2">
        <v>1</v>
      </c>
      <c r="I3814" s="114" t="str">
        <f>CONCATENATE(B3814,IF(D3814=1,"01","10"),1)</f>
        <v>561101</v>
      </c>
      <c r="J3814" s="112" t="s">
        <v>84</v>
      </c>
      <c r="K3814" s="112" t="s">
        <v>84</v>
      </c>
      <c r="L3814" s="2">
        <v>0</v>
      </c>
      <c r="M3814" s="2" t="s">
        <v>84</v>
      </c>
      <c r="N3814" s="2" t="s">
        <v>84</v>
      </c>
      <c r="O3814" s="2" t="s">
        <v>841</v>
      </c>
      <c r="P3814" s="142" t="s">
        <v>2952</v>
      </c>
    </row>
    <row r="3815" spans="1:16" ht="22" customHeight="1" x14ac:dyDescent="0.15">
      <c r="A3815" s="10" t="str">
        <f t="shared" si="591"/>
        <v>561_10_2_2_polygon</v>
      </c>
      <c r="B3815" s="2">
        <v>561</v>
      </c>
      <c r="C3815" s="30" t="str">
        <f>VLOOKUP(B3815,gachas!A:C,3)</f>
        <v>ミニステップアップガチャ</v>
      </c>
      <c r="D3815" s="21">
        <v>10</v>
      </c>
      <c r="E3815" s="2">
        <f t="shared" ref="E3815:E3862" si="596">E3814+1</f>
        <v>2</v>
      </c>
      <c r="F3815" s="2">
        <v>2</v>
      </c>
      <c r="G3815" s="3" t="s">
        <v>22</v>
      </c>
      <c r="H3815" s="2">
        <v>3</v>
      </c>
      <c r="I3815" s="114" t="str">
        <f>CONCATENATE(B3815,IF(D3815=1,"01","10"),1)</f>
        <v>561101</v>
      </c>
      <c r="J3815" s="112" t="str">
        <f>CONCATENATE(B3815,D3815,2)</f>
        <v>561102</v>
      </c>
      <c r="K3815" s="112" t="s">
        <v>84</v>
      </c>
      <c r="L3815" s="2">
        <v>0</v>
      </c>
      <c r="M3815" s="2" t="s">
        <v>84</v>
      </c>
      <c r="N3815" s="2" t="s">
        <v>84</v>
      </c>
      <c r="O3815" s="2" t="s">
        <v>841</v>
      </c>
      <c r="P3815" s="142" t="s">
        <v>2953</v>
      </c>
    </row>
    <row r="3816" spans="1:16" ht="22" customHeight="1" x14ac:dyDescent="0.15">
      <c r="A3816" s="10" t="str">
        <f t="shared" si="591"/>
        <v>561_10_3_3_polygon</v>
      </c>
      <c r="B3816" s="2">
        <v>561</v>
      </c>
      <c r="C3816" s="30" t="str">
        <f>VLOOKUP(B3816,gachas!A:C,3)</f>
        <v>ミニステップアップガチャ</v>
      </c>
      <c r="D3816" s="21">
        <v>10</v>
      </c>
      <c r="E3816" s="2">
        <f t="shared" si="596"/>
        <v>3</v>
      </c>
      <c r="F3816" s="2">
        <v>3</v>
      </c>
      <c r="G3816" s="3" t="s">
        <v>22</v>
      </c>
      <c r="H3816" s="2">
        <v>9</v>
      </c>
      <c r="I3816" s="114" t="str">
        <f>CONCATENATE(B3816,IF(D3816=1,"01","10"),1)</f>
        <v>561101</v>
      </c>
      <c r="J3816" s="112" t="str">
        <f>CONCATENATE(B3816,D3816,3)</f>
        <v>561103</v>
      </c>
      <c r="K3816" s="112" t="s">
        <v>84</v>
      </c>
      <c r="L3816" s="2">
        <v>0</v>
      </c>
      <c r="M3816" s="2" t="s">
        <v>84</v>
      </c>
      <c r="N3816" s="2" t="s">
        <v>84</v>
      </c>
      <c r="O3816" s="2" t="s">
        <v>841</v>
      </c>
      <c r="P3816" s="142" t="s">
        <v>2954</v>
      </c>
    </row>
    <row r="3817" spans="1:16" ht="22" customHeight="1" x14ac:dyDescent="0.15">
      <c r="A3817" s="10" t="str">
        <f t="shared" si="591"/>
        <v>561_10_4_5_polygon</v>
      </c>
      <c r="B3817" s="2">
        <v>561</v>
      </c>
      <c r="C3817" s="30" t="str">
        <f>VLOOKUP(B3817,gachas!A:C,3)</f>
        <v>ミニステップアップガチャ</v>
      </c>
      <c r="D3817" s="21">
        <v>10</v>
      </c>
      <c r="E3817" s="2">
        <f t="shared" si="596"/>
        <v>4</v>
      </c>
      <c r="F3817" s="2">
        <v>5</v>
      </c>
      <c r="G3817" s="3" t="s">
        <v>22</v>
      </c>
      <c r="H3817" s="2">
        <v>20</v>
      </c>
      <c r="I3817" s="114" t="str">
        <f>CONCATENATE(B3817,IF(D3817=1,"01","10"),4)</f>
        <v>561104</v>
      </c>
      <c r="J3817" s="112" t="str">
        <f>CONCATENATE(B3817,D3817,4)</f>
        <v>561104</v>
      </c>
      <c r="K3817" s="112" t="s">
        <v>84</v>
      </c>
      <c r="L3817" s="2">
        <v>0</v>
      </c>
      <c r="M3817" s="2" t="s">
        <v>84</v>
      </c>
      <c r="N3817" s="2" t="s">
        <v>84</v>
      </c>
      <c r="O3817" s="2" t="s">
        <v>841</v>
      </c>
      <c r="P3817" s="142" t="s">
        <v>2955</v>
      </c>
    </row>
    <row r="3818" spans="1:16" ht="22" customHeight="1" x14ac:dyDescent="0.15">
      <c r="A3818" s="10" t="str">
        <f t="shared" si="591"/>
        <v>561_10_5_10_polygon</v>
      </c>
      <c r="B3818" s="2">
        <v>561</v>
      </c>
      <c r="C3818" s="30" t="str">
        <f>VLOOKUP(B3818,gachas!A:C,3)</f>
        <v>ミニステップアップガチャ</v>
      </c>
      <c r="D3818" s="21">
        <v>10</v>
      </c>
      <c r="E3818" s="2">
        <f t="shared" si="596"/>
        <v>5</v>
      </c>
      <c r="F3818" s="2">
        <v>10</v>
      </c>
      <c r="G3818" s="3" t="s">
        <v>22</v>
      </c>
      <c r="H3818" s="2">
        <v>40</v>
      </c>
      <c r="I3818" s="114" t="str">
        <f>CONCATENATE(B3818,IF(D3818=1,"01","10"),4)</f>
        <v>561104</v>
      </c>
      <c r="J3818" s="112" t="s">
        <v>84</v>
      </c>
      <c r="K3818" s="112" t="str">
        <f>CONCATENATE(B3818,D3818,5)</f>
        <v>561105</v>
      </c>
      <c r="L3818" s="2">
        <v>1</v>
      </c>
      <c r="M3818" s="2" t="s">
        <v>84</v>
      </c>
      <c r="N3818" s="2" t="s">
        <v>84</v>
      </c>
      <c r="O3818" s="2" t="s">
        <v>841</v>
      </c>
      <c r="P3818" s="142" t="s">
        <v>2879</v>
      </c>
    </row>
    <row r="3819" spans="1:16" ht="22" customHeight="1" x14ac:dyDescent="0.15">
      <c r="A3819" s="10" t="str">
        <f t="shared" si="591"/>
        <v>561_10_6_1_polygon</v>
      </c>
      <c r="B3819" s="2">
        <v>561</v>
      </c>
      <c r="C3819" s="30" t="str">
        <f>VLOOKUP(B3819,gachas!A:C,3)</f>
        <v>ミニステップアップガチャ</v>
      </c>
      <c r="D3819" s="21">
        <v>10</v>
      </c>
      <c r="E3819" s="2">
        <f t="shared" si="596"/>
        <v>6</v>
      </c>
      <c r="F3819" s="2">
        <v>1</v>
      </c>
      <c r="G3819" s="3" t="s">
        <v>22</v>
      </c>
      <c r="H3819" s="2">
        <v>1</v>
      </c>
      <c r="I3819" s="114" t="str">
        <f>CONCATENATE(B3819,IF(D3819=1,"01","10"),1)</f>
        <v>561101</v>
      </c>
      <c r="J3819" s="112" t="s">
        <v>84</v>
      </c>
      <c r="K3819" s="112" t="s">
        <v>84</v>
      </c>
      <c r="L3819" s="2">
        <v>0</v>
      </c>
      <c r="M3819" s="2" t="s">
        <v>84</v>
      </c>
      <c r="N3819" s="2" t="s">
        <v>84</v>
      </c>
      <c r="O3819" s="2" t="s">
        <v>841</v>
      </c>
      <c r="P3819" s="142" t="s">
        <v>2952</v>
      </c>
    </row>
    <row r="3820" spans="1:16" ht="22" customHeight="1" x14ac:dyDescent="0.15">
      <c r="A3820" s="10" t="str">
        <f t="shared" si="591"/>
        <v>561_10_7_2_polygon</v>
      </c>
      <c r="B3820" s="2">
        <v>561</v>
      </c>
      <c r="C3820" s="30" t="str">
        <f>VLOOKUP(B3820,gachas!A:C,3)</f>
        <v>ミニステップアップガチャ</v>
      </c>
      <c r="D3820" s="21">
        <v>10</v>
      </c>
      <c r="E3820" s="2">
        <f t="shared" si="596"/>
        <v>7</v>
      </c>
      <c r="F3820" s="2">
        <v>2</v>
      </c>
      <c r="G3820" s="3" t="s">
        <v>22</v>
      </c>
      <c r="H3820" s="2">
        <v>3</v>
      </c>
      <c r="I3820" s="114" t="str">
        <f>CONCATENATE(B3820,IF(D3820=1,"01","10"),1)</f>
        <v>561101</v>
      </c>
      <c r="J3820" s="112" t="str">
        <f>CONCATENATE(B3820,D3820,2)</f>
        <v>561102</v>
      </c>
      <c r="K3820" s="112" t="s">
        <v>84</v>
      </c>
      <c r="L3820" s="2">
        <v>0</v>
      </c>
      <c r="M3820" s="2" t="s">
        <v>84</v>
      </c>
      <c r="N3820" s="2" t="s">
        <v>84</v>
      </c>
      <c r="O3820" s="2" t="s">
        <v>841</v>
      </c>
      <c r="P3820" s="142" t="s">
        <v>2953</v>
      </c>
    </row>
    <row r="3821" spans="1:16" ht="22" customHeight="1" x14ac:dyDescent="0.15">
      <c r="A3821" s="10" t="str">
        <f t="shared" si="591"/>
        <v>561_10_8_3_polygon</v>
      </c>
      <c r="B3821" s="2">
        <v>561</v>
      </c>
      <c r="C3821" s="30" t="str">
        <f>VLOOKUP(B3821,gachas!A:C,3)</f>
        <v>ミニステップアップガチャ</v>
      </c>
      <c r="D3821" s="21">
        <v>10</v>
      </c>
      <c r="E3821" s="2">
        <f t="shared" si="596"/>
        <v>8</v>
      </c>
      <c r="F3821" s="2">
        <v>3</v>
      </c>
      <c r="G3821" s="3" t="s">
        <v>22</v>
      </c>
      <c r="H3821" s="2">
        <v>9</v>
      </c>
      <c r="I3821" s="114" t="str">
        <f>CONCATENATE(B3821,IF(D3821=1,"01","10"),1)</f>
        <v>561101</v>
      </c>
      <c r="J3821" s="112" t="str">
        <f>CONCATENATE(B3821,D3821,3)</f>
        <v>561103</v>
      </c>
      <c r="K3821" s="112" t="s">
        <v>84</v>
      </c>
      <c r="L3821" s="2">
        <v>0</v>
      </c>
      <c r="M3821" s="2" t="s">
        <v>84</v>
      </c>
      <c r="N3821" s="2" t="s">
        <v>84</v>
      </c>
      <c r="O3821" s="2" t="s">
        <v>841</v>
      </c>
      <c r="P3821" s="142" t="s">
        <v>2954</v>
      </c>
    </row>
    <row r="3822" spans="1:16" ht="22" customHeight="1" x14ac:dyDescent="0.15">
      <c r="A3822" s="10" t="str">
        <f t="shared" si="591"/>
        <v>561_10_9_5_polygon</v>
      </c>
      <c r="B3822" s="2">
        <v>561</v>
      </c>
      <c r="C3822" s="30" t="str">
        <f>VLOOKUP(B3822,gachas!A:C,3)</f>
        <v>ミニステップアップガチャ</v>
      </c>
      <c r="D3822" s="21">
        <v>10</v>
      </c>
      <c r="E3822" s="2">
        <f t="shared" si="596"/>
        <v>9</v>
      </c>
      <c r="F3822" s="2">
        <v>5</v>
      </c>
      <c r="G3822" s="3" t="s">
        <v>22</v>
      </c>
      <c r="H3822" s="2">
        <v>20</v>
      </c>
      <c r="I3822" s="114" t="str">
        <f>CONCATENATE(B3822,IF(D3822=1,"01","10"),4)</f>
        <v>561104</v>
      </c>
      <c r="J3822" s="112" t="str">
        <f>CONCATENATE(B3822,D3822,4)</f>
        <v>561104</v>
      </c>
      <c r="K3822" s="112" t="s">
        <v>84</v>
      </c>
      <c r="L3822" s="2">
        <v>0</v>
      </c>
      <c r="M3822" s="2" t="s">
        <v>84</v>
      </c>
      <c r="N3822" s="2" t="s">
        <v>84</v>
      </c>
      <c r="O3822" s="2" t="s">
        <v>841</v>
      </c>
      <c r="P3822" s="142" t="s">
        <v>2955</v>
      </c>
    </row>
    <row r="3823" spans="1:16" ht="22" customHeight="1" x14ac:dyDescent="0.15">
      <c r="A3823" s="10" t="str">
        <f t="shared" si="591"/>
        <v>561_10_10_10_polygon</v>
      </c>
      <c r="B3823" s="2">
        <v>561</v>
      </c>
      <c r="C3823" s="30" t="str">
        <f>VLOOKUP(B3823,gachas!A:C,3)</f>
        <v>ミニステップアップガチャ</v>
      </c>
      <c r="D3823" s="21">
        <v>10</v>
      </c>
      <c r="E3823" s="2">
        <f t="shared" si="596"/>
        <v>10</v>
      </c>
      <c r="F3823" s="2">
        <v>10</v>
      </c>
      <c r="G3823" s="3" t="s">
        <v>22</v>
      </c>
      <c r="H3823" s="2">
        <v>40</v>
      </c>
      <c r="I3823" s="114" t="str">
        <f>CONCATENATE(B3823,IF(D3823=1,"01","10"),4)</f>
        <v>561104</v>
      </c>
      <c r="J3823" s="112" t="s">
        <v>84</v>
      </c>
      <c r="K3823" s="112" t="str">
        <f>CONCATENATE(B3823,D3823,5)</f>
        <v>561105</v>
      </c>
      <c r="L3823" s="2">
        <v>1</v>
      </c>
      <c r="M3823" s="2" t="s">
        <v>84</v>
      </c>
      <c r="N3823" s="2" t="s">
        <v>84</v>
      </c>
      <c r="O3823" s="2" t="s">
        <v>841</v>
      </c>
      <c r="P3823" s="142" t="s">
        <v>2879</v>
      </c>
    </row>
    <row r="3824" spans="1:16" ht="22" customHeight="1" x14ac:dyDescent="0.15">
      <c r="A3824" s="10" t="str">
        <f t="shared" si="591"/>
        <v>561_10_11_1_polygon</v>
      </c>
      <c r="B3824" s="2">
        <v>561</v>
      </c>
      <c r="C3824" s="30" t="str">
        <f>VLOOKUP(B3824,gachas!A:C,3)</f>
        <v>ミニステップアップガチャ</v>
      </c>
      <c r="D3824" s="21">
        <v>10</v>
      </c>
      <c r="E3824" s="2">
        <f t="shared" si="596"/>
        <v>11</v>
      </c>
      <c r="F3824" s="2">
        <v>1</v>
      </c>
      <c r="G3824" s="3" t="s">
        <v>22</v>
      </c>
      <c r="H3824" s="2">
        <v>1</v>
      </c>
      <c r="I3824" s="114" t="str">
        <f>CONCATENATE(B3824,IF(D3824=1,"01","10"),1)</f>
        <v>561101</v>
      </c>
      <c r="J3824" s="112" t="s">
        <v>84</v>
      </c>
      <c r="K3824" s="112" t="s">
        <v>84</v>
      </c>
      <c r="L3824" s="2">
        <v>0</v>
      </c>
      <c r="M3824" s="2" t="s">
        <v>84</v>
      </c>
      <c r="N3824" s="2" t="s">
        <v>84</v>
      </c>
      <c r="O3824" s="2" t="s">
        <v>841</v>
      </c>
      <c r="P3824" s="142" t="s">
        <v>2952</v>
      </c>
    </row>
    <row r="3825" spans="1:16" ht="22" customHeight="1" x14ac:dyDescent="0.15">
      <c r="A3825" s="10" t="str">
        <f t="shared" si="591"/>
        <v>561_10_12_2_polygon</v>
      </c>
      <c r="B3825" s="2">
        <v>561</v>
      </c>
      <c r="C3825" s="30" t="str">
        <f>VLOOKUP(B3825,gachas!A:C,3)</f>
        <v>ミニステップアップガチャ</v>
      </c>
      <c r="D3825" s="21">
        <v>10</v>
      </c>
      <c r="E3825" s="2">
        <f t="shared" si="596"/>
        <v>12</v>
      </c>
      <c r="F3825" s="2">
        <v>2</v>
      </c>
      <c r="G3825" s="3" t="s">
        <v>22</v>
      </c>
      <c r="H3825" s="2">
        <v>3</v>
      </c>
      <c r="I3825" s="114" t="str">
        <f>CONCATENATE(B3825,IF(D3825=1,"01","10"),1)</f>
        <v>561101</v>
      </c>
      <c r="J3825" s="112" t="str">
        <f>CONCATENATE(B3825,D3825,2)</f>
        <v>561102</v>
      </c>
      <c r="K3825" s="112" t="s">
        <v>84</v>
      </c>
      <c r="L3825" s="2">
        <v>0</v>
      </c>
      <c r="M3825" s="2" t="s">
        <v>84</v>
      </c>
      <c r="N3825" s="2" t="s">
        <v>84</v>
      </c>
      <c r="O3825" s="2" t="s">
        <v>841</v>
      </c>
      <c r="P3825" s="142" t="s">
        <v>2953</v>
      </c>
    </row>
    <row r="3826" spans="1:16" ht="22" customHeight="1" x14ac:dyDescent="0.15">
      <c r="A3826" s="10" t="str">
        <f t="shared" si="591"/>
        <v>561_10_13_3_polygon</v>
      </c>
      <c r="B3826" s="2">
        <v>561</v>
      </c>
      <c r="C3826" s="30" t="str">
        <f>VLOOKUP(B3826,gachas!A:C,3)</f>
        <v>ミニステップアップガチャ</v>
      </c>
      <c r="D3826" s="21">
        <v>10</v>
      </c>
      <c r="E3826" s="2">
        <f t="shared" si="596"/>
        <v>13</v>
      </c>
      <c r="F3826" s="2">
        <v>3</v>
      </c>
      <c r="G3826" s="3" t="s">
        <v>22</v>
      </c>
      <c r="H3826" s="2">
        <v>9</v>
      </c>
      <c r="I3826" s="114" t="str">
        <f>CONCATENATE(B3826,IF(D3826=1,"01","10"),1)</f>
        <v>561101</v>
      </c>
      <c r="J3826" s="112" t="str">
        <f>CONCATENATE(B3826,D3826,3)</f>
        <v>561103</v>
      </c>
      <c r="K3826" s="112" t="s">
        <v>84</v>
      </c>
      <c r="L3826" s="2">
        <v>0</v>
      </c>
      <c r="M3826" s="2" t="s">
        <v>84</v>
      </c>
      <c r="N3826" s="2" t="s">
        <v>84</v>
      </c>
      <c r="O3826" s="2" t="s">
        <v>841</v>
      </c>
      <c r="P3826" s="142" t="s">
        <v>2954</v>
      </c>
    </row>
    <row r="3827" spans="1:16" ht="22" customHeight="1" x14ac:dyDescent="0.15">
      <c r="A3827" s="10" t="str">
        <f t="shared" si="591"/>
        <v>561_10_14_5_polygon</v>
      </c>
      <c r="B3827" s="2">
        <v>561</v>
      </c>
      <c r="C3827" s="30" t="str">
        <f>VLOOKUP(B3827,gachas!A:C,3)</f>
        <v>ミニステップアップガチャ</v>
      </c>
      <c r="D3827" s="21">
        <v>10</v>
      </c>
      <c r="E3827" s="2">
        <f t="shared" si="596"/>
        <v>14</v>
      </c>
      <c r="F3827" s="2">
        <v>5</v>
      </c>
      <c r="G3827" s="3" t="s">
        <v>22</v>
      </c>
      <c r="H3827" s="2">
        <v>20</v>
      </c>
      <c r="I3827" s="114" t="str">
        <f>CONCATENATE(B3827,IF(D3827=1,"01","10"),4)</f>
        <v>561104</v>
      </c>
      <c r="J3827" s="112" t="str">
        <f>CONCATENATE(B3827,D3827,4)</f>
        <v>561104</v>
      </c>
      <c r="K3827" s="112" t="s">
        <v>84</v>
      </c>
      <c r="L3827" s="2">
        <v>0</v>
      </c>
      <c r="M3827" s="2" t="s">
        <v>84</v>
      </c>
      <c r="N3827" s="2" t="s">
        <v>84</v>
      </c>
      <c r="O3827" s="2" t="s">
        <v>841</v>
      </c>
      <c r="P3827" s="142" t="s">
        <v>2955</v>
      </c>
    </row>
    <row r="3828" spans="1:16" ht="22" customHeight="1" x14ac:dyDescent="0.15">
      <c r="A3828" s="10" t="str">
        <f t="shared" si="591"/>
        <v>561_10_15_10_polygon</v>
      </c>
      <c r="B3828" s="2">
        <v>561</v>
      </c>
      <c r="C3828" s="30" t="str">
        <f>VLOOKUP(B3828,gachas!A:C,3)</f>
        <v>ミニステップアップガチャ</v>
      </c>
      <c r="D3828" s="21">
        <v>10</v>
      </c>
      <c r="E3828" s="2">
        <f t="shared" si="596"/>
        <v>15</v>
      </c>
      <c r="F3828" s="2">
        <v>10</v>
      </c>
      <c r="G3828" s="3" t="s">
        <v>22</v>
      </c>
      <c r="H3828" s="2">
        <v>40</v>
      </c>
      <c r="I3828" s="114" t="str">
        <f>CONCATENATE(B3828,IF(D3828=1,"01","10"),4)</f>
        <v>561104</v>
      </c>
      <c r="J3828" s="112" t="s">
        <v>84</v>
      </c>
      <c r="K3828" s="112" t="str">
        <f>CONCATENATE(B3828,D3828,5)</f>
        <v>561105</v>
      </c>
      <c r="L3828" s="2">
        <v>1</v>
      </c>
      <c r="M3828" s="2" t="s">
        <v>84</v>
      </c>
      <c r="N3828" s="2" t="s">
        <v>84</v>
      </c>
      <c r="O3828" s="2" t="s">
        <v>841</v>
      </c>
      <c r="P3828" s="142" t="s">
        <v>2879</v>
      </c>
    </row>
    <row r="3829" spans="1:16" ht="22" customHeight="1" x14ac:dyDescent="0.15">
      <c r="A3829" s="10" t="str">
        <f t="shared" si="591"/>
        <v>561_10_16_1_polygon</v>
      </c>
      <c r="B3829" s="2">
        <v>561</v>
      </c>
      <c r="C3829" s="30" t="str">
        <f>VLOOKUP(B3829,gachas!A:C,3)</f>
        <v>ミニステップアップガチャ</v>
      </c>
      <c r="D3829" s="21">
        <v>10</v>
      </c>
      <c r="E3829" s="2">
        <f t="shared" si="596"/>
        <v>16</v>
      </c>
      <c r="F3829" s="2">
        <v>1</v>
      </c>
      <c r="G3829" s="3" t="s">
        <v>22</v>
      </c>
      <c r="H3829" s="2">
        <v>1</v>
      </c>
      <c r="I3829" s="114" t="str">
        <f>CONCATENATE(B3829,IF(D3829=1,"01","10"),1)</f>
        <v>561101</v>
      </c>
      <c r="J3829" s="112" t="s">
        <v>84</v>
      </c>
      <c r="K3829" s="112" t="s">
        <v>84</v>
      </c>
      <c r="L3829" s="2">
        <v>0</v>
      </c>
      <c r="M3829" s="2" t="s">
        <v>84</v>
      </c>
      <c r="N3829" s="2" t="s">
        <v>84</v>
      </c>
      <c r="O3829" s="2" t="s">
        <v>841</v>
      </c>
      <c r="P3829" s="142" t="s">
        <v>2952</v>
      </c>
    </row>
    <row r="3830" spans="1:16" ht="22" customHeight="1" x14ac:dyDescent="0.15">
      <c r="A3830" s="10" t="str">
        <f t="shared" si="591"/>
        <v>561_10_17_2_polygon</v>
      </c>
      <c r="B3830" s="2">
        <v>561</v>
      </c>
      <c r="C3830" s="30" t="str">
        <f>VLOOKUP(B3830,gachas!A:C,3)</f>
        <v>ミニステップアップガチャ</v>
      </c>
      <c r="D3830" s="21">
        <v>10</v>
      </c>
      <c r="E3830" s="2">
        <f t="shared" si="596"/>
        <v>17</v>
      </c>
      <c r="F3830" s="2">
        <v>2</v>
      </c>
      <c r="G3830" s="3" t="s">
        <v>22</v>
      </c>
      <c r="H3830" s="2">
        <v>3</v>
      </c>
      <c r="I3830" s="114" t="str">
        <f>CONCATENATE(B3830,IF(D3830=1,"01","10"),1)</f>
        <v>561101</v>
      </c>
      <c r="J3830" s="112" t="str">
        <f>CONCATENATE(B3830,D3830,2)</f>
        <v>561102</v>
      </c>
      <c r="K3830" s="112" t="s">
        <v>84</v>
      </c>
      <c r="L3830" s="2">
        <v>0</v>
      </c>
      <c r="M3830" s="2" t="s">
        <v>84</v>
      </c>
      <c r="N3830" s="2" t="s">
        <v>84</v>
      </c>
      <c r="O3830" s="2" t="s">
        <v>841</v>
      </c>
      <c r="P3830" s="142" t="s">
        <v>2953</v>
      </c>
    </row>
    <row r="3831" spans="1:16" ht="22" customHeight="1" x14ac:dyDescent="0.15">
      <c r="A3831" s="10" t="str">
        <f t="shared" si="591"/>
        <v>561_10_18_3_polygon</v>
      </c>
      <c r="B3831" s="2">
        <v>561</v>
      </c>
      <c r="C3831" s="30" t="str">
        <f>VLOOKUP(B3831,gachas!A:C,3)</f>
        <v>ミニステップアップガチャ</v>
      </c>
      <c r="D3831" s="21">
        <v>10</v>
      </c>
      <c r="E3831" s="2">
        <f t="shared" si="596"/>
        <v>18</v>
      </c>
      <c r="F3831" s="2">
        <v>3</v>
      </c>
      <c r="G3831" s="3" t="s">
        <v>22</v>
      </c>
      <c r="H3831" s="2">
        <v>9</v>
      </c>
      <c r="I3831" s="114" t="str">
        <f>CONCATENATE(B3831,IF(D3831=1,"01","10"),1)</f>
        <v>561101</v>
      </c>
      <c r="J3831" s="112" t="str">
        <f>CONCATENATE(B3831,D3831,3)</f>
        <v>561103</v>
      </c>
      <c r="K3831" s="112" t="s">
        <v>84</v>
      </c>
      <c r="L3831" s="2">
        <v>0</v>
      </c>
      <c r="M3831" s="2" t="s">
        <v>84</v>
      </c>
      <c r="N3831" s="2" t="s">
        <v>84</v>
      </c>
      <c r="O3831" s="2" t="s">
        <v>841</v>
      </c>
      <c r="P3831" s="142" t="s">
        <v>2954</v>
      </c>
    </row>
    <row r="3832" spans="1:16" ht="22" customHeight="1" x14ac:dyDescent="0.15">
      <c r="A3832" s="10" t="str">
        <f t="shared" si="591"/>
        <v>561_10_19_5_polygon</v>
      </c>
      <c r="B3832" s="2">
        <v>561</v>
      </c>
      <c r="C3832" s="30" t="str">
        <f>VLOOKUP(B3832,gachas!A:C,3)</f>
        <v>ミニステップアップガチャ</v>
      </c>
      <c r="D3832" s="21">
        <v>10</v>
      </c>
      <c r="E3832" s="2">
        <f t="shared" si="596"/>
        <v>19</v>
      </c>
      <c r="F3832" s="2">
        <v>5</v>
      </c>
      <c r="G3832" s="3" t="s">
        <v>22</v>
      </c>
      <c r="H3832" s="2">
        <v>20</v>
      </c>
      <c r="I3832" s="114" t="str">
        <f>CONCATENATE(B3832,IF(D3832=1,"01","10"),4)</f>
        <v>561104</v>
      </c>
      <c r="J3832" s="112" t="str">
        <f>CONCATENATE(B3832,D3832,4)</f>
        <v>561104</v>
      </c>
      <c r="K3832" s="112" t="s">
        <v>84</v>
      </c>
      <c r="L3832" s="2">
        <v>0</v>
      </c>
      <c r="M3832" s="2" t="s">
        <v>84</v>
      </c>
      <c r="N3832" s="2" t="s">
        <v>84</v>
      </c>
      <c r="O3832" s="2" t="s">
        <v>841</v>
      </c>
      <c r="P3832" s="142" t="s">
        <v>2955</v>
      </c>
    </row>
    <row r="3833" spans="1:16" ht="22" customHeight="1" x14ac:dyDescent="0.15">
      <c r="A3833" s="10" t="str">
        <f t="shared" si="591"/>
        <v>561_10_20_10_polygon</v>
      </c>
      <c r="B3833" s="2">
        <v>561</v>
      </c>
      <c r="C3833" s="30" t="str">
        <f>VLOOKUP(B3833,gachas!A:C,3)</f>
        <v>ミニステップアップガチャ</v>
      </c>
      <c r="D3833" s="21">
        <v>10</v>
      </c>
      <c r="E3833" s="2">
        <f t="shared" si="596"/>
        <v>20</v>
      </c>
      <c r="F3833" s="2">
        <v>10</v>
      </c>
      <c r="G3833" s="3" t="s">
        <v>22</v>
      </c>
      <c r="H3833" s="2">
        <v>40</v>
      </c>
      <c r="I3833" s="114" t="str">
        <f>CONCATENATE(B3833,IF(D3833=1,"01","10"),4)</f>
        <v>561104</v>
      </c>
      <c r="J3833" s="112" t="s">
        <v>84</v>
      </c>
      <c r="K3833" s="112" t="str">
        <f>CONCATENATE(B3833,D3833,5)</f>
        <v>561105</v>
      </c>
      <c r="L3833" s="2">
        <v>1</v>
      </c>
      <c r="M3833" s="2" t="s">
        <v>84</v>
      </c>
      <c r="N3833" s="2" t="s">
        <v>84</v>
      </c>
      <c r="O3833" s="2" t="s">
        <v>841</v>
      </c>
      <c r="P3833" s="142" t="s">
        <v>2879</v>
      </c>
    </row>
    <row r="3834" spans="1:16" ht="22" customHeight="1" x14ac:dyDescent="0.15">
      <c r="A3834" s="10" t="str">
        <f t="shared" si="591"/>
        <v>561_10_21_1_polygon</v>
      </c>
      <c r="B3834" s="2">
        <v>561</v>
      </c>
      <c r="C3834" s="30" t="str">
        <f>VLOOKUP(B3834,gachas!A:C,3)</f>
        <v>ミニステップアップガチャ</v>
      </c>
      <c r="D3834" s="21">
        <v>10</v>
      </c>
      <c r="E3834" s="2">
        <f t="shared" si="596"/>
        <v>21</v>
      </c>
      <c r="F3834" s="2">
        <v>1</v>
      </c>
      <c r="G3834" s="3" t="s">
        <v>22</v>
      </c>
      <c r="H3834" s="2">
        <v>1</v>
      </c>
      <c r="I3834" s="114" t="str">
        <f>CONCATENATE(B3834,IF(D3834=1,"01","10"),1)</f>
        <v>561101</v>
      </c>
      <c r="J3834" s="112" t="s">
        <v>84</v>
      </c>
      <c r="K3834" s="112" t="s">
        <v>84</v>
      </c>
      <c r="L3834" s="2">
        <v>0</v>
      </c>
      <c r="M3834" s="2" t="s">
        <v>84</v>
      </c>
      <c r="N3834" s="2" t="s">
        <v>84</v>
      </c>
      <c r="O3834" s="2" t="s">
        <v>841</v>
      </c>
      <c r="P3834" s="142" t="s">
        <v>2952</v>
      </c>
    </row>
    <row r="3835" spans="1:16" ht="22" customHeight="1" x14ac:dyDescent="0.15">
      <c r="A3835" s="10" t="str">
        <f t="shared" si="591"/>
        <v>561_10_22_2_polygon</v>
      </c>
      <c r="B3835" s="2">
        <v>561</v>
      </c>
      <c r="C3835" s="30" t="str">
        <f>VLOOKUP(B3835,gachas!A:C,3)</f>
        <v>ミニステップアップガチャ</v>
      </c>
      <c r="D3835" s="21">
        <v>10</v>
      </c>
      <c r="E3835" s="2">
        <f t="shared" si="596"/>
        <v>22</v>
      </c>
      <c r="F3835" s="2">
        <v>2</v>
      </c>
      <c r="G3835" s="3" t="s">
        <v>22</v>
      </c>
      <c r="H3835" s="2">
        <v>3</v>
      </c>
      <c r="I3835" s="114" t="str">
        <f>CONCATENATE(B3835,IF(D3835=1,"01","10"),1)</f>
        <v>561101</v>
      </c>
      <c r="J3835" s="112" t="str">
        <f>CONCATENATE(B3835,D3835,2)</f>
        <v>561102</v>
      </c>
      <c r="K3835" s="112" t="s">
        <v>84</v>
      </c>
      <c r="L3835" s="2">
        <v>0</v>
      </c>
      <c r="M3835" s="2" t="s">
        <v>84</v>
      </c>
      <c r="N3835" s="2" t="s">
        <v>84</v>
      </c>
      <c r="O3835" s="2" t="s">
        <v>841</v>
      </c>
      <c r="P3835" s="142" t="s">
        <v>2953</v>
      </c>
    </row>
    <row r="3836" spans="1:16" ht="22" customHeight="1" x14ac:dyDescent="0.15">
      <c r="A3836" s="10" t="str">
        <f t="shared" si="591"/>
        <v>561_10_23_3_polygon</v>
      </c>
      <c r="B3836" s="2">
        <v>561</v>
      </c>
      <c r="C3836" s="30" t="str">
        <f>VLOOKUP(B3836,gachas!A:C,3)</f>
        <v>ミニステップアップガチャ</v>
      </c>
      <c r="D3836" s="21">
        <v>10</v>
      </c>
      <c r="E3836" s="2">
        <f t="shared" si="596"/>
        <v>23</v>
      </c>
      <c r="F3836" s="2">
        <v>3</v>
      </c>
      <c r="G3836" s="3" t="s">
        <v>22</v>
      </c>
      <c r="H3836" s="2">
        <v>9</v>
      </c>
      <c r="I3836" s="114" t="str">
        <f>CONCATENATE(B3836,IF(D3836=1,"01","10"),1)</f>
        <v>561101</v>
      </c>
      <c r="J3836" s="112" t="str">
        <f>CONCATENATE(B3836,D3836,3)</f>
        <v>561103</v>
      </c>
      <c r="K3836" s="112" t="s">
        <v>84</v>
      </c>
      <c r="L3836" s="2">
        <v>0</v>
      </c>
      <c r="M3836" s="2" t="s">
        <v>84</v>
      </c>
      <c r="N3836" s="2" t="s">
        <v>84</v>
      </c>
      <c r="O3836" s="2" t="s">
        <v>841</v>
      </c>
      <c r="P3836" s="142" t="s">
        <v>2954</v>
      </c>
    </row>
    <row r="3837" spans="1:16" ht="22" customHeight="1" x14ac:dyDescent="0.15">
      <c r="A3837" s="10" t="str">
        <f t="shared" si="591"/>
        <v>561_10_24_5_polygon</v>
      </c>
      <c r="B3837" s="2">
        <v>561</v>
      </c>
      <c r="C3837" s="30" t="str">
        <f>VLOOKUP(B3837,gachas!A:C,3)</f>
        <v>ミニステップアップガチャ</v>
      </c>
      <c r="D3837" s="21">
        <v>10</v>
      </c>
      <c r="E3837" s="2">
        <f t="shared" si="596"/>
        <v>24</v>
      </c>
      <c r="F3837" s="2">
        <v>5</v>
      </c>
      <c r="G3837" s="3" t="s">
        <v>22</v>
      </c>
      <c r="H3837" s="2">
        <v>20</v>
      </c>
      <c r="I3837" s="114" t="str">
        <f>CONCATENATE(B3837,IF(D3837=1,"01","10"),4)</f>
        <v>561104</v>
      </c>
      <c r="J3837" s="112" t="str">
        <f>CONCATENATE(B3837,D3837,4)</f>
        <v>561104</v>
      </c>
      <c r="K3837" s="112" t="s">
        <v>84</v>
      </c>
      <c r="L3837" s="2">
        <v>0</v>
      </c>
      <c r="M3837" s="2" t="s">
        <v>84</v>
      </c>
      <c r="N3837" s="2" t="s">
        <v>84</v>
      </c>
      <c r="O3837" s="2" t="s">
        <v>841</v>
      </c>
      <c r="P3837" s="142" t="s">
        <v>2955</v>
      </c>
    </row>
    <row r="3838" spans="1:16" ht="22" customHeight="1" x14ac:dyDescent="0.15">
      <c r="A3838" s="10" t="str">
        <f t="shared" si="591"/>
        <v>561_10_25_10_polygon</v>
      </c>
      <c r="B3838" s="2">
        <v>561</v>
      </c>
      <c r="C3838" s="30" t="str">
        <f>VLOOKUP(B3838,gachas!A:C,3)</f>
        <v>ミニステップアップガチャ</v>
      </c>
      <c r="D3838" s="21">
        <v>10</v>
      </c>
      <c r="E3838" s="2">
        <f t="shared" si="596"/>
        <v>25</v>
      </c>
      <c r="F3838" s="2">
        <v>10</v>
      </c>
      <c r="G3838" s="3" t="s">
        <v>22</v>
      </c>
      <c r="H3838" s="2">
        <v>40</v>
      </c>
      <c r="I3838" s="114" t="str">
        <f>CONCATENATE(B3838,IF(D3838=1,"01","10"),4)</f>
        <v>561104</v>
      </c>
      <c r="J3838" s="112" t="s">
        <v>84</v>
      </c>
      <c r="K3838" s="112" t="str">
        <f>CONCATENATE(B3838,D3838,5)</f>
        <v>561105</v>
      </c>
      <c r="L3838" s="2">
        <v>1</v>
      </c>
      <c r="M3838" s="2" t="s">
        <v>84</v>
      </c>
      <c r="N3838" s="2" t="s">
        <v>84</v>
      </c>
      <c r="O3838" s="2" t="s">
        <v>841</v>
      </c>
      <c r="P3838" s="142" t="s">
        <v>2879</v>
      </c>
    </row>
    <row r="3839" spans="1:16" ht="22" customHeight="1" x14ac:dyDescent="0.15">
      <c r="A3839" s="10" t="str">
        <f t="shared" si="591"/>
        <v>561_10_26_1_polygon</v>
      </c>
      <c r="B3839" s="2">
        <v>561</v>
      </c>
      <c r="C3839" s="30" t="str">
        <f>VLOOKUP(B3839,gachas!A:C,3)</f>
        <v>ミニステップアップガチャ</v>
      </c>
      <c r="D3839" s="21">
        <v>10</v>
      </c>
      <c r="E3839" s="2">
        <f t="shared" si="596"/>
        <v>26</v>
      </c>
      <c r="F3839" s="2">
        <v>1</v>
      </c>
      <c r="G3839" s="3" t="s">
        <v>22</v>
      </c>
      <c r="H3839" s="2">
        <v>1</v>
      </c>
      <c r="I3839" s="114" t="str">
        <f>CONCATENATE(B3839,IF(D3839=1,"01","10"),1)</f>
        <v>561101</v>
      </c>
      <c r="J3839" s="112" t="s">
        <v>84</v>
      </c>
      <c r="K3839" s="112" t="s">
        <v>84</v>
      </c>
      <c r="L3839" s="2">
        <v>0</v>
      </c>
      <c r="M3839" s="2" t="s">
        <v>84</v>
      </c>
      <c r="N3839" s="2" t="s">
        <v>84</v>
      </c>
      <c r="O3839" s="2" t="s">
        <v>841</v>
      </c>
      <c r="P3839" s="142" t="s">
        <v>2952</v>
      </c>
    </row>
    <row r="3840" spans="1:16" ht="22" customHeight="1" x14ac:dyDescent="0.15">
      <c r="A3840" s="10" t="str">
        <f t="shared" si="591"/>
        <v>561_10_27_2_polygon</v>
      </c>
      <c r="B3840" s="2">
        <v>561</v>
      </c>
      <c r="C3840" s="30" t="str">
        <f>VLOOKUP(B3840,gachas!A:C,3)</f>
        <v>ミニステップアップガチャ</v>
      </c>
      <c r="D3840" s="21">
        <v>10</v>
      </c>
      <c r="E3840" s="2">
        <f t="shared" si="596"/>
        <v>27</v>
      </c>
      <c r="F3840" s="2">
        <v>2</v>
      </c>
      <c r="G3840" s="3" t="s">
        <v>22</v>
      </c>
      <c r="H3840" s="2">
        <v>3</v>
      </c>
      <c r="I3840" s="114" t="str">
        <f>CONCATENATE(B3840,IF(D3840=1,"01","10"),1)</f>
        <v>561101</v>
      </c>
      <c r="J3840" s="112" t="str">
        <f>CONCATENATE(B3840,D3840,2)</f>
        <v>561102</v>
      </c>
      <c r="K3840" s="112" t="s">
        <v>84</v>
      </c>
      <c r="L3840" s="2">
        <v>0</v>
      </c>
      <c r="M3840" s="2" t="s">
        <v>84</v>
      </c>
      <c r="N3840" s="2" t="s">
        <v>84</v>
      </c>
      <c r="O3840" s="2" t="s">
        <v>841</v>
      </c>
      <c r="P3840" s="142" t="s">
        <v>2953</v>
      </c>
    </row>
    <row r="3841" spans="1:16" ht="22" customHeight="1" x14ac:dyDescent="0.15">
      <c r="A3841" s="10" t="str">
        <f t="shared" si="591"/>
        <v>561_10_28_3_polygon</v>
      </c>
      <c r="B3841" s="2">
        <v>561</v>
      </c>
      <c r="C3841" s="30" t="str">
        <f>VLOOKUP(B3841,gachas!A:C,3)</f>
        <v>ミニステップアップガチャ</v>
      </c>
      <c r="D3841" s="21">
        <v>10</v>
      </c>
      <c r="E3841" s="2">
        <f t="shared" si="596"/>
        <v>28</v>
      </c>
      <c r="F3841" s="2">
        <v>3</v>
      </c>
      <c r="G3841" s="3" t="s">
        <v>22</v>
      </c>
      <c r="H3841" s="2">
        <v>9</v>
      </c>
      <c r="I3841" s="114" t="str">
        <f>CONCATENATE(B3841,IF(D3841=1,"01","10"),1)</f>
        <v>561101</v>
      </c>
      <c r="J3841" s="112" t="str">
        <f>CONCATENATE(B3841,D3841,3)</f>
        <v>561103</v>
      </c>
      <c r="K3841" s="112" t="s">
        <v>84</v>
      </c>
      <c r="L3841" s="2">
        <v>0</v>
      </c>
      <c r="M3841" s="2" t="s">
        <v>84</v>
      </c>
      <c r="N3841" s="2" t="s">
        <v>84</v>
      </c>
      <c r="O3841" s="2" t="s">
        <v>841</v>
      </c>
      <c r="P3841" s="142" t="s">
        <v>2954</v>
      </c>
    </row>
    <row r="3842" spans="1:16" ht="22" customHeight="1" x14ac:dyDescent="0.15">
      <c r="A3842" s="10" t="str">
        <f t="shared" si="591"/>
        <v>561_10_29_5_polygon</v>
      </c>
      <c r="B3842" s="2">
        <v>561</v>
      </c>
      <c r="C3842" s="30" t="str">
        <f>VLOOKUP(B3842,gachas!A:C,3)</f>
        <v>ミニステップアップガチャ</v>
      </c>
      <c r="D3842" s="21">
        <v>10</v>
      </c>
      <c r="E3842" s="2">
        <f t="shared" si="596"/>
        <v>29</v>
      </c>
      <c r="F3842" s="2">
        <v>5</v>
      </c>
      <c r="G3842" s="3" t="s">
        <v>22</v>
      </c>
      <c r="H3842" s="2">
        <v>20</v>
      </c>
      <c r="I3842" s="114" t="str">
        <f>CONCATENATE(B3842,IF(D3842=1,"01","10"),4)</f>
        <v>561104</v>
      </c>
      <c r="J3842" s="112" t="str">
        <f>CONCATENATE(B3842,D3842,4)</f>
        <v>561104</v>
      </c>
      <c r="K3842" s="112" t="s">
        <v>84</v>
      </c>
      <c r="L3842" s="2">
        <v>0</v>
      </c>
      <c r="M3842" s="2" t="s">
        <v>84</v>
      </c>
      <c r="N3842" s="2" t="s">
        <v>84</v>
      </c>
      <c r="O3842" s="2" t="s">
        <v>841</v>
      </c>
      <c r="P3842" s="142" t="s">
        <v>2955</v>
      </c>
    </row>
    <row r="3843" spans="1:16" ht="22" customHeight="1" x14ac:dyDescent="0.15">
      <c r="A3843" s="10" t="str">
        <f t="shared" si="591"/>
        <v>561_10_30_10_polygon</v>
      </c>
      <c r="B3843" s="2">
        <v>561</v>
      </c>
      <c r="C3843" s="30" t="str">
        <f>VLOOKUP(B3843,gachas!A:C,3)</f>
        <v>ミニステップアップガチャ</v>
      </c>
      <c r="D3843" s="21">
        <v>10</v>
      </c>
      <c r="E3843" s="2">
        <f t="shared" si="596"/>
        <v>30</v>
      </c>
      <c r="F3843" s="2">
        <v>10</v>
      </c>
      <c r="G3843" s="3" t="s">
        <v>22</v>
      </c>
      <c r="H3843" s="2">
        <v>40</v>
      </c>
      <c r="I3843" s="114" t="str">
        <f>CONCATENATE(B3843,IF(D3843=1,"01","10"),4)</f>
        <v>561104</v>
      </c>
      <c r="J3843" s="112" t="s">
        <v>84</v>
      </c>
      <c r="K3843" s="112" t="str">
        <f>CONCATENATE(B3843,D3843,5)</f>
        <v>561105</v>
      </c>
      <c r="L3843" s="2">
        <v>1</v>
      </c>
      <c r="M3843" s="2" t="s">
        <v>84</v>
      </c>
      <c r="N3843" s="2" t="s">
        <v>84</v>
      </c>
      <c r="O3843" s="2" t="s">
        <v>841</v>
      </c>
      <c r="P3843" s="142" t="s">
        <v>2879</v>
      </c>
    </row>
    <row r="3844" spans="1:16" ht="22" customHeight="1" x14ac:dyDescent="0.15">
      <c r="A3844" s="10" t="str">
        <f t="shared" si="591"/>
        <v>561_10_31_1_polygon</v>
      </c>
      <c r="B3844" s="2">
        <v>561</v>
      </c>
      <c r="C3844" s="30" t="str">
        <f>VLOOKUP(B3844,gachas!A:C,3)</f>
        <v>ミニステップアップガチャ</v>
      </c>
      <c r="D3844" s="21">
        <v>10</v>
      </c>
      <c r="E3844" s="2">
        <f t="shared" si="596"/>
        <v>31</v>
      </c>
      <c r="F3844" s="2">
        <v>1</v>
      </c>
      <c r="G3844" s="3" t="s">
        <v>22</v>
      </c>
      <c r="H3844" s="2">
        <v>1</v>
      </c>
      <c r="I3844" s="114" t="str">
        <f>CONCATENATE(B3844,IF(D3844=1,"01","10"),1)</f>
        <v>561101</v>
      </c>
      <c r="J3844" s="112" t="s">
        <v>84</v>
      </c>
      <c r="K3844" s="112" t="s">
        <v>84</v>
      </c>
      <c r="L3844" s="2">
        <v>0</v>
      </c>
      <c r="M3844" s="2" t="s">
        <v>84</v>
      </c>
      <c r="N3844" s="2" t="s">
        <v>84</v>
      </c>
      <c r="O3844" s="2" t="s">
        <v>841</v>
      </c>
      <c r="P3844" s="142" t="s">
        <v>2952</v>
      </c>
    </row>
    <row r="3845" spans="1:16" ht="22" customHeight="1" x14ac:dyDescent="0.15">
      <c r="A3845" s="10" t="str">
        <f t="shared" si="591"/>
        <v>561_10_32_2_polygon</v>
      </c>
      <c r="B3845" s="2">
        <v>561</v>
      </c>
      <c r="C3845" s="30" t="str">
        <f>VLOOKUP(B3845,gachas!A:C,3)</f>
        <v>ミニステップアップガチャ</v>
      </c>
      <c r="D3845" s="21">
        <v>10</v>
      </c>
      <c r="E3845" s="2">
        <f t="shared" si="596"/>
        <v>32</v>
      </c>
      <c r="F3845" s="2">
        <v>2</v>
      </c>
      <c r="G3845" s="3" t="s">
        <v>22</v>
      </c>
      <c r="H3845" s="2">
        <v>3</v>
      </c>
      <c r="I3845" s="114" t="str">
        <f>CONCATENATE(B3845,IF(D3845=1,"01","10"),1)</f>
        <v>561101</v>
      </c>
      <c r="J3845" s="112" t="str">
        <f>CONCATENATE(B3845,D3845,2)</f>
        <v>561102</v>
      </c>
      <c r="K3845" s="112" t="s">
        <v>84</v>
      </c>
      <c r="L3845" s="2">
        <v>0</v>
      </c>
      <c r="M3845" s="2" t="s">
        <v>84</v>
      </c>
      <c r="N3845" s="2" t="s">
        <v>84</v>
      </c>
      <c r="O3845" s="2" t="s">
        <v>841</v>
      </c>
      <c r="P3845" s="142" t="s">
        <v>2953</v>
      </c>
    </row>
    <row r="3846" spans="1:16" ht="22" customHeight="1" x14ac:dyDescent="0.15">
      <c r="A3846" s="10" t="str">
        <f t="shared" si="591"/>
        <v>561_10_33_3_polygon</v>
      </c>
      <c r="B3846" s="2">
        <v>561</v>
      </c>
      <c r="C3846" s="30" t="str">
        <f>VLOOKUP(B3846,gachas!A:C,3)</f>
        <v>ミニステップアップガチャ</v>
      </c>
      <c r="D3846" s="21">
        <v>10</v>
      </c>
      <c r="E3846" s="2">
        <f t="shared" si="596"/>
        <v>33</v>
      </c>
      <c r="F3846" s="2">
        <v>3</v>
      </c>
      <c r="G3846" s="3" t="s">
        <v>22</v>
      </c>
      <c r="H3846" s="2">
        <v>9</v>
      </c>
      <c r="I3846" s="114" t="str">
        <f>CONCATENATE(B3846,IF(D3846=1,"01","10"),1)</f>
        <v>561101</v>
      </c>
      <c r="J3846" s="112" t="str">
        <f>CONCATENATE(B3846,D3846,3)</f>
        <v>561103</v>
      </c>
      <c r="K3846" s="112" t="s">
        <v>84</v>
      </c>
      <c r="L3846" s="2">
        <v>0</v>
      </c>
      <c r="M3846" s="2" t="s">
        <v>84</v>
      </c>
      <c r="N3846" s="2" t="s">
        <v>84</v>
      </c>
      <c r="O3846" s="2" t="s">
        <v>841</v>
      </c>
      <c r="P3846" s="142" t="s">
        <v>2954</v>
      </c>
    </row>
    <row r="3847" spans="1:16" ht="22" customHeight="1" x14ac:dyDescent="0.15">
      <c r="A3847" s="10" t="str">
        <f t="shared" si="591"/>
        <v>561_10_34_5_polygon</v>
      </c>
      <c r="B3847" s="2">
        <v>561</v>
      </c>
      <c r="C3847" s="30" t="str">
        <f>VLOOKUP(B3847,gachas!A:C,3)</f>
        <v>ミニステップアップガチャ</v>
      </c>
      <c r="D3847" s="21">
        <v>10</v>
      </c>
      <c r="E3847" s="2">
        <f t="shared" si="596"/>
        <v>34</v>
      </c>
      <c r="F3847" s="2">
        <v>5</v>
      </c>
      <c r="G3847" s="3" t="s">
        <v>22</v>
      </c>
      <c r="H3847" s="2">
        <v>20</v>
      </c>
      <c r="I3847" s="114" t="str">
        <f>CONCATENATE(B3847,IF(D3847=1,"01","10"),4)</f>
        <v>561104</v>
      </c>
      <c r="J3847" s="112" t="str">
        <f>CONCATENATE(B3847,D3847,4)</f>
        <v>561104</v>
      </c>
      <c r="K3847" s="112" t="s">
        <v>84</v>
      </c>
      <c r="L3847" s="2">
        <v>0</v>
      </c>
      <c r="M3847" s="2" t="s">
        <v>84</v>
      </c>
      <c r="N3847" s="2" t="s">
        <v>84</v>
      </c>
      <c r="O3847" s="2" t="s">
        <v>841</v>
      </c>
      <c r="P3847" s="142" t="s">
        <v>2955</v>
      </c>
    </row>
    <row r="3848" spans="1:16" ht="22" customHeight="1" x14ac:dyDescent="0.15">
      <c r="A3848" s="10" t="str">
        <f t="shared" si="591"/>
        <v>561_10_35_10_polygon</v>
      </c>
      <c r="B3848" s="2">
        <v>561</v>
      </c>
      <c r="C3848" s="30" t="str">
        <f>VLOOKUP(B3848,gachas!A:C,3)</f>
        <v>ミニステップアップガチャ</v>
      </c>
      <c r="D3848" s="21">
        <v>10</v>
      </c>
      <c r="E3848" s="2">
        <f t="shared" si="596"/>
        <v>35</v>
      </c>
      <c r="F3848" s="2">
        <v>10</v>
      </c>
      <c r="G3848" s="3" t="s">
        <v>22</v>
      </c>
      <c r="H3848" s="2">
        <v>40</v>
      </c>
      <c r="I3848" s="114" t="str">
        <f>CONCATENATE(B3848,IF(D3848=1,"01","10"),4)</f>
        <v>561104</v>
      </c>
      <c r="J3848" s="112" t="s">
        <v>84</v>
      </c>
      <c r="K3848" s="112" t="str">
        <f>CONCATENATE(B3848,D3848,5)</f>
        <v>561105</v>
      </c>
      <c r="L3848" s="2">
        <v>1</v>
      </c>
      <c r="M3848" s="2" t="s">
        <v>84</v>
      </c>
      <c r="N3848" s="2" t="s">
        <v>84</v>
      </c>
      <c r="O3848" s="2" t="s">
        <v>841</v>
      </c>
      <c r="P3848" s="142" t="s">
        <v>2879</v>
      </c>
    </row>
    <row r="3849" spans="1:16" ht="22" customHeight="1" x14ac:dyDescent="0.15">
      <c r="A3849" s="10" t="str">
        <f t="shared" si="591"/>
        <v>561_10_36_1_polygon</v>
      </c>
      <c r="B3849" s="2">
        <v>561</v>
      </c>
      <c r="C3849" s="30" t="str">
        <f>VLOOKUP(B3849,gachas!A:C,3)</f>
        <v>ミニステップアップガチャ</v>
      </c>
      <c r="D3849" s="21">
        <v>10</v>
      </c>
      <c r="E3849" s="2">
        <f t="shared" si="596"/>
        <v>36</v>
      </c>
      <c r="F3849" s="2">
        <v>1</v>
      </c>
      <c r="G3849" s="3" t="s">
        <v>22</v>
      </c>
      <c r="H3849" s="2">
        <v>1</v>
      </c>
      <c r="I3849" s="114" t="str">
        <f>CONCATENATE(B3849,IF(D3849=1,"01","10"),1)</f>
        <v>561101</v>
      </c>
      <c r="J3849" s="112" t="s">
        <v>84</v>
      </c>
      <c r="K3849" s="112" t="s">
        <v>84</v>
      </c>
      <c r="L3849" s="2">
        <v>0</v>
      </c>
      <c r="M3849" s="2" t="s">
        <v>84</v>
      </c>
      <c r="N3849" s="2" t="s">
        <v>84</v>
      </c>
      <c r="O3849" s="2" t="s">
        <v>841</v>
      </c>
      <c r="P3849" s="142" t="s">
        <v>2952</v>
      </c>
    </row>
    <row r="3850" spans="1:16" ht="22" customHeight="1" x14ac:dyDescent="0.15">
      <c r="A3850" s="10" t="str">
        <f t="shared" si="591"/>
        <v>561_10_37_2_polygon</v>
      </c>
      <c r="B3850" s="2">
        <v>561</v>
      </c>
      <c r="C3850" s="30" t="str">
        <f>VLOOKUP(B3850,gachas!A:C,3)</f>
        <v>ミニステップアップガチャ</v>
      </c>
      <c r="D3850" s="21">
        <v>10</v>
      </c>
      <c r="E3850" s="2">
        <f t="shared" si="596"/>
        <v>37</v>
      </c>
      <c r="F3850" s="2">
        <v>2</v>
      </c>
      <c r="G3850" s="3" t="s">
        <v>22</v>
      </c>
      <c r="H3850" s="2">
        <v>3</v>
      </c>
      <c r="I3850" s="114" t="str">
        <f>CONCATENATE(B3850,IF(D3850=1,"01","10"),1)</f>
        <v>561101</v>
      </c>
      <c r="J3850" s="112" t="str">
        <f>CONCATENATE(B3850,D3850,2)</f>
        <v>561102</v>
      </c>
      <c r="K3850" s="112" t="s">
        <v>84</v>
      </c>
      <c r="L3850" s="2">
        <v>0</v>
      </c>
      <c r="M3850" s="2" t="s">
        <v>84</v>
      </c>
      <c r="N3850" s="2" t="s">
        <v>84</v>
      </c>
      <c r="O3850" s="2" t="s">
        <v>841</v>
      </c>
      <c r="P3850" s="142" t="s">
        <v>2953</v>
      </c>
    </row>
    <row r="3851" spans="1:16" ht="22" customHeight="1" x14ac:dyDescent="0.15">
      <c r="A3851" s="10" t="str">
        <f t="shared" si="591"/>
        <v>561_10_38_3_polygon</v>
      </c>
      <c r="B3851" s="2">
        <v>561</v>
      </c>
      <c r="C3851" s="30" t="str">
        <f>VLOOKUP(B3851,gachas!A:C,3)</f>
        <v>ミニステップアップガチャ</v>
      </c>
      <c r="D3851" s="21">
        <v>10</v>
      </c>
      <c r="E3851" s="2">
        <f t="shared" si="596"/>
        <v>38</v>
      </c>
      <c r="F3851" s="2">
        <v>3</v>
      </c>
      <c r="G3851" s="3" t="s">
        <v>22</v>
      </c>
      <c r="H3851" s="2">
        <v>9</v>
      </c>
      <c r="I3851" s="114" t="str">
        <f>CONCATENATE(B3851,IF(D3851=1,"01","10"),1)</f>
        <v>561101</v>
      </c>
      <c r="J3851" s="112" t="str">
        <f>CONCATENATE(B3851,D3851,3)</f>
        <v>561103</v>
      </c>
      <c r="K3851" s="112" t="s">
        <v>84</v>
      </c>
      <c r="L3851" s="2">
        <v>0</v>
      </c>
      <c r="M3851" s="2" t="s">
        <v>84</v>
      </c>
      <c r="N3851" s="2" t="s">
        <v>84</v>
      </c>
      <c r="O3851" s="2" t="s">
        <v>841</v>
      </c>
      <c r="P3851" s="142" t="s">
        <v>2954</v>
      </c>
    </row>
    <row r="3852" spans="1:16" ht="22" customHeight="1" x14ac:dyDescent="0.15">
      <c r="A3852" s="10" t="str">
        <f t="shared" si="591"/>
        <v>561_10_39_5_polygon</v>
      </c>
      <c r="B3852" s="2">
        <v>561</v>
      </c>
      <c r="C3852" s="30" t="str">
        <f>VLOOKUP(B3852,gachas!A:C,3)</f>
        <v>ミニステップアップガチャ</v>
      </c>
      <c r="D3852" s="21">
        <v>10</v>
      </c>
      <c r="E3852" s="2">
        <f t="shared" si="596"/>
        <v>39</v>
      </c>
      <c r="F3852" s="2">
        <v>5</v>
      </c>
      <c r="G3852" s="3" t="s">
        <v>22</v>
      </c>
      <c r="H3852" s="2">
        <v>20</v>
      </c>
      <c r="I3852" s="114" t="str">
        <f>CONCATENATE(B3852,IF(D3852=1,"01","10"),4)</f>
        <v>561104</v>
      </c>
      <c r="J3852" s="112" t="str">
        <f>CONCATENATE(B3852,D3852,4)</f>
        <v>561104</v>
      </c>
      <c r="K3852" s="112" t="s">
        <v>84</v>
      </c>
      <c r="L3852" s="2">
        <v>0</v>
      </c>
      <c r="M3852" s="2" t="s">
        <v>84</v>
      </c>
      <c r="N3852" s="2" t="s">
        <v>84</v>
      </c>
      <c r="O3852" s="2" t="s">
        <v>841</v>
      </c>
      <c r="P3852" s="142" t="s">
        <v>2955</v>
      </c>
    </row>
    <row r="3853" spans="1:16" ht="22" customHeight="1" x14ac:dyDescent="0.15">
      <c r="A3853" s="10" t="str">
        <f t="shared" si="591"/>
        <v>561_10_40_10_polygon</v>
      </c>
      <c r="B3853" s="2">
        <v>561</v>
      </c>
      <c r="C3853" s="30" t="str">
        <f>VLOOKUP(B3853,gachas!A:C,3)</f>
        <v>ミニステップアップガチャ</v>
      </c>
      <c r="D3853" s="21">
        <v>10</v>
      </c>
      <c r="E3853" s="2">
        <f t="shared" si="596"/>
        <v>40</v>
      </c>
      <c r="F3853" s="2">
        <v>10</v>
      </c>
      <c r="G3853" s="3" t="s">
        <v>22</v>
      </c>
      <c r="H3853" s="2">
        <v>40</v>
      </c>
      <c r="I3853" s="114" t="str">
        <f>CONCATENATE(B3853,IF(D3853=1,"01","10"),4)</f>
        <v>561104</v>
      </c>
      <c r="J3853" s="112" t="s">
        <v>84</v>
      </c>
      <c r="K3853" s="112" t="str">
        <f>CONCATENATE(B3853,D3853,5)</f>
        <v>561105</v>
      </c>
      <c r="L3853" s="2">
        <v>1</v>
      </c>
      <c r="M3853" s="2" t="s">
        <v>84</v>
      </c>
      <c r="N3853" s="2" t="s">
        <v>84</v>
      </c>
      <c r="O3853" s="2" t="s">
        <v>841</v>
      </c>
      <c r="P3853" s="142" t="s">
        <v>2879</v>
      </c>
    </row>
    <row r="3854" spans="1:16" ht="22" customHeight="1" x14ac:dyDescent="0.15">
      <c r="A3854" s="10" t="str">
        <f t="shared" si="591"/>
        <v>561_10_41_1_polygon</v>
      </c>
      <c r="B3854" s="2">
        <v>561</v>
      </c>
      <c r="C3854" s="30" t="str">
        <f>VLOOKUP(B3854,gachas!A:C,3)</f>
        <v>ミニステップアップガチャ</v>
      </c>
      <c r="D3854" s="21">
        <v>10</v>
      </c>
      <c r="E3854" s="2">
        <f t="shared" si="596"/>
        <v>41</v>
      </c>
      <c r="F3854" s="2">
        <v>1</v>
      </c>
      <c r="G3854" s="3" t="s">
        <v>22</v>
      </c>
      <c r="H3854" s="2">
        <v>1</v>
      </c>
      <c r="I3854" s="114" t="str">
        <f>CONCATENATE(B3854,IF(D3854=1,"01","10"),1)</f>
        <v>561101</v>
      </c>
      <c r="J3854" s="112" t="s">
        <v>84</v>
      </c>
      <c r="K3854" s="112" t="s">
        <v>84</v>
      </c>
      <c r="L3854" s="2">
        <v>0</v>
      </c>
      <c r="M3854" s="2" t="s">
        <v>84</v>
      </c>
      <c r="N3854" s="2" t="s">
        <v>84</v>
      </c>
      <c r="O3854" s="2" t="s">
        <v>841</v>
      </c>
      <c r="P3854" s="142" t="s">
        <v>2952</v>
      </c>
    </row>
    <row r="3855" spans="1:16" ht="22" customHeight="1" x14ac:dyDescent="0.15">
      <c r="A3855" s="10" t="str">
        <f t="shared" si="591"/>
        <v>561_10_42_2_polygon</v>
      </c>
      <c r="B3855" s="2">
        <v>561</v>
      </c>
      <c r="C3855" s="30" t="str">
        <f>VLOOKUP(B3855,gachas!A:C,3)</f>
        <v>ミニステップアップガチャ</v>
      </c>
      <c r="D3855" s="21">
        <v>10</v>
      </c>
      <c r="E3855" s="2">
        <f t="shared" si="596"/>
        <v>42</v>
      </c>
      <c r="F3855" s="2">
        <v>2</v>
      </c>
      <c r="G3855" s="3" t="s">
        <v>22</v>
      </c>
      <c r="H3855" s="2">
        <v>3</v>
      </c>
      <c r="I3855" s="114" t="str">
        <f>CONCATENATE(B3855,IF(D3855=1,"01","10"),1)</f>
        <v>561101</v>
      </c>
      <c r="J3855" s="112" t="str">
        <f>CONCATENATE(B3855,D3855,2)</f>
        <v>561102</v>
      </c>
      <c r="K3855" s="112" t="s">
        <v>84</v>
      </c>
      <c r="L3855" s="2">
        <v>0</v>
      </c>
      <c r="M3855" s="2" t="s">
        <v>84</v>
      </c>
      <c r="N3855" s="2" t="s">
        <v>84</v>
      </c>
      <c r="O3855" s="2" t="s">
        <v>841</v>
      </c>
      <c r="P3855" s="142" t="s">
        <v>2953</v>
      </c>
    </row>
    <row r="3856" spans="1:16" ht="22" customHeight="1" x14ac:dyDescent="0.15">
      <c r="A3856" s="10" t="str">
        <f t="shared" si="591"/>
        <v>561_10_43_3_polygon</v>
      </c>
      <c r="B3856" s="2">
        <v>561</v>
      </c>
      <c r="C3856" s="30" t="str">
        <f>VLOOKUP(B3856,gachas!A:C,3)</f>
        <v>ミニステップアップガチャ</v>
      </c>
      <c r="D3856" s="21">
        <v>10</v>
      </c>
      <c r="E3856" s="2">
        <f t="shared" si="596"/>
        <v>43</v>
      </c>
      <c r="F3856" s="2">
        <v>3</v>
      </c>
      <c r="G3856" s="3" t="s">
        <v>22</v>
      </c>
      <c r="H3856" s="2">
        <v>9</v>
      </c>
      <c r="I3856" s="114" t="str">
        <f>CONCATENATE(B3856,IF(D3856=1,"01","10"),1)</f>
        <v>561101</v>
      </c>
      <c r="J3856" s="112" t="str">
        <f>CONCATENATE(B3856,D3856,3)</f>
        <v>561103</v>
      </c>
      <c r="K3856" s="112" t="s">
        <v>84</v>
      </c>
      <c r="L3856" s="2">
        <v>0</v>
      </c>
      <c r="M3856" s="2" t="s">
        <v>84</v>
      </c>
      <c r="N3856" s="2" t="s">
        <v>84</v>
      </c>
      <c r="O3856" s="2" t="s">
        <v>841</v>
      </c>
      <c r="P3856" s="142" t="s">
        <v>2954</v>
      </c>
    </row>
    <row r="3857" spans="1:16" ht="22" customHeight="1" x14ac:dyDescent="0.15">
      <c r="A3857" s="10" t="str">
        <f t="shared" ref="A3857:A3915" si="597">B3857&amp;"_"&amp;D3857&amp;"_"&amp;E3857&amp;"_"&amp;F3857&amp;"_"&amp;G3857</f>
        <v>561_10_44_5_polygon</v>
      </c>
      <c r="B3857" s="2">
        <v>561</v>
      </c>
      <c r="C3857" s="30" t="str">
        <f>VLOOKUP(B3857,gachas!A:C,3)</f>
        <v>ミニステップアップガチャ</v>
      </c>
      <c r="D3857" s="21">
        <v>10</v>
      </c>
      <c r="E3857" s="2">
        <f t="shared" si="596"/>
        <v>44</v>
      </c>
      <c r="F3857" s="2">
        <v>5</v>
      </c>
      <c r="G3857" s="3" t="s">
        <v>22</v>
      </c>
      <c r="H3857" s="2">
        <v>20</v>
      </c>
      <c r="I3857" s="114" t="str">
        <f>CONCATENATE(B3857,IF(D3857=1,"01","10"),4)</f>
        <v>561104</v>
      </c>
      <c r="J3857" s="112" t="str">
        <f>CONCATENATE(B3857,D3857,4)</f>
        <v>561104</v>
      </c>
      <c r="K3857" s="112" t="s">
        <v>84</v>
      </c>
      <c r="L3857" s="2">
        <v>0</v>
      </c>
      <c r="M3857" s="2" t="s">
        <v>84</v>
      </c>
      <c r="N3857" s="2" t="s">
        <v>84</v>
      </c>
      <c r="O3857" s="2" t="s">
        <v>841</v>
      </c>
      <c r="P3857" s="142" t="s">
        <v>2955</v>
      </c>
    </row>
    <row r="3858" spans="1:16" ht="22" customHeight="1" x14ac:dyDescent="0.15">
      <c r="A3858" s="10" t="str">
        <f t="shared" si="597"/>
        <v>561_10_45_10_polygon</v>
      </c>
      <c r="B3858" s="2">
        <v>561</v>
      </c>
      <c r="C3858" s="30" t="str">
        <f>VLOOKUP(B3858,gachas!A:C,3)</f>
        <v>ミニステップアップガチャ</v>
      </c>
      <c r="D3858" s="21">
        <v>10</v>
      </c>
      <c r="E3858" s="2">
        <f>E3857+1</f>
        <v>45</v>
      </c>
      <c r="F3858" s="2">
        <v>10</v>
      </c>
      <c r="G3858" s="3" t="s">
        <v>22</v>
      </c>
      <c r="H3858" s="2">
        <v>40</v>
      </c>
      <c r="I3858" s="114" t="str">
        <f>CONCATENATE(B3858,IF(D3858=1,"01","10"),4)</f>
        <v>561104</v>
      </c>
      <c r="J3858" s="112" t="s">
        <v>84</v>
      </c>
      <c r="K3858" s="112" t="str">
        <f>CONCATENATE(B3858,D3858,5)</f>
        <v>561105</v>
      </c>
      <c r="L3858" s="2">
        <v>1</v>
      </c>
      <c r="M3858" s="2" t="s">
        <v>84</v>
      </c>
      <c r="N3858" s="2" t="s">
        <v>84</v>
      </c>
      <c r="O3858" s="2" t="s">
        <v>841</v>
      </c>
      <c r="P3858" s="142" t="s">
        <v>2879</v>
      </c>
    </row>
    <row r="3859" spans="1:16" ht="22" customHeight="1" x14ac:dyDescent="0.15">
      <c r="A3859" s="10" t="str">
        <f t="shared" si="597"/>
        <v>561_10_46_1_polygon</v>
      </c>
      <c r="B3859" s="2">
        <v>561</v>
      </c>
      <c r="C3859" s="30" t="str">
        <f>VLOOKUP(B3859,gachas!A:C,3)</f>
        <v>ミニステップアップガチャ</v>
      </c>
      <c r="D3859" s="21">
        <v>10</v>
      </c>
      <c r="E3859" s="2">
        <f t="shared" si="596"/>
        <v>46</v>
      </c>
      <c r="F3859" s="2">
        <v>1</v>
      </c>
      <c r="G3859" s="3" t="s">
        <v>22</v>
      </c>
      <c r="H3859" s="2">
        <v>1</v>
      </c>
      <c r="I3859" s="114" t="str">
        <f>CONCATENATE(B3859,IF(D3859=1,"01","10"),1)</f>
        <v>561101</v>
      </c>
      <c r="J3859" s="112" t="s">
        <v>84</v>
      </c>
      <c r="K3859" s="112" t="s">
        <v>84</v>
      </c>
      <c r="L3859" s="2">
        <v>0</v>
      </c>
      <c r="M3859" s="2" t="s">
        <v>84</v>
      </c>
      <c r="N3859" s="2" t="s">
        <v>84</v>
      </c>
      <c r="O3859" s="2" t="s">
        <v>841</v>
      </c>
      <c r="P3859" s="142" t="s">
        <v>2952</v>
      </c>
    </row>
    <row r="3860" spans="1:16" ht="22" customHeight="1" x14ac:dyDescent="0.15">
      <c r="A3860" s="10" t="str">
        <f t="shared" si="597"/>
        <v>561_10_47_2_polygon</v>
      </c>
      <c r="B3860" s="2">
        <v>561</v>
      </c>
      <c r="C3860" s="30" t="str">
        <f>VLOOKUP(B3860,gachas!A:C,3)</f>
        <v>ミニステップアップガチャ</v>
      </c>
      <c r="D3860" s="21">
        <v>10</v>
      </c>
      <c r="E3860" s="2">
        <f t="shared" si="596"/>
        <v>47</v>
      </c>
      <c r="F3860" s="2">
        <v>2</v>
      </c>
      <c r="G3860" s="3" t="s">
        <v>22</v>
      </c>
      <c r="H3860" s="2">
        <v>3</v>
      </c>
      <c r="I3860" s="114" t="str">
        <f>CONCATENATE(B3860,IF(D3860=1,"01","10"),1)</f>
        <v>561101</v>
      </c>
      <c r="J3860" s="112" t="str">
        <f>CONCATENATE(B3860,D3860,2)</f>
        <v>561102</v>
      </c>
      <c r="K3860" s="112" t="s">
        <v>84</v>
      </c>
      <c r="L3860" s="2">
        <v>0</v>
      </c>
      <c r="M3860" s="2" t="s">
        <v>84</v>
      </c>
      <c r="N3860" s="2" t="s">
        <v>84</v>
      </c>
      <c r="O3860" s="2" t="s">
        <v>841</v>
      </c>
      <c r="P3860" s="142" t="s">
        <v>2953</v>
      </c>
    </row>
    <row r="3861" spans="1:16" ht="22" customHeight="1" x14ac:dyDescent="0.15">
      <c r="A3861" s="10" t="str">
        <f t="shared" si="597"/>
        <v>561_10_48_3_polygon</v>
      </c>
      <c r="B3861" s="2">
        <v>561</v>
      </c>
      <c r="C3861" s="30" t="str">
        <f>VLOOKUP(B3861,gachas!A:C,3)</f>
        <v>ミニステップアップガチャ</v>
      </c>
      <c r="D3861" s="21">
        <v>10</v>
      </c>
      <c r="E3861" s="2">
        <f t="shared" si="596"/>
        <v>48</v>
      </c>
      <c r="F3861" s="2">
        <v>3</v>
      </c>
      <c r="G3861" s="3" t="s">
        <v>22</v>
      </c>
      <c r="H3861" s="2">
        <v>9</v>
      </c>
      <c r="I3861" s="114" t="str">
        <f>CONCATENATE(B3861,IF(D3861=1,"01","10"),1)</f>
        <v>561101</v>
      </c>
      <c r="J3861" s="112" t="str">
        <f>CONCATENATE(B3861,D3861,3)</f>
        <v>561103</v>
      </c>
      <c r="K3861" s="112" t="s">
        <v>84</v>
      </c>
      <c r="L3861" s="2">
        <v>0</v>
      </c>
      <c r="M3861" s="2" t="s">
        <v>84</v>
      </c>
      <c r="N3861" s="2" t="s">
        <v>84</v>
      </c>
      <c r="O3861" s="2" t="s">
        <v>841</v>
      </c>
      <c r="P3861" s="142" t="s">
        <v>2954</v>
      </c>
    </row>
    <row r="3862" spans="1:16" ht="22" customHeight="1" x14ac:dyDescent="0.15">
      <c r="A3862" s="10" t="str">
        <f t="shared" si="597"/>
        <v>561_10_49_5_polygon</v>
      </c>
      <c r="B3862" s="2">
        <v>561</v>
      </c>
      <c r="C3862" s="30" t="str">
        <f>VLOOKUP(B3862,gachas!A:C,3)</f>
        <v>ミニステップアップガチャ</v>
      </c>
      <c r="D3862" s="21">
        <v>10</v>
      </c>
      <c r="E3862" s="2">
        <f t="shared" si="596"/>
        <v>49</v>
      </c>
      <c r="F3862" s="2">
        <v>5</v>
      </c>
      <c r="G3862" s="3" t="s">
        <v>22</v>
      </c>
      <c r="H3862" s="2">
        <v>20</v>
      </c>
      <c r="I3862" s="114" t="str">
        <f>CONCATENATE(B3862,IF(D3862=1,"01","10"),4)</f>
        <v>561104</v>
      </c>
      <c r="J3862" s="112" t="str">
        <f>CONCATENATE(B3862,D3862,4)</f>
        <v>561104</v>
      </c>
      <c r="K3862" s="112" t="s">
        <v>84</v>
      </c>
      <c r="L3862" s="2">
        <v>0</v>
      </c>
      <c r="M3862" s="2" t="s">
        <v>84</v>
      </c>
      <c r="N3862" s="2" t="s">
        <v>84</v>
      </c>
      <c r="O3862" s="2" t="s">
        <v>841</v>
      </c>
      <c r="P3862" s="142" t="s">
        <v>2955</v>
      </c>
    </row>
    <row r="3863" spans="1:16" ht="22" customHeight="1" x14ac:dyDescent="0.15">
      <c r="A3863" s="10" t="str">
        <f t="shared" si="597"/>
        <v>561_10_50_10_polygon</v>
      </c>
      <c r="B3863" s="2">
        <v>561</v>
      </c>
      <c r="C3863" s="30" t="str">
        <f>VLOOKUP(B3863,gachas!A:C,3)</f>
        <v>ミニステップアップガチャ</v>
      </c>
      <c r="D3863" s="21">
        <v>10</v>
      </c>
      <c r="E3863" s="2">
        <f>E3862+1</f>
        <v>50</v>
      </c>
      <c r="F3863" s="2">
        <v>10</v>
      </c>
      <c r="G3863" s="3" t="s">
        <v>22</v>
      </c>
      <c r="H3863" s="2">
        <v>40</v>
      </c>
      <c r="I3863" s="114" t="str">
        <f>CONCATENATE(B3863,IF(D3863=1,"01","10"),4)</f>
        <v>561104</v>
      </c>
      <c r="J3863" s="112" t="s">
        <v>84</v>
      </c>
      <c r="K3863" s="112" t="str">
        <f>CONCATENATE(B3863,D3863,5)</f>
        <v>561105</v>
      </c>
      <c r="L3863" s="2">
        <v>1</v>
      </c>
      <c r="M3863" s="2" t="s">
        <v>84</v>
      </c>
      <c r="N3863" s="2" t="s">
        <v>84</v>
      </c>
      <c r="O3863" s="2" t="s">
        <v>841</v>
      </c>
      <c r="P3863" s="142" t="s">
        <v>2879</v>
      </c>
    </row>
    <row r="3864" spans="1:16" ht="22" customHeight="1" x14ac:dyDescent="0.15">
      <c r="A3864" s="10" t="str">
        <f t="shared" si="597"/>
        <v>562_1_0_1_polygon</v>
      </c>
      <c r="B3864" s="2">
        <v>562</v>
      </c>
      <c r="C3864" s="30" t="str">
        <f>VLOOKUP(B3864,gachas!A:C,3)</f>
        <v>花見ガチャ&lt;前半&gt;</v>
      </c>
      <c r="D3864" s="21">
        <v>1</v>
      </c>
      <c r="E3864" s="2">
        <v>0</v>
      </c>
      <c r="F3864" s="2">
        <v>1</v>
      </c>
      <c r="G3864" s="3" t="s">
        <v>22</v>
      </c>
      <c r="H3864" s="2">
        <v>5</v>
      </c>
      <c r="I3864" s="117" t="str">
        <f>CONCATENATE(B3864,"010")</f>
        <v>562010</v>
      </c>
      <c r="J3864" s="112" t="s">
        <v>84</v>
      </c>
      <c r="K3864" s="2" t="s">
        <v>84</v>
      </c>
      <c r="L3864" s="2">
        <v>0</v>
      </c>
      <c r="M3864" s="2" t="s">
        <v>84</v>
      </c>
      <c r="N3864" s="2" t="s">
        <v>84</v>
      </c>
      <c r="O3864" s="2" t="s">
        <v>841</v>
      </c>
      <c r="P3864" s="2" t="s">
        <v>84</v>
      </c>
    </row>
    <row r="3865" spans="1:16" ht="22" customHeight="1" x14ac:dyDescent="0.15">
      <c r="A3865" s="10" t="str">
        <f t="shared" si="597"/>
        <v>562_10_0_10_polygon</v>
      </c>
      <c r="B3865" s="2">
        <v>562</v>
      </c>
      <c r="C3865" s="30" t="str">
        <f>VLOOKUP(B3865,gachas!A:C,3)</f>
        <v>花見ガチャ&lt;前半&gt;</v>
      </c>
      <c r="D3865" s="21">
        <v>10</v>
      </c>
      <c r="E3865" s="2">
        <v>0</v>
      </c>
      <c r="F3865" s="2">
        <v>10</v>
      </c>
      <c r="G3865" s="3" t="s">
        <v>22</v>
      </c>
      <c r="H3865" s="2">
        <v>50</v>
      </c>
      <c r="I3865" s="117" t="str">
        <f t="shared" ref="I3865:I3915" si="598">CONCATENATE(B3865,"100")</f>
        <v>562100</v>
      </c>
      <c r="J3865" s="112" t="s">
        <v>84</v>
      </c>
      <c r="K3865" s="117" t="str">
        <f>CONCATENATE(B3865,"100")</f>
        <v>562100</v>
      </c>
      <c r="L3865" s="2">
        <v>1</v>
      </c>
      <c r="M3865" s="2" t="s">
        <v>84</v>
      </c>
      <c r="N3865" s="2" t="s">
        <v>84</v>
      </c>
      <c r="O3865" s="2" t="s">
        <v>841</v>
      </c>
      <c r="P3865" s="2" t="s">
        <v>2962</v>
      </c>
    </row>
    <row r="3866" spans="1:16" ht="22" customHeight="1" x14ac:dyDescent="0.15">
      <c r="A3866" s="10" t="str">
        <f t="shared" si="597"/>
        <v>562_10_1_10_polygon</v>
      </c>
      <c r="B3866" s="2">
        <v>562</v>
      </c>
      <c r="C3866" s="30" t="str">
        <f>VLOOKUP(B3866,gachas!A:C,3)</f>
        <v>花見ガチャ&lt;前半&gt;</v>
      </c>
      <c r="D3866" s="21">
        <v>10</v>
      </c>
      <c r="E3866" s="2">
        <f>E3865+1</f>
        <v>1</v>
      </c>
      <c r="F3866" s="2">
        <v>10</v>
      </c>
      <c r="G3866" s="3" t="s">
        <v>22</v>
      </c>
      <c r="H3866" s="2">
        <v>25</v>
      </c>
      <c r="I3866" s="117" t="str">
        <f t="shared" si="598"/>
        <v>562100</v>
      </c>
      <c r="J3866" s="112" t="s">
        <v>84</v>
      </c>
      <c r="K3866" s="117" t="str">
        <f>CONCATENATE(B3866,"100")</f>
        <v>562100</v>
      </c>
      <c r="L3866" s="2">
        <v>1</v>
      </c>
      <c r="M3866" s="2" t="s">
        <v>84</v>
      </c>
      <c r="N3866" s="2" t="s">
        <v>84</v>
      </c>
      <c r="O3866" s="2" t="s">
        <v>841</v>
      </c>
      <c r="P3866" s="59" t="s">
        <v>1783</v>
      </c>
    </row>
    <row r="3867" spans="1:16" ht="22" customHeight="1" x14ac:dyDescent="0.15">
      <c r="A3867" s="10" t="str">
        <f t="shared" si="597"/>
        <v>562_10_2_10_polygon</v>
      </c>
      <c r="B3867" s="2">
        <v>562</v>
      </c>
      <c r="C3867" s="30" t="str">
        <f>VLOOKUP(B3867,gachas!A:C,3)</f>
        <v>花見ガチャ&lt;前半&gt;</v>
      </c>
      <c r="D3867" s="21">
        <v>10</v>
      </c>
      <c r="E3867" s="2">
        <f t="shared" ref="E3867:E3915" si="599">E3866+1</f>
        <v>2</v>
      </c>
      <c r="F3867" s="2">
        <v>10</v>
      </c>
      <c r="G3867" s="3" t="s">
        <v>22</v>
      </c>
      <c r="H3867" s="2">
        <v>50</v>
      </c>
      <c r="I3867" s="117" t="str">
        <f t="shared" si="598"/>
        <v>562100</v>
      </c>
      <c r="J3867" s="112" t="s">
        <v>84</v>
      </c>
      <c r="K3867" s="117" t="str">
        <f>CONCATENATE(B3867,"100")</f>
        <v>562100</v>
      </c>
      <c r="L3867" s="2">
        <v>1</v>
      </c>
      <c r="M3867" s="2" t="s">
        <v>84</v>
      </c>
      <c r="N3867" s="2" t="s">
        <v>84</v>
      </c>
      <c r="O3867" s="2" t="s">
        <v>841</v>
      </c>
      <c r="P3867" s="2" t="s">
        <v>2962</v>
      </c>
    </row>
    <row r="3868" spans="1:16" ht="22" customHeight="1" x14ac:dyDescent="0.15">
      <c r="A3868" s="10" t="str">
        <f t="shared" si="597"/>
        <v>562_10_3_10_polygon</v>
      </c>
      <c r="B3868" s="2">
        <v>562</v>
      </c>
      <c r="C3868" s="30" t="str">
        <f>VLOOKUP(B3868,gachas!A:C,3)</f>
        <v>花見ガチャ&lt;前半&gt;</v>
      </c>
      <c r="D3868" s="21">
        <v>10</v>
      </c>
      <c r="E3868" s="2">
        <f t="shared" si="599"/>
        <v>3</v>
      </c>
      <c r="F3868" s="2">
        <v>10</v>
      </c>
      <c r="G3868" s="3" t="s">
        <v>22</v>
      </c>
      <c r="H3868" s="2">
        <v>50</v>
      </c>
      <c r="I3868" s="117" t="str">
        <f t="shared" si="598"/>
        <v>562100</v>
      </c>
      <c r="J3868" s="112" t="s">
        <v>84</v>
      </c>
      <c r="K3868" s="117" t="str">
        <f>CONCATENATE(B3868,"100")</f>
        <v>562100</v>
      </c>
      <c r="L3868" s="2">
        <v>1</v>
      </c>
      <c r="M3868" s="2" t="s">
        <v>84</v>
      </c>
      <c r="N3868" s="2" t="s">
        <v>84</v>
      </c>
      <c r="O3868" s="2" t="s">
        <v>841</v>
      </c>
      <c r="P3868" s="2" t="s">
        <v>2962</v>
      </c>
    </row>
    <row r="3869" spans="1:16" ht="22" customHeight="1" x14ac:dyDescent="0.15">
      <c r="A3869" s="10" t="str">
        <f t="shared" si="597"/>
        <v>562_10_4_10_polygon</v>
      </c>
      <c r="B3869" s="2">
        <v>562</v>
      </c>
      <c r="C3869" s="30" t="str">
        <f>VLOOKUP(B3869,gachas!A:C,3)</f>
        <v>花見ガチャ&lt;前半&gt;</v>
      </c>
      <c r="D3869" s="21">
        <v>10</v>
      </c>
      <c r="E3869" s="2">
        <f t="shared" si="599"/>
        <v>4</v>
      </c>
      <c r="F3869" s="2">
        <v>10</v>
      </c>
      <c r="G3869" s="3" t="s">
        <v>22</v>
      </c>
      <c r="H3869" s="2">
        <v>50</v>
      </c>
      <c r="I3869" s="117" t="str">
        <f t="shared" si="598"/>
        <v>562100</v>
      </c>
      <c r="J3869" s="112" t="s">
        <v>84</v>
      </c>
      <c r="K3869" s="117" t="str">
        <f>CONCATENATE(B3869,"100")</f>
        <v>562100</v>
      </c>
      <c r="L3869" s="2">
        <v>1</v>
      </c>
      <c r="M3869" s="2" t="s">
        <v>84</v>
      </c>
      <c r="N3869" s="2" t="s">
        <v>84</v>
      </c>
      <c r="O3869" s="2" t="s">
        <v>841</v>
      </c>
      <c r="P3869" s="2" t="s">
        <v>2962</v>
      </c>
    </row>
    <row r="3870" spans="1:16" ht="22" customHeight="1" x14ac:dyDescent="0.15">
      <c r="A3870" s="10" t="str">
        <f t="shared" si="597"/>
        <v>562_10_5_10_polygon</v>
      </c>
      <c r="B3870" s="2">
        <v>562</v>
      </c>
      <c r="C3870" s="30" t="str">
        <f>VLOOKUP(B3870,gachas!A:C,3)</f>
        <v>花見ガチャ&lt;前半&gt;</v>
      </c>
      <c r="D3870" s="21">
        <v>10</v>
      </c>
      <c r="E3870" s="2">
        <f t="shared" si="599"/>
        <v>5</v>
      </c>
      <c r="F3870" s="2">
        <v>10</v>
      </c>
      <c r="G3870" s="3" t="s">
        <v>22</v>
      </c>
      <c r="H3870" s="2">
        <v>50</v>
      </c>
      <c r="I3870" s="117" t="str">
        <f t="shared" si="598"/>
        <v>562100</v>
      </c>
      <c r="J3870" s="112" t="s">
        <v>84</v>
      </c>
      <c r="K3870" s="117" t="str">
        <f>CONCATENATE(B3870,"105")</f>
        <v>562105</v>
      </c>
      <c r="L3870" s="2">
        <v>1</v>
      </c>
      <c r="M3870" s="2" t="s">
        <v>84</v>
      </c>
      <c r="N3870" s="2" t="s">
        <v>84</v>
      </c>
      <c r="O3870" s="2" t="s">
        <v>841</v>
      </c>
      <c r="P3870" s="2" t="s">
        <v>2950</v>
      </c>
    </row>
    <row r="3871" spans="1:16" ht="22" customHeight="1" x14ac:dyDescent="0.15">
      <c r="A3871" s="10" t="str">
        <f t="shared" si="597"/>
        <v>562_10_6_10_polygon</v>
      </c>
      <c r="B3871" s="2">
        <v>562</v>
      </c>
      <c r="C3871" s="30" t="str">
        <f>VLOOKUP(B3871,gachas!A:C,3)</f>
        <v>花見ガチャ&lt;前半&gt;</v>
      </c>
      <c r="D3871" s="21">
        <v>10</v>
      </c>
      <c r="E3871" s="2">
        <f t="shared" si="599"/>
        <v>6</v>
      </c>
      <c r="F3871" s="2">
        <v>10</v>
      </c>
      <c r="G3871" s="3" t="s">
        <v>22</v>
      </c>
      <c r="H3871" s="2">
        <v>25</v>
      </c>
      <c r="I3871" s="117" t="str">
        <f t="shared" si="598"/>
        <v>562100</v>
      </c>
      <c r="J3871" s="112" t="s">
        <v>84</v>
      </c>
      <c r="K3871" s="117" t="str">
        <f>CONCATENATE(B3871,"100")</f>
        <v>562100</v>
      </c>
      <c r="L3871" s="2">
        <v>1</v>
      </c>
      <c r="M3871" s="2" t="s">
        <v>84</v>
      </c>
      <c r="N3871" s="2" t="s">
        <v>84</v>
      </c>
      <c r="O3871" s="2" t="s">
        <v>841</v>
      </c>
      <c r="P3871" s="59" t="s">
        <v>1783</v>
      </c>
    </row>
    <row r="3872" spans="1:16" ht="22" customHeight="1" x14ac:dyDescent="0.15">
      <c r="A3872" s="10" t="str">
        <f t="shared" si="597"/>
        <v>562_10_7_10_polygon</v>
      </c>
      <c r="B3872" s="2">
        <v>562</v>
      </c>
      <c r="C3872" s="30" t="str">
        <f>VLOOKUP(B3872,gachas!A:C,3)</f>
        <v>花見ガチャ&lt;前半&gt;</v>
      </c>
      <c r="D3872" s="21">
        <v>10</v>
      </c>
      <c r="E3872" s="2">
        <f t="shared" si="599"/>
        <v>7</v>
      </c>
      <c r="F3872" s="2">
        <v>10</v>
      </c>
      <c r="G3872" s="3" t="s">
        <v>22</v>
      </c>
      <c r="H3872" s="2">
        <v>50</v>
      </c>
      <c r="I3872" s="117" t="str">
        <f t="shared" si="598"/>
        <v>562100</v>
      </c>
      <c r="J3872" s="112" t="s">
        <v>84</v>
      </c>
      <c r="K3872" s="117" t="str">
        <f>CONCATENATE(B3872,"100")</f>
        <v>562100</v>
      </c>
      <c r="L3872" s="2">
        <v>1</v>
      </c>
      <c r="M3872" s="2" t="s">
        <v>84</v>
      </c>
      <c r="N3872" s="2" t="s">
        <v>84</v>
      </c>
      <c r="O3872" s="2" t="s">
        <v>841</v>
      </c>
      <c r="P3872" s="2" t="s">
        <v>2961</v>
      </c>
    </row>
    <row r="3873" spans="1:16" ht="22" customHeight="1" x14ac:dyDescent="0.15">
      <c r="A3873" s="10" t="str">
        <f t="shared" si="597"/>
        <v>562_10_8_10_polygon</v>
      </c>
      <c r="B3873" s="2">
        <v>562</v>
      </c>
      <c r="C3873" s="30" t="str">
        <f>VLOOKUP(B3873,gachas!A:C,3)</f>
        <v>花見ガチャ&lt;前半&gt;</v>
      </c>
      <c r="D3873" s="21">
        <v>10</v>
      </c>
      <c r="E3873" s="2">
        <f t="shared" si="599"/>
        <v>8</v>
      </c>
      <c r="F3873" s="2">
        <v>10</v>
      </c>
      <c r="G3873" s="3" t="s">
        <v>22</v>
      </c>
      <c r="H3873" s="2">
        <v>50</v>
      </c>
      <c r="I3873" s="117" t="str">
        <f t="shared" si="598"/>
        <v>562100</v>
      </c>
      <c r="J3873" s="112" t="s">
        <v>84</v>
      </c>
      <c r="K3873" s="117" t="str">
        <f>CONCATENATE(B3873,"100")</f>
        <v>562100</v>
      </c>
      <c r="L3873" s="2">
        <v>1</v>
      </c>
      <c r="M3873" s="2" t="s">
        <v>84</v>
      </c>
      <c r="N3873" s="2" t="s">
        <v>84</v>
      </c>
      <c r="O3873" s="2" t="s">
        <v>841</v>
      </c>
      <c r="P3873" s="2" t="s">
        <v>2961</v>
      </c>
    </row>
    <row r="3874" spans="1:16" ht="22" customHeight="1" x14ac:dyDescent="0.15">
      <c r="A3874" s="10" t="str">
        <f t="shared" si="597"/>
        <v>562_10_9_10_polygon</v>
      </c>
      <c r="B3874" s="2">
        <v>562</v>
      </c>
      <c r="C3874" s="30" t="str">
        <f>VLOOKUP(B3874,gachas!A:C,3)</f>
        <v>花見ガチャ&lt;前半&gt;</v>
      </c>
      <c r="D3874" s="21">
        <v>10</v>
      </c>
      <c r="E3874" s="2">
        <f t="shared" si="599"/>
        <v>9</v>
      </c>
      <c r="F3874" s="2">
        <v>10</v>
      </c>
      <c r="G3874" s="3" t="s">
        <v>22</v>
      </c>
      <c r="H3874" s="2">
        <v>50</v>
      </c>
      <c r="I3874" s="117" t="str">
        <f t="shared" si="598"/>
        <v>562100</v>
      </c>
      <c r="J3874" s="112" t="s">
        <v>84</v>
      </c>
      <c r="K3874" s="117" t="str">
        <f>CONCATENATE(B3874,"100")</f>
        <v>562100</v>
      </c>
      <c r="L3874" s="2">
        <v>1</v>
      </c>
      <c r="M3874" s="2" t="s">
        <v>84</v>
      </c>
      <c r="N3874" s="2" t="s">
        <v>84</v>
      </c>
      <c r="O3874" s="2" t="s">
        <v>841</v>
      </c>
      <c r="P3874" s="2" t="s">
        <v>2961</v>
      </c>
    </row>
    <row r="3875" spans="1:16" ht="22" customHeight="1" x14ac:dyDescent="0.15">
      <c r="A3875" s="10" t="str">
        <f t="shared" si="597"/>
        <v>562_10_10_10_polygon</v>
      </c>
      <c r="B3875" s="2">
        <v>562</v>
      </c>
      <c r="C3875" s="30" t="str">
        <f>VLOOKUP(B3875,gachas!A:C,3)</f>
        <v>花見ガチャ&lt;前半&gt;</v>
      </c>
      <c r="D3875" s="21">
        <v>10</v>
      </c>
      <c r="E3875" s="2">
        <f t="shared" si="599"/>
        <v>10</v>
      </c>
      <c r="F3875" s="2">
        <v>10</v>
      </c>
      <c r="G3875" s="3" t="s">
        <v>22</v>
      </c>
      <c r="H3875" s="2">
        <v>50</v>
      </c>
      <c r="I3875" s="117" t="str">
        <f t="shared" si="598"/>
        <v>562100</v>
      </c>
      <c r="J3875" s="112" t="s">
        <v>84</v>
      </c>
      <c r="K3875" s="117" t="str">
        <f>CONCATENATE(B3875,"105")</f>
        <v>562105</v>
      </c>
      <c r="L3875" s="2">
        <v>1</v>
      </c>
      <c r="M3875" s="2" t="s">
        <v>84</v>
      </c>
      <c r="N3875" s="2" t="s">
        <v>84</v>
      </c>
      <c r="O3875" s="2" t="s">
        <v>841</v>
      </c>
      <c r="P3875" s="2" t="s">
        <v>2950</v>
      </c>
    </row>
    <row r="3876" spans="1:16" ht="22" customHeight="1" x14ac:dyDescent="0.15">
      <c r="A3876" s="10" t="str">
        <f t="shared" si="597"/>
        <v>562_10_11_10_polygon</v>
      </c>
      <c r="B3876" s="2">
        <v>562</v>
      </c>
      <c r="C3876" s="30" t="str">
        <f>VLOOKUP(B3876,gachas!A:C,3)</f>
        <v>花見ガチャ&lt;前半&gt;</v>
      </c>
      <c r="D3876" s="21">
        <v>10</v>
      </c>
      <c r="E3876" s="2">
        <f t="shared" si="599"/>
        <v>11</v>
      </c>
      <c r="F3876" s="2">
        <v>10</v>
      </c>
      <c r="G3876" s="3" t="s">
        <v>22</v>
      </c>
      <c r="H3876" s="2">
        <v>25</v>
      </c>
      <c r="I3876" s="117" t="str">
        <f t="shared" si="598"/>
        <v>562100</v>
      </c>
      <c r="J3876" s="112" t="s">
        <v>84</v>
      </c>
      <c r="K3876" s="117" t="str">
        <f>CONCATENATE(B3876,"100")</f>
        <v>562100</v>
      </c>
      <c r="L3876" s="2">
        <v>1</v>
      </c>
      <c r="M3876" s="2" t="s">
        <v>84</v>
      </c>
      <c r="N3876" s="2" t="s">
        <v>84</v>
      </c>
      <c r="O3876" s="2" t="s">
        <v>841</v>
      </c>
      <c r="P3876" s="59" t="s">
        <v>1783</v>
      </c>
    </row>
    <row r="3877" spans="1:16" ht="22" customHeight="1" x14ac:dyDescent="0.15">
      <c r="A3877" s="10" t="str">
        <f t="shared" si="597"/>
        <v>562_10_12_10_polygon</v>
      </c>
      <c r="B3877" s="2">
        <v>562</v>
      </c>
      <c r="C3877" s="30" t="str">
        <f>VLOOKUP(B3877,gachas!A:C,3)</f>
        <v>花見ガチャ&lt;前半&gt;</v>
      </c>
      <c r="D3877" s="21">
        <v>10</v>
      </c>
      <c r="E3877" s="2">
        <f t="shared" si="599"/>
        <v>12</v>
      </c>
      <c r="F3877" s="2">
        <v>10</v>
      </c>
      <c r="G3877" s="3" t="s">
        <v>22</v>
      </c>
      <c r="H3877" s="2">
        <v>50</v>
      </c>
      <c r="I3877" s="117" t="str">
        <f t="shared" si="598"/>
        <v>562100</v>
      </c>
      <c r="J3877" s="112" t="s">
        <v>84</v>
      </c>
      <c r="K3877" s="117" t="str">
        <f>CONCATENATE(B3877,"100")</f>
        <v>562100</v>
      </c>
      <c r="L3877" s="2">
        <v>1</v>
      </c>
      <c r="M3877" s="2" t="s">
        <v>84</v>
      </c>
      <c r="N3877" s="2" t="s">
        <v>84</v>
      </c>
      <c r="O3877" s="2" t="s">
        <v>841</v>
      </c>
      <c r="P3877" s="2" t="s">
        <v>2961</v>
      </c>
    </row>
    <row r="3878" spans="1:16" ht="22" customHeight="1" x14ac:dyDescent="0.15">
      <c r="A3878" s="10" t="str">
        <f t="shared" si="597"/>
        <v>562_10_13_10_polygon</v>
      </c>
      <c r="B3878" s="2">
        <v>562</v>
      </c>
      <c r="C3878" s="30" t="str">
        <f>VLOOKUP(B3878,gachas!A:C,3)</f>
        <v>花見ガチャ&lt;前半&gt;</v>
      </c>
      <c r="D3878" s="21">
        <v>10</v>
      </c>
      <c r="E3878" s="2">
        <f t="shared" si="599"/>
        <v>13</v>
      </c>
      <c r="F3878" s="2">
        <v>10</v>
      </c>
      <c r="G3878" s="3" t="s">
        <v>22</v>
      </c>
      <c r="H3878" s="2">
        <v>50</v>
      </c>
      <c r="I3878" s="117" t="str">
        <f t="shared" si="598"/>
        <v>562100</v>
      </c>
      <c r="J3878" s="112" t="s">
        <v>84</v>
      </c>
      <c r="K3878" s="117" t="str">
        <f>CONCATENATE(B3878,"100")</f>
        <v>562100</v>
      </c>
      <c r="L3878" s="2">
        <v>1</v>
      </c>
      <c r="M3878" s="2" t="s">
        <v>84</v>
      </c>
      <c r="N3878" s="2" t="s">
        <v>84</v>
      </c>
      <c r="O3878" s="2" t="s">
        <v>841</v>
      </c>
      <c r="P3878" s="2" t="s">
        <v>2961</v>
      </c>
    </row>
    <row r="3879" spans="1:16" ht="22" customHeight="1" x14ac:dyDescent="0.15">
      <c r="A3879" s="10" t="str">
        <f t="shared" si="597"/>
        <v>562_10_14_10_polygon</v>
      </c>
      <c r="B3879" s="2">
        <v>562</v>
      </c>
      <c r="C3879" s="30" t="str">
        <f>VLOOKUP(B3879,gachas!A:C,3)</f>
        <v>花見ガチャ&lt;前半&gt;</v>
      </c>
      <c r="D3879" s="21">
        <v>10</v>
      </c>
      <c r="E3879" s="2">
        <f t="shared" si="599"/>
        <v>14</v>
      </c>
      <c r="F3879" s="2">
        <v>10</v>
      </c>
      <c r="G3879" s="3" t="s">
        <v>22</v>
      </c>
      <c r="H3879" s="2">
        <v>50</v>
      </c>
      <c r="I3879" s="117" t="str">
        <f t="shared" si="598"/>
        <v>562100</v>
      </c>
      <c r="J3879" s="112" t="s">
        <v>84</v>
      </c>
      <c r="K3879" s="117" t="str">
        <f>CONCATENATE(B3879,"100")</f>
        <v>562100</v>
      </c>
      <c r="L3879" s="2">
        <v>1</v>
      </c>
      <c r="M3879" s="2" t="s">
        <v>84</v>
      </c>
      <c r="N3879" s="2" t="s">
        <v>84</v>
      </c>
      <c r="O3879" s="2" t="s">
        <v>841</v>
      </c>
      <c r="P3879" s="2" t="s">
        <v>2961</v>
      </c>
    </row>
    <row r="3880" spans="1:16" ht="22" customHeight="1" x14ac:dyDescent="0.15">
      <c r="A3880" s="10" t="str">
        <f t="shared" si="597"/>
        <v>562_10_15_10_polygon</v>
      </c>
      <c r="B3880" s="2">
        <v>562</v>
      </c>
      <c r="C3880" s="30" t="str">
        <f>VLOOKUP(B3880,gachas!A:C,3)</f>
        <v>花見ガチャ&lt;前半&gt;</v>
      </c>
      <c r="D3880" s="21">
        <v>10</v>
      </c>
      <c r="E3880" s="2">
        <f t="shared" si="599"/>
        <v>15</v>
      </c>
      <c r="F3880" s="2">
        <v>10</v>
      </c>
      <c r="G3880" s="3" t="s">
        <v>22</v>
      </c>
      <c r="H3880" s="2">
        <v>50</v>
      </c>
      <c r="I3880" s="117" t="str">
        <f t="shared" si="598"/>
        <v>562100</v>
      </c>
      <c r="J3880" s="112" t="s">
        <v>84</v>
      </c>
      <c r="K3880" s="117" t="str">
        <f>CONCATENATE(B3880,"105")</f>
        <v>562105</v>
      </c>
      <c r="L3880" s="2">
        <v>1</v>
      </c>
      <c r="M3880" s="2" t="s">
        <v>84</v>
      </c>
      <c r="N3880" s="2" t="s">
        <v>84</v>
      </c>
      <c r="O3880" s="2" t="s">
        <v>841</v>
      </c>
      <c r="P3880" s="2" t="s">
        <v>2950</v>
      </c>
    </row>
    <row r="3881" spans="1:16" ht="22" customHeight="1" x14ac:dyDescent="0.15">
      <c r="A3881" s="10" t="str">
        <f t="shared" si="597"/>
        <v>562_10_16_10_polygon</v>
      </c>
      <c r="B3881" s="2">
        <v>562</v>
      </c>
      <c r="C3881" s="30" t="str">
        <f>VLOOKUP(B3881,gachas!A:C,3)</f>
        <v>花見ガチャ&lt;前半&gt;</v>
      </c>
      <c r="D3881" s="21">
        <v>10</v>
      </c>
      <c r="E3881" s="2">
        <f t="shared" si="599"/>
        <v>16</v>
      </c>
      <c r="F3881" s="2">
        <v>10</v>
      </c>
      <c r="G3881" s="3" t="s">
        <v>22</v>
      </c>
      <c r="H3881" s="2">
        <v>25</v>
      </c>
      <c r="I3881" s="117" t="str">
        <f t="shared" si="598"/>
        <v>562100</v>
      </c>
      <c r="J3881" s="112" t="s">
        <v>84</v>
      </c>
      <c r="K3881" s="117" t="str">
        <f>CONCATENATE(B3881,"100")</f>
        <v>562100</v>
      </c>
      <c r="L3881" s="2">
        <v>1</v>
      </c>
      <c r="M3881" s="2" t="s">
        <v>84</v>
      </c>
      <c r="N3881" s="2" t="s">
        <v>84</v>
      </c>
      <c r="O3881" s="2" t="s">
        <v>841</v>
      </c>
      <c r="P3881" s="59" t="s">
        <v>1783</v>
      </c>
    </row>
    <row r="3882" spans="1:16" ht="22" customHeight="1" x14ac:dyDescent="0.15">
      <c r="A3882" s="10" t="str">
        <f t="shared" si="597"/>
        <v>562_10_17_10_polygon</v>
      </c>
      <c r="B3882" s="2">
        <v>562</v>
      </c>
      <c r="C3882" s="30" t="str">
        <f>VLOOKUP(B3882,gachas!A:C,3)</f>
        <v>花見ガチャ&lt;前半&gt;</v>
      </c>
      <c r="D3882" s="21">
        <v>10</v>
      </c>
      <c r="E3882" s="2">
        <f t="shared" si="599"/>
        <v>17</v>
      </c>
      <c r="F3882" s="2">
        <v>10</v>
      </c>
      <c r="G3882" s="3" t="s">
        <v>22</v>
      </c>
      <c r="H3882" s="2">
        <v>50</v>
      </c>
      <c r="I3882" s="117" t="str">
        <f t="shared" si="598"/>
        <v>562100</v>
      </c>
      <c r="J3882" s="112" t="s">
        <v>84</v>
      </c>
      <c r="K3882" s="117" t="str">
        <f>CONCATENATE(B3882,"100")</f>
        <v>562100</v>
      </c>
      <c r="L3882" s="2">
        <v>1</v>
      </c>
      <c r="M3882" s="2" t="s">
        <v>84</v>
      </c>
      <c r="N3882" s="2" t="s">
        <v>84</v>
      </c>
      <c r="O3882" s="2" t="s">
        <v>841</v>
      </c>
      <c r="P3882" s="2" t="s">
        <v>2961</v>
      </c>
    </row>
    <row r="3883" spans="1:16" ht="22" customHeight="1" x14ac:dyDescent="0.15">
      <c r="A3883" s="10" t="str">
        <f t="shared" si="597"/>
        <v>562_10_18_10_polygon</v>
      </c>
      <c r="B3883" s="2">
        <v>562</v>
      </c>
      <c r="C3883" s="30" t="str">
        <f>VLOOKUP(B3883,gachas!A:C,3)</f>
        <v>花見ガチャ&lt;前半&gt;</v>
      </c>
      <c r="D3883" s="21">
        <v>10</v>
      </c>
      <c r="E3883" s="2">
        <f t="shared" si="599"/>
        <v>18</v>
      </c>
      <c r="F3883" s="2">
        <v>10</v>
      </c>
      <c r="G3883" s="3" t="s">
        <v>22</v>
      </c>
      <c r="H3883" s="2">
        <v>50</v>
      </c>
      <c r="I3883" s="117" t="str">
        <f t="shared" si="598"/>
        <v>562100</v>
      </c>
      <c r="J3883" s="112" t="s">
        <v>84</v>
      </c>
      <c r="K3883" s="117" t="str">
        <f>CONCATENATE(B3883,"100")</f>
        <v>562100</v>
      </c>
      <c r="L3883" s="2">
        <v>1</v>
      </c>
      <c r="M3883" s="2" t="s">
        <v>84</v>
      </c>
      <c r="N3883" s="2" t="s">
        <v>84</v>
      </c>
      <c r="O3883" s="2" t="s">
        <v>841</v>
      </c>
      <c r="P3883" s="2" t="s">
        <v>2961</v>
      </c>
    </row>
    <row r="3884" spans="1:16" ht="22" customHeight="1" x14ac:dyDescent="0.15">
      <c r="A3884" s="10" t="str">
        <f t="shared" si="597"/>
        <v>562_10_19_10_polygon</v>
      </c>
      <c r="B3884" s="2">
        <v>562</v>
      </c>
      <c r="C3884" s="30" t="str">
        <f>VLOOKUP(B3884,gachas!A:C,3)</f>
        <v>花見ガチャ&lt;前半&gt;</v>
      </c>
      <c r="D3884" s="21">
        <v>10</v>
      </c>
      <c r="E3884" s="2">
        <f t="shared" si="599"/>
        <v>19</v>
      </c>
      <c r="F3884" s="2">
        <v>10</v>
      </c>
      <c r="G3884" s="3" t="s">
        <v>22</v>
      </c>
      <c r="H3884" s="2">
        <v>50</v>
      </c>
      <c r="I3884" s="117" t="str">
        <f t="shared" si="598"/>
        <v>562100</v>
      </c>
      <c r="J3884" s="112" t="s">
        <v>84</v>
      </c>
      <c r="K3884" s="117" t="str">
        <f>CONCATENATE(B3884,"100")</f>
        <v>562100</v>
      </c>
      <c r="L3884" s="2">
        <v>1</v>
      </c>
      <c r="M3884" s="2" t="s">
        <v>84</v>
      </c>
      <c r="N3884" s="2" t="s">
        <v>84</v>
      </c>
      <c r="O3884" s="2" t="s">
        <v>841</v>
      </c>
      <c r="P3884" s="2" t="s">
        <v>2961</v>
      </c>
    </row>
    <row r="3885" spans="1:16" ht="22" customHeight="1" x14ac:dyDescent="0.15">
      <c r="A3885" s="10" t="str">
        <f t="shared" si="597"/>
        <v>562_10_20_10_polygon</v>
      </c>
      <c r="B3885" s="2">
        <v>562</v>
      </c>
      <c r="C3885" s="30" t="str">
        <f>VLOOKUP(B3885,gachas!A:C,3)</f>
        <v>花見ガチャ&lt;前半&gt;</v>
      </c>
      <c r="D3885" s="21">
        <v>10</v>
      </c>
      <c r="E3885" s="2">
        <f t="shared" si="599"/>
        <v>20</v>
      </c>
      <c r="F3885" s="2">
        <v>10</v>
      </c>
      <c r="G3885" s="3" t="s">
        <v>22</v>
      </c>
      <c r="H3885" s="2">
        <v>50</v>
      </c>
      <c r="I3885" s="117" t="str">
        <f t="shared" si="598"/>
        <v>562100</v>
      </c>
      <c r="J3885" s="112" t="s">
        <v>84</v>
      </c>
      <c r="K3885" s="117" t="str">
        <f>CONCATENATE(B3885,"105")</f>
        <v>562105</v>
      </c>
      <c r="L3885" s="2">
        <v>1</v>
      </c>
      <c r="M3885" s="2" t="s">
        <v>84</v>
      </c>
      <c r="N3885" s="2" t="s">
        <v>84</v>
      </c>
      <c r="O3885" s="2" t="s">
        <v>841</v>
      </c>
      <c r="P3885" s="2" t="s">
        <v>2950</v>
      </c>
    </row>
    <row r="3886" spans="1:16" ht="22" customHeight="1" x14ac:dyDescent="0.15">
      <c r="A3886" s="10" t="str">
        <f t="shared" si="597"/>
        <v>562_10_21_10_polygon</v>
      </c>
      <c r="B3886" s="2">
        <v>562</v>
      </c>
      <c r="C3886" s="30" t="str">
        <f>VLOOKUP(B3886,gachas!A:C,3)</f>
        <v>花見ガチャ&lt;前半&gt;</v>
      </c>
      <c r="D3886" s="21">
        <v>10</v>
      </c>
      <c r="E3886" s="2">
        <f t="shared" si="599"/>
        <v>21</v>
      </c>
      <c r="F3886" s="2">
        <v>10</v>
      </c>
      <c r="G3886" s="3" t="s">
        <v>22</v>
      </c>
      <c r="H3886" s="2">
        <v>25</v>
      </c>
      <c r="I3886" s="117" t="str">
        <f t="shared" si="598"/>
        <v>562100</v>
      </c>
      <c r="J3886" s="112" t="s">
        <v>84</v>
      </c>
      <c r="K3886" s="117" t="str">
        <f>CONCATENATE(B3886,"100")</f>
        <v>562100</v>
      </c>
      <c r="L3886" s="2">
        <v>1</v>
      </c>
      <c r="M3886" s="2" t="s">
        <v>84</v>
      </c>
      <c r="N3886" s="2" t="s">
        <v>84</v>
      </c>
      <c r="O3886" s="2" t="s">
        <v>841</v>
      </c>
      <c r="P3886" s="59" t="s">
        <v>1783</v>
      </c>
    </row>
    <row r="3887" spans="1:16" ht="22" customHeight="1" x14ac:dyDescent="0.15">
      <c r="A3887" s="10" t="str">
        <f t="shared" si="597"/>
        <v>562_10_22_10_polygon</v>
      </c>
      <c r="B3887" s="2">
        <v>562</v>
      </c>
      <c r="C3887" s="30" t="str">
        <f>VLOOKUP(B3887,gachas!A:C,3)</f>
        <v>花見ガチャ&lt;前半&gt;</v>
      </c>
      <c r="D3887" s="21">
        <v>10</v>
      </c>
      <c r="E3887" s="2">
        <f t="shared" si="599"/>
        <v>22</v>
      </c>
      <c r="F3887" s="2">
        <v>10</v>
      </c>
      <c r="G3887" s="3" t="s">
        <v>22</v>
      </c>
      <c r="H3887" s="2">
        <v>50</v>
      </c>
      <c r="I3887" s="117" t="str">
        <f t="shared" si="598"/>
        <v>562100</v>
      </c>
      <c r="J3887" s="112" t="s">
        <v>84</v>
      </c>
      <c r="K3887" s="117" t="str">
        <f>CONCATENATE(B3887,"100")</f>
        <v>562100</v>
      </c>
      <c r="L3887" s="2">
        <v>1</v>
      </c>
      <c r="M3887" s="2" t="s">
        <v>84</v>
      </c>
      <c r="N3887" s="2" t="s">
        <v>84</v>
      </c>
      <c r="O3887" s="2" t="s">
        <v>841</v>
      </c>
      <c r="P3887" s="2" t="s">
        <v>2961</v>
      </c>
    </row>
    <row r="3888" spans="1:16" ht="22" customHeight="1" x14ac:dyDescent="0.15">
      <c r="A3888" s="10" t="str">
        <f t="shared" si="597"/>
        <v>562_10_23_10_polygon</v>
      </c>
      <c r="B3888" s="2">
        <v>562</v>
      </c>
      <c r="C3888" s="30" t="str">
        <f>VLOOKUP(B3888,gachas!A:C,3)</f>
        <v>花見ガチャ&lt;前半&gt;</v>
      </c>
      <c r="D3888" s="21">
        <v>10</v>
      </c>
      <c r="E3888" s="2">
        <f t="shared" si="599"/>
        <v>23</v>
      </c>
      <c r="F3888" s="2">
        <v>10</v>
      </c>
      <c r="G3888" s="3" t="s">
        <v>22</v>
      </c>
      <c r="H3888" s="2">
        <v>50</v>
      </c>
      <c r="I3888" s="117" t="str">
        <f t="shared" si="598"/>
        <v>562100</v>
      </c>
      <c r="J3888" s="112" t="s">
        <v>84</v>
      </c>
      <c r="K3888" s="117" t="str">
        <f>CONCATENATE(B3888,"100")</f>
        <v>562100</v>
      </c>
      <c r="L3888" s="2">
        <v>1</v>
      </c>
      <c r="M3888" s="2" t="s">
        <v>84</v>
      </c>
      <c r="N3888" s="2" t="s">
        <v>84</v>
      </c>
      <c r="O3888" s="2" t="s">
        <v>841</v>
      </c>
      <c r="P3888" s="2" t="s">
        <v>2961</v>
      </c>
    </row>
    <row r="3889" spans="1:16" ht="22" customHeight="1" x14ac:dyDescent="0.15">
      <c r="A3889" s="10" t="str">
        <f t="shared" si="597"/>
        <v>562_10_24_10_polygon</v>
      </c>
      <c r="B3889" s="2">
        <v>562</v>
      </c>
      <c r="C3889" s="30" t="str">
        <f>VLOOKUP(B3889,gachas!A:C,3)</f>
        <v>花見ガチャ&lt;前半&gt;</v>
      </c>
      <c r="D3889" s="21">
        <v>10</v>
      </c>
      <c r="E3889" s="2">
        <f t="shared" si="599"/>
        <v>24</v>
      </c>
      <c r="F3889" s="2">
        <v>10</v>
      </c>
      <c r="G3889" s="3" t="s">
        <v>22</v>
      </c>
      <c r="H3889" s="2">
        <v>50</v>
      </c>
      <c r="I3889" s="117" t="str">
        <f t="shared" si="598"/>
        <v>562100</v>
      </c>
      <c r="J3889" s="112" t="s">
        <v>84</v>
      </c>
      <c r="K3889" s="117" t="str">
        <f>CONCATENATE(B3889,"100")</f>
        <v>562100</v>
      </c>
      <c r="L3889" s="2">
        <v>1</v>
      </c>
      <c r="M3889" s="2" t="s">
        <v>84</v>
      </c>
      <c r="N3889" s="2" t="s">
        <v>84</v>
      </c>
      <c r="O3889" s="2" t="s">
        <v>841</v>
      </c>
      <c r="P3889" s="2" t="s">
        <v>2961</v>
      </c>
    </row>
    <row r="3890" spans="1:16" ht="22" customHeight="1" x14ac:dyDescent="0.15">
      <c r="A3890" s="10" t="str">
        <f t="shared" si="597"/>
        <v>562_10_25_10_polygon</v>
      </c>
      <c r="B3890" s="2">
        <v>562</v>
      </c>
      <c r="C3890" s="30" t="str">
        <f>VLOOKUP(B3890,gachas!A:C,3)</f>
        <v>花見ガチャ&lt;前半&gt;</v>
      </c>
      <c r="D3890" s="21">
        <v>10</v>
      </c>
      <c r="E3890" s="2">
        <f t="shared" si="599"/>
        <v>25</v>
      </c>
      <c r="F3890" s="2">
        <v>10</v>
      </c>
      <c r="G3890" s="3" t="s">
        <v>22</v>
      </c>
      <c r="H3890" s="2">
        <v>50</v>
      </c>
      <c r="I3890" s="117" t="str">
        <f t="shared" si="598"/>
        <v>562100</v>
      </c>
      <c r="J3890" s="112" t="s">
        <v>84</v>
      </c>
      <c r="K3890" s="117" t="str">
        <f>CONCATENATE(B3890,"105")</f>
        <v>562105</v>
      </c>
      <c r="L3890" s="2">
        <v>1</v>
      </c>
      <c r="M3890" s="2" t="s">
        <v>84</v>
      </c>
      <c r="N3890" s="2" t="s">
        <v>84</v>
      </c>
      <c r="O3890" s="2" t="s">
        <v>841</v>
      </c>
      <c r="P3890" s="2" t="s">
        <v>2950</v>
      </c>
    </row>
    <row r="3891" spans="1:16" ht="22" customHeight="1" x14ac:dyDescent="0.15">
      <c r="A3891" s="10" t="str">
        <f t="shared" si="597"/>
        <v>562_10_26_10_polygon</v>
      </c>
      <c r="B3891" s="2">
        <v>562</v>
      </c>
      <c r="C3891" s="30" t="str">
        <f>VLOOKUP(B3891,gachas!A:C,3)</f>
        <v>花見ガチャ&lt;前半&gt;</v>
      </c>
      <c r="D3891" s="21">
        <v>10</v>
      </c>
      <c r="E3891" s="2">
        <f t="shared" si="599"/>
        <v>26</v>
      </c>
      <c r="F3891" s="2">
        <v>10</v>
      </c>
      <c r="G3891" s="3" t="s">
        <v>22</v>
      </c>
      <c r="H3891" s="2">
        <v>25</v>
      </c>
      <c r="I3891" s="117" t="str">
        <f t="shared" si="598"/>
        <v>562100</v>
      </c>
      <c r="J3891" s="112" t="s">
        <v>84</v>
      </c>
      <c r="K3891" s="117" t="str">
        <f>CONCATENATE(B3891,"100")</f>
        <v>562100</v>
      </c>
      <c r="L3891" s="2">
        <v>1</v>
      </c>
      <c r="M3891" s="2" t="s">
        <v>84</v>
      </c>
      <c r="N3891" s="2" t="s">
        <v>84</v>
      </c>
      <c r="O3891" s="2" t="s">
        <v>841</v>
      </c>
      <c r="P3891" s="59" t="s">
        <v>1783</v>
      </c>
    </row>
    <row r="3892" spans="1:16" ht="22" customHeight="1" x14ac:dyDescent="0.15">
      <c r="A3892" s="10" t="str">
        <f t="shared" si="597"/>
        <v>562_10_27_10_polygon</v>
      </c>
      <c r="B3892" s="2">
        <v>562</v>
      </c>
      <c r="C3892" s="30" t="str">
        <f>VLOOKUP(B3892,gachas!A:C,3)</f>
        <v>花見ガチャ&lt;前半&gt;</v>
      </c>
      <c r="D3892" s="21">
        <v>10</v>
      </c>
      <c r="E3892" s="2">
        <f t="shared" si="599"/>
        <v>27</v>
      </c>
      <c r="F3892" s="2">
        <v>10</v>
      </c>
      <c r="G3892" s="3" t="s">
        <v>22</v>
      </c>
      <c r="H3892" s="2">
        <v>50</v>
      </c>
      <c r="I3892" s="117" t="str">
        <f t="shared" si="598"/>
        <v>562100</v>
      </c>
      <c r="J3892" s="112" t="s">
        <v>84</v>
      </c>
      <c r="K3892" s="117" t="str">
        <f>CONCATENATE(B3892,"100")</f>
        <v>562100</v>
      </c>
      <c r="L3892" s="2">
        <v>1</v>
      </c>
      <c r="M3892" s="2" t="s">
        <v>84</v>
      </c>
      <c r="N3892" s="2" t="s">
        <v>84</v>
      </c>
      <c r="O3892" s="2" t="s">
        <v>841</v>
      </c>
      <c r="P3892" s="2" t="s">
        <v>2961</v>
      </c>
    </row>
    <row r="3893" spans="1:16" ht="22" customHeight="1" x14ac:dyDescent="0.15">
      <c r="A3893" s="10" t="str">
        <f t="shared" si="597"/>
        <v>562_10_28_10_polygon</v>
      </c>
      <c r="B3893" s="2">
        <v>562</v>
      </c>
      <c r="C3893" s="30" t="str">
        <f>VLOOKUP(B3893,gachas!A:C,3)</f>
        <v>花見ガチャ&lt;前半&gt;</v>
      </c>
      <c r="D3893" s="21">
        <v>10</v>
      </c>
      <c r="E3893" s="2">
        <f t="shared" si="599"/>
        <v>28</v>
      </c>
      <c r="F3893" s="2">
        <v>10</v>
      </c>
      <c r="G3893" s="3" t="s">
        <v>22</v>
      </c>
      <c r="H3893" s="2">
        <v>50</v>
      </c>
      <c r="I3893" s="117" t="str">
        <f t="shared" si="598"/>
        <v>562100</v>
      </c>
      <c r="J3893" s="112" t="s">
        <v>84</v>
      </c>
      <c r="K3893" s="117" t="str">
        <f>CONCATENATE(B3893,"100")</f>
        <v>562100</v>
      </c>
      <c r="L3893" s="2">
        <v>1</v>
      </c>
      <c r="M3893" s="2" t="s">
        <v>84</v>
      </c>
      <c r="N3893" s="2" t="s">
        <v>84</v>
      </c>
      <c r="O3893" s="2" t="s">
        <v>841</v>
      </c>
      <c r="P3893" s="2" t="s">
        <v>2961</v>
      </c>
    </row>
    <row r="3894" spans="1:16" ht="22" customHeight="1" x14ac:dyDescent="0.15">
      <c r="A3894" s="10" t="str">
        <f t="shared" si="597"/>
        <v>562_10_29_10_polygon</v>
      </c>
      <c r="B3894" s="2">
        <v>562</v>
      </c>
      <c r="C3894" s="30" t="str">
        <f>VLOOKUP(B3894,gachas!A:C,3)</f>
        <v>花見ガチャ&lt;前半&gt;</v>
      </c>
      <c r="D3894" s="21">
        <v>10</v>
      </c>
      <c r="E3894" s="2">
        <f t="shared" si="599"/>
        <v>29</v>
      </c>
      <c r="F3894" s="2">
        <v>10</v>
      </c>
      <c r="G3894" s="3" t="s">
        <v>22</v>
      </c>
      <c r="H3894" s="2">
        <v>50</v>
      </c>
      <c r="I3894" s="117" t="str">
        <f t="shared" si="598"/>
        <v>562100</v>
      </c>
      <c r="J3894" s="112" t="s">
        <v>84</v>
      </c>
      <c r="K3894" s="117" t="str">
        <f>CONCATENATE(B3894,"100")</f>
        <v>562100</v>
      </c>
      <c r="L3894" s="2">
        <v>1</v>
      </c>
      <c r="M3894" s="2" t="s">
        <v>84</v>
      </c>
      <c r="N3894" s="2" t="s">
        <v>84</v>
      </c>
      <c r="O3894" s="2" t="s">
        <v>841</v>
      </c>
      <c r="P3894" s="2" t="s">
        <v>2961</v>
      </c>
    </row>
    <row r="3895" spans="1:16" ht="22" customHeight="1" x14ac:dyDescent="0.15">
      <c r="A3895" s="10" t="str">
        <f t="shared" si="597"/>
        <v>562_10_30_10_polygon</v>
      </c>
      <c r="B3895" s="2">
        <v>562</v>
      </c>
      <c r="C3895" s="30" t="str">
        <f>VLOOKUP(B3895,gachas!A:C,3)</f>
        <v>花見ガチャ&lt;前半&gt;</v>
      </c>
      <c r="D3895" s="21">
        <v>10</v>
      </c>
      <c r="E3895" s="2">
        <f t="shared" si="599"/>
        <v>30</v>
      </c>
      <c r="F3895" s="2">
        <v>10</v>
      </c>
      <c r="G3895" s="3" t="s">
        <v>22</v>
      </c>
      <c r="H3895" s="2">
        <v>50</v>
      </c>
      <c r="I3895" s="117" t="str">
        <f t="shared" si="598"/>
        <v>562100</v>
      </c>
      <c r="J3895" s="112" t="s">
        <v>84</v>
      </c>
      <c r="K3895" s="117" t="str">
        <f>CONCATENATE(B3895,"105")</f>
        <v>562105</v>
      </c>
      <c r="L3895" s="2">
        <v>1</v>
      </c>
      <c r="M3895" s="2" t="s">
        <v>84</v>
      </c>
      <c r="N3895" s="2" t="s">
        <v>84</v>
      </c>
      <c r="O3895" s="2" t="s">
        <v>841</v>
      </c>
      <c r="P3895" s="2" t="s">
        <v>2950</v>
      </c>
    </row>
    <row r="3896" spans="1:16" ht="22" customHeight="1" x14ac:dyDescent="0.15">
      <c r="A3896" s="10" t="str">
        <f t="shared" si="597"/>
        <v>562_10_31_10_polygon</v>
      </c>
      <c r="B3896" s="2">
        <v>562</v>
      </c>
      <c r="C3896" s="30" t="str">
        <f>VLOOKUP(B3896,gachas!A:C,3)</f>
        <v>花見ガチャ&lt;前半&gt;</v>
      </c>
      <c r="D3896" s="21">
        <v>10</v>
      </c>
      <c r="E3896" s="2">
        <f t="shared" si="599"/>
        <v>31</v>
      </c>
      <c r="F3896" s="2">
        <v>10</v>
      </c>
      <c r="G3896" s="3" t="s">
        <v>22</v>
      </c>
      <c r="H3896" s="2">
        <v>25</v>
      </c>
      <c r="I3896" s="117" t="str">
        <f t="shared" si="598"/>
        <v>562100</v>
      </c>
      <c r="J3896" s="112" t="s">
        <v>84</v>
      </c>
      <c r="K3896" s="117" t="str">
        <f>CONCATENATE(B3896,"100")</f>
        <v>562100</v>
      </c>
      <c r="L3896" s="2">
        <v>1</v>
      </c>
      <c r="M3896" s="2" t="s">
        <v>84</v>
      </c>
      <c r="N3896" s="2" t="s">
        <v>84</v>
      </c>
      <c r="O3896" s="2" t="s">
        <v>841</v>
      </c>
      <c r="P3896" s="59" t="s">
        <v>1783</v>
      </c>
    </row>
    <row r="3897" spans="1:16" ht="22" customHeight="1" x14ac:dyDescent="0.15">
      <c r="A3897" s="10" t="str">
        <f t="shared" si="597"/>
        <v>562_10_32_10_polygon</v>
      </c>
      <c r="B3897" s="2">
        <v>562</v>
      </c>
      <c r="C3897" s="30" t="str">
        <f>VLOOKUP(B3897,gachas!A:C,3)</f>
        <v>花見ガチャ&lt;前半&gt;</v>
      </c>
      <c r="D3897" s="21">
        <v>10</v>
      </c>
      <c r="E3897" s="2">
        <f t="shared" si="599"/>
        <v>32</v>
      </c>
      <c r="F3897" s="2">
        <v>10</v>
      </c>
      <c r="G3897" s="3" t="s">
        <v>22</v>
      </c>
      <c r="H3897" s="2">
        <v>50</v>
      </c>
      <c r="I3897" s="117" t="str">
        <f t="shared" si="598"/>
        <v>562100</v>
      </c>
      <c r="J3897" s="112" t="s">
        <v>84</v>
      </c>
      <c r="K3897" s="117" t="str">
        <f>CONCATENATE(B3897,"100")</f>
        <v>562100</v>
      </c>
      <c r="L3897" s="2">
        <v>1</v>
      </c>
      <c r="M3897" s="2" t="s">
        <v>84</v>
      </c>
      <c r="N3897" s="2" t="s">
        <v>84</v>
      </c>
      <c r="O3897" s="2" t="s">
        <v>841</v>
      </c>
      <c r="P3897" s="2" t="s">
        <v>2961</v>
      </c>
    </row>
    <row r="3898" spans="1:16" ht="22" customHeight="1" x14ac:dyDescent="0.15">
      <c r="A3898" s="10" t="str">
        <f t="shared" si="597"/>
        <v>562_10_33_10_polygon</v>
      </c>
      <c r="B3898" s="2">
        <v>562</v>
      </c>
      <c r="C3898" s="30" t="str">
        <f>VLOOKUP(B3898,gachas!A:C,3)</f>
        <v>花見ガチャ&lt;前半&gt;</v>
      </c>
      <c r="D3898" s="21">
        <v>10</v>
      </c>
      <c r="E3898" s="2">
        <f t="shared" si="599"/>
        <v>33</v>
      </c>
      <c r="F3898" s="2">
        <v>10</v>
      </c>
      <c r="G3898" s="3" t="s">
        <v>22</v>
      </c>
      <c r="H3898" s="2">
        <v>50</v>
      </c>
      <c r="I3898" s="117" t="str">
        <f t="shared" si="598"/>
        <v>562100</v>
      </c>
      <c r="J3898" s="112" t="s">
        <v>84</v>
      </c>
      <c r="K3898" s="117" t="str">
        <f>CONCATENATE(B3898,"100")</f>
        <v>562100</v>
      </c>
      <c r="L3898" s="2">
        <v>1</v>
      </c>
      <c r="M3898" s="2" t="s">
        <v>84</v>
      </c>
      <c r="N3898" s="2" t="s">
        <v>84</v>
      </c>
      <c r="O3898" s="2" t="s">
        <v>841</v>
      </c>
      <c r="P3898" s="2" t="s">
        <v>2961</v>
      </c>
    </row>
    <row r="3899" spans="1:16" ht="22" customHeight="1" x14ac:dyDescent="0.15">
      <c r="A3899" s="10" t="str">
        <f t="shared" si="597"/>
        <v>562_10_34_10_polygon</v>
      </c>
      <c r="B3899" s="2">
        <v>562</v>
      </c>
      <c r="C3899" s="30" t="str">
        <f>VLOOKUP(B3899,gachas!A:C,3)</f>
        <v>花見ガチャ&lt;前半&gt;</v>
      </c>
      <c r="D3899" s="21">
        <v>10</v>
      </c>
      <c r="E3899" s="2">
        <f t="shared" si="599"/>
        <v>34</v>
      </c>
      <c r="F3899" s="2">
        <v>10</v>
      </c>
      <c r="G3899" s="3" t="s">
        <v>22</v>
      </c>
      <c r="H3899" s="2">
        <v>50</v>
      </c>
      <c r="I3899" s="117" t="str">
        <f t="shared" si="598"/>
        <v>562100</v>
      </c>
      <c r="J3899" s="112" t="s">
        <v>84</v>
      </c>
      <c r="K3899" s="117" t="str">
        <f>CONCATENATE(B3899,"100")</f>
        <v>562100</v>
      </c>
      <c r="L3899" s="2">
        <v>1</v>
      </c>
      <c r="M3899" s="2" t="s">
        <v>84</v>
      </c>
      <c r="N3899" s="2" t="s">
        <v>84</v>
      </c>
      <c r="O3899" s="2" t="s">
        <v>841</v>
      </c>
      <c r="P3899" s="2" t="s">
        <v>2961</v>
      </c>
    </row>
    <row r="3900" spans="1:16" ht="22" customHeight="1" x14ac:dyDescent="0.15">
      <c r="A3900" s="10" t="str">
        <f t="shared" si="597"/>
        <v>562_10_35_10_polygon</v>
      </c>
      <c r="B3900" s="2">
        <v>562</v>
      </c>
      <c r="C3900" s="30" t="str">
        <f>VLOOKUP(B3900,gachas!A:C,3)</f>
        <v>花見ガチャ&lt;前半&gt;</v>
      </c>
      <c r="D3900" s="21">
        <v>10</v>
      </c>
      <c r="E3900" s="2">
        <f t="shared" si="599"/>
        <v>35</v>
      </c>
      <c r="F3900" s="2">
        <v>10</v>
      </c>
      <c r="G3900" s="3" t="s">
        <v>22</v>
      </c>
      <c r="H3900" s="2">
        <v>50</v>
      </c>
      <c r="I3900" s="117" t="str">
        <f t="shared" si="598"/>
        <v>562100</v>
      </c>
      <c r="J3900" s="112" t="s">
        <v>84</v>
      </c>
      <c r="K3900" s="117" t="str">
        <f>CONCATENATE(B3900,"105")</f>
        <v>562105</v>
      </c>
      <c r="L3900" s="2">
        <v>1</v>
      </c>
      <c r="M3900" s="2" t="s">
        <v>84</v>
      </c>
      <c r="N3900" s="2" t="s">
        <v>84</v>
      </c>
      <c r="O3900" s="2" t="s">
        <v>841</v>
      </c>
      <c r="P3900" s="2" t="s">
        <v>2950</v>
      </c>
    </row>
    <row r="3901" spans="1:16" ht="22" customHeight="1" x14ac:dyDescent="0.15">
      <c r="A3901" s="10" t="str">
        <f t="shared" si="597"/>
        <v>562_10_36_10_polygon</v>
      </c>
      <c r="B3901" s="2">
        <v>562</v>
      </c>
      <c r="C3901" s="30" t="str">
        <f>VLOOKUP(B3901,gachas!A:C,3)</f>
        <v>花見ガチャ&lt;前半&gt;</v>
      </c>
      <c r="D3901" s="21">
        <v>10</v>
      </c>
      <c r="E3901" s="2">
        <f t="shared" si="599"/>
        <v>36</v>
      </c>
      <c r="F3901" s="2">
        <v>10</v>
      </c>
      <c r="G3901" s="3" t="s">
        <v>22</v>
      </c>
      <c r="H3901" s="2">
        <v>25</v>
      </c>
      <c r="I3901" s="117" t="str">
        <f t="shared" si="598"/>
        <v>562100</v>
      </c>
      <c r="J3901" s="112" t="s">
        <v>84</v>
      </c>
      <c r="K3901" s="117" t="str">
        <f>CONCATENATE(B3901,"100")</f>
        <v>562100</v>
      </c>
      <c r="L3901" s="2">
        <v>1</v>
      </c>
      <c r="M3901" s="2" t="s">
        <v>84</v>
      </c>
      <c r="N3901" s="2" t="s">
        <v>84</v>
      </c>
      <c r="O3901" s="2" t="s">
        <v>841</v>
      </c>
      <c r="P3901" s="59" t="s">
        <v>1783</v>
      </c>
    </row>
    <row r="3902" spans="1:16" ht="22" customHeight="1" x14ac:dyDescent="0.15">
      <c r="A3902" s="10" t="str">
        <f t="shared" si="597"/>
        <v>562_10_37_10_polygon</v>
      </c>
      <c r="B3902" s="2">
        <v>562</v>
      </c>
      <c r="C3902" s="30" t="str">
        <f>VLOOKUP(B3902,gachas!A:C,3)</f>
        <v>花見ガチャ&lt;前半&gt;</v>
      </c>
      <c r="D3902" s="21">
        <v>10</v>
      </c>
      <c r="E3902" s="2">
        <f t="shared" si="599"/>
        <v>37</v>
      </c>
      <c r="F3902" s="2">
        <v>10</v>
      </c>
      <c r="G3902" s="3" t="s">
        <v>22</v>
      </c>
      <c r="H3902" s="2">
        <v>50</v>
      </c>
      <c r="I3902" s="117" t="str">
        <f t="shared" si="598"/>
        <v>562100</v>
      </c>
      <c r="J3902" s="112" t="s">
        <v>84</v>
      </c>
      <c r="K3902" s="117" t="str">
        <f>CONCATENATE(B3902,"100")</f>
        <v>562100</v>
      </c>
      <c r="L3902" s="2">
        <v>1</v>
      </c>
      <c r="M3902" s="2" t="s">
        <v>84</v>
      </c>
      <c r="N3902" s="2" t="s">
        <v>84</v>
      </c>
      <c r="O3902" s="2" t="s">
        <v>841</v>
      </c>
      <c r="P3902" s="2" t="s">
        <v>2961</v>
      </c>
    </row>
    <row r="3903" spans="1:16" ht="22" customHeight="1" x14ac:dyDescent="0.15">
      <c r="A3903" s="10" t="str">
        <f t="shared" si="597"/>
        <v>562_10_38_10_polygon</v>
      </c>
      <c r="B3903" s="2">
        <v>562</v>
      </c>
      <c r="C3903" s="30" t="str">
        <f>VLOOKUP(B3903,gachas!A:C,3)</f>
        <v>花見ガチャ&lt;前半&gt;</v>
      </c>
      <c r="D3903" s="21">
        <v>10</v>
      </c>
      <c r="E3903" s="2">
        <f t="shared" si="599"/>
        <v>38</v>
      </c>
      <c r="F3903" s="2">
        <v>10</v>
      </c>
      <c r="G3903" s="3" t="s">
        <v>22</v>
      </c>
      <c r="H3903" s="2">
        <v>50</v>
      </c>
      <c r="I3903" s="117" t="str">
        <f t="shared" si="598"/>
        <v>562100</v>
      </c>
      <c r="J3903" s="112" t="s">
        <v>84</v>
      </c>
      <c r="K3903" s="117" t="str">
        <f>CONCATENATE(B3903,"100")</f>
        <v>562100</v>
      </c>
      <c r="L3903" s="2">
        <v>1</v>
      </c>
      <c r="M3903" s="2" t="s">
        <v>84</v>
      </c>
      <c r="N3903" s="2" t="s">
        <v>84</v>
      </c>
      <c r="O3903" s="2" t="s">
        <v>841</v>
      </c>
      <c r="P3903" s="2" t="s">
        <v>2961</v>
      </c>
    </row>
    <row r="3904" spans="1:16" ht="22" customHeight="1" x14ac:dyDescent="0.15">
      <c r="A3904" s="10" t="str">
        <f t="shared" si="597"/>
        <v>562_10_39_10_polygon</v>
      </c>
      <c r="B3904" s="2">
        <v>562</v>
      </c>
      <c r="C3904" s="30" t="str">
        <f>VLOOKUP(B3904,gachas!A:C,3)</f>
        <v>花見ガチャ&lt;前半&gt;</v>
      </c>
      <c r="D3904" s="21">
        <v>10</v>
      </c>
      <c r="E3904" s="2">
        <f t="shared" si="599"/>
        <v>39</v>
      </c>
      <c r="F3904" s="2">
        <v>10</v>
      </c>
      <c r="G3904" s="3" t="s">
        <v>22</v>
      </c>
      <c r="H3904" s="2">
        <v>50</v>
      </c>
      <c r="I3904" s="117" t="str">
        <f t="shared" si="598"/>
        <v>562100</v>
      </c>
      <c r="J3904" s="112" t="s">
        <v>84</v>
      </c>
      <c r="K3904" s="117" t="str">
        <f>CONCATENATE(B3904,"100")</f>
        <v>562100</v>
      </c>
      <c r="L3904" s="2">
        <v>1</v>
      </c>
      <c r="M3904" s="2" t="s">
        <v>84</v>
      </c>
      <c r="N3904" s="2" t="s">
        <v>84</v>
      </c>
      <c r="O3904" s="2" t="s">
        <v>841</v>
      </c>
      <c r="P3904" s="2" t="s">
        <v>2961</v>
      </c>
    </row>
    <row r="3905" spans="1:16" ht="22" customHeight="1" x14ac:dyDescent="0.15">
      <c r="A3905" s="10" t="str">
        <f t="shared" si="597"/>
        <v>562_10_40_10_polygon</v>
      </c>
      <c r="B3905" s="2">
        <v>562</v>
      </c>
      <c r="C3905" s="30" t="str">
        <f>VLOOKUP(B3905,gachas!A:C,3)</f>
        <v>花見ガチャ&lt;前半&gt;</v>
      </c>
      <c r="D3905" s="21">
        <v>10</v>
      </c>
      <c r="E3905" s="2">
        <f t="shared" si="599"/>
        <v>40</v>
      </c>
      <c r="F3905" s="2">
        <v>10</v>
      </c>
      <c r="G3905" s="3" t="s">
        <v>22</v>
      </c>
      <c r="H3905" s="2">
        <v>50</v>
      </c>
      <c r="I3905" s="117" t="str">
        <f t="shared" si="598"/>
        <v>562100</v>
      </c>
      <c r="J3905" s="112" t="s">
        <v>84</v>
      </c>
      <c r="K3905" s="117" t="str">
        <f>CONCATENATE(B3905,"105")</f>
        <v>562105</v>
      </c>
      <c r="L3905" s="2">
        <v>1</v>
      </c>
      <c r="M3905" s="2" t="s">
        <v>84</v>
      </c>
      <c r="N3905" s="2" t="s">
        <v>84</v>
      </c>
      <c r="O3905" s="2" t="s">
        <v>841</v>
      </c>
      <c r="P3905" s="2" t="s">
        <v>2950</v>
      </c>
    </row>
    <row r="3906" spans="1:16" ht="22" customHeight="1" x14ac:dyDescent="0.15">
      <c r="A3906" s="10" t="str">
        <f t="shared" si="597"/>
        <v>562_10_41_10_polygon</v>
      </c>
      <c r="B3906" s="2">
        <v>562</v>
      </c>
      <c r="C3906" s="30" t="str">
        <f>VLOOKUP(B3906,gachas!A:C,3)</f>
        <v>花見ガチャ&lt;前半&gt;</v>
      </c>
      <c r="D3906" s="21">
        <v>10</v>
      </c>
      <c r="E3906" s="2">
        <f t="shared" si="599"/>
        <v>41</v>
      </c>
      <c r="F3906" s="2">
        <v>10</v>
      </c>
      <c r="G3906" s="3" t="s">
        <v>22</v>
      </c>
      <c r="H3906" s="2">
        <v>25</v>
      </c>
      <c r="I3906" s="117" t="str">
        <f t="shared" si="598"/>
        <v>562100</v>
      </c>
      <c r="J3906" s="112" t="s">
        <v>84</v>
      </c>
      <c r="K3906" s="117" t="str">
        <f>CONCATENATE(B3906,"100")</f>
        <v>562100</v>
      </c>
      <c r="L3906" s="2">
        <v>1</v>
      </c>
      <c r="M3906" s="2" t="s">
        <v>84</v>
      </c>
      <c r="N3906" s="2" t="s">
        <v>84</v>
      </c>
      <c r="O3906" s="2" t="s">
        <v>841</v>
      </c>
      <c r="P3906" s="59" t="s">
        <v>1783</v>
      </c>
    </row>
    <row r="3907" spans="1:16" ht="22" customHeight="1" x14ac:dyDescent="0.15">
      <c r="A3907" s="10" t="str">
        <f t="shared" si="597"/>
        <v>562_10_42_10_polygon</v>
      </c>
      <c r="B3907" s="2">
        <v>562</v>
      </c>
      <c r="C3907" s="30" t="str">
        <f>VLOOKUP(B3907,gachas!A:C,3)</f>
        <v>花見ガチャ&lt;前半&gt;</v>
      </c>
      <c r="D3907" s="21">
        <v>10</v>
      </c>
      <c r="E3907" s="2">
        <f t="shared" si="599"/>
        <v>42</v>
      </c>
      <c r="F3907" s="2">
        <v>10</v>
      </c>
      <c r="G3907" s="3" t="s">
        <v>22</v>
      </c>
      <c r="H3907" s="2">
        <v>50</v>
      </c>
      <c r="I3907" s="117" t="str">
        <f t="shared" si="598"/>
        <v>562100</v>
      </c>
      <c r="J3907" s="112" t="s">
        <v>84</v>
      </c>
      <c r="K3907" s="117" t="str">
        <f>CONCATENATE(B3907,"100")</f>
        <v>562100</v>
      </c>
      <c r="L3907" s="2">
        <v>1</v>
      </c>
      <c r="M3907" s="2" t="s">
        <v>84</v>
      </c>
      <c r="N3907" s="2" t="s">
        <v>84</v>
      </c>
      <c r="O3907" s="2" t="s">
        <v>841</v>
      </c>
      <c r="P3907" s="2" t="s">
        <v>2961</v>
      </c>
    </row>
    <row r="3908" spans="1:16" ht="22" customHeight="1" x14ac:dyDescent="0.15">
      <c r="A3908" s="10" t="str">
        <f t="shared" si="597"/>
        <v>562_10_43_10_polygon</v>
      </c>
      <c r="B3908" s="2">
        <v>562</v>
      </c>
      <c r="C3908" s="30" t="str">
        <f>VLOOKUP(B3908,gachas!A:C,3)</f>
        <v>花見ガチャ&lt;前半&gt;</v>
      </c>
      <c r="D3908" s="21">
        <v>10</v>
      </c>
      <c r="E3908" s="2">
        <f t="shared" si="599"/>
        <v>43</v>
      </c>
      <c r="F3908" s="2">
        <v>10</v>
      </c>
      <c r="G3908" s="3" t="s">
        <v>22</v>
      </c>
      <c r="H3908" s="2">
        <v>50</v>
      </c>
      <c r="I3908" s="117" t="str">
        <f t="shared" si="598"/>
        <v>562100</v>
      </c>
      <c r="J3908" s="112" t="s">
        <v>84</v>
      </c>
      <c r="K3908" s="117" t="str">
        <f>CONCATENATE(B3908,"100")</f>
        <v>562100</v>
      </c>
      <c r="L3908" s="2">
        <v>1</v>
      </c>
      <c r="M3908" s="2" t="s">
        <v>84</v>
      </c>
      <c r="N3908" s="2" t="s">
        <v>84</v>
      </c>
      <c r="O3908" s="2" t="s">
        <v>841</v>
      </c>
      <c r="P3908" s="2" t="s">
        <v>2961</v>
      </c>
    </row>
    <row r="3909" spans="1:16" ht="22" customHeight="1" x14ac:dyDescent="0.15">
      <c r="A3909" s="10" t="str">
        <f t="shared" si="597"/>
        <v>562_10_44_10_polygon</v>
      </c>
      <c r="B3909" s="2">
        <v>562</v>
      </c>
      <c r="C3909" s="30" t="str">
        <f>VLOOKUP(B3909,gachas!A:C,3)</f>
        <v>花見ガチャ&lt;前半&gt;</v>
      </c>
      <c r="D3909" s="21">
        <v>10</v>
      </c>
      <c r="E3909" s="2">
        <f t="shared" si="599"/>
        <v>44</v>
      </c>
      <c r="F3909" s="2">
        <v>10</v>
      </c>
      <c r="G3909" s="3" t="s">
        <v>22</v>
      </c>
      <c r="H3909" s="2">
        <v>50</v>
      </c>
      <c r="I3909" s="117" t="str">
        <f t="shared" si="598"/>
        <v>562100</v>
      </c>
      <c r="J3909" s="112" t="s">
        <v>84</v>
      </c>
      <c r="K3909" s="117" t="str">
        <f>CONCATENATE(B3909,"100")</f>
        <v>562100</v>
      </c>
      <c r="L3909" s="2">
        <v>1</v>
      </c>
      <c r="M3909" s="2" t="s">
        <v>84</v>
      </c>
      <c r="N3909" s="2" t="s">
        <v>84</v>
      </c>
      <c r="O3909" s="2" t="s">
        <v>841</v>
      </c>
      <c r="P3909" s="2" t="s">
        <v>2961</v>
      </c>
    </row>
    <row r="3910" spans="1:16" ht="22" customHeight="1" x14ac:dyDescent="0.15">
      <c r="A3910" s="10" t="str">
        <f t="shared" si="597"/>
        <v>562_10_45_10_polygon</v>
      </c>
      <c r="B3910" s="2">
        <v>562</v>
      </c>
      <c r="C3910" s="30" t="str">
        <f>VLOOKUP(B3910,gachas!A:C,3)</f>
        <v>花見ガチャ&lt;前半&gt;</v>
      </c>
      <c r="D3910" s="21">
        <v>10</v>
      </c>
      <c r="E3910" s="2">
        <f t="shared" si="599"/>
        <v>45</v>
      </c>
      <c r="F3910" s="2">
        <v>10</v>
      </c>
      <c r="G3910" s="3" t="s">
        <v>22</v>
      </c>
      <c r="H3910" s="2">
        <v>50</v>
      </c>
      <c r="I3910" s="117" t="str">
        <f t="shared" si="598"/>
        <v>562100</v>
      </c>
      <c r="J3910" s="112" t="s">
        <v>84</v>
      </c>
      <c r="K3910" s="117" t="str">
        <f>CONCATENATE(B3910,"105")</f>
        <v>562105</v>
      </c>
      <c r="L3910" s="2">
        <v>1</v>
      </c>
      <c r="M3910" s="2" t="s">
        <v>84</v>
      </c>
      <c r="N3910" s="2" t="s">
        <v>84</v>
      </c>
      <c r="O3910" s="2" t="s">
        <v>841</v>
      </c>
      <c r="P3910" s="2" t="s">
        <v>2950</v>
      </c>
    </row>
    <row r="3911" spans="1:16" ht="22" customHeight="1" x14ac:dyDescent="0.15">
      <c r="A3911" s="10" t="str">
        <f t="shared" si="597"/>
        <v>562_10_46_10_polygon</v>
      </c>
      <c r="B3911" s="2">
        <v>562</v>
      </c>
      <c r="C3911" s="30" t="str">
        <f>VLOOKUP(B3911,gachas!A:C,3)</f>
        <v>花見ガチャ&lt;前半&gt;</v>
      </c>
      <c r="D3911" s="21">
        <v>10</v>
      </c>
      <c r="E3911" s="2">
        <f t="shared" si="599"/>
        <v>46</v>
      </c>
      <c r="F3911" s="2">
        <v>10</v>
      </c>
      <c r="G3911" s="3" t="s">
        <v>22</v>
      </c>
      <c r="H3911" s="2">
        <v>25</v>
      </c>
      <c r="I3911" s="117" t="str">
        <f t="shared" si="598"/>
        <v>562100</v>
      </c>
      <c r="J3911" s="112" t="s">
        <v>84</v>
      </c>
      <c r="K3911" s="117" t="str">
        <f>CONCATENATE(B3911,"100")</f>
        <v>562100</v>
      </c>
      <c r="L3911" s="2">
        <v>1</v>
      </c>
      <c r="M3911" s="2" t="s">
        <v>84</v>
      </c>
      <c r="N3911" s="2" t="s">
        <v>84</v>
      </c>
      <c r="O3911" s="2" t="s">
        <v>841</v>
      </c>
      <c r="P3911" s="59" t="s">
        <v>1783</v>
      </c>
    </row>
    <row r="3912" spans="1:16" ht="22" customHeight="1" x14ac:dyDescent="0.15">
      <c r="A3912" s="10" t="str">
        <f t="shared" si="597"/>
        <v>562_10_47_10_polygon</v>
      </c>
      <c r="B3912" s="2">
        <v>562</v>
      </c>
      <c r="C3912" s="30" t="str">
        <f>VLOOKUP(B3912,gachas!A:C,3)</f>
        <v>花見ガチャ&lt;前半&gt;</v>
      </c>
      <c r="D3912" s="21">
        <v>10</v>
      </c>
      <c r="E3912" s="2">
        <f t="shared" si="599"/>
        <v>47</v>
      </c>
      <c r="F3912" s="2">
        <v>10</v>
      </c>
      <c r="G3912" s="3" t="s">
        <v>22</v>
      </c>
      <c r="H3912" s="2">
        <v>50</v>
      </c>
      <c r="I3912" s="117" t="str">
        <f t="shared" si="598"/>
        <v>562100</v>
      </c>
      <c r="J3912" s="112" t="s">
        <v>84</v>
      </c>
      <c r="K3912" s="117" t="str">
        <f>CONCATENATE(B3912,"100")</f>
        <v>562100</v>
      </c>
      <c r="L3912" s="2">
        <v>1</v>
      </c>
      <c r="M3912" s="2" t="s">
        <v>84</v>
      </c>
      <c r="N3912" s="2" t="s">
        <v>84</v>
      </c>
      <c r="O3912" s="2" t="s">
        <v>841</v>
      </c>
      <c r="P3912" s="2" t="s">
        <v>2961</v>
      </c>
    </row>
    <row r="3913" spans="1:16" ht="22" customHeight="1" x14ac:dyDescent="0.15">
      <c r="A3913" s="10" t="str">
        <f t="shared" si="597"/>
        <v>562_10_48_10_polygon</v>
      </c>
      <c r="B3913" s="2">
        <v>562</v>
      </c>
      <c r="C3913" s="30" t="str">
        <f>VLOOKUP(B3913,gachas!A:C,3)</f>
        <v>花見ガチャ&lt;前半&gt;</v>
      </c>
      <c r="D3913" s="21">
        <v>10</v>
      </c>
      <c r="E3913" s="2">
        <f t="shared" si="599"/>
        <v>48</v>
      </c>
      <c r="F3913" s="2">
        <v>10</v>
      </c>
      <c r="G3913" s="3" t="s">
        <v>22</v>
      </c>
      <c r="H3913" s="2">
        <v>50</v>
      </c>
      <c r="I3913" s="117" t="str">
        <f t="shared" si="598"/>
        <v>562100</v>
      </c>
      <c r="J3913" s="112" t="s">
        <v>84</v>
      </c>
      <c r="K3913" s="117" t="str">
        <f>CONCATENATE(B3913,"100")</f>
        <v>562100</v>
      </c>
      <c r="L3913" s="2">
        <v>1</v>
      </c>
      <c r="M3913" s="2" t="s">
        <v>84</v>
      </c>
      <c r="N3913" s="2" t="s">
        <v>84</v>
      </c>
      <c r="O3913" s="2" t="s">
        <v>841</v>
      </c>
      <c r="P3913" s="2" t="s">
        <v>2961</v>
      </c>
    </row>
    <row r="3914" spans="1:16" ht="22" customHeight="1" x14ac:dyDescent="0.15">
      <c r="A3914" s="10" t="str">
        <f t="shared" si="597"/>
        <v>562_10_49_10_polygon</v>
      </c>
      <c r="B3914" s="2">
        <v>562</v>
      </c>
      <c r="C3914" s="30" t="str">
        <f>VLOOKUP(B3914,gachas!A:C,3)</f>
        <v>花見ガチャ&lt;前半&gt;</v>
      </c>
      <c r="D3914" s="21">
        <v>10</v>
      </c>
      <c r="E3914" s="2">
        <f t="shared" si="599"/>
        <v>49</v>
      </c>
      <c r="F3914" s="2">
        <v>10</v>
      </c>
      <c r="G3914" s="3" t="s">
        <v>22</v>
      </c>
      <c r="H3914" s="2">
        <v>50</v>
      </c>
      <c r="I3914" s="117" t="str">
        <f t="shared" si="598"/>
        <v>562100</v>
      </c>
      <c r="J3914" s="112" t="s">
        <v>84</v>
      </c>
      <c r="K3914" s="117" t="str">
        <f>CONCATENATE(B3914,"100")</f>
        <v>562100</v>
      </c>
      <c r="L3914" s="2">
        <v>1</v>
      </c>
      <c r="M3914" s="2" t="s">
        <v>84</v>
      </c>
      <c r="N3914" s="2" t="s">
        <v>84</v>
      </c>
      <c r="O3914" s="2" t="s">
        <v>841</v>
      </c>
      <c r="P3914" s="2" t="s">
        <v>2961</v>
      </c>
    </row>
    <row r="3915" spans="1:16" ht="22" customHeight="1" x14ac:dyDescent="0.15">
      <c r="A3915" s="10" t="str">
        <f t="shared" si="597"/>
        <v>562_10_50_10_polygon</v>
      </c>
      <c r="B3915" s="2">
        <v>562</v>
      </c>
      <c r="C3915" s="30" t="str">
        <f>VLOOKUP(B3915,gachas!A:C,3)</f>
        <v>花見ガチャ&lt;前半&gt;</v>
      </c>
      <c r="D3915" s="21">
        <v>10</v>
      </c>
      <c r="E3915" s="2">
        <f t="shared" si="599"/>
        <v>50</v>
      </c>
      <c r="F3915" s="2">
        <v>10</v>
      </c>
      <c r="G3915" s="3" t="s">
        <v>22</v>
      </c>
      <c r="H3915" s="2">
        <v>50</v>
      </c>
      <c r="I3915" s="117" t="str">
        <f t="shared" si="598"/>
        <v>562100</v>
      </c>
      <c r="J3915" s="112" t="s">
        <v>84</v>
      </c>
      <c r="K3915" s="117" t="str">
        <f>CONCATENATE(B3915,"105")</f>
        <v>562105</v>
      </c>
      <c r="L3915" s="2">
        <v>1</v>
      </c>
      <c r="M3915" s="2" t="s">
        <v>84</v>
      </c>
      <c r="N3915" s="2" t="s">
        <v>84</v>
      </c>
      <c r="O3915" s="2" t="s">
        <v>841</v>
      </c>
      <c r="P3915" s="2" t="s">
        <v>2950</v>
      </c>
    </row>
    <row r="3916" spans="1:16" ht="22" customHeight="1" x14ac:dyDescent="0.15">
      <c r="A3916" s="10" t="str">
        <f t="shared" ref="A3916:A3968" si="600">B3916&amp;"_"&amp;D3916&amp;"_"&amp;E3916&amp;"_"&amp;F3916&amp;"_"&amp;G3916</f>
        <v>563_1_0_1_polygon</v>
      </c>
      <c r="B3916" s="2">
        <v>563</v>
      </c>
      <c r="C3916" s="30" t="str">
        <f>VLOOKUP(B3916,gachas!A:C,3)</f>
        <v>花見ガチャ&lt;後半&gt;</v>
      </c>
      <c r="D3916" s="21">
        <v>1</v>
      </c>
      <c r="E3916" s="2">
        <v>0</v>
      </c>
      <c r="F3916" s="2">
        <v>1</v>
      </c>
      <c r="G3916" s="3" t="s">
        <v>22</v>
      </c>
      <c r="H3916" s="2">
        <v>5</v>
      </c>
      <c r="I3916" s="117" t="str">
        <f>CONCATENATE(B3916,"010")</f>
        <v>563010</v>
      </c>
      <c r="J3916" s="112" t="s">
        <v>84</v>
      </c>
      <c r="K3916" s="2" t="s">
        <v>84</v>
      </c>
      <c r="L3916" s="2">
        <v>0</v>
      </c>
      <c r="M3916" s="2" t="s">
        <v>84</v>
      </c>
      <c r="N3916" s="2" t="s">
        <v>84</v>
      </c>
      <c r="O3916" s="2" t="s">
        <v>841</v>
      </c>
      <c r="P3916" s="2" t="s">
        <v>84</v>
      </c>
    </row>
    <row r="3917" spans="1:16" ht="22" customHeight="1" x14ac:dyDescent="0.15">
      <c r="A3917" s="10" t="str">
        <f t="shared" si="600"/>
        <v>563_10_0_10_polygon</v>
      </c>
      <c r="B3917" s="2">
        <v>563</v>
      </c>
      <c r="C3917" s="30" t="str">
        <f>VLOOKUP(B3917,gachas!A:C,3)</f>
        <v>花見ガチャ&lt;後半&gt;</v>
      </c>
      <c r="D3917" s="21">
        <v>10</v>
      </c>
      <c r="E3917" s="2">
        <v>0</v>
      </c>
      <c r="F3917" s="2">
        <v>10</v>
      </c>
      <c r="G3917" s="3" t="s">
        <v>22</v>
      </c>
      <c r="H3917" s="2">
        <v>50</v>
      </c>
      <c r="I3917" s="117" t="str">
        <f t="shared" ref="I3917:I3967" si="601">CONCATENATE(B3917,"100")</f>
        <v>563100</v>
      </c>
      <c r="J3917" s="112" t="s">
        <v>84</v>
      </c>
      <c r="K3917" s="117" t="str">
        <f>CONCATENATE(B3917,"100")</f>
        <v>563100</v>
      </c>
      <c r="L3917" s="2">
        <v>1</v>
      </c>
      <c r="M3917" s="2" t="s">
        <v>84</v>
      </c>
      <c r="N3917" s="2" t="s">
        <v>84</v>
      </c>
      <c r="O3917" s="2" t="s">
        <v>841</v>
      </c>
      <c r="P3917" s="2" t="s">
        <v>2961</v>
      </c>
    </row>
    <row r="3918" spans="1:16" ht="22" customHeight="1" x14ac:dyDescent="0.15">
      <c r="A3918" s="10" t="str">
        <f t="shared" si="600"/>
        <v>563_10_1_10_polygon</v>
      </c>
      <c r="B3918" s="2">
        <v>563</v>
      </c>
      <c r="C3918" s="30" t="str">
        <f>VLOOKUP(B3918,gachas!A:C,3)</f>
        <v>花見ガチャ&lt;後半&gt;</v>
      </c>
      <c r="D3918" s="21">
        <v>10</v>
      </c>
      <c r="E3918" s="2">
        <f>E3917+1</f>
        <v>1</v>
      </c>
      <c r="F3918" s="2">
        <v>10</v>
      </c>
      <c r="G3918" s="3" t="s">
        <v>22</v>
      </c>
      <c r="H3918" s="2">
        <v>25</v>
      </c>
      <c r="I3918" s="117" t="str">
        <f t="shared" si="601"/>
        <v>563100</v>
      </c>
      <c r="J3918" s="112" t="s">
        <v>84</v>
      </c>
      <c r="K3918" s="117" t="str">
        <f>CONCATENATE(B3918,"100")</f>
        <v>563100</v>
      </c>
      <c r="L3918" s="2">
        <v>1</v>
      </c>
      <c r="M3918" s="2" t="s">
        <v>84</v>
      </c>
      <c r="N3918" s="2" t="s">
        <v>84</v>
      </c>
      <c r="O3918" s="2" t="s">
        <v>841</v>
      </c>
      <c r="P3918" s="59" t="s">
        <v>1783</v>
      </c>
    </row>
    <row r="3919" spans="1:16" ht="22" customHeight="1" x14ac:dyDescent="0.15">
      <c r="A3919" s="10" t="str">
        <f t="shared" si="600"/>
        <v>563_10_2_10_polygon</v>
      </c>
      <c r="B3919" s="2">
        <v>563</v>
      </c>
      <c r="C3919" s="30" t="str">
        <f>VLOOKUP(B3919,gachas!A:C,3)</f>
        <v>花見ガチャ&lt;後半&gt;</v>
      </c>
      <c r="D3919" s="21">
        <v>10</v>
      </c>
      <c r="E3919" s="2">
        <f t="shared" ref="E3919:E3967" si="602">E3918+1</f>
        <v>2</v>
      </c>
      <c r="F3919" s="2">
        <v>10</v>
      </c>
      <c r="G3919" s="3" t="s">
        <v>22</v>
      </c>
      <c r="H3919" s="2">
        <v>50</v>
      </c>
      <c r="I3919" s="117" t="str">
        <f t="shared" si="601"/>
        <v>563100</v>
      </c>
      <c r="J3919" s="112" t="s">
        <v>84</v>
      </c>
      <c r="K3919" s="117" t="str">
        <f>CONCATENATE(B3919,"100")</f>
        <v>563100</v>
      </c>
      <c r="L3919" s="2">
        <v>1</v>
      </c>
      <c r="M3919" s="2" t="s">
        <v>84</v>
      </c>
      <c r="N3919" s="2" t="s">
        <v>84</v>
      </c>
      <c r="O3919" s="2" t="s">
        <v>841</v>
      </c>
      <c r="P3919" s="2" t="s">
        <v>2961</v>
      </c>
    </row>
    <row r="3920" spans="1:16" ht="22" customHeight="1" x14ac:dyDescent="0.15">
      <c r="A3920" s="10" t="str">
        <f t="shared" si="600"/>
        <v>563_10_3_10_polygon</v>
      </c>
      <c r="B3920" s="2">
        <v>563</v>
      </c>
      <c r="C3920" s="30" t="str">
        <f>VLOOKUP(B3920,gachas!A:C,3)</f>
        <v>花見ガチャ&lt;後半&gt;</v>
      </c>
      <c r="D3920" s="21">
        <v>10</v>
      </c>
      <c r="E3920" s="2">
        <f t="shared" si="602"/>
        <v>3</v>
      </c>
      <c r="F3920" s="2">
        <v>10</v>
      </c>
      <c r="G3920" s="3" t="s">
        <v>22</v>
      </c>
      <c r="H3920" s="2">
        <v>50</v>
      </c>
      <c r="I3920" s="117" t="str">
        <f t="shared" si="601"/>
        <v>563100</v>
      </c>
      <c r="J3920" s="112" t="s">
        <v>84</v>
      </c>
      <c r="K3920" s="117" t="str">
        <f>CONCATENATE(B3920,"100")</f>
        <v>563100</v>
      </c>
      <c r="L3920" s="2">
        <v>1</v>
      </c>
      <c r="M3920" s="2" t="s">
        <v>84</v>
      </c>
      <c r="N3920" s="2" t="s">
        <v>84</v>
      </c>
      <c r="O3920" s="2" t="s">
        <v>841</v>
      </c>
      <c r="P3920" s="2" t="s">
        <v>2961</v>
      </c>
    </row>
    <row r="3921" spans="1:16" ht="22" customHeight="1" x14ac:dyDescent="0.15">
      <c r="A3921" s="10" t="str">
        <f t="shared" si="600"/>
        <v>563_10_4_10_polygon</v>
      </c>
      <c r="B3921" s="2">
        <v>563</v>
      </c>
      <c r="C3921" s="30" t="str">
        <f>VLOOKUP(B3921,gachas!A:C,3)</f>
        <v>花見ガチャ&lt;後半&gt;</v>
      </c>
      <c r="D3921" s="21">
        <v>10</v>
      </c>
      <c r="E3921" s="2">
        <f t="shared" si="602"/>
        <v>4</v>
      </c>
      <c r="F3921" s="2">
        <v>10</v>
      </c>
      <c r="G3921" s="3" t="s">
        <v>22</v>
      </c>
      <c r="H3921" s="2">
        <v>50</v>
      </c>
      <c r="I3921" s="117" t="str">
        <f t="shared" si="601"/>
        <v>563100</v>
      </c>
      <c r="J3921" s="112" t="s">
        <v>84</v>
      </c>
      <c r="K3921" s="117" t="str">
        <f>CONCATENATE(B3921,"100")</f>
        <v>563100</v>
      </c>
      <c r="L3921" s="2">
        <v>1</v>
      </c>
      <c r="M3921" s="2" t="s">
        <v>84</v>
      </c>
      <c r="N3921" s="2" t="s">
        <v>84</v>
      </c>
      <c r="O3921" s="2" t="s">
        <v>841</v>
      </c>
      <c r="P3921" s="2" t="s">
        <v>2961</v>
      </c>
    </row>
    <row r="3922" spans="1:16" ht="22" customHeight="1" x14ac:dyDescent="0.15">
      <c r="A3922" s="10" t="str">
        <f t="shared" si="600"/>
        <v>563_10_5_10_polygon</v>
      </c>
      <c r="B3922" s="2">
        <v>563</v>
      </c>
      <c r="C3922" s="30" t="str">
        <f>VLOOKUP(B3922,gachas!A:C,3)</f>
        <v>花見ガチャ&lt;後半&gt;</v>
      </c>
      <c r="D3922" s="21">
        <v>10</v>
      </c>
      <c r="E3922" s="2">
        <f t="shared" si="602"/>
        <v>5</v>
      </c>
      <c r="F3922" s="2">
        <v>10</v>
      </c>
      <c r="G3922" s="3" t="s">
        <v>22</v>
      </c>
      <c r="H3922" s="2">
        <v>50</v>
      </c>
      <c r="I3922" s="117" t="str">
        <f t="shared" si="601"/>
        <v>563100</v>
      </c>
      <c r="J3922" s="112" t="s">
        <v>84</v>
      </c>
      <c r="K3922" s="117" t="str">
        <f>CONCATENATE(B3922,"105")</f>
        <v>563105</v>
      </c>
      <c r="L3922" s="2">
        <v>1</v>
      </c>
      <c r="M3922" s="2" t="s">
        <v>84</v>
      </c>
      <c r="N3922" s="2" t="s">
        <v>84</v>
      </c>
      <c r="O3922" s="2" t="s">
        <v>841</v>
      </c>
      <c r="P3922" s="2" t="s">
        <v>2951</v>
      </c>
    </row>
    <row r="3923" spans="1:16" ht="22" customHeight="1" x14ac:dyDescent="0.15">
      <c r="A3923" s="10" t="str">
        <f t="shared" si="600"/>
        <v>563_10_6_10_polygon</v>
      </c>
      <c r="B3923" s="2">
        <v>563</v>
      </c>
      <c r="C3923" s="30" t="str">
        <f>VLOOKUP(B3923,gachas!A:C,3)</f>
        <v>花見ガチャ&lt;後半&gt;</v>
      </c>
      <c r="D3923" s="21">
        <v>10</v>
      </c>
      <c r="E3923" s="2">
        <f t="shared" si="602"/>
        <v>6</v>
      </c>
      <c r="F3923" s="2">
        <v>10</v>
      </c>
      <c r="G3923" s="3" t="s">
        <v>22</v>
      </c>
      <c r="H3923" s="2">
        <v>25</v>
      </c>
      <c r="I3923" s="117" t="str">
        <f t="shared" si="601"/>
        <v>563100</v>
      </c>
      <c r="J3923" s="112" t="s">
        <v>84</v>
      </c>
      <c r="K3923" s="117" t="str">
        <f>CONCATENATE(B3923,"100")</f>
        <v>563100</v>
      </c>
      <c r="L3923" s="2">
        <v>1</v>
      </c>
      <c r="M3923" s="2" t="s">
        <v>84</v>
      </c>
      <c r="N3923" s="2" t="s">
        <v>84</v>
      </c>
      <c r="O3923" s="2" t="s">
        <v>841</v>
      </c>
      <c r="P3923" s="59" t="s">
        <v>1783</v>
      </c>
    </row>
    <row r="3924" spans="1:16" ht="22" customHeight="1" x14ac:dyDescent="0.15">
      <c r="A3924" s="10" t="str">
        <f t="shared" si="600"/>
        <v>563_10_7_10_polygon</v>
      </c>
      <c r="B3924" s="2">
        <v>563</v>
      </c>
      <c r="C3924" s="30" t="str">
        <f>VLOOKUP(B3924,gachas!A:C,3)</f>
        <v>花見ガチャ&lt;後半&gt;</v>
      </c>
      <c r="D3924" s="21">
        <v>10</v>
      </c>
      <c r="E3924" s="2">
        <f t="shared" si="602"/>
        <v>7</v>
      </c>
      <c r="F3924" s="2">
        <v>10</v>
      </c>
      <c r="G3924" s="3" t="s">
        <v>22</v>
      </c>
      <c r="H3924" s="2">
        <v>50</v>
      </c>
      <c r="I3924" s="117" t="str">
        <f t="shared" si="601"/>
        <v>563100</v>
      </c>
      <c r="J3924" s="112" t="s">
        <v>84</v>
      </c>
      <c r="K3924" s="117" t="str">
        <f>CONCATENATE(B3924,"100")</f>
        <v>563100</v>
      </c>
      <c r="L3924" s="2">
        <v>1</v>
      </c>
      <c r="M3924" s="2" t="s">
        <v>84</v>
      </c>
      <c r="N3924" s="2" t="s">
        <v>84</v>
      </c>
      <c r="O3924" s="2" t="s">
        <v>841</v>
      </c>
      <c r="P3924" s="2" t="s">
        <v>2961</v>
      </c>
    </row>
    <row r="3925" spans="1:16" ht="22" customHeight="1" x14ac:dyDescent="0.15">
      <c r="A3925" s="10" t="str">
        <f t="shared" si="600"/>
        <v>563_10_8_10_polygon</v>
      </c>
      <c r="B3925" s="2">
        <v>563</v>
      </c>
      <c r="C3925" s="30" t="str">
        <f>VLOOKUP(B3925,gachas!A:C,3)</f>
        <v>花見ガチャ&lt;後半&gt;</v>
      </c>
      <c r="D3925" s="21">
        <v>10</v>
      </c>
      <c r="E3925" s="2">
        <f t="shared" si="602"/>
        <v>8</v>
      </c>
      <c r="F3925" s="2">
        <v>10</v>
      </c>
      <c r="G3925" s="3" t="s">
        <v>22</v>
      </c>
      <c r="H3925" s="2">
        <v>50</v>
      </c>
      <c r="I3925" s="117" t="str">
        <f t="shared" si="601"/>
        <v>563100</v>
      </c>
      <c r="J3925" s="112" t="s">
        <v>84</v>
      </c>
      <c r="K3925" s="117" t="str">
        <f>CONCATENATE(B3925,"100")</f>
        <v>563100</v>
      </c>
      <c r="L3925" s="2">
        <v>1</v>
      </c>
      <c r="M3925" s="2" t="s">
        <v>84</v>
      </c>
      <c r="N3925" s="2" t="s">
        <v>84</v>
      </c>
      <c r="O3925" s="2" t="s">
        <v>841</v>
      </c>
      <c r="P3925" s="2" t="s">
        <v>2961</v>
      </c>
    </row>
    <row r="3926" spans="1:16" ht="22" customHeight="1" x14ac:dyDescent="0.15">
      <c r="A3926" s="10" t="str">
        <f t="shared" si="600"/>
        <v>563_10_9_10_polygon</v>
      </c>
      <c r="B3926" s="2">
        <v>563</v>
      </c>
      <c r="C3926" s="30" t="str">
        <f>VLOOKUP(B3926,gachas!A:C,3)</f>
        <v>花見ガチャ&lt;後半&gt;</v>
      </c>
      <c r="D3926" s="21">
        <v>10</v>
      </c>
      <c r="E3926" s="2">
        <f t="shared" si="602"/>
        <v>9</v>
      </c>
      <c r="F3926" s="2">
        <v>10</v>
      </c>
      <c r="G3926" s="3" t="s">
        <v>22</v>
      </c>
      <c r="H3926" s="2">
        <v>50</v>
      </c>
      <c r="I3926" s="117" t="str">
        <f t="shared" si="601"/>
        <v>563100</v>
      </c>
      <c r="J3926" s="112" t="s">
        <v>84</v>
      </c>
      <c r="K3926" s="117" t="str">
        <f>CONCATENATE(B3926,"100")</f>
        <v>563100</v>
      </c>
      <c r="L3926" s="2">
        <v>1</v>
      </c>
      <c r="M3926" s="2" t="s">
        <v>84</v>
      </c>
      <c r="N3926" s="2" t="s">
        <v>84</v>
      </c>
      <c r="O3926" s="2" t="s">
        <v>841</v>
      </c>
      <c r="P3926" s="2" t="s">
        <v>2961</v>
      </c>
    </row>
    <row r="3927" spans="1:16" ht="22" customHeight="1" x14ac:dyDescent="0.15">
      <c r="A3927" s="10" t="str">
        <f t="shared" si="600"/>
        <v>563_10_10_10_polygon</v>
      </c>
      <c r="B3927" s="2">
        <v>563</v>
      </c>
      <c r="C3927" s="30" t="str">
        <f>VLOOKUP(B3927,gachas!A:C,3)</f>
        <v>花見ガチャ&lt;後半&gt;</v>
      </c>
      <c r="D3927" s="21">
        <v>10</v>
      </c>
      <c r="E3927" s="2">
        <f t="shared" si="602"/>
        <v>10</v>
      </c>
      <c r="F3927" s="2">
        <v>10</v>
      </c>
      <c r="G3927" s="3" t="s">
        <v>22</v>
      </c>
      <c r="H3927" s="2">
        <v>50</v>
      </c>
      <c r="I3927" s="117" t="str">
        <f t="shared" si="601"/>
        <v>563100</v>
      </c>
      <c r="J3927" s="112" t="s">
        <v>84</v>
      </c>
      <c r="K3927" s="117" t="str">
        <f>CONCATENATE(B3927,"105")</f>
        <v>563105</v>
      </c>
      <c r="L3927" s="2">
        <v>1</v>
      </c>
      <c r="M3927" s="2" t="s">
        <v>84</v>
      </c>
      <c r="N3927" s="2" t="s">
        <v>84</v>
      </c>
      <c r="O3927" s="2" t="s">
        <v>841</v>
      </c>
      <c r="P3927" s="2" t="s">
        <v>2951</v>
      </c>
    </row>
    <row r="3928" spans="1:16" ht="22" customHeight="1" x14ac:dyDescent="0.15">
      <c r="A3928" s="10" t="str">
        <f t="shared" si="600"/>
        <v>563_10_11_10_polygon</v>
      </c>
      <c r="B3928" s="2">
        <v>563</v>
      </c>
      <c r="C3928" s="30" t="str">
        <f>VLOOKUP(B3928,gachas!A:C,3)</f>
        <v>花見ガチャ&lt;後半&gt;</v>
      </c>
      <c r="D3928" s="21">
        <v>10</v>
      </c>
      <c r="E3928" s="2">
        <f t="shared" si="602"/>
        <v>11</v>
      </c>
      <c r="F3928" s="2">
        <v>10</v>
      </c>
      <c r="G3928" s="3" t="s">
        <v>22</v>
      </c>
      <c r="H3928" s="2">
        <v>25</v>
      </c>
      <c r="I3928" s="117" t="str">
        <f t="shared" si="601"/>
        <v>563100</v>
      </c>
      <c r="J3928" s="112" t="s">
        <v>84</v>
      </c>
      <c r="K3928" s="117" t="str">
        <f>CONCATENATE(B3928,"100")</f>
        <v>563100</v>
      </c>
      <c r="L3928" s="2">
        <v>1</v>
      </c>
      <c r="M3928" s="2" t="s">
        <v>84</v>
      </c>
      <c r="N3928" s="2" t="s">
        <v>84</v>
      </c>
      <c r="O3928" s="2" t="s">
        <v>841</v>
      </c>
      <c r="P3928" s="59" t="s">
        <v>1783</v>
      </c>
    </row>
    <row r="3929" spans="1:16" ht="22" customHeight="1" x14ac:dyDescent="0.15">
      <c r="A3929" s="10" t="str">
        <f t="shared" si="600"/>
        <v>563_10_12_10_polygon</v>
      </c>
      <c r="B3929" s="2">
        <v>563</v>
      </c>
      <c r="C3929" s="30" t="str">
        <f>VLOOKUP(B3929,gachas!A:C,3)</f>
        <v>花見ガチャ&lt;後半&gt;</v>
      </c>
      <c r="D3929" s="21">
        <v>10</v>
      </c>
      <c r="E3929" s="2">
        <f t="shared" si="602"/>
        <v>12</v>
      </c>
      <c r="F3929" s="2">
        <v>10</v>
      </c>
      <c r="G3929" s="3" t="s">
        <v>22</v>
      </c>
      <c r="H3929" s="2">
        <v>50</v>
      </c>
      <c r="I3929" s="117" t="str">
        <f t="shared" si="601"/>
        <v>563100</v>
      </c>
      <c r="J3929" s="112" t="s">
        <v>84</v>
      </c>
      <c r="K3929" s="117" t="str">
        <f>CONCATENATE(B3929,"100")</f>
        <v>563100</v>
      </c>
      <c r="L3929" s="2">
        <v>1</v>
      </c>
      <c r="M3929" s="2" t="s">
        <v>84</v>
      </c>
      <c r="N3929" s="2" t="s">
        <v>84</v>
      </c>
      <c r="O3929" s="2" t="s">
        <v>841</v>
      </c>
      <c r="P3929" s="2" t="s">
        <v>2961</v>
      </c>
    </row>
    <row r="3930" spans="1:16" ht="22" customHeight="1" x14ac:dyDescent="0.15">
      <c r="A3930" s="10" t="str">
        <f t="shared" si="600"/>
        <v>563_10_13_10_polygon</v>
      </c>
      <c r="B3930" s="2">
        <v>563</v>
      </c>
      <c r="C3930" s="30" t="str">
        <f>VLOOKUP(B3930,gachas!A:C,3)</f>
        <v>花見ガチャ&lt;後半&gt;</v>
      </c>
      <c r="D3930" s="21">
        <v>10</v>
      </c>
      <c r="E3930" s="2">
        <f t="shared" si="602"/>
        <v>13</v>
      </c>
      <c r="F3930" s="2">
        <v>10</v>
      </c>
      <c r="G3930" s="3" t="s">
        <v>22</v>
      </c>
      <c r="H3930" s="2">
        <v>50</v>
      </c>
      <c r="I3930" s="117" t="str">
        <f t="shared" si="601"/>
        <v>563100</v>
      </c>
      <c r="J3930" s="112" t="s">
        <v>84</v>
      </c>
      <c r="K3930" s="117" t="str">
        <f>CONCATENATE(B3930,"100")</f>
        <v>563100</v>
      </c>
      <c r="L3930" s="2">
        <v>1</v>
      </c>
      <c r="M3930" s="2" t="s">
        <v>84</v>
      </c>
      <c r="N3930" s="2" t="s">
        <v>84</v>
      </c>
      <c r="O3930" s="2" t="s">
        <v>841</v>
      </c>
      <c r="P3930" s="2" t="s">
        <v>2961</v>
      </c>
    </row>
    <row r="3931" spans="1:16" ht="22" customHeight="1" x14ac:dyDescent="0.15">
      <c r="A3931" s="10" t="str">
        <f t="shared" si="600"/>
        <v>563_10_14_10_polygon</v>
      </c>
      <c r="B3931" s="2">
        <v>563</v>
      </c>
      <c r="C3931" s="30" t="str">
        <f>VLOOKUP(B3931,gachas!A:C,3)</f>
        <v>花見ガチャ&lt;後半&gt;</v>
      </c>
      <c r="D3931" s="21">
        <v>10</v>
      </c>
      <c r="E3931" s="2">
        <f t="shared" si="602"/>
        <v>14</v>
      </c>
      <c r="F3931" s="2">
        <v>10</v>
      </c>
      <c r="G3931" s="3" t="s">
        <v>22</v>
      </c>
      <c r="H3931" s="2">
        <v>50</v>
      </c>
      <c r="I3931" s="117" t="str">
        <f t="shared" si="601"/>
        <v>563100</v>
      </c>
      <c r="J3931" s="112" t="s">
        <v>84</v>
      </c>
      <c r="K3931" s="117" t="str">
        <f>CONCATENATE(B3931,"100")</f>
        <v>563100</v>
      </c>
      <c r="L3931" s="2">
        <v>1</v>
      </c>
      <c r="M3931" s="2" t="s">
        <v>84</v>
      </c>
      <c r="N3931" s="2" t="s">
        <v>84</v>
      </c>
      <c r="O3931" s="2" t="s">
        <v>841</v>
      </c>
      <c r="P3931" s="2" t="s">
        <v>2961</v>
      </c>
    </row>
    <row r="3932" spans="1:16" ht="22" customHeight="1" x14ac:dyDescent="0.15">
      <c r="A3932" s="10" t="str">
        <f t="shared" si="600"/>
        <v>563_10_15_10_polygon</v>
      </c>
      <c r="B3932" s="2">
        <v>563</v>
      </c>
      <c r="C3932" s="30" t="str">
        <f>VLOOKUP(B3932,gachas!A:C,3)</f>
        <v>花見ガチャ&lt;後半&gt;</v>
      </c>
      <c r="D3932" s="21">
        <v>10</v>
      </c>
      <c r="E3932" s="2">
        <f t="shared" si="602"/>
        <v>15</v>
      </c>
      <c r="F3932" s="2">
        <v>10</v>
      </c>
      <c r="G3932" s="3" t="s">
        <v>22</v>
      </c>
      <c r="H3932" s="2">
        <v>50</v>
      </c>
      <c r="I3932" s="117" t="str">
        <f t="shared" si="601"/>
        <v>563100</v>
      </c>
      <c r="J3932" s="112" t="s">
        <v>84</v>
      </c>
      <c r="K3932" s="117" t="str">
        <f>CONCATENATE(B3932,"105")</f>
        <v>563105</v>
      </c>
      <c r="L3932" s="2">
        <v>1</v>
      </c>
      <c r="M3932" s="2" t="s">
        <v>84</v>
      </c>
      <c r="N3932" s="2" t="s">
        <v>84</v>
      </c>
      <c r="O3932" s="2" t="s">
        <v>841</v>
      </c>
      <c r="P3932" s="2" t="s">
        <v>2951</v>
      </c>
    </row>
    <row r="3933" spans="1:16" ht="22" customHeight="1" x14ac:dyDescent="0.15">
      <c r="A3933" s="10" t="str">
        <f t="shared" si="600"/>
        <v>563_10_16_10_polygon</v>
      </c>
      <c r="B3933" s="2">
        <v>563</v>
      </c>
      <c r="C3933" s="30" t="str">
        <f>VLOOKUP(B3933,gachas!A:C,3)</f>
        <v>花見ガチャ&lt;後半&gt;</v>
      </c>
      <c r="D3933" s="21">
        <v>10</v>
      </c>
      <c r="E3933" s="2">
        <f t="shared" si="602"/>
        <v>16</v>
      </c>
      <c r="F3933" s="2">
        <v>10</v>
      </c>
      <c r="G3933" s="3" t="s">
        <v>22</v>
      </c>
      <c r="H3933" s="2">
        <v>25</v>
      </c>
      <c r="I3933" s="117" t="str">
        <f t="shared" si="601"/>
        <v>563100</v>
      </c>
      <c r="J3933" s="112" t="s">
        <v>84</v>
      </c>
      <c r="K3933" s="117" t="str">
        <f>CONCATENATE(B3933,"100")</f>
        <v>563100</v>
      </c>
      <c r="L3933" s="2">
        <v>1</v>
      </c>
      <c r="M3933" s="2" t="s">
        <v>84</v>
      </c>
      <c r="N3933" s="2" t="s">
        <v>84</v>
      </c>
      <c r="O3933" s="2" t="s">
        <v>841</v>
      </c>
      <c r="P3933" s="59" t="s">
        <v>1783</v>
      </c>
    </row>
    <row r="3934" spans="1:16" ht="22" customHeight="1" x14ac:dyDescent="0.15">
      <c r="A3934" s="10" t="str">
        <f t="shared" si="600"/>
        <v>563_10_17_10_polygon</v>
      </c>
      <c r="B3934" s="2">
        <v>563</v>
      </c>
      <c r="C3934" s="30" t="str">
        <f>VLOOKUP(B3934,gachas!A:C,3)</f>
        <v>花見ガチャ&lt;後半&gt;</v>
      </c>
      <c r="D3934" s="21">
        <v>10</v>
      </c>
      <c r="E3934" s="2">
        <f t="shared" si="602"/>
        <v>17</v>
      </c>
      <c r="F3934" s="2">
        <v>10</v>
      </c>
      <c r="G3934" s="3" t="s">
        <v>22</v>
      </c>
      <c r="H3934" s="2">
        <v>50</v>
      </c>
      <c r="I3934" s="117" t="str">
        <f t="shared" si="601"/>
        <v>563100</v>
      </c>
      <c r="J3934" s="112" t="s">
        <v>84</v>
      </c>
      <c r="K3934" s="117" t="str">
        <f>CONCATENATE(B3934,"100")</f>
        <v>563100</v>
      </c>
      <c r="L3934" s="2">
        <v>1</v>
      </c>
      <c r="M3934" s="2" t="s">
        <v>84</v>
      </c>
      <c r="N3934" s="2" t="s">
        <v>84</v>
      </c>
      <c r="O3934" s="2" t="s">
        <v>841</v>
      </c>
      <c r="P3934" s="2" t="s">
        <v>2961</v>
      </c>
    </row>
    <row r="3935" spans="1:16" ht="22" customHeight="1" x14ac:dyDescent="0.15">
      <c r="A3935" s="10" t="str">
        <f t="shared" si="600"/>
        <v>563_10_18_10_polygon</v>
      </c>
      <c r="B3935" s="2">
        <v>563</v>
      </c>
      <c r="C3935" s="30" t="str">
        <f>VLOOKUP(B3935,gachas!A:C,3)</f>
        <v>花見ガチャ&lt;後半&gt;</v>
      </c>
      <c r="D3935" s="21">
        <v>10</v>
      </c>
      <c r="E3935" s="2">
        <f t="shared" si="602"/>
        <v>18</v>
      </c>
      <c r="F3935" s="2">
        <v>10</v>
      </c>
      <c r="G3935" s="3" t="s">
        <v>22</v>
      </c>
      <c r="H3935" s="2">
        <v>50</v>
      </c>
      <c r="I3935" s="117" t="str">
        <f t="shared" si="601"/>
        <v>563100</v>
      </c>
      <c r="J3935" s="112" t="s">
        <v>84</v>
      </c>
      <c r="K3935" s="117" t="str">
        <f>CONCATENATE(B3935,"100")</f>
        <v>563100</v>
      </c>
      <c r="L3935" s="2">
        <v>1</v>
      </c>
      <c r="M3935" s="2" t="s">
        <v>84</v>
      </c>
      <c r="N3935" s="2" t="s">
        <v>84</v>
      </c>
      <c r="O3935" s="2" t="s">
        <v>841</v>
      </c>
      <c r="P3935" s="2" t="s">
        <v>2961</v>
      </c>
    </row>
    <row r="3936" spans="1:16" ht="22" customHeight="1" x14ac:dyDescent="0.15">
      <c r="A3936" s="10" t="str">
        <f t="shared" si="600"/>
        <v>563_10_19_10_polygon</v>
      </c>
      <c r="B3936" s="2">
        <v>563</v>
      </c>
      <c r="C3936" s="30" t="str">
        <f>VLOOKUP(B3936,gachas!A:C,3)</f>
        <v>花見ガチャ&lt;後半&gt;</v>
      </c>
      <c r="D3936" s="21">
        <v>10</v>
      </c>
      <c r="E3936" s="2">
        <f t="shared" si="602"/>
        <v>19</v>
      </c>
      <c r="F3936" s="2">
        <v>10</v>
      </c>
      <c r="G3936" s="3" t="s">
        <v>22</v>
      </c>
      <c r="H3936" s="2">
        <v>50</v>
      </c>
      <c r="I3936" s="117" t="str">
        <f t="shared" si="601"/>
        <v>563100</v>
      </c>
      <c r="J3936" s="112" t="s">
        <v>84</v>
      </c>
      <c r="K3936" s="117" t="str">
        <f>CONCATENATE(B3936,"100")</f>
        <v>563100</v>
      </c>
      <c r="L3936" s="2">
        <v>1</v>
      </c>
      <c r="M3936" s="2" t="s">
        <v>84</v>
      </c>
      <c r="N3936" s="2" t="s">
        <v>84</v>
      </c>
      <c r="O3936" s="2" t="s">
        <v>841</v>
      </c>
      <c r="P3936" s="2" t="s">
        <v>2961</v>
      </c>
    </row>
    <row r="3937" spans="1:16" ht="22" customHeight="1" x14ac:dyDescent="0.15">
      <c r="A3937" s="10" t="str">
        <f t="shared" si="600"/>
        <v>563_10_20_10_polygon</v>
      </c>
      <c r="B3937" s="2">
        <v>563</v>
      </c>
      <c r="C3937" s="30" t="str">
        <f>VLOOKUP(B3937,gachas!A:C,3)</f>
        <v>花見ガチャ&lt;後半&gt;</v>
      </c>
      <c r="D3937" s="21">
        <v>10</v>
      </c>
      <c r="E3937" s="2">
        <f t="shared" si="602"/>
        <v>20</v>
      </c>
      <c r="F3937" s="2">
        <v>10</v>
      </c>
      <c r="G3937" s="3" t="s">
        <v>22</v>
      </c>
      <c r="H3937" s="2">
        <v>50</v>
      </c>
      <c r="I3937" s="117" t="str">
        <f t="shared" si="601"/>
        <v>563100</v>
      </c>
      <c r="J3937" s="112" t="s">
        <v>84</v>
      </c>
      <c r="K3937" s="117" t="str">
        <f>CONCATENATE(B3937,"105")</f>
        <v>563105</v>
      </c>
      <c r="L3937" s="2">
        <v>1</v>
      </c>
      <c r="M3937" s="2" t="s">
        <v>84</v>
      </c>
      <c r="N3937" s="2" t="s">
        <v>84</v>
      </c>
      <c r="O3937" s="2" t="s">
        <v>841</v>
      </c>
      <c r="P3937" s="2" t="s">
        <v>2951</v>
      </c>
    </row>
    <row r="3938" spans="1:16" ht="22" customHeight="1" x14ac:dyDescent="0.15">
      <c r="A3938" s="10" t="str">
        <f t="shared" si="600"/>
        <v>563_10_21_10_polygon</v>
      </c>
      <c r="B3938" s="2">
        <v>563</v>
      </c>
      <c r="C3938" s="30" t="str">
        <f>VLOOKUP(B3938,gachas!A:C,3)</f>
        <v>花見ガチャ&lt;後半&gt;</v>
      </c>
      <c r="D3938" s="21">
        <v>10</v>
      </c>
      <c r="E3938" s="2">
        <f t="shared" si="602"/>
        <v>21</v>
      </c>
      <c r="F3938" s="2">
        <v>10</v>
      </c>
      <c r="G3938" s="3" t="s">
        <v>22</v>
      </c>
      <c r="H3938" s="2">
        <v>25</v>
      </c>
      <c r="I3938" s="117" t="str">
        <f t="shared" si="601"/>
        <v>563100</v>
      </c>
      <c r="J3938" s="112" t="s">
        <v>84</v>
      </c>
      <c r="K3938" s="117" t="str">
        <f>CONCATENATE(B3938,"100")</f>
        <v>563100</v>
      </c>
      <c r="L3938" s="2">
        <v>1</v>
      </c>
      <c r="M3938" s="2" t="s">
        <v>84</v>
      </c>
      <c r="N3938" s="2" t="s">
        <v>84</v>
      </c>
      <c r="O3938" s="2" t="s">
        <v>841</v>
      </c>
      <c r="P3938" s="59" t="s">
        <v>1783</v>
      </c>
    </row>
    <row r="3939" spans="1:16" ht="22" customHeight="1" x14ac:dyDescent="0.15">
      <c r="A3939" s="10" t="str">
        <f t="shared" si="600"/>
        <v>563_10_22_10_polygon</v>
      </c>
      <c r="B3939" s="2">
        <v>563</v>
      </c>
      <c r="C3939" s="30" t="str">
        <f>VLOOKUP(B3939,gachas!A:C,3)</f>
        <v>花見ガチャ&lt;後半&gt;</v>
      </c>
      <c r="D3939" s="21">
        <v>10</v>
      </c>
      <c r="E3939" s="2">
        <f t="shared" si="602"/>
        <v>22</v>
      </c>
      <c r="F3939" s="2">
        <v>10</v>
      </c>
      <c r="G3939" s="3" t="s">
        <v>22</v>
      </c>
      <c r="H3939" s="2">
        <v>50</v>
      </c>
      <c r="I3939" s="117" t="str">
        <f t="shared" si="601"/>
        <v>563100</v>
      </c>
      <c r="J3939" s="112" t="s">
        <v>84</v>
      </c>
      <c r="K3939" s="117" t="str">
        <f>CONCATENATE(B3939,"100")</f>
        <v>563100</v>
      </c>
      <c r="L3939" s="2">
        <v>1</v>
      </c>
      <c r="M3939" s="2" t="s">
        <v>84</v>
      </c>
      <c r="N3939" s="2" t="s">
        <v>84</v>
      </c>
      <c r="O3939" s="2" t="s">
        <v>841</v>
      </c>
      <c r="P3939" s="2" t="s">
        <v>2961</v>
      </c>
    </row>
    <row r="3940" spans="1:16" ht="22" customHeight="1" x14ac:dyDescent="0.15">
      <c r="A3940" s="10" t="str">
        <f t="shared" si="600"/>
        <v>563_10_23_10_polygon</v>
      </c>
      <c r="B3940" s="2">
        <v>563</v>
      </c>
      <c r="C3940" s="30" t="str">
        <f>VLOOKUP(B3940,gachas!A:C,3)</f>
        <v>花見ガチャ&lt;後半&gt;</v>
      </c>
      <c r="D3940" s="21">
        <v>10</v>
      </c>
      <c r="E3940" s="2">
        <f t="shared" si="602"/>
        <v>23</v>
      </c>
      <c r="F3940" s="2">
        <v>10</v>
      </c>
      <c r="G3940" s="3" t="s">
        <v>22</v>
      </c>
      <c r="H3940" s="2">
        <v>50</v>
      </c>
      <c r="I3940" s="117" t="str">
        <f t="shared" si="601"/>
        <v>563100</v>
      </c>
      <c r="J3940" s="112" t="s">
        <v>84</v>
      </c>
      <c r="K3940" s="117" t="str">
        <f>CONCATENATE(B3940,"100")</f>
        <v>563100</v>
      </c>
      <c r="L3940" s="2">
        <v>1</v>
      </c>
      <c r="M3940" s="2" t="s">
        <v>84</v>
      </c>
      <c r="N3940" s="2" t="s">
        <v>84</v>
      </c>
      <c r="O3940" s="2" t="s">
        <v>841</v>
      </c>
      <c r="P3940" s="2" t="s">
        <v>2961</v>
      </c>
    </row>
    <row r="3941" spans="1:16" ht="22" customHeight="1" x14ac:dyDescent="0.15">
      <c r="A3941" s="10" t="str">
        <f t="shared" si="600"/>
        <v>563_10_24_10_polygon</v>
      </c>
      <c r="B3941" s="2">
        <v>563</v>
      </c>
      <c r="C3941" s="30" t="str">
        <f>VLOOKUP(B3941,gachas!A:C,3)</f>
        <v>花見ガチャ&lt;後半&gt;</v>
      </c>
      <c r="D3941" s="21">
        <v>10</v>
      </c>
      <c r="E3941" s="2">
        <f t="shared" si="602"/>
        <v>24</v>
      </c>
      <c r="F3941" s="2">
        <v>10</v>
      </c>
      <c r="G3941" s="3" t="s">
        <v>22</v>
      </c>
      <c r="H3941" s="2">
        <v>50</v>
      </c>
      <c r="I3941" s="117" t="str">
        <f t="shared" si="601"/>
        <v>563100</v>
      </c>
      <c r="J3941" s="112" t="s">
        <v>84</v>
      </c>
      <c r="K3941" s="117" t="str">
        <f>CONCATENATE(B3941,"100")</f>
        <v>563100</v>
      </c>
      <c r="L3941" s="2">
        <v>1</v>
      </c>
      <c r="M3941" s="2" t="s">
        <v>84</v>
      </c>
      <c r="N3941" s="2" t="s">
        <v>84</v>
      </c>
      <c r="O3941" s="2" t="s">
        <v>841</v>
      </c>
      <c r="P3941" s="2" t="s">
        <v>2961</v>
      </c>
    </row>
    <row r="3942" spans="1:16" ht="22" customHeight="1" x14ac:dyDescent="0.15">
      <c r="A3942" s="10" t="str">
        <f t="shared" si="600"/>
        <v>563_10_25_10_polygon</v>
      </c>
      <c r="B3942" s="2">
        <v>563</v>
      </c>
      <c r="C3942" s="30" t="str">
        <f>VLOOKUP(B3942,gachas!A:C,3)</f>
        <v>花見ガチャ&lt;後半&gt;</v>
      </c>
      <c r="D3942" s="21">
        <v>10</v>
      </c>
      <c r="E3942" s="2">
        <f t="shared" si="602"/>
        <v>25</v>
      </c>
      <c r="F3942" s="2">
        <v>10</v>
      </c>
      <c r="G3942" s="3" t="s">
        <v>22</v>
      </c>
      <c r="H3942" s="2">
        <v>50</v>
      </c>
      <c r="I3942" s="117" t="str">
        <f t="shared" si="601"/>
        <v>563100</v>
      </c>
      <c r="J3942" s="112" t="s">
        <v>84</v>
      </c>
      <c r="K3942" s="117" t="str">
        <f>CONCATENATE(B3942,"105")</f>
        <v>563105</v>
      </c>
      <c r="L3942" s="2">
        <v>1</v>
      </c>
      <c r="M3942" s="2" t="s">
        <v>84</v>
      </c>
      <c r="N3942" s="2" t="s">
        <v>84</v>
      </c>
      <c r="O3942" s="2" t="s">
        <v>841</v>
      </c>
      <c r="P3942" s="2" t="s">
        <v>2951</v>
      </c>
    </row>
    <row r="3943" spans="1:16" ht="22" customHeight="1" x14ac:dyDescent="0.15">
      <c r="A3943" s="10" t="str">
        <f t="shared" si="600"/>
        <v>563_10_26_10_polygon</v>
      </c>
      <c r="B3943" s="2">
        <v>563</v>
      </c>
      <c r="C3943" s="30" t="str">
        <f>VLOOKUP(B3943,gachas!A:C,3)</f>
        <v>花見ガチャ&lt;後半&gt;</v>
      </c>
      <c r="D3943" s="21">
        <v>10</v>
      </c>
      <c r="E3943" s="2">
        <f t="shared" si="602"/>
        <v>26</v>
      </c>
      <c r="F3943" s="2">
        <v>10</v>
      </c>
      <c r="G3943" s="3" t="s">
        <v>22</v>
      </c>
      <c r="H3943" s="2">
        <v>25</v>
      </c>
      <c r="I3943" s="117" t="str">
        <f t="shared" si="601"/>
        <v>563100</v>
      </c>
      <c r="J3943" s="112" t="s">
        <v>84</v>
      </c>
      <c r="K3943" s="117" t="str">
        <f>CONCATENATE(B3943,"100")</f>
        <v>563100</v>
      </c>
      <c r="L3943" s="2">
        <v>1</v>
      </c>
      <c r="M3943" s="2" t="s">
        <v>84</v>
      </c>
      <c r="N3943" s="2" t="s">
        <v>84</v>
      </c>
      <c r="O3943" s="2" t="s">
        <v>841</v>
      </c>
      <c r="P3943" s="59" t="s">
        <v>1783</v>
      </c>
    </row>
    <row r="3944" spans="1:16" ht="22" customHeight="1" x14ac:dyDescent="0.15">
      <c r="A3944" s="10" t="str">
        <f t="shared" si="600"/>
        <v>563_10_27_10_polygon</v>
      </c>
      <c r="B3944" s="2">
        <v>563</v>
      </c>
      <c r="C3944" s="30" t="str">
        <f>VLOOKUP(B3944,gachas!A:C,3)</f>
        <v>花見ガチャ&lt;後半&gt;</v>
      </c>
      <c r="D3944" s="21">
        <v>10</v>
      </c>
      <c r="E3944" s="2">
        <f t="shared" si="602"/>
        <v>27</v>
      </c>
      <c r="F3944" s="2">
        <v>10</v>
      </c>
      <c r="G3944" s="3" t="s">
        <v>22</v>
      </c>
      <c r="H3944" s="2">
        <v>50</v>
      </c>
      <c r="I3944" s="117" t="str">
        <f t="shared" si="601"/>
        <v>563100</v>
      </c>
      <c r="J3944" s="112" t="s">
        <v>84</v>
      </c>
      <c r="K3944" s="117" t="str">
        <f>CONCATENATE(B3944,"100")</f>
        <v>563100</v>
      </c>
      <c r="L3944" s="2">
        <v>1</v>
      </c>
      <c r="M3944" s="2" t="s">
        <v>84</v>
      </c>
      <c r="N3944" s="2" t="s">
        <v>84</v>
      </c>
      <c r="O3944" s="2" t="s">
        <v>841</v>
      </c>
      <c r="P3944" s="2" t="s">
        <v>2961</v>
      </c>
    </row>
    <row r="3945" spans="1:16" ht="22" customHeight="1" x14ac:dyDescent="0.15">
      <c r="A3945" s="10" t="str">
        <f t="shared" si="600"/>
        <v>563_10_28_10_polygon</v>
      </c>
      <c r="B3945" s="2">
        <v>563</v>
      </c>
      <c r="C3945" s="30" t="str">
        <f>VLOOKUP(B3945,gachas!A:C,3)</f>
        <v>花見ガチャ&lt;後半&gt;</v>
      </c>
      <c r="D3945" s="21">
        <v>10</v>
      </c>
      <c r="E3945" s="2">
        <f t="shared" si="602"/>
        <v>28</v>
      </c>
      <c r="F3945" s="2">
        <v>10</v>
      </c>
      <c r="G3945" s="3" t="s">
        <v>22</v>
      </c>
      <c r="H3945" s="2">
        <v>50</v>
      </c>
      <c r="I3945" s="117" t="str">
        <f t="shared" si="601"/>
        <v>563100</v>
      </c>
      <c r="J3945" s="112" t="s">
        <v>84</v>
      </c>
      <c r="K3945" s="117" t="str">
        <f>CONCATENATE(B3945,"100")</f>
        <v>563100</v>
      </c>
      <c r="L3945" s="2">
        <v>1</v>
      </c>
      <c r="M3945" s="2" t="s">
        <v>84</v>
      </c>
      <c r="N3945" s="2" t="s">
        <v>84</v>
      </c>
      <c r="O3945" s="2" t="s">
        <v>841</v>
      </c>
      <c r="P3945" s="2" t="s">
        <v>2961</v>
      </c>
    </row>
    <row r="3946" spans="1:16" ht="22" customHeight="1" x14ac:dyDescent="0.15">
      <c r="A3946" s="10" t="str">
        <f t="shared" si="600"/>
        <v>563_10_29_10_polygon</v>
      </c>
      <c r="B3946" s="2">
        <v>563</v>
      </c>
      <c r="C3946" s="30" t="str">
        <f>VLOOKUP(B3946,gachas!A:C,3)</f>
        <v>花見ガチャ&lt;後半&gt;</v>
      </c>
      <c r="D3946" s="21">
        <v>10</v>
      </c>
      <c r="E3946" s="2">
        <f t="shared" si="602"/>
        <v>29</v>
      </c>
      <c r="F3946" s="2">
        <v>10</v>
      </c>
      <c r="G3946" s="3" t="s">
        <v>22</v>
      </c>
      <c r="H3946" s="2">
        <v>50</v>
      </c>
      <c r="I3946" s="117" t="str">
        <f t="shared" si="601"/>
        <v>563100</v>
      </c>
      <c r="J3946" s="112" t="s">
        <v>84</v>
      </c>
      <c r="K3946" s="117" t="str">
        <f>CONCATENATE(B3946,"100")</f>
        <v>563100</v>
      </c>
      <c r="L3946" s="2">
        <v>1</v>
      </c>
      <c r="M3946" s="2" t="s">
        <v>84</v>
      </c>
      <c r="N3946" s="2" t="s">
        <v>84</v>
      </c>
      <c r="O3946" s="2" t="s">
        <v>841</v>
      </c>
      <c r="P3946" s="2" t="s">
        <v>2961</v>
      </c>
    </row>
    <row r="3947" spans="1:16" ht="22" customHeight="1" x14ac:dyDescent="0.15">
      <c r="A3947" s="10" t="str">
        <f t="shared" si="600"/>
        <v>563_10_30_10_polygon</v>
      </c>
      <c r="B3947" s="2">
        <v>563</v>
      </c>
      <c r="C3947" s="30" t="str">
        <f>VLOOKUP(B3947,gachas!A:C,3)</f>
        <v>花見ガチャ&lt;後半&gt;</v>
      </c>
      <c r="D3947" s="21">
        <v>10</v>
      </c>
      <c r="E3947" s="2">
        <f t="shared" si="602"/>
        <v>30</v>
      </c>
      <c r="F3947" s="2">
        <v>10</v>
      </c>
      <c r="G3947" s="3" t="s">
        <v>22</v>
      </c>
      <c r="H3947" s="2">
        <v>50</v>
      </c>
      <c r="I3947" s="117" t="str">
        <f t="shared" si="601"/>
        <v>563100</v>
      </c>
      <c r="J3947" s="112" t="s">
        <v>84</v>
      </c>
      <c r="K3947" s="117" t="str">
        <f>CONCATENATE(B3947,"105")</f>
        <v>563105</v>
      </c>
      <c r="L3947" s="2">
        <v>1</v>
      </c>
      <c r="M3947" s="2" t="s">
        <v>84</v>
      </c>
      <c r="N3947" s="2" t="s">
        <v>84</v>
      </c>
      <c r="O3947" s="2" t="s">
        <v>841</v>
      </c>
      <c r="P3947" s="2" t="s">
        <v>2951</v>
      </c>
    </row>
    <row r="3948" spans="1:16" ht="22" customHeight="1" x14ac:dyDescent="0.15">
      <c r="A3948" s="10" t="str">
        <f t="shared" si="600"/>
        <v>563_10_31_10_polygon</v>
      </c>
      <c r="B3948" s="2">
        <v>563</v>
      </c>
      <c r="C3948" s="30" t="str">
        <f>VLOOKUP(B3948,gachas!A:C,3)</f>
        <v>花見ガチャ&lt;後半&gt;</v>
      </c>
      <c r="D3948" s="21">
        <v>10</v>
      </c>
      <c r="E3948" s="2">
        <f t="shared" si="602"/>
        <v>31</v>
      </c>
      <c r="F3948" s="2">
        <v>10</v>
      </c>
      <c r="G3948" s="3" t="s">
        <v>22</v>
      </c>
      <c r="H3948" s="2">
        <v>25</v>
      </c>
      <c r="I3948" s="117" t="str">
        <f t="shared" si="601"/>
        <v>563100</v>
      </c>
      <c r="J3948" s="112" t="s">
        <v>84</v>
      </c>
      <c r="K3948" s="117" t="str">
        <f>CONCATENATE(B3948,"100")</f>
        <v>563100</v>
      </c>
      <c r="L3948" s="2">
        <v>1</v>
      </c>
      <c r="M3948" s="2" t="s">
        <v>84</v>
      </c>
      <c r="N3948" s="2" t="s">
        <v>84</v>
      </c>
      <c r="O3948" s="2" t="s">
        <v>841</v>
      </c>
      <c r="P3948" s="59" t="s">
        <v>1783</v>
      </c>
    </row>
    <row r="3949" spans="1:16" ht="22" customHeight="1" x14ac:dyDescent="0.15">
      <c r="A3949" s="10" t="str">
        <f t="shared" si="600"/>
        <v>563_10_32_10_polygon</v>
      </c>
      <c r="B3949" s="2">
        <v>563</v>
      </c>
      <c r="C3949" s="30" t="str">
        <f>VLOOKUP(B3949,gachas!A:C,3)</f>
        <v>花見ガチャ&lt;後半&gt;</v>
      </c>
      <c r="D3949" s="21">
        <v>10</v>
      </c>
      <c r="E3949" s="2">
        <f t="shared" si="602"/>
        <v>32</v>
      </c>
      <c r="F3949" s="2">
        <v>10</v>
      </c>
      <c r="G3949" s="3" t="s">
        <v>22</v>
      </c>
      <c r="H3949" s="2">
        <v>50</v>
      </c>
      <c r="I3949" s="117" t="str">
        <f t="shared" si="601"/>
        <v>563100</v>
      </c>
      <c r="J3949" s="112" t="s">
        <v>84</v>
      </c>
      <c r="K3949" s="117" t="str">
        <f>CONCATENATE(B3949,"100")</f>
        <v>563100</v>
      </c>
      <c r="L3949" s="2">
        <v>1</v>
      </c>
      <c r="M3949" s="2" t="s">
        <v>84</v>
      </c>
      <c r="N3949" s="2" t="s">
        <v>84</v>
      </c>
      <c r="O3949" s="2" t="s">
        <v>841</v>
      </c>
      <c r="P3949" s="2" t="s">
        <v>2961</v>
      </c>
    </row>
    <row r="3950" spans="1:16" ht="22" customHeight="1" x14ac:dyDescent="0.15">
      <c r="A3950" s="10" t="str">
        <f t="shared" si="600"/>
        <v>563_10_33_10_polygon</v>
      </c>
      <c r="B3950" s="2">
        <v>563</v>
      </c>
      <c r="C3950" s="30" t="str">
        <f>VLOOKUP(B3950,gachas!A:C,3)</f>
        <v>花見ガチャ&lt;後半&gt;</v>
      </c>
      <c r="D3950" s="21">
        <v>10</v>
      </c>
      <c r="E3950" s="2">
        <f t="shared" si="602"/>
        <v>33</v>
      </c>
      <c r="F3950" s="2">
        <v>10</v>
      </c>
      <c r="G3950" s="3" t="s">
        <v>22</v>
      </c>
      <c r="H3950" s="2">
        <v>50</v>
      </c>
      <c r="I3950" s="117" t="str">
        <f t="shared" si="601"/>
        <v>563100</v>
      </c>
      <c r="J3950" s="112" t="s">
        <v>84</v>
      </c>
      <c r="K3950" s="117" t="str">
        <f>CONCATENATE(B3950,"100")</f>
        <v>563100</v>
      </c>
      <c r="L3950" s="2">
        <v>1</v>
      </c>
      <c r="M3950" s="2" t="s">
        <v>84</v>
      </c>
      <c r="N3950" s="2" t="s">
        <v>84</v>
      </c>
      <c r="O3950" s="2" t="s">
        <v>841</v>
      </c>
      <c r="P3950" s="2" t="s">
        <v>2961</v>
      </c>
    </row>
    <row r="3951" spans="1:16" ht="22" customHeight="1" x14ac:dyDescent="0.15">
      <c r="A3951" s="10" t="str">
        <f t="shared" si="600"/>
        <v>563_10_34_10_polygon</v>
      </c>
      <c r="B3951" s="2">
        <v>563</v>
      </c>
      <c r="C3951" s="30" t="str">
        <f>VLOOKUP(B3951,gachas!A:C,3)</f>
        <v>花見ガチャ&lt;後半&gt;</v>
      </c>
      <c r="D3951" s="21">
        <v>10</v>
      </c>
      <c r="E3951" s="2">
        <f t="shared" si="602"/>
        <v>34</v>
      </c>
      <c r="F3951" s="2">
        <v>10</v>
      </c>
      <c r="G3951" s="3" t="s">
        <v>22</v>
      </c>
      <c r="H3951" s="2">
        <v>50</v>
      </c>
      <c r="I3951" s="117" t="str">
        <f t="shared" si="601"/>
        <v>563100</v>
      </c>
      <c r="J3951" s="112" t="s">
        <v>84</v>
      </c>
      <c r="K3951" s="117" t="str">
        <f>CONCATENATE(B3951,"100")</f>
        <v>563100</v>
      </c>
      <c r="L3951" s="2">
        <v>1</v>
      </c>
      <c r="M3951" s="2" t="s">
        <v>84</v>
      </c>
      <c r="N3951" s="2" t="s">
        <v>84</v>
      </c>
      <c r="O3951" s="2" t="s">
        <v>841</v>
      </c>
      <c r="P3951" s="2" t="s">
        <v>2961</v>
      </c>
    </row>
    <row r="3952" spans="1:16" ht="22" customHeight="1" x14ac:dyDescent="0.15">
      <c r="A3952" s="10" t="str">
        <f t="shared" si="600"/>
        <v>563_10_35_10_polygon</v>
      </c>
      <c r="B3952" s="2">
        <v>563</v>
      </c>
      <c r="C3952" s="30" t="str">
        <f>VLOOKUP(B3952,gachas!A:C,3)</f>
        <v>花見ガチャ&lt;後半&gt;</v>
      </c>
      <c r="D3952" s="21">
        <v>10</v>
      </c>
      <c r="E3952" s="2">
        <f t="shared" si="602"/>
        <v>35</v>
      </c>
      <c r="F3952" s="2">
        <v>10</v>
      </c>
      <c r="G3952" s="3" t="s">
        <v>22</v>
      </c>
      <c r="H3952" s="2">
        <v>50</v>
      </c>
      <c r="I3952" s="117" t="str">
        <f t="shared" si="601"/>
        <v>563100</v>
      </c>
      <c r="J3952" s="112" t="s">
        <v>84</v>
      </c>
      <c r="K3952" s="117" t="str">
        <f>CONCATENATE(B3952,"105")</f>
        <v>563105</v>
      </c>
      <c r="L3952" s="2">
        <v>1</v>
      </c>
      <c r="M3952" s="2" t="s">
        <v>84</v>
      </c>
      <c r="N3952" s="2" t="s">
        <v>84</v>
      </c>
      <c r="O3952" s="2" t="s">
        <v>841</v>
      </c>
      <c r="P3952" s="2" t="s">
        <v>2951</v>
      </c>
    </row>
    <row r="3953" spans="1:16" ht="22" customHeight="1" x14ac:dyDescent="0.15">
      <c r="A3953" s="10" t="str">
        <f t="shared" si="600"/>
        <v>563_10_36_10_polygon</v>
      </c>
      <c r="B3953" s="2">
        <v>563</v>
      </c>
      <c r="C3953" s="30" t="str">
        <f>VLOOKUP(B3953,gachas!A:C,3)</f>
        <v>花見ガチャ&lt;後半&gt;</v>
      </c>
      <c r="D3953" s="21">
        <v>10</v>
      </c>
      <c r="E3953" s="2">
        <f t="shared" si="602"/>
        <v>36</v>
      </c>
      <c r="F3953" s="2">
        <v>10</v>
      </c>
      <c r="G3953" s="3" t="s">
        <v>22</v>
      </c>
      <c r="H3953" s="2">
        <v>25</v>
      </c>
      <c r="I3953" s="117" t="str">
        <f t="shared" si="601"/>
        <v>563100</v>
      </c>
      <c r="J3953" s="112" t="s">
        <v>84</v>
      </c>
      <c r="K3953" s="117" t="str">
        <f>CONCATENATE(B3953,"100")</f>
        <v>563100</v>
      </c>
      <c r="L3953" s="2">
        <v>1</v>
      </c>
      <c r="M3953" s="2" t="s">
        <v>84</v>
      </c>
      <c r="N3953" s="2" t="s">
        <v>84</v>
      </c>
      <c r="O3953" s="2" t="s">
        <v>841</v>
      </c>
      <c r="P3953" s="59" t="s">
        <v>1783</v>
      </c>
    </row>
    <row r="3954" spans="1:16" ht="22" customHeight="1" x14ac:dyDescent="0.15">
      <c r="A3954" s="10" t="str">
        <f t="shared" si="600"/>
        <v>563_10_37_10_polygon</v>
      </c>
      <c r="B3954" s="2">
        <v>563</v>
      </c>
      <c r="C3954" s="30" t="str">
        <f>VLOOKUP(B3954,gachas!A:C,3)</f>
        <v>花見ガチャ&lt;後半&gt;</v>
      </c>
      <c r="D3954" s="21">
        <v>10</v>
      </c>
      <c r="E3954" s="2">
        <f t="shared" si="602"/>
        <v>37</v>
      </c>
      <c r="F3954" s="2">
        <v>10</v>
      </c>
      <c r="G3954" s="3" t="s">
        <v>22</v>
      </c>
      <c r="H3954" s="2">
        <v>50</v>
      </c>
      <c r="I3954" s="117" t="str">
        <f t="shared" si="601"/>
        <v>563100</v>
      </c>
      <c r="J3954" s="112" t="s">
        <v>84</v>
      </c>
      <c r="K3954" s="117" t="str">
        <f>CONCATENATE(B3954,"100")</f>
        <v>563100</v>
      </c>
      <c r="L3954" s="2">
        <v>1</v>
      </c>
      <c r="M3954" s="2" t="s">
        <v>84</v>
      </c>
      <c r="N3954" s="2" t="s">
        <v>84</v>
      </c>
      <c r="O3954" s="2" t="s">
        <v>841</v>
      </c>
      <c r="P3954" s="2" t="s">
        <v>2961</v>
      </c>
    </row>
    <row r="3955" spans="1:16" ht="22" customHeight="1" x14ac:dyDescent="0.15">
      <c r="A3955" s="10" t="str">
        <f t="shared" si="600"/>
        <v>563_10_38_10_polygon</v>
      </c>
      <c r="B3955" s="2">
        <v>563</v>
      </c>
      <c r="C3955" s="30" t="str">
        <f>VLOOKUP(B3955,gachas!A:C,3)</f>
        <v>花見ガチャ&lt;後半&gt;</v>
      </c>
      <c r="D3955" s="21">
        <v>10</v>
      </c>
      <c r="E3955" s="2">
        <f t="shared" si="602"/>
        <v>38</v>
      </c>
      <c r="F3955" s="2">
        <v>10</v>
      </c>
      <c r="G3955" s="3" t="s">
        <v>22</v>
      </c>
      <c r="H3955" s="2">
        <v>50</v>
      </c>
      <c r="I3955" s="117" t="str">
        <f t="shared" si="601"/>
        <v>563100</v>
      </c>
      <c r="J3955" s="112" t="s">
        <v>84</v>
      </c>
      <c r="K3955" s="117" t="str">
        <f>CONCATENATE(B3955,"100")</f>
        <v>563100</v>
      </c>
      <c r="L3955" s="2">
        <v>1</v>
      </c>
      <c r="M3955" s="2" t="s">
        <v>84</v>
      </c>
      <c r="N3955" s="2" t="s">
        <v>84</v>
      </c>
      <c r="O3955" s="2" t="s">
        <v>841</v>
      </c>
      <c r="P3955" s="2" t="s">
        <v>2961</v>
      </c>
    </row>
    <row r="3956" spans="1:16" ht="22" customHeight="1" x14ac:dyDescent="0.15">
      <c r="A3956" s="10" t="str">
        <f t="shared" si="600"/>
        <v>563_10_39_10_polygon</v>
      </c>
      <c r="B3956" s="2">
        <v>563</v>
      </c>
      <c r="C3956" s="30" t="str">
        <f>VLOOKUP(B3956,gachas!A:C,3)</f>
        <v>花見ガチャ&lt;後半&gt;</v>
      </c>
      <c r="D3956" s="21">
        <v>10</v>
      </c>
      <c r="E3956" s="2">
        <f t="shared" si="602"/>
        <v>39</v>
      </c>
      <c r="F3956" s="2">
        <v>10</v>
      </c>
      <c r="G3956" s="3" t="s">
        <v>22</v>
      </c>
      <c r="H3956" s="2">
        <v>50</v>
      </c>
      <c r="I3956" s="117" t="str">
        <f t="shared" si="601"/>
        <v>563100</v>
      </c>
      <c r="J3956" s="112" t="s">
        <v>84</v>
      </c>
      <c r="K3956" s="117" t="str">
        <f>CONCATENATE(B3956,"100")</f>
        <v>563100</v>
      </c>
      <c r="L3956" s="2">
        <v>1</v>
      </c>
      <c r="M3956" s="2" t="s">
        <v>84</v>
      </c>
      <c r="N3956" s="2" t="s">
        <v>84</v>
      </c>
      <c r="O3956" s="2" t="s">
        <v>841</v>
      </c>
      <c r="P3956" s="2" t="s">
        <v>2961</v>
      </c>
    </row>
    <row r="3957" spans="1:16" ht="22" customHeight="1" x14ac:dyDescent="0.15">
      <c r="A3957" s="10" t="str">
        <f t="shared" si="600"/>
        <v>563_10_40_10_polygon</v>
      </c>
      <c r="B3957" s="2">
        <v>563</v>
      </c>
      <c r="C3957" s="30" t="str">
        <f>VLOOKUP(B3957,gachas!A:C,3)</f>
        <v>花見ガチャ&lt;後半&gt;</v>
      </c>
      <c r="D3957" s="21">
        <v>10</v>
      </c>
      <c r="E3957" s="2">
        <f t="shared" si="602"/>
        <v>40</v>
      </c>
      <c r="F3957" s="2">
        <v>10</v>
      </c>
      <c r="G3957" s="3" t="s">
        <v>22</v>
      </c>
      <c r="H3957" s="2">
        <v>50</v>
      </c>
      <c r="I3957" s="117" t="str">
        <f t="shared" si="601"/>
        <v>563100</v>
      </c>
      <c r="J3957" s="112" t="s">
        <v>84</v>
      </c>
      <c r="K3957" s="117" t="str">
        <f>CONCATENATE(B3957,"105")</f>
        <v>563105</v>
      </c>
      <c r="L3957" s="2">
        <v>1</v>
      </c>
      <c r="M3957" s="2" t="s">
        <v>84</v>
      </c>
      <c r="N3957" s="2" t="s">
        <v>84</v>
      </c>
      <c r="O3957" s="2" t="s">
        <v>841</v>
      </c>
      <c r="P3957" s="2" t="s">
        <v>2951</v>
      </c>
    </row>
    <row r="3958" spans="1:16" ht="22" customHeight="1" x14ac:dyDescent="0.15">
      <c r="A3958" s="10" t="str">
        <f t="shared" si="600"/>
        <v>563_10_41_10_polygon</v>
      </c>
      <c r="B3958" s="2">
        <v>563</v>
      </c>
      <c r="C3958" s="30" t="str">
        <f>VLOOKUP(B3958,gachas!A:C,3)</f>
        <v>花見ガチャ&lt;後半&gt;</v>
      </c>
      <c r="D3958" s="21">
        <v>10</v>
      </c>
      <c r="E3958" s="2">
        <f t="shared" si="602"/>
        <v>41</v>
      </c>
      <c r="F3958" s="2">
        <v>10</v>
      </c>
      <c r="G3958" s="3" t="s">
        <v>22</v>
      </c>
      <c r="H3958" s="2">
        <v>25</v>
      </c>
      <c r="I3958" s="117" t="str">
        <f t="shared" si="601"/>
        <v>563100</v>
      </c>
      <c r="J3958" s="112" t="s">
        <v>84</v>
      </c>
      <c r="K3958" s="117" t="str">
        <f>CONCATENATE(B3958,"100")</f>
        <v>563100</v>
      </c>
      <c r="L3958" s="2">
        <v>1</v>
      </c>
      <c r="M3958" s="2" t="s">
        <v>84</v>
      </c>
      <c r="N3958" s="2" t="s">
        <v>84</v>
      </c>
      <c r="O3958" s="2" t="s">
        <v>841</v>
      </c>
      <c r="P3958" s="59" t="s">
        <v>1783</v>
      </c>
    </row>
    <row r="3959" spans="1:16" ht="22" customHeight="1" x14ac:dyDescent="0.15">
      <c r="A3959" s="10" t="str">
        <f t="shared" si="600"/>
        <v>563_10_42_10_polygon</v>
      </c>
      <c r="B3959" s="2">
        <v>563</v>
      </c>
      <c r="C3959" s="30" t="str">
        <f>VLOOKUP(B3959,gachas!A:C,3)</f>
        <v>花見ガチャ&lt;後半&gt;</v>
      </c>
      <c r="D3959" s="21">
        <v>10</v>
      </c>
      <c r="E3959" s="2">
        <f t="shared" si="602"/>
        <v>42</v>
      </c>
      <c r="F3959" s="2">
        <v>10</v>
      </c>
      <c r="G3959" s="3" t="s">
        <v>22</v>
      </c>
      <c r="H3959" s="2">
        <v>50</v>
      </c>
      <c r="I3959" s="117" t="str">
        <f t="shared" si="601"/>
        <v>563100</v>
      </c>
      <c r="J3959" s="112" t="s">
        <v>84</v>
      </c>
      <c r="K3959" s="117" t="str">
        <f>CONCATENATE(B3959,"100")</f>
        <v>563100</v>
      </c>
      <c r="L3959" s="2">
        <v>1</v>
      </c>
      <c r="M3959" s="2" t="s">
        <v>84</v>
      </c>
      <c r="N3959" s="2" t="s">
        <v>84</v>
      </c>
      <c r="O3959" s="2" t="s">
        <v>841</v>
      </c>
      <c r="P3959" s="2" t="s">
        <v>2961</v>
      </c>
    </row>
    <row r="3960" spans="1:16" ht="22" customHeight="1" x14ac:dyDescent="0.15">
      <c r="A3960" s="10" t="str">
        <f t="shared" si="600"/>
        <v>563_10_43_10_polygon</v>
      </c>
      <c r="B3960" s="2">
        <v>563</v>
      </c>
      <c r="C3960" s="30" t="str">
        <f>VLOOKUP(B3960,gachas!A:C,3)</f>
        <v>花見ガチャ&lt;後半&gt;</v>
      </c>
      <c r="D3960" s="21">
        <v>10</v>
      </c>
      <c r="E3960" s="2">
        <f t="shared" si="602"/>
        <v>43</v>
      </c>
      <c r="F3960" s="2">
        <v>10</v>
      </c>
      <c r="G3960" s="3" t="s">
        <v>22</v>
      </c>
      <c r="H3960" s="2">
        <v>50</v>
      </c>
      <c r="I3960" s="117" t="str">
        <f t="shared" si="601"/>
        <v>563100</v>
      </c>
      <c r="J3960" s="112" t="s">
        <v>84</v>
      </c>
      <c r="K3960" s="117" t="str">
        <f>CONCATENATE(B3960,"100")</f>
        <v>563100</v>
      </c>
      <c r="L3960" s="2">
        <v>1</v>
      </c>
      <c r="M3960" s="2" t="s">
        <v>84</v>
      </c>
      <c r="N3960" s="2" t="s">
        <v>84</v>
      </c>
      <c r="O3960" s="2" t="s">
        <v>841</v>
      </c>
      <c r="P3960" s="2" t="s">
        <v>2961</v>
      </c>
    </row>
    <row r="3961" spans="1:16" ht="22" customHeight="1" x14ac:dyDescent="0.15">
      <c r="A3961" s="10" t="str">
        <f t="shared" si="600"/>
        <v>563_10_44_10_polygon</v>
      </c>
      <c r="B3961" s="2">
        <v>563</v>
      </c>
      <c r="C3961" s="30" t="str">
        <f>VLOOKUP(B3961,gachas!A:C,3)</f>
        <v>花見ガチャ&lt;後半&gt;</v>
      </c>
      <c r="D3961" s="21">
        <v>10</v>
      </c>
      <c r="E3961" s="2">
        <f t="shared" si="602"/>
        <v>44</v>
      </c>
      <c r="F3961" s="2">
        <v>10</v>
      </c>
      <c r="G3961" s="3" t="s">
        <v>22</v>
      </c>
      <c r="H3961" s="2">
        <v>50</v>
      </c>
      <c r="I3961" s="117" t="str">
        <f t="shared" si="601"/>
        <v>563100</v>
      </c>
      <c r="J3961" s="112" t="s">
        <v>84</v>
      </c>
      <c r="K3961" s="117" t="str">
        <f>CONCATENATE(B3961,"100")</f>
        <v>563100</v>
      </c>
      <c r="L3961" s="2">
        <v>1</v>
      </c>
      <c r="M3961" s="2" t="s">
        <v>84</v>
      </c>
      <c r="N3961" s="2" t="s">
        <v>84</v>
      </c>
      <c r="O3961" s="2" t="s">
        <v>841</v>
      </c>
      <c r="P3961" s="2" t="s">
        <v>2961</v>
      </c>
    </row>
    <row r="3962" spans="1:16" ht="22" customHeight="1" x14ac:dyDescent="0.15">
      <c r="A3962" s="10" t="str">
        <f t="shared" si="600"/>
        <v>563_10_45_10_polygon</v>
      </c>
      <c r="B3962" s="2">
        <v>563</v>
      </c>
      <c r="C3962" s="30" t="str">
        <f>VLOOKUP(B3962,gachas!A:C,3)</f>
        <v>花見ガチャ&lt;後半&gt;</v>
      </c>
      <c r="D3962" s="21">
        <v>10</v>
      </c>
      <c r="E3962" s="2">
        <f t="shared" si="602"/>
        <v>45</v>
      </c>
      <c r="F3962" s="2">
        <v>10</v>
      </c>
      <c r="G3962" s="3" t="s">
        <v>22</v>
      </c>
      <c r="H3962" s="2">
        <v>50</v>
      </c>
      <c r="I3962" s="117" t="str">
        <f t="shared" si="601"/>
        <v>563100</v>
      </c>
      <c r="J3962" s="112" t="s">
        <v>84</v>
      </c>
      <c r="K3962" s="117" t="str">
        <f>CONCATENATE(B3962,"105")</f>
        <v>563105</v>
      </c>
      <c r="L3962" s="2">
        <v>1</v>
      </c>
      <c r="M3962" s="2" t="s">
        <v>84</v>
      </c>
      <c r="N3962" s="2" t="s">
        <v>84</v>
      </c>
      <c r="O3962" s="2" t="s">
        <v>841</v>
      </c>
      <c r="P3962" s="2" t="s">
        <v>2951</v>
      </c>
    </row>
    <row r="3963" spans="1:16" ht="22" customHeight="1" x14ac:dyDescent="0.15">
      <c r="A3963" s="10" t="str">
        <f t="shared" si="600"/>
        <v>563_10_46_10_polygon</v>
      </c>
      <c r="B3963" s="2">
        <v>563</v>
      </c>
      <c r="C3963" s="30" t="str">
        <f>VLOOKUP(B3963,gachas!A:C,3)</f>
        <v>花見ガチャ&lt;後半&gt;</v>
      </c>
      <c r="D3963" s="21">
        <v>10</v>
      </c>
      <c r="E3963" s="2">
        <f t="shared" si="602"/>
        <v>46</v>
      </c>
      <c r="F3963" s="2">
        <v>10</v>
      </c>
      <c r="G3963" s="3" t="s">
        <v>22</v>
      </c>
      <c r="H3963" s="2">
        <v>25</v>
      </c>
      <c r="I3963" s="117" t="str">
        <f t="shared" si="601"/>
        <v>563100</v>
      </c>
      <c r="J3963" s="112" t="s">
        <v>84</v>
      </c>
      <c r="K3963" s="117" t="str">
        <f>CONCATENATE(B3963,"100")</f>
        <v>563100</v>
      </c>
      <c r="L3963" s="2">
        <v>1</v>
      </c>
      <c r="M3963" s="2" t="s">
        <v>84</v>
      </c>
      <c r="N3963" s="2" t="s">
        <v>84</v>
      </c>
      <c r="O3963" s="2" t="s">
        <v>841</v>
      </c>
      <c r="P3963" s="59" t="s">
        <v>1783</v>
      </c>
    </row>
    <row r="3964" spans="1:16" ht="22" customHeight="1" x14ac:dyDescent="0.15">
      <c r="A3964" s="10" t="str">
        <f t="shared" si="600"/>
        <v>563_10_47_10_polygon</v>
      </c>
      <c r="B3964" s="2">
        <v>563</v>
      </c>
      <c r="C3964" s="30" t="str">
        <f>VLOOKUP(B3964,gachas!A:C,3)</f>
        <v>花見ガチャ&lt;後半&gt;</v>
      </c>
      <c r="D3964" s="21">
        <v>10</v>
      </c>
      <c r="E3964" s="2">
        <f t="shared" si="602"/>
        <v>47</v>
      </c>
      <c r="F3964" s="2">
        <v>10</v>
      </c>
      <c r="G3964" s="3" t="s">
        <v>22</v>
      </c>
      <c r="H3964" s="2">
        <v>50</v>
      </c>
      <c r="I3964" s="117" t="str">
        <f t="shared" si="601"/>
        <v>563100</v>
      </c>
      <c r="J3964" s="112" t="s">
        <v>84</v>
      </c>
      <c r="K3964" s="117" t="str">
        <f>CONCATENATE(B3964,"100")</f>
        <v>563100</v>
      </c>
      <c r="L3964" s="2">
        <v>1</v>
      </c>
      <c r="M3964" s="2" t="s">
        <v>84</v>
      </c>
      <c r="N3964" s="2" t="s">
        <v>84</v>
      </c>
      <c r="O3964" s="2" t="s">
        <v>841</v>
      </c>
      <c r="P3964" s="2" t="s">
        <v>2961</v>
      </c>
    </row>
    <row r="3965" spans="1:16" ht="22" customHeight="1" x14ac:dyDescent="0.15">
      <c r="A3965" s="10" t="str">
        <f t="shared" si="600"/>
        <v>563_10_48_10_polygon</v>
      </c>
      <c r="B3965" s="2">
        <v>563</v>
      </c>
      <c r="C3965" s="30" t="str">
        <f>VLOOKUP(B3965,gachas!A:C,3)</f>
        <v>花見ガチャ&lt;後半&gt;</v>
      </c>
      <c r="D3965" s="21">
        <v>10</v>
      </c>
      <c r="E3965" s="2">
        <f t="shared" si="602"/>
        <v>48</v>
      </c>
      <c r="F3965" s="2">
        <v>10</v>
      </c>
      <c r="G3965" s="3" t="s">
        <v>22</v>
      </c>
      <c r="H3965" s="2">
        <v>50</v>
      </c>
      <c r="I3965" s="117" t="str">
        <f t="shared" si="601"/>
        <v>563100</v>
      </c>
      <c r="J3965" s="112" t="s">
        <v>84</v>
      </c>
      <c r="K3965" s="117" t="str">
        <f>CONCATENATE(B3965,"100")</f>
        <v>563100</v>
      </c>
      <c r="L3965" s="2">
        <v>1</v>
      </c>
      <c r="M3965" s="2" t="s">
        <v>84</v>
      </c>
      <c r="N3965" s="2" t="s">
        <v>84</v>
      </c>
      <c r="O3965" s="2" t="s">
        <v>841</v>
      </c>
      <c r="P3965" s="2" t="s">
        <v>2961</v>
      </c>
    </row>
    <row r="3966" spans="1:16" ht="22" customHeight="1" x14ac:dyDescent="0.15">
      <c r="A3966" s="10" t="str">
        <f t="shared" si="600"/>
        <v>563_10_49_10_polygon</v>
      </c>
      <c r="B3966" s="2">
        <v>563</v>
      </c>
      <c r="C3966" s="30" t="str">
        <f>VLOOKUP(B3966,gachas!A:C,3)</f>
        <v>花見ガチャ&lt;後半&gt;</v>
      </c>
      <c r="D3966" s="21">
        <v>10</v>
      </c>
      <c r="E3966" s="2">
        <f t="shared" si="602"/>
        <v>49</v>
      </c>
      <c r="F3966" s="2">
        <v>10</v>
      </c>
      <c r="G3966" s="3" t="s">
        <v>22</v>
      </c>
      <c r="H3966" s="2">
        <v>50</v>
      </c>
      <c r="I3966" s="117" t="str">
        <f t="shared" si="601"/>
        <v>563100</v>
      </c>
      <c r="J3966" s="112" t="s">
        <v>84</v>
      </c>
      <c r="K3966" s="117" t="str">
        <f>CONCATENATE(B3966,"100")</f>
        <v>563100</v>
      </c>
      <c r="L3966" s="2">
        <v>1</v>
      </c>
      <c r="M3966" s="2" t="s">
        <v>84</v>
      </c>
      <c r="N3966" s="2" t="s">
        <v>84</v>
      </c>
      <c r="O3966" s="2" t="s">
        <v>841</v>
      </c>
      <c r="P3966" s="2" t="s">
        <v>2961</v>
      </c>
    </row>
    <row r="3967" spans="1:16" ht="22" customHeight="1" x14ac:dyDescent="0.15">
      <c r="A3967" s="10" t="str">
        <f t="shared" si="600"/>
        <v>563_10_50_10_polygon</v>
      </c>
      <c r="B3967" s="2">
        <v>563</v>
      </c>
      <c r="C3967" s="30" t="str">
        <f>VLOOKUP(B3967,gachas!A:C,3)</f>
        <v>花見ガチャ&lt;後半&gt;</v>
      </c>
      <c r="D3967" s="21">
        <v>10</v>
      </c>
      <c r="E3967" s="2">
        <f t="shared" si="602"/>
        <v>50</v>
      </c>
      <c r="F3967" s="2">
        <v>10</v>
      </c>
      <c r="G3967" s="3" t="s">
        <v>22</v>
      </c>
      <c r="H3967" s="2">
        <v>50</v>
      </c>
      <c r="I3967" s="117" t="str">
        <f t="shared" si="601"/>
        <v>563100</v>
      </c>
      <c r="J3967" s="112" t="s">
        <v>84</v>
      </c>
      <c r="K3967" s="117" t="str">
        <f>CONCATENATE(B3967,"105")</f>
        <v>563105</v>
      </c>
      <c r="L3967" s="2">
        <v>1</v>
      </c>
      <c r="M3967" s="2" t="s">
        <v>84</v>
      </c>
      <c r="N3967" s="2" t="s">
        <v>84</v>
      </c>
      <c r="O3967" s="2" t="s">
        <v>841</v>
      </c>
      <c r="P3967" s="2" t="s">
        <v>2951</v>
      </c>
    </row>
    <row r="3968" spans="1:16" ht="22" customHeight="1" x14ac:dyDescent="0.15">
      <c r="A3968" s="10" t="str">
        <f t="shared" si="600"/>
        <v>564_10_1_10_polygon</v>
      </c>
      <c r="B3968" s="2">
        <v>564</v>
      </c>
      <c r="C3968" s="30" t="str">
        <f>VLOOKUP(B3968,gachas!A:C,3)</f>
        <v>和風ピックアップガチャ</v>
      </c>
      <c r="D3968" s="21">
        <v>10</v>
      </c>
      <c r="E3968" s="2">
        <v>1</v>
      </c>
      <c r="F3968" s="2">
        <v>10</v>
      </c>
      <c r="G3968" s="3" t="s">
        <v>22</v>
      </c>
      <c r="H3968" s="2">
        <v>40</v>
      </c>
      <c r="I3968" s="114" t="str">
        <f>CONCATENATE(B3968,IF(D3968=1,"01","10"),0)</f>
        <v>564100</v>
      </c>
      <c r="J3968" s="112">
        <v>564101</v>
      </c>
      <c r="K3968" s="112" t="str">
        <f>CONCATENATE(B3968,IF(D3968=1,"01","10"),0)</f>
        <v>564100</v>
      </c>
      <c r="L3968" s="2">
        <v>1</v>
      </c>
      <c r="M3968" s="2" t="s">
        <v>84</v>
      </c>
      <c r="N3968" s="2" t="s">
        <v>84</v>
      </c>
      <c r="O3968" s="2" t="s">
        <v>841</v>
      </c>
      <c r="P3968" s="2" t="s">
        <v>2970</v>
      </c>
    </row>
    <row r="3969" spans="1:16" ht="22" customHeight="1" x14ac:dyDescent="0.15">
      <c r="A3969" s="10" t="str">
        <f t="shared" ref="A3969:A4032" si="603">B3969&amp;"_"&amp;D3969&amp;"_"&amp;E3969&amp;"_"&amp;F3969&amp;"_"&amp;G3969</f>
        <v>564_10_2_10_polygon</v>
      </c>
      <c r="B3969" s="2">
        <v>564</v>
      </c>
      <c r="C3969" s="30" t="str">
        <f>VLOOKUP(B3969,gachas!A:C,3)</f>
        <v>和風ピックアップガチャ</v>
      </c>
      <c r="D3969" s="21">
        <v>10</v>
      </c>
      <c r="E3969" s="2">
        <v>2</v>
      </c>
      <c r="F3969" s="2">
        <v>10</v>
      </c>
      <c r="G3969" s="3" t="s">
        <v>22</v>
      </c>
      <c r="H3969" s="2">
        <v>40</v>
      </c>
      <c r="I3969" s="114" t="str">
        <f t="shared" ref="I3969:I4032" si="604">CONCATENATE(B3969,IF(D3969=1,"01","10"),0)</f>
        <v>564100</v>
      </c>
      <c r="J3969" s="112">
        <v>564102</v>
      </c>
      <c r="K3969" s="112" t="str">
        <f t="shared" ref="K3969:K3970" si="605">CONCATENATE(B3969,IF(D3969=1,"01","10"),0)</f>
        <v>564100</v>
      </c>
      <c r="L3969" s="2">
        <v>1</v>
      </c>
      <c r="M3969" s="2" t="s">
        <v>84</v>
      </c>
      <c r="N3969" s="2" t="s">
        <v>84</v>
      </c>
      <c r="O3969" s="2" t="s">
        <v>841</v>
      </c>
      <c r="P3969" s="2" t="s">
        <v>2971</v>
      </c>
    </row>
    <row r="3970" spans="1:16" ht="22" customHeight="1" x14ac:dyDescent="0.15">
      <c r="A3970" s="10" t="str">
        <f t="shared" si="603"/>
        <v>564_10_0_10_polygon</v>
      </c>
      <c r="B3970" s="2">
        <v>564</v>
      </c>
      <c r="C3970" s="30" t="str">
        <f>VLOOKUP(B3970,gachas!A:C,3)</f>
        <v>和風ピックアップガチャ</v>
      </c>
      <c r="D3970" s="21">
        <v>10</v>
      </c>
      <c r="E3970" s="2">
        <v>0</v>
      </c>
      <c r="F3970" s="2">
        <v>10</v>
      </c>
      <c r="G3970" s="3" t="s">
        <v>22</v>
      </c>
      <c r="H3970" s="2">
        <v>40</v>
      </c>
      <c r="I3970" s="114" t="str">
        <f t="shared" si="604"/>
        <v>564100</v>
      </c>
      <c r="J3970" s="112">
        <v>564103</v>
      </c>
      <c r="K3970" s="112" t="str">
        <f t="shared" si="605"/>
        <v>564100</v>
      </c>
      <c r="L3970" s="2">
        <v>1</v>
      </c>
      <c r="M3970" s="2" t="s">
        <v>84</v>
      </c>
      <c r="N3970" s="2" t="s">
        <v>84</v>
      </c>
      <c r="O3970" s="2" t="s">
        <v>841</v>
      </c>
      <c r="P3970" s="2" t="s">
        <v>2972</v>
      </c>
    </row>
    <row r="3971" spans="1:16" ht="22" customHeight="1" x14ac:dyDescent="0.15">
      <c r="A3971" s="10" t="str">
        <f t="shared" si="603"/>
        <v>565_1_0_1_polygon</v>
      </c>
      <c r="B3971" s="2">
        <v>565</v>
      </c>
      <c r="C3971" s="30" t="str">
        <f>VLOOKUP(B3971,gachas!A:C,3)</f>
        <v>ニューフェイスピックアップ</v>
      </c>
      <c r="D3971" s="21">
        <v>1</v>
      </c>
      <c r="E3971" s="2">
        <v>0</v>
      </c>
      <c r="F3971" s="2">
        <v>1</v>
      </c>
      <c r="G3971" s="3" t="s">
        <v>22</v>
      </c>
      <c r="H3971" s="2">
        <v>5</v>
      </c>
      <c r="I3971" s="114" t="str">
        <f t="shared" si="604"/>
        <v>565010</v>
      </c>
      <c r="J3971" s="112" t="s">
        <v>84</v>
      </c>
      <c r="K3971" s="112" t="s">
        <v>84</v>
      </c>
      <c r="L3971" s="2">
        <v>0</v>
      </c>
      <c r="M3971" s="2" t="s">
        <v>84</v>
      </c>
      <c r="N3971" s="2" t="s">
        <v>84</v>
      </c>
      <c r="O3971" s="2" t="s">
        <v>841</v>
      </c>
      <c r="P3971" s="18" t="s">
        <v>84</v>
      </c>
    </row>
    <row r="3972" spans="1:16" ht="22" customHeight="1" x14ac:dyDescent="0.15">
      <c r="A3972" s="10" t="str">
        <f t="shared" si="603"/>
        <v>565_10_0_10_polygon</v>
      </c>
      <c r="B3972" s="2">
        <v>565</v>
      </c>
      <c r="C3972" s="30" t="str">
        <f>VLOOKUP(B3972,gachas!A:C,3)</f>
        <v>ニューフェイスピックアップ</v>
      </c>
      <c r="D3972" s="21">
        <v>10</v>
      </c>
      <c r="E3972" s="2">
        <v>0</v>
      </c>
      <c r="F3972" s="2">
        <v>10</v>
      </c>
      <c r="G3972" s="3" t="s">
        <v>22</v>
      </c>
      <c r="H3972" s="2">
        <v>50</v>
      </c>
      <c r="I3972" s="114" t="str">
        <f t="shared" si="604"/>
        <v>565100</v>
      </c>
      <c r="J3972" s="112" t="s">
        <v>84</v>
      </c>
      <c r="K3972" s="112" t="s">
        <v>84</v>
      </c>
      <c r="L3972" s="2">
        <v>0</v>
      </c>
      <c r="M3972" s="2" t="s">
        <v>84</v>
      </c>
      <c r="N3972" s="2" t="s">
        <v>84</v>
      </c>
      <c r="O3972" s="2" t="s">
        <v>841</v>
      </c>
      <c r="P3972" s="2" t="s">
        <v>143</v>
      </c>
    </row>
    <row r="3973" spans="1:16" ht="22" customHeight="1" x14ac:dyDescent="0.15">
      <c r="A3973" s="10" t="str">
        <f t="shared" si="603"/>
        <v>565_10_1_10_polygon</v>
      </c>
      <c r="B3973" s="2">
        <v>565</v>
      </c>
      <c r="C3973" s="30" t="str">
        <f>VLOOKUP(B3973,gachas!A:C,3)</f>
        <v>ニューフェイスピックアップ</v>
      </c>
      <c r="D3973" s="21">
        <v>10</v>
      </c>
      <c r="E3973" s="2">
        <f>E3972+1</f>
        <v>1</v>
      </c>
      <c r="F3973" s="2">
        <v>10</v>
      </c>
      <c r="G3973" s="3" t="s">
        <v>22</v>
      </c>
      <c r="H3973" s="2">
        <v>50</v>
      </c>
      <c r="I3973" s="114" t="str">
        <f t="shared" si="604"/>
        <v>565100</v>
      </c>
      <c r="J3973" s="112" t="s">
        <v>84</v>
      </c>
      <c r="K3973" s="2" t="s">
        <v>84</v>
      </c>
      <c r="L3973" s="2">
        <v>0</v>
      </c>
      <c r="M3973" s="2" t="s">
        <v>84</v>
      </c>
      <c r="N3973" s="2" t="s">
        <v>84</v>
      </c>
      <c r="O3973" s="2" t="s">
        <v>841</v>
      </c>
      <c r="P3973" s="2" t="s">
        <v>143</v>
      </c>
    </row>
    <row r="3974" spans="1:16" ht="22" customHeight="1" x14ac:dyDescent="0.15">
      <c r="A3974" s="10" t="str">
        <f t="shared" si="603"/>
        <v>565_10_2_10_polygon</v>
      </c>
      <c r="B3974" s="2">
        <v>565</v>
      </c>
      <c r="C3974" s="30" t="str">
        <f>VLOOKUP(B3974,gachas!A:C,3)</f>
        <v>ニューフェイスピックアップ</v>
      </c>
      <c r="D3974" s="21">
        <v>10</v>
      </c>
      <c r="E3974" s="2">
        <f t="shared" ref="E3974:E4032" si="606">E3973+1</f>
        <v>2</v>
      </c>
      <c r="F3974" s="2">
        <v>10</v>
      </c>
      <c r="G3974" s="3" t="s">
        <v>22</v>
      </c>
      <c r="H3974" s="2">
        <v>50</v>
      </c>
      <c r="I3974" s="114" t="str">
        <f t="shared" si="604"/>
        <v>565100</v>
      </c>
      <c r="J3974" s="112" t="s">
        <v>84</v>
      </c>
      <c r="K3974" s="2" t="s">
        <v>84</v>
      </c>
      <c r="L3974" s="2">
        <v>0</v>
      </c>
      <c r="M3974" s="2" t="s">
        <v>84</v>
      </c>
      <c r="N3974" s="2" t="s">
        <v>84</v>
      </c>
      <c r="O3974" s="2" t="s">
        <v>841</v>
      </c>
      <c r="P3974" s="2" t="s">
        <v>143</v>
      </c>
    </row>
    <row r="3975" spans="1:16" ht="22" customHeight="1" x14ac:dyDescent="0.15">
      <c r="A3975" s="10" t="str">
        <f t="shared" si="603"/>
        <v>565_10_3_10_polygon</v>
      </c>
      <c r="B3975" s="2">
        <v>565</v>
      </c>
      <c r="C3975" s="30" t="str">
        <f>VLOOKUP(B3975,gachas!A:C,3)</f>
        <v>ニューフェイスピックアップ</v>
      </c>
      <c r="D3975" s="21">
        <v>10</v>
      </c>
      <c r="E3975" s="2">
        <f t="shared" si="606"/>
        <v>3</v>
      </c>
      <c r="F3975" s="2">
        <v>10</v>
      </c>
      <c r="G3975" s="3" t="s">
        <v>22</v>
      </c>
      <c r="H3975" s="2">
        <v>50</v>
      </c>
      <c r="I3975" s="114" t="str">
        <f t="shared" si="604"/>
        <v>565100</v>
      </c>
      <c r="J3975" s="112" t="s">
        <v>84</v>
      </c>
      <c r="K3975" s="117" t="str">
        <f>CONCATENATE(B3975,"105")</f>
        <v>565105</v>
      </c>
      <c r="L3975" s="2">
        <v>1</v>
      </c>
      <c r="M3975" s="2" t="s">
        <v>84</v>
      </c>
      <c r="N3975" s="2" t="s">
        <v>84</v>
      </c>
      <c r="O3975" s="2" t="s">
        <v>841</v>
      </c>
      <c r="P3975" s="2" t="s">
        <v>2982</v>
      </c>
    </row>
    <row r="3976" spans="1:16" ht="22" customHeight="1" x14ac:dyDescent="0.15">
      <c r="A3976" s="10" t="str">
        <f t="shared" si="603"/>
        <v>565_10_4_10_polygon</v>
      </c>
      <c r="B3976" s="2">
        <v>565</v>
      </c>
      <c r="C3976" s="30" t="str">
        <f>VLOOKUP(B3976,gachas!A:C,3)</f>
        <v>ニューフェイスピックアップ</v>
      </c>
      <c r="D3976" s="21">
        <v>10</v>
      </c>
      <c r="E3976" s="2">
        <f t="shared" si="606"/>
        <v>4</v>
      </c>
      <c r="F3976" s="2">
        <v>10</v>
      </c>
      <c r="G3976" s="3" t="s">
        <v>22</v>
      </c>
      <c r="H3976" s="2">
        <v>50</v>
      </c>
      <c r="I3976" s="114" t="str">
        <f t="shared" si="604"/>
        <v>565100</v>
      </c>
      <c r="J3976" s="112" t="s">
        <v>84</v>
      </c>
      <c r="K3976" s="2" t="s">
        <v>84</v>
      </c>
      <c r="L3976" s="2">
        <v>0</v>
      </c>
      <c r="M3976" s="2" t="s">
        <v>84</v>
      </c>
      <c r="N3976" s="2" t="s">
        <v>84</v>
      </c>
      <c r="O3976" s="2" t="s">
        <v>841</v>
      </c>
      <c r="P3976" s="2" t="s">
        <v>2637</v>
      </c>
    </row>
    <row r="3977" spans="1:16" ht="22" customHeight="1" x14ac:dyDescent="0.15">
      <c r="A3977" s="10" t="str">
        <f t="shared" si="603"/>
        <v>565_10_5_10_polygon</v>
      </c>
      <c r="B3977" s="2">
        <v>565</v>
      </c>
      <c r="C3977" s="30" t="str">
        <f>VLOOKUP(B3977,gachas!A:C,3)</f>
        <v>ニューフェイスピックアップ</v>
      </c>
      <c r="D3977" s="21">
        <v>10</v>
      </c>
      <c r="E3977" s="2">
        <f t="shared" si="606"/>
        <v>5</v>
      </c>
      <c r="F3977" s="2">
        <v>10</v>
      </c>
      <c r="G3977" s="3" t="s">
        <v>22</v>
      </c>
      <c r="H3977" s="2">
        <v>50</v>
      </c>
      <c r="I3977" s="114" t="str">
        <f t="shared" si="604"/>
        <v>565100</v>
      </c>
      <c r="J3977" s="112" t="s">
        <v>84</v>
      </c>
      <c r="K3977" s="2" t="s">
        <v>84</v>
      </c>
      <c r="L3977" s="2">
        <v>0</v>
      </c>
      <c r="M3977" s="2" t="s">
        <v>84</v>
      </c>
      <c r="N3977" s="2" t="s">
        <v>84</v>
      </c>
      <c r="O3977" s="2" t="s">
        <v>841</v>
      </c>
      <c r="P3977" s="2" t="s">
        <v>2637</v>
      </c>
    </row>
    <row r="3978" spans="1:16" ht="22" customHeight="1" x14ac:dyDescent="0.15">
      <c r="A3978" s="10" t="str">
        <f t="shared" si="603"/>
        <v>565_10_6_10_polygon</v>
      </c>
      <c r="B3978" s="2">
        <v>565</v>
      </c>
      <c r="C3978" s="30" t="str">
        <f>VLOOKUP(B3978,gachas!A:C,3)</f>
        <v>ニューフェイスピックアップ</v>
      </c>
      <c r="D3978" s="21">
        <v>10</v>
      </c>
      <c r="E3978" s="2">
        <f t="shared" si="606"/>
        <v>6</v>
      </c>
      <c r="F3978" s="2">
        <v>10</v>
      </c>
      <c r="G3978" s="3" t="s">
        <v>22</v>
      </c>
      <c r="H3978" s="2">
        <v>50</v>
      </c>
      <c r="I3978" s="114" t="str">
        <f t="shared" si="604"/>
        <v>565100</v>
      </c>
      <c r="J3978" s="112" t="s">
        <v>84</v>
      </c>
      <c r="K3978" s="117" t="str">
        <f t="shared" ref="K3978" si="607">CONCATENATE(B3978,"105")</f>
        <v>565105</v>
      </c>
      <c r="L3978" s="2">
        <v>1</v>
      </c>
      <c r="M3978" s="2" t="s">
        <v>84</v>
      </c>
      <c r="N3978" s="2" t="s">
        <v>84</v>
      </c>
      <c r="O3978" s="2" t="s">
        <v>841</v>
      </c>
      <c r="P3978" s="2" t="s">
        <v>2982</v>
      </c>
    </row>
    <row r="3979" spans="1:16" ht="22" customHeight="1" x14ac:dyDescent="0.15">
      <c r="A3979" s="10" t="str">
        <f t="shared" si="603"/>
        <v>565_10_7_10_polygon</v>
      </c>
      <c r="B3979" s="2">
        <v>565</v>
      </c>
      <c r="C3979" s="30" t="str">
        <f>VLOOKUP(B3979,gachas!A:C,3)</f>
        <v>ニューフェイスピックアップ</v>
      </c>
      <c r="D3979" s="21">
        <v>10</v>
      </c>
      <c r="E3979" s="2">
        <f t="shared" si="606"/>
        <v>7</v>
      </c>
      <c r="F3979" s="2">
        <v>10</v>
      </c>
      <c r="G3979" s="3" t="s">
        <v>22</v>
      </c>
      <c r="H3979" s="2">
        <v>50</v>
      </c>
      <c r="I3979" s="114" t="str">
        <f t="shared" si="604"/>
        <v>565100</v>
      </c>
      <c r="J3979" s="112" t="s">
        <v>84</v>
      </c>
      <c r="K3979" s="2" t="s">
        <v>84</v>
      </c>
      <c r="L3979" s="2">
        <v>0</v>
      </c>
      <c r="M3979" s="2" t="s">
        <v>84</v>
      </c>
      <c r="N3979" s="2" t="s">
        <v>84</v>
      </c>
      <c r="O3979" s="2" t="s">
        <v>841</v>
      </c>
      <c r="P3979" s="2" t="s">
        <v>2637</v>
      </c>
    </row>
    <row r="3980" spans="1:16" ht="22" customHeight="1" x14ac:dyDescent="0.15">
      <c r="A3980" s="10" t="str">
        <f t="shared" si="603"/>
        <v>565_10_8_10_polygon</v>
      </c>
      <c r="B3980" s="2">
        <v>565</v>
      </c>
      <c r="C3980" s="30" t="str">
        <f>VLOOKUP(B3980,gachas!A:C,3)</f>
        <v>ニューフェイスピックアップ</v>
      </c>
      <c r="D3980" s="21">
        <v>10</v>
      </c>
      <c r="E3980" s="2">
        <f t="shared" si="606"/>
        <v>8</v>
      </c>
      <c r="F3980" s="2">
        <v>10</v>
      </c>
      <c r="G3980" s="3" t="s">
        <v>22</v>
      </c>
      <c r="H3980" s="2">
        <v>50</v>
      </c>
      <c r="I3980" s="114" t="str">
        <f t="shared" si="604"/>
        <v>565100</v>
      </c>
      <c r="J3980" s="112" t="s">
        <v>84</v>
      </c>
      <c r="K3980" s="2" t="s">
        <v>84</v>
      </c>
      <c r="L3980" s="2">
        <v>0</v>
      </c>
      <c r="M3980" s="2" t="s">
        <v>84</v>
      </c>
      <c r="N3980" s="2" t="s">
        <v>84</v>
      </c>
      <c r="O3980" s="2" t="s">
        <v>841</v>
      </c>
      <c r="P3980" s="2" t="s">
        <v>2637</v>
      </c>
    </row>
    <row r="3981" spans="1:16" ht="22" customHeight="1" x14ac:dyDescent="0.15">
      <c r="A3981" s="10" t="str">
        <f t="shared" si="603"/>
        <v>565_10_9_10_polygon</v>
      </c>
      <c r="B3981" s="2">
        <v>565</v>
      </c>
      <c r="C3981" s="30" t="str">
        <f>VLOOKUP(B3981,gachas!A:C,3)</f>
        <v>ニューフェイスピックアップ</v>
      </c>
      <c r="D3981" s="21">
        <v>10</v>
      </c>
      <c r="E3981" s="2">
        <f t="shared" si="606"/>
        <v>9</v>
      </c>
      <c r="F3981" s="2">
        <v>10</v>
      </c>
      <c r="G3981" s="3" t="s">
        <v>22</v>
      </c>
      <c r="H3981" s="2">
        <v>50</v>
      </c>
      <c r="I3981" s="114" t="str">
        <f t="shared" si="604"/>
        <v>565100</v>
      </c>
      <c r="J3981" s="112" t="s">
        <v>84</v>
      </c>
      <c r="K3981" s="117" t="str">
        <f t="shared" ref="K3981" si="608">CONCATENATE(B3981,"105")</f>
        <v>565105</v>
      </c>
      <c r="L3981" s="2">
        <v>1</v>
      </c>
      <c r="M3981" s="2" t="s">
        <v>84</v>
      </c>
      <c r="N3981" s="2" t="s">
        <v>84</v>
      </c>
      <c r="O3981" s="2" t="s">
        <v>841</v>
      </c>
      <c r="P3981" s="2" t="s">
        <v>2982</v>
      </c>
    </row>
    <row r="3982" spans="1:16" ht="22" customHeight="1" x14ac:dyDescent="0.15">
      <c r="A3982" s="10" t="str">
        <f t="shared" si="603"/>
        <v>565_10_10_10_polygon</v>
      </c>
      <c r="B3982" s="2">
        <v>565</v>
      </c>
      <c r="C3982" s="30" t="str">
        <f>VLOOKUP(B3982,gachas!A:C,3)</f>
        <v>ニューフェイスピックアップ</v>
      </c>
      <c r="D3982" s="21">
        <v>10</v>
      </c>
      <c r="E3982" s="2">
        <f t="shared" si="606"/>
        <v>10</v>
      </c>
      <c r="F3982" s="2">
        <v>10</v>
      </c>
      <c r="G3982" s="3" t="s">
        <v>22</v>
      </c>
      <c r="H3982" s="2">
        <v>50</v>
      </c>
      <c r="I3982" s="114" t="str">
        <f t="shared" si="604"/>
        <v>565100</v>
      </c>
      <c r="J3982" s="112" t="s">
        <v>84</v>
      </c>
      <c r="K3982" s="2" t="s">
        <v>84</v>
      </c>
      <c r="L3982" s="2">
        <v>0</v>
      </c>
      <c r="M3982" s="2" t="s">
        <v>84</v>
      </c>
      <c r="N3982" s="2" t="s">
        <v>84</v>
      </c>
      <c r="O3982" s="2" t="s">
        <v>841</v>
      </c>
      <c r="P3982" s="2" t="s">
        <v>2637</v>
      </c>
    </row>
    <row r="3983" spans="1:16" ht="22" customHeight="1" x14ac:dyDescent="0.15">
      <c r="A3983" s="10" t="str">
        <f t="shared" si="603"/>
        <v>565_10_11_10_polygon</v>
      </c>
      <c r="B3983" s="2">
        <v>565</v>
      </c>
      <c r="C3983" s="30" t="str">
        <f>VLOOKUP(B3983,gachas!A:C,3)</f>
        <v>ニューフェイスピックアップ</v>
      </c>
      <c r="D3983" s="21">
        <v>10</v>
      </c>
      <c r="E3983" s="2">
        <f t="shared" si="606"/>
        <v>11</v>
      </c>
      <c r="F3983" s="2">
        <v>10</v>
      </c>
      <c r="G3983" s="3" t="s">
        <v>22</v>
      </c>
      <c r="H3983" s="2">
        <v>50</v>
      </c>
      <c r="I3983" s="114" t="str">
        <f t="shared" si="604"/>
        <v>565100</v>
      </c>
      <c r="J3983" s="112" t="s">
        <v>84</v>
      </c>
      <c r="K3983" s="2" t="s">
        <v>84</v>
      </c>
      <c r="L3983" s="2">
        <v>0</v>
      </c>
      <c r="M3983" s="2" t="s">
        <v>84</v>
      </c>
      <c r="N3983" s="2" t="s">
        <v>84</v>
      </c>
      <c r="O3983" s="2" t="s">
        <v>841</v>
      </c>
      <c r="P3983" s="2" t="s">
        <v>2637</v>
      </c>
    </row>
    <row r="3984" spans="1:16" ht="22" customHeight="1" x14ac:dyDescent="0.15">
      <c r="A3984" s="10" t="str">
        <f t="shared" si="603"/>
        <v>565_10_12_10_polygon</v>
      </c>
      <c r="B3984" s="2">
        <v>565</v>
      </c>
      <c r="C3984" s="30" t="str">
        <f>VLOOKUP(B3984,gachas!A:C,3)</f>
        <v>ニューフェイスピックアップ</v>
      </c>
      <c r="D3984" s="21">
        <v>10</v>
      </c>
      <c r="E3984" s="2">
        <f t="shared" si="606"/>
        <v>12</v>
      </c>
      <c r="F3984" s="2">
        <v>10</v>
      </c>
      <c r="G3984" s="3" t="s">
        <v>22</v>
      </c>
      <c r="H3984" s="2">
        <v>50</v>
      </c>
      <c r="I3984" s="114" t="str">
        <f t="shared" si="604"/>
        <v>565100</v>
      </c>
      <c r="J3984" s="112" t="s">
        <v>84</v>
      </c>
      <c r="K3984" s="117" t="str">
        <f t="shared" ref="K3984" si="609">CONCATENATE(B3984,"105")</f>
        <v>565105</v>
      </c>
      <c r="L3984" s="2">
        <v>1</v>
      </c>
      <c r="M3984" s="2" t="s">
        <v>84</v>
      </c>
      <c r="N3984" s="2" t="s">
        <v>84</v>
      </c>
      <c r="O3984" s="2" t="s">
        <v>841</v>
      </c>
      <c r="P3984" s="2" t="s">
        <v>2982</v>
      </c>
    </row>
    <row r="3985" spans="1:16" ht="22" customHeight="1" x14ac:dyDescent="0.15">
      <c r="A3985" s="10" t="str">
        <f t="shared" si="603"/>
        <v>565_10_13_10_polygon</v>
      </c>
      <c r="B3985" s="2">
        <v>565</v>
      </c>
      <c r="C3985" s="30" t="str">
        <f>VLOOKUP(B3985,gachas!A:C,3)</f>
        <v>ニューフェイスピックアップ</v>
      </c>
      <c r="D3985" s="21">
        <v>10</v>
      </c>
      <c r="E3985" s="2">
        <f t="shared" si="606"/>
        <v>13</v>
      </c>
      <c r="F3985" s="2">
        <v>10</v>
      </c>
      <c r="G3985" s="3" t="s">
        <v>22</v>
      </c>
      <c r="H3985" s="2">
        <v>50</v>
      </c>
      <c r="I3985" s="114" t="str">
        <f t="shared" si="604"/>
        <v>565100</v>
      </c>
      <c r="J3985" s="112" t="s">
        <v>84</v>
      </c>
      <c r="K3985" s="2" t="s">
        <v>84</v>
      </c>
      <c r="L3985" s="2">
        <v>0</v>
      </c>
      <c r="M3985" s="2" t="s">
        <v>84</v>
      </c>
      <c r="N3985" s="2" t="s">
        <v>84</v>
      </c>
      <c r="O3985" s="2" t="s">
        <v>841</v>
      </c>
      <c r="P3985" s="2" t="s">
        <v>2637</v>
      </c>
    </row>
    <row r="3986" spans="1:16" ht="22" customHeight="1" x14ac:dyDescent="0.15">
      <c r="A3986" s="10" t="str">
        <f t="shared" si="603"/>
        <v>565_10_14_10_polygon</v>
      </c>
      <c r="B3986" s="2">
        <v>565</v>
      </c>
      <c r="C3986" s="30" t="str">
        <f>VLOOKUP(B3986,gachas!A:C,3)</f>
        <v>ニューフェイスピックアップ</v>
      </c>
      <c r="D3986" s="21">
        <v>10</v>
      </c>
      <c r="E3986" s="2">
        <f t="shared" si="606"/>
        <v>14</v>
      </c>
      <c r="F3986" s="2">
        <v>10</v>
      </c>
      <c r="G3986" s="3" t="s">
        <v>22</v>
      </c>
      <c r="H3986" s="2">
        <v>50</v>
      </c>
      <c r="I3986" s="114" t="str">
        <f t="shared" si="604"/>
        <v>565100</v>
      </c>
      <c r="J3986" s="112" t="s">
        <v>84</v>
      </c>
      <c r="K3986" s="2" t="s">
        <v>84</v>
      </c>
      <c r="L3986" s="2">
        <v>0</v>
      </c>
      <c r="M3986" s="2" t="s">
        <v>84</v>
      </c>
      <c r="N3986" s="2" t="s">
        <v>84</v>
      </c>
      <c r="O3986" s="2" t="s">
        <v>841</v>
      </c>
      <c r="P3986" s="2" t="s">
        <v>2637</v>
      </c>
    </row>
    <row r="3987" spans="1:16" ht="22" customHeight="1" x14ac:dyDescent="0.15">
      <c r="A3987" s="10" t="str">
        <f t="shared" si="603"/>
        <v>565_10_15_10_polygon</v>
      </c>
      <c r="B3987" s="2">
        <v>565</v>
      </c>
      <c r="C3987" s="30" t="str">
        <f>VLOOKUP(B3987,gachas!A:C,3)</f>
        <v>ニューフェイスピックアップ</v>
      </c>
      <c r="D3987" s="21">
        <v>10</v>
      </c>
      <c r="E3987" s="2">
        <f t="shared" si="606"/>
        <v>15</v>
      </c>
      <c r="F3987" s="2">
        <v>10</v>
      </c>
      <c r="G3987" s="3" t="s">
        <v>22</v>
      </c>
      <c r="H3987" s="2">
        <v>50</v>
      </c>
      <c r="I3987" s="114" t="str">
        <f t="shared" si="604"/>
        <v>565100</v>
      </c>
      <c r="J3987" s="112" t="s">
        <v>84</v>
      </c>
      <c r="K3987" s="117" t="str">
        <f t="shared" ref="K3987" si="610">CONCATENATE(B3987,"105")</f>
        <v>565105</v>
      </c>
      <c r="L3987" s="2">
        <v>1</v>
      </c>
      <c r="M3987" s="2" t="s">
        <v>84</v>
      </c>
      <c r="N3987" s="2" t="s">
        <v>84</v>
      </c>
      <c r="O3987" s="2" t="s">
        <v>841</v>
      </c>
      <c r="P3987" s="2" t="s">
        <v>2982</v>
      </c>
    </row>
    <row r="3988" spans="1:16" ht="22" customHeight="1" x14ac:dyDescent="0.15">
      <c r="A3988" s="10" t="str">
        <f t="shared" si="603"/>
        <v>565_10_16_10_polygon</v>
      </c>
      <c r="B3988" s="2">
        <v>565</v>
      </c>
      <c r="C3988" s="30" t="str">
        <f>VLOOKUP(B3988,gachas!A:C,3)</f>
        <v>ニューフェイスピックアップ</v>
      </c>
      <c r="D3988" s="21">
        <v>10</v>
      </c>
      <c r="E3988" s="2">
        <f t="shared" si="606"/>
        <v>16</v>
      </c>
      <c r="F3988" s="2">
        <v>10</v>
      </c>
      <c r="G3988" s="3" t="s">
        <v>22</v>
      </c>
      <c r="H3988" s="2">
        <v>50</v>
      </c>
      <c r="I3988" s="114" t="str">
        <f t="shared" si="604"/>
        <v>565100</v>
      </c>
      <c r="J3988" s="112" t="s">
        <v>84</v>
      </c>
      <c r="K3988" s="2" t="s">
        <v>84</v>
      </c>
      <c r="L3988" s="2">
        <v>0</v>
      </c>
      <c r="M3988" s="2" t="s">
        <v>84</v>
      </c>
      <c r="N3988" s="2" t="s">
        <v>84</v>
      </c>
      <c r="O3988" s="2" t="s">
        <v>841</v>
      </c>
      <c r="P3988" s="2" t="s">
        <v>2637</v>
      </c>
    </row>
    <row r="3989" spans="1:16" ht="22" customHeight="1" x14ac:dyDescent="0.15">
      <c r="A3989" s="10" t="str">
        <f t="shared" si="603"/>
        <v>565_10_17_10_polygon</v>
      </c>
      <c r="B3989" s="2">
        <v>565</v>
      </c>
      <c r="C3989" s="30" t="str">
        <f>VLOOKUP(B3989,gachas!A:C,3)</f>
        <v>ニューフェイスピックアップ</v>
      </c>
      <c r="D3989" s="21">
        <v>10</v>
      </c>
      <c r="E3989" s="2">
        <f t="shared" si="606"/>
        <v>17</v>
      </c>
      <c r="F3989" s="2">
        <v>10</v>
      </c>
      <c r="G3989" s="3" t="s">
        <v>22</v>
      </c>
      <c r="H3989" s="2">
        <v>50</v>
      </c>
      <c r="I3989" s="114" t="str">
        <f t="shared" si="604"/>
        <v>565100</v>
      </c>
      <c r="J3989" s="112" t="s">
        <v>84</v>
      </c>
      <c r="K3989" s="2" t="s">
        <v>84</v>
      </c>
      <c r="L3989" s="2">
        <v>0</v>
      </c>
      <c r="M3989" s="2" t="s">
        <v>84</v>
      </c>
      <c r="N3989" s="2" t="s">
        <v>84</v>
      </c>
      <c r="O3989" s="2" t="s">
        <v>841</v>
      </c>
      <c r="P3989" s="2" t="s">
        <v>2637</v>
      </c>
    </row>
    <row r="3990" spans="1:16" ht="22" customHeight="1" x14ac:dyDescent="0.15">
      <c r="A3990" s="10" t="str">
        <f t="shared" si="603"/>
        <v>565_10_18_10_polygon</v>
      </c>
      <c r="B3990" s="2">
        <v>565</v>
      </c>
      <c r="C3990" s="30" t="str">
        <f>VLOOKUP(B3990,gachas!A:C,3)</f>
        <v>ニューフェイスピックアップ</v>
      </c>
      <c r="D3990" s="21">
        <v>10</v>
      </c>
      <c r="E3990" s="2">
        <f t="shared" si="606"/>
        <v>18</v>
      </c>
      <c r="F3990" s="2">
        <v>10</v>
      </c>
      <c r="G3990" s="3" t="s">
        <v>22</v>
      </c>
      <c r="H3990" s="2">
        <v>50</v>
      </c>
      <c r="I3990" s="114" t="str">
        <f t="shared" si="604"/>
        <v>565100</v>
      </c>
      <c r="J3990" s="112" t="s">
        <v>84</v>
      </c>
      <c r="K3990" s="117" t="str">
        <f t="shared" ref="K3990" si="611">CONCATENATE(B3990,"105")</f>
        <v>565105</v>
      </c>
      <c r="L3990" s="2">
        <v>1</v>
      </c>
      <c r="M3990" s="2" t="s">
        <v>84</v>
      </c>
      <c r="N3990" s="2" t="s">
        <v>84</v>
      </c>
      <c r="O3990" s="2" t="s">
        <v>841</v>
      </c>
      <c r="P3990" s="2" t="s">
        <v>2981</v>
      </c>
    </row>
    <row r="3991" spans="1:16" ht="22" customHeight="1" x14ac:dyDescent="0.15">
      <c r="A3991" s="10" t="str">
        <f t="shared" si="603"/>
        <v>565_10_19_10_polygon</v>
      </c>
      <c r="B3991" s="2">
        <v>565</v>
      </c>
      <c r="C3991" s="30" t="str">
        <f>VLOOKUP(B3991,gachas!A:C,3)</f>
        <v>ニューフェイスピックアップ</v>
      </c>
      <c r="D3991" s="21">
        <v>10</v>
      </c>
      <c r="E3991" s="2">
        <f t="shared" si="606"/>
        <v>19</v>
      </c>
      <c r="F3991" s="2">
        <v>10</v>
      </c>
      <c r="G3991" s="3" t="s">
        <v>22</v>
      </c>
      <c r="H3991" s="2">
        <v>50</v>
      </c>
      <c r="I3991" s="114" t="str">
        <f t="shared" si="604"/>
        <v>565100</v>
      </c>
      <c r="J3991" s="112" t="s">
        <v>84</v>
      </c>
      <c r="K3991" s="2" t="s">
        <v>84</v>
      </c>
      <c r="L3991" s="2">
        <v>0</v>
      </c>
      <c r="M3991" s="2" t="s">
        <v>84</v>
      </c>
      <c r="N3991" s="2" t="s">
        <v>84</v>
      </c>
      <c r="O3991" s="2" t="s">
        <v>841</v>
      </c>
      <c r="P3991" s="2" t="s">
        <v>2637</v>
      </c>
    </row>
    <row r="3992" spans="1:16" ht="22" customHeight="1" x14ac:dyDescent="0.15">
      <c r="A3992" s="10" t="str">
        <f t="shared" si="603"/>
        <v>565_10_20_10_polygon</v>
      </c>
      <c r="B3992" s="2">
        <v>565</v>
      </c>
      <c r="C3992" s="30" t="str">
        <f>VLOOKUP(B3992,gachas!A:C,3)</f>
        <v>ニューフェイスピックアップ</v>
      </c>
      <c r="D3992" s="21">
        <v>10</v>
      </c>
      <c r="E3992" s="2">
        <f t="shared" si="606"/>
        <v>20</v>
      </c>
      <c r="F3992" s="2">
        <v>10</v>
      </c>
      <c r="G3992" s="3" t="s">
        <v>22</v>
      </c>
      <c r="H3992" s="2">
        <v>50</v>
      </c>
      <c r="I3992" s="114" t="str">
        <f t="shared" si="604"/>
        <v>565100</v>
      </c>
      <c r="J3992" s="112" t="s">
        <v>84</v>
      </c>
      <c r="K3992" s="2" t="s">
        <v>84</v>
      </c>
      <c r="L3992" s="2">
        <v>0</v>
      </c>
      <c r="M3992" s="2" t="s">
        <v>84</v>
      </c>
      <c r="N3992" s="2" t="s">
        <v>84</v>
      </c>
      <c r="O3992" s="2" t="s">
        <v>841</v>
      </c>
      <c r="P3992" s="2" t="s">
        <v>2637</v>
      </c>
    </row>
    <row r="3993" spans="1:16" ht="22" customHeight="1" x14ac:dyDescent="0.15">
      <c r="A3993" s="10" t="str">
        <f t="shared" si="603"/>
        <v>565_10_21_10_polygon</v>
      </c>
      <c r="B3993" s="2">
        <v>565</v>
      </c>
      <c r="C3993" s="30" t="str">
        <f>VLOOKUP(B3993,gachas!A:C,3)</f>
        <v>ニューフェイスピックアップ</v>
      </c>
      <c r="D3993" s="21">
        <v>10</v>
      </c>
      <c r="E3993" s="2">
        <f t="shared" si="606"/>
        <v>21</v>
      </c>
      <c r="F3993" s="2">
        <v>10</v>
      </c>
      <c r="G3993" s="3" t="s">
        <v>22</v>
      </c>
      <c r="H3993" s="2">
        <v>50</v>
      </c>
      <c r="I3993" s="114" t="str">
        <f t="shared" si="604"/>
        <v>565100</v>
      </c>
      <c r="J3993" s="112" t="s">
        <v>84</v>
      </c>
      <c r="K3993" s="117" t="str">
        <f t="shared" ref="K3993" si="612">CONCATENATE(B3993,"105")</f>
        <v>565105</v>
      </c>
      <c r="L3993" s="2">
        <v>1</v>
      </c>
      <c r="M3993" s="2" t="s">
        <v>84</v>
      </c>
      <c r="N3993" s="2" t="s">
        <v>84</v>
      </c>
      <c r="O3993" s="2" t="s">
        <v>841</v>
      </c>
      <c r="P3993" s="2" t="s">
        <v>2981</v>
      </c>
    </row>
    <row r="3994" spans="1:16" ht="22" customHeight="1" x14ac:dyDescent="0.15">
      <c r="A3994" s="10" t="str">
        <f t="shared" si="603"/>
        <v>565_10_22_10_polygon</v>
      </c>
      <c r="B3994" s="2">
        <v>565</v>
      </c>
      <c r="C3994" s="30" t="str">
        <f>VLOOKUP(B3994,gachas!A:C,3)</f>
        <v>ニューフェイスピックアップ</v>
      </c>
      <c r="D3994" s="21">
        <v>10</v>
      </c>
      <c r="E3994" s="2">
        <f t="shared" si="606"/>
        <v>22</v>
      </c>
      <c r="F3994" s="2">
        <v>10</v>
      </c>
      <c r="G3994" s="3" t="s">
        <v>22</v>
      </c>
      <c r="H3994" s="2">
        <v>50</v>
      </c>
      <c r="I3994" s="114" t="str">
        <f t="shared" si="604"/>
        <v>565100</v>
      </c>
      <c r="J3994" s="112" t="s">
        <v>84</v>
      </c>
      <c r="K3994" s="2" t="s">
        <v>84</v>
      </c>
      <c r="L3994" s="2">
        <v>0</v>
      </c>
      <c r="M3994" s="2" t="s">
        <v>84</v>
      </c>
      <c r="N3994" s="2" t="s">
        <v>84</v>
      </c>
      <c r="O3994" s="2" t="s">
        <v>841</v>
      </c>
      <c r="P3994" s="2" t="s">
        <v>2637</v>
      </c>
    </row>
    <row r="3995" spans="1:16" ht="22" customHeight="1" x14ac:dyDescent="0.15">
      <c r="A3995" s="10" t="str">
        <f t="shared" si="603"/>
        <v>565_10_23_10_polygon</v>
      </c>
      <c r="B3995" s="2">
        <v>565</v>
      </c>
      <c r="C3995" s="30" t="str">
        <f>VLOOKUP(B3995,gachas!A:C,3)</f>
        <v>ニューフェイスピックアップ</v>
      </c>
      <c r="D3995" s="21">
        <v>10</v>
      </c>
      <c r="E3995" s="2">
        <f t="shared" si="606"/>
        <v>23</v>
      </c>
      <c r="F3995" s="2">
        <v>10</v>
      </c>
      <c r="G3995" s="3" t="s">
        <v>22</v>
      </c>
      <c r="H3995" s="2">
        <v>50</v>
      </c>
      <c r="I3995" s="114" t="str">
        <f t="shared" si="604"/>
        <v>565100</v>
      </c>
      <c r="J3995" s="112" t="s">
        <v>84</v>
      </c>
      <c r="K3995" s="2" t="s">
        <v>84</v>
      </c>
      <c r="L3995" s="2">
        <v>0</v>
      </c>
      <c r="M3995" s="2" t="s">
        <v>84</v>
      </c>
      <c r="N3995" s="2" t="s">
        <v>84</v>
      </c>
      <c r="O3995" s="2" t="s">
        <v>841</v>
      </c>
      <c r="P3995" s="2" t="s">
        <v>2637</v>
      </c>
    </row>
    <row r="3996" spans="1:16" ht="22" customHeight="1" x14ac:dyDescent="0.15">
      <c r="A3996" s="10" t="str">
        <f t="shared" si="603"/>
        <v>565_10_24_10_polygon</v>
      </c>
      <c r="B3996" s="2">
        <v>565</v>
      </c>
      <c r="C3996" s="30" t="str">
        <f>VLOOKUP(B3996,gachas!A:C,3)</f>
        <v>ニューフェイスピックアップ</v>
      </c>
      <c r="D3996" s="21">
        <v>10</v>
      </c>
      <c r="E3996" s="2">
        <f t="shared" si="606"/>
        <v>24</v>
      </c>
      <c r="F3996" s="2">
        <v>10</v>
      </c>
      <c r="G3996" s="3" t="s">
        <v>22</v>
      </c>
      <c r="H3996" s="2">
        <v>50</v>
      </c>
      <c r="I3996" s="114" t="str">
        <f t="shared" si="604"/>
        <v>565100</v>
      </c>
      <c r="J3996" s="112" t="s">
        <v>84</v>
      </c>
      <c r="K3996" s="117" t="str">
        <f t="shared" ref="K3996" si="613">CONCATENATE(B3996,"105")</f>
        <v>565105</v>
      </c>
      <c r="L3996" s="2">
        <v>1</v>
      </c>
      <c r="M3996" s="2" t="s">
        <v>84</v>
      </c>
      <c r="N3996" s="2" t="s">
        <v>84</v>
      </c>
      <c r="O3996" s="2" t="s">
        <v>841</v>
      </c>
      <c r="P3996" s="2" t="s">
        <v>2981</v>
      </c>
    </row>
    <row r="3997" spans="1:16" ht="22" customHeight="1" x14ac:dyDescent="0.15">
      <c r="A3997" s="10" t="str">
        <f t="shared" si="603"/>
        <v>565_10_25_10_polygon</v>
      </c>
      <c r="B3997" s="2">
        <v>565</v>
      </c>
      <c r="C3997" s="30" t="str">
        <f>VLOOKUP(B3997,gachas!A:C,3)</f>
        <v>ニューフェイスピックアップ</v>
      </c>
      <c r="D3997" s="21">
        <v>10</v>
      </c>
      <c r="E3997" s="2">
        <f t="shared" si="606"/>
        <v>25</v>
      </c>
      <c r="F3997" s="2">
        <v>10</v>
      </c>
      <c r="G3997" s="3" t="s">
        <v>22</v>
      </c>
      <c r="H3997" s="2">
        <v>50</v>
      </c>
      <c r="I3997" s="114" t="str">
        <f t="shared" si="604"/>
        <v>565100</v>
      </c>
      <c r="J3997" s="112" t="s">
        <v>84</v>
      </c>
      <c r="K3997" s="2" t="s">
        <v>84</v>
      </c>
      <c r="L3997" s="2">
        <v>0</v>
      </c>
      <c r="M3997" s="2" t="s">
        <v>84</v>
      </c>
      <c r="N3997" s="2" t="s">
        <v>84</v>
      </c>
      <c r="O3997" s="2" t="s">
        <v>841</v>
      </c>
      <c r="P3997" s="2" t="s">
        <v>2637</v>
      </c>
    </row>
    <row r="3998" spans="1:16" ht="22" customHeight="1" x14ac:dyDescent="0.15">
      <c r="A3998" s="10" t="str">
        <f t="shared" si="603"/>
        <v>565_10_26_10_polygon</v>
      </c>
      <c r="B3998" s="2">
        <v>565</v>
      </c>
      <c r="C3998" s="30" t="str">
        <f>VLOOKUP(B3998,gachas!A:C,3)</f>
        <v>ニューフェイスピックアップ</v>
      </c>
      <c r="D3998" s="21">
        <v>10</v>
      </c>
      <c r="E3998" s="2">
        <f t="shared" si="606"/>
        <v>26</v>
      </c>
      <c r="F3998" s="2">
        <v>10</v>
      </c>
      <c r="G3998" s="3" t="s">
        <v>22</v>
      </c>
      <c r="H3998" s="2">
        <v>50</v>
      </c>
      <c r="I3998" s="114" t="str">
        <f t="shared" si="604"/>
        <v>565100</v>
      </c>
      <c r="J3998" s="112" t="s">
        <v>84</v>
      </c>
      <c r="K3998" s="2" t="s">
        <v>84</v>
      </c>
      <c r="L3998" s="2">
        <v>0</v>
      </c>
      <c r="M3998" s="2" t="s">
        <v>84</v>
      </c>
      <c r="N3998" s="2" t="s">
        <v>84</v>
      </c>
      <c r="O3998" s="2" t="s">
        <v>841</v>
      </c>
      <c r="P3998" s="2" t="s">
        <v>2637</v>
      </c>
    </row>
    <row r="3999" spans="1:16" ht="22" customHeight="1" x14ac:dyDescent="0.15">
      <c r="A3999" s="10" t="str">
        <f t="shared" si="603"/>
        <v>565_10_27_10_polygon</v>
      </c>
      <c r="B3999" s="2">
        <v>565</v>
      </c>
      <c r="C3999" s="30" t="str">
        <f>VLOOKUP(B3999,gachas!A:C,3)</f>
        <v>ニューフェイスピックアップ</v>
      </c>
      <c r="D3999" s="21">
        <v>10</v>
      </c>
      <c r="E3999" s="2">
        <f t="shared" si="606"/>
        <v>27</v>
      </c>
      <c r="F3999" s="2">
        <v>10</v>
      </c>
      <c r="G3999" s="3" t="s">
        <v>22</v>
      </c>
      <c r="H3999" s="2">
        <v>50</v>
      </c>
      <c r="I3999" s="114" t="str">
        <f t="shared" si="604"/>
        <v>565100</v>
      </c>
      <c r="J3999" s="112" t="s">
        <v>84</v>
      </c>
      <c r="K3999" s="117" t="str">
        <f t="shared" ref="K3999" si="614">CONCATENATE(B3999,"105")</f>
        <v>565105</v>
      </c>
      <c r="L3999" s="2">
        <v>1</v>
      </c>
      <c r="M3999" s="2" t="s">
        <v>84</v>
      </c>
      <c r="N3999" s="2" t="s">
        <v>84</v>
      </c>
      <c r="O3999" s="2" t="s">
        <v>841</v>
      </c>
      <c r="P3999" s="2" t="s">
        <v>2981</v>
      </c>
    </row>
    <row r="4000" spans="1:16" ht="22" customHeight="1" x14ac:dyDescent="0.15">
      <c r="A4000" s="10" t="str">
        <f t="shared" si="603"/>
        <v>565_10_28_10_polygon</v>
      </c>
      <c r="B4000" s="2">
        <v>565</v>
      </c>
      <c r="C4000" s="30" t="str">
        <f>VLOOKUP(B4000,gachas!A:C,3)</f>
        <v>ニューフェイスピックアップ</v>
      </c>
      <c r="D4000" s="21">
        <v>10</v>
      </c>
      <c r="E4000" s="2">
        <f t="shared" si="606"/>
        <v>28</v>
      </c>
      <c r="F4000" s="2">
        <v>10</v>
      </c>
      <c r="G4000" s="3" t="s">
        <v>22</v>
      </c>
      <c r="H4000" s="2">
        <v>50</v>
      </c>
      <c r="I4000" s="114" t="str">
        <f t="shared" si="604"/>
        <v>565100</v>
      </c>
      <c r="J4000" s="112" t="s">
        <v>84</v>
      </c>
      <c r="K4000" s="2" t="s">
        <v>84</v>
      </c>
      <c r="L4000" s="2">
        <v>0</v>
      </c>
      <c r="M4000" s="2" t="s">
        <v>84</v>
      </c>
      <c r="N4000" s="2" t="s">
        <v>84</v>
      </c>
      <c r="O4000" s="2" t="s">
        <v>841</v>
      </c>
      <c r="P4000" s="2" t="s">
        <v>2637</v>
      </c>
    </row>
    <row r="4001" spans="1:16" ht="22" customHeight="1" x14ac:dyDescent="0.15">
      <c r="A4001" s="10" t="str">
        <f t="shared" si="603"/>
        <v>565_10_29_10_polygon</v>
      </c>
      <c r="B4001" s="2">
        <v>565</v>
      </c>
      <c r="C4001" s="30" t="str">
        <f>VLOOKUP(B4001,gachas!A:C,3)</f>
        <v>ニューフェイスピックアップ</v>
      </c>
      <c r="D4001" s="21">
        <v>10</v>
      </c>
      <c r="E4001" s="2">
        <f t="shared" si="606"/>
        <v>29</v>
      </c>
      <c r="F4001" s="2">
        <v>10</v>
      </c>
      <c r="G4001" s="3" t="s">
        <v>22</v>
      </c>
      <c r="H4001" s="2">
        <v>50</v>
      </c>
      <c r="I4001" s="114" t="str">
        <f t="shared" si="604"/>
        <v>565100</v>
      </c>
      <c r="J4001" s="112" t="s">
        <v>84</v>
      </c>
      <c r="K4001" s="2" t="s">
        <v>84</v>
      </c>
      <c r="L4001" s="2">
        <v>0</v>
      </c>
      <c r="M4001" s="2" t="s">
        <v>84</v>
      </c>
      <c r="N4001" s="2" t="s">
        <v>84</v>
      </c>
      <c r="O4001" s="2" t="s">
        <v>841</v>
      </c>
      <c r="P4001" s="2" t="s">
        <v>2637</v>
      </c>
    </row>
    <row r="4002" spans="1:16" ht="22" customHeight="1" x14ac:dyDescent="0.15">
      <c r="A4002" s="10" t="str">
        <f t="shared" si="603"/>
        <v>565_10_30_10_polygon</v>
      </c>
      <c r="B4002" s="2">
        <v>565</v>
      </c>
      <c r="C4002" s="30" t="str">
        <f>VLOOKUP(B4002,gachas!A:C,3)</f>
        <v>ニューフェイスピックアップ</v>
      </c>
      <c r="D4002" s="21">
        <v>10</v>
      </c>
      <c r="E4002" s="2">
        <f t="shared" si="606"/>
        <v>30</v>
      </c>
      <c r="F4002" s="2">
        <v>10</v>
      </c>
      <c r="G4002" s="3" t="s">
        <v>22</v>
      </c>
      <c r="H4002" s="2">
        <v>50</v>
      </c>
      <c r="I4002" s="114" t="str">
        <f t="shared" si="604"/>
        <v>565100</v>
      </c>
      <c r="J4002" s="112" t="s">
        <v>84</v>
      </c>
      <c r="K4002" s="117" t="str">
        <f t="shared" ref="K4002" si="615">CONCATENATE(B4002,"105")</f>
        <v>565105</v>
      </c>
      <c r="L4002" s="2">
        <v>1</v>
      </c>
      <c r="M4002" s="2" t="s">
        <v>84</v>
      </c>
      <c r="N4002" s="2" t="s">
        <v>84</v>
      </c>
      <c r="O4002" s="2" t="s">
        <v>841</v>
      </c>
      <c r="P4002" s="2" t="s">
        <v>2981</v>
      </c>
    </row>
    <row r="4003" spans="1:16" ht="22" customHeight="1" x14ac:dyDescent="0.15">
      <c r="A4003" s="10" t="str">
        <f t="shared" si="603"/>
        <v>565_10_31_10_polygon</v>
      </c>
      <c r="B4003" s="2">
        <v>565</v>
      </c>
      <c r="C4003" s="30" t="str">
        <f>VLOOKUP(B4003,gachas!A:C,3)</f>
        <v>ニューフェイスピックアップ</v>
      </c>
      <c r="D4003" s="21">
        <v>10</v>
      </c>
      <c r="E4003" s="2">
        <f t="shared" si="606"/>
        <v>31</v>
      </c>
      <c r="F4003" s="2">
        <v>10</v>
      </c>
      <c r="G4003" s="3" t="s">
        <v>22</v>
      </c>
      <c r="H4003" s="2">
        <v>50</v>
      </c>
      <c r="I4003" s="114" t="str">
        <f t="shared" si="604"/>
        <v>565100</v>
      </c>
      <c r="J4003" s="112" t="s">
        <v>84</v>
      </c>
      <c r="K4003" s="2" t="s">
        <v>84</v>
      </c>
      <c r="L4003" s="2">
        <v>0</v>
      </c>
      <c r="M4003" s="2" t="s">
        <v>84</v>
      </c>
      <c r="N4003" s="2" t="s">
        <v>84</v>
      </c>
      <c r="O4003" s="2" t="s">
        <v>841</v>
      </c>
      <c r="P4003" s="2" t="s">
        <v>2637</v>
      </c>
    </row>
    <row r="4004" spans="1:16" ht="22" customHeight="1" x14ac:dyDescent="0.15">
      <c r="A4004" s="10" t="str">
        <f t="shared" si="603"/>
        <v>565_10_32_10_polygon</v>
      </c>
      <c r="B4004" s="2">
        <v>565</v>
      </c>
      <c r="C4004" s="30" t="str">
        <f>VLOOKUP(B4004,gachas!A:C,3)</f>
        <v>ニューフェイスピックアップ</v>
      </c>
      <c r="D4004" s="21">
        <v>10</v>
      </c>
      <c r="E4004" s="2">
        <f t="shared" si="606"/>
        <v>32</v>
      </c>
      <c r="F4004" s="2">
        <v>10</v>
      </c>
      <c r="G4004" s="3" t="s">
        <v>22</v>
      </c>
      <c r="H4004" s="2">
        <v>50</v>
      </c>
      <c r="I4004" s="114" t="str">
        <f t="shared" si="604"/>
        <v>565100</v>
      </c>
      <c r="J4004" s="112" t="s">
        <v>84</v>
      </c>
      <c r="K4004" s="2" t="s">
        <v>84</v>
      </c>
      <c r="L4004" s="2">
        <v>0</v>
      </c>
      <c r="M4004" s="2" t="s">
        <v>84</v>
      </c>
      <c r="N4004" s="2" t="s">
        <v>84</v>
      </c>
      <c r="O4004" s="2" t="s">
        <v>841</v>
      </c>
      <c r="P4004" s="2" t="s">
        <v>2637</v>
      </c>
    </row>
    <row r="4005" spans="1:16" ht="22" customHeight="1" x14ac:dyDescent="0.15">
      <c r="A4005" s="10" t="str">
        <f t="shared" si="603"/>
        <v>565_10_33_10_polygon</v>
      </c>
      <c r="B4005" s="2">
        <v>565</v>
      </c>
      <c r="C4005" s="30" t="str">
        <f>VLOOKUP(B4005,gachas!A:C,3)</f>
        <v>ニューフェイスピックアップ</v>
      </c>
      <c r="D4005" s="21">
        <v>10</v>
      </c>
      <c r="E4005" s="2">
        <f t="shared" si="606"/>
        <v>33</v>
      </c>
      <c r="F4005" s="2">
        <v>10</v>
      </c>
      <c r="G4005" s="3" t="s">
        <v>22</v>
      </c>
      <c r="H4005" s="2">
        <v>50</v>
      </c>
      <c r="I4005" s="114" t="str">
        <f t="shared" si="604"/>
        <v>565100</v>
      </c>
      <c r="J4005" s="112" t="s">
        <v>84</v>
      </c>
      <c r="K4005" s="117" t="str">
        <f t="shared" ref="K4005" si="616">CONCATENATE(B4005,"105")</f>
        <v>565105</v>
      </c>
      <c r="L4005" s="2">
        <v>1</v>
      </c>
      <c r="M4005" s="2" t="s">
        <v>84</v>
      </c>
      <c r="N4005" s="2" t="s">
        <v>84</v>
      </c>
      <c r="O4005" s="2" t="s">
        <v>841</v>
      </c>
      <c r="P4005" s="2" t="s">
        <v>2981</v>
      </c>
    </row>
    <row r="4006" spans="1:16" ht="22" customHeight="1" x14ac:dyDescent="0.15">
      <c r="A4006" s="10" t="str">
        <f t="shared" si="603"/>
        <v>565_10_34_10_polygon</v>
      </c>
      <c r="B4006" s="2">
        <v>565</v>
      </c>
      <c r="C4006" s="30" t="str">
        <f>VLOOKUP(B4006,gachas!A:C,3)</f>
        <v>ニューフェイスピックアップ</v>
      </c>
      <c r="D4006" s="21">
        <v>10</v>
      </c>
      <c r="E4006" s="2">
        <f t="shared" si="606"/>
        <v>34</v>
      </c>
      <c r="F4006" s="2">
        <v>10</v>
      </c>
      <c r="G4006" s="3" t="s">
        <v>22</v>
      </c>
      <c r="H4006" s="2">
        <v>50</v>
      </c>
      <c r="I4006" s="114" t="str">
        <f t="shared" si="604"/>
        <v>565100</v>
      </c>
      <c r="J4006" s="112" t="s">
        <v>84</v>
      </c>
      <c r="K4006" s="2" t="s">
        <v>84</v>
      </c>
      <c r="L4006" s="2">
        <v>0</v>
      </c>
      <c r="M4006" s="2" t="s">
        <v>84</v>
      </c>
      <c r="N4006" s="2" t="s">
        <v>84</v>
      </c>
      <c r="O4006" s="2" t="s">
        <v>841</v>
      </c>
      <c r="P4006" s="2" t="s">
        <v>2637</v>
      </c>
    </row>
    <row r="4007" spans="1:16" ht="22" customHeight="1" x14ac:dyDescent="0.15">
      <c r="A4007" s="10" t="str">
        <f t="shared" si="603"/>
        <v>565_10_35_10_polygon</v>
      </c>
      <c r="B4007" s="2">
        <v>565</v>
      </c>
      <c r="C4007" s="30" t="str">
        <f>VLOOKUP(B4007,gachas!A:C,3)</f>
        <v>ニューフェイスピックアップ</v>
      </c>
      <c r="D4007" s="21">
        <v>10</v>
      </c>
      <c r="E4007" s="2">
        <f t="shared" si="606"/>
        <v>35</v>
      </c>
      <c r="F4007" s="2">
        <v>10</v>
      </c>
      <c r="G4007" s="3" t="s">
        <v>22</v>
      </c>
      <c r="H4007" s="2">
        <v>50</v>
      </c>
      <c r="I4007" s="114" t="str">
        <f t="shared" si="604"/>
        <v>565100</v>
      </c>
      <c r="J4007" s="112" t="s">
        <v>84</v>
      </c>
      <c r="K4007" s="2" t="s">
        <v>84</v>
      </c>
      <c r="L4007" s="2">
        <v>0</v>
      </c>
      <c r="M4007" s="2" t="s">
        <v>84</v>
      </c>
      <c r="N4007" s="2" t="s">
        <v>84</v>
      </c>
      <c r="O4007" s="2" t="s">
        <v>841</v>
      </c>
      <c r="P4007" s="2" t="s">
        <v>2637</v>
      </c>
    </row>
    <row r="4008" spans="1:16" ht="22" customHeight="1" x14ac:dyDescent="0.15">
      <c r="A4008" s="10" t="str">
        <f t="shared" si="603"/>
        <v>565_10_36_10_polygon</v>
      </c>
      <c r="B4008" s="2">
        <v>565</v>
      </c>
      <c r="C4008" s="30" t="str">
        <f>VLOOKUP(B4008,gachas!A:C,3)</f>
        <v>ニューフェイスピックアップ</v>
      </c>
      <c r="D4008" s="21">
        <v>10</v>
      </c>
      <c r="E4008" s="2">
        <f t="shared" si="606"/>
        <v>36</v>
      </c>
      <c r="F4008" s="2">
        <v>10</v>
      </c>
      <c r="G4008" s="3" t="s">
        <v>22</v>
      </c>
      <c r="H4008" s="2">
        <v>50</v>
      </c>
      <c r="I4008" s="114" t="str">
        <f t="shared" si="604"/>
        <v>565100</v>
      </c>
      <c r="J4008" s="112" t="s">
        <v>84</v>
      </c>
      <c r="K4008" s="117" t="str">
        <f t="shared" ref="K4008" si="617">CONCATENATE(B4008,"105")</f>
        <v>565105</v>
      </c>
      <c r="L4008" s="2">
        <v>1</v>
      </c>
      <c r="M4008" s="2" t="s">
        <v>84</v>
      </c>
      <c r="N4008" s="2" t="s">
        <v>84</v>
      </c>
      <c r="O4008" s="2" t="s">
        <v>841</v>
      </c>
      <c r="P4008" s="2" t="s">
        <v>2981</v>
      </c>
    </row>
    <row r="4009" spans="1:16" ht="22" customHeight="1" x14ac:dyDescent="0.15">
      <c r="A4009" s="10" t="str">
        <f t="shared" si="603"/>
        <v>565_10_37_10_polygon</v>
      </c>
      <c r="B4009" s="2">
        <v>565</v>
      </c>
      <c r="C4009" s="30" t="str">
        <f>VLOOKUP(B4009,gachas!A:C,3)</f>
        <v>ニューフェイスピックアップ</v>
      </c>
      <c r="D4009" s="21">
        <v>10</v>
      </c>
      <c r="E4009" s="2">
        <f t="shared" si="606"/>
        <v>37</v>
      </c>
      <c r="F4009" s="2">
        <v>10</v>
      </c>
      <c r="G4009" s="3" t="s">
        <v>22</v>
      </c>
      <c r="H4009" s="2">
        <v>50</v>
      </c>
      <c r="I4009" s="114" t="str">
        <f t="shared" si="604"/>
        <v>565100</v>
      </c>
      <c r="J4009" s="112" t="s">
        <v>84</v>
      </c>
      <c r="K4009" s="2" t="s">
        <v>84</v>
      </c>
      <c r="L4009" s="2">
        <v>0</v>
      </c>
      <c r="M4009" s="2" t="s">
        <v>84</v>
      </c>
      <c r="N4009" s="2" t="s">
        <v>84</v>
      </c>
      <c r="O4009" s="2" t="s">
        <v>841</v>
      </c>
      <c r="P4009" s="2" t="s">
        <v>2637</v>
      </c>
    </row>
    <row r="4010" spans="1:16" ht="22" customHeight="1" x14ac:dyDescent="0.15">
      <c r="A4010" s="10" t="str">
        <f t="shared" si="603"/>
        <v>565_10_38_10_polygon</v>
      </c>
      <c r="B4010" s="2">
        <v>565</v>
      </c>
      <c r="C4010" s="30" t="str">
        <f>VLOOKUP(B4010,gachas!A:C,3)</f>
        <v>ニューフェイスピックアップ</v>
      </c>
      <c r="D4010" s="21">
        <v>10</v>
      </c>
      <c r="E4010" s="2">
        <f t="shared" si="606"/>
        <v>38</v>
      </c>
      <c r="F4010" s="2">
        <v>10</v>
      </c>
      <c r="G4010" s="3" t="s">
        <v>22</v>
      </c>
      <c r="H4010" s="2">
        <v>50</v>
      </c>
      <c r="I4010" s="114" t="str">
        <f t="shared" si="604"/>
        <v>565100</v>
      </c>
      <c r="J4010" s="112" t="s">
        <v>84</v>
      </c>
      <c r="K4010" s="2" t="s">
        <v>84</v>
      </c>
      <c r="L4010" s="2">
        <v>0</v>
      </c>
      <c r="M4010" s="2" t="s">
        <v>84</v>
      </c>
      <c r="N4010" s="2" t="s">
        <v>84</v>
      </c>
      <c r="O4010" s="2" t="s">
        <v>841</v>
      </c>
      <c r="P4010" s="2" t="s">
        <v>2637</v>
      </c>
    </row>
    <row r="4011" spans="1:16" ht="22" customHeight="1" x14ac:dyDescent="0.15">
      <c r="A4011" s="10" t="str">
        <f t="shared" si="603"/>
        <v>565_10_39_10_polygon</v>
      </c>
      <c r="B4011" s="2">
        <v>565</v>
      </c>
      <c r="C4011" s="30" t="str">
        <f>VLOOKUP(B4011,gachas!A:C,3)</f>
        <v>ニューフェイスピックアップ</v>
      </c>
      <c r="D4011" s="21">
        <v>10</v>
      </c>
      <c r="E4011" s="2">
        <f t="shared" si="606"/>
        <v>39</v>
      </c>
      <c r="F4011" s="2">
        <v>10</v>
      </c>
      <c r="G4011" s="3" t="s">
        <v>22</v>
      </c>
      <c r="H4011" s="2">
        <v>50</v>
      </c>
      <c r="I4011" s="114" t="str">
        <f t="shared" si="604"/>
        <v>565100</v>
      </c>
      <c r="J4011" s="112" t="s">
        <v>84</v>
      </c>
      <c r="K4011" s="117" t="str">
        <f t="shared" ref="K4011" si="618">CONCATENATE(B4011,"105")</f>
        <v>565105</v>
      </c>
      <c r="L4011" s="2">
        <v>1</v>
      </c>
      <c r="M4011" s="2" t="s">
        <v>84</v>
      </c>
      <c r="N4011" s="2" t="s">
        <v>84</v>
      </c>
      <c r="O4011" s="2" t="s">
        <v>841</v>
      </c>
      <c r="P4011" s="2" t="s">
        <v>2981</v>
      </c>
    </row>
    <row r="4012" spans="1:16" ht="22" customHeight="1" x14ac:dyDescent="0.15">
      <c r="A4012" s="10" t="str">
        <f t="shared" si="603"/>
        <v>565_10_40_10_polygon</v>
      </c>
      <c r="B4012" s="2">
        <v>565</v>
      </c>
      <c r="C4012" s="30" t="str">
        <f>VLOOKUP(B4012,gachas!A:C,3)</f>
        <v>ニューフェイスピックアップ</v>
      </c>
      <c r="D4012" s="21">
        <v>10</v>
      </c>
      <c r="E4012" s="2">
        <f t="shared" si="606"/>
        <v>40</v>
      </c>
      <c r="F4012" s="2">
        <v>10</v>
      </c>
      <c r="G4012" s="3" t="s">
        <v>22</v>
      </c>
      <c r="H4012" s="2">
        <v>50</v>
      </c>
      <c r="I4012" s="114" t="str">
        <f t="shared" si="604"/>
        <v>565100</v>
      </c>
      <c r="J4012" s="112" t="s">
        <v>84</v>
      </c>
      <c r="K4012" s="2" t="s">
        <v>84</v>
      </c>
      <c r="L4012" s="2">
        <v>0</v>
      </c>
      <c r="M4012" s="2" t="s">
        <v>84</v>
      </c>
      <c r="N4012" s="2" t="s">
        <v>84</v>
      </c>
      <c r="O4012" s="2" t="s">
        <v>841</v>
      </c>
      <c r="P4012" s="2" t="s">
        <v>2637</v>
      </c>
    </row>
    <row r="4013" spans="1:16" ht="22" customHeight="1" x14ac:dyDescent="0.15">
      <c r="A4013" s="10" t="str">
        <f t="shared" si="603"/>
        <v>565_10_41_10_polygon</v>
      </c>
      <c r="B4013" s="2">
        <v>565</v>
      </c>
      <c r="C4013" s="30" t="str">
        <f>VLOOKUP(B4013,gachas!A:C,3)</f>
        <v>ニューフェイスピックアップ</v>
      </c>
      <c r="D4013" s="21">
        <v>10</v>
      </c>
      <c r="E4013" s="2">
        <f t="shared" si="606"/>
        <v>41</v>
      </c>
      <c r="F4013" s="2">
        <v>10</v>
      </c>
      <c r="G4013" s="3" t="s">
        <v>22</v>
      </c>
      <c r="H4013" s="2">
        <v>50</v>
      </c>
      <c r="I4013" s="114" t="str">
        <f t="shared" si="604"/>
        <v>565100</v>
      </c>
      <c r="J4013" s="112" t="s">
        <v>84</v>
      </c>
      <c r="K4013" s="2" t="s">
        <v>84</v>
      </c>
      <c r="L4013" s="2">
        <v>0</v>
      </c>
      <c r="M4013" s="2" t="s">
        <v>84</v>
      </c>
      <c r="N4013" s="2" t="s">
        <v>84</v>
      </c>
      <c r="O4013" s="2" t="s">
        <v>841</v>
      </c>
      <c r="P4013" s="2" t="s">
        <v>2637</v>
      </c>
    </row>
    <row r="4014" spans="1:16" ht="22" customHeight="1" x14ac:dyDescent="0.15">
      <c r="A4014" s="10" t="str">
        <f t="shared" si="603"/>
        <v>565_10_42_10_polygon</v>
      </c>
      <c r="B4014" s="2">
        <v>565</v>
      </c>
      <c r="C4014" s="30" t="str">
        <f>VLOOKUP(B4014,gachas!A:C,3)</f>
        <v>ニューフェイスピックアップ</v>
      </c>
      <c r="D4014" s="21">
        <v>10</v>
      </c>
      <c r="E4014" s="2">
        <f t="shared" si="606"/>
        <v>42</v>
      </c>
      <c r="F4014" s="2">
        <v>10</v>
      </c>
      <c r="G4014" s="3" t="s">
        <v>22</v>
      </c>
      <c r="H4014" s="2">
        <v>50</v>
      </c>
      <c r="I4014" s="114" t="str">
        <f t="shared" si="604"/>
        <v>565100</v>
      </c>
      <c r="J4014" s="112" t="s">
        <v>84</v>
      </c>
      <c r="K4014" s="117" t="str">
        <f t="shared" ref="K4014" si="619">CONCATENATE(B4014,"105")</f>
        <v>565105</v>
      </c>
      <c r="L4014" s="2">
        <v>1</v>
      </c>
      <c r="M4014" s="2" t="s">
        <v>84</v>
      </c>
      <c r="N4014" s="2" t="s">
        <v>84</v>
      </c>
      <c r="O4014" s="2" t="s">
        <v>841</v>
      </c>
      <c r="P4014" s="2" t="s">
        <v>2981</v>
      </c>
    </row>
    <row r="4015" spans="1:16" ht="22" customHeight="1" x14ac:dyDescent="0.15">
      <c r="A4015" s="10" t="str">
        <f t="shared" si="603"/>
        <v>565_10_43_10_polygon</v>
      </c>
      <c r="B4015" s="2">
        <v>565</v>
      </c>
      <c r="C4015" s="30" t="str">
        <f>VLOOKUP(B4015,gachas!A:C,3)</f>
        <v>ニューフェイスピックアップ</v>
      </c>
      <c r="D4015" s="21">
        <v>10</v>
      </c>
      <c r="E4015" s="2">
        <f t="shared" si="606"/>
        <v>43</v>
      </c>
      <c r="F4015" s="2">
        <v>10</v>
      </c>
      <c r="G4015" s="3" t="s">
        <v>22</v>
      </c>
      <c r="H4015" s="2">
        <v>50</v>
      </c>
      <c r="I4015" s="114" t="str">
        <f t="shared" si="604"/>
        <v>565100</v>
      </c>
      <c r="J4015" s="112" t="s">
        <v>84</v>
      </c>
      <c r="K4015" s="2" t="s">
        <v>84</v>
      </c>
      <c r="L4015" s="2">
        <v>0</v>
      </c>
      <c r="M4015" s="2" t="s">
        <v>84</v>
      </c>
      <c r="N4015" s="2" t="s">
        <v>84</v>
      </c>
      <c r="O4015" s="2" t="s">
        <v>841</v>
      </c>
      <c r="P4015" s="2" t="s">
        <v>2637</v>
      </c>
    </row>
    <row r="4016" spans="1:16" ht="22" customHeight="1" x14ac:dyDescent="0.15">
      <c r="A4016" s="10" t="str">
        <f t="shared" si="603"/>
        <v>565_10_44_10_polygon</v>
      </c>
      <c r="B4016" s="2">
        <v>565</v>
      </c>
      <c r="C4016" s="30" t="str">
        <f>VLOOKUP(B4016,gachas!A:C,3)</f>
        <v>ニューフェイスピックアップ</v>
      </c>
      <c r="D4016" s="21">
        <v>10</v>
      </c>
      <c r="E4016" s="2">
        <f t="shared" si="606"/>
        <v>44</v>
      </c>
      <c r="F4016" s="2">
        <v>10</v>
      </c>
      <c r="G4016" s="3" t="s">
        <v>22</v>
      </c>
      <c r="H4016" s="2">
        <v>50</v>
      </c>
      <c r="I4016" s="114" t="str">
        <f t="shared" si="604"/>
        <v>565100</v>
      </c>
      <c r="J4016" s="112" t="s">
        <v>84</v>
      </c>
      <c r="K4016" s="2" t="s">
        <v>84</v>
      </c>
      <c r="L4016" s="2">
        <v>0</v>
      </c>
      <c r="M4016" s="2" t="s">
        <v>84</v>
      </c>
      <c r="N4016" s="2" t="s">
        <v>84</v>
      </c>
      <c r="O4016" s="2" t="s">
        <v>841</v>
      </c>
      <c r="P4016" s="2" t="s">
        <v>2637</v>
      </c>
    </row>
    <row r="4017" spans="1:16" ht="22" customHeight="1" x14ac:dyDescent="0.15">
      <c r="A4017" s="10" t="str">
        <f t="shared" si="603"/>
        <v>565_10_45_10_polygon</v>
      </c>
      <c r="B4017" s="2">
        <v>565</v>
      </c>
      <c r="C4017" s="30" t="str">
        <f>VLOOKUP(B4017,gachas!A:C,3)</f>
        <v>ニューフェイスピックアップ</v>
      </c>
      <c r="D4017" s="21">
        <v>10</v>
      </c>
      <c r="E4017" s="2">
        <f t="shared" si="606"/>
        <v>45</v>
      </c>
      <c r="F4017" s="2">
        <v>10</v>
      </c>
      <c r="G4017" s="3" t="s">
        <v>22</v>
      </c>
      <c r="H4017" s="2">
        <v>50</v>
      </c>
      <c r="I4017" s="114" t="str">
        <f t="shared" si="604"/>
        <v>565100</v>
      </c>
      <c r="J4017" s="112" t="s">
        <v>84</v>
      </c>
      <c r="K4017" s="117" t="str">
        <f t="shared" ref="K4017" si="620">CONCATENATE(B4017,"105")</f>
        <v>565105</v>
      </c>
      <c r="L4017" s="2">
        <v>1</v>
      </c>
      <c r="M4017" s="2" t="s">
        <v>84</v>
      </c>
      <c r="N4017" s="2" t="s">
        <v>84</v>
      </c>
      <c r="O4017" s="2" t="s">
        <v>841</v>
      </c>
      <c r="P4017" s="2" t="s">
        <v>2981</v>
      </c>
    </row>
    <row r="4018" spans="1:16" ht="22" customHeight="1" x14ac:dyDescent="0.15">
      <c r="A4018" s="10" t="str">
        <f t="shared" si="603"/>
        <v>565_10_46_10_polygon</v>
      </c>
      <c r="B4018" s="2">
        <v>565</v>
      </c>
      <c r="C4018" s="30" t="str">
        <f>VLOOKUP(B4018,gachas!A:C,3)</f>
        <v>ニューフェイスピックアップ</v>
      </c>
      <c r="D4018" s="21">
        <v>10</v>
      </c>
      <c r="E4018" s="2">
        <f t="shared" si="606"/>
        <v>46</v>
      </c>
      <c r="F4018" s="2">
        <v>10</v>
      </c>
      <c r="G4018" s="3" t="s">
        <v>22</v>
      </c>
      <c r="H4018" s="2">
        <v>50</v>
      </c>
      <c r="I4018" s="114" t="str">
        <f t="shared" si="604"/>
        <v>565100</v>
      </c>
      <c r="J4018" s="112" t="s">
        <v>84</v>
      </c>
      <c r="K4018" s="2" t="s">
        <v>84</v>
      </c>
      <c r="L4018" s="2">
        <v>0</v>
      </c>
      <c r="M4018" s="2" t="s">
        <v>84</v>
      </c>
      <c r="N4018" s="2" t="s">
        <v>84</v>
      </c>
      <c r="O4018" s="2" t="s">
        <v>841</v>
      </c>
      <c r="P4018" s="2" t="s">
        <v>2637</v>
      </c>
    </row>
    <row r="4019" spans="1:16" ht="22" customHeight="1" x14ac:dyDescent="0.15">
      <c r="A4019" s="10" t="str">
        <f t="shared" si="603"/>
        <v>565_10_47_10_polygon</v>
      </c>
      <c r="B4019" s="2">
        <v>565</v>
      </c>
      <c r="C4019" s="30" t="str">
        <f>VLOOKUP(B4019,gachas!A:C,3)</f>
        <v>ニューフェイスピックアップ</v>
      </c>
      <c r="D4019" s="21">
        <v>10</v>
      </c>
      <c r="E4019" s="2">
        <f t="shared" si="606"/>
        <v>47</v>
      </c>
      <c r="F4019" s="2">
        <v>10</v>
      </c>
      <c r="G4019" s="3" t="s">
        <v>22</v>
      </c>
      <c r="H4019" s="2">
        <v>50</v>
      </c>
      <c r="I4019" s="114" t="str">
        <f t="shared" si="604"/>
        <v>565100</v>
      </c>
      <c r="J4019" s="112" t="s">
        <v>84</v>
      </c>
      <c r="K4019" s="2" t="s">
        <v>84</v>
      </c>
      <c r="L4019" s="2">
        <v>0</v>
      </c>
      <c r="M4019" s="2" t="s">
        <v>84</v>
      </c>
      <c r="N4019" s="2" t="s">
        <v>84</v>
      </c>
      <c r="O4019" s="2" t="s">
        <v>841</v>
      </c>
      <c r="P4019" s="2" t="s">
        <v>2637</v>
      </c>
    </row>
    <row r="4020" spans="1:16" ht="22" customHeight="1" x14ac:dyDescent="0.15">
      <c r="A4020" s="10" t="str">
        <f t="shared" si="603"/>
        <v>565_10_48_10_polygon</v>
      </c>
      <c r="B4020" s="2">
        <v>565</v>
      </c>
      <c r="C4020" s="30" t="str">
        <f>VLOOKUP(B4020,gachas!A:C,3)</f>
        <v>ニューフェイスピックアップ</v>
      </c>
      <c r="D4020" s="21">
        <v>10</v>
      </c>
      <c r="E4020" s="2">
        <f t="shared" si="606"/>
        <v>48</v>
      </c>
      <c r="F4020" s="2">
        <v>10</v>
      </c>
      <c r="G4020" s="3" t="s">
        <v>22</v>
      </c>
      <c r="H4020" s="2">
        <v>50</v>
      </c>
      <c r="I4020" s="114" t="str">
        <f t="shared" si="604"/>
        <v>565100</v>
      </c>
      <c r="J4020" s="112" t="s">
        <v>84</v>
      </c>
      <c r="K4020" s="117" t="str">
        <f t="shared" ref="K4020" si="621">CONCATENATE(B4020,"105")</f>
        <v>565105</v>
      </c>
      <c r="L4020" s="2">
        <v>1</v>
      </c>
      <c r="M4020" s="2" t="s">
        <v>84</v>
      </c>
      <c r="N4020" s="2" t="s">
        <v>84</v>
      </c>
      <c r="O4020" s="2" t="s">
        <v>841</v>
      </c>
      <c r="P4020" s="2" t="s">
        <v>2981</v>
      </c>
    </row>
    <row r="4021" spans="1:16" ht="22" customHeight="1" x14ac:dyDescent="0.15">
      <c r="A4021" s="10" t="str">
        <f t="shared" si="603"/>
        <v>565_10_49_10_polygon</v>
      </c>
      <c r="B4021" s="2">
        <v>565</v>
      </c>
      <c r="C4021" s="30" t="str">
        <f>VLOOKUP(B4021,gachas!A:C,3)</f>
        <v>ニューフェイスピックアップ</v>
      </c>
      <c r="D4021" s="21">
        <v>10</v>
      </c>
      <c r="E4021" s="2">
        <f t="shared" si="606"/>
        <v>49</v>
      </c>
      <c r="F4021" s="2">
        <v>10</v>
      </c>
      <c r="G4021" s="3" t="s">
        <v>22</v>
      </c>
      <c r="H4021" s="2">
        <v>50</v>
      </c>
      <c r="I4021" s="114" t="str">
        <f t="shared" si="604"/>
        <v>565100</v>
      </c>
      <c r="J4021" s="112" t="s">
        <v>84</v>
      </c>
      <c r="K4021" s="2" t="s">
        <v>84</v>
      </c>
      <c r="L4021" s="2">
        <v>0</v>
      </c>
      <c r="M4021" s="2" t="s">
        <v>84</v>
      </c>
      <c r="N4021" s="2" t="s">
        <v>84</v>
      </c>
      <c r="O4021" s="2" t="s">
        <v>841</v>
      </c>
      <c r="P4021" s="2" t="s">
        <v>2637</v>
      </c>
    </row>
    <row r="4022" spans="1:16" ht="22" customHeight="1" x14ac:dyDescent="0.15">
      <c r="A4022" s="10" t="str">
        <f t="shared" si="603"/>
        <v>565_10_50_10_polygon</v>
      </c>
      <c r="B4022" s="2">
        <v>565</v>
      </c>
      <c r="C4022" s="30" t="str">
        <f>VLOOKUP(B4022,gachas!A:C,3)</f>
        <v>ニューフェイスピックアップ</v>
      </c>
      <c r="D4022" s="21">
        <v>10</v>
      </c>
      <c r="E4022" s="2">
        <f t="shared" si="606"/>
        <v>50</v>
      </c>
      <c r="F4022" s="2">
        <v>10</v>
      </c>
      <c r="G4022" s="3" t="s">
        <v>22</v>
      </c>
      <c r="H4022" s="2">
        <v>50</v>
      </c>
      <c r="I4022" s="114" t="str">
        <f t="shared" si="604"/>
        <v>565100</v>
      </c>
      <c r="J4022" s="112" t="s">
        <v>84</v>
      </c>
      <c r="K4022" s="2" t="s">
        <v>84</v>
      </c>
      <c r="L4022" s="2">
        <v>0</v>
      </c>
      <c r="M4022" s="2" t="s">
        <v>84</v>
      </c>
      <c r="N4022" s="2" t="s">
        <v>84</v>
      </c>
      <c r="O4022" s="2" t="s">
        <v>841</v>
      </c>
      <c r="P4022" s="2" t="s">
        <v>2637</v>
      </c>
    </row>
    <row r="4023" spans="1:16" ht="22" customHeight="1" x14ac:dyDescent="0.15">
      <c r="A4023" s="10" t="str">
        <f t="shared" si="603"/>
        <v>565_10_51_10_polygon</v>
      </c>
      <c r="B4023" s="2">
        <v>565</v>
      </c>
      <c r="C4023" s="30" t="str">
        <f>VLOOKUP(B4023,gachas!A:C,3)</f>
        <v>ニューフェイスピックアップ</v>
      </c>
      <c r="D4023" s="21">
        <v>10</v>
      </c>
      <c r="E4023" s="2">
        <f t="shared" si="606"/>
        <v>51</v>
      </c>
      <c r="F4023" s="2">
        <v>10</v>
      </c>
      <c r="G4023" s="3" t="s">
        <v>22</v>
      </c>
      <c r="H4023" s="2">
        <v>50</v>
      </c>
      <c r="I4023" s="114" t="str">
        <f t="shared" si="604"/>
        <v>565100</v>
      </c>
      <c r="J4023" s="112" t="s">
        <v>84</v>
      </c>
      <c r="K4023" s="117" t="str">
        <f t="shared" ref="K4023" si="622">CONCATENATE(B4023,"105")</f>
        <v>565105</v>
      </c>
      <c r="L4023" s="2">
        <v>1</v>
      </c>
      <c r="M4023" s="2" t="s">
        <v>84</v>
      </c>
      <c r="N4023" s="2" t="s">
        <v>84</v>
      </c>
      <c r="O4023" s="2" t="s">
        <v>841</v>
      </c>
      <c r="P4023" s="2" t="s">
        <v>2981</v>
      </c>
    </row>
    <row r="4024" spans="1:16" ht="22" customHeight="1" x14ac:dyDescent="0.15">
      <c r="A4024" s="10" t="str">
        <f t="shared" si="603"/>
        <v>565_10_52_10_polygon</v>
      </c>
      <c r="B4024" s="2">
        <v>565</v>
      </c>
      <c r="C4024" s="30" t="str">
        <f>VLOOKUP(B4024,gachas!A:C,3)</f>
        <v>ニューフェイスピックアップ</v>
      </c>
      <c r="D4024" s="21">
        <v>10</v>
      </c>
      <c r="E4024" s="2">
        <f t="shared" si="606"/>
        <v>52</v>
      </c>
      <c r="F4024" s="2">
        <v>10</v>
      </c>
      <c r="G4024" s="3" t="s">
        <v>22</v>
      </c>
      <c r="H4024" s="2">
        <v>50</v>
      </c>
      <c r="I4024" s="114" t="str">
        <f t="shared" si="604"/>
        <v>565100</v>
      </c>
      <c r="J4024" s="112" t="s">
        <v>84</v>
      </c>
      <c r="K4024" s="2" t="s">
        <v>84</v>
      </c>
      <c r="L4024" s="2">
        <v>0</v>
      </c>
      <c r="M4024" s="2" t="s">
        <v>84</v>
      </c>
      <c r="N4024" s="2" t="s">
        <v>84</v>
      </c>
      <c r="O4024" s="2" t="s">
        <v>841</v>
      </c>
      <c r="P4024" s="2" t="s">
        <v>2637</v>
      </c>
    </row>
    <row r="4025" spans="1:16" ht="22" customHeight="1" x14ac:dyDescent="0.15">
      <c r="A4025" s="10" t="str">
        <f t="shared" si="603"/>
        <v>565_10_53_10_polygon</v>
      </c>
      <c r="B4025" s="2">
        <v>565</v>
      </c>
      <c r="C4025" s="30" t="str">
        <f>VLOOKUP(B4025,gachas!A:C,3)</f>
        <v>ニューフェイスピックアップ</v>
      </c>
      <c r="D4025" s="21">
        <v>10</v>
      </c>
      <c r="E4025" s="2">
        <f t="shared" si="606"/>
        <v>53</v>
      </c>
      <c r="F4025" s="2">
        <v>10</v>
      </c>
      <c r="G4025" s="3" t="s">
        <v>22</v>
      </c>
      <c r="H4025" s="2">
        <v>50</v>
      </c>
      <c r="I4025" s="114" t="str">
        <f t="shared" si="604"/>
        <v>565100</v>
      </c>
      <c r="J4025" s="112" t="s">
        <v>84</v>
      </c>
      <c r="K4025" s="2" t="s">
        <v>84</v>
      </c>
      <c r="L4025" s="2">
        <v>0</v>
      </c>
      <c r="M4025" s="2" t="s">
        <v>84</v>
      </c>
      <c r="N4025" s="2" t="s">
        <v>84</v>
      </c>
      <c r="O4025" s="2" t="s">
        <v>841</v>
      </c>
      <c r="P4025" s="2" t="s">
        <v>2637</v>
      </c>
    </row>
    <row r="4026" spans="1:16" ht="22" customHeight="1" x14ac:dyDescent="0.15">
      <c r="A4026" s="10" t="str">
        <f t="shared" si="603"/>
        <v>565_10_54_10_polygon</v>
      </c>
      <c r="B4026" s="2">
        <v>565</v>
      </c>
      <c r="C4026" s="30" t="str">
        <f>VLOOKUP(B4026,gachas!A:C,3)</f>
        <v>ニューフェイスピックアップ</v>
      </c>
      <c r="D4026" s="21">
        <v>10</v>
      </c>
      <c r="E4026" s="2">
        <f t="shared" si="606"/>
        <v>54</v>
      </c>
      <c r="F4026" s="2">
        <v>10</v>
      </c>
      <c r="G4026" s="3" t="s">
        <v>22</v>
      </c>
      <c r="H4026" s="2">
        <v>50</v>
      </c>
      <c r="I4026" s="114" t="str">
        <f t="shared" si="604"/>
        <v>565100</v>
      </c>
      <c r="J4026" s="112" t="s">
        <v>84</v>
      </c>
      <c r="K4026" s="117" t="str">
        <f t="shared" ref="K4026" si="623">CONCATENATE(B4026,"105")</f>
        <v>565105</v>
      </c>
      <c r="L4026" s="2">
        <v>1</v>
      </c>
      <c r="M4026" s="2" t="s">
        <v>84</v>
      </c>
      <c r="N4026" s="2" t="s">
        <v>84</v>
      </c>
      <c r="O4026" s="2" t="s">
        <v>841</v>
      </c>
      <c r="P4026" s="2" t="s">
        <v>2981</v>
      </c>
    </row>
    <row r="4027" spans="1:16" ht="22" customHeight="1" x14ac:dyDescent="0.15">
      <c r="A4027" s="10" t="str">
        <f t="shared" si="603"/>
        <v>565_10_55_10_polygon</v>
      </c>
      <c r="B4027" s="2">
        <v>565</v>
      </c>
      <c r="C4027" s="30" t="str">
        <f>VLOOKUP(B4027,gachas!A:C,3)</f>
        <v>ニューフェイスピックアップ</v>
      </c>
      <c r="D4027" s="21">
        <v>10</v>
      </c>
      <c r="E4027" s="2">
        <f t="shared" si="606"/>
        <v>55</v>
      </c>
      <c r="F4027" s="2">
        <v>10</v>
      </c>
      <c r="G4027" s="3" t="s">
        <v>22</v>
      </c>
      <c r="H4027" s="2">
        <v>50</v>
      </c>
      <c r="I4027" s="114" t="str">
        <f t="shared" si="604"/>
        <v>565100</v>
      </c>
      <c r="J4027" s="112" t="s">
        <v>84</v>
      </c>
      <c r="K4027" s="2" t="s">
        <v>84</v>
      </c>
      <c r="L4027" s="2">
        <v>0</v>
      </c>
      <c r="M4027" s="2" t="s">
        <v>84</v>
      </c>
      <c r="N4027" s="2" t="s">
        <v>84</v>
      </c>
      <c r="O4027" s="2" t="s">
        <v>841</v>
      </c>
      <c r="P4027" s="2" t="s">
        <v>2637</v>
      </c>
    </row>
    <row r="4028" spans="1:16" ht="22" customHeight="1" x14ac:dyDescent="0.15">
      <c r="A4028" s="10" t="str">
        <f t="shared" si="603"/>
        <v>565_10_56_10_polygon</v>
      </c>
      <c r="B4028" s="2">
        <v>565</v>
      </c>
      <c r="C4028" s="30" t="str">
        <f>VLOOKUP(B4028,gachas!A:C,3)</f>
        <v>ニューフェイスピックアップ</v>
      </c>
      <c r="D4028" s="21">
        <v>10</v>
      </c>
      <c r="E4028" s="2">
        <f t="shared" si="606"/>
        <v>56</v>
      </c>
      <c r="F4028" s="2">
        <v>10</v>
      </c>
      <c r="G4028" s="3" t="s">
        <v>22</v>
      </c>
      <c r="H4028" s="2">
        <v>50</v>
      </c>
      <c r="I4028" s="114" t="str">
        <f t="shared" si="604"/>
        <v>565100</v>
      </c>
      <c r="J4028" s="112" t="s">
        <v>84</v>
      </c>
      <c r="K4028" s="2" t="s">
        <v>84</v>
      </c>
      <c r="L4028" s="2">
        <v>0</v>
      </c>
      <c r="M4028" s="2" t="s">
        <v>84</v>
      </c>
      <c r="N4028" s="2" t="s">
        <v>84</v>
      </c>
      <c r="O4028" s="2" t="s">
        <v>841</v>
      </c>
      <c r="P4028" s="2" t="s">
        <v>2637</v>
      </c>
    </row>
    <row r="4029" spans="1:16" ht="22" customHeight="1" x14ac:dyDescent="0.15">
      <c r="A4029" s="10" t="str">
        <f t="shared" si="603"/>
        <v>565_10_57_10_polygon</v>
      </c>
      <c r="B4029" s="2">
        <v>565</v>
      </c>
      <c r="C4029" s="30" t="str">
        <f>VLOOKUP(B4029,gachas!A:C,3)</f>
        <v>ニューフェイスピックアップ</v>
      </c>
      <c r="D4029" s="21">
        <v>10</v>
      </c>
      <c r="E4029" s="2">
        <f t="shared" si="606"/>
        <v>57</v>
      </c>
      <c r="F4029" s="2">
        <v>10</v>
      </c>
      <c r="G4029" s="3" t="s">
        <v>22</v>
      </c>
      <c r="H4029" s="2">
        <v>50</v>
      </c>
      <c r="I4029" s="114" t="str">
        <f t="shared" si="604"/>
        <v>565100</v>
      </c>
      <c r="J4029" s="112" t="s">
        <v>84</v>
      </c>
      <c r="K4029" s="117" t="str">
        <f t="shared" ref="K4029" si="624">CONCATENATE(B4029,"105")</f>
        <v>565105</v>
      </c>
      <c r="L4029" s="2">
        <v>1</v>
      </c>
      <c r="M4029" s="2" t="s">
        <v>84</v>
      </c>
      <c r="N4029" s="2" t="s">
        <v>84</v>
      </c>
      <c r="O4029" s="2" t="s">
        <v>841</v>
      </c>
      <c r="P4029" s="2" t="s">
        <v>2981</v>
      </c>
    </row>
    <row r="4030" spans="1:16" ht="22" customHeight="1" x14ac:dyDescent="0.15">
      <c r="A4030" s="10" t="str">
        <f t="shared" si="603"/>
        <v>565_10_58_10_polygon</v>
      </c>
      <c r="B4030" s="2">
        <v>565</v>
      </c>
      <c r="C4030" s="30" t="str">
        <f>VLOOKUP(B4030,gachas!A:C,3)</f>
        <v>ニューフェイスピックアップ</v>
      </c>
      <c r="D4030" s="21">
        <v>10</v>
      </c>
      <c r="E4030" s="2">
        <f t="shared" si="606"/>
        <v>58</v>
      </c>
      <c r="F4030" s="2">
        <v>10</v>
      </c>
      <c r="G4030" s="3" t="s">
        <v>22</v>
      </c>
      <c r="H4030" s="2">
        <v>50</v>
      </c>
      <c r="I4030" s="114" t="str">
        <f t="shared" si="604"/>
        <v>565100</v>
      </c>
      <c r="J4030" s="112" t="s">
        <v>84</v>
      </c>
      <c r="K4030" s="2" t="s">
        <v>84</v>
      </c>
      <c r="L4030" s="2">
        <v>0</v>
      </c>
      <c r="M4030" s="2" t="s">
        <v>84</v>
      </c>
      <c r="N4030" s="2" t="s">
        <v>84</v>
      </c>
      <c r="O4030" s="2" t="s">
        <v>841</v>
      </c>
      <c r="P4030" s="2" t="s">
        <v>2637</v>
      </c>
    </row>
    <row r="4031" spans="1:16" ht="22" customHeight="1" x14ac:dyDescent="0.15">
      <c r="A4031" s="10" t="str">
        <f t="shared" si="603"/>
        <v>565_10_59_10_polygon</v>
      </c>
      <c r="B4031" s="2">
        <v>565</v>
      </c>
      <c r="C4031" s="30" t="str">
        <f>VLOOKUP(B4031,gachas!A:C,3)</f>
        <v>ニューフェイスピックアップ</v>
      </c>
      <c r="D4031" s="21">
        <v>10</v>
      </c>
      <c r="E4031" s="2">
        <f t="shared" si="606"/>
        <v>59</v>
      </c>
      <c r="F4031" s="2">
        <v>10</v>
      </c>
      <c r="G4031" s="3" t="s">
        <v>22</v>
      </c>
      <c r="H4031" s="2">
        <v>50</v>
      </c>
      <c r="I4031" s="114" t="str">
        <f t="shared" si="604"/>
        <v>565100</v>
      </c>
      <c r="J4031" s="112" t="s">
        <v>84</v>
      </c>
      <c r="K4031" s="2" t="s">
        <v>84</v>
      </c>
      <c r="L4031" s="2">
        <v>0</v>
      </c>
      <c r="M4031" s="2" t="s">
        <v>84</v>
      </c>
      <c r="N4031" s="2" t="s">
        <v>84</v>
      </c>
      <c r="O4031" s="2" t="s">
        <v>841</v>
      </c>
      <c r="P4031" s="2" t="s">
        <v>2637</v>
      </c>
    </row>
    <row r="4032" spans="1:16" ht="22" customHeight="1" x14ac:dyDescent="0.15">
      <c r="A4032" s="10" t="str">
        <f t="shared" si="603"/>
        <v>565_10_60_10_polygon</v>
      </c>
      <c r="B4032" s="2">
        <v>565</v>
      </c>
      <c r="C4032" s="30" t="str">
        <f>VLOOKUP(B4032,gachas!A:C,3)</f>
        <v>ニューフェイスピックアップ</v>
      </c>
      <c r="D4032" s="21">
        <v>10</v>
      </c>
      <c r="E4032" s="2">
        <f t="shared" si="606"/>
        <v>60</v>
      </c>
      <c r="F4032" s="2">
        <v>10</v>
      </c>
      <c r="G4032" s="3" t="s">
        <v>22</v>
      </c>
      <c r="H4032" s="2">
        <v>50</v>
      </c>
      <c r="I4032" s="114" t="str">
        <f t="shared" si="604"/>
        <v>565100</v>
      </c>
      <c r="J4032" s="112" t="s">
        <v>84</v>
      </c>
      <c r="K4032" s="117" t="str">
        <f t="shared" ref="K4032" si="625">CONCATENATE(B4032,"105")</f>
        <v>565105</v>
      </c>
      <c r="L4032" s="2">
        <v>1</v>
      </c>
      <c r="M4032" s="2" t="s">
        <v>84</v>
      </c>
      <c r="N4032" s="2" t="s">
        <v>84</v>
      </c>
      <c r="O4032" s="2" t="s">
        <v>841</v>
      </c>
      <c r="P4032" s="2" t="s">
        <v>2981</v>
      </c>
    </row>
    <row r="4033" spans="1:16" ht="22" customHeight="1" x14ac:dyDescent="0.15">
      <c r="A4033" s="10" t="str">
        <f t="shared" ref="A4033:A4097" si="626">B4033&amp;"_"&amp;D4033&amp;"_"&amp;E4033&amp;"_"&amp;F4033&amp;"_"&amp;G4033</f>
        <v>566_1_0_1_polygon</v>
      </c>
      <c r="B4033" s="2">
        <v>566</v>
      </c>
      <c r="C4033" s="30" t="str">
        <f>VLOOKUP(B4033,gachas!A:C,3)</f>
        <v>フィーバーフェス（1日目）</v>
      </c>
      <c r="D4033" s="21">
        <v>1</v>
      </c>
      <c r="E4033" s="2">
        <v>0</v>
      </c>
      <c r="F4033" s="2">
        <v>1</v>
      </c>
      <c r="G4033" s="3" t="s">
        <v>22</v>
      </c>
      <c r="H4033" s="2">
        <v>5</v>
      </c>
      <c r="I4033" s="114" t="str">
        <f>CONCATENATE(B4033,IF(D4033=1,"01","10"),0)</f>
        <v>566010</v>
      </c>
      <c r="J4033" s="112" t="s">
        <v>84</v>
      </c>
      <c r="K4033" s="112" t="s">
        <v>84</v>
      </c>
      <c r="L4033" s="2">
        <v>0</v>
      </c>
      <c r="M4033" s="2" t="s">
        <v>84</v>
      </c>
      <c r="N4033" s="2" t="s">
        <v>84</v>
      </c>
      <c r="O4033" s="2" t="s">
        <v>841</v>
      </c>
      <c r="P4033" s="2" t="s">
        <v>84</v>
      </c>
    </row>
    <row r="4034" spans="1:16" ht="22" customHeight="1" x14ac:dyDescent="0.15">
      <c r="A4034" s="10" t="str">
        <f t="shared" si="626"/>
        <v>566_10_0_10_polygon</v>
      </c>
      <c r="B4034" s="2">
        <v>566</v>
      </c>
      <c r="C4034" s="30" t="str">
        <f>VLOOKUP(B4034,gachas!A:C,3)</f>
        <v>フィーバーフェス（1日目）</v>
      </c>
      <c r="D4034" s="21">
        <v>10</v>
      </c>
      <c r="E4034" s="2">
        <v>0</v>
      </c>
      <c r="F4034" s="2">
        <v>10</v>
      </c>
      <c r="G4034" s="3" t="s">
        <v>22</v>
      </c>
      <c r="H4034" s="2">
        <v>50</v>
      </c>
      <c r="I4034" s="114" t="str">
        <f>CONCATENATE(B4034,IF(D4034=1,"01","10"),0)</f>
        <v>566100</v>
      </c>
      <c r="J4034" s="112" t="s">
        <v>84</v>
      </c>
      <c r="K4034" s="112" t="str">
        <f t="shared" ref="K4034:K4084" si="627">I4034</f>
        <v>566100</v>
      </c>
      <c r="L4034" s="2">
        <v>1</v>
      </c>
      <c r="M4034" s="2" t="s">
        <v>84</v>
      </c>
      <c r="N4034" s="2" t="s">
        <v>84</v>
      </c>
      <c r="O4034" s="2" t="s">
        <v>841</v>
      </c>
      <c r="P4034" s="2" t="s">
        <v>2571</v>
      </c>
    </row>
    <row r="4035" spans="1:16" ht="22" customHeight="1" x14ac:dyDescent="0.15">
      <c r="A4035" s="10" t="str">
        <f t="shared" si="626"/>
        <v>566_10_1_10_polygon</v>
      </c>
      <c r="B4035" s="2">
        <v>566</v>
      </c>
      <c r="C4035" s="30" t="str">
        <f>VLOOKUP(B4035,gachas!A:C,3)</f>
        <v>フィーバーフェス（1日目）</v>
      </c>
      <c r="D4035" s="21">
        <v>10</v>
      </c>
      <c r="E4035" s="2">
        <f>E4034+1</f>
        <v>1</v>
      </c>
      <c r="F4035" s="2">
        <v>10</v>
      </c>
      <c r="G4035" s="3" t="s">
        <v>22</v>
      </c>
      <c r="H4035" s="2">
        <v>50</v>
      </c>
      <c r="I4035" s="114" t="str">
        <f>CONCATENATE(B4035,IF(D4035=1,"01","10"),0)</f>
        <v>566100</v>
      </c>
      <c r="J4035" s="112" t="s">
        <v>84</v>
      </c>
      <c r="K4035" s="112" t="str">
        <f t="shared" si="627"/>
        <v>566100</v>
      </c>
      <c r="L4035" s="2">
        <v>1</v>
      </c>
      <c r="M4035" s="2" t="s">
        <v>84</v>
      </c>
      <c r="N4035" s="2" t="s">
        <v>84</v>
      </c>
      <c r="O4035" s="2" t="s">
        <v>841</v>
      </c>
      <c r="P4035" s="2" t="s">
        <v>2571</v>
      </c>
    </row>
    <row r="4036" spans="1:16" ht="22" customHeight="1" x14ac:dyDescent="0.15">
      <c r="A4036" s="10" t="str">
        <f t="shared" si="626"/>
        <v>566_10_2_10_polygon</v>
      </c>
      <c r="B4036" s="2">
        <v>566</v>
      </c>
      <c r="C4036" s="30" t="str">
        <f>VLOOKUP(B4036,gachas!A:C,3)</f>
        <v>フィーバーフェス（1日目）</v>
      </c>
      <c r="D4036" s="21">
        <v>10</v>
      </c>
      <c r="E4036" s="2">
        <f t="shared" ref="E4036:E4084" si="628">E4035+1</f>
        <v>2</v>
      </c>
      <c r="F4036" s="2">
        <v>10</v>
      </c>
      <c r="G4036" s="3" t="s">
        <v>22</v>
      </c>
      <c r="H4036" s="2">
        <v>50</v>
      </c>
      <c r="I4036" s="114" t="str">
        <f t="shared" ref="I4036:I4099" si="629">CONCATENATE(B4036,IF(D4036=1,"01","10"),0)</f>
        <v>566100</v>
      </c>
      <c r="J4036" s="112" t="s">
        <v>84</v>
      </c>
      <c r="K4036" s="112" t="str">
        <f t="shared" si="627"/>
        <v>566100</v>
      </c>
      <c r="L4036" s="2">
        <v>1</v>
      </c>
      <c r="M4036" s="2" t="s">
        <v>84</v>
      </c>
      <c r="N4036" s="2" t="s">
        <v>84</v>
      </c>
      <c r="O4036" s="2" t="s">
        <v>841</v>
      </c>
      <c r="P4036" s="2" t="s">
        <v>2571</v>
      </c>
    </row>
    <row r="4037" spans="1:16" ht="22" customHeight="1" x14ac:dyDescent="0.15">
      <c r="A4037" s="10" t="str">
        <f t="shared" si="626"/>
        <v>566_10_3_10_polygon</v>
      </c>
      <c r="B4037" s="2">
        <v>566</v>
      </c>
      <c r="C4037" s="30" t="str">
        <f>VLOOKUP(B4037,gachas!A:C,3)</f>
        <v>フィーバーフェス（1日目）</v>
      </c>
      <c r="D4037" s="21">
        <v>10</v>
      </c>
      <c r="E4037" s="2">
        <f t="shared" si="628"/>
        <v>3</v>
      </c>
      <c r="F4037" s="2">
        <v>10</v>
      </c>
      <c r="G4037" s="3" t="s">
        <v>22</v>
      </c>
      <c r="H4037" s="2">
        <v>50</v>
      </c>
      <c r="I4037" s="114" t="str">
        <f t="shared" si="629"/>
        <v>566100</v>
      </c>
      <c r="J4037" s="112" t="s">
        <v>84</v>
      </c>
      <c r="K4037" s="112" t="str">
        <f t="shared" si="627"/>
        <v>566100</v>
      </c>
      <c r="L4037" s="2">
        <v>1</v>
      </c>
      <c r="M4037" s="2" t="s">
        <v>84</v>
      </c>
      <c r="N4037" s="2" t="s">
        <v>84</v>
      </c>
      <c r="O4037" s="2" t="s">
        <v>841</v>
      </c>
      <c r="P4037" s="2" t="s">
        <v>2571</v>
      </c>
    </row>
    <row r="4038" spans="1:16" ht="22" customHeight="1" x14ac:dyDescent="0.15">
      <c r="A4038" s="10" t="str">
        <f t="shared" si="626"/>
        <v>566_10_4_10_polygon</v>
      </c>
      <c r="B4038" s="2">
        <v>566</v>
      </c>
      <c r="C4038" s="30" t="str">
        <f>VLOOKUP(B4038,gachas!A:C,3)</f>
        <v>フィーバーフェス（1日目）</v>
      </c>
      <c r="D4038" s="21">
        <v>10</v>
      </c>
      <c r="E4038" s="2">
        <f t="shared" si="628"/>
        <v>4</v>
      </c>
      <c r="F4038" s="2">
        <v>10</v>
      </c>
      <c r="G4038" s="3" t="s">
        <v>22</v>
      </c>
      <c r="H4038" s="2">
        <v>50</v>
      </c>
      <c r="I4038" s="114" t="str">
        <f t="shared" si="629"/>
        <v>566100</v>
      </c>
      <c r="J4038" s="112" t="s">
        <v>84</v>
      </c>
      <c r="K4038" s="112" t="str">
        <f t="shared" si="627"/>
        <v>566100</v>
      </c>
      <c r="L4038" s="2">
        <v>1</v>
      </c>
      <c r="M4038" s="2" t="s">
        <v>84</v>
      </c>
      <c r="N4038" s="2" t="s">
        <v>84</v>
      </c>
      <c r="O4038" s="2" t="s">
        <v>841</v>
      </c>
      <c r="P4038" s="2" t="s">
        <v>2571</v>
      </c>
    </row>
    <row r="4039" spans="1:16" ht="22" customHeight="1" x14ac:dyDescent="0.15">
      <c r="A4039" s="10" t="str">
        <f t="shared" si="626"/>
        <v>566_10_5_10_polygon</v>
      </c>
      <c r="B4039" s="2">
        <v>566</v>
      </c>
      <c r="C4039" s="30" t="str">
        <f>VLOOKUP(B4039,gachas!A:C,3)</f>
        <v>フィーバーフェス（1日目）</v>
      </c>
      <c r="D4039" s="21">
        <v>10</v>
      </c>
      <c r="E4039" s="2">
        <f t="shared" si="628"/>
        <v>5</v>
      </c>
      <c r="F4039" s="2">
        <v>10</v>
      </c>
      <c r="G4039" s="3" t="s">
        <v>22</v>
      </c>
      <c r="H4039" s="2">
        <v>50</v>
      </c>
      <c r="I4039" s="114" t="str">
        <f t="shared" si="629"/>
        <v>566100</v>
      </c>
      <c r="J4039" s="112" t="str">
        <f>CONCATENATE(B4039,D4039,5)</f>
        <v>566105</v>
      </c>
      <c r="K4039" s="112" t="str">
        <f t="shared" si="627"/>
        <v>566100</v>
      </c>
      <c r="L4039" s="2">
        <v>1</v>
      </c>
      <c r="M4039" s="2" t="s">
        <v>84</v>
      </c>
      <c r="N4039" s="2" t="s">
        <v>84</v>
      </c>
      <c r="O4039" s="2" t="s">
        <v>841</v>
      </c>
      <c r="P4039" s="2" t="s">
        <v>2648</v>
      </c>
    </row>
    <row r="4040" spans="1:16" ht="22" customHeight="1" x14ac:dyDescent="0.15">
      <c r="A4040" s="10" t="str">
        <f t="shared" si="626"/>
        <v>566_10_6_10_polygon</v>
      </c>
      <c r="B4040" s="2">
        <v>566</v>
      </c>
      <c r="C4040" s="30" t="str">
        <f>VLOOKUP(B4040,gachas!A:C,3)</f>
        <v>フィーバーフェス（1日目）</v>
      </c>
      <c r="D4040" s="21">
        <v>10</v>
      </c>
      <c r="E4040" s="2">
        <f t="shared" si="628"/>
        <v>6</v>
      </c>
      <c r="F4040" s="2">
        <v>10</v>
      </c>
      <c r="G4040" s="3" t="s">
        <v>22</v>
      </c>
      <c r="H4040" s="2">
        <v>50</v>
      </c>
      <c r="I4040" s="114" t="str">
        <f t="shared" si="629"/>
        <v>566100</v>
      </c>
      <c r="J4040" s="112" t="s">
        <v>84</v>
      </c>
      <c r="K4040" s="112" t="str">
        <f t="shared" si="627"/>
        <v>566100</v>
      </c>
      <c r="L4040" s="2">
        <v>1</v>
      </c>
      <c r="M4040" s="2" t="s">
        <v>84</v>
      </c>
      <c r="N4040" s="2" t="s">
        <v>84</v>
      </c>
      <c r="O4040" s="2" t="s">
        <v>841</v>
      </c>
      <c r="P4040" s="2" t="s">
        <v>2571</v>
      </c>
    </row>
    <row r="4041" spans="1:16" ht="22" customHeight="1" x14ac:dyDescent="0.15">
      <c r="A4041" s="10" t="str">
        <f t="shared" si="626"/>
        <v>566_10_7_10_polygon</v>
      </c>
      <c r="B4041" s="2">
        <v>566</v>
      </c>
      <c r="C4041" s="30" t="str">
        <f>VLOOKUP(B4041,gachas!A:C,3)</f>
        <v>フィーバーフェス（1日目）</v>
      </c>
      <c r="D4041" s="21">
        <v>10</v>
      </c>
      <c r="E4041" s="2">
        <f t="shared" si="628"/>
        <v>7</v>
      </c>
      <c r="F4041" s="2">
        <v>10</v>
      </c>
      <c r="G4041" s="3" t="s">
        <v>22</v>
      </c>
      <c r="H4041" s="2">
        <v>50</v>
      </c>
      <c r="I4041" s="114" t="str">
        <f t="shared" si="629"/>
        <v>566100</v>
      </c>
      <c r="J4041" s="112" t="s">
        <v>84</v>
      </c>
      <c r="K4041" s="112" t="str">
        <f t="shared" si="627"/>
        <v>566100</v>
      </c>
      <c r="L4041" s="2">
        <v>1</v>
      </c>
      <c r="M4041" s="2" t="s">
        <v>84</v>
      </c>
      <c r="N4041" s="2" t="s">
        <v>84</v>
      </c>
      <c r="O4041" s="2" t="s">
        <v>841</v>
      </c>
      <c r="P4041" s="2" t="s">
        <v>2571</v>
      </c>
    </row>
    <row r="4042" spans="1:16" ht="22" customHeight="1" x14ac:dyDescent="0.15">
      <c r="A4042" s="10" t="str">
        <f t="shared" si="626"/>
        <v>566_10_8_10_polygon</v>
      </c>
      <c r="B4042" s="2">
        <v>566</v>
      </c>
      <c r="C4042" s="30" t="str">
        <f>VLOOKUP(B4042,gachas!A:C,3)</f>
        <v>フィーバーフェス（1日目）</v>
      </c>
      <c r="D4042" s="21">
        <v>10</v>
      </c>
      <c r="E4042" s="2">
        <f t="shared" si="628"/>
        <v>8</v>
      </c>
      <c r="F4042" s="2">
        <v>10</v>
      </c>
      <c r="G4042" s="3" t="s">
        <v>22</v>
      </c>
      <c r="H4042" s="2">
        <v>50</v>
      </c>
      <c r="I4042" s="114" t="str">
        <f t="shared" si="629"/>
        <v>566100</v>
      </c>
      <c r="J4042" s="112" t="s">
        <v>84</v>
      </c>
      <c r="K4042" s="112" t="str">
        <f t="shared" si="627"/>
        <v>566100</v>
      </c>
      <c r="L4042" s="2">
        <v>1</v>
      </c>
      <c r="M4042" s="2" t="s">
        <v>84</v>
      </c>
      <c r="N4042" s="2" t="s">
        <v>84</v>
      </c>
      <c r="O4042" s="2" t="s">
        <v>841</v>
      </c>
      <c r="P4042" s="2" t="s">
        <v>2571</v>
      </c>
    </row>
    <row r="4043" spans="1:16" ht="22" customHeight="1" x14ac:dyDescent="0.15">
      <c r="A4043" s="10" t="str">
        <f t="shared" si="626"/>
        <v>566_10_9_10_polygon</v>
      </c>
      <c r="B4043" s="2">
        <v>566</v>
      </c>
      <c r="C4043" s="30" t="str">
        <f>VLOOKUP(B4043,gachas!A:C,3)</f>
        <v>フィーバーフェス（1日目）</v>
      </c>
      <c r="D4043" s="21">
        <v>10</v>
      </c>
      <c r="E4043" s="2">
        <f t="shared" si="628"/>
        <v>9</v>
      </c>
      <c r="F4043" s="2">
        <v>10</v>
      </c>
      <c r="G4043" s="3" t="s">
        <v>22</v>
      </c>
      <c r="H4043" s="2">
        <v>50</v>
      </c>
      <c r="I4043" s="114" t="str">
        <f t="shared" si="629"/>
        <v>566100</v>
      </c>
      <c r="J4043" s="112" t="s">
        <v>84</v>
      </c>
      <c r="K4043" s="112" t="str">
        <f t="shared" si="627"/>
        <v>566100</v>
      </c>
      <c r="L4043" s="2">
        <v>1</v>
      </c>
      <c r="M4043" s="2" t="s">
        <v>84</v>
      </c>
      <c r="N4043" s="2" t="s">
        <v>84</v>
      </c>
      <c r="O4043" s="2" t="s">
        <v>841</v>
      </c>
      <c r="P4043" s="2" t="s">
        <v>2571</v>
      </c>
    </row>
    <row r="4044" spans="1:16" ht="22" customHeight="1" x14ac:dyDescent="0.15">
      <c r="A4044" s="10" t="str">
        <f t="shared" si="626"/>
        <v>566_10_10_10_polygon</v>
      </c>
      <c r="B4044" s="2">
        <v>566</v>
      </c>
      <c r="C4044" s="30" t="str">
        <f>VLOOKUP(B4044,gachas!A:C,3)</f>
        <v>フィーバーフェス（1日目）</v>
      </c>
      <c r="D4044" s="21">
        <v>10</v>
      </c>
      <c r="E4044" s="2">
        <f t="shared" si="628"/>
        <v>10</v>
      </c>
      <c r="F4044" s="2">
        <v>10</v>
      </c>
      <c r="G4044" s="3" t="s">
        <v>22</v>
      </c>
      <c r="H4044" s="2">
        <v>50</v>
      </c>
      <c r="I4044" s="114" t="str">
        <f t="shared" si="629"/>
        <v>566100</v>
      </c>
      <c r="J4044" s="112" t="str">
        <f>CONCATENATE(B4044,D4044,5)</f>
        <v>566105</v>
      </c>
      <c r="K4044" s="112" t="str">
        <f t="shared" si="627"/>
        <v>566100</v>
      </c>
      <c r="L4044" s="2">
        <v>1</v>
      </c>
      <c r="M4044" s="2" t="s">
        <v>84</v>
      </c>
      <c r="N4044" s="2" t="s">
        <v>84</v>
      </c>
      <c r="O4044" s="2" t="s">
        <v>841</v>
      </c>
      <c r="P4044" s="2" t="s">
        <v>2648</v>
      </c>
    </row>
    <row r="4045" spans="1:16" ht="22" customHeight="1" x14ac:dyDescent="0.15">
      <c r="A4045" s="10" t="str">
        <f t="shared" si="626"/>
        <v>566_10_11_10_polygon</v>
      </c>
      <c r="B4045" s="2">
        <v>566</v>
      </c>
      <c r="C4045" s="30" t="str">
        <f>VLOOKUP(B4045,gachas!A:C,3)</f>
        <v>フィーバーフェス（1日目）</v>
      </c>
      <c r="D4045" s="21">
        <v>10</v>
      </c>
      <c r="E4045" s="2">
        <f t="shared" si="628"/>
        <v>11</v>
      </c>
      <c r="F4045" s="2">
        <v>10</v>
      </c>
      <c r="G4045" s="3" t="s">
        <v>22</v>
      </c>
      <c r="H4045" s="2">
        <v>50</v>
      </c>
      <c r="I4045" s="114" t="str">
        <f t="shared" si="629"/>
        <v>566100</v>
      </c>
      <c r="J4045" s="112" t="s">
        <v>84</v>
      </c>
      <c r="K4045" s="112" t="str">
        <f t="shared" si="627"/>
        <v>566100</v>
      </c>
      <c r="L4045" s="2">
        <v>1</v>
      </c>
      <c r="M4045" s="2" t="s">
        <v>84</v>
      </c>
      <c r="N4045" s="2" t="s">
        <v>84</v>
      </c>
      <c r="O4045" s="2" t="s">
        <v>841</v>
      </c>
      <c r="P4045" s="2" t="s">
        <v>2571</v>
      </c>
    </row>
    <row r="4046" spans="1:16" ht="22" customHeight="1" x14ac:dyDescent="0.15">
      <c r="A4046" s="10" t="str">
        <f t="shared" si="626"/>
        <v>566_10_12_10_polygon</v>
      </c>
      <c r="B4046" s="2">
        <v>566</v>
      </c>
      <c r="C4046" s="30" t="str">
        <f>VLOOKUP(B4046,gachas!A:C,3)</f>
        <v>フィーバーフェス（1日目）</v>
      </c>
      <c r="D4046" s="21">
        <v>10</v>
      </c>
      <c r="E4046" s="2">
        <f t="shared" si="628"/>
        <v>12</v>
      </c>
      <c r="F4046" s="2">
        <v>10</v>
      </c>
      <c r="G4046" s="3" t="s">
        <v>22</v>
      </c>
      <c r="H4046" s="2">
        <v>50</v>
      </c>
      <c r="I4046" s="114" t="str">
        <f t="shared" si="629"/>
        <v>566100</v>
      </c>
      <c r="J4046" s="112" t="s">
        <v>84</v>
      </c>
      <c r="K4046" s="112" t="str">
        <f t="shared" si="627"/>
        <v>566100</v>
      </c>
      <c r="L4046" s="2">
        <v>1</v>
      </c>
      <c r="M4046" s="2" t="s">
        <v>84</v>
      </c>
      <c r="N4046" s="2" t="s">
        <v>84</v>
      </c>
      <c r="O4046" s="2" t="s">
        <v>841</v>
      </c>
      <c r="P4046" s="2" t="s">
        <v>2571</v>
      </c>
    </row>
    <row r="4047" spans="1:16" ht="22" customHeight="1" x14ac:dyDescent="0.15">
      <c r="A4047" s="10" t="str">
        <f t="shared" si="626"/>
        <v>566_10_13_10_polygon</v>
      </c>
      <c r="B4047" s="2">
        <v>566</v>
      </c>
      <c r="C4047" s="30" t="str">
        <f>VLOOKUP(B4047,gachas!A:C,3)</f>
        <v>フィーバーフェス（1日目）</v>
      </c>
      <c r="D4047" s="21">
        <v>10</v>
      </c>
      <c r="E4047" s="2">
        <f t="shared" si="628"/>
        <v>13</v>
      </c>
      <c r="F4047" s="2">
        <v>10</v>
      </c>
      <c r="G4047" s="3" t="s">
        <v>22</v>
      </c>
      <c r="H4047" s="2">
        <v>50</v>
      </c>
      <c r="I4047" s="114" t="str">
        <f t="shared" si="629"/>
        <v>566100</v>
      </c>
      <c r="J4047" s="112" t="s">
        <v>84</v>
      </c>
      <c r="K4047" s="112" t="str">
        <f t="shared" si="627"/>
        <v>566100</v>
      </c>
      <c r="L4047" s="2">
        <v>1</v>
      </c>
      <c r="M4047" s="2" t="s">
        <v>84</v>
      </c>
      <c r="N4047" s="2" t="s">
        <v>84</v>
      </c>
      <c r="O4047" s="2" t="s">
        <v>841</v>
      </c>
      <c r="P4047" s="2" t="s">
        <v>2571</v>
      </c>
    </row>
    <row r="4048" spans="1:16" ht="22" customHeight="1" x14ac:dyDescent="0.15">
      <c r="A4048" s="10" t="str">
        <f t="shared" si="626"/>
        <v>566_10_14_10_polygon</v>
      </c>
      <c r="B4048" s="2">
        <v>566</v>
      </c>
      <c r="C4048" s="30" t="str">
        <f>VLOOKUP(B4048,gachas!A:C,3)</f>
        <v>フィーバーフェス（1日目）</v>
      </c>
      <c r="D4048" s="21">
        <v>10</v>
      </c>
      <c r="E4048" s="2">
        <f t="shared" si="628"/>
        <v>14</v>
      </c>
      <c r="F4048" s="2">
        <v>10</v>
      </c>
      <c r="G4048" s="3" t="s">
        <v>22</v>
      </c>
      <c r="H4048" s="2">
        <v>50</v>
      </c>
      <c r="I4048" s="114" t="str">
        <f t="shared" si="629"/>
        <v>566100</v>
      </c>
      <c r="J4048" s="112" t="s">
        <v>84</v>
      </c>
      <c r="K4048" s="112" t="str">
        <f t="shared" si="627"/>
        <v>566100</v>
      </c>
      <c r="L4048" s="2">
        <v>1</v>
      </c>
      <c r="M4048" s="2" t="s">
        <v>84</v>
      </c>
      <c r="N4048" s="2" t="s">
        <v>84</v>
      </c>
      <c r="O4048" s="2" t="s">
        <v>841</v>
      </c>
      <c r="P4048" s="2" t="s">
        <v>2571</v>
      </c>
    </row>
    <row r="4049" spans="1:16" ht="22" customHeight="1" x14ac:dyDescent="0.15">
      <c r="A4049" s="10" t="str">
        <f t="shared" si="626"/>
        <v>566_10_15_10_polygon</v>
      </c>
      <c r="B4049" s="2">
        <v>566</v>
      </c>
      <c r="C4049" s="30" t="str">
        <f>VLOOKUP(B4049,gachas!A:C,3)</f>
        <v>フィーバーフェス（1日目）</v>
      </c>
      <c r="D4049" s="21">
        <v>10</v>
      </c>
      <c r="E4049" s="2">
        <f t="shared" si="628"/>
        <v>15</v>
      </c>
      <c r="F4049" s="2">
        <v>10</v>
      </c>
      <c r="G4049" s="3" t="s">
        <v>22</v>
      </c>
      <c r="H4049" s="2">
        <v>50</v>
      </c>
      <c r="I4049" s="114" t="str">
        <f t="shared" si="629"/>
        <v>566100</v>
      </c>
      <c r="J4049" s="112" t="str">
        <f>CONCATENATE(B4049,D4049,5)</f>
        <v>566105</v>
      </c>
      <c r="K4049" s="112" t="str">
        <f t="shared" si="627"/>
        <v>566100</v>
      </c>
      <c r="L4049" s="2">
        <v>1</v>
      </c>
      <c r="M4049" s="2" t="s">
        <v>84</v>
      </c>
      <c r="N4049" s="2" t="s">
        <v>84</v>
      </c>
      <c r="O4049" s="2" t="s">
        <v>841</v>
      </c>
      <c r="P4049" s="2" t="s">
        <v>2648</v>
      </c>
    </row>
    <row r="4050" spans="1:16" ht="22" customHeight="1" x14ac:dyDescent="0.15">
      <c r="A4050" s="10" t="str">
        <f t="shared" si="626"/>
        <v>566_10_16_10_polygon</v>
      </c>
      <c r="B4050" s="2">
        <v>566</v>
      </c>
      <c r="C4050" s="30" t="str">
        <f>VLOOKUP(B4050,gachas!A:C,3)</f>
        <v>フィーバーフェス（1日目）</v>
      </c>
      <c r="D4050" s="21">
        <v>10</v>
      </c>
      <c r="E4050" s="2">
        <f t="shared" si="628"/>
        <v>16</v>
      </c>
      <c r="F4050" s="2">
        <v>10</v>
      </c>
      <c r="G4050" s="3" t="s">
        <v>22</v>
      </c>
      <c r="H4050" s="2">
        <v>50</v>
      </c>
      <c r="I4050" s="114" t="str">
        <f t="shared" si="629"/>
        <v>566100</v>
      </c>
      <c r="J4050" s="112" t="s">
        <v>84</v>
      </c>
      <c r="K4050" s="112" t="str">
        <f t="shared" si="627"/>
        <v>566100</v>
      </c>
      <c r="L4050" s="2">
        <v>1</v>
      </c>
      <c r="M4050" s="2" t="s">
        <v>84</v>
      </c>
      <c r="N4050" s="2" t="s">
        <v>84</v>
      </c>
      <c r="O4050" s="2" t="s">
        <v>841</v>
      </c>
      <c r="P4050" s="2" t="s">
        <v>2571</v>
      </c>
    </row>
    <row r="4051" spans="1:16" ht="22" customHeight="1" x14ac:dyDescent="0.15">
      <c r="A4051" s="10" t="str">
        <f t="shared" si="626"/>
        <v>566_10_17_10_polygon</v>
      </c>
      <c r="B4051" s="2">
        <v>566</v>
      </c>
      <c r="C4051" s="30" t="str">
        <f>VLOOKUP(B4051,gachas!A:C,3)</f>
        <v>フィーバーフェス（1日目）</v>
      </c>
      <c r="D4051" s="21">
        <v>10</v>
      </c>
      <c r="E4051" s="2">
        <f t="shared" si="628"/>
        <v>17</v>
      </c>
      <c r="F4051" s="2">
        <v>10</v>
      </c>
      <c r="G4051" s="3" t="s">
        <v>22</v>
      </c>
      <c r="H4051" s="2">
        <v>50</v>
      </c>
      <c r="I4051" s="114" t="str">
        <f t="shared" si="629"/>
        <v>566100</v>
      </c>
      <c r="J4051" s="112" t="s">
        <v>84</v>
      </c>
      <c r="K4051" s="112" t="str">
        <f t="shared" si="627"/>
        <v>566100</v>
      </c>
      <c r="L4051" s="2">
        <v>1</v>
      </c>
      <c r="M4051" s="2" t="s">
        <v>84</v>
      </c>
      <c r="N4051" s="2" t="s">
        <v>84</v>
      </c>
      <c r="O4051" s="2" t="s">
        <v>841</v>
      </c>
      <c r="P4051" s="2" t="s">
        <v>2571</v>
      </c>
    </row>
    <row r="4052" spans="1:16" ht="22" customHeight="1" x14ac:dyDescent="0.15">
      <c r="A4052" s="10" t="str">
        <f t="shared" si="626"/>
        <v>566_10_18_10_polygon</v>
      </c>
      <c r="B4052" s="2">
        <v>566</v>
      </c>
      <c r="C4052" s="30" t="str">
        <f>VLOOKUP(B4052,gachas!A:C,3)</f>
        <v>フィーバーフェス（1日目）</v>
      </c>
      <c r="D4052" s="21">
        <v>10</v>
      </c>
      <c r="E4052" s="2">
        <f t="shared" si="628"/>
        <v>18</v>
      </c>
      <c r="F4052" s="2">
        <v>10</v>
      </c>
      <c r="G4052" s="3" t="s">
        <v>22</v>
      </c>
      <c r="H4052" s="2">
        <v>50</v>
      </c>
      <c r="I4052" s="114" t="str">
        <f t="shared" si="629"/>
        <v>566100</v>
      </c>
      <c r="J4052" s="112" t="s">
        <v>84</v>
      </c>
      <c r="K4052" s="112" t="str">
        <f t="shared" si="627"/>
        <v>566100</v>
      </c>
      <c r="L4052" s="2">
        <v>1</v>
      </c>
      <c r="M4052" s="2" t="s">
        <v>84</v>
      </c>
      <c r="N4052" s="2" t="s">
        <v>84</v>
      </c>
      <c r="O4052" s="2" t="s">
        <v>841</v>
      </c>
      <c r="P4052" s="2" t="s">
        <v>2571</v>
      </c>
    </row>
    <row r="4053" spans="1:16" ht="22" customHeight="1" x14ac:dyDescent="0.15">
      <c r="A4053" s="10" t="str">
        <f t="shared" si="626"/>
        <v>566_10_19_10_polygon</v>
      </c>
      <c r="B4053" s="2">
        <v>566</v>
      </c>
      <c r="C4053" s="30" t="str">
        <f>VLOOKUP(B4053,gachas!A:C,3)</f>
        <v>フィーバーフェス（1日目）</v>
      </c>
      <c r="D4053" s="21">
        <v>10</v>
      </c>
      <c r="E4053" s="2">
        <f t="shared" si="628"/>
        <v>19</v>
      </c>
      <c r="F4053" s="2">
        <v>10</v>
      </c>
      <c r="G4053" s="3" t="s">
        <v>22</v>
      </c>
      <c r="H4053" s="2">
        <v>50</v>
      </c>
      <c r="I4053" s="114" t="str">
        <f t="shared" si="629"/>
        <v>566100</v>
      </c>
      <c r="J4053" s="112" t="s">
        <v>84</v>
      </c>
      <c r="K4053" s="112" t="str">
        <f t="shared" si="627"/>
        <v>566100</v>
      </c>
      <c r="L4053" s="2">
        <v>1</v>
      </c>
      <c r="M4053" s="2" t="s">
        <v>84</v>
      </c>
      <c r="N4053" s="2" t="s">
        <v>84</v>
      </c>
      <c r="O4053" s="2" t="s">
        <v>841</v>
      </c>
      <c r="P4053" s="2" t="s">
        <v>2571</v>
      </c>
    </row>
    <row r="4054" spans="1:16" ht="22" customHeight="1" x14ac:dyDescent="0.15">
      <c r="A4054" s="10" t="str">
        <f t="shared" si="626"/>
        <v>566_10_20_10_polygon</v>
      </c>
      <c r="B4054" s="2">
        <v>566</v>
      </c>
      <c r="C4054" s="30" t="str">
        <f>VLOOKUP(B4054,gachas!A:C,3)</f>
        <v>フィーバーフェス（1日目）</v>
      </c>
      <c r="D4054" s="21">
        <v>10</v>
      </c>
      <c r="E4054" s="2">
        <f t="shared" si="628"/>
        <v>20</v>
      </c>
      <c r="F4054" s="2">
        <v>10</v>
      </c>
      <c r="G4054" s="3" t="s">
        <v>22</v>
      </c>
      <c r="H4054" s="2">
        <v>50</v>
      </c>
      <c r="I4054" s="114" t="str">
        <f t="shared" si="629"/>
        <v>566100</v>
      </c>
      <c r="J4054" s="112" t="str">
        <f>CONCATENATE(B4054,D4054,5)</f>
        <v>566105</v>
      </c>
      <c r="K4054" s="112" t="str">
        <f t="shared" si="627"/>
        <v>566100</v>
      </c>
      <c r="L4054" s="2">
        <v>1</v>
      </c>
      <c r="M4054" s="2" t="s">
        <v>84</v>
      </c>
      <c r="N4054" s="2" t="s">
        <v>84</v>
      </c>
      <c r="O4054" s="2" t="s">
        <v>841</v>
      </c>
      <c r="P4054" s="2" t="s">
        <v>2648</v>
      </c>
    </row>
    <row r="4055" spans="1:16" ht="22" customHeight="1" x14ac:dyDescent="0.15">
      <c r="A4055" s="10" t="str">
        <f t="shared" si="626"/>
        <v>566_10_21_10_polygon</v>
      </c>
      <c r="B4055" s="2">
        <v>566</v>
      </c>
      <c r="C4055" s="30" t="str">
        <f>VLOOKUP(B4055,gachas!A:C,3)</f>
        <v>フィーバーフェス（1日目）</v>
      </c>
      <c r="D4055" s="21">
        <v>10</v>
      </c>
      <c r="E4055" s="2">
        <f t="shared" si="628"/>
        <v>21</v>
      </c>
      <c r="F4055" s="2">
        <v>10</v>
      </c>
      <c r="G4055" s="3" t="s">
        <v>22</v>
      </c>
      <c r="H4055" s="2">
        <v>50</v>
      </c>
      <c r="I4055" s="114" t="str">
        <f t="shared" si="629"/>
        <v>566100</v>
      </c>
      <c r="J4055" s="112" t="s">
        <v>84</v>
      </c>
      <c r="K4055" s="112" t="str">
        <f t="shared" si="627"/>
        <v>566100</v>
      </c>
      <c r="L4055" s="2">
        <v>1</v>
      </c>
      <c r="M4055" s="2" t="s">
        <v>84</v>
      </c>
      <c r="N4055" s="2" t="s">
        <v>84</v>
      </c>
      <c r="O4055" s="2" t="s">
        <v>841</v>
      </c>
      <c r="P4055" s="2" t="s">
        <v>2571</v>
      </c>
    </row>
    <row r="4056" spans="1:16" ht="22" customHeight="1" x14ac:dyDescent="0.15">
      <c r="A4056" s="10" t="str">
        <f t="shared" si="626"/>
        <v>566_10_22_10_polygon</v>
      </c>
      <c r="B4056" s="2">
        <v>566</v>
      </c>
      <c r="C4056" s="30" t="str">
        <f>VLOOKUP(B4056,gachas!A:C,3)</f>
        <v>フィーバーフェス（1日目）</v>
      </c>
      <c r="D4056" s="21">
        <v>10</v>
      </c>
      <c r="E4056" s="2">
        <f t="shared" si="628"/>
        <v>22</v>
      </c>
      <c r="F4056" s="2">
        <v>10</v>
      </c>
      <c r="G4056" s="3" t="s">
        <v>22</v>
      </c>
      <c r="H4056" s="2">
        <v>50</v>
      </c>
      <c r="I4056" s="114" t="str">
        <f t="shared" si="629"/>
        <v>566100</v>
      </c>
      <c r="J4056" s="112" t="s">
        <v>84</v>
      </c>
      <c r="K4056" s="112" t="str">
        <f t="shared" si="627"/>
        <v>566100</v>
      </c>
      <c r="L4056" s="2">
        <v>1</v>
      </c>
      <c r="M4056" s="2" t="s">
        <v>84</v>
      </c>
      <c r="N4056" s="2" t="s">
        <v>84</v>
      </c>
      <c r="O4056" s="2" t="s">
        <v>841</v>
      </c>
      <c r="P4056" s="2" t="s">
        <v>2571</v>
      </c>
    </row>
    <row r="4057" spans="1:16" ht="22" customHeight="1" x14ac:dyDescent="0.15">
      <c r="A4057" s="10" t="str">
        <f t="shared" si="626"/>
        <v>566_10_23_10_polygon</v>
      </c>
      <c r="B4057" s="2">
        <v>566</v>
      </c>
      <c r="C4057" s="30" t="str">
        <f>VLOOKUP(B4057,gachas!A:C,3)</f>
        <v>フィーバーフェス（1日目）</v>
      </c>
      <c r="D4057" s="21">
        <v>10</v>
      </c>
      <c r="E4057" s="2">
        <f t="shared" si="628"/>
        <v>23</v>
      </c>
      <c r="F4057" s="2">
        <v>10</v>
      </c>
      <c r="G4057" s="3" t="s">
        <v>22</v>
      </c>
      <c r="H4057" s="2">
        <v>50</v>
      </c>
      <c r="I4057" s="114" t="str">
        <f t="shared" si="629"/>
        <v>566100</v>
      </c>
      <c r="J4057" s="112" t="s">
        <v>84</v>
      </c>
      <c r="K4057" s="112" t="str">
        <f t="shared" si="627"/>
        <v>566100</v>
      </c>
      <c r="L4057" s="2">
        <v>1</v>
      </c>
      <c r="M4057" s="2" t="s">
        <v>84</v>
      </c>
      <c r="N4057" s="2" t="s">
        <v>84</v>
      </c>
      <c r="O4057" s="2" t="s">
        <v>841</v>
      </c>
      <c r="P4057" s="2" t="s">
        <v>2571</v>
      </c>
    </row>
    <row r="4058" spans="1:16" ht="22" customHeight="1" x14ac:dyDescent="0.15">
      <c r="A4058" s="10" t="str">
        <f t="shared" si="626"/>
        <v>566_10_24_10_polygon</v>
      </c>
      <c r="B4058" s="2">
        <v>566</v>
      </c>
      <c r="C4058" s="30" t="str">
        <f>VLOOKUP(B4058,gachas!A:C,3)</f>
        <v>フィーバーフェス（1日目）</v>
      </c>
      <c r="D4058" s="21">
        <v>10</v>
      </c>
      <c r="E4058" s="2">
        <f t="shared" si="628"/>
        <v>24</v>
      </c>
      <c r="F4058" s="2">
        <v>10</v>
      </c>
      <c r="G4058" s="3" t="s">
        <v>22</v>
      </c>
      <c r="H4058" s="2">
        <v>50</v>
      </c>
      <c r="I4058" s="114" t="str">
        <f t="shared" si="629"/>
        <v>566100</v>
      </c>
      <c r="J4058" s="112" t="s">
        <v>84</v>
      </c>
      <c r="K4058" s="112" t="str">
        <f t="shared" si="627"/>
        <v>566100</v>
      </c>
      <c r="L4058" s="2">
        <v>1</v>
      </c>
      <c r="M4058" s="2" t="s">
        <v>84</v>
      </c>
      <c r="N4058" s="2" t="s">
        <v>84</v>
      </c>
      <c r="O4058" s="2" t="s">
        <v>841</v>
      </c>
      <c r="P4058" s="2" t="s">
        <v>2571</v>
      </c>
    </row>
    <row r="4059" spans="1:16" ht="22" customHeight="1" x14ac:dyDescent="0.15">
      <c r="A4059" s="10" t="str">
        <f t="shared" si="626"/>
        <v>566_10_25_10_polygon</v>
      </c>
      <c r="B4059" s="2">
        <v>566</v>
      </c>
      <c r="C4059" s="30" t="str">
        <f>VLOOKUP(B4059,gachas!A:C,3)</f>
        <v>フィーバーフェス（1日目）</v>
      </c>
      <c r="D4059" s="21">
        <v>10</v>
      </c>
      <c r="E4059" s="2">
        <f t="shared" si="628"/>
        <v>25</v>
      </c>
      <c r="F4059" s="2">
        <v>10</v>
      </c>
      <c r="G4059" s="3" t="s">
        <v>22</v>
      </c>
      <c r="H4059" s="2">
        <v>50</v>
      </c>
      <c r="I4059" s="114" t="str">
        <f t="shared" si="629"/>
        <v>566100</v>
      </c>
      <c r="J4059" s="112" t="str">
        <f>CONCATENATE(B4059,D4059,5)</f>
        <v>566105</v>
      </c>
      <c r="K4059" s="112" t="str">
        <f t="shared" si="627"/>
        <v>566100</v>
      </c>
      <c r="L4059" s="2">
        <v>1</v>
      </c>
      <c r="M4059" s="2" t="s">
        <v>84</v>
      </c>
      <c r="N4059" s="2" t="s">
        <v>84</v>
      </c>
      <c r="O4059" s="2" t="s">
        <v>841</v>
      </c>
      <c r="P4059" s="2" t="s">
        <v>2648</v>
      </c>
    </row>
    <row r="4060" spans="1:16" ht="22" customHeight="1" x14ac:dyDescent="0.15">
      <c r="A4060" s="10" t="str">
        <f t="shared" si="626"/>
        <v>566_10_26_10_polygon</v>
      </c>
      <c r="B4060" s="2">
        <v>566</v>
      </c>
      <c r="C4060" s="30" t="str">
        <f>VLOOKUP(B4060,gachas!A:C,3)</f>
        <v>フィーバーフェス（1日目）</v>
      </c>
      <c r="D4060" s="21">
        <v>10</v>
      </c>
      <c r="E4060" s="2">
        <f t="shared" si="628"/>
        <v>26</v>
      </c>
      <c r="F4060" s="2">
        <v>10</v>
      </c>
      <c r="G4060" s="3" t="s">
        <v>22</v>
      </c>
      <c r="H4060" s="2">
        <v>50</v>
      </c>
      <c r="I4060" s="114" t="str">
        <f t="shared" si="629"/>
        <v>566100</v>
      </c>
      <c r="J4060" s="112" t="s">
        <v>84</v>
      </c>
      <c r="K4060" s="112" t="str">
        <f t="shared" si="627"/>
        <v>566100</v>
      </c>
      <c r="L4060" s="2">
        <v>1</v>
      </c>
      <c r="M4060" s="2" t="s">
        <v>84</v>
      </c>
      <c r="N4060" s="2" t="s">
        <v>84</v>
      </c>
      <c r="O4060" s="2" t="s">
        <v>841</v>
      </c>
      <c r="P4060" s="2" t="s">
        <v>2571</v>
      </c>
    </row>
    <row r="4061" spans="1:16" ht="22" customHeight="1" x14ac:dyDescent="0.15">
      <c r="A4061" s="10" t="str">
        <f t="shared" si="626"/>
        <v>566_10_27_10_polygon</v>
      </c>
      <c r="B4061" s="2">
        <v>566</v>
      </c>
      <c r="C4061" s="30" t="str">
        <f>VLOOKUP(B4061,gachas!A:C,3)</f>
        <v>フィーバーフェス（1日目）</v>
      </c>
      <c r="D4061" s="21">
        <v>10</v>
      </c>
      <c r="E4061" s="2">
        <f t="shared" si="628"/>
        <v>27</v>
      </c>
      <c r="F4061" s="2">
        <v>10</v>
      </c>
      <c r="G4061" s="3" t="s">
        <v>22</v>
      </c>
      <c r="H4061" s="2">
        <v>50</v>
      </c>
      <c r="I4061" s="114" t="str">
        <f t="shared" si="629"/>
        <v>566100</v>
      </c>
      <c r="J4061" s="112" t="s">
        <v>84</v>
      </c>
      <c r="K4061" s="112" t="str">
        <f t="shared" si="627"/>
        <v>566100</v>
      </c>
      <c r="L4061" s="2">
        <v>1</v>
      </c>
      <c r="M4061" s="2" t="s">
        <v>84</v>
      </c>
      <c r="N4061" s="2" t="s">
        <v>84</v>
      </c>
      <c r="O4061" s="2" t="s">
        <v>841</v>
      </c>
      <c r="P4061" s="2" t="s">
        <v>2571</v>
      </c>
    </row>
    <row r="4062" spans="1:16" ht="22" customHeight="1" x14ac:dyDescent="0.15">
      <c r="A4062" s="10" t="str">
        <f t="shared" si="626"/>
        <v>566_10_28_10_polygon</v>
      </c>
      <c r="B4062" s="2">
        <v>566</v>
      </c>
      <c r="C4062" s="30" t="str">
        <f>VLOOKUP(B4062,gachas!A:C,3)</f>
        <v>フィーバーフェス（1日目）</v>
      </c>
      <c r="D4062" s="21">
        <v>10</v>
      </c>
      <c r="E4062" s="2">
        <f t="shared" si="628"/>
        <v>28</v>
      </c>
      <c r="F4062" s="2">
        <v>10</v>
      </c>
      <c r="G4062" s="3" t="s">
        <v>22</v>
      </c>
      <c r="H4062" s="2">
        <v>50</v>
      </c>
      <c r="I4062" s="114" t="str">
        <f t="shared" si="629"/>
        <v>566100</v>
      </c>
      <c r="J4062" s="112" t="s">
        <v>84</v>
      </c>
      <c r="K4062" s="112" t="str">
        <f t="shared" si="627"/>
        <v>566100</v>
      </c>
      <c r="L4062" s="2">
        <v>1</v>
      </c>
      <c r="M4062" s="2" t="s">
        <v>84</v>
      </c>
      <c r="N4062" s="2" t="s">
        <v>84</v>
      </c>
      <c r="O4062" s="2" t="s">
        <v>841</v>
      </c>
      <c r="P4062" s="2" t="s">
        <v>2571</v>
      </c>
    </row>
    <row r="4063" spans="1:16" ht="22" customHeight="1" x14ac:dyDescent="0.15">
      <c r="A4063" s="10" t="str">
        <f t="shared" si="626"/>
        <v>566_10_29_10_polygon</v>
      </c>
      <c r="B4063" s="2">
        <v>566</v>
      </c>
      <c r="C4063" s="30" t="str">
        <f>VLOOKUP(B4063,gachas!A:C,3)</f>
        <v>フィーバーフェス（1日目）</v>
      </c>
      <c r="D4063" s="21">
        <v>10</v>
      </c>
      <c r="E4063" s="2">
        <f t="shared" si="628"/>
        <v>29</v>
      </c>
      <c r="F4063" s="2">
        <v>10</v>
      </c>
      <c r="G4063" s="3" t="s">
        <v>22</v>
      </c>
      <c r="H4063" s="2">
        <v>50</v>
      </c>
      <c r="I4063" s="114" t="str">
        <f t="shared" si="629"/>
        <v>566100</v>
      </c>
      <c r="J4063" s="112" t="s">
        <v>84</v>
      </c>
      <c r="K4063" s="112" t="str">
        <f t="shared" si="627"/>
        <v>566100</v>
      </c>
      <c r="L4063" s="2">
        <v>1</v>
      </c>
      <c r="M4063" s="2" t="s">
        <v>84</v>
      </c>
      <c r="N4063" s="2" t="s">
        <v>84</v>
      </c>
      <c r="O4063" s="2" t="s">
        <v>841</v>
      </c>
      <c r="P4063" s="2" t="s">
        <v>2571</v>
      </c>
    </row>
    <row r="4064" spans="1:16" ht="22" customHeight="1" x14ac:dyDescent="0.15">
      <c r="A4064" s="10" t="str">
        <f t="shared" si="626"/>
        <v>566_10_30_10_polygon</v>
      </c>
      <c r="B4064" s="2">
        <v>566</v>
      </c>
      <c r="C4064" s="30" t="str">
        <f>VLOOKUP(B4064,gachas!A:C,3)</f>
        <v>フィーバーフェス（1日目）</v>
      </c>
      <c r="D4064" s="21">
        <v>10</v>
      </c>
      <c r="E4064" s="2">
        <f t="shared" si="628"/>
        <v>30</v>
      </c>
      <c r="F4064" s="2">
        <v>10</v>
      </c>
      <c r="G4064" s="3" t="s">
        <v>22</v>
      </c>
      <c r="H4064" s="2">
        <v>50</v>
      </c>
      <c r="I4064" s="114" t="str">
        <f t="shared" si="629"/>
        <v>566100</v>
      </c>
      <c r="J4064" s="112" t="str">
        <f>CONCATENATE(B4064,D4064,5)</f>
        <v>566105</v>
      </c>
      <c r="K4064" s="112" t="str">
        <f t="shared" si="627"/>
        <v>566100</v>
      </c>
      <c r="L4064" s="2">
        <v>1</v>
      </c>
      <c r="M4064" s="2" t="s">
        <v>84</v>
      </c>
      <c r="N4064" s="2" t="s">
        <v>84</v>
      </c>
      <c r="O4064" s="2" t="s">
        <v>841</v>
      </c>
      <c r="P4064" s="2" t="s">
        <v>2648</v>
      </c>
    </row>
    <row r="4065" spans="1:16" ht="22" customHeight="1" x14ac:dyDescent="0.15">
      <c r="A4065" s="10" t="str">
        <f t="shared" si="626"/>
        <v>566_10_31_10_polygon</v>
      </c>
      <c r="B4065" s="2">
        <v>566</v>
      </c>
      <c r="C4065" s="30" t="str">
        <f>VLOOKUP(B4065,gachas!A:C,3)</f>
        <v>フィーバーフェス（1日目）</v>
      </c>
      <c r="D4065" s="21">
        <v>10</v>
      </c>
      <c r="E4065" s="2">
        <f t="shared" si="628"/>
        <v>31</v>
      </c>
      <c r="F4065" s="2">
        <v>10</v>
      </c>
      <c r="G4065" s="3" t="s">
        <v>22</v>
      </c>
      <c r="H4065" s="2">
        <v>50</v>
      </c>
      <c r="I4065" s="114" t="str">
        <f t="shared" si="629"/>
        <v>566100</v>
      </c>
      <c r="J4065" s="112" t="s">
        <v>84</v>
      </c>
      <c r="K4065" s="112" t="str">
        <f t="shared" si="627"/>
        <v>566100</v>
      </c>
      <c r="L4065" s="2">
        <v>1</v>
      </c>
      <c r="M4065" s="2" t="s">
        <v>84</v>
      </c>
      <c r="N4065" s="2" t="s">
        <v>84</v>
      </c>
      <c r="O4065" s="2" t="s">
        <v>841</v>
      </c>
      <c r="P4065" s="2" t="s">
        <v>2571</v>
      </c>
    </row>
    <row r="4066" spans="1:16" ht="22" customHeight="1" x14ac:dyDescent="0.15">
      <c r="A4066" s="10" t="str">
        <f t="shared" si="626"/>
        <v>566_10_32_10_polygon</v>
      </c>
      <c r="B4066" s="2">
        <v>566</v>
      </c>
      <c r="C4066" s="30" t="str">
        <f>VLOOKUP(B4066,gachas!A:C,3)</f>
        <v>フィーバーフェス（1日目）</v>
      </c>
      <c r="D4066" s="21">
        <v>10</v>
      </c>
      <c r="E4066" s="2">
        <f t="shared" si="628"/>
        <v>32</v>
      </c>
      <c r="F4066" s="2">
        <v>10</v>
      </c>
      <c r="G4066" s="3" t="s">
        <v>22</v>
      </c>
      <c r="H4066" s="2">
        <v>50</v>
      </c>
      <c r="I4066" s="114" t="str">
        <f t="shared" si="629"/>
        <v>566100</v>
      </c>
      <c r="J4066" s="112" t="s">
        <v>84</v>
      </c>
      <c r="K4066" s="112" t="str">
        <f t="shared" si="627"/>
        <v>566100</v>
      </c>
      <c r="L4066" s="2">
        <v>1</v>
      </c>
      <c r="M4066" s="2" t="s">
        <v>84</v>
      </c>
      <c r="N4066" s="2" t="s">
        <v>84</v>
      </c>
      <c r="O4066" s="2" t="s">
        <v>841</v>
      </c>
      <c r="P4066" s="2" t="s">
        <v>2571</v>
      </c>
    </row>
    <row r="4067" spans="1:16" ht="22" customHeight="1" x14ac:dyDescent="0.15">
      <c r="A4067" s="10" t="str">
        <f t="shared" si="626"/>
        <v>566_10_33_10_polygon</v>
      </c>
      <c r="B4067" s="2">
        <v>566</v>
      </c>
      <c r="C4067" s="30" t="str">
        <f>VLOOKUP(B4067,gachas!A:C,3)</f>
        <v>フィーバーフェス（1日目）</v>
      </c>
      <c r="D4067" s="21">
        <v>10</v>
      </c>
      <c r="E4067" s="2">
        <f t="shared" si="628"/>
        <v>33</v>
      </c>
      <c r="F4067" s="2">
        <v>10</v>
      </c>
      <c r="G4067" s="3" t="s">
        <v>22</v>
      </c>
      <c r="H4067" s="2">
        <v>50</v>
      </c>
      <c r="I4067" s="114" t="str">
        <f t="shared" si="629"/>
        <v>566100</v>
      </c>
      <c r="J4067" s="112" t="s">
        <v>84</v>
      </c>
      <c r="K4067" s="112" t="str">
        <f t="shared" si="627"/>
        <v>566100</v>
      </c>
      <c r="L4067" s="2">
        <v>1</v>
      </c>
      <c r="M4067" s="2" t="s">
        <v>84</v>
      </c>
      <c r="N4067" s="2" t="s">
        <v>84</v>
      </c>
      <c r="O4067" s="2" t="s">
        <v>841</v>
      </c>
      <c r="P4067" s="2" t="s">
        <v>2571</v>
      </c>
    </row>
    <row r="4068" spans="1:16" ht="22" customHeight="1" x14ac:dyDescent="0.15">
      <c r="A4068" s="10" t="str">
        <f t="shared" si="626"/>
        <v>566_10_34_10_polygon</v>
      </c>
      <c r="B4068" s="2">
        <v>566</v>
      </c>
      <c r="C4068" s="30" t="str">
        <f>VLOOKUP(B4068,gachas!A:C,3)</f>
        <v>フィーバーフェス（1日目）</v>
      </c>
      <c r="D4068" s="21">
        <v>10</v>
      </c>
      <c r="E4068" s="2">
        <f t="shared" si="628"/>
        <v>34</v>
      </c>
      <c r="F4068" s="2">
        <v>10</v>
      </c>
      <c r="G4068" s="3" t="s">
        <v>22</v>
      </c>
      <c r="H4068" s="2">
        <v>50</v>
      </c>
      <c r="I4068" s="114" t="str">
        <f t="shared" si="629"/>
        <v>566100</v>
      </c>
      <c r="J4068" s="112" t="s">
        <v>84</v>
      </c>
      <c r="K4068" s="112" t="str">
        <f t="shared" si="627"/>
        <v>566100</v>
      </c>
      <c r="L4068" s="2">
        <v>1</v>
      </c>
      <c r="M4068" s="2" t="s">
        <v>84</v>
      </c>
      <c r="N4068" s="2" t="s">
        <v>84</v>
      </c>
      <c r="O4068" s="2" t="s">
        <v>841</v>
      </c>
      <c r="P4068" s="2" t="s">
        <v>2571</v>
      </c>
    </row>
    <row r="4069" spans="1:16" ht="22" customHeight="1" x14ac:dyDescent="0.15">
      <c r="A4069" s="10" t="str">
        <f t="shared" si="626"/>
        <v>566_10_35_10_polygon</v>
      </c>
      <c r="B4069" s="2">
        <v>566</v>
      </c>
      <c r="C4069" s="30" t="str">
        <f>VLOOKUP(B4069,gachas!A:C,3)</f>
        <v>フィーバーフェス（1日目）</v>
      </c>
      <c r="D4069" s="21">
        <v>10</v>
      </c>
      <c r="E4069" s="2">
        <f t="shared" si="628"/>
        <v>35</v>
      </c>
      <c r="F4069" s="2">
        <v>10</v>
      </c>
      <c r="G4069" s="3" t="s">
        <v>22</v>
      </c>
      <c r="H4069" s="2">
        <v>50</v>
      </c>
      <c r="I4069" s="114" t="str">
        <f t="shared" si="629"/>
        <v>566100</v>
      </c>
      <c r="J4069" s="112" t="str">
        <f>CONCATENATE(B4069,D4069,5)</f>
        <v>566105</v>
      </c>
      <c r="K4069" s="112" t="str">
        <f t="shared" si="627"/>
        <v>566100</v>
      </c>
      <c r="L4069" s="2">
        <v>1</v>
      </c>
      <c r="M4069" s="2" t="s">
        <v>84</v>
      </c>
      <c r="N4069" s="2" t="s">
        <v>84</v>
      </c>
      <c r="O4069" s="2" t="s">
        <v>841</v>
      </c>
      <c r="P4069" s="2" t="s">
        <v>2648</v>
      </c>
    </row>
    <row r="4070" spans="1:16" ht="22" customHeight="1" x14ac:dyDescent="0.15">
      <c r="A4070" s="10" t="str">
        <f t="shared" si="626"/>
        <v>566_10_36_10_polygon</v>
      </c>
      <c r="B4070" s="2">
        <v>566</v>
      </c>
      <c r="C4070" s="30" t="str">
        <f>VLOOKUP(B4070,gachas!A:C,3)</f>
        <v>フィーバーフェス（1日目）</v>
      </c>
      <c r="D4070" s="21">
        <v>10</v>
      </c>
      <c r="E4070" s="2">
        <f t="shared" si="628"/>
        <v>36</v>
      </c>
      <c r="F4070" s="2">
        <v>10</v>
      </c>
      <c r="G4070" s="3" t="s">
        <v>22</v>
      </c>
      <c r="H4070" s="2">
        <v>50</v>
      </c>
      <c r="I4070" s="114" t="str">
        <f t="shared" si="629"/>
        <v>566100</v>
      </c>
      <c r="J4070" s="112" t="s">
        <v>84</v>
      </c>
      <c r="K4070" s="112" t="str">
        <f t="shared" si="627"/>
        <v>566100</v>
      </c>
      <c r="L4070" s="2">
        <v>1</v>
      </c>
      <c r="M4070" s="2" t="s">
        <v>84</v>
      </c>
      <c r="N4070" s="2" t="s">
        <v>84</v>
      </c>
      <c r="O4070" s="2" t="s">
        <v>841</v>
      </c>
      <c r="P4070" s="2" t="s">
        <v>2571</v>
      </c>
    </row>
    <row r="4071" spans="1:16" ht="22" customHeight="1" x14ac:dyDescent="0.15">
      <c r="A4071" s="10" t="str">
        <f t="shared" si="626"/>
        <v>566_10_37_10_polygon</v>
      </c>
      <c r="B4071" s="2">
        <v>566</v>
      </c>
      <c r="C4071" s="30" t="str">
        <f>VLOOKUP(B4071,gachas!A:C,3)</f>
        <v>フィーバーフェス（1日目）</v>
      </c>
      <c r="D4071" s="21">
        <v>10</v>
      </c>
      <c r="E4071" s="2">
        <f t="shared" si="628"/>
        <v>37</v>
      </c>
      <c r="F4071" s="2">
        <v>10</v>
      </c>
      <c r="G4071" s="3" t="s">
        <v>22</v>
      </c>
      <c r="H4071" s="2">
        <v>50</v>
      </c>
      <c r="I4071" s="114" t="str">
        <f t="shared" si="629"/>
        <v>566100</v>
      </c>
      <c r="J4071" s="112" t="s">
        <v>84</v>
      </c>
      <c r="K4071" s="112" t="str">
        <f t="shared" si="627"/>
        <v>566100</v>
      </c>
      <c r="L4071" s="2">
        <v>1</v>
      </c>
      <c r="M4071" s="2" t="s">
        <v>84</v>
      </c>
      <c r="N4071" s="2" t="s">
        <v>84</v>
      </c>
      <c r="O4071" s="2" t="s">
        <v>841</v>
      </c>
      <c r="P4071" s="2" t="s">
        <v>2571</v>
      </c>
    </row>
    <row r="4072" spans="1:16" ht="22" customHeight="1" x14ac:dyDescent="0.15">
      <c r="A4072" s="10" t="str">
        <f t="shared" si="626"/>
        <v>566_10_38_10_polygon</v>
      </c>
      <c r="B4072" s="2">
        <v>566</v>
      </c>
      <c r="C4072" s="30" t="str">
        <f>VLOOKUP(B4072,gachas!A:C,3)</f>
        <v>フィーバーフェス（1日目）</v>
      </c>
      <c r="D4072" s="21">
        <v>10</v>
      </c>
      <c r="E4072" s="2">
        <f t="shared" si="628"/>
        <v>38</v>
      </c>
      <c r="F4072" s="2">
        <v>10</v>
      </c>
      <c r="G4072" s="3" t="s">
        <v>22</v>
      </c>
      <c r="H4072" s="2">
        <v>50</v>
      </c>
      <c r="I4072" s="114" t="str">
        <f t="shared" si="629"/>
        <v>566100</v>
      </c>
      <c r="J4072" s="112" t="s">
        <v>84</v>
      </c>
      <c r="K4072" s="112" t="str">
        <f t="shared" si="627"/>
        <v>566100</v>
      </c>
      <c r="L4072" s="2">
        <v>1</v>
      </c>
      <c r="M4072" s="2" t="s">
        <v>84</v>
      </c>
      <c r="N4072" s="2" t="s">
        <v>84</v>
      </c>
      <c r="O4072" s="2" t="s">
        <v>841</v>
      </c>
      <c r="P4072" s="2" t="s">
        <v>2571</v>
      </c>
    </row>
    <row r="4073" spans="1:16" ht="22" customHeight="1" x14ac:dyDescent="0.15">
      <c r="A4073" s="10" t="str">
        <f t="shared" si="626"/>
        <v>566_10_39_10_polygon</v>
      </c>
      <c r="B4073" s="2">
        <v>566</v>
      </c>
      <c r="C4073" s="30" t="str">
        <f>VLOOKUP(B4073,gachas!A:C,3)</f>
        <v>フィーバーフェス（1日目）</v>
      </c>
      <c r="D4073" s="21">
        <v>10</v>
      </c>
      <c r="E4073" s="2">
        <f t="shared" si="628"/>
        <v>39</v>
      </c>
      <c r="F4073" s="2">
        <v>10</v>
      </c>
      <c r="G4073" s="3" t="s">
        <v>22</v>
      </c>
      <c r="H4073" s="2">
        <v>50</v>
      </c>
      <c r="I4073" s="114" t="str">
        <f t="shared" si="629"/>
        <v>566100</v>
      </c>
      <c r="J4073" s="112" t="s">
        <v>84</v>
      </c>
      <c r="K4073" s="112" t="str">
        <f t="shared" si="627"/>
        <v>566100</v>
      </c>
      <c r="L4073" s="2">
        <v>1</v>
      </c>
      <c r="M4073" s="2" t="s">
        <v>84</v>
      </c>
      <c r="N4073" s="2" t="s">
        <v>84</v>
      </c>
      <c r="O4073" s="2" t="s">
        <v>841</v>
      </c>
      <c r="P4073" s="2" t="s">
        <v>2571</v>
      </c>
    </row>
    <row r="4074" spans="1:16" ht="22" customHeight="1" x14ac:dyDescent="0.15">
      <c r="A4074" s="10" t="str">
        <f t="shared" si="626"/>
        <v>566_10_40_10_polygon</v>
      </c>
      <c r="B4074" s="2">
        <v>566</v>
      </c>
      <c r="C4074" s="30" t="str">
        <f>VLOOKUP(B4074,gachas!A:C,3)</f>
        <v>フィーバーフェス（1日目）</v>
      </c>
      <c r="D4074" s="21">
        <v>10</v>
      </c>
      <c r="E4074" s="2">
        <f t="shared" si="628"/>
        <v>40</v>
      </c>
      <c r="F4074" s="2">
        <v>10</v>
      </c>
      <c r="G4074" s="3" t="s">
        <v>22</v>
      </c>
      <c r="H4074" s="2">
        <v>50</v>
      </c>
      <c r="I4074" s="114" t="str">
        <f t="shared" si="629"/>
        <v>566100</v>
      </c>
      <c r="J4074" s="112" t="str">
        <f>CONCATENATE(B4074,D4074,5)</f>
        <v>566105</v>
      </c>
      <c r="K4074" s="112" t="str">
        <f t="shared" si="627"/>
        <v>566100</v>
      </c>
      <c r="L4074" s="2">
        <v>1</v>
      </c>
      <c r="M4074" s="2" t="s">
        <v>84</v>
      </c>
      <c r="N4074" s="2" t="s">
        <v>84</v>
      </c>
      <c r="O4074" s="2" t="s">
        <v>841</v>
      </c>
      <c r="P4074" s="2" t="s">
        <v>2648</v>
      </c>
    </row>
    <row r="4075" spans="1:16" ht="22" customHeight="1" x14ac:dyDescent="0.15">
      <c r="A4075" s="10" t="str">
        <f t="shared" si="626"/>
        <v>566_10_41_10_polygon</v>
      </c>
      <c r="B4075" s="2">
        <v>566</v>
      </c>
      <c r="C4075" s="30" t="str">
        <f>VLOOKUP(B4075,gachas!A:C,3)</f>
        <v>フィーバーフェス（1日目）</v>
      </c>
      <c r="D4075" s="21">
        <v>10</v>
      </c>
      <c r="E4075" s="2">
        <f t="shared" si="628"/>
        <v>41</v>
      </c>
      <c r="F4075" s="2">
        <v>10</v>
      </c>
      <c r="G4075" s="3" t="s">
        <v>22</v>
      </c>
      <c r="H4075" s="2">
        <v>50</v>
      </c>
      <c r="I4075" s="114" t="str">
        <f t="shared" si="629"/>
        <v>566100</v>
      </c>
      <c r="J4075" s="112" t="s">
        <v>84</v>
      </c>
      <c r="K4075" s="112" t="str">
        <f t="shared" si="627"/>
        <v>566100</v>
      </c>
      <c r="L4075" s="2">
        <v>1</v>
      </c>
      <c r="M4075" s="2" t="s">
        <v>84</v>
      </c>
      <c r="N4075" s="2" t="s">
        <v>84</v>
      </c>
      <c r="O4075" s="2" t="s">
        <v>841</v>
      </c>
      <c r="P4075" s="2" t="s">
        <v>2571</v>
      </c>
    </row>
    <row r="4076" spans="1:16" ht="22" customHeight="1" x14ac:dyDescent="0.15">
      <c r="A4076" s="10" t="str">
        <f t="shared" si="626"/>
        <v>566_10_42_10_polygon</v>
      </c>
      <c r="B4076" s="2">
        <v>566</v>
      </c>
      <c r="C4076" s="30" t="str">
        <f>VLOOKUP(B4076,gachas!A:C,3)</f>
        <v>フィーバーフェス（1日目）</v>
      </c>
      <c r="D4076" s="21">
        <v>10</v>
      </c>
      <c r="E4076" s="2">
        <f t="shared" si="628"/>
        <v>42</v>
      </c>
      <c r="F4076" s="2">
        <v>10</v>
      </c>
      <c r="G4076" s="3" t="s">
        <v>22</v>
      </c>
      <c r="H4076" s="2">
        <v>50</v>
      </c>
      <c r="I4076" s="114" t="str">
        <f t="shared" si="629"/>
        <v>566100</v>
      </c>
      <c r="J4076" s="112" t="s">
        <v>84</v>
      </c>
      <c r="K4076" s="112" t="str">
        <f t="shared" si="627"/>
        <v>566100</v>
      </c>
      <c r="L4076" s="2">
        <v>1</v>
      </c>
      <c r="M4076" s="2" t="s">
        <v>84</v>
      </c>
      <c r="N4076" s="2" t="s">
        <v>84</v>
      </c>
      <c r="O4076" s="2" t="s">
        <v>841</v>
      </c>
      <c r="P4076" s="2" t="s">
        <v>2571</v>
      </c>
    </row>
    <row r="4077" spans="1:16" ht="22" customHeight="1" x14ac:dyDescent="0.15">
      <c r="A4077" s="10" t="str">
        <f t="shared" si="626"/>
        <v>566_10_43_10_polygon</v>
      </c>
      <c r="B4077" s="2">
        <v>566</v>
      </c>
      <c r="C4077" s="30" t="str">
        <f>VLOOKUP(B4077,gachas!A:C,3)</f>
        <v>フィーバーフェス（1日目）</v>
      </c>
      <c r="D4077" s="21">
        <v>10</v>
      </c>
      <c r="E4077" s="2">
        <f t="shared" si="628"/>
        <v>43</v>
      </c>
      <c r="F4077" s="2">
        <v>10</v>
      </c>
      <c r="G4077" s="3" t="s">
        <v>22</v>
      </c>
      <c r="H4077" s="2">
        <v>50</v>
      </c>
      <c r="I4077" s="114" t="str">
        <f t="shared" si="629"/>
        <v>566100</v>
      </c>
      <c r="J4077" s="112" t="s">
        <v>84</v>
      </c>
      <c r="K4077" s="112" t="str">
        <f t="shared" si="627"/>
        <v>566100</v>
      </c>
      <c r="L4077" s="2">
        <v>1</v>
      </c>
      <c r="M4077" s="2" t="s">
        <v>84</v>
      </c>
      <c r="N4077" s="2" t="s">
        <v>84</v>
      </c>
      <c r="O4077" s="2" t="s">
        <v>841</v>
      </c>
      <c r="P4077" s="2" t="s">
        <v>2571</v>
      </c>
    </row>
    <row r="4078" spans="1:16" ht="22" customHeight="1" x14ac:dyDescent="0.15">
      <c r="A4078" s="10" t="str">
        <f t="shared" si="626"/>
        <v>566_10_44_10_polygon</v>
      </c>
      <c r="B4078" s="2">
        <v>566</v>
      </c>
      <c r="C4078" s="30" t="str">
        <f>VLOOKUP(B4078,gachas!A:C,3)</f>
        <v>フィーバーフェス（1日目）</v>
      </c>
      <c r="D4078" s="21">
        <v>10</v>
      </c>
      <c r="E4078" s="2">
        <f t="shared" si="628"/>
        <v>44</v>
      </c>
      <c r="F4078" s="2">
        <v>10</v>
      </c>
      <c r="G4078" s="3" t="s">
        <v>22</v>
      </c>
      <c r="H4078" s="2">
        <v>50</v>
      </c>
      <c r="I4078" s="114" t="str">
        <f t="shared" si="629"/>
        <v>566100</v>
      </c>
      <c r="J4078" s="112" t="s">
        <v>84</v>
      </c>
      <c r="K4078" s="112" t="str">
        <f t="shared" si="627"/>
        <v>566100</v>
      </c>
      <c r="L4078" s="2">
        <v>1</v>
      </c>
      <c r="M4078" s="2" t="s">
        <v>84</v>
      </c>
      <c r="N4078" s="2" t="s">
        <v>84</v>
      </c>
      <c r="O4078" s="2" t="s">
        <v>841</v>
      </c>
      <c r="P4078" s="2" t="s">
        <v>2571</v>
      </c>
    </row>
    <row r="4079" spans="1:16" ht="22" customHeight="1" x14ac:dyDescent="0.15">
      <c r="A4079" s="10" t="str">
        <f t="shared" si="626"/>
        <v>566_10_45_10_polygon</v>
      </c>
      <c r="B4079" s="2">
        <v>566</v>
      </c>
      <c r="C4079" s="30" t="str">
        <f>VLOOKUP(B4079,gachas!A:C,3)</f>
        <v>フィーバーフェス（1日目）</v>
      </c>
      <c r="D4079" s="21">
        <v>10</v>
      </c>
      <c r="E4079" s="2">
        <f t="shared" si="628"/>
        <v>45</v>
      </c>
      <c r="F4079" s="2">
        <v>10</v>
      </c>
      <c r="G4079" s="3" t="s">
        <v>22</v>
      </c>
      <c r="H4079" s="2">
        <v>50</v>
      </c>
      <c r="I4079" s="114" t="str">
        <f t="shared" si="629"/>
        <v>566100</v>
      </c>
      <c r="J4079" s="112" t="str">
        <f>CONCATENATE(B4079,D4079,5)</f>
        <v>566105</v>
      </c>
      <c r="K4079" s="112" t="str">
        <f t="shared" si="627"/>
        <v>566100</v>
      </c>
      <c r="L4079" s="2">
        <v>1</v>
      </c>
      <c r="M4079" s="2" t="s">
        <v>84</v>
      </c>
      <c r="N4079" s="2" t="s">
        <v>84</v>
      </c>
      <c r="O4079" s="2" t="s">
        <v>841</v>
      </c>
      <c r="P4079" s="2" t="s">
        <v>2648</v>
      </c>
    </row>
    <row r="4080" spans="1:16" ht="22" customHeight="1" x14ac:dyDescent="0.15">
      <c r="A4080" s="10" t="str">
        <f t="shared" si="626"/>
        <v>566_10_46_10_polygon</v>
      </c>
      <c r="B4080" s="2">
        <v>566</v>
      </c>
      <c r="C4080" s="30" t="str">
        <f>VLOOKUP(B4080,gachas!A:C,3)</f>
        <v>フィーバーフェス（1日目）</v>
      </c>
      <c r="D4080" s="21">
        <v>10</v>
      </c>
      <c r="E4080" s="2">
        <f t="shared" si="628"/>
        <v>46</v>
      </c>
      <c r="F4080" s="2">
        <v>10</v>
      </c>
      <c r="G4080" s="3" t="s">
        <v>22</v>
      </c>
      <c r="H4080" s="2">
        <v>50</v>
      </c>
      <c r="I4080" s="114" t="str">
        <f t="shared" si="629"/>
        <v>566100</v>
      </c>
      <c r="J4080" s="112" t="s">
        <v>84</v>
      </c>
      <c r="K4080" s="112" t="str">
        <f t="shared" si="627"/>
        <v>566100</v>
      </c>
      <c r="L4080" s="2">
        <v>1</v>
      </c>
      <c r="M4080" s="2" t="s">
        <v>84</v>
      </c>
      <c r="N4080" s="2" t="s">
        <v>84</v>
      </c>
      <c r="O4080" s="2" t="s">
        <v>841</v>
      </c>
      <c r="P4080" s="2" t="s">
        <v>2571</v>
      </c>
    </row>
    <row r="4081" spans="1:16" ht="22" customHeight="1" x14ac:dyDescent="0.15">
      <c r="A4081" s="10" t="str">
        <f t="shared" si="626"/>
        <v>566_10_47_10_polygon</v>
      </c>
      <c r="B4081" s="2">
        <v>566</v>
      </c>
      <c r="C4081" s="30" t="str">
        <f>VLOOKUP(B4081,gachas!A:C,3)</f>
        <v>フィーバーフェス（1日目）</v>
      </c>
      <c r="D4081" s="21">
        <v>10</v>
      </c>
      <c r="E4081" s="2">
        <f t="shared" si="628"/>
        <v>47</v>
      </c>
      <c r="F4081" s="2">
        <v>10</v>
      </c>
      <c r="G4081" s="3" t="s">
        <v>22</v>
      </c>
      <c r="H4081" s="2">
        <v>50</v>
      </c>
      <c r="I4081" s="114" t="str">
        <f t="shared" si="629"/>
        <v>566100</v>
      </c>
      <c r="J4081" s="112" t="s">
        <v>84</v>
      </c>
      <c r="K4081" s="112" t="str">
        <f t="shared" si="627"/>
        <v>566100</v>
      </c>
      <c r="L4081" s="2">
        <v>1</v>
      </c>
      <c r="M4081" s="2" t="s">
        <v>84</v>
      </c>
      <c r="N4081" s="2" t="s">
        <v>84</v>
      </c>
      <c r="O4081" s="2" t="s">
        <v>841</v>
      </c>
      <c r="P4081" s="2" t="s">
        <v>2571</v>
      </c>
    </row>
    <row r="4082" spans="1:16" ht="22" customHeight="1" x14ac:dyDescent="0.15">
      <c r="A4082" s="10" t="str">
        <f t="shared" si="626"/>
        <v>566_10_48_10_polygon</v>
      </c>
      <c r="B4082" s="2">
        <v>566</v>
      </c>
      <c r="C4082" s="30" t="str">
        <f>VLOOKUP(B4082,gachas!A:C,3)</f>
        <v>フィーバーフェス（1日目）</v>
      </c>
      <c r="D4082" s="21">
        <v>10</v>
      </c>
      <c r="E4082" s="2">
        <f t="shared" si="628"/>
        <v>48</v>
      </c>
      <c r="F4082" s="2">
        <v>10</v>
      </c>
      <c r="G4082" s="3" t="s">
        <v>22</v>
      </c>
      <c r="H4082" s="2">
        <v>50</v>
      </c>
      <c r="I4082" s="114" t="str">
        <f t="shared" si="629"/>
        <v>566100</v>
      </c>
      <c r="J4082" s="112" t="s">
        <v>84</v>
      </c>
      <c r="K4082" s="112" t="str">
        <f t="shared" si="627"/>
        <v>566100</v>
      </c>
      <c r="L4082" s="2">
        <v>1</v>
      </c>
      <c r="M4082" s="2" t="s">
        <v>84</v>
      </c>
      <c r="N4082" s="2" t="s">
        <v>84</v>
      </c>
      <c r="O4082" s="2" t="s">
        <v>841</v>
      </c>
      <c r="P4082" s="2" t="s">
        <v>2571</v>
      </c>
    </row>
    <row r="4083" spans="1:16" ht="22" customHeight="1" x14ac:dyDescent="0.15">
      <c r="A4083" s="10" t="str">
        <f t="shared" si="626"/>
        <v>566_10_49_10_polygon</v>
      </c>
      <c r="B4083" s="2">
        <v>566</v>
      </c>
      <c r="C4083" s="30" t="str">
        <f>VLOOKUP(B4083,gachas!A:C,3)</f>
        <v>フィーバーフェス（1日目）</v>
      </c>
      <c r="D4083" s="21">
        <v>10</v>
      </c>
      <c r="E4083" s="2">
        <f t="shared" si="628"/>
        <v>49</v>
      </c>
      <c r="F4083" s="2">
        <v>10</v>
      </c>
      <c r="G4083" s="3" t="s">
        <v>22</v>
      </c>
      <c r="H4083" s="2">
        <v>50</v>
      </c>
      <c r="I4083" s="114" t="str">
        <f t="shared" si="629"/>
        <v>566100</v>
      </c>
      <c r="J4083" s="112" t="s">
        <v>84</v>
      </c>
      <c r="K4083" s="112" t="str">
        <f t="shared" si="627"/>
        <v>566100</v>
      </c>
      <c r="L4083" s="2">
        <v>1</v>
      </c>
      <c r="M4083" s="2" t="s">
        <v>84</v>
      </c>
      <c r="N4083" s="2" t="s">
        <v>84</v>
      </c>
      <c r="O4083" s="2" t="s">
        <v>841</v>
      </c>
      <c r="P4083" s="2" t="s">
        <v>2571</v>
      </c>
    </row>
    <row r="4084" spans="1:16" ht="22" customHeight="1" x14ac:dyDescent="0.15">
      <c r="A4084" s="10" t="str">
        <f t="shared" si="626"/>
        <v>566_10_50_10_polygon</v>
      </c>
      <c r="B4084" s="2">
        <v>566</v>
      </c>
      <c r="C4084" s="30" t="str">
        <f>VLOOKUP(B4084,gachas!A:C,3)</f>
        <v>フィーバーフェス（1日目）</v>
      </c>
      <c r="D4084" s="21">
        <v>10</v>
      </c>
      <c r="E4084" s="2">
        <f t="shared" si="628"/>
        <v>50</v>
      </c>
      <c r="F4084" s="2">
        <v>10</v>
      </c>
      <c r="G4084" s="3" t="s">
        <v>22</v>
      </c>
      <c r="H4084" s="2">
        <v>50</v>
      </c>
      <c r="I4084" s="114" t="str">
        <f t="shared" si="629"/>
        <v>566100</v>
      </c>
      <c r="J4084" s="112" t="str">
        <f>CONCATENATE(B4084,D4084,5)</f>
        <v>566105</v>
      </c>
      <c r="K4084" s="112" t="str">
        <f t="shared" si="627"/>
        <v>566100</v>
      </c>
      <c r="L4084" s="2">
        <v>1</v>
      </c>
      <c r="M4084" s="2" t="s">
        <v>84</v>
      </c>
      <c r="N4084" s="2" t="s">
        <v>84</v>
      </c>
      <c r="O4084" s="2" t="s">
        <v>841</v>
      </c>
      <c r="P4084" s="2" t="s">
        <v>2648</v>
      </c>
    </row>
    <row r="4085" spans="1:16" ht="22" customHeight="1" x14ac:dyDescent="0.15">
      <c r="A4085" s="10" t="str">
        <f t="shared" si="626"/>
        <v>567_1_0_1_polygon</v>
      </c>
      <c r="B4085" s="2">
        <v>567</v>
      </c>
      <c r="C4085" s="30" t="str">
        <f>VLOOKUP(B4085,gachas!A:C,3)</f>
        <v>フィーバーフェス（2日目）</v>
      </c>
      <c r="D4085" s="21">
        <v>1</v>
      </c>
      <c r="E4085" s="2">
        <v>0</v>
      </c>
      <c r="F4085" s="2">
        <v>1</v>
      </c>
      <c r="G4085" s="3" t="s">
        <v>22</v>
      </c>
      <c r="H4085" s="2">
        <v>5</v>
      </c>
      <c r="I4085" s="114" t="str">
        <f t="shared" si="629"/>
        <v>567010</v>
      </c>
      <c r="J4085" s="112" t="s">
        <v>84</v>
      </c>
      <c r="K4085" s="112" t="s">
        <v>84</v>
      </c>
      <c r="L4085" s="2">
        <v>0</v>
      </c>
      <c r="M4085" s="2" t="s">
        <v>84</v>
      </c>
      <c r="N4085" s="2" t="s">
        <v>84</v>
      </c>
      <c r="O4085" s="2" t="s">
        <v>841</v>
      </c>
      <c r="P4085" s="2" t="s">
        <v>84</v>
      </c>
    </row>
    <row r="4086" spans="1:16" ht="22" customHeight="1" x14ac:dyDescent="0.15">
      <c r="A4086" s="10" t="str">
        <f t="shared" si="626"/>
        <v>567_10_0_10_polygon</v>
      </c>
      <c r="B4086" s="2">
        <v>567</v>
      </c>
      <c r="C4086" s="30" t="str">
        <f>VLOOKUP(B4086,gachas!A:C,3)</f>
        <v>フィーバーフェス（2日目）</v>
      </c>
      <c r="D4086" s="21">
        <v>10</v>
      </c>
      <c r="E4086" s="2">
        <v>0</v>
      </c>
      <c r="F4086" s="2">
        <v>10</v>
      </c>
      <c r="G4086" s="3" t="s">
        <v>22</v>
      </c>
      <c r="H4086" s="2">
        <v>50</v>
      </c>
      <c r="I4086" s="114" t="str">
        <f t="shared" si="629"/>
        <v>567100</v>
      </c>
      <c r="J4086" s="112" t="s">
        <v>84</v>
      </c>
      <c r="K4086" s="112" t="str">
        <f t="shared" ref="K4086:K4136" si="630">I4086</f>
        <v>567100</v>
      </c>
      <c r="L4086" s="2">
        <v>1</v>
      </c>
      <c r="M4086" s="2" t="s">
        <v>84</v>
      </c>
      <c r="N4086" s="2" t="s">
        <v>84</v>
      </c>
      <c r="O4086" s="2" t="s">
        <v>841</v>
      </c>
      <c r="P4086" s="2" t="s">
        <v>2571</v>
      </c>
    </row>
    <row r="4087" spans="1:16" ht="22" customHeight="1" x14ac:dyDescent="0.15">
      <c r="A4087" s="10" t="str">
        <f t="shared" si="626"/>
        <v>567_10_1_10_polygon</v>
      </c>
      <c r="B4087" s="2">
        <v>567</v>
      </c>
      <c r="C4087" s="30" t="str">
        <f>VLOOKUP(B4087,gachas!A:C,3)</f>
        <v>フィーバーフェス（2日目）</v>
      </c>
      <c r="D4087" s="21">
        <v>10</v>
      </c>
      <c r="E4087" s="2">
        <f>E4086+1</f>
        <v>1</v>
      </c>
      <c r="F4087" s="2">
        <v>10</v>
      </c>
      <c r="G4087" s="3" t="s">
        <v>22</v>
      </c>
      <c r="H4087" s="2">
        <v>50</v>
      </c>
      <c r="I4087" s="114" t="str">
        <f t="shared" si="629"/>
        <v>567100</v>
      </c>
      <c r="J4087" s="112" t="s">
        <v>84</v>
      </c>
      <c r="K4087" s="112" t="str">
        <f t="shared" si="630"/>
        <v>567100</v>
      </c>
      <c r="L4087" s="2">
        <v>1</v>
      </c>
      <c r="M4087" s="2" t="s">
        <v>84</v>
      </c>
      <c r="N4087" s="2" t="s">
        <v>84</v>
      </c>
      <c r="O4087" s="2" t="s">
        <v>841</v>
      </c>
      <c r="P4087" s="2" t="s">
        <v>2571</v>
      </c>
    </row>
    <row r="4088" spans="1:16" ht="22" customHeight="1" x14ac:dyDescent="0.15">
      <c r="A4088" s="10" t="str">
        <f t="shared" si="626"/>
        <v>567_10_2_10_polygon</v>
      </c>
      <c r="B4088" s="2">
        <v>567</v>
      </c>
      <c r="C4088" s="30" t="str">
        <f>VLOOKUP(B4088,gachas!A:C,3)</f>
        <v>フィーバーフェス（2日目）</v>
      </c>
      <c r="D4088" s="21">
        <v>10</v>
      </c>
      <c r="E4088" s="2">
        <f t="shared" ref="E4088:E4136" si="631">E4087+1</f>
        <v>2</v>
      </c>
      <c r="F4088" s="2">
        <v>10</v>
      </c>
      <c r="G4088" s="3" t="s">
        <v>22</v>
      </c>
      <c r="H4088" s="2">
        <v>50</v>
      </c>
      <c r="I4088" s="114" t="str">
        <f t="shared" si="629"/>
        <v>567100</v>
      </c>
      <c r="J4088" s="112" t="s">
        <v>84</v>
      </c>
      <c r="K4088" s="112" t="str">
        <f t="shared" si="630"/>
        <v>567100</v>
      </c>
      <c r="L4088" s="2">
        <v>1</v>
      </c>
      <c r="M4088" s="2" t="s">
        <v>84</v>
      </c>
      <c r="N4088" s="2" t="s">
        <v>84</v>
      </c>
      <c r="O4088" s="2" t="s">
        <v>841</v>
      </c>
      <c r="P4088" s="2" t="s">
        <v>2571</v>
      </c>
    </row>
    <row r="4089" spans="1:16" ht="22" customHeight="1" x14ac:dyDescent="0.15">
      <c r="A4089" s="10" t="str">
        <f t="shared" si="626"/>
        <v>567_10_3_10_polygon</v>
      </c>
      <c r="B4089" s="2">
        <v>567</v>
      </c>
      <c r="C4089" s="30" t="str">
        <f>VLOOKUP(B4089,gachas!A:C,3)</f>
        <v>フィーバーフェス（2日目）</v>
      </c>
      <c r="D4089" s="21">
        <v>10</v>
      </c>
      <c r="E4089" s="2">
        <f t="shared" si="631"/>
        <v>3</v>
      </c>
      <c r="F4089" s="2">
        <v>10</v>
      </c>
      <c r="G4089" s="3" t="s">
        <v>22</v>
      </c>
      <c r="H4089" s="2">
        <v>50</v>
      </c>
      <c r="I4089" s="114" t="str">
        <f t="shared" si="629"/>
        <v>567100</v>
      </c>
      <c r="J4089" s="112" t="s">
        <v>84</v>
      </c>
      <c r="K4089" s="112" t="str">
        <f t="shared" si="630"/>
        <v>567100</v>
      </c>
      <c r="L4089" s="2">
        <v>1</v>
      </c>
      <c r="M4089" s="2" t="s">
        <v>84</v>
      </c>
      <c r="N4089" s="2" t="s">
        <v>84</v>
      </c>
      <c r="O4089" s="2" t="s">
        <v>841</v>
      </c>
      <c r="P4089" s="2" t="s">
        <v>2571</v>
      </c>
    </row>
    <row r="4090" spans="1:16" ht="22" customHeight="1" x14ac:dyDescent="0.15">
      <c r="A4090" s="10" t="str">
        <f t="shared" si="626"/>
        <v>567_10_4_10_polygon</v>
      </c>
      <c r="B4090" s="2">
        <v>567</v>
      </c>
      <c r="C4090" s="30" t="str">
        <f>VLOOKUP(B4090,gachas!A:C,3)</f>
        <v>フィーバーフェス（2日目）</v>
      </c>
      <c r="D4090" s="21">
        <v>10</v>
      </c>
      <c r="E4090" s="2">
        <f t="shared" si="631"/>
        <v>4</v>
      </c>
      <c r="F4090" s="2">
        <v>10</v>
      </c>
      <c r="G4090" s="3" t="s">
        <v>22</v>
      </c>
      <c r="H4090" s="2">
        <v>50</v>
      </c>
      <c r="I4090" s="114" t="str">
        <f t="shared" si="629"/>
        <v>567100</v>
      </c>
      <c r="J4090" s="112" t="s">
        <v>84</v>
      </c>
      <c r="K4090" s="112" t="str">
        <f t="shared" si="630"/>
        <v>567100</v>
      </c>
      <c r="L4090" s="2">
        <v>1</v>
      </c>
      <c r="M4090" s="2" t="s">
        <v>84</v>
      </c>
      <c r="N4090" s="2" t="s">
        <v>84</v>
      </c>
      <c r="O4090" s="2" t="s">
        <v>841</v>
      </c>
      <c r="P4090" s="2" t="s">
        <v>2571</v>
      </c>
    </row>
    <row r="4091" spans="1:16" ht="22" customHeight="1" x14ac:dyDescent="0.15">
      <c r="A4091" s="10" t="str">
        <f t="shared" si="626"/>
        <v>567_10_5_10_polygon</v>
      </c>
      <c r="B4091" s="2">
        <v>567</v>
      </c>
      <c r="C4091" s="30" t="str">
        <f>VLOOKUP(B4091,gachas!A:C,3)</f>
        <v>フィーバーフェス（2日目）</v>
      </c>
      <c r="D4091" s="21">
        <v>10</v>
      </c>
      <c r="E4091" s="2">
        <f t="shared" si="631"/>
        <v>5</v>
      </c>
      <c r="F4091" s="2">
        <v>10</v>
      </c>
      <c r="G4091" s="3" t="s">
        <v>22</v>
      </c>
      <c r="H4091" s="2">
        <v>50</v>
      </c>
      <c r="I4091" s="114" t="str">
        <f t="shared" si="629"/>
        <v>567100</v>
      </c>
      <c r="J4091" s="112" t="str">
        <f>CONCATENATE(B4091,D4091,5)</f>
        <v>567105</v>
      </c>
      <c r="K4091" s="112" t="str">
        <f t="shared" si="630"/>
        <v>567100</v>
      </c>
      <c r="L4091" s="2">
        <v>1</v>
      </c>
      <c r="M4091" s="2" t="s">
        <v>84</v>
      </c>
      <c r="N4091" s="2" t="s">
        <v>84</v>
      </c>
      <c r="O4091" s="2" t="s">
        <v>841</v>
      </c>
      <c r="P4091" s="2" t="s">
        <v>2648</v>
      </c>
    </row>
    <row r="4092" spans="1:16" ht="22" customHeight="1" x14ac:dyDescent="0.15">
      <c r="A4092" s="10" t="str">
        <f t="shared" si="626"/>
        <v>567_10_6_10_polygon</v>
      </c>
      <c r="B4092" s="2">
        <v>567</v>
      </c>
      <c r="C4092" s="30" t="str">
        <f>VLOOKUP(B4092,gachas!A:C,3)</f>
        <v>フィーバーフェス（2日目）</v>
      </c>
      <c r="D4092" s="21">
        <v>10</v>
      </c>
      <c r="E4092" s="2">
        <f t="shared" si="631"/>
        <v>6</v>
      </c>
      <c r="F4092" s="2">
        <v>10</v>
      </c>
      <c r="G4092" s="3" t="s">
        <v>22</v>
      </c>
      <c r="H4092" s="2">
        <v>50</v>
      </c>
      <c r="I4092" s="114" t="str">
        <f t="shared" si="629"/>
        <v>567100</v>
      </c>
      <c r="J4092" s="112" t="s">
        <v>84</v>
      </c>
      <c r="K4092" s="112" t="str">
        <f t="shared" si="630"/>
        <v>567100</v>
      </c>
      <c r="L4092" s="2">
        <v>1</v>
      </c>
      <c r="M4092" s="2" t="s">
        <v>84</v>
      </c>
      <c r="N4092" s="2" t="s">
        <v>84</v>
      </c>
      <c r="O4092" s="2" t="s">
        <v>841</v>
      </c>
      <c r="P4092" s="2" t="s">
        <v>2571</v>
      </c>
    </row>
    <row r="4093" spans="1:16" ht="22" customHeight="1" x14ac:dyDescent="0.15">
      <c r="A4093" s="10" t="str">
        <f t="shared" si="626"/>
        <v>567_10_7_10_polygon</v>
      </c>
      <c r="B4093" s="2">
        <v>567</v>
      </c>
      <c r="C4093" s="30" t="str">
        <f>VLOOKUP(B4093,gachas!A:C,3)</f>
        <v>フィーバーフェス（2日目）</v>
      </c>
      <c r="D4093" s="21">
        <v>10</v>
      </c>
      <c r="E4093" s="2">
        <f t="shared" si="631"/>
        <v>7</v>
      </c>
      <c r="F4093" s="2">
        <v>10</v>
      </c>
      <c r="G4093" s="3" t="s">
        <v>22</v>
      </c>
      <c r="H4093" s="2">
        <v>50</v>
      </c>
      <c r="I4093" s="114" t="str">
        <f t="shared" si="629"/>
        <v>567100</v>
      </c>
      <c r="J4093" s="112" t="s">
        <v>84</v>
      </c>
      <c r="K4093" s="112" t="str">
        <f t="shared" si="630"/>
        <v>567100</v>
      </c>
      <c r="L4093" s="2">
        <v>1</v>
      </c>
      <c r="M4093" s="2" t="s">
        <v>84</v>
      </c>
      <c r="N4093" s="2" t="s">
        <v>84</v>
      </c>
      <c r="O4093" s="2" t="s">
        <v>841</v>
      </c>
      <c r="P4093" s="2" t="s">
        <v>2571</v>
      </c>
    </row>
    <row r="4094" spans="1:16" ht="22" customHeight="1" x14ac:dyDescent="0.15">
      <c r="A4094" s="10" t="str">
        <f t="shared" si="626"/>
        <v>567_10_8_10_polygon</v>
      </c>
      <c r="B4094" s="2">
        <v>567</v>
      </c>
      <c r="C4094" s="30" t="str">
        <f>VLOOKUP(B4094,gachas!A:C,3)</f>
        <v>フィーバーフェス（2日目）</v>
      </c>
      <c r="D4094" s="21">
        <v>10</v>
      </c>
      <c r="E4094" s="2">
        <f t="shared" si="631"/>
        <v>8</v>
      </c>
      <c r="F4094" s="2">
        <v>10</v>
      </c>
      <c r="G4094" s="3" t="s">
        <v>22</v>
      </c>
      <c r="H4094" s="2">
        <v>50</v>
      </c>
      <c r="I4094" s="114" t="str">
        <f t="shared" si="629"/>
        <v>567100</v>
      </c>
      <c r="J4094" s="112" t="s">
        <v>84</v>
      </c>
      <c r="K4094" s="112" t="str">
        <f t="shared" si="630"/>
        <v>567100</v>
      </c>
      <c r="L4094" s="2">
        <v>1</v>
      </c>
      <c r="M4094" s="2" t="s">
        <v>84</v>
      </c>
      <c r="N4094" s="2" t="s">
        <v>84</v>
      </c>
      <c r="O4094" s="2" t="s">
        <v>841</v>
      </c>
      <c r="P4094" s="2" t="s">
        <v>2571</v>
      </c>
    </row>
    <row r="4095" spans="1:16" ht="22" customHeight="1" x14ac:dyDescent="0.15">
      <c r="A4095" s="10" t="str">
        <f t="shared" si="626"/>
        <v>567_10_9_10_polygon</v>
      </c>
      <c r="B4095" s="2">
        <v>567</v>
      </c>
      <c r="C4095" s="30" t="str">
        <f>VLOOKUP(B4095,gachas!A:C,3)</f>
        <v>フィーバーフェス（2日目）</v>
      </c>
      <c r="D4095" s="21">
        <v>10</v>
      </c>
      <c r="E4095" s="2">
        <f t="shared" si="631"/>
        <v>9</v>
      </c>
      <c r="F4095" s="2">
        <v>10</v>
      </c>
      <c r="G4095" s="3" t="s">
        <v>22</v>
      </c>
      <c r="H4095" s="2">
        <v>50</v>
      </c>
      <c r="I4095" s="114" t="str">
        <f t="shared" si="629"/>
        <v>567100</v>
      </c>
      <c r="J4095" s="112" t="s">
        <v>84</v>
      </c>
      <c r="K4095" s="112" t="str">
        <f t="shared" si="630"/>
        <v>567100</v>
      </c>
      <c r="L4095" s="2">
        <v>1</v>
      </c>
      <c r="M4095" s="2" t="s">
        <v>84</v>
      </c>
      <c r="N4095" s="2" t="s">
        <v>84</v>
      </c>
      <c r="O4095" s="2" t="s">
        <v>841</v>
      </c>
      <c r="P4095" s="2" t="s">
        <v>2571</v>
      </c>
    </row>
    <row r="4096" spans="1:16" ht="22" customHeight="1" x14ac:dyDescent="0.15">
      <c r="A4096" s="10" t="str">
        <f t="shared" si="626"/>
        <v>567_10_10_10_polygon</v>
      </c>
      <c r="B4096" s="2">
        <v>567</v>
      </c>
      <c r="C4096" s="30" t="str">
        <f>VLOOKUP(B4096,gachas!A:C,3)</f>
        <v>フィーバーフェス（2日目）</v>
      </c>
      <c r="D4096" s="21">
        <v>10</v>
      </c>
      <c r="E4096" s="2">
        <f t="shared" si="631"/>
        <v>10</v>
      </c>
      <c r="F4096" s="2">
        <v>10</v>
      </c>
      <c r="G4096" s="3" t="s">
        <v>22</v>
      </c>
      <c r="H4096" s="2">
        <v>50</v>
      </c>
      <c r="I4096" s="114" t="str">
        <f t="shared" si="629"/>
        <v>567100</v>
      </c>
      <c r="J4096" s="112" t="str">
        <f>CONCATENATE(B4096,D4096,5)</f>
        <v>567105</v>
      </c>
      <c r="K4096" s="112" t="str">
        <f t="shared" si="630"/>
        <v>567100</v>
      </c>
      <c r="L4096" s="2">
        <v>1</v>
      </c>
      <c r="M4096" s="2" t="s">
        <v>84</v>
      </c>
      <c r="N4096" s="2" t="s">
        <v>84</v>
      </c>
      <c r="O4096" s="2" t="s">
        <v>841</v>
      </c>
      <c r="P4096" s="2" t="s">
        <v>2648</v>
      </c>
    </row>
    <row r="4097" spans="1:16" ht="22" customHeight="1" x14ac:dyDescent="0.15">
      <c r="A4097" s="10" t="str">
        <f t="shared" si="626"/>
        <v>567_10_11_10_polygon</v>
      </c>
      <c r="B4097" s="2">
        <v>567</v>
      </c>
      <c r="C4097" s="30" t="str">
        <f>VLOOKUP(B4097,gachas!A:C,3)</f>
        <v>フィーバーフェス（2日目）</v>
      </c>
      <c r="D4097" s="21">
        <v>10</v>
      </c>
      <c r="E4097" s="2">
        <f t="shared" si="631"/>
        <v>11</v>
      </c>
      <c r="F4097" s="2">
        <v>10</v>
      </c>
      <c r="G4097" s="3" t="s">
        <v>22</v>
      </c>
      <c r="H4097" s="2">
        <v>50</v>
      </c>
      <c r="I4097" s="114" t="str">
        <f t="shared" si="629"/>
        <v>567100</v>
      </c>
      <c r="J4097" s="112" t="s">
        <v>84</v>
      </c>
      <c r="K4097" s="112" t="str">
        <f t="shared" si="630"/>
        <v>567100</v>
      </c>
      <c r="L4097" s="2">
        <v>1</v>
      </c>
      <c r="M4097" s="2" t="s">
        <v>84</v>
      </c>
      <c r="N4097" s="2" t="s">
        <v>84</v>
      </c>
      <c r="O4097" s="2" t="s">
        <v>841</v>
      </c>
      <c r="P4097" s="2" t="s">
        <v>2571</v>
      </c>
    </row>
    <row r="4098" spans="1:16" ht="22" customHeight="1" x14ac:dyDescent="0.15">
      <c r="A4098" s="10" t="str">
        <f t="shared" ref="A4098:A4161" si="632">B4098&amp;"_"&amp;D4098&amp;"_"&amp;E4098&amp;"_"&amp;F4098&amp;"_"&amp;G4098</f>
        <v>567_10_12_10_polygon</v>
      </c>
      <c r="B4098" s="2">
        <v>567</v>
      </c>
      <c r="C4098" s="30" t="str">
        <f>VLOOKUP(B4098,gachas!A:C,3)</f>
        <v>フィーバーフェス（2日目）</v>
      </c>
      <c r="D4098" s="21">
        <v>10</v>
      </c>
      <c r="E4098" s="2">
        <f t="shared" si="631"/>
        <v>12</v>
      </c>
      <c r="F4098" s="2">
        <v>10</v>
      </c>
      <c r="G4098" s="3" t="s">
        <v>22</v>
      </c>
      <c r="H4098" s="2">
        <v>50</v>
      </c>
      <c r="I4098" s="114" t="str">
        <f t="shared" si="629"/>
        <v>567100</v>
      </c>
      <c r="J4098" s="112" t="s">
        <v>84</v>
      </c>
      <c r="K4098" s="112" t="str">
        <f t="shared" si="630"/>
        <v>567100</v>
      </c>
      <c r="L4098" s="2">
        <v>1</v>
      </c>
      <c r="M4098" s="2" t="s">
        <v>84</v>
      </c>
      <c r="N4098" s="2" t="s">
        <v>84</v>
      </c>
      <c r="O4098" s="2" t="s">
        <v>841</v>
      </c>
      <c r="P4098" s="2" t="s">
        <v>2571</v>
      </c>
    </row>
    <row r="4099" spans="1:16" ht="22" customHeight="1" x14ac:dyDescent="0.15">
      <c r="A4099" s="10" t="str">
        <f t="shared" si="632"/>
        <v>567_10_13_10_polygon</v>
      </c>
      <c r="B4099" s="2">
        <v>567</v>
      </c>
      <c r="C4099" s="30" t="str">
        <f>VLOOKUP(B4099,gachas!A:C,3)</f>
        <v>フィーバーフェス（2日目）</v>
      </c>
      <c r="D4099" s="21">
        <v>10</v>
      </c>
      <c r="E4099" s="2">
        <f t="shared" si="631"/>
        <v>13</v>
      </c>
      <c r="F4099" s="2">
        <v>10</v>
      </c>
      <c r="G4099" s="3" t="s">
        <v>22</v>
      </c>
      <c r="H4099" s="2">
        <v>50</v>
      </c>
      <c r="I4099" s="114" t="str">
        <f t="shared" si="629"/>
        <v>567100</v>
      </c>
      <c r="J4099" s="112" t="s">
        <v>84</v>
      </c>
      <c r="K4099" s="112" t="str">
        <f t="shared" si="630"/>
        <v>567100</v>
      </c>
      <c r="L4099" s="2">
        <v>1</v>
      </c>
      <c r="M4099" s="2" t="s">
        <v>84</v>
      </c>
      <c r="N4099" s="2" t="s">
        <v>84</v>
      </c>
      <c r="O4099" s="2" t="s">
        <v>841</v>
      </c>
      <c r="P4099" s="2" t="s">
        <v>2571</v>
      </c>
    </row>
    <row r="4100" spans="1:16" ht="22" customHeight="1" x14ac:dyDescent="0.15">
      <c r="A4100" s="10" t="str">
        <f t="shared" si="632"/>
        <v>567_10_14_10_polygon</v>
      </c>
      <c r="B4100" s="2">
        <v>567</v>
      </c>
      <c r="C4100" s="30" t="str">
        <f>VLOOKUP(B4100,gachas!A:C,3)</f>
        <v>フィーバーフェス（2日目）</v>
      </c>
      <c r="D4100" s="21">
        <v>10</v>
      </c>
      <c r="E4100" s="2">
        <f t="shared" si="631"/>
        <v>14</v>
      </c>
      <c r="F4100" s="2">
        <v>10</v>
      </c>
      <c r="G4100" s="3" t="s">
        <v>22</v>
      </c>
      <c r="H4100" s="2">
        <v>50</v>
      </c>
      <c r="I4100" s="114" t="str">
        <f t="shared" ref="I4100:I4163" si="633">CONCATENATE(B4100,IF(D4100=1,"01","10"),0)</f>
        <v>567100</v>
      </c>
      <c r="J4100" s="112" t="s">
        <v>84</v>
      </c>
      <c r="K4100" s="112" t="str">
        <f t="shared" si="630"/>
        <v>567100</v>
      </c>
      <c r="L4100" s="2">
        <v>1</v>
      </c>
      <c r="M4100" s="2" t="s">
        <v>84</v>
      </c>
      <c r="N4100" s="2" t="s">
        <v>84</v>
      </c>
      <c r="O4100" s="2" t="s">
        <v>841</v>
      </c>
      <c r="P4100" s="2" t="s">
        <v>2571</v>
      </c>
    </row>
    <row r="4101" spans="1:16" ht="22" customHeight="1" x14ac:dyDescent="0.15">
      <c r="A4101" s="10" t="str">
        <f t="shared" si="632"/>
        <v>567_10_15_10_polygon</v>
      </c>
      <c r="B4101" s="2">
        <v>567</v>
      </c>
      <c r="C4101" s="30" t="str">
        <f>VLOOKUP(B4101,gachas!A:C,3)</f>
        <v>フィーバーフェス（2日目）</v>
      </c>
      <c r="D4101" s="21">
        <v>10</v>
      </c>
      <c r="E4101" s="2">
        <f t="shared" si="631"/>
        <v>15</v>
      </c>
      <c r="F4101" s="2">
        <v>10</v>
      </c>
      <c r="G4101" s="3" t="s">
        <v>22</v>
      </c>
      <c r="H4101" s="2">
        <v>50</v>
      </c>
      <c r="I4101" s="114" t="str">
        <f t="shared" si="633"/>
        <v>567100</v>
      </c>
      <c r="J4101" s="112" t="str">
        <f>CONCATENATE(B4101,D4101,5)</f>
        <v>567105</v>
      </c>
      <c r="K4101" s="112" t="str">
        <f t="shared" si="630"/>
        <v>567100</v>
      </c>
      <c r="L4101" s="2">
        <v>1</v>
      </c>
      <c r="M4101" s="2" t="s">
        <v>84</v>
      </c>
      <c r="N4101" s="2" t="s">
        <v>84</v>
      </c>
      <c r="O4101" s="2" t="s">
        <v>841</v>
      </c>
      <c r="P4101" s="2" t="s">
        <v>2648</v>
      </c>
    </row>
    <row r="4102" spans="1:16" ht="22" customHeight="1" x14ac:dyDescent="0.15">
      <c r="A4102" s="10" t="str">
        <f t="shared" si="632"/>
        <v>567_10_16_10_polygon</v>
      </c>
      <c r="B4102" s="2">
        <v>567</v>
      </c>
      <c r="C4102" s="30" t="str">
        <f>VLOOKUP(B4102,gachas!A:C,3)</f>
        <v>フィーバーフェス（2日目）</v>
      </c>
      <c r="D4102" s="21">
        <v>10</v>
      </c>
      <c r="E4102" s="2">
        <f t="shared" si="631"/>
        <v>16</v>
      </c>
      <c r="F4102" s="2">
        <v>10</v>
      </c>
      <c r="G4102" s="3" t="s">
        <v>22</v>
      </c>
      <c r="H4102" s="2">
        <v>50</v>
      </c>
      <c r="I4102" s="114" t="str">
        <f t="shared" si="633"/>
        <v>567100</v>
      </c>
      <c r="J4102" s="112" t="s">
        <v>84</v>
      </c>
      <c r="K4102" s="112" t="str">
        <f t="shared" si="630"/>
        <v>567100</v>
      </c>
      <c r="L4102" s="2">
        <v>1</v>
      </c>
      <c r="M4102" s="2" t="s">
        <v>84</v>
      </c>
      <c r="N4102" s="2" t="s">
        <v>84</v>
      </c>
      <c r="O4102" s="2" t="s">
        <v>841</v>
      </c>
      <c r="P4102" s="2" t="s">
        <v>2571</v>
      </c>
    </row>
    <row r="4103" spans="1:16" ht="22" customHeight="1" x14ac:dyDescent="0.15">
      <c r="A4103" s="10" t="str">
        <f t="shared" si="632"/>
        <v>567_10_17_10_polygon</v>
      </c>
      <c r="B4103" s="2">
        <v>567</v>
      </c>
      <c r="C4103" s="30" t="str">
        <f>VLOOKUP(B4103,gachas!A:C,3)</f>
        <v>フィーバーフェス（2日目）</v>
      </c>
      <c r="D4103" s="21">
        <v>10</v>
      </c>
      <c r="E4103" s="2">
        <f t="shared" si="631"/>
        <v>17</v>
      </c>
      <c r="F4103" s="2">
        <v>10</v>
      </c>
      <c r="G4103" s="3" t="s">
        <v>22</v>
      </c>
      <c r="H4103" s="2">
        <v>50</v>
      </c>
      <c r="I4103" s="114" t="str">
        <f t="shared" si="633"/>
        <v>567100</v>
      </c>
      <c r="J4103" s="112" t="s">
        <v>84</v>
      </c>
      <c r="K4103" s="112" t="str">
        <f t="shared" si="630"/>
        <v>567100</v>
      </c>
      <c r="L4103" s="2">
        <v>1</v>
      </c>
      <c r="M4103" s="2" t="s">
        <v>84</v>
      </c>
      <c r="N4103" s="2" t="s">
        <v>84</v>
      </c>
      <c r="O4103" s="2" t="s">
        <v>841</v>
      </c>
      <c r="P4103" s="2" t="s">
        <v>2571</v>
      </c>
    </row>
    <row r="4104" spans="1:16" ht="22" customHeight="1" x14ac:dyDescent="0.15">
      <c r="A4104" s="10" t="str">
        <f t="shared" si="632"/>
        <v>567_10_18_10_polygon</v>
      </c>
      <c r="B4104" s="2">
        <v>567</v>
      </c>
      <c r="C4104" s="30" t="str">
        <f>VLOOKUP(B4104,gachas!A:C,3)</f>
        <v>フィーバーフェス（2日目）</v>
      </c>
      <c r="D4104" s="21">
        <v>10</v>
      </c>
      <c r="E4104" s="2">
        <f t="shared" si="631"/>
        <v>18</v>
      </c>
      <c r="F4104" s="2">
        <v>10</v>
      </c>
      <c r="G4104" s="3" t="s">
        <v>22</v>
      </c>
      <c r="H4104" s="2">
        <v>50</v>
      </c>
      <c r="I4104" s="114" t="str">
        <f t="shared" si="633"/>
        <v>567100</v>
      </c>
      <c r="J4104" s="112" t="s">
        <v>84</v>
      </c>
      <c r="K4104" s="112" t="str">
        <f t="shared" si="630"/>
        <v>567100</v>
      </c>
      <c r="L4104" s="2">
        <v>1</v>
      </c>
      <c r="M4104" s="2" t="s">
        <v>84</v>
      </c>
      <c r="N4104" s="2" t="s">
        <v>84</v>
      </c>
      <c r="O4104" s="2" t="s">
        <v>841</v>
      </c>
      <c r="P4104" s="2" t="s">
        <v>2571</v>
      </c>
    </row>
    <row r="4105" spans="1:16" ht="22" customHeight="1" x14ac:dyDescent="0.15">
      <c r="A4105" s="10" t="str">
        <f t="shared" si="632"/>
        <v>567_10_19_10_polygon</v>
      </c>
      <c r="B4105" s="2">
        <v>567</v>
      </c>
      <c r="C4105" s="30" t="str">
        <f>VLOOKUP(B4105,gachas!A:C,3)</f>
        <v>フィーバーフェス（2日目）</v>
      </c>
      <c r="D4105" s="21">
        <v>10</v>
      </c>
      <c r="E4105" s="2">
        <f t="shared" si="631"/>
        <v>19</v>
      </c>
      <c r="F4105" s="2">
        <v>10</v>
      </c>
      <c r="G4105" s="3" t="s">
        <v>22</v>
      </c>
      <c r="H4105" s="2">
        <v>50</v>
      </c>
      <c r="I4105" s="114" t="str">
        <f t="shared" si="633"/>
        <v>567100</v>
      </c>
      <c r="J4105" s="112" t="s">
        <v>84</v>
      </c>
      <c r="K4105" s="112" t="str">
        <f t="shared" si="630"/>
        <v>567100</v>
      </c>
      <c r="L4105" s="2">
        <v>1</v>
      </c>
      <c r="M4105" s="2" t="s">
        <v>84</v>
      </c>
      <c r="N4105" s="2" t="s">
        <v>84</v>
      </c>
      <c r="O4105" s="2" t="s">
        <v>841</v>
      </c>
      <c r="P4105" s="2" t="s">
        <v>2571</v>
      </c>
    </row>
    <row r="4106" spans="1:16" ht="22" customHeight="1" x14ac:dyDescent="0.15">
      <c r="A4106" s="10" t="str">
        <f t="shared" si="632"/>
        <v>567_10_20_10_polygon</v>
      </c>
      <c r="B4106" s="2">
        <v>567</v>
      </c>
      <c r="C4106" s="30" t="str">
        <f>VLOOKUP(B4106,gachas!A:C,3)</f>
        <v>フィーバーフェス（2日目）</v>
      </c>
      <c r="D4106" s="21">
        <v>10</v>
      </c>
      <c r="E4106" s="2">
        <f t="shared" si="631"/>
        <v>20</v>
      </c>
      <c r="F4106" s="2">
        <v>10</v>
      </c>
      <c r="G4106" s="3" t="s">
        <v>22</v>
      </c>
      <c r="H4106" s="2">
        <v>50</v>
      </c>
      <c r="I4106" s="114" t="str">
        <f t="shared" si="633"/>
        <v>567100</v>
      </c>
      <c r="J4106" s="112" t="str">
        <f>CONCATENATE(B4106,D4106,5)</f>
        <v>567105</v>
      </c>
      <c r="K4106" s="112" t="str">
        <f t="shared" si="630"/>
        <v>567100</v>
      </c>
      <c r="L4106" s="2">
        <v>1</v>
      </c>
      <c r="M4106" s="2" t="s">
        <v>84</v>
      </c>
      <c r="N4106" s="2" t="s">
        <v>84</v>
      </c>
      <c r="O4106" s="2" t="s">
        <v>841</v>
      </c>
      <c r="P4106" s="2" t="s">
        <v>2648</v>
      </c>
    </row>
    <row r="4107" spans="1:16" ht="22" customHeight="1" x14ac:dyDescent="0.15">
      <c r="A4107" s="10" t="str">
        <f t="shared" si="632"/>
        <v>567_10_21_10_polygon</v>
      </c>
      <c r="B4107" s="2">
        <v>567</v>
      </c>
      <c r="C4107" s="30" t="str">
        <f>VLOOKUP(B4107,gachas!A:C,3)</f>
        <v>フィーバーフェス（2日目）</v>
      </c>
      <c r="D4107" s="21">
        <v>10</v>
      </c>
      <c r="E4107" s="2">
        <f t="shared" si="631"/>
        <v>21</v>
      </c>
      <c r="F4107" s="2">
        <v>10</v>
      </c>
      <c r="G4107" s="3" t="s">
        <v>22</v>
      </c>
      <c r="H4107" s="2">
        <v>50</v>
      </c>
      <c r="I4107" s="114" t="str">
        <f t="shared" si="633"/>
        <v>567100</v>
      </c>
      <c r="J4107" s="112" t="s">
        <v>84</v>
      </c>
      <c r="K4107" s="112" t="str">
        <f t="shared" si="630"/>
        <v>567100</v>
      </c>
      <c r="L4107" s="2">
        <v>1</v>
      </c>
      <c r="M4107" s="2" t="s">
        <v>84</v>
      </c>
      <c r="N4107" s="2" t="s">
        <v>84</v>
      </c>
      <c r="O4107" s="2" t="s">
        <v>841</v>
      </c>
      <c r="P4107" s="2" t="s">
        <v>2571</v>
      </c>
    </row>
    <row r="4108" spans="1:16" ht="22" customHeight="1" x14ac:dyDescent="0.15">
      <c r="A4108" s="10" t="str">
        <f t="shared" si="632"/>
        <v>567_10_22_10_polygon</v>
      </c>
      <c r="B4108" s="2">
        <v>567</v>
      </c>
      <c r="C4108" s="30" t="str">
        <f>VLOOKUP(B4108,gachas!A:C,3)</f>
        <v>フィーバーフェス（2日目）</v>
      </c>
      <c r="D4108" s="21">
        <v>10</v>
      </c>
      <c r="E4108" s="2">
        <f t="shared" si="631"/>
        <v>22</v>
      </c>
      <c r="F4108" s="2">
        <v>10</v>
      </c>
      <c r="G4108" s="3" t="s">
        <v>22</v>
      </c>
      <c r="H4108" s="2">
        <v>50</v>
      </c>
      <c r="I4108" s="114" t="str">
        <f t="shared" si="633"/>
        <v>567100</v>
      </c>
      <c r="J4108" s="112" t="s">
        <v>84</v>
      </c>
      <c r="K4108" s="112" t="str">
        <f t="shared" si="630"/>
        <v>567100</v>
      </c>
      <c r="L4108" s="2">
        <v>1</v>
      </c>
      <c r="M4108" s="2" t="s">
        <v>84</v>
      </c>
      <c r="N4108" s="2" t="s">
        <v>84</v>
      </c>
      <c r="O4108" s="2" t="s">
        <v>841</v>
      </c>
      <c r="P4108" s="2" t="s">
        <v>2571</v>
      </c>
    </row>
    <row r="4109" spans="1:16" ht="22" customHeight="1" x14ac:dyDescent="0.15">
      <c r="A4109" s="10" t="str">
        <f t="shared" si="632"/>
        <v>567_10_23_10_polygon</v>
      </c>
      <c r="B4109" s="2">
        <v>567</v>
      </c>
      <c r="C4109" s="30" t="str">
        <f>VLOOKUP(B4109,gachas!A:C,3)</f>
        <v>フィーバーフェス（2日目）</v>
      </c>
      <c r="D4109" s="21">
        <v>10</v>
      </c>
      <c r="E4109" s="2">
        <f t="shared" si="631"/>
        <v>23</v>
      </c>
      <c r="F4109" s="2">
        <v>10</v>
      </c>
      <c r="G4109" s="3" t="s">
        <v>22</v>
      </c>
      <c r="H4109" s="2">
        <v>50</v>
      </c>
      <c r="I4109" s="114" t="str">
        <f t="shared" si="633"/>
        <v>567100</v>
      </c>
      <c r="J4109" s="112" t="s">
        <v>84</v>
      </c>
      <c r="K4109" s="112" t="str">
        <f t="shared" si="630"/>
        <v>567100</v>
      </c>
      <c r="L4109" s="2">
        <v>1</v>
      </c>
      <c r="M4109" s="2" t="s">
        <v>84</v>
      </c>
      <c r="N4109" s="2" t="s">
        <v>84</v>
      </c>
      <c r="O4109" s="2" t="s">
        <v>841</v>
      </c>
      <c r="P4109" s="2" t="s">
        <v>2571</v>
      </c>
    </row>
    <row r="4110" spans="1:16" ht="22" customHeight="1" x14ac:dyDescent="0.15">
      <c r="A4110" s="10" t="str">
        <f t="shared" si="632"/>
        <v>567_10_24_10_polygon</v>
      </c>
      <c r="B4110" s="2">
        <v>567</v>
      </c>
      <c r="C4110" s="30" t="str">
        <f>VLOOKUP(B4110,gachas!A:C,3)</f>
        <v>フィーバーフェス（2日目）</v>
      </c>
      <c r="D4110" s="21">
        <v>10</v>
      </c>
      <c r="E4110" s="2">
        <f t="shared" si="631"/>
        <v>24</v>
      </c>
      <c r="F4110" s="2">
        <v>10</v>
      </c>
      <c r="G4110" s="3" t="s">
        <v>22</v>
      </c>
      <c r="H4110" s="2">
        <v>50</v>
      </c>
      <c r="I4110" s="114" t="str">
        <f t="shared" si="633"/>
        <v>567100</v>
      </c>
      <c r="J4110" s="112" t="s">
        <v>84</v>
      </c>
      <c r="K4110" s="112" t="str">
        <f t="shared" si="630"/>
        <v>567100</v>
      </c>
      <c r="L4110" s="2">
        <v>1</v>
      </c>
      <c r="M4110" s="2" t="s">
        <v>84</v>
      </c>
      <c r="N4110" s="2" t="s">
        <v>84</v>
      </c>
      <c r="O4110" s="2" t="s">
        <v>841</v>
      </c>
      <c r="P4110" s="2" t="s">
        <v>2571</v>
      </c>
    </row>
    <row r="4111" spans="1:16" ht="22" customHeight="1" x14ac:dyDescent="0.15">
      <c r="A4111" s="10" t="str">
        <f t="shared" si="632"/>
        <v>567_10_25_10_polygon</v>
      </c>
      <c r="B4111" s="2">
        <v>567</v>
      </c>
      <c r="C4111" s="30" t="str">
        <f>VLOOKUP(B4111,gachas!A:C,3)</f>
        <v>フィーバーフェス（2日目）</v>
      </c>
      <c r="D4111" s="21">
        <v>10</v>
      </c>
      <c r="E4111" s="2">
        <f t="shared" si="631"/>
        <v>25</v>
      </c>
      <c r="F4111" s="2">
        <v>10</v>
      </c>
      <c r="G4111" s="3" t="s">
        <v>22</v>
      </c>
      <c r="H4111" s="2">
        <v>50</v>
      </c>
      <c r="I4111" s="114" t="str">
        <f t="shared" si="633"/>
        <v>567100</v>
      </c>
      <c r="J4111" s="112" t="str">
        <f>CONCATENATE(B4111,D4111,5)</f>
        <v>567105</v>
      </c>
      <c r="K4111" s="112" t="str">
        <f t="shared" si="630"/>
        <v>567100</v>
      </c>
      <c r="L4111" s="2">
        <v>1</v>
      </c>
      <c r="M4111" s="2" t="s">
        <v>84</v>
      </c>
      <c r="N4111" s="2" t="s">
        <v>84</v>
      </c>
      <c r="O4111" s="2" t="s">
        <v>841</v>
      </c>
      <c r="P4111" s="2" t="s">
        <v>2648</v>
      </c>
    </row>
    <row r="4112" spans="1:16" ht="22" customHeight="1" x14ac:dyDescent="0.15">
      <c r="A4112" s="10" t="str">
        <f t="shared" si="632"/>
        <v>567_10_26_10_polygon</v>
      </c>
      <c r="B4112" s="2">
        <v>567</v>
      </c>
      <c r="C4112" s="30" t="str">
        <f>VLOOKUP(B4112,gachas!A:C,3)</f>
        <v>フィーバーフェス（2日目）</v>
      </c>
      <c r="D4112" s="21">
        <v>10</v>
      </c>
      <c r="E4112" s="2">
        <f t="shared" si="631"/>
        <v>26</v>
      </c>
      <c r="F4112" s="2">
        <v>10</v>
      </c>
      <c r="G4112" s="3" t="s">
        <v>22</v>
      </c>
      <c r="H4112" s="2">
        <v>50</v>
      </c>
      <c r="I4112" s="114" t="str">
        <f t="shared" si="633"/>
        <v>567100</v>
      </c>
      <c r="J4112" s="112" t="s">
        <v>84</v>
      </c>
      <c r="K4112" s="112" t="str">
        <f t="shared" si="630"/>
        <v>567100</v>
      </c>
      <c r="L4112" s="2">
        <v>1</v>
      </c>
      <c r="M4112" s="2" t="s">
        <v>84</v>
      </c>
      <c r="N4112" s="2" t="s">
        <v>84</v>
      </c>
      <c r="O4112" s="2" t="s">
        <v>841</v>
      </c>
      <c r="P4112" s="2" t="s">
        <v>2571</v>
      </c>
    </row>
    <row r="4113" spans="1:16" ht="22" customHeight="1" x14ac:dyDescent="0.15">
      <c r="A4113" s="10" t="str">
        <f t="shared" si="632"/>
        <v>567_10_27_10_polygon</v>
      </c>
      <c r="B4113" s="2">
        <v>567</v>
      </c>
      <c r="C4113" s="30" t="str">
        <f>VLOOKUP(B4113,gachas!A:C,3)</f>
        <v>フィーバーフェス（2日目）</v>
      </c>
      <c r="D4113" s="21">
        <v>10</v>
      </c>
      <c r="E4113" s="2">
        <f t="shared" si="631"/>
        <v>27</v>
      </c>
      <c r="F4113" s="2">
        <v>10</v>
      </c>
      <c r="G4113" s="3" t="s">
        <v>22</v>
      </c>
      <c r="H4113" s="2">
        <v>50</v>
      </c>
      <c r="I4113" s="114" t="str">
        <f t="shared" si="633"/>
        <v>567100</v>
      </c>
      <c r="J4113" s="112" t="s">
        <v>84</v>
      </c>
      <c r="K4113" s="112" t="str">
        <f t="shared" si="630"/>
        <v>567100</v>
      </c>
      <c r="L4113" s="2">
        <v>1</v>
      </c>
      <c r="M4113" s="2" t="s">
        <v>84</v>
      </c>
      <c r="N4113" s="2" t="s">
        <v>84</v>
      </c>
      <c r="O4113" s="2" t="s">
        <v>841</v>
      </c>
      <c r="P4113" s="2" t="s">
        <v>2571</v>
      </c>
    </row>
    <row r="4114" spans="1:16" ht="22" customHeight="1" x14ac:dyDescent="0.15">
      <c r="A4114" s="10" t="str">
        <f t="shared" si="632"/>
        <v>567_10_28_10_polygon</v>
      </c>
      <c r="B4114" s="2">
        <v>567</v>
      </c>
      <c r="C4114" s="30" t="str">
        <f>VLOOKUP(B4114,gachas!A:C,3)</f>
        <v>フィーバーフェス（2日目）</v>
      </c>
      <c r="D4114" s="21">
        <v>10</v>
      </c>
      <c r="E4114" s="2">
        <f t="shared" si="631"/>
        <v>28</v>
      </c>
      <c r="F4114" s="2">
        <v>10</v>
      </c>
      <c r="G4114" s="3" t="s">
        <v>22</v>
      </c>
      <c r="H4114" s="2">
        <v>50</v>
      </c>
      <c r="I4114" s="114" t="str">
        <f t="shared" si="633"/>
        <v>567100</v>
      </c>
      <c r="J4114" s="112" t="s">
        <v>84</v>
      </c>
      <c r="K4114" s="112" t="str">
        <f t="shared" si="630"/>
        <v>567100</v>
      </c>
      <c r="L4114" s="2">
        <v>1</v>
      </c>
      <c r="M4114" s="2" t="s">
        <v>84</v>
      </c>
      <c r="N4114" s="2" t="s">
        <v>84</v>
      </c>
      <c r="O4114" s="2" t="s">
        <v>841</v>
      </c>
      <c r="P4114" s="2" t="s">
        <v>2571</v>
      </c>
    </row>
    <row r="4115" spans="1:16" ht="22" customHeight="1" x14ac:dyDescent="0.15">
      <c r="A4115" s="10" t="str">
        <f t="shared" si="632"/>
        <v>567_10_29_10_polygon</v>
      </c>
      <c r="B4115" s="2">
        <v>567</v>
      </c>
      <c r="C4115" s="30" t="str">
        <f>VLOOKUP(B4115,gachas!A:C,3)</f>
        <v>フィーバーフェス（2日目）</v>
      </c>
      <c r="D4115" s="21">
        <v>10</v>
      </c>
      <c r="E4115" s="2">
        <f t="shared" si="631"/>
        <v>29</v>
      </c>
      <c r="F4115" s="2">
        <v>10</v>
      </c>
      <c r="G4115" s="3" t="s">
        <v>22</v>
      </c>
      <c r="H4115" s="2">
        <v>50</v>
      </c>
      <c r="I4115" s="114" t="str">
        <f t="shared" si="633"/>
        <v>567100</v>
      </c>
      <c r="J4115" s="112" t="s">
        <v>84</v>
      </c>
      <c r="K4115" s="112" t="str">
        <f t="shared" si="630"/>
        <v>567100</v>
      </c>
      <c r="L4115" s="2">
        <v>1</v>
      </c>
      <c r="M4115" s="2" t="s">
        <v>84</v>
      </c>
      <c r="N4115" s="2" t="s">
        <v>84</v>
      </c>
      <c r="O4115" s="2" t="s">
        <v>841</v>
      </c>
      <c r="P4115" s="2" t="s">
        <v>2571</v>
      </c>
    </row>
    <row r="4116" spans="1:16" ht="22" customHeight="1" x14ac:dyDescent="0.15">
      <c r="A4116" s="10" t="str">
        <f t="shared" si="632"/>
        <v>567_10_30_10_polygon</v>
      </c>
      <c r="B4116" s="2">
        <v>567</v>
      </c>
      <c r="C4116" s="30" t="str">
        <f>VLOOKUP(B4116,gachas!A:C,3)</f>
        <v>フィーバーフェス（2日目）</v>
      </c>
      <c r="D4116" s="21">
        <v>10</v>
      </c>
      <c r="E4116" s="2">
        <f t="shared" si="631"/>
        <v>30</v>
      </c>
      <c r="F4116" s="2">
        <v>10</v>
      </c>
      <c r="G4116" s="3" t="s">
        <v>22</v>
      </c>
      <c r="H4116" s="2">
        <v>50</v>
      </c>
      <c r="I4116" s="114" t="str">
        <f t="shared" si="633"/>
        <v>567100</v>
      </c>
      <c r="J4116" s="112" t="str">
        <f>CONCATENATE(B4116,D4116,5)</f>
        <v>567105</v>
      </c>
      <c r="K4116" s="112" t="str">
        <f t="shared" si="630"/>
        <v>567100</v>
      </c>
      <c r="L4116" s="2">
        <v>1</v>
      </c>
      <c r="M4116" s="2" t="s">
        <v>84</v>
      </c>
      <c r="N4116" s="2" t="s">
        <v>84</v>
      </c>
      <c r="O4116" s="2" t="s">
        <v>841</v>
      </c>
      <c r="P4116" s="2" t="s">
        <v>2648</v>
      </c>
    </row>
    <row r="4117" spans="1:16" ht="22" customHeight="1" x14ac:dyDescent="0.15">
      <c r="A4117" s="10" t="str">
        <f t="shared" si="632"/>
        <v>567_10_31_10_polygon</v>
      </c>
      <c r="B4117" s="2">
        <v>567</v>
      </c>
      <c r="C4117" s="30" t="str">
        <f>VLOOKUP(B4117,gachas!A:C,3)</f>
        <v>フィーバーフェス（2日目）</v>
      </c>
      <c r="D4117" s="21">
        <v>10</v>
      </c>
      <c r="E4117" s="2">
        <f t="shared" si="631"/>
        <v>31</v>
      </c>
      <c r="F4117" s="2">
        <v>10</v>
      </c>
      <c r="G4117" s="3" t="s">
        <v>22</v>
      </c>
      <c r="H4117" s="2">
        <v>50</v>
      </c>
      <c r="I4117" s="114" t="str">
        <f t="shared" si="633"/>
        <v>567100</v>
      </c>
      <c r="J4117" s="112" t="s">
        <v>84</v>
      </c>
      <c r="K4117" s="112" t="str">
        <f t="shared" si="630"/>
        <v>567100</v>
      </c>
      <c r="L4117" s="2">
        <v>1</v>
      </c>
      <c r="M4117" s="2" t="s">
        <v>84</v>
      </c>
      <c r="N4117" s="2" t="s">
        <v>84</v>
      </c>
      <c r="O4117" s="2" t="s">
        <v>841</v>
      </c>
      <c r="P4117" s="2" t="s">
        <v>2571</v>
      </c>
    </row>
    <row r="4118" spans="1:16" ht="22" customHeight="1" x14ac:dyDescent="0.15">
      <c r="A4118" s="10" t="str">
        <f t="shared" si="632"/>
        <v>567_10_32_10_polygon</v>
      </c>
      <c r="B4118" s="2">
        <v>567</v>
      </c>
      <c r="C4118" s="30" t="str">
        <f>VLOOKUP(B4118,gachas!A:C,3)</f>
        <v>フィーバーフェス（2日目）</v>
      </c>
      <c r="D4118" s="21">
        <v>10</v>
      </c>
      <c r="E4118" s="2">
        <f t="shared" si="631"/>
        <v>32</v>
      </c>
      <c r="F4118" s="2">
        <v>10</v>
      </c>
      <c r="G4118" s="3" t="s">
        <v>22</v>
      </c>
      <c r="H4118" s="2">
        <v>50</v>
      </c>
      <c r="I4118" s="114" t="str">
        <f t="shared" si="633"/>
        <v>567100</v>
      </c>
      <c r="J4118" s="112" t="s">
        <v>84</v>
      </c>
      <c r="K4118" s="112" t="str">
        <f t="shared" si="630"/>
        <v>567100</v>
      </c>
      <c r="L4118" s="2">
        <v>1</v>
      </c>
      <c r="M4118" s="2" t="s">
        <v>84</v>
      </c>
      <c r="N4118" s="2" t="s">
        <v>84</v>
      </c>
      <c r="O4118" s="2" t="s">
        <v>841</v>
      </c>
      <c r="P4118" s="2" t="s">
        <v>2571</v>
      </c>
    </row>
    <row r="4119" spans="1:16" ht="22" customHeight="1" x14ac:dyDescent="0.15">
      <c r="A4119" s="10" t="str">
        <f t="shared" si="632"/>
        <v>567_10_33_10_polygon</v>
      </c>
      <c r="B4119" s="2">
        <v>567</v>
      </c>
      <c r="C4119" s="30" t="str">
        <f>VLOOKUP(B4119,gachas!A:C,3)</f>
        <v>フィーバーフェス（2日目）</v>
      </c>
      <c r="D4119" s="21">
        <v>10</v>
      </c>
      <c r="E4119" s="2">
        <f t="shared" si="631"/>
        <v>33</v>
      </c>
      <c r="F4119" s="2">
        <v>10</v>
      </c>
      <c r="G4119" s="3" t="s">
        <v>22</v>
      </c>
      <c r="H4119" s="2">
        <v>50</v>
      </c>
      <c r="I4119" s="114" t="str">
        <f t="shared" si="633"/>
        <v>567100</v>
      </c>
      <c r="J4119" s="112" t="s">
        <v>84</v>
      </c>
      <c r="K4119" s="112" t="str">
        <f t="shared" si="630"/>
        <v>567100</v>
      </c>
      <c r="L4119" s="2">
        <v>1</v>
      </c>
      <c r="M4119" s="2" t="s">
        <v>84</v>
      </c>
      <c r="N4119" s="2" t="s">
        <v>84</v>
      </c>
      <c r="O4119" s="2" t="s">
        <v>841</v>
      </c>
      <c r="P4119" s="2" t="s">
        <v>2571</v>
      </c>
    </row>
    <row r="4120" spans="1:16" ht="22" customHeight="1" x14ac:dyDescent="0.15">
      <c r="A4120" s="10" t="str">
        <f t="shared" si="632"/>
        <v>567_10_34_10_polygon</v>
      </c>
      <c r="B4120" s="2">
        <v>567</v>
      </c>
      <c r="C4120" s="30" t="str">
        <f>VLOOKUP(B4120,gachas!A:C,3)</f>
        <v>フィーバーフェス（2日目）</v>
      </c>
      <c r="D4120" s="21">
        <v>10</v>
      </c>
      <c r="E4120" s="2">
        <f t="shared" si="631"/>
        <v>34</v>
      </c>
      <c r="F4120" s="2">
        <v>10</v>
      </c>
      <c r="G4120" s="3" t="s">
        <v>22</v>
      </c>
      <c r="H4120" s="2">
        <v>50</v>
      </c>
      <c r="I4120" s="114" t="str">
        <f t="shared" si="633"/>
        <v>567100</v>
      </c>
      <c r="J4120" s="112" t="s">
        <v>84</v>
      </c>
      <c r="K4120" s="112" t="str">
        <f t="shared" si="630"/>
        <v>567100</v>
      </c>
      <c r="L4120" s="2">
        <v>1</v>
      </c>
      <c r="M4120" s="2" t="s">
        <v>84</v>
      </c>
      <c r="N4120" s="2" t="s">
        <v>84</v>
      </c>
      <c r="O4120" s="2" t="s">
        <v>841</v>
      </c>
      <c r="P4120" s="2" t="s">
        <v>2571</v>
      </c>
    </row>
    <row r="4121" spans="1:16" ht="22" customHeight="1" x14ac:dyDescent="0.15">
      <c r="A4121" s="10" t="str">
        <f t="shared" si="632"/>
        <v>567_10_35_10_polygon</v>
      </c>
      <c r="B4121" s="2">
        <v>567</v>
      </c>
      <c r="C4121" s="30" t="str">
        <f>VLOOKUP(B4121,gachas!A:C,3)</f>
        <v>フィーバーフェス（2日目）</v>
      </c>
      <c r="D4121" s="21">
        <v>10</v>
      </c>
      <c r="E4121" s="2">
        <f t="shared" si="631"/>
        <v>35</v>
      </c>
      <c r="F4121" s="2">
        <v>10</v>
      </c>
      <c r="G4121" s="3" t="s">
        <v>22</v>
      </c>
      <c r="H4121" s="2">
        <v>50</v>
      </c>
      <c r="I4121" s="114" t="str">
        <f t="shared" si="633"/>
        <v>567100</v>
      </c>
      <c r="J4121" s="112" t="str">
        <f>CONCATENATE(B4121,D4121,5)</f>
        <v>567105</v>
      </c>
      <c r="K4121" s="112" t="str">
        <f t="shared" si="630"/>
        <v>567100</v>
      </c>
      <c r="L4121" s="2">
        <v>1</v>
      </c>
      <c r="M4121" s="2" t="s">
        <v>84</v>
      </c>
      <c r="N4121" s="2" t="s">
        <v>84</v>
      </c>
      <c r="O4121" s="2" t="s">
        <v>841</v>
      </c>
      <c r="P4121" s="2" t="s">
        <v>2648</v>
      </c>
    </row>
    <row r="4122" spans="1:16" ht="22" customHeight="1" x14ac:dyDescent="0.15">
      <c r="A4122" s="10" t="str">
        <f t="shared" si="632"/>
        <v>567_10_36_10_polygon</v>
      </c>
      <c r="B4122" s="2">
        <v>567</v>
      </c>
      <c r="C4122" s="30" t="str">
        <f>VLOOKUP(B4122,gachas!A:C,3)</f>
        <v>フィーバーフェス（2日目）</v>
      </c>
      <c r="D4122" s="21">
        <v>10</v>
      </c>
      <c r="E4122" s="2">
        <f t="shared" si="631"/>
        <v>36</v>
      </c>
      <c r="F4122" s="2">
        <v>10</v>
      </c>
      <c r="G4122" s="3" t="s">
        <v>22</v>
      </c>
      <c r="H4122" s="2">
        <v>50</v>
      </c>
      <c r="I4122" s="114" t="str">
        <f t="shared" si="633"/>
        <v>567100</v>
      </c>
      <c r="J4122" s="112" t="s">
        <v>84</v>
      </c>
      <c r="K4122" s="112" t="str">
        <f t="shared" si="630"/>
        <v>567100</v>
      </c>
      <c r="L4122" s="2">
        <v>1</v>
      </c>
      <c r="M4122" s="2" t="s">
        <v>84</v>
      </c>
      <c r="N4122" s="2" t="s">
        <v>84</v>
      </c>
      <c r="O4122" s="2" t="s">
        <v>841</v>
      </c>
      <c r="P4122" s="2" t="s">
        <v>2571</v>
      </c>
    </row>
    <row r="4123" spans="1:16" ht="22" customHeight="1" x14ac:dyDescent="0.15">
      <c r="A4123" s="10" t="str">
        <f t="shared" si="632"/>
        <v>567_10_37_10_polygon</v>
      </c>
      <c r="B4123" s="2">
        <v>567</v>
      </c>
      <c r="C4123" s="30" t="str">
        <f>VLOOKUP(B4123,gachas!A:C,3)</f>
        <v>フィーバーフェス（2日目）</v>
      </c>
      <c r="D4123" s="21">
        <v>10</v>
      </c>
      <c r="E4123" s="2">
        <f t="shared" si="631"/>
        <v>37</v>
      </c>
      <c r="F4123" s="2">
        <v>10</v>
      </c>
      <c r="G4123" s="3" t="s">
        <v>22</v>
      </c>
      <c r="H4123" s="2">
        <v>50</v>
      </c>
      <c r="I4123" s="114" t="str">
        <f t="shared" si="633"/>
        <v>567100</v>
      </c>
      <c r="J4123" s="112" t="s">
        <v>84</v>
      </c>
      <c r="K4123" s="112" t="str">
        <f t="shared" si="630"/>
        <v>567100</v>
      </c>
      <c r="L4123" s="2">
        <v>1</v>
      </c>
      <c r="M4123" s="2" t="s">
        <v>84</v>
      </c>
      <c r="N4123" s="2" t="s">
        <v>84</v>
      </c>
      <c r="O4123" s="2" t="s">
        <v>841</v>
      </c>
      <c r="P4123" s="2" t="s">
        <v>2571</v>
      </c>
    </row>
    <row r="4124" spans="1:16" ht="22" customHeight="1" x14ac:dyDescent="0.15">
      <c r="A4124" s="10" t="str">
        <f t="shared" si="632"/>
        <v>567_10_38_10_polygon</v>
      </c>
      <c r="B4124" s="2">
        <v>567</v>
      </c>
      <c r="C4124" s="30" t="str">
        <f>VLOOKUP(B4124,gachas!A:C,3)</f>
        <v>フィーバーフェス（2日目）</v>
      </c>
      <c r="D4124" s="21">
        <v>10</v>
      </c>
      <c r="E4124" s="2">
        <f t="shared" si="631"/>
        <v>38</v>
      </c>
      <c r="F4124" s="2">
        <v>10</v>
      </c>
      <c r="G4124" s="3" t="s">
        <v>22</v>
      </c>
      <c r="H4124" s="2">
        <v>50</v>
      </c>
      <c r="I4124" s="114" t="str">
        <f t="shared" si="633"/>
        <v>567100</v>
      </c>
      <c r="J4124" s="112" t="s">
        <v>84</v>
      </c>
      <c r="K4124" s="112" t="str">
        <f t="shared" si="630"/>
        <v>567100</v>
      </c>
      <c r="L4124" s="2">
        <v>1</v>
      </c>
      <c r="M4124" s="2" t="s">
        <v>84</v>
      </c>
      <c r="N4124" s="2" t="s">
        <v>84</v>
      </c>
      <c r="O4124" s="2" t="s">
        <v>841</v>
      </c>
      <c r="P4124" s="2" t="s">
        <v>2571</v>
      </c>
    </row>
    <row r="4125" spans="1:16" ht="22" customHeight="1" x14ac:dyDescent="0.15">
      <c r="A4125" s="10" t="str">
        <f t="shared" si="632"/>
        <v>567_10_39_10_polygon</v>
      </c>
      <c r="B4125" s="2">
        <v>567</v>
      </c>
      <c r="C4125" s="30" t="str">
        <f>VLOOKUP(B4125,gachas!A:C,3)</f>
        <v>フィーバーフェス（2日目）</v>
      </c>
      <c r="D4125" s="21">
        <v>10</v>
      </c>
      <c r="E4125" s="2">
        <f t="shared" si="631"/>
        <v>39</v>
      </c>
      <c r="F4125" s="2">
        <v>10</v>
      </c>
      <c r="G4125" s="3" t="s">
        <v>22</v>
      </c>
      <c r="H4125" s="2">
        <v>50</v>
      </c>
      <c r="I4125" s="114" t="str">
        <f t="shared" si="633"/>
        <v>567100</v>
      </c>
      <c r="J4125" s="112" t="s">
        <v>84</v>
      </c>
      <c r="K4125" s="112" t="str">
        <f t="shared" si="630"/>
        <v>567100</v>
      </c>
      <c r="L4125" s="2">
        <v>1</v>
      </c>
      <c r="M4125" s="2" t="s">
        <v>84</v>
      </c>
      <c r="N4125" s="2" t="s">
        <v>84</v>
      </c>
      <c r="O4125" s="2" t="s">
        <v>841</v>
      </c>
      <c r="P4125" s="2" t="s">
        <v>2571</v>
      </c>
    </row>
    <row r="4126" spans="1:16" ht="22" customHeight="1" x14ac:dyDescent="0.15">
      <c r="A4126" s="10" t="str">
        <f t="shared" si="632"/>
        <v>567_10_40_10_polygon</v>
      </c>
      <c r="B4126" s="2">
        <v>567</v>
      </c>
      <c r="C4126" s="30" t="str">
        <f>VLOOKUP(B4126,gachas!A:C,3)</f>
        <v>フィーバーフェス（2日目）</v>
      </c>
      <c r="D4126" s="21">
        <v>10</v>
      </c>
      <c r="E4126" s="2">
        <f t="shared" si="631"/>
        <v>40</v>
      </c>
      <c r="F4126" s="2">
        <v>10</v>
      </c>
      <c r="G4126" s="3" t="s">
        <v>22</v>
      </c>
      <c r="H4126" s="2">
        <v>50</v>
      </c>
      <c r="I4126" s="114" t="str">
        <f t="shared" si="633"/>
        <v>567100</v>
      </c>
      <c r="J4126" s="112" t="str">
        <f>CONCATENATE(B4126,D4126,5)</f>
        <v>567105</v>
      </c>
      <c r="K4126" s="112" t="str">
        <f t="shared" si="630"/>
        <v>567100</v>
      </c>
      <c r="L4126" s="2">
        <v>1</v>
      </c>
      <c r="M4126" s="2" t="s">
        <v>84</v>
      </c>
      <c r="N4126" s="2" t="s">
        <v>84</v>
      </c>
      <c r="O4126" s="2" t="s">
        <v>841</v>
      </c>
      <c r="P4126" s="2" t="s">
        <v>2648</v>
      </c>
    </row>
    <row r="4127" spans="1:16" ht="22" customHeight="1" x14ac:dyDescent="0.15">
      <c r="A4127" s="10" t="str">
        <f t="shared" si="632"/>
        <v>567_10_41_10_polygon</v>
      </c>
      <c r="B4127" s="2">
        <v>567</v>
      </c>
      <c r="C4127" s="30" t="str">
        <f>VLOOKUP(B4127,gachas!A:C,3)</f>
        <v>フィーバーフェス（2日目）</v>
      </c>
      <c r="D4127" s="21">
        <v>10</v>
      </c>
      <c r="E4127" s="2">
        <f t="shared" si="631"/>
        <v>41</v>
      </c>
      <c r="F4127" s="2">
        <v>10</v>
      </c>
      <c r="G4127" s="3" t="s">
        <v>22</v>
      </c>
      <c r="H4127" s="2">
        <v>50</v>
      </c>
      <c r="I4127" s="114" t="str">
        <f t="shared" si="633"/>
        <v>567100</v>
      </c>
      <c r="J4127" s="112" t="s">
        <v>84</v>
      </c>
      <c r="K4127" s="112" t="str">
        <f t="shared" si="630"/>
        <v>567100</v>
      </c>
      <c r="L4127" s="2">
        <v>1</v>
      </c>
      <c r="M4127" s="2" t="s">
        <v>84</v>
      </c>
      <c r="N4127" s="2" t="s">
        <v>84</v>
      </c>
      <c r="O4127" s="2" t="s">
        <v>841</v>
      </c>
      <c r="P4127" s="2" t="s">
        <v>2571</v>
      </c>
    </row>
    <row r="4128" spans="1:16" ht="22" customHeight="1" x14ac:dyDescent="0.15">
      <c r="A4128" s="10" t="str">
        <f t="shared" si="632"/>
        <v>567_10_42_10_polygon</v>
      </c>
      <c r="B4128" s="2">
        <v>567</v>
      </c>
      <c r="C4128" s="30" t="str">
        <f>VLOOKUP(B4128,gachas!A:C,3)</f>
        <v>フィーバーフェス（2日目）</v>
      </c>
      <c r="D4128" s="21">
        <v>10</v>
      </c>
      <c r="E4128" s="2">
        <f t="shared" si="631"/>
        <v>42</v>
      </c>
      <c r="F4128" s="2">
        <v>10</v>
      </c>
      <c r="G4128" s="3" t="s">
        <v>22</v>
      </c>
      <c r="H4128" s="2">
        <v>50</v>
      </c>
      <c r="I4128" s="114" t="str">
        <f t="shared" si="633"/>
        <v>567100</v>
      </c>
      <c r="J4128" s="112" t="s">
        <v>84</v>
      </c>
      <c r="K4128" s="112" t="str">
        <f t="shared" si="630"/>
        <v>567100</v>
      </c>
      <c r="L4128" s="2">
        <v>1</v>
      </c>
      <c r="M4128" s="2" t="s">
        <v>84</v>
      </c>
      <c r="N4128" s="2" t="s">
        <v>84</v>
      </c>
      <c r="O4128" s="2" t="s">
        <v>841</v>
      </c>
      <c r="P4128" s="2" t="s">
        <v>2571</v>
      </c>
    </row>
    <row r="4129" spans="1:16" ht="22" customHeight="1" x14ac:dyDescent="0.15">
      <c r="A4129" s="10" t="str">
        <f t="shared" si="632"/>
        <v>567_10_43_10_polygon</v>
      </c>
      <c r="B4129" s="2">
        <v>567</v>
      </c>
      <c r="C4129" s="30" t="str">
        <f>VLOOKUP(B4129,gachas!A:C,3)</f>
        <v>フィーバーフェス（2日目）</v>
      </c>
      <c r="D4129" s="21">
        <v>10</v>
      </c>
      <c r="E4129" s="2">
        <f t="shared" si="631"/>
        <v>43</v>
      </c>
      <c r="F4129" s="2">
        <v>10</v>
      </c>
      <c r="G4129" s="3" t="s">
        <v>22</v>
      </c>
      <c r="H4129" s="2">
        <v>50</v>
      </c>
      <c r="I4129" s="114" t="str">
        <f t="shared" si="633"/>
        <v>567100</v>
      </c>
      <c r="J4129" s="112" t="s">
        <v>84</v>
      </c>
      <c r="K4129" s="112" t="str">
        <f t="shared" si="630"/>
        <v>567100</v>
      </c>
      <c r="L4129" s="2">
        <v>1</v>
      </c>
      <c r="M4129" s="2" t="s">
        <v>84</v>
      </c>
      <c r="N4129" s="2" t="s">
        <v>84</v>
      </c>
      <c r="O4129" s="2" t="s">
        <v>841</v>
      </c>
      <c r="P4129" s="2" t="s">
        <v>2571</v>
      </c>
    </row>
    <row r="4130" spans="1:16" ht="22" customHeight="1" x14ac:dyDescent="0.15">
      <c r="A4130" s="10" t="str">
        <f t="shared" si="632"/>
        <v>567_10_44_10_polygon</v>
      </c>
      <c r="B4130" s="2">
        <v>567</v>
      </c>
      <c r="C4130" s="30" t="str">
        <f>VLOOKUP(B4130,gachas!A:C,3)</f>
        <v>フィーバーフェス（2日目）</v>
      </c>
      <c r="D4130" s="21">
        <v>10</v>
      </c>
      <c r="E4130" s="2">
        <f t="shared" si="631"/>
        <v>44</v>
      </c>
      <c r="F4130" s="2">
        <v>10</v>
      </c>
      <c r="G4130" s="3" t="s">
        <v>22</v>
      </c>
      <c r="H4130" s="2">
        <v>50</v>
      </c>
      <c r="I4130" s="114" t="str">
        <f t="shared" si="633"/>
        <v>567100</v>
      </c>
      <c r="J4130" s="112" t="s">
        <v>84</v>
      </c>
      <c r="K4130" s="112" t="str">
        <f t="shared" si="630"/>
        <v>567100</v>
      </c>
      <c r="L4130" s="2">
        <v>1</v>
      </c>
      <c r="M4130" s="2" t="s">
        <v>84</v>
      </c>
      <c r="N4130" s="2" t="s">
        <v>84</v>
      </c>
      <c r="O4130" s="2" t="s">
        <v>841</v>
      </c>
      <c r="P4130" s="2" t="s">
        <v>2571</v>
      </c>
    </row>
    <row r="4131" spans="1:16" ht="22" customHeight="1" x14ac:dyDescent="0.15">
      <c r="A4131" s="10" t="str">
        <f t="shared" si="632"/>
        <v>567_10_45_10_polygon</v>
      </c>
      <c r="B4131" s="2">
        <v>567</v>
      </c>
      <c r="C4131" s="30" t="str">
        <f>VLOOKUP(B4131,gachas!A:C,3)</f>
        <v>フィーバーフェス（2日目）</v>
      </c>
      <c r="D4131" s="21">
        <v>10</v>
      </c>
      <c r="E4131" s="2">
        <f t="shared" si="631"/>
        <v>45</v>
      </c>
      <c r="F4131" s="2">
        <v>10</v>
      </c>
      <c r="G4131" s="3" t="s">
        <v>22</v>
      </c>
      <c r="H4131" s="2">
        <v>50</v>
      </c>
      <c r="I4131" s="114" t="str">
        <f t="shared" si="633"/>
        <v>567100</v>
      </c>
      <c r="J4131" s="112" t="str">
        <f>CONCATENATE(B4131,D4131,5)</f>
        <v>567105</v>
      </c>
      <c r="K4131" s="112" t="str">
        <f t="shared" si="630"/>
        <v>567100</v>
      </c>
      <c r="L4131" s="2">
        <v>1</v>
      </c>
      <c r="M4131" s="2" t="s">
        <v>84</v>
      </c>
      <c r="N4131" s="2" t="s">
        <v>84</v>
      </c>
      <c r="O4131" s="2" t="s">
        <v>841</v>
      </c>
      <c r="P4131" s="2" t="s">
        <v>2648</v>
      </c>
    </row>
    <row r="4132" spans="1:16" ht="22" customHeight="1" x14ac:dyDescent="0.15">
      <c r="A4132" s="10" t="str">
        <f t="shared" si="632"/>
        <v>567_10_46_10_polygon</v>
      </c>
      <c r="B4132" s="2">
        <v>567</v>
      </c>
      <c r="C4132" s="30" t="str">
        <f>VLOOKUP(B4132,gachas!A:C,3)</f>
        <v>フィーバーフェス（2日目）</v>
      </c>
      <c r="D4132" s="21">
        <v>10</v>
      </c>
      <c r="E4132" s="2">
        <f t="shared" si="631"/>
        <v>46</v>
      </c>
      <c r="F4132" s="2">
        <v>10</v>
      </c>
      <c r="G4132" s="3" t="s">
        <v>22</v>
      </c>
      <c r="H4132" s="2">
        <v>50</v>
      </c>
      <c r="I4132" s="114" t="str">
        <f t="shared" si="633"/>
        <v>567100</v>
      </c>
      <c r="J4132" s="112" t="s">
        <v>84</v>
      </c>
      <c r="K4132" s="112" t="str">
        <f t="shared" si="630"/>
        <v>567100</v>
      </c>
      <c r="L4132" s="2">
        <v>1</v>
      </c>
      <c r="M4132" s="2" t="s">
        <v>84</v>
      </c>
      <c r="N4132" s="2" t="s">
        <v>84</v>
      </c>
      <c r="O4132" s="2" t="s">
        <v>841</v>
      </c>
      <c r="P4132" s="2" t="s">
        <v>2571</v>
      </c>
    </row>
    <row r="4133" spans="1:16" ht="22" customHeight="1" x14ac:dyDescent="0.15">
      <c r="A4133" s="10" t="str">
        <f t="shared" si="632"/>
        <v>567_10_47_10_polygon</v>
      </c>
      <c r="B4133" s="2">
        <v>567</v>
      </c>
      <c r="C4133" s="30" t="str">
        <f>VLOOKUP(B4133,gachas!A:C,3)</f>
        <v>フィーバーフェス（2日目）</v>
      </c>
      <c r="D4133" s="21">
        <v>10</v>
      </c>
      <c r="E4133" s="2">
        <f t="shared" si="631"/>
        <v>47</v>
      </c>
      <c r="F4133" s="2">
        <v>10</v>
      </c>
      <c r="G4133" s="3" t="s">
        <v>22</v>
      </c>
      <c r="H4133" s="2">
        <v>50</v>
      </c>
      <c r="I4133" s="114" t="str">
        <f t="shared" si="633"/>
        <v>567100</v>
      </c>
      <c r="J4133" s="112" t="s">
        <v>84</v>
      </c>
      <c r="K4133" s="112" t="str">
        <f t="shared" si="630"/>
        <v>567100</v>
      </c>
      <c r="L4133" s="2">
        <v>1</v>
      </c>
      <c r="M4133" s="2" t="s">
        <v>84</v>
      </c>
      <c r="N4133" s="2" t="s">
        <v>84</v>
      </c>
      <c r="O4133" s="2" t="s">
        <v>841</v>
      </c>
      <c r="P4133" s="2" t="s">
        <v>2571</v>
      </c>
    </row>
    <row r="4134" spans="1:16" ht="22" customHeight="1" x14ac:dyDescent="0.15">
      <c r="A4134" s="10" t="str">
        <f t="shared" si="632"/>
        <v>567_10_48_10_polygon</v>
      </c>
      <c r="B4134" s="2">
        <v>567</v>
      </c>
      <c r="C4134" s="30" t="str">
        <f>VLOOKUP(B4134,gachas!A:C,3)</f>
        <v>フィーバーフェス（2日目）</v>
      </c>
      <c r="D4134" s="21">
        <v>10</v>
      </c>
      <c r="E4134" s="2">
        <f t="shared" si="631"/>
        <v>48</v>
      </c>
      <c r="F4134" s="2">
        <v>10</v>
      </c>
      <c r="G4134" s="3" t="s">
        <v>22</v>
      </c>
      <c r="H4134" s="2">
        <v>50</v>
      </c>
      <c r="I4134" s="114" t="str">
        <f t="shared" si="633"/>
        <v>567100</v>
      </c>
      <c r="J4134" s="112" t="s">
        <v>84</v>
      </c>
      <c r="K4134" s="112" t="str">
        <f t="shared" si="630"/>
        <v>567100</v>
      </c>
      <c r="L4134" s="2">
        <v>1</v>
      </c>
      <c r="M4134" s="2" t="s">
        <v>84</v>
      </c>
      <c r="N4134" s="2" t="s">
        <v>84</v>
      </c>
      <c r="O4134" s="2" t="s">
        <v>841</v>
      </c>
      <c r="P4134" s="2" t="s">
        <v>2571</v>
      </c>
    </row>
    <row r="4135" spans="1:16" ht="22" customHeight="1" x14ac:dyDescent="0.15">
      <c r="A4135" s="10" t="str">
        <f t="shared" si="632"/>
        <v>567_10_49_10_polygon</v>
      </c>
      <c r="B4135" s="2">
        <v>567</v>
      </c>
      <c r="C4135" s="30" t="str">
        <f>VLOOKUP(B4135,gachas!A:C,3)</f>
        <v>フィーバーフェス（2日目）</v>
      </c>
      <c r="D4135" s="21">
        <v>10</v>
      </c>
      <c r="E4135" s="2">
        <f t="shared" si="631"/>
        <v>49</v>
      </c>
      <c r="F4135" s="2">
        <v>10</v>
      </c>
      <c r="G4135" s="3" t="s">
        <v>22</v>
      </c>
      <c r="H4135" s="2">
        <v>50</v>
      </c>
      <c r="I4135" s="114" t="str">
        <f t="shared" si="633"/>
        <v>567100</v>
      </c>
      <c r="J4135" s="112" t="s">
        <v>84</v>
      </c>
      <c r="K4135" s="112" t="str">
        <f t="shared" si="630"/>
        <v>567100</v>
      </c>
      <c r="L4135" s="2">
        <v>1</v>
      </c>
      <c r="M4135" s="2" t="s">
        <v>84</v>
      </c>
      <c r="N4135" s="2" t="s">
        <v>84</v>
      </c>
      <c r="O4135" s="2" t="s">
        <v>841</v>
      </c>
      <c r="P4135" s="2" t="s">
        <v>2571</v>
      </c>
    </row>
    <row r="4136" spans="1:16" ht="22" customHeight="1" x14ac:dyDescent="0.15">
      <c r="A4136" s="10" t="str">
        <f t="shared" si="632"/>
        <v>567_10_50_10_polygon</v>
      </c>
      <c r="B4136" s="2">
        <v>567</v>
      </c>
      <c r="C4136" s="30" t="str">
        <f>VLOOKUP(B4136,gachas!A:C,3)</f>
        <v>フィーバーフェス（2日目）</v>
      </c>
      <c r="D4136" s="21">
        <v>10</v>
      </c>
      <c r="E4136" s="2">
        <f t="shared" si="631"/>
        <v>50</v>
      </c>
      <c r="F4136" s="2">
        <v>10</v>
      </c>
      <c r="G4136" s="3" t="s">
        <v>22</v>
      </c>
      <c r="H4136" s="2">
        <v>50</v>
      </c>
      <c r="I4136" s="114" t="str">
        <f t="shared" si="633"/>
        <v>567100</v>
      </c>
      <c r="J4136" s="112" t="str">
        <f>CONCATENATE(B4136,D4136,5)</f>
        <v>567105</v>
      </c>
      <c r="K4136" s="112" t="str">
        <f t="shared" si="630"/>
        <v>567100</v>
      </c>
      <c r="L4136" s="2">
        <v>1</v>
      </c>
      <c r="M4136" s="2" t="s">
        <v>84</v>
      </c>
      <c r="N4136" s="2" t="s">
        <v>84</v>
      </c>
      <c r="O4136" s="2" t="s">
        <v>841</v>
      </c>
      <c r="P4136" s="2" t="s">
        <v>2648</v>
      </c>
    </row>
    <row r="4137" spans="1:16" ht="22" customHeight="1" x14ac:dyDescent="0.15">
      <c r="A4137" s="10" t="str">
        <f t="shared" si="632"/>
        <v>568_1_0_1_polygon</v>
      </c>
      <c r="B4137" s="2">
        <v>568</v>
      </c>
      <c r="C4137" s="30" t="str">
        <f>VLOOKUP(B4137,gachas!A:C,3)</f>
        <v>フィーバーフェス（3日目）</v>
      </c>
      <c r="D4137" s="21">
        <v>1</v>
      </c>
      <c r="E4137" s="2">
        <v>0</v>
      </c>
      <c r="F4137" s="2">
        <v>1</v>
      </c>
      <c r="G4137" s="3" t="s">
        <v>22</v>
      </c>
      <c r="H4137" s="2">
        <v>5</v>
      </c>
      <c r="I4137" s="114" t="str">
        <f t="shared" si="633"/>
        <v>568010</v>
      </c>
      <c r="J4137" s="112" t="s">
        <v>84</v>
      </c>
      <c r="K4137" s="112" t="s">
        <v>84</v>
      </c>
      <c r="L4137" s="2">
        <v>0</v>
      </c>
      <c r="M4137" s="2" t="s">
        <v>84</v>
      </c>
      <c r="N4137" s="2" t="s">
        <v>84</v>
      </c>
      <c r="O4137" s="2" t="s">
        <v>841</v>
      </c>
      <c r="P4137" s="2" t="s">
        <v>84</v>
      </c>
    </row>
    <row r="4138" spans="1:16" ht="22" customHeight="1" x14ac:dyDescent="0.15">
      <c r="A4138" s="10" t="str">
        <f t="shared" si="632"/>
        <v>568_10_0_10_polygon</v>
      </c>
      <c r="B4138" s="2">
        <v>568</v>
      </c>
      <c r="C4138" s="30" t="str">
        <f>VLOOKUP(B4138,gachas!A:C,3)</f>
        <v>フィーバーフェス（3日目）</v>
      </c>
      <c r="D4138" s="21">
        <v>10</v>
      </c>
      <c r="E4138" s="2">
        <v>0</v>
      </c>
      <c r="F4138" s="2">
        <v>10</v>
      </c>
      <c r="G4138" s="3" t="s">
        <v>22</v>
      </c>
      <c r="H4138" s="2">
        <v>50</v>
      </c>
      <c r="I4138" s="114" t="str">
        <f t="shared" si="633"/>
        <v>568100</v>
      </c>
      <c r="J4138" s="112" t="s">
        <v>84</v>
      </c>
      <c r="K4138" s="112" t="str">
        <f t="shared" ref="K4138:K4188" si="634">I4138</f>
        <v>568100</v>
      </c>
      <c r="L4138" s="2">
        <v>1</v>
      </c>
      <c r="M4138" s="2" t="s">
        <v>84</v>
      </c>
      <c r="N4138" s="2" t="s">
        <v>84</v>
      </c>
      <c r="O4138" s="2" t="s">
        <v>841</v>
      </c>
      <c r="P4138" s="2" t="s">
        <v>2571</v>
      </c>
    </row>
    <row r="4139" spans="1:16" ht="22" customHeight="1" x14ac:dyDescent="0.15">
      <c r="A4139" s="10" t="str">
        <f t="shared" si="632"/>
        <v>568_10_1_10_polygon</v>
      </c>
      <c r="B4139" s="2">
        <v>568</v>
      </c>
      <c r="C4139" s="30" t="str">
        <f>VLOOKUP(B4139,gachas!A:C,3)</f>
        <v>フィーバーフェス（3日目）</v>
      </c>
      <c r="D4139" s="21">
        <v>10</v>
      </c>
      <c r="E4139" s="2">
        <f>E4138+1</f>
        <v>1</v>
      </c>
      <c r="F4139" s="2">
        <v>10</v>
      </c>
      <c r="G4139" s="3" t="s">
        <v>22</v>
      </c>
      <c r="H4139" s="2">
        <v>50</v>
      </c>
      <c r="I4139" s="114" t="str">
        <f t="shared" si="633"/>
        <v>568100</v>
      </c>
      <c r="J4139" s="112" t="s">
        <v>84</v>
      </c>
      <c r="K4139" s="112" t="str">
        <f t="shared" si="634"/>
        <v>568100</v>
      </c>
      <c r="L4139" s="2">
        <v>1</v>
      </c>
      <c r="M4139" s="2" t="s">
        <v>84</v>
      </c>
      <c r="N4139" s="2" t="s">
        <v>84</v>
      </c>
      <c r="O4139" s="2" t="s">
        <v>841</v>
      </c>
      <c r="P4139" s="2" t="s">
        <v>2571</v>
      </c>
    </row>
    <row r="4140" spans="1:16" ht="22" customHeight="1" x14ac:dyDescent="0.15">
      <c r="A4140" s="10" t="str">
        <f t="shared" si="632"/>
        <v>568_10_2_10_polygon</v>
      </c>
      <c r="B4140" s="2">
        <v>568</v>
      </c>
      <c r="C4140" s="30" t="str">
        <f>VLOOKUP(B4140,gachas!A:C,3)</f>
        <v>フィーバーフェス（3日目）</v>
      </c>
      <c r="D4140" s="21">
        <v>10</v>
      </c>
      <c r="E4140" s="2">
        <f t="shared" ref="E4140:E4188" si="635">E4139+1</f>
        <v>2</v>
      </c>
      <c r="F4140" s="2">
        <v>10</v>
      </c>
      <c r="G4140" s="3" t="s">
        <v>22</v>
      </c>
      <c r="H4140" s="2">
        <v>50</v>
      </c>
      <c r="I4140" s="114" t="str">
        <f t="shared" si="633"/>
        <v>568100</v>
      </c>
      <c r="J4140" s="112" t="s">
        <v>84</v>
      </c>
      <c r="K4140" s="112" t="str">
        <f t="shared" si="634"/>
        <v>568100</v>
      </c>
      <c r="L4140" s="2">
        <v>1</v>
      </c>
      <c r="M4140" s="2" t="s">
        <v>84</v>
      </c>
      <c r="N4140" s="2" t="s">
        <v>84</v>
      </c>
      <c r="O4140" s="2" t="s">
        <v>841</v>
      </c>
      <c r="P4140" s="2" t="s">
        <v>2571</v>
      </c>
    </row>
    <row r="4141" spans="1:16" ht="22" customHeight="1" x14ac:dyDescent="0.15">
      <c r="A4141" s="10" t="str">
        <f t="shared" si="632"/>
        <v>568_10_3_10_polygon</v>
      </c>
      <c r="B4141" s="2">
        <v>568</v>
      </c>
      <c r="C4141" s="30" t="str">
        <f>VLOOKUP(B4141,gachas!A:C,3)</f>
        <v>フィーバーフェス（3日目）</v>
      </c>
      <c r="D4141" s="21">
        <v>10</v>
      </c>
      <c r="E4141" s="2">
        <f t="shared" si="635"/>
        <v>3</v>
      </c>
      <c r="F4141" s="2">
        <v>10</v>
      </c>
      <c r="G4141" s="3" t="s">
        <v>22</v>
      </c>
      <c r="H4141" s="2">
        <v>50</v>
      </c>
      <c r="I4141" s="114" t="str">
        <f t="shared" si="633"/>
        <v>568100</v>
      </c>
      <c r="J4141" s="112" t="s">
        <v>84</v>
      </c>
      <c r="K4141" s="112" t="str">
        <f t="shared" si="634"/>
        <v>568100</v>
      </c>
      <c r="L4141" s="2">
        <v>1</v>
      </c>
      <c r="M4141" s="2" t="s">
        <v>84</v>
      </c>
      <c r="N4141" s="2" t="s">
        <v>84</v>
      </c>
      <c r="O4141" s="2" t="s">
        <v>841</v>
      </c>
      <c r="P4141" s="2" t="s">
        <v>2571</v>
      </c>
    </row>
    <row r="4142" spans="1:16" ht="22" customHeight="1" x14ac:dyDescent="0.15">
      <c r="A4142" s="10" t="str">
        <f t="shared" si="632"/>
        <v>568_10_4_10_polygon</v>
      </c>
      <c r="B4142" s="2">
        <v>568</v>
      </c>
      <c r="C4142" s="30" t="str">
        <f>VLOOKUP(B4142,gachas!A:C,3)</f>
        <v>フィーバーフェス（3日目）</v>
      </c>
      <c r="D4142" s="21">
        <v>10</v>
      </c>
      <c r="E4142" s="2">
        <f t="shared" si="635"/>
        <v>4</v>
      </c>
      <c r="F4142" s="2">
        <v>10</v>
      </c>
      <c r="G4142" s="3" t="s">
        <v>22</v>
      </c>
      <c r="H4142" s="2">
        <v>50</v>
      </c>
      <c r="I4142" s="114" t="str">
        <f t="shared" si="633"/>
        <v>568100</v>
      </c>
      <c r="J4142" s="112" t="s">
        <v>84</v>
      </c>
      <c r="K4142" s="112" t="str">
        <f t="shared" si="634"/>
        <v>568100</v>
      </c>
      <c r="L4142" s="2">
        <v>1</v>
      </c>
      <c r="M4142" s="2" t="s">
        <v>84</v>
      </c>
      <c r="N4142" s="2" t="s">
        <v>84</v>
      </c>
      <c r="O4142" s="2" t="s">
        <v>841</v>
      </c>
      <c r="P4142" s="2" t="s">
        <v>2571</v>
      </c>
    </row>
    <row r="4143" spans="1:16" ht="22" customHeight="1" x14ac:dyDescent="0.15">
      <c r="A4143" s="10" t="str">
        <f t="shared" si="632"/>
        <v>568_10_5_10_polygon</v>
      </c>
      <c r="B4143" s="2">
        <v>568</v>
      </c>
      <c r="C4143" s="30" t="str">
        <f>VLOOKUP(B4143,gachas!A:C,3)</f>
        <v>フィーバーフェス（3日目）</v>
      </c>
      <c r="D4143" s="21">
        <v>10</v>
      </c>
      <c r="E4143" s="2">
        <f t="shared" si="635"/>
        <v>5</v>
      </c>
      <c r="F4143" s="2">
        <v>10</v>
      </c>
      <c r="G4143" s="3" t="s">
        <v>22</v>
      </c>
      <c r="H4143" s="2">
        <v>50</v>
      </c>
      <c r="I4143" s="114" t="str">
        <f t="shared" si="633"/>
        <v>568100</v>
      </c>
      <c r="J4143" s="112" t="str">
        <f>CONCATENATE(B4143,D4143,5)</f>
        <v>568105</v>
      </c>
      <c r="K4143" s="112" t="str">
        <f t="shared" si="634"/>
        <v>568100</v>
      </c>
      <c r="L4143" s="2">
        <v>1</v>
      </c>
      <c r="M4143" s="2" t="s">
        <v>84</v>
      </c>
      <c r="N4143" s="2" t="s">
        <v>84</v>
      </c>
      <c r="O4143" s="2" t="s">
        <v>841</v>
      </c>
      <c r="P4143" s="2" t="s">
        <v>2648</v>
      </c>
    </row>
    <row r="4144" spans="1:16" ht="22" customHeight="1" x14ac:dyDescent="0.15">
      <c r="A4144" s="10" t="str">
        <f t="shared" si="632"/>
        <v>568_10_6_10_polygon</v>
      </c>
      <c r="B4144" s="2">
        <v>568</v>
      </c>
      <c r="C4144" s="30" t="str">
        <f>VLOOKUP(B4144,gachas!A:C,3)</f>
        <v>フィーバーフェス（3日目）</v>
      </c>
      <c r="D4144" s="21">
        <v>10</v>
      </c>
      <c r="E4144" s="2">
        <f t="shared" si="635"/>
        <v>6</v>
      </c>
      <c r="F4144" s="2">
        <v>10</v>
      </c>
      <c r="G4144" s="3" t="s">
        <v>22</v>
      </c>
      <c r="H4144" s="2">
        <v>50</v>
      </c>
      <c r="I4144" s="114" t="str">
        <f t="shared" si="633"/>
        <v>568100</v>
      </c>
      <c r="J4144" s="112" t="s">
        <v>84</v>
      </c>
      <c r="K4144" s="112" t="str">
        <f t="shared" si="634"/>
        <v>568100</v>
      </c>
      <c r="L4144" s="2">
        <v>1</v>
      </c>
      <c r="M4144" s="2" t="s">
        <v>84</v>
      </c>
      <c r="N4144" s="2" t="s">
        <v>84</v>
      </c>
      <c r="O4144" s="2" t="s">
        <v>841</v>
      </c>
      <c r="P4144" s="2" t="s">
        <v>2571</v>
      </c>
    </row>
    <row r="4145" spans="1:16" ht="22" customHeight="1" x14ac:dyDescent="0.15">
      <c r="A4145" s="10" t="str">
        <f t="shared" si="632"/>
        <v>568_10_7_10_polygon</v>
      </c>
      <c r="B4145" s="2">
        <v>568</v>
      </c>
      <c r="C4145" s="30" t="str">
        <f>VLOOKUP(B4145,gachas!A:C,3)</f>
        <v>フィーバーフェス（3日目）</v>
      </c>
      <c r="D4145" s="21">
        <v>10</v>
      </c>
      <c r="E4145" s="2">
        <f t="shared" si="635"/>
        <v>7</v>
      </c>
      <c r="F4145" s="2">
        <v>10</v>
      </c>
      <c r="G4145" s="3" t="s">
        <v>22</v>
      </c>
      <c r="H4145" s="2">
        <v>50</v>
      </c>
      <c r="I4145" s="114" t="str">
        <f t="shared" si="633"/>
        <v>568100</v>
      </c>
      <c r="J4145" s="112" t="s">
        <v>84</v>
      </c>
      <c r="K4145" s="112" t="str">
        <f t="shared" si="634"/>
        <v>568100</v>
      </c>
      <c r="L4145" s="2">
        <v>1</v>
      </c>
      <c r="M4145" s="2" t="s">
        <v>84</v>
      </c>
      <c r="N4145" s="2" t="s">
        <v>84</v>
      </c>
      <c r="O4145" s="2" t="s">
        <v>841</v>
      </c>
      <c r="P4145" s="2" t="s">
        <v>2571</v>
      </c>
    </row>
    <row r="4146" spans="1:16" ht="22" customHeight="1" x14ac:dyDescent="0.15">
      <c r="A4146" s="10" t="str">
        <f t="shared" si="632"/>
        <v>568_10_8_10_polygon</v>
      </c>
      <c r="B4146" s="2">
        <v>568</v>
      </c>
      <c r="C4146" s="30" t="str">
        <f>VLOOKUP(B4146,gachas!A:C,3)</f>
        <v>フィーバーフェス（3日目）</v>
      </c>
      <c r="D4146" s="21">
        <v>10</v>
      </c>
      <c r="E4146" s="2">
        <f t="shared" si="635"/>
        <v>8</v>
      </c>
      <c r="F4146" s="2">
        <v>10</v>
      </c>
      <c r="G4146" s="3" t="s">
        <v>22</v>
      </c>
      <c r="H4146" s="2">
        <v>50</v>
      </c>
      <c r="I4146" s="114" t="str">
        <f t="shared" si="633"/>
        <v>568100</v>
      </c>
      <c r="J4146" s="112" t="s">
        <v>84</v>
      </c>
      <c r="K4146" s="112" t="str">
        <f t="shared" si="634"/>
        <v>568100</v>
      </c>
      <c r="L4146" s="2">
        <v>1</v>
      </c>
      <c r="M4146" s="2" t="s">
        <v>84</v>
      </c>
      <c r="N4146" s="2" t="s">
        <v>84</v>
      </c>
      <c r="O4146" s="2" t="s">
        <v>841</v>
      </c>
      <c r="P4146" s="2" t="s">
        <v>2571</v>
      </c>
    </row>
    <row r="4147" spans="1:16" ht="22" customHeight="1" x14ac:dyDescent="0.15">
      <c r="A4147" s="10" t="str">
        <f t="shared" si="632"/>
        <v>568_10_9_10_polygon</v>
      </c>
      <c r="B4147" s="2">
        <v>568</v>
      </c>
      <c r="C4147" s="30" t="str">
        <f>VLOOKUP(B4147,gachas!A:C,3)</f>
        <v>フィーバーフェス（3日目）</v>
      </c>
      <c r="D4147" s="21">
        <v>10</v>
      </c>
      <c r="E4147" s="2">
        <f t="shared" si="635"/>
        <v>9</v>
      </c>
      <c r="F4147" s="2">
        <v>10</v>
      </c>
      <c r="G4147" s="3" t="s">
        <v>22</v>
      </c>
      <c r="H4147" s="2">
        <v>50</v>
      </c>
      <c r="I4147" s="114" t="str">
        <f t="shared" si="633"/>
        <v>568100</v>
      </c>
      <c r="J4147" s="112" t="s">
        <v>84</v>
      </c>
      <c r="K4147" s="112" t="str">
        <f t="shared" si="634"/>
        <v>568100</v>
      </c>
      <c r="L4147" s="2">
        <v>1</v>
      </c>
      <c r="M4147" s="2" t="s">
        <v>84</v>
      </c>
      <c r="N4147" s="2" t="s">
        <v>84</v>
      </c>
      <c r="O4147" s="2" t="s">
        <v>841</v>
      </c>
      <c r="P4147" s="2" t="s">
        <v>2571</v>
      </c>
    </row>
    <row r="4148" spans="1:16" ht="22" customHeight="1" x14ac:dyDescent="0.15">
      <c r="A4148" s="10" t="str">
        <f t="shared" si="632"/>
        <v>568_10_10_10_polygon</v>
      </c>
      <c r="B4148" s="2">
        <v>568</v>
      </c>
      <c r="C4148" s="30" t="str">
        <f>VLOOKUP(B4148,gachas!A:C,3)</f>
        <v>フィーバーフェス（3日目）</v>
      </c>
      <c r="D4148" s="21">
        <v>10</v>
      </c>
      <c r="E4148" s="2">
        <f t="shared" si="635"/>
        <v>10</v>
      </c>
      <c r="F4148" s="2">
        <v>10</v>
      </c>
      <c r="G4148" s="3" t="s">
        <v>22</v>
      </c>
      <c r="H4148" s="2">
        <v>50</v>
      </c>
      <c r="I4148" s="114" t="str">
        <f t="shared" si="633"/>
        <v>568100</v>
      </c>
      <c r="J4148" s="112" t="str">
        <f>CONCATENATE(B4148,D4148,5)</f>
        <v>568105</v>
      </c>
      <c r="K4148" s="112" t="str">
        <f t="shared" si="634"/>
        <v>568100</v>
      </c>
      <c r="L4148" s="2">
        <v>1</v>
      </c>
      <c r="M4148" s="2" t="s">
        <v>84</v>
      </c>
      <c r="N4148" s="2" t="s">
        <v>84</v>
      </c>
      <c r="O4148" s="2" t="s">
        <v>841</v>
      </c>
      <c r="P4148" s="2" t="s">
        <v>2648</v>
      </c>
    </row>
    <row r="4149" spans="1:16" ht="22" customHeight="1" x14ac:dyDescent="0.15">
      <c r="A4149" s="10" t="str">
        <f t="shared" si="632"/>
        <v>568_10_11_10_polygon</v>
      </c>
      <c r="B4149" s="2">
        <v>568</v>
      </c>
      <c r="C4149" s="30" t="str">
        <f>VLOOKUP(B4149,gachas!A:C,3)</f>
        <v>フィーバーフェス（3日目）</v>
      </c>
      <c r="D4149" s="21">
        <v>10</v>
      </c>
      <c r="E4149" s="2">
        <f t="shared" si="635"/>
        <v>11</v>
      </c>
      <c r="F4149" s="2">
        <v>10</v>
      </c>
      <c r="G4149" s="3" t="s">
        <v>22</v>
      </c>
      <c r="H4149" s="2">
        <v>50</v>
      </c>
      <c r="I4149" s="114" t="str">
        <f t="shared" si="633"/>
        <v>568100</v>
      </c>
      <c r="J4149" s="112" t="s">
        <v>84</v>
      </c>
      <c r="K4149" s="112" t="str">
        <f t="shared" si="634"/>
        <v>568100</v>
      </c>
      <c r="L4149" s="2">
        <v>1</v>
      </c>
      <c r="M4149" s="2" t="s">
        <v>84</v>
      </c>
      <c r="N4149" s="2" t="s">
        <v>84</v>
      </c>
      <c r="O4149" s="2" t="s">
        <v>841</v>
      </c>
      <c r="P4149" s="2" t="s">
        <v>2571</v>
      </c>
    </row>
    <row r="4150" spans="1:16" ht="22" customHeight="1" x14ac:dyDescent="0.15">
      <c r="A4150" s="10" t="str">
        <f t="shared" si="632"/>
        <v>568_10_12_10_polygon</v>
      </c>
      <c r="B4150" s="2">
        <v>568</v>
      </c>
      <c r="C4150" s="30" t="str">
        <f>VLOOKUP(B4150,gachas!A:C,3)</f>
        <v>フィーバーフェス（3日目）</v>
      </c>
      <c r="D4150" s="21">
        <v>10</v>
      </c>
      <c r="E4150" s="2">
        <f t="shared" si="635"/>
        <v>12</v>
      </c>
      <c r="F4150" s="2">
        <v>10</v>
      </c>
      <c r="G4150" s="3" t="s">
        <v>22</v>
      </c>
      <c r="H4150" s="2">
        <v>50</v>
      </c>
      <c r="I4150" s="114" t="str">
        <f t="shared" si="633"/>
        <v>568100</v>
      </c>
      <c r="J4150" s="112" t="s">
        <v>84</v>
      </c>
      <c r="K4150" s="112" t="str">
        <f t="shared" si="634"/>
        <v>568100</v>
      </c>
      <c r="L4150" s="2">
        <v>1</v>
      </c>
      <c r="M4150" s="2" t="s">
        <v>84</v>
      </c>
      <c r="N4150" s="2" t="s">
        <v>84</v>
      </c>
      <c r="O4150" s="2" t="s">
        <v>841</v>
      </c>
      <c r="P4150" s="2" t="s">
        <v>2571</v>
      </c>
    </row>
    <row r="4151" spans="1:16" ht="22" customHeight="1" x14ac:dyDescent="0.15">
      <c r="A4151" s="10" t="str">
        <f t="shared" si="632"/>
        <v>568_10_13_10_polygon</v>
      </c>
      <c r="B4151" s="2">
        <v>568</v>
      </c>
      <c r="C4151" s="30" t="str">
        <f>VLOOKUP(B4151,gachas!A:C,3)</f>
        <v>フィーバーフェス（3日目）</v>
      </c>
      <c r="D4151" s="21">
        <v>10</v>
      </c>
      <c r="E4151" s="2">
        <f t="shared" si="635"/>
        <v>13</v>
      </c>
      <c r="F4151" s="2">
        <v>10</v>
      </c>
      <c r="G4151" s="3" t="s">
        <v>22</v>
      </c>
      <c r="H4151" s="2">
        <v>50</v>
      </c>
      <c r="I4151" s="114" t="str">
        <f t="shared" si="633"/>
        <v>568100</v>
      </c>
      <c r="J4151" s="112" t="s">
        <v>84</v>
      </c>
      <c r="K4151" s="112" t="str">
        <f t="shared" si="634"/>
        <v>568100</v>
      </c>
      <c r="L4151" s="2">
        <v>1</v>
      </c>
      <c r="M4151" s="2" t="s">
        <v>84</v>
      </c>
      <c r="N4151" s="2" t="s">
        <v>84</v>
      </c>
      <c r="O4151" s="2" t="s">
        <v>841</v>
      </c>
      <c r="P4151" s="2" t="s">
        <v>2571</v>
      </c>
    </row>
    <row r="4152" spans="1:16" ht="22" customHeight="1" x14ac:dyDescent="0.15">
      <c r="A4152" s="10" t="str">
        <f t="shared" si="632"/>
        <v>568_10_14_10_polygon</v>
      </c>
      <c r="B4152" s="2">
        <v>568</v>
      </c>
      <c r="C4152" s="30" t="str">
        <f>VLOOKUP(B4152,gachas!A:C,3)</f>
        <v>フィーバーフェス（3日目）</v>
      </c>
      <c r="D4152" s="21">
        <v>10</v>
      </c>
      <c r="E4152" s="2">
        <f t="shared" si="635"/>
        <v>14</v>
      </c>
      <c r="F4152" s="2">
        <v>10</v>
      </c>
      <c r="G4152" s="3" t="s">
        <v>22</v>
      </c>
      <c r="H4152" s="2">
        <v>50</v>
      </c>
      <c r="I4152" s="114" t="str">
        <f t="shared" si="633"/>
        <v>568100</v>
      </c>
      <c r="J4152" s="112" t="s">
        <v>84</v>
      </c>
      <c r="K4152" s="112" t="str">
        <f t="shared" si="634"/>
        <v>568100</v>
      </c>
      <c r="L4152" s="2">
        <v>1</v>
      </c>
      <c r="M4152" s="2" t="s">
        <v>84</v>
      </c>
      <c r="N4152" s="2" t="s">
        <v>84</v>
      </c>
      <c r="O4152" s="2" t="s">
        <v>841</v>
      </c>
      <c r="P4152" s="2" t="s">
        <v>2571</v>
      </c>
    </row>
    <row r="4153" spans="1:16" ht="22" customHeight="1" x14ac:dyDescent="0.15">
      <c r="A4153" s="10" t="str">
        <f t="shared" si="632"/>
        <v>568_10_15_10_polygon</v>
      </c>
      <c r="B4153" s="2">
        <v>568</v>
      </c>
      <c r="C4153" s="30" t="str">
        <f>VLOOKUP(B4153,gachas!A:C,3)</f>
        <v>フィーバーフェス（3日目）</v>
      </c>
      <c r="D4153" s="21">
        <v>10</v>
      </c>
      <c r="E4153" s="2">
        <f t="shared" si="635"/>
        <v>15</v>
      </c>
      <c r="F4153" s="2">
        <v>10</v>
      </c>
      <c r="G4153" s="3" t="s">
        <v>22</v>
      </c>
      <c r="H4153" s="2">
        <v>50</v>
      </c>
      <c r="I4153" s="114" t="str">
        <f t="shared" si="633"/>
        <v>568100</v>
      </c>
      <c r="J4153" s="112" t="str">
        <f>CONCATENATE(B4153,D4153,5)</f>
        <v>568105</v>
      </c>
      <c r="K4153" s="112" t="str">
        <f t="shared" si="634"/>
        <v>568100</v>
      </c>
      <c r="L4153" s="2">
        <v>1</v>
      </c>
      <c r="M4153" s="2" t="s">
        <v>84</v>
      </c>
      <c r="N4153" s="2" t="s">
        <v>84</v>
      </c>
      <c r="O4153" s="2" t="s">
        <v>841</v>
      </c>
      <c r="P4153" s="2" t="s">
        <v>2648</v>
      </c>
    </row>
    <row r="4154" spans="1:16" ht="22" customHeight="1" x14ac:dyDescent="0.15">
      <c r="A4154" s="10" t="str">
        <f t="shared" si="632"/>
        <v>568_10_16_10_polygon</v>
      </c>
      <c r="B4154" s="2">
        <v>568</v>
      </c>
      <c r="C4154" s="30" t="str">
        <f>VLOOKUP(B4154,gachas!A:C,3)</f>
        <v>フィーバーフェス（3日目）</v>
      </c>
      <c r="D4154" s="21">
        <v>10</v>
      </c>
      <c r="E4154" s="2">
        <f t="shared" si="635"/>
        <v>16</v>
      </c>
      <c r="F4154" s="2">
        <v>10</v>
      </c>
      <c r="G4154" s="3" t="s">
        <v>22</v>
      </c>
      <c r="H4154" s="2">
        <v>50</v>
      </c>
      <c r="I4154" s="114" t="str">
        <f t="shared" si="633"/>
        <v>568100</v>
      </c>
      <c r="J4154" s="112" t="s">
        <v>84</v>
      </c>
      <c r="K4154" s="112" t="str">
        <f t="shared" si="634"/>
        <v>568100</v>
      </c>
      <c r="L4154" s="2">
        <v>1</v>
      </c>
      <c r="M4154" s="2" t="s">
        <v>84</v>
      </c>
      <c r="N4154" s="2" t="s">
        <v>84</v>
      </c>
      <c r="O4154" s="2" t="s">
        <v>841</v>
      </c>
      <c r="P4154" s="2" t="s">
        <v>2571</v>
      </c>
    </row>
    <row r="4155" spans="1:16" ht="22" customHeight="1" x14ac:dyDescent="0.15">
      <c r="A4155" s="10" t="str">
        <f t="shared" si="632"/>
        <v>568_10_17_10_polygon</v>
      </c>
      <c r="B4155" s="2">
        <v>568</v>
      </c>
      <c r="C4155" s="30" t="str">
        <f>VLOOKUP(B4155,gachas!A:C,3)</f>
        <v>フィーバーフェス（3日目）</v>
      </c>
      <c r="D4155" s="21">
        <v>10</v>
      </c>
      <c r="E4155" s="2">
        <f t="shared" si="635"/>
        <v>17</v>
      </c>
      <c r="F4155" s="2">
        <v>10</v>
      </c>
      <c r="G4155" s="3" t="s">
        <v>22</v>
      </c>
      <c r="H4155" s="2">
        <v>50</v>
      </c>
      <c r="I4155" s="114" t="str">
        <f t="shared" si="633"/>
        <v>568100</v>
      </c>
      <c r="J4155" s="112" t="s">
        <v>84</v>
      </c>
      <c r="K4155" s="112" t="str">
        <f t="shared" si="634"/>
        <v>568100</v>
      </c>
      <c r="L4155" s="2">
        <v>1</v>
      </c>
      <c r="M4155" s="2" t="s">
        <v>84</v>
      </c>
      <c r="N4155" s="2" t="s">
        <v>84</v>
      </c>
      <c r="O4155" s="2" t="s">
        <v>841</v>
      </c>
      <c r="P4155" s="2" t="s">
        <v>2571</v>
      </c>
    </row>
    <row r="4156" spans="1:16" ht="22" customHeight="1" x14ac:dyDescent="0.15">
      <c r="A4156" s="10" t="str">
        <f t="shared" si="632"/>
        <v>568_10_18_10_polygon</v>
      </c>
      <c r="B4156" s="2">
        <v>568</v>
      </c>
      <c r="C4156" s="30" t="str">
        <f>VLOOKUP(B4156,gachas!A:C,3)</f>
        <v>フィーバーフェス（3日目）</v>
      </c>
      <c r="D4156" s="21">
        <v>10</v>
      </c>
      <c r="E4156" s="2">
        <f t="shared" si="635"/>
        <v>18</v>
      </c>
      <c r="F4156" s="2">
        <v>10</v>
      </c>
      <c r="G4156" s="3" t="s">
        <v>22</v>
      </c>
      <c r="H4156" s="2">
        <v>50</v>
      </c>
      <c r="I4156" s="114" t="str">
        <f t="shared" si="633"/>
        <v>568100</v>
      </c>
      <c r="J4156" s="112" t="s">
        <v>84</v>
      </c>
      <c r="K4156" s="112" t="str">
        <f t="shared" si="634"/>
        <v>568100</v>
      </c>
      <c r="L4156" s="2">
        <v>1</v>
      </c>
      <c r="M4156" s="2" t="s">
        <v>84</v>
      </c>
      <c r="N4156" s="2" t="s">
        <v>84</v>
      </c>
      <c r="O4156" s="2" t="s">
        <v>841</v>
      </c>
      <c r="P4156" s="2" t="s">
        <v>2571</v>
      </c>
    </row>
    <row r="4157" spans="1:16" ht="22" customHeight="1" x14ac:dyDescent="0.15">
      <c r="A4157" s="10" t="str">
        <f t="shared" si="632"/>
        <v>568_10_19_10_polygon</v>
      </c>
      <c r="B4157" s="2">
        <v>568</v>
      </c>
      <c r="C4157" s="30" t="str">
        <f>VLOOKUP(B4157,gachas!A:C,3)</f>
        <v>フィーバーフェス（3日目）</v>
      </c>
      <c r="D4157" s="21">
        <v>10</v>
      </c>
      <c r="E4157" s="2">
        <f t="shared" si="635"/>
        <v>19</v>
      </c>
      <c r="F4157" s="2">
        <v>10</v>
      </c>
      <c r="G4157" s="3" t="s">
        <v>22</v>
      </c>
      <c r="H4157" s="2">
        <v>50</v>
      </c>
      <c r="I4157" s="114" t="str">
        <f t="shared" si="633"/>
        <v>568100</v>
      </c>
      <c r="J4157" s="112" t="s">
        <v>84</v>
      </c>
      <c r="K4157" s="112" t="str">
        <f t="shared" si="634"/>
        <v>568100</v>
      </c>
      <c r="L4157" s="2">
        <v>1</v>
      </c>
      <c r="M4157" s="2" t="s">
        <v>84</v>
      </c>
      <c r="N4157" s="2" t="s">
        <v>84</v>
      </c>
      <c r="O4157" s="2" t="s">
        <v>841</v>
      </c>
      <c r="P4157" s="2" t="s">
        <v>2571</v>
      </c>
    </row>
    <row r="4158" spans="1:16" ht="22" customHeight="1" x14ac:dyDescent="0.15">
      <c r="A4158" s="10" t="str">
        <f t="shared" si="632"/>
        <v>568_10_20_10_polygon</v>
      </c>
      <c r="B4158" s="2">
        <v>568</v>
      </c>
      <c r="C4158" s="30" t="str">
        <f>VLOOKUP(B4158,gachas!A:C,3)</f>
        <v>フィーバーフェス（3日目）</v>
      </c>
      <c r="D4158" s="21">
        <v>10</v>
      </c>
      <c r="E4158" s="2">
        <f t="shared" si="635"/>
        <v>20</v>
      </c>
      <c r="F4158" s="2">
        <v>10</v>
      </c>
      <c r="G4158" s="3" t="s">
        <v>22</v>
      </c>
      <c r="H4158" s="2">
        <v>50</v>
      </c>
      <c r="I4158" s="114" t="str">
        <f t="shared" si="633"/>
        <v>568100</v>
      </c>
      <c r="J4158" s="112" t="str">
        <f>CONCATENATE(B4158,D4158,5)</f>
        <v>568105</v>
      </c>
      <c r="K4158" s="112" t="str">
        <f t="shared" si="634"/>
        <v>568100</v>
      </c>
      <c r="L4158" s="2">
        <v>1</v>
      </c>
      <c r="M4158" s="2" t="s">
        <v>84</v>
      </c>
      <c r="N4158" s="2" t="s">
        <v>84</v>
      </c>
      <c r="O4158" s="2" t="s">
        <v>841</v>
      </c>
      <c r="P4158" s="2" t="s">
        <v>2648</v>
      </c>
    </row>
    <row r="4159" spans="1:16" ht="22" customHeight="1" x14ac:dyDescent="0.15">
      <c r="A4159" s="10" t="str">
        <f t="shared" si="632"/>
        <v>568_10_21_10_polygon</v>
      </c>
      <c r="B4159" s="2">
        <v>568</v>
      </c>
      <c r="C4159" s="30" t="str">
        <f>VLOOKUP(B4159,gachas!A:C,3)</f>
        <v>フィーバーフェス（3日目）</v>
      </c>
      <c r="D4159" s="21">
        <v>10</v>
      </c>
      <c r="E4159" s="2">
        <f t="shared" si="635"/>
        <v>21</v>
      </c>
      <c r="F4159" s="2">
        <v>10</v>
      </c>
      <c r="G4159" s="3" t="s">
        <v>22</v>
      </c>
      <c r="H4159" s="2">
        <v>50</v>
      </c>
      <c r="I4159" s="114" t="str">
        <f t="shared" si="633"/>
        <v>568100</v>
      </c>
      <c r="J4159" s="112" t="s">
        <v>84</v>
      </c>
      <c r="K4159" s="112" t="str">
        <f t="shared" si="634"/>
        <v>568100</v>
      </c>
      <c r="L4159" s="2">
        <v>1</v>
      </c>
      <c r="M4159" s="2" t="s">
        <v>84</v>
      </c>
      <c r="N4159" s="2" t="s">
        <v>84</v>
      </c>
      <c r="O4159" s="2" t="s">
        <v>841</v>
      </c>
      <c r="P4159" s="2" t="s">
        <v>2571</v>
      </c>
    </row>
    <row r="4160" spans="1:16" ht="22" customHeight="1" x14ac:dyDescent="0.15">
      <c r="A4160" s="10" t="str">
        <f t="shared" si="632"/>
        <v>568_10_22_10_polygon</v>
      </c>
      <c r="B4160" s="2">
        <v>568</v>
      </c>
      <c r="C4160" s="30" t="str">
        <f>VLOOKUP(B4160,gachas!A:C,3)</f>
        <v>フィーバーフェス（3日目）</v>
      </c>
      <c r="D4160" s="21">
        <v>10</v>
      </c>
      <c r="E4160" s="2">
        <f t="shared" si="635"/>
        <v>22</v>
      </c>
      <c r="F4160" s="2">
        <v>10</v>
      </c>
      <c r="G4160" s="3" t="s">
        <v>22</v>
      </c>
      <c r="H4160" s="2">
        <v>50</v>
      </c>
      <c r="I4160" s="114" t="str">
        <f t="shared" si="633"/>
        <v>568100</v>
      </c>
      <c r="J4160" s="112" t="s">
        <v>84</v>
      </c>
      <c r="K4160" s="112" t="str">
        <f t="shared" si="634"/>
        <v>568100</v>
      </c>
      <c r="L4160" s="2">
        <v>1</v>
      </c>
      <c r="M4160" s="2" t="s">
        <v>84</v>
      </c>
      <c r="N4160" s="2" t="s">
        <v>84</v>
      </c>
      <c r="O4160" s="2" t="s">
        <v>841</v>
      </c>
      <c r="P4160" s="2" t="s">
        <v>2571</v>
      </c>
    </row>
    <row r="4161" spans="1:16" ht="22" customHeight="1" x14ac:dyDescent="0.15">
      <c r="A4161" s="10" t="str">
        <f t="shared" si="632"/>
        <v>568_10_23_10_polygon</v>
      </c>
      <c r="B4161" s="2">
        <v>568</v>
      </c>
      <c r="C4161" s="30" t="str">
        <f>VLOOKUP(B4161,gachas!A:C,3)</f>
        <v>フィーバーフェス（3日目）</v>
      </c>
      <c r="D4161" s="21">
        <v>10</v>
      </c>
      <c r="E4161" s="2">
        <f t="shared" si="635"/>
        <v>23</v>
      </c>
      <c r="F4161" s="2">
        <v>10</v>
      </c>
      <c r="G4161" s="3" t="s">
        <v>22</v>
      </c>
      <c r="H4161" s="2">
        <v>50</v>
      </c>
      <c r="I4161" s="114" t="str">
        <f t="shared" si="633"/>
        <v>568100</v>
      </c>
      <c r="J4161" s="112" t="s">
        <v>84</v>
      </c>
      <c r="K4161" s="112" t="str">
        <f t="shared" si="634"/>
        <v>568100</v>
      </c>
      <c r="L4161" s="2">
        <v>1</v>
      </c>
      <c r="M4161" s="2" t="s">
        <v>84</v>
      </c>
      <c r="N4161" s="2" t="s">
        <v>84</v>
      </c>
      <c r="O4161" s="2" t="s">
        <v>841</v>
      </c>
      <c r="P4161" s="2" t="s">
        <v>2571</v>
      </c>
    </row>
    <row r="4162" spans="1:16" ht="22" customHeight="1" x14ac:dyDescent="0.15">
      <c r="A4162" s="10" t="str">
        <f t="shared" ref="A4162:A4192" si="636">B4162&amp;"_"&amp;D4162&amp;"_"&amp;E4162&amp;"_"&amp;F4162&amp;"_"&amp;G4162</f>
        <v>568_10_24_10_polygon</v>
      </c>
      <c r="B4162" s="2">
        <v>568</v>
      </c>
      <c r="C4162" s="30" t="str">
        <f>VLOOKUP(B4162,gachas!A:C,3)</f>
        <v>フィーバーフェス（3日目）</v>
      </c>
      <c r="D4162" s="21">
        <v>10</v>
      </c>
      <c r="E4162" s="2">
        <f t="shared" si="635"/>
        <v>24</v>
      </c>
      <c r="F4162" s="2">
        <v>10</v>
      </c>
      <c r="G4162" s="3" t="s">
        <v>22</v>
      </c>
      <c r="H4162" s="2">
        <v>50</v>
      </c>
      <c r="I4162" s="114" t="str">
        <f t="shared" si="633"/>
        <v>568100</v>
      </c>
      <c r="J4162" s="112" t="s">
        <v>84</v>
      </c>
      <c r="K4162" s="112" t="str">
        <f t="shared" si="634"/>
        <v>568100</v>
      </c>
      <c r="L4162" s="2">
        <v>1</v>
      </c>
      <c r="M4162" s="2" t="s">
        <v>84</v>
      </c>
      <c r="N4162" s="2" t="s">
        <v>84</v>
      </c>
      <c r="O4162" s="2" t="s">
        <v>841</v>
      </c>
      <c r="P4162" s="2" t="s">
        <v>2571</v>
      </c>
    </row>
    <row r="4163" spans="1:16" ht="22" customHeight="1" x14ac:dyDescent="0.15">
      <c r="A4163" s="10" t="str">
        <f t="shared" si="636"/>
        <v>568_10_25_10_polygon</v>
      </c>
      <c r="B4163" s="2">
        <v>568</v>
      </c>
      <c r="C4163" s="30" t="str">
        <f>VLOOKUP(B4163,gachas!A:C,3)</f>
        <v>フィーバーフェス（3日目）</v>
      </c>
      <c r="D4163" s="21">
        <v>10</v>
      </c>
      <c r="E4163" s="2">
        <f t="shared" si="635"/>
        <v>25</v>
      </c>
      <c r="F4163" s="2">
        <v>10</v>
      </c>
      <c r="G4163" s="3" t="s">
        <v>22</v>
      </c>
      <c r="H4163" s="2">
        <v>50</v>
      </c>
      <c r="I4163" s="114" t="str">
        <f t="shared" si="633"/>
        <v>568100</v>
      </c>
      <c r="J4163" s="112" t="str">
        <f>CONCATENATE(B4163,D4163,5)</f>
        <v>568105</v>
      </c>
      <c r="K4163" s="112" t="str">
        <f t="shared" si="634"/>
        <v>568100</v>
      </c>
      <c r="L4163" s="2">
        <v>1</v>
      </c>
      <c r="M4163" s="2" t="s">
        <v>84</v>
      </c>
      <c r="N4163" s="2" t="s">
        <v>84</v>
      </c>
      <c r="O4163" s="2" t="s">
        <v>841</v>
      </c>
      <c r="P4163" s="2" t="s">
        <v>2648</v>
      </c>
    </row>
    <row r="4164" spans="1:16" ht="22" customHeight="1" x14ac:dyDescent="0.15">
      <c r="A4164" s="10" t="str">
        <f t="shared" si="636"/>
        <v>568_10_26_10_polygon</v>
      </c>
      <c r="B4164" s="2">
        <v>568</v>
      </c>
      <c r="C4164" s="30" t="str">
        <f>VLOOKUP(B4164,gachas!A:C,3)</f>
        <v>フィーバーフェス（3日目）</v>
      </c>
      <c r="D4164" s="21">
        <v>10</v>
      </c>
      <c r="E4164" s="2">
        <f t="shared" si="635"/>
        <v>26</v>
      </c>
      <c r="F4164" s="2">
        <v>10</v>
      </c>
      <c r="G4164" s="3" t="s">
        <v>22</v>
      </c>
      <c r="H4164" s="2">
        <v>50</v>
      </c>
      <c r="I4164" s="114" t="str">
        <f t="shared" ref="I4164:I4192" si="637">CONCATENATE(B4164,IF(D4164=1,"01","10"),0)</f>
        <v>568100</v>
      </c>
      <c r="J4164" s="112" t="s">
        <v>84</v>
      </c>
      <c r="K4164" s="112" t="str">
        <f t="shared" si="634"/>
        <v>568100</v>
      </c>
      <c r="L4164" s="2">
        <v>1</v>
      </c>
      <c r="M4164" s="2" t="s">
        <v>84</v>
      </c>
      <c r="N4164" s="2" t="s">
        <v>84</v>
      </c>
      <c r="O4164" s="2" t="s">
        <v>841</v>
      </c>
      <c r="P4164" s="2" t="s">
        <v>2571</v>
      </c>
    </row>
    <row r="4165" spans="1:16" ht="22" customHeight="1" x14ac:dyDescent="0.15">
      <c r="A4165" s="10" t="str">
        <f t="shared" si="636"/>
        <v>568_10_27_10_polygon</v>
      </c>
      <c r="B4165" s="2">
        <v>568</v>
      </c>
      <c r="C4165" s="30" t="str">
        <f>VLOOKUP(B4165,gachas!A:C,3)</f>
        <v>フィーバーフェス（3日目）</v>
      </c>
      <c r="D4165" s="21">
        <v>10</v>
      </c>
      <c r="E4165" s="2">
        <f t="shared" si="635"/>
        <v>27</v>
      </c>
      <c r="F4165" s="2">
        <v>10</v>
      </c>
      <c r="G4165" s="3" t="s">
        <v>22</v>
      </c>
      <c r="H4165" s="2">
        <v>50</v>
      </c>
      <c r="I4165" s="114" t="str">
        <f t="shared" si="637"/>
        <v>568100</v>
      </c>
      <c r="J4165" s="112" t="s">
        <v>84</v>
      </c>
      <c r="K4165" s="112" t="str">
        <f t="shared" si="634"/>
        <v>568100</v>
      </c>
      <c r="L4165" s="2">
        <v>1</v>
      </c>
      <c r="M4165" s="2" t="s">
        <v>84</v>
      </c>
      <c r="N4165" s="2" t="s">
        <v>84</v>
      </c>
      <c r="O4165" s="2" t="s">
        <v>841</v>
      </c>
      <c r="P4165" s="2" t="s">
        <v>2571</v>
      </c>
    </row>
    <row r="4166" spans="1:16" ht="22" customHeight="1" x14ac:dyDescent="0.15">
      <c r="A4166" s="10" t="str">
        <f t="shared" si="636"/>
        <v>568_10_28_10_polygon</v>
      </c>
      <c r="B4166" s="2">
        <v>568</v>
      </c>
      <c r="C4166" s="30" t="str">
        <f>VLOOKUP(B4166,gachas!A:C,3)</f>
        <v>フィーバーフェス（3日目）</v>
      </c>
      <c r="D4166" s="21">
        <v>10</v>
      </c>
      <c r="E4166" s="2">
        <f t="shared" si="635"/>
        <v>28</v>
      </c>
      <c r="F4166" s="2">
        <v>10</v>
      </c>
      <c r="G4166" s="3" t="s">
        <v>22</v>
      </c>
      <c r="H4166" s="2">
        <v>50</v>
      </c>
      <c r="I4166" s="114" t="str">
        <f t="shared" si="637"/>
        <v>568100</v>
      </c>
      <c r="J4166" s="112" t="s">
        <v>84</v>
      </c>
      <c r="K4166" s="112" t="str">
        <f t="shared" si="634"/>
        <v>568100</v>
      </c>
      <c r="L4166" s="2">
        <v>1</v>
      </c>
      <c r="M4166" s="2" t="s">
        <v>84</v>
      </c>
      <c r="N4166" s="2" t="s">
        <v>84</v>
      </c>
      <c r="O4166" s="2" t="s">
        <v>841</v>
      </c>
      <c r="P4166" s="2" t="s">
        <v>2571</v>
      </c>
    </row>
    <row r="4167" spans="1:16" ht="22" customHeight="1" x14ac:dyDescent="0.15">
      <c r="A4167" s="10" t="str">
        <f t="shared" si="636"/>
        <v>568_10_29_10_polygon</v>
      </c>
      <c r="B4167" s="2">
        <v>568</v>
      </c>
      <c r="C4167" s="30" t="str">
        <f>VLOOKUP(B4167,gachas!A:C,3)</f>
        <v>フィーバーフェス（3日目）</v>
      </c>
      <c r="D4167" s="21">
        <v>10</v>
      </c>
      <c r="E4167" s="2">
        <f t="shared" si="635"/>
        <v>29</v>
      </c>
      <c r="F4167" s="2">
        <v>10</v>
      </c>
      <c r="G4167" s="3" t="s">
        <v>22</v>
      </c>
      <c r="H4167" s="2">
        <v>50</v>
      </c>
      <c r="I4167" s="114" t="str">
        <f t="shared" si="637"/>
        <v>568100</v>
      </c>
      <c r="J4167" s="112" t="s">
        <v>84</v>
      </c>
      <c r="K4167" s="112" t="str">
        <f t="shared" si="634"/>
        <v>568100</v>
      </c>
      <c r="L4167" s="2">
        <v>1</v>
      </c>
      <c r="M4167" s="2" t="s">
        <v>84</v>
      </c>
      <c r="N4167" s="2" t="s">
        <v>84</v>
      </c>
      <c r="O4167" s="2" t="s">
        <v>841</v>
      </c>
      <c r="P4167" s="2" t="s">
        <v>2571</v>
      </c>
    </row>
    <row r="4168" spans="1:16" ht="22" customHeight="1" x14ac:dyDescent="0.15">
      <c r="A4168" s="10" t="str">
        <f t="shared" si="636"/>
        <v>568_10_30_10_polygon</v>
      </c>
      <c r="B4168" s="2">
        <v>568</v>
      </c>
      <c r="C4168" s="30" t="str">
        <f>VLOOKUP(B4168,gachas!A:C,3)</f>
        <v>フィーバーフェス（3日目）</v>
      </c>
      <c r="D4168" s="21">
        <v>10</v>
      </c>
      <c r="E4168" s="2">
        <f t="shared" si="635"/>
        <v>30</v>
      </c>
      <c r="F4168" s="2">
        <v>10</v>
      </c>
      <c r="G4168" s="3" t="s">
        <v>22</v>
      </c>
      <c r="H4168" s="2">
        <v>50</v>
      </c>
      <c r="I4168" s="114" t="str">
        <f t="shared" si="637"/>
        <v>568100</v>
      </c>
      <c r="J4168" s="112" t="str">
        <f>CONCATENATE(B4168,D4168,5)</f>
        <v>568105</v>
      </c>
      <c r="K4168" s="112" t="str">
        <f t="shared" si="634"/>
        <v>568100</v>
      </c>
      <c r="L4168" s="2">
        <v>1</v>
      </c>
      <c r="M4168" s="2" t="s">
        <v>84</v>
      </c>
      <c r="N4168" s="2" t="s">
        <v>84</v>
      </c>
      <c r="O4168" s="2" t="s">
        <v>841</v>
      </c>
      <c r="P4168" s="2" t="s">
        <v>2648</v>
      </c>
    </row>
    <row r="4169" spans="1:16" ht="22" customHeight="1" x14ac:dyDescent="0.15">
      <c r="A4169" s="10" t="str">
        <f t="shared" si="636"/>
        <v>568_10_31_10_polygon</v>
      </c>
      <c r="B4169" s="2">
        <v>568</v>
      </c>
      <c r="C4169" s="30" t="str">
        <f>VLOOKUP(B4169,gachas!A:C,3)</f>
        <v>フィーバーフェス（3日目）</v>
      </c>
      <c r="D4169" s="21">
        <v>10</v>
      </c>
      <c r="E4169" s="2">
        <f t="shared" si="635"/>
        <v>31</v>
      </c>
      <c r="F4169" s="2">
        <v>10</v>
      </c>
      <c r="G4169" s="3" t="s">
        <v>22</v>
      </c>
      <c r="H4169" s="2">
        <v>50</v>
      </c>
      <c r="I4169" s="114" t="str">
        <f t="shared" si="637"/>
        <v>568100</v>
      </c>
      <c r="J4169" s="112" t="s">
        <v>84</v>
      </c>
      <c r="K4169" s="112" t="str">
        <f t="shared" si="634"/>
        <v>568100</v>
      </c>
      <c r="L4169" s="2">
        <v>1</v>
      </c>
      <c r="M4169" s="2" t="s">
        <v>84</v>
      </c>
      <c r="N4169" s="2" t="s">
        <v>84</v>
      </c>
      <c r="O4169" s="2" t="s">
        <v>841</v>
      </c>
      <c r="P4169" s="2" t="s">
        <v>2571</v>
      </c>
    </row>
    <row r="4170" spans="1:16" ht="22" customHeight="1" x14ac:dyDescent="0.15">
      <c r="A4170" s="10" t="str">
        <f t="shared" si="636"/>
        <v>568_10_32_10_polygon</v>
      </c>
      <c r="B4170" s="2">
        <v>568</v>
      </c>
      <c r="C4170" s="30" t="str">
        <f>VLOOKUP(B4170,gachas!A:C,3)</f>
        <v>フィーバーフェス（3日目）</v>
      </c>
      <c r="D4170" s="21">
        <v>10</v>
      </c>
      <c r="E4170" s="2">
        <f t="shared" si="635"/>
        <v>32</v>
      </c>
      <c r="F4170" s="2">
        <v>10</v>
      </c>
      <c r="G4170" s="3" t="s">
        <v>22</v>
      </c>
      <c r="H4170" s="2">
        <v>50</v>
      </c>
      <c r="I4170" s="114" t="str">
        <f t="shared" si="637"/>
        <v>568100</v>
      </c>
      <c r="J4170" s="112" t="s">
        <v>84</v>
      </c>
      <c r="K4170" s="112" t="str">
        <f t="shared" si="634"/>
        <v>568100</v>
      </c>
      <c r="L4170" s="2">
        <v>1</v>
      </c>
      <c r="M4170" s="2" t="s">
        <v>84</v>
      </c>
      <c r="N4170" s="2" t="s">
        <v>84</v>
      </c>
      <c r="O4170" s="2" t="s">
        <v>841</v>
      </c>
      <c r="P4170" s="2" t="s">
        <v>2571</v>
      </c>
    </row>
    <row r="4171" spans="1:16" ht="22" customHeight="1" x14ac:dyDescent="0.15">
      <c r="A4171" s="10" t="str">
        <f t="shared" si="636"/>
        <v>568_10_33_10_polygon</v>
      </c>
      <c r="B4171" s="2">
        <v>568</v>
      </c>
      <c r="C4171" s="30" t="str">
        <f>VLOOKUP(B4171,gachas!A:C,3)</f>
        <v>フィーバーフェス（3日目）</v>
      </c>
      <c r="D4171" s="21">
        <v>10</v>
      </c>
      <c r="E4171" s="2">
        <f t="shared" si="635"/>
        <v>33</v>
      </c>
      <c r="F4171" s="2">
        <v>10</v>
      </c>
      <c r="G4171" s="3" t="s">
        <v>22</v>
      </c>
      <c r="H4171" s="2">
        <v>50</v>
      </c>
      <c r="I4171" s="114" t="str">
        <f t="shared" si="637"/>
        <v>568100</v>
      </c>
      <c r="J4171" s="112" t="s">
        <v>84</v>
      </c>
      <c r="K4171" s="112" t="str">
        <f t="shared" si="634"/>
        <v>568100</v>
      </c>
      <c r="L4171" s="2">
        <v>1</v>
      </c>
      <c r="M4171" s="2" t="s">
        <v>84</v>
      </c>
      <c r="N4171" s="2" t="s">
        <v>84</v>
      </c>
      <c r="O4171" s="2" t="s">
        <v>841</v>
      </c>
      <c r="P4171" s="2" t="s">
        <v>2571</v>
      </c>
    </row>
    <row r="4172" spans="1:16" ht="22" customHeight="1" x14ac:dyDescent="0.15">
      <c r="A4172" s="10" t="str">
        <f t="shared" si="636"/>
        <v>568_10_34_10_polygon</v>
      </c>
      <c r="B4172" s="2">
        <v>568</v>
      </c>
      <c r="C4172" s="30" t="str">
        <f>VLOOKUP(B4172,gachas!A:C,3)</f>
        <v>フィーバーフェス（3日目）</v>
      </c>
      <c r="D4172" s="21">
        <v>10</v>
      </c>
      <c r="E4172" s="2">
        <f t="shared" si="635"/>
        <v>34</v>
      </c>
      <c r="F4172" s="2">
        <v>10</v>
      </c>
      <c r="G4172" s="3" t="s">
        <v>22</v>
      </c>
      <c r="H4172" s="2">
        <v>50</v>
      </c>
      <c r="I4172" s="114" t="str">
        <f t="shared" si="637"/>
        <v>568100</v>
      </c>
      <c r="J4172" s="112" t="s">
        <v>84</v>
      </c>
      <c r="K4172" s="112" t="str">
        <f t="shared" si="634"/>
        <v>568100</v>
      </c>
      <c r="L4172" s="2">
        <v>1</v>
      </c>
      <c r="M4172" s="2" t="s">
        <v>84</v>
      </c>
      <c r="N4172" s="2" t="s">
        <v>84</v>
      </c>
      <c r="O4172" s="2" t="s">
        <v>841</v>
      </c>
      <c r="P4172" s="2" t="s">
        <v>2571</v>
      </c>
    </row>
    <row r="4173" spans="1:16" ht="22" customHeight="1" x14ac:dyDescent="0.15">
      <c r="A4173" s="10" t="str">
        <f t="shared" si="636"/>
        <v>568_10_35_10_polygon</v>
      </c>
      <c r="B4173" s="2">
        <v>568</v>
      </c>
      <c r="C4173" s="30" t="str">
        <f>VLOOKUP(B4173,gachas!A:C,3)</f>
        <v>フィーバーフェス（3日目）</v>
      </c>
      <c r="D4173" s="21">
        <v>10</v>
      </c>
      <c r="E4173" s="2">
        <f t="shared" si="635"/>
        <v>35</v>
      </c>
      <c r="F4173" s="2">
        <v>10</v>
      </c>
      <c r="G4173" s="3" t="s">
        <v>22</v>
      </c>
      <c r="H4173" s="2">
        <v>50</v>
      </c>
      <c r="I4173" s="114" t="str">
        <f t="shared" si="637"/>
        <v>568100</v>
      </c>
      <c r="J4173" s="112" t="str">
        <f>CONCATENATE(B4173,D4173,5)</f>
        <v>568105</v>
      </c>
      <c r="K4173" s="112" t="str">
        <f t="shared" si="634"/>
        <v>568100</v>
      </c>
      <c r="L4173" s="2">
        <v>1</v>
      </c>
      <c r="M4173" s="2" t="s">
        <v>84</v>
      </c>
      <c r="N4173" s="2" t="s">
        <v>84</v>
      </c>
      <c r="O4173" s="2" t="s">
        <v>841</v>
      </c>
      <c r="P4173" s="2" t="s">
        <v>2648</v>
      </c>
    </row>
    <row r="4174" spans="1:16" ht="22" customHeight="1" x14ac:dyDescent="0.15">
      <c r="A4174" s="10" t="str">
        <f t="shared" si="636"/>
        <v>568_10_36_10_polygon</v>
      </c>
      <c r="B4174" s="2">
        <v>568</v>
      </c>
      <c r="C4174" s="30" t="str">
        <f>VLOOKUP(B4174,gachas!A:C,3)</f>
        <v>フィーバーフェス（3日目）</v>
      </c>
      <c r="D4174" s="21">
        <v>10</v>
      </c>
      <c r="E4174" s="2">
        <f t="shared" si="635"/>
        <v>36</v>
      </c>
      <c r="F4174" s="2">
        <v>10</v>
      </c>
      <c r="G4174" s="3" t="s">
        <v>22</v>
      </c>
      <c r="H4174" s="2">
        <v>50</v>
      </c>
      <c r="I4174" s="114" t="str">
        <f t="shared" si="637"/>
        <v>568100</v>
      </c>
      <c r="J4174" s="112" t="s">
        <v>84</v>
      </c>
      <c r="K4174" s="112" t="str">
        <f t="shared" si="634"/>
        <v>568100</v>
      </c>
      <c r="L4174" s="2">
        <v>1</v>
      </c>
      <c r="M4174" s="2" t="s">
        <v>84</v>
      </c>
      <c r="N4174" s="2" t="s">
        <v>84</v>
      </c>
      <c r="O4174" s="2" t="s">
        <v>841</v>
      </c>
      <c r="P4174" s="2" t="s">
        <v>2571</v>
      </c>
    </row>
    <row r="4175" spans="1:16" ht="22" customHeight="1" x14ac:dyDescent="0.15">
      <c r="A4175" s="10" t="str">
        <f t="shared" si="636"/>
        <v>568_10_37_10_polygon</v>
      </c>
      <c r="B4175" s="2">
        <v>568</v>
      </c>
      <c r="C4175" s="30" t="str">
        <f>VLOOKUP(B4175,gachas!A:C,3)</f>
        <v>フィーバーフェス（3日目）</v>
      </c>
      <c r="D4175" s="21">
        <v>10</v>
      </c>
      <c r="E4175" s="2">
        <f t="shared" si="635"/>
        <v>37</v>
      </c>
      <c r="F4175" s="2">
        <v>10</v>
      </c>
      <c r="G4175" s="3" t="s">
        <v>22</v>
      </c>
      <c r="H4175" s="2">
        <v>50</v>
      </c>
      <c r="I4175" s="114" t="str">
        <f t="shared" si="637"/>
        <v>568100</v>
      </c>
      <c r="J4175" s="112" t="s">
        <v>84</v>
      </c>
      <c r="K4175" s="112" t="str">
        <f t="shared" si="634"/>
        <v>568100</v>
      </c>
      <c r="L4175" s="2">
        <v>1</v>
      </c>
      <c r="M4175" s="2" t="s">
        <v>84</v>
      </c>
      <c r="N4175" s="2" t="s">
        <v>84</v>
      </c>
      <c r="O4175" s="2" t="s">
        <v>841</v>
      </c>
      <c r="P4175" s="2" t="s">
        <v>2571</v>
      </c>
    </row>
    <row r="4176" spans="1:16" ht="22" customHeight="1" x14ac:dyDescent="0.15">
      <c r="A4176" s="10" t="str">
        <f t="shared" si="636"/>
        <v>568_10_38_10_polygon</v>
      </c>
      <c r="B4176" s="2">
        <v>568</v>
      </c>
      <c r="C4176" s="30" t="str">
        <f>VLOOKUP(B4176,gachas!A:C,3)</f>
        <v>フィーバーフェス（3日目）</v>
      </c>
      <c r="D4176" s="21">
        <v>10</v>
      </c>
      <c r="E4176" s="2">
        <f t="shared" si="635"/>
        <v>38</v>
      </c>
      <c r="F4176" s="2">
        <v>10</v>
      </c>
      <c r="G4176" s="3" t="s">
        <v>22</v>
      </c>
      <c r="H4176" s="2">
        <v>50</v>
      </c>
      <c r="I4176" s="114" t="str">
        <f t="shared" si="637"/>
        <v>568100</v>
      </c>
      <c r="J4176" s="112" t="s">
        <v>84</v>
      </c>
      <c r="K4176" s="112" t="str">
        <f t="shared" si="634"/>
        <v>568100</v>
      </c>
      <c r="L4176" s="2">
        <v>1</v>
      </c>
      <c r="M4176" s="2" t="s">
        <v>84</v>
      </c>
      <c r="N4176" s="2" t="s">
        <v>84</v>
      </c>
      <c r="O4176" s="2" t="s">
        <v>841</v>
      </c>
      <c r="P4176" s="2" t="s">
        <v>2571</v>
      </c>
    </row>
    <row r="4177" spans="1:16" ht="22" customHeight="1" x14ac:dyDescent="0.15">
      <c r="A4177" s="10" t="str">
        <f t="shared" si="636"/>
        <v>568_10_39_10_polygon</v>
      </c>
      <c r="B4177" s="2">
        <v>568</v>
      </c>
      <c r="C4177" s="30" t="str">
        <f>VLOOKUP(B4177,gachas!A:C,3)</f>
        <v>フィーバーフェス（3日目）</v>
      </c>
      <c r="D4177" s="21">
        <v>10</v>
      </c>
      <c r="E4177" s="2">
        <f t="shared" si="635"/>
        <v>39</v>
      </c>
      <c r="F4177" s="2">
        <v>10</v>
      </c>
      <c r="G4177" s="3" t="s">
        <v>22</v>
      </c>
      <c r="H4177" s="2">
        <v>50</v>
      </c>
      <c r="I4177" s="114" t="str">
        <f t="shared" si="637"/>
        <v>568100</v>
      </c>
      <c r="J4177" s="112" t="s">
        <v>84</v>
      </c>
      <c r="K4177" s="112" t="str">
        <f t="shared" si="634"/>
        <v>568100</v>
      </c>
      <c r="L4177" s="2">
        <v>1</v>
      </c>
      <c r="M4177" s="2" t="s">
        <v>84</v>
      </c>
      <c r="N4177" s="2" t="s">
        <v>84</v>
      </c>
      <c r="O4177" s="2" t="s">
        <v>841</v>
      </c>
      <c r="P4177" s="2" t="s">
        <v>2571</v>
      </c>
    </row>
    <row r="4178" spans="1:16" ht="22" customHeight="1" x14ac:dyDescent="0.15">
      <c r="A4178" s="10" t="str">
        <f t="shared" si="636"/>
        <v>568_10_40_10_polygon</v>
      </c>
      <c r="B4178" s="2">
        <v>568</v>
      </c>
      <c r="C4178" s="30" t="str">
        <f>VLOOKUP(B4178,gachas!A:C,3)</f>
        <v>フィーバーフェス（3日目）</v>
      </c>
      <c r="D4178" s="21">
        <v>10</v>
      </c>
      <c r="E4178" s="2">
        <f t="shared" si="635"/>
        <v>40</v>
      </c>
      <c r="F4178" s="2">
        <v>10</v>
      </c>
      <c r="G4178" s="3" t="s">
        <v>22</v>
      </c>
      <c r="H4178" s="2">
        <v>50</v>
      </c>
      <c r="I4178" s="114" t="str">
        <f t="shared" si="637"/>
        <v>568100</v>
      </c>
      <c r="J4178" s="112" t="str">
        <f>CONCATENATE(B4178,D4178,5)</f>
        <v>568105</v>
      </c>
      <c r="K4178" s="112" t="str">
        <f t="shared" si="634"/>
        <v>568100</v>
      </c>
      <c r="L4178" s="2">
        <v>1</v>
      </c>
      <c r="M4178" s="2" t="s">
        <v>84</v>
      </c>
      <c r="N4178" s="2" t="s">
        <v>84</v>
      </c>
      <c r="O4178" s="2" t="s">
        <v>841</v>
      </c>
      <c r="P4178" s="2" t="s">
        <v>2648</v>
      </c>
    </row>
    <row r="4179" spans="1:16" ht="22" customHeight="1" x14ac:dyDescent="0.15">
      <c r="A4179" s="10" t="str">
        <f t="shared" si="636"/>
        <v>568_10_41_10_polygon</v>
      </c>
      <c r="B4179" s="2">
        <v>568</v>
      </c>
      <c r="C4179" s="30" t="str">
        <f>VLOOKUP(B4179,gachas!A:C,3)</f>
        <v>フィーバーフェス（3日目）</v>
      </c>
      <c r="D4179" s="21">
        <v>10</v>
      </c>
      <c r="E4179" s="2">
        <f t="shared" si="635"/>
        <v>41</v>
      </c>
      <c r="F4179" s="2">
        <v>10</v>
      </c>
      <c r="G4179" s="3" t="s">
        <v>22</v>
      </c>
      <c r="H4179" s="2">
        <v>50</v>
      </c>
      <c r="I4179" s="114" t="str">
        <f t="shared" si="637"/>
        <v>568100</v>
      </c>
      <c r="J4179" s="112" t="s">
        <v>84</v>
      </c>
      <c r="K4179" s="112" t="str">
        <f t="shared" si="634"/>
        <v>568100</v>
      </c>
      <c r="L4179" s="2">
        <v>1</v>
      </c>
      <c r="M4179" s="2" t="s">
        <v>84</v>
      </c>
      <c r="N4179" s="2" t="s">
        <v>84</v>
      </c>
      <c r="O4179" s="2" t="s">
        <v>841</v>
      </c>
      <c r="P4179" s="2" t="s">
        <v>2571</v>
      </c>
    </row>
    <row r="4180" spans="1:16" ht="22" customHeight="1" x14ac:dyDescent="0.15">
      <c r="A4180" s="10" t="str">
        <f t="shared" si="636"/>
        <v>568_10_42_10_polygon</v>
      </c>
      <c r="B4180" s="2">
        <v>568</v>
      </c>
      <c r="C4180" s="30" t="str">
        <f>VLOOKUP(B4180,gachas!A:C,3)</f>
        <v>フィーバーフェス（3日目）</v>
      </c>
      <c r="D4180" s="21">
        <v>10</v>
      </c>
      <c r="E4180" s="2">
        <f t="shared" si="635"/>
        <v>42</v>
      </c>
      <c r="F4180" s="2">
        <v>10</v>
      </c>
      <c r="G4180" s="3" t="s">
        <v>22</v>
      </c>
      <c r="H4180" s="2">
        <v>50</v>
      </c>
      <c r="I4180" s="114" t="str">
        <f t="shared" si="637"/>
        <v>568100</v>
      </c>
      <c r="J4180" s="112" t="s">
        <v>84</v>
      </c>
      <c r="K4180" s="112" t="str">
        <f t="shared" si="634"/>
        <v>568100</v>
      </c>
      <c r="L4180" s="2">
        <v>1</v>
      </c>
      <c r="M4180" s="2" t="s">
        <v>84</v>
      </c>
      <c r="N4180" s="2" t="s">
        <v>84</v>
      </c>
      <c r="O4180" s="2" t="s">
        <v>841</v>
      </c>
      <c r="P4180" s="2" t="s">
        <v>2571</v>
      </c>
    </row>
    <row r="4181" spans="1:16" ht="22" customHeight="1" x14ac:dyDescent="0.15">
      <c r="A4181" s="10" t="str">
        <f t="shared" si="636"/>
        <v>568_10_43_10_polygon</v>
      </c>
      <c r="B4181" s="2">
        <v>568</v>
      </c>
      <c r="C4181" s="30" t="str">
        <f>VLOOKUP(B4181,gachas!A:C,3)</f>
        <v>フィーバーフェス（3日目）</v>
      </c>
      <c r="D4181" s="21">
        <v>10</v>
      </c>
      <c r="E4181" s="2">
        <f t="shared" si="635"/>
        <v>43</v>
      </c>
      <c r="F4181" s="2">
        <v>10</v>
      </c>
      <c r="G4181" s="3" t="s">
        <v>22</v>
      </c>
      <c r="H4181" s="2">
        <v>50</v>
      </c>
      <c r="I4181" s="114" t="str">
        <f t="shared" si="637"/>
        <v>568100</v>
      </c>
      <c r="J4181" s="112" t="s">
        <v>84</v>
      </c>
      <c r="K4181" s="112" t="str">
        <f t="shared" si="634"/>
        <v>568100</v>
      </c>
      <c r="L4181" s="2">
        <v>1</v>
      </c>
      <c r="M4181" s="2" t="s">
        <v>84</v>
      </c>
      <c r="N4181" s="2" t="s">
        <v>84</v>
      </c>
      <c r="O4181" s="2" t="s">
        <v>841</v>
      </c>
      <c r="P4181" s="2" t="s">
        <v>2571</v>
      </c>
    </row>
    <row r="4182" spans="1:16" ht="22" customHeight="1" x14ac:dyDescent="0.15">
      <c r="A4182" s="10" t="str">
        <f t="shared" si="636"/>
        <v>568_10_44_10_polygon</v>
      </c>
      <c r="B4182" s="2">
        <v>568</v>
      </c>
      <c r="C4182" s="30" t="str">
        <f>VLOOKUP(B4182,gachas!A:C,3)</f>
        <v>フィーバーフェス（3日目）</v>
      </c>
      <c r="D4182" s="21">
        <v>10</v>
      </c>
      <c r="E4182" s="2">
        <f t="shared" si="635"/>
        <v>44</v>
      </c>
      <c r="F4182" s="2">
        <v>10</v>
      </c>
      <c r="G4182" s="3" t="s">
        <v>22</v>
      </c>
      <c r="H4182" s="2">
        <v>50</v>
      </c>
      <c r="I4182" s="114" t="str">
        <f t="shared" si="637"/>
        <v>568100</v>
      </c>
      <c r="J4182" s="112" t="s">
        <v>84</v>
      </c>
      <c r="K4182" s="112" t="str">
        <f t="shared" si="634"/>
        <v>568100</v>
      </c>
      <c r="L4182" s="2">
        <v>1</v>
      </c>
      <c r="M4182" s="2" t="s">
        <v>84</v>
      </c>
      <c r="N4182" s="2" t="s">
        <v>84</v>
      </c>
      <c r="O4182" s="2" t="s">
        <v>841</v>
      </c>
      <c r="P4182" s="2" t="s">
        <v>2571</v>
      </c>
    </row>
    <row r="4183" spans="1:16" ht="22" customHeight="1" x14ac:dyDescent="0.15">
      <c r="A4183" s="10" t="str">
        <f t="shared" si="636"/>
        <v>568_10_45_10_polygon</v>
      </c>
      <c r="B4183" s="2">
        <v>568</v>
      </c>
      <c r="C4183" s="30" t="str">
        <f>VLOOKUP(B4183,gachas!A:C,3)</f>
        <v>フィーバーフェス（3日目）</v>
      </c>
      <c r="D4183" s="21">
        <v>10</v>
      </c>
      <c r="E4183" s="2">
        <f t="shared" si="635"/>
        <v>45</v>
      </c>
      <c r="F4183" s="2">
        <v>10</v>
      </c>
      <c r="G4183" s="3" t="s">
        <v>22</v>
      </c>
      <c r="H4183" s="2">
        <v>50</v>
      </c>
      <c r="I4183" s="114" t="str">
        <f t="shared" si="637"/>
        <v>568100</v>
      </c>
      <c r="J4183" s="112" t="str">
        <f>CONCATENATE(B4183,D4183,5)</f>
        <v>568105</v>
      </c>
      <c r="K4183" s="112" t="str">
        <f t="shared" si="634"/>
        <v>568100</v>
      </c>
      <c r="L4183" s="2">
        <v>1</v>
      </c>
      <c r="M4183" s="2" t="s">
        <v>84</v>
      </c>
      <c r="N4183" s="2" t="s">
        <v>84</v>
      </c>
      <c r="O4183" s="2" t="s">
        <v>841</v>
      </c>
      <c r="P4183" s="2" t="s">
        <v>2648</v>
      </c>
    </row>
    <row r="4184" spans="1:16" ht="22" customHeight="1" x14ac:dyDescent="0.15">
      <c r="A4184" s="10" t="str">
        <f t="shared" si="636"/>
        <v>568_10_46_10_polygon</v>
      </c>
      <c r="B4184" s="2">
        <v>568</v>
      </c>
      <c r="C4184" s="30" t="str">
        <f>VLOOKUP(B4184,gachas!A:C,3)</f>
        <v>フィーバーフェス（3日目）</v>
      </c>
      <c r="D4184" s="21">
        <v>10</v>
      </c>
      <c r="E4184" s="2">
        <f t="shared" si="635"/>
        <v>46</v>
      </c>
      <c r="F4184" s="2">
        <v>10</v>
      </c>
      <c r="G4184" s="3" t="s">
        <v>22</v>
      </c>
      <c r="H4184" s="2">
        <v>50</v>
      </c>
      <c r="I4184" s="114" t="str">
        <f t="shared" si="637"/>
        <v>568100</v>
      </c>
      <c r="J4184" s="112" t="s">
        <v>84</v>
      </c>
      <c r="K4184" s="112" t="str">
        <f t="shared" si="634"/>
        <v>568100</v>
      </c>
      <c r="L4184" s="2">
        <v>1</v>
      </c>
      <c r="M4184" s="2" t="s">
        <v>84</v>
      </c>
      <c r="N4184" s="2" t="s">
        <v>84</v>
      </c>
      <c r="O4184" s="2" t="s">
        <v>841</v>
      </c>
      <c r="P4184" s="2" t="s">
        <v>2571</v>
      </c>
    </row>
    <row r="4185" spans="1:16" ht="22" customHeight="1" x14ac:dyDescent="0.15">
      <c r="A4185" s="10" t="str">
        <f t="shared" si="636"/>
        <v>568_10_47_10_polygon</v>
      </c>
      <c r="B4185" s="2">
        <v>568</v>
      </c>
      <c r="C4185" s="30" t="str">
        <f>VLOOKUP(B4185,gachas!A:C,3)</f>
        <v>フィーバーフェス（3日目）</v>
      </c>
      <c r="D4185" s="21">
        <v>10</v>
      </c>
      <c r="E4185" s="2">
        <f t="shared" si="635"/>
        <v>47</v>
      </c>
      <c r="F4185" s="2">
        <v>10</v>
      </c>
      <c r="G4185" s="3" t="s">
        <v>22</v>
      </c>
      <c r="H4185" s="2">
        <v>50</v>
      </c>
      <c r="I4185" s="114" t="str">
        <f t="shared" si="637"/>
        <v>568100</v>
      </c>
      <c r="J4185" s="112" t="s">
        <v>84</v>
      </c>
      <c r="K4185" s="112" t="str">
        <f t="shared" si="634"/>
        <v>568100</v>
      </c>
      <c r="L4185" s="2">
        <v>1</v>
      </c>
      <c r="M4185" s="2" t="s">
        <v>84</v>
      </c>
      <c r="N4185" s="2" t="s">
        <v>84</v>
      </c>
      <c r="O4185" s="2" t="s">
        <v>841</v>
      </c>
      <c r="P4185" s="2" t="s">
        <v>2571</v>
      </c>
    </row>
    <row r="4186" spans="1:16" ht="22" customHeight="1" x14ac:dyDescent="0.15">
      <c r="A4186" s="10" t="str">
        <f t="shared" si="636"/>
        <v>568_10_48_10_polygon</v>
      </c>
      <c r="B4186" s="2">
        <v>568</v>
      </c>
      <c r="C4186" s="30" t="str">
        <f>VLOOKUP(B4186,gachas!A:C,3)</f>
        <v>フィーバーフェス（3日目）</v>
      </c>
      <c r="D4186" s="21">
        <v>10</v>
      </c>
      <c r="E4186" s="2">
        <f t="shared" si="635"/>
        <v>48</v>
      </c>
      <c r="F4186" s="2">
        <v>10</v>
      </c>
      <c r="G4186" s="3" t="s">
        <v>22</v>
      </c>
      <c r="H4186" s="2">
        <v>50</v>
      </c>
      <c r="I4186" s="114" t="str">
        <f t="shared" si="637"/>
        <v>568100</v>
      </c>
      <c r="J4186" s="112" t="s">
        <v>84</v>
      </c>
      <c r="K4186" s="112" t="str">
        <f t="shared" si="634"/>
        <v>568100</v>
      </c>
      <c r="L4186" s="2">
        <v>1</v>
      </c>
      <c r="M4186" s="2" t="s">
        <v>84</v>
      </c>
      <c r="N4186" s="2" t="s">
        <v>84</v>
      </c>
      <c r="O4186" s="2" t="s">
        <v>841</v>
      </c>
      <c r="P4186" s="2" t="s">
        <v>2571</v>
      </c>
    </row>
    <row r="4187" spans="1:16" ht="22" customHeight="1" x14ac:dyDescent="0.15">
      <c r="A4187" s="10" t="str">
        <f t="shared" si="636"/>
        <v>568_10_49_10_polygon</v>
      </c>
      <c r="B4187" s="2">
        <v>568</v>
      </c>
      <c r="C4187" s="30" t="str">
        <f>VLOOKUP(B4187,gachas!A:C,3)</f>
        <v>フィーバーフェス（3日目）</v>
      </c>
      <c r="D4187" s="21">
        <v>10</v>
      </c>
      <c r="E4187" s="2">
        <f t="shared" si="635"/>
        <v>49</v>
      </c>
      <c r="F4187" s="2">
        <v>10</v>
      </c>
      <c r="G4187" s="3" t="s">
        <v>22</v>
      </c>
      <c r="H4187" s="2">
        <v>50</v>
      </c>
      <c r="I4187" s="114" t="str">
        <f t="shared" si="637"/>
        <v>568100</v>
      </c>
      <c r="J4187" s="112" t="s">
        <v>84</v>
      </c>
      <c r="K4187" s="112" t="str">
        <f t="shared" si="634"/>
        <v>568100</v>
      </c>
      <c r="L4187" s="2">
        <v>1</v>
      </c>
      <c r="M4187" s="2" t="s">
        <v>84</v>
      </c>
      <c r="N4187" s="2" t="s">
        <v>84</v>
      </c>
      <c r="O4187" s="2" t="s">
        <v>841</v>
      </c>
      <c r="P4187" s="2" t="s">
        <v>2571</v>
      </c>
    </row>
    <row r="4188" spans="1:16" ht="22" customHeight="1" x14ac:dyDescent="0.15">
      <c r="A4188" s="10" t="str">
        <f t="shared" si="636"/>
        <v>568_10_50_10_polygon</v>
      </c>
      <c r="B4188" s="2">
        <v>568</v>
      </c>
      <c r="C4188" s="30" t="str">
        <f>VLOOKUP(B4188,gachas!A:C,3)</f>
        <v>フィーバーフェス（3日目）</v>
      </c>
      <c r="D4188" s="21">
        <v>10</v>
      </c>
      <c r="E4188" s="2">
        <f t="shared" si="635"/>
        <v>50</v>
      </c>
      <c r="F4188" s="2">
        <v>10</v>
      </c>
      <c r="G4188" s="3" t="s">
        <v>22</v>
      </c>
      <c r="H4188" s="2">
        <v>50</v>
      </c>
      <c r="I4188" s="114" t="str">
        <f t="shared" si="637"/>
        <v>568100</v>
      </c>
      <c r="J4188" s="112" t="str">
        <f>CONCATENATE(B4188,D4188,5)</f>
        <v>568105</v>
      </c>
      <c r="K4188" s="112" t="str">
        <f t="shared" si="634"/>
        <v>568100</v>
      </c>
      <c r="L4188" s="2">
        <v>1</v>
      </c>
      <c r="M4188" s="2" t="s">
        <v>84</v>
      </c>
      <c r="N4188" s="2" t="s">
        <v>84</v>
      </c>
      <c r="O4188" s="2" t="s">
        <v>841</v>
      </c>
      <c r="P4188" s="2" t="s">
        <v>2648</v>
      </c>
    </row>
    <row r="4189" spans="1:16" ht="22" customHeight="1" x14ac:dyDescent="0.15">
      <c r="A4189" s="10" t="str">
        <f t="shared" si="636"/>
        <v>569_10_0_10_polygon</v>
      </c>
      <c r="B4189" s="2">
        <v>569</v>
      </c>
      <c r="C4189" s="30" t="str">
        <f>VLOOKUP(B4189,gachas!A:C,3)</f>
        <v>グリム攻略応援ガチャ</v>
      </c>
      <c r="D4189" s="21">
        <v>10</v>
      </c>
      <c r="E4189" s="2">
        <v>0</v>
      </c>
      <c r="F4189" s="2">
        <v>10</v>
      </c>
      <c r="G4189" s="3" t="s">
        <v>22</v>
      </c>
      <c r="H4189" s="2">
        <v>50</v>
      </c>
      <c r="I4189" s="114" t="str">
        <f t="shared" si="637"/>
        <v>569100</v>
      </c>
      <c r="J4189" s="112" t="s">
        <v>84</v>
      </c>
      <c r="K4189" s="112" t="s">
        <v>84</v>
      </c>
      <c r="L4189" s="2">
        <v>0</v>
      </c>
      <c r="M4189" s="2" t="s">
        <v>84</v>
      </c>
      <c r="N4189" s="2" t="s">
        <v>84</v>
      </c>
      <c r="O4189" s="2" t="s">
        <v>841</v>
      </c>
      <c r="P4189" s="2" t="s">
        <v>2637</v>
      </c>
    </row>
    <row r="4190" spans="1:16" ht="22" customHeight="1" x14ac:dyDescent="0.15">
      <c r="A4190" s="10" t="str">
        <f t="shared" si="636"/>
        <v>569_10_1_4_polygon</v>
      </c>
      <c r="B4190" s="2">
        <v>569</v>
      </c>
      <c r="C4190" s="30" t="str">
        <f>VLOOKUP(B4190,gachas!A:C,3)</f>
        <v>グリム攻略応援ガチャ</v>
      </c>
      <c r="D4190" s="21">
        <v>10</v>
      </c>
      <c r="E4190" s="2">
        <v>1</v>
      </c>
      <c r="F4190" s="2">
        <v>4</v>
      </c>
      <c r="G4190" s="3" t="s">
        <v>22</v>
      </c>
      <c r="H4190" s="2">
        <v>20</v>
      </c>
      <c r="I4190" s="114" t="str">
        <f t="shared" si="637"/>
        <v>569100</v>
      </c>
      <c r="J4190" s="112" t="s">
        <v>84</v>
      </c>
      <c r="K4190" s="112" t="s">
        <v>84</v>
      </c>
      <c r="L4190" s="2">
        <v>0</v>
      </c>
      <c r="M4190" s="2" t="s">
        <v>84</v>
      </c>
      <c r="N4190" s="2" t="s">
        <v>84</v>
      </c>
      <c r="O4190" s="2" t="s">
        <v>841</v>
      </c>
      <c r="P4190" s="2" t="s">
        <v>3015</v>
      </c>
    </row>
    <row r="4191" spans="1:16" ht="22" customHeight="1" x14ac:dyDescent="0.15">
      <c r="A4191" s="10" t="str">
        <f t="shared" si="636"/>
        <v>569_10_2_6_polygon</v>
      </c>
      <c r="B4191" s="2">
        <v>569</v>
      </c>
      <c r="C4191" s="30" t="str">
        <f>VLOOKUP(B4191,gachas!A:C,3)</f>
        <v>グリム攻略応援ガチャ</v>
      </c>
      <c r="D4191" s="21">
        <v>10</v>
      </c>
      <c r="E4191" s="2">
        <v>2</v>
      </c>
      <c r="F4191" s="2">
        <v>6</v>
      </c>
      <c r="G4191" s="3" t="s">
        <v>22</v>
      </c>
      <c r="H4191" s="2">
        <v>30</v>
      </c>
      <c r="I4191" s="114" t="str">
        <f t="shared" si="637"/>
        <v>569100</v>
      </c>
      <c r="J4191" s="112" t="s">
        <v>84</v>
      </c>
      <c r="K4191" s="112" t="s">
        <v>84</v>
      </c>
      <c r="L4191" s="2">
        <v>0</v>
      </c>
      <c r="M4191" s="2" t="s">
        <v>84</v>
      </c>
      <c r="N4191" s="2" t="s">
        <v>84</v>
      </c>
      <c r="O4191" s="2" t="s">
        <v>841</v>
      </c>
      <c r="P4191" s="2" t="s">
        <v>3016</v>
      </c>
    </row>
    <row r="4192" spans="1:16" ht="22" customHeight="1" x14ac:dyDescent="0.15">
      <c r="A4192" s="10" t="str">
        <f t="shared" si="636"/>
        <v>569_10_3_10_polygon</v>
      </c>
      <c r="B4192" s="2">
        <v>569</v>
      </c>
      <c r="C4192" s="30" t="str">
        <f>VLOOKUP(B4192,gachas!A:C,3)</f>
        <v>グリム攻略応援ガチャ</v>
      </c>
      <c r="D4192" s="21">
        <v>10</v>
      </c>
      <c r="E4192" s="2">
        <v>3</v>
      </c>
      <c r="F4192" s="2">
        <v>10</v>
      </c>
      <c r="G4192" s="3" t="s">
        <v>22</v>
      </c>
      <c r="H4192" s="2">
        <v>50</v>
      </c>
      <c r="I4192" s="114" t="str">
        <f t="shared" si="637"/>
        <v>569100</v>
      </c>
      <c r="J4192" s="112" t="s">
        <v>84</v>
      </c>
      <c r="K4192" s="117" t="str">
        <f>CONCATENATE(B4192,"103")</f>
        <v>569103</v>
      </c>
      <c r="L4192" s="2">
        <v>1</v>
      </c>
      <c r="M4192" s="2" t="s">
        <v>84</v>
      </c>
      <c r="N4192" s="2" t="s">
        <v>84</v>
      </c>
      <c r="O4192" s="2" t="s">
        <v>841</v>
      </c>
      <c r="P4192" s="2" t="s">
        <v>3017</v>
      </c>
    </row>
    <row r="4193" spans="1:16" ht="22" customHeight="1" x14ac:dyDescent="0.15">
      <c r="A4193" s="10" t="str">
        <f t="shared" ref="A4193:A4223" si="638">B4193&amp;"_"&amp;D4193&amp;"_"&amp;E4193&amp;"_"&amp;F4193&amp;"_"&amp;G4193</f>
        <v>569_10_4_4_polygon</v>
      </c>
      <c r="B4193" s="2">
        <v>569</v>
      </c>
      <c r="C4193" s="30" t="str">
        <f>VLOOKUP(B4193,gachas!A:C,3)</f>
        <v>グリム攻略応援ガチャ</v>
      </c>
      <c r="D4193" s="21">
        <v>10</v>
      </c>
      <c r="E4193" s="2">
        <v>4</v>
      </c>
      <c r="F4193" s="2">
        <v>4</v>
      </c>
      <c r="G4193" s="3" t="s">
        <v>22</v>
      </c>
      <c r="H4193" s="2">
        <v>20</v>
      </c>
      <c r="I4193" s="114" t="str">
        <f t="shared" ref="I4193:I4223" si="639">CONCATENATE(B4193,IF(D4193=1,"01","10"),0)</f>
        <v>569100</v>
      </c>
      <c r="J4193" s="112" t="s">
        <v>84</v>
      </c>
      <c r="K4193" s="112" t="s">
        <v>84</v>
      </c>
      <c r="L4193" s="2">
        <v>0</v>
      </c>
      <c r="M4193" s="2" t="s">
        <v>84</v>
      </c>
      <c r="N4193" s="2" t="s">
        <v>84</v>
      </c>
      <c r="O4193" s="2" t="s">
        <v>841</v>
      </c>
      <c r="P4193" s="2" t="s">
        <v>3015</v>
      </c>
    </row>
    <row r="4194" spans="1:16" ht="22" customHeight="1" x14ac:dyDescent="0.15">
      <c r="A4194" s="10" t="str">
        <f t="shared" si="638"/>
        <v>569_10_5_6_polygon</v>
      </c>
      <c r="B4194" s="2">
        <v>569</v>
      </c>
      <c r="C4194" s="30" t="str">
        <f>VLOOKUP(B4194,gachas!A:C,3)</f>
        <v>グリム攻略応援ガチャ</v>
      </c>
      <c r="D4194" s="21">
        <v>10</v>
      </c>
      <c r="E4194" s="2">
        <v>5</v>
      </c>
      <c r="F4194" s="2">
        <v>6</v>
      </c>
      <c r="G4194" s="3" t="s">
        <v>22</v>
      </c>
      <c r="H4194" s="2">
        <v>30</v>
      </c>
      <c r="I4194" s="114" t="str">
        <f t="shared" si="639"/>
        <v>569100</v>
      </c>
      <c r="J4194" s="112" t="s">
        <v>84</v>
      </c>
      <c r="K4194" s="112" t="s">
        <v>84</v>
      </c>
      <c r="L4194" s="2">
        <v>0</v>
      </c>
      <c r="M4194" s="2" t="s">
        <v>84</v>
      </c>
      <c r="N4194" s="2" t="s">
        <v>84</v>
      </c>
      <c r="O4194" s="2" t="s">
        <v>841</v>
      </c>
      <c r="P4194" s="2" t="s">
        <v>3016</v>
      </c>
    </row>
    <row r="4195" spans="1:16" ht="22" customHeight="1" x14ac:dyDescent="0.15">
      <c r="A4195" s="10" t="str">
        <f t="shared" si="638"/>
        <v>569_10_6_10_polygon</v>
      </c>
      <c r="B4195" s="2">
        <v>569</v>
      </c>
      <c r="C4195" s="30" t="str">
        <f>VLOOKUP(B4195,gachas!A:C,3)</f>
        <v>グリム攻略応援ガチャ</v>
      </c>
      <c r="D4195" s="21">
        <v>10</v>
      </c>
      <c r="E4195" s="2">
        <v>6</v>
      </c>
      <c r="F4195" s="2">
        <v>10</v>
      </c>
      <c r="G4195" s="3" t="s">
        <v>22</v>
      </c>
      <c r="H4195" s="2">
        <v>50</v>
      </c>
      <c r="I4195" s="114" t="str">
        <f t="shared" si="639"/>
        <v>569100</v>
      </c>
      <c r="J4195" s="112" t="s">
        <v>84</v>
      </c>
      <c r="K4195" s="117" t="str">
        <f t="shared" ref="K4195" si="640">CONCATENATE(B4195,"103")</f>
        <v>569103</v>
      </c>
      <c r="L4195" s="2">
        <v>1</v>
      </c>
      <c r="M4195" s="2" t="s">
        <v>84</v>
      </c>
      <c r="N4195" s="2" t="s">
        <v>84</v>
      </c>
      <c r="O4195" s="2" t="s">
        <v>841</v>
      </c>
      <c r="P4195" s="2" t="s">
        <v>3017</v>
      </c>
    </row>
    <row r="4196" spans="1:16" ht="22" customHeight="1" x14ac:dyDescent="0.15">
      <c r="A4196" s="10" t="str">
        <f t="shared" si="638"/>
        <v>569_10_7_4_polygon</v>
      </c>
      <c r="B4196" s="2">
        <v>569</v>
      </c>
      <c r="C4196" s="30" t="str">
        <f>VLOOKUP(B4196,gachas!A:C,3)</f>
        <v>グリム攻略応援ガチャ</v>
      </c>
      <c r="D4196" s="21">
        <v>10</v>
      </c>
      <c r="E4196" s="2">
        <v>7</v>
      </c>
      <c r="F4196" s="2">
        <v>4</v>
      </c>
      <c r="G4196" s="3" t="s">
        <v>22</v>
      </c>
      <c r="H4196" s="2">
        <v>20</v>
      </c>
      <c r="I4196" s="114" t="str">
        <f t="shared" si="639"/>
        <v>569100</v>
      </c>
      <c r="J4196" s="112" t="s">
        <v>84</v>
      </c>
      <c r="K4196" s="112" t="s">
        <v>84</v>
      </c>
      <c r="L4196" s="2">
        <v>0</v>
      </c>
      <c r="M4196" s="2" t="s">
        <v>84</v>
      </c>
      <c r="N4196" s="2" t="s">
        <v>84</v>
      </c>
      <c r="O4196" s="2" t="s">
        <v>841</v>
      </c>
      <c r="P4196" s="2" t="s">
        <v>3015</v>
      </c>
    </row>
    <row r="4197" spans="1:16" ht="22" customHeight="1" x14ac:dyDescent="0.15">
      <c r="A4197" s="10" t="str">
        <f t="shared" si="638"/>
        <v>569_10_8_6_polygon</v>
      </c>
      <c r="B4197" s="2">
        <v>569</v>
      </c>
      <c r="C4197" s="30" t="str">
        <f>VLOOKUP(B4197,gachas!A:C,3)</f>
        <v>グリム攻略応援ガチャ</v>
      </c>
      <c r="D4197" s="21">
        <v>10</v>
      </c>
      <c r="E4197" s="2">
        <v>8</v>
      </c>
      <c r="F4197" s="2">
        <v>6</v>
      </c>
      <c r="G4197" s="3" t="s">
        <v>22</v>
      </c>
      <c r="H4197" s="2">
        <v>30</v>
      </c>
      <c r="I4197" s="114" t="str">
        <f t="shared" si="639"/>
        <v>569100</v>
      </c>
      <c r="J4197" s="112" t="s">
        <v>84</v>
      </c>
      <c r="K4197" s="112" t="s">
        <v>84</v>
      </c>
      <c r="L4197" s="2">
        <v>0</v>
      </c>
      <c r="M4197" s="2" t="s">
        <v>84</v>
      </c>
      <c r="N4197" s="2" t="s">
        <v>84</v>
      </c>
      <c r="O4197" s="2" t="s">
        <v>841</v>
      </c>
      <c r="P4197" s="2" t="s">
        <v>3016</v>
      </c>
    </row>
    <row r="4198" spans="1:16" ht="22" customHeight="1" x14ac:dyDescent="0.15">
      <c r="A4198" s="10" t="str">
        <f t="shared" si="638"/>
        <v>569_10_9_10_polygon</v>
      </c>
      <c r="B4198" s="2">
        <v>569</v>
      </c>
      <c r="C4198" s="30" t="str">
        <f>VLOOKUP(B4198,gachas!A:C,3)</f>
        <v>グリム攻略応援ガチャ</v>
      </c>
      <c r="D4198" s="21">
        <v>10</v>
      </c>
      <c r="E4198" s="2">
        <v>9</v>
      </c>
      <c r="F4198" s="2">
        <v>10</v>
      </c>
      <c r="G4198" s="3" t="s">
        <v>22</v>
      </c>
      <c r="H4198" s="2">
        <v>50</v>
      </c>
      <c r="I4198" s="114" t="str">
        <f t="shared" si="639"/>
        <v>569100</v>
      </c>
      <c r="J4198" s="112" t="s">
        <v>84</v>
      </c>
      <c r="K4198" s="117" t="str">
        <f t="shared" ref="K4198" si="641">CONCATENATE(B4198,"103")</f>
        <v>569103</v>
      </c>
      <c r="L4198" s="2">
        <v>1</v>
      </c>
      <c r="M4198" s="2" t="s">
        <v>84</v>
      </c>
      <c r="N4198" s="2" t="s">
        <v>84</v>
      </c>
      <c r="O4198" s="2" t="s">
        <v>841</v>
      </c>
      <c r="P4198" s="2" t="s">
        <v>3017</v>
      </c>
    </row>
    <row r="4199" spans="1:16" ht="22" customHeight="1" x14ac:dyDescent="0.15">
      <c r="A4199" s="10" t="str">
        <f t="shared" si="638"/>
        <v>569_10_10_4_polygon</v>
      </c>
      <c r="B4199" s="2">
        <v>569</v>
      </c>
      <c r="C4199" s="30" t="str">
        <f>VLOOKUP(B4199,gachas!A:C,3)</f>
        <v>グリム攻略応援ガチャ</v>
      </c>
      <c r="D4199" s="21">
        <v>10</v>
      </c>
      <c r="E4199" s="2">
        <v>10</v>
      </c>
      <c r="F4199" s="2">
        <v>4</v>
      </c>
      <c r="G4199" s="3" t="s">
        <v>22</v>
      </c>
      <c r="H4199" s="2">
        <v>20</v>
      </c>
      <c r="I4199" s="114" t="str">
        <f t="shared" si="639"/>
        <v>569100</v>
      </c>
      <c r="J4199" s="112" t="s">
        <v>84</v>
      </c>
      <c r="K4199" s="112" t="s">
        <v>84</v>
      </c>
      <c r="L4199" s="2">
        <v>0</v>
      </c>
      <c r="M4199" s="2" t="s">
        <v>84</v>
      </c>
      <c r="N4199" s="2" t="s">
        <v>84</v>
      </c>
      <c r="O4199" s="2" t="s">
        <v>841</v>
      </c>
      <c r="P4199" s="2" t="s">
        <v>3015</v>
      </c>
    </row>
    <row r="4200" spans="1:16" ht="22" customHeight="1" x14ac:dyDescent="0.15">
      <c r="A4200" s="10" t="str">
        <f t="shared" si="638"/>
        <v>569_10_11_6_polygon</v>
      </c>
      <c r="B4200" s="2">
        <v>569</v>
      </c>
      <c r="C4200" s="30" t="str">
        <f>VLOOKUP(B4200,gachas!A:C,3)</f>
        <v>グリム攻略応援ガチャ</v>
      </c>
      <c r="D4200" s="21">
        <v>10</v>
      </c>
      <c r="E4200" s="2">
        <v>11</v>
      </c>
      <c r="F4200" s="2">
        <v>6</v>
      </c>
      <c r="G4200" s="3" t="s">
        <v>22</v>
      </c>
      <c r="H4200" s="2">
        <v>30</v>
      </c>
      <c r="I4200" s="114" t="str">
        <f t="shared" si="639"/>
        <v>569100</v>
      </c>
      <c r="J4200" s="112" t="s">
        <v>84</v>
      </c>
      <c r="K4200" s="112" t="s">
        <v>84</v>
      </c>
      <c r="L4200" s="2">
        <v>0</v>
      </c>
      <c r="M4200" s="2" t="s">
        <v>84</v>
      </c>
      <c r="N4200" s="2" t="s">
        <v>84</v>
      </c>
      <c r="O4200" s="2" t="s">
        <v>841</v>
      </c>
      <c r="P4200" s="2" t="s">
        <v>3016</v>
      </c>
    </row>
    <row r="4201" spans="1:16" ht="22" customHeight="1" x14ac:dyDescent="0.15">
      <c r="A4201" s="10" t="str">
        <f t="shared" si="638"/>
        <v>569_10_12_10_polygon</v>
      </c>
      <c r="B4201" s="2">
        <v>569</v>
      </c>
      <c r="C4201" s="30" t="str">
        <f>VLOOKUP(B4201,gachas!A:C,3)</f>
        <v>グリム攻略応援ガチャ</v>
      </c>
      <c r="D4201" s="21">
        <v>10</v>
      </c>
      <c r="E4201" s="2">
        <v>12</v>
      </c>
      <c r="F4201" s="2">
        <v>10</v>
      </c>
      <c r="G4201" s="3" t="s">
        <v>22</v>
      </c>
      <c r="H4201" s="2">
        <v>50</v>
      </c>
      <c r="I4201" s="114" t="str">
        <f t="shared" si="639"/>
        <v>569100</v>
      </c>
      <c r="J4201" s="112" t="s">
        <v>84</v>
      </c>
      <c r="K4201" s="117" t="str">
        <f t="shared" ref="K4201" si="642">CONCATENATE(B4201,"103")</f>
        <v>569103</v>
      </c>
      <c r="L4201" s="2">
        <v>1</v>
      </c>
      <c r="M4201" s="2" t="s">
        <v>84</v>
      </c>
      <c r="N4201" s="2" t="s">
        <v>84</v>
      </c>
      <c r="O4201" s="2" t="s">
        <v>841</v>
      </c>
      <c r="P4201" s="2" t="s">
        <v>3017</v>
      </c>
    </row>
    <row r="4202" spans="1:16" ht="22" customHeight="1" x14ac:dyDescent="0.15">
      <c r="A4202" s="10" t="str">
        <f t="shared" si="638"/>
        <v>569_10_13_4_polygon</v>
      </c>
      <c r="B4202" s="2">
        <v>569</v>
      </c>
      <c r="C4202" s="30" t="str">
        <f>VLOOKUP(B4202,gachas!A:C,3)</f>
        <v>グリム攻略応援ガチャ</v>
      </c>
      <c r="D4202" s="21">
        <v>10</v>
      </c>
      <c r="E4202" s="2">
        <v>13</v>
      </c>
      <c r="F4202" s="2">
        <v>4</v>
      </c>
      <c r="G4202" s="3" t="s">
        <v>22</v>
      </c>
      <c r="H4202" s="2">
        <v>20</v>
      </c>
      <c r="I4202" s="114" t="str">
        <f t="shared" si="639"/>
        <v>569100</v>
      </c>
      <c r="J4202" s="112" t="s">
        <v>84</v>
      </c>
      <c r="K4202" s="112" t="s">
        <v>84</v>
      </c>
      <c r="L4202" s="2">
        <v>0</v>
      </c>
      <c r="M4202" s="2" t="s">
        <v>84</v>
      </c>
      <c r="N4202" s="2" t="s">
        <v>84</v>
      </c>
      <c r="O4202" s="2" t="s">
        <v>841</v>
      </c>
      <c r="P4202" s="2" t="s">
        <v>3015</v>
      </c>
    </row>
    <row r="4203" spans="1:16" ht="22" customHeight="1" x14ac:dyDescent="0.15">
      <c r="A4203" s="10" t="str">
        <f t="shared" si="638"/>
        <v>569_10_14_6_polygon</v>
      </c>
      <c r="B4203" s="2">
        <v>569</v>
      </c>
      <c r="C4203" s="30" t="str">
        <f>VLOOKUP(B4203,gachas!A:C,3)</f>
        <v>グリム攻略応援ガチャ</v>
      </c>
      <c r="D4203" s="21">
        <v>10</v>
      </c>
      <c r="E4203" s="2">
        <v>14</v>
      </c>
      <c r="F4203" s="2">
        <v>6</v>
      </c>
      <c r="G4203" s="3" t="s">
        <v>22</v>
      </c>
      <c r="H4203" s="2">
        <v>30</v>
      </c>
      <c r="I4203" s="114" t="str">
        <f t="shared" si="639"/>
        <v>569100</v>
      </c>
      <c r="J4203" s="112" t="s">
        <v>84</v>
      </c>
      <c r="K4203" s="112" t="s">
        <v>84</v>
      </c>
      <c r="L4203" s="2">
        <v>0</v>
      </c>
      <c r="M4203" s="2" t="s">
        <v>84</v>
      </c>
      <c r="N4203" s="2" t="s">
        <v>84</v>
      </c>
      <c r="O4203" s="2" t="s">
        <v>841</v>
      </c>
      <c r="P4203" s="2" t="s">
        <v>3016</v>
      </c>
    </row>
    <row r="4204" spans="1:16" ht="22" customHeight="1" x14ac:dyDescent="0.15">
      <c r="A4204" s="10" t="str">
        <f t="shared" si="638"/>
        <v>569_10_15_10_polygon</v>
      </c>
      <c r="B4204" s="2">
        <v>569</v>
      </c>
      <c r="C4204" s="30" t="str">
        <f>VLOOKUP(B4204,gachas!A:C,3)</f>
        <v>グリム攻略応援ガチャ</v>
      </c>
      <c r="D4204" s="21">
        <v>10</v>
      </c>
      <c r="E4204" s="2">
        <v>15</v>
      </c>
      <c r="F4204" s="2">
        <v>10</v>
      </c>
      <c r="G4204" s="3" t="s">
        <v>22</v>
      </c>
      <c r="H4204" s="2">
        <v>50</v>
      </c>
      <c r="I4204" s="114" t="str">
        <f t="shared" si="639"/>
        <v>569100</v>
      </c>
      <c r="J4204" s="112" t="s">
        <v>84</v>
      </c>
      <c r="K4204" s="117" t="str">
        <f t="shared" ref="K4204" si="643">CONCATENATE(B4204,"103")</f>
        <v>569103</v>
      </c>
      <c r="L4204" s="2">
        <v>1</v>
      </c>
      <c r="M4204" s="2" t="s">
        <v>84</v>
      </c>
      <c r="N4204" s="2" t="s">
        <v>84</v>
      </c>
      <c r="O4204" s="2" t="s">
        <v>841</v>
      </c>
      <c r="P4204" s="2" t="s">
        <v>3017</v>
      </c>
    </row>
    <row r="4205" spans="1:16" ht="22" customHeight="1" x14ac:dyDescent="0.15">
      <c r="A4205" s="10" t="str">
        <f t="shared" si="638"/>
        <v>569_10_16_4_polygon</v>
      </c>
      <c r="B4205" s="2">
        <v>569</v>
      </c>
      <c r="C4205" s="30" t="str">
        <f>VLOOKUP(B4205,gachas!A:C,3)</f>
        <v>グリム攻略応援ガチャ</v>
      </c>
      <c r="D4205" s="21">
        <v>10</v>
      </c>
      <c r="E4205" s="2">
        <v>16</v>
      </c>
      <c r="F4205" s="2">
        <v>4</v>
      </c>
      <c r="G4205" s="3" t="s">
        <v>22</v>
      </c>
      <c r="H4205" s="2">
        <v>20</v>
      </c>
      <c r="I4205" s="114" t="str">
        <f t="shared" si="639"/>
        <v>569100</v>
      </c>
      <c r="J4205" s="112" t="s">
        <v>84</v>
      </c>
      <c r="K4205" s="112" t="s">
        <v>84</v>
      </c>
      <c r="L4205" s="2">
        <v>0</v>
      </c>
      <c r="M4205" s="2" t="s">
        <v>84</v>
      </c>
      <c r="N4205" s="2" t="s">
        <v>84</v>
      </c>
      <c r="O4205" s="2" t="s">
        <v>841</v>
      </c>
      <c r="P4205" s="2" t="s">
        <v>3015</v>
      </c>
    </row>
    <row r="4206" spans="1:16" ht="22" customHeight="1" x14ac:dyDescent="0.15">
      <c r="A4206" s="10" t="str">
        <f t="shared" si="638"/>
        <v>569_10_17_6_polygon</v>
      </c>
      <c r="B4206" s="2">
        <v>569</v>
      </c>
      <c r="C4206" s="30" t="str">
        <f>VLOOKUP(B4206,gachas!A:C,3)</f>
        <v>グリム攻略応援ガチャ</v>
      </c>
      <c r="D4206" s="21">
        <v>10</v>
      </c>
      <c r="E4206" s="2">
        <v>17</v>
      </c>
      <c r="F4206" s="2">
        <v>6</v>
      </c>
      <c r="G4206" s="3" t="s">
        <v>22</v>
      </c>
      <c r="H4206" s="2">
        <v>30</v>
      </c>
      <c r="I4206" s="114" t="str">
        <f t="shared" si="639"/>
        <v>569100</v>
      </c>
      <c r="J4206" s="112" t="s">
        <v>84</v>
      </c>
      <c r="K4206" s="112" t="s">
        <v>84</v>
      </c>
      <c r="L4206" s="2">
        <v>0</v>
      </c>
      <c r="M4206" s="2" t="s">
        <v>84</v>
      </c>
      <c r="N4206" s="2" t="s">
        <v>84</v>
      </c>
      <c r="O4206" s="2" t="s">
        <v>841</v>
      </c>
      <c r="P4206" s="2" t="s">
        <v>3016</v>
      </c>
    </row>
    <row r="4207" spans="1:16" ht="22" customHeight="1" x14ac:dyDescent="0.15">
      <c r="A4207" s="10" t="str">
        <f t="shared" si="638"/>
        <v>569_10_18_10_polygon</v>
      </c>
      <c r="B4207" s="2">
        <v>569</v>
      </c>
      <c r="C4207" s="30" t="str">
        <f>VLOOKUP(B4207,gachas!A:C,3)</f>
        <v>グリム攻略応援ガチャ</v>
      </c>
      <c r="D4207" s="21">
        <v>10</v>
      </c>
      <c r="E4207" s="2">
        <v>18</v>
      </c>
      <c r="F4207" s="2">
        <v>10</v>
      </c>
      <c r="G4207" s="3" t="s">
        <v>22</v>
      </c>
      <c r="H4207" s="2">
        <v>50</v>
      </c>
      <c r="I4207" s="114" t="str">
        <f t="shared" si="639"/>
        <v>569100</v>
      </c>
      <c r="J4207" s="112" t="s">
        <v>84</v>
      </c>
      <c r="K4207" s="117" t="str">
        <f t="shared" ref="K4207" si="644">CONCATENATE(B4207,"103")</f>
        <v>569103</v>
      </c>
      <c r="L4207" s="2">
        <v>1</v>
      </c>
      <c r="M4207" s="2" t="s">
        <v>84</v>
      </c>
      <c r="N4207" s="2" t="s">
        <v>84</v>
      </c>
      <c r="O4207" s="2" t="s">
        <v>841</v>
      </c>
      <c r="P4207" s="2" t="s">
        <v>3017</v>
      </c>
    </row>
    <row r="4208" spans="1:16" ht="22" customHeight="1" x14ac:dyDescent="0.15">
      <c r="A4208" s="10" t="str">
        <f t="shared" si="638"/>
        <v>569_10_19_4_polygon</v>
      </c>
      <c r="B4208" s="2">
        <v>569</v>
      </c>
      <c r="C4208" s="30" t="str">
        <f>VLOOKUP(B4208,gachas!A:C,3)</f>
        <v>グリム攻略応援ガチャ</v>
      </c>
      <c r="D4208" s="21">
        <v>10</v>
      </c>
      <c r="E4208" s="2">
        <v>19</v>
      </c>
      <c r="F4208" s="2">
        <v>4</v>
      </c>
      <c r="G4208" s="3" t="s">
        <v>22</v>
      </c>
      <c r="H4208" s="2">
        <v>20</v>
      </c>
      <c r="I4208" s="114" t="str">
        <f t="shared" si="639"/>
        <v>569100</v>
      </c>
      <c r="J4208" s="112" t="s">
        <v>84</v>
      </c>
      <c r="K4208" s="112" t="s">
        <v>84</v>
      </c>
      <c r="L4208" s="2">
        <v>0</v>
      </c>
      <c r="M4208" s="2" t="s">
        <v>84</v>
      </c>
      <c r="N4208" s="2" t="s">
        <v>84</v>
      </c>
      <c r="O4208" s="2" t="s">
        <v>841</v>
      </c>
      <c r="P4208" s="2" t="s">
        <v>3015</v>
      </c>
    </row>
    <row r="4209" spans="1:16" ht="22" customHeight="1" x14ac:dyDescent="0.15">
      <c r="A4209" s="10" t="str">
        <f t="shared" si="638"/>
        <v>569_10_20_6_polygon</v>
      </c>
      <c r="B4209" s="2">
        <v>569</v>
      </c>
      <c r="C4209" s="30" t="str">
        <f>VLOOKUP(B4209,gachas!A:C,3)</f>
        <v>グリム攻略応援ガチャ</v>
      </c>
      <c r="D4209" s="21">
        <v>10</v>
      </c>
      <c r="E4209" s="2">
        <v>20</v>
      </c>
      <c r="F4209" s="2">
        <v>6</v>
      </c>
      <c r="G4209" s="3" t="s">
        <v>22</v>
      </c>
      <c r="H4209" s="2">
        <v>30</v>
      </c>
      <c r="I4209" s="114" t="str">
        <f t="shared" si="639"/>
        <v>569100</v>
      </c>
      <c r="J4209" s="112" t="s">
        <v>84</v>
      </c>
      <c r="K4209" s="112" t="s">
        <v>84</v>
      </c>
      <c r="L4209" s="2">
        <v>0</v>
      </c>
      <c r="M4209" s="2" t="s">
        <v>84</v>
      </c>
      <c r="N4209" s="2" t="s">
        <v>84</v>
      </c>
      <c r="O4209" s="2" t="s">
        <v>841</v>
      </c>
      <c r="P4209" s="2" t="s">
        <v>3016</v>
      </c>
    </row>
    <row r="4210" spans="1:16" ht="22" customHeight="1" x14ac:dyDescent="0.15">
      <c r="A4210" s="10" t="str">
        <f t="shared" si="638"/>
        <v>569_10_21_10_polygon</v>
      </c>
      <c r="B4210" s="2">
        <v>569</v>
      </c>
      <c r="C4210" s="30" t="str">
        <f>VLOOKUP(B4210,gachas!A:C,3)</f>
        <v>グリム攻略応援ガチャ</v>
      </c>
      <c r="D4210" s="21">
        <v>10</v>
      </c>
      <c r="E4210" s="2">
        <v>21</v>
      </c>
      <c r="F4210" s="2">
        <v>10</v>
      </c>
      <c r="G4210" s="3" t="s">
        <v>22</v>
      </c>
      <c r="H4210" s="2">
        <v>50</v>
      </c>
      <c r="I4210" s="114" t="str">
        <f t="shared" si="639"/>
        <v>569100</v>
      </c>
      <c r="J4210" s="112" t="s">
        <v>84</v>
      </c>
      <c r="K4210" s="117" t="str">
        <f t="shared" ref="K4210" si="645">CONCATENATE(B4210,"103")</f>
        <v>569103</v>
      </c>
      <c r="L4210" s="2">
        <v>1</v>
      </c>
      <c r="M4210" s="2" t="s">
        <v>84</v>
      </c>
      <c r="N4210" s="2" t="s">
        <v>84</v>
      </c>
      <c r="O4210" s="2" t="s">
        <v>841</v>
      </c>
      <c r="P4210" s="2" t="s">
        <v>3017</v>
      </c>
    </row>
    <row r="4211" spans="1:16" ht="22" customHeight="1" x14ac:dyDescent="0.15">
      <c r="A4211" s="10" t="str">
        <f t="shared" si="638"/>
        <v>569_10_22_4_polygon</v>
      </c>
      <c r="B4211" s="2">
        <v>569</v>
      </c>
      <c r="C4211" s="30" t="str">
        <f>VLOOKUP(B4211,gachas!A:C,3)</f>
        <v>グリム攻略応援ガチャ</v>
      </c>
      <c r="D4211" s="21">
        <v>10</v>
      </c>
      <c r="E4211" s="2">
        <v>22</v>
      </c>
      <c r="F4211" s="2">
        <v>4</v>
      </c>
      <c r="G4211" s="3" t="s">
        <v>22</v>
      </c>
      <c r="H4211" s="2">
        <v>20</v>
      </c>
      <c r="I4211" s="114" t="str">
        <f t="shared" si="639"/>
        <v>569100</v>
      </c>
      <c r="J4211" s="112" t="s">
        <v>84</v>
      </c>
      <c r="K4211" s="112" t="s">
        <v>84</v>
      </c>
      <c r="L4211" s="2">
        <v>0</v>
      </c>
      <c r="M4211" s="2" t="s">
        <v>84</v>
      </c>
      <c r="N4211" s="2" t="s">
        <v>84</v>
      </c>
      <c r="O4211" s="2" t="s">
        <v>841</v>
      </c>
      <c r="P4211" s="2" t="s">
        <v>3015</v>
      </c>
    </row>
    <row r="4212" spans="1:16" ht="22" customHeight="1" x14ac:dyDescent="0.15">
      <c r="A4212" s="10" t="str">
        <f t="shared" si="638"/>
        <v>569_10_23_6_polygon</v>
      </c>
      <c r="B4212" s="2">
        <v>569</v>
      </c>
      <c r="C4212" s="30" t="str">
        <f>VLOOKUP(B4212,gachas!A:C,3)</f>
        <v>グリム攻略応援ガチャ</v>
      </c>
      <c r="D4212" s="21">
        <v>10</v>
      </c>
      <c r="E4212" s="2">
        <v>23</v>
      </c>
      <c r="F4212" s="2">
        <v>6</v>
      </c>
      <c r="G4212" s="3" t="s">
        <v>22</v>
      </c>
      <c r="H4212" s="2">
        <v>30</v>
      </c>
      <c r="I4212" s="114" t="str">
        <f t="shared" si="639"/>
        <v>569100</v>
      </c>
      <c r="J4212" s="112" t="s">
        <v>84</v>
      </c>
      <c r="K4212" s="112" t="s">
        <v>84</v>
      </c>
      <c r="L4212" s="2">
        <v>0</v>
      </c>
      <c r="M4212" s="2" t="s">
        <v>84</v>
      </c>
      <c r="N4212" s="2" t="s">
        <v>84</v>
      </c>
      <c r="O4212" s="2" t="s">
        <v>841</v>
      </c>
      <c r="P4212" s="2" t="s">
        <v>3016</v>
      </c>
    </row>
    <row r="4213" spans="1:16" ht="22" customHeight="1" x14ac:dyDescent="0.15">
      <c r="A4213" s="10" t="str">
        <f t="shared" si="638"/>
        <v>569_10_24_10_polygon</v>
      </c>
      <c r="B4213" s="2">
        <v>569</v>
      </c>
      <c r="C4213" s="30" t="str">
        <f>VLOOKUP(B4213,gachas!A:C,3)</f>
        <v>グリム攻略応援ガチャ</v>
      </c>
      <c r="D4213" s="21">
        <v>10</v>
      </c>
      <c r="E4213" s="2">
        <v>24</v>
      </c>
      <c r="F4213" s="2">
        <v>10</v>
      </c>
      <c r="G4213" s="3" t="s">
        <v>22</v>
      </c>
      <c r="H4213" s="2">
        <v>50</v>
      </c>
      <c r="I4213" s="114" t="str">
        <f t="shared" si="639"/>
        <v>569100</v>
      </c>
      <c r="J4213" s="112" t="s">
        <v>84</v>
      </c>
      <c r="K4213" s="117" t="str">
        <f t="shared" ref="K4213" si="646">CONCATENATE(B4213,"103")</f>
        <v>569103</v>
      </c>
      <c r="L4213" s="2">
        <v>1</v>
      </c>
      <c r="M4213" s="2" t="s">
        <v>84</v>
      </c>
      <c r="N4213" s="2" t="s">
        <v>84</v>
      </c>
      <c r="O4213" s="2" t="s">
        <v>841</v>
      </c>
      <c r="P4213" s="2" t="s">
        <v>3017</v>
      </c>
    </row>
    <row r="4214" spans="1:16" ht="22" customHeight="1" x14ac:dyDescent="0.15">
      <c r="A4214" s="10" t="str">
        <f t="shared" si="638"/>
        <v>569_10_25_4_polygon</v>
      </c>
      <c r="B4214" s="2">
        <v>569</v>
      </c>
      <c r="C4214" s="30" t="str">
        <f>VLOOKUP(B4214,gachas!A:C,3)</f>
        <v>グリム攻略応援ガチャ</v>
      </c>
      <c r="D4214" s="21">
        <v>10</v>
      </c>
      <c r="E4214" s="2">
        <v>25</v>
      </c>
      <c r="F4214" s="2">
        <v>4</v>
      </c>
      <c r="G4214" s="3" t="s">
        <v>22</v>
      </c>
      <c r="H4214" s="2">
        <v>20</v>
      </c>
      <c r="I4214" s="114" t="str">
        <f t="shared" si="639"/>
        <v>569100</v>
      </c>
      <c r="J4214" s="112" t="s">
        <v>84</v>
      </c>
      <c r="K4214" s="112" t="s">
        <v>84</v>
      </c>
      <c r="L4214" s="2">
        <v>0</v>
      </c>
      <c r="M4214" s="2" t="s">
        <v>84</v>
      </c>
      <c r="N4214" s="2" t="s">
        <v>84</v>
      </c>
      <c r="O4214" s="2" t="s">
        <v>841</v>
      </c>
      <c r="P4214" s="2" t="s">
        <v>3015</v>
      </c>
    </row>
    <row r="4215" spans="1:16" ht="22" customHeight="1" x14ac:dyDescent="0.15">
      <c r="A4215" s="10" t="str">
        <f t="shared" si="638"/>
        <v>569_10_26_6_polygon</v>
      </c>
      <c r="B4215" s="2">
        <v>569</v>
      </c>
      <c r="C4215" s="30" t="str">
        <f>VLOOKUP(B4215,gachas!A:C,3)</f>
        <v>グリム攻略応援ガチャ</v>
      </c>
      <c r="D4215" s="21">
        <v>10</v>
      </c>
      <c r="E4215" s="2">
        <v>26</v>
      </c>
      <c r="F4215" s="2">
        <v>6</v>
      </c>
      <c r="G4215" s="3" t="s">
        <v>22</v>
      </c>
      <c r="H4215" s="2">
        <v>30</v>
      </c>
      <c r="I4215" s="114" t="str">
        <f t="shared" si="639"/>
        <v>569100</v>
      </c>
      <c r="J4215" s="112" t="s">
        <v>84</v>
      </c>
      <c r="K4215" s="112" t="s">
        <v>84</v>
      </c>
      <c r="L4215" s="2">
        <v>0</v>
      </c>
      <c r="M4215" s="2" t="s">
        <v>84</v>
      </c>
      <c r="N4215" s="2" t="s">
        <v>84</v>
      </c>
      <c r="O4215" s="2" t="s">
        <v>841</v>
      </c>
      <c r="P4215" s="2" t="s">
        <v>3016</v>
      </c>
    </row>
    <row r="4216" spans="1:16" ht="22" customHeight="1" x14ac:dyDescent="0.15">
      <c r="A4216" s="10" t="str">
        <f t="shared" si="638"/>
        <v>569_10_27_10_polygon</v>
      </c>
      <c r="B4216" s="2">
        <v>569</v>
      </c>
      <c r="C4216" s="30" t="str">
        <f>VLOOKUP(B4216,gachas!A:C,3)</f>
        <v>グリム攻略応援ガチャ</v>
      </c>
      <c r="D4216" s="21">
        <v>10</v>
      </c>
      <c r="E4216" s="2">
        <v>27</v>
      </c>
      <c r="F4216" s="2">
        <v>10</v>
      </c>
      <c r="G4216" s="3" t="s">
        <v>22</v>
      </c>
      <c r="H4216" s="2">
        <v>50</v>
      </c>
      <c r="I4216" s="114" t="str">
        <f t="shared" si="639"/>
        <v>569100</v>
      </c>
      <c r="J4216" s="112" t="s">
        <v>84</v>
      </c>
      <c r="K4216" s="117" t="str">
        <f t="shared" ref="K4216" si="647">CONCATENATE(B4216,"103")</f>
        <v>569103</v>
      </c>
      <c r="L4216" s="2">
        <v>1</v>
      </c>
      <c r="M4216" s="2" t="s">
        <v>84</v>
      </c>
      <c r="N4216" s="2" t="s">
        <v>84</v>
      </c>
      <c r="O4216" s="2" t="s">
        <v>841</v>
      </c>
      <c r="P4216" s="2" t="s">
        <v>3017</v>
      </c>
    </row>
    <row r="4217" spans="1:16" ht="22" customHeight="1" x14ac:dyDescent="0.15">
      <c r="A4217" s="10" t="str">
        <f t="shared" si="638"/>
        <v>569_10_28_4_polygon</v>
      </c>
      <c r="B4217" s="2">
        <v>569</v>
      </c>
      <c r="C4217" s="30" t="str">
        <f>VLOOKUP(B4217,gachas!A:C,3)</f>
        <v>グリム攻略応援ガチャ</v>
      </c>
      <c r="D4217" s="21">
        <v>10</v>
      </c>
      <c r="E4217" s="2">
        <v>28</v>
      </c>
      <c r="F4217" s="2">
        <v>4</v>
      </c>
      <c r="G4217" s="3" t="s">
        <v>22</v>
      </c>
      <c r="H4217" s="2">
        <v>20</v>
      </c>
      <c r="I4217" s="114" t="str">
        <f t="shared" si="639"/>
        <v>569100</v>
      </c>
      <c r="J4217" s="112" t="s">
        <v>84</v>
      </c>
      <c r="K4217" s="112" t="s">
        <v>84</v>
      </c>
      <c r="L4217" s="2">
        <v>0</v>
      </c>
      <c r="M4217" s="2" t="s">
        <v>84</v>
      </c>
      <c r="N4217" s="2" t="s">
        <v>84</v>
      </c>
      <c r="O4217" s="2" t="s">
        <v>841</v>
      </c>
      <c r="P4217" s="2" t="s">
        <v>3015</v>
      </c>
    </row>
    <row r="4218" spans="1:16" ht="22" customHeight="1" x14ac:dyDescent="0.15">
      <c r="A4218" s="10" t="str">
        <f t="shared" si="638"/>
        <v>569_10_29_6_polygon</v>
      </c>
      <c r="B4218" s="2">
        <v>569</v>
      </c>
      <c r="C4218" s="30" t="str">
        <f>VLOOKUP(B4218,gachas!A:C,3)</f>
        <v>グリム攻略応援ガチャ</v>
      </c>
      <c r="D4218" s="21">
        <v>10</v>
      </c>
      <c r="E4218" s="2">
        <v>29</v>
      </c>
      <c r="F4218" s="2">
        <v>6</v>
      </c>
      <c r="G4218" s="3" t="s">
        <v>22</v>
      </c>
      <c r="H4218" s="2">
        <v>30</v>
      </c>
      <c r="I4218" s="114" t="str">
        <f t="shared" si="639"/>
        <v>569100</v>
      </c>
      <c r="J4218" s="112" t="s">
        <v>84</v>
      </c>
      <c r="K4218" s="112" t="s">
        <v>84</v>
      </c>
      <c r="L4218" s="2">
        <v>0</v>
      </c>
      <c r="M4218" s="2" t="s">
        <v>84</v>
      </c>
      <c r="N4218" s="2" t="s">
        <v>84</v>
      </c>
      <c r="O4218" s="2" t="s">
        <v>841</v>
      </c>
      <c r="P4218" s="2" t="s">
        <v>3016</v>
      </c>
    </row>
    <row r="4219" spans="1:16" ht="22" customHeight="1" x14ac:dyDescent="0.15">
      <c r="A4219" s="10" t="str">
        <f t="shared" si="638"/>
        <v>569_10_30_10_polygon</v>
      </c>
      <c r="B4219" s="2">
        <v>569</v>
      </c>
      <c r="C4219" s="30" t="str">
        <f>VLOOKUP(B4219,gachas!A:C,3)</f>
        <v>グリム攻略応援ガチャ</v>
      </c>
      <c r="D4219" s="21">
        <v>10</v>
      </c>
      <c r="E4219" s="2">
        <v>30</v>
      </c>
      <c r="F4219" s="2">
        <v>10</v>
      </c>
      <c r="G4219" s="3" t="s">
        <v>22</v>
      </c>
      <c r="H4219" s="2">
        <v>50</v>
      </c>
      <c r="I4219" s="114" t="str">
        <f t="shared" si="639"/>
        <v>569100</v>
      </c>
      <c r="J4219" s="112" t="s">
        <v>84</v>
      </c>
      <c r="K4219" s="117" t="str">
        <f t="shared" ref="K4219" si="648">CONCATENATE(B4219,"103")</f>
        <v>569103</v>
      </c>
      <c r="L4219" s="2">
        <v>1</v>
      </c>
      <c r="M4219" s="2" t="s">
        <v>84</v>
      </c>
      <c r="N4219" s="2" t="s">
        <v>84</v>
      </c>
      <c r="O4219" s="2" t="s">
        <v>841</v>
      </c>
      <c r="P4219" s="2" t="s">
        <v>3017</v>
      </c>
    </row>
    <row r="4220" spans="1:16" ht="22" customHeight="1" x14ac:dyDescent="0.15">
      <c r="A4220" s="10" t="str">
        <f t="shared" si="638"/>
        <v>570_10_0_10_polygon</v>
      </c>
      <c r="B4220" s="2">
        <v>570</v>
      </c>
      <c r="C4220" s="30" t="str">
        <f>VLOOKUP(B4220,gachas!A:C,3)</f>
        <v>Gスター攻略応援ガチャ</v>
      </c>
      <c r="D4220" s="21">
        <v>10</v>
      </c>
      <c r="E4220" s="2">
        <v>0</v>
      </c>
      <c r="F4220" s="2">
        <v>10</v>
      </c>
      <c r="G4220" s="3" t="s">
        <v>22</v>
      </c>
      <c r="H4220" s="2">
        <v>50</v>
      </c>
      <c r="I4220" s="114" t="str">
        <f t="shared" si="639"/>
        <v>570100</v>
      </c>
      <c r="J4220" s="112" t="s">
        <v>84</v>
      </c>
      <c r="K4220" s="112" t="s">
        <v>84</v>
      </c>
      <c r="L4220" s="2">
        <v>0</v>
      </c>
      <c r="M4220" s="2" t="s">
        <v>84</v>
      </c>
      <c r="N4220" s="2" t="s">
        <v>84</v>
      </c>
      <c r="O4220" s="2" t="s">
        <v>841</v>
      </c>
      <c r="P4220" s="2" t="s">
        <v>2637</v>
      </c>
    </row>
    <row r="4221" spans="1:16" ht="22" customHeight="1" x14ac:dyDescent="0.15">
      <c r="A4221" s="10" t="str">
        <f t="shared" si="638"/>
        <v>570_10_1_4_polygon</v>
      </c>
      <c r="B4221" s="2">
        <v>570</v>
      </c>
      <c r="C4221" s="30" t="str">
        <f>VLOOKUP(B4221,gachas!A:C,3)</f>
        <v>Gスター攻略応援ガチャ</v>
      </c>
      <c r="D4221" s="21">
        <v>10</v>
      </c>
      <c r="E4221" s="2">
        <v>1</v>
      </c>
      <c r="F4221" s="2">
        <v>4</v>
      </c>
      <c r="G4221" s="3" t="s">
        <v>22</v>
      </c>
      <c r="H4221" s="2">
        <v>20</v>
      </c>
      <c r="I4221" s="114" t="str">
        <f t="shared" si="639"/>
        <v>570100</v>
      </c>
      <c r="J4221" s="112" t="s">
        <v>84</v>
      </c>
      <c r="K4221" s="112" t="s">
        <v>84</v>
      </c>
      <c r="L4221" s="2">
        <v>0</v>
      </c>
      <c r="M4221" s="2" t="s">
        <v>84</v>
      </c>
      <c r="N4221" s="2" t="s">
        <v>84</v>
      </c>
      <c r="O4221" s="2" t="s">
        <v>841</v>
      </c>
      <c r="P4221" s="2" t="s">
        <v>3015</v>
      </c>
    </row>
    <row r="4222" spans="1:16" ht="22" customHeight="1" x14ac:dyDescent="0.15">
      <c r="A4222" s="10" t="str">
        <f t="shared" si="638"/>
        <v>570_10_2_6_polygon</v>
      </c>
      <c r="B4222" s="2">
        <v>570</v>
      </c>
      <c r="C4222" s="30" t="str">
        <f>VLOOKUP(B4222,gachas!A:C,3)</f>
        <v>Gスター攻略応援ガチャ</v>
      </c>
      <c r="D4222" s="21">
        <v>10</v>
      </c>
      <c r="E4222" s="2">
        <v>2</v>
      </c>
      <c r="F4222" s="2">
        <v>6</v>
      </c>
      <c r="G4222" s="3" t="s">
        <v>22</v>
      </c>
      <c r="H4222" s="2">
        <v>30</v>
      </c>
      <c r="I4222" s="114" t="str">
        <f t="shared" si="639"/>
        <v>570100</v>
      </c>
      <c r="J4222" s="112" t="s">
        <v>84</v>
      </c>
      <c r="K4222" s="112" t="s">
        <v>84</v>
      </c>
      <c r="L4222" s="2">
        <v>0</v>
      </c>
      <c r="M4222" s="2" t="s">
        <v>84</v>
      </c>
      <c r="N4222" s="2" t="s">
        <v>84</v>
      </c>
      <c r="O4222" s="2" t="s">
        <v>841</v>
      </c>
      <c r="P4222" s="2" t="s">
        <v>3016</v>
      </c>
    </row>
    <row r="4223" spans="1:16" ht="22" customHeight="1" x14ac:dyDescent="0.15">
      <c r="A4223" s="10" t="str">
        <f t="shared" si="638"/>
        <v>570_10_3_10_polygon</v>
      </c>
      <c r="B4223" s="2">
        <v>570</v>
      </c>
      <c r="C4223" s="30" t="str">
        <f>VLOOKUP(B4223,gachas!A:C,3)</f>
        <v>Gスター攻略応援ガチャ</v>
      </c>
      <c r="D4223" s="21">
        <v>10</v>
      </c>
      <c r="E4223" s="2">
        <v>3</v>
      </c>
      <c r="F4223" s="2">
        <v>10</v>
      </c>
      <c r="G4223" s="3" t="s">
        <v>22</v>
      </c>
      <c r="H4223" s="2">
        <v>50</v>
      </c>
      <c r="I4223" s="114" t="str">
        <f t="shared" si="639"/>
        <v>570100</v>
      </c>
      <c r="J4223" s="112" t="s">
        <v>84</v>
      </c>
      <c r="K4223" s="117" t="str">
        <f>CONCATENATE(B4223,"103")</f>
        <v>570103</v>
      </c>
      <c r="L4223" s="2">
        <v>1</v>
      </c>
      <c r="M4223" s="2" t="s">
        <v>84</v>
      </c>
      <c r="N4223" s="2" t="s">
        <v>84</v>
      </c>
      <c r="O4223" s="2" t="s">
        <v>841</v>
      </c>
      <c r="P4223" s="2" t="s">
        <v>3018</v>
      </c>
    </row>
    <row r="4224" spans="1:16" ht="22" customHeight="1" x14ac:dyDescent="0.15">
      <c r="A4224" s="10" t="str">
        <f t="shared" ref="A4224:A4254" si="649">B4224&amp;"_"&amp;D4224&amp;"_"&amp;E4224&amp;"_"&amp;F4224&amp;"_"&amp;G4224</f>
        <v>570_10_4_4_polygon</v>
      </c>
      <c r="B4224" s="2">
        <v>570</v>
      </c>
      <c r="C4224" s="30" t="str">
        <f>VLOOKUP(B4224,gachas!A:C,3)</f>
        <v>Gスター攻略応援ガチャ</v>
      </c>
      <c r="D4224" s="21">
        <v>10</v>
      </c>
      <c r="E4224" s="2">
        <v>4</v>
      </c>
      <c r="F4224" s="2">
        <v>4</v>
      </c>
      <c r="G4224" s="3" t="s">
        <v>22</v>
      </c>
      <c r="H4224" s="2">
        <v>20</v>
      </c>
      <c r="I4224" s="114" t="str">
        <f t="shared" ref="I4224:I4254" si="650">CONCATENATE(B4224,IF(D4224=1,"01","10"),0)</f>
        <v>570100</v>
      </c>
      <c r="J4224" s="112" t="s">
        <v>84</v>
      </c>
      <c r="K4224" s="112" t="s">
        <v>84</v>
      </c>
      <c r="L4224" s="2">
        <v>0</v>
      </c>
      <c r="M4224" s="2" t="s">
        <v>84</v>
      </c>
      <c r="N4224" s="2" t="s">
        <v>84</v>
      </c>
      <c r="O4224" s="2" t="s">
        <v>841</v>
      </c>
      <c r="P4224" s="2" t="s">
        <v>3015</v>
      </c>
    </row>
    <row r="4225" spans="1:16" ht="22" customHeight="1" x14ac:dyDescent="0.15">
      <c r="A4225" s="10" t="str">
        <f t="shared" si="649"/>
        <v>570_10_5_6_polygon</v>
      </c>
      <c r="B4225" s="2">
        <v>570</v>
      </c>
      <c r="C4225" s="30" t="str">
        <f>VLOOKUP(B4225,gachas!A:C,3)</f>
        <v>Gスター攻略応援ガチャ</v>
      </c>
      <c r="D4225" s="21">
        <v>10</v>
      </c>
      <c r="E4225" s="2">
        <v>5</v>
      </c>
      <c r="F4225" s="2">
        <v>6</v>
      </c>
      <c r="G4225" s="3" t="s">
        <v>22</v>
      </c>
      <c r="H4225" s="2">
        <v>30</v>
      </c>
      <c r="I4225" s="114" t="str">
        <f t="shared" si="650"/>
        <v>570100</v>
      </c>
      <c r="J4225" s="112" t="s">
        <v>84</v>
      </c>
      <c r="K4225" s="112" t="s">
        <v>84</v>
      </c>
      <c r="L4225" s="2">
        <v>0</v>
      </c>
      <c r="M4225" s="2" t="s">
        <v>84</v>
      </c>
      <c r="N4225" s="2" t="s">
        <v>84</v>
      </c>
      <c r="O4225" s="2" t="s">
        <v>841</v>
      </c>
      <c r="P4225" s="2" t="s">
        <v>3016</v>
      </c>
    </row>
    <row r="4226" spans="1:16" ht="22" customHeight="1" x14ac:dyDescent="0.15">
      <c r="A4226" s="10" t="str">
        <f t="shared" si="649"/>
        <v>570_10_6_10_polygon</v>
      </c>
      <c r="B4226" s="2">
        <v>570</v>
      </c>
      <c r="C4226" s="30" t="str">
        <f>VLOOKUP(B4226,gachas!A:C,3)</f>
        <v>Gスター攻略応援ガチャ</v>
      </c>
      <c r="D4226" s="21">
        <v>10</v>
      </c>
      <c r="E4226" s="2">
        <v>6</v>
      </c>
      <c r="F4226" s="2">
        <v>10</v>
      </c>
      <c r="G4226" s="3" t="s">
        <v>22</v>
      </c>
      <c r="H4226" s="2">
        <v>50</v>
      </c>
      <c r="I4226" s="114" t="str">
        <f t="shared" si="650"/>
        <v>570100</v>
      </c>
      <c r="J4226" s="112" t="s">
        <v>84</v>
      </c>
      <c r="K4226" s="117" t="str">
        <f t="shared" ref="K4226" si="651">CONCATENATE(B4226,"103")</f>
        <v>570103</v>
      </c>
      <c r="L4226" s="2">
        <v>1</v>
      </c>
      <c r="M4226" s="2" t="s">
        <v>84</v>
      </c>
      <c r="N4226" s="2" t="s">
        <v>84</v>
      </c>
      <c r="O4226" s="2" t="s">
        <v>841</v>
      </c>
      <c r="P4226" s="2" t="s">
        <v>3018</v>
      </c>
    </row>
    <row r="4227" spans="1:16" ht="22" customHeight="1" x14ac:dyDescent="0.15">
      <c r="A4227" s="10" t="str">
        <f t="shared" si="649"/>
        <v>570_10_7_4_polygon</v>
      </c>
      <c r="B4227" s="2">
        <v>570</v>
      </c>
      <c r="C4227" s="30" t="str">
        <f>VLOOKUP(B4227,gachas!A:C,3)</f>
        <v>Gスター攻略応援ガチャ</v>
      </c>
      <c r="D4227" s="21">
        <v>10</v>
      </c>
      <c r="E4227" s="2">
        <v>7</v>
      </c>
      <c r="F4227" s="2">
        <v>4</v>
      </c>
      <c r="G4227" s="3" t="s">
        <v>22</v>
      </c>
      <c r="H4227" s="2">
        <v>20</v>
      </c>
      <c r="I4227" s="114" t="str">
        <f t="shared" si="650"/>
        <v>570100</v>
      </c>
      <c r="J4227" s="112" t="s">
        <v>84</v>
      </c>
      <c r="K4227" s="112" t="s">
        <v>84</v>
      </c>
      <c r="L4227" s="2">
        <v>0</v>
      </c>
      <c r="M4227" s="2" t="s">
        <v>84</v>
      </c>
      <c r="N4227" s="2" t="s">
        <v>84</v>
      </c>
      <c r="O4227" s="2" t="s">
        <v>841</v>
      </c>
      <c r="P4227" s="2" t="s">
        <v>3015</v>
      </c>
    </row>
    <row r="4228" spans="1:16" ht="22" customHeight="1" x14ac:dyDescent="0.15">
      <c r="A4228" s="10" t="str">
        <f t="shared" si="649"/>
        <v>570_10_8_6_polygon</v>
      </c>
      <c r="B4228" s="2">
        <v>570</v>
      </c>
      <c r="C4228" s="30" t="str">
        <f>VLOOKUP(B4228,gachas!A:C,3)</f>
        <v>Gスター攻略応援ガチャ</v>
      </c>
      <c r="D4228" s="21">
        <v>10</v>
      </c>
      <c r="E4228" s="2">
        <v>8</v>
      </c>
      <c r="F4228" s="2">
        <v>6</v>
      </c>
      <c r="G4228" s="3" t="s">
        <v>22</v>
      </c>
      <c r="H4228" s="2">
        <v>30</v>
      </c>
      <c r="I4228" s="114" t="str">
        <f t="shared" si="650"/>
        <v>570100</v>
      </c>
      <c r="J4228" s="112" t="s">
        <v>84</v>
      </c>
      <c r="K4228" s="112" t="s">
        <v>84</v>
      </c>
      <c r="L4228" s="2">
        <v>0</v>
      </c>
      <c r="M4228" s="2" t="s">
        <v>84</v>
      </c>
      <c r="N4228" s="2" t="s">
        <v>84</v>
      </c>
      <c r="O4228" s="2" t="s">
        <v>841</v>
      </c>
      <c r="P4228" s="2" t="s">
        <v>3016</v>
      </c>
    </row>
    <row r="4229" spans="1:16" ht="22" customHeight="1" x14ac:dyDescent="0.15">
      <c r="A4229" s="10" t="str">
        <f t="shared" si="649"/>
        <v>570_10_9_10_polygon</v>
      </c>
      <c r="B4229" s="2">
        <v>570</v>
      </c>
      <c r="C4229" s="30" t="str">
        <f>VLOOKUP(B4229,gachas!A:C,3)</f>
        <v>Gスター攻略応援ガチャ</v>
      </c>
      <c r="D4229" s="21">
        <v>10</v>
      </c>
      <c r="E4229" s="2">
        <v>9</v>
      </c>
      <c r="F4229" s="2">
        <v>10</v>
      </c>
      <c r="G4229" s="3" t="s">
        <v>22</v>
      </c>
      <c r="H4229" s="2">
        <v>50</v>
      </c>
      <c r="I4229" s="114" t="str">
        <f t="shared" si="650"/>
        <v>570100</v>
      </c>
      <c r="J4229" s="112" t="s">
        <v>84</v>
      </c>
      <c r="K4229" s="117" t="str">
        <f t="shared" ref="K4229" si="652">CONCATENATE(B4229,"103")</f>
        <v>570103</v>
      </c>
      <c r="L4229" s="2">
        <v>1</v>
      </c>
      <c r="M4229" s="2" t="s">
        <v>84</v>
      </c>
      <c r="N4229" s="2" t="s">
        <v>84</v>
      </c>
      <c r="O4229" s="2" t="s">
        <v>841</v>
      </c>
      <c r="P4229" s="2" t="s">
        <v>3018</v>
      </c>
    </row>
    <row r="4230" spans="1:16" ht="22" customHeight="1" x14ac:dyDescent="0.15">
      <c r="A4230" s="10" t="str">
        <f t="shared" si="649"/>
        <v>570_10_10_4_polygon</v>
      </c>
      <c r="B4230" s="2">
        <v>570</v>
      </c>
      <c r="C4230" s="30" t="str">
        <f>VLOOKUP(B4230,gachas!A:C,3)</f>
        <v>Gスター攻略応援ガチャ</v>
      </c>
      <c r="D4230" s="21">
        <v>10</v>
      </c>
      <c r="E4230" s="2">
        <v>10</v>
      </c>
      <c r="F4230" s="2">
        <v>4</v>
      </c>
      <c r="G4230" s="3" t="s">
        <v>22</v>
      </c>
      <c r="H4230" s="2">
        <v>20</v>
      </c>
      <c r="I4230" s="114" t="str">
        <f t="shared" si="650"/>
        <v>570100</v>
      </c>
      <c r="J4230" s="112" t="s">
        <v>84</v>
      </c>
      <c r="K4230" s="112" t="s">
        <v>84</v>
      </c>
      <c r="L4230" s="2">
        <v>0</v>
      </c>
      <c r="M4230" s="2" t="s">
        <v>84</v>
      </c>
      <c r="N4230" s="2" t="s">
        <v>84</v>
      </c>
      <c r="O4230" s="2" t="s">
        <v>841</v>
      </c>
      <c r="P4230" s="2" t="s">
        <v>3015</v>
      </c>
    </row>
    <row r="4231" spans="1:16" ht="22" customHeight="1" x14ac:dyDescent="0.15">
      <c r="A4231" s="10" t="str">
        <f t="shared" si="649"/>
        <v>570_10_11_6_polygon</v>
      </c>
      <c r="B4231" s="2">
        <v>570</v>
      </c>
      <c r="C4231" s="30" t="str">
        <f>VLOOKUP(B4231,gachas!A:C,3)</f>
        <v>Gスター攻略応援ガチャ</v>
      </c>
      <c r="D4231" s="21">
        <v>10</v>
      </c>
      <c r="E4231" s="2">
        <v>11</v>
      </c>
      <c r="F4231" s="2">
        <v>6</v>
      </c>
      <c r="G4231" s="3" t="s">
        <v>22</v>
      </c>
      <c r="H4231" s="2">
        <v>30</v>
      </c>
      <c r="I4231" s="114" t="str">
        <f t="shared" si="650"/>
        <v>570100</v>
      </c>
      <c r="J4231" s="112" t="s">
        <v>84</v>
      </c>
      <c r="K4231" s="112" t="s">
        <v>84</v>
      </c>
      <c r="L4231" s="2">
        <v>0</v>
      </c>
      <c r="M4231" s="2" t="s">
        <v>84</v>
      </c>
      <c r="N4231" s="2" t="s">
        <v>84</v>
      </c>
      <c r="O4231" s="2" t="s">
        <v>841</v>
      </c>
      <c r="P4231" s="2" t="s">
        <v>3016</v>
      </c>
    </row>
    <row r="4232" spans="1:16" ht="22" customHeight="1" x14ac:dyDescent="0.15">
      <c r="A4232" s="10" t="str">
        <f t="shared" si="649"/>
        <v>570_10_12_10_polygon</v>
      </c>
      <c r="B4232" s="2">
        <v>570</v>
      </c>
      <c r="C4232" s="30" t="str">
        <f>VLOOKUP(B4232,gachas!A:C,3)</f>
        <v>Gスター攻略応援ガチャ</v>
      </c>
      <c r="D4232" s="21">
        <v>10</v>
      </c>
      <c r="E4232" s="2">
        <v>12</v>
      </c>
      <c r="F4232" s="2">
        <v>10</v>
      </c>
      <c r="G4232" s="3" t="s">
        <v>22</v>
      </c>
      <c r="H4232" s="2">
        <v>50</v>
      </c>
      <c r="I4232" s="114" t="str">
        <f t="shared" si="650"/>
        <v>570100</v>
      </c>
      <c r="J4232" s="112" t="s">
        <v>84</v>
      </c>
      <c r="K4232" s="117" t="str">
        <f t="shared" ref="K4232" si="653">CONCATENATE(B4232,"103")</f>
        <v>570103</v>
      </c>
      <c r="L4232" s="2">
        <v>1</v>
      </c>
      <c r="M4232" s="2" t="s">
        <v>84</v>
      </c>
      <c r="N4232" s="2" t="s">
        <v>84</v>
      </c>
      <c r="O4232" s="2" t="s">
        <v>841</v>
      </c>
      <c r="P4232" s="2" t="s">
        <v>3018</v>
      </c>
    </row>
    <row r="4233" spans="1:16" ht="22" customHeight="1" x14ac:dyDescent="0.15">
      <c r="A4233" s="10" t="str">
        <f t="shared" si="649"/>
        <v>570_10_13_4_polygon</v>
      </c>
      <c r="B4233" s="2">
        <v>570</v>
      </c>
      <c r="C4233" s="30" t="str">
        <f>VLOOKUP(B4233,gachas!A:C,3)</f>
        <v>Gスター攻略応援ガチャ</v>
      </c>
      <c r="D4233" s="21">
        <v>10</v>
      </c>
      <c r="E4233" s="2">
        <v>13</v>
      </c>
      <c r="F4233" s="2">
        <v>4</v>
      </c>
      <c r="G4233" s="3" t="s">
        <v>22</v>
      </c>
      <c r="H4233" s="2">
        <v>20</v>
      </c>
      <c r="I4233" s="114" t="str">
        <f t="shared" si="650"/>
        <v>570100</v>
      </c>
      <c r="J4233" s="112" t="s">
        <v>84</v>
      </c>
      <c r="K4233" s="112" t="s">
        <v>84</v>
      </c>
      <c r="L4233" s="2">
        <v>0</v>
      </c>
      <c r="M4233" s="2" t="s">
        <v>84</v>
      </c>
      <c r="N4233" s="2" t="s">
        <v>84</v>
      </c>
      <c r="O4233" s="2" t="s">
        <v>841</v>
      </c>
      <c r="P4233" s="2" t="s">
        <v>3015</v>
      </c>
    </row>
    <row r="4234" spans="1:16" ht="22" customHeight="1" x14ac:dyDescent="0.15">
      <c r="A4234" s="10" t="str">
        <f t="shared" si="649"/>
        <v>570_10_14_6_polygon</v>
      </c>
      <c r="B4234" s="2">
        <v>570</v>
      </c>
      <c r="C4234" s="30" t="str">
        <f>VLOOKUP(B4234,gachas!A:C,3)</f>
        <v>Gスター攻略応援ガチャ</v>
      </c>
      <c r="D4234" s="21">
        <v>10</v>
      </c>
      <c r="E4234" s="2">
        <v>14</v>
      </c>
      <c r="F4234" s="2">
        <v>6</v>
      </c>
      <c r="G4234" s="3" t="s">
        <v>22</v>
      </c>
      <c r="H4234" s="2">
        <v>30</v>
      </c>
      <c r="I4234" s="114" t="str">
        <f t="shared" si="650"/>
        <v>570100</v>
      </c>
      <c r="J4234" s="112" t="s">
        <v>84</v>
      </c>
      <c r="K4234" s="112" t="s">
        <v>84</v>
      </c>
      <c r="L4234" s="2">
        <v>0</v>
      </c>
      <c r="M4234" s="2" t="s">
        <v>84</v>
      </c>
      <c r="N4234" s="2" t="s">
        <v>84</v>
      </c>
      <c r="O4234" s="2" t="s">
        <v>841</v>
      </c>
      <c r="P4234" s="2" t="s">
        <v>3016</v>
      </c>
    </row>
    <row r="4235" spans="1:16" ht="22" customHeight="1" x14ac:dyDescent="0.15">
      <c r="A4235" s="10" t="str">
        <f t="shared" si="649"/>
        <v>570_10_15_10_polygon</v>
      </c>
      <c r="B4235" s="2">
        <v>570</v>
      </c>
      <c r="C4235" s="30" t="str">
        <f>VLOOKUP(B4235,gachas!A:C,3)</f>
        <v>Gスター攻略応援ガチャ</v>
      </c>
      <c r="D4235" s="21">
        <v>10</v>
      </c>
      <c r="E4235" s="2">
        <v>15</v>
      </c>
      <c r="F4235" s="2">
        <v>10</v>
      </c>
      <c r="G4235" s="3" t="s">
        <v>22</v>
      </c>
      <c r="H4235" s="2">
        <v>50</v>
      </c>
      <c r="I4235" s="114" t="str">
        <f t="shared" si="650"/>
        <v>570100</v>
      </c>
      <c r="J4235" s="112" t="s">
        <v>84</v>
      </c>
      <c r="K4235" s="117" t="str">
        <f t="shared" ref="K4235" si="654">CONCATENATE(B4235,"103")</f>
        <v>570103</v>
      </c>
      <c r="L4235" s="2">
        <v>1</v>
      </c>
      <c r="M4235" s="2" t="s">
        <v>84</v>
      </c>
      <c r="N4235" s="2" t="s">
        <v>84</v>
      </c>
      <c r="O4235" s="2" t="s">
        <v>841</v>
      </c>
      <c r="P4235" s="2" t="s">
        <v>3018</v>
      </c>
    </row>
    <row r="4236" spans="1:16" ht="22" customHeight="1" x14ac:dyDescent="0.15">
      <c r="A4236" s="10" t="str">
        <f t="shared" si="649"/>
        <v>570_10_16_4_polygon</v>
      </c>
      <c r="B4236" s="2">
        <v>570</v>
      </c>
      <c r="C4236" s="30" t="str">
        <f>VLOOKUP(B4236,gachas!A:C,3)</f>
        <v>Gスター攻略応援ガチャ</v>
      </c>
      <c r="D4236" s="21">
        <v>10</v>
      </c>
      <c r="E4236" s="2">
        <v>16</v>
      </c>
      <c r="F4236" s="2">
        <v>4</v>
      </c>
      <c r="G4236" s="3" t="s">
        <v>22</v>
      </c>
      <c r="H4236" s="2">
        <v>20</v>
      </c>
      <c r="I4236" s="114" t="str">
        <f t="shared" si="650"/>
        <v>570100</v>
      </c>
      <c r="J4236" s="112" t="s">
        <v>84</v>
      </c>
      <c r="K4236" s="112" t="s">
        <v>84</v>
      </c>
      <c r="L4236" s="2">
        <v>0</v>
      </c>
      <c r="M4236" s="2" t="s">
        <v>84</v>
      </c>
      <c r="N4236" s="2" t="s">
        <v>84</v>
      </c>
      <c r="O4236" s="2" t="s">
        <v>841</v>
      </c>
      <c r="P4236" s="2" t="s">
        <v>3015</v>
      </c>
    </row>
    <row r="4237" spans="1:16" ht="22" customHeight="1" x14ac:dyDescent="0.15">
      <c r="A4237" s="10" t="str">
        <f t="shared" si="649"/>
        <v>570_10_17_6_polygon</v>
      </c>
      <c r="B4237" s="2">
        <v>570</v>
      </c>
      <c r="C4237" s="30" t="str">
        <f>VLOOKUP(B4237,gachas!A:C,3)</f>
        <v>Gスター攻略応援ガチャ</v>
      </c>
      <c r="D4237" s="21">
        <v>10</v>
      </c>
      <c r="E4237" s="2">
        <v>17</v>
      </c>
      <c r="F4237" s="2">
        <v>6</v>
      </c>
      <c r="G4237" s="3" t="s">
        <v>22</v>
      </c>
      <c r="H4237" s="2">
        <v>30</v>
      </c>
      <c r="I4237" s="114" t="str">
        <f t="shared" si="650"/>
        <v>570100</v>
      </c>
      <c r="J4237" s="112" t="s">
        <v>84</v>
      </c>
      <c r="K4237" s="112" t="s">
        <v>84</v>
      </c>
      <c r="L4237" s="2">
        <v>0</v>
      </c>
      <c r="M4237" s="2" t="s">
        <v>84</v>
      </c>
      <c r="N4237" s="2" t="s">
        <v>84</v>
      </c>
      <c r="O4237" s="2" t="s">
        <v>841</v>
      </c>
      <c r="P4237" s="2" t="s">
        <v>3016</v>
      </c>
    </row>
    <row r="4238" spans="1:16" ht="22" customHeight="1" x14ac:dyDescent="0.15">
      <c r="A4238" s="10" t="str">
        <f t="shared" si="649"/>
        <v>570_10_18_10_polygon</v>
      </c>
      <c r="B4238" s="2">
        <v>570</v>
      </c>
      <c r="C4238" s="30" t="str">
        <f>VLOOKUP(B4238,gachas!A:C,3)</f>
        <v>Gスター攻略応援ガチャ</v>
      </c>
      <c r="D4238" s="21">
        <v>10</v>
      </c>
      <c r="E4238" s="2">
        <v>18</v>
      </c>
      <c r="F4238" s="2">
        <v>10</v>
      </c>
      <c r="G4238" s="3" t="s">
        <v>22</v>
      </c>
      <c r="H4238" s="2">
        <v>50</v>
      </c>
      <c r="I4238" s="114" t="str">
        <f t="shared" si="650"/>
        <v>570100</v>
      </c>
      <c r="J4238" s="112" t="s">
        <v>84</v>
      </c>
      <c r="K4238" s="117" t="str">
        <f t="shared" ref="K4238" si="655">CONCATENATE(B4238,"103")</f>
        <v>570103</v>
      </c>
      <c r="L4238" s="2">
        <v>1</v>
      </c>
      <c r="M4238" s="2" t="s">
        <v>84</v>
      </c>
      <c r="N4238" s="2" t="s">
        <v>84</v>
      </c>
      <c r="O4238" s="2" t="s">
        <v>841</v>
      </c>
      <c r="P4238" s="2" t="s">
        <v>3018</v>
      </c>
    </row>
    <row r="4239" spans="1:16" ht="22" customHeight="1" x14ac:dyDescent="0.15">
      <c r="A4239" s="10" t="str">
        <f t="shared" si="649"/>
        <v>570_10_19_4_polygon</v>
      </c>
      <c r="B4239" s="2">
        <v>570</v>
      </c>
      <c r="C4239" s="30" t="str">
        <f>VLOOKUP(B4239,gachas!A:C,3)</f>
        <v>Gスター攻略応援ガチャ</v>
      </c>
      <c r="D4239" s="21">
        <v>10</v>
      </c>
      <c r="E4239" s="2">
        <v>19</v>
      </c>
      <c r="F4239" s="2">
        <v>4</v>
      </c>
      <c r="G4239" s="3" t="s">
        <v>22</v>
      </c>
      <c r="H4239" s="2">
        <v>20</v>
      </c>
      <c r="I4239" s="114" t="str">
        <f t="shared" si="650"/>
        <v>570100</v>
      </c>
      <c r="J4239" s="112" t="s">
        <v>84</v>
      </c>
      <c r="K4239" s="112" t="s">
        <v>84</v>
      </c>
      <c r="L4239" s="2">
        <v>0</v>
      </c>
      <c r="M4239" s="2" t="s">
        <v>84</v>
      </c>
      <c r="N4239" s="2" t="s">
        <v>84</v>
      </c>
      <c r="O4239" s="2" t="s">
        <v>841</v>
      </c>
      <c r="P4239" s="2" t="s">
        <v>3015</v>
      </c>
    </row>
    <row r="4240" spans="1:16" ht="22" customHeight="1" x14ac:dyDescent="0.15">
      <c r="A4240" s="10" t="str">
        <f t="shared" si="649"/>
        <v>570_10_20_6_polygon</v>
      </c>
      <c r="B4240" s="2">
        <v>570</v>
      </c>
      <c r="C4240" s="30" t="str">
        <f>VLOOKUP(B4240,gachas!A:C,3)</f>
        <v>Gスター攻略応援ガチャ</v>
      </c>
      <c r="D4240" s="21">
        <v>10</v>
      </c>
      <c r="E4240" s="2">
        <v>20</v>
      </c>
      <c r="F4240" s="2">
        <v>6</v>
      </c>
      <c r="G4240" s="3" t="s">
        <v>22</v>
      </c>
      <c r="H4240" s="2">
        <v>30</v>
      </c>
      <c r="I4240" s="114" t="str">
        <f t="shared" si="650"/>
        <v>570100</v>
      </c>
      <c r="J4240" s="112" t="s">
        <v>84</v>
      </c>
      <c r="K4240" s="112" t="s">
        <v>84</v>
      </c>
      <c r="L4240" s="2">
        <v>0</v>
      </c>
      <c r="M4240" s="2" t="s">
        <v>84</v>
      </c>
      <c r="N4240" s="2" t="s">
        <v>84</v>
      </c>
      <c r="O4240" s="2" t="s">
        <v>841</v>
      </c>
      <c r="P4240" s="2" t="s">
        <v>3016</v>
      </c>
    </row>
    <row r="4241" spans="1:16" ht="22" customHeight="1" x14ac:dyDescent="0.15">
      <c r="A4241" s="10" t="str">
        <f t="shared" si="649"/>
        <v>570_10_21_10_polygon</v>
      </c>
      <c r="B4241" s="2">
        <v>570</v>
      </c>
      <c r="C4241" s="30" t="str">
        <f>VLOOKUP(B4241,gachas!A:C,3)</f>
        <v>Gスター攻略応援ガチャ</v>
      </c>
      <c r="D4241" s="21">
        <v>10</v>
      </c>
      <c r="E4241" s="2">
        <v>21</v>
      </c>
      <c r="F4241" s="2">
        <v>10</v>
      </c>
      <c r="G4241" s="3" t="s">
        <v>22</v>
      </c>
      <c r="H4241" s="2">
        <v>50</v>
      </c>
      <c r="I4241" s="114" t="str">
        <f t="shared" si="650"/>
        <v>570100</v>
      </c>
      <c r="J4241" s="112" t="s">
        <v>84</v>
      </c>
      <c r="K4241" s="117" t="str">
        <f t="shared" ref="K4241" si="656">CONCATENATE(B4241,"103")</f>
        <v>570103</v>
      </c>
      <c r="L4241" s="2">
        <v>1</v>
      </c>
      <c r="M4241" s="2" t="s">
        <v>84</v>
      </c>
      <c r="N4241" s="2" t="s">
        <v>84</v>
      </c>
      <c r="O4241" s="2" t="s">
        <v>841</v>
      </c>
      <c r="P4241" s="2" t="s">
        <v>3018</v>
      </c>
    </row>
    <row r="4242" spans="1:16" ht="22" customHeight="1" x14ac:dyDescent="0.15">
      <c r="A4242" s="10" t="str">
        <f t="shared" si="649"/>
        <v>570_10_22_4_polygon</v>
      </c>
      <c r="B4242" s="2">
        <v>570</v>
      </c>
      <c r="C4242" s="30" t="str">
        <f>VLOOKUP(B4242,gachas!A:C,3)</f>
        <v>Gスター攻略応援ガチャ</v>
      </c>
      <c r="D4242" s="21">
        <v>10</v>
      </c>
      <c r="E4242" s="2">
        <v>22</v>
      </c>
      <c r="F4242" s="2">
        <v>4</v>
      </c>
      <c r="G4242" s="3" t="s">
        <v>22</v>
      </c>
      <c r="H4242" s="2">
        <v>20</v>
      </c>
      <c r="I4242" s="114" t="str">
        <f t="shared" si="650"/>
        <v>570100</v>
      </c>
      <c r="J4242" s="112" t="s">
        <v>84</v>
      </c>
      <c r="K4242" s="112" t="s">
        <v>84</v>
      </c>
      <c r="L4242" s="2">
        <v>0</v>
      </c>
      <c r="M4242" s="2" t="s">
        <v>84</v>
      </c>
      <c r="N4242" s="2" t="s">
        <v>84</v>
      </c>
      <c r="O4242" s="2" t="s">
        <v>841</v>
      </c>
      <c r="P4242" s="2" t="s">
        <v>3015</v>
      </c>
    </row>
    <row r="4243" spans="1:16" ht="22" customHeight="1" x14ac:dyDescent="0.15">
      <c r="A4243" s="10" t="str">
        <f t="shared" si="649"/>
        <v>570_10_23_6_polygon</v>
      </c>
      <c r="B4243" s="2">
        <v>570</v>
      </c>
      <c r="C4243" s="30" t="str">
        <f>VLOOKUP(B4243,gachas!A:C,3)</f>
        <v>Gスター攻略応援ガチャ</v>
      </c>
      <c r="D4243" s="21">
        <v>10</v>
      </c>
      <c r="E4243" s="2">
        <v>23</v>
      </c>
      <c r="F4243" s="2">
        <v>6</v>
      </c>
      <c r="G4243" s="3" t="s">
        <v>22</v>
      </c>
      <c r="H4243" s="2">
        <v>30</v>
      </c>
      <c r="I4243" s="114" t="str">
        <f t="shared" si="650"/>
        <v>570100</v>
      </c>
      <c r="J4243" s="112" t="s">
        <v>84</v>
      </c>
      <c r="K4243" s="112" t="s">
        <v>84</v>
      </c>
      <c r="L4243" s="2">
        <v>0</v>
      </c>
      <c r="M4243" s="2" t="s">
        <v>84</v>
      </c>
      <c r="N4243" s="2" t="s">
        <v>84</v>
      </c>
      <c r="O4243" s="2" t="s">
        <v>841</v>
      </c>
      <c r="P4243" s="2" t="s">
        <v>3016</v>
      </c>
    </row>
    <row r="4244" spans="1:16" ht="22" customHeight="1" x14ac:dyDescent="0.15">
      <c r="A4244" s="10" t="str">
        <f t="shared" si="649"/>
        <v>570_10_24_10_polygon</v>
      </c>
      <c r="B4244" s="2">
        <v>570</v>
      </c>
      <c r="C4244" s="30" t="str">
        <f>VLOOKUP(B4244,gachas!A:C,3)</f>
        <v>Gスター攻略応援ガチャ</v>
      </c>
      <c r="D4244" s="21">
        <v>10</v>
      </c>
      <c r="E4244" s="2">
        <v>24</v>
      </c>
      <c r="F4244" s="2">
        <v>10</v>
      </c>
      <c r="G4244" s="3" t="s">
        <v>22</v>
      </c>
      <c r="H4244" s="2">
        <v>50</v>
      </c>
      <c r="I4244" s="114" t="str">
        <f t="shared" si="650"/>
        <v>570100</v>
      </c>
      <c r="J4244" s="112" t="s">
        <v>84</v>
      </c>
      <c r="K4244" s="117" t="str">
        <f t="shared" ref="K4244" si="657">CONCATENATE(B4244,"103")</f>
        <v>570103</v>
      </c>
      <c r="L4244" s="2">
        <v>1</v>
      </c>
      <c r="M4244" s="2" t="s">
        <v>84</v>
      </c>
      <c r="N4244" s="2" t="s">
        <v>84</v>
      </c>
      <c r="O4244" s="2" t="s">
        <v>841</v>
      </c>
      <c r="P4244" s="2" t="s">
        <v>3018</v>
      </c>
    </row>
    <row r="4245" spans="1:16" ht="22" customHeight="1" x14ac:dyDescent="0.15">
      <c r="A4245" s="10" t="str">
        <f t="shared" si="649"/>
        <v>570_10_25_4_polygon</v>
      </c>
      <c r="B4245" s="2">
        <v>570</v>
      </c>
      <c r="C4245" s="30" t="str">
        <f>VLOOKUP(B4245,gachas!A:C,3)</f>
        <v>Gスター攻略応援ガチャ</v>
      </c>
      <c r="D4245" s="21">
        <v>10</v>
      </c>
      <c r="E4245" s="2">
        <v>25</v>
      </c>
      <c r="F4245" s="2">
        <v>4</v>
      </c>
      <c r="G4245" s="3" t="s">
        <v>22</v>
      </c>
      <c r="H4245" s="2">
        <v>20</v>
      </c>
      <c r="I4245" s="114" t="str">
        <f t="shared" si="650"/>
        <v>570100</v>
      </c>
      <c r="J4245" s="112" t="s">
        <v>84</v>
      </c>
      <c r="K4245" s="112" t="s">
        <v>84</v>
      </c>
      <c r="L4245" s="2">
        <v>0</v>
      </c>
      <c r="M4245" s="2" t="s">
        <v>84</v>
      </c>
      <c r="N4245" s="2" t="s">
        <v>84</v>
      </c>
      <c r="O4245" s="2" t="s">
        <v>841</v>
      </c>
      <c r="P4245" s="2" t="s">
        <v>3015</v>
      </c>
    </row>
    <row r="4246" spans="1:16" ht="22" customHeight="1" x14ac:dyDescent="0.15">
      <c r="A4246" s="10" t="str">
        <f t="shared" si="649"/>
        <v>570_10_26_6_polygon</v>
      </c>
      <c r="B4246" s="2">
        <v>570</v>
      </c>
      <c r="C4246" s="30" t="str">
        <f>VLOOKUP(B4246,gachas!A:C,3)</f>
        <v>Gスター攻略応援ガチャ</v>
      </c>
      <c r="D4246" s="21">
        <v>10</v>
      </c>
      <c r="E4246" s="2">
        <v>26</v>
      </c>
      <c r="F4246" s="2">
        <v>6</v>
      </c>
      <c r="G4246" s="3" t="s">
        <v>22</v>
      </c>
      <c r="H4246" s="2">
        <v>30</v>
      </c>
      <c r="I4246" s="114" t="str">
        <f t="shared" si="650"/>
        <v>570100</v>
      </c>
      <c r="J4246" s="112" t="s">
        <v>84</v>
      </c>
      <c r="K4246" s="112" t="s">
        <v>84</v>
      </c>
      <c r="L4246" s="2">
        <v>0</v>
      </c>
      <c r="M4246" s="2" t="s">
        <v>84</v>
      </c>
      <c r="N4246" s="2" t="s">
        <v>84</v>
      </c>
      <c r="O4246" s="2" t="s">
        <v>841</v>
      </c>
      <c r="P4246" s="2" t="s">
        <v>3016</v>
      </c>
    </row>
    <row r="4247" spans="1:16" ht="22" customHeight="1" x14ac:dyDescent="0.15">
      <c r="A4247" s="10" t="str">
        <f t="shared" si="649"/>
        <v>570_10_27_10_polygon</v>
      </c>
      <c r="B4247" s="2">
        <v>570</v>
      </c>
      <c r="C4247" s="30" t="str">
        <f>VLOOKUP(B4247,gachas!A:C,3)</f>
        <v>Gスター攻略応援ガチャ</v>
      </c>
      <c r="D4247" s="21">
        <v>10</v>
      </c>
      <c r="E4247" s="2">
        <v>27</v>
      </c>
      <c r="F4247" s="2">
        <v>10</v>
      </c>
      <c r="G4247" s="3" t="s">
        <v>22</v>
      </c>
      <c r="H4247" s="2">
        <v>50</v>
      </c>
      <c r="I4247" s="114" t="str">
        <f t="shared" si="650"/>
        <v>570100</v>
      </c>
      <c r="J4247" s="112" t="s">
        <v>84</v>
      </c>
      <c r="K4247" s="117" t="str">
        <f t="shared" ref="K4247" si="658">CONCATENATE(B4247,"103")</f>
        <v>570103</v>
      </c>
      <c r="L4247" s="2">
        <v>1</v>
      </c>
      <c r="M4247" s="2" t="s">
        <v>84</v>
      </c>
      <c r="N4247" s="2" t="s">
        <v>84</v>
      </c>
      <c r="O4247" s="2" t="s">
        <v>841</v>
      </c>
      <c r="P4247" s="2" t="s">
        <v>3018</v>
      </c>
    </row>
    <row r="4248" spans="1:16" ht="22" customHeight="1" x14ac:dyDescent="0.15">
      <c r="A4248" s="10" t="str">
        <f t="shared" si="649"/>
        <v>570_10_28_4_polygon</v>
      </c>
      <c r="B4248" s="2">
        <v>570</v>
      </c>
      <c r="C4248" s="30" t="str">
        <f>VLOOKUP(B4248,gachas!A:C,3)</f>
        <v>Gスター攻略応援ガチャ</v>
      </c>
      <c r="D4248" s="21">
        <v>10</v>
      </c>
      <c r="E4248" s="2">
        <v>28</v>
      </c>
      <c r="F4248" s="2">
        <v>4</v>
      </c>
      <c r="G4248" s="3" t="s">
        <v>22</v>
      </c>
      <c r="H4248" s="2">
        <v>20</v>
      </c>
      <c r="I4248" s="114" t="str">
        <f t="shared" si="650"/>
        <v>570100</v>
      </c>
      <c r="J4248" s="112" t="s">
        <v>84</v>
      </c>
      <c r="K4248" s="112" t="s">
        <v>84</v>
      </c>
      <c r="L4248" s="2">
        <v>0</v>
      </c>
      <c r="M4248" s="2" t="s">
        <v>84</v>
      </c>
      <c r="N4248" s="2" t="s">
        <v>84</v>
      </c>
      <c r="O4248" s="2" t="s">
        <v>841</v>
      </c>
      <c r="P4248" s="2" t="s">
        <v>3015</v>
      </c>
    </row>
    <row r="4249" spans="1:16" ht="22" customHeight="1" x14ac:dyDescent="0.15">
      <c r="A4249" s="10" t="str">
        <f t="shared" si="649"/>
        <v>570_10_29_6_polygon</v>
      </c>
      <c r="B4249" s="2">
        <v>570</v>
      </c>
      <c r="C4249" s="30" t="str">
        <f>VLOOKUP(B4249,gachas!A:C,3)</f>
        <v>Gスター攻略応援ガチャ</v>
      </c>
      <c r="D4249" s="21">
        <v>10</v>
      </c>
      <c r="E4249" s="2">
        <v>29</v>
      </c>
      <c r="F4249" s="2">
        <v>6</v>
      </c>
      <c r="G4249" s="3" t="s">
        <v>22</v>
      </c>
      <c r="H4249" s="2">
        <v>30</v>
      </c>
      <c r="I4249" s="114" t="str">
        <f t="shared" si="650"/>
        <v>570100</v>
      </c>
      <c r="J4249" s="112" t="s">
        <v>84</v>
      </c>
      <c r="K4249" s="112" t="s">
        <v>84</v>
      </c>
      <c r="L4249" s="2">
        <v>0</v>
      </c>
      <c r="M4249" s="2" t="s">
        <v>84</v>
      </c>
      <c r="N4249" s="2" t="s">
        <v>84</v>
      </c>
      <c r="O4249" s="2" t="s">
        <v>841</v>
      </c>
      <c r="P4249" s="2" t="s">
        <v>3016</v>
      </c>
    </row>
    <row r="4250" spans="1:16" ht="22" customHeight="1" x14ac:dyDescent="0.15">
      <c r="A4250" s="10" t="str">
        <f t="shared" si="649"/>
        <v>570_10_30_10_polygon</v>
      </c>
      <c r="B4250" s="2">
        <v>570</v>
      </c>
      <c r="C4250" s="30" t="str">
        <f>VLOOKUP(B4250,gachas!A:C,3)</f>
        <v>Gスター攻略応援ガチャ</v>
      </c>
      <c r="D4250" s="21">
        <v>10</v>
      </c>
      <c r="E4250" s="2">
        <v>30</v>
      </c>
      <c r="F4250" s="2">
        <v>10</v>
      </c>
      <c r="G4250" s="3" t="s">
        <v>22</v>
      </c>
      <c r="H4250" s="2">
        <v>50</v>
      </c>
      <c r="I4250" s="114" t="str">
        <f t="shared" si="650"/>
        <v>570100</v>
      </c>
      <c r="J4250" s="112" t="s">
        <v>84</v>
      </c>
      <c r="K4250" s="117" t="str">
        <f t="shared" ref="K4250" si="659">CONCATENATE(B4250,"103")</f>
        <v>570103</v>
      </c>
      <c r="L4250" s="2">
        <v>1</v>
      </c>
      <c r="M4250" s="2" t="s">
        <v>84</v>
      </c>
      <c r="N4250" s="2" t="s">
        <v>84</v>
      </c>
      <c r="O4250" s="2" t="s">
        <v>841</v>
      </c>
      <c r="P4250" s="2" t="s">
        <v>3018</v>
      </c>
    </row>
    <row r="4251" spans="1:16" ht="22" customHeight="1" x14ac:dyDescent="0.15">
      <c r="A4251" s="10" t="str">
        <f t="shared" si="649"/>
        <v>571_10_0_10_polygon</v>
      </c>
      <c r="B4251" s="2">
        <v>571</v>
      </c>
      <c r="C4251" s="30" t="str">
        <f>VLOOKUP(B4251,gachas!A:C,3)</f>
        <v>服部半蔵攻略応援ガチャ</v>
      </c>
      <c r="D4251" s="21">
        <v>10</v>
      </c>
      <c r="E4251" s="2">
        <v>0</v>
      </c>
      <c r="F4251" s="2">
        <v>10</v>
      </c>
      <c r="G4251" s="3" t="s">
        <v>22</v>
      </c>
      <c r="H4251" s="2">
        <v>50</v>
      </c>
      <c r="I4251" s="114" t="str">
        <f t="shared" si="650"/>
        <v>571100</v>
      </c>
      <c r="J4251" s="112" t="s">
        <v>84</v>
      </c>
      <c r="K4251" s="112" t="s">
        <v>84</v>
      </c>
      <c r="L4251" s="2">
        <v>0</v>
      </c>
      <c r="M4251" s="2" t="s">
        <v>84</v>
      </c>
      <c r="N4251" s="2" t="s">
        <v>84</v>
      </c>
      <c r="O4251" s="2" t="s">
        <v>841</v>
      </c>
      <c r="P4251" s="2" t="s">
        <v>2637</v>
      </c>
    </row>
    <row r="4252" spans="1:16" ht="22" customHeight="1" x14ac:dyDescent="0.15">
      <c r="A4252" s="10" t="str">
        <f t="shared" si="649"/>
        <v>571_10_1_4_polygon</v>
      </c>
      <c r="B4252" s="2">
        <v>571</v>
      </c>
      <c r="C4252" s="30" t="str">
        <f>VLOOKUP(B4252,gachas!A:C,3)</f>
        <v>服部半蔵攻略応援ガチャ</v>
      </c>
      <c r="D4252" s="21">
        <v>10</v>
      </c>
      <c r="E4252" s="2">
        <v>1</v>
      </c>
      <c r="F4252" s="2">
        <v>4</v>
      </c>
      <c r="G4252" s="3" t="s">
        <v>22</v>
      </c>
      <c r="H4252" s="2">
        <v>20</v>
      </c>
      <c r="I4252" s="114" t="str">
        <f t="shared" si="650"/>
        <v>571100</v>
      </c>
      <c r="J4252" s="112" t="s">
        <v>84</v>
      </c>
      <c r="K4252" s="112" t="s">
        <v>84</v>
      </c>
      <c r="L4252" s="2">
        <v>0</v>
      </c>
      <c r="M4252" s="2" t="s">
        <v>84</v>
      </c>
      <c r="N4252" s="2" t="s">
        <v>84</v>
      </c>
      <c r="O4252" s="2" t="s">
        <v>841</v>
      </c>
      <c r="P4252" s="2" t="s">
        <v>3015</v>
      </c>
    </row>
    <row r="4253" spans="1:16" ht="22" customHeight="1" x14ac:dyDescent="0.15">
      <c r="A4253" s="10" t="str">
        <f t="shared" si="649"/>
        <v>571_10_2_6_polygon</v>
      </c>
      <c r="B4253" s="2">
        <v>571</v>
      </c>
      <c r="C4253" s="30" t="str">
        <f>VLOOKUP(B4253,gachas!A:C,3)</f>
        <v>服部半蔵攻略応援ガチャ</v>
      </c>
      <c r="D4253" s="21">
        <v>10</v>
      </c>
      <c r="E4253" s="2">
        <v>2</v>
      </c>
      <c r="F4253" s="2">
        <v>6</v>
      </c>
      <c r="G4253" s="3" t="s">
        <v>22</v>
      </c>
      <c r="H4253" s="2">
        <v>30</v>
      </c>
      <c r="I4253" s="114" t="str">
        <f t="shared" si="650"/>
        <v>571100</v>
      </c>
      <c r="J4253" s="112" t="s">
        <v>84</v>
      </c>
      <c r="K4253" s="112" t="s">
        <v>84</v>
      </c>
      <c r="L4253" s="2">
        <v>0</v>
      </c>
      <c r="M4253" s="2" t="s">
        <v>84</v>
      </c>
      <c r="N4253" s="2" t="s">
        <v>84</v>
      </c>
      <c r="O4253" s="2" t="s">
        <v>841</v>
      </c>
      <c r="P4253" s="2" t="s">
        <v>3016</v>
      </c>
    </row>
    <row r="4254" spans="1:16" ht="22" customHeight="1" x14ac:dyDescent="0.15">
      <c r="A4254" s="10" t="str">
        <f t="shared" si="649"/>
        <v>571_10_3_10_polygon</v>
      </c>
      <c r="B4254" s="2">
        <v>571</v>
      </c>
      <c r="C4254" s="30" t="str">
        <f>VLOOKUP(B4254,gachas!A:C,3)</f>
        <v>服部半蔵攻略応援ガチャ</v>
      </c>
      <c r="D4254" s="21">
        <v>10</v>
      </c>
      <c r="E4254" s="2">
        <v>3</v>
      </c>
      <c r="F4254" s="2">
        <v>10</v>
      </c>
      <c r="G4254" s="3" t="s">
        <v>22</v>
      </c>
      <c r="H4254" s="2">
        <v>50</v>
      </c>
      <c r="I4254" s="114" t="str">
        <f t="shared" si="650"/>
        <v>571100</v>
      </c>
      <c r="J4254" s="112" t="s">
        <v>84</v>
      </c>
      <c r="K4254" s="117" t="str">
        <f>CONCATENATE(B4254,"103")</f>
        <v>571103</v>
      </c>
      <c r="L4254" s="2">
        <v>1</v>
      </c>
      <c r="M4254" s="2" t="s">
        <v>84</v>
      </c>
      <c r="N4254" s="2" t="s">
        <v>84</v>
      </c>
      <c r="O4254" s="2" t="s">
        <v>841</v>
      </c>
      <c r="P4254" s="2" t="s">
        <v>3019</v>
      </c>
    </row>
    <row r="4255" spans="1:16" ht="22" customHeight="1" x14ac:dyDescent="0.15">
      <c r="A4255" s="10" t="str">
        <f t="shared" ref="A4255:A4294" si="660">B4255&amp;"_"&amp;D4255&amp;"_"&amp;E4255&amp;"_"&amp;F4255&amp;"_"&amp;G4255</f>
        <v>571_10_4_4_polygon</v>
      </c>
      <c r="B4255" s="2">
        <v>571</v>
      </c>
      <c r="C4255" s="30" t="str">
        <f>VLOOKUP(B4255,gachas!A:C,3)</f>
        <v>服部半蔵攻略応援ガチャ</v>
      </c>
      <c r="D4255" s="21">
        <v>10</v>
      </c>
      <c r="E4255" s="2">
        <v>4</v>
      </c>
      <c r="F4255" s="2">
        <v>4</v>
      </c>
      <c r="G4255" s="3" t="s">
        <v>22</v>
      </c>
      <c r="H4255" s="2">
        <v>20</v>
      </c>
      <c r="I4255" s="114" t="str">
        <f t="shared" ref="I4255:I4281" si="661">CONCATENATE(B4255,IF(D4255=1,"01","10"),0)</f>
        <v>571100</v>
      </c>
      <c r="J4255" s="112" t="s">
        <v>84</v>
      </c>
      <c r="K4255" s="112" t="s">
        <v>84</v>
      </c>
      <c r="L4255" s="2">
        <v>0</v>
      </c>
      <c r="M4255" s="2" t="s">
        <v>84</v>
      </c>
      <c r="N4255" s="2" t="s">
        <v>84</v>
      </c>
      <c r="O4255" s="2" t="s">
        <v>841</v>
      </c>
      <c r="P4255" s="2" t="s">
        <v>3015</v>
      </c>
    </row>
    <row r="4256" spans="1:16" ht="22" customHeight="1" x14ac:dyDescent="0.15">
      <c r="A4256" s="10" t="str">
        <f t="shared" si="660"/>
        <v>571_10_5_6_polygon</v>
      </c>
      <c r="B4256" s="2">
        <v>571</v>
      </c>
      <c r="C4256" s="30" t="str">
        <f>VLOOKUP(B4256,gachas!A:C,3)</f>
        <v>服部半蔵攻略応援ガチャ</v>
      </c>
      <c r="D4256" s="21">
        <v>10</v>
      </c>
      <c r="E4256" s="2">
        <v>5</v>
      </c>
      <c r="F4256" s="2">
        <v>6</v>
      </c>
      <c r="G4256" s="3" t="s">
        <v>22</v>
      </c>
      <c r="H4256" s="2">
        <v>30</v>
      </c>
      <c r="I4256" s="114" t="str">
        <f t="shared" si="661"/>
        <v>571100</v>
      </c>
      <c r="J4256" s="112" t="s">
        <v>84</v>
      </c>
      <c r="K4256" s="112" t="s">
        <v>84</v>
      </c>
      <c r="L4256" s="2">
        <v>0</v>
      </c>
      <c r="M4256" s="2" t="s">
        <v>84</v>
      </c>
      <c r="N4256" s="2" t="s">
        <v>84</v>
      </c>
      <c r="O4256" s="2" t="s">
        <v>841</v>
      </c>
      <c r="P4256" s="2" t="s">
        <v>3016</v>
      </c>
    </row>
    <row r="4257" spans="1:16" ht="22" customHeight="1" x14ac:dyDescent="0.15">
      <c r="A4257" s="10" t="str">
        <f t="shared" si="660"/>
        <v>571_10_6_10_polygon</v>
      </c>
      <c r="B4257" s="2">
        <v>571</v>
      </c>
      <c r="C4257" s="30" t="str">
        <f>VLOOKUP(B4257,gachas!A:C,3)</f>
        <v>服部半蔵攻略応援ガチャ</v>
      </c>
      <c r="D4257" s="21">
        <v>10</v>
      </c>
      <c r="E4257" s="2">
        <v>6</v>
      </c>
      <c r="F4257" s="2">
        <v>10</v>
      </c>
      <c r="G4257" s="3" t="s">
        <v>22</v>
      </c>
      <c r="H4257" s="2">
        <v>50</v>
      </c>
      <c r="I4257" s="114" t="str">
        <f t="shared" si="661"/>
        <v>571100</v>
      </c>
      <c r="J4257" s="112" t="s">
        <v>84</v>
      </c>
      <c r="K4257" s="117" t="str">
        <f t="shared" ref="K4257" si="662">CONCATENATE(B4257,"103")</f>
        <v>571103</v>
      </c>
      <c r="L4257" s="2">
        <v>1</v>
      </c>
      <c r="M4257" s="2" t="s">
        <v>84</v>
      </c>
      <c r="N4257" s="2" t="s">
        <v>84</v>
      </c>
      <c r="O4257" s="2" t="s">
        <v>841</v>
      </c>
      <c r="P4257" s="2" t="s">
        <v>3019</v>
      </c>
    </row>
    <row r="4258" spans="1:16" ht="22" customHeight="1" x14ac:dyDescent="0.15">
      <c r="A4258" s="10" t="str">
        <f t="shared" si="660"/>
        <v>571_10_7_4_polygon</v>
      </c>
      <c r="B4258" s="2">
        <v>571</v>
      </c>
      <c r="C4258" s="30" t="str">
        <f>VLOOKUP(B4258,gachas!A:C,3)</f>
        <v>服部半蔵攻略応援ガチャ</v>
      </c>
      <c r="D4258" s="21">
        <v>10</v>
      </c>
      <c r="E4258" s="2">
        <v>7</v>
      </c>
      <c r="F4258" s="2">
        <v>4</v>
      </c>
      <c r="G4258" s="3" t="s">
        <v>22</v>
      </c>
      <c r="H4258" s="2">
        <v>20</v>
      </c>
      <c r="I4258" s="114" t="str">
        <f t="shared" si="661"/>
        <v>571100</v>
      </c>
      <c r="J4258" s="112" t="s">
        <v>84</v>
      </c>
      <c r="K4258" s="112" t="s">
        <v>84</v>
      </c>
      <c r="L4258" s="2">
        <v>0</v>
      </c>
      <c r="M4258" s="2" t="s">
        <v>84</v>
      </c>
      <c r="N4258" s="2" t="s">
        <v>84</v>
      </c>
      <c r="O4258" s="2" t="s">
        <v>841</v>
      </c>
      <c r="P4258" s="2" t="s">
        <v>3015</v>
      </c>
    </row>
    <row r="4259" spans="1:16" ht="22" customHeight="1" x14ac:dyDescent="0.15">
      <c r="A4259" s="10" t="str">
        <f t="shared" si="660"/>
        <v>571_10_8_6_polygon</v>
      </c>
      <c r="B4259" s="2">
        <v>571</v>
      </c>
      <c r="C4259" s="30" t="str">
        <f>VLOOKUP(B4259,gachas!A:C,3)</f>
        <v>服部半蔵攻略応援ガチャ</v>
      </c>
      <c r="D4259" s="21">
        <v>10</v>
      </c>
      <c r="E4259" s="2">
        <v>8</v>
      </c>
      <c r="F4259" s="2">
        <v>6</v>
      </c>
      <c r="G4259" s="3" t="s">
        <v>22</v>
      </c>
      <c r="H4259" s="2">
        <v>30</v>
      </c>
      <c r="I4259" s="114" t="str">
        <f t="shared" si="661"/>
        <v>571100</v>
      </c>
      <c r="J4259" s="112" t="s">
        <v>84</v>
      </c>
      <c r="K4259" s="112" t="s">
        <v>84</v>
      </c>
      <c r="L4259" s="2">
        <v>0</v>
      </c>
      <c r="M4259" s="2" t="s">
        <v>84</v>
      </c>
      <c r="N4259" s="2" t="s">
        <v>84</v>
      </c>
      <c r="O4259" s="2" t="s">
        <v>841</v>
      </c>
      <c r="P4259" s="2" t="s">
        <v>3016</v>
      </c>
    </row>
    <row r="4260" spans="1:16" ht="22" customHeight="1" x14ac:dyDescent="0.15">
      <c r="A4260" s="10" t="str">
        <f t="shared" si="660"/>
        <v>571_10_9_10_polygon</v>
      </c>
      <c r="B4260" s="2">
        <v>571</v>
      </c>
      <c r="C4260" s="30" t="str">
        <f>VLOOKUP(B4260,gachas!A:C,3)</f>
        <v>服部半蔵攻略応援ガチャ</v>
      </c>
      <c r="D4260" s="21">
        <v>10</v>
      </c>
      <c r="E4260" s="2">
        <v>9</v>
      </c>
      <c r="F4260" s="2">
        <v>10</v>
      </c>
      <c r="G4260" s="3" t="s">
        <v>22</v>
      </c>
      <c r="H4260" s="2">
        <v>50</v>
      </c>
      <c r="I4260" s="114" t="str">
        <f t="shared" si="661"/>
        <v>571100</v>
      </c>
      <c r="J4260" s="112" t="s">
        <v>84</v>
      </c>
      <c r="K4260" s="117" t="str">
        <f t="shared" ref="K4260" si="663">CONCATENATE(B4260,"103")</f>
        <v>571103</v>
      </c>
      <c r="L4260" s="2">
        <v>1</v>
      </c>
      <c r="M4260" s="2" t="s">
        <v>84</v>
      </c>
      <c r="N4260" s="2" t="s">
        <v>84</v>
      </c>
      <c r="O4260" s="2" t="s">
        <v>841</v>
      </c>
      <c r="P4260" s="2" t="s">
        <v>3019</v>
      </c>
    </row>
    <row r="4261" spans="1:16" ht="22" customHeight="1" x14ac:dyDescent="0.15">
      <c r="A4261" s="10" t="str">
        <f t="shared" si="660"/>
        <v>571_10_10_4_polygon</v>
      </c>
      <c r="B4261" s="2">
        <v>571</v>
      </c>
      <c r="C4261" s="30" t="str">
        <f>VLOOKUP(B4261,gachas!A:C,3)</f>
        <v>服部半蔵攻略応援ガチャ</v>
      </c>
      <c r="D4261" s="21">
        <v>10</v>
      </c>
      <c r="E4261" s="2">
        <v>10</v>
      </c>
      <c r="F4261" s="2">
        <v>4</v>
      </c>
      <c r="G4261" s="3" t="s">
        <v>22</v>
      </c>
      <c r="H4261" s="2">
        <v>20</v>
      </c>
      <c r="I4261" s="114" t="str">
        <f t="shared" si="661"/>
        <v>571100</v>
      </c>
      <c r="J4261" s="112" t="s">
        <v>84</v>
      </c>
      <c r="K4261" s="112" t="s">
        <v>84</v>
      </c>
      <c r="L4261" s="2">
        <v>0</v>
      </c>
      <c r="M4261" s="2" t="s">
        <v>84</v>
      </c>
      <c r="N4261" s="2" t="s">
        <v>84</v>
      </c>
      <c r="O4261" s="2" t="s">
        <v>841</v>
      </c>
      <c r="P4261" s="2" t="s">
        <v>3015</v>
      </c>
    </row>
    <row r="4262" spans="1:16" ht="22" customHeight="1" x14ac:dyDescent="0.15">
      <c r="A4262" s="10" t="str">
        <f t="shared" si="660"/>
        <v>571_10_11_6_polygon</v>
      </c>
      <c r="B4262" s="2">
        <v>571</v>
      </c>
      <c r="C4262" s="30" t="str">
        <f>VLOOKUP(B4262,gachas!A:C,3)</f>
        <v>服部半蔵攻略応援ガチャ</v>
      </c>
      <c r="D4262" s="21">
        <v>10</v>
      </c>
      <c r="E4262" s="2">
        <v>11</v>
      </c>
      <c r="F4262" s="2">
        <v>6</v>
      </c>
      <c r="G4262" s="3" t="s">
        <v>22</v>
      </c>
      <c r="H4262" s="2">
        <v>30</v>
      </c>
      <c r="I4262" s="114" t="str">
        <f t="shared" si="661"/>
        <v>571100</v>
      </c>
      <c r="J4262" s="112" t="s">
        <v>84</v>
      </c>
      <c r="K4262" s="112" t="s">
        <v>84</v>
      </c>
      <c r="L4262" s="2">
        <v>0</v>
      </c>
      <c r="M4262" s="2" t="s">
        <v>84</v>
      </c>
      <c r="N4262" s="2" t="s">
        <v>84</v>
      </c>
      <c r="O4262" s="2" t="s">
        <v>841</v>
      </c>
      <c r="P4262" s="2" t="s">
        <v>3016</v>
      </c>
    </row>
    <row r="4263" spans="1:16" ht="22" customHeight="1" x14ac:dyDescent="0.15">
      <c r="A4263" s="10" t="str">
        <f t="shared" si="660"/>
        <v>571_10_12_10_polygon</v>
      </c>
      <c r="B4263" s="2">
        <v>571</v>
      </c>
      <c r="C4263" s="30" t="str">
        <f>VLOOKUP(B4263,gachas!A:C,3)</f>
        <v>服部半蔵攻略応援ガチャ</v>
      </c>
      <c r="D4263" s="21">
        <v>10</v>
      </c>
      <c r="E4263" s="2">
        <v>12</v>
      </c>
      <c r="F4263" s="2">
        <v>10</v>
      </c>
      <c r="G4263" s="3" t="s">
        <v>22</v>
      </c>
      <c r="H4263" s="2">
        <v>50</v>
      </c>
      <c r="I4263" s="114" t="str">
        <f t="shared" si="661"/>
        <v>571100</v>
      </c>
      <c r="J4263" s="112" t="s">
        <v>84</v>
      </c>
      <c r="K4263" s="117" t="str">
        <f t="shared" ref="K4263" si="664">CONCATENATE(B4263,"103")</f>
        <v>571103</v>
      </c>
      <c r="L4263" s="2">
        <v>1</v>
      </c>
      <c r="M4263" s="2" t="s">
        <v>84</v>
      </c>
      <c r="N4263" s="2" t="s">
        <v>84</v>
      </c>
      <c r="O4263" s="2" t="s">
        <v>841</v>
      </c>
      <c r="P4263" s="2" t="s">
        <v>3019</v>
      </c>
    </row>
    <row r="4264" spans="1:16" ht="22" customHeight="1" x14ac:dyDescent="0.15">
      <c r="A4264" s="10" t="str">
        <f t="shared" si="660"/>
        <v>571_10_13_4_polygon</v>
      </c>
      <c r="B4264" s="2">
        <v>571</v>
      </c>
      <c r="C4264" s="30" t="str">
        <f>VLOOKUP(B4264,gachas!A:C,3)</f>
        <v>服部半蔵攻略応援ガチャ</v>
      </c>
      <c r="D4264" s="21">
        <v>10</v>
      </c>
      <c r="E4264" s="2">
        <v>13</v>
      </c>
      <c r="F4264" s="2">
        <v>4</v>
      </c>
      <c r="G4264" s="3" t="s">
        <v>22</v>
      </c>
      <c r="H4264" s="2">
        <v>20</v>
      </c>
      <c r="I4264" s="114" t="str">
        <f t="shared" si="661"/>
        <v>571100</v>
      </c>
      <c r="J4264" s="112" t="s">
        <v>84</v>
      </c>
      <c r="K4264" s="112" t="s">
        <v>84</v>
      </c>
      <c r="L4264" s="2">
        <v>0</v>
      </c>
      <c r="M4264" s="2" t="s">
        <v>84</v>
      </c>
      <c r="N4264" s="2" t="s">
        <v>84</v>
      </c>
      <c r="O4264" s="2" t="s">
        <v>841</v>
      </c>
      <c r="P4264" s="2" t="s">
        <v>3015</v>
      </c>
    </row>
    <row r="4265" spans="1:16" ht="22" customHeight="1" x14ac:dyDescent="0.15">
      <c r="A4265" s="10" t="str">
        <f t="shared" si="660"/>
        <v>571_10_14_6_polygon</v>
      </c>
      <c r="B4265" s="2">
        <v>571</v>
      </c>
      <c r="C4265" s="30" t="str">
        <f>VLOOKUP(B4265,gachas!A:C,3)</f>
        <v>服部半蔵攻略応援ガチャ</v>
      </c>
      <c r="D4265" s="21">
        <v>10</v>
      </c>
      <c r="E4265" s="2">
        <v>14</v>
      </c>
      <c r="F4265" s="2">
        <v>6</v>
      </c>
      <c r="G4265" s="3" t="s">
        <v>22</v>
      </c>
      <c r="H4265" s="2">
        <v>30</v>
      </c>
      <c r="I4265" s="114" t="str">
        <f t="shared" si="661"/>
        <v>571100</v>
      </c>
      <c r="J4265" s="112" t="s">
        <v>84</v>
      </c>
      <c r="K4265" s="112" t="s">
        <v>84</v>
      </c>
      <c r="L4265" s="2">
        <v>0</v>
      </c>
      <c r="M4265" s="2" t="s">
        <v>84</v>
      </c>
      <c r="N4265" s="2" t="s">
        <v>84</v>
      </c>
      <c r="O4265" s="2" t="s">
        <v>841</v>
      </c>
      <c r="P4265" s="2" t="s">
        <v>3016</v>
      </c>
    </row>
    <row r="4266" spans="1:16" ht="22" customHeight="1" x14ac:dyDescent="0.15">
      <c r="A4266" s="10" t="str">
        <f t="shared" si="660"/>
        <v>571_10_15_10_polygon</v>
      </c>
      <c r="B4266" s="2">
        <v>571</v>
      </c>
      <c r="C4266" s="30" t="str">
        <f>VLOOKUP(B4266,gachas!A:C,3)</f>
        <v>服部半蔵攻略応援ガチャ</v>
      </c>
      <c r="D4266" s="21">
        <v>10</v>
      </c>
      <c r="E4266" s="2">
        <v>15</v>
      </c>
      <c r="F4266" s="2">
        <v>10</v>
      </c>
      <c r="G4266" s="3" t="s">
        <v>22</v>
      </c>
      <c r="H4266" s="2">
        <v>50</v>
      </c>
      <c r="I4266" s="114" t="str">
        <f t="shared" si="661"/>
        <v>571100</v>
      </c>
      <c r="J4266" s="112" t="s">
        <v>84</v>
      </c>
      <c r="K4266" s="117" t="str">
        <f t="shared" ref="K4266" si="665">CONCATENATE(B4266,"103")</f>
        <v>571103</v>
      </c>
      <c r="L4266" s="2">
        <v>1</v>
      </c>
      <c r="M4266" s="2" t="s">
        <v>84</v>
      </c>
      <c r="N4266" s="2" t="s">
        <v>84</v>
      </c>
      <c r="O4266" s="2" t="s">
        <v>841</v>
      </c>
      <c r="P4266" s="2" t="s">
        <v>3019</v>
      </c>
    </row>
    <row r="4267" spans="1:16" ht="22" customHeight="1" x14ac:dyDescent="0.15">
      <c r="A4267" s="10" t="str">
        <f t="shared" si="660"/>
        <v>571_10_16_4_polygon</v>
      </c>
      <c r="B4267" s="2">
        <v>571</v>
      </c>
      <c r="C4267" s="30" t="str">
        <f>VLOOKUP(B4267,gachas!A:C,3)</f>
        <v>服部半蔵攻略応援ガチャ</v>
      </c>
      <c r="D4267" s="21">
        <v>10</v>
      </c>
      <c r="E4267" s="2">
        <v>16</v>
      </c>
      <c r="F4267" s="2">
        <v>4</v>
      </c>
      <c r="G4267" s="3" t="s">
        <v>22</v>
      </c>
      <c r="H4267" s="2">
        <v>20</v>
      </c>
      <c r="I4267" s="114" t="str">
        <f t="shared" si="661"/>
        <v>571100</v>
      </c>
      <c r="J4267" s="112" t="s">
        <v>84</v>
      </c>
      <c r="K4267" s="112" t="s">
        <v>84</v>
      </c>
      <c r="L4267" s="2">
        <v>0</v>
      </c>
      <c r="M4267" s="2" t="s">
        <v>84</v>
      </c>
      <c r="N4267" s="2" t="s">
        <v>84</v>
      </c>
      <c r="O4267" s="2" t="s">
        <v>841</v>
      </c>
      <c r="P4267" s="2" t="s">
        <v>3015</v>
      </c>
    </row>
    <row r="4268" spans="1:16" ht="22" customHeight="1" x14ac:dyDescent="0.15">
      <c r="A4268" s="10" t="str">
        <f t="shared" si="660"/>
        <v>571_10_17_6_polygon</v>
      </c>
      <c r="B4268" s="2">
        <v>571</v>
      </c>
      <c r="C4268" s="30" t="str">
        <f>VLOOKUP(B4268,gachas!A:C,3)</f>
        <v>服部半蔵攻略応援ガチャ</v>
      </c>
      <c r="D4268" s="21">
        <v>10</v>
      </c>
      <c r="E4268" s="2">
        <v>17</v>
      </c>
      <c r="F4268" s="2">
        <v>6</v>
      </c>
      <c r="G4268" s="3" t="s">
        <v>22</v>
      </c>
      <c r="H4268" s="2">
        <v>30</v>
      </c>
      <c r="I4268" s="114" t="str">
        <f t="shared" si="661"/>
        <v>571100</v>
      </c>
      <c r="J4268" s="112" t="s">
        <v>84</v>
      </c>
      <c r="K4268" s="112" t="s">
        <v>84</v>
      </c>
      <c r="L4268" s="2">
        <v>0</v>
      </c>
      <c r="M4268" s="2" t="s">
        <v>84</v>
      </c>
      <c r="N4268" s="2" t="s">
        <v>84</v>
      </c>
      <c r="O4268" s="2" t="s">
        <v>841</v>
      </c>
      <c r="P4268" s="2" t="s">
        <v>3016</v>
      </c>
    </row>
    <row r="4269" spans="1:16" ht="22" customHeight="1" x14ac:dyDescent="0.15">
      <c r="A4269" s="10" t="str">
        <f t="shared" si="660"/>
        <v>571_10_18_10_polygon</v>
      </c>
      <c r="B4269" s="2">
        <v>571</v>
      </c>
      <c r="C4269" s="30" t="str">
        <f>VLOOKUP(B4269,gachas!A:C,3)</f>
        <v>服部半蔵攻略応援ガチャ</v>
      </c>
      <c r="D4269" s="21">
        <v>10</v>
      </c>
      <c r="E4269" s="2">
        <v>18</v>
      </c>
      <c r="F4269" s="2">
        <v>10</v>
      </c>
      <c r="G4269" s="3" t="s">
        <v>22</v>
      </c>
      <c r="H4269" s="2">
        <v>50</v>
      </c>
      <c r="I4269" s="114" t="str">
        <f t="shared" si="661"/>
        <v>571100</v>
      </c>
      <c r="J4269" s="112" t="s">
        <v>84</v>
      </c>
      <c r="K4269" s="117" t="str">
        <f t="shared" ref="K4269" si="666">CONCATENATE(B4269,"103")</f>
        <v>571103</v>
      </c>
      <c r="L4269" s="2">
        <v>1</v>
      </c>
      <c r="M4269" s="2" t="s">
        <v>84</v>
      </c>
      <c r="N4269" s="2" t="s">
        <v>84</v>
      </c>
      <c r="O4269" s="2" t="s">
        <v>841</v>
      </c>
      <c r="P4269" s="2" t="s">
        <v>3019</v>
      </c>
    </row>
    <row r="4270" spans="1:16" ht="22" customHeight="1" x14ac:dyDescent="0.15">
      <c r="A4270" s="10" t="str">
        <f t="shared" si="660"/>
        <v>571_10_19_4_polygon</v>
      </c>
      <c r="B4270" s="2">
        <v>571</v>
      </c>
      <c r="C4270" s="30" t="str">
        <f>VLOOKUP(B4270,gachas!A:C,3)</f>
        <v>服部半蔵攻略応援ガチャ</v>
      </c>
      <c r="D4270" s="21">
        <v>10</v>
      </c>
      <c r="E4270" s="2">
        <v>19</v>
      </c>
      <c r="F4270" s="2">
        <v>4</v>
      </c>
      <c r="G4270" s="3" t="s">
        <v>22</v>
      </c>
      <c r="H4270" s="2">
        <v>20</v>
      </c>
      <c r="I4270" s="114" t="str">
        <f t="shared" si="661"/>
        <v>571100</v>
      </c>
      <c r="J4270" s="112" t="s">
        <v>84</v>
      </c>
      <c r="K4270" s="112" t="s">
        <v>84</v>
      </c>
      <c r="L4270" s="2">
        <v>0</v>
      </c>
      <c r="M4270" s="2" t="s">
        <v>84</v>
      </c>
      <c r="N4270" s="2" t="s">
        <v>84</v>
      </c>
      <c r="O4270" s="2" t="s">
        <v>841</v>
      </c>
      <c r="P4270" s="2" t="s">
        <v>3015</v>
      </c>
    </row>
    <row r="4271" spans="1:16" ht="22" customHeight="1" x14ac:dyDescent="0.15">
      <c r="A4271" s="10" t="str">
        <f t="shared" si="660"/>
        <v>571_10_20_6_polygon</v>
      </c>
      <c r="B4271" s="2">
        <v>571</v>
      </c>
      <c r="C4271" s="30" t="str">
        <f>VLOOKUP(B4271,gachas!A:C,3)</f>
        <v>服部半蔵攻略応援ガチャ</v>
      </c>
      <c r="D4271" s="21">
        <v>10</v>
      </c>
      <c r="E4271" s="2">
        <v>20</v>
      </c>
      <c r="F4271" s="2">
        <v>6</v>
      </c>
      <c r="G4271" s="3" t="s">
        <v>22</v>
      </c>
      <c r="H4271" s="2">
        <v>30</v>
      </c>
      <c r="I4271" s="114" t="str">
        <f t="shared" si="661"/>
        <v>571100</v>
      </c>
      <c r="J4271" s="112" t="s">
        <v>84</v>
      </c>
      <c r="K4271" s="112" t="s">
        <v>84</v>
      </c>
      <c r="L4271" s="2">
        <v>0</v>
      </c>
      <c r="M4271" s="2" t="s">
        <v>84</v>
      </c>
      <c r="N4271" s="2" t="s">
        <v>84</v>
      </c>
      <c r="O4271" s="2" t="s">
        <v>841</v>
      </c>
      <c r="P4271" s="2" t="s">
        <v>3016</v>
      </c>
    </row>
    <row r="4272" spans="1:16" ht="22" customHeight="1" x14ac:dyDescent="0.15">
      <c r="A4272" s="10" t="str">
        <f t="shared" si="660"/>
        <v>571_10_21_10_polygon</v>
      </c>
      <c r="B4272" s="2">
        <v>571</v>
      </c>
      <c r="C4272" s="30" t="str">
        <f>VLOOKUP(B4272,gachas!A:C,3)</f>
        <v>服部半蔵攻略応援ガチャ</v>
      </c>
      <c r="D4272" s="21">
        <v>10</v>
      </c>
      <c r="E4272" s="2">
        <v>21</v>
      </c>
      <c r="F4272" s="2">
        <v>10</v>
      </c>
      <c r="G4272" s="3" t="s">
        <v>22</v>
      </c>
      <c r="H4272" s="2">
        <v>50</v>
      </c>
      <c r="I4272" s="114" t="str">
        <f t="shared" si="661"/>
        <v>571100</v>
      </c>
      <c r="J4272" s="112" t="s">
        <v>84</v>
      </c>
      <c r="K4272" s="117" t="str">
        <f t="shared" ref="K4272" si="667">CONCATENATE(B4272,"103")</f>
        <v>571103</v>
      </c>
      <c r="L4272" s="2">
        <v>1</v>
      </c>
      <c r="M4272" s="2" t="s">
        <v>84</v>
      </c>
      <c r="N4272" s="2" t="s">
        <v>84</v>
      </c>
      <c r="O4272" s="2" t="s">
        <v>841</v>
      </c>
      <c r="P4272" s="2" t="s">
        <v>3019</v>
      </c>
    </row>
    <row r="4273" spans="1:16" ht="22" customHeight="1" x14ac:dyDescent="0.15">
      <c r="A4273" s="10" t="str">
        <f t="shared" si="660"/>
        <v>571_10_22_4_polygon</v>
      </c>
      <c r="B4273" s="2">
        <v>571</v>
      </c>
      <c r="C4273" s="30" t="str">
        <f>VLOOKUP(B4273,gachas!A:C,3)</f>
        <v>服部半蔵攻略応援ガチャ</v>
      </c>
      <c r="D4273" s="21">
        <v>10</v>
      </c>
      <c r="E4273" s="2">
        <v>22</v>
      </c>
      <c r="F4273" s="2">
        <v>4</v>
      </c>
      <c r="G4273" s="3" t="s">
        <v>22</v>
      </c>
      <c r="H4273" s="2">
        <v>20</v>
      </c>
      <c r="I4273" s="114" t="str">
        <f t="shared" si="661"/>
        <v>571100</v>
      </c>
      <c r="J4273" s="112" t="s">
        <v>84</v>
      </c>
      <c r="K4273" s="112" t="s">
        <v>84</v>
      </c>
      <c r="L4273" s="2">
        <v>0</v>
      </c>
      <c r="M4273" s="2" t="s">
        <v>84</v>
      </c>
      <c r="N4273" s="2" t="s">
        <v>84</v>
      </c>
      <c r="O4273" s="2" t="s">
        <v>841</v>
      </c>
      <c r="P4273" s="2" t="s">
        <v>3015</v>
      </c>
    </row>
    <row r="4274" spans="1:16" ht="22" customHeight="1" x14ac:dyDescent="0.15">
      <c r="A4274" s="10" t="str">
        <f t="shared" si="660"/>
        <v>571_10_23_6_polygon</v>
      </c>
      <c r="B4274" s="2">
        <v>571</v>
      </c>
      <c r="C4274" s="30" t="str">
        <f>VLOOKUP(B4274,gachas!A:C,3)</f>
        <v>服部半蔵攻略応援ガチャ</v>
      </c>
      <c r="D4274" s="21">
        <v>10</v>
      </c>
      <c r="E4274" s="2">
        <v>23</v>
      </c>
      <c r="F4274" s="2">
        <v>6</v>
      </c>
      <c r="G4274" s="3" t="s">
        <v>22</v>
      </c>
      <c r="H4274" s="2">
        <v>30</v>
      </c>
      <c r="I4274" s="114" t="str">
        <f t="shared" si="661"/>
        <v>571100</v>
      </c>
      <c r="J4274" s="112" t="s">
        <v>84</v>
      </c>
      <c r="K4274" s="112" t="s">
        <v>84</v>
      </c>
      <c r="L4274" s="2">
        <v>0</v>
      </c>
      <c r="M4274" s="2" t="s">
        <v>84</v>
      </c>
      <c r="N4274" s="2" t="s">
        <v>84</v>
      </c>
      <c r="O4274" s="2" t="s">
        <v>841</v>
      </c>
      <c r="P4274" s="2" t="s">
        <v>3016</v>
      </c>
    </row>
    <row r="4275" spans="1:16" ht="22" customHeight="1" x14ac:dyDescent="0.15">
      <c r="A4275" s="10" t="str">
        <f t="shared" si="660"/>
        <v>571_10_24_10_polygon</v>
      </c>
      <c r="B4275" s="2">
        <v>571</v>
      </c>
      <c r="C4275" s="30" t="str">
        <f>VLOOKUP(B4275,gachas!A:C,3)</f>
        <v>服部半蔵攻略応援ガチャ</v>
      </c>
      <c r="D4275" s="21">
        <v>10</v>
      </c>
      <c r="E4275" s="2">
        <v>24</v>
      </c>
      <c r="F4275" s="2">
        <v>10</v>
      </c>
      <c r="G4275" s="3" t="s">
        <v>22</v>
      </c>
      <c r="H4275" s="2">
        <v>50</v>
      </c>
      <c r="I4275" s="114" t="str">
        <f t="shared" si="661"/>
        <v>571100</v>
      </c>
      <c r="J4275" s="112" t="s">
        <v>84</v>
      </c>
      <c r="K4275" s="117" t="str">
        <f t="shared" ref="K4275" si="668">CONCATENATE(B4275,"103")</f>
        <v>571103</v>
      </c>
      <c r="L4275" s="2">
        <v>1</v>
      </c>
      <c r="M4275" s="2" t="s">
        <v>84</v>
      </c>
      <c r="N4275" s="2" t="s">
        <v>84</v>
      </c>
      <c r="O4275" s="2" t="s">
        <v>841</v>
      </c>
      <c r="P4275" s="2" t="s">
        <v>3019</v>
      </c>
    </row>
    <row r="4276" spans="1:16" ht="22" customHeight="1" x14ac:dyDescent="0.15">
      <c r="A4276" s="10" t="str">
        <f t="shared" si="660"/>
        <v>571_10_25_4_polygon</v>
      </c>
      <c r="B4276" s="2">
        <v>571</v>
      </c>
      <c r="C4276" s="30" t="str">
        <f>VLOOKUP(B4276,gachas!A:C,3)</f>
        <v>服部半蔵攻略応援ガチャ</v>
      </c>
      <c r="D4276" s="21">
        <v>10</v>
      </c>
      <c r="E4276" s="2">
        <v>25</v>
      </c>
      <c r="F4276" s="2">
        <v>4</v>
      </c>
      <c r="G4276" s="3" t="s">
        <v>22</v>
      </c>
      <c r="H4276" s="2">
        <v>20</v>
      </c>
      <c r="I4276" s="114" t="str">
        <f t="shared" si="661"/>
        <v>571100</v>
      </c>
      <c r="J4276" s="112" t="s">
        <v>84</v>
      </c>
      <c r="K4276" s="112" t="s">
        <v>84</v>
      </c>
      <c r="L4276" s="2">
        <v>0</v>
      </c>
      <c r="M4276" s="2" t="s">
        <v>84</v>
      </c>
      <c r="N4276" s="2" t="s">
        <v>84</v>
      </c>
      <c r="O4276" s="2" t="s">
        <v>841</v>
      </c>
      <c r="P4276" s="2" t="s">
        <v>3015</v>
      </c>
    </row>
    <row r="4277" spans="1:16" ht="22" customHeight="1" x14ac:dyDescent="0.15">
      <c r="A4277" s="10" t="str">
        <f t="shared" si="660"/>
        <v>571_10_26_6_polygon</v>
      </c>
      <c r="B4277" s="2">
        <v>571</v>
      </c>
      <c r="C4277" s="30" t="str">
        <f>VLOOKUP(B4277,gachas!A:C,3)</f>
        <v>服部半蔵攻略応援ガチャ</v>
      </c>
      <c r="D4277" s="21">
        <v>10</v>
      </c>
      <c r="E4277" s="2">
        <v>26</v>
      </c>
      <c r="F4277" s="2">
        <v>6</v>
      </c>
      <c r="G4277" s="3" t="s">
        <v>22</v>
      </c>
      <c r="H4277" s="2">
        <v>30</v>
      </c>
      <c r="I4277" s="114" t="str">
        <f t="shared" si="661"/>
        <v>571100</v>
      </c>
      <c r="J4277" s="112" t="s">
        <v>84</v>
      </c>
      <c r="K4277" s="112" t="s">
        <v>84</v>
      </c>
      <c r="L4277" s="2">
        <v>0</v>
      </c>
      <c r="M4277" s="2" t="s">
        <v>84</v>
      </c>
      <c r="N4277" s="2" t="s">
        <v>84</v>
      </c>
      <c r="O4277" s="2" t="s">
        <v>841</v>
      </c>
      <c r="P4277" s="2" t="s">
        <v>3016</v>
      </c>
    </row>
    <row r="4278" spans="1:16" ht="22" customHeight="1" x14ac:dyDescent="0.15">
      <c r="A4278" s="10" t="str">
        <f t="shared" si="660"/>
        <v>571_10_27_10_polygon</v>
      </c>
      <c r="B4278" s="2">
        <v>571</v>
      </c>
      <c r="C4278" s="30" t="str">
        <f>VLOOKUP(B4278,gachas!A:C,3)</f>
        <v>服部半蔵攻略応援ガチャ</v>
      </c>
      <c r="D4278" s="21">
        <v>10</v>
      </c>
      <c r="E4278" s="2">
        <v>27</v>
      </c>
      <c r="F4278" s="2">
        <v>10</v>
      </c>
      <c r="G4278" s="3" t="s">
        <v>22</v>
      </c>
      <c r="H4278" s="2">
        <v>50</v>
      </c>
      <c r="I4278" s="114" t="str">
        <f t="shared" si="661"/>
        <v>571100</v>
      </c>
      <c r="J4278" s="112" t="s">
        <v>84</v>
      </c>
      <c r="K4278" s="117" t="str">
        <f t="shared" ref="K4278" si="669">CONCATENATE(B4278,"103")</f>
        <v>571103</v>
      </c>
      <c r="L4278" s="2">
        <v>1</v>
      </c>
      <c r="M4278" s="2" t="s">
        <v>84</v>
      </c>
      <c r="N4278" s="2" t="s">
        <v>84</v>
      </c>
      <c r="O4278" s="2" t="s">
        <v>841</v>
      </c>
      <c r="P4278" s="2" t="s">
        <v>3019</v>
      </c>
    </row>
    <row r="4279" spans="1:16" ht="22" customHeight="1" x14ac:dyDescent="0.15">
      <c r="A4279" s="10" t="str">
        <f t="shared" si="660"/>
        <v>571_10_28_4_polygon</v>
      </c>
      <c r="B4279" s="2">
        <v>571</v>
      </c>
      <c r="C4279" s="30" t="str">
        <f>VLOOKUP(B4279,gachas!A:C,3)</f>
        <v>服部半蔵攻略応援ガチャ</v>
      </c>
      <c r="D4279" s="21">
        <v>10</v>
      </c>
      <c r="E4279" s="2">
        <v>28</v>
      </c>
      <c r="F4279" s="2">
        <v>4</v>
      </c>
      <c r="G4279" s="3" t="s">
        <v>22</v>
      </c>
      <c r="H4279" s="2">
        <v>20</v>
      </c>
      <c r="I4279" s="114" t="str">
        <f t="shared" si="661"/>
        <v>571100</v>
      </c>
      <c r="J4279" s="112" t="s">
        <v>84</v>
      </c>
      <c r="K4279" s="112" t="s">
        <v>84</v>
      </c>
      <c r="L4279" s="2">
        <v>0</v>
      </c>
      <c r="M4279" s="2" t="s">
        <v>84</v>
      </c>
      <c r="N4279" s="2" t="s">
        <v>84</v>
      </c>
      <c r="O4279" s="2" t="s">
        <v>841</v>
      </c>
      <c r="P4279" s="2" t="s">
        <v>3015</v>
      </c>
    </row>
    <row r="4280" spans="1:16" ht="22" customHeight="1" x14ac:dyDescent="0.15">
      <c r="A4280" s="10" t="str">
        <f t="shared" si="660"/>
        <v>571_10_29_6_polygon</v>
      </c>
      <c r="B4280" s="2">
        <v>571</v>
      </c>
      <c r="C4280" s="30" t="str">
        <f>VLOOKUP(B4280,gachas!A:C,3)</f>
        <v>服部半蔵攻略応援ガチャ</v>
      </c>
      <c r="D4280" s="21">
        <v>10</v>
      </c>
      <c r="E4280" s="2">
        <v>29</v>
      </c>
      <c r="F4280" s="2">
        <v>6</v>
      </c>
      <c r="G4280" s="3" t="s">
        <v>22</v>
      </c>
      <c r="H4280" s="2">
        <v>30</v>
      </c>
      <c r="I4280" s="114" t="str">
        <f t="shared" si="661"/>
        <v>571100</v>
      </c>
      <c r="J4280" s="112" t="s">
        <v>84</v>
      </c>
      <c r="K4280" s="112" t="s">
        <v>84</v>
      </c>
      <c r="L4280" s="2">
        <v>0</v>
      </c>
      <c r="M4280" s="2" t="s">
        <v>84</v>
      </c>
      <c r="N4280" s="2" t="s">
        <v>84</v>
      </c>
      <c r="O4280" s="2" t="s">
        <v>841</v>
      </c>
      <c r="P4280" s="2" t="s">
        <v>3016</v>
      </c>
    </row>
    <row r="4281" spans="1:16" ht="22" customHeight="1" x14ac:dyDescent="0.15">
      <c r="A4281" s="10" t="str">
        <f t="shared" si="660"/>
        <v>571_10_30_10_polygon</v>
      </c>
      <c r="B4281" s="2">
        <v>571</v>
      </c>
      <c r="C4281" s="30" t="str">
        <f>VLOOKUP(B4281,gachas!A:C,3)</f>
        <v>服部半蔵攻略応援ガチャ</v>
      </c>
      <c r="D4281" s="21">
        <v>10</v>
      </c>
      <c r="E4281" s="2">
        <v>30</v>
      </c>
      <c r="F4281" s="2">
        <v>10</v>
      </c>
      <c r="G4281" s="3" t="s">
        <v>22</v>
      </c>
      <c r="H4281" s="2">
        <v>50</v>
      </c>
      <c r="I4281" s="114" t="str">
        <f t="shared" si="661"/>
        <v>571100</v>
      </c>
      <c r="J4281" s="112" t="s">
        <v>84</v>
      </c>
      <c r="K4281" s="117" t="str">
        <f t="shared" ref="K4281" si="670">CONCATENATE(B4281,"103")</f>
        <v>571103</v>
      </c>
      <c r="L4281" s="2">
        <v>1</v>
      </c>
      <c r="M4281" s="2" t="s">
        <v>84</v>
      </c>
      <c r="N4281" s="2" t="s">
        <v>84</v>
      </c>
      <c r="O4281" s="2" t="s">
        <v>841</v>
      </c>
      <c r="P4281" s="2" t="s">
        <v>3019</v>
      </c>
    </row>
    <row r="4282" spans="1:16" ht="22" customHeight="1" x14ac:dyDescent="0.15">
      <c r="A4282" s="10" t="str">
        <f t="shared" si="660"/>
        <v>572_10_0_10_polygon</v>
      </c>
      <c r="B4282" s="2">
        <v>572</v>
      </c>
      <c r="C4282" s="30" t="str">
        <f>VLOOKUP(B4282,gachas!A:C,3)</f>
        <v>ランキング対抗ガチャ&lt;ヘイウェイ&gt;</v>
      </c>
      <c r="D4282" s="21">
        <v>10</v>
      </c>
      <c r="E4282" s="2">
        <v>0</v>
      </c>
      <c r="F4282" s="2">
        <v>10</v>
      </c>
      <c r="G4282" s="3" t="s">
        <v>22</v>
      </c>
      <c r="H4282" s="2">
        <v>50</v>
      </c>
      <c r="I4282" s="114" t="str">
        <f t="shared" ref="I4282:I4283" si="671">B4282&amp;TEXT(D4282,"00")&amp;E4282</f>
        <v>572100</v>
      </c>
      <c r="J4282" s="112" t="s">
        <v>84</v>
      </c>
      <c r="K4282" s="116" t="s">
        <v>1588</v>
      </c>
      <c r="L4282" s="2">
        <v>0</v>
      </c>
      <c r="M4282" s="2" t="s">
        <v>84</v>
      </c>
      <c r="N4282" s="2" t="s">
        <v>84</v>
      </c>
      <c r="O4282" s="2" t="s">
        <v>841</v>
      </c>
      <c r="P4282" s="6" t="s">
        <v>3020</v>
      </c>
    </row>
    <row r="4283" spans="1:16" ht="22" customHeight="1" x14ac:dyDescent="0.15">
      <c r="A4283" s="10" t="str">
        <f t="shared" si="660"/>
        <v>572_10_1_1_polygon</v>
      </c>
      <c r="B4283" s="2">
        <v>572</v>
      </c>
      <c r="C4283" s="30" t="str">
        <f>VLOOKUP(B4283,gachas!A:C,3)</f>
        <v>ランキング対抗ガチャ&lt;ヘイウェイ&gt;</v>
      </c>
      <c r="D4283" s="21">
        <v>10</v>
      </c>
      <c r="E4283" s="2">
        <v>1</v>
      </c>
      <c r="F4283" s="2">
        <v>1</v>
      </c>
      <c r="G4283" s="3" t="s">
        <v>22</v>
      </c>
      <c r="H4283" s="2">
        <v>1</v>
      </c>
      <c r="I4283" s="114" t="str">
        <f t="shared" si="671"/>
        <v>572101</v>
      </c>
      <c r="J4283" s="112" t="s">
        <v>84</v>
      </c>
      <c r="K4283" s="116" t="s">
        <v>1588</v>
      </c>
      <c r="L4283" s="2">
        <v>0</v>
      </c>
      <c r="M4283" s="2" t="s">
        <v>84</v>
      </c>
      <c r="N4283" s="2" t="s">
        <v>84</v>
      </c>
      <c r="O4283" s="2" t="s">
        <v>841</v>
      </c>
      <c r="P4283" s="6" t="s">
        <v>546</v>
      </c>
    </row>
    <row r="4284" spans="1:16" ht="22" customHeight="1" x14ac:dyDescent="0.15">
      <c r="A4284" s="10" t="str">
        <f t="shared" si="660"/>
        <v>572_10_2_3_polygon</v>
      </c>
      <c r="B4284" s="2">
        <v>572</v>
      </c>
      <c r="C4284" s="30" t="str">
        <f>VLOOKUP(B4284,gachas!A:C,3)</f>
        <v>ランキング対抗ガチャ&lt;ヘイウェイ&gt;</v>
      </c>
      <c r="D4284" s="21">
        <v>10</v>
      </c>
      <c r="E4284" s="2">
        <v>2</v>
      </c>
      <c r="F4284" s="2">
        <v>3</v>
      </c>
      <c r="G4284" s="3" t="s">
        <v>22</v>
      </c>
      <c r="H4284" s="2">
        <v>9</v>
      </c>
      <c r="I4284" s="119" t="str">
        <f>I4283</f>
        <v>572101</v>
      </c>
      <c r="J4284" s="112" t="s">
        <v>84</v>
      </c>
      <c r="K4284" s="116" t="s">
        <v>1588</v>
      </c>
      <c r="L4284" s="2">
        <v>0</v>
      </c>
      <c r="M4284" s="2" t="s">
        <v>84</v>
      </c>
      <c r="N4284" s="2" t="s">
        <v>84</v>
      </c>
      <c r="O4284" s="2" t="s">
        <v>841</v>
      </c>
      <c r="P4284" s="6" t="s">
        <v>1273</v>
      </c>
    </row>
    <row r="4285" spans="1:16" ht="22" customHeight="1" x14ac:dyDescent="0.15">
      <c r="A4285" s="10" t="str">
        <f t="shared" si="660"/>
        <v>572_10_3_10_polygon</v>
      </c>
      <c r="B4285" s="2">
        <v>572</v>
      </c>
      <c r="C4285" s="30" t="str">
        <f>VLOOKUP(B4285,gachas!A:C,3)</f>
        <v>ランキング対抗ガチャ&lt;ヘイウェイ&gt;</v>
      </c>
      <c r="D4285" s="21">
        <v>10</v>
      </c>
      <c r="E4285" s="2">
        <v>3</v>
      </c>
      <c r="F4285" s="2">
        <v>10</v>
      </c>
      <c r="G4285" s="3" t="s">
        <v>22</v>
      </c>
      <c r="H4285" s="2">
        <v>35</v>
      </c>
      <c r="I4285" s="114" t="str">
        <f t="shared" ref="I4285:I4288" si="672">B4285&amp;TEXT(D4285,"00")&amp;E4285</f>
        <v>572103</v>
      </c>
      <c r="J4285" s="112" t="str">
        <f>I4285</f>
        <v>572103</v>
      </c>
      <c r="K4285" s="116" t="s">
        <v>1588</v>
      </c>
      <c r="L4285" s="2">
        <v>0</v>
      </c>
      <c r="M4285" s="2" t="s">
        <v>84</v>
      </c>
      <c r="N4285" s="2" t="s">
        <v>84</v>
      </c>
      <c r="O4285" s="2" t="s">
        <v>841</v>
      </c>
      <c r="P4285" s="6" t="s">
        <v>3021</v>
      </c>
    </row>
    <row r="4286" spans="1:16" ht="22" customHeight="1" x14ac:dyDescent="0.15">
      <c r="A4286" s="10" t="str">
        <f t="shared" si="660"/>
        <v>572_10_4_10_polygon</v>
      </c>
      <c r="B4286" s="2">
        <v>572</v>
      </c>
      <c r="C4286" s="30" t="str">
        <f>VLOOKUP(B4286,gachas!A:C,3)</f>
        <v>ランキング対抗ガチャ&lt;ヘイウェイ&gt;</v>
      </c>
      <c r="D4286" s="21">
        <v>10</v>
      </c>
      <c r="E4286" s="2">
        <v>4</v>
      </c>
      <c r="F4286" s="2">
        <v>10</v>
      </c>
      <c r="G4286" s="3" t="s">
        <v>22</v>
      </c>
      <c r="H4286" s="2">
        <v>50</v>
      </c>
      <c r="I4286" s="114" t="str">
        <f t="shared" si="672"/>
        <v>572104</v>
      </c>
      <c r="J4286" s="112" t="s">
        <v>84</v>
      </c>
      <c r="K4286" s="116" t="str">
        <f>I4286</f>
        <v>572104</v>
      </c>
      <c r="L4286" s="2">
        <v>1</v>
      </c>
      <c r="M4286" s="2" t="s">
        <v>84</v>
      </c>
      <c r="N4286" s="2" t="s">
        <v>84</v>
      </c>
      <c r="O4286" s="2" t="s">
        <v>841</v>
      </c>
      <c r="P4286" s="6" t="s">
        <v>3022</v>
      </c>
    </row>
    <row r="4287" spans="1:16" ht="22" customHeight="1" x14ac:dyDescent="0.15">
      <c r="A4287" s="10" t="str">
        <f t="shared" si="660"/>
        <v>572_10_5_10_polygon</v>
      </c>
      <c r="B4287" s="2">
        <v>572</v>
      </c>
      <c r="C4287" s="30" t="str">
        <f>VLOOKUP(B4287,gachas!A:C,3)</f>
        <v>ランキング対抗ガチャ&lt;ヘイウェイ&gt;</v>
      </c>
      <c r="D4287" s="21">
        <v>10</v>
      </c>
      <c r="E4287" s="2">
        <v>5</v>
      </c>
      <c r="F4287" s="2">
        <v>10</v>
      </c>
      <c r="G4287" s="3" t="s">
        <v>22</v>
      </c>
      <c r="H4287" s="2">
        <v>50</v>
      </c>
      <c r="I4287" s="114" t="str">
        <f t="shared" si="672"/>
        <v>572105</v>
      </c>
      <c r="J4287" s="112" t="str">
        <f>I4287</f>
        <v>572105</v>
      </c>
      <c r="K4287" s="116" t="s">
        <v>1588</v>
      </c>
      <c r="L4287" s="2">
        <v>0</v>
      </c>
      <c r="M4287" s="2" t="s">
        <v>84</v>
      </c>
      <c r="N4287" s="2" t="s">
        <v>84</v>
      </c>
      <c r="O4287" s="2" t="s">
        <v>841</v>
      </c>
      <c r="P4287" s="6" t="s">
        <v>3023</v>
      </c>
    </row>
    <row r="4288" spans="1:16" ht="22" customHeight="1" x14ac:dyDescent="0.15">
      <c r="A4288" s="10" t="str">
        <f t="shared" si="660"/>
        <v>572_10_6_10_polygon</v>
      </c>
      <c r="B4288" s="2">
        <v>572</v>
      </c>
      <c r="C4288" s="30" t="str">
        <f>VLOOKUP(B4288,gachas!A:C,3)</f>
        <v>ランキング対抗ガチャ&lt;ヘイウェイ&gt;</v>
      </c>
      <c r="D4288" s="21">
        <v>10</v>
      </c>
      <c r="E4288" s="2">
        <v>6</v>
      </c>
      <c r="F4288" s="2">
        <v>10</v>
      </c>
      <c r="G4288" s="3" t="s">
        <v>22</v>
      </c>
      <c r="H4288" s="2">
        <v>50</v>
      </c>
      <c r="I4288" s="114" t="str">
        <f t="shared" si="672"/>
        <v>572106</v>
      </c>
      <c r="J4288" s="112" t="str">
        <f>I4288</f>
        <v>572106</v>
      </c>
      <c r="K4288" s="116" t="s">
        <v>1588</v>
      </c>
      <c r="L4288" s="2">
        <v>0</v>
      </c>
      <c r="M4288" s="2" t="s">
        <v>84</v>
      </c>
      <c r="N4288" s="2" t="s">
        <v>84</v>
      </c>
      <c r="O4288" s="2" t="s">
        <v>841</v>
      </c>
      <c r="P4288" s="6" t="s">
        <v>3024</v>
      </c>
    </row>
    <row r="4289" spans="1:16" ht="22" customHeight="1" x14ac:dyDescent="0.15">
      <c r="A4289" s="10" t="str">
        <f t="shared" si="660"/>
        <v>572_10_7_10_polygon</v>
      </c>
      <c r="B4289" s="2">
        <v>572</v>
      </c>
      <c r="C4289" s="30" t="str">
        <f>VLOOKUP(B4289,gachas!A:C,3)</f>
        <v>ランキング対抗ガチャ&lt;ヘイウェイ&gt;</v>
      </c>
      <c r="D4289" s="21">
        <v>10</v>
      </c>
      <c r="E4289" s="2">
        <v>7</v>
      </c>
      <c r="F4289" s="2">
        <v>10</v>
      </c>
      <c r="G4289" s="3" t="s">
        <v>22</v>
      </c>
      <c r="H4289" s="2">
        <v>50</v>
      </c>
      <c r="I4289" s="119" t="str">
        <f>I4282</f>
        <v>572100</v>
      </c>
      <c r="J4289" s="112" t="s">
        <v>84</v>
      </c>
      <c r="K4289" s="116" t="s">
        <v>1588</v>
      </c>
      <c r="L4289" s="2">
        <v>0</v>
      </c>
      <c r="M4289" s="2" t="s">
        <v>84</v>
      </c>
      <c r="N4289" s="2" t="s">
        <v>84</v>
      </c>
      <c r="O4289" s="2" t="s">
        <v>841</v>
      </c>
      <c r="P4289" s="6" t="s">
        <v>3025</v>
      </c>
    </row>
    <row r="4290" spans="1:16" ht="22" customHeight="1" x14ac:dyDescent="0.15">
      <c r="A4290" s="10" t="str">
        <f t="shared" ref="A4290" si="673">B4290&amp;"_"&amp;D4290&amp;"_"&amp;E4290&amp;"_"&amp;F4290&amp;"_"&amp;G4290</f>
        <v>573_1_0_1_polygon</v>
      </c>
      <c r="B4290" s="2">
        <v>573</v>
      </c>
      <c r="C4290" s="30" t="str">
        <f>VLOOKUP(B4290,gachas!A:C,3)</f>
        <v>1000億BK記念_海外版限定スペシャルガチャ_前半</v>
      </c>
      <c r="D4290" s="21">
        <v>1</v>
      </c>
      <c r="E4290" s="2">
        <v>0</v>
      </c>
      <c r="F4290" s="2">
        <v>1</v>
      </c>
      <c r="G4290" s="3" t="s">
        <v>22</v>
      </c>
      <c r="H4290" s="2">
        <v>5</v>
      </c>
      <c r="I4290" s="114" t="str">
        <f t="shared" ref="I4290" si="674">CONCATENATE(B4290,IF(D4290=1,"01","10"),0)</f>
        <v>573010</v>
      </c>
      <c r="J4290" s="112" t="s">
        <v>84</v>
      </c>
      <c r="K4290" s="112" t="s">
        <v>84</v>
      </c>
      <c r="L4290" s="2">
        <v>0</v>
      </c>
      <c r="M4290" s="2" t="s">
        <v>84</v>
      </c>
      <c r="N4290" s="2" t="s">
        <v>84</v>
      </c>
      <c r="O4290" s="2" t="s">
        <v>841</v>
      </c>
      <c r="P4290" s="2" t="s">
        <v>84</v>
      </c>
    </row>
    <row r="4291" spans="1:16" ht="22" customHeight="1" x14ac:dyDescent="0.15">
      <c r="A4291" s="10" t="str">
        <f t="shared" si="660"/>
        <v>573_10_0_10_polygon</v>
      </c>
      <c r="B4291" s="2">
        <v>573</v>
      </c>
      <c r="C4291" s="30" t="str">
        <f>VLOOKUP(B4291,gachas!A:C,3)</f>
        <v>1000億BK記念_海外版限定スペシャルガチャ_前半</v>
      </c>
      <c r="D4291" s="21">
        <v>10</v>
      </c>
      <c r="E4291" s="2">
        <v>0</v>
      </c>
      <c r="F4291" s="2">
        <v>10</v>
      </c>
      <c r="G4291" s="3" t="s">
        <v>22</v>
      </c>
      <c r="H4291" s="2">
        <v>50</v>
      </c>
      <c r="I4291" s="114" t="str">
        <f t="shared" ref="I4291:I4400" si="675">CONCATENATE(B4291,IF(D4291=1,"01","10"),0)</f>
        <v>573100</v>
      </c>
      <c r="J4291" s="112" t="s">
        <v>84</v>
      </c>
      <c r="K4291" s="112" t="s">
        <v>84</v>
      </c>
      <c r="L4291" s="2">
        <v>0</v>
      </c>
      <c r="M4291" s="2" t="s">
        <v>84</v>
      </c>
      <c r="N4291" s="2" t="s">
        <v>84</v>
      </c>
      <c r="O4291" s="2" t="s">
        <v>841</v>
      </c>
      <c r="P4291" s="2" t="s">
        <v>2637</v>
      </c>
    </row>
    <row r="4292" spans="1:16" ht="22" customHeight="1" x14ac:dyDescent="0.15">
      <c r="A4292" s="10" t="str">
        <f t="shared" si="660"/>
        <v>573_10_1_10_polygon</v>
      </c>
      <c r="B4292" s="2">
        <v>573</v>
      </c>
      <c r="C4292" s="30" t="str">
        <f>VLOOKUP(B4292,gachas!A:C,3)</f>
        <v>1000億BK記念_海外版限定スペシャルガチャ_前半</v>
      </c>
      <c r="D4292" s="21">
        <v>10</v>
      </c>
      <c r="E4292" s="2">
        <v>1</v>
      </c>
      <c r="F4292" s="2">
        <v>10</v>
      </c>
      <c r="G4292" s="3" t="s">
        <v>22</v>
      </c>
      <c r="H4292" s="2">
        <v>30</v>
      </c>
      <c r="I4292" s="114" t="str">
        <f t="shared" si="675"/>
        <v>573100</v>
      </c>
      <c r="J4292" s="112" t="s">
        <v>84</v>
      </c>
      <c r="K4292" s="112" t="s">
        <v>84</v>
      </c>
      <c r="L4292" s="2">
        <v>0</v>
      </c>
      <c r="M4292" s="2" t="s">
        <v>84</v>
      </c>
      <c r="N4292" s="2" t="s">
        <v>84</v>
      </c>
      <c r="O4292" s="2" t="s">
        <v>841</v>
      </c>
      <c r="P4292" s="2" t="s">
        <v>3063</v>
      </c>
    </row>
    <row r="4293" spans="1:16" ht="22" customHeight="1" x14ac:dyDescent="0.15">
      <c r="A4293" s="10" t="str">
        <f t="shared" si="660"/>
        <v>573_10_2_10_polygon</v>
      </c>
      <c r="B4293" s="2">
        <v>573</v>
      </c>
      <c r="C4293" s="30" t="str">
        <f>VLOOKUP(B4293,gachas!A:C,3)</f>
        <v>1000億BK記念_海外版限定スペシャルガチャ_前半</v>
      </c>
      <c r="D4293" s="21">
        <v>10</v>
      </c>
      <c r="E4293" s="2">
        <v>2</v>
      </c>
      <c r="F4293" s="2">
        <v>10</v>
      </c>
      <c r="G4293" s="3" t="s">
        <v>22</v>
      </c>
      <c r="H4293" s="2">
        <v>40</v>
      </c>
      <c r="I4293" s="114" t="str">
        <f t="shared" si="675"/>
        <v>573100</v>
      </c>
      <c r="J4293" s="112" t="s">
        <v>84</v>
      </c>
      <c r="K4293" s="112" t="s">
        <v>84</v>
      </c>
      <c r="L4293" s="2">
        <v>0</v>
      </c>
      <c r="M4293" s="2" t="s">
        <v>84</v>
      </c>
      <c r="N4293" s="2" t="s">
        <v>84</v>
      </c>
      <c r="O4293" s="2" t="s">
        <v>841</v>
      </c>
      <c r="P4293" s="2" t="s">
        <v>3064</v>
      </c>
    </row>
    <row r="4294" spans="1:16" ht="22" customHeight="1" x14ac:dyDescent="0.15">
      <c r="A4294" s="10" t="str">
        <f t="shared" si="660"/>
        <v>573_10_3_10_polygon</v>
      </c>
      <c r="B4294" s="2">
        <v>573</v>
      </c>
      <c r="C4294" s="30" t="str">
        <f>VLOOKUP(B4294,gachas!A:C,3)</f>
        <v>1000億BK記念_海外版限定スペシャルガチャ_前半</v>
      </c>
      <c r="D4294" s="21">
        <v>10</v>
      </c>
      <c r="E4294" s="2">
        <v>3</v>
      </c>
      <c r="F4294" s="2">
        <v>10</v>
      </c>
      <c r="G4294" s="3" t="s">
        <v>22</v>
      </c>
      <c r="H4294" s="2">
        <v>50</v>
      </c>
      <c r="I4294" s="114" t="str">
        <f t="shared" si="675"/>
        <v>573100</v>
      </c>
      <c r="J4294" s="112" t="s">
        <v>84</v>
      </c>
      <c r="K4294" s="117" t="str">
        <f>CONCATENATE(B4294,"103")</f>
        <v>573103</v>
      </c>
      <c r="L4294" s="2">
        <v>1</v>
      </c>
      <c r="M4294" s="2" t="s">
        <v>84</v>
      </c>
      <c r="N4294" s="2" t="s">
        <v>84</v>
      </c>
      <c r="O4294" s="2" t="s">
        <v>841</v>
      </c>
      <c r="P4294" s="2" t="s">
        <v>3062</v>
      </c>
    </row>
    <row r="4295" spans="1:16" ht="22" customHeight="1" x14ac:dyDescent="0.15">
      <c r="A4295" s="10" t="str">
        <f t="shared" ref="A4295:A4404" si="676">B4295&amp;"_"&amp;D4295&amp;"_"&amp;E4295&amp;"_"&amp;F4295&amp;"_"&amp;G4295</f>
        <v>573_10_4_10_polygon</v>
      </c>
      <c r="B4295" s="2">
        <v>573</v>
      </c>
      <c r="C4295" s="30" t="str">
        <f>VLOOKUP(B4295,gachas!A:C,3)</f>
        <v>1000億BK記念_海外版限定スペシャルガチャ_前半</v>
      </c>
      <c r="D4295" s="21">
        <v>10</v>
      </c>
      <c r="E4295" s="2">
        <v>4</v>
      </c>
      <c r="F4295" s="2">
        <v>10</v>
      </c>
      <c r="G4295" s="3" t="s">
        <v>22</v>
      </c>
      <c r="H4295" s="2">
        <v>30</v>
      </c>
      <c r="I4295" s="114" t="str">
        <f t="shared" si="675"/>
        <v>573100</v>
      </c>
      <c r="J4295" s="112" t="s">
        <v>84</v>
      </c>
      <c r="K4295" s="112" t="s">
        <v>84</v>
      </c>
      <c r="L4295" s="2">
        <v>0</v>
      </c>
      <c r="M4295" s="2" t="s">
        <v>84</v>
      </c>
      <c r="N4295" s="2" t="s">
        <v>84</v>
      </c>
      <c r="O4295" s="2" t="s">
        <v>841</v>
      </c>
      <c r="P4295" s="2" t="s">
        <v>3063</v>
      </c>
    </row>
    <row r="4296" spans="1:16" ht="22" customHeight="1" x14ac:dyDescent="0.15">
      <c r="A4296" s="10" t="str">
        <f t="shared" si="676"/>
        <v>573_10_5_10_polygon</v>
      </c>
      <c r="B4296" s="2">
        <v>573</v>
      </c>
      <c r="C4296" s="30" t="str">
        <f>VLOOKUP(B4296,gachas!A:C,3)</f>
        <v>1000億BK記念_海外版限定スペシャルガチャ_前半</v>
      </c>
      <c r="D4296" s="21">
        <v>10</v>
      </c>
      <c r="E4296" s="2">
        <v>5</v>
      </c>
      <c r="F4296" s="2">
        <v>10</v>
      </c>
      <c r="G4296" s="3" t="s">
        <v>22</v>
      </c>
      <c r="H4296" s="2">
        <v>40</v>
      </c>
      <c r="I4296" s="114" t="str">
        <f t="shared" si="675"/>
        <v>573100</v>
      </c>
      <c r="J4296" s="112" t="s">
        <v>84</v>
      </c>
      <c r="K4296" s="112" t="s">
        <v>84</v>
      </c>
      <c r="L4296" s="2">
        <v>0</v>
      </c>
      <c r="M4296" s="2" t="s">
        <v>84</v>
      </c>
      <c r="N4296" s="2" t="s">
        <v>84</v>
      </c>
      <c r="O4296" s="2" t="s">
        <v>841</v>
      </c>
      <c r="P4296" s="2" t="s">
        <v>3064</v>
      </c>
    </row>
    <row r="4297" spans="1:16" ht="22" customHeight="1" x14ac:dyDescent="0.15">
      <c r="A4297" s="10" t="str">
        <f t="shared" si="676"/>
        <v>573_10_6_10_polygon</v>
      </c>
      <c r="B4297" s="2">
        <v>573</v>
      </c>
      <c r="C4297" s="30" t="str">
        <f>VLOOKUP(B4297,gachas!A:C,3)</f>
        <v>1000億BK記念_海外版限定スペシャルガチャ_前半</v>
      </c>
      <c r="D4297" s="21">
        <v>10</v>
      </c>
      <c r="E4297" s="2">
        <v>6</v>
      </c>
      <c r="F4297" s="2">
        <v>10</v>
      </c>
      <c r="G4297" s="3" t="s">
        <v>22</v>
      </c>
      <c r="H4297" s="2">
        <v>50</v>
      </c>
      <c r="I4297" s="114" t="str">
        <f t="shared" si="675"/>
        <v>573100</v>
      </c>
      <c r="J4297" s="112" t="s">
        <v>84</v>
      </c>
      <c r="K4297" s="117" t="str">
        <f t="shared" ref="K4297" si="677">CONCATENATE(B4297,"103")</f>
        <v>573103</v>
      </c>
      <c r="L4297" s="2">
        <v>1</v>
      </c>
      <c r="M4297" s="2" t="s">
        <v>84</v>
      </c>
      <c r="N4297" s="2" t="s">
        <v>84</v>
      </c>
      <c r="O4297" s="2" t="s">
        <v>841</v>
      </c>
      <c r="P4297" s="2" t="s">
        <v>3062</v>
      </c>
    </row>
    <row r="4298" spans="1:16" ht="22" customHeight="1" x14ac:dyDescent="0.15">
      <c r="A4298" s="10" t="str">
        <f t="shared" si="676"/>
        <v>573_10_7_10_polygon</v>
      </c>
      <c r="B4298" s="2">
        <v>573</v>
      </c>
      <c r="C4298" s="30" t="str">
        <f>VLOOKUP(B4298,gachas!A:C,3)</f>
        <v>1000億BK記念_海外版限定スペシャルガチャ_前半</v>
      </c>
      <c r="D4298" s="21">
        <v>10</v>
      </c>
      <c r="E4298" s="2">
        <v>7</v>
      </c>
      <c r="F4298" s="2">
        <v>10</v>
      </c>
      <c r="G4298" s="3" t="s">
        <v>22</v>
      </c>
      <c r="H4298" s="2">
        <v>30</v>
      </c>
      <c r="I4298" s="114" t="str">
        <f t="shared" si="675"/>
        <v>573100</v>
      </c>
      <c r="J4298" s="112" t="s">
        <v>84</v>
      </c>
      <c r="K4298" s="112" t="s">
        <v>84</v>
      </c>
      <c r="L4298" s="2">
        <v>0</v>
      </c>
      <c r="M4298" s="2" t="s">
        <v>84</v>
      </c>
      <c r="N4298" s="2" t="s">
        <v>84</v>
      </c>
      <c r="O4298" s="2" t="s">
        <v>841</v>
      </c>
      <c r="P4298" s="2" t="s">
        <v>3063</v>
      </c>
    </row>
    <row r="4299" spans="1:16" ht="22" customHeight="1" x14ac:dyDescent="0.15">
      <c r="A4299" s="10" t="str">
        <f t="shared" si="676"/>
        <v>573_10_8_10_polygon</v>
      </c>
      <c r="B4299" s="2">
        <v>573</v>
      </c>
      <c r="C4299" s="30" t="str">
        <f>VLOOKUP(B4299,gachas!A:C,3)</f>
        <v>1000億BK記念_海外版限定スペシャルガチャ_前半</v>
      </c>
      <c r="D4299" s="21">
        <v>10</v>
      </c>
      <c r="E4299" s="2">
        <v>8</v>
      </c>
      <c r="F4299" s="2">
        <v>10</v>
      </c>
      <c r="G4299" s="3" t="s">
        <v>22</v>
      </c>
      <c r="H4299" s="2">
        <v>40</v>
      </c>
      <c r="I4299" s="114" t="str">
        <f t="shared" si="675"/>
        <v>573100</v>
      </c>
      <c r="J4299" s="112" t="s">
        <v>84</v>
      </c>
      <c r="K4299" s="112" t="s">
        <v>84</v>
      </c>
      <c r="L4299" s="2">
        <v>0</v>
      </c>
      <c r="M4299" s="2" t="s">
        <v>84</v>
      </c>
      <c r="N4299" s="2" t="s">
        <v>84</v>
      </c>
      <c r="O4299" s="2" t="s">
        <v>841</v>
      </c>
      <c r="P4299" s="2" t="s">
        <v>3064</v>
      </c>
    </row>
    <row r="4300" spans="1:16" ht="22" customHeight="1" x14ac:dyDescent="0.15">
      <c r="A4300" s="10" t="str">
        <f t="shared" si="676"/>
        <v>573_10_9_10_polygon</v>
      </c>
      <c r="B4300" s="2">
        <v>573</v>
      </c>
      <c r="C4300" s="30" t="str">
        <f>VLOOKUP(B4300,gachas!A:C,3)</f>
        <v>1000億BK記念_海外版限定スペシャルガチャ_前半</v>
      </c>
      <c r="D4300" s="21">
        <v>10</v>
      </c>
      <c r="E4300" s="2">
        <v>9</v>
      </c>
      <c r="F4300" s="2">
        <v>10</v>
      </c>
      <c r="G4300" s="3" t="s">
        <v>22</v>
      </c>
      <c r="H4300" s="2">
        <v>50</v>
      </c>
      <c r="I4300" s="114" t="str">
        <f t="shared" si="675"/>
        <v>573100</v>
      </c>
      <c r="J4300" s="112" t="s">
        <v>84</v>
      </c>
      <c r="K4300" s="117" t="str">
        <f t="shared" ref="K4300" si="678">CONCATENATE(B4300,"103")</f>
        <v>573103</v>
      </c>
      <c r="L4300" s="2">
        <v>1</v>
      </c>
      <c r="M4300" s="2" t="s">
        <v>84</v>
      </c>
      <c r="N4300" s="2" t="s">
        <v>84</v>
      </c>
      <c r="O4300" s="2" t="s">
        <v>841</v>
      </c>
      <c r="P4300" s="2" t="s">
        <v>3062</v>
      </c>
    </row>
    <row r="4301" spans="1:16" ht="22" customHeight="1" x14ac:dyDescent="0.15">
      <c r="A4301" s="10" t="str">
        <f t="shared" si="676"/>
        <v>573_10_10_10_polygon</v>
      </c>
      <c r="B4301" s="2">
        <v>573</v>
      </c>
      <c r="C4301" s="30" t="str">
        <f>VLOOKUP(B4301,gachas!A:C,3)</f>
        <v>1000億BK記念_海外版限定スペシャルガチャ_前半</v>
      </c>
      <c r="D4301" s="21">
        <v>10</v>
      </c>
      <c r="E4301" s="2">
        <v>10</v>
      </c>
      <c r="F4301" s="2">
        <v>10</v>
      </c>
      <c r="G4301" s="3" t="s">
        <v>22</v>
      </c>
      <c r="H4301" s="2">
        <v>30</v>
      </c>
      <c r="I4301" s="114" t="str">
        <f t="shared" si="675"/>
        <v>573100</v>
      </c>
      <c r="J4301" s="112" t="s">
        <v>84</v>
      </c>
      <c r="K4301" s="112" t="s">
        <v>84</v>
      </c>
      <c r="L4301" s="2">
        <v>0</v>
      </c>
      <c r="M4301" s="2" t="s">
        <v>84</v>
      </c>
      <c r="N4301" s="2" t="s">
        <v>84</v>
      </c>
      <c r="O4301" s="2" t="s">
        <v>841</v>
      </c>
      <c r="P4301" s="2" t="s">
        <v>3063</v>
      </c>
    </row>
    <row r="4302" spans="1:16" ht="22" customHeight="1" x14ac:dyDescent="0.15">
      <c r="A4302" s="10" t="str">
        <f t="shared" si="676"/>
        <v>573_10_11_10_polygon</v>
      </c>
      <c r="B4302" s="2">
        <v>573</v>
      </c>
      <c r="C4302" s="30" t="str">
        <f>VLOOKUP(B4302,gachas!A:C,3)</f>
        <v>1000億BK記念_海外版限定スペシャルガチャ_前半</v>
      </c>
      <c r="D4302" s="21">
        <v>10</v>
      </c>
      <c r="E4302" s="2">
        <v>11</v>
      </c>
      <c r="F4302" s="2">
        <v>10</v>
      </c>
      <c r="G4302" s="3" t="s">
        <v>22</v>
      </c>
      <c r="H4302" s="2">
        <v>40</v>
      </c>
      <c r="I4302" s="114" t="str">
        <f t="shared" si="675"/>
        <v>573100</v>
      </c>
      <c r="J4302" s="112" t="s">
        <v>84</v>
      </c>
      <c r="K4302" s="112" t="s">
        <v>84</v>
      </c>
      <c r="L4302" s="2">
        <v>0</v>
      </c>
      <c r="M4302" s="2" t="s">
        <v>84</v>
      </c>
      <c r="N4302" s="2" t="s">
        <v>84</v>
      </c>
      <c r="O4302" s="2" t="s">
        <v>841</v>
      </c>
      <c r="P4302" s="2" t="s">
        <v>3064</v>
      </c>
    </row>
    <row r="4303" spans="1:16" ht="22" customHeight="1" x14ac:dyDescent="0.15">
      <c r="A4303" s="10" t="str">
        <f t="shared" si="676"/>
        <v>573_10_12_10_polygon</v>
      </c>
      <c r="B4303" s="2">
        <v>573</v>
      </c>
      <c r="C4303" s="30" t="str">
        <f>VLOOKUP(B4303,gachas!A:C,3)</f>
        <v>1000億BK記念_海外版限定スペシャルガチャ_前半</v>
      </c>
      <c r="D4303" s="21">
        <v>10</v>
      </c>
      <c r="E4303" s="2">
        <v>12</v>
      </c>
      <c r="F4303" s="2">
        <v>10</v>
      </c>
      <c r="G4303" s="3" t="s">
        <v>22</v>
      </c>
      <c r="H4303" s="2">
        <v>50</v>
      </c>
      <c r="I4303" s="114" t="str">
        <f t="shared" si="675"/>
        <v>573100</v>
      </c>
      <c r="J4303" s="112" t="s">
        <v>84</v>
      </c>
      <c r="K4303" s="117" t="str">
        <f t="shared" ref="K4303" si="679">CONCATENATE(B4303,"103")</f>
        <v>573103</v>
      </c>
      <c r="L4303" s="2">
        <v>1</v>
      </c>
      <c r="M4303" s="2" t="s">
        <v>84</v>
      </c>
      <c r="N4303" s="2" t="s">
        <v>84</v>
      </c>
      <c r="O4303" s="2" t="s">
        <v>841</v>
      </c>
      <c r="P4303" s="2" t="s">
        <v>3062</v>
      </c>
    </row>
    <row r="4304" spans="1:16" ht="22" customHeight="1" x14ac:dyDescent="0.15">
      <c r="A4304" s="10" t="str">
        <f t="shared" si="676"/>
        <v>573_10_13_10_polygon</v>
      </c>
      <c r="B4304" s="2">
        <v>573</v>
      </c>
      <c r="C4304" s="30" t="str">
        <f>VLOOKUP(B4304,gachas!A:C,3)</f>
        <v>1000億BK記念_海外版限定スペシャルガチャ_前半</v>
      </c>
      <c r="D4304" s="21">
        <v>10</v>
      </c>
      <c r="E4304" s="2">
        <v>13</v>
      </c>
      <c r="F4304" s="2">
        <v>10</v>
      </c>
      <c r="G4304" s="3" t="s">
        <v>22</v>
      </c>
      <c r="H4304" s="2">
        <v>30</v>
      </c>
      <c r="I4304" s="114" t="str">
        <f t="shared" si="675"/>
        <v>573100</v>
      </c>
      <c r="J4304" s="112" t="s">
        <v>84</v>
      </c>
      <c r="K4304" s="112" t="s">
        <v>84</v>
      </c>
      <c r="L4304" s="2">
        <v>0</v>
      </c>
      <c r="M4304" s="2" t="s">
        <v>84</v>
      </c>
      <c r="N4304" s="2" t="s">
        <v>84</v>
      </c>
      <c r="O4304" s="2" t="s">
        <v>841</v>
      </c>
      <c r="P4304" s="2" t="s">
        <v>3063</v>
      </c>
    </row>
    <row r="4305" spans="1:16" ht="22" customHeight="1" x14ac:dyDescent="0.15">
      <c r="A4305" s="10" t="str">
        <f t="shared" si="676"/>
        <v>573_10_14_10_polygon</v>
      </c>
      <c r="B4305" s="2">
        <v>573</v>
      </c>
      <c r="C4305" s="30" t="str">
        <f>VLOOKUP(B4305,gachas!A:C,3)</f>
        <v>1000億BK記念_海外版限定スペシャルガチャ_前半</v>
      </c>
      <c r="D4305" s="21">
        <v>10</v>
      </c>
      <c r="E4305" s="2">
        <v>14</v>
      </c>
      <c r="F4305" s="2">
        <v>10</v>
      </c>
      <c r="G4305" s="3" t="s">
        <v>22</v>
      </c>
      <c r="H4305" s="2">
        <v>40</v>
      </c>
      <c r="I4305" s="114" t="str">
        <f t="shared" si="675"/>
        <v>573100</v>
      </c>
      <c r="J4305" s="112" t="s">
        <v>84</v>
      </c>
      <c r="K4305" s="112" t="s">
        <v>84</v>
      </c>
      <c r="L4305" s="2">
        <v>0</v>
      </c>
      <c r="M4305" s="2" t="s">
        <v>84</v>
      </c>
      <c r="N4305" s="2" t="s">
        <v>84</v>
      </c>
      <c r="O4305" s="2" t="s">
        <v>841</v>
      </c>
      <c r="P4305" s="2" t="s">
        <v>3064</v>
      </c>
    </row>
    <row r="4306" spans="1:16" ht="22" customHeight="1" x14ac:dyDescent="0.15">
      <c r="A4306" s="10" t="str">
        <f t="shared" si="676"/>
        <v>573_10_15_10_polygon</v>
      </c>
      <c r="B4306" s="2">
        <v>573</v>
      </c>
      <c r="C4306" s="30" t="str">
        <f>VLOOKUP(B4306,gachas!A:C,3)</f>
        <v>1000億BK記念_海外版限定スペシャルガチャ_前半</v>
      </c>
      <c r="D4306" s="21">
        <v>10</v>
      </c>
      <c r="E4306" s="2">
        <v>15</v>
      </c>
      <c r="F4306" s="2">
        <v>10</v>
      </c>
      <c r="G4306" s="3" t="s">
        <v>22</v>
      </c>
      <c r="H4306" s="2">
        <v>50</v>
      </c>
      <c r="I4306" s="114" t="str">
        <f t="shared" si="675"/>
        <v>573100</v>
      </c>
      <c r="J4306" s="112" t="s">
        <v>84</v>
      </c>
      <c r="K4306" s="117" t="str">
        <f t="shared" ref="K4306" si="680">CONCATENATE(B4306,"103")</f>
        <v>573103</v>
      </c>
      <c r="L4306" s="2">
        <v>1</v>
      </c>
      <c r="M4306" s="2" t="s">
        <v>84</v>
      </c>
      <c r="N4306" s="2" t="s">
        <v>84</v>
      </c>
      <c r="O4306" s="2" t="s">
        <v>841</v>
      </c>
      <c r="P4306" s="2" t="s">
        <v>3062</v>
      </c>
    </row>
    <row r="4307" spans="1:16" ht="22" customHeight="1" x14ac:dyDescent="0.15">
      <c r="A4307" s="10" t="str">
        <f t="shared" si="676"/>
        <v>573_10_16_10_polygon</v>
      </c>
      <c r="B4307" s="2">
        <v>573</v>
      </c>
      <c r="C4307" s="30" t="str">
        <f>VLOOKUP(B4307,gachas!A:C,3)</f>
        <v>1000億BK記念_海外版限定スペシャルガチャ_前半</v>
      </c>
      <c r="D4307" s="21">
        <v>10</v>
      </c>
      <c r="E4307" s="2">
        <v>16</v>
      </c>
      <c r="F4307" s="2">
        <v>10</v>
      </c>
      <c r="G4307" s="3" t="s">
        <v>22</v>
      </c>
      <c r="H4307" s="2">
        <v>30</v>
      </c>
      <c r="I4307" s="114" t="str">
        <f t="shared" si="675"/>
        <v>573100</v>
      </c>
      <c r="J4307" s="112" t="s">
        <v>84</v>
      </c>
      <c r="K4307" s="112" t="s">
        <v>84</v>
      </c>
      <c r="L4307" s="2">
        <v>0</v>
      </c>
      <c r="M4307" s="2" t="s">
        <v>84</v>
      </c>
      <c r="N4307" s="2" t="s">
        <v>84</v>
      </c>
      <c r="O4307" s="2" t="s">
        <v>841</v>
      </c>
      <c r="P4307" s="2" t="s">
        <v>3063</v>
      </c>
    </row>
    <row r="4308" spans="1:16" ht="22" customHeight="1" x14ac:dyDescent="0.15">
      <c r="A4308" s="10" t="str">
        <f t="shared" si="676"/>
        <v>573_10_17_10_polygon</v>
      </c>
      <c r="B4308" s="2">
        <v>573</v>
      </c>
      <c r="C4308" s="30" t="str">
        <f>VLOOKUP(B4308,gachas!A:C,3)</f>
        <v>1000億BK記念_海外版限定スペシャルガチャ_前半</v>
      </c>
      <c r="D4308" s="21">
        <v>10</v>
      </c>
      <c r="E4308" s="2">
        <v>17</v>
      </c>
      <c r="F4308" s="2">
        <v>10</v>
      </c>
      <c r="G4308" s="3" t="s">
        <v>22</v>
      </c>
      <c r="H4308" s="2">
        <v>40</v>
      </c>
      <c r="I4308" s="114" t="str">
        <f t="shared" si="675"/>
        <v>573100</v>
      </c>
      <c r="J4308" s="112" t="s">
        <v>84</v>
      </c>
      <c r="K4308" s="112" t="s">
        <v>84</v>
      </c>
      <c r="L4308" s="2">
        <v>0</v>
      </c>
      <c r="M4308" s="2" t="s">
        <v>84</v>
      </c>
      <c r="N4308" s="2" t="s">
        <v>84</v>
      </c>
      <c r="O4308" s="2" t="s">
        <v>841</v>
      </c>
      <c r="P4308" s="2" t="s">
        <v>3064</v>
      </c>
    </row>
    <row r="4309" spans="1:16" ht="22" customHeight="1" x14ac:dyDescent="0.15">
      <c r="A4309" s="10" t="str">
        <f t="shared" si="676"/>
        <v>573_10_18_10_polygon</v>
      </c>
      <c r="B4309" s="2">
        <v>573</v>
      </c>
      <c r="C4309" s="30" t="str">
        <f>VLOOKUP(B4309,gachas!A:C,3)</f>
        <v>1000億BK記念_海外版限定スペシャルガチャ_前半</v>
      </c>
      <c r="D4309" s="21">
        <v>10</v>
      </c>
      <c r="E4309" s="2">
        <v>18</v>
      </c>
      <c r="F4309" s="2">
        <v>10</v>
      </c>
      <c r="G4309" s="3" t="s">
        <v>22</v>
      </c>
      <c r="H4309" s="2">
        <v>50</v>
      </c>
      <c r="I4309" s="114" t="str">
        <f t="shared" si="675"/>
        <v>573100</v>
      </c>
      <c r="J4309" s="112" t="s">
        <v>84</v>
      </c>
      <c r="K4309" s="117" t="str">
        <f t="shared" ref="K4309" si="681">CONCATENATE(B4309,"103")</f>
        <v>573103</v>
      </c>
      <c r="L4309" s="2">
        <v>1</v>
      </c>
      <c r="M4309" s="2" t="s">
        <v>84</v>
      </c>
      <c r="N4309" s="2" t="s">
        <v>84</v>
      </c>
      <c r="O4309" s="2" t="s">
        <v>841</v>
      </c>
      <c r="P4309" s="2" t="s">
        <v>3062</v>
      </c>
    </row>
    <row r="4310" spans="1:16" ht="22" customHeight="1" x14ac:dyDescent="0.15">
      <c r="A4310" s="10" t="str">
        <f t="shared" si="676"/>
        <v>573_10_19_10_polygon</v>
      </c>
      <c r="B4310" s="2">
        <v>573</v>
      </c>
      <c r="C4310" s="30" t="str">
        <f>VLOOKUP(B4310,gachas!A:C,3)</f>
        <v>1000億BK記念_海外版限定スペシャルガチャ_前半</v>
      </c>
      <c r="D4310" s="21">
        <v>10</v>
      </c>
      <c r="E4310" s="2">
        <v>19</v>
      </c>
      <c r="F4310" s="2">
        <v>10</v>
      </c>
      <c r="G4310" s="3" t="s">
        <v>22</v>
      </c>
      <c r="H4310" s="2">
        <v>30</v>
      </c>
      <c r="I4310" s="114" t="str">
        <f t="shared" si="675"/>
        <v>573100</v>
      </c>
      <c r="J4310" s="112" t="s">
        <v>84</v>
      </c>
      <c r="K4310" s="112" t="s">
        <v>84</v>
      </c>
      <c r="L4310" s="2">
        <v>0</v>
      </c>
      <c r="M4310" s="2" t="s">
        <v>84</v>
      </c>
      <c r="N4310" s="2" t="s">
        <v>84</v>
      </c>
      <c r="O4310" s="2" t="s">
        <v>841</v>
      </c>
      <c r="P4310" s="2" t="s">
        <v>3063</v>
      </c>
    </row>
    <row r="4311" spans="1:16" ht="22" customHeight="1" x14ac:dyDescent="0.15">
      <c r="A4311" s="10" t="str">
        <f t="shared" si="676"/>
        <v>573_10_20_10_polygon</v>
      </c>
      <c r="B4311" s="2">
        <v>573</v>
      </c>
      <c r="C4311" s="30" t="str">
        <f>VLOOKUP(B4311,gachas!A:C,3)</f>
        <v>1000億BK記念_海外版限定スペシャルガチャ_前半</v>
      </c>
      <c r="D4311" s="21">
        <v>10</v>
      </c>
      <c r="E4311" s="2">
        <v>20</v>
      </c>
      <c r="F4311" s="2">
        <v>10</v>
      </c>
      <c r="G4311" s="3" t="s">
        <v>22</v>
      </c>
      <c r="H4311" s="2">
        <v>40</v>
      </c>
      <c r="I4311" s="114" t="str">
        <f t="shared" si="675"/>
        <v>573100</v>
      </c>
      <c r="J4311" s="112" t="s">
        <v>84</v>
      </c>
      <c r="K4311" s="112" t="s">
        <v>84</v>
      </c>
      <c r="L4311" s="2">
        <v>0</v>
      </c>
      <c r="M4311" s="2" t="s">
        <v>84</v>
      </c>
      <c r="N4311" s="2" t="s">
        <v>84</v>
      </c>
      <c r="O4311" s="2" t="s">
        <v>841</v>
      </c>
      <c r="P4311" s="2" t="s">
        <v>3064</v>
      </c>
    </row>
    <row r="4312" spans="1:16" ht="22" customHeight="1" x14ac:dyDescent="0.15">
      <c r="A4312" s="10" t="str">
        <f t="shared" si="676"/>
        <v>573_10_21_10_polygon</v>
      </c>
      <c r="B4312" s="2">
        <v>573</v>
      </c>
      <c r="C4312" s="30" t="str">
        <f>VLOOKUP(B4312,gachas!A:C,3)</f>
        <v>1000億BK記念_海外版限定スペシャルガチャ_前半</v>
      </c>
      <c r="D4312" s="21">
        <v>10</v>
      </c>
      <c r="E4312" s="2">
        <v>21</v>
      </c>
      <c r="F4312" s="2">
        <v>10</v>
      </c>
      <c r="G4312" s="3" t="s">
        <v>22</v>
      </c>
      <c r="H4312" s="2">
        <v>50</v>
      </c>
      <c r="I4312" s="114" t="str">
        <f t="shared" si="675"/>
        <v>573100</v>
      </c>
      <c r="J4312" s="112" t="s">
        <v>84</v>
      </c>
      <c r="K4312" s="117" t="str">
        <f t="shared" ref="K4312" si="682">CONCATENATE(B4312,"103")</f>
        <v>573103</v>
      </c>
      <c r="L4312" s="2">
        <v>1</v>
      </c>
      <c r="M4312" s="2" t="s">
        <v>84</v>
      </c>
      <c r="N4312" s="2" t="s">
        <v>84</v>
      </c>
      <c r="O4312" s="2" t="s">
        <v>841</v>
      </c>
      <c r="P4312" s="2" t="s">
        <v>3062</v>
      </c>
    </row>
    <row r="4313" spans="1:16" ht="22" customHeight="1" x14ac:dyDescent="0.15">
      <c r="A4313" s="10" t="str">
        <f t="shared" si="676"/>
        <v>573_10_22_10_polygon</v>
      </c>
      <c r="B4313" s="2">
        <v>573</v>
      </c>
      <c r="C4313" s="30" t="str">
        <f>VLOOKUP(B4313,gachas!A:C,3)</f>
        <v>1000億BK記念_海外版限定スペシャルガチャ_前半</v>
      </c>
      <c r="D4313" s="21">
        <v>10</v>
      </c>
      <c r="E4313" s="2">
        <v>22</v>
      </c>
      <c r="F4313" s="2">
        <v>10</v>
      </c>
      <c r="G4313" s="3" t="s">
        <v>22</v>
      </c>
      <c r="H4313" s="2">
        <v>30</v>
      </c>
      <c r="I4313" s="114" t="str">
        <f t="shared" si="675"/>
        <v>573100</v>
      </c>
      <c r="J4313" s="112" t="s">
        <v>84</v>
      </c>
      <c r="K4313" s="112" t="s">
        <v>84</v>
      </c>
      <c r="L4313" s="2">
        <v>0</v>
      </c>
      <c r="M4313" s="2" t="s">
        <v>84</v>
      </c>
      <c r="N4313" s="2" t="s">
        <v>84</v>
      </c>
      <c r="O4313" s="2" t="s">
        <v>841</v>
      </c>
      <c r="P4313" s="2" t="s">
        <v>3063</v>
      </c>
    </row>
    <row r="4314" spans="1:16" ht="22" customHeight="1" x14ac:dyDescent="0.15">
      <c r="A4314" s="10" t="str">
        <f t="shared" si="676"/>
        <v>573_10_23_10_polygon</v>
      </c>
      <c r="B4314" s="2">
        <v>573</v>
      </c>
      <c r="C4314" s="30" t="str">
        <f>VLOOKUP(B4314,gachas!A:C,3)</f>
        <v>1000億BK記念_海外版限定スペシャルガチャ_前半</v>
      </c>
      <c r="D4314" s="21">
        <v>10</v>
      </c>
      <c r="E4314" s="2">
        <v>23</v>
      </c>
      <c r="F4314" s="2">
        <v>10</v>
      </c>
      <c r="G4314" s="3" t="s">
        <v>22</v>
      </c>
      <c r="H4314" s="2">
        <v>40</v>
      </c>
      <c r="I4314" s="114" t="str">
        <f t="shared" si="675"/>
        <v>573100</v>
      </c>
      <c r="J4314" s="112" t="s">
        <v>84</v>
      </c>
      <c r="K4314" s="112" t="s">
        <v>84</v>
      </c>
      <c r="L4314" s="2">
        <v>0</v>
      </c>
      <c r="M4314" s="2" t="s">
        <v>84</v>
      </c>
      <c r="N4314" s="2" t="s">
        <v>84</v>
      </c>
      <c r="O4314" s="2" t="s">
        <v>841</v>
      </c>
      <c r="P4314" s="2" t="s">
        <v>3064</v>
      </c>
    </row>
    <row r="4315" spans="1:16" ht="22" customHeight="1" x14ac:dyDescent="0.15">
      <c r="A4315" s="10" t="str">
        <f t="shared" si="676"/>
        <v>573_10_24_10_polygon</v>
      </c>
      <c r="B4315" s="2">
        <v>573</v>
      </c>
      <c r="C4315" s="30" t="str">
        <f>VLOOKUP(B4315,gachas!A:C,3)</f>
        <v>1000億BK記念_海外版限定スペシャルガチャ_前半</v>
      </c>
      <c r="D4315" s="21">
        <v>10</v>
      </c>
      <c r="E4315" s="2">
        <v>24</v>
      </c>
      <c r="F4315" s="2">
        <v>10</v>
      </c>
      <c r="G4315" s="3" t="s">
        <v>22</v>
      </c>
      <c r="H4315" s="2">
        <v>50</v>
      </c>
      <c r="I4315" s="114" t="str">
        <f t="shared" si="675"/>
        <v>573100</v>
      </c>
      <c r="J4315" s="112" t="s">
        <v>84</v>
      </c>
      <c r="K4315" s="117" t="str">
        <f t="shared" ref="K4315" si="683">CONCATENATE(B4315,"103")</f>
        <v>573103</v>
      </c>
      <c r="L4315" s="2">
        <v>1</v>
      </c>
      <c r="M4315" s="2" t="s">
        <v>84</v>
      </c>
      <c r="N4315" s="2" t="s">
        <v>84</v>
      </c>
      <c r="O4315" s="2" t="s">
        <v>841</v>
      </c>
      <c r="P4315" s="2" t="s">
        <v>3062</v>
      </c>
    </row>
    <row r="4316" spans="1:16" ht="22" customHeight="1" x14ac:dyDescent="0.15">
      <c r="A4316" s="10" t="str">
        <f t="shared" si="676"/>
        <v>573_10_25_10_polygon</v>
      </c>
      <c r="B4316" s="2">
        <v>573</v>
      </c>
      <c r="C4316" s="30" t="str">
        <f>VLOOKUP(B4316,gachas!A:C,3)</f>
        <v>1000億BK記念_海外版限定スペシャルガチャ_前半</v>
      </c>
      <c r="D4316" s="21">
        <v>10</v>
      </c>
      <c r="E4316" s="2">
        <v>25</v>
      </c>
      <c r="F4316" s="2">
        <v>10</v>
      </c>
      <c r="G4316" s="3" t="s">
        <v>22</v>
      </c>
      <c r="H4316" s="2">
        <v>30</v>
      </c>
      <c r="I4316" s="114" t="str">
        <f t="shared" si="675"/>
        <v>573100</v>
      </c>
      <c r="J4316" s="112" t="s">
        <v>84</v>
      </c>
      <c r="K4316" s="112" t="s">
        <v>84</v>
      </c>
      <c r="L4316" s="2">
        <v>0</v>
      </c>
      <c r="M4316" s="2" t="s">
        <v>84</v>
      </c>
      <c r="N4316" s="2" t="s">
        <v>84</v>
      </c>
      <c r="O4316" s="2" t="s">
        <v>841</v>
      </c>
      <c r="P4316" s="2" t="s">
        <v>3063</v>
      </c>
    </row>
    <row r="4317" spans="1:16" ht="22" customHeight="1" x14ac:dyDescent="0.15">
      <c r="A4317" s="10" t="str">
        <f t="shared" si="676"/>
        <v>573_10_26_10_polygon</v>
      </c>
      <c r="B4317" s="2">
        <v>573</v>
      </c>
      <c r="C4317" s="30" t="str">
        <f>VLOOKUP(B4317,gachas!A:C,3)</f>
        <v>1000億BK記念_海外版限定スペシャルガチャ_前半</v>
      </c>
      <c r="D4317" s="21">
        <v>10</v>
      </c>
      <c r="E4317" s="2">
        <v>26</v>
      </c>
      <c r="F4317" s="2">
        <v>10</v>
      </c>
      <c r="G4317" s="3" t="s">
        <v>22</v>
      </c>
      <c r="H4317" s="2">
        <v>40</v>
      </c>
      <c r="I4317" s="114" t="str">
        <f t="shared" si="675"/>
        <v>573100</v>
      </c>
      <c r="J4317" s="112" t="s">
        <v>84</v>
      </c>
      <c r="K4317" s="112" t="s">
        <v>84</v>
      </c>
      <c r="L4317" s="2">
        <v>0</v>
      </c>
      <c r="M4317" s="2" t="s">
        <v>84</v>
      </c>
      <c r="N4317" s="2" t="s">
        <v>84</v>
      </c>
      <c r="O4317" s="2" t="s">
        <v>841</v>
      </c>
      <c r="P4317" s="2" t="s">
        <v>3064</v>
      </c>
    </row>
    <row r="4318" spans="1:16" ht="22" customHeight="1" x14ac:dyDescent="0.15">
      <c r="A4318" s="10" t="str">
        <f t="shared" si="676"/>
        <v>573_10_27_10_polygon</v>
      </c>
      <c r="B4318" s="2">
        <v>573</v>
      </c>
      <c r="C4318" s="30" t="str">
        <f>VLOOKUP(B4318,gachas!A:C,3)</f>
        <v>1000億BK記念_海外版限定スペシャルガチャ_前半</v>
      </c>
      <c r="D4318" s="21">
        <v>10</v>
      </c>
      <c r="E4318" s="2">
        <v>27</v>
      </c>
      <c r="F4318" s="2">
        <v>10</v>
      </c>
      <c r="G4318" s="3" t="s">
        <v>22</v>
      </c>
      <c r="H4318" s="2">
        <v>50</v>
      </c>
      <c r="I4318" s="114" t="str">
        <f t="shared" si="675"/>
        <v>573100</v>
      </c>
      <c r="J4318" s="112" t="s">
        <v>84</v>
      </c>
      <c r="K4318" s="117" t="str">
        <f t="shared" ref="K4318" si="684">CONCATENATE(B4318,"103")</f>
        <v>573103</v>
      </c>
      <c r="L4318" s="2">
        <v>1</v>
      </c>
      <c r="M4318" s="2" t="s">
        <v>84</v>
      </c>
      <c r="N4318" s="2" t="s">
        <v>84</v>
      </c>
      <c r="O4318" s="2" t="s">
        <v>841</v>
      </c>
      <c r="P4318" s="2" t="s">
        <v>3062</v>
      </c>
    </row>
    <row r="4319" spans="1:16" ht="22" customHeight="1" x14ac:dyDescent="0.15">
      <c r="A4319" s="10" t="str">
        <f t="shared" si="676"/>
        <v>573_10_28_10_polygon</v>
      </c>
      <c r="B4319" s="2">
        <v>573</v>
      </c>
      <c r="C4319" s="30" t="str">
        <f>VLOOKUP(B4319,gachas!A:C,3)</f>
        <v>1000億BK記念_海外版限定スペシャルガチャ_前半</v>
      </c>
      <c r="D4319" s="21">
        <v>10</v>
      </c>
      <c r="E4319" s="2">
        <v>28</v>
      </c>
      <c r="F4319" s="2">
        <v>10</v>
      </c>
      <c r="G4319" s="3" t="s">
        <v>22</v>
      </c>
      <c r="H4319" s="2">
        <v>30</v>
      </c>
      <c r="I4319" s="114" t="str">
        <f t="shared" si="675"/>
        <v>573100</v>
      </c>
      <c r="J4319" s="112" t="s">
        <v>84</v>
      </c>
      <c r="K4319" s="112" t="s">
        <v>84</v>
      </c>
      <c r="L4319" s="2">
        <v>0</v>
      </c>
      <c r="M4319" s="2" t="s">
        <v>84</v>
      </c>
      <c r="N4319" s="2" t="s">
        <v>84</v>
      </c>
      <c r="O4319" s="2" t="s">
        <v>841</v>
      </c>
      <c r="P4319" s="2" t="s">
        <v>3063</v>
      </c>
    </row>
    <row r="4320" spans="1:16" ht="22" customHeight="1" x14ac:dyDescent="0.15">
      <c r="A4320" s="10" t="str">
        <f t="shared" si="676"/>
        <v>573_10_29_10_polygon</v>
      </c>
      <c r="B4320" s="2">
        <v>573</v>
      </c>
      <c r="C4320" s="30" t="str">
        <f>VLOOKUP(B4320,gachas!A:C,3)</f>
        <v>1000億BK記念_海外版限定スペシャルガチャ_前半</v>
      </c>
      <c r="D4320" s="21">
        <v>10</v>
      </c>
      <c r="E4320" s="2">
        <v>29</v>
      </c>
      <c r="F4320" s="2">
        <v>10</v>
      </c>
      <c r="G4320" s="3" t="s">
        <v>22</v>
      </c>
      <c r="H4320" s="2">
        <v>40</v>
      </c>
      <c r="I4320" s="114" t="str">
        <f t="shared" si="675"/>
        <v>573100</v>
      </c>
      <c r="J4320" s="112" t="s">
        <v>84</v>
      </c>
      <c r="K4320" s="112" t="s">
        <v>84</v>
      </c>
      <c r="L4320" s="2">
        <v>0</v>
      </c>
      <c r="M4320" s="2" t="s">
        <v>84</v>
      </c>
      <c r="N4320" s="2" t="s">
        <v>84</v>
      </c>
      <c r="O4320" s="2" t="s">
        <v>841</v>
      </c>
      <c r="P4320" s="2" t="s">
        <v>3064</v>
      </c>
    </row>
    <row r="4321" spans="1:16" ht="22" customHeight="1" x14ac:dyDescent="0.15">
      <c r="A4321" s="10" t="str">
        <f t="shared" si="676"/>
        <v>573_10_30_10_polygon</v>
      </c>
      <c r="B4321" s="2">
        <v>573</v>
      </c>
      <c r="C4321" s="30" t="str">
        <f>VLOOKUP(B4321,gachas!A:C,3)</f>
        <v>1000億BK記念_海外版限定スペシャルガチャ_前半</v>
      </c>
      <c r="D4321" s="21">
        <v>10</v>
      </c>
      <c r="E4321" s="2">
        <v>30</v>
      </c>
      <c r="F4321" s="2">
        <v>10</v>
      </c>
      <c r="G4321" s="3" t="s">
        <v>22</v>
      </c>
      <c r="H4321" s="2">
        <v>50</v>
      </c>
      <c r="I4321" s="114" t="str">
        <f t="shared" si="675"/>
        <v>573100</v>
      </c>
      <c r="J4321" s="112" t="s">
        <v>84</v>
      </c>
      <c r="K4321" s="117" t="str">
        <f t="shared" ref="K4321" si="685">CONCATENATE(B4321,"103")</f>
        <v>573103</v>
      </c>
      <c r="L4321" s="2">
        <v>1</v>
      </c>
      <c r="M4321" s="2" t="s">
        <v>84</v>
      </c>
      <c r="N4321" s="2" t="s">
        <v>84</v>
      </c>
      <c r="O4321" s="2" t="s">
        <v>841</v>
      </c>
      <c r="P4321" s="2" t="s">
        <v>3062</v>
      </c>
    </row>
    <row r="4322" spans="1:16" ht="22" customHeight="1" x14ac:dyDescent="0.15">
      <c r="A4322" s="10" t="str">
        <f t="shared" si="676"/>
        <v>574_1_0_1_polygon</v>
      </c>
      <c r="B4322" s="2">
        <v>574</v>
      </c>
      <c r="C4322" s="30" t="str">
        <f>VLOOKUP(B4322,gachas!A:C,3)</f>
        <v>1000億BK記念_ユニットガチャ&lt;パラケルスス&gt;</v>
      </c>
      <c r="D4322" s="21">
        <v>1</v>
      </c>
      <c r="E4322" s="2">
        <v>0</v>
      </c>
      <c r="F4322" s="2">
        <v>1</v>
      </c>
      <c r="G4322" s="3" t="s">
        <v>22</v>
      </c>
      <c r="H4322" s="2">
        <v>5</v>
      </c>
      <c r="I4322" s="114" t="str">
        <f t="shared" si="675"/>
        <v>574010</v>
      </c>
      <c r="J4322" s="112" t="s">
        <v>84</v>
      </c>
      <c r="K4322" s="112" t="s">
        <v>84</v>
      </c>
      <c r="L4322" s="2">
        <v>0</v>
      </c>
      <c r="M4322" s="2" t="s">
        <v>84</v>
      </c>
      <c r="N4322" s="2" t="s">
        <v>84</v>
      </c>
      <c r="O4322" s="2" t="s">
        <v>841</v>
      </c>
      <c r="P4322" s="2" t="s">
        <v>84</v>
      </c>
    </row>
    <row r="4323" spans="1:16" ht="22" customHeight="1" x14ac:dyDescent="0.15">
      <c r="A4323" s="10" t="str">
        <f t="shared" si="676"/>
        <v>574_10_0_10_polygon</v>
      </c>
      <c r="B4323" s="2">
        <v>574</v>
      </c>
      <c r="C4323" s="30" t="str">
        <f>VLOOKUP(B4323,gachas!A:C,3)</f>
        <v>1000億BK記念_ユニットガチャ&lt;パラケルスス&gt;</v>
      </c>
      <c r="D4323" s="21">
        <v>10</v>
      </c>
      <c r="E4323" s="2">
        <v>0</v>
      </c>
      <c r="F4323" s="2">
        <v>10</v>
      </c>
      <c r="G4323" s="3" t="s">
        <v>22</v>
      </c>
      <c r="H4323" s="2">
        <v>50</v>
      </c>
      <c r="I4323" s="114" t="str">
        <f t="shared" si="675"/>
        <v>574100</v>
      </c>
      <c r="J4323" s="112" t="s">
        <v>84</v>
      </c>
      <c r="K4323" s="112" t="str">
        <f t="shared" ref="K4323:K4332" si="686">I4323</f>
        <v>574100</v>
      </c>
      <c r="L4323" s="2">
        <v>1</v>
      </c>
      <c r="M4323" s="2" t="s">
        <v>84</v>
      </c>
      <c r="N4323" s="2" t="s">
        <v>84</v>
      </c>
      <c r="O4323" s="2" t="s">
        <v>841</v>
      </c>
      <c r="P4323" s="2" t="s">
        <v>2571</v>
      </c>
    </row>
    <row r="4324" spans="1:16" ht="22" customHeight="1" x14ac:dyDescent="0.15">
      <c r="A4324" s="10" t="str">
        <f t="shared" si="676"/>
        <v>574_10_1_10_polygon</v>
      </c>
      <c r="B4324" s="2">
        <v>574</v>
      </c>
      <c r="C4324" s="30" t="str">
        <f>VLOOKUP(B4324,gachas!A:C,3)</f>
        <v>1000億BK記念_ユニットガチャ&lt;パラケルスス&gt;</v>
      </c>
      <c r="D4324" s="21">
        <v>10</v>
      </c>
      <c r="E4324" s="2">
        <f>E4323+1</f>
        <v>1</v>
      </c>
      <c r="F4324" s="2">
        <v>10</v>
      </c>
      <c r="G4324" s="3" t="s">
        <v>22</v>
      </c>
      <c r="H4324" s="2">
        <v>50</v>
      </c>
      <c r="I4324" s="114" t="str">
        <f t="shared" si="675"/>
        <v>574100</v>
      </c>
      <c r="J4324" s="112" t="s">
        <v>84</v>
      </c>
      <c r="K4324" s="112" t="str">
        <f t="shared" si="686"/>
        <v>574100</v>
      </c>
      <c r="L4324" s="2">
        <v>1</v>
      </c>
      <c r="M4324" s="2" t="s">
        <v>84</v>
      </c>
      <c r="N4324" s="2" t="s">
        <v>84</v>
      </c>
      <c r="O4324" s="2" t="s">
        <v>841</v>
      </c>
      <c r="P4324" s="2" t="s">
        <v>2571</v>
      </c>
    </row>
    <row r="4325" spans="1:16" ht="22" customHeight="1" x14ac:dyDescent="0.15">
      <c r="A4325" s="10" t="str">
        <f t="shared" si="676"/>
        <v>574_10_2_10_polygon</v>
      </c>
      <c r="B4325" s="2">
        <v>574</v>
      </c>
      <c r="C4325" s="30" t="str">
        <f>VLOOKUP(B4325,gachas!A:C,3)</f>
        <v>1000億BK記念_ユニットガチャ&lt;パラケルスス&gt;</v>
      </c>
      <c r="D4325" s="21">
        <v>10</v>
      </c>
      <c r="E4325" s="2">
        <f t="shared" ref="E4325:E4333" si="687">E4324+1</f>
        <v>2</v>
      </c>
      <c r="F4325" s="2">
        <v>10</v>
      </c>
      <c r="G4325" s="3" t="s">
        <v>22</v>
      </c>
      <c r="H4325" s="2">
        <v>50</v>
      </c>
      <c r="I4325" s="114" t="str">
        <f t="shared" si="675"/>
        <v>574100</v>
      </c>
      <c r="J4325" s="112" t="s">
        <v>84</v>
      </c>
      <c r="K4325" s="125">
        <v>574102</v>
      </c>
      <c r="L4325" s="2">
        <v>1</v>
      </c>
      <c r="M4325" s="2" t="s">
        <v>84</v>
      </c>
      <c r="N4325" s="2" t="s">
        <v>84</v>
      </c>
      <c r="O4325" s="2" t="s">
        <v>841</v>
      </c>
      <c r="P4325" s="6" t="s">
        <v>3111</v>
      </c>
    </row>
    <row r="4326" spans="1:16" ht="22" customHeight="1" x14ac:dyDescent="0.15">
      <c r="A4326" s="10" t="str">
        <f t="shared" si="676"/>
        <v>574_10_3_10_polygon</v>
      </c>
      <c r="B4326" s="2">
        <v>574</v>
      </c>
      <c r="C4326" s="30" t="str">
        <f>VLOOKUP(B4326,gachas!A:C,3)</f>
        <v>1000億BK記念_ユニットガチャ&lt;パラケルスス&gt;</v>
      </c>
      <c r="D4326" s="21">
        <v>10</v>
      </c>
      <c r="E4326" s="2">
        <f t="shared" si="687"/>
        <v>3</v>
      </c>
      <c r="F4326" s="2">
        <v>10</v>
      </c>
      <c r="G4326" s="3" t="s">
        <v>22</v>
      </c>
      <c r="H4326" s="2">
        <v>50</v>
      </c>
      <c r="I4326" s="114" t="str">
        <f t="shared" si="675"/>
        <v>574100</v>
      </c>
      <c r="J4326" s="112" t="s">
        <v>84</v>
      </c>
      <c r="K4326" s="112" t="str">
        <f t="shared" si="686"/>
        <v>574100</v>
      </c>
      <c r="L4326" s="2">
        <v>1</v>
      </c>
      <c r="M4326" s="2" t="s">
        <v>84</v>
      </c>
      <c r="N4326" s="2" t="s">
        <v>84</v>
      </c>
      <c r="O4326" s="2" t="s">
        <v>841</v>
      </c>
      <c r="P4326" s="2" t="s">
        <v>2571</v>
      </c>
    </row>
    <row r="4327" spans="1:16" ht="22" customHeight="1" x14ac:dyDescent="0.15">
      <c r="A4327" s="10" t="str">
        <f t="shared" si="676"/>
        <v>574_10_4_10_polygon</v>
      </c>
      <c r="B4327" s="2">
        <v>574</v>
      </c>
      <c r="C4327" s="30" t="str">
        <f>VLOOKUP(B4327,gachas!A:C,3)</f>
        <v>1000億BK記念_ユニットガチャ&lt;パラケルスス&gt;</v>
      </c>
      <c r="D4327" s="21">
        <v>10</v>
      </c>
      <c r="E4327" s="2">
        <f t="shared" si="687"/>
        <v>4</v>
      </c>
      <c r="F4327" s="2">
        <v>10</v>
      </c>
      <c r="G4327" s="3" t="s">
        <v>22</v>
      </c>
      <c r="H4327" s="2">
        <v>50</v>
      </c>
      <c r="I4327" s="114" t="str">
        <f t="shared" si="675"/>
        <v>574100</v>
      </c>
      <c r="J4327" s="112" t="s">
        <v>84</v>
      </c>
      <c r="K4327" s="112" t="str">
        <f t="shared" si="686"/>
        <v>574100</v>
      </c>
      <c r="L4327" s="2">
        <v>1</v>
      </c>
      <c r="M4327" s="2" t="s">
        <v>84</v>
      </c>
      <c r="N4327" s="2" t="s">
        <v>84</v>
      </c>
      <c r="O4327" s="2" t="s">
        <v>841</v>
      </c>
      <c r="P4327" s="2" t="s">
        <v>2571</v>
      </c>
    </row>
    <row r="4328" spans="1:16" ht="22" customHeight="1" x14ac:dyDescent="0.15">
      <c r="A4328" s="10" t="str">
        <f t="shared" si="676"/>
        <v>574_10_5_10_polygon</v>
      </c>
      <c r="B4328" s="2">
        <v>574</v>
      </c>
      <c r="C4328" s="30" t="str">
        <f>VLOOKUP(B4328,gachas!A:C,3)</f>
        <v>1000億BK記念_ユニットガチャ&lt;パラケルスス&gt;</v>
      </c>
      <c r="D4328" s="21">
        <v>10</v>
      </c>
      <c r="E4328" s="2">
        <f t="shared" si="687"/>
        <v>5</v>
      </c>
      <c r="F4328" s="2">
        <v>10</v>
      </c>
      <c r="G4328" s="3" t="s">
        <v>22</v>
      </c>
      <c r="H4328" s="2">
        <v>50</v>
      </c>
      <c r="I4328" s="114" t="str">
        <f t="shared" si="675"/>
        <v>574100</v>
      </c>
      <c r="J4328" s="112" t="s">
        <v>84</v>
      </c>
      <c r="K4328" s="125">
        <v>574102</v>
      </c>
      <c r="L4328" s="2">
        <v>1</v>
      </c>
      <c r="M4328" s="2" t="s">
        <v>84</v>
      </c>
      <c r="N4328" s="2" t="s">
        <v>84</v>
      </c>
      <c r="O4328" s="2" t="s">
        <v>841</v>
      </c>
      <c r="P4328" s="6" t="s">
        <v>3111</v>
      </c>
    </row>
    <row r="4329" spans="1:16" ht="22" customHeight="1" x14ac:dyDescent="0.15">
      <c r="A4329" s="10" t="str">
        <f t="shared" si="676"/>
        <v>574_10_6_10_polygon</v>
      </c>
      <c r="B4329" s="2">
        <v>574</v>
      </c>
      <c r="C4329" s="30" t="str">
        <f>VLOOKUP(B4329,gachas!A:C,3)</f>
        <v>1000億BK記念_ユニットガチャ&lt;パラケルスス&gt;</v>
      </c>
      <c r="D4329" s="21">
        <v>10</v>
      </c>
      <c r="E4329" s="2">
        <f t="shared" si="687"/>
        <v>6</v>
      </c>
      <c r="F4329" s="2">
        <v>10</v>
      </c>
      <c r="G4329" s="3" t="s">
        <v>22</v>
      </c>
      <c r="H4329" s="2">
        <v>50</v>
      </c>
      <c r="I4329" s="114" t="str">
        <f t="shared" si="675"/>
        <v>574100</v>
      </c>
      <c r="J4329" s="112" t="s">
        <v>84</v>
      </c>
      <c r="K4329" s="112" t="str">
        <f t="shared" si="686"/>
        <v>574100</v>
      </c>
      <c r="L4329" s="2">
        <v>1</v>
      </c>
      <c r="M4329" s="2" t="s">
        <v>84</v>
      </c>
      <c r="N4329" s="2" t="s">
        <v>84</v>
      </c>
      <c r="O4329" s="2" t="s">
        <v>841</v>
      </c>
      <c r="P4329" s="2" t="s">
        <v>2571</v>
      </c>
    </row>
    <row r="4330" spans="1:16" ht="22" customHeight="1" x14ac:dyDescent="0.15">
      <c r="A4330" s="10" t="str">
        <f t="shared" si="676"/>
        <v>574_10_7_10_polygon</v>
      </c>
      <c r="B4330" s="2">
        <v>574</v>
      </c>
      <c r="C4330" s="30" t="str">
        <f>VLOOKUP(B4330,gachas!A:C,3)</f>
        <v>1000億BK記念_ユニットガチャ&lt;パラケルスス&gt;</v>
      </c>
      <c r="D4330" s="21">
        <v>10</v>
      </c>
      <c r="E4330" s="2">
        <f t="shared" si="687"/>
        <v>7</v>
      </c>
      <c r="F4330" s="2">
        <v>10</v>
      </c>
      <c r="G4330" s="3" t="s">
        <v>22</v>
      </c>
      <c r="H4330" s="2">
        <v>50</v>
      </c>
      <c r="I4330" s="114" t="str">
        <f t="shared" si="675"/>
        <v>574100</v>
      </c>
      <c r="J4330" s="112" t="s">
        <v>84</v>
      </c>
      <c r="K4330" s="112" t="str">
        <f t="shared" si="686"/>
        <v>574100</v>
      </c>
      <c r="L4330" s="2">
        <v>1</v>
      </c>
      <c r="M4330" s="2" t="s">
        <v>84</v>
      </c>
      <c r="N4330" s="2" t="s">
        <v>84</v>
      </c>
      <c r="O4330" s="2" t="s">
        <v>841</v>
      </c>
      <c r="P4330" s="2" t="s">
        <v>2571</v>
      </c>
    </row>
    <row r="4331" spans="1:16" ht="22" customHeight="1" x14ac:dyDescent="0.15">
      <c r="A4331" s="10" t="str">
        <f t="shared" si="676"/>
        <v>574_10_8_10_polygon</v>
      </c>
      <c r="B4331" s="2">
        <v>574</v>
      </c>
      <c r="C4331" s="30" t="str">
        <f>VLOOKUP(B4331,gachas!A:C,3)</f>
        <v>1000億BK記念_ユニットガチャ&lt;パラケルスス&gt;</v>
      </c>
      <c r="D4331" s="21">
        <v>10</v>
      </c>
      <c r="E4331" s="2">
        <f t="shared" si="687"/>
        <v>8</v>
      </c>
      <c r="F4331" s="2">
        <v>10</v>
      </c>
      <c r="G4331" s="3" t="s">
        <v>22</v>
      </c>
      <c r="H4331" s="2">
        <v>50</v>
      </c>
      <c r="I4331" s="114" t="str">
        <f t="shared" si="675"/>
        <v>574100</v>
      </c>
      <c r="J4331" s="112" t="s">
        <v>84</v>
      </c>
      <c r="K4331" s="125">
        <v>574102</v>
      </c>
      <c r="L4331" s="2">
        <v>1</v>
      </c>
      <c r="M4331" s="2" t="s">
        <v>84</v>
      </c>
      <c r="N4331" s="2" t="s">
        <v>84</v>
      </c>
      <c r="O4331" s="2" t="s">
        <v>841</v>
      </c>
      <c r="P4331" s="6" t="s">
        <v>3111</v>
      </c>
    </row>
    <row r="4332" spans="1:16" ht="22" customHeight="1" x14ac:dyDescent="0.15">
      <c r="A4332" s="10" t="str">
        <f t="shared" si="676"/>
        <v>574_10_9_10_polygon</v>
      </c>
      <c r="B4332" s="2">
        <v>574</v>
      </c>
      <c r="C4332" s="30" t="str">
        <f>VLOOKUP(B4332,gachas!A:C,3)</f>
        <v>1000億BK記念_ユニットガチャ&lt;パラケルスス&gt;</v>
      </c>
      <c r="D4332" s="21">
        <v>10</v>
      </c>
      <c r="E4332" s="2">
        <f t="shared" si="687"/>
        <v>9</v>
      </c>
      <c r="F4332" s="2">
        <v>10</v>
      </c>
      <c r="G4332" s="3" t="s">
        <v>22</v>
      </c>
      <c r="H4332" s="2">
        <v>50</v>
      </c>
      <c r="I4332" s="114" t="str">
        <f t="shared" si="675"/>
        <v>574100</v>
      </c>
      <c r="J4332" s="112" t="s">
        <v>84</v>
      </c>
      <c r="K4332" s="112" t="str">
        <f t="shared" si="686"/>
        <v>574100</v>
      </c>
      <c r="L4332" s="2">
        <v>1</v>
      </c>
      <c r="M4332" s="2" t="s">
        <v>84</v>
      </c>
      <c r="N4332" s="2" t="s">
        <v>84</v>
      </c>
      <c r="O4332" s="2" t="s">
        <v>841</v>
      </c>
      <c r="P4332" s="2" t="s">
        <v>2571</v>
      </c>
    </row>
    <row r="4333" spans="1:16" ht="22" customHeight="1" x14ac:dyDescent="0.15">
      <c r="A4333" s="10" t="str">
        <f t="shared" si="676"/>
        <v>574_10_10_10_polygon</v>
      </c>
      <c r="B4333" s="2">
        <v>574</v>
      </c>
      <c r="C4333" s="30" t="str">
        <f>VLOOKUP(B4333,gachas!A:C,3)</f>
        <v>1000億BK記念_ユニットガチャ&lt;パラケルスス&gt;</v>
      </c>
      <c r="D4333" s="21">
        <v>10</v>
      </c>
      <c r="E4333" s="2">
        <f t="shared" si="687"/>
        <v>10</v>
      </c>
      <c r="F4333" s="2">
        <v>10</v>
      </c>
      <c r="G4333" s="3" t="s">
        <v>22</v>
      </c>
      <c r="H4333" s="2">
        <v>50</v>
      </c>
      <c r="I4333" s="114" t="str">
        <f t="shared" si="675"/>
        <v>574100</v>
      </c>
      <c r="J4333" s="112" t="s">
        <v>84</v>
      </c>
      <c r="K4333" s="125">
        <v>574110</v>
      </c>
      <c r="L4333" s="2">
        <v>1</v>
      </c>
      <c r="M4333" s="2" t="s">
        <v>84</v>
      </c>
      <c r="N4333" s="2" t="s">
        <v>84</v>
      </c>
      <c r="O4333" s="2" t="s">
        <v>841</v>
      </c>
      <c r="P4333" s="6" t="s">
        <v>3112</v>
      </c>
    </row>
    <row r="4334" spans="1:16" ht="22" customHeight="1" x14ac:dyDescent="0.15">
      <c r="A4334" s="10" t="str">
        <f t="shared" si="676"/>
        <v>575_10_1_1_polygon</v>
      </c>
      <c r="B4334" s="2">
        <v>575</v>
      </c>
      <c r="C4334" s="30" t="str">
        <f>VLOOKUP(B4334,gachas!A:C,3)</f>
        <v>1000億BK記念_ユニットガチャ&lt;ブール&gt;</v>
      </c>
      <c r="D4334" s="21">
        <v>10</v>
      </c>
      <c r="E4334" s="2">
        <v>1</v>
      </c>
      <c r="F4334" s="2">
        <v>1</v>
      </c>
      <c r="G4334" s="3" t="s">
        <v>22</v>
      </c>
      <c r="H4334" s="2">
        <v>1</v>
      </c>
      <c r="I4334" s="114" t="str">
        <f>CONCATENATE(B4334,IF(D4334=1,"01","10"),1)</f>
        <v>575101</v>
      </c>
      <c r="J4334" s="112" t="s">
        <v>84</v>
      </c>
      <c r="K4334" s="2" t="s">
        <v>451</v>
      </c>
      <c r="L4334" s="2">
        <v>0</v>
      </c>
      <c r="M4334" s="2" t="s">
        <v>84</v>
      </c>
      <c r="N4334" s="2" t="s">
        <v>84</v>
      </c>
      <c r="O4334" s="2" t="s">
        <v>841</v>
      </c>
      <c r="P4334" s="6" t="s">
        <v>546</v>
      </c>
    </row>
    <row r="4335" spans="1:16" ht="22" customHeight="1" x14ac:dyDescent="0.15">
      <c r="A4335" s="10" t="str">
        <f t="shared" si="676"/>
        <v>575_10_2_3_polygon</v>
      </c>
      <c r="B4335" s="2">
        <v>575</v>
      </c>
      <c r="C4335" s="30" t="str">
        <f>VLOOKUP(B4335,gachas!A:C,3)</f>
        <v>1000億BK記念_ユニットガチャ&lt;ブール&gt;</v>
      </c>
      <c r="D4335" s="21">
        <v>10</v>
      </c>
      <c r="E4335" s="2">
        <v>2</v>
      </c>
      <c r="F4335" s="2">
        <v>3</v>
      </c>
      <c r="G4335" s="3" t="s">
        <v>22</v>
      </c>
      <c r="H4335" s="2">
        <v>9</v>
      </c>
      <c r="I4335" s="117" t="str">
        <f>I4334</f>
        <v>575101</v>
      </c>
      <c r="J4335" s="112" t="s">
        <v>84</v>
      </c>
      <c r="K4335" s="2" t="s">
        <v>273</v>
      </c>
      <c r="L4335" s="2">
        <v>0</v>
      </c>
      <c r="M4335" s="2" t="s">
        <v>84</v>
      </c>
      <c r="N4335" s="2" t="s">
        <v>84</v>
      </c>
      <c r="O4335" s="2" t="s">
        <v>841</v>
      </c>
      <c r="P4335" s="6" t="s">
        <v>1273</v>
      </c>
    </row>
    <row r="4336" spans="1:16" ht="22" customHeight="1" x14ac:dyDescent="0.15">
      <c r="A4336" s="10" t="str">
        <f t="shared" si="676"/>
        <v>575_10_3_10_polygon</v>
      </c>
      <c r="B4336" s="2">
        <v>575</v>
      </c>
      <c r="C4336" s="30" t="str">
        <f>VLOOKUP(B4336,gachas!A:C,3)</f>
        <v>1000億BK記念_ユニットガチャ&lt;ブール&gt;</v>
      </c>
      <c r="D4336" s="21">
        <v>10</v>
      </c>
      <c r="E4336" s="2">
        <v>3</v>
      </c>
      <c r="F4336" s="2">
        <v>10</v>
      </c>
      <c r="G4336" s="3" t="s">
        <v>22</v>
      </c>
      <c r="H4336" s="2">
        <v>35</v>
      </c>
      <c r="I4336" s="114" t="str">
        <f>CONCATENATE(B4336,IF(D4336=1,"01","10"),3)</f>
        <v>575103</v>
      </c>
      <c r="J4336" s="117" t="str">
        <f>I4336</f>
        <v>575103</v>
      </c>
      <c r="K4336" s="2" t="s">
        <v>273</v>
      </c>
      <c r="L4336" s="2">
        <v>0</v>
      </c>
      <c r="M4336" s="2" t="s">
        <v>84</v>
      </c>
      <c r="N4336" s="2" t="s">
        <v>84</v>
      </c>
      <c r="O4336" s="2" t="s">
        <v>841</v>
      </c>
      <c r="P4336" s="2" t="s">
        <v>3101</v>
      </c>
    </row>
    <row r="4337" spans="1:16" ht="22" customHeight="1" x14ac:dyDescent="0.15">
      <c r="A4337" s="10" t="str">
        <f t="shared" si="676"/>
        <v>575_10_4_10_polygon</v>
      </c>
      <c r="B4337" s="2">
        <v>575</v>
      </c>
      <c r="C4337" s="30" t="str">
        <f>VLOOKUP(B4337,gachas!A:C,3)</f>
        <v>1000億BK記念_ユニットガチャ&lt;ブール&gt;</v>
      </c>
      <c r="D4337" s="21">
        <v>10</v>
      </c>
      <c r="E4337" s="2">
        <v>4</v>
      </c>
      <c r="F4337" s="2">
        <v>10</v>
      </c>
      <c r="G4337" s="3" t="s">
        <v>22</v>
      </c>
      <c r="H4337" s="2">
        <v>50</v>
      </c>
      <c r="I4337" s="114" t="str">
        <f>CONCATENATE(B4337,IF(D4337=1,"01","10"),4)</f>
        <v>575104</v>
      </c>
      <c r="J4337" s="117" t="str">
        <f>I4337</f>
        <v>575104</v>
      </c>
      <c r="K4337" s="2" t="s">
        <v>273</v>
      </c>
      <c r="L4337" s="2">
        <v>0</v>
      </c>
      <c r="M4337" s="2" t="s">
        <v>84</v>
      </c>
      <c r="N4337" s="2" t="s">
        <v>84</v>
      </c>
      <c r="O4337" s="2" t="s">
        <v>841</v>
      </c>
      <c r="P4337" s="2" t="s">
        <v>3102</v>
      </c>
    </row>
    <row r="4338" spans="1:16" ht="22" customHeight="1" x14ac:dyDescent="0.15">
      <c r="A4338" s="10" t="str">
        <f t="shared" si="676"/>
        <v>575_10_5_10_polygon</v>
      </c>
      <c r="B4338" s="2">
        <v>575</v>
      </c>
      <c r="C4338" s="30" t="str">
        <f>VLOOKUP(B4338,gachas!A:C,3)</f>
        <v>1000億BK記念_ユニットガチャ&lt;ブール&gt;</v>
      </c>
      <c r="D4338" s="21">
        <v>10</v>
      </c>
      <c r="E4338" s="2">
        <v>5</v>
      </c>
      <c r="F4338" s="2">
        <v>10</v>
      </c>
      <c r="G4338" s="3" t="s">
        <v>22</v>
      </c>
      <c r="H4338" s="2">
        <v>50</v>
      </c>
      <c r="I4338" s="114" t="str">
        <f>CONCATENATE(B4338,IF(D4338=1,"01","10"),5)</f>
        <v>575105</v>
      </c>
      <c r="J4338" s="117" t="str">
        <f>I4338</f>
        <v>575105</v>
      </c>
      <c r="K4338" s="2" t="s">
        <v>273</v>
      </c>
      <c r="L4338" s="2">
        <v>0</v>
      </c>
      <c r="M4338" s="2" t="s">
        <v>84</v>
      </c>
      <c r="N4338" s="2" t="s">
        <v>84</v>
      </c>
      <c r="O4338" s="2" t="s">
        <v>841</v>
      </c>
      <c r="P4338" s="2" t="s">
        <v>3103</v>
      </c>
    </row>
    <row r="4339" spans="1:16" ht="22" customHeight="1" x14ac:dyDescent="0.15">
      <c r="A4339" s="10" t="str">
        <f t="shared" ref="A4339" si="688">B4339&amp;"_"&amp;D4339&amp;"_"&amp;E4339&amp;"_"&amp;F4339&amp;"_"&amp;G4339</f>
        <v>575_10_6_10_polygon</v>
      </c>
      <c r="B4339" s="2">
        <v>575</v>
      </c>
      <c r="C4339" s="30" t="str">
        <f>VLOOKUP(B4339,gachas!A:C,3)</f>
        <v>1000億BK記念_ユニットガチャ&lt;ブール&gt;</v>
      </c>
      <c r="D4339" s="21">
        <v>10</v>
      </c>
      <c r="E4339" s="2">
        <v>6</v>
      </c>
      <c r="F4339" s="2">
        <v>10</v>
      </c>
      <c r="G4339" s="3" t="s">
        <v>22</v>
      </c>
      <c r="H4339" s="2">
        <v>50</v>
      </c>
      <c r="I4339" s="114" t="str">
        <f>CONCATENATE(B4339,IF(D4339=1,"01","10"),0)</f>
        <v>575100</v>
      </c>
      <c r="J4339" s="112" t="s">
        <v>84</v>
      </c>
      <c r="K4339" s="2" t="s">
        <v>84</v>
      </c>
      <c r="L4339" s="2">
        <v>0</v>
      </c>
      <c r="M4339" s="2" t="s">
        <v>84</v>
      </c>
      <c r="N4339" s="2" t="s">
        <v>84</v>
      </c>
      <c r="O4339" s="2" t="s">
        <v>841</v>
      </c>
      <c r="P4339" s="2" t="s">
        <v>3131</v>
      </c>
    </row>
    <row r="4340" spans="1:16" ht="22" customHeight="1" x14ac:dyDescent="0.15">
      <c r="A4340" s="10" t="str">
        <f t="shared" si="676"/>
        <v>575_10_0_10_polygon</v>
      </c>
      <c r="B4340" s="2">
        <v>575</v>
      </c>
      <c r="C4340" s="30" t="str">
        <f>VLOOKUP(B4340,gachas!A:C,3)</f>
        <v>1000億BK記念_ユニットガチャ&lt;ブール&gt;</v>
      </c>
      <c r="D4340" s="21">
        <v>10</v>
      </c>
      <c r="E4340" s="2">
        <v>0</v>
      </c>
      <c r="F4340" s="2">
        <v>10</v>
      </c>
      <c r="G4340" s="3" t="s">
        <v>22</v>
      </c>
      <c r="H4340" s="2">
        <v>50</v>
      </c>
      <c r="I4340" s="114" t="str">
        <f>CONCATENATE(B4340,IF(D4340=1,"01","10"),0)</f>
        <v>575100</v>
      </c>
      <c r="J4340" s="112" t="s">
        <v>84</v>
      </c>
      <c r="K4340" s="2" t="s">
        <v>273</v>
      </c>
      <c r="L4340" s="2">
        <v>0</v>
      </c>
      <c r="M4340" s="2" t="s">
        <v>84</v>
      </c>
      <c r="N4340" s="2" t="s">
        <v>84</v>
      </c>
      <c r="O4340" s="2" t="s">
        <v>841</v>
      </c>
      <c r="P4340" s="2" t="s">
        <v>3107</v>
      </c>
    </row>
    <row r="4341" spans="1:16" ht="22" customHeight="1" x14ac:dyDescent="0.15">
      <c r="A4341" s="10" t="str">
        <f t="shared" ref="A4341:A4354" si="689">B4341&amp;"_"&amp;D4341&amp;"_"&amp;E4341&amp;"_"&amp;F4341&amp;"_"&amp;G4341</f>
        <v>576_10_1_1_polygon</v>
      </c>
      <c r="B4341" s="2">
        <v>576</v>
      </c>
      <c r="C4341" s="30" t="str">
        <f>VLOOKUP(B4341,gachas!A:C,3)</f>
        <v>1000億BK記念_ユニットガチャ&lt;パレート&gt;</v>
      </c>
      <c r="D4341" s="21">
        <v>10</v>
      </c>
      <c r="E4341" s="2">
        <v>1</v>
      </c>
      <c r="F4341" s="2">
        <v>1</v>
      </c>
      <c r="G4341" s="3" t="s">
        <v>22</v>
      </c>
      <c r="H4341" s="2">
        <v>1</v>
      </c>
      <c r="I4341" s="114" t="str">
        <f>CONCATENATE(B4341,IF(D4341=1,"01","10"),1)</f>
        <v>576101</v>
      </c>
      <c r="J4341" s="112" t="s">
        <v>84</v>
      </c>
      <c r="K4341" s="2" t="s">
        <v>451</v>
      </c>
      <c r="L4341" s="2">
        <v>0</v>
      </c>
      <c r="M4341" s="2" t="s">
        <v>84</v>
      </c>
      <c r="N4341" s="2" t="s">
        <v>84</v>
      </c>
      <c r="O4341" s="2" t="s">
        <v>841</v>
      </c>
      <c r="P4341" s="6" t="s">
        <v>546</v>
      </c>
    </row>
    <row r="4342" spans="1:16" ht="22" customHeight="1" x14ac:dyDescent="0.15">
      <c r="A4342" s="10" t="str">
        <f t="shared" si="689"/>
        <v>576_10_2_3_polygon</v>
      </c>
      <c r="B4342" s="2">
        <v>576</v>
      </c>
      <c r="C4342" s="30" t="str">
        <f>VLOOKUP(B4342,gachas!A:C,3)</f>
        <v>1000億BK記念_ユニットガチャ&lt;パレート&gt;</v>
      </c>
      <c r="D4342" s="21">
        <v>10</v>
      </c>
      <c r="E4342" s="2">
        <v>2</v>
      </c>
      <c r="F4342" s="2">
        <v>3</v>
      </c>
      <c r="G4342" s="3" t="s">
        <v>22</v>
      </c>
      <c r="H4342" s="2">
        <v>9</v>
      </c>
      <c r="I4342" s="117" t="str">
        <f>I4341</f>
        <v>576101</v>
      </c>
      <c r="J4342" s="112" t="s">
        <v>84</v>
      </c>
      <c r="K4342" s="2" t="s">
        <v>273</v>
      </c>
      <c r="L4342" s="2">
        <v>0</v>
      </c>
      <c r="M4342" s="2" t="s">
        <v>84</v>
      </c>
      <c r="N4342" s="2" t="s">
        <v>84</v>
      </c>
      <c r="O4342" s="2" t="s">
        <v>841</v>
      </c>
      <c r="P4342" s="6" t="s">
        <v>1273</v>
      </c>
    </row>
    <row r="4343" spans="1:16" ht="22" customHeight="1" x14ac:dyDescent="0.15">
      <c r="A4343" s="10" t="str">
        <f t="shared" si="689"/>
        <v>576_10_3_10_polygon</v>
      </c>
      <c r="B4343" s="2">
        <v>576</v>
      </c>
      <c r="C4343" s="30" t="str">
        <f>VLOOKUP(B4343,gachas!A:C,3)</f>
        <v>1000億BK記念_ユニットガチャ&lt;パレート&gt;</v>
      </c>
      <c r="D4343" s="21">
        <v>10</v>
      </c>
      <c r="E4343" s="2">
        <v>3</v>
      </c>
      <c r="F4343" s="2">
        <v>10</v>
      </c>
      <c r="G4343" s="3" t="s">
        <v>22</v>
      </c>
      <c r="H4343" s="2">
        <v>35</v>
      </c>
      <c r="I4343" s="114" t="str">
        <f>CONCATENATE(B4343,IF(D4343=1,"01","10"),3)</f>
        <v>576103</v>
      </c>
      <c r="J4343" s="117" t="str">
        <f>I4343</f>
        <v>576103</v>
      </c>
      <c r="K4343" s="2" t="s">
        <v>273</v>
      </c>
      <c r="L4343" s="2">
        <v>0</v>
      </c>
      <c r="M4343" s="2" t="s">
        <v>84</v>
      </c>
      <c r="N4343" s="2" t="s">
        <v>84</v>
      </c>
      <c r="O4343" s="2" t="s">
        <v>841</v>
      </c>
      <c r="P4343" s="2" t="s">
        <v>3104</v>
      </c>
    </row>
    <row r="4344" spans="1:16" ht="22" customHeight="1" x14ac:dyDescent="0.15">
      <c r="A4344" s="10" t="str">
        <f t="shared" si="689"/>
        <v>576_10_4_10_polygon</v>
      </c>
      <c r="B4344" s="2">
        <v>576</v>
      </c>
      <c r="C4344" s="30" t="str">
        <f>VLOOKUP(B4344,gachas!A:C,3)</f>
        <v>1000億BK記念_ユニットガチャ&lt;パレート&gt;</v>
      </c>
      <c r="D4344" s="21">
        <v>10</v>
      </c>
      <c r="E4344" s="2">
        <v>4</v>
      </c>
      <c r="F4344" s="2">
        <v>10</v>
      </c>
      <c r="G4344" s="3" t="s">
        <v>22</v>
      </c>
      <c r="H4344" s="2">
        <v>50</v>
      </c>
      <c r="I4344" s="114" t="str">
        <f>CONCATENATE(B4344,IF(D4344=1,"01","10"),4)</f>
        <v>576104</v>
      </c>
      <c r="J4344" s="117" t="str">
        <f>I4344</f>
        <v>576104</v>
      </c>
      <c r="K4344" s="2" t="s">
        <v>273</v>
      </c>
      <c r="L4344" s="2">
        <v>0</v>
      </c>
      <c r="M4344" s="2" t="s">
        <v>84</v>
      </c>
      <c r="N4344" s="2" t="s">
        <v>84</v>
      </c>
      <c r="O4344" s="2" t="s">
        <v>841</v>
      </c>
      <c r="P4344" s="2" t="s">
        <v>3105</v>
      </c>
    </row>
    <row r="4345" spans="1:16" ht="22" customHeight="1" x14ac:dyDescent="0.15">
      <c r="A4345" s="10" t="str">
        <f t="shared" si="689"/>
        <v>576_10_5_10_polygon</v>
      </c>
      <c r="B4345" s="2">
        <v>576</v>
      </c>
      <c r="C4345" s="30" t="str">
        <f>VLOOKUP(B4345,gachas!A:C,3)</f>
        <v>1000億BK記念_ユニットガチャ&lt;パレート&gt;</v>
      </c>
      <c r="D4345" s="21">
        <v>10</v>
      </c>
      <c r="E4345" s="2">
        <v>5</v>
      </c>
      <c r="F4345" s="2">
        <v>10</v>
      </c>
      <c r="G4345" s="3" t="s">
        <v>22</v>
      </c>
      <c r="H4345" s="2">
        <v>50</v>
      </c>
      <c r="I4345" s="114" t="str">
        <f>CONCATENATE(B4345,IF(D4345=1,"01","10"),5)</f>
        <v>576105</v>
      </c>
      <c r="J4345" s="117" t="str">
        <f>I4345</f>
        <v>576105</v>
      </c>
      <c r="K4345" s="2" t="s">
        <v>273</v>
      </c>
      <c r="L4345" s="2">
        <v>0</v>
      </c>
      <c r="M4345" s="2" t="s">
        <v>84</v>
      </c>
      <c r="N4345" s="2" t="s">
        <v>84</v>
      </c>
      <c r="O4345" s="2" t="s">
        <v>841</v>
      </c>
      <c r="P4345" s="2" t="s">
        <v>3106</v>
      </c>
    </row>
    <row r="4346" spans="1:16" ht="22" customHeight="1" x14ac:dyDescent="0.15">
      <c r="A4346" s="10" t="str">
        <f t="shared" ref="A4346" si="690">B4346&amp;"_"&amp;D4346&amp;"_"&amp;E4346&amp;"_"&amp;F4346&amp;"_"&amp;G4346</f>
        <v>576_10_6_10_polygon</v>
      </c>
      <c r="B4346" s="2">
        <v>576</v>
      </c>
      <c r="C4346" s="30" t="str">
        <f>VLOOKUP(B4346,gachas!A:C,3)</f>
        <v>1000億BK記念_ユニットガチャ&lt;パレート&gt;</v>
      </c>
      <c r="D4346" s="21">
        <v>10</v>
      </c>
      <c r="E4346" s="2">
        <v>6</v>
      </c>
      <c r="F4346" s="2">
        <v>10</v>
      </c>
      <c r="G4346" s="3" t="s">
        <v>22</v>
      </c>
      <c r="H4346" s="2">
        <v>50</v>
      </c>
      <c r="I4346" s="114" t="str">
        <f>CONCATENATE(B4346,IF(D4346=1,"01","10"),0)</f>
        <v>576100</v>
      </c>
      <c r="J4346" s="112" t="s">
        <v>84</v>
      </c>
      <c r="K4346" s="2" t="s">
        <v>84</v>
      </c>
      <c r="L4346" s="2">
        <v>0</v>
      </c>
      <c r="M4346" s="2" t="s">
        <v>84</v>
      </c>
      <c r="N4346" s="2" t="s">
        <v>84</v>
      </c>
      <c r="O4346" s="2" t="s">
        <v>841</v>
      </c>
      <c r="P4346" s="2" t="s">
        <v>3130</v>
      </c>
    </row>
    <row r="4347" spans="1:16" ht="22" customHeight="1" x14ac:dyDescent="0.15">
      <c r="A4347" s="10" t="str">
        <f t="shared" si="689"/>
        <v>576_10_0_10_polygon</v>
      </c>
      <c r="B4347" s="2">
        <v>576</v>
      </c>
      <c r="C4347" s="30" t="str">
        <f>VLOOKUP(B4347,gachas!A:C,3)</f>
        <v>1000億BK記念_ユニットガチャ&lt;パレート&gt;</v>
      </c>
      <c r="D4347" s="21">
        <v>10</v>
      </c>
      <c r="E4347" s="2">
        <v>0</v>
      </c>
      <c r="F4347" s="2">
        <v>10</v>
      </c>
      <c r="G4347" s="3" t="s">
        <v>22</v>
      </c>
      <c r="H4347" s="2">
        <v>50</v>
      </c>
      <c r="I4347" s="114" t="str">
        <f>CONCATENATE(B4347,IF(D4347=1,"01","10"),0)</f>
        <v>576100</v>
      </c>
      <c r="J4347" s="112" t="s">
        <v>84</v>
      </c>
      <c r="K4347" s="2" t="s">
        <v>273</v>
      </c>
      <c r="L4347" s="2">
        <v>0</v>
      </c>
      <c r="M4347" s="2" t="s">
        <v>84</v>
      </c>
      <c r="N4347" s="2" t="s">
        <v>84</v>
      </c>
      <c r="O4347" s="2" t="s">
        <v>841</v>
      </c>
      <c r="P4347" s="2" t="s">
        <v>3108</v>
      </c>
    </row>
    <row r="4348" spans="1:16" ht="22" customHeight="1" x14ac:dyDescent="0.15">
      <c r="A4348" s="10" t="str">
        <f t="shared" si="689"/>
        <v>577_1_0_1_polygon</v>
      </c>
      <c r="B4348" s="2">
        <v>577</v>
      </c>
      <c r="C4348" s="30" t="str">
        <f>VLOOKUP(B4348,gachas!A:C,3)</f>
        <v>1000億BK記念_ユニットガチャ&lt;ハーシェル&amp;フェルマー&gt;</v>
      </c>
      <c r="D4348" s="21">
        <v>1</v>
      </c>
      <c r="E4348" s="2">
        <v>0</v>
      </c>
      <c r="F4348" s="2">
        <v>1</v>
      </c>
      <c r="G4348" s="3" t="s">
        <v>22</v>
      </c>
      <c r="H4348" s="2">
        <v>5</v>
      </c>
      <c r="I4348" s="114" t="str">
        <f t="shared" ref="I4348:I4354" si="691">CONCATENATE(B4348,IF(D4348=1,"01","10"),0)</f>
        <v>577010</v>
      </c>
      <c r="J4348" s="112" t="s">
        <v>84</v>
      </c>
      <c r="K4348" s="112" t="s">
        <v>84</v>
      </c>
      <c r="L4348" s="2">
        <v>0</v>
      </c>
      <c r="M4348" s="2" t="s">
        <v>84</v>
      </c>
      <c r="N4348" s="2" t="s">
        <v>84</v>
      </c>
      <c r="O4348" s="2" t="s">
        <v>841</v>
      </c>
      <c r="P4348" s="2" t="s">
        <v>84</v>
      </c>
    </row>
    <row r="4349" spans="1:16" ht="22" customHeight="1" x14ac:dyDescent="0.15">
      <c r="A4349" s="10" t="str">
        <f t="shared" si="689"/>
        <v>577_10_0_10_polygon</v>
      </c>
      <c r="B4349" s="2">
        <v>577</v>
      </c>
      <c r="C4349" s="30" t="str">
        <f>VLOOKUP(B4349,gachas!A:C,3)</f>
        <v>1000億BK記念_ユニットガチャ&lt;ハーシェル&amp;フェルマー&gt;</v>
      </c>
      <c r="D4349" s="21">
        <v>10</v>
      </c>
      <c r="E4349" s="2">
        <v>0</v>
      </c>
      <c r="F4349" s="2">
        <v>10</v>
      </c>
      <c r="G4349" s="3" t="s">
        <v>22</v>
      </c>
      <c r="H4349" s="2">
        <v>50</v>
      </c>
      <c r="I4349" s="114" t="str">
        <f t="shared" si="691"/>
        <v>577100</v>
      </c>
      <c r="J4349" s="112" t="s">
        <v>84</v>
      </c>
      <c r="K4349" s="112" t="str">
        <f t="shared" ref="K4349:K4351" si="692">I4349</f>
        <v>577100</v>
      </c>
      <c r="L4349" s="2">
        <v>1</v>
      </c>
      <c r="M4349" s="2" t="s">
        <v>84</v>
      </c>
      <c r="N4349" s="2" t="s">
        <v>84</v>
      </c>
      <c r="O4349" s="2" t="s">
        <v>841</v>
      </c>
      <c r="P4349" s="2" t="s">
        <v>2571</v>
      </c>
    </row>
    <row r="4350" spans="1:16" ht="22" customHeight="1" x14ac:dyDescent="0.15">
      <c r="A4350" s="10" t="str">
        <f t="shared" si="689"/>
        <v>577_10_1_10_polygon</v>
      </c>
      <c r="B4350" s="2">
        <v>577</v>
      </c>
      <c r="C4350" s="30" t="str">
        <f>VLOOKUP(B4350,gachas!A:C,3)</f>
        <v>1000億BK記念_ユニットガチャ&lt;ハーシェル&amp;フェルマー&gt;</v>
      </c>
      <c r="D4350" s="21">
        <v>10</v>
      </c>
      <c r="E4350" s="2">
        <f>E4349+1</f>
        <v>1</v>
      </c>
      <c r="F4350" s="2">
        <v>10</v>
      </c>
      <c r="G4350" s="3" t="s">
        <v>22</v>
      </c>
      <c r="H4350" s="2">
        <v>50</v>
      </c>
      <c r="I4350" s="114" t="str">
        <f t="shared" si="691"/>
        <v>577100</v>
      </c>
      <c r="J4350" s="112" t="s">
        <v>84</v>
      </c>
      <c r="K4350" s="112" t="str">
        <f t="shared" si="692"/>
        <v>577100</v>
      </c>
      <c r="L4350" s="2">
        <v>1</v>
      </c>
      <c r="M4350" s="2" t="s">
        <v>84</v>
      </c>
      <c r="N4350" s="2" t="s">
        <v>84</v>
      </c>
      <c r="O4350" s="2" t="s">
        <v>841</v>
      </c>
      <c r="P4350" s="2" t="s">
        <v>2571</v>
      </c>
    </row>
    <row r="4351" spans="1:16" ht="22" customHeight="1" x14ac:dyDescent="0.15">
      <c r="A4351" s="10" t="str">
        <f t="shared" si="689"/>
        <v>577_10_2_10_polygon</v>
      </c>
      <c r="B4351" s="2">
        <v>577</v>
      </c>
      <c r="C4351" s="30" t="str">
        <f>VLOOKUP(B4351,gachas!A:C,3)</f>
        <v>1000億BK記念_ユニットガチャ&lt;ハーシェル&amp;フェルマー&gt;</v>
      </c>
      <c r="D4351" s="21">
        <v>10</v>
      </c>
      <c r="E4351" s="2">
        <f t="shared" ref="E4351:E4399" si="693">E4350+1</f>
        <v>2</v>
      </c>
      <c r="F4351" s="2">
        <v>10</v>
      </c>
      <c r="G4351" s="3" t="s">
        <v>22</v>
      </c>
      <c r="H4351" s="2">
        <v>50</v>
      </c>
      <c r="I4351" s="114" t="str">
        <f t="shared" si="691"/>
        <v>577100</v>
      </c>
      <c r="J4351" s="112" t="s">
        <v>84</v>
      </c>
      <c r="K4351" s="112" t="str">
        <f t="shared" si="692"/>
        <v>577100</v>
      </c>
      <c r="L4351" s="2">
        <v>1</v>
      </c>
      <c r="M4351" s="2" t="s">
        <v>84</v>
      </c>
      <c r="N4351" s="2" t="s">
        <v>84</v>
      </c>
      <c r="O4351" s="2" t="s">
        <v>841</v>
      </c>
      <c r="P4351" s="2" t="s">
        <v>2571</v>
      </c>
    </row>
    <row r="4352" spans="1:16" ht="22" customHeight="1" x14ac:dyDescent="0.15">
      <c r="A4352" s="10" t="str">
        <f t="shared" si="689"/>
        <v>577_10_3_10_polygon</v>
      </c>
      <c r="B4352" s="2">
        <v>577</v>
      </c>
      <c r="C4352" s="30" t="str">
        <f>VLOOKUP(B4352,gachas!A:C,3)</f>
        <v>1000億BK記念_ユニットガチャ&lt;ハーシェル&amp;フェルマー&gt;</v>
      </c>
      <c r="D4352" s="21">
        <v>10</v>
      </c>
      <c r="E4352" s="2">
        <f t="shared" si="693"/>
        <v>3</v>
      </c>
      <c r="F4352" s="2">
        <v>10</v>
      </c>
      <c r="G4352" s="3" t="s">
        <v>22</v>
      </c>
      <c r="H4352" s="2">
        <v>50</v>
      </c>
      <c r="I4352" s="114" t="str">
        <f t="shared" si="691"/>
        <v>577100</v>
      </c>
      <c r="J4352" s="112" t="str">
        <f>B4352&amp;D4352&amp;E4352</f>
        <v>577103</v>
      </c>
      <c r="K4352" s="112" t="str">
        <f t="shared" ref="K4352:K4353" si="694">I4352</f>
        <v>577100</v>
      </c>
      <c r="L4352" s="2">
        <v>1</v>
      </c>
      <c r="M4352" s="2" t="s">
        <v>84</v>
      </c>
      <c r="N4352" s="2" t="s">
        <v>84</v>
      </c>
      <c r="O4352" s="2" t="s">
        <v>841</v>
      </c>
      <c r="P4352" s="6" t="s">
        <v>3134</v>
      </c>
    </row>
    <row r="4353" spans="1:16" ht="22" customHeight="1" x14ac:dyDescent="0.15">
      <c r="A4353" s="10" t="str">
        <f t="shared" si="689"/>
        <v>577_10_4_10_polygon</v>
      </c>
      <c r="B4353" s="2">
        <v>577</v>
      </c>
      <c r="C4353" s="30" t="str">
        <f>VLOOKUP(B4353,gachas!A:C,3)</f>
        <v>1000億BK記念_ユニットガチャ&lt;ハーシェル&amp;フェルマー&gt;</v>
      </c>
      <c r="D4353" s="21">
        <v>10</v>
      </c>
      <c r="E4353" s="2">
        <f t="shared" si="693"/>
        <v>4</v>
      </c>
      <c r="F4353" s="2">
        <v>10</v>
      </c>
      <c r="G4353" s="3" t="s">
        <v>22</v>
      </c>
      <c r="H4353" s="2">
        <v>50</v>
      </c>
      <c r="I4353" s="114" t="str">
        <f t="shared" si="691"/>
        <v>577100</v>
      </c>
      <c r="J4353" s="112" t="s">
        <v>84</v>
      </c>
      <c r="K4353" s="112" t="str">
        <f t="shared" si="694"/>
        <v>577100</v>
      </c>
      <c r="L4353" s="2">
        <v>1</v>
      </c>
      <c r="M4353" s="2" t="s">
        <v>84</v>
      </c>
      <c r="N4353" s="2" t="s">
        <v>84</v>
      </c>
      <c r="O4353" s="2" t="s">
        <v>841</v>
      </c>
      <c r="P4353" s="2" t="s">
        <v>2571</v>
      </c>
    </row>
    <row r="4354" spans="1:16" ht="22" customHeight="1" x14ac:dyDescent="0.15">
      <c r="A4354" s="10" t="str">
        <f t="shared" si="689"/>
        <v>577_10_5_10_polygon</v>
      </c>
      <c r="B4354" s="2">
        <v>577</v>
      </c>
      <c r="C4354" s="30" t="str">
        <f>VLOOKUP(B4354,gachas!A:C,3)</f>
        <v>1000億BK記念_ユニットガチャ&lt;ハーシェル&amp;フェルマー&gt;</v>
      </c>
      <c r="D4354" s="21">
        <v>10</v>
      </c>
      <c r="E4354" s="2">
        <f t="shared" si="693"/>
        <v>5</v>
      </c>
      <c r="F4354" s="2">
        <v>10</v>
      </c>
      <c r="G4354" s="3" t="s">
        <v>22</v>
      </c>
      <c r="H4354" s="2">
        <v>50</v>
      </c>
      <c r="I4354" s="114" t="str">
        <f t="shared" si="691"/>
        <v>577100</v>
      </c>
      <c r="J4354" s="112" t="s">
        <v>84</v>
      </c>
      <c r="K4354" s="125">
        <v>577102</v>
      </c>
      <c r="L4354" s="2">
        <v>1</v>
      </c>
      <c r="M4354" s="2" t="s">
        <v>84</v>
      </c>
      <c r="N4354" s="2" t="s">
        <v>84</v>
      </c>
      <c r="O4354" s="2" t="s">
        <v>841</v>
      </c>
      <c r="P4354" s="6" t="s">
        <v>3111</v>
      </c>
    </row>
    <row r="4355" spans="1:16" ht="22" customHeight="1" x14ac:dyDescent="0.15">
      <c r="A4355" s="10" t="str">
        <f t="shared" ref="A4355:A4364" si="695">B4355&amp;"_"&amp;D4355&amp;"_"&amp;E4355&amp;"_"&amp;F4355&amp;"_"&amp;G4355</f>
        <v>577_10_6_10_polygon</v>
      </c>
      <c r="B4355" s="2">
        <v>577</v>
      </c>
      <c r="C4355" s="30" t="str">
        <f>VLOOKUP(B4355,gachas!A:C,3)</f>
        <v>1000億BK記念_ユニットガチャ&lt;ハーシェル&amp;フェルマー&gt;</v>
      </c>
      <c r="D4355" s="21">
        <v>10</v>
      </c>
      <c r="E4355" s="2">
        <f>E4354+1</f>
        <v>6</v>
      </c>
      <c r="F4355" s="2">
        <v>10</v>
      </c>
      <c r="G4355" s="3" t="s">
        <v>22</v>
      </c>
      <c r="H4355" s="2">
        <v>50</v>
      </c>
      <c r="I4355" s="114" t="str">
        <f t="shared" ref="I4355:I4364" si="696">CONCATENATE(B4355,IF(D4355=1,"01","10"),0)</f>
        <v>577100</v>
      </c>
      <c r="J4355" s="112" t="s">
        <v>84</v>
      </c>
      <c r="K4355" s="112" t="str">
        <f t="shared" ref="K4355:K4398" si="697">I4355</f>
        <v>577100</v>
      </c>
      <c r="L4355" s="2">
        <v>1</v>
      </c>
      <c r="M4355" s="2" t="s">
        <v>84</v>
      </c>
      <c r="N4355" s="2" t="s">
        <v>84</v>
      </c>
      <c r="O4355" s="2" t="s">
        <v>841</v>
      </c>
      <c r="P4355" s="2" t="s">
        <v>2571</v>
      </c>
    </row>
    <row r="4356" spans="1:16" ht="22" customHeight="1" x14ac:dyDescent="0.15">
      <c r="A4356" s="10" t="str">
        <f t="shared" si="695"/>
        <v>577_10_7_10_polygon</v>
      </c>
      <c r="B4356" s="2">
        <v>577</v>
      </c>
      <c r="C4356" s="30" t="str">
        <f>VLOOKUP(B4356,gachas!A:C,3)</f>
        <v>1000億BK記念_ユニットガチャ&lt;ハーシェル&amp;フェルマー&gt;</v>
      </c>
      <c r="D4356" s="21">
        <v>10</v>
      </c>
      <c r="E4356" s="2">
        <f t="shared" si="693"/>
        <v>7</v>
      </c>
      <c r="F4356" s="2">
        <v>10</v>
      </c>
      <c r="G4356" s="3" t="s">
        <v>22</v>
      </c>
      <c r="H4356" s="2">
        <v>50</v>
      </c>
      <c r="I4356" s="114" t="str">
        <f t="shared" si="696"/>
        <v>577100</v>
      </c>
      <c r="J4356" s="112" t="s">
        <v>84</v>
      </c>
      <c r="K4356" s="112" t="str">
        <f t="shared" si="697"/>
        <v>577100</v>
      </c>
      <c r="L4356" s="2">
        <v>1</v>
      </c>
      <c r="M4356" s="2" t="s">
        <v>84</v>
      </c>
      <c r="N4356" s="2" t="s">
        <v>84</v>
      </c>
      <c r="O4356" s="2" t="s">
        <v>841</v>
      </c>
      <c r="P4356" s="2" t="s">
        <v>2571</v>
      </c>
    </row>
    <row r="4357" spans="1:16" ht="22" customHeight="1" x14ac:dyDescent="0.15">
      <c r="A4357" s="10" t="str">
        <f t="shared" si="695"/>
        <v>577_10_8_10_polygon</v>
      </c>
      <c r="B4357" s="2">
        <v>577</v>
      </c>
      <c r="C4357" s="30" t="str">
        <f>VLOOKUP(B4357,gachas!A:C,3)</f>
        <v>1000億BK記念_ユニットガチャ&lt;ハーシェル&amp;フェルマー&gt;</v>
      </c>
      <c r="D4357" s="21">
        <v>10</v>
      </c>
      <c r="E4357" s="2">
        <f t="shared" si="693"/>
        <v>8</v>
      </c>
      <c r="F4357" s="2">
        <v>10</v>
      </c>
      <c r="G4357" s="3" t="s">
        <v>22</v>
      </c>
      <c r="H4357" s="2">
        <v>50</v>
      </c>
      <c r="I4357" s="114" t="str">
        <f t="shared" si="696"/>
        <v>577100</v>
      </c>
      <c r="J4357" s="112" t="str">
        <f>$J$4352</f>
        <v>577103</v>
      </c>
      <c r="K4357" s="112" t="str">
        <f t="shared" si="697"/>
        <v>577100</v>
      </c>
      <c r="L4357" s="2">
        <v>1</v>
      </c>
      <c r="M4357" s="2" t="s">
        <v>84</v>
      </c>
      <c r="N4357" s="2" t="s">
        <v>84</v>
      </c>
      <c r="O4357" s="2" t="s">
        <v>841</v>
      </c>
      <c r="P4357" s="6" t="s">
        <v>3113</v>
      </c>
    </row>
    <row r="4358" spans="1:16" ht="22" customHeight="1" x14ac:dyDescent="0.15">
      <c r="A4358" s="10" t="str">
        <f t="shared" si="695"/>
        <v>577_10_9_10_polygon</v>
      </c>
      <c r="B4358" s="2">
        <v>577</v>
      </c>
      <c r="C4358" s="30" t="str">
        <f>VLOOKUP(B4358,gachas!A:C,3)</f>
        <v>1000億BK記念_ユニットガチャ&lt;ハーシェル&amp;フェルマー&gt;</v>
      </c>
      <c r="D4358" s="21">
        <v>10</v>
      </c>
      <c r="E4358" s="2">
        <f t="shared" si="693"/>
        <v>9</v>
      </c>
      <c r="F4358" s="2">
        <v>10</v>
      </c>
      <c r="G4358" s="3" t="s">
        <v>22</v>
      </c>
      <c r="H4358" s="2">
        <v>50</v>
      </c>
      <c r="I4358" s="114" t="str">
        <f t="shared" si="696"/>
        <v>577100</v>
      </c>
      <c r="J4358" s="112" t="s">
        <v>84</v>
      </c>
      <c r="K4358" s="112" t="str">
        <f t="shared" si="697"/>
        <v>577100</v>
      </c>
      <c r="L4358" s="2">
        <v>1</v>
      </c>
      <c r="M4358" s="2" t="s">
        <v>84</v>
      </c>
      <c r="N4358" s="2" t="s">
        <v>84</v>
      </c>
      <c r="O4358" s="2" t="s">
        <v>841</v>
      </c>
      <c r="P4358" s="2" t="s">
        <v>2571</v>
      </c>
    </row>
    <row r="4359" spans="1:16" ht="22" customHeight="1" x14ac:dyDescent="0.15">
      <c r="A4359" s="10" t="str">
        <f t="shared" si="695"/>
        <v>577_10_10_10_polygon</v>
      </c>
      <c r="B4359" s="2">
        <v>577</v>
      </c>
      <c r="C4359" s="30" t="str">
        <f>VLOOKUP(B4359,gachas!A:C,3)</f>
        <v>1000億BK記念_ユニットガチャ&lt;ハーシェル&amp;フェルマー&gt;</v>
      </c>
      <c r="D4359" s="21">
        <v>10</v>
      </c>
      <c r="E4359" s="2">
        <f t="shared" si="693"/>
        <v>10</v>
      </c>
      <c r="F4359" s="2">
        <v>10</v>
      </c>
      <c r="G4359" s="3" t="s">
        <v>22</v>
      </c>
      <c r="H4359" s="2">
        <v>50</v>
      </c>
      <c r="I4359" s="114" t="str">
        <f t="shared" si="696"/>
        <v>577100</v>
      </c>
      <c r="J4359" s="112" t="s">
        <v>84</v>
      </c>
      <c r="K4359" s="125">
        <v>577102</v>
      </c>
      <c r="L4359" s="2">
        <v>1</v>
      </c>
      <c r="M4359" s="2" t="s">
        <v>84</v>
      </c>
      <c r="N4359" s="2" t="s">
        <v>84</v>
      </c>
      <c r="O4359" s="2" t="s">
        <v>841</v>
      </c>
      <c r="P4359" s="6" t="s">
        <v>3111</v>
      </c>
    </row>
    <row r="4360" spans="1:16" ht="22" customHeight="1" x14ac:dyDescent="0.15">
      <c r="A4360" s="10" t="str">
        <f t="shared" si="695"/>
        <v>577_10_11_10_polygon</v>
      </c>
      <c r="B4360" s="2">
        <v>577</v>
      </c>
      <c r="C4360" s="30" t="str">
        <f>VLOOKUP(B4360,gachas!A:C,3)</f>
        <v>1000億BK記念_ユニットガチャ&lt;ハーシェル&amp;フェルマー&gt;</v>
      </c>
      <c r="D4360" s="21">
        <v>10</v>
      </c>
      <c r="E4360" s="2">
        <f>E4359+1</f>
        <v>11</v>
      </c>
      <c r="F4360" s="2">
        <v>10</v>
      </c>
      <c r="G4360" s="3" t="s">
        <v>22</v>
      </c>
      <c r="H4360" s="2">
        <v>50</v>
      </c>
      <c r="I4360" s="114" t="str">
        <f t="shared" si="696"/>
        <v>577100</v>
      </c>
      <c r="J4360" s="112" t="s">
        <v>84</v>
      </c>
      <c r="K4360" s="112" t="str">
        <f t="shared" si="697"/>
        <v>577100</v>
      </c>
      <c r="L4360" s="2">
        <v>1</v>
      </c>
      <c r="M4360" s="2" t="s">
        <v>84</v>
      </c>
      <c r="N4360" s="2" t="s">
        <v>84</v>
      </c>
      <c r="O4360" s="2" t="s">
        <v>841</v>
      </c>
      <c r="P4360" s="2" t="s">
        <v>2571</v>
      </c>
    </row>
    <row r="4361" spans="1:16" ht="22" customHeight="1" x14ac:dyDescent="0.15">
      <c r="A4361" s="10" t="str">
        <f t="shared" si="695"/>
        <v>577_10_12_10_polygon</v>
      </c>
      <c r="B4361" s="2">
        <v>577</v>
      </c>
      <c r="C4361" s="30" t="str">
        <f>VLOOKUP(B4361,gachas!A:C,3)</f>
        <v>1000億BK記念_ユニットガチャ&lt;ハーシェル&amp;フェルマー&gt;</v>
      </c>
      <c r="D4361" s="21">
        <v>10</v>
      </c>
      <c r="E4361" s="2">
        <f t="shared" si="693"/>
        <v>12</v>
      </c>
      <c r="F4361" s="2">
        <v>10</v>
      </c>
      <c r="G4361" s="3" t="s">
        <v>22</v>
      </c>
      <c r="H4361" s="2">
        <v>50</v>
      </c>
      <c r="I4361" s="114" t="str">
        <f t="shared" si="696"/>
        <v>577100</v>
      </c>
      <c r="J4361" s="112" t="s">
        <v>84</v>
      </c>
      <c r="K4361" s="112" t="str">
        <f t="shared" si="697"/>
        <v>577100</v>
      </c>
      <c r="L4361" s="2">
        <v>1</v>
      </c>
      <c r="M4361" s="2" t="s">
        <v>84</v>
      </c>
      <c r="N4361" s="2" t="s">
        <v>84</v>
      </c>
      <c r="O4361" s="2" t="s">
        <v>841</v>
      </c>
      <c r="P4361" s="2" t="s">
        <v>2571</v>
      </c>
    </row>
    <row r="4362" spans="1:16" ht="22" customHeight="1" x14ac:dyDescent="0.15">
      <c r="A4362" s="10" t="str">
        <f t="shared" si="695"/>
        <v>577_10_13_10_polygon</v>
      </c>
      <c r="B4362" s="2">
        <v>577</v>
      </c>
      <c r="C4362" s="30" t="str">
        <f>VLOOKUP(B4362,gachas!A:C,3)</f>
        <v>1000億BK記念_ユニットガチャ&lt;ハーシェル&amp;フェルマー&gt;</v>
      </c>
      <c r="D4362" s="21">
        <v>10</v>
      </c>
      <c r="E4362" s="2">
        <f t="shared" si="693"/>
        <v>13</v>
      </c>
      <c r="F4362" s="2">
        <v>10</v>
      </c>
      <c r="G4362" s="3" t="s">
        <v>22</v>
      </c>
      <c r="H4362" s="2">
        <v>50</v>
      </c>
      <c r="I4362" s="114" t="str">
        <f t="shared" si="696"/>
        <v>577100</v>
      </c>
      <c r="J4362" s="112" t="str">
        <f t="shared" ref="J4362" si="698">$J$4352</f>
        <v>577103</v>
      </c>
      <c r="K4362" s="112" t="str">
        <f t="shared" si="697"/>
        <v>577100</v>
      </c>
      <c r="L4362" s="2">
        <v>1</v>
      </c>
      <c r="M4362" s="2" t="s">
        <v>84</v>
      </c>
      <c r="N4362" s="2" t="s">
        <v>84</v>
      </c>
      <c r="O4362" s="2" t="s">
        <v>841</v>
      </c>
      <c r="P4362" s="6" t="s">
        <v>3113</v>
      </c>
    </row>
    <row r="4363" spans="1:16" ht="22" customHeight="1" x14ac:dyDescent="0.15">
      <c r="A4363" s="10" t="str">
        <f t="shared" si="695"/>
        <v>577_10_14_10_polygon</v>
      </c>
      <c r="B4363" s="2">
        <v>577</v>
      </c>
      <c r="C4363" s="30" t="str">
        <f>VLOOKUP(B4363,gachas!A:C,3)</f>
        <v>1000億BK記念_ユニットガチャ&lt;ハーシェル&amp;フェルマー&gt;</v>
      </c>
      <c r="D4363" s="21">
        <v>10</v>
      </c>
      <c r="E4363" s="2">
        <f t="shared" si="693"/>
        <v>14</v>
      </c>
      <c r="F4363" s="2">
        <v>10</v>
      </c>
      <c r="G4363" s="3" t="s">
        <v>22</v>
      </c>
      <c r="H4363" s="2">
        <v>50</v>
      </c>
      <c r="I4363" s="114" t="str">
        <f t="shared" si="696"/>
        <v>577100</v>
      </c>
      <c r="J4363" s="112" t="s">
        <v>84</v>
      </c>
      <c r="K4363" s="112" t="str">
        <f t="shared" si="697"/>
        <v>577100</v>
      </c>
      <c r="L4363" s="2">
        <v>1</v>
      </c>
      <c r="M4363" s="2" t="s">
        <v>84</v>
      </c>
      <c r="N4363" s="2" t="s">
        <v>84</v>
      </c>
      <c r="O4363" s="2" t="s">
        <v>841</v>
      </c>
      <c r="P4363" s="2" t="s">
        <v>2571</v>
      </c>
    </row>
    <row r="4364" spans="1:16" ht="22" customHeight="1" x14ac:dyDescent="0.15">
      <c r="A4364" s="10" t="str">
        <f t="shared" si="695"/>
        <v>577_10_15_10_polygon</v>
      </c>
      <c r="B4364" s="2">
        <v>577</v>
      </c>
      <c r="C4364" s="30" t="str">
        <f>VLOOKUP(B4364,gachas!A:C,3)</f>
        <v>1000億BK記念_ユニットガチャ&lt;ハーシェル&amp;フェルマー&gt;</v>
      </c>
      <c r="D4364" s="21">
        <v>10</v>
      </c>
      <c r="E4364" s="2">
        <f t="shared" si="693"/>
        <v>15</v>
      </c>
      <c r="F4364" s="2">
        <v>10</v>
      </c>
      <c r="G4364" s="3" t="s">
        <v>22</v>
      </c>
      <c r="H4364" s="2">
        <v>50</v>
      </c>
      <c r="I4364" s="114" t="str">
        <f t="shared" si="696"/>
        <v>577100</v>
      </c>
      <c r="J4364" s="112" t="s">
        <v>84</v>
      </c>
      <c r="K4364" s="125">
        <v>577102</v>
      </c>
      <c r="L4364" s="2">
        <v>1</v>
      </c>
      <c r="M4364" s="2" t="s">
        <v>84</v>
      </c>
      <c r="N4364" s="2" t="s">
        <v>84</v>
      </c>
      <c r="O4364" s="2" t="s">
        <v>841</v>
      </c>
      <c r="P4364" s="6" t="s">
        <v>3111</v>
      </c>
    </row>
    <row r="4365" spans="1:16" ht="22" customHeight="1" x14ac:dyDescent="0.15">
      <c r="A4365" s="10" t="str">
        <f t="shared" ref="A4365:A4384" si="699">B4365&amp;"_"&amp;D4365&amp;"_"&amp;E4365&amp;"_"&amp;F4365&amp;"_"&amp;G4365</f>
        <v>577_10_16_10_polygon</v>
      </c>
      <c r="B4365" s="2">
        <v>577</v>
      </c>
      <c r="C4365" s="30" t="str">
        <f>VLOOKUP(B4365,gachas!A:C,3)</f>
        <v>1000億BK記念_ユニットガチャ&lt;ハーシェル&amp;フェルマー&gt;</v>
      </c>
      <c r="D4365" s="21">
        <v>10</v>
      </c>
      <c r="E4365" s="2">
        <f>E4364+1</f>
        <v>16</v>
      </c>
      <c r="F4365" s="2">
        <v>10</v>
      </c>
      <c r="G4365" s="3" t="s">
        <v>22</v>
      </c>
      <c r="H4365" s="2">
        <v>50</v>
      </c>
      <c r="I4365" s="114" t="str">
        <f t="shared" ref="I4365:I4384" si="700">CONCATENATE(B4365,IF(D4365=1,"01","10"),0)</f>
        <v>577100</v>
      </c>
      <c r="J4365" s="112" t="s">
        <v>84</v>
      </c>
      <c r="K4365" s="112" t="str">
        <f t="shared" si="697"/>
        <v>577100</v>
      </c>
      <c r="L4365" s="2">
        <v>1</v>
      </c>
      <c r="M4365" s="2" t="s">
        <v>84</v>
      </c>
      <c r="N4365" s="2" t="s">
        <v>84</v>
      </c>
      <c r="O4365" s="2" t="s">
        <v>841</v>
      </c>
      <c r="P4365" s="2" t="s">
        <v>2571</v>
      </c>
    </row>
    <row r="4366" spans="1:16" ht="22" customHeight="1" x14ac:dyDescent="0.15">
      <c r="A4366" s="10" t="str">
        <f t="shared" si="699"/>
        <v>577_10_17_10_polygon</v>
      </c>
      <c r="B4366" s="2">
        <v>577</v>
      </c>
      <c r="C4366" s="30" t="str">
        <f>VLOOKUP(B4366,gachas!A:C,3)</f>
        <v>1000億BK記念_ユニットガチャ&lt;ハーシェル&amp;フェルマー&gt;</v>
      </c>
      <c r="D4366" s="21">
        <v>10</v>
      </c>
      <c r="E4366" s="2">
        <f t="shared" si="693"/>
        <v>17</v>
      </c>
      <c r="F4366" s="2">
        <v>10</v>
      </c>
      <c r="G4366" s="3" t="s">
        <v>22</v>
      </c>
      <c r="H4366" s="2">
        <v>50</v>
      </c>
      <c r="I4366" s="114" t="str">
        <f t="shared" si="700"/>
        <v>577100</v>
      </c>
      <c r="J4366" s="112" t="s">
        <v>84</v>
      </c>
      <c r="K4366" s="112" t="str">
        <f t="shared" si="697"/>
        <v>577100</v>
      </c>
      <c r="L4366" s="2">
        <v>1</v>
      </c>
      <c r="M4366" s="2" t="s">
        <v>84</v>
      </c>
      <c r="N4366" s="2" t="s">
        <v>84</v>
      </c>
      <c r="O4366" s="2" t="s">
        <v>841</v>
      </c>
      <c r="P4366" s="2" t="s">
        <v>2571</v>
      </c>
    </row>
    <row r="4367" spans="1:16" ht="22" customHeight="1" x14ac:dyDescent="0.15">
      <c r="A4367" s="10" t="str">
        <f t="shared" si="699"/>
        <v>577_10_18_10_polygon</v>
      </c>
      <c r="B4367" s="2">
        <v>577</v>
      </c>
      <c r="C4367" s="30" t="str">
        <f>VLOOKUP(B4367,gachas!A:C,3)</f>
        <v>1000億BK記念_ユニットガチャ&lt;ハーシェル&amp;フェルマー&gt;</v>
      </c>
      <c r="D4367" s="21">
        <v>10</v>
      </c>
      <c r="E4367" s="2">
        <f t="shared" si="693"/>
        <v>18</v>
      </c>
      <c r="F4367" s="2">
        <v>10</v>
      </c>
      <c r="G4367" s="3" t="s">
        <v>22</v>
      </c>
      <c r="H4367" s="2">
        <v>50</v>
      </c>
      <c r="I4367" s="114" t="str">
        <f t="shared" si="700"/>
        <v>577100</v>
      </c>
      <c r="J4367" s="112" t="str">
        <f t="shared" ref="J4367" si="701">$J$4352</f>
        <v>577103</v>
      </c>
      <c r="K4367" s="112" t="str">
        <f t="shared" si="697"/>
        <v>577100</v>
      </c>
      <c r="L4367" s="2">
        <v>1</v>
      </c>
      <c r="M4367" s="2" t="s">
        <v>84</v>
      </c>
      <c r="N4367" s="2" t="s">
        <v>84</v>
      </c>
      <c r="O4367" s="2" t="s">
        <v>841</v>
      </c>
      <c r="P4367" s="6" t="s">
        <v>3113</v>
      </c>
    </row>
    <row r="4368" spans="1:16" ht="22" customHeight="1" x14ac:dyDescent="0.15">
      <c r="A4368" s="10" t="str">
        <f t="shared" si="699"/>
        <v>577_10_19_10_polygon</v>
      </c>
      <c r="B4368" s="2">
        <v>577</v>
      </c>
      <c r="C4368" s="30" t="str">
        <f>VLOOKUP(B4368,gachas!A:C,3)</f>
        <v>1000億BK記念_ユニットガチャ&lt;ハーシェル&amp;フェルマー&gt;</v>
      </c>
      <c r="D4368" s="21">
        <v>10</v>
      </c>
      <c r="E4368" s="2">
        <f t="shared" si="693"/>
        <v>19</v>
      </c>
      <c r="F4368" s="2">
        <v>10</v>
      </c>
      <c r="G4368" s="3" t="s">
        <v>22</v>
      </c>
      <c r="H4368" s="2">
        <v>50</v>
      </c>
      <c r="I4368" s="114" t="str">
        <f t="shared" si="700"/>
        <v>577100</v>
      </c>
      <c r="J4368" s="112" t="s">
        <v>84</v>
      </c>
      <c r="K4368" s="112" t="str">
        <f t="shared" si="697"/>
        <v>577100</v>
      </c>
      <c r="L4368" s="2">
        <v>1</v>
      </c>
      <c r="M4368" s="2" t="s">
        <v>84</v>
      </c>
      <c r="N4368" s="2" t="s">
        <v>84</v>
      </c>
      <c r="O4368" s="2" t="s">
        <v>841</v>
      </c>
      <c r="P4368" s="2" t="s">
        <v>2571</v>
      </c>
    </row>
    <row r="4369" spans="1:16" ht="22" customHeight="1" x14ac:dyDescent="0.15">
      <c r="A4369" s="10" t="str">
        <f t="shared" si="699"/>
        <v>577_10_20_10_polygon</v>
      </c>
      <c r="B4369" s="2">
        <v>577</v>
      </c>
      <c r="C4369" s="30" t="str">
        <f>VLOOKUP(B4369,gachas!A:C,3)</f>
        <v>1000億BK記念_ユニットガチャ&lt;ハーシェル&amp;フェルマー&gt;</v>
      </c>
      <c r="D4369" s="21">
        <v>10</v>
      </c>
      <c r="E4369" s="2">
        <f t="shared" si="693"/>
        <v>20</v>
      </c>
      <c r="F4369" s="2">
        <v>10</v>
      </c>
      <c r="G4369" s="3" t="s">
        <v>22</v>
      </c>
      <c r="H4369" s="2">
        <v>50</v>
      </c>
      <c r="I4369" s="114" t="str">
        <f t="shared" si="700"/>
        <v>577100</v>
      </c>
      <c r="J4369" s="112" t="s">
        <v>84</v>
      </c>
      <c r="K4369" s="125">
        <v>577102</v>
      </c>
      <c r="L4369" s="2">
        <v>1</v>
      </c>
      <c r="M4369" s="2" t="s">
        <v>84</v>
      </c>
      <c r="N4369" s="2" t="s">
        <v>84</v>
      </c>
      <c r="O4369" s="2" t="s">
        <v>841</v>
      </c>
      <c r="P4369" s="6" t="s">
        <v>3111</v>
      </c>
    </row>
    <row r="4370" spans="1:16" ht="22" customHeight="1" x14ac:dyDescent="0.15">
      <c r="A4370" s="10" t="str">
        <f t="shared" si="699"/>
        <v>577_10_21_10_polygon</v>
      </c>
      <c r="B4370" s="2">
        <v>577</v>
      </c>
      <c r="C4370" s="30" t="str">
        <f>VLOOKUP(B4370,gachas!A:C,3)</f>
        <v>1000億BK記念_ユニットガチャ&lt;ハーシェル&amp;フェルマー&gt;</v>
      </c>
      <c r="D4370" s="21">
        <v>10</v>
      </c>
      <c r="E4370" s="2">
        <f>E4369+1</f>
        <v>21</v>
      </c>
      <c r="F4370" s="2">
        <v>10</v>
      </c>
      <c r="G4370" s="3" t="s">
        <v>22</v>
      </c>
      <c r="H4370" s="2">
        <v>50</v>
      </c>
      <c r="I4370" s="114" t="str">
        <f t="shared" si="700"/>
        <v>577100</v>
      </c>
      <c r="J4370" s="112" t="s">
        <v>84</v>
      </c>
      <c r="K4370" s="112" t="str">
        <f t="shared" si="697"/>
        <v>577100</v>
      </c>
      <c r="L4370" s="2">
        <v>1</v>
      </c>
      <c r="M4370" s="2" t="s">
        <v>84</v>
      </c>
      <c r="N4370" s="2" t="s">
        <v>84</v>
      </c>
      <c r="O4370" s="2" t="s">
        <v>841</v>
      </c>
      <c r="P4370" s="2" t="s">
        <v>2571</v>
      </c>
    </row>
    <row r="4371" spans="1:16" ht="22" customHeight="1" x14ac:dyDescent="0.15">
      <c r="A4371" s="10" t="str">
        <f t="shared" si="699"/>
        <v>577_10_22_10_polygon</v>
      </c>
      <c r="B4371" s="2">
        <v>577</v>
      </c>
      <c r="C4371" s="30" t="str">
        <f>VLOOKUP(B4371,gachas!A:C,3)</f>
        <v>1000億BK記念_ユニットガチャ&lt;ハーシェル&amp;フェルマー&gt;</v>
      </c>
      <c r="D4371" s="21">
        <v>10</v>
      </c>
      <c r="E4371" s="2">
        <f t="shared" si="693"/>
        <v>22</v>
      </c>
      <c r="F4371" s="2">
        <v>10</v>
      </c>
      <c r="G4371" s="3" t="s">
        <v>22</v>
      </c>
      <c r="H4371" s="2">
        <v>50</v>
      </c>
      <c r="I4371" s="114" t="str">
        <f t="shared" si="700"/>
        <v>577100</v>
      </c>
      <c r="J4371" s="112" t="s">
        <v>84</v>
      </c>
      <c r="K4371" s="112" t="str">
        <f t="shared" si="697"/>
        <v>577100</v>
      </c>
      <c r="L4371" s="2">
        <v>1</v>
      </c>
      <c r="M4371" s="2" t="s">
        <v>84</v>
      </c>
      <c r="N4371" s="2" t="s">
        <v>84</v>
      </c>
      <c r="O4371" s="2" t="s">
        <v>841</v>
      </c>
      <c r="P4371" s="2" t="s">
        <v>2571</v>
      </c>
    </row>
    <row r="4372" spans="1:16" ht="22" customHeight="1" x14ac:dyDescent="0.15">
      <c r="A4372" s="10" t="str">
        <f t="shared" si="699"/>
        <v>577_10_23_10_polygon</v>
      </c>
      <c r="B4372" s="2">
        <v>577</v>
      </c>
      <c r="C4372" s="30" t="str">
        <f>VLOOKUP(B4372,gachas!A:C,3)</f>
        <v>1000億BK記念_ユニットガチャ&lt;ハーシェル&amp;フェルマー&gt;</v>
      </c>
      <c r="D4372" s="21">
        <v>10</v>
      </c>
      <c r="E4372" s="2">
        <f t="shared" si="693"/>
        <v>23</v>
      </c>
      <c r="F4372" s="2">
        <v>10</v>
      </c>
      <c r="G4372" s="3" t="s">
        <v>22</v>
      </c>
      <c r="H4372" s="2">
        <v>50</v>
      </c>
      <c r="I4372" s="114" t="str">
        <f t="shared" si="700"/>
        <v>577100</v>
      </c>
      <c r="J4372" s="112" t="str">
        <f t="shared" ref="J4372" si="702">$J$4352</f>
        <v>577103</v>
      </c>
      <c r="K4372" s="112" t="str">
        <f t="shared" si="697"/>
        <v>577100</v>
      </c>
      <c r="L4372" s="2">
        <v>1</v>
      </c>
      <c r="M4372" s="2" t="s">
        <v>84</v>
      </c>
      <c r="N4372" s="2" t="s">
        <v>84</v>
      </c>
      <c r="O4372" s="2" t="s">
        <v>841</v>
      </c>
      <c r="P4372" s="6" t="s">
        <v>3113</v>
      </c>
    </row>
    <row r="4373" spans="1:16" ht="22" customHeight="1" x14ac:dyDescent="0.15">
      <c r="A4373" s="10" t="str">
        <f t="shared" si="699"/>
        <v>577_10_24_10_polygon</v>
      </c>
      <c r="B4373" s="2">
        <v>577</v>
      </c>
      <c r="C4373" s="30" t="str">
        <f>VLOOKUP(B4373,gachas!A:C,3)</f>
        <v>1000億BK記念_ユニットガチャ&lt;ハーシェル&amp;フェルマー&gt;</v>
      </c>
      <c r="D4373" s="21">
        <v>10</v>
      </c>
      <c r="E4373" s="2">
        <f t="shared" si="693"/>
        <v>24</v>
      </c>
      <c r="F4373" s="2">
        <v>10</v>
      </c>
      <c r="G4373" s="3" t="s">
        <v>22</v>
      </c>
      <c r="H4373" s="2">
        <v>50</v>
      </c>
      <c r="I4373" s="114" t="str">
        <f t="shared" si="700"/>
        <v>577100</v>
      </c>
      <c r="J4373" s="112" t="s">
        <v>84</v>
      </c>
      <c r="K4373" s="112" t="str">
        <f t="shared" si="697"/>
        <v>577100</v>
      </c>
      <c r="L4373" s="2">
        <v>1</v>
      </c>
      <c r="M4373" s="2" t="s">
        <v>84</v>
      </c>
      <c r="N4373" s="2" t="s">
        <v>84</v>
      </c>
      <c r="O4373" s="2" t="s">
        <v>841</v>
      </c>
      <c r="P4373" s="2" t="s">
        <v>2571</v>
      </c>
    </row>
    <row r="4374" spans="1:16" ht="22" customHeight="1" x14ac:dyDescent="0.15">
      <c r="A4374" s="10" t="str">
        <f t="shared" si="699"/>
        <v>577_10_25_10_polygon</v>
      </c>
      <c r="B4374" s="2">
        <v>577</v>
      </c>
      <c r="C4374" s="30" t="str">
        <f>VLOOKUP(B4374,gachas!A:C,3)</f>
        <v>1000億BK記念_ユニットガチャ&lt;ハーシェル&amp;フェルマー&gt;</v>
      </c>
      <c r="D4374" s="21">
        <v>10</v>
      </c>
      <c r="E4374" s="2">
        <f t="shared" si="693"/>
        <v>25</v>
      </c>
      <c r="F4374" s="2">
        <v>10</v>
      </c>
      <c r="G4374" s="3" t="s">
        <v>22</v>
      </c>
      <c r="H4374" s="2">
        <v>50</v>
      </c>
      <c r="I4374" s="114" t="str">
        <f t="shared" si="700"/>
        <v>577100</v>
      </c>
      <c r="J4374" s="112" t="s">
        <v>84</v>
      </c>
      <c r="K4374" s="125">
        <v>577102</v>
      </c>
      <c r="L4374" s="2">
        <v>1</v>
      </c>
      <c r="M4374" s="2" t="s">
        <v>84</v>
      </c>
      <c r="N4374" s="2" t="s">
        <v>84</v>
      </c>
      <c r="O4374" s="2" t="s">
        <v>841</v>
      </c>
      <c r="P4374" s="6" t="s">
        <v>3111</v>
      </c>
    </row>
    <row r="4375" spans="1:16" ht="22" customHeight="1" x14ac:dyDescent="0.15">
      <c r="A4375" s="10" t="str">
        <f t="shared" si="699"/>
        <v>577_10_26_10_polygon</v>
      </c>
      <c r="B4375" s="2">
        <v>577</v>
      </c>
      <c r="C4375" s="30" t="str">
        <f>VLOOKUP(B4375,gachas!A:C,3)</f>
        <v>1000億BK記念_ユニットガチャ&lt;ハーシェル&amp;フェルマー&gt;</v>
      </c>
      <c r="D4375" s="21">
        <v>10</v>
      </c>
      <c r="E4375" s="2">
        <f>E4374+1</f>
        <v>26</v>
      </c>
      <c r="F4375" s="2">
        <v>10</v>
      </c>
      <c r="G4375" s="3" t="s">
        <v>22</v>
      </c>
      <c r="H4375" s="2">
        <v>50</v>
      </c>
      <c r="I4375" s="114" t="str">
        <f t="shared" si="700"/>
        <v>577100</v>
      </c>
      <c r="J4375" s="112" t="s">
        <v>84</v>
      </c>
      <c r="K4375" s="112" t="str">
        <f t="shared" si="697"/>
        <v>577100</v>
      </c>
      <c r="L4375" s="2">
        <v>1</v>
      </c>
      <c r="M4375" s="2" t="s">
        <v>84</v>
      </c>
      <c r="N4375" s="2" t="s">
        <v>84</v>
      </c>
      <c r="O4375" s="2" t="s">
        <v>841</v>
      </c>
      <c r="P4375" s="2" t="s">
        <v>2571</v>
      </c>
    </row>
    <row r="4376" spans="1:16" ht="22" customHeight="1" x14ac:dyDescent="0.15">
      <c r="A4376" s="10" t="str">
        <f t="shared" si="699"/>
        <v>577_10_27_10_polygon</v>
      </c>
      <c r="B4376" s="2">
        <v>577</v>
      </c>
      <c r="C4376" s="30" t="str">
        <f>VLOOKUP(B4376,gachas!A:C,3)</f>
        <v>1000億BK記念_ユニットガチャ&lt;ハーシェル&amp;フェルマー&gt;</v>
      </c>
      <c r="D4376" s="21">
        <v>10</v>
      </c>
      <c r="E4376" s="2">
        <f t="shared" si="693"/>
        <v>27</v>
      </c>
      <c r="F4376" s="2">
        <v>10</v>
      </c>
      <c r="G4376" s="3" t="s">
        <v>22</v>
      </c>
      <c r="H4376" s="2">
        <v>50</v>
      </c>
      <c r="I4376" s="114" t="str">
        <f t="shared" si="700"/>
        <v>577100</v>
      </c>
      <c r="J4376" s="112" t="s">
        <v>84</v>
      </c>
      <c r="K4376" s="112" t="str">
        <f t="shared" si="697"/>
        <v>577100</v>
      </c>
      <c r="L4376" s="2">
        <v>1</v>
      </c>
      <c r="M4376" s="2" t="s">
        <v>84</v>
      </c>
      <c r="N4376" s="2" t="s">
        <v>84</v>
      </c>
      <c r="O4376" s="2" t="s">
        <v>841</v>
      </c>
      <c r="P4376" s="2" t="s">
        <v>2571</v>
      </c>
    </row>
    <row r="4377" spans="1:16" ht="22" customHeight="1" x14ac:dyDescent="0.15">
      <c r="A4377" s="10" t="str">
        <f t="shared" si="699"/>
        <v>577_10_28_10_polygon</v>
      </c>
      <c r="B4377" s="2">
        <v>577</v>
      </c>
      <c r="C4377" s="30" t="str">
        <f>VLOOKUP(B4377,gachas!A:C,3)</f>
        <v>1000億BK記念_ユニットガチャ&lt;ハーシェル&amp;フェルマー&gt;</v>
      </c>
      <c r="D4377" s="21">
        <v>10</v>
      </c>
      <c r="E4377" s="2">
        <f t="shared" si="693"/>
        <v>28</v>
      </c>
      <c r="F4377" s="2">
        <v>10</v>
      </c>
      <c r="G4377" s="3" t="s">
        <v>22</v>
      </c>
      <c r="H4377" s="2">
        <v>50</v>
      </c>
      <c r="I4377" s="114" t="str">
        <f t="shared" si="700"/>
        <v>577100</v>
      </c>
      <c r="J4377" s="112" t="str">
        <f t="shared" ref="J4377" si="703">$J$4352</f>
        <v>577103</v>
      </c>
      <c r="K4377" s="112" t="str">
        <f t="shared" si="697"/>
        <v>577100</v>
      </c>
      <c r="L4377" s="2">
        <v>1</v>
      </c>
      <c r="M4377" s="2" t="s">
        <v>84</v>
      </c>
      <c r="N4377" s="2" t="s">
        <v>84</v>
      </c>
      <c r="O4377" s="2" t="s">
        <v>841</v>
      </c>
      <c r="P4377" s="6" t="s">
        <v>3113</v>
      </c>
    </row>
    <row r="4378" spans="1:16" ht="22" customHeight="1" x14ac:dyDescent="0.15">
      <c r="A4378" s="10" t="str">
        <f t="shared" si="699"/>
        <v>577_10_29_10_polygon</v>
      </c>
      <c r="B4378" s="2">
        <v>577</v>
      </c>
      <c r="C4378" s="30" t="str">
        <f>VLOOKUP(B4378,gachas!A:C,3)</f>
        <v>1000億BK記念_ユニットガチャ&lt;ハーシェル&amp;フェルマー&gt;</v>
      </c>
      <c r="D4378" s="21">
        <v>10</v>
      </c>
      <c r="E4378" s="2">
        <f t="shared" si="693"/>
        <v>29</v>
      </c>
      <c r="F4378" s="2">
        <v>10</v>
      </c>
      <c r="G4378" s="3" t="s">
        <v>22</v>
      </c>
      <c r="H4378" s="2">
        <v>50</v>
      </c>
      <c r="I4378" s="114" t="str">
        <f t="shared" si="700"/>
        <v>577100</v>
      </c>
      <c r="J4378" s="112" t="s">
        <v>84</v>
      </c>
      <c r="K4378" s="112" t="str">
        <f t="shared" si="697"/>
        <v>577100</v>
      </c>
      <c r="L4378" s="2">
        <v>1</v>
      </c>
      <c r="M4378" s="2" t="s">
        <v>84</v>
      </c>
      <c r="N4378" s="2" t="s">
        <v>84</v>
      </c>
      <c r="O4378" s="2" t="s">
        <v>841</v>
      </c>
      <c r="P4378" s="2" t="s">
        <v>2571</v>
      </c>
    </row>
    <row r="4379" spans="1:16" ht="22" customHeight="1" x14ac:dyDescent="0.15">
      <c r="A4379" s="10" t="str">
        <f t="shared" si="699"/>
        <v>577_10_30_10_polygon</v>
      </c>
      <c r="B4379" s="2">
        <v>577</v>
      </c>
      <c r="C4379" s="30" t="str">
        <f>VLOOKUP(B4379,gachas!A:C,3)</f>
        <v>1000億BK記念_ユニットガチャ&lt;ハーシェル&amp;フェルマー&gt;</v>
      </c>
      <c r="D4379" s="21">
        <v>10</v>
      </c>
      <c r="E4379" s="2">
        <f t="shared" si="693"/>
        <v>30</v>
      </c>
      <c r="F4379" s="2">
        <v>10</v>
      </c>
      <c r="G4379" s="3" t="s">
        <v>22</v>
      </c>
      <c r="H4379" s="2">
        <v>50</v>
      </c>
      <c r="I4379" s="114" t="str">
        <f t="shared" si="700"/>
        <v>577100</v>
      </c>
      <c r="J4379" s="112" t="s">
        <v>84</v>
      </c>
      <c r="K4379" s="125">
        <v>577102</v>
      </c>
      <c r="L4379" s="2">
        <v>1</v>
      </c>
      <c r="M4379" s="2" t="s">
        <v>84</v>
      </c>
      <c r="N4379" s="2" t="s">
        <v>84</v>
      </c>
      <c r="O4379" s="2" t="s">
        <v>841</v>
      </c>
      <c r="P4379" s="6" t="s">
        <v>3111</v>
      </c>
    </row>
    <row r="4380" spans="1:16" ht="22" customHeight="1" x14ac:dyDescent="0.15">
      <c r="A4380" s="10" t="str">
        <f t="shared" si="699"/>
        <v>577_10_31_10_polygon</v>
      </c>
      <c r="B4380" s="2">
        <v>577</v>
      </c>
      <c r="C4380" s="30" t="str">
        <f>VLOOKUP(B4380,gachas!A:C,3)</f>
        <v>1000億BK記念_ユニットガチャ&lt;ハーシェル&amp;フェルマー&gt;</v>
      </c>
      <c r="D4380" s="21">
        <v>10</v>
      </c>
      <c r="E4380" s="2">
        <f>E4379+1</f>
        <v>31</v>
      </c>
      <c r="F4380" s="2">
        <v>10</v>
      </c>
      <c r="G4380" s="3" t="s">
        <v>22</v>
      </c>
      <c r="H4380" s="2">
        <v>50</v>
      </c>
      <c r="I4380" s="114" t="str">
        <f t="shared" si="700"/>
        <v>577100</v>
      </c>
      <c r="J4380" s="112" t="s">
        <v>84</v>
      </c>
      <c r="K4380" s="112" t="str">
        <f t="shared" si="697"/>
        <v>577100</v>
      </c>
      <c r="L4380" s="2">
        <v>1</v>
      </c>
      <c r="M4380" s="2" t="s">
        <v>84</v>
      </c>
      <c r="N4380" s="2" t="s">
        <v>84</v>
      </c>
      <c r="O4380" s="2" t="s">
        <v>841</v>
      </c>
      <c r="P4380" s="2" t="s">
        <v>2571</v>
      </c>
    </row>
    <row r="4381" spans="1:16" ht="22" customHeight="1" x14ac:dyDescent="0.15">
      <c r="A4381" s="10" t="str">
        <f t="shared" si="699"/>
        <v>577_10_32_10_polygon</v>
      </c>
      <c r="B4381" s="2">
        <v>577</v>
      </c>
      <c r="C4381" s="30" t="str">
        <f>VLOOKUP(B4381,gachas!A:C,3)</f>
        <v>1000億BK記念_ユニットガチャ&lt;ハーシェル&amp;フェルマー&gt;</v>
      </c>
      <c r="D4381" s="21">
        <v>10</v>
      </c>
      <c r="E4381" s="2">
        <f t="shared" si="693"/>
        <v>32</v>
      </c>
      <c r="F4381" s="2">
        <v>10</v>
      </c>
      <c r="G4381" s="3" t="s">
        <v>22</v>
      </c>
      <c r="H4381" s="2">
        <v>50</v>
      </c>
      <c r="I4381" s="114" t="str">
        <f t="shared" si="700"/>
        <v>577100</v>
      </c>
      <c r="J4381" s="112" t="s">
        <v>84</v>
      </c>
      <c r="K4381" s="112" t="str">
        <f t="shared" si="697"/>
        <v>577100</v>
      </c>
      <c r="L4381" s="2">
        <v>1</v>
      </c>
      <c r="M4381" s="2" t="s">
        <v>84</v>
      </c>
      <c r="N4381" s="2" t="s">
        <v>84</v>
      </c>
      <c r="O4381" s="2" t="s">
        <v>841</v>
      </c>
      <c r="P4381" s="2" t="s">
        <v>2571</v>
      </c>
    </row>
    <row r="4382" spans="1:16" ht="22" customHeight="1" x14ac:dyDescent="0.15">
      <c r="A4382" s="10" t="str">
        <f t="shared" si="699"/>
        <v>577_10_33_10_polygon</v>
      </c>
      <c r="B4382" s="2">
        <v>577</v>
      </c>
      <c r="C4382" s="30" t="str">
        <f>VLOOKUP(B4382,gachas!A:C,3)</f>
        <v>1000億BK記念_ユニットガチャ&lt;ハーシェル&amp;フェルマー&gt;</v>
      </c>
      <c r="D4382" s="21">
        <v>10</v>
      </c>
      <c r="E4382" s="2">
        <f t="shared" si="693"/>
        <v>33</v>
      </c>
      <c r="F4382" s="2">
        <v>10</v>
      </c>
      <c r="G4382" s="3" t="s">
        <v>22</v>
      </c>
      <c r="H4382" s="2">
        <v>50</v>
      </c>
      <c r="I4382" s="114" t="str">
        <f t="shared" si="700"/>
        <v>577100</v>
      </c>
      <c r="J4382" s="112" t="str">
        <f t="shared" ref="J4382" si="704">$J$4352</f>
        <v>577103</v>
      </c>
      <c r="K4382" s="112" t="str">
        <f t="shared" si="697"/>
        <v>577100</v>
      </c>
      <c r="L4382" s="2">
        <v>1</v>
      </c>
      <c r="M4382" s="2" t="s">
        <v>84</v>
      </c>
      <c r="N4382" s="2" t="s">
        <v>84</v>
      </c>
      <c r="O4382" s="2" t="s">
        <v>841</v>
      </c>
      <c r="P4382" s="6" t="s">
        <v>3113</v>
      </c>
    </row>
    <row r="4383" spans="1:16" ht="22" customHeight="1" x14ac:dyDescent="0.15">
      <c r="A4383" s="10" t="str">
        <f t="shared" si="699"/>
        <v>577_10_34_10_polygon</v>
      </c>
      <c r="B4383" s="2">
        <v>577</v>
      </c>
      <c r="C4383" s="30" t="str">
        <f>VLOOKUP(B4383,gachas!A:C,3)</f>
        <v>1000億BK記念_ユニットガチャ&lt;ハーシェル&amp;フェルマー&gt;</v>
      </c>
      <c r="D4383" s="21">
        <v>10</v>
      </c>
      <c r="E4383" s="2">
        <f t="shared" si="693"/>
        <v>34</v>
      </c>
      <c r="F4383" s="2">
        <v>10</v>
      </c>
      <c r="G4383" s="3" t="s">
        <v>22</v>
      </c>
      <c r="H4383" s="2">
        <v>50</v>
      </c>
      <c r="I4383" s="114" t="str">
        <f t="shared" si="700"/>
        <v>577100</v>
      </c>
      <c r="J4383" s="112" t="s">
        <v>84</v>
      </c>
      <c r="K4383" s="112" t="str">
        <f t="shared" si="697"/>
        <v>577100</v>
      </c>
      <c r="L4383" s="2">
        <v>1</v>
      </c>
      <c r="M4383" s="2" t="s">
        <v>84</v>
      </c>
      <c r="N4383" s="2" t="s">
        <v>84</v>
      </c>
      <c r="O4383" s="2" t="s">
        <v>841</v>
      </c>
      <c r="P4383" s="2" t="s">
        <v>2571</v>
      </c>
    </row>
    <row r="4384" spans="1:16" ht="22" customHeight="1" x14ac:dyDescent="0.15">
      <c r="A4384" s="10" t="str">
        <f t="shared" si="699"/>
        <v>577_10_35_10_polygon</v>
      </c>
      <c r="B4384" s="2">
        <v>577</v>
      </c>
      <c r="C4384" s="30" t="str">
        <f>VLOOKUP(B4384,gachas!A:C,3)</f>
        <v>1000億BK記念_ユニットガチャ&lt;ハーシェル&amp;フェルマー&gt;</v>
      </c>
      <c r="D4384" s="21">
        <v>10</v>
      </c>
      <c r="E4384" s="2">
        <f t="shared" si="693"/>
        <v>35</v>
      </c>
      <c r="F4384" s="2">
        <v>10</v>
      </c>
      <c r="G4384" s="3" t="s">
        <v>22</v>
      </c>
      <c r="H4384" s="2">
        <v>50</v>
      </c>
      <c r="I4384" s="114" t="str">
        <f t="shared" si="700"/>
        <v>577100</v>
      </c>
      <c r="J4384" s="112" t="s">
        <v>84</v>
      </c>
      <c r="K4384" s="125">
        <v>577102</v>
      </c>
      <c r="L4384" s="2">
        <v>1</v>
      </c>
      <c r="M4384" s="2" t="s">
        <v>84</v>
      </c>
      <c r="N4384" s="2" t="s">
        <v>84</v>
      </c>
      <c r="O4384" s="2" t="s">
        <v>841</v>
      </c>
      <c r="P4384" s="6" t="s">
        <v>3111</v>
      </c>
    </row>
    <row r="4385" spans="1:16" ht="22" customHeight="1" x14ac:dyDescent="0.15">
      <c r="A4385" s="10" t="str">
        <f t="shared" ref="A4385:A4399" si="705">B4385&amp;"_"&amp;D4385&amp;"_"&amp;E4385&amp;"_"&amp;F4385&amp;"_"&amp;G4385</f>
        <v>577_10_36_10_polygon</v>
      </c>
      <c r="B4385" s="2">
        <v>577</v>
      </c>
      <c r="C4385" s="30" t="str">
        <f>VLOOKUP(B4385,gachas!A:C,3)</f>
        <v>1000億BK記念_ユニットガチャ&lt;ハーシェル&amp;フェルマー&gt;</v>
      </c>
      <c r="D4385" s="21">
        <v>10</v>
      </c>
      <c r="E4385" s="2">
        <f>E4384+1</f>
        <v>36</v>
      </c>
      <c r="F4385" s="2">
        <v>10</v>
      </c>
      <c r="G4385" s="3" t="s">
        <v>22</v>
      </c>
      <c r="H4385" s="2">
        <v>50</v>
      </c>
      <c r="I4385" s="114" t="str">
        <f t="shared" ref="I4385:I4399" si="706">CONCATENATE(B4385,IF(D4385=1,"01","10"),0)</f>
        <v>577100</v>
      </c>
      <c r="J4385" s="112" t="s">
        <v>84</v>
      </c>
      <c r="K4385" s="112" t="str">
        <f t="shared" si="697"/>
        <v>577100</v>
      </c>
      <c r="L4385" s="2">
        <v>1</v>
      </c>
      <c r="M4385" s="2" t="s">
        <v>84</v>
      </c>
      <c r="N4385" s="2" t="s">
        <v>84</v>
      </c>
      <c r="O4385" s="2" t="s">
        <v>841</v>
      </c>
      <c r="P4385" s="2" t="s">
        <v>2571</v>
      </c>
    </row>
    <row r="4386" spans="1:16" ht="22" customHeight="1" x14ac:dyDescent="0.15">
      <c r="A4386" s="10" t="str">
        <f t="shared" si="705"/>
        <v>577_10_37_10_polygon</v>
      </c>
      <c r="B4386" s="2">
        <v>577</v>
      </c>
      <c r="C4386" s="30" t="str">
        <f>VLOOKUP(B4386,gachas!A:C,3)</f>
        <v>1000億BK記念_ユニットガチャ&lt;ハーシェル&amp;フェルマー&gt;</v>
      </c>
      <c r="D4386" s="21">
        <v>10</v>
      </c>
      <c r="E4386" s="2">
        <f t="shared" si="693"/>
        <v>37</v>
      </c>
      <c r="F4386" s="2">
        <v>10</v>
      </c>
      <c r="G4386" s="3" t="s">
        <v>22</v>
      </c>
      <c r="H4386" s="2">
        <v>50</v>
      </c>
      <c r="I4386" s="114" t="str">
        <f t="shared" si="706"/>
        <v>577100</v>
      </c>
      <c r="J4386" s="112" t="s">
        <v>84</v>
      </c>
      <c r="K4386" s="112" t="str">
        <f t="shared" si="697"/>
        <v>577100</v>
      </c>
      <c r="L4386" s="2">
        <v>1</v>
      </c>
      <c r="M4386" s="2" t="s">
        <v>84</v>
      </c>
      <c r="N4386" s="2" t="s">
        <v>84</v>
      </c>
      <c r="O4386" s="2" t="s">
        <v>841</v>
      </c>
      <c r="P4386" s="2" t="s">
        <v>2571</v>
      </c>
    </row>
    <row r="4387" spans="1:16" ht="22" customHeight="1" x14ac:dyDescent="0.15">
      <c r="A4387" s="10" t="str">
        <f t="shared" si="705"/>
        <v>577_10_38_10_polygon</v>
      </c>
      <c r="B4387" s="2">
        <v>577</v>
      </c>
      <c r="C4387" s="30" t="str">
        <f>VLOOKUP(B4387,gachas!A:C,3)</f>
        <v>1000億BK記念_ユニットガチャ&lt;ハーシェル&amp;フェルマー&gt;</v>
      </c>
      <c r="D4387" s="21">
        <v>10</v>
      </c>
      <c r="E4387" s="2">
        <f t="shared" si="693"/>
        <v>38</v>
      </c>
      <c r="F4387" s="2">
        <v>10</v>
      </c>
      <c r="G4387" s="3" t="s">
        <v>22</v>
      </c>
      <c r="H4387" s="2">
        <v>50</v>
      </c>
      <c r="I4387" s="114" t="str">
        <f t="shared" si="706"/>
        <v>577100</v>
      </c>
      <c r="J4387" s="112" t="str">
        <f t="shared" ref="J4387" si="707">$J$4352</f>
        <v>577103</v>
      </c>
      <c r="K4387" s="112" t="str">
        <f t="shared" si="697"/>
        <v>577100</v>
      </c>
      <c r="L4387" s="2">
        <v>1</v>
      </c>
      <c r="M4387" s="2" t="s">
        <v>84</v>
      </c>
      <c r="N4387" s="2" t="s">
        <v>84</v>
      </c>
      <c r="O4387" s="2" t="s">
        <v>841</v>
      </c>
      <c r="P4387" s="6" t="s">
        <v>3113</v>
      </c>
    </row>
    <row r="4388" spans="1:16" ht="22" customHeight="1" x14ac:dyDescent="0.15">
      <c r="A4388" s="10" t="str">
        <f t="shared" si="705"/>
        <v>577_10_39_10_polygon</v>
      </c>
      <c r="B4388" s="2">
        <v>577</v>
      </c>
      <c r="C4388" s="30" t="str">
        <f>VLOOKUP(B4388,gachas!A:C,3)</f>
        <v>1000億BK記念_ユニットガチャ&lt;ハーシェル&amp;フェルマー&gt;</v>
      </c>
      <c r="D4388" s="21">
        <v>10</v>
      </c>
      <c r="E4388" s="2">
        <f t="shared" si="693"/>
        <v>39</v>
      </c>
      <c r="F4388" s="2">
        <v>10</v>
      </c>
      <c r="G4388" s="3" t="s">
        <v>22</v>
      </c>
      <c r="H4388" s="2">
        <v>50</v>
      </c>
      <c r="I4388" s="114" t="str">
        <f t="shared" si="706"/>
        <v>577100</v>
      </c>
      <c r="J4388" s="112" t="s">
        <v>84</v>
      </c>
      <c r="K4388" s="112" t="str">
        <f t="shared" si="697"/>
        <v>577100</v>
      </c>
      <c r="L4388" s="2">
        <v>1</v>
      </c>
      <c r="M4388" s="2" t="s">
        <v>84</v>
      </c>
      <c r="N4388" s="2" t="s">
        <v>84</v>
      </c>
      <c r="O4388" s="2" t="s">
        <v>841</v>
      </c>
      <c r="P4388" s="2" t="s">
        <v>2571</v>
      </c>
    </row>
    <row r="4389" spans="1:16" ht="22" customHeight="1" x14ac:dyDescent="0.15">
      <c r="A4389" s="10" t="str">
        <f t="shared" si="705"/>
        <v>577_10_40_10_polygon</v>
      </c>
      <c r="B4389" s="2">
        <v>577</v>
      </c>
      <c r="C4389" s="30" t="str">
        <f>VLOOKUP(B4389,gachas!A:C,3)</f>
        <v>1000億BK記念_ユニットガチャ&lt;ハーシェル&amp;フェルマー&gt;</v>
      </c>
      <c r="D4389" s="21">
        <v>10</v>
      </c>
      <c r="E4389" s="2">
        <f t="shared" si="693"/>
        <v>40</v>
      </c>
      <c r="F4389" s="2">
        <v>10</v>
      </c>
      <c r="G4389" s="3" t="s">
        <v>22</v>
      </c>
      <c r="H4389" s="2">
        <v>50</v>
      </c>
      <c r="I4389" s="114" t="str">
        <f t="shared" si="706"/>
        <v>577100</v>
      </c>
      <c r="J4389" s="112" t="s">
        <v>84</v>
      </c>
      <c r="K4389" s="125">
        <v>577102</v>
      </c>
      <c r="L4389" s="2">
        <v>1</v>
      </c>
      <c r="M4389" s="2" t="s">
        <v>84</v>
      </c>
      <c r="N4389" s="2" t="s">
        <v>84</v>
      </c>
      <c r="O4389" s="2" t="s">
        <v>841</v>
      </c>
      <c r="P4389" s="6" t="s">
        <v>3111</v>
      </c>
    </row>
    <row r="4390" spans="1:16" ht="22" customHeight="1" x14ac:dyDescent="0.15">
      <c r="A4390" s="10" t="str">
        <f t="shared" si="705"/>
        <v>577_10_41_10_polygon</v>
      </c>
      <c r="B4390" s="2">
        <v>577</v>
      </c>
      <c r="C4390" s="30" t="str">
        <f>VLOOKUP(B4390,gachas!A:C,3)</f>
        <v>1000億BK記念_ユニットガチャ&lt;ハーシェル&amp;フェルマー&gt;</v>
      </c>
      <c r="D4390" s="21">
        <v>10</v>
      </c>
      <c r="E4390" s="2">
        <f>E4389+1</f>
        <v>41</v>
      </c>
      <c r="F4390" s="2">
        <v>10</v>
      </c>
      <c r="G4390" s="3" t="s">
        <v>22</v>
      </c>
      <c r="H4390" s="2">
        <v>50</v>
      </c>
      <c r="I4390" s="114" t="str">
        <f t="shared" si="706"/>
        <v>577100</v>
      </c>
      <c r="J4390" s="112" t="s">
        <v>84</v>
      </c>
      <c r="K4390" s="112" t="str">
        <f t="shared" si="697"/>
        <v>577100</v>
      </c>
      <c r="L4390" s="2">
        <v>1</v>
      </c>
      <c r="M4390" s="2" t="s">
        <v>84</v>
      </c>
      <c r="N4390" s="2" t="s">
        <v>84</v>
      </c>
      <c r="O4390" s="2" t="s">
        <v>841</v>
      </c>
      <c r="P4390" s="2" t="s">
        <v>2571</v>
      </c>
    </row>
    <row r="4391" spans="1:16" ht="22" customHeight="1" x14ac:dyDescent="0.15">
      <c r="A4391" s="10" t="str">
        <f t="shared" si="705"/>
        <v>577_10_42_10_polygon</v>
      </c>
      <c r="B4391" s="2">
        <v>577</v>
      </c>
      <c r="C4391" s="30" t="str">
        <f>VLOOKUP(B4391,gachas!A:C,3)</f>
        <v>1000億BK記念_ユニットガチャ&lt;ハーシェル&amp;フェルマー&gt;</v>
      </c>
      <c r="D4391" s="21">
        <v>10</v>
      </c>
      <c r="E4391" s="2">
        <f t="shared" si="693"/>
        <v>42</v>
      </c>
      <c r="F4391" s="2">
        <v>10</v>
      </c>
      <c r="G4391" s="3" t="s">
        <v>22</v>
      </c>
      <c r="H4391" s="2">
        <v>50</v>
      </c>
      <c r="I4391" s="114" t="str">
        <f t="shared" si="706"/>
        <v>577100</v>
      </c>
      <c r="J4391" s="112" t="s">
        <v>84</v>
      </c>
      <c r="K4391" s="112" t="str">
        <f t="shared" si="697"/>
        <v>577100</v>
      </c>
      <c r="L4391" s="2">
        <v>1</v>
      </c>
      <c r="M4391" s="2" t="s">
        <v>84</v>
      </c>
      <c r="N4391" s="2" t="s">
        <v>84</v>
      </c>
      <c r="O4391" s="2" t="s">
        <v>841</v>
      </c>
      <c r="P4391" s="2" t="s">
        <v>2571</v>
      </c>
    </row>
    <row r="4392" spans="1:16" ht="22" customHeight="1" x14ac:dyDescent="0.15">
      <c r="A4392" s="10" t="str">
        <f t="shared" si="705"/>
        <v>577_10_43_10_polygon</v>
      </c>
      <c r="B4392" s="2">
        <v>577</v>
      </c>
      <c r="C4392" s="30" t="str">
        <f>VLOOKUP(B4392,gachas!A:C,3)</f>
        <v>1000億BK記念_ユニットガチャ&lt;ハーシェル&amp;フェルマー&gt;</v>
      </c>
      <c r="D4392" s="21">
        <v>10</v>
      </c>
      <c r="E4392" s="2">
        <f t="shared" si="693"/>
        <v>43</v>
      </c>
      <c r="F4392" s="2">
        <v>10</v>
      </c>
      <c r="G4392" s="3" t="s">
        <v>22</v>
      </c>
      <c r="H4392" s="2">
        <v>50</v>
      </c>
      <c r="I4392" s="114" t="str">
        <f t="shared" si="706"/>
        <v>577100</v>
      </c>
      <c r="J4392" s="112" t="str">
        <f t="shared" ref="J4392" si="708">$J$4352</f>
        <v>577103</v>
      </c>
      <c r="K4392" s="112" t="str">
        <f t="shared" si="697"/>
        <v>577100</v>
      </c>
      <c r="L4392" s="2">
        <v>1</v>
      </c>
      <c r="M4392" s="2" t="s">
        <v>84</v>
      </c>
      <c r="N4392" s="2" t="s">
        <v>84</v>
      </c>
      <c r="O4392" s="2" t="s">
        <v>841</v>
      </c>
      <c r="P4392" s="6" t="s">
        <v>3113</v>
      </c>
    </row>
    <row r="4393" spans="1:16" ht="22" customHeight="1" x14ac:dyDescent="0.15">
      <c r="A4393" s="10" t="str">
        <f t="shared" si="705"/>
        <v>577_10_44_10_polygon</v>
      </c>
      <c r="B4393" s="2">
        <v>577</v>
      </c>
      <c r="C4393" s="30" t="str">
        <f>VLOOKUP(B4393,gachas!A:C,3)</f>
        <v>1000億BK記念_ユニットガチャ&lt;ハーシェル&amp;フェルマー&gt;</v>
      </c>
      <c r="D4393" s="21">
        <v>10</v>
      </c>
      <c r="E4393" s="2">
        <f t="shared" si="693"/>
        <v>44</v>
      </c>
      <c r="F4393" s="2">
        <v>10</v>
      </c>
      <c r="G4393" s="3" t="s">
        <v>22</v>
      </c>
      <c r="H4393" s="2">
        <v>50</v>
      </c>
      <c r="I4393" s="114" t="str">
        <f t="shared" si="706"/>
        <v>577100</v>
      </c>
      <c r="J4393" s="112" t="s">
        <v>84</v>
      </c>
      <c r="K4393" s="112" t="str">
        <f t="shared" si="697"/>
        <v>577100</v>
      </c>
      <c r="L4393" s="2">
        <v>1</v>
      </c>
      <c r="M4393" s="2" t="s">
        <v>84</v>
      </c>
      <c r="N4393" s="2" t="s">
        <v>84</v>
      </c>
      <c r="O4393" s="2" t="s">
        <v>841</v>
      </c>
      <c r="P4393" s="2" t="s">
        <v>2571</v>
      </c>
    </row>
    <row r="4394" spans="1:16" ht="22" customHeight="1" x14ac:dyDescent="0.15">
      <c r="A4394" s="10" t="str">
        <f t="shared" si="705"/>
        <v>577_10_45_10_polygon</v>
      </c>
      <c r="B4394" s="2">
        <v>577</v>
      </c>
      <c r="C4394" s="30" t="str">
        <f>VLOOKUP(B4394,gachas!A:C,3)</f>
        <v>1000億BK記念_ユニットガチャ&lt;ハーシェル&amp;フェルマー&gt;</v>
      </c>
      <c r="D4394" s="21">
        <v>10</v>
      </c>
      <c r="E4394" s="2">
        <f t="shared" si="693"/>
        <v>45</v>
      </c>
      <c r="F4394" s="2">
        <v>10</v>
      </c>
      <c r="G4394" s="3" t="s">
        <v>22</v>
      </c>
      <c r="H4394" s="2">
        <v>50</v>
      </c>
      <c r="I4394" s="114" t="str">
        <f t="shared" si="706"/>
        <v>577100</v>
      </c>
      <c r="J4394" s="112" t="s">
        <v>84</v>
      </c>
      <c r="K4394" s="125">
        <v>577102</v>
      </c>
      <c r="L4394" s="2">
        <v>1</v>
      </c>
      <c r="M4394" s="2" t="s">
        <v>84</v>
      </c>
      <c r="N4394" s="2" t="s">
        <v>84</v>
      </c>
      <c r="O4394" s="2" t="s">
        <v>841</v>
      </c>
      <c r="P4394" s="6" t="s">
        <v>3111</v>
      </c>
    </row>
    <row r="4395" spans="1:16" ht="22" customHeight="1" x14ac:dyDescent="0.15">
      <c r="A4395" s="10" t="str">
        <f t="shared" si="705"/>
        <v>577_10_46_10_polygon</v>
      </c>
      <c r="B4395" s="2">
        <v>577</v>
      </c>
      <c r="C4395" s="30" t="str">
        <f>VLOOKUP(B4395,gachas!A:C,3)</f>
        <v>1000億BK記念_ユニットガチャ&lt;ハーシェル&amp;フェルマー&gt;</v>
      </c>
      <c r="D4395" s="21">
        <v>10</v>
      </c>
      <c r="E4395" s="2">
        <f>E4394+1</f>
        <v>46</v>
      </c>
      <c r="F4395" s="2">
        <v>10</v>
      </c>
      <c r="G4395" s="3" t="s">
        <v>22</v>
      </c>
      <c r="H4395" s="2">
        <v>50</v>
      </c>
      <c r="I4395" s="114" t="str">
        <f t="shared" si="706"/>
        <v>577100</v>
      </c>
      <c r="J4395" s="112" t="s">
        <v>84</v>
      </c>
      <c r="K4395" s="112" t="str">
        <f t="shared" si="697"/>
        <v>577100</v>
      </c>
      <c r="L4395" s="2">
        <v>1</v>
      </c>
      <c r="M4395" s="2" t="s">
        <v>84</v>
      </c>
      <c r="N4395" s="2" t="s">
        <v>84</v>
      </c>
      <c r="O4395" s="2" t="s">
        <v>841</v>
      </c>
      <c r="P4395" s="2" t="s">
        <v>2571</v>
      </c>
    </row>
    <row r="4396" spans="1:16" ht="22" customHeight="1" x14ac:dyDescent="0.15">
      <c r="A4396" s="10" t="str">
        <f t="shared" si="705"/>
        <v>577_10_47_10_polygon</v>
      </c>
      <c r="B4396" s="2">
        <v>577</v>
      </c>
      <c r="C4396" s="30" t="str">
        <f>VLOOKUP(B4396,gachas!A:C,3)</f>
        <v>1000億BK記念_ユニットガチャ&lt;ハーシェル&amp;フェルマー&gt;</v>
      </c>
      <c r="D4396" s="21">
        <v>10</v>
      </c>
      <c r="E4396" s="2">
        <f t="shared" si="693"/>
        <v>47</v>
      </c>
      <c r="F4396" s="2">
        <v>10</v>
      </c>
      <c r="G4396" s="3" t="s">
        <v>22</v>
      </c>
      <c r="H4396" s="2">
        <v>50</v>
      </c>
      <c r="I4396" s="114" t="str">
        <f t="shared" si="706"/>
        <v>577100</v>
      </c>
      <c r="J4396" s="112" t="s">
        <v>84</v>
      </c>
      <c r="K4396" s="112" t="str">
        <f t="shared" si="697"/>
        <v>577100</v>
      </c>
      <c r="L4396" s="2">
        <v>1</v>
      </c>
      <c r="M4396" s="2" t="s">
        <v>84</v>
      </c>
      <c r="N4396" s="2" t="s">
        <v>84</v>
      </c>
      <c r="O4396" s="2" t="s">
        <v>841</v>
      </c>
      <c r="P4396" s="2" t="s">
        <v>2571</v>
      </c>
    </row>
    <row r="4397" spans="1:16" ht="22" customHeight="1" x14ac:dyDescent="0.15">
      <c r="A4397" s="10" t="str">
        <f t="shared" si="705"/>
        <v>577_10_48_10_polygon</v>
      </c>
      <c r="B4397" s="2">
        <v>577</v>
      </c>
      <c r="C4397" s="30" t="str">
        <f>VLOOKUP(B4397,gachas!A:C,3)</f>
        <v>1000億BK記念_ユニットガチャ&lt;ハーシェル&amp;フェルマー&gt;</v>
      </c>
      <c r="D4397" s="21">
        <v>10</v>
      </c>
      <c r="E4397" s="2">
        <f t="shared" si="693"/>
        <v>48</v>
      </c>
      <c r="F4397" s="2">
        <v>10</v>
      </c>
      <c r="G4397" s="3" t="s">
        <v>22</v>
      </c>
      <c r="H4397" s="2">
        <v>50</v>
      </c>
      <c r="I4397" s="114" t="str">
        <f t="shared" si="706"/>
        <v>577100</v>
      </c>
      <c r="J4397" s="112" t="str">
        <f t="shared" ref="J4397" si="709">$J$4352</f>
        <v>577103</v>
      </c>
      <c r="K4397" s="112" t="str">
        <f t="shared" si="697"/>
        <v>577100</v>
      </c>
      <c r="L4397" s="2">
        <v>1</v>
      </c>
      <c r="M4397" s="2" t="s">
        <v>84</v>
      </c>
      <c r="N4397" s="2" t="s">
        <v>84</v>
      </c>
      <c r="O4397" s="2" t="s">
        <v>841</v>
      </c>
      <c r="P4397" s="6" t="s">
        <v>3113</v>
      </c>
    </row>
    <row r="4398" spans="1:16" ht="22" customHeight="1" x14ac:dyDescent="0.15">
      <c r="A4398" s="10" t="str">
        <f t="shared" si="705"/>
        <v>577_10_49_10_polygon</v>
      </c>
      <c r="B4398" s="2">
        <v>577</v>
      </c>
      <c r="C4398" s="30" t="str">
        <f>VLOOKUP(B4398,gachas!A:C,3)</f>
        <v>1000億BK記念_ユニットガチャ&lt;ハーシェル&amp;フェルマー&gt;</v>
      </c>
      <c r="D4398" s="21">
        <v>10</v>
      </c>
      <c r="E4398" s="2">
        <f t="shared" si="693"/>
        <v>49</v>
      </c>
      <c r="F4398" s="2">
        <v>10</v>
      </c>
      <c r="G4398" s="3" t="s">
        <v>22</v>
      </c>
      <c r="H4398" s="2">
        <v>50</v>
      </c>
      <c r="I4398" s="114" t="str">
        <f t="shared" si="706"/>
        <v>577100</v>
      </c>
      <c r="J4398" s="112" t="s">
        <v>84</v>
      </c>
      <c r="K4398" s="112" t="str">
        <f t="shared" si="697"/>
        <v>577100</v>
      </c>
      <c r="L4398" s="2">
        <v>1</v>
      </c>
      <c r="M4398" s="2" t="s">
        <v>84</v>
      </c>
      <c r="N4398" s="2" t="s">
        <v>84</v>
      </c>
      <c r="O4398" s="2" t="s">
        <v>841</v>
      </c>
      <c r="P4398" s="2" t="s">
        <v>2571</v>
      </c>
    </row>
    <row r="4399" spans="1:16" ht="22" customHeight="1" x14ac:dyDescent="0.15">
      <c r="A4399" s="10" t="str">
        <f t="shared" si="705"/>
        <v>577_10_50_10_polygon</v>
      </c>
      <c r="B4399" s="2">
        <v>577</v>
      </c>
      <c r="C4399" s="30" t="str">
        <f>VLOOKUP(B4399,gachas!A:C,3)</f>
        <v>1000億BK記念_ユニットガチャ&lt;ハーシェル&amp;フェルマー&gt;</v>
      </c>
      <c r="D4399" s="21">
        <v>10</v>
      </c>
      <c r="E4399" s="2">
        <f t="shared" si="693"/>
        <v>50</v>
      </c>
      <c r="F4399" s="2">
        <v>10</v>
      </c>
      <c r="G4399" s="3" t="s">
        <v>22</v>
      </c>
      <c r="H4399" s="2">
        <v>50</v>
      </c>
      <c r="I4399" s="114" t="str">
        <f t="shared" si="706"/>
        <v>577100</v>
      </c>
      <c r="J4399" s="112" t="s">
        <v>84</v>
      </c>
      <c r="K4399" s="125">
        <v>577102</v>
      </c>
      <c r="L4399" s="2">
        <v>1</v>
      </c>
      <c r="M4399" s="2" t="s">
        <v>84</v>
      </c>
      <c r="N4399" s="2" t="s">
        <v>84</v>
      </c>
      <c r="O4399" s="2" t="s">
        <v>841</v>
      </c>
      <c r="P4399" s="6" t="s">
        <v>3111</v>
      </c>
    </row>
    <row r="4400" spans="1:16" ht="22" customHeight="1" x14ac:dyDescent="0.15">
      <c r="A4400" s="10" t="str">
        <f t="shared" si="676"/>
        <v>578_1_0_1_polygon</v>
      </c>
      <c r="B4400" s="2">
        <v>578</v>
      </c>
      <c r="C4400" s="30" t="str">
        <f>VLOOKUP(B4400,gachas!A:C,3)</f>
        <v>1000億BK記念_海外版限定スペシャルガチャ_後半</v>
      </c>
      <c r="D4400" s="21">
        <v>1</v>
      </c>
      <c r="E4400" s="2">
        <v>0</v>
      </c>
      <c r="F4400" s="2">
        <v>1</v>
      </c>
      <c r="G4400" s="3" t="s">
        <v>22</v>
      </c>
      <c r="H4400" s="2">
        <v>5</v>
      </c>
      <c r="I4400" s="114" t="str">
        <f t="shared" si="675"/>
        <v>578010</v>
      </c>
      <c r="J4400" s="112" t="s">
        <v>84</v>
      </c>
      <c r="K4400" s="112" t="s">
        <v>84</v>
      </c>
      <c r="L4400" s="2">
        <v>0</v>
      </c>
      <c r="M4400" s="2" t="s">
        <v>84</v>
      </c>
      <c r="N4400" s="2" t="s">
        <v>84</v>
      </c>
      <c r="O4400" s="2" t="s">
        <v>841</v>
      </c>
      <c r="P4400" s="2" t="s">
        <v>84</v>
      </c>
    </row>
    <row r="4401" spans="1:16" ht="22" customHeight="1" x14ac:dyDescent="0.15">
      <c r="A4401" s="10" t="str">
        <f t="shared" si="676"/>
        <v>578_10_0_10_polygon</v>
      </c>
      <c r="B4401" s="2">
        <v>578</v>
      </c>
      <c r="C4401" s="30" t="str">
        <f>VLOOKUP(B4401,gachas!A:C,3)</f>
        <v>1000億BK記念_海外版限定スペシャルガチャ_後半</v>
      </c>
      <c r="D4401" s="21">
        <v>10</v>
      </c>
      <c r="E4401" s="2">
        <v>0</v>
      </c>
      <c r="F4401" s="2">
        <v>10</v>
      </c>
      <c r="G4401" s="3" t="s">
        <v>22</v>
      </c>
      <c r="H4401" s="2">
        <v>50</v>
      </c>
      <c r="I4401" s="114" t="str">
        <f t="shared" ref="I4401:I4431" si="710">CONCATENATE(B4401,IF(D4401=1,"01","10"),0)</f>
        <v>578100</v>
      </c>
      <c r="J4401" s="112" t="s">
        <v>84</v>
      </c>
      <c r="K4401" s="112" t="s">
        <v>84</v>
      </c>
      <c r="L4401" s="2">
        <v>0</v>
      </c>
      <c r="M4401" s="2" t="s">
        <v>84</v>
      </c>
      <c r="N4401" s="2" t="s">
        <v>84</v>
      </c>
      <c r="O4401" s="2" t="s">
        <v>841</v>
      </c>
      <c r="P4401" s="2" t="s">
        <v>2637</v>
      </c>
    </row>
    <row r="4402" spans="1:16" ht="22" customHeight="1" x14ac:dyDescent="0.15">
      <c r="A4402" s="10" t="str">
        <f t="shared" si="676"/>
        <v>578_10_1_10_polygon</v>
      </c>
      <c r="B4402" s="2">
        <v>578</v>
      </c>
      <c r="C4402" s="30" t="str">
        <f>VLOOKUP(B4402,gachas!A:C,3)</f>
        <v>1000億BK記念_海外版限定スペシャルガチャ_後半</v>
      </c>
      <c r="D4402" s="21">
        <v>10</v>
      </c>
      <c r="E4402" s="2">
        <v>1</v>
      </c>
      <c r="F4402" s="2">
        <v>10</v>
      </c>
      <c r="G4402" s="3" t="s">
        <v>22</v>
      </c>
      <c r="H4402" s="2">
        <v>30</v>
      </c>
      <c r="I4402" s="114" t="str">
        <f t="shared" si="710"/>
        <v>578100</v>
      </c>
      <c r="J4402" s="112" t="s">
        <v>84</v>
      </c>
      <c r="K4402" s="112" t="s">
        <v>84</v>
      </c>
      <c r="L4402" s="2">
        <v>0</v>
      </c>
      <c r="M4402" s="2" t="s">
        <v>84</v>
      </c>
      <c r="N4402" s="2" t="s">
        <v>84</v>
      </c>
      <c r="O4402" s="2" t="s">
        <v>841</v>
      </c>
      <c r="P4402" s="2" t="s">
        <v>3063</v>
      </c>
    </row>
    <row r="4403" spans="1:16" ht="22" customHeight="1" x14ac:dyDescent="0.15">
      <c r="A4403" s="10" t="str">
        <f t="shared" si="676"/>
        <v>578_10_2_10_polygon</v>
      </c>
      <c r="B4403" s="2">
        <v>578</v>
      </c>
      <c r="C4403" s="30" t="str">
        <f>VLOOKUP(B4403,gachas!A:C,3)</f>
        <v>1000億BK記念_海外版限定スペシャルガチャ_後半</v>
      </c>
      <c r="D4403" s="21">
        <v>10</v>
      </c>
      <c r="E4403" s="2">
        <v>2</v>
      </c>
      <c r="F4403" s="2">
        <v>10</v>
      </c>
      <c r="G4403" s="3" t="s">
        <v>22</v>
      </c>
      <c r="H4403" s="2">
        <v>40</v>
      </c>
      <c r="I4403" s="114" t="str">
        <f t="shared" si="710"/>
        <v>578100</v>
      </c>
      <c r="J4403" s="112" t="s">
        <v>84</v>
      </c>
      <c r="K4403" s="112" t="s">
        <v>84</v>
      </c>
      <c r="L4403" s="2">
        <v>0</v>
      </c>
      <c r="M4403" s="2" t="s">
        <v>84</v>
      </c>
      <c r="N4403" s="2" t="s">
        <v>84</v>
      </c>
      <c r="O4403" s="2" t="s">
        <v>841</v>
      </c>
      <c r="P4403" s="2" t="s">
        <v>3064</v>
      </c>
    </row>
    <row r="4404" spans="1:16" ht="22" customHeight="1" x14ac:dyDescent="0.15">
      <c r="A4404" s="10" t="str">
        <f t="shared" si="676"/>
        <v>578_10_3_10_polygon</v>
      </c>
      <c r="B4404" s="2">
        <v>578</v>
      </c>
      <c r="C4404" s="30" t="str">
        <f>VLOOKUP(B4404,gachas!A:C,3)</f>
        <v>1000億BK記念_海外版限定スペシャルガチャ_後半</v>
      </c>
      <c r="D4404" s="21">
        <v>10</v>
      </c>
      <c r="E4404" s="2">
        <v>3</v>
      </c>
      <c r="F4404" s="2">
        <v>10</v>
      </c>
      <c r="G4404" s="3" t="s">
        <v>22</v>
      </c>
      <c r="H4404" s="2">
        <v>50</v>
      </c>
      <c r="I4404" s="114" t="str">
        <f t="shared" si="710"/>
        <v>578100</v>
      </c>
      <c r="J4404" s="112" t="s">
        <v>84</v>
      </c>
      <c r="K4404" s="117" t="str">
        <f>CONCATENATE(B4404,"103")</f>
        <v>578103</v>
      </c>
      <c r="L4404" s="2">
        <v>1</v>
      </c>
      <c r="M4404" s="2" t="s">
        <v>84</v>
      </c>
      <c r="N4404" s="2" t="s">
        <v>84</v>
      </c>
      <c r="O4404" s="2" t="s">
        <v>841</v>
      </c>
      <c r="P4404" s="2" t="s">
        <v>3065</v>
      </c>
    </row>
    <row r="4405" spans="1:16" ht="22" customHeight="1" x14ac:dyDescent="0.15">
      <c r="A4405" s="10" t="str">
        <f t="shared" ref="A4405:A4431" si="711">B4405&amp;"_"&amp;D4405&amp;"_"&amp;E4405&amp;"_"&amp;F4405&amp;"_"&amp;G4405</f>
        <v>578_10_4_10_polygon</v>
      </c>
      <c r="B4405" s="2">
        <v>578</v>
      </c>
      <c r="C4405" s="30" t="str">
        <f>VLOOKUP(B4405,gachas!A:C,3)</f>
        <v>1000億BK記念_海外版限定スペシャルガチャ_後半</v>
      </c>
      <c r="D4405" s="21">
        <v>10</v>
      </c>
      <c r="E4405" s="2">
        <v>4</v>
      </c>
      <c r="F4405" s="2">
        <v>10</v>
      </c>
      <c r="G4405" s="3" t="s">
        <v>22</v>
      </c>
      <c r="H4405" s="2">
        <v>30</v>
      </c>
      <c r="I4405" s="114" t="str">
        <f t="shared" si="710"/>
        <v>578100</v>
      </c>
      <c r="J4405" s="112" t="s">
        <v>84</v>
      </c>
      <c r="K4405" s="112" t="s">
        <v>84</v>
      </c>
      <c r="L4405" s="2">
        <v>0</v>
      </c>
      <c r="M4405" s="2" t="s">
        <v>84</v>
      </c>
      <c r="N4405" s="2" t="s">
        <v>84</v>
      </c>
      <c r="O4405" s="2" t="s">
        <v>841</v>
      </c>
      <c r="P4405" s="2" t="s">
        <v>3063</v>
      </c>
    </row>
    <row r="4406" spans="1:16" ht="22" customHeight="1" x14ac:dyDescent="0.15">
      <c r="A4406" s="10" t="str">
        <f t="shared" si="711"/>
        <v>578_10_5_10_polygon</v>
      </c>
      <c r="B4406" s="2">
        <v>578</v>
      </c>
      <c r="C4406" s="30" t="str">
        <f>VLOOKUP(B4406,gachas!A:C,3)</f>
        <v>1000億BK記念_海外版限定スペシャルガチャ_後半</v>
      </c>
      <c r="D4406" s="21">
        <v>10</v>
      </c>
      <c r="E4406" s="2">
        <v>5</v>
      </c>
      <c r="F4406" s="2">
        <v>10</v>
      </c>
      <c r="G4406" s="3" t="s">
        <v>22</v>
      </c>
      <c r="H4406" s="2">
        <v>40</v>
      </c>
      <c r="I4406" s="114" t="str">
        <f t="shared" si="710"/>
        <v>578100</v>
      </c>
      <c r="J4406" s="112" t="s">
        <v>84</v>
      </c>
      <c r="K4406" s="112" t="s">
        <v>84</v>
      </c>
      <c r="L4406" s="2">
        <v>0</v>
      </c>
      <c r="M4406" s="2" t="s">
        <v>84</v>
      </c>
      <c r="N4406" s="2" t="s">
        <v>84</v>
      </c>
      <c r="O4406" s="2" t="s">
        <v>841</v>
      </c>
      <c r="P4406" s="2" t="s">
        <v>3064</v>
      </c>
    </row>
    <row r="4407" spans="1:16" ht="22" customHeight="1" x14ac:dyDescent="0.15">
      <c r="A4407" s="10" t="str">
        <f t="shared" si="711"/>
        <v>578_10_6_10_polygon</v>
      </c>
      <c r="B4407" s="2">
        <v>578</v>
      </c>
      <c r="C4407" s="30" t="str">
        <f>VLOOKUP(B4407,gachas!A:C,3)</f>
        <v>1000億BK記念_海外版限定スペシャルガチャ_後半</v>
      </c>
      <c r="D4407" s="21">
        <v>10</v>
      </c>
      <c r="E4407" s="2">
        <v>6</v>
      </c>
      <c r="F4407" s="2">
        <v>10</v>
      </c>
      <c r="G4407" s="3" t="s">
        <v>22</v>
      </c>
      <c r="H4407" s="2">
        <v>50</v>
      </c>
      <c r="I4407" s="114" t="str">
        <f t="shared" si="710"/>
        <v>578100</v>
      </c>
      <c r="J4407" s="112" t="s">
        <v>84</v>
      </c>
      <c r="K4407" s="117" t="str">
        <f t="shared" ref="K4407" si="712">CONCATENATE(B4407,"103")</f>
        <v>578103</v>
      </c>
      <c r="L4407" s="2">
        <v>1</v>
      </c>
      <c r="M4407" s="2" t="s">
        <v>84</v>
      </c>
      <c r="N4407" s="2" t="s">
        <v>84</v>
      </c>
      <c r="O4407" s="2" t="s">
        <v>841</v>
      </c>
      <c r="P4407" s="2" t="s">
        <v>3065</v>
      </c>
    </row>
    <row r="4408" spans="1:16" ht="22" customHeight="1" x14ac:dyDescent="0.15">
      <c r="A4408" s="10" t="str">
        <f t="shared" si="711"/>
        <v>578_10_7_10_polygon</v>
      </c>
      <c r="B4408" s="2">
        <v>578</v>
      </c>
      <c r="C4408" s="30" t="str">
        <f>VLOOKUP(B4408,gachas!A:C,3)</f>
        <v>1000億BK記念_海外版限定スペシャルガチャ_後半</v>
      </c>
      <c r="D4408" s="21">
        <v>10</v>
      </c>
      <c r="E4408" s="2">
        <v>7</v>
      </c>
      <c r="F4408" s="2">
        <v>10</v>
      </c>
      <c r="G4408" s="3" t="s">
        <v>22</v>
      </c>
      <c r="H4408" s="2">
        <v>30</v>
      </c>
      <c r="I4408" s="114" t="str">
        <f t="shared" si="710"/>
        <v>578100</v>
      </c>
      <c r="J4408" s="112" t="s">
        <v>84</v>
      </c>
      <c r="K4408" s="112" t="s">
        <v>84</v>
      </c>
      <c r="L4408" s="2">
        <v>0</v>
      </c>
      <c r="M4408" s="2" t="s">
        <v>84</v>
      </c>
      <c r="N4408" s="2" t="s">
        <v>84</v>
      </c>
      <c r="O4408" s="2" t="s">
        <v>841</v>
      </c>
      <c r="P4408" s="2" t="s">
        <v>3063</v>
      </c>
    </row>
    <row r="4409" spans="1:16" ht="22" customHeight="1" x14ac:dyDescent="0.15">
      <c r="A4409" s="10" t="str">
        <f t="shared" si="711"/>
        <v>578_10_8_10_polygon</v>
      </c>
      <c r="B4409" s="2">
        <v>578</v>
      </c>
      <c r="C4409" s="30" t="str">
        <f>VLOOKUP(B4409,gachas!A:C,3)</f>
        <v>1000億BK記念_海外版限定スペシャルガチャ_後半</v>
      </c>
      <c r="D4409" s="21">
        <v>10</v>
      </c>
      <c r="E4409" s="2">
        <v>8</v>
      </c>
      <c r="F4409" s="2">
        <v>10</v>
      </c>
      <c r="G4409" s="3" t="s">
        <v>22</v>
      </c>
      <c r="H4409" s="2">
        <v>40</v>
      </c>
      <c r="I4409" s="114" t="str">
        <f t="shared" si="710"/>
        <v>578100</v>
      </c>
      <c r="J4409" s="112" t="s">
        <v>84</v>
      </c>
      <c r="K4409" s="112" t="s">
        <v>84</v>
      </c>
      <c r="L4409" s="2">
        <v>0</v>
      </c>
      <c r="M4409" s="2" t="s">
        <v>84</v>
      </c>
      <c r="N4409" s="2" t="s">
        <v>84</v>
      </c>
      <c r="O4409" s="2" t="s">
        <v>841</v>
      </c>
      <c r="P4409" s="2" t="s">
        <v>3064</v>
      </c>
    </row>
    <row r="4410" spans="1:16" ht="22" customHeight="1" x14ac:dyDescent="0.15">
      <c r="A4410" s="10" t="str">
        <f t="shared" si="711"/>
        <v>578_10_9_10_polygon</v>
      </c>
      <c r="B4410" s="2">
        <v>578</v>
      </c>
      <c r="C4410" s="30" t="str">
        <f>VLOOKUP(B4410,gachas!A:C,3)</f>
        <v>1000億BK記念_海外版限定スペシャルガチャ_後半</v>
      </c>
      <c r="D4410" s="21">
        <v>10</v>
      </c>
      <c r="E4410" s="2">
        <v>9</v>
      </c>
      <c r="F4410" s="2">
        <v>10</v>
      </c>
      <c r="G4410" s="3" t="s">
        <v>22</v>
      </c>
      <c r="H4410" s="2">
        <v>50</v>
      </c>
      <c r="I4410" s="114" t="str">
        <f t="shared" si="710"/>
        <v>578100</v>
      </c>
      <c r="J4410" s="112" t="s">
        <v>84</v>
      </c>
      <c r="K4410" s="117" t="str">
        <f t="shared" ref="K4410" si="713">CONCATENATE(B4410,"103")</f>
        <v>578103</v>
      </c>
      <c r="L4410" s="2">
        <v>1</v>
      </c>
      <c r="M4410" s="2" t="s">
        <v>84</v>
      </c>
      <c r="N4410" s="2" t="s">
        <v>84</v>
      </c>
      <c r="O4410" s="2" t="s">
        <v>841</v>
      </c>
      <c r="P4410" s="2" t="s">
        <v>3065</v>
      </c>
    </row>
    <row r="4411" spans="1:16" ht="22" customHeight="1" x14ac:dyDescent="0.15">
      <c r="A4411" s="10" t="str">
        <f t="shared" si="711"/>
        <v>578_10_10_10_polygon</v>
      </c>
      <c r="B4411" s="2">
        <v>578</v>
      </c>
      <c r="C4411" s="30" t="str">
        <f>VLOOKUP(B4411,gachas!A:C,3)</f>
        <v>1000億BK記念_海外版限定スペシャルガチャ_後半</v>
      </c>
      <c r="D4411" s="21">
        <v>10</v>
      </c>
      <c r="E4411" s="2">
        <v>10</v>
      </c>
      <c r="F4411" s="2">
        <v>10</v>
      </c>
      <c r="G4411" s="3" t="s">
        <v>22</v>
      </c>
      <c r="H4411" s="2">
        <v>30</v>
      </c>
      <c r="I4411" s="114" t="str">
        <f t="shared" si="710"/>
        <v>578100</v>
      </c>
      <c r="J4411" s="112" t="s">
        <v>84</v>
      </c>
      <c r="K4411" s="112" t="s">
        <v>84</v>
      </c>
      <c r="L4411" s="2">
        <v>0</v>
      </c>
      <c r="M4411" s="2" t="s">
        <v>84</v>
      </c>
      <c r="N4411" s="2" t="s">
        <v>84</v>
      </c>
      <c r="O4411" s="2" t="s">
        <v>841</v>
      </c>
      <c r="P4411" s="2" t="s">
        <v>3063</v>
      </c>
    </row>
    <row r="4412" spans="1:16" ht="22" customHeight="1" x14ac:dyDescent="0.15">
      <c r="A4412" s="10" t="str">
        <f t="shared" si="711"/>
        <v>578_10_11_10_polygon</v>
      </c>
      <c r="B4412" s="2">
        <v>578</v>
      </c>
      <c r="C4412" s="30" t="str">
        <f>VLOOKUP(B4412,gachas!A:C,3)</f>
        <v>1000億BK記念_海外版限定スペシャルガチャ_後半</v>
      </c>
      <c r="D4412" s="21">
        <v>10</v>
      </c>
      <c r="E4412" s="2">
        <v>11</v>
      </c>
      <c r="F4412" s="2">
        <v>10</v>
      </c>
      <c r="G4412" s="3" t="s">
        <v>22</v>
      </c>
      <c r="H4412" s="2">
        <v>40</v>
      </c>
      <c r="I4412" s="114" t="str">
        <f t="shared" si="710"/>
        <v>578100</v>
      </c>
      <c r="J4412" s="112" t="s">
        <v>84</v>
      </c>
      <c r="K4412" s="112" t="s">
        <v>84</v>
      </c>
      <c r="L4412" s="2">
        <v>0</v>
      </c>
      <c r="M4412" s="2" t="s">
        <v>84</v>
      </c>
      <c r="N4412" s="2" t="s">
        <v>84</v>
      </c>
      <c r="O4412" s="2" t="s">
        <v>841</v>
      </c>
      <c r="P4412" s="2" t="s">
        <v>3064</v>
      </c>
    </row>
    <row r="4413" spans="1:16" ht="22" customHeight="1" x14ac:dyDescent="0.15">
      <c r="A4413" s="10" t="str">
        <f t="shared" si="711"/>
        <v>578_10_12_10_polygon</v>
      </c>
      <c r="B4413" s="2">
        <v>578</v>
      </c>
      <c r="C4413" s="30" t="str">
        <f>VLOOKUP(B4413,gachas!A:C,3)</f>
        <v>1000億BK記念_海外版限定スペシャルガチャ_後半</v>
      </c>
      <c r="D4413" s="21">
        <v>10</v>
      </c>
      <c r="E4413" s="2">
        <v>12</v>
      </c>
      <c r="F4413" s="2">
        <v>10</v>
      </c>
      <c r="G4413" s="3" t="s">
        <v>22</v>
      </c>
      <c r="H4413" s="2">
        <v>50</v>
      </c>
      <c r="I4413" s="114" t="str">
        <f t="shared" si="710"/>
        <v>578100</v>
      </c>
      <c r="J4413" s="112" t="s">
        <v>84</v>
      </c>
      <c r="K4413" s="117" t="str">
        <f t="shared" ref="K4413" si="714">CONCATENATE(B4413,"103")</f>
        <v>578103</v>
      </c>
      <c r="L4413" s="2">
        <v>1</v>
      </c>
      <c r="M4413" s="2" t="s">
        <v>84</v>
      </c>
      <c r="N4413" s="2" t="s">
        <v>84</v>
      </c>
      <c r="O4413" s="2" t="s">
        <v>841</v>
      </c>
      <c r="P4413" s="2" t="s">
        <v>3065</v>
      </c>
    </row>
    <row r="4414" spans="1:16" ht="22" customHeight="1" x14ac:dyDescent="0.15">
      <c r="A4414" s="10" t="str">
        <f t="shared" si="711"/>
        <v>578_10_13_10_polygon</v>
      </c>
      <c r="B4414" s="2">
        <v>578</v>
      </c>
      <c r="C4414" s="30" t="str">
        <f>VLOOKUP(B4414,gachas!A:C,3)</f>
        <v>1000億BK記念_海外版限定スペシャルガチャ_後半</v>
      </c>
      <c r="D4414" s="21">
        <v>10</v>
      </c>
      <c r="E4414" s="2">
        <v>13</v>
      </c>
      <c r="F4414" s="2">
        <v>10</v>
      </c>
      <c r="G4414" s="3" t="s">
        <v>22</v>
      </c>
      <c r="H4414" s="2">
        <v>30</v>
      </c>
      <c r="I4414" s="114" t="str">
        <f t="shared" si="710"/>
        <v>578100</v>
      </c>
      <c r="J4414" s="112" t="s">
        <v>84</v>
      </c>
      <c r="K4414" s="112" t="s">
        <v>84</v>
      </c>
      <c r="L4414" s="2">
        <v>0</v>
      </c>
      <c r="M4414" s="2" t="s">
        <v>84</v>
      </c>
      <c r="N4414" s="2" t="s">
        <v>84</v>
      </c>
      <c r="O4414" s="2" t="s">
        <v>841</v>
      </c>
      <c r="P4414" s="2" t="s">
        <v>3063</v>
      </c>
    </row>
    <row r="4415" spans="1:16" ht="22" customHeight="1" x14ac:dyDescent="0.15">
      <c r="A4415" s="10" t="str">
        <f t="shared" si="711"/>
        <v>578_10_14_10_polygon</v>
      </c>
      <c r="B4415" s="2">
        <v>578</v>
      </c>
      <c r="C4415" s="30" t="str">
        <f>VLOOKUP(B4415,gachas!A:C,3)</f>
        <v>1000億BK記念_海外版限定スペシャルガチャ_後半</v>
      </c>
      <c r="D4415" s="21">
        <v>10</v>
      </c>
      <c r="E4415" s="2">
        <v>14</v>
      </c>
      <c r="F4415" s="2">
        <v>10</v>
      </c>
      <c r="G4415" s="3" t="s">
        <v>22</v>
      </c>
      <c r="H4415" s="2">
        <v>40</v>
      </c>
      <c r="I4415" s="114" t="str">
        <f t="shared" si="710"/>
        <v>578100</v>
      </c>
      <c r="J4415" s="112" t="s">
        <v>84</v>
      </c>
      <c r="K4415" s="112" t="s">
        <v>84</v>
      </c>
      <c r="L4415" s="2">
        <v>0</v>
      </c>
      <c r="M4415" s="2" t="s">
        <v>84</v>
      </c>
      <c r="N4415" s="2" t="s">
        <v>84</v>
      </c>
      <c r="O4415" s="2" t="s">
        <v>841</v>
      </c>
      <c r="P4415" s="2" t="s">
        <v>3064</v>
      </c>
    </row>
    <row r="4416" spans="1:16" ht="22" customHeight="1" x14ac:dyDescent="0.15">
      <c r="A4416" s="10" t="str">
        <f t="shared" si="711"/>
        <v>578_10_15_10_polygon</v>
      </c>
      <c r="B4416" s="2">
        <v>578</v>
      </c>
      <c r="C4416" s="30" t="str">
        <f>VLOOKUP(B4416,gachas!A:C,3)</f>
        <v>1000億BK記念_海外版限定スペシャルガチャ_後半</v>
      </c>
      <c r="D4416" s="21">
        <v>10</v>
      </c>
      <c r="E4416" s="2">
        <v>15</v>
      </c>
      <c r="F4416" s="2">
        <v>10</v>
      </c>
      <c r="G4416" s="3" t="s">
        <v>22</v>
      </c>
      <c r="H4416" s="2">
        <v>50</v>
      </c>
      <c r="I4416" s="114" t="str">
        <f t="shared" si="710"/>
        <v>578100</v>
      </c>
      <c r="J4416" s="112" t="s">
        <v>84</v>
      </c>
      <c r="K4416" s="117" t="str">
        <f t="shared" ref="K4416" si="715">CONCATENATE(B4416,"103")</f>
        <v>578103</v>
      </c>
      <c r="L4416" s="2">
        <v>1</v>
      </c>
      <c r="M4416" s="2" t="s">
        <v>84</v>
      </c>
      <c r="N4416" s="2" t="s">
        <v>84</v>
      </c>
      <c r="O4416" s="2" t="s">
        <v>841</v>
      </c>
      <c r="P4416" s="2" t="s">
        <v>3065</v>
      </c>
    </row>
    <row r="4417" spans="1:16" ht="22" customHeight="1" x14ac:dyDescent="0.15">
      <c r="A4417" s="10" t="str">
        <f t="shared" si="711"/>
        <v>578_10_16_10_polygon</v>
      </c>
      <c r="B4417" s="2">
        <v>578</v>
      </c>
      <c r="C4417" s="30" t="str">
        <f>VLOOKUP(B4417,gachas!A:C,3)</f>
        <v>1000億BK記念_海外版限定スペシャルガチャ_後半</v>
      </c>
      <c r="D4417" s="21">
        <v>10</v>
      </c>
      <c r="E4417" s="2">
        <v>16</v>
      </c>
      <c r="F4417" s="2">
        <v>10</v>
      </c>
      <c r="G4417" s="3" t="s">
        <v>22</v>
      </c>
      <c r="H4417" s="2">
        <v>30</v>
      </c>
      <c r="I4417" s="114" t="str">
        <f t="shared" si="710"/>
        <v>578100</v>
      </c>
      <c r="J4417" s="112" t="s">
        <v>84</v>
      </c>
      <c r="K4417" s="112" t="s">
        <v>84</v>
      </c>
      <c r="L4417" s="2">
        <v>0</v>
      </c>
      <c r="M4417" s="2" t="s">
        <v>84</v>
      </c>
      <c r="N4417" s="2" t="s">
        <v>84</v>
      </c>
      <c r="O4417" s="2" t="s">
        <v>841</v>
      </c>
      <c r="P4417" s="2" t="s">
        <v>3063</v>
      </c>
    </row>
    <row r="4418" spans="1:16" ht="22" customHeight="1" x14ac:dyDescent="0.15">
      <c r="A4418" s="10" t="str">
        <f t="shared" si="711"/>
        <v>578_10_17_10_polygon</v>
      </c>
      <c r="B4418" s="2">
        <v>578</v>
      </c>
      <c r="C4418" s="30" t="str">
        <f>VLOOKUP(B4418,gachas!A:C,3)</f>
        <v>1000億BK記念_海外版限定スペシャルガチャ_後半</v>
      </c>
      <c r="D4418" s="21">
        <v>10</v>
      </c>
      <c r="E4418" s="2">
        <v>17</v>
      </c>
      <c r="F4418" s="2">
        <v>10</v>
      </c>
      <c r="G4418" s="3" t="s">
        <v>22</v>
      </c>
      <c r="H4418" s="2">
        <v>40</v>
      </c>
      <c r="I4418" s="114" t="str">
        <f t="shared" si="710"/>
        <v>578100</v>
      </c>
      <c r="J4418" s="112" t="s">
        <v>84</v>
      </c>
      <c r="K4418" s="112" t="s">
        <v>84</v>
      </c>
      <c r="L4418" s="2">
        <v>0</v>
      </c>
      <c r="M4418" s="2" t="s">
        <v>84</v>
      </c>
      <c r="N4418" s="2" t="s">
        <v>84</v>
      </c>
      <c r="O4418" s="2" t="s">
        <v>841</v>
      </c>
      <c r="P4418" s="2" t="s">
        <v>3064</v>
      </c>
    </row>
    <row r="4419" spans="1:16" ht="22" customHeight="1" x14ac:dyDescent="0.15">
      <c r="A4419" s="10" t="str">
        <f t="shared" si="711"/>
        <v>578_10_18_10_polygon</v>
      </c>
      <c r="B4419" s="2">
        <v>578</v>
      </c>
      <c r="C4419" s="30" t="str">
        <f>VLOOKUP(B4419,gachas!A:C,3)</f>
        <v>1000億BK記念_海外版限定スペシャルガチャ_後半</v>
      </c>
      <c r="D4419" s="21">
        <v>10</v>
      </c>
      <c r="E4419" s="2">
        <v>18</v>
      </c>
      <c r="F4419" s="2">
        <v>10</v>
      </c>
      <c r="G4419" s="3" t="s">
        <v>22</v>
      </c>
      <c r="H4419" s="2">
        <v>50</v>
      </c>
      <c r="I4419" s="114" t="str">
        <f t="shared" si="710"/>
        <v>578100</v>
      </c>
      <c r="J4419" s="112" t="s">
        <v>84</v>
      </c>
      <c r="K4419" s="117" t="str">
        <f t="shared" ref="K4419" si="716">CONCATENATE(B4419,"103")</f>
        <v>578103</v>
      </c>
      <c r="L4419" s="2">
        <v>1</v>
      </c>
      <c r="M4419" s="2" t="s">
        <v>84</v>
      </c>
      <c r="N4419" s="2" t="s">
        <v>84</v>
      </c>
      <c r="O4419" s="2" t="s">
        <v>841</v>
      </c>
      <c r="P4419" s="2" t="s">
        <v>3065</v>
      </c>
    </row>
    <row r="4420" spans="1:16" ht="22" customHeight="1" x14ac:dyDescent="0.15">
      <c r="A4420" s="10" t="str">
        <f t="shared" si="711"/>
        <v>578_10_19_10_polygon</v>
      </c>
      <c r="B4420" s="2">
        <v>578</v>
      </c>
      <c r="C4420" s="30" t="str">
        <f>VLOOKUP(B4420,gachas!A:C,3)</f>
        <v>1000億BK記念_海外版限定スペシャルガチャ_後半</v>
      </c>
      <c r="D4420" s="21">
        <v>10</v>
      </c>
      <c r="E4420" s="2">
        <v>19</v>
      </c>
      <c r="F4420" s="2">
        <v>10</v>
      </c>
      <c r="G4420" s="3" t="s">
        <v>22</v>
      </c>
      <c r="H4420" s="2">
        <v>30</v>
      </c>
      <c r="I4420" s="114" t="str">
        <f t="shared" si="710"/>
        <v>578100</v>
      </c>
      <c r="J4420" s="112" t="s">
        <v>84</v>
      </c>
      <c r="K4420" s="112" t="s">
        <v>84</v>
      </c>
      <c r="L4420" s="2">
        <v>0</v>
      </c>
      <c r="M4420" s="2" t="s">
        <v>84</v>
      </c>
      <c r="N4420" s="2" t="s">
        <v>84</v>
      </c>
      <c r="O4420" s="2" t="s">
        <v>841</v>
      </c>
      <c r="P4420" s="2" t="s">
        <v>3063</v>
      </c>
    </row>
    <row r="4421" spans="1:16" ht="22" customHeight="1" x14ac:dyDescent="0.15">
      <c r="A4421" s="10" t="str">
        <f t="shared" si="711"/>
        <v>578_10_20_10_polygon</v>
      </c>
      <c r="B4421" s="2">
        <v>578</v>
      </c>
      <c r="C4421" s="30" t="str">
        <f>VLOOKUP(B4421,gachas!A:C,3)</f>
        <v>1000億BK記念_海外版限定スペシャルガチャ_後半</v>
      </c>
      <c r="D4421" s="21">
        <v>10</v>
      </c>
      <c r="E4421" s="2">
        <v>20</v>
      </c>
      <c r="F4421" s="2">
        <v>10</v>
      </c>
      <c r="G4421" s="3" t="s">
        <v>22</v>
      </c>
      <c r="H4421" s="2">
        <v>40</v>
      </c>
      <c r="I4421" s="114" t="str">
        <f t="shared" si="710"/>
        <v>578100</v>
      </c>
      <c r="J4421" s="112" t="s">
        <v>84</v>
      </c>
      <c r="K4421" s="112" t="s">
        <v>84</v>
      </c>
      <c r="L4421" s="2">
        <v>0</v>
      </c>
      <c r="M4421" s="2" t="s">
        <v>84</v>
      </c>
      <c r="N4421" s="2" t="s">
        <v>84</v>
      </c>
      <c r="O4421" s="2" t="s">
        <v>841</v>
      </c>
      <c r="P4421" s="2" t="s">
        <v>3064</v>
      </c>
    </row>
    <row r="4422" spans="1:16" ht="22" customHeight="1" x14ac:dyDescent="0.15">
      <c r="A4422" s="10" t="str">
        <f t="shared" si="711"/>
        <v>578_10_21_10_polygon</v>
      </c>
      <c r="B4422" s="2">
        <v>578</v>
      </c>
      <c r="C4422" s="30" t="str">
        <f>VLOOKUP(B4422,gachas!A:C,3)</f>
        <v>1000億BK記念_海外版限定スペシャルガチャ_後半</v>
      </c>
      <c r="D4422" s="21">
        <v>10</v>
      </c>
      <c r="E4422" s="2">
        <v>21</v>
      </c>
      <c r="F4422" s="2">
        <v>10</v>
      </c>
      <c r="G4422" s="3" t="s">
        <v>22</v>
      </c>
      <c r="H4422" s="2">
        <v>50</v>
      </c>
      <c r="I4422" s="114" t="str">
        <f t="shared" si="710"/>
        <v>578100</v>
      </c>
      <c r="J4422" s="112" t="s">
        <v>84</v>
      </c>
      <c r="K4422" s="117" t="str">
        <f t="shared" ref="K4422" si="717">CONCATENATE(B4422,"103")</f>
        <v>578103</v>
      </c>
      <c r="L4422" s="2">
        <v>1</v>
      </c>
      <c r="M4422" s="2" t="s">
        <v>84</v>
      </c>
      <c r="N4422" s="2" t="s">
        <v>84</v>
      </c>
      <c r="O4422" s="2" t="s">
        <v>841</v>
      </c>
      <c r="P4422" s="2" t="s">
        <v>3065</v>
      </c>
    </row>
    <row r="4423" spans="1:16" ht="22" customHeight="1" x14ac:dyDescent="0.15">
      <c r="A4423" s="10" t="str">
        <f t="shared" si="711"/>
        <v>578_10_22_10_polygon</v>
      </c>
      <c r="B4423" s="2">
        <v>578</v>
      </c>
      <c r="C4423" s="30" t="str">
        <f>VLOOKUP(B4423,gachas!A:C,3)</f>
        <v>1000億BK記念_海外版限定スペシャルガチャ_後半</v>
      </c>
      <c r="D4423" s="21">
        <v>10</v>
      </c>
      <c r="E4423" s="2">
        <v>22</v>
      </c>
      <c r="F4423" s="2">
        <v>10</v>
      </c>
      <c r="G4423" s="3" t="s">
        <v>22</v>
      </c>
      <c r="H4423" s="2">
        <v>30</v>
      </c>
      <c r="I4423" s="114" t="str">
        <f t="shared" si="710"/>
        <v>578100</v>
      </c>
      <c r="J4423" s="112" t="s">
        <v>84</v>
      </c>
      <c r="K4423" s="112" t="s">
        <v>84</v>
      </c>
      <c r="L4423" s="2">
        <v>0</v>
      </c>
      <c r="M4423" s="2" t="s">
        <v>84</v>
      </c>
      <c r="N4423" s="2" t="s">
        <v>84</v>
      </c>
      <c r="O4423" s="2" t="s">
        <v>841</v>
      </c>
      <c r="P4423" s="2" t="s">
        <v>3063</v>
      </c>
    </row>
    <row r="4424" spans="1:16" ht="22" customHeight="1" x14ac:dyDescent="0.15">
      <c r="A4424" s="10" t="str">
        <f t="shared" si="711"/>
        <v>578_10_23_10_polygon</v>
      </c>
      <c r="B4424" s="2">
        <v>578</v>
      </c>
      <c r="C4424" s="30" t="str">
        <f>VLOOKUP(B4424,gachas!A:C,3)</f>
        <v>1000億BK記念_海外版限定スペシャルガチャ_後半</v>
      </c>
      <c r="D4424" s="21">
        <v>10</v>
      </c>
      <c r="E4424" s="2">
        <v>23</v>
      </c>
      <c r="F4424" s="2">
        <v>10</v>
      </c>
      <c r="G4424" s="3" t="s">
        <v>22</v>
      </c>
      <c r="H4424" s="2">
        <v>40</v>
      </c>
      <c r="I4424" s="114" t="str">
        <f t="shared" si="710"/>
        <v>578100</v>
      </c>
      <c r="J4424" s="112" t="s">
        <v>84</v>
      </c>
      <c r="K4424" s="112" t="s">
        <v>84</v>
      </c>
      <c r="L4424" s="2">
        <v>0</v>
      </c>
      <c r="M4424" s="2" t="s">
        <v>84</v>
      </c>
      <c r="N4424" s="2" t="s">
        <v>84</v>
      </c>
      <c r="O4424" s="2" t="s">
        <v>841</v>
      </c>
      <c r="P4424" s="2" t="s">
        <v>3064</v>
      </c>
    </row>
    <row r="4425" spans="1:16" ht="22" customHeight="1" x14ac:dyDescent="0.15">
      <c r="A4425" s="10" t="str">
        <f t="shared" si="711"/>
        <v>578_10_24_10_polygon</v>
      </c>
      <c r="B4425" s="2">
        <v>578</v>
      </c>
      <c r="C4425" s="30" t="str">
        <f>VLOOKUP(B4425,gachas!A:C,3)</f>
        <v>1000億BK記念_海外版限定スペシャルガチャ_後半</v>
      </c>
      <c r="D4425" s="21">
        <v>10</v>
      </c>
      <c r="E4425" s="2">
        <v>24</v>
      </c>
      <c r="F4425" s="2">
        <v>10</v>
      </c>
      <c r="G4425" s="3" t="s">
        <v>22</v>
      </c>
      <c r="H4425" s="2">
        <v>50</v>
      </c>
      <c r="I4425" s="114" t="str">
        <f t="shared" si="710"/>
        <v>578100</v>
      </c>
      <c r="J4425" s="112" t="s">
        <v>84</v>
      </c>
      <c r="K4425" s="117" t="str">
        <f t="shared" ref="K4425" si="718">CONCATENATE(B4425,"103")</f>
        <v>578103</v>
      </c>
      <c r="L4425" s="2">
        <v>1</v>
      </c>
      <c r="M4425" s="2" t="s">
        <v>84</v>
      </c>
      <c r="N4425" s="2" t="s">
        <v>84</v>
      </c>
      <c r="O4425" s="2" t="s">
        <v>841</v>
      </c>
      <c r="P4425" s="2" t="s">
        <v>3065</v>
      </c>
    </row>
    <row r="4426" spans="1:16" ht="22" customHeight="1" x14ac:dyDescent="0.15">
      <c r="A4426" s="10" t="str">
        <f t="shared" si="711"/>
        <v>578_10_25_10_polygon</v>
      </c>
      <c r="B4426" s="2">
        <v>578</v>
      </c>
      <c r="C4426" s="30" t="str">
        <f>VLOOKUP(B4426,gachas!A:C,3)</f>
        <v>1000億BK記念_海外版限定スペシャルガチャ_後半</v>
      </c>
      <c r="D4426" s="21">
        <v>10</v>
      </c>
      <c r="E4426" s="2">
        <v>25</v>
      </c>
      <c r="F4426" s="2">
        <v>10</v>
      </c>
      <c r="G4426" s="3" t="s">
        <v>22</v>
      </c>
      <c r="H4426" s="2">
        <v>30</v>
      </c>
      <c r="I4426" s="114" t="str">
        <f t="shared" si="710"/>
        <v>578100</v>
      </c>
      <c r="J4426" s="112" t="s">
        <v>84</v>
      </c>
      <c r="K4426" s="112" t="s">
        <v>84</v>
      </c>
      <c r="L4426" s="2">
        <v>0</v>
      </c>
      <c r="M4426" s="2" t="s">
        <v>84</v>
      </c>
      <c r="N4426" s="2" t="s">
        <v>84</v>
      </c>
      <c r="O4426" s="2" t="s">
        <v>841</v>
      </c>
      <c r="P4426" s="2" t="s">
        <v>3063</v>
      </c>
    </row>
    <row r="4427" spans="1:16" ht="22" customHeight="1" x14ac:dyDescent="0.15">
      <c r="A4427" s="10" t="str">
        <f t="shared" si="711"/>
        <v>578_10_26_10_polygon</v>
      </c>
      <c r="B4427" s="2">
        <v>578</v>
      </c>
      <c r="C4427" s="30" t="str">
        <f>VLOOKUP(B4427,gachas!A:C,3)</f>
        <v>1000億BK記念_海外版限定スペシャルガチャ_後半</v>
      </c>
      <c r="D4427" s="21">
        <v>10</v>
      </c>
      <c r="E4427" s="2">
        <v>26</v>
      </c>
      <c r="F4427" s="2">
        <v>10</v>
      </c>
      <c r="G4427" s="3" t="s">
        <v>22</v>
      </c>
      <c r="H4427" s="2">
        <v>40</v>
      </c>
      <c r="I4427" s="114" t="str">
        <f t="shared" si="710"/>
        <v>578100</v>
      </c>
      <c r="J4427" s="112" t="s">
        <v>84</v>
      </c>
      <c r="K4427" s="112" t="s">
        <v>84</v>
      </c>
      <c r="L4427" s="2">
        <v>0</v>
      </c>
      <c r="M4427" s="2" t="s">
        <v>84</v>
      </c>
      <c r="N4427" s="2" t="s">
        <v>84</v>
      </c>
      <c r="O4427" s="2" t="s">
        <v>841</v>
      </c>
      <c r="P4427" s="2" t="s">
        <v>3064</v>
      </c>
    </row>
    <row r="4428" spans="1:16" ht="22" customHeight="1" x14ac:dyDescent="0.15">
      <c r="A4428" s="10" t="str">
        <f t="shared" si="711"/>
        <v>578_10_27_10_polygon</v>
      </c>
      <c r="B4428" s="2">
        <v>578</v>
      </c>
      <c r="C4428" s="30" t="str">
        <f>VLOOKUP(B4428,gachas!A:C,3)</f>
        <v>1000億BK記念_海外版限定スペシャルガチャ_後半</v>
      </c>
      <c r="D4428" s="21">
        <v>10</v>
      </c>
      <c r="E4428" s="2">
        <v>27</v>
      </c>
      <c r="F4428" s="2">
        <v>10</v>
      </c>
      <c r="G4428" s="3" t="s">
        <v>22</v>
      </c>
      <c r="H4428" s="2">
        <v>50</v>
      </c>
      <c r="I4428" s="114" t="str">
        <f t="shared" si="710"/>
        <v>578100</v>
      </c>
      <c r="J4428" s="112" t="s">
        <v>84</v>
      </c>
      <c r="K4428" s="117" t="str">
        <f t="shared" ref="K4428" si="719">CONCATENATE(B4428,"103")</f>
        <v>578103</v>
      </c>
      <c r="L4428" s="2">
        <v>1</v>
      </c>
      <c r="M4428" s="2" t="s">
        <v>84</v>
      </c>
      <c r="N4428" s="2" t="s">
        <v>84</v>
      </c>
      <c r="O4428" s="2" t="s">
        <v>841</v>
      </c>
      <c r="P4428" s="2" t="s">
        <v>3065</v>
      </c>
    </row>
    <row r="4429" spans="1:16" ht="22" customHeight="1" x14ac:dyDescent="0.15">
      <c r="A4429" s="10" t="str">
        <f t="shared" si="711"/>
        <v>578_10_28_10_polygon</v>
      </c>
      <c r="B4429" s="2">
        <v>578</v>
      </c>
      <c r="C4429" s="30" t="str">
        <f>VLOOKUP(B4429,gachas!A:C,3)</f>
        <v>1000億BK記念_海外版限定スペシャルガチャ_後半</v>
      </c>
      <c r="D4429" s="21">
        <v>10</v>
      </c>
      <c r="E4429" s="2">
        <v>28</v>
      </c>
      <c r="F4429" s="2">
        <v>10</v>
      </c>
      <c r="G4429" s="3" t="s">
        <v>22</v>
      </c>
      <c r="H4429" s="2">
        <v>30</v>
      </c>
      <c r="I4429" s="114" t="str">
        <f t="shared" si="710"/>
        <v>578100</v>
      </c>
      <c r="J4429" s="112" t="s">
        <v>84</v>
      </c>
      <c r="K4429" s="112" t="s">
        <v>84</v>
      </c>
      <c r="L4429" s="2">
        <v>0</v>
      </c>
      <c r="M4429" s="2" t="s">
        <v>84</v>
      </c>
      <c r="N4429" s="2" t="s">
        <v>84</v>
      </c>
      <c r="O4429" s="2" t="s">
        <v>841</v>
      </c>
      <c r="P4429" s="2" t="s">
        <v>3063</v>
      </c>
    </row>
    <row r="4430" spans="1:16" ht="22" customHeight="1" x14ac:dyDescent="0.15">
      <c r="A4430" s="10" t="str">
        <f t="shared" si="711"/>
        <v>578_10_29_10_polygon</v>
      </c>
      <c r="B4430" s="2">
        <v>578</v>
      </c>
      <c r="C4430" s="30" t="str">
        <f>VLOOKUP(B4430,gachas!A:C,3)</f>
        <v>1000億BK記念_海外版限定スペシャルガチャ_後半</v>
      </c>
      <c r="D4430" s="21">
        <v>10</v>
      </c>
      <c r="E4430" s="2">
        <v>29</v>
      </c>
      <c r="F4430" s="2">
        <v>10</v>
      </c>
      <c r="G4430" s="3" t="s">
        <v>22</v>
      </c>
      <c r="H4430" s="2">
        <v>40</v>
      </c>
      <c r="I4430" s="114" t="str">
        <f t="shared" si="710"/>
        <v>578100</v>
      </c>
      <c r="J4430" s="112" t="s">
        <v>84</v>
      </c>
      <c r="K4430" s="112" t="s">
        <v>84</v>
      </c>
      <c r="L4430" s="2">
        <v>0</v>
      </c>
      <c r="M4430" s="2" t="s">
        <v>84</v>
      </c>
      <c r="N4430" s="2" t="s">
        <v>84</v>
      </c>
      <c r="O4430" s="2" t="s">
        <v>841</v>
      </c>
      <c r="P4430" s="2" t="s">
        <v>3064</v>
      </c>
    </row>
    <row r="4431" spans="1:16" ht="22" customHeight="1" x14ac:dyDescent="0.15">
      <c r="A4431" s="10" t="str">
        <f t="shared" si="711"/>
        <v>578_10_30_10_polygon</v>
      </c>
      <c r="B4431" s="2">
        <v>578</v>
      </c>
      <c r="C4431" s="30" t="str">
        <f>VLOOKUP(B4431,gachas!A:C,3)</f>
        <v>1000億BK記念_海外版限定スペシャルガチャ_後半</v>
      </c>
      <c r="D4431" s="21">
        <v>10</v>
      </c>
      <c r="E4431" s="2">
        <v>30</v>
      </c>
      <c r="F4431" s="2">
        <v>10</v>
      </c>
      <c r="G4431" s="3" t="s">
        <v>22</v>
      </c>
      <c r="H4431" s="2">
        <v>50</v>
      </c>
      <c r="I4431" s="114" t="str">
        <f t="shared" si="710"/>
        <v>578100</v>
      </c>
      <c r="J4431" s="112" t="s">
        <v>84</v>
      </c>
      <c r="K4431" s="117" t="str">
        <f t="shared" ref="K4431" si="720">CONCATENATE(B4431,"103")</f>
        <v>578103</v>
      </c>
      <c r="L4431" s="2">
        <v>1</v>
      </c>
      <c r="M4431" s="2" t="s">
        <v>84</v>
      </c>
      <c r="N4431" s="2" t="s">
        <v>84</v>
      </c>
      <c r="O4431" s="2" t="s">
        <v>841</v>
      </c>
      <c r="P4431" s="2" t="s">
        <v>3065</v>
      </c>
    </row>
    <row r="4432" spans="1:16" ht="22" customHeight="1" x14ac:dyDescent="0.15">
      <c r="A4432" s="10" t="str">
        <f t="shared" ref="A4432:A4435" si="721">B4432&amp;"_"&amp;D4432&amp;"_"&amp;E4432&amp;"_"&amp;F4432&amp;"_"&amp;G4432</f>
        <v>579_1_0_1_polygon</v>
      </c>
      <c r="B4432" s="2">
        <v>579</v>
      </c>
      <c r="C4432" s="30" t="str">
        <f>VLOOKUP(B4432,gachas!A:C,3)</f>
        <v>1000億BK記念_ランクアップ無料ガチャ&lt;ランク1&gt;</v>
      </c>
      <c r="D4432" s="21">
        <v>1</v>
      </c>
      <c r="E4432" s="2">
        <v>0</v>
      </c>
      <c r="F4432" s="2">
        <v>1</v>
      </c>
      <c r="G4432" s="3" t="s">
        <v>22</v>
      </c>
      <c r="H4432" s="2">
        <v>0</v>
      </c>
      <c r="I4432" s="117" t="s">
        <v>3067</v>
      </c>
      <c r="J4432" s="112" t="s">
        <v>1571</v>
      </c>
      <c r="K4432" s="2" t="s">
        <v>1571</v>
      </c>
      <c r="L4432" s="2">
        <v>0</v>
      </c>
      <c r="M4432" s="2" t="s">
        <v>1571</v>
      </c>
      <c r="N4432" s="2" t="s">
        <v>1571</v>
      </c>
      <c r="O4432" s="2" t="s">
        <v>118</v>
      </c>
      <c r="P4432" s="2" t="s">
        <v>3128</v>
      </c>
    </row>
    <row r="4433" spans="1:16" ht="22" customHeight="1" x14ac:dyDescent="0.15">
      <c r="A4433" s="10" t="str">
        <f t="shared" si="721"/>
        <v>580_1_0_1_polygon</v>
      </c>
      <c r="B4433" s="2">
        <v>580</v>
      </c>
      <c r="C4433" s="30" t="str">
        <f>VLOOKUP(B4433,gachas!A:C,3)</f>
        <v>1000億BK記念_ランクアップ無料ガチャ&lt;ランク2&gt;</v>
      </c>
      <c r="D4433" s="21">
        <v>1</v>
      </c>
      <c r="E4433" s="2">
        <v>0</v>
      </c>
      <c r="F4433" s="2">
        <v>1</v>
      </c>
      <c r="G4433" s="3" t="s">
        <v>22</v>
      </c>
      <c r="H4433" s="2">
        <v>0</v>
      </c>
      <c r="I4433" s="117" t="s">
        <v>3068</v>
      </c>
      <c r="J4433" s="112" t="s">
        <v>1571</v>
      </c>
      <c r="K4433" s="2" t="s">
        <v>1571</v>
      </c>
      <c r="L4433" s="2">
        <v>0</v>
      </c>
      <c r="M4433" s="2" t="s">
        <v>1571</v>
      </c>
      <c r="N4433" s="2" t="s">
        <v>1571</v>
      </c>
      <c r="O4433" s="2" t="s">
        <v>118</v>
      </c>
      <c r="P4433" s="2" t="s">
        <v>3066</v>
      </c>
    </row>
    <row r="4434" spans="1:16" ht="22" customHeight="1" x14ac:dyDescent="0.15">
      <c r="A4434" s="10" t="str">
        <f t="shared" si="721"/>
        <v>581_1_0_1_polygon</v>
      </c>
      <c r="B4434" s="2">
        <v>581</v>
      </c>
      <c r="C4434" s="30" t="str">
        <f>VLOOKUP(B4434,gachas!A:C,3)</f>
        <v>1000億BK記念_ランクアップ無料ガチャ&lt;ランク3&gt;</v>
      </c>
      <c r="D4434" s="21">
        <v>1</v>
      </c>
      <c r="E4434" s="2">
        <v>0</v>
      </c>
      <c r="F4434" s="2">
        <v>1</v>
      </c>
      <c r="G4434" s="3" t="s">
        <v>22</v>
      </c>
      <c r="H4434" s="2">
        <v>0</v>
      </c>
      <c r="I4434" s="114" t="str">
        <f t="shared" ref="I4434:I4435" si="722">CONCATENATE(B4434,IF(D4434=1,"01","10"),0)</f>
        <v>581010</v>
      </c>
      <c r="J4434" s="112" t="s">
        <v>84</v>
      </c>
      <c r="K4434" s="2" t="s">
        <v>1571</v>
      </c>
      <c r="L4434" s="2">
        <v>0</v>
      </c>
      <c r="M4434" s="2" t="s">
        <v>84</v>
      </c>
      <c r="N4434" s="2" t="s">
        <v>84</v>
      </c>
      <c r="O4434" s="2" t="s">
        <v>841</v>
      </c>
      <c r="P4434" s="2" t="s">
        <v>3066</v>
      </c>
    </row>
    <row r="4435" spans="1:16" ht="22" customHeight="1" x14ac:dyDescent="0.15">
      <c r="A4435" s="10" t="str">
        <f t="shared" si="721"/>
        <v>582_1_0_1_polygon</v>
      </c>
      <c r="B4435" s="2">
        <v>582</v>
      </c>
      <c r="C4435" s="30" t="str">
        <f>VLOOKUP(B4435,gachas!A:C,3)</f>
        <v>1000億BK記念_ランクアップ無料ガチャ&lt;スペシャル&gt;</v>
      </c>
      <c r="D4435" s="21">
        <v>1</v>
      </c>
      <c r="E4435" s="2">
        <v>0</v>
      </c>
      <c r="F4435" s="2">
        <v>1</v>
      </c>
      <c r="G4435" s="3" t="s">
        <v>22</v>
      </c>
      <c r="H4435" s="2">
        <v>0</v>
      </c>
      <c r="I4435" s="114" t="str">
        <f t="shared" si="722"/>
        <v>582010</v>
      </c>
      <c r="J4435" s="112" t="s">
        <v>84</v>
      </c>
      <c r="K4435" s="2" t="s">
        <v>1571</v>
      </c>
      <c r="L4435" s="2">
        <v>0</v>
      </c>
      <c r="M4435" s="2" t="s">
        <v>84</v>
      </c>
      <c r="N4435" s="2" t="s">
        <v>84</v>
      </c>
      <c r="O4435" s="2" t="s">
        <v>841</v>
      </c>
      <c r="P4435" s="2" t="s">
        <v>3066</v>
      </c>
    </row>
    <row r="4436" spans="1:16" ht="22" customHeight="1" x14ac:dyDescent="0.15">
      <c r="A4436" s="10" t="str">
        <f t="shared" ref="A4436:A4489" si="723">B4436&amp;"_"&amp;D4436&amp;"_"&amp;E4436&amp;"_"&amp;F4436&amp;"_"&amp;G4436</f>
        <v>583_10_0_10_polygon</v>
      </c>
      <c r="B4436" s="2">
        <v>583</v>
      </c>
      <c r="C4436" s="30" t="str">
        <f>VLOOKUP(B4436,gachas!A:C,3)</f>
        <v>1000億BK記念_10連無料ガチャ</v>
      </c>
      <c r="D4436" s="21">
        <v>10</v>
      </c>
      <c r="E4436" s="2">
        <v>0</v>
      </c>
      <c r="F4436" s="2">
        <v>10</v>
      </c>
      <c r="G4436" s="3" t="s">
        <v>22</v>
      </c>
      <c r="H4436" s="2">
        <v>0</v>
      </c>
      <c r="I4436" s="114" t="str">
        <f t="shared" ref="I4436" si="724">CONCATENATE(B4436,IF(D4436=1,"01","10"),0)</f>
        <v>583100</v>
      </c>
      <c r="J4436" s="112" t="s">
        <v>84</v>
      </c>
      <c r="K4436" s="2" t="s">
        <v>1571</v>
      </c>
      <c r="L4436" s="2">
        <v>0</v>
      </c>
      <c r="M4436" s="2" t="s">
        <v>84</v>
      </c>
      <c r="N4436" s="2" t="s">
        <v>84</v>
      </c>
      <c r="O4436" s="2" t="s">
        <v>841</v>
      </c>
      <c r="P4436" s="2" t="s">
        <v>3129</v>
      </c>
    </row>
    <row r="4437" spans="1:16" ht="22" customHeight="1" x14ac:dyDescent="0.15">
      <c r="A4437" s="10" t="str">
        <f t="shared" si="723"/>
        <v>584_10_0_10_polygon</v>
      </c>
      <c r="B4437" s="2">
        <v>584</v>
      </c>
      <c r="C4437" s="30" t="str">
        <f>VLOOKUP(B4437,gachas!A:C,3)</f>
        <v>ミニステップアップガチャ</v>
      </c>
      <c r="D4437" s="21">
        <v>10</v>
      </c>
      <c r="E4437" s="2">
        <v>0</v>
      </c>
      <c r="F4437" s="2">
        <v>10</v>
      </c>
      <c r="G4437" s="3" t="s">
        <v>22</v>
      </c>
      <c r="H4437" s="2">
        <v>40</v>
      </c>
      <c r="I4437" s="114" t="s">
        <v>3096</v>
      </c>
      <c r="J4437" s="112" t="s">
        <v>84</v>
      </c>
      <c r="K4437" s="112" t="s">
        <v>84</v>
      </c>
      <c r="L4437" s="2">
        <v>0</v>
      </c>
      <c r="M4437" s="2" t="s">
        <v>84</v>
      </c>
      <c r="N4437" s="2" t="s">
        <v>84</v>
      </c>
      <c r="O4437" s="2" t="s">
        <v>841</v>
      </c>
      <c r="P4437" s="142" t="s">
        <v>2956</v>
      </c>
    </row>
    <row r="4438" spans="1:16" ht="22" customHeight="1" x14ac:dyDescent="0.15">
      <c r="A4438" s="10" t="str">
        <f t="shared" si="723"/>
        <v>584_10_1_1_polygon</v>
      </c>
      <c r="B4438" s="2">
        <v>584</v>
      </c>
      <c r="C4438" s="30" t="str">
        <f>VLOOKUP(B4438,gachas!A:C,3)</f>
        <v>ミニステップアップガチャ</v>
      </c>
      <c r="D4438" s="21">
        <v>10</v>
      </c>
      <c r="E4438" s="2">
        <f>E4437+1</f>
        <v>1</v>
      </c>
      <c r="F4438" s="2">
        <v>1</v>
      </c>
      <c r="G4438" s="3" t="s">
        <v>22</v>
      </c>
      <c r="H4438" s="2">
        <v>1</v>
      </c>
      <c r="I4438" s="114" t="s">
        <v>3097</v>
      </c>
      <c r="J4438" s="112" t="s">
        <v>84</v>
      </c>
      <c r="K4438" s="112" t="s">
        <v>84</v>
      </c>
      <c r="L4438" s="2">
        <v>0</v>
      </c>
      <c r="M4438" s="2" t="s">
        <v>84</v>
      </c>
      <c r="N4438" s="2" t="s">
        <v>84</v>
      </c>
      <c r="O4438" s="2" t="s">
        <v>841</v>
      </c>
      <c r="P4438" s="142" t="s">
        <v>2952</v>
      </c>
    </row>
    <row r="4439" spans="1:16" ht="22" customHeight="1" x14ac:dyDescent="0.15">
      <c r="A4439" s="10" t="str">
        <f t="shared" si="723"/>
        <v>584_10_2_2_polygon</v>
      </c>
      <c r="B4439" s="2">
        <v>584</v>
      </c>
      <c r="C4439" s="30" t="str">
        <f>VLOOKUP(B4439,gachas!A:C,3)</f>
        <v>ミニステップアップガチャ</v>
      </c>
      <c r="D4439" s="21">
        <v>10</v>
      </c>
      <c r="E4439" s="2">
        <f t="shared" ref="E4439:E4486" si="725">E4438+1</f>
        <v>2</v>
      </c>
      <c r="F4439" s="2">
        <v>2</v>
      </c>
      <c r="G4439" s="3" t="s">
        <v>22</v>
      </c>
      <c r="H4439" s="2">
        <v>3</v>
      </c>
      <c r="I4439" s="114" t="s">
        <v>3097</v>
      </c>
      <c r="J4439" s="112" t="s">
        <v>3098</v>
      </c>
      <c r="K4439" s="112" t="s">
        <v>84</v>
      </c>
      <c r="L4439" s="2">
        <v>0</v>
      </c>
      <c r="M4439" s="2" t="s">
        <v>84</v>
      </c>
      <c r="N4439" s="2" t="s">
        <v>84</v>
      </c>
      <c r="O4439" s="2" t="s">
        <v>841</v>
      </c>
      <c r="P4439" s="142" t="s">
        <v>2953</v>
      </c>
    </row>
    <row r="4440" spans="1:16" ht="22" customHeight="1" x14ac:dyDescent="0.15">
      <c r="A4440" s="10" t="str">
        <f t="shared" si="723"/>
        <v>584_10_3_3_polygon</v>
      </c>
      <c r="B4440" s="2">
        <v>584</v>
      </c>
      <c r="C4440" s="30" t="str">
        <f>VLOOKUP(B4440,gachas!A:C,3)</f>
        <v>ミニステップアップガチャ</v>
      </c>
      <c r="D4440" s="21">
        <v>10</v>
      </c>
      <c r="E4440" s="2">
        <f t="shared" si="725"/>
        <v>3</v>
      </c>
      <c r="F4440" s="2">
        <v>3</v>
      </c>
      <c r="G4440" s="3" t="s">
        <v>22</v>
      </c>
      <c r="H4440" s="2">
        <v>9</v>
      </c>
      <c r="I4440" s="114" t="s">
        <v>3097</v>
      </c>
      <c r="J4440" s="112" t="s">
        <v>3099</v>
      </c>
      <c r="K4440" s="112" t="s">
        <v>84</v>
      </c>
      <c r="L4440" s="2">
        <v>0</v>
      </c>
      <c r="M4440" s="2" t="s">
        <v>84</v>
      </c>
      <c r="N4440" s="2" t="s">
        <v>84</v>
      </c>
      <c r="O4440" s="2" t="s">
        <v>841</v>
      </c>
      <c r="P4440" s="142" t="s">
        <v>2954</v>
      </c>
    </row>
    <row r="4441" spans="1:16" ht="22" customHeight="1" x14ac:dyDescent="0.15">
      <c r="A4441" s="10" t="str">
        <f t="shared" si="723"/>
        <v>584_10_4_5_polygon</v>
      </c>
      <c r="B4441" s="2">
        <v>584</v>
      </c>
      <c r="C4441" s="30" t="str">
        <f>VLOOKUP(B4441,gachas!A:C,3)</f>
        <v>ミニステップアップガチャ</v>
      </c>
      <c r="D4441" s="21">
        <v>10</v>
      </c>
      <c r="E4441" s="2">
        <f t="shared" si="725"/>
        <v>4</v>
      </c>
      <c r="F4441" s="2">
        <v>5</v>
      </c>
      <c r="G4441" s="3" t="s">
        <v>22</v>
      </c>
      <c r="H4441" s="2">
        <v>20</v>
      </c>
      <c r="I4441" s="114" t="s">
        <v>3096</v>
      </c>
      <c r="J4441" s="112" t="s">
        <v>3096</v>
      </c>
      <c r="K4441" s="112" t="s">
        <v>84</v>
      </c>
      <c r="L4441" s="2">
        <v>0</v>
      </c>
      <c r="M4441" s="2" t="s">
        <v>84</v>
      </c>
      <c r="N4441" s="2" t="s">
        <v>84</v>
      </c>
      <c r="O4441" s="2" t="s">
        <v>841</v>
      </c>
      <c r="P4441" s="142" t="s">
        <v>2955</v>
      </c>
    </row>
    <row r="4442" spans="1:16" ht="22" customHeight="1" x14ac:dyDescent="0.15">
      <c r="A4442" s="10" t="str">
        <f t="shared" si="723"/>
        <v>584_10_5_10_polygon</v>
      </c>
      <c r="B4442" s="2">
        <v>584</v>
      </c>
      <c r="C4442" s="30" t="str">
        <f>VLOOKUP(B4442,gachas!A:C,3)</f>
        <v>ミニステップアップガチャ</v>
      </c>
      <c r="D4442" s="21">
        <v>10</v>
      </c>
      <c r="E4442" s="2">
        <f t="shared" si="725"/>
        <v>5</v>
      </c>
      <c r="F4442" s="2">
        <v>10</v>
      </c>
      <c r="G4442" s="3" t="s">
        <v>22</v>
      </c>
      <c r="H4442" s="2">
        <v>40</v>
      </c>
      <c r="I4442" s="114" t="s">
        <v>3096</v>
      </c>
      <c r="J4442" s="112" t="s">
        <v>84</v>
      </c>
      <c r="K4442" s="112" t="s">
        <v>3100</v>
      </c>
      <c r="L4442" s="2">
        <v>1</v>
      </c>
      <c r="M4442" s="2" t="s">
        <v>84</v>
      </c>
      <c r="N4442" s="2" t="s">
        <v>84</v>
      </c>
      <c r="O4442" s="2" t="s">
        <v>841</v>
      </c>
      <c r="P4442" s="142" t="s">
        <v>2879</v>
      </c>
    </row>
    <row r="4443" spans="1:16" ht="22" customHeight="1" x14ac:dyDescent="0.15">
      <c r="A4443" s="10" t="str">
        <f t="shared" si="723"/>
        <v>584_10_6_1_polygon</v>
      </c>
      <c r="B4443" s="2">
        <v>584</v>
      </c>
      <c r="C4443" s="30" t="str">
        <f>VLOOKUP(B4443,gachas!A:C,3)</f>
        <v>ミニステップアップガチャ</v>
      </c>
      <c r="D4443" s="21">
        <v>10</v>
      </c>
      <c r="E4443" s="2">
        <f t="shared" si="725"/>
        <v>6</v>
      </c>
      <c r="F4443" s="2">
        <v>1</v>
      </c>
      <c r="G4443" s="3" t="s">
        <v>22</v>
      </c>
      <c r="H4443" s="2">
        <v>1</v>
      </c>
      <c r="I4443" s="114" t="s">
        <v>3097</v>
      </c>
      <c r="J4443" s="112" t="s">
        <v>84</v>
      </c>
      <c r="K4443" s="112" t="s">
        <v>84</v>
      </c>
      <c r="L4443" s="2">
        <v>0</v>
      </c>
      <c r="M4443" s="2" t="s">
        <v>84</v>
      </c>
      <c r="N4443" s="2" t="s">
        <v>84</v>
      </c>
      <c r="O4443" s="2" t="s">
        <v>841</v>
      </c>
      <c r="P4443" s="142" t="s">
        <v>2952</v>
      </c>
    </row>
    <row r="4444" spans="1:16" ht="22" customHeight="1" x14ac:dyDescent="0.15">
      <c r="A4444" s="10" t="str">
        <f t="shared" si="723"/>
        <v>584_10_7_2_polygon</v>
      </c>
      <c r="B4444" s="2">
        <v>584</v>
      </c>
      <c r="C4444" s="30" t="str">
        <f>VLOOKUP(B4444,gachas!A:C,3)</f>
        <v>ミニステップアップガチャ</v>
      </c>
      <c r="D4444" s="21">
        <v>10</v>
      </c>
      <c r="E4444" s="2">
        <f t="shared" si="725"/>
        <v>7</v>
      </c>
      <c r="F4444" s="2">
        <v>2</v>
      </c>
      <c r="G4444" s="3" t="s">
        <v>22</v>
      </c>
      <c r="H4444" s="2">
        <v>3</v>
      </c>
      <c r="I4444" s="114" t="s">
        <v>3097</v>
      </c>
      <c r="J4444" s="112" t="s">
        <v>3098</v>
      </c>
      <c r="K4444" s="112" t="s">
        <v>84</v>
      </c>
      <c r="L4444" s="2">
        <v>0</v>
      </c>
      <c r="M4444" s="2" t="s">
        <v>84</v>
      </c>
      <c r="N4444" s="2" t="s">
        <v>84</v>
      </c>
      <c r="O4444" s="2" t="s">
        <v>841</v>
      </c>
      <c r="P4444" s="142" t="s">
        <v>2953</v>
      </c>
    </row>
    <row r="4445" spans="1:16" ht="22" customHeight="1" x14ac:dyDescent="0.15">
      <c r="A4445" s="10" t="str">
        <f t="shared" si="723"/>
        <v>584_10_8_3_polygon</v>
      </c>
      <c r="B4445" s="2">
        <v>584</v>
      </c>
      <c r="C4445" s="30" t="str">
        <f>VLOOKUP(B4445,gachas!A:C,3)</f>
        <v>ミニステップアップガチャ</v>
      </c>
      <c r="D4445" s="21">
        <v>10</v>
      </c>
      <c r="E4445" s="2">
        <f t="shared" si="725"/>
        <v>8</v>
      </c>
      <c r="F4445" s="2">
        <v>3</v>
      </c>
      <c r="G4445" s="3" t="s">
        <v>22</v>
      </c>
      <c r="H4445" s="2">
        <v>9</v>
      </c>
      <c r="I4445" s="114" t="s">
        <v>3097</v>
      </c>
      <c r="J4445" s="112" t="s">
        <v>3099</v>
      </c>
      <c r="K4445" s="112" t="s">
        <v>84</v>
      </c>
      <c r="L4445" s="2">
        <v>0</v>
      </c>
      <c r="M4445" s="2" t="s">
        <v>84</v>
      </c>
      <c r="N4445" s="2" t="s">
        <v>84</v>
      </c>
      <c r="O4445" s="2" t="s">
        <v>841</v>
      </c>
      <c r="P4445" s="142" t="s">
        <v>2954</v>
      </c>
    </row>
    <row r="4446" spans="1:16" ht="22" customHeight="1" x14ac:dyDescent="0.15">
      <c r="A4446" s="10" t="str">
        <f t="shared" si="723"/>
        <v>584_10_9_5_polygon</v>
      </c>
      <c r="B4446" s="2">
        <v>584</v>
      </c>
      <c r="C4446" s="30" t="str">
        <f>VLOOKUP(B4446,gachas!A:C,3)</f>
        <v>ミニステップアップガチャ</v>
      </c>
      <c r="D4446" s="21">
        <v>10</v>
      </c>
      <c r="E4446" s="2">
        <f t="shared" si="725"/>
        <v>9</v>
      </c>
      <c r="F4446" s="2">
        <v>5</v>
      </c>
      <c r="G4446" s="3" t="s">
        <v>22</v>
      </c>
      <c r="H4446" s="2">
        <v>20</v>
      </c>
      <c r="I4446" s="114" t="s">
        <v>3096</v>
      </c>
      <c r="J4446" s="112" t="s">
        <v>3096</v>
      </c>
      <c r="K4446" s="112" t="s">
        <v>84</v>
      </c>
      <c r="L4446" s="2">
        <v>0</v>
      </c>
      <c r="M4446" s="2" t="s">
        <v>84</v>
      </c>
      <c r="N4446" s="2" t="s">
        <v>84</v>
      </c>
      <c r="O4446" s="2" t="s">
        <v>841</v>
      </c>
      <c r="P4446" s="142" t="s">
        <v>2955</v>
      </c>
    </row>
    <row r="4447" spans="1:16" ht="22" customHeight="1" x14ac:dyDescent="0.15">
      <c r="A4447" s="10" t="str">
        <f t="shared" si="723"/>
        <v>584_10_10_10_polygon</v>
      </c>
      <c r="B4447" s="2">
        <v>584</v>
      </c>
      <c r="C4447" s="30" t="str">
        <f>VLOOKUP(B4447,gachas!A:C,3)</f>
        <v>ミニステップアップガチャ</v>
      </c>
      <c r="D4447" s="21">
        <v>10</v>
      </c>
      <c r="E4447" s="2">
        <f t="shared" si="725"/>
        <v>10</v>
      </c>
      <c r="F4447" s="2">
        <v>10</v>
      </c>
      <c r="G4447" s="3" t="s">
        <v>22</v>
      </c>
      <c r="H4447" s="2">
        <v>40</v>
      </c>
      <c r="I4447" s="114" t="s">
        <v>3096</v>
      </c>
      <c r="J4447" s="112" t="s">
        <v>84</v>
      </c>
      <c r="K4447" s="112" t="s">
        <v>3100</v>
      </c>
      <c r="L4447" s="2">
        <v>1</v>
      </c>
      <c r="M4447" s="2" t="s">
        <v>84</v>
      </c>
      <c r="N4447" s="2" t="s">
        <v>84</v>
      </c>
      <c r="O4447" s="2" t="s">
        <v>841</v>
      </c>
      <c r="P4447" s="142" t="s">
        <v>2879</v>
      </c>
    </row>
    <row r="4448" spans="1:16" ht="22" customHeight="1" x14ac:dyDescent="0.15">
      <c r="A4448" s="10" t="str">
        <f t="shared" si="723"/>
        <v>584_10_11_1_polygon</v>
      </c>
      <c r="B4448" s="2">
        <v>584</v>
      </c>
      <c r="C4448" s="30" t="str">
        <f>VLOOKUP(B4448,gachas!A:C,3)</f>
        <v>ミニステップアップガチャ</v>
      </c>
      <c r="D4448" s="21">
        <v>10</v>
      </c>
      <c r="E4448" s="2">
        <f t="shared" si="725"/>
        <v>11</v>
      </c>
      <c r="F4448" s="2">
        <v>1</v>
      </c>
      <c r="G4448" s="3" t="s">
        <v>22</v>
      </c>
      <c r="H4448" s="2">
        <v>1</v>
      </c>
      <c r="I4448" s="114" t="s">
        <v>3097</v>
      </c>
      <c r="J4448" s="112" t="s">
        <v>84</v>
      </c>
      <c r="K4448" s="112" t="s">
        <v>84</v>
      </c>
      <c r="L4448" s="2">
        <v>0</v>
      </c>
      <c r="M4448" s="2" t="s">
        <v>84</v>
      </c>
      <c r="N4448" s="2" t="s">
        <v>84</v>
      </c>
      <c r="O4448" s="2" t="s">
        <v>841</v>
      </c>
      <c r="P4448" s="142" t="s">
        <v>2952</v>
      </c>
    </row>
    <row r="4449" spans="1:16" ht="22" customHeight="1" x14ac:dyDescent="0.15">
      <c r="A4449" s="10" t="str">
        <f t="shared" si="723"/>
        <v>584_10_12_2_polygon</v>
      </c>
      <c r="B4449" s="2">
        <v>584</v>
      </c>
      <c r="C4449" s="30" t="str">
        <f>VLOOKUP(B4449,gachas!A:C,3)</f>
        <v>ミニステップアップガチャ</v>
      </c>
      <c r="D4449" s="21">
        <v>10</v>
      </c>
      <c r="E4449" s="2">
        <f t="shared" si="725"/>
        <v>12</v>
      </c>
      <c r="F4449" s="2">
        <v>2</v>
      </c>
      <c r="G4449" s="3" t="s">
        <v>22</v>
      </c>
      <c r="H4449" s="2">
        <v>3</v>
      </c>
      <c r="I4449" s="114" t="s">
        <v>3097</v>
      </c>
      <c r="J4449" s="112" t="s">
        <v>3098</v>
      </c>
      <c r="K4449" s="112" t="s">
        <v>84</v>
      </c>
      <c r="L4449" s="2">
        <v>0</v>
      </c>
      <c r="M4449" s="2" t="s">
        <v>84</v>
      </c>
      <c r="N4449" s="2" t="s">
        <v>84</v>
      </c>
      <c r="O4449" s="2" t="s">
        <v>841</v>
      </c>
      <c r="P4449" s="142" t="s">
        <v>2953</v>
      </c>
    </row>
    <row r="4450" spans="1:16" ht="22" customHeight="1" x14ac:dyDescent="0.15">
      <c r="A4450" s="10" t="str">
        <f t="shared" si="723"/>
        <v>584_10_13_3_polygon</v>
      </c>
      <c r="B4450" s="2">
        <v>584</v>
      </c>
      <c r="C4450" s="30" t="str">
        <f>VLOOKUP(B4450,gachas!A:C,3)</f>
        <v>ミニステップアップガチャ</v>
      </c>
      <c r="D4450" s="21">
        <v>10</v>
      </c>
      <c r="E4450" s="2">
        <f t="shared" si="725"/>
        <v>13</v>
      </c>
      <c r="F4450" s="2">
        <v>3</v>
      </c>
      <c r="G4450" s="3" t="s">
        <v>22</v>
      </c>
      <c r="H4450" s="2">
        <v>9</v>
      </c>
      <c r="I4450" s="114" t="s">
        <v>3097</v>
      </c>
      <c r="J4450" s="112" t="s">
        <v>3099</v>
      </c>
      <c r="K4450" s="112" t="s">
        <v>84</v>
      </c>
      <c r="L4450" s="2">
        <v>0</v>
      </c>
      <c r="M4450" s="2" t="s">
        <v>84</v>
      </c>
      <c r="N4450" s="2" t="s">
        <v>84</v>
      </c>
      <c r="O4450" s="2" t="s">
        <v>841</v>
      </c>
      <c r="P4450" s="142" t="s">
        <v>2954</v>
      </c>
    </row>
    <row r="4451" spans="1:16" ht="22" customHeight="1" x14ac:dyDescent="0.15">
      <c r="A4451" s="10" t="str">
        <f t="shared" si="723"/>
        <v>584_10_14_5_polygon</v>
      </c>
      <c r="B4451" s="2">
        <v>584</v>
      </c>
      <c r="C4451" s="30" t="str">
        <f>VLOOKUP(B4451,gachas!A:C,3)</f>
        <v>ミニステップアップガチャ</v>
      </c>
      <c r="D4451" s="21">
        <v>10</v>
      </c>
      <c r="E4451" s="2">
        <f t="shared" si="725"/>
        <v>14</v>
      </c>
      <c r="F4451" s="2">
        <v>5</v>
      </c>
      <c r="G4451" s="3" t="s">
        <v>22</v>
      </c>
      <c r="H4451" s="2">
        <v>20</v>
      </c>
      <c r="I4451" s="114" t="s">
        <v>3096</v>
      </c>
      <c r="J4451" s="112" t="s">
        <v>3096</v>
      </c>
      <c r="K4451" s="112" t="s">
        <v>84</v>
      </c>
      <c r="L4451" s="2">
        <v>0</v>
      </c>
      <c r="M4451" s="2" t="s">
        <v>84</v>
      </c>
      <c r="N4451" s="2" t="s">
        <v>84</v>
      </c>
      <c r="O4451" s="2" t="s">
        <v>841</v>
      </c>
      <c r="P4451" s="142" t="s">
        <v>2955</v>
      </c>
    </row>
    <row r="4452" spans="1:16" ht="22" customHeight="1" x14ac:dyDescent="0.15">
      <c r="A4452" s="10" t="str">
        <f t="shared" si="723"/>
        <v>584_10_15_10_polygon</v>
      </c>
      <c r="B4452" s="2">
        <v>584</v>
      </c>
      <c r="C4452" s="30" t="str">
        <f>VLOOKUP(B4452,gachas!A:C,3)</f>
        <v>ミニステップアップガチャ</v>
      </c>
      <c r="D4452" s="21">
        <v>10</v>
      </c>
      <c r="E4452" s="2">
        <f t="shared" si="725"/>
        <v>15</v>
      </c>
      <c r="F4452" s="2">
        <v>10</v>
      </c>
      <c r="G4452" s="3" t="s">
        <v>22</v>
      </c>
      <c r="H4452" s="2">
        <v>40</v>
      </c>
      <c r="I4452" s="114" t="s">
        <v>3096</v>
      </c>
      <c r="J4452" s="112" t="s">
        <v>84</v>
      </c>
      <c r="K4452" s="112" t="s">
        <v>3100</v>
      </c>
      <c r="L4452" s="2">
        <v>1</v>
      </c>
      <c r="M4452" s="2" t="s">
        <v>84</v>
      </c>
      <c r="N4452" s="2" t="s">
        <v>84</v>
      </c>
      <c r="O4452" s="2" t="s">
        <v>841</v>
      </c>
      <c r="P4452" s="142" t="s">
        <v>2879</v>
      </c>
    </row>
    <row r="4453" spans="1:16" ht="22" customHeight="1" x14ac:dyDescent="0.15">
      <c r="A4453" s="10" t="str">
        <f t="shared" si="723"/>
        <v>584_10_16_1_polygon</v>
      </c>
      <c r="B4453" s="2">
        <v>584</v>
      </c>
      <c r="C4453" s="30" t="str">
        <f>VLOOKUP(B4453,gachas!A:C,3)</f>
        <v>ミニステップアップガチャ</v>
      </c>
      <c r="D4453" s="21">
        <v>10</v>
      </c>
      <c r="E4453" s="2">
        <f t="shared" si="725"/>
        <v>16</v>
      </c>
      <c r="F4453" s="2">
        <v>1</v>
      </c>
      <c r="G4453" s="3" t="s">
        <v>22</v>
      </c>
      <c r="H4453" s="2">
        <v>1</v>
      </c>
      <c r="I4453" s="114" t="s">
        <v>3097</v>
      </c>
      <c r="J4453" s="112" t="s">
        <v>84</v>
      </c>
      <c r="K4453" s="112" t="s">
        <v>84</v>
      </c>
      <c r="L4453" s="2">
        <v>0</v>
      </c>
      <c r="M4453" s="2" t="s">
        <v>84</v>
      </c>
      <c r="N4453" s="2" t="s">
        <v>84</v>
      </c>
      <c r="O4453" s="2" t="s">
        <v>841</v>
      </c>
      <c r="P4453" s="142" t="s">
        <v>2952</v>
      </c>
    </row>
    <row r="4454" spans="1:16" ht="22" customHeight="1" x14ac:dyDescent="0.15">
      <c r="A4454" s="10" t="str">
        <f t="shared" si="723"/>
        <v>584_10_17_2_polygon</v>
      </c>
      <c r="B4454" s="2">
        <v>584</v>
      </c>
      <c r="C4454" s="30" t="str">
        <f>VLOOKUP(B4454,gachas!A:C,3)</f>
        <v>ミニステップアップガチャ</v>
      </c>
      <c r="D4454" s="21">
        <v>10</v>
      </c>
      <c r="E4454" s="2">
        <f t="shared" si="725"/>
        <v>17</v>
      </c>
      <c r="F4454" s="2">
        <v>2</v>
      </c>
      <c r="G4454" s="3" t="s">
        <v>22</v>
      </c>
      <c r="H4454" s="2">
        <v>3</v>
      </c>
      <c r="I4454" s="114" t="s">
        <v>3097</v>
      </c>
      <c r="J4454" s="112" t="s">
        <v>3098</v>
      </c>
      <c r="K4454" s="112" t="s">
        <v>84</v>
      </c>
      <c r="L4454" s="2">
        <v>0</v>
      </c>
      <c r="M4454" s="2" t="s">
        <v>84</v>
      </c>
      <c r="N4454" s="2" t="s">
        <v>84</v>
      </c>
      <c r="O4454" s="2" t="s">
        <v>841</v>
      </c>
      <c r="P4454" s="142" t="s">
        <v>2953</v>
      </c>
    </row>
    <row r="4455" spans="1:16" ht="22" customHeight="1" x14ac:dyDescent="0.15">
      <c r="A4455" s="10" t="str">
        <f t="shared" si="723"/>
        <v>584_10_18_3_polygon</v>
      </c>
      <c r="B4455" s="2">
        <v>584</v>
      </c>
      <c r="C4455" s="30" t="str">
        <f>VLOOKUP(B4455,gachas!A:C,3)</f>
        <v>ミニステップアップガチャ</v>
      </c>
      <c r="D4455" s="21">
        <v>10</v>
      </c>
      <c r="E4455" s="2">
        <f t="shared" si="725"/>
        <v>18</v>
      </c>
      <c r="F4455" s="2">
        <v>3</v>
      </c>
      <c r="G4455" s="3" t="s">
        <v>22</v>
      </c>
      <c r="H4455" s="2">
        <v>9</v>
      </c>
      <c r="I4455" s="114" t="s">
        <v>3097</v>
      </c>
      <c r="J4455" s="112" t="s">
        <v>3099</v>
      </c>
      <c r="K4455" s="112" t="s">
        <v>84</v>
      </c>
      <c r="L4455" s="2">
        <v>0</v>
      </c>
      <c r="M4455" s="2" t="s">
        <v>84</v>
      </c>
      <c r="N4455" s="2" t="s">
        <v>84</v>
      </c>
      <c r="O4455" s="2" t="s">
        <v>841</v>
      </c>
      <c r="P4455" s="142" t="s">
        <v>2954</v>
      </c>
    </row>
    <row r="4456" spans="1:16" ht="22" customHeight="1" x14ac:dyDescent="0.15">
      <c r="A4456" s="10" t="str">
        <f t="shared" si="723"/>
        <v>584_10_19_5_polygon</v>
      </c>
      <c r="B4456" s="2">
        <v>584</v>
      </c>
      <c r="C4456" s="30" t="str">
        <f>VLOOKUP(B4456,gachas!A:C,3)</f>
        <v>ミニステップアップガチャ</v>
      </c>
      <c r="D4456" s="21">
        <v>10</v>
      </c>
      <c r="E4456" s="2">
        <f t="shared" si="725"/>
        <v>19</v>
      </c>
      <c r="F4456" s="2">
        <v>5</v>
      </c>
      <c r="G4456" s="3" t="s">
        <v>22</v>
      </c>
      <c r="H4456" s="2">
        <v>20</v>
      </c>
      <c r="I4456" s="114" t="s">
        <v>3096</v>
      </c>
      <c r="J4456" s="112" t="s">
        <v>3096</v>
      </c>
      <c r="K4456" s="112" t="s">
        <v>84</v>
      </c>
      <c r="L4456" s="2">
        <v>0</v>
      </c>
      <c r="M4456" s="2" t="s">
        <v>84</v>
      </c>
      <c r="N4456" s="2" t="s">
        <v>84</v>
      </c>
      <c r="O4456" s="2" t="s">
        <v>841</v>
      </c>
      <c r="P4456" s="142" t="s">
        <v>2955</v>
      </c>
    </row>
    <row r="4457" spans="1:16" ht="22" customHeight="1" x14ac:dyDescent="0.15">
      <c r="A4457" s="10" t="str">
        <f t="shared" si="723"/>
        <v>584_10_20_10_polygon</v>
      </c>
      <c r="B4457" s="2">
        <v>584</v>
      </c>
      <c r="C4457" s="30" t="str">
        <f>VLOOKUP(B4457,gachas!A:C,3)</f>
        <v>ミニステップアップガチャ</v>
      </c>
      <c r="D4457" s="21">
        <v>10</v>
      </c>
      <c r="E4457" s="2">
        <f t="shared" si="725"/>
        <v>20</v>
      </c>
      <c r="F4457" s="2">
        <v>10</v>
      </c>
      <c r="G4457" s="3" t="s">
        <v>22</v>
      </c>
      <c r="H4457" s="2">
        <v>40</v>
      </c>
      <c r="I4457" s="114" t="s">
        <v>3096</v>
      </c>
      <c r="J4457" s="112" t="s">
        <v>84</v>
      </c>
      <c r="K4457" s="112" t="s">
        <v>3100</v>
      </c>
      <c r="L4457" s="2">
        <v>1</v>
      </c>
      <c r="M4457" s="2" t="s">
        <v>84</v>
      </c>
      <c r="N4457" s="2" t="s">
        <v>84</v>
      </c>
      <c r="O4457" s="2" t="s">
        <v>841</v>
      </c>
      <c r="P4457" s="142" t="s">
        <v>2879</v>
      </c>
    </row>
    <row r="4458" spans="1:16" ht="22" customHeight="1" x14ac:dyDescent="0.15">
      <c r="A4458" s="10" t="str">
        <f t="shared" si="723"/>
        <v>584_10_21_1_polygon</v>
      </c>
      <c r="B4458" s="2">
        <v>584</v>
      </c>
      <c r="C4458" s="30" t="str">
        <f>VLOOKUP(B4458,gachas!A:C,3)</f>
        <v>ミニステップアップガチャ</v>
      </c>
      <c r="D4458" s="21">
        <v>10</v>
      </c>
      <c r="E4458" s="2">
        <f t="shared" si="725"/>
        <v>21</v>
      </c>
      <c r="F4458" s="2">
        <v>1</v>
      </c>
      <c r="G4458" s="3" t="s">
        <v>22</v>
      </c>
      <c r="H4458" s="2">
        <v>1</v>
      </c>
      <c r="I4458" s="114" t="s">
        <v>3097</v>
      </c>
      <c r="J4458" s="112" t="s">
        <v>84</v>
      </c>
      <c r="K4458" s="112" t="s">
        <v>84</v>
      </c>
      <c r="L4458" s="2">
        <v>0</v>
      </c>
      <c r="M4458" s="2" t="s">
        <v>84</v>
      </c>
      <c r="N4458" s="2" t="s">
        <v>84</v>
      </c>
      <c r="O4458" s="2" t="s">
        <v>841</v>
      </c>
      <c r="P4458" s="142" t="s">
        <v>2952</v>
      </c>
    </row>
    <row r="4459" spans="1:16" ht="22" customHeight="1" x14ac:dyDescent="0.15">
      <c r="A4459" s="10" t="str">
        <f t="shared" si="723"/>
        <v>584_10_22_2_polygon</v>
      </c>
      <c r="B4459" s="2">
        <v>584</v>
      </c>
      <c r="C4459" s="30" t="str">
        <f>VLOOKUP(B4459,gachas!A:C,3)</f>
        <v>ミニステップアップガチャ</v>
      </c>
      <c r="D4459" s="21">
        <v>10</v>
      </c>
      <c r="E4459" s="2">
        <f t="shared" si="725"/>
        <v>22</v>
      </c>
      <c r="F4459" s="2">
        <v>2</v>
      </c>
      <c r="G4459" s="3" t="s">
        <v>22</v>
      </c>
      <c r="H4459" s="2">
        <v>3</v>
      </c>
      <c r="I4459" s="114" t="s">
        <v>3097</v>
      </c>
      <c r="J4459" s="112" t="s">
        <v>3098</v>
      </c>
      <c r="K4459" s="112" t="s">
        <v>84</v>
      </c>
      <c r="L4459" s="2">
        <v>0</v>
      </c>
      <c r="M4459" s="2" t="s">
        <v>84</v>
      </c>
      <c r="N4459" s="2" t="s">
        <v>84</v>
      </c>
      <c r="O4459" s="2" t="s">
        <v>841</v>
      </c>
      <c r="P4459" s="142" t="s">
        <v>2953</v>
      </c>
    </row>
    <row r="4460" spans="1:16" ht="22" customHeight="1" x14ac:dyDescent="0.15">
      <c r="A4460" s="10" t="str">
        <f t="shared" si="723"/>
        <v>584_10_23_3_polygon</v>
      </c>
      <c r="B4460" s="2">
        <v>584</v>
      </c>
      <c r="C4460" s="30" t="str">
        <f>VLOOKUP(B4460,gachas!A:C,3)</f>
        <v>ミニステップアップガチャ</v>
      </c>
      <c r="D4460" s="21">
        <v>10</v>
      </c>
      <c r="E4460" s="2">
        <f t="shared" si="725"/>
        <v>23</v>
      </c>
      <c r="F4460" s="2">
        <v>3</v>
      </c>
      <c r="G4460" s="3" t="s">
        <v>22</v>
      </c>
      <c r="H4460" s="2">
        <v>9</v>
      </c>
      <c r="I4460" s="114" t="s">
        <v>3097</v>
      </c>
      <c r="J4460" s="112" t="s">
        <v>3099</v>
      </c>
      <c r="K4460" s="112" t="s">
        <v>84</v>
      </c>
      <c r="L4460" s="2">
        <v>0</v>
      </c>
      <c r="M4460" s="2" t="s">
        <v>84</v>
      </c>
      <c r="N4460" s="2" t="s">
        <v>84</v>
      </c>
      <c r="O4460" s="2" t="s">
        <v>841</v>
      </c>
      <c r="P4460" s="142" t="s">
        <v>2954</v>
      </c>
    </row>
    <row r="4461" spans="1:16" ht="22" customHeight="1" x14ac:dyDescent="0.15">
      <c r="A4461" s="10" t="str">
        <f t="shared" si="723"/>
        <v>584_10_24_5_polygon</v>
      </c>
      <c r="B4461" s="2">
        <v>584</v>
      </c>
      <c r="C4461" s="30" t="str">
        <f>VLOOKUP(B4461,gachas!A:C,3)</f>
        <v>ミニステップアップガチャ</v>
      </c>
      <c r="D4461" s="21">
        <v>10</v>
      </c>
      <c r="E4461" s="2">
        <f t="shared" si="725"/>
        <v>24</v>
      </c>
      <c r="F4461" s="2">
        <v>5</v>
      </c>
      <c r="G4461" s="3" t="s">
        <v>22</v>
      </c>
      <c r="H4461" s="2">
        <v>20</v>
      </c>
      <c r="I4461" s="114" t="s">
        <v>3096</v>
      </c>
      <c r="J4461" s="112" t="s">
        <v>3096</v>
      </c>
      <c r="K4461" s="112" t="s">
        <v>84</v>
      </c>
      <c r="L4461" s="2">
        <v>0</v>
      </c>
      <c r="M4461" s="2" t="s">
        <v>84</v>
      </c>
      <c r="N4461" s="2" t="s">
        <v>84</v>
      </c>
      <c r="O4461" s="2" t="s">
        <v>841</v>
      </c>
      <c r="P4461" s="142" t="s">
        <v>2955</v>
      </c>
    </row>
    <row r="4462" spans="1:16" ht="22" customHeight="1" x14ac:dyDescent="0.15">
      <c r="A4462" s="10" t="str">
        <f t="shared" si="723"/>
        <v>584_10_25_10_polygon</v>
      </c>
      <c r="B4462" s="2">
        <v>584</v>
      </c>
      <c r="C4462" s="30" t="str">
        <f>VLOOKUP(B4462,gachas!A:C,3)</f>
        <v>ミニステップアップガチャ</v>
      </c>
      <c r="D4462" s="21">
        <v>10</v>
      </c>
      <c r="E4462" s="2">
        <f t="shared" si="725"/>
        <v>25</v>
      </c>
      <c r="F4462" s="2">
        <v>10</v>
      </c>
      <c r="G4462" s="3" t="s">
        <v>22</v>
      </c>
      <c r="H4462" s="2">
        <v>40</v>
      </c>
      <c r="I4462" s="114" t="s">
        <v>3096</v>
      </c>
      <c r="J4462" s="112" t="s">
        <v>84</v>
      </c>
      <c r="K4462" s="112" t="s">
        <v>3100</v>
      </c>
      <c r="L4462" s="2">
        <v>1</v>
      </c>
      <c r="M4462" s="2" t="s">
        <v>84</v>
      </c>
      <c r="N4462" s="2" t="s">
        <v>84</v>
      </c>
      <c r="O4462" s="2" t="s">
        <v>841</v>
      </c>
      <c r="P4462" s="142" t="s">
        <v>2879</v>
      </c>
    </row>
    <row r="4463" spans="1:16" ht="22" customHeight="1" x14ac:dyDescent="0.15">
      <c r="A4463" s="10" t="str">
        <f t="shared" si="723"/>
        <v>584_10_26_1_polygon</v>
      </c>
      <c r="B4463" s="2">
        <v>584</v>
      </c>
      <c r="C4463" s="30" t="str">
        <f>VLOOKUP(B4463,gachas!A:C,3)</f>
        <v>ミニステップアップガチャ</v>
      </c>
      <c r="D4463" s="21">
        <v>10</v>
      </c>
      <c r="E4463" s="2">
        <f t="shared" si="725"/>
        <v>26</v>
      </c>
      <c r="F4463" s="2">
        <v>1</v>
      </c>
      <c r="G4463" s="3" t="s">
        <v>22</v>
      </c>
      <c r="H4463" s="2">
        <v>1</v>
      </c>
      <c r="I4463" s="114" t="s">
        <v>3097</v>
      </c>
      <c r="J4463" s="112" t="s">
        <v>84</v>
      </c>
      <c r="K4463" s="112" t="s">
        <v>84</v>
      </c>
      <c r="L4463" s="2">
        <v>0</v>
      </c>
      <c r="M4463" s="2" t="s">
        <v>84</v>
      </c>
      <c r="N4463" s="2" t="s">
        <v>84</v>
      </c>
      <c r="O4463" s="2" t="s">
        <v>841</v>
      </c>
      <c r="P4463" s="142" t="s">
        <v>2952</v>
      </c>
    </row>
    <row r="4464" spans="1:16" ht="22" customHeight="1" x14ac:dyDescent="0.15">
      <c r="A4464" s="10" t="str">
        <f t="shared" si="723"/>
        <v>584_10_27_2_polygon</v>
      </c>
      <c r="B4464" s="2">
        <v>584</v>
      </c>
      <c r="C4464" s="30" t="str">
        <f>VLOOKUP(B4464,gachas!A:C,3)</f>
        <v>ミニステップアップガチャ</v>
      </c>
      <c r="D4464" s="21">
        <v>10</v>
      </c>
      <c r="E4464" s="2">
        <f t="shared" si="725"/>
        <v>27</v>
      </c>
      <c r="F4464" s="2">
        <v>2</v>
      </c>
      <c r="G4464" s="3" t="s">
        <v>22</v>
      </c>
      <c r="H4464" s="2">
        <v>3</v>
      </c>
      <c r="I4464" s="114" t="s">
        <v>3097</v>
      </c>
      <c r="J4464" s="112" t="s">
        <v>3098</v>
      </c>
      <c r="K4464" s="112" t="s">
        <v>84</v>
      </c>
      <c r="L4464" s="2">
        <v>0</v>
      </c>
      <c r="M4464" s="2" t="s">
        <v>84</v>
      </c>
      <c r="N4464" s="2" t="s">
        <v>84</v>
      </c>
      <c r="O4464" s="2" t="s">
        <v>841</v>
      </c>
      <c r="P4464" s="142" t="s">
        <v>2953</v>
      </c>
    </row>
    <row r="4465" spans="1:16" ht="22" customHeight="1" x14ac:dyDescent="0.15">
      <c r="A4465" s="10" t="str">
        <f t="shared" si="723"/>
        <v>584_10_28_3_polygon</v>
      </c>
      <c r="B4465" s="2">
        <v>584</v>
      </c>
      <c r="C4465" s="30" t="str">
        <f>VLOOKUP(B4465,gachas!A:C,3)</f>
        <v>ミニステップアップガチャ</v>
      </c>
      <c r="D4465" s="21">
        <v>10</v>
      </c>
      <c r="E4465" s="2">
        <f t="shared" si="725"/>
        <v>28</v>
      </c>
      <c r="F4465" s="2">
        <v>3</v>
      </c>
      <c r="G4465" s="3" t="s">
        <v>22</v>
      </c>
      <c r="H4465" s="2">
        <v>9</v>
      </c>
      <c r="I4465" s="114" t="s">
        <v>3097</v>
      </c>
      <c r="J4465" s="112" t="s">
        <v>3099</v>
      </c>
      <c r="K4465" s="112" t="s">
        <v>84</v>
      </c>
      <c r="L4465" s="2">
        <v>0</v>
      </c>
      <c r="M4465" s="2" t="s">
        <v>84</v>
      </c>
      <c r="N4465" s="2" t="s">
        <v>84</v>
      </c>
      <c r="O4465" s="2" t="s">
        <v>841</v>
      </c>
      <c r="P4465" s="142" t="s">
        <v>2954</v>
      </c>
    </row>
    <row r="4466" spans="1:16" ht="22" customHeight="1" x14ac:dyDescent="0.15">
      <c r="A4466" s="10" t="str">
        <f t="shared" si="723"/>
        <v>584_10_29_5_polygon</v>
      </c>
      <c r="B4466" s="2">
        <v>584</v>
      </c>
      <c r="C4466" s="30" t="str">
        <f>VLOOKUP(B4466,gachas!A:C,3)</f>
        <v>ミニステップアップガチャ</v>
      </c>
      <c r="D4466" s="21">
        <v>10</v>
      </c>
      <c r="E4466" s="2">
        <f t="shared" si="725"/>
        <v>29</v>
      </c>
      <c r="F4466" s="2">
        <v>5</v>
      </c>
      <c r="G4466" s="3" t="s">
        <v>22</v>
      </c>
      <c r="H4466" s="2">
        <v>20</v>
      </c>
      <c r="I4466" s="114" t="s">
        <v>3096</v>
      </c>
      <c r="J4466" s="112" t="s">
        <v>3096</v>
      </c>
      <c r="K4466" s="112" t="s">
        <v>84</v>
      </c>
      <c r="L4466" s="2">
        <v>0</v>
      </c>
      <c r="M4466" s="2" t="s">
        <v>84</v>
      </c>
      <c r="N4466" s="2" t="s">
        <v>84</v>
      </c>
      <c r="O4466" s="2" t="s">
        <v>841</v>
      </c>
      <c r="P4466" s="142" t="s">
        <v>2955</v>
      </c>
    </row>
    <row r="4467" spans="1:16" ht="22" customHeight="1" x14ac:dyDescent="0.15">
      <c r="A4467" s="10" t="str">
        <f t="shared" si="723"/>
        <v>584_10_30_10_polygon</v>
      </c>
      <c r="B4467" s="2">
        <v>584</v>
      </c>
      <c r="C4467" s="30" t="str">
        <f>VLOOKUP(B4467,gachas!A:C,3)</f>
        <v>ミニステップアップガチャ</v>
      </c>
      <c r="D4467" s="21">
        <v>10</v>
      </c>
      <c r="E4467" s="2">
        <f t="shared" si="725"/>
        <v>30</v>
      </c>
      <c r="F4467" s="2">
        <v>10</v>
      </c>
      <c r="G4467" s="3" t="s">
        <v>22</v>
      </c>
      <c r="H4467" s="2">
        <v>40</v>
      </c>
      <c r="I4467" s="114" t="s">
        <v>3096</v>
      </c>
      <c r="J4467" s="112" t="s">
        <v>84</v>
      </c>
      <c r="K4467" s="112" t="s">
        <v>3100</v>
      </c>
      <c r="L4467" s="2">
        <v>1</v>
      </c>
      <c r="M4467" s="2" t="s">
        <v>84</v>
      </c>
      <c r="N4467" s="2" t="s">
        <v>84</v>
      </c>
      <c r="O4467" s="2" t="s">
        <v>841</v>
      </c>
      <c r="P4467" s="142" t="s">
        <v>2879</v>
      </c>
    </row>
    <row r="4468" spans="1:16" ht="22" customHeight="1" x14ac:dyDescent="0.15">
      <c r="A4468" s="10" t="str">
        <f t="shared" si="723"/>
        <v>584_10_31_1_polygon</v>
      </c>
      <c r="B4468" s="2">
        <v>584</v>
      </c>
      <c r="C4468" s="30" t="str">
        <f>VLOOKUP(B4468,gachas!A:C,3)</f>
        <v>ミニステップアップガチャ</v>
      </c>
      <c r="D4468" s="21">
        <v>10</v>
      </c>
      <c r="E4468" s="2">
        <f t="shared" si="725"/>
        <v>31</v>
      </c>
      <c r="F4468" s="2">
        <v>1</v>
      </c>
      <c r="G4468" s="3" t="s">
        <v>22</v>
      </c>
      <c r="H4468" s="2">
        <v>1</v>
      </c>
      <c r="I4468" s="114" t="s">
        <v>3097</v>
      </c>
      <c r="J4468" s="112" t="s">
        <v>84</v>
      </c>
      <c r="K4468" s="112" t="s">
        <v>84</v>
      </c>
      <c r="L4468" s="2">
        <v>0</v>
      </c>
      <c r="M4468" s="2" t="s">
        <v>84</v>
      </c>
      <c r="N4468" s="2" t="s">
        <v>84</v>
      </c>
      <c r="O4468" s="2" t="s">
        <v>841</v>
      </c>
      <c r="P4468" s="142" t="s">
        <v>2952</v>
      </c>
    </row>
    <row r="4469" spans="1:16" ht="22" customHeight="1" x14ac:dyDescent="0.15">
      <c r="A4469" s="10" t="str">
        <f t="shared" si="723"/>
        <v>584_10_32_2_polygon</v>
      </c>
      <c r="B4469" s="2">
        <v>584</v>
      </c>
      <c r="C4469" s="30" t="str">
        <f>VLOOKUP(B4469,gachas!A:C,3)</f>
        <v>ミニステップアップガチャ</v>
      </c>
      <c r="D4469" s="21">
        <v>10</v>
      </c>
      <c r="E4469" s="2">
        <f t="shared" si="725"/>
        <v>32</v>
      </c>
      <c r="F4469" s="2">
        <v>2</v>
      </c>
      <c r="G4469" s="3" t="s">
        <v>22</v>
      </c>
      <c r="H4469" s="2">
        <v>3</v>
      </c>
      <c r="I4469" s="114" t="s">
        <v>3097</v>
      </c>
      <c r="J4469" s="112" t="s">
        <v>3098</v>
      </c>
      <c r="K4469" s="112" t="s">
        <v>84</v>
      </c>
      <c r="L4469" s="2">
        <v>0</v>
      </c>
      <c r="M4469" s="2" t="s">
        <v>84</v>
      </c>
      <c r="N4469" s="2" t="s">
        <v>84</v>
      </c>
      <c r="O4469" s="2" t="s">
        <v>841</v>
      </c>
      <c r="P4469" s="142" t="s">
        <v>2953</v>
      </c>
    </row>
    <row r="4470" spans="1:16" ht="22" customHeight="1" x14ac:dyDescent="0.15">
      <c r="A4470" s="10" t="str">
        <f t="shared" si="723"/>
        <v>584_10_33_3_polygon</v>
      </c>
      <c r="B4470" s="2">
        <v>584</v>
      </c>
      <c r="C4470" s="30" t="str">
        <f>VLOOKUP(B4470,gachas!A:C,3)</f>
        <v>ミニステップアップガチャ</v>
      </c>
      <c r="D4470" s="21">
        <v>10</v>
      </c>
      <c r="E4470" s="2">
        <f t="shared" si="725"/>
        <v>33</v>
      </c>
      <c r="F4470" s="2">
        <v>3</v>
      </c>
      <c r="G4470" s="3" t="s">
        <v>22</v>
      </c>
      <c r="H4470" s="2">
        <v>9</v>
      </c>
      <c r="I4470" s="114" t="s">
        <v>3097</v>
      </c>
      <c r="J4470" s="112" t="s">
        <v>3099</v>
      </c>
      <c r="K4470" s="112" t="s">
        <v>84</v>
      </c>
      <c r="L4470" s="2">
        <v>0</v>
      </c>
      <c r="M4470" s="2" t="s">
        <v>84</v>
      </c>
      <c r="N4470" s="2" t="s">
        <v>84</v>
      </c>
      <c r="O4470" s="2" t="s">
        <v>841</v>
      </c>
      <c r="P4470" s="142" t="s">
        <v>2954</v>
      </c>
    </row>
    <row r="4471" spans="1:16" ht="22" customHeight="1" x14ac:dyDescent="0.15">
      <c r="A4471" s="10" t="str">
        <f t="shared" si="723"/>
        <v>584_10_34_5_polygon</v>
      </c>
      <c r="B4471" s="2">
        <v>584</v>
      </c>
      <c r="C4471" s="30" t="str">
        <f>VLOOKUP(B4471,gachas!A:C,3)</f>
        <v>ミニステップアップガチャ</v>
      </c>
      <c r="D4471" s="21">
        <v>10</v>
      </c>
      <c r="E4471" s="2">
        <f t="shared" si="725"/>
        <v>34</v>
      </c>
      <c r="F4471" s="2">
        <v>5</v>
      </c>
      <c r="G4471" s="3" t="s">
        <v>22</v>
      </c>
      <c r="H4471" s="2">
        <v>20</v>
      </c>
      <c r="I4471" s="114" t="s">
        <v>3096</v>
      </c>
      <c r="J4471" s="112" t="s">
        <v>3096</v>
      </c>
      <c r="K4471" s="112" t="s">
        <v>84</v>
      </c>
      <c r="L4471" s="2">
        <v>0</v>
      </c>
      <c r="M4471" s="2" t="s">
        <v>84</v>
      </c>
      <c r="N4471" s="2" t="s">
        <v>84</v>
      </c>
      <c r="O4471" s="2" t="s">
        <v>841</v>
      </c>
      <c r="P4471" s="142" t="s">
        <v>2955</v>
      </c>
    </row>
    <row r="4472" spans="1:16" ht="22" customHeight="1" x14ac:dyDescent="0.15">
      <c r="A4472" s="10" t="str">
        <f t="shared" si="723"/>
        <v>584_10_35_10_polygon</v>
      </c>
      <c r="B4472" s="2">
        <v>584</v>
      </c>
      <c r="C4472" s="30" t="str">
        <f>VLOOKUP(B4472,gachas!A:C,3)</f>
        <v>ミニステップアップガチャ</v>
      </c>
      <c r="D4472" s="21">
        <v>10</v>
      </c>
      <c r="E4472" s="2">
        <f t="shared" si="725"/>
        <v>35</v>
      </c>
      <c r="F4472" s="2">
        <v>10</v>
      </c>
      <c r="G4472" s="3" t="s">
        <v>22</v>
      </c>
      <c r="H4472" s="2">
        <v>40</v>
      </c>
      <c r="I4472" s="114" t="s">
        <v>3096</v>
      </c>
      <c r="J4472" s="112" t="s">
        <v>84</v>
      </c>
      <c r="K4472" s="112" t="s">
        <v>3100</v>
      </c>
      <c r="L4472" s="2">
        <v>1</v>
      </c>
      <c r="M4472" s="2" t="s">
        <v>84</v>
      </c>
      <c r="N4472" s="2" t="s">
        <v>84</v>
      </c>
      <c r="O4472" s="2" t="s">
        <v>841</v>
      </c>
      <c r="P4472" s="142" t="s">
        <v>2879</v>
      </c>
    </row>
    <row r="4473" spans="1:16" ht="22" customHeight="1" x14ac:dyDescent="0.15">
      <c r="A4473" s="10" t="str">
        <f t="shared" si="723"/>
        <v>584_10_36_1_polygon</v>
      </c>
      <c r="B4473" s="2">
        <v>584</v>
      </c>
      <c r="C4473" s="30" t="str">
        <f>VLOOKUP(B4473,gachas!A:C,3)</f>
        <v>ミニステップアップガチャ</v>
      </c>
      <c r="D4473" s="21">
        <v>10</v>
      </c>
      <c r="E4473" s="2">
        <f t="shared" si="725"/>
        <v>36</v>
      </c>
      <c r="F4473" s="2">
        <v>1</v>
      </c>
      <c r="G4473" s="3" t="s">
        <v>22</v>
      </c>
      <c r="H4473" s="2">
        <v>1</v>
      </c>
      <c r="I4473" s="114" t="s">
        <v>3097</v>
      </c>
      <c r="J4473" s="112" t="s">
        <v>84</v>
      </c>
      <c r="K4473" s="112" t="s">
        <v>84</v>
      </c>
      <c r="L4473" s="2">
        <v>0</v>
      </c>
      <c r="M4473" s="2" t="s">
        <v>84</v>
      </c>
      <c r="N4473" s="2" t="s">
        <v>84</v>
      </c>
      <c r="O4473" s="2" t="s">
        <v>841</v>
      </c>
      <c r="P4473" s="142" t="s">
        <v>2952</v>
      </c>
    </row>
    <row r="4474" spans="1:16" ht="22" customHeight="1" x14ac:dyDescent="0.15">
      <c r="A4474" s="10" t="str">
        <f t="shared" si="723"/>
        <v>584_10_37_2_polygon</v>
      </c>
      <c r="B4474" s="2">
        <v>584</v>
      </c>
      <c r="C4474" s="30" t="str">
        <f>VLOOKUP(B4474,gachas!A:C,3)</f>
        <v>ミニステップアップガチャ</v>
      </c>
      <c r="D4474" s="21">
        <v>10</v>
      </c>
      <c r="E4474" s="2">
        <f t="shared" si="725"/>
        <v>37</v>
      </c>
      <c r="F4474" s="2">
        <v>2</v>
      </c>
      <c r="G4474" s="3" t="s">
        <v>22</v>
      </c>
      <c r="H4474" s="2">
        <v>3</v>
      </c>
      <c r="I4474" s="114" t="s">
        <v>3097</v>
      </c>
      <c r="J4474" s="112" t="s">
        <v>3098</v>
      </c>
      <c r="K4474" s="112" t="s">
        <v>84</v>
      </c>
      <c r="L4474" s="2">
        <v>0</v>
      </c>
      <c r="M4474" s="2" t="s">
        <v>84</v>
      </c>
      <c r="N4474" s="2" t="s">
        <v>84</v>
      </c>
      <c r="O4474" s="2" t="s">
        <v>841</v>
      </c>
      <c r="P4474" s="142" t="s">
        <v>2953</v>
      </c>
    </row>
    <row r="4475" spans="1:16" ht="22" customHeight="1" x14ac:dyDescent="0.15">
      <c r="A4475" s="10" t="str">
        <f t="shared" si="723"/>
        <v>584_10_38_3_polygon</v>
      </c>
      <c r="B4475" s="2">
        <v>584</v>
      </c>
      <c r="C4475" s="30" t="str">
        <f>VLOOKUP(B4475,gachas!A:C,3)</f>
        <v>ミニステップアップガチャ</v>
      </c>
      <c r="D4475" s="21">
        <v>10</v>
      </c>
      <c r="E4475" s="2">
        <f t="shared" si="725"/>
        <v>38</v>
      </c>
      <c r="F4475" s="2">
        <v>3</v>
      </c>
      <c r="G4475" s="3" t="s">
        <v>22</v>
      </c>
      <c r="H4475" s="2">
        <v>9</v>
      </c>
      <c r="I4475" s="114" t="s">
        <v>3097</v>
      </c>
      <c r="J4475" s="112" t="s">
        <v>3099</v>
      </c>
      <c r="K4475" s="112" t="s">
        <v>84</v>
      </c>
      <c r="L4475" s="2">
        <v>0</v>
      </c>
      <c r="M4475" s="2" t="s">
        <v>84</v>
      </c>
      <c r="N4475" s="2" t="s">
        <v>84</v>
      </c>
      <c r="O4475" s="2" t="s">
        <v>841</v>
      </c>
      <c r="P4475" s="142" t="s">
        <v>2954</v>
      </c>
    </row>
    <row r="4476" spans="1:16" ht="22" customHeight="1" x14ac:dyDescent="0.15">
      <c r="A4476" s="10" t="str">
        <f t="shared" si="723"/>
        <v>584_10_39_5_polygon</v>
      </c>
      <c r="B4476" s="2">
        <v>584</v>
      </c>
      <c r="C4476" s="30" t="str">
        <f>VLOOKUP(B4476,gachas!A:C,3)</f>
        <v>ミニステップアップガチャ</v>
      </c>
      <c r="D4476" s="21">
        <v>10</v>
      </c>
      <c r="E4476" s="2">
        <f t="shared" si="725"/>
        <v>39</v>
      </c>
      <c r="F4476" s="2">
        <v>5</v>
      </c>
      <c r="G4476" s="3" t="s">
        <v>22</v>
      </c>
      <c r="H4476" s="2">
        <v>20</v>
      </c>
      <c r="I4476" s="114" t="s">
        <v>3096</v>
      </c>
      <c r="J4476" s="112" t="s">
        <v>3096</v>
      </c>
      <c r="K4476" s="112" t="s">
        <v>84</v>
      </c>
      <c r="L4476" s="2">
        <v>0</v>
      </c>
      <c r="M4476" s="2" t="s">
        <v>84</v>
      </c>
      <c r="N4476" s="2" t="s">
        <v>84</v>
      </c>
      <c r="O4476" s="2" t="s">
        <v>841</v>
      </c>
      <c r="P4476" s="142" t="s">
        <v>2955</v>
      </c>
    </row>
    <row r="4477" spans="1:16" ht="22" customHeight="1" x14ac:dyDescent="0.15">
      <c r="A4477" s="10" t="str">
        <f t="shared" si="723"/>
        <v>584_10_40_10_polygon</v>
      </c>
      <c r="B4477" s="2">
        <v>584</v>
      </c>
      <c r="C4477" s="30" t="str">
        <f>VLOOKUP(B4477,gachas!A:C,3)</f>
        <v>ミニステップアップガチャ</v>
      </c>
      <c r="D4477" s="21">
        <v>10</v>
      </c>
      <c r="E4477" s="2">
        <f t="shared" si="725"/>
        <v>40</v>
      </c>
      <c r="F4477" s="2">
        <v>10</v>
      </c>
      <c r="G4477" s="3" t="s">
        <v>22</v>
      </c>
      <c r="H4477" s="2">
        <v>40</v>
      </c>
      <c r="I4477" s="114" t="s">
        <v>3096</v>
      </c>
      <c r="J4477" s="112" t="s">
        <v>84</v>
      </c>
      <c r="K4477" s="112" t="s">
        <v>3100</v>
      </c>
      <c r="L4477" s="2">
        <v>1</v>
      </c>
      <c r="M4477" s="2" t="s">
        <v>84</v>
      </c>
      <c r="N4477" s="2" t="s">
        <v>84</v>
      </c>
      <c r="O4477" s="2" t="s">
        <v>841</v>
      </c>
      <c r="P4477" s="142" t="s">
        <v>2879</v>
      </c>
    </row>
    <row r="4478" spans="1:16" ht="22" customHeight="1" x14ac:dyDescent="0.15">
      <c r="A4478" s="10" t="str">
        <f t="shared" si="723"/>
        <v>584_10_41_1_polygon</v>
      </c>
      <c r="B4478" s="2">
        <v>584</v>
      </c>
      <c r="C4478" s="30" t="str">
        <f>VLOOKUP(B4478,gachas!A:C,3)</f>
        <v>ミニステップアップガチャ</v>
      </c>
      <c r="D4478" s="21">
        <v>10</v>
      </c>
      <c r="E4478" s="2">
        <f t="shared" si="725"/>
        <v>41</v>
      </c>
      <c r="F4478" s="2">
        <v>1</v>
      </c>
      <c r="G4478" s="3" t="s">
        <v>22</v>
      </c>
      <c r="H4478" s="2">
        <v>1</v>
      </c>
      <c r="I4478" s="114" t="s">
        <v>3097</v>
      </c>
      <c r="J4478" s="112" t="s">
        <v>84</v>
      </c>
      <c r="K4478" s="112" t="s">
        <v>84</v>
      </c>
      <c r="L4478" s="2">
        <v>0</v>
      </c>
      <c r="M4478" s="2" t="s">
        <v>84</v>
      </c>
      <c r="N4478" s="2" t="s">
        <v>84</v>
      </c>
      <c r="O4478" s="2" t="s">
        <v>841</v>
      </c>
      <c r="P4478" s="142" t="s">
        <v>2952</v>
      </c>
    </row>
    <row r="4479" spans="1:16" ht="22" customHeight="1" x14ac:dyDescent="0.15">
      <c r="A4479" s="10" t="str">
        <f t="shared" si="723"/>
        <v>584_10_42_2_polygon</v>
      </c>
      <c r="B4479" s="2">
        <v>584</v>
      </c>
      <c r="C4479" s="30" t="str">
        <f>VLOOKUP(B4479,gachas!A:C,3)</f>
        <v>ミニステップアップガチャ</v>
      </c>
      <c r="D4479" s="21">
        <v>10</v>
      </c>
      <c r="E4479" s="2">
        <f t="shared" si="725"/>
        <v>42</v>
      </c>
      <c r="F4479" s="2">
        <v>2</v>
      </c>
      <c r="G4479" s="3" t="s">
        <v>22</v>
      </c>
      <c r="H4479" s="2">
        <v>3</v>
      </c>
      <c r="I4479" s="114" t="s">
        <v>3097</v>
      </c>
      <c r="J4479" s="112" t="s">
        <v>3098</v>
      </c>
      <c r="K4479" s="112" t="s">
        <v>84</v>
      </c>
      <c r="L4479" s="2">
        <v>0</v>
      </c>
      <c r="M4479" s="2" t="s">
        <v>84</v>
      </c>
      <c r="N4479" s="2" t="s">
        <v>84</v>
      </c>
      <c r="O4479" s="2" t="s">
        <v>841</v>
      </c>
      <c r="P4479" s="142" t="s">
        <v>2953</v>
      </c>
    </row>
    <row r="4480" spans="1:16" ht="22" customHeight="1" x14ac:dyDescent="0.15">
      <c r="A4480" s="10" t="str">
        <f t="shared" si="723"/>
        <v>584_10_43_3_polygon</v>
      </c>
      <c r="B4480" s="2">
        <v>584</v>
      </c>
      <c r="C4480" s="30" t="str">
        <f>VLOOKUP(B4480,gachas!A:C,3)</f>
        <v>ミニステップアップガチャ</v>
      </c>
      <c r="D4480" s="21">
        <v>10</v>
      </c>
      <c r="E4480" s="2">
        <f t="shared" si="725"/>
        <v>43</v>
      </c>
      <c r="F4480" s="2">
        <v>3</v>
      </c>
      <c r="G4480" s="3" t="s">
        <v>22</v>
      </c>
      <c r="H4480" s="2">
        <v>9</v>
      </c>
      <c r="I4480" s="114" t="s">
        <v>3097</v>
      </c>
      <c r="J4480" s="112" t="s">
        <v>3099</v>
      </c>
      <c r="K4480" s="112" t="s">
        <v>84</v>
      </c>
      <c r="L4480" s="2">
        <v>0</v>
      </c>
      <c r="M4480" s="2" t="s">
        <v>84</v>
      </c>
      <c r="N4480" s="2" t="s">
        <v>84</v>
      </c>
      <c r="O4480" s="2" t="s">
        <v>841</v>
      </c>
      <c r="P4480" s="142" t="s">
        <v>2954</v>
      </c>
    </row>
    <row r="4481" spans="1:16" ht="22" customHeight="1" x14ac:dyDescent="0.15">
      <c r="A4481" s="10" t="str">
        <f t="shared" si="723"/>
        <v>584_10_44_5_polygon</v>
      </c>
      <c r="B4481" s="2">
        <v>584</v>
      </c>
      <c r="C4481" s="30" t="str">
        <f>VLOOKUP(B4481,gachas!A:C,3)</f>
        <v>ミニステップアップガチャ</v>
      </c>
      <c r="D4481" s="21">
        <v>10</v>
      </c>
      <c r="E4481" s="2">
        <f t="shared" si="725"/>
        <v>44</v>
      </c>
      <c r="F4481" s="2">
        <v>5</v>
      </c>
      <c r="G4481" s="3" t="s">
        <v>22</v>
      </c>
      <c r="H4481" s="2">
        <v>20</v>
      </c>
      <c r="I4481" s="114" t="s">
        <v>3096</v>
      </c>
      <c r="J4481" s="112" t="s">
        <v>3096</v>
      </c>
      <c r="K4481" s="112" t="s">
        <v>84</v>
      </c>
      <c r="L4481" s="2">
        <v>0</v>
      </c>
      <c r="M4481" s="2" t="s">
        <v>84</v>
      </c>
      <c r="N4481" s="2" t="s">
        <v>84</v>
      </c>
      <c r="O4481" s="2" t="s">
        <v>841</v>
      </c>
      <c r="P4481" s="142" t="s">
        <v>2955</v>
      </c>
    </row>
    <row r="4482" spans="1:16" ht="22" customHeight="1" x14ac:dyDescent="0.15">
      <c r="A4482" s="10" t="str">
        <f t="shared" si="723"/>
        <v>584_10_45_10_polygon</v>
      </c>
      <c r="B4482" s="2">
        <v>584</v>
      </c>
      <c r="C4482" s="30" t="str">
        <f>VLOOKUP(B4482,gachas!A:C,3)</f>
        <v>ミニステップアップガチャ</v>
      </c>
      <c r="D4482" s="21">
        <v>10</v>
      </c>
      <c r="E4482" s="2">
        <f>E4481+1</f>
        <v>45</v>
      </c>
      <c r="F4482" s="2">
        <v>10</v>
      </c>
      <c r="G4482" s="3" t="s">
        <v>22</v>
      </c>
      <c r="H4482" s="2">
        <v>40</v>
      </c>
      <c r="I4482" s="114" t="s">
        <v>3096</v>
      </c>
      <c r="J4482" s="112" t="s">
        <v>84</v>
      </c>
      <c r="K4482" s="112" t="s">
        <v>3100</v>
      </c>
      <c r="L4482" s="2">
        <v>1</v>
      </c>
      <c r="M4482" s="2" t="s">
        <v>84</v>
      </c>
      <c r="N4482" s="2" t="s">
        <v>84</v>
      </c>
      <c r="O4482" s="2" t="s">
        <v>841</v>
      </c>
      <c r="P4482" s="142" t="s">
        <v>2879</v>
      </c>
    </row>
    <row r="4483" spans="1:16" ht="22" customHeight="1" x14ac:dyDescent="0.15">
      <c r="A4483" s="10" t="str">
        <f t="shared" si="723"/>
        <v>584_10_46_1_polygon</v>
      </c>
      <c r="B4483" s="2">
        <v>584</v>
      </c>
      <c r="C4483" s="30" t="str">
        <f>VLOOKUP(B4483,gachas!A:C,3)</f>
        <v>ミニステップアップガチャ</v>
      </c>
      <c r="D4483" s="21">
        <v>10</v>
      </c>
      <c r="E4483" s="2">
        <f t="shared" si="725"/>
        <v>46</v>
      </c>
      <c r="F4483" s="2">
        <v>1</v>
      </c>
      <c r="G4483" s="3" t="s">
        <v>22</v>
      </c>
      <c r="H4483" s="2">
        <v>1</v>
      </c>
      <c r="I4483" s="114" t="s">
        <v>3097</v>
      </c>
      <c r="J4483" s="112" t="s">
        <v>84</v>
      </c>
      <c r="K4483" s="112" t="s">
        <v>84</v>
      </c>
      <c r="L4483" s="2">
        <v>0</v>
      </c>
      <c r="M4483" s="2" t="s">
        <v>84</v>
      </c>
      <c r="N4483" s="2" t="s">
        <v>84</v>
      </c>
      <c r="O4483" s="2" t="s">
        <v>841</v>
      </c>
      <c r="P4483" s="142" t="s">
        <v>2952</v>
      </c>
    </row>
    <row r="4484" spans="1:16" ht="22" customHeight="1" x14ac:dyDescent="0.15">
      <c r="A4484" s="10" t="str">
        <f t="shared" si="723"/>
        <v>584_10_47_2_polygon</v>
      </c>
      <c r="B4484" s="2">
        <v>584</v>
      </c>
      <c r="C4484" s="30" t="str">
        <f>VLOOKUP(B4484,gachas!A:C,3)</f>
        <v>ミニステップアップガチャ</v>
      </c>
      <c r="D4484" s="21">
        <v>10</v>
      </c>
      <c r="E4484" s="2">
        <f t="shared" si="725"/>
        <v>47</v>
      </c>
      <c r="F4484" s="2">
        <v>2</v>
      </c>
      <c r="G4484" s="3" t="s">
        <v>22</v>
      </c>
      <c r="H4484" s="2">
        <v>3</v>
      </c>
      <c r="I4484" s="114" t="s">
        <v>3097</v>
      </c>
      <c r="J4484" s="112" t="s">
        <v>3098</v>
      </c>
      <c r="K4484" s="112" t="s">
        <v>84</v>
      </c>
      <c r="L4484" s="2">
        <v>0</v>
      </c>
      <c r="M4484" s="2" t="s">
        <v>84</v>
      </c>
      <c r="N4484" s="2" t="s">
        <v>84</v>
      </c>
      <c r="O4484" s="2" t="s">
        <v>841</v>
      </c>
      <c r="P4484" s="142" t="s">
        <v>2953</v>
      </c>
    </row>
    <row r="4485" spans="1:16" ht="22" customHeight="1" x14ac:dyDescent="0.15">
      <c r="A4485" s="10" t="str">
        <f t="shared" si="723"/>
        <v>584_10_48_3_polygon</v>
      </c>
      <c r="B4485" s="2">
        <v>584</v>
      </c>
      <c r="C4485" s="30" t="str">
        <f>VLOOKUP(B4485,gachas!A:C,3)</f>
        <v>ミニステップアップガチャ</v>
      </c>
      <c r="D4485" s="21">
        <v>10</v>
      </c>
      <c r="E4485" s="2">
        <f t="shared" si="725"/>
        <v>48</v>
      </c>
      <c r="F4485" s="2">
        <v>3</v>
      </c>
      <c r="G4485" s="3" t="s">
        <v>22</v>
      </c>
      <c r="H4485" s="2">
        <v>9</v>
      </c>
      <c r="I4485" s="114" t="s">
        <v>3097</v>
      </c>
      <c r="J4485" s="112" t="s">
        <v>3099</v>
      </c>
      <c r="K4485" s="112" t="s">
        <v>84</v>
      </c>
      <c r="L4485" s="2">
        <v>0</v>
      </c>
      <c r="M4485" s="2" t="s">
        <v>84</v>
      </c>
      <c r="N4485" s="2" t="s">
        <v>84</v>
      </c>
      <c r="O4485" s="2" t="s">
        <v>841</v>
      </c>
      <c r="P4485" s="142" t="s">
        <v>2954</v>
      </c>
    </row>
    <row r="4486" spans="1:16" ht="22" customHeight="1" x14ac:dyDescent="0.15">
      <c r="A4486" s="10" t="str">
        <f t="shared" si="723"/>
        <v>584_10_49_5_polygon</v>
      </c>
      <c r="B4486" s="2">
        <v>584</v>
      </c>
      <c r="C4486" s="30" t="str">
        <f>VLOOKUP(B4486,gachas!A:C,3)</f>
        <v>ミニステップアップガチャ</v>
      </c>
      <c r="D4486" s="21">
        <v>10</v>
      </c>
      <c r="E4486" s="2">
        <f t="shared" si="725"/>
        <v>49</v>
      </c>
      <c r="F4486" s="2">
        <v>5</v>
      </c>
      <c r="G4486" s="3" t="s">
        <v>22</v>
      </c>
      <c r="H4486" s="2">
        <v>20</v>
      </c>
      <c r="I4486" s="114" t="s">
        <v>3096</v>
      </c>
      <c r="J4486" s="112" t="s">
        <v>3096</v>
      </c>
      <c r="K4486" s="112" t="s">
        <v>84</v>
      </c>
      <c r="L4486" s="2">
        <v>0</v>
      </c>
      <c r="M4486" s="2" t="s">
        <v>84</v>
      </c>
      <c r="N4486" s="2" t="s">
        <v>84</v>
      </c>
      <c r="O4486" s="2" t="s">
        <v>841</v>
      </c>
      <c r="P4486" s="142" t="s">
        <v>2955</v>
      </c>
    </row>
    <row r="4487" spans="1:16" ht="22" customHeight="1" x14ac:dyDescent="0.15">
      <c r="A4487" s="10" t="str">
        <f t="shared" si="723"/>
        <v>584_10_50_10_polygon</v>
      </c>
      <c r="B4487" s="2">
        <v>584</v>
      </c>
      <c r="C4487" s="30" t="str">
        <f>VLOOKUP(B4487,gachas!A:C,3)</f>
        <v>ミニステップアップガチャ</v>
      </c>
      <c r="D4487" s="21">
        <v>10</v>
      </c>
      <c r="E4487" s="2">
        <f>E4486+1</f>
        <v>50</v>
      </c>
      <c r="F4487" s="2">
        <v>10</v>
      </c>
      <c r="G4487" s="3" t="s">
        <v>22</v>
      </c>
      <c r="H4487" s="2">
        <v>40</v>
      </c>
      <c r="I4487" s="114" t="s">
        <v>3096</v>
      </c>
      <c r="J4487" s="112" t="s">
        <v>84</v>
      </c>
      <c r="K4487" s="112" t="s">
        <v>3100</v>
      </c>
      <c r="L4487" s="2">
        <v>1</v>
      </c>
      <c r="M4487" s="2" t="s">
        <v>84</v>
      </c>
      <c r="N4487" s="2" t="s">
        <v>84</v>
      </c>
      <c r="O4487" s="2" t="s">
        <v>841</v>
      </c>
      <c r="P4487" s="142" t="s">
        <v>2879</v>
      </c>
    </row>
    <row r="4488" spans="1:16" ht="22" customHeight="1" x14ac:dyDescent="0.15">
      <c r="A4488" s="10" t="str">
        <f t="shared" si="723"/>
        <v>585_1_0_1_polygon</v>
      </c>
      <c r="B4488" s="2">
        <v>585</v>
      </c>
      <c r="C4488" s="30" t="str">
        <f>VLOOKUP(B4488,gachas!A:C,3)</f>
        <v>4月超フェス＜1日目＞</v>
      </c>
      <c r="D4488" s="21">
        <v>1</v>
      </c>
      <c r="E4488" s="2">
        <v>0</v>
      </c>
      <c r="F4488" s="2">
        <v>1</v>
      </c>
      <c r="G4488" s="3" t="s">
        <v>22</v>
      </c>
      <c r="H4488" s="2">
        <v>5</v>
      </c>
      <c r="I4488" s="119" t="str">
        <f>I4489</f>
        <v>585100</v>
      </c>
      <c r="J4488" s="112" t="s">
        <v>84</v>
      </c>
      <c r="K4488" s="2" t="s">
        <v>85</v>
      </c>
      <c r="L4488" s="2">
        <v>0</v>
      </c>
      <c r="M4488" s="2" t="s">
        <v>84</v>
      </c>
      <c r="N4488" s="2" t="s">
        <v>84</v>
      </c>
      <c r="O4488" s="2" t="s">
        <v>841</v>
      </c>
      <c r="P4488" s="2" t="s">
        <v>2572</v>
      </c>
    </row>
    <row r="4489" spans="1:16" ht="22" customHeight="1" x14ac:dyDescent="0.15">
      <c r="A4489" s="10" t="str">
        <f t="shared" si="723"/>
        <v>585_10_0_10_polygon</v>
      </c>
      <c r="B4489" s="2">
        <v>585</v>
      </c>
      <c r="C4489" s="30" t="str">
        <f>VLOOKUP(B4489,gachas!A:C,3)</f>
        <v>4月超フェス＜1日目＞</v>
      </c>
      <c r="D4489" s="21">
        <v>10</v>
      </c>
      <c r="E4489" s="2">
        <v>0</v>
      </c>
      <c r="F4489" s="2">
        <v>10</v>
      </c>
      <c r="G4489" s="3" t="s">
        <v>22</v>
      </c>
      <c r="H4489" s="2">
        <v>50</v>
      </c>
      <c r="I4489" s="114" t="str">
        <f>B4489&amp;TEXT(D4489,"00")&amp;E4489</f>
        <v>585100</v>
      </c>
      <c r="J4489" s="112" t="s">
        <v>84</v>
      </c>
      <c r="K4489" s="116" t="str">
        <f>I4489</f>
        <v>585100</v>
      </c>
      <c r="L4489" s="2">
        <v>1</v>
      </c>
      <c r="M4489" s="2" t="s">
        <v>84</v>
      </c>
      <c r="N4489" s="2" t="s">
        <v>84</v>
      </c>
      <c r="O4489" s="2" t="s">
        <v>841</v>
      </c>
      <c r="P4489" s="2" t="s">
        <v>2571</v>
      </c>
    </row>
    <row r="4490" spans="1:16" ht="22" customHeight="1" x14ac:dyDescent="0.15">
      <c r="A4490" s="10" t="str">
        <f t="shared" ref="A4490:A4553" si="726">B4490&amp;"_"&amp;D4490&amp;"_"&amp;E4490&amp;"_"&amp;F4490&amp;"_"&amp;G4490</f>
        <v>586_1_0_1_polygon</v>
      </c>
      <c r="B4490" s="2">
        <v>586</v>
      </c>
      <c r="C4490" s="30" t="str">
        <f>VLOOKUP(B4490,gachas!A:C,3)</f>
        <v>4月超フェス＜2日目＞</v>
      </c>
      <c r="D4490" s="21">
        <v>1</v>
      </c>
      <c r="E4490" s="2">
        <v>0</v>
      </c>
      <c r="F4490" s="2">
        <v>1</v>
      </c>
      <c r="G4490" s="3" t="s">
        <v>22</v>
      </c>
      <c r="H4490" s="2">
        <v>5</v>
      </c>
      <c r="I4490" s="119" t="str">
        <f>I4491</f>
        <v>586100</v>
      </c>
      <c r="J4490" s="112" t="s">
        <v>84</v>
      </c>
      <c r="K4490" s="2" t="s">
        <v>85</v>
      </c>
      <c r="L4490" s="2">
        <v>0</v>
      </c>
      <c r="M4490" s="2" t="s">
        <v>84</v>
      </c>
      <c r="N4490" s="2" t="s">
        <v>84</v>
      </c>
      <c r="O4490" s="2" t="s">
        <v>841</v>
      </c>
      <c r="P4490" s="2" t="s">
        <v>2572</v>
      </c>
    </row>
    <row r="4491" spans="1:16" ht="22" customHeight="1" x14ac:dyDescent="0.15">
      <c r="A4491" s="10" t="str">
        <f t="shared" si="726"/>
        <v>586_10_0_10_polygon</v>
      </c>
      <c r="B4491" s="2">
        <v>586</v>
      </c>
      <c r="C4491" s="30" t="str">
        <f>VLOOKUP(B4491,gachas!A:C,3)</f>
        <v>4月超フェス＜2日目＞</v>
      </c>
      <c r="D4491" s="21">
        <v>10</v>
      </c>
      <c r="E4491" s="2">
        <v>0</v>
      </c>
      <c r="F4491" s="2">
        <v>10</v>
      </c>
      <c r="G4491" s="3" t="s">
        <v>22</v>
      </c>
      <c r="H4491" s="2">
        <v>50</v>
      </c>
      <c r="I4491" s="114" t="str">
        <f>B4491&amp;TEXT(D4491,"00")&amp;E4491</f>
        <v>586100</v>
      </c>
      <c r="J4491" s="112" t="s">
        <v>84</v>
      </c>
      <c r="K4491" s="116" t="str">
        <f>I4491</f>
        <v>586100</v>
      </c>
      <c r="L4491" s="2">
        <v>1</v>
      </c>
      <c r="M4491" s="2" t="s">
        <v>84</v>
      </c>
      <c r="N4491" s="2" t="s">
        <v>84</v>
      </c>
      <c r="O4491" s="2" t="s">
        <v>841</v>
      </c>
      <c r="P4491" s="2" t="s">
        <v>2571</v>
      </c>
    </row>
    <row r="4492" spans="1:16" ht="22" customHeight="1" x14ac:dyDescent="0.15">
      <c r="A4492" s="10" t="str">
        <f t="shared" si="726"/>
        <v>587_1_0_1_polygon</v>
      </c>
      <c r="B4492" s="2">
        <v>587</v>
      </c>
      <c r="C4492" s="30" t="str">
        <f>VLOOKUP(B4492,gachas!A:C,3)</f>
        <v>4月超フェス＜3日目＞</v>
      </c>
      <c r="D4492" s="21">
        <v>1</v>
      </c>
      <c r="E4492" s="2">
        <v>0</v>
      </c>
      <c r="F4492" s="2">
        <v>1</v>
      </c>
      <c r="G4492" s="3" t="s">
        <v>22</v>
      </c>
      <c r="H4492" s="2">
        <v>5</v>
      </c>
      <c r="I4492" s="119" t="str">
        <f>I4493</f>
        <v>587100</v>
      </c>
      <c r="J4492" s="112" t="s">
        <v>84</v>
      </c>
      <c r="K4492" s="2" t="s">
        <v>85</v>
      </c>
      <c r="L4492" s="2">
        <v>0</v>
      </c>
      <c r="M4492" s="2" t="s">
        <v>84</v>
      </c>
      <c r="N4492" s="2" t="s">
        <v>84</v>
      </c>
      <c r="O4492" s="2" t="s">
        <v>841</v>
      </c>
      <c r="P4492" s="2" t="s">
        <v>2572</v>
      </c>
    </row>
    <row r="4493" spans="1:16" ht="22" customHeight="1" x14ac:dyDescent="0.15">
      <c r="A4493" s="10" t="str">
        <f t="shared" si="726"/>
        <v>587_10_0_10_polygon</v>
      </c>
      <c r="B4493" s="2">
        <v>587</v>
      </c>
      <c r="C4493" s="30" t="str">
        <f>VLOOKUP(B4493,gachas!A:C,3)</f>
        <v>4月超フェス＜3日目＞</v>
      </c>
      <c r="D4493" s="21">
        <v>10</v>
      </c>
      <c r="E4493" s="2">
        <v>0</v>
      </c>
      <c r="F4493" s="2">
        <v>10</v>
      </c>
      <c r="G4493" s="3" t="s">
        <v>22</v>
      </c>
      <c r="H4493" s="2">
        <v>50</v>
      </c>
      <c r="I4493" s="114" t="str">
        <f>B4493&amp;TEXT(D4493,"00")&amp;E4493</f>
        <v>587100</v>
      </c>
      <c r="J4493" s="112" t="s">
        <v>84</v>
      </c>
      <c r="K4493" s="116" t="str">
        <f>I4493</f>
        <v>587100</v>
      </c>
      <c r="L4493" s="2">
        <v>1</v>
      </c>
      <c r="M4493" s="2" t="s">
        <v>84</v>
      </c>
      <c r="N4493" s="2" t="s">
        <v>84</v>
      </c>
      <c r="O4493" s="2" t="s">
        <v>841</v>
      </c>
      <c r="P4493" s="2" t="s">
        <v>2571</v>
      </c>
    </row>
    <row r="4494" spans="1:16" ht="22" customHeight="1" x14ac:dyDescent="0.15">
      <c r="A4494" s="10" t="str">
        <f t="shared" si="726"/>
        <v>588_10_0_10_polygon</v>
      </c>
      <c r="B4494" s="2">
        <v>588</v>
      </c>
      <c r="C4494" s="30" t="str">
        <f>VLOOKUP(B4494,gachas!A:C,3)</f>
        <v>ランキング対抗ガチャ&lt;ヒルベルト&gt;</v>
      </c>
      <c r="D4494" s="21">
        <v>10</v>
      </c>
      <c r="E4494" s="2">
        <v>0</v>
      </c>
      <c r="F4494" s="2">
        <v>10</v>
      </c>
      <c r="G4494" s="3" t="s">
        <v>22</v>
      </c>
      <c r="H4494" s="2">
        <v>50</v>
      </c>
      <c r="I4494" s="114" t="str">
        <f t="shared" ref="I4494:I4495" si="727">B4494&amp;TEXT(D4494,"00")&amp;E4494</f>
        <v>588100</v>
      </c>
      <c r="J4494" s="112" t="s">
        <v>84</v>
      </c>
      <c r="K4494" s="116" t="s">
        <v>85</v>
      </c>
      <c r="L4494" s="2">
        <v>0</v>
      </c>
      <c r="M4494" s="2" t="s">
        <v>84</v>
      </c>
      <c r="N4494" s="2" t="s">
        <v>84</v>
      </c>
      <c r="O4494" s="2" t="s">
        <v>841</v>
      </c>
      <c r="P4494" s="6" t="s">
        <v>3157</v>
      </c>
    </row>
    <row r="4495" spans="1:16" ht="22" customHeight="1" x14ac:dyDescent="0.15">
      <c r="A4495" s="10" t="str">
        <f t="shared" si="726"/>
        <v>588_10_1_1_polygon</v>
      </c>
      <c r="B4495" s="2">
        <v>588</v>
      </c>
      <c r="C4495" s="30" t="str">
        <f>VLOOKUP(B4495,gachas!A:C,3)</f>
        <v>ランキング対抗ガチャ&lt;ヒルベルト&gt;</v>
      </c>
      <c r="D4495" s="21">
        <v>10</v>
      </c>
      <c r="E4495" s="2">
        <v>1</v>
      </c>
      <c r="F4495" s="2">
        <v>1</v>
      </c>
      <c r="G4495" s="3" t="s">
        <v>22</v>
      </c>
      <c r="H4495" s="2">
        <v>1</v>
      </c>
      <c r="I4495" s="114" t="str">
        <f t="shared" si="727"/>
        <v>588101</v>
      </c>
      <c r="J4495" s="112" t="s">
        <v>84</v>
      </c>
      <c r="K4495" s="116" t="s">
        <v>85</v>
      </c>
      <c r="L4495" s="2">
        <v>0</v>
      </c>
      <c r="M4495" s="2" t="s">
        <v>84</v>
      </c>
      <c r="N4495" s="2" t="s">
        <v>84</v>
      </c>
      <c r="O4495" s="2" t="s">
        <v>841</v>
      </c>
      <c r="P4495" s="6" t="s">
        <v>546</v>
      </c>
    </row>
    <row r="4496" spans="1:16" ht="22" customHeight="1" x14ac:dyDescent="0.15">
      <c r="A4496" s="10" t="str">
        <f t="shared" si="726"/>
        <v>588_10_2_3_polygon</v>
      </c>
      <c r="B4496" s="2">
        <v>588</v>
      </c>
      <c r="C4496" s="30" t="str">
        <f>VLOOKUP(B4496,gachas!A:C,3)</f>
        <v>ランキング対抗ガチャ&lt;ヒルベルト&gt;</v>
      </c>
      <c r="D4496" s="21">
        <v>10</v>
      </c>
      <c r="E4496" s="2">
        <v>2</v>
      </c>
      <c r="F4496" s="2">
        <v>3</v>
      </c>
      <c r="G4496" s="3" t="s">
        <v>22</v>
      </c>
      <c r="H4496" s="2">
        <v>9</v>
      </c>
      <c r="I4496" s="119" t="str">
        <f>I4495</f>
        <v>588101</v>
      </c>
      <c r="J4496" s="112" t="s">
        <v>84</v>
      </c>
      <c r="K4496" s="116" t="s">
        <v>85</v>
      </c>
      <c r="L4496" s="2">
        <v>0</v>
      </c>
      <c r="M4496" s="2" t="s">
        <v>84</v>
      </c>
      <c r="N4496" s="2" t="s">
        <v>84</v>
      </c>
      <c r="O4496" s="2" t="s">
        <v>841</v>
      </c>
      <c r="P4496" s="6" t="s">
        <v>1273</v>
      </c>
    </row>
    <row r="4497" spans="1:16" ht="22" customHeight="1" x14ac:dyDescent="0.15">
      <c r="A4497" s="10" t="str">
        <f t="shared" si="726"/>
        <v>588_10_3_10_polygon</v>
      </c>
      <c r="B4497" s="2">
        <v>588</v>
      </c>
      <c r="C4497" s="30" t="str">
        <f>VLOOKUP(B4497,gachas!A:C,3)</f>
        <v>ランキング対抗ガチャ&lt;ヒルベルト&gt;</v>
      </c>
      <c r="D4497" s="21">
        <v>10</v>
      </c>
      <c r="E4497" s="2">
        <v>3</v>
      </c>
      <c r="F4497" s="2">
        <v>10</v>
      </c>
      <c r="G4497" s="3" t="s">
        <v>22</v>
      </c>
      <c r="H4497" s="2">
        <v>35</v>
      </c>
      <c r="I4497" s="114" t="str">
        <f t="shared" ref="I4497:I4500" si="728">B4497&amp;TEXT(D4497,"00")&amp;E4497</f>
        <v>588103</v>
      </c>
      <c r="J4497" s="112" t="str">
        <f>I4497</f>
        <v>588103</v>
      </c>
      <c r="K4497" s="116" t="s">
        <v>85</v>
      </c>
      <c r="L4497" s="2">
        <v>0</v>
      </c>
      <c r="M4497" s="2" t="s">
        <v>84</v>
      </c>
      <c r="N4497" s="2" t="s">
        <v>84</v>
      </c>
      <c r="O4497" s="2" t="s">
        <v>841</v>
      </c>
      <c r="P4497" s="6" t="s">
        <v>3158</v>
      </c>
    </row>
    <row r="4498" spans="1:16" ht="22" customHeight="1" x14ac:dyDescent="0.15">
      <c r="A4498" s="10" t="str">
        <f t="shared" si="726"/>
        <v>588_10_4_10_polygon</v>
      </c>
      <c r="B4498" s="2">
        <v>588</v>
      </c>
      <c r="C4498" s="30" t="str">
        <f>VLOOKUP(B4498,gachas!A:C,3)</f>
        <v>ランキング対抗ガチャ&lt;ヒルベルト&gt;</v>
      </c>
      <c r="D4498" s="21">
        <v>10</v>
      </c>
      <c r="E4498" s="2">
        <v>4</v>
      </c>
      <c r="F4498" s="2">
        <v>10</v>
      </c>
      <c r="G4498" s="3" t="s">
        <v>22</v>
      </c>
      <c r="H4498" s="2">
        <v>50</v>
      </c>
      <c r="I4498" s="114" t="str">
        <f t="shared" si="728"/>
        <v>588104</v>
      </c>
      <c r="J4498" s="112" t="s">
        <v>84</v>
      </c>
      <c r="K4498" s="116" t="str">
        <f>I4498</f>
        <v>588104</v>
      </c>
      <c r="L4498" s="2">
        <v>1</v>
      </c>
      <c r="M4498" s="2" t="s">
        <v>84</v>
      </c>
      <c r="N4498" s="2" t="s">
        <v>84</v>
      </c>
      <c r="O4498" s="2" t="s">
        <v>841</v>
      </c>
      <c r="P4498" s="6" t="s">
        <v>3159</v>
      </c>
    </row>
    <row r="4499" spans="1:16" ht="22" customHeight="1" x14ac:dyDescent="0.15">
      <c r="A4499" s="10" t="str">
        <f t="shared" si="726"/>
        <v>588_10_5_10_polygon</v>
      </c>
      <c r="B4499" s="2">
        <v>588</v>
      </c>
      <c r="C4499" s="30" t="str">
        <f>VLOOKUP(B4499,gachas!A:C,3)</f>
        <v>ランキング対抗ガチャ&lt;ヒルベルト&gt;</v>
      </c>
      <c r="D4499" s="21">
        <v>10</v>
      </c>
      <c r="E4499" s="2">
        <v>5</v>
      </c>
      <c r="F4499" s="2">
        <v>10</v>
      </c>
      <c r="G4499" s="3" t="s">
        <v>22</v>
      </c>
      <c r="H4499" s="2">
        <v>50</v>
      </c>
      <c r="I4499" s="114" t="str">
        <f t="shared" si="728"/>
        <v>588105</v>
      </c>
      <c r="J4499" s="112" t="str">
        <f>I4499</f>
        <v>588105</v>
      </c>
      <c r="K4499" s="116" t="s">
        <v>85</v>
      </c>
      <c r="L4499" s="2">
        <v>0</v>
      </c>
      <c r="M4499" s="2" t="s">
        <v>84</v>
      </c>
      <c r="N4499" s="2" t="s">
        <v>84</v>
      </c>
      <c r="O4499" s="2" t="s">
        <v>841</v>
      </c>
      <c r="P4499" s="6" t="s">
        <v>3160</v>
      </c>
    </row>
    <row r="4500" spans="1:16" ht="22" customHeight="1" x14ac:dyDescent="0.15">
      <c r="A4500" s="10" t="str">
        <f t="shared" si="726"/>
        <v>588_10_6_10_polygon</v>
      </c>
      <c r="B4500" s="2">
        <v>588</v>
      </c>
      <c r="C4500" s="30" t="str">
        <f>VLOOKUP(B4500,gachas!A:C,3)</f>
        <v>ランキング対抗ガチャ&lt;ヒルベルト&gt;</v>
      </c>
      <c r="D4500" s="21">
        <v>10</v>
      </c>
      <c r="E4500" s="2">
        <v>6</v>
      </c>
      <c r="F4500" s="2">
        <v>10</v>
      </c>
      <c r="G4500" s="3" t="s">
        <v>22</v>
      </c>
      <c r="H4500" s="2">
        <v>50</v>
      </c>
      <c r="I4500" s="114" t="str">
        <f t="shared" si="728"/>
        <v>588106</v>
      </c>
      <c r="J4500" s="112" t="str">
        <f>I4500</f>
        <v>588106</v>
      </c>
      <c r="K4500" s="116" t="s">
        <v>85</v>
      </c>
      <c r="L4500" s="2">
        <v>0</v>
      </c>
      <c r="M4500" s="2" t="s">
        <v>84</v>
      </c>
      <c r="N4500" s="2" t="s">
        <v>84</v>
      </c>
      <c r="O4500" s="2" t="s">
        <v>841</v>
      </c>
      <c r="P4500" s="6" t="s">
        <v>3161</v>
      </c>
    </row>
    <row r="4501" spans="1:16" ht="22" customHeight="1" x14ac:dyDescent="0.15">
      <c r="A4501" s="10" t="str">
        <f t="shared" si="726"/>
        <v>588_10_7_10_polygon</v>
      </c>
      <c r="B4501" s="2">
        <v>588</v>
      </c>
      <c r="C4501" s="30" t="str">
        <f>VLOOKUP(B4501,gachas!A:C,3)</f>
        <v>ランキング対抗ガチャ&lt;ヒルベルト&gt;</v>
      </c>
      <c r="D4501" s="21">
        <v>10</v>
      </c>
      <c r="E4501" s="2">
        <v>7</v>
      </c>
      <c r="F4501" s="2">
        <v>10</v>
      </c>
      <c r="G4501" s="3" t="s">
        <v>22</v>
      </c>
      <c r="H4501" s="2">
        <v>50</v>
      </c>
      <c r="I4501" s="119" t="str">
        <f>I4494</f>
        <v>588100</v>
      </c>
      <c r="J4501" s="112" t="s">
        <v>84</v>
      </c>
      <c r="K4501" s="116" t="s">
        <v>85</v>
      </c>
      <c r="L4501" s="2">
        <v>0</v>
      </c>
      <c r="M4501" s="2" t="s">
        <v>84</v>
      </c>
      <c r="N4501" s="2" t="s">
        <v>84</v>
      </c>
      <c r="O4501" s="2" t="s">
        <v>841</v>
      </c>
      <c r="P4501" s="6" t="s">
        <v>3162</v>
      </c>
    </row>
    <row r="4502" spans="1:16" ht="22" customHeight="1" x14ac:dyDescent="0.15">
      <c r="A4502" s="10" t="str">
        <f t="shared" si="726"/>
        <v>589_1_0_1_polygon</v>
      </c>
      <c r="B4502" s="2">
        <v>589</v>
      </c>
      <c r="C4502" s="30" t="str">
        <f>VLOOKUP(B4502,gachas!A:C,3)</f>
        <v>ニューフェイスガチャ（英傑）</v>
      </c>
      <c r="D4502" s="21">
        <v>1</v>
      </c>
      <c r="E4502" s="2">
        <v>0</v>
      </c>
      <c r="F4502" s="2">
        <v>1</v>
      </c>
      <c r="G4502" s="3" t="s">
        <v>22</v>
      </c>
      <c r="H4502" s="2">
        <v>5</v>
      </c>
      <c r="I4502" s="114" t="str">
        <f t="shared" ref="I4502:I4563" si="729">CONCATENATE(B4502,IF(D4502=1,"01","10"),0)</f>
        <v>589010</v>
      </c>
      <c r="J4502" s="112" t="s">
        <v>84</v>
      </c>
      <c r="K4502" s="112" t="s">
        <v>84</v>
      </c>
      <c r="L4502" s="2">
        <v>0</v>
      </c>
      <c r="M4502" s="2" t="s">
        <v>84</v>
      </c>
      <c r="N4502" s="2" t="s">
        <v>84</v>
      </c>
      <c r="O4502" s="2" t="s">
        <v>841</v>
      </c>
      <c r="P4502" s="18" t="s">
        <v>84</v>
      </c>
    </row>
    <row r="4503" spans="1:16" ht="22" customHeight="1" x14ac:dyDescent="0.15">
      <c r="A4503" s="10" t="str">
        <f t="shared" si="726"/>
        <v>589_10_0_10_polygon</v>
      </c>
      <c r="B4503" s="2">
        <v>589</v>
      </c>
      <c r="C4503" s="30" t="str">
        <f>VLOOKUP(B4503,gachas!A:C,3)</f>
        <v>ニューフェイスガチャ（英傑）</v>
      </c>
      <c r="D4503" s="21">
        <v>10</v>
      </c>
      <c r="E4503" s="2">
        <v>0</v>
      </c>
      <c r="F4503" s="2">
        <v>10</v>
      </c>
      <c r="G4503" s="3" t="s">
        <v>22</v>
      </c>
      <c r="H4503" s="2">
        <v>50</v>
      </c>
      <c r="I4503" s="114" t="str">
        <f t="shared" si="729"/>
        <v>589100</v>
      </c>
      <c r="J4503" s="112" t="s">
        <v>84</v>
      </c>
      <c r="K4503" s="112" t="s">
        <v>84</v>
      </c>
      <c r="L4503" s="2">
        <v>0</v>
      </c>
      <c r="M4503" s="2" t="s">
        <v>84</v>
      </c>
      <c r="N4503" s="2" t="s">
        <v>84</v>
      </c>
      <c r="O4503" s="2" t="s">
        <v>841</v>
      </c>
      <c r="P4503" s="2" t="s">
        <v>143</v>
      </c>
    </row>
    <row r="4504" spans="1:16" ht="22" customHeight="1" x14ac:dyDescent="0.15">
      <c r="A4504" s="10" t="str">
        <f t="shared" si="726"/>
        <v>589_10_1_10_polygon</v>
      </c>
      <c r="B4504" s="2">
        <v>589</v>
      </c>
      <c r="C4504" s="30" t="str">
        <f>VLOOKUP(B4504,gachas!A:C,3)</f>
        <v>ニューフェイスガチャ（英傑）</v>
      </c>
      <c r="D4504" s="21">
        <v>10</v>
      </c>
      <c r="E4504" s="2">
        <f>E4503+1</f>
        <v>1</v>
      </c>
      <c r="F4504" s="2">
        <v>10</v>
      </c>
      <c r="G4504" s="3" t="s">
        <v>22</v>
      </c>
      <c r="H4504" s="2">
        <v>50</v>
      </c>
      <c r="I4504" s="114" t="str">
        <f t="shared" si="729"/>
        <v>589100</v>
      </c>
      <c r="J4504" s="112" t="s">
        <v>84</v>
      </c>
      <c r="K4504" s="2" t="s">
        <v>84</v>
      </c>
      <c r="L4504" s="2">
        <v>0</v>
      </c>
      <c r="M4504" s="2" t="s">
        <v>84</v>
      </c>
      <c r="N4504" s="2" t="s">
        <v>84</v>
      </c>
      <c r="O4504" s="2" t="s">
        <v>841</v>
      </c>
      <c r="P4504" s="2" t="s">
        <v>143</v>
      </c>
    </row>
    <row r="4505" spans="1:16" ht="22" customHeight="1" x14ac:dyDescent="0.15">
      <c r="A4505" s="10" t="str">
        <f t="shared" si="726"/>
        <v>589_10_2_10_polygon</v>
      </c>
      <c r="B4505" s="2">
        <v>589</v>
      </c>
      <c r="C4505" s="30" t="str">
        <f>VLOOKUP(B4505,gachas!A:C,3)</f>
        <v>ニューフェイスガチャ（英傑）</v>
      </c>
      <c r="D4505" s="21">
        <v>10</v>
      </c>
      <c r="E4505" s="2">
        <f t="shared" ref="E4505:E4563" si="730">E4504+1</f>
        <v>2</v>
      </c>
      <c r="F4505" s="2">
        <v>10</v>
      </c>
      <c r="G4505" s="3" t="s">
        <v>22</v>
      </c>
      <c r="H4505" s="2">
        <v>50</v>
      </c>
      <c r="I4505" s="114" t="str">
        <f t="shared" si="729"/>
        <v>589100</v>
      </c>
      <c r="J4505" s="112" t="s">
        <v>84</v>
      </c>
      <c r="K4505" s="2" t="s">
        <v>84</v>
      </c>
      <c r="L4505" s="2">
        <v>0</v>
      </c>
      <c r="M4505" s="2" t="s">
        <v>84</v>
      </c>
      <c r="N4505" s="2" t="s">
        <v>84</v>
      </c>
      <c r="O4505" s="2" t="s">
        <v>841</v>
      </c>
      <c r="P4505" s="2" t="s">
        <v>143</v>
      </c>
    </row>
    <row r="4506" spans="1:16" ht="22" customHeight="1" x14ac:dyDescent="0.15">
      <c r="A4506" s="10" t="str">
        <f t="shared" si="726"/>
        <v>589_10_3_10_polygon</v>
      </c>
      <c r="B4506" s="2">
        <v>589</v>
      </c>
      <c r="C4506" s="30" t="str">
        <f>VLOOKUP(B4506,gachas!A:C,3)</f>
        <v>ニューフェイスガチャ（英傑）</v>
      </c>
      <c r="D4506" s="21">
        <v>10</v>
      </c>
      <c r="E4506" s="2">
        <f t="shared" si="730"/>
        <v>3</v>
      </c>
      <c r="F4506" s="2">
        <v>10</v>
      </c>
      <c r="G4506" s="3" t="s">
        <v>22</v>
      </c>
      <c r="H4506" s="2">
        <v>50</v>
      </c>
      <c r="I4506" s="114" t="str">
        <f t="shared" si="729"/>
        <v>589100</v>
      </c>
      <c r="J4506" s="112" t="s">
        <v>84</v>
      </c>
      <c r="K4506" s="117" t="str">
        <f>CONCATENATE(B4506,"105")</f>
        <v>589105</v>
      </c>
      <c r="L4506" s="2">
        <v>1</v>
      </c>
      <c r="M4506" s="2" t="s">
        <v>84</v>
      </c>
      <c r="N4506" s="2" t="s">
        <v>84</v>
      </c>
      <c r="O4506" s="2" t="s">
        <v>841</v>
      </c>
      <c r="P4506" s="2" t="s">
        <v>3171</v>
      </c>
    </row>
    <row r="4507" spans="1:16" ht="22" customHeight="1" x14ac:dyDescent="0.15">
      <c r="A4507" s="10" t="str">
        <f t="shared" si="726"/>
        <v>589_10_4_10_polygon</v>
      </c>
      <c r="B4507" s="2">
        <v>589</v>
      </c>
      <c r="C4507" s="30" t="str">
        <f>VLOOKUP(B4507,gachas!A:C,3)</f>
        <v>ニューフェイスガチャ（英傑）</v>
      </c>
      <c r="D4507" s="21">
        <v>10</v>
      </c>
      <c r="E4507" s="2">
        <f t="shared" si="730"/>
        <v>4</v>
      </c>
      <c r="F4507" s="2">
        <v>10</v>
      </c>
      <c r="G4507" s="3" t="s">
        <v>22</v>
      </c>
      <c r="H4507" s="2">
        <v>50</v>
      </c>
      <c r="I4507" s="114" t="str">
        <f t="shared" si="729"/>
        <v>589100</v>
      </c>
      <c r="J4507" s="112" t="s">
        <v>84</v>
      </c>
      <c r="K4507" s="2" t="s">
        <v>84</v>
      </c>
      <c r="L4507" s="2">
        <v>0</v>
      </c>
      <c r="M4507" s="2" t="s">
        <v>84</v>
      </c>
      <c r="N4507" s="2" t="s">
        <v>84</v>
      </c>
      <c r="O4507" s="2" t="s">
        <v>841</v>
      </c>
      <c r="P4507" s="2" t="s">
        <v>2637</v>
      </c>
    </row>
    <row r="4508" spans="1:16" ht="22" customHeight="1" x14ac:dyDescent="0.15">
      <c r="A4508" s="10" t="str">
        <f t="shared" si="726"/>
        <v>589_10_5_10_polygon</v>
      </c>
      <c r="B4508" s="2">
        <v>589</v>
      </c>
      <c r="C4508" s="30" t="str">
        <f>VLOOKUP(B4508,gachas!A:C,3)</f>
        <v>ニューフェイスガチャ（英傑）</v>
      </c>
      <c r="D4508" s="21">
        <v>10</v>
      </c>
      <c r="E4508" s="2">
        <f t="shared" si="730"/>
        <v>5</v>
      </c>
      <c r="F4508" s="2">
        <v>10</v>
      </c>
      <c r="G4508" s="3" t="s">
        <v>22</v>
      </c>
      <c r="H4508" s="2">
        <v>50</v>
      </c>
      <c r="I4508" s="114" t="str">
        <f t="shared" si="729"/>
        <v>589100</v>
      </c>
      <c r="J4508" s="112" t="s">
        <v>84</v>
      </c>
      <c r="K4508" s="2" t="s">
        <v>84</v>
      </c>
      <c r="L4508" s="2">
        <v>0</v>
      </c>
      <c r="M4508" s="2" t="s">
        <v>84</v>
      </c>
      <c r="N4508" s="2" t="s">
        <v>84</v>
      </c>
      <c r="O4508" s="2" t="s">
        <v>841</v>
      </c>
      <c r="P4508" s="2" t="s">
        <v>2637</v>
      </c>
    </row>
    <row r="4509" spans="1:16" ht="22" customHeight="1" x14ac:dyDescent="0.15">
      <c r="A4509" s="10" t="str">
        <f t="shared" si="726"/>
        <v>589_10_6_10_polygon</v>
      </c>
      <c r="B4509" s="2">
        <v>589</v>
      </c>
      <c r="C4509" s="30" t="str">
        <f>VLOOKUP(B4509,gachas!A:C,3)</f>
        <v>ニューフェイスガチャ（英傑）</v>
      </c>
      <c r="D4509" s="21">
        <v>10</v>
      </c>
      <c r="E4509" s="2">
        <f t="shared" si="730"/>
        <v>6</v>
      </c>
      <c r="F4509" s="2">
        <v>10</v>
      </c>
      <c r="G4509" s="3" t="s">
        <v>22</v>
      </c>
      <c r="H4509" s="2">
        <v>50</v>
      </c>
      <c r="I4509" s="114" t="str">
        <f t="shared" si="729"/>
        <v>589100</v>
      </c>
      <c r="J4509" s="112" t="s">
        <v>84</v>
      </c>
      <c r="K4509" s="117" t="str">
        <f t="shared" ref="K4509" si="731">CONCATENATE(B4509,"105")</f>
        <v>589105</v>
      </c>
      <c r="L4509" s="2">
        <v>1</v>
      </c>
      <c r="M4509" s="2" t="s">
        <v>84</v>
      </c>
      <c r="N4509" s="2" t="s">
        <v>84</v>
      </c>
      <c r="O4509" s="2" t="s">
        <v>841</v>
      </c>
      <c r="P4509" s="2" t="s">
        <v>3171</v>
      </c>
    </row>
    <row r="4510" spans="1:16" ht="22" customHeight="1" x14ac:dyDescent="0.15">
      <c r="A4510" s="10" t="str">
        <f t="shared" si="726"/>
        <v>589_10_7_10_polygon</v>
      </c>
      <c r="B4510" s="2">
        <v>589</v>
      </c>
      <c r="C4510" s="30" t="str">
        <f>VLOOKUP(B4510,gachas!A:C,3)</f>
        <v>ニューフェイスガチャ（英傑）</v>
      </c>
      <c r="D4510" s="21">
        <v>10</v>
      </c>
      <c r="E4510" s="2">
        <f t="shared" si="730"/>
        <v>7</v>
      </c>
      <c r="F4510" s="2">
        <v>10</v>
      </c>
      <c r="G4510" s="3" t="s">
        <v>22</v>
      </c>
      <c r="H4510" s="2">
        <v>50</v>
      </c>
      <c r="I4510" s="114" t="str">
        <f t="shared" si="729"/>
        <v>589100</v>
      </c>
      <c r="J4510" s="112" t="s">
        <v>84</v>
      </c>
      <c r="K4510" s="2" t="s">
        <v>84</v>
      </c>
      <c r="L4510" s="2">
        <v>0</v>
      </c>
      <c r="M4510" s="2" t="s">
        <v>84</v>
      </c>
      <c r="N4510" s="2" t="s">
        <v>84</v>
      </c>
      <c r="O4510" s="2" t="s">
        <v>841</v>
      </c>
      <c r="P4510" s="2" t="s">
        <v>2637</v>
      </c>
    </row>
    <row r="4511" spans="1:16" ht="22" customHeight="1" x14ac:dyDescent="0.15">
      <c r="A4511" s="10" t="str">
        <f t="shared" si="726"/>
        <v>589_10_8_10_polygon</v>
      </c>
      <c r="B4511" s="2">
        <v>589</v>
      </c>
      <c r="C4511" s="30" t="str">
        <f>VLOOKUP(B4511,gachas!A:C,3)</f>
        <v>ニューフェイスガチャ（英傑）</v>
      </c>
      <c r="D4511" s="21">
        <v>10</v>
      </c>
      <c r="E4511" s="2">
        <f t="shared" si="730"/>
        <v>8</v>
      </c>
      <c r="F4511" s="2">
        <v>10</v>
      </c>
      <c r="G4511" s="3" t="s">
        <v>22</v>
      </c>
      <c r="H4511" s="2">
        <v>50</v>
      </c>
      <c r="I4511" s="114" t="str">
        <f t="shared" si="729"/>
        <v>589100</v>
      </c>
      <c r="J4511" s="112" t="s">
        <v>84</v>
      </c>
      <c r="K4511" s="2" t="s">
        <v>84</v>
      </c>
      <c r="L4511" s="2">
        <v>0</v>
      </c>
      <c r="M4511" s="2" t="s">
        <v>84</v>
      </c>
      <c r="N4511" s="2" t="s">
        <v>84</v>
      </c>
      <c r="O4511" s="2" t="s">
        <v>841</v>
      </c>
      <c r="P4511" s="2" t="s">
        <v>2637</v>
      </c>
    </row>
    <row r="4512" spans="1:16" ht="22" customHeight="1" x14ac:dyDescent="0.15">
      <c r="A4512" s="10" t="str">
        <f t="shared" si="726"/>
        <v>589_10_9_10_polygon</v>
      </c>
      <c r="B4512" s="2">
        <v>589</v>
      </c>
      <c r="C4512" s="30" t="str">
        <f>VLOOKUP(B4512,gachas!A:C,3)</f>
        <v>ニューフェイスガチャ（英傑）</v>
      </c>
      <c r="D4512" s="21">
        <v>10</v>
      </c>
      <c r="E4512" s="2">
        <f t="shared" si="730"/>
        <v>9</v>
      </c>
      <c r="F4512" s="2">
        <v>10</v>
      </c>
      <c r="G4512" s="3" t="s">
        <v>22</v>
      </c>
      <c r="H4512" s="2">
        <v>50</v>
      </c>
      <c r="I4512" s="114" t="str">
        <f t="shared" si="729"/>
        <v>589100</v>
      </c>
      <c r="J4512" s="112" t="s">
        <v>84</v>
      </c>
      <c r="K4512" s="117" t="str">
        <f t="shared" ref="K4512" si="732">CONCATENATE(B4512,"105")</f>
        <v>589105</v>
      </c>
      <c r="L4512" s="2">
        <v>1</v>
      </c>
      <c r="M4512" s="2" t="s">
        <v>84</v>
      </c>
      <c r="N4512" s="2" t="s">
        <v>84</v>
      </c>
      <c r="O4512" s="2" t="s">
        <v>841</v>
      </c>
      <c r="P4512" s="2" t="s">
        <v>3171</v>
      </c>
    </row>
    <row r="4513" spans="1:16" ht="22" customHeight="1" x14ac:dyDescent="0.15">
      <c r="A4513" s="10" t="str">
        <f t="shared" si="726"/>
        <v>589_10_10_10_polygon</v>
      </c>
      <c r="B4513" s="2">
        <v>589</v>
      </c>
      <c r="C4513" s="30" t="str">
        <f>VLOOKUP(B4513,gachas!A:C,3)</f>
        <v>ニューフェイスガチャ（英傑）</v>
      </c>
      <c r="D4513" s="21">
        <v>10</v>
      </c>
      <c r="E4513" s="2">
        <f t="shared" si="730"/>
        <v>10</v>
      </c>
      <c r="F4513" s="2">
        <v>10</v>
      </c>
      <c r="G4513" s="3" t="s">
        <v>22</v>
      </c>
      <c r="H4513" s="2">
        <v>50</v>
      </c>
      <c r="I4513" s="114" t="str">
        <f t="shared" si="729"/>
        <v>589100</v>
      </c>
      <c r="J4513" s="112" t="s">
        <v>84</v>
      </c>
      <c r="K4513" s="2" t="s">
        <v>84</v>
      </c>
      <c r="L4513" s="2">
        <v>0</v>
      </c>
      <c r="M4513" s="2" t="s">
        <v>84</v>
      </c>
      <c r="N4513" s="2" t="s">
        <v>84</v>
      </c>
      <c r="O4513" s="2" t="s">
        <v>841</v>
      </c>
      <c r="P4513" s="2" t="s">
        <v>2637</v>
      </c>
    </row>
    <row r="4514" spans="1:16" ht="22" customHeight="1" x14ac:dyDescent="0.15">
      <c r="A4514" s="10" t="str">
        <f t="shared" si="726"/>
        <v>589_10_11_10_polygon</v>
      </c>
      <c r="B4514" s="2">
        <v>589</v>
      </c>
      <c r="C4514" s="30" t="str">
        <f>VLOOKUP(B4514,gachas!A:C,3)</f>
        <v>ニューフェイスガチャ（英傑）</v>
      </c>
      <c r="D4514" s="21">
        <v>10</v>
      </c>
      <c r="E4514" s="2">
        <f t="shared" si="730"/>
        <v>11</v>
      </c>
      <c r="F4514" s="2">
        <v>10</v>
      </c>
      <c r="G4514" s="3" t="s">
        <v>22</v>
      </c>
      <c r="H4514" s="2">
        <v>50</v>
      </c>
      <c r="I4514" s="114" t="str">
        <f t="shared" si="729"/>
        <v>589100</v>
      </c>
      <c r="J4514" s="112" t="s">
        <v>84</v>
      </c>
      <c r="K4514" s="2" t="s">
        <v>84</v>
      </c>
      <c r="L4514" s="2">
        <v>0</v>
      </c>
      <c r="M4514" s="2" t="s">
        <v>84</v>
      </c>
      <c r="N4514" s="2" t="s">
        <v>84</v>
      </c>
      <c r="O4514" s="2" t="s">
        <v>841</v>
      </c>
      <c r="P4514" s="2" t="s">
        <v>2637</v>
      </c>
    </row>
    <row r="4515" spans="1:16" ht="22" customHeight="1" x14ac:dyDescent="0.15">
      <c r="A4515" s="10" t="str">
        <f t="shared" si="726"/>
        <v>589_10_12_10_polygon</v>
      </c>
      <c r="B4515" s="2">
        <v>589</v>
      </c>
      <c r="C4515" s="30" t="str">
        <f>VLOOKUP(B4515,gachas!A:C,3)</f>
        <v>ニューフェイスガチャ（英傑）</v>
      </c>
      <c r="D4515" s="21">
        <v>10</v>
      </c>
      <c r="E4515" s="2">
        <f t="shared" si="730"/>
        <v>12</v>
      </c>
      <c r="F4515" s="2">
        <v>10</v>
      </c>
      <c r="G4515" s="3" t="s">
        <v>22</v>
      </c>
      <c r="H4515" s="2">
        <v>50</v>
      </c>
      <c r="I4515" s="114" t="str">
        <f t="shared" si="729"/>
        <v>589100</v>
      </c>
      <c r="J4515" s="112" t="s">
        <v>84</v>
      </c>
      <c r="K4515" s="117" t="str">
        <f t="shared" ref="K4515" si="733">CONCATENATE(B4515,"105")</f>
        <v>589105</v>
      </c>
      <c r="L4515" s="2">
        <v>1</v>
      </c>
      <c r="M4515" s="2" t="s">
        <v>84</v>
      </c>
      <c r="N4515" s="2" t="s">
        <v>84</v>
      </c>
      <c r="O4515" s="2" t="s">
        <v>841</v>
      </c>
      <c r="P4515" s="2" t="s">
        <v>3171</v>
      </c>
    </row>
    <row r="4516" spans="1:16" ht="22" customHeight="1" x14ac:dyDescent="0.15">
      <c r="A4516" s="10" t="str">
        <f t="shared" si="726"/>
        <v>589_10_13_10_polygon</v>
      </c>
      <c r="B4516" s="2">
        <v>589</v>
      </c>
      <c r="C4516" s="30" t="str">
        <f>VLOOKUP(B4516,gachas!A:C,3)</f>
        <v>ニューフェイスガチャ（英傑）</v>
      </c>
      <c r="D4516" s="21">
        <v>10</v>
      </c>
      <c r="E4516" s="2">
        <f t="shared" si="730"/>
        <v>13</v>
      </c>
      <c r="F4516" s="2">
        <v>10</v>
      </c>
      <c r="G4516" s="3" t="s">
        <v>22</v>
      </c>
      <c r="H4516" s="2">
        <v>50</v>
      </c>
      <c r="I4516" s="114" t="str">
        <f t="shared" si="729"/>
        <v>589100</v>
      </c>
      <c r="J4516" s="112" t="s">
        <v>84</v>
      </c>
      <c r="K4516" s="2" t="s">
        <v>84</v>
      </c>
      <c r="L4516" s="2">
        <v>0</v>
      </c>
      <c r="M4516" s="2" t="s">
        <v>84</v>
      </c>
      <c r="N4516" s="2" t="s">
        <v>84</v>
      </c>
      <c r="O4516" s="2" t="s">
        <v>841</v>
      </c>
      <c r="P4516" s="2" t="s">
        <v>2637</v>
      </c>
    </row>
    <row r="4517" spans="1:16" ht="22" customHeight="1" x14ac:dyDescent="0.15">
      <c r="A4517" s="10" t="str">
        <f t="shared" si="726"/>
        <v>589_10_14_10_polygon</v>
      </c>
      <c r="B4517" s="2">
        <v>589</v>
      </c>
      <c r="C4517" s="30" t="str">
        <f>VLOOKUP(B4517,gachas!A:C,3)</f>
        <v>ニューフェイスガチャ（英傑）</v>
      </c>
      <c r="D4517" s="21">
        <v>10</v>
      </c>
      <c r="E4517" s="2">
        <f t="shared" si="730"/>
        <v>14</v>
      </c>
      <c r="F4517" s="2">
        <v>10</v>
      </c>
      <c r="G4517" s="3" t="s">
        <v>22</v>
      </c>
      <c r="H4517" s="2">
        <v>50</v>
      </c>
      <c r="I4517" s="114" t="str">
        <f t="shared" si="729"/>
        <v>589100</v>
      </c>
      <c r="J4517" s="112" t="s">
        <v>84</v>
      </c>
      <c r="K4517" s="2" t="s">
        <v>84</v>
      </c>
      <c r="L4517" s="2">
        <v>0</v>
      </c>
      <c r="M4517" s="2" t="s">
        <v>84</v>
      </c>
      <c r="N4517" s="2" t="s">
        <v>84</v>
      </c>
      <c r="O4517" s="2" t="s">
        <v>841</v>
      </c>
      <c r="P4517" s="2" t="s">
        <v>2637</v>
      </c>
    </row>
    <row r="4518" spans="1:16" ht="22" customHeight="1" x14ac:dyDescent="0.15">
      <c r="A4518" s="10" t="str">
        <f t="shared" si="726"/>
        <v>589_10_15_10_polygon</v>
      </c>
      <c r="B4518" s="2">
        <v>589</v>
      </c>
      <c r="C4518" s="30" t="str">
        <f>VLOOKUP(B4518,gachas!A:C,3)</f>
        <v>ニューフェイスガチャ（英傑）</v>
      </c>
      <c r="D4518" s="21">
        <v>10</v>
      </c>
      <c r="E4518" s="2">
        <f t="shared" si="730"/>
        <v>15</v>
      </c>
      <c r="F4518" s="2">
        <v>10</v>
      </c>
      <c r="G4518" s="3" t="s">
        <v>22</v>
      </c>
      <c r="H4518" s="2">
        <v>50</v>
      </c>
      <c r="I4518" s="114" t="str">
        <f t="shared" si="729"/>
        <v>589100</v>
      </c>
      <c r="J4518" s="112" t="s">
        <v>84</v>
      </c>
      <c r="K4518" s="117" t="str">
        <f t="shared" ref="K4518" si="734">CONCATENATE(B4518,"105")</f>
        <v>589105</v>
      </c>
      <c r="L4518" s="2">
        <v>1</v>
      </c>
      <c r="M4518" s="2" t="s">
        <v>84</v>
      </c>
      <c r="N4518" s="2" t="s">
        <v>84</v>
      </c>
      <c r="O4518" s="2" t="s">
        <v>841</v>
      </c>
      <c r="P4518" s="2" t="s">
        <v>3171</v>
      </c>
    </row>
    <row r="4519" spans="1:16" ht="22" customHeight="1" x14ac:dyDescent="0.15">
      <c r="A4519" s="10" t="str">
        <f t="shared" si="726"/>
        <v>589_10_16_10_polygon</v>
      </c>
      <c r="B4519" s="2">
        <v>589</v>
      </c>
      <c r="C4519" s="30" t="str">
        <f>VLOOKUP(B4519,gachas!A:C,3)</f>
        <v>ニューフェイスガチャ（英傑）</v>
      </c>
      <c r="D4519" s="21">
        <v>10</v>
      </c>
      <c r="E4519" s="2">
        <f t="shared" si="730"/>
        <v>16</v>
      </c>
      <c r="F4519" s="2">
        <v>10</v>
      </c>
      <c r="G4519" s="3" t="s">
        <v>22</v>
      </c>
      <c r="H4519" s="2">
        <v>50</v>
      </c>
      <c r="I4519" s="114" t="str">
        <f t="shared" si="729"/>
        <v>589100</v>
      </c>
      <c r="J4519" s="112" t="s">
        <v>84</v>
      </c>
      <c r="K4519" s="2" t="s">
        <v>84</v>
      </c>
      <c r="L4519" s="2">
        <v>0</v>
      </c>
      <c r="M4519" s="2" t="s">
        <v>84</v>
      </c>
      <c r="N4519" s="2" t="s">
        <v>84</v>
      </c>
      <c r="O4519" s="2" t="s">
        <v>841</v>
      </c>
      <c r="P4519" s="2" t="s">
        <v>2637</v>
      </c>
    </row>
    <row r="4520" spans="1:16" ht="22" customHeight="1" x14ac:dyDescent="0.15">
      <c r="A4520" s="10" t="str">
        <f t="shared" si="726"/>
        <v>589_10_17_10_polygon</v>
      </c>
      <c r="B4520" s="2">
        <v>589</v>
      </c>
      <c r="C4520" s="30" t="str">
        <f>VLOOKUP(B4520,gachas!A:C,3)</f>
        <v>ニューフェイスガチャ（英傑）</v>
      </c>
      <c r="D4520" s="21">
        <v>10</v>
      </c>
      <c r="E4520" s="2">
        <f t="shared" si="730"/>
        <v>17</v>
      </c>
      <c r="F4520" s="2">
        <v>10</v>
      </c>
      <c r="G4520" s="3" t="s">
        <v>22</v>
      </c>
      <c r="H4520" s="2">
        <v>50</v>
      </c>
      <c r="I4520" s="114" t="str">
        <f t="shared" si="729"/>
        <v>589100</v>
      </c>
      <c r="J4520" s="112" t="s">
        <v>84</v>
      </c>
      <c r="K4520" s="2" t="s">
        <v>84</v>
      </c>
      <c r="L4520" s="2">
        <v>0</v>
      </c>
      <c r="M4520" s="2" t="s">
        <v>84</v>
      </c>
      <c r="N4520" s="2" t="s">
        <v>84</v>
      </c>
      <c r="O4520" s="2" t="s">
        <v>841</v>
      </c>
      <c r="P4520" s="2" t="s">
        <v>2637</v>
      </c>
    </row>
    <row r="4521" spans="1:16" ht="22" customHeight="1" x14ac:dyDescent="0.15">
      <c r="A4521" s="10" t="str">
        <f t="shared" si="726"/>
        <v>589_10_18_10_polygon</v>
      </c>
      <c r="B4521" s="2">
        <v>589</v>
      </c>
      <c r="C4521" s="30" t="str">
        <f>VLOOKUP(B4521,gachas!A:C,3)</f>
        <v>ニューフェイスガチャ（英傑）</v>
      </c>
      <c r="D4521" s="21">
        <v>10</v>
      </c>
      <c r="E4521" s="2">
        <f t="shared" si="730"/>
        <v>18</v>
      </c>
      <c r="F4521" s="2">
        <v>10</v>
      </c>
      <c r="G4521" s="3" t="s">
        <v>22</v>
      </c>
      <c r="H4521" s="2">
        <v>50</v>
      </c>
      <c r="I4521" s="114" t="str">
        <f t="shared" si="729"/>
        <v>589100</v>
      </c>
      <c r="J4521" s="112" t="s">
        <v>84</v>
      </c>
      <c r="K4521" s="117" t="str">
        <f t="shared" ref="K4521" si="735">CONCATENATE(B4521,"105")</f>
        <v>589105</v>
      </c>
      <c r="L4521" s="2">
        <v>1</v>
      </c>
      <c r="M4521" s="2" t="s">
        <v>84</v>
      </c>
      <c r="N4521" s="2" t="s">
        <v>84</v>
      </c>
      <c r="O4521" s="2" t="s">
        <v>841</v>
      </c>
      <c r="P4521" s="2" t="s">
        <v>3171</v>
      </c>
    </row>
    <row r="4522" spans="1:16" ht="22" customHeight="1" x14ac:dyDescent="0.15">
      <c r="A4522" s="10" t="str">
        <f t="shared" si="726"/>
        <v>589_10_19_10_polygon</v>
      </c>
      <c r="B4522" s="2">
        <v>589</v>
      </c>
      <c r="C4522" s="30" t="str">
        <f>VLOOKUP(B4522,gachas!A:C,3)</f>
        <v>ニューフェイスガチャ（英傑）</v>
      </c>
      <c r="D4522" s="21">
        <v>10</v>
      </c>
      <c r="E4522" s="2">
        <f t="shared" si="730"/>
        <v>19</v>
      </c>
      <c r="F4522" s="2">
        <v>10</v>
      </c>
      <c r="G4522" s="3" t="s">
        <v>22</v>
      </c>
      <c r="H4522" s="2">
        <v>50</v>
      </c>
      <c r="I4522" s="114" t="str">
        <f t="shared" si="729"/>
        <v>589100</v>
      </c>
      <c r="J4522" s="112" t="s">
        <v>84</v>
      </c>
      <c r="K4522" s="2" t="s">
        <v>84</v>
      </c>
      <c r="L4522" s="2">
        <v>0</v>
      </c>
      <c r="M4522" s="2" t="s">
        <v>84</v>
      </c>
      <c r="N4522" s="2" t="s">
        <v>84</v>
      </c>
      <c r="O4522" s="2" t="s">
        <v>841</v>
      </c>
      <c r="P4522" s="2" t="s">
        <v>2637</v>
      </c>
    </row>
    <row r="4523" spans="1:16" ht="22" customHeight="1" x14ac:dyDescent="0.15">
      <c r="A4523" s="10" t="str">
        <f t="shared" si="726"/>
        <v>589_10_20_10_polygon</v>
      </c>
      <c r="B4523" s="2">
        <v>589</v>
      </c>
      <c r="C4523" s="30" t="str">
        <f>VLOOKUP(B4523,gachas!A:C,3)</f>
        <v>ニューフェイスガチャ（英傑）</v>
      </c>
      <c r="D4523" s="21">
        <v>10</v>
      </c>
      <c r="E4523" s="2">
        <f t="shared" si="730"/>
        <v>20</v>
      </c>
      <c r="F4523" s="2">
        <v>10</v>
      </c>
      <c r="G4523" s="3" t="s">
        <v>22</v>
      </c>
      <c r="H4523" s="2">
        <v>50</v>
      </c>
      <c r="I4523" s="114" t="str">
        <f t="shared" si="729"/>
        <v>589100</v>
      </c>
      <c r="J4523" s="112" t="s">
        <v>84</v>
      </c>
      <c r="K4523" s="2" t="s">
        <v>84</v>
      </c>
      <c r="L4523" s="2">
        <v>0</v>
      </c>
      <c r="M4523" s="2" t="s">
        <v>84</v>
      </c>
      <c r="N4523" s="2" t="s">
        <v>84</v>
      </c>
      <c r="O4523" s="2" t="s">
        <v>841</v>
      </c>
      <c r="P4523" s="2" t="s">
        <v>2637</v>
      </c>
    </row>
    <row r="4524" spans="1:16" ht="22" customHeight="1" x14ac:dyDescent="0.15">
      <c r="A4524" s="10" t="str">
        <f t="shared" si="726"/>
        <v>589_10_21_10_polygon</v>
      </c>
      <c r="B4524" s="2">
        <v>589</v>
      </c>
      <c r="C4524" s="30" t="str">
        <f>VLOOKUP(B4524,gachas!A:C,3)</f>
        <v>ニューフェイスガチャ（英傑）</v>
      </c>
      <c r="D4524" s="21">
        <v>10</v>
      </c>
      <c r="E4524" s="2">
        <f t="shared" si="730"/>
        <v>21</v>
      </c>
      <c r="F4524" s="2">
        <v>10</v>
      </c>
      <c r="G4524" s="3" t="s">
        <v>22</v>
      </c>
      <c r="H4524" s="2">
        <v>50</v>
      </c>
      <c r="I4524" s="114" t="str">
        <f t="shared" si="729"/>
        <v>589100</v>
      </c>
      <c r="J4524" s="112" t="s">
        <v>84</v>
      </c>
      <c r="K4524" s="117" t="str">
        <f t="shared" ref="K4524" si="736">CONCATENATE(B4524,"105")</f>
        <v>589105</v>
      </c>
      <c r="L4524" s="2">
        <v>1</v>
      </c>
      <c r="M4524" s="2" t="s">
        <v>84</v>
      </c>
      <c r="N4524" s="2" t="s">
        <v>84</v>
      </c>
      <c r="O4524" s="2" t="s">
        <v>841</v>
      </c>
      <c r="P4524" s="2" t="s">
        <v>3171</v>
      </c>
    </row>
    <row r="4525" spans="1:16" ht="22" customHeight="1" x14ac:dyDescent="0.15">
      <c r="A4525" s="10" t="str">
        <f t="shared" si="726"/>
        <v>589_10_22_10_polygon</v>
      </c>
      <c r="B4525" s="2">
        <v>589</v>
      </c>
      <c r="C4525" s="30" t="str">
        <f>VLOOKUP(B4525,gachas!A:C,3)</f>
        <v>ニューフェイスガチャ（英傑）</v>
      </c>
      <c r="D4525" s="21">
        <v>10</v>
      </c>
      <c r="E4525" s="2">
        <f t="shared" si="730"/>
        <v>22</v>
      </c>
      <c r="F4525" s="2">
        <v>10</v>
      </c>
      <c r="G4525" s="3" t="s">
        <v>22</v>
      </c>
      <c r="H4525" s="2">
        <v>50</v>
      </c>
      <c r="I4525" s="114" t="str">
        <f t="shared" si="729"/>
        <v>589100</v>
      </c>
      <c r="J4525" s="112" t="s">
        <v>84</v>
      </c>
      <c r="K4525" s="2" t="s">
        <v>84</v>
      </c>
      <c r="L4525" s="2">
        <v>0</v>
      </c>
      <c r="M4525" s="2" t="s">
        <v>84</v>
      </c>
      <c r="N4525" s="2" t="s">
        <v>84</v>
      </c>
      <c r="O4525" s="2" t="s">
        <v>841</v>
      </c>
      <c r="P4525" s="2" t="s">
        <v>2637</v>
      </c>
    </row>
    <row r="4526" spans="1:16" ht="22" customHeight="1" x14ac:dyDescent="0.15">
      <c r="A4526" s="10" t="str">
        <f t="shared" si="726"/>
        <v>589_10_23_10_polygon</v>
      </c>
      <c r="B4526" s="2">
        <v>589</v>
      </c>
      <c r="C4526" s="30" t="str">
        <f>VLOOKUP(B4526,gachas!A:C,3)</f>
        <v>ニューフェイスガチャ（英傑）</v>
      </c>
      <c r="D4526" s="21">
        <v>10</v>
      </c>
      <c r="E4526" s="2">
        <f t="shared" si="730"/>
        <v>23</v>
      </c>
      <c r="F4526" s="2">
        <v>10</v>
      </c>
      <c r="G4526" s="3" t="s">
        <v>22</v>
      </c>
      <c r="H4526" s="2">
        <v>50</v>
      </c>
      <c r="I4526" s="114" t="str">
        <f t="shared" si="729"/>
        <v>589100</v>
      </c>
      <c r="J4526" s="112" t="s">
        <v>84</v>
      </c>
      <c r="K4526" s="2" t="s">
        <v>84</v>
      </c>
      <c r="L4526" s="2">
        <v>0</v>
      </c>
      <c r="M4526" s="2" t="s">
        <v>84</v>
      </c>
      <c r="N4526" s="2" t="s">
        <v>84</v>
      </c>
      <c r="O4526" s="2" t="s">
        <v>841</v>
      </c>
      <c r="P4526" s="2" t="s">
        <v>2637</v>
      </c>
    </row>
    <row r="4527" spans="1:16" ht="22" customHeight="1" x14ac:dyDescent="0.15">
      <c r="A4527" s="10" t="str">
        <f t="shared" si="726"/>
        <v>589_10_24_10_polygon</v>
      </c>
      <c r="B4527" s="2">
        <v>589</v>
      </c>
      <c r="C4527" s="30" t="str">
        <f>VLOOKUP(B4527,gachas!A:C,3)</f>
        <v>ニューフェイスガチャ（英傑）</v>
      </c>
      <c r="D4527" s="21">
        <v>10</v>
      </c>
      <c r="E4527" s="2">
        <f t="shared" si="730"/>
        <v>24</v>
      </c>
      <c r="F4527" s="2">
        <v>10</v>
      </c>
      <c r="G4527" s="3" t="s">
        <v>22</v>
      </c>
      <c r="H4527" s="2">
        <v>50</v>
      </c>
      <c r="I4527" s="114" t="str">
        <f t="shared" si="729"/>
        <v>589100</v>
      </c>
      <c r="J4527" s="112" t="s">
        <v>84</v>
      </c>
      <c r="K4527" s="117" t="str">
        <f t="shared" ref="K4527" si="737">CONCATENATE(B4527,"105")</f>
        <v>589105</v>
      </c>
      <c r="L4527" s="2">
        <v>1</v>
      </c>
      <c r="M4527" s="2" t="s">
        <v>84</v>
      </c>
      <c r="N4527" s="2" t="s">
        <v>84</v>
      </c>
      <c r="O4527" s="2" t="s">
        <v>841</v>
      </c>
      <c r="P4527" s="2" t="s">
        <v>3171</v>
      </c>
    </row>
    <row r="4528" spans="1:16" ht="22" customHeight="1" x14ac:dyDescent="0.15">
      <c r="A4528" s="10" t="str">
        <f t="shared" si="726"/>
        <v>589_10_25_10_polygon</v>
      </c>
      <c r="B4528" s="2">
        <v>589</v>
      </c>
      <c r="C4528" s="30" t="str">
        <f>VLOOKUP(B4528,gachas!A:C,3)</f>
        <v>ニューフェイスガチャ（英傑）</v>
      </c>
      <c r="D4528" s="21">
        <v>10</v>
      </c>
      <c r="E4528" s="2">
        <f t="shared" si="730"/>
        <v>25</v>
      </c>
      <c r="F4528" s="2">
        <v>10</v>
      </c>
      <c r="G4528" s="3" t="s">
        <v>22</v>
      </c>
      <c r="H4528" s="2">
        <v>50</v>
      </c>
      <c r="I4528" s="114" t="str">
        <f t="shared" si="729"/>
        <v>589100</v>
      </c>
      <c r="J4528" s="112" t="s">
        <v>84</v>
      </c>
      <c r="K4528" s="2" t="s">
        <v>84</v>
      </c>
      <c r="L4528" s="2">
        <v>0</v>
      </c>
      <c r="M4528" s="2" t="s">
        <v>84</v>
      </c>
      <c r="N4528" s="2" t="s">
        <v>84</v>
      </c>
      <c r="O4528" s="2" t="s">
        <v>841</v>
      </c>
      <c r="P4528" s="2" t="s">
        <v>2637</v>
      </c>
    </row>
    <row r="4529" spans="1:16" ht="22" customHeight="1" x14ac:dyDescent="0.15">
      <c r="A4529" s="10" t="str">
        <f t="shared" si="726"/>
        <v>589_10_26_10_polygon</v>
      </c>
      <c r="B4529" s="2">
        <v>589</v>
      </c>
      <c r="C4529" s="30" t="str">
        <f>VLOOKUP(B4529,gachas!A:C,3)</f>
        <v>ニューフェイスガチャ（英傑）</v>
      </c>
      <c r="D4529" s="21">
        <v>10</v>
      </c>
      <c r="E4529" s="2">
        <f t="shared" si="730"/>
        <v>26</v>
      </c>
      <c r="F4529" s="2">
        <v>10</v>
      </c>
      <c r="G4529" s="3" t="s">
        <v>22</v>
      </c>
      <c r="H4529" s="2">
        <v>50</v>
      </c>
      <c r="I4529" s="114" t="str">
        <f t="shared" si="729"/>
        <v>589100</v>
      </c>
      <c r="J4529" s="112" t="s">
        <v>84</v>
      </c>
      <c r="K4529" s="2" t="s">
        <v>84</v>
      </c>
      <c r="L4529" s="2">
        <v>0</v>
      </c>
      <c r="M4529" s="2" t="s">
        <v>84</v>
      </c>
      <c r="N4529" s="2" t="s">
        <v>84</v>
      </c>
      <c r="O4529" s="2" t="s">
        <v>841</v>
      </c>
      <c r="P4529" s="2" t="s">
        <v>2637</v>
      </c>
    </row>
    <row r="4530" spans="1:16" ht="22" customHeight="1" x14ac:dyDescent="0.15">
      <c r="A4530" s="10" t="str">
        <f t="shared" si="726"/>
        <v>589_10_27_10_polygon</v>
      </c>
      <c r="B4530" s="2">
        <v>589</v>
      </c>
      <c r="C4530" s="30" t="str">
        <f>VLOOKUP(B4530,gachas!A:C,3)</f>
        <v>ニューフェイスガチャ（英傑）</v>
      </c>
      <c r="D4530" s="21">
        <v>10</v>
      </c>
      <c r="E4530" s="2">
        <f t="shared" si="730"/>
        <v>27</v>
      </c>
      <c r="F4530" s="2">
        <v>10</v>
      </c>
      <c r="G4530" s="3" t="s">
        <v>22</v>
      </c>
      <c r="H4530" s="2">
        <v>50</v>
      </c>
      <c r="I4530" s="114" t="str">
        <f t="shared" si="729"/>
        <v>589100</v>
      </c>
      <c r="J4530" s="112" t="s">
        <v>84</v>
      </c>
      <c r="K4530" s="117" t="str">
        <f t="shared" ref="K4530" si="738">CONCATENATE(B4530,"105")</f>
        <v>589105</v>
      </c>
      <c r="L4530" s="2">
        <v>1</v>
      </c>
      <c r="M4530" s="2" t="s">
        <v>84</v>
      </c>
      <c r="N4530" s="2" t="s">
        <v>84</v>
      </c>
      <c r="O4530" s="2" t="s">
        <v>841</v>
      </c>
      <c r="P4530" s="2" t="s">
        <v>3171</v>
      </c>
    </row>
    <row r="4531" spans="1:16" ht="22" customHeight="1" x14ac:dyDescent="0.15">
      <c r="A4531" s="10" t="str">
        <f t="shared" si="726"/>
        <v>589_10_28_10_polygon</v>
      </c>
      <c r="B4531" s="2">
        <v>589</v>
      </c>
      <c r="C4531" s="30" t="str">
        <f>VLOOKUP(B4531,gachas!A:C,3)</f>
        <v>ニューフェイスガチャ（英傑）</v>
      </c>
      <c r="D4531" s="21">
        <v>10</v>
      </c>
      <c r="E4531" s="2">
        <f t="shared" si="730"/>
        <v>28</v>
      </c>
      <c r="F4531" s="2">
        <v>10</v>
      </c>
      <c r="G4531" s="3" t="s">
        <v>22</v>
      </c>
      <c r="H4531" s="2">
        <v>50</v>
      </c>
      <c r="I4531" s="114" t="str">
        <f t="shared" si="729"/>
        <v>589100</v>
      </c>
      <c r="J4531" s="112" t="s">
        <v>84</v>
      </c>
      <c r="K4531" s="2" t="s">
        <v>84</v>
      </c>
      <c r="L4531" s="2">
        <v>0</v>
      </c>
      <c r="M4531" s="2" t="s">
        <v>84</v>
      </c>
      <c r="N4531" s="2" t="s">
        <v>84</v>
      </c>
      <c r="O4531" s="2" t="s">
        <v>841</v>
      </c>
      <c r="P4531" s="2" t="s">
        <v>2637</v>
      </c>
    </row>
    <row r="4532" spans="1:16" ht="22" customHeight="1" x14ac:dyDescent="0.15">
      <c r="A4532" s="10" t="str">
        <f t="shared" si="726"/>
        <v>589_10_29_10_polygon</v>
      </c>
      <c r="B4532" s="2">
        <v>589</v>
      </c>
      <c r="C4532" s="30" t="str">
        <f>VLOOKUP(B4532,gachas!A:C,3)</f>
        <v>ニューフェイスガチャ（英傑）</v>
      </c>
      <c r="D4532" s="21">
        <v>10</v>
      </c>
      <c r="E4532" s="2">
        <f t="shared" si="730"/>
        <v>29</v>
      </c>
      <c r="F4532" s="2">
        <v>10</v>
      </c>
      <c r="G4532" s="3" t="s">
        <v>22</v>
      </c>
      <c r="H4532" s="2">
        <v>50</v>
      </c>
      <c r="I4532" s="114" t="str">
        <f t="shared" si="729"/>
        <v>589100</v>
      </c>
      <c r="J4532" s="112" t="s">
        <v>84</v>
      </c>
      <c r="K4532" s="2" t="s">
        <v>84</v>
      </c>
      <c r="L4532" s="2">
        <v>0</v>
      </c>
      <c r="M4532" s="2" t="s">
        <v>84</v>
      </c>
      <c r="N4532" s="2" t="s">
        <v>84</v>
      </c>
      <c r="O4532" s="2" t="s">
        <v>841</v>
      </c>
      <c r="P4532" s="2" t="s">
        <v>2637</v>
      </c>
    </row>
    <row r="4533" spans="1:16" ht="22" customHeight="1" x14ac:dyDescent="0.15">
      <c r="A4533" s="10" t="str">
        <f t="shared" si="726"/>
        <v>589_10_30_10_polygon</v>
      </c>
      <c r="B4533" s="2">
        <v>589</v>
      </c>
      <c r="C4533" s="30" t="str">
        <f>VLOOKUP(B4533,gachas!A:C,3)</f>
        <v>ニューフェイスガチャ（英傑）</v>
      </c>
      <c r="D4533" s="21">
        <v>10</v>
      </c>
      <c r="E4533" s="2">
        <f t="shared" si="730"/>
        <v>30</v>
      </c>
      <c r="F4533" s="2">
        <v>10</v>
      </c>
      <c r="G4533" s="3" t="s">
        <v>22</v>
      </c>
      <c r="H4533" s="2">
        <v>50</v>
      </c>
      <c r="I4533" s="114" t="str">
        <f t="shared" si="729"/>
        <v>589100</v>
      </c>
      <c r="J4533" s="112" t="s">
        <v>84</v>
      </c>
      <c r="K4533" s="117" t="str">
        <f t="shared" ref="K4533" si="739">CONCATENATE(B4533,"105")</f>
        <v>589105</v>
      </c>
      <c r="L4533" s="2">
        <v>1</v>
      </c>
      <c r="M4533" s="2" t="s">
        <v>84</v>
      </c>
      <c r="N4533" s="2" t="s">
        <v>84</v>
      </c>
      <c r="O4533" s="2" t="s">
        <v>841</v>
      </c>
      <c r="P4533" s="2" t="s">
        <v>3171</v>
      </c>
    </row>
    <row r="4534" spans="1:16" ht="22" customHeight="1" x14ac:dyDescent="0.15">
      <c r="A4534" s="10" t="str">
        <f t="shared" si="726"/>
        <v>589_10_31_10_polygon</v>
      </c>
      <c r="B4534" s="2">
        <v>589</v>
      </c>
      <c r="C4534" s="30" t="str">
        <f>VLOOKUP(B4534,gachas!A:C,3)</f>
        <v>ニューフェイスガチャ（英傑）</v>
      </c>
      <c r="D4534" s="21">
        <v>10</v>
      </c>
      <c r="E4534" s="2">
        <f t="shared" si="730"/>
        <v>31</v>
      </c>
      <c r="F4534" s="2">
        <v>10</v>
      </c>
      <c r="G4534" s="3" t="s">
        <v>22</v>
      </c>
      <c r="H4534" s="2">
        <v>50</v>
      </c>
      <c r="I4534" s="114" t="str">
        <f t="shared" si="729"/>
        <v>589100</v>
      </c>
      <c r="J4534" s="112" t="s">
        <v>84</v>
      </c>
      <c r="K4534" s="2" t="s">
        <v>84</v>
      </c>
      <c r="L4534" s="2">
        <v>0</v>
      </c>
      <c r="M4534" s="2" t="s">
        <v>84</v>
      </c>
      <c r="N4534" s="2" t="s">
        <v>84</v>
      </c>
      <c r="O4534" s="2" t="s">
        <v>841</v>
      </c>
      <c r="P4534" s="2" t="s">
        <v>2637</v>
      </c>
    </row>
    <row r="4535" spans="1:16" ht="22" customHeight="1" x14ac:dyDescent="0.15">
      <c r="A4535" s="10" t="str">
        <f t="shared" si="726"/>
        <v>589_10_32_10_polygon</v>
      </c>
      <c r="B4535" s="2">
        <v>589</v>
      </c>
      <c r="C4535" s="30" t="str">
        <f>VLOOKUP(B4535,gachas!A:C,3)</f>
        <v>ニューフェイスガチャ（英傑）</v>
      </c>
      <c r="D4535" s="21">
        <v>10</v>
      </c>
      <c r="E4535" s="2">
        <f t="shared" si="730"/>
        <v>32</v>
      </c>
      <c r="F4535" s="2">
        <v>10</v>
      </c>
      <c r="G4535" s="3" t="s">
        <v>22</v>
      </c>
      <c r="H4535" s="2">
        <v>50</v>
      </c>
      <c r="I4535" s="114" t="str">
        <f t="shared" si="729"/>
        <v>589100</v>
      </c>
      <c r="J4535" s="112" t="s">
        <v>84</v>
      </c>
      <c r="K4535" s="2" t="s">
        <v>84</v>
      </c>
      <c r="L4535" s="2">
        <v>0</v>
      </c>
      <c r="M4535" s="2" t="s">
        <v>84</v>
      </c>
      <c r="N4535" s="2" t="s">
        <v>84</v>
      </c>
      <c r="O4535" s="2" t="s">
        <v>841</v>
      </c>
      <c r="P4535" s="2" t="s">
        <v>2637</v>
      </c>
    </row>
    <row r="4536" spans="1:16" ht="22" customHeight="1" x14ac:dyDescent="0.15">
      <c r="A4536" s="10" t="str">
        <f t="shared" si="726"/>
        <v>589_10_33_10_polygon</v>
      </c>
      <c r="B4536" s="2">
        <v>589</v>
      </c>
      <c r="C4536" s="30" t="str">
        <f>VLOOKUP(B4536,gachas!A:C,3)</f>
        <v>ニューフェイスガチャ（英傑）</v>
      </c>
      <c r="D4536" s="21">
        <v>10</v>
      </c>
      <c r="E4536" s="2">
        <f t="shared" si="730"/>
        <v>33</v>
      </c>
      <c r="F4536" s="2">
        <v>10</v>
      </c>
      <c r="G4536" s="3" t="s">
        <v>22</v>
      </c>
      <c r="H4536" s="2">
        <v>50</v>
      </c>
      <c r="I4536" s="114" t="str">
        <f t="shared" si="729"/>
        <v>589100</v>
      </c>
      <c r="J4536" s="112" t="s">
        <v>84</v>
      </c>
      <c r="K4536" s="117" t="str">
        <f t="shared" ref="K4536" si="740">CONCATENATE(B4536,"105")</f>
        <v>589105</v>
      </c>
      <c r="L4536" s="2">
        <v>1</v>
      </c>
      <c r="M4536" s="2" t="s">
        <v>84</v>
      </c>
      <c r="N4536" s="2" t="s">
        <v>84</v>
      </c>
      <c r="O4536" s="2" t="s">
        <v>841</v>
      </c>
      <c r="P4536" s="2" t="s">
        <v>3171</v>
      </c>
    </row>
    <row r="4537" spans="1:16" ht="22" customHeight="1" x14ac:dyDescent="0.15">
      <c r="A4537" s="10" t="str">
        <f t="shared" si="726"/>
        <v>589_10_34_10_polygon</v>
      </c>
      <c r="B4537" s="2">
        <v>589</v>
      </c>
      <c r="C4537" s="30" t="str">
        <f>VLOOKUP(B4537,gachas!A:C,3)</f>
        <v>ニューフェイスガチャ（英傑）</v>
      </c>
      <c r="D4537" s="21">
        <v>10</v>
      </c>
      <c r="E4537" s="2">
        <f t="shared" si="730"/>
        <v>34</v>
      </c>
      <c r="F4537" s="2">
        <v>10</v>
      </c>
      <c r="G4537" s="3" t="s">
        <v>22</v>
      </c>
      <c r="H4537" s="2">
        <v>50</v>
      </c>
      <c r="I4537" s="114" t="str">
        <f t="shared" si="729"/>
        <v>589100</v>
      </c>
      <c r="J4537" s="112" t="s">
        <v>84</v>
      </c>
      <c r="K4537" s="2" t="s">
        <v>84</v>
      </c>
      <c r="L4537" s="2">
        <v>0</v>
      </c>
      <c r="M4537" s="2" t="s">
        <v>84</v>
      </c>
      <c r="N4537" s="2" t="s">
        <v>84</v>
      </c>
      <c r="O4537" s="2" t="s">
        <v>841</v>
      </c>
      <c r="P4537" s="2" t="s">
        <v>2637</v>
      </c>
    </row>
    <row r="4538" spans="1:16" ht="22" customHeight="1" x14ac:dyDescent="0.15">
      <c r="A4538" s="10" t="str">
        <f t="shared" si="726"/>
        <v>589_10_35_10_polygon</v>
      </c>
      <c r="B4538" s="2">
        <v>589</v>
      </c>
      <c r="C4538" s="30" t="str">
        <f>VLOOKUP(B4538,gachas!A:C,3)</f>
        <v>ニューフェイスガチャ（英傑）</v>
      </c>
      <c r="D4538" s="21">
        <v>10</v>
      </c>
      <c r="E4538" s="2">
        <f t="shared" si="730"/>
        <v>35</v>
      </c>
      <c r="F4538" s="2">
        <v>10</v>
      </c>
      <c r="G4538" s="3" t="s">
        <v>22</v>
      </c>
      <c r="H4538" s="2">
        <v>50</v>
      </c>
      <c r="I4538" s="114" t="str">
        <f t="shared" si="729"/>
        <v>589100</v>
      </c>
      <c r="J4538" s="112" t="s">
        <v>84</v>
      </c>
      <c r="K4538" s="2" t="s">
        <v>84</v>
      </c>
      <c r="L4538" s="2">
        <v>0</v>
      </c>
      <c r="M4538" s="2" t="s">
        <v>84</v>
      </c>
      <c r="N4538" s="2" t="s">
        <v>84</v>
      </c>
      <c r="O4538" s="2" t="s">
        <v>841</v>
      </c>
      <c r="P4538" s="2" t="s">
        <v>2637</v>
      </c>
    </row>
    <row r="4539" spans="1:16" ht="22" customHeight="1" x14ac:dyDescent="0.15">
      <c r="A4539" s="10" t="str">
        <f t="shared" si="726"/>
        <v>589_10_36_10_polygon</v>
      </c>
      <c r="B4539" s="2">
        <v>589</v>
      </c>
      <c r="C4539" s="30" t="str">
        <f>VLOOKUP(B4539,gachas!A:C,3)</f>
        <v>ニューフェイスガチャ（英傑）</v>
      </c>
      <c r="D4539" s="21">
        <v>10</v>
      </c>
      <c r="E4539" s="2">
        <f t="shared" si="730"/>
        <v>36</v>
      </c>
      <c r="F4539" s="2">
        <v>10</v>
      </c>
      <c r="G4539" s="3" t="s">
        <v>22</v>
      </c>
      <c r="H4539" s="2">
        <v>50</v>
      </c>
      <c r="I4539" s="114" t="str">
        <f t="shared" si="729"/>
        <v>589100</v>
      </c>
      <c r="J4539" s="112" t="s">
        <v>84</v>
      </c>
      <c r="K4539" s="117" t="str">
        <f t="shared" ref="K4539" si="741">CONCATENATE(B4539,"105")</f>
        <v>589105</v>
      </c>
      <c r="L4539" s="2">
        <v>1</v>
      </c>
      <c r="M4539" s="2" t="s">
        <v>84</v>
      </c>
      <c r="N4539" s="2" t="s">
        <v>84</v>
      </c>
      <c r="O4539" s="2" t="s">
        <v>841</v>
      </c>
      <c r="P4539" s="2" t="s">
        <v>3171</v>
      </c>
    </row>
    <row r="4540" spans="1:16" ht="22" customHeight="1" x14ac:dyDescent="0.15">
      <c r="A4540" s="10" t="str">
        <f t="shared" si="726"/>
        <v>589_10_37_10_polygon</v>
      </c>
      <c r="B4540" s="2">
        <v>589</v>
      </c>
      <c r="C4540" s="30" t="str">
        <f>VLOOKUP(B4540,gachas!A:C,3)</f>
        <v>ニューフェイスガチャ（英傑）</v>
      </c>
      <c r="D4540" s="21">
        <v>10</v>
      </c>
      <c r="E4540" s="2">
        <f t="shared" si="730"/>
        <v>37</v>
      </c>
      <c r="F4540" s="2">
        <v>10</v>
      </c>
      <c r="G4540" s="3" t="s">
        <v>22</v>
      </c>
      <c r="H4540" s="2">
        <v>50</v>
      </c>
      <c r="I4540" s="114" t="str">
        <f t="shared" si="729"/>
        <v>589100</v>
      </c>
      <c r="J4540" s="112" t="s">
        <v>84</v>
      </c>
      <c r="K4540" s="2" t="s">
        <v>84</v>
      </c>
      <c r="L4540" s="2">
        <v>0</v>
      </c>
      <c r="M4540" s="2" t="s">
        <v>84</v>
      </c>
      <c r="N4540" s="2" t="s">
        <v>84</v>
      </c>
      <c r="O4540" s="2" t="s">
        <v>841</v>
      </c>
      <c r="P4540" s="2" t="s">
        <v>2637</v>
      </c>
    </row>
    <row r="4541" spans="1:16" ht="22" customHeight="1" x14ac:dyDescent="0.15">
      <c r="A4541" s="10" t="str">
        <f t="shared" si="726"/>
        <v>589_10_38_10_polygon</v>
      </c>
      <c r="B4541" s="2">
        <v>589</v>
      </c>
      <c r="C4541" s="30" t="str">
        <f>VLOOKUP(B4541,gachas!A:C,3)</f>
        <v>ニューフェイスガチャ（英傑）</v>
      </c>
      <c r="D4541" s="21">
        <v>10</v>
      </c>
      <c r="E4541" s="2">
        <f t="shared" si="730"/>
        <v>38</v>
      </c>
      <c r="F4541" s="2">
        <v>10</v>
      </c>
      <c r="G4541" s="3" t="s">
        <v>22</v>
      </c>
      <c r="H4541" s="2">
        <v>50</v>
      </c>
      <c r="I4541" s="114" t="str">
        <f t="shared" si="729"/>
        <v>589100</v>
      </c>
      <c r="J4541" s="112" t="s">
        <v>84</v>
      </c>
      <c r="K4541" s="2" t="s">
        <v>84</v>
      </c>
      <c r="L4541" s="2">
        <v>0</v>
      </c>
      <c r="M4541" s="2" t="s">
        <v>84</v>
      </c>
      <c r="N4541" s="2" t="s">
        <v>84</v>
      </c>
      <c r="O4541" s="2" t="s">
        <v>841</v>
      </c>
      <c r="P4541" s="2" t="s">
        <v>2637</v>
      </c>
    </row>
    <row r="4542" spans="1:16" ht="22" customHeight="1" x14ac:dyDescent="0.15">
      <c r="A4542" s="10" t="str">
        <f t="shared" si="726"/>
        <v>589_10_39_10_polygon</v>
      </c>
      <c r="B4542" s="2">
        <v>589</v>
      </c>
      <c r="C4542" s="30" t="str">
        <f>VLOOKUP(B4542,gachas!A:C,3)</f>
        <v>ニューフェイスガチャ（英傑）</v>
      </c>
      <c r="D4542" s="21">
        <v>10</v>
      </c>
      <c r="E4542" s="2">
        <f t="shared" si="730"/>
        <v>39</v>
      </c>
      <c r="F4542" s="2">
        <v>10</v>
      </c>
      <c r="G4542" s="3" t="s">
        <v>22</v>
      </c>
      <c r="H4542" s="2">
        <v>50</v>
      </c>
      <c r="I4542" s="114" t="str">
        <f t="shared" si="729"/>
        <v>589100</v>
      </c>
      <c r="J4542" s="112" t="s">
        <v>84</v>
      </c>
      <c r="K4542" s="117" t="str">
        <f t="shared" ref="K4542" si="742">CONCATENATE(B4542,"105")</f>
        <v>589105</v>
      </c>
      <c r="L4542" s="2">
        <v>1</v>
      </c>
      <c r="M4542" s="2" t="s">
        <v>84</v>
      </c>
      <c r="N4542" s="2" t="s">
        <v>84</v>
      </c>
      <c r="O4542" s="2" t="s">
        <v>841</v>
      </c>
      <c r="P4542" s="2" t="s">
        <v>3171</v>
      </c>
    </row>
    <row r="4543" spans="1:16" ht="22" customHeight="1" x14ac:dyDescent="0.15">
      <c r="A4543" s="10" t="str">
        <f t="shared" si="726"/>
        <v>589_10_40_10_polygon</v>
      </c>
      <c r="B4543" s="2">
        <v>589</v>
      </c>
      <c r="C4543" s="30" t="str">
        <f>VLOOKUP(B4543,gachas!A:C,3)</f>
        <v>ニューフェイスガチャ（英傑）</v>
      </c>
      <c r="D4543" s="21">
        <v>10</v>
      </c>
      <c r="E4543" s="2">
        <f t="shared" si="730"/>
        <v>40</v>
      </c>
      <c r="F4543" s="2">
        <v>10</v>
      </c>
      <c r="G4543" s="3" t="s">
        <v>22</v>
      </c>
      <c r="H4543" s="2">
        <v>50</v>
      </c>
      <c r="I4543" s="114" t="str">
        <f t="shared" si="729"/>
        <v>589100</v>
      </c>
      <c r="J4543" s="112" t="s">
        <v>84</v>
      </c>
      <c r="K4543" s="2" t="s">
        <v>84</v>
      </c>
      <c r="L4543" s="2">
        <v>0</v>
      </c>
      <c r="M4543" s="2" t="s">
        <v>84</v>
      </c>
      <c r="N4543" s="2" t="s">
        <v>84</v>
      </c>
      <c r="O4543" s="2" t="s">
        <v>841</v>
      </c>
      <c r="P4543" s="2" t="s">
        <v>2637</v>
      </c>
    </row>
    <row r="4544" spans="1:16" ht="22" customHeight="1" x14ac:dyDescent="0.15">
      <c r="A4544" s="10" t="str">
        <f t="shared" si="726"/>
        <v>589_10_41_10_polygon</v>
      </c>
      <c r="B4544" s="2">
        <v>589</v>
      </c>
      <c r="C4544" s="30" t="str">
        <f>VLOOKUP(B4544,gachas!A:C,3)</f>
        <v>ニューフェイスガチャ（英傑）</v>
      </c>
      <c r="D4544" s="21">
        <v>10</v>
      </c>
      <c r="E4544" s="2">
        <f t="shared" si="730"/>
        <v>41</v>
      </c>
      <c r="F4544" s="2">
        <v>10</v>
      </c>
      <c r="G4544" s="3" t="s">
        <v>22</v>
      </c>
      <c r="H4544" s="2">
        <v>50</v>
      </c>
      <c r="I4544" s="114" t="str">
        <f t="shared" si="729"/>
        <v>589100</v>
      </c>
      <c r="J4544" s="112" t="s">
        <v>84</v>
      </c>
      <c r="K4544" s="2" t="s">
        <v>84</v>
      </c>
      <c r="L4544" s="2">
        <v>0</v>
      </c>
      <c r="M4544" s="2" t="s">
        <v>84</v>
      </c>
      <c r="N4544" s="2" t="s">
        <v>84</v>
      </c>
      <c r="O4544" s="2" t="s">
        <v>841</v>
      </c>
      <c r="P4544" s="2" t="s">
        <v>2637</v>
      </c>
    </row>
    <row r="4545" spans="1:16" ht="22" customHeight="1" x14ac:dyDescent="0.15">
      <c r="A4545" s="10" t="str">
        <f t="shared" si="726"/>
        <v>589_10_42_10_polygon</v>
      </c>
      <c r="B4545" s="2">
        <v>589</v>
      </c>
      <c r="C4545" s="30" t="str">
        <f>VLOOKUP(B4545,gachas!A:C,3)</f>
        <v>ニューフェイスガチャ（英傑）</v>
      </c>
      <c r="D4545" s="21">
        <v>10</v>
      </c>
      <c r="E4545" s="2">
        <f t="shared" si="730"/>
        <v>42</v>
      </c>
      <c r="F4545" s="2">
        <v>10</v>
      </c>
      <c r="G4545" s="3" t="s">
        <v>22</v>
      </c>
      <c r="H4545" s="2">
        <v>50</v>
      </c>
      <c r="I4545" s="114" t="str">
        <f t="shared" si="729"/>
        <v>589100</v>
      </c>
      <c r="J4545" s="112" t="s">
        <v>84</v>
      </c>
      <c r="K4545" s="117" t="str">
        <f t="shared" ref="K4545" si="743">CONCATENATE(B4545,"105")</f>
        <v>589105</v>
      </c>
      <c r="L4545" s="2">
        <v>1</v>
      </c>
      <c r="M4545" s="2" t="s">
        <v>84</v>
      </c>
      <c r="N4545" s="2" t="s">
        <v>84</v>
      </c>
      <c r="O4545" s="2" t="s">
        <v>841</v>
      </c>
      <c r="P4545" s="2" t="s">
        <v>3171</v>
      </c>
    </row>
    <row r="4546" spans="1:16" ht="22" customHeight="1" x14ac:dyDescent="0.15">
      <c r="A4546" s="10" t="str">
        <f t="shared" si="726"/>
        <v>589_10_43_10_polygon</v>
      </c>
      <c r="B4546" s="2">
        <v>589</v>
      </c>
      <c r="C4546" s="30" t="str">
        <f>VLOOKUP(B4546,gachas!A:C,3)</f>
        <v>ニューフェイスガチャ（英傑）</v>
      </c>
      <c r="D4546" s="21">
        <v>10</v>
      </c>
      <c r="E4546" s="2">
        <f t="shared" si="730"/>
        <v>43</v>
      </c>
      <c r="F4546" s="2">
        <v>10</v>
      </c>
      <c r="G4546" s="3" t="s">
        <v>22</v>
      </c>
      <c r="H4546" s="2">
        <v>50</v>
      </c>
      <c r="I4546" s="114" t="str">
        <f t="shared" si="729"/>
        <v>589100</v>
      </c>
      <c r="J4546" s="112" t="s">
        <v>84</v>
      </c>
      <c r="K4546" s="2" t="s">
        <v>84</v>
      </c>
      <c r="L4546" s="2">
        <v>0</v>
      </c>
      <c r="M4546" s="2" t="s">
        <v>84</v>
      </c>
      <c r="N4546" s="2" t="s">
        <v>84</v>
      </c>
      <c r="O4546" s="2" t="s">
        <v>841</v>
      </c>
      <c r="P4546" s="2" t="s">
        <v>2637</v>
      </c>
    </row>
    <row r="4547" spans="1:16" ht="22" customHeight="1" x14ac:dyDescent="0.15">
      <c r="A4547" s="10" t="str">
        <f t="shared" si="726"/>
        <v>589_10_44_10_polygon</v>
      </c>
      <c r="B4547" s="2">
        <v>589</v>
      </c>
      <c r="C4547" s="30" t="str">
        <f>VLOOKUP(B4547,gachas!A:C,3)</f>
        <v>ニューフェイスガチャ（英傑）</v>
      </c>
      <c r="D4547" s="21">
        <v>10</v>
      </c>
      <c r="E4547" s="2">
        <f t="shared" si="730"/>
        <v>44</v>
      </c>
      <c r="F4547" s="2">
        <v>10</v>
      </c>
      <c r="G4547" s="3" t="s">
        <v>22</v>
      </c>
      <c r="H4547" s="2">
        <v>50</v>
      </c>
      <c r="I4547" s="114" t="str">
        <f t="shared" si="729"/>
        <v>589100</v>
      </c>
      <c r="J4547" s="112" t="s">
        <v>84</v>
      </c>
      <c r="K4547" s="2" t="s">
        <v>84</v>
      </c>
      <c r="L4547" s="2">
        <v>0</v>
      </c>
      <c r="M4547" s="2" t="s">
        <v>84</v>
      </c>
      <c r="N4547" s="2" t="s">
        <v>84</v>
      </c>
      <c r="O4547" s="2" t="s">
        <v>841</v>
      </c>
      <c r="P4547" s="2" t="s">
        <v>2637</v>
      </c>
    </row>
    <row r="4548" spans="1:16" ht="22" customHeight="1" x14ac:dyDescent="0.15">
      <c r="A4548" s="10" t="str">
        <f t="shared" si="726"/>
        <v>589_10_45_10_polygon</v>
      </c>
      <c r="B4548" s="2">
        <v>589</v>
      </c>
      <c r="C4548" s="30" t="str">
        <f>VLOOKUP(B4548,gachas!A:C,3)</f>
        <v>ニューフェイスガチャ（英傑）</v>
      </c>
      <c r="D4548" s="21">
        <v>10</v>
      </c>
      <c r="E4548" s="2">
        <f t="shared" si="730"/>
        <v>45</v>
      </c>
      <c r="F4548" s="2">
        <v>10</v>
      </c>
      <c r="G4548" s="3" t="s">
        <v>22</v>
      </c>
      <c r="H4548" s="2">
        <v>50</v>
      </c>
      <c r="I4548" s="114" t="str">
        <f t="shared" si="729"/>
        <v>589100</v>
      </c>
      <c r="J4548" s="112" t="s">
        <v>84</v>
      </c>
      <c r="K4548" s="117" t="str">
        <f t="shared" ref="K4548" si="744">CONCATENATE(B4548,"105")</f>
        <v>589105</v>
      </c>
      <c r="L4548" s="2">
        <v>1</v>
      </c>
      <c r="M4548" s="2" t="s">
        <v>84</v>
      </c>
      <c r="N4548" s="2" t="s">
        <v>84</v>
      </c>
      <c r="O4548" s="2" t="s">
        <v>841</v>
      </c>
      <c r="P4548" s="2" t="s">
        <v>3171</v>
      </c>
    </row>
    <row r="4549" spans="1:16" ht="22" customHeight="1" x14ac:dyDescent="0.15">
      <c r="A4549" s="10" t="str">
        <f t="shared" si="726"/>
        <v>589_10_46_10_polygon</v>
      </c>
      <c r="B4549" s="2">
        <v>589</v>
      </c>
      <c r="C4549" s="30" t="str">
        <f>VLOOKUP(B4549,gachas!A:C,3)</f>
        <v>ニューフェイスガチャ（英傑）</v>
      </c>
      <c r="D4549" s="21">
        <v>10</v>
      </c>
      <c r="E4549" s="2">
        <f t="shared" si="730"/>
        <v>46</v>
      </c>
      <c r="F4549" s="2">
        <v>10</v>
      </c>
      <c r="G4549" s="3" t="s">
        <v>22</v>
      </c>
      <c r="H4549" s="2">
        <v>50</v>
      </c>
      <c r="I4549" s="114" t="str">
        <f t="shared" si="729"/>
        <v>589100</v>
      </c>
      <c r="J4549" s="112" t="s">
        <v>84</v>
      </c>
      <c r="K4549" s="2" t="s">
        <v>84</v>
      </c>
      <c r="L4549" s="2">
        <v>0</v>
      </c>
      <c r="M4549" s="2" t="s">
        <v>84</v>
      </c>
      <c r="N4549" s="2" t="s">
        <v>84</v>
      </c>
      <c r="O4549" s="2" t="s">
        <v>841</v>
      </c>
      <c r="P4549" s="2" t="s">
        <v>2637</v>
      </c>
    </row>
    <row r="4550" spans="1:16" ht="22" customHeight="1" x14ac:dyDescent="0.15">
      <c r="A4550" s="10" t="str">
        <f t="shared" si="726"/>
        <v>589_10_47_10_polygon</v>
      </c>
      <c r="B4550" s="2">
        <v>589</v>
      </c>
      <c r="C4550" s="30" t="str">
        <f>VLOOKUP(B4550,gachas!A:C,3)</f>
        <v>ニューフェイスガチャ（英傑）</v>
      </c>
      <c r="D4550" s="21">
        <v>10</v>
      </c>
      <c r="E4550" s="2">
        <f t="shared" si="730"/>
        <v>47</v>
      </c>
      <c r="F4550" s="2">
        <v>10</v>
      </c>
      <c r="G4550" s="3" t="s">
        <v>22</v>
      </c>
      <c r="H4550" s="2">
        <v>50</v>
      </c>
      <c r="I4550" s="114" t="str">
        <f t="shared" si="729"/>
        <v>589100</v>
      </c>
      <c r="J4550" s="112" t="s">
        <v>84</v>
      </c>
      <c r="K4550" s="2" t="s">
        <v>84</v>
      </c>
      <c r="L4550" s="2">
        <v>0</v>
      </c>
      <c r="M4550" s="2" t="s">
        <v>84</v>
      </c>
      <c r="N4550" s="2" t="s">
        <v>84</v>
      </c>
      <c r="O4550" s="2" t="s">
        <v>841</v>
      </c>
      <c r="P4550" s="2" t="s">
        <v>2637</v>
      </c>
    </row>
    <row r="4551" spans="1:16" ht="22" customHeight="1" x14ac:dyDescent="0.15">
      <c r="A4551" s="10" t="str">
        <f t="shared" si="726"/>
        <v>589_10_48_10_polygon</v>
      </c>
      <c r="B4551" s="2">
        <v>589</v>
      </c>
      <c r="C4551" s="30" t="str">
        <f>VLOOKUP(B4551,gachas!A:C,3)</f>
        <v>ニューフェイスガチャ（英傑）</v>
      </c>
      <c r="D4551" s="21">
        <v>10</v>
      </c>
      <c r="E4551" s="2">
        <f t="shared" si="730"/>
        <v>48</v>
      </c>
      <c r="F4551" s="2">
        <v>10</v>
      </c>
      <c r="G4551" s="3" t="s">
        <v>22</v>
      </c>
      <c r="H4551" s="2">
        <v>50</v>
      </c>
      <c r="I4551" s="114" t="str">
        <f t="shared" si="729"/>
        <v>589100</v>
      </c>
      <c r="J4551" s="112" t="s">
        <v>84</v>
      </c>
      <c r="K4551" s="117" t="str">
        <f t="shared" ref="K4551" si="745">CONCATENATE(B4551,"105")</f>
        <v>589105</v>
      </c>
      <c r="L4551" s="2">
        <v>1</v>
      </c>
      <c r="M4551" s="2" t="s">
        <v>84</v>
      </c>
      <c r="N4551" s="2" t="s">
        <v>84</v>
      </c>
      <c r="O4551" s="2" t="s">
        <v>841</v>
      </c>
      <c r="P4551" s="2" t="s">
        <v>3171</v>
      </c>
    </row>
    <row r="4552" spans="1:16" ht="22" customHeight="1" x14ac:dyDescent="0.15">
      <c r="A4552" s="10" t="str">
        <f t="shared" si="726"/>
        <v>589_10_49_10_polygon</v>
      </c>
      <c r="B4552" s="2">
        <v>589</v>
      </c>
      <c r="C4552" s="30" t="str">
        <f>VLOOKUP(B4552,gachas!A:C,3)</f>
        <v>ニューフェイスガチャ（英傑）</v>
      </c>
      <c r="D4552" s="21">
        <v>10</v>
      </c>
      <c r="E4552" s="2">
        <f t="shared" si="730"/>
        <v>49</v>
      </c>
      <c r="F4552" s="2">
        <v>10</v>
      </c>
      <c r="G4552" s="3" t="s">
        <v>22</v>
      </c>
      <c r="H4552" s="2">
        <v>50</v>
      </c>
      <c r="I4552" s="114" t="str">
        <f t="shared" si="729"/>
        <v>589100</v>
      </c>
      <c r="J4552" s="112" t="s">
        <v>84</v>
      </c>
      <c r="K4552" s="2" t="s">
        <v>84</v>
      </c>
      <c r="L4552" s="2">
        <v>0</v>
      </c>
      <c r="M4552" s="2" t="s">
        <v>84</v>
      </c>
      <c r="N4552" s="2" t="s">
        <v>84</v>
      </c>
      <c r="O4552" s="2" t="s">
        <v>841</v>
      </c>
      <c r="P4552" s="2" t="s">
        <v>2637</v>
      </c>
    </row>
    <row r="4553" spans="1:16" ht="22" customHeight="1" x14ac:dyDescent="0.15">
      <c r="A4553" s="10" t="str">
        <f t="shared" si="726"/>
        <v>589_10_50_10_polygon</v>
      </c>
      <c r="B4553" s="2">
        <v>589</v>
      </c>
      <c r="C4553" s="30" t="str">
        <f>VLOOKUP(B4553,gachas!A:C,3)</f>
        <v>ニューフェイスガチャ（英傑）</v>
      </c>
      <c r="D4553" s="21">
        <v>10</v>
      </c>
      <c r="E4553" s="2">
        <f t="shared" si="730"/>
        <v>50</v>
      </c>
      <c r="F4553" s="2">
        <v>10</v>
      </c>
      <c r="G4553" s="3" t="s">
        <v>22</v>
      </c>
      <c r="H4553" s="2">
        <v>50</v>
      </c>
      <c r="I4553" s="114" t="str">
        <f t="shared" si="729"/>
        <v>589100</v>
      </c>
      <c r="J4553" s="112" t="s">
        <v>84</v>
      </c>
      <c r="K4553" s="2" t="s">
        <v>84</v>
      </c>
      <c r="L4553" s="2">
        <v>0</v>
      </c>
      <c r="M4553" s="2" t="s">
        <v>84</v>
      </c>
      <c r="N4553" s="2" t="s">
        <v>84</v>
      </c>
      <c r="O4553" s="2" t="s">
        <v>841</v>
      </c>
      <c r="P4553" s="2" t="s">
        <v>2637</v>
      </c>
    </row>
    <row r="4554" spans="1:16" ht="22" customHeight="1" x14ac:dyDescent="0.15">
      <c r="A4554" s="10" t="str">
        <f t="shared" ref="A4554:A4617" si="746">B4554&amp;"_"&amp;D4554&amp;"_"&amp;E4554&amp;"_"&amp;F4554&amp;"_"&amp;G4554</f>
        <v>589_10_51_10_polygon</v>
      </c>
      <c r="B4554" s="2">
        <v>589</v>
      </c>
      <c r="C4554" s="30" t="str">
        <f>VLOOKUP(B4554,gachas!A:C,3)</f>
        <v>ニューフェイスガチャ（英傑）</v>
      </c>
      <c r="D4554" s="21">
        <v>10</v>
      </c>
      <c r="E4554" s="2">
        <f t="shared" si="730"/>
        <v>51</v>
      </c>
      <c r="F4554" s="2">
        <v>10</v>
      </c>
      <c r="G4554" s="3" t="s">
        <v>22</v>
      </c>
      <c r="H4554" s="2">
        <v>50</v>
      </c>
      <c r="I4554" s="114" t="str">
        <f t="shared" si="729"/>
        <v>589100</v>
      </c>
      <c r="J4554" s="112" t="s">
        <v>84</v>
      </c>
      <c r="K4554" s="117" t="str">
        <f t="shared" ref="K4554" si="747">CONCATENATE(B4554,"105")</f>
        <v>589105</v>
      </c>
      <c r="L4554" s="2">
        <v>1</v>
      </c>
      <c r="M4554" s="2" t="s">
        <v>84</v>
      </c>
      <c r="N4554" s="2" t="s">
        <v>84</v>
      </c>
      <c r="O4554" s="2" t="s">
        <v>841</v>
      </c>
      <c r="P4554" s="2" t="s">
        <v>3171</v>
      </c>
    </row>
    <row r="4555" spans="1:16" ht="22" customHeight="1" x14ac:dyDescent="0.15">
      <c r="A4555" s="10" t="str">
        <f t="shared" si="746"/>
        <v>589_10_52_10_polygon</v>
      </c>
      <c r="B4555" s="2">
        <v>589</v>
      </c>
      <c r="C4555" s="30" t="str">
        <f>VLOOKUP(B4555,gachas!A:C,3)</f>
        <v>ニューフェイスガチャ（英傑）</v>
      </c>
      <c r="D4555" s="21">
        <v>10</v>
      </c>
      <c r="E4555" s="2">
        <f t="shared" si="730"/>
        <v>52</v>
      </c>
      <c r="F4555" s="2">
        <v>10</v>
      </c>
      <c r="G4555" s="3" t="s">
        <v>22</v>
      </c>
      <c r="H4555" s="2">
        <v>50</v>
      </c>
      <c r="I4555" s="114" t="str">
        <f t="shared" si="729"/>
        <v>589100</v>
      </c>
      <c r="J4555" s="112" t="s">
        <v>84</v>
      </c>
      <c r="K4555" s="2" t="s">
        <v>84</v>
      </c>
      <c r="L4555" s="2">
        <v>0</v>
      </c>
      <c r="M4555" s="2" t="s">
        <v>84</v>
      </c>
      <c r="N4555" s="2" t="s">
        <v>84</v>
      </c>
      <c r="O4555" s="2" t="s">
        <v>841</v>
      </c>
      <c r="P4555" s="2" t="s">
        <v>2637</v>
      </c>
    </row>
    <row r="4556" spans="1:16" ht="22" customHeight="1" x14ac:dyDescent="0.15">
      <c r="A4556" s="10" t="str">
        <f t="shared" si="746"/>
        <v>589_10_53_10_polygon</v>
      </c>
      <c r="B4556" s="2">
        <v>589</v>
      </c>
      <c r="C4556" s="30" t="str">
        <f>VLOOKUP(B4556,gachas!A:C,3)</f>
        <v>ニューフェイスガチャ（英傑）</v>
      </c>
      <c r="D4556" s="21">
        <v>10</v>
      </c>
      <c r="E4556" s="2">
        <f t="shared" si="730"/>
        <v>53</v>
      </c>
      <c r="F4556" s="2">
        <v>10</v>
      </c>
      <c r="G4556" s="3" t="s">
        <v>22</v>
      </c>
      <c r="H4556" s="2">
        <v>50</v>
      </c>
      <c r="I4556" s="114" t="str">
        <f t="shared" si="729"/>
        <v>589100</v>
      </c>
      <c r="J4556" s="112" t="s">
        <v>84</v>
      </c>
      <c r="K4556" s="2" t="s">
        <v>84</v>
      </c>
      <c r="L4556" s="2">
        <v>0</v>
      </c>
      <c r="M4556" s="2" t="s">
        <v>84</v>
      </c>
      <c r="N4556" s="2" t="s">
        <v>84</v>
      </c>
      <c r="O4556" s="2" t="s">
        <v>841</v>
      </c>
      <c r="P4556" s="2" t="s">
        <v>2637</v>
      </c>
    </row>
    <row r="4557" spans="1:16" ht="22" customHeight="1" x14ac:dyDescent="0.15">
      <c r="A4557" s="10" t="str">
        <f t="shared" si="746"/>
        <v>589_10_54_10_polygon</v>
      </c>
      <c r="B4557" s="2">
        <v>589</v>
      </c>
      <c r="C4557" s="30" t="str">
        <f>VLOOKUP(B4557,gachas!A:C,3)</f>
        <v>ニューフェイスガチャ（英傑）</v>
      </c>
      <c r="D4557" s="21">
        <v>10</v>
      </c>
      <c r="E4557" s="2">
        <f t="shared" si="730"/>
        <v>54</v>
      </c>
      <c r="F4557" s="2">
        <v>10</v>
      </c>
      <c r="G4557" s="3" t="s">
        <v>22</v>
      </c>
      <c r="H4557" s="2">
        <v>50</v>
      </c>
      <c r="I4557" s="114" t="str">
        <f t="shared" si="729"/>
        <v>589100</v>
      </c>
      <c r="J4557" s="112" t="s">
        <v>84</v>
      </c>
      <c r="K4557" s="117" t="str">
        <f t="shared" ref="K4557" si="748">CONCATENATE(B4557,"105")</f>
        <v>589105</v>
      </c>
      <c r="L4557" s="2">
        <v>1</v>
      </c>
      <c r="M4557" s="2" t="s">
        <v>84</v>
      </c>
      <c r="N4557" s="2" t="s">
        <v>84</v>
      </c>
      <c r="O4557" s="2" t="s">
        <v>841</v>
      </c>
      <c r="P4557" s="2" t="s">
        <v>3171</v>
      </c>
    </row>
    <row r="4558" spans="1:16" ht="22" customHeight="1" x14ac:dyDescent="0.15">
      <c r="A4558" s="10" t="str">
        <f t="shared" si="746"/>
        <v>589_10_55_10_polygon</v>
      </c>
      <c r="B4558" s="2">
        <v>589</v>
      </c>
      <c r="C4558" s="30" t="str">
        <f>VLOOKUP(B4558,gachas!A:C,3)</f>
        <v>ニューフェイスガチャ（英傑）</v>
      </c>
      <c r="D4558" s="21">
        <v>10</v>
      </c>
      <c r="E4558" s="2">
        <f t="shared" si="730"/>
        <v>55</v>
      </c>
      <c r="F4558" s="2">
        <v>10</v>
      </c>
      <c r="G4558" s="3" t="s">
        <v>22</v>
      </c>
      <c r="H4558" s="2">
        <v>50</v>
      </c>
      <c r="I4558" s="114" t="str">
        <f t="shared" si="729"/>
        <v>589100</v>
      </c>
      <c r="J4558" s="112" t="s">
        <v>84</v>
      </c>
      <c r="K4558" s="2" t="s">
        <v>84</v>
      </c>
      <c r="L4558" s="2">
        <v>0</v>
      </c>
      <c r="M4558" s="2" t="s">
        <v>84</v>
      </c>
      <c r="N4558" s="2" t="s">
        <v>84</v>
      </c>
      <c r="O4558" s="2" t="s">
        <v>841</v>
      </c>
      <c r="P4558" s="2" t="s">
        <v>2637</v>
      </c>
    </row>
    <row r="4559" spans="1:16" ht="22" customHeight="1" x14ac:dyDescent="0.15">
      <c r="A4559" s="10" t="str">
        <f t="shared" si="746"/>
        <v>589_10_56_10_polygon</v>
      </c>
      <c r="B4559" s="2">
        <v>589</v>
      </c>
      <c r="C4559" s="30" t="str">
        <f>VLOOKUP(B4559,gachas!A:C,3)</f>
        <v>ニューフェイスガチャ（英傑）</v>
      </c>
      <c r="D4559" s="21">
        <v>10</v>
      </c>
      <c r="E4559" s="2">
        <f t="shared" si="730"/>
        <v>56</v>
      </c>
      <c r="F4559" s="2">
        <v>10</v>
      </c>
      <c r="G4559" s="3" t="s">
        <v>22</v>
      </c>
      <c r="H4559" s="2">
        <v>50</v>
      </c>
      <c r="I4559" s="114" t="str">
        <f t="shared" si="729"/>
        <v>589100</v>
      </c>
      <c r="J4559" s="112" t="s">
        <v>84</v>
      </c>
      <c r="K4559" s="2" t="s">
        <v>84</v>
      </c>
      <c r="L4559" s="2">
        <v>0</v>
      </c>
      <c r="M4559" s="2" t="s">
        <v>84</v>
      </c>
      <c r="N4559" s="2" t="s">
        <v>84</v>
      </c>
      <c r="O4559" s="2" t="s">
        <v>841</v>
      </c>
      <c r="P4559" s="2" t="s">
        <v>2637</v>
      </c>
    </row>
    <row r="4560" spans="1:16" ht="22" customHeight="1" x14ac:dyDescent="0.15">
      <c r="A4560" s="10" t="str">
        <f t="shared" si="746"/>
        <v>589_10_57_10_polygon</v>
      </c>
      <c r="B4560" s="2">
        <v>589</v>
      </c>
      <c r="C4560" s="30" t="str">
        <f>VLOOKUP(B4560,gachas!A:C,3)</f>
        <v>ニューフェイスガチャ（英傑）</v>
      </c>
      <c r="D4560" s="21">
        <v>10</v>
      </c>
      <c r="E4560" s="2">
        <f t="shared" si="730"/>
        <v>57</v>
      </c>
      <c r="F4560" s="2">
        <v>10</v>
      </c>
      <c r="G4560" s="3" t="s">
        <v>22</v>
      </c>
      <c r="H4560" s="2">
        <v>50</v>
      </c>
      <c r="I4560" s="114" t="str">
        <f t="shared" si="729"/>
        <v>589100</v>
      </c>
      <c r="J4560" s="112" t="s">
        <v>84</v>
      </c>
      <c r="K4560" s="117" t="str">
        <f t="shared" ref="K4560" si="749">CONCATENATE(B4560,"105")</f>
        <v>589105</v>
      </c>
      <c r="L4560" s="2">
        <v>1</v>
      </c>
      <c r="M4560" s="2" t="s">
        <v>84</v>
      </c>
      <c r="N4560" s="2" t="s">
        <v>84</v>
      </c>
      <c r="O4560" s="2" t="s">
        <v>841</v>
      </c>
      <c r="P4560" s="2" t="s">
        <v>3171</v>
      </c>
    </row>
    <row r="4561" spans="1:16" ht="22" customHeight="1" x14ac:dyDescent="0.15">
      <c r="A4561" s="10" t="str">
        <f t="shared" si="746"/>
        <v>589_10_58_10_polygon</v>
      </c>
      <c r="B4561" s="2">
        <v>589</v>
      </c>
      <c r="C4561" s="30" t="str">
        <f>VLOOKUP(B4561,gachas!A:C,3)</f>
        <v>ニューフェイスガチャ（英傑）</v>
      </c>
      <c r="D4561" s="21">
        <v>10</v>
      </c>
      <c r="E4561" s="2">
        <f t="shared" si="730"/>
        <v>58</v>
      </c>
      <c r="F4561" s="2">
        <v>10</v>
      </c>
      <c r="G4561" s="3" t="s">
        <v>22</v>
      </c>
      <c r="H4561" s="2">
        <v>50</v>
      </c>
      <c r="I4561" s="114" t="str">
        <f t="shared" si="729"/>
        <v>589100</v>
      </c>
      <c r="J4561" s="112" t="s">
        <v>84</v>
      </c>
      <c r="K4561" s="2" t="s">
        <v>84</v>
      </c>
      <c r="L4561" s="2">
        <v>0</v>
      </c>
      <c r="M4561" s="2" t="s">
        <v>84</v>
      </c>
      <c r="N4561" s="2" t="s">
        <v>84</v>
      </c>
      <c r="O4561" s="2" t="s">
        <v>841</v>
      </c>
      <c r="P4561" s="2" t="s">
        <v>2637</v>
      </c>
    </row>
    <row r="4562" spans="1:16" ht="22" customHeight="1" x14ac:dyDescent="0.15">
      <c r="A4562" s="10" t="str">
        <f t="shared" si="746"/>
        <v>589_10_59_10_polygon</v>
      </c>
      <c r="B4562" s="2">
        <v>589</v>
      </c>
      <c r="C4562" s="30" t="str">
        <f>VLOOKUP(B4562,gachas!A:C,3)</f>
        <v>ニューフェイスガチャ（英傑）</v>
      </c>
      <c r="D4562" s="21">
        <v>10</v>
      </c>
      <c r="E4562" s="2">
        <f t="shared" si="730"/>
        <v>59</v>
      </c>
      <c r="F4562" s="2">
        <v>10</v>
      </c>
      <c r="G4562" s="3" t="s">
        <v>22</v>
      </c>
      <c r="H4562" s="2">
        <v>50</v>
      </c>
      <c r="I4562" s="114" t="str">
        <f t="shared" si="729"/>
        <v>589100</v>
      </c>
      <c r="J4562" s="112" t="s">
        <v>84</v>
      </c>
      <c r="K4562" s="2" t="s">
        <v>84</v>
      </c>
      <c r="L4562" s="2">
        <v>0</v>
      </c>
      <c r="M4562" s="2" t="s">
        <v>84</v>
      </c>
      <c r="N4562" s="2" t="s">
        <v>84</v>
      </c>
      <c r="O4562" s="2" t="s">
        <v>841</v>
      </c>
      <c r="P4562" s="2" t="s">
        <v>2637</v>
      </c>
    </row>
    <row r="4563" spans="1:16" ht="22" customHeight="1" x14ac:dyDescent="0.15">
      <c r="A4563" s="10" t="str">
        <f t="shared" si="746"/>
        <v>589_10_60_10_polygon</v>
      </c>
      <c r="B4563" s="2">
        <v>589</v>
      </c>
      <c r="C4563" s="30" t="str">
        <f>VLOOKUP(B4563,gachas!A:C,3)</f>
        <v>ニューフェイスガチャ（英傑）</v>
      </c>
      <c r="D4563" s="21">
        <v>10</v>
      </c>
      <c r="E4563" s="2">
        <f t="shared" si="730"/>
        <v>60</v>
      </c>
      <c r="F4563" s="2">
        <v>10</v>
      </c>
      <c r="G4563" s="3" t="s">
        <v>22</v>
      </c>
      <c r="H4563" s="2">
        <v>50</v>
      </c>
      <c r="I4563" s="114" t="str">
        <f t="shared" si="729"/>
        <v>589100</v>
      </c>
      <c r="J4563" s="112" t="s">
        <v>84</v>
      </c>
      <c r="K4563" s="117" t="str">
        <f t="shared" ref="K4563" si="750">CONCATENATE(B4563,"105")</f>
        <v>589105</v>
      </c>
      <c r="L4563" s="2">
        <v>1</v>
      </c>
      <c r="M4563" s="2" t="s">
        <v>84</v>
      </c>
      <c r="N4563" s="2" t="s">
        <v>84</v>
      </c>
      <c r="O4563" s="2" t="s">
        <v>841</v>
      </c>
      <c r="P4563" s="2" t="s">
        <v>3171</v>
      </c>
    </row>
    <row r="4564" spans="1:16" ht="22" customHeight="1" x14ac:dyDescent="0.15">
      <c r="A4564" s="10" t="str">
        <f t="shared" si="746"/>
        <v>590_1_1_1_polygon</v>
      </c>
      <c r="B4564" s="2">
        <v>590</v>
      </c>
      <c r="C4564" s="30" t="str">
        <f>VLOOKUP(B4564,gachas!A:C,3)</f>
        <v>常設レアガチャ（童話in)</v>
      </c>
      <c r="D4564" s="21">
        <v>1</v>
      </c>
      <c r="E4564" s="2">
        <v>1</v>
      </c>
      <c r="F4564" s="2">
        <v>1</v>
      </c>
      <c r="G4564" s="3" t="s">
        <v>22</v>
      </c>
      <c r="H4564" s="2">
        <v>5</v>
      </c>
      <c r="I4564" s="117" t="str">
        <f>I4566</f>
        <v>590100</v>
      </c>
      <c r="J4564" s="112" t="s">
        <v>84</v>
      </c>
      <c r="K4564" s="2" t="s">
        <v>84</v>
      </c>
      <c r="L4564" s="2">
        <v>0</v>
      </c>
      <c r="M4564" s="2" t="s">
        <v>84</v>
      </c>
      <c r="N4564" s="2" t="s">
        <v>84</v>
      </c>
      <c r="O4564" s="2" t="s">
        <v>841</v>
      </c>
      <c r="P4564" s="2" t="s">
        <v>142</v>
      </c>
    </row>
    <row r="4565" spans="1:16" ht="22" customHeight="1" x14ac:dyDescent="0.15">
      <c r="A4565" s="10" t="str">
        <f t="shared" si="746"/>
        <v>590_1_0_1_polygon</v>
      </c>
      <c r="B4565" s="2">
        <v>590</v>
      </c>
      <c r="C4565" s="30" t="str">
        <f>VLOOKUP(B4565,gachas!A:C,3)</f>
        <v>常設レアガチャ（童話in)</v>
      </c>
      <c r="D4565" s="21">
        <v>1</v>
      </c>
      <c r="E4565" s="2">
        <v>0</v>
      </c>
      <c r="F4565" s="2">
        <v>1</v>
      </c>
      <c r="G4565" s="3" t="s">
        <v>22</v>
      </c>
      <c r="H4565" s="2">
        <v>5</v>
      </c>
      <c r="I4565" s="117" t="str">
        <f>B4565&amp;TEXT(D4565,"00")&amp;E4565</f>
        <v>590010</v>
      </c>
      <c r="J4565" s="112" t="s">
        <v>84</v>
      </c>
      <c r="K4565" s="2" t="s">
        <v>84</v>
      </c>
      <c r="L4565" s="2">
        <v>0</v>
      </c>
      <c r="M4565" s="2" t="s">
        <v>84</v>
      </c>
      <c r="N4565" s="2" t="s">
        <v>84</v>
      </c>
      <c r="O4565" s="2" t="s">
        <v>841</v>
      </c>
      <c r="P4565" s="2" t="s">
        <v>84</v>
      </c>
    </row>
    <row r="4566" spans="1:16" ht="22" customHeight="1" x14ac:dyDescent="0.15">
      <c r="A4566" s="139" t="str">
        <f t="shared" si="746"/>
        <v>590_10_0_10_polygon</v>
      </c>
      <c r="B4566" s="2">
        <v>590</v>
      </c>
      <c r="C4566" s="30" t="str">
        <f>VLOOKUP(B4566,gachas!A:C,3)</f>
        <v>常設レアガチャ（童話in)</v>
      </c>
      <c r="D4566" s="21">
        <v>10</v>
      </c>
      <c r="E4566" s="2">
        <v>0</v>
      </c>
      <c r="F4566" s="2">
        <v>10</v>
      </c>
      <c r="G4566" s="3" t="s">
        <v>22</v>
      </c>
      <c r="H4566" s="2">
        <v>50</v>
      </c>
      <c r="I4566" s="117" t="str">
        <f>B4566&amp;TEXT(D4566,"00")&amp;E4566</f>
        <v>590100</v>
      </c>
      <c r="J4566" s="112" t="s">
        <v>84</v>
      </c>
      <c r="K4566" s="2" t="s">
        <v>84</v>
      </c>
      <c r="L4566" s="2">
        <v>0</v>
      </c>
      <c r="M4566" s="2" t="s">
        <v>84</v>
      </c>
      <c r="N4566" s="2" t="s">
        <v>84</v>
      </c>
      <c r="O4566" s="2" t="s">
        <v>841</v>
      </c>
      <c r="P4566" s="2" t="s">
        <v>143</v>
      </c>
    </row>
    <row r="4567" spans="1:16" ht="22" customHeight="1" x14ac:dyDescent="0.15">
      <c r="A4567" s="10" t="str">
        <f t="shared" si="746"/>
        <v>591_1_0_1_polygon</v>
      </c>
      <c r="B4567" s="2">
        <v>591</v>
      </c>
      <c r="C4567" s="30" t="str">
        <f>VLOOKUP(B4567,gachas!A:C,3)</f>
        <v xml:space="preserve"> 5月フィーバーフェス（チョイス1）</v>
      </c>
      <c r="D4567" s="21">
        <v>1</v>
      </c>
      <c r="E4567" s="2">
        <v>0</v>
      </c>
      <c r="F4567" s="2">
        <v>1</v>
      </c>
      <c r="G4567" s="3" t="s">
        <v>22</v>
      </c>
      <c r="H4567" s="2">
        <v>5</v>
      </c>
      <c r="I4567" s="114" t="str">
        <f>CONCATENATE(B4567,IF(D4567=1,"01","10"),0)</f>
        <v>591010</v>
      </c>
      <c r="J4567" s="112" t="s">
        <v>84</v>
      </c>
      <c r="K4567" s="112" t="s">
        <v>84</v>
      </c>
      <c r="L4567" s="2">
        <v>0</v>
      </c>
      <c r="M4567" s="2" t="s">
        <v>84</v>
      </c>
      <c r="N4567" s="2" t="s">
        <v>84</v>
      </c>
      <c r="O4567" s="2" t="s">
        <v>841</v>
      </c>
      <c r="P4567" s="2" t="s">
        <v>84</v>
      </c>
    </row>
    <row r="4568" spans="1:16" ht="22" customHeight="1" x14ac:dyDescent="0.15">
      <c r="A4568" s="10" t="str">
        <f t="shared" si="746"/>
        <v>591_10_0_10_polygon</v>
      </c>
      <c r="B4568" s="2">
        <v>591</v>
      </c>
      <c r="C4568" s="30" t="str">
        <f>VLOOKUP(B4568,gachas!A:C,3)</f>
        <v xml:space="preserve"> 5月フィーバーフェス（チョイス1）</v>
      </c>
      <c r="D4568" s="21">
        <v>10</v>
      </c>
      <c r="E4568" s="2">
        <v>0</v>
      </c>
      <c r="F4568" s="2">
        <v>10</v>
      </c>
      <c r="G4568" s="3" t="s">
        <v>22</v>
      </c>
      <c r="H4568" s="2">
        <v>50</v>
      </c>
      <c r="I4568" s="114" t="str">
        <f>CONCATENATE(B4568,IF(D4568=1,"01","10"),0)</f>
        <v>591100</v>
      </c>
      <c r="J4568" s="112" t="s">
        <v>84</v>
      </c>
      <c r="K4568" s="112" t="str">
        <f t="shared" ref="K4568:K4618" si="751">I4568</f>
        <v>591100</v>
      </c>
      <c r="L4568" s="2">
        <v>1</v>
      </c>
      <c r="M4568" s="2" t="s">
        <v>84</v>
      </c>
      <c r="N4568" s="2" t="s">
        <v>84</v>
      </c>
      <c r="O4568" s="2" t="s">
        <v>841</v>
      </c>
      <c r="P4568" s="2" t="s">
        <v>2571</v>
      </c>
    </row>
    <row r="4569" spans="1:16" ht="22" customHeight="1" x14ac:dyDescent="0.15">
      <c r="A4569" s="10" t="str">
        <f t="shared" si="746"/>
        <v>591_10_1_10_polygon</v>
      </c>
      <c r="B4569" s="2">
        <v>591</v>
      </c>
      <c r="C4569" s="30" t="str">
        <f>VLOOKUP(B4569,gachas!A:C,3)</f>
        <v xml:space="preserve"> 5月フィーバーフェス（チョイス1）</v>
      </c>
      <c r="D4569" s="21">
        <v>10</v>
      </c>
      <c r="E4569" s="2">
        <f>E4568+1</f>
        <v>1</v>
      </c>
      <c r="F4569" s="2">
        <v>10</v>
      </c>
      <c r="G4569" s="3" t="s">
        <v>22</v>
      </c>
      <c r="H4569" s="2">
        <v>50</v>
      </c>
      <c r="I4569" s="114" t="str">
        <f>CONCATENATE(B4569,IF(D4569=1,"01","10"),0)</f>
        <v>591100</v>
      </c>
      <c r="J4569" s="112" t="s">
        <v>84</v>
      </c>
      <c r="K4569" s="112" t="str">
        <f t="shared" si="751"/>
        <v>591100</v>
      </c>
      <c r="L4569" s="2">
        <v>1</v>
      </c>
      <c r="M4569" s="2" t="s">
        <v>84</v>
      </c>
      <c r="N4569" s="2" t="s">
        <v>84</v>
      </c>
      <c r="O4569" s="2" t="s">
        <v>841</v>
      </c>
      <c r="P4569" s="2" t="s">
        <v>2571</v>
      </c>
    </row>
    <row r="4570" spans="1:16" ht="22" customHeight="1" x14ac:dyDescent="0.15">
      <c r="A4570" s="10" t="str">
        <f t="shared" si="746"/>
        <v>591_10_2_10_polygon</v>
      </c>
      <c r="B4570" s="2">
        <v>591</v>
      </c>
      <c r="C4570" s="30" t="str">
        <f>VLOOKUP(B4570,gachas!A:C,3)</f>
        <v xml:space="preserve"> 5月フィーバーフェス（チョイス1）</v>
      </c>
      <c r="D4570" s="21">
        <v>10</v>
      </c>
      <c r="E4570" s="2">
        <f t="shared" ref="E4570:E4618" si="752">E4569+1</f>
        <v>2</v>
      </c>
      <c r="F4570" s="2">
        <v>10</v>
      </c>
      <c r="G4570" s="3" t="s">
        <v>22</v>
      </c>
      <c r="H4570" s="2">
        <v>50</v>
      </c>
      <c r="I4570" s="114" t="str">
        <f t="shared" ref="I4570:I4618" si="753">CONCATENATE(B4570,IF(D4570=1,"01","10"),0)</f>
        <v>591100</v>
      </c>
      <c r="J4570" s="112" t="s">
        <v>84</v>
      </c>
      <c r="K4570" s="112" t="str">
        <f t="shared" si="751"/>
        <v>591100</v>
      </c>
      <c r="L4570" s="2">
        <v>1</v>
      </c>
      <c r="M4570" s="2" t="s">
        <v>84</v>
      </c>
      <c r="N4570" s="2" t="s">
        <v>84</v>
      </c>
      <c r="O4570" s="2" t="s">
        <v>841</v>
      </c>
      <c r="P4570" s="2" t="s">
        <v>2571</v>
      </c>
    </row>
    <row r="4571" spans="1:16" ht="22" customHeight="1" x14ac:dyDescent="0.15">
      <c r="A4571" s="10" t="str">
        <f t="shared" si="746"/>
        <v>591_10_3_10_polygon</v>
      </c>
      <c r="B4571" s="2">
        <v>591</v>
      </c>
      <c r="C4571" s="30" t="str">
        <f>VLOOKUP(B4571,gachas!A:C,3)</f>
        <v xml:space="preserve"> 5月フィーバーフェス（チョイス1）</v>
      </c>
      <c r="D4571" s="21">
        <v>10</v>
      </c>
      <c r="E4571" s="2">
        <f t="shared" si="752"/>
        <v>3</v>
      </c>
      <c r="F4571" s="2">
        <v>10</v>
      </c>
      <c r="G4571" s="3" t="s">
        <v>22</v>
      </c>
      <c r="H4571" s="2">
        <v>50</v>
      </c>
      <c r="I4571" s="114" t="str">
        <f t="shared" si="753"/>
        <v>591100</v>
      </c>
      <c r="J4571" s="112" t="s">
        <v>84</v>
      </c>
      <c r="K4571" s="112" t="str">
        <f t="shared" si="751"/>
        <v>591100</v>
      </c>
      <c r="L4571" s="2">
        <v>1</v>
      </c>
      <c r="M4571" s="2" t="s">
        <v>84</v>
      </c>
      <c r="N4571" s="2" t="s">
        <v>84</v>
      </c>
      <c r="O4571" s="2" t="s">
        <v>841</v>
      </c>
      <c r="P4571" s="2" t="s">
        <v>2571</v>
      </c>
    </row>
    <row r="4572" spans="1:16" ht="22" customHeight="1" x14ac:dyDescent="0.15">
      <c r="A4572" s="10" t="str">
        <f t="shared" si="746"/>
        <v>591_10_4_10_polygon</v>
      </c>
      <c r="B4572" s="2">
        <v>591</v>
      </c>
      <c r="C4572" s="30" t="str">
        <f>VLOOKUP(B4572,gachas!A:C,3)</f>
        <v xml:space="preserve"> 5月フィーバーフェス（チョイス1）</v>
      </c>
      <c r="D4572" s="21">
        <v>10</v>
      </c>
      <c r="E4572" s="2">
        <f t="shared" si="752"/>
        <v>4</v>
      </c>
      <c r="F4572" s="2">
        <v>10</v>
      </c>
      <c r="G4572" s="3" t="s">
        <v>22</v>
      </c>
      <c r="H4572" s="2">
        <v>50</v>
      </c>
      <c r="I4572" s="114" t="str">
        <f t="shared" si="753"/>
        <v>591100</v>
      </c>
      <c r="J4572" s="112" t="s">
        <v>84</v>
      </c>
      <c r="K4572" s="112" t="str">
        <f t="shared" si="751"/>
        <v>591100</v>
      </c>
      <c r="L4572" s="2">
        <v>1</v>
      </c>
      <c r="M4572" s="2" t="s">
        <v>84</v>
      </c>
      <c r="N4572" s="2" t="s">
        <v>84</v>
      </c>
      <c r="O4572" s="2" t="s">
        <v>841</v>
      </c>
      <c r="P4572" s="2" t="s">
        <v>2571</v>
      </c>
    </row>
    <row r="4573" spans="1:16" ht="22" customHeight="1" x14ac:dyDescent="0.15">
      <c r="A4573" s="10" t="str">
        <f t="shared" si="746"/>
        <v>591_10_5_10_polygon</v>
      </c>
      <c r="B4573" s="2">
        <v>591</v>
      </c>
      <c r="C4573" s="30" t="str">
        <f>VLOOKUP(B4573,gachas!A:C,3)</f>
        <v xml:space="preserve"> 5月フィーバーフェス（チョイス1）</v>
      </c>
      <c r="D4573" s="21">
        <v>10</v>
      </c>
      <c r="E4573" s="2">
        <f t="shared" si="752"/>
        <v>5</v>
      </c>
      <c r="F4573" s="2">
        <v>10</v>
      </c>
      <c r="G4573" s="3" t="s">
        <v>22</v>
      </c>
      <c r="H4573" s="2">
        <v>50</v>
      </c>
      <c r="I4573" s="114" t="str">
        <f t="shared" si="753"/>
        <v>591100</v>
      </c>
      <c r="J4573" s="112" t="str">
        <f>CONCATENATE(B4573,D4573,5)</f>
        <v>591105</v>
      </c>
      <c r="K4573" s="112" t="str">
        <f t="shared" si="751"/>
        <v>591100</v>
      </c>
      <c r="L4573" s="2">
        <v>1</v>
      </c>
      <c r="M4573" s="2" t="s">
        <v>84</v>
      </c>
      <c r="N4573" s="2" t="s">
        <v>84</v>
      </c>
      <c r="O4573" s="2" t="s">
        <v>841</v>
      </c>
      <c r="P4573" s="2" t="s">
        <v>2648</v>
      </c>
    </row>
    <row r="4574" spans="1:16" ht="22" customHeight="1" x14ac:dyDescent="0.15">
      <c r="A4574" s="10" t="str">
        <f t="shared" si="746"/>
        <v>591_10_6_10_polygon</v>
      </c>
      <c r="B4574" s="2">
        <v>591</v>
      </c>
      <c r="C4574" s="30" t="str">
        <f>VLOOKUP(B4574,gachas!A:C,3)</f>
        <v xml:space="preserve"> 5月フィーバーフェス（チョイス1）</v>
      </c>
      <c r="D4574" s="21">
        <v>10</v>
      </c>
      <c r="E4574" s="2">
        <f t="shared" si="752"/>
        <v>6</v>
      </c>
      <c r="F4574" s="2">
        <v>10</v>
      </c>
      <c r="G4574" s="3" t="s">
        <v>22</v>
      </c>
      <c r="H4574" s="2">
        <v>50</v>
      </c>
      <c r="I4574" s="114" t="str">
        <f t="shared" si="753"/>
        <v>591100</v>
      </c>
      <c r="J4574" s="112" t="s">
        <v>84</v>
      </c>
      <c r="K4574" s="112" t="str">
        <f t="shared" si="751"/>
        <v>591100</v>
      </c>
      <c r="L4574" s="2">
        <v>1</v>
      </c>
      <c r="M4574" s="2" t="s">
        <v>84</v>
      </c>
      <c r="N4574" s="2" t="s">
        <v>84</v>
      </c>
      <c r="O4574" s="2" t="s">
        <v>841</v>
      </c>
      <c r="P4574" s="2" t="s">
        <v>2571</v>
      </c>
    </row>
    <row r="4575" spans="1:16" ht="22" customHeight="1" x14ac:dyDescent="0.15">
      <c r="A4575" s="10" t="str">
        <f t="shared" si="746"/>
        <v>591_10_7_10_polygon</v>
      </c>
      <c r="B4575" s="2">
        <v>591</v>
      </c>
      <c r="C4575" s="30" t="str">
        <f>VLOOKUP(B4575,gachas!A:C,3)</f>
        <v xml:space="preserve"> 5月フィーバーフェス（チョイス1）</v>
      </c>
      <c r="D4575" s="21">
        <v>10</v>
      </c>
      <c r="E4575" s="2">
        <f t="shared" si="752"/>
        <v>7</v>
      </c>
      <c r="F4575" s="2">
        <v>10</v>
      </c>
      <c r="G4575" s="3" t="s">
        <v>22</v>
      </c>
      <c r="H4575" s="2">
        <v>50</v>
      </c>
      <c r="I4575" s="114" t="str">
        <f t="shared" si="753"/>
        <v>591100</v>
      </c>
      <c r="J4575" s="112" t="s">
        <v>84</v>
      </c>
      <c r="K4575" s="112" t="str">
        <f t="shared" si="751"/>
        <v>591100</v>
      </c>
      <c r="L4575" s="2">
        <v>1</v>
      </c>
      <c r="M4575" s="2" t="s">
        <v>84</v>
      </c>
      <c r="N4575" s="2" t="s">
        <v>84</v>
      </c>
      <c r="O4575" s="2" t="s">
        <v>841</v>
      </c>
      <c r="P4575" s="2" t="s">
        <v>2571</v>
      </c>
    </row>
    <row r="4576" spans="1:16" ht="22" customHeight="1" x14ac:dyDescent="0.15">
      <c r="A4576" s="10" t="str">
        <f t="shared" si="746"/>
        <v>591_10_8_10_polygon</v>
      </c>
      <c r="B4576" s="2">
        <v>591</v>
      </c>
      <c r="C4576" s="30" t="str">
        <f>VLOOKUP(B4576,gachas!A:C,3)</f>
        <v xml:space="preserve"> 5月フィーバーフェス（チョイス1）</v>
      </c>
      <c r="D4576" s="21">
        <v>10</v>
      </c>
      <c r="E4576" s="2">
        <f t="shared" si="752"/>
        <v>8</v>
      </c>
      <c r="F4576" s="2">
        <v>10</v>
      </c>
      <c r="G4576" s="3" t="s">
        <v>22</v>
      </c>
      <c r="H4576" s="2">
        <v>50</v>
      </c>
      <c r="I4576" s="114" t="str">
        <f t="shared" si="753"/>
        <v>591100</v>
      </c>
      <c r="J4576" s="112" t="s">
        <v>84</v>
      </c>
      <c r="K4576" s="112" t="str">
        <f t="shared" si="751"/>
        <v>591100</v>
      </c>
      <c r="L4576" s="2">
        <v>1</v>
      </c>
      <c r="M4576" s="2" t="s">
        <v>84</v>
      </c>
      <c r="N4576" s="2" t="s">
        <v>84</v>
      </c>
      <c r="O4576" s="2" t="s">
        <v>841</v>
      </c>
      <c r="P4576" s="2" t="s">
        <v>2571</v>
      </c>
    </row>
    <row r="4577" spans="1:16" ht="22" customHeight="1" x14ac:dyDescent="0.15">
      <c r="A4577" s="10" t="str">
        <f t="shared" si="746"/>
        <v>591_10_9_10_polygon</v>
      </c>
      <c r="B4577" s="2">
        <v>591</v>
      </c>
      <c r="C4577" s="30" t="str">
        <f>VLOOKUP(B4577,gachas!A:C,3)</f>
        <v xml:space="preserve"> 5月フィーバーフェス（チョイス1）</v>
      </c>
      <c r="D4577" s="21">
        <v>10</v>
      </c>
      <c r="E4577" s="2">
        <f t="shared" si="752"/>
        <v>9</v>
      </c>
      <c r="F4577" s="2">
        <v>10</v>
      </c>
      <c r="G4577" s="3" t="s">
        <v>22</v>
      </c>
      <c r="H4577" s="2">
        <v>50</v>
      </c>
      <c r="I4577" s="114" t="str">
        <f t="shared" si="753"/>
        <v>591100</v>
      </c>
      <c r="J4577" s="112" t="s">
        <v>84</v>
      </c>
      <c r="K4577" s="112" t="str">
        <f t="shared" si="751"/>
        <v>591100</v>
      </c>
      <c r="L4577" s="2">
        <v>1</v>
      </c>
      <c r="M4577" s="2" t="s">
        <v>84</v>
      </c>
      <c r="N4577" s="2" t="s">
        <v>84</v>
      </c>
      <c r="O4577" s="2" t="s">
        <v>841</v>
      </c>
      <c r="P4577" s="2" t="s">
        <v>2571</v>
      </c>
    </row>
    <row r="4578" spans="1:16" ht="22" customHeight="1" x14ac:dyDescent="0.15">
      <c r="A4578" s="10" t="str">
        <f t="shared" si="746"/>
        <v>591_10_10_10_polygon</v>
      </c>
      <c r="B4578" s="2">
        <v>591</v>
      </c>
      <c r="C4578" s="30" t="str">
        <f>VLOOKUP(B4578,gachas!A:C,3)</f>
        <v xml:space="preserve"> 5月フィーバーフェス（チョイス1）</v>
      </c>
      <c r="D4578" s="21">
        <v>10</v>
      </c>
      <c r="E4578" s="2">
        <f t="shared" si="752"/>
        <v>10</v>
      </c>
      <c r="F4578" s="2">
        <v>10</v>
      </c>
      <c r="G4578" s="3" t="s">
        <v>22</v>
      </c>
      <c r="H4578" s="2">
        <v>50</v>
      </c>
      <c r="I4578" s="114" t="str">
        <f t="shared" si="753"/>
        <v>591100</v>
      </c>
      <c r="J4578" s="112" t="str">
        <f>CONCATENATE(B4578,D4578,5)</f>
        <v>591105</v>
      </c>
      <c r="K4578" s="112" t="str">
        <f t="shared" si="751"/>
        <v>591100</v>
      </c>
      <c r="L4578" s="2">
        <v>1</v>
      </c>
      <c r="M4578" s="2" t="s">
        <v>84</v>
      </c>
      <c r="N4578" s="2" t="s">
        <v>84</v>
      </c>
      <c r="O4578" s="2" t="s">
        <v>841</v>
      </c>
      <c r="P4578" s="2" t="s">
        <v>2648</v>
      </c>
    </row>
    <row r="4579" spans="1:16" ht="22" customHeight="1" x14ac:dyDescent="0.15">
      <c r="A4579" s="10" t="str">
        <f t="shared" si="746"/>
        <v>591_10_11_10_polygon</v>
      </c>
      <c r="B4579" s="2">
        <v>591</v>
      </c>
      <c r="C4579" s="30" t="str">
        <f>VLOOKUP(B4579,gachas!A:C,3)</f>
        <v xml:space="preserve"> 5月フィーバーフェス（チョイス1）</v>
      </c>
      <c r="D4579" s="21">
        <v>10</v>
      </c>
      <c r="E4579" s="2">
        <f t="shared" si="752"/>
        <v>11</v>
      </c>
      <c r="F4579" s="2">
        <v>10</v>
      </c>
      <c r="G4579" s="3" t="s">
        <v>22</v>
      </c>
      <c r="H4579" s="2">
        <v>50</v>
      </c>
      <c r="I4579" s="114" t="str">
        <f t="shared" si="753"/>
        <v>591100</v>
      </c>
      <c r="J4579" s="112" t="s">
        <v>84</v>
      </c>
      <c r="K4579" s="112" t="str">
        <f t="shared" si="751"/>
        <v>591100</v>
      </c>
      <c r="L4579" s="2">
        <v>1</v>
      </c>
      <c r="M4579" s="2" t="s">
        <v>84</v>
      </c>
      <c r="N4579" s="2" t="s">
        <v>84</v>
      </c>
      <c r="O4579" s="2" t="s">
        <v>841</v>
      </c>
      <c r="P4579" s="2" t="s">
        <v>2571</v>
      </c>
    </row>
    <row r="4580" spans="1:16" ht="22" customHeight="1" x14ac:dyDescent="0.15">
      <c r="A4580" s="10" t="str">
        <f t="shared" si="746"/>
        <v>591_10_12_10_polygon</v>
      </c>
      <c r="B4580" s="2">
        <v>591</v>
      </c>
      <c r="C4580" s="30" t="str">
        <f>VLOOKUP(B4580,gachas!A:C,3)</f>
        <v xml:space="preserve"> 5月フィーバーフェス（チョイス1）</v>
      </c>
      <c r="D4580" s="21">
        <v>10</v>
      </c>
      <c r="E4580" s="2">
        <f t="shared" si="752"/>
        <v>12</v>
      </c>
      <c r="F4580" s="2">
        <v>10</v>
      </c>
      <c r="G4580" s="3" t="s">
        <v>22</v>
      </c>
      <c r="H4580" s="2">
        <v>50</v>
      </c>
      <c r="I4580" s="114" t="str">
        <f t="shared" si="753"/>
        <v>591100</v>
      </c>
      <c r="J4580" s="112" t="s">
        <v>84</v>
      </c>
      <c r="K4580" s="112" t="str">
        <f t="shared" si="751"/>
        <v>591100</v>
      </c>
      <c r="L4580" s="2">
        <v>1</v>
      </c>
      <c r="M4580" s="2" t="s">
        <v>84</v>
      </c>
      <c r="N4580" s="2" t="s">
        <v>84</v>
      </c>
      <c r="O4580" s="2" t="s">
        <v>841</v>
      </c>
      <c r="P4580" s="2" t="s">
        <v>2571</v>
      </c>
    </row>
    <row r="4581" spans="1:16" ht="22" customHeight="1" x14ac:dyDescent="0.15">
      <c r="A4581" s="10" t="str">
        <f t="shared" si="746"/>
        <v>591_10_13_10_polygon</v>
      </c>
      <c r="B4581" s="2">
        <v>591</v>
      </c>
      <c r="C4581" s="30" t="str">
        <f>VLOOKUP(B4581,gachas!A:C,3)</f>
        <v xml:space="preserve"> 5月フィーバーフェス（チョイス1）</v>
      </c>
      <c r="D4581" s="21">
        <v>10</v>
      </c>
      <c r="E4581" s="2">
        <f t="shared" si="752"/>
        <v>13</v>
      </c>
      <c r="F4581" s="2">
        <v>10</v>
      </c>
      <c r="G4581" s="3" t="s">
        <v>22</v>
      </c>
      <c r="H4581" s="2">
        <v>50</v>
      </c>
      <c r="I4581" s="114" t="str">
        <f t="shared" si="753"/>
        <v>591100</v>
      </c>
      <c r="J4581" s="112" t="s">
        <v>84</v>
      </c>
      <c r="K4581" s="112" t="str">
        <f t="shared" si="751"/>
        <v>591100</v>
      </c>
      <c r="L4581" s="2">
        <v>1</v>
      </c>
      <c r="M4581" s="2" t="s">
        <v>84</v>
      </c>
      <c r="N4581" s="2" t="s">
        <v>84</v>
      </c>
      <c r="O4581" s="2" t="s">
        <v>841</v>
      </c>
      <c r="P4581" s="2" t="s">
        <v>2571</v>
      </c>
    </row>
    <row r="4582" spans="1:16" ht="22" customHeight="1" x14ac:dyDescent="0.15">
      <c r="A4582" s="10" t="str">
        <f t="shared" si="746"/>
        <v>591_10_14_10_polygon</v>
      </c>
      <c r="B4582" s="2">
        <v>591</v>
      </c>
      <c r="C4582" s="30" t="str">
        <f>VLOOKUP(B4582,gachas!A:C,3)</f>
        <v xml:space="preserve"> 5月フィーバーフェス（チョイス1）</v>
      </c>
      <c r="D4582" s="21">
        <v>10</v>
      </c>
      <c r="E4582" s="2">
        <f t="shared" si="752"/>
        <v>14</v>
      </c>
      <c r="F4582" s="2">
        <v>10</v>
      </c>
      <c r="G4582" s="3" t="s">
        <v>22</v>
      </c>
      <c r="H4582" s="2">
        <v>50</v>
      </c>
      <c r="I4582" s="114" t="str">
        <f t="shared" si="753"/>
        <v>591100</v>
      </c>
      <c r="J4582" s="112" t="s">
        <v>84</v>
      </c>
      <c r="K4582" s="112" t="str">
        <f t="shared" si="751"/>
        <v>591100</v>
      </c>
      <c r="L4582" s="2">
        <v>1</v>
      </c>
      <c r="M4582" s="2" t="s">
        <v>84</v>
      </c>
      <c r="N4582" s="2" t="s">
        <v>84</v>
      </c>
      <c r="O4582" s="2" t="s">
        <v>841</v>
      </c>
      <c r="P4582" s="2" t="s">
        <v>2571</v>
      </c>
    </row>
    <row r="4583" spans="1:16" ht="22" customHeight="1" x14ac:dyDescent="0.15">
      <c r="A4583" s="10" t="str">
        <f t="shared" si="746"/>
        <v>591_10_15_10_polygon</v>
      </c>
      <c r="B4583" s="2">
        <v>591</v>
      </c>
      <c r="C4583" s="30" t="str">
        <f>VLOOKUP(B4583,gachas!A:C,3)</f>
        <v xml:space="preserve"> 5月フィーバーフェス（チョイス1）</v>
      </c>
      <c r="D4583" s="21">
        <v>10</v>
      </c>
      <c r="E4583" s="2">
        <f t="shared" si="752"/>
        <v>15</v>
      </c>
      <c r="F4583" s="2">
        <v>10</v>
      </c>
      <c r="G4583" s="3" t="s">
        <v>22</v>
      </c>
      <c r="H4583" s="2">
        <v>50</v>
      </c>
      <c r="I4583" s="114" t="str">
        <f t="shared" si="753"/>
        <v>591100</v>
      </c>
      <c r="J4583" s="112" t="str">
        <f>CONCATENATE(B4583,D4583,5)</f>
        <v>591105</v>
      </c>
      <c r="K4583" s="112" t="str">
        <f t="shared" si="751"/>
        <v>591100</v>
      </c>
      <c r="L4583" s="2">
        <v>1</v>
      </c>
      <c r="M4583" s="2" t="s">
        <v>84</v>
      </c>
      <c r="N4583" s="2" t="s">
        <v>84</v>
      </c>
      <c r="O4583" s="2" t="s">
        <v>841</v>
      </c>
      <c r="P4583" s="2" t="s">
        <v>2648</v>
      </c>
    </row>
    <row r="4584" spans="1:16" ht="22" customHeight="1" x14ac:dyDescent="0.15">
      <c r="A4584" s="10" t="str">
        <f t="shared" si="746"/>
        <v>591_10_16_10_polygon</v>
      </c>
      <c r="B4584" s="2">
        <v>591</v>
      </c>
      <c r="C4584" s="30" t="str">
        <f>VLOOKUP(B4584,gachas!A:C,3)</f>
        <v xml:space="preserve"> 5月フィーバーフェス（チョイス1）</v>
      </c>
      <c r="D4584" s="21">
        <v>10</v>
      </c>
      <c r="E4584" s="2">
        <f t="shared" si="752"/>
        <v>16</v>
      </c>
      <c r="F4584" s="2">
        <v>10</v>
      </c>
      <c r="G4584" s="3" t="s">
        <v>22</v>
      </c>
      <c r="H4584" s="2">
        <v>50</v>
      </c>
      <c r="I4584" s="114" t="str">
        <f t="shared" si="753"/>
        <v>591100</v>
      </c>
      <c r="J4584" s="112" t="s">
        <v>84</v>
      </c>
      <c r="K4584" s="112" t="str">
        <f t="shared" si="751"/>
        <v>591100</v>
      </c>
      <c r="L4584" s="2">
        <v>1</v>
      </c>
      <c r="M4584" s="2" t="s">
        <v>84</v>
      </c>
      <c r="N4584" s="2" t="s">
        <v>84</v>
      </c>
      <c r="O4584" s="2" t="s">
        <v>841</v>
      </c>
      <c r="P4584" s="2" t="s">
        <v>2571</v>
      </c>
    </row>
    <row r="4585" spans="1:16" ht="22" customHeight="1" x14ac:dyDescent="0.15">
      <c r="A4585" s="10" t="str">
        <f t="shared" si="746"/>
        <v>591_10_17_10_polygon</v>
      </c>
      <c r="B4585" s="2">
        <v>591</v>
      </c>
      <c r="C4585" s="30" t="str">
        <f>VLOOKUP(B4585,gachas!A:C,3)</f>
        <v xml:space="preserve"> 5月フィーバーフェス（チョイス1）</v>
      </c>
      <c r="D4585" s="21">
        <v>10</v>
      </c>
      <c r="E4585" s="2">
        <f t="shared" si="752"/>
        <v>17</v>
      </c>
      <c r="F4585" s="2">
        <v>10</v>
      </c>
      <c r="G4585" s="3" t="s">
        <v>22</v>
      </c>
      <c r="H4585" s="2">
        <v>50</v>
      </c>
      <c r="I4585" s="114" t="str">
        <f t="shared" si="753"/>
        <v>591100</v>
      </c>
      <c r="J4585" s="112" t="s">
        <v>84</v>
      </c>
      <c r="K4585" s="112" t="str">
        <f t="shared" si="751"/>
        <v>591100</v>
      </c>
      <c r="L4585" s="2">
        <v>1</v>
      </c>
      <c r="M4585" s="2" t="s">
        <v>84</v>
      </c>
      <c r="N4585" s="2" t="s">
        <v>84</v>
      </c>
      <c r="O4585" s="2" t="s">
        <v>841</v>
      </c>
      <c r="P4585" s="2" t="s">
        <v>2571</v>
      </c>
    </row>
    <row r="4586" spans="1:16" ht="22" customHeight="1" x14ac:dyDescent="0.15">
      <c r="A4586" s="10" t="str">
        <f t="shared" si="746"/>
        <v>591_10_18_10_polygon</v>
      </c>
      <c r="B4586" s="2">
        <v>591</v>
      </c>
      <c r="C4586" s="30" t="str">
        <f>VLOOKUP(B4586,gachas!A:C,3)</f>
        <v xml:space="preserve"> 5月フィーバーフェス（チョイス1）</v>
      </c>
      <c r="D4586" s="21">
        <v>10</v>
      </c>
      <c r="E4586" s="2">
        <f t="shared" si="752"/>
        <v>18</v>
      </c>
      <c r="F4586" s="2">
        <v>10</v>
      </c>
      <c r="G4586" s="3" t="s">
        <v>22</v>
      </c>
      <c r="H4586" s="2">
        <v>50</v>
      </c>
      <c r="I4586" s="114" t="str">
        <f t="shared" si="753"/>
        <v>591100</v>
      </c>
      <c r="J4586" s="112" t="s">
        <v>84</v>
      </c>
      <c r="K4586" s="112" t="str">
        <f t="shared" si="751"/>
        <v>591100</v>
      </c>
      <c r="L4586" s="2">
        <v>1</v>
      </c>
      <c r="M4586" s="2" t="s">
        <v>84</v>
      </c>
      <c r="N4586" s="2" t="s">
        <v>84</v>
      </c>
      <c r="O4586" s="2" t="s">
        <v>841</v>
      </c>
      <c r="P4586" s="2" t="s">
        <v>2571</v>
      </c>
    </row>
    <row r="4587" spans="1:16" ht="22" customHeight="1" x14ac:dyDescent="0.15">
      <c r="A4587" s="10" t="str">
        <f t="shared" si="746"/>
        <v>591_10_19_10_polygon</v>
      </c>
      <c r="B4587" s="2">
        <v>591</v>
      </c>
      <c r="C4587" s="30" t="str">
        <f>VLOOKUP(B4587,gachas!A:C,3)</f>
        <v xml:space="preserve"> 5月フィーバーフェス（チョイス1）</v>
      </c>
      <c r="D4587" s="21">
        <v>10</v>
      </c>
      <c r="E4587" s="2">
        <f t="shared" si="752"/>
        <v>19</v>
      </c>
      <c r="F4587" s="2">
        <v>10</v>
      </c>
      <c r="G4587" s="3" t="s">
        <v>22</v>
      </c>
      <c r="H4587" s="2">
        <v>50</v>
      </c>
      <c r="I4587" s="114" t="str">
        <f t="shared" si="753"/>
        <v>591100</v>
      </c>
      <c r="J4587" s="112" t="s">
        <v>84</v>
      </c>
      <c r="K4587" s="112" t="str">
        <f t="shared" si="751"/>
        <v>591100</v>
      </c>
      <c r="L4587" s="2">
        <v>1</v>
      </c>
      <c r="M4587" s="2" t="s">
        <v>84</v>
      </c>
      <c r="N4587" s="2" t="s">
        <v>84</v>
      </c>
      <c r="O4587" s="2" t="s">
        <v>841</v>
      </c>
      <c r="P4587" s="2" t="s">
        <v>2571</v>
      </c>
    </row>
    <row r="4588" spans="1:16" ht="22" customHeight="1" x14ac:dyDescent="0.15">
      <c r="A4588" s="10" t="str">
        <f t="shared" si="746"/>
        <v>591_10_20_10_polygon</v>
      </c>
      <c r="B4588" s="2">
        <v>591</v>
      </c>
      <c r="C4588" s="30" t="str">
        <f>VLOOKUP(B4588,gachas!A:C,3)</f>
        <v xml:space="preserve"> 5月フィーバーフェス（チョイス1）</v>
      </c>
      <c r="D4588" s="21">
        <v>10</v>
      </c>
      <c r="E4588" s="2">
        <f t="shared" si="752"/>
        <v>20</v>
      </c>
      <c r="F4588" s="2">
        <v>10</v>
      </c>
      <c r="G4588" s="3" t="s">
        <v>22</v>
      </c>
      <c r="H4588" s="2">
        <v>50</v>
      </c>
      <c r="I4588" s="114" t="str">
        <f t="shared" si="753"/>
        <v>591100</v>
      </c>
      <c r="J4588" s="112" t="str">
        <f>CONCATENATE(B4588,D4588,5)</f>
        <v>591105</v>
      </c>
      <c r="K4588" s="112" t="str">
        <f t="shared" si="751"/>
        <v>591100</v>
      </c>
      <c r="L4588" s="2">
        <v>1</v>
      </c>
      <c r="M4588" s="2" t="s">
        <v>84</v>
      </c>
      <c r="N4588" s="2" t="s">
        <v>84</v>
      </c>
      <c r="O4588" s="2" t="s">
        <v>841</v>
      </c>
      <c r="P4588" s="2" t="s">
        <v>2648</v>
      </c>
    </row>
    <row r="4589" spans="1:16" ht="22" customHeight="1" x14ac:dyDescent="0.15">
      <c r="A4589" s="10" t="str">
        <f t="shared" si="746"/>
        <v>591_10_21_10_polygon</v>
      </c>
      <c r="B4589" s="2">
        <v>591</v>
      </c>
      <c r="C4589" s="30" t="str">
        <f>VLOOKUP(B4589,gachas!A:C,3)</f>
        <v xml:space="preserve"> 5月フィーバーフェス（チョイス1）</v>
      </c>
      <c r="D4589" s="21">
        <v>10</v>
      </c>
      <c r="E4589" s="2">
        <f t="shared" si="752"/>
        <v>21</v>
      </c>
      <c r="F4589" s="2">
        <v>10</v>
      </c>
      <c r="G4589" s="3" t="s">
        <v>22</v>
      </c>
      <c r="H4589" s="2">
        <v>50</v>
      </c>
      <c r="I4589" s="114" t="str">
        <f t="shared" si="753"/>
        <v>591100</v>
      </c>
      <c r="J4589" s="112" t="s">
        <v>84</v>
      </c>
      <c r="K4589" s="112" t="str">
        <f t="shared" si="751"/>
        <v>591100</v>
      </c>
      <c r="L4589" s="2">
        <v>1</v>
      </c>
      <c r="M4589" s="2" t="s">
        <v>84</v>
      </c>
      <c r="N4589" s="2" t="s">
        <v>84</v>
      </c>
      <c r="O4589" s="2" t="s">
        <v>841</v>
      </c>
      <c r="P4589" s="2" t="s">
        <v>2571</v>
      </c>
    </row>
    <row r="4590" spans="1:16" ht="22" customHeight="1" x14ac:dyDescent="0.15">
      <c r="A4590" s="10" t="str">
        <f t="shared" si="746"/>
        <v>591_10_22_10_polygon</v>
      </c>
      <c r="B4590" s="2">
        <v>591</v>
      </c>
      <c r="C4590" s="30" t="str">
        <f>VLOOKUP(B4590,gachas!A:C,3)</f>
        <v xml:space="preserve"> 5月フィーバーフェス（チョイス1）</v>
      </c>
      <c r="D4590" s="21">
        <v>10</v>
      </c>
      <c r="E4590" s="2">
        <f t="shared" si="752"/>
        <v>22</v>
      </c>
      <c r="F4590" s="2">
        <v>10</v>
      </c>
      <c r="G4590" s="3" t="s">
        <v>22</v>
      </c>
      <c r="H4590" s="2">
        <v>50</v>
      </c>
      <c r="I4590" s="114" t="str">
        <f t="shared" si="753"/>
        <v>591100</v>
      </c>
      <c r="J4590" s="112" t="s">
        <v>84</v>
      </c>
      <c r="K4590" s="112" t="str">
        <f t="shared" si="751"/>
        <v>591100</v>
      </c>
      <c r="L4590" s="2">
        <v>1</v>
      </c>
      <c r="M4590" s="2" t="s">
        <v>84</v>
      </c>
      <c r="N4590" s="2" t="s">
        <v>84</v>
      </c>
      <c r="O4590" s="2" t="s">
        <v>841</v>
      </c>
      <c r="P4590" s="2" t="s">
        <v>2571</v>
      </c>
    </row>
    <row r="4591" spans="1:16" ht="22" customHeight="1" x14ac:dyDescent="0.15">
      <c r="A4591" s="10" t="str">
        <f t="shared" si="746"/>
        <v>591_10_23_10_polygon</v>
      </c>
      <c r="B4591" s="2">
        <v>591</v>
      </c>
      <c r="C4591" s="30" t="str">
        <f>VLOOKUP(B4591,gachas!A:C,3)</f>
        <v xml:space="preserve"> 5月フィーバーフェス（チョイス1）</v>
      </c>
      <c r="D4591" s="21">
        <v>10</v>
      </c>
      <c r="E4591" s="2">
        <f t="shared" si="752"/>
        <v>23</v>
      </c>
      <c r="F4591" s="2">
        <v>10</v>
      </c>
      <c r="G4591" s="3" t="s">
        <v>22</v>
      </c>
      <c r="H4591" s="2">
        <v>50</v>
      </c>
      <c r="I4591" s="114" t="str">
        <f t="shared" si="753"/>
        <v>591100</v>
      </c>
      <c r="J4591" s="112" t="s">
        <v>84</v>
      </c>
      <c r="K4591" s="112" t="str">
        <f t="shared" si="751"/>
        <v>591100</v>
      </c>
      <c r="L4591" s="2">
        <v>1</v>
      </c>
      <c r="M4591" s="2" t="s">
        <v>84</v>
      </c>
      <c r="N4591" s="2" t="s">
        <v>84</v>
      </c>
      <c r="O4591" s="2" t="s">
        <v>841</v>
      </c>
      <c r="P4591" s="2" t="s">
        <v>2571</v>
      </c>
    </row>
    <row r="4592" spans="1:16" ht="22" customHeight="1" x14ac:dyDescent="0.15">
      <c r="A4592" s="10" t="str">
        <f t="shared" si="746"/>
        <v>591_10_24_10_polygon</v>
      </c>
      <c r="B4592" s="2">
        <v>591</v>
      </c>
      <c r="C4592" s="30" t="str">
        <f>VLOOKUP(B4592,gachas!A:C,3)</f>
        <v xml:space="preserve"> 5月フィーバーフェス（チョイス1）</v>
      </c>
      <c r="D4592" s="21">
        <v>10</v>
      </c>
      <c r="E4592" s="2">
        <f t="shared" si="752"/>
        <v>24</v>
      </c>
      <c r="F4592" s="2">
        <v>10</v>
      </c>
      <c r="G4592" s="3" t="s">
        <v>22</v>
      </c>
      <c r="H4592" s="2">
        <v>50</v>
      </c>
      <c r="I4592" s="114" t="str">
        <f t="shared" si="753"/>
        <v>591100</v>
      </c>
      <c r="J4592" s="112" t="s">
        <v>84</v>
      </c>
      <c r="K4592" s="112" t="str">
        <f t="shared" si="751"/>
        <v>591100</v>
      </c>
      <c r="L4592" s="2">
        <v>1</v>
      </c>
      <c r="M4592" s="2" t="s">
        <v>84</v>
      </c>
      <c r="N4592" s="2" t="s">
        <v>84</v>
      </c>
      <c r="O4592" s="2" t="s">
        <v>841</v>
      </c>
      <c r="P4592" s="2" t="s">
        <v>2571</v>
      </c>
    </row>
    <row r="4593" spans="1:16" ht="22" customHeight="1" x14ac:dyDescent="0.15">
      <c r="A4593" s="10" t="str">
        <f t="shared" si="746"/>
        <v>591_10_25_10_polygon</v>
      </c>
      <c r="B4593" s="2">
        <v>591</v>
      </c>
      <c r="C4593" s="30" t="str">
        <f>VLOOKUP(B4593,gachas!A:C,3)</f>
        <v xml:space="preserve"> 5月フィーバーフェス（チョイス1）</v>
      </c>
      <c r="D4593" s="21">
        <v>10</v>
      </c>
      <c r="E4593" s="2">
        <f t="shared" si="752"/>
        <v>25</v>
      </c>
      <c r="F4593" s="2">
        <v>10</v>
      </c>
      <c r="G4593" s="3" t="s">
        <v>22</v>
      </c>
      <c r="H4593" s="2">
        <v>50</v>
      </c>
      <c r="I4593" s="114" t="str">
        <f t="shared" si="753"/>
        <v>591100</v>
      </c>
      <c r="J4593" s="112" t="str">
        <f>CONCATENATE(B4593,D4593,5)</f>
        <v>591105</v>
      </c>
      <c r="K4593" s="112" t="str">
        <f t="shared" si="751"/>
        <v>591100</v>
      </c>
      <c r="L4593" s="2">
        <v>1</v>
      </c>
      <c r="M4593" s="2" t="s">
        <v>84</v>
      </c>
      <c r="N4593" s="2" t="s">
        <v>84</v>
      </c>
      <c r="O4593" s="2" t="s">
        <v>841</v>
      </c>
      <c r="P4593" s="2" t="s">
        <v>2648</v>
      </c>
    </row>
    <row r="4594" spans="1:16" ht="22" customHeight="1" x14ac:dyDescent="0.15">
      <c r="A4594" s="10" t="str">
        <f t="shared" si="746"/>
        <v>591_10_26_10_polygon</v>
      </c>
      <c r="B4594" s="2">
        <v>591</v>
      </c>
      <c r="C4594" s="30" t="str">
        <f>VLOOKUP(B4594,gachas!A:C,3)</f>
        <v xml:space="preserve"> 5月フィーバーフェス（チョイス1）</v>
      </c>
      <c r="D4594" s="21">
        <v>10</v>
      </c>
      <c r="E4594" s="2">
        <f t="shared" si="752"/>
        <v>26</v>
      </c>
      <c r="F4594" s="2">
        <v>10</v>
      </c>
      <c r="G4594" s="3" t="s">
        <v>22</v>
      </c>
      <c r="H4594" s="2">
        <v>50</v>
      </c>
      <c r="I4594" s="114" t="str">
        <f t="shared" si="753"/>
        <v>591100</v>
      </c>
      <c r="J4594" s="112" t="s">
        <v>84</v>
      </c>
      <c r="K4594" s="112" t="str">
        <f t="shared" si="751"/>
        <v>591100</v>
      </c>
      <c r="L4594" s="2">
        <v>1</v>
      </c>
      <c r="M4594" s="2" t="s">
        <v>84</v>
      </c>
      <c r="N4594" s="2" t="s">
        <v>84</v>
      </c>
      <c r="O4594" s="2" t="s">
        <v>841</v>
      </c>
      <c r="P4594" s="2" t="s">
        <v>2571</v>
      </c>
    </row>
    <row r="4595" spans="1:16" ht="22" customHeight="1" x14ac:dyDescent="0.15">
      <c r="A4595" s="10" t="str">
        <f t="shared" si="746"/>
        <v>591_10_27_10_polygon</v>
      </c>
      <c r="B4595" s="2">
        <v>591</v>
      </c>
      <c r="C4595" s="30" t="str">
        <f>VLOOKUP(B4595,gachas!A:C,3)</f>
        <v xml:space="preserve"> 5月フィーバーフェス（チョイス1）</v>
      </c>
      <c r="D4595" s="21">
        <v>10</v>
      </c>
      <c r="E4595" s="2">
        <f t="shared" si="752"/>
        <v>27</v>
      </c>
      <c r="F4595" s="2">
        <v>10</v>
      </c>
      <c r="G4595" s="3" t="s">
        <v>22</v>
      </c>
      <c r="H4595" s="2">
        <v>50</v>
      </c>
      <c r="I4595" s="114" t="str">
        <f t="shared" si="753"/>
        <v>591100</v>
      </c>
      <c r="J4595" s="112" t="s">
        <v>84</v>
      </c>
      <c r="K4595" s="112" t="str">
        <f t="shared" si="751"/>
        <v>591100</v>
      </c>
      <c r="L4595" s="2">
        <v>1</v>
      </c>
      <c r="M4595" s="2" t="s">
        <v>84</v>
      </c>
      <c r="N4595" s="2" t="s">
        <v>84</v>
      </c>
      <c r="O4595" s="2" t="s">
        <v>841</v>
      </c>
      <c r="P4595" s="2" t="s">
        <v>2571</v>
      </c>
    </row>
    <row r="4596" spans="1:16" ht="22" customHeight="1" x14ac:dyDescent="0.15">
      <c r="A4596" s="10" t="str">
        <f t="shared" si="746"/>
        <v>591_10_28_10_polygon</v>
      </c>
      <c r="B4596" s="2">
        <v>591</v>
      </c>
      <c r="C4596" s="30" t="str">
        <f>VLOOKUP(B4596,gachas!A:C,3)</f>
        <v xml:space="preserve"> 5月フィーバーフェス（チョイス1）</v>
      </c>
      <c r="D4596" s="21">
        <v>10</v>
      </c>
      <c r="E4596" s="2">
        <f t="shared" si="752"/>
        <v>28</v>
      </c>
      <c r="F4596" s="2">
        <v>10</v>
      </c>
      <c r="G4596" s="3" t="s">
        <v>22</v>
      </c>
      <c r="H4596" s="2">
        <v>50</v>
      </c>
      <c r="I4596" s="114" t="str">
        <f t="shared" si="753"/>
        <v>591100</v>
      </c>
      <c r="J4596" s="112" t="s">
        <v>84</v>
      </c>
      <c r="K4596" s="112" t="str">
        <f t="shared" si="751"/>
        <v>591100</v>
      </c>
      <c r="L4596" s="2">
        <v>1</v>
      </c>
      <c r="M4596" s="2" t="s">
        <v>84</v>
      </c>
      <c r="N4596" s="2" t="s">
        <v>84</v>
      </c>
      <c r="O4596" s="2" t="s">
        <v>841</v>
      </c>
      <c r="P4596" s="2" t="s">
        <v>2571</v>
      </c>
    </row>
    <row r="4597" spans="1:16" ht="22" customHeight="1" x14ac:dyDescent="0.15">
      <c r="A4597" s="10" t="str">
        <f t="shared" si="746"/>
        <v>591_10_29_10_polygon</v>
      </c>
      <c r="B4597" s="2">
        <v>591</v>
      </c>
      <c r="C4597" s="30" t="str">
        <f>VLOOKUP(B4597,gachas!A:C,3)</f>
        <v xml:space="preserve"> 5月フィーバーフェス（チョイス1）</v>
      </c>
      <c r="D4597" s="21">
        <v>10</v>
      </c>
      <c r="E4597" s="2">
        <f t="shared" si="752"/>
        <v>29</v>
      </c>
      <c r="F4597" s="2">
        <v>10</v>
      </c>
      <c r="G4597" s="3" t="s">
        <v>22</v>
      </c>
      <c r="H4597" s="2">
        <v>50</v>
      </c>
      <c r="I4597" s="114" t="str">
        <f t="shared" si="753"/>
        <v>591100</v>
      </c>
      <c r="J4597" s="112" t="s">
        <v>84</v>
      </c>
      <c r="K4597" s="112" t="str">
        <f t="shared" si="751"/>
        <v>591100</v>
      </c>
      <c r="L4597" s="2">
        <v>1</v>
      </c>
      <c r="M4597" s="2" t="s">
        <v>84</v>
      </c>
      <c r="N4597" s="2" t="s">
        <v>84</v>
      </c>
      <c r="O4597" s="2" t="s">
        <v>841</v>
      </c>
      <c r="P4597" s="2" t="s">
        <v>2571</v>
      </c>
    </row>
    <row r="4598" spans="1:16" ht="22" customHeight="1" x14ac:dyDescent="0.15">
      <c r="A4598" s="10" t="str">
        <f t="shared" si="746"/>
        <v>591_10_30_10_polygon</v>
      </c>
      <c r="B4598" s="2">
        <v>591</v>
      </c>
      <c r="C4598" s="30" t="str">
        <f>VLOOKUP(B4598,gachas!A:C,3)</f>
        <v xml:space="preserve"> 5月フィーバーフェス（チョイス1）</v>
      </c>
      <c r="D4598" s="21">
        <v>10</v>
      </c>
      <c r="E4598" s="2">
        <f t="shared" si="752"/>
        <v>30</v>
      </c>
      <c r="F4598" s="2">
        <v>10</v>
      </c>
      <c r="G4598" s="3" t="s">
        <v>22</v>
      </c>
      <c r="H4598" s="2">
        <v>50</v>
      </c>
      <c r="I4598" s="114" t="str">
        <f t="shared" si="753"/>
        <v>591100</v>
      </c>
      <c r="J4598" s="112" t="str">
        <f>CONCATENATE(B4598,D4598,5)</f>
        <v>591105</v>
      </c>
      <c r="K4598" s="112" t="str">
        <f t="shared" si="751"/>
        <v>591100</v>
      </c>
      <c r="L4598" s="2">
        <v>1</v>
      </c>
      <c r="M4598" s="2" t="s">
        <v>84</v>
      </c>
      <c r="N4598" s="2" t="s">
        <v>84</v>
      </c>
      <c r="O4598" s="2" t="s">
        <v>841</v>
      </c>
      <c r="P4598" s="2" t="s">
        <v>2648</v>
      </c>
    </row>
    <row r="4599" spans="1:16" ht="22" customHeight="1" x14ac:dyDescent="0.15">
      <c r="A4599" s="10" t="str">
        <f t="shared" si="746"/>
        <v>591_10_31_10_polygon</v>
      </c>
      <c r="B4599" s="2">
        <v>591</v>
      </c>
      <c r="C4599" s="30" t="str">
        <f>VLOOKUP(B4599,gachas!A:C,3)</f>
        <v xml:space="preserve"> 5月フィーバーフェス（チョイス1）</v>
      </c>
      <c r="D4599" s="21">
        <v>10</v>
      </c>
      <c r="E4599" s="2">
        <f t="shared" si="752"/>
        <v>31</v>
      </c>
      <c r="F4599" s="2">
        <v>10</v>
      </c>
      <c r="G4599" s="3" t="s">
        <v>22</v>
      </c>
      <c r="H4599" s="2">
        <v>50</v>
      </c>
      <c r="I4599" s="114" t="str">
        <f t="shared" si="753"/>
        <v>591100</v>
      </c>
      <c r="J4599" s="112" t="s">
        <v>84</v>
      </c>
      <c r="K4599" s="112" t="str">
        <f t="shared" si="751"/>
        <v>591100</v>
      </c>
      <c r="L4599" s="2">
        <v>1</v>
      </c>
      <c r="M4599" s="2" t="s">
        <v>84</v>
      </c>
      <c r="N4599" s="2" t="s">
        <v>84</v>
      </c>
      <c r="O4599" s="2" t="s">
        <v>841</v>
      </c>
      <c r="P4599" s="2" t="s">
        <v>2571</v>
      </c>
    </row>
    <row r="4600" spans="1:16" ht="22" customHeight="1" x14ac:dyDescent="0.15">
      <c r="A4600" s="10" t="str">
        <f t="shared" si="746"/>
        <v>591_10_32_10_polygon</v>
      </c>
      <c r="B4600" s="2">
        <v>591</v>
      </c>
      <c r="C4600" s="30" t="str">
        <f>VLOOKUP(B4600,gachas!A:C,3)</f>
        <v xml:space="preserve"> 5月フィーバーフェス（チョイス1）</v>
      </c>
      <c r="D4600" s="21">
        <v>10</v>
      </c>
      <c r="E4600" s="2">
        <f t="shared" si="752"/>
        <v>32</v>
      </c>
      <c r="F4600" s="2">
        <v>10</v>
      </c>
      <c r="G4600" s="3" t="s">
        <v>22</v>
      </c>
      <c r="H4600" s="2">
        <v>50</v>
      </c>
      <c r="I4600" s="114" t="str">
        <f t="shared" si="753"/>
        <v>591100</v>
      </c>
      <c r="J4600" s="112" t="s">
        <v>84</v>
      </c>
      <c r="K4600" s="112" t="str">
        <f t="shared" si="751"/>
        <v>591100</v>
      </c>
      <c r="L4600" s="2">
        <v>1</v>
      </c>
      <c r="M4600" s="2" t="s">
        <v>84</v>
      </c>
      <c r="N4600" s="2" t="s">
        <v>84</v>
      </c>
      <c r="O4600" s="2" t="s">
        <v>841</v>
      </c>
      <c r="P4600" s="2" t="s">
        <v>2571</v>
      </c>
    </row>
    <row r="4601" spans="1:16" ht="22" customHeight="1" x14ac:dyDescent="0.15">
      <c r="A4601" s="10" t="str">
        <f t="shared" si="746"/>
        <v>591_10_33_10_polygon</v>
      </c>
      <c r="B4601" s="2">
        <v>591</v>
      </c>
      <c r="C4601" s="30" t="str">
        <f>VLOOKUP(B4601,gachas!A:C,3)</f>
        <v xml:space="preserve"> 5月フィーバーフェス（チョイス1）</v>
      </c>
      <c r="D4601" s="21">
        <v>10</v>
      </c>
      <c r="E4601" s="2">
        <f t="shared" si="752"/>
        <v>33</v>
      </c>
      <c r="F4601" s="2">
        <v>10</v>
      </c>
      <c r="G4601" s="3" t="s">
        <v>22</v>
      </c>
      <c r="H4601" s="2">
        <v>50</v>
      </c>
      <c r="I4601" s="114" t="str">
        <f t="shared" si="753"/>
        <v>591100</v>
      </c>
      <c r="J4601" s="112" t="s">
        <v>84</v>
      </c>
      <c r="K4601" s="112" t="str">
        <f t="shared" si="751"/>
        <v>591100</v>
      </c>
      <c r="L4601" s="2">
        <v>1</v>
      </c>
      <c r="M4601" s="2" t="s">
        <v>84</v>
      </c>
      <c r="N4601" s="2" t="s">
        <v>84</v>
      </c>
      <c r="O4601" s="2" t="s">
        <v>841</v>
      </c>
      <c r="P4601" s="2" t="s">
        <v>2571</v>
      </c>
    </row>
    <row r="4602" spans="1:16" ht="22" customHeight="1" x14ac:dyDescent="0.15">
      <c r="A4602" s="10" t="str">
        <f t="shared" si="746"/>
        <v>591_10_34_10_polygon</v>
      </c>
      <c r="B4602" s="2">
        <v>591</v>
      </c>
      <c r="C4602" s="30" t="str">
        <f>VLOOKUP(B4602,gachas!A:C,3)</f>
        <v xml:space="preserve"> 5月フィーバーフェス（チョイス1）</v>
      </c>
      <c r="D4602" s="21">
        <v>10</v>
      </c>
      <c r="E4602" s="2">
        <f t="shared" si="752"/>
        <v>34</v>
      </c>
      <c r="F4602" s="2">
        <v>10</v>
      </c>
      <c r="G4602" s="3" t="s">
        <v>22</v>
      </c>
      <c r="H4602" s="2">
        <v>50</v>
      </c>
      <c r="I4602" s="114" t="str">
        <f t="shared" si="753"/>
        <v>591100</v>
      </c>
      <c r="J4602" s="112" t="s">
        <v>84</v>
      </c>
      <c r="K4602" s="112" t="str">
        <f t="shared" si="751"/>
        <v>591100</v>
      </c>
      <c r="L4602" s="2">
        <v>1</v>
      </c>
      <c r="M4602" s="2" t="s">
        <v>84</v>
      </c>
      <c r="N4602" s="2" t="s">
        <v>84</v>
      </c>
      <c r="O4602" s="2" t="s">
        <v>841</v>
      </c>
      <c r="P4602" s="2" t="s">
        <v>2571</v>
      </c>
    </row>
    <row r="4603" spans="1:16" ht="22" customHeight="1" x14ac:dyDescent="0.15">
      <c r="A4603" s="10" t="str">
        <f t="shared" si="746"/>
        <v>591_10_35_10_polygon</v>
      </c>
      <c r="B4603" s="2">
        <v>591</v>
      </c>
      <c r="C4603" s="30" t="str">
        <f>VLOOKUP(B4603,gachas!A:C,3)</f>
        <v xml:space="preserve"> 5月フィーバーフェス（チョイス1）</v>
      </c>
      <c r="D4603" s="21">
        <v>10</v>
      </c>
      <c r="E4603" s="2">
        <f t="shared" si="752"/>
        <v>35</v>
      </c>
      <c r="F4603" s="2">
        <v>10</v>
      </c>
      <c r="G4603" s="3" t="s">
        <v>22</v>
      </c>
      <c r="H4603" s="2">
        <v>50</v>
      </c>
      <c r="I4603" s="114" t="str">
        <f t="shared" si="753"/>
        <v>591100</v>
      </c>
      <c r="J4603" s="112" t="str">
        <f>CONCATENATE(B4603,D4603,5)</f>
        <v>591105</v>
      </c>
      <c r="K4603" s="112" t="str">
        <f t="shared" si="751"/>
        <v>591100</v>
      </c>
      <c r="L4603" s="2">
        <v>1</v>
      </c>
      <c r="M4603" s="2" t="s">
        <v>84</v>
      </c>
      <c r="N4603" s="2" t="s">
        <v>84</v>
      </c>
      <c r="O4603" s="2" t="s">
        <v>841</v>
      </c>
      <c r="P4603" s="2" t="s">
        <v>2648</v>
      </c>
    </row>
    <row r="4604" spans="1:16" ht="22" customHeight="1" x14ac:dyDescent="0.15">
      <c r="A4604" s="10" t="str">
        <f t="shared" si="746"/>
        <v>591_10_36_10_polygon</v>
      </c>
      <c r="B4604" s="2">
        <v>591</v>
      </c>
      <c r="C4604" s="30" t="str">
        <f>VLOOKUP(B4604,gachas!A:C,3)</f>
        <v xml:space="preserve"> 5月フィーバーフェス（チョイス1）</v>
      </c>
      <c r="D4604" s="21">
        <v>10</v>
      </c>
      <c r="E4604" s="2">
        <f t="shared" si="752"/>
        <v>36</v>
      </c>
      <c r="F4604" s="2">
        <v>10</v>
      </c>
      <c r="G4604" s="3" t="s">
        <v>22</v>
      </c>
      <c r="H4604" s="2">
        <v>50</v>
      </c>
      <c r="I4604" s="114" t="str">
        <f t="shared" si="753"/>
        <v>591100</v>
      </c>
      <c r="J4604" s="112" t="s">
        <v>84</v>
      </c>
      <c r="K4604" s="112" t="str">
        <f t="shared" si="751"/>
        <v>591100</v>
      </c>
      <c r="L4604" s="2">
        <v>1</v>
      </c>
      <c r="M4604" s="2" t="s">
        <v>84</v>
      </c>
      <c r="N4604" s="2" t="s">
        <v>84</v>
      </c>
      <c r="O4604" s="2" t="s">
        <v>841</v>
      </c>
      <c r="P4604" s="2" t="s">
        <v>2571</v>
      </c>
    </row>
    <row r="4605" spans="1:16" ht="22" customHeight="1" x14ac:dyDescent="0.15">
      <c r="A4605" s="10" t="str">
        <f t="shared" si="746"/>
        <v>591_10_37_10_polygon</v>
      </c>
      <c r="B4605" s="2">
        <v>591</v>
      </c>
      <c r="C4605" s="30" t="str">
        <f>VLOOKUP(B4605,gachas!A:C,3)</f>
        <v xml:space="preserve"> 5月フィーバーフェス（チョイス1）</v>
      </c>
      <c r="D4605" s="21">
        <v>10</v>
      </c>
      <c r="E4605" s="2">
        <f t="shared" si="752"/>
        <v>37</v>
      </c>
      <c r="F4605" s="2">
        <v>10</v>
      </c>
      <c r="G4605" s="3" t="s">
        <v>22</v>
      </c>
      <c r="H4605" s="2">
        <v>50</v>
      </c>
      <c r="I4605" s="114" t="str">
        <f t="shared" si="753"/>
        <v>591100</v>
      </c>
      <c r="J4605" s="112" t="s">
        <v>84</v>
      </c>
      <c r="K4605" s="112" t="str">
        <f t="shared" si="751"/>
        <v>591100</v>
      </c>
      <c r="L4605" s="2">
        <v>1</v>
      </c>
      <c r="M4605" s="2" t="s">
        <v>84</v>
      </c>
      <c r="N4605" s="2" t="s">
        <v>84</v>
      </c>
      <c r="O4605" s="2" t="s">
        <v>841</v>
      </c>
      <c r="P4605" s="2" t="s">
        <v>2571</v>
      </c>
    </row>
    <row r="4606" spans="1:16" ht="22" customHeight="1" x14ac:dyDescent="0.15">
      <c r="A4606" s="10" t="str">
        <f t="shared" si="746"/>
        <v>591_10_38_10_polygon</v>
      </c>
      <c r="B4606" s="2">
        <v>591</v>
      </c>
      <c r="C4606" s="30" t="str">
        <f>VLOOKUP(B4606,gachas!A:C,3)</f>
        <v xml:space="preserve"> 5月フィーバーフェス（チョイス1）</v>
      </c>
      <c r="D4606" s="21">
        <v>10</v>
      </c>
      <c r="E4606" s="2">
        <f t="shared" si="752"/>
        <v>38</v>
      </c>
      <c r="F4606" s="2">
        <v>10</v>
      </c>
      <c r="G4606" s="3" t="s">
        <v>22</v>
      </c>
      <c r="H4606" s="2">
        <v>50</v>
      </c>
      <c r="I4606" s="114" t="str">
        <f t="shared" si="753"/>
        <v>591100</v>
      </c>
      <c r="J4606" s="112" t="s">
        <v>84</v>
      </c>
      <c r="K4606" s="112" t="str">
        <f t="shared" si="751"/>
        <v>591100</v>
      </c>
      <c r="L4606" s="2">
        <v>1</v>
      </c>
      <c r="M4606" s="2" t="s">
        <v>84</v>
      </c>
      <c r="N4606" s="2" t="s">
        <v>84</v>
      </c>
      <c r="O4606" s="2" t="s">
        <v>841</v>
      </c>
      <c r="P4606" s="2" t="s">
        <v>2571</v>
      </c>
    </row>
    <row r="4607" spans="1:16" ht="22" customHeight="1" x14ac:dyDescent="0.15">
      <c r="A4607" s="10" t="str">
        <f t="shared" si="746"/>
        <v>591_10_39_10_polygon</v>
      </c>
      <c r="B4607" s="2">
        <v>591</v>
      </c>
      <c r="C4607" s="30" t="str">
        <f>VLOOKUP(B4607,gachas!A:C,3)</f>
        <v xml:space="preserve"> 5月フィーバーフェス（チョイス1）</v>
      </c>
      <c r="D4607" s="21">
        <v>10</v>
      </c>
      <c r="E4607" s="2">
        <f t="shared" si="752"/>
        <v>39</v>
      </c>
      <c r="F4607" s="2">
        <v>10</v>
      </c>
      <c r="G4607" s="3" t="s">
        <v>22</v>
      </c>
      <c r="H4607" s="2">
        <v>50</v>
      </c>
      <c r="I4607" s="114" t="str">
        <f t="shared" si="753"/>
        <v>591100</v>
      </c>
      <c r="J4607" s="112" t="s">
        <v>84</v>
      </c>
      <c r="K4607" s="112" t="str">
        <f t="shared" si="751"/>
        <v>591100</v>
      </c>
      <c r="L4607" s="2">
        <v>1</v>
      </c>
      <c r="M4607" s="2" t="s">
        <v>84</v>
      </c>
      <c r="N4607" s="2" t="s">
        <v>84</v>
      </c>
      <c r="O4607" s="2" t="s">
        <v>841</v>
      </c>
      <c r="P4607" s="2" t="s">
        <v>2571</v>
      </c>
    </row>
    <row r="4608" spans="1:16" ht="22" customHeight="1" x14ac:dyDescent="0.15">
      <c r="A4608" s="10" t="str">
        <f t="shared" si="746"/>
        <v>591_10_40_10_polygon</v>
      </c>
      <c r="B4608" s="2">
        <v>591</v>
      </c>
      <c r="C4608" s="30" t="str">
        <f>VLOOKUP(B4608,gachas!A:C,3)</f>
        <v xml:space="preserve"> 5月フィーバーフェス（チョイス1）</v>
      </c>
      <c r="D4608" s="21">
        <v>10</v>
      </c>
      <c r="E4608" s="2">
        <f t="shared" si="752"/>
        <v>40</v>
      </c>
      <c r="F4608" s="2">
        <v>10</v>
      </c>
      <c r="G4608" s="3" t="s">
        <v>22</v>
      </c>
      <c r="H4608" s="2">
        <v>50</v>
      </c>
      <c r="I4608" s="114" t="str">
        <f t="shared" si="753"/>
        <v>591100</v>
      </c>
      <c r="J4608" s="112" t="str">
        <f>CONCATENATE(B4608,D4608,5)</f>
        <v>591105</v>
      </c>
      <c r="K4608" s="112" t="str">
        <f t="shared" si="751"/>
        <v>591100</v>
      </c>
      <c r="L4608" s="2">
        <v>1</v>
      </c>
      <c r="M4608" s="2" t="s">
        <v>84</v>
      </c>
      <c r="N4608" s="2" t="s">
        <v>84</v>
      </c>
      <c r="O4608" s="2" t="s">
        <v>841</v>
      </c>
      <c r="P4608" s="2" t="s">
        <v>2648</v>
      </c>
    </row>
    <row r="4609" spans="1:16" ht="22" customHeight="1" x14ac:dyDescent="0.15">
      <c r="A4609" s="10" t="str">
        <f t="shared" si="746"/>
        <v>591_10_41_10_polygon</v>
      </c>
      <c r="B4609" s="2">
        <v>591</v>
      </c>
      <c r="C4609" s="30" t="str">
        <f>VLOOKUP(B4609,gachas!A:C,3)</f>
        <v xml:space="preserve"> 5月フィーバーフェス（チョイス1）</v>
      </c>
      <c r="D4609" s="21">
        <v>10</v>
      </c>
      <c r="E4609" s="2">
        <f t="shared" si="752"/>
        <v>41</v>
      </c>
      <c r="F4609" s="2">
        <v>10</v>
      </c>
      <c r="G4609" s="3" t="s">
        <v>22</v>
      </c>
      <c r="H4609" s="2">
        <v>50</v>
      </c>
      <c r="I4609" s="114" t="str">
        <f t="shared" si="753"/>
        <v>591100</v>
      </c>
      <c r="J4609" s="112" t="s">
        <v>84</v>
      </c>
      <c r="K4609" s="112" t="str">
        <f t="shared" si="751"/>
        <v>591100</v>
      </c>
      <c r="L4609" s="2">
        <v>1</v>
      </c>
      <c r="M4609" s="2" t="s">
        <v>84</v>
      </c>
      <c r="N4609" s="2" t="s">
        <v>84</v>
      </c>
      <c r="O4609" s="2" t="s">
        <v>841</v>
      </c>
      <c r="P4609" s="2" t="s">
        <v>2571</v>
      </c>
    </row>
    <row r="4610" spans="1:16" ht="22" customHeight="1" x14ac:dyDescent="0.15">
      <c r="A4610" s="10" t="str">
        <f t="shared" si="746"/>
        <v>591_10_42_10_polygon</v>
      </c>
      <c r="B4610" s="2">
        <v>591</v>
      </c>
      <c r="C4610" s="30" t="str">
        <f>VLOOKUP(B4610,gachas!A:C,3)</f>
        <v xml:space="preserve"> 5月フィーバーフェス（チョイス1）</v>
      </c>
      <c r="D4610" s="21">
        <v>10</v>
      </c>
      <c r="E4610" s="2">
        <f t="shared" si="752"/>
        <v>42</v>
      </c>
      <c r="F4610" s="2">
        <v>10</v>
      </c>
      <c r="G4610" s="3" t="s">
        <v>22</v>
      </c>
      <c r="H4610" s="2">
        <v>50</v>
      </c>
      <c r="I4610" s="114" t="str">
        <f t="shared" si="753"/>
        <v>591100</v>
      </c>
      <c r="J4610" s="112" t="s">
        <v>84</v>
      </c>
      <c r="K4610" s="112" t="str">
        <f t="shared" si="751"/>
        <v>591100</v>
      </c>
      <c r="L4610" s="2">
        <v>1</v>
      </c>
      <c r="M4610" s="2" t="s">
        <v>84</v>
      </c>
      <c r="N4610" s="2" t="s">
        <v>84</v>
      </c>
      <c r="O4610" s="2" t="s">
        <v>841</v>
      </c>
      <c r="P4610" s="2" t="s">
        <v>2571</v>
      </c>
    </row>
    <row r="4611" spans="1:16" ht="22" customHeight="1" x14ac:dyDescent="0.15">
      <c r="A4611" s="10" t="str">
        <f t="shared" si="746"/>
        <v>591_10_43_10_polygon</v>
      </c>
      <c r="B4611" s="2">
        <v>591</v>
      </c>
      <c r="C4611" s="30" t="str">
        <f>VLOOKUP(B4611,gachas!A:C,3)</f>
        <v xml:space="preserve"> 5月フィーバーフェス（チョイス1）</v>
      </c>
      <c r="D4611" s="21">
        <v>10</v>
      </c>
      <c r="E4611" s="2">
        <f t="shared" si="752"/>
        <v>43</v>
      </c>
      <c r="F4611" s="2">
        <v>10</v>
      </c>
      <c r="G4611" s="3" t="s">
        <v>22</v>
      </c>
      <c r="H4611" s="2">
        <v>50</v>
      </c>
      <c r="I4611" s="114" t="str">
        <f t="shared" si="753"/>
        <v>591100</v>
      </c>
      <c r="J4611" s="112" t="s">
        <v>84</v>
      </c>
      <c r="K4611" s="112" t="str">
        <f t="shared" si="751"/>
        <v>591100</v>
      </c>
      <c r="L4611" s="2">
        <v>1</v>
      </c>
      <c r="M4611" s="2" t="s">
        <v>84</v>
      </c>
      <c r="N4611" s="2" t="s">
        <v>84</v>
      </c>
      <c r="O4611" s="2" t="s">
        <v>841</v>
      </c>
      <c r="P4611" s="2" t="s">
        <v>2571</v>
      </c>
    </row>
    <row r="4612" spans="1:16" ht="22" customHeight="1" x14ac:dyDescent="0.15">
      <c r="A4612" s="10" t="str">
        <f t="shared" si="746"/>
        <v>591_10_44_10_polygon</v>
      </c>
      <c r="B4612" s="2">
        <v>591</v>
      </c>
      <c r="C4612" s="30" t="str">
        <f>VLOOKUP(B4612,gachas!A:C,3)</f>
        <v xml:space="preserve"> 5月フィーバーフェス（チョイス1）</v>
      </c>
      <c r="D4612" s="21">
        <v>10</v>
      </c>
      <c r="E4612" s="2">
        <f t="shared" si="752"/>
        <v>44</v>
      </c>
      <c r="F4612" s="2">
        <v>10</v>
      </c>
      <c r="G4612" s="3" t="s">
        <v>22</v>
      </c>
      <c r="H4612" s="2">
        <v>50</v>
      </c>
      <c r="I4612" s="114" t="str">
        <f t="shared" si="753"/>
        <v>591100</v>
      </c>
      <c r="J4612" s="112" t="s">
        <v>84</v>
      </c>
      <c r="K4612" s="112" t="str">
        <f t="shared" si="751"/>
        <v>591100</v>
      </c>
      <c r="L4612" s="2">
        <v>1</v>
      </c>
      <c r="M4612" s="2" t="s">
        <v>84</v>
      </c>
      <c r="N4612" s="2" t="s">
        <v>84</v>
      </c>
      <c r="O4612" s="2" t="s">
        <v>841</v>
      </c>
      <c r="P4612" s="2" t="s">
        <v>2571</v>
      </c>
    </row>
    <row r="4613" spans="1:16" ht="22" customHeight="1" x14ac:dyDescent="0.15">
      <c r="A4613" s="10" t="str">
        <f t="shared" si="746"/>
        <v>591_10_45_10_polygon</v>
      </c>
      <c r="B4613" s="2">
        <v>591</v>
      </c>
      <c r="C4613" s="30" t="str">
        <f>VLOOKUP(B4613,gachas!A:C,3)</f>
        <v xml:space="preserve"> 5月フィーバーフェス（チョイス1）</v>
      </c>
      <c r="D4613" s="21">
        <v>10</v>
      </c>
      <c r="E4613" s="2">
        <f t="shared" si="752"/>
        <v>45</v>
      </c>
      <c r="F4613" s="2">
        <v>10</v>
      </c>
      <c r="G4613" s="3" t="s">
        <v>22</v>
      </c>
      <c r="H4613" s="2">
        <v>50</v>
      </c>
      <c r="I4613" s="114" t="str">
        <f t="shared" si="753"/>
        <v>591100</v>
      </c>
      <c r="J4613" s="112" t="str">
        <f>CONCATENATE(B4613,D4613,5)</f>
        <v>591105</v>
      </c>
      <c r="K4613" s="112" t="str">
        <f t="shared" si="751"/>
        <v>591100</v>
      </c>
      <c r="L4613" s="2">
        <v>1</v>
      </c>
      <c r="M4613" s="2" t="s">
        <v>84</v>
      </c>
      <c r="N4613" s="2" t="s">
        <v>84</v>
      </c>
      <c r="O4613" s="2" t="s">
        <v>841</v>
      </c>
      <c r="P4613" s="2" t="s">
        <v>2648</v>
      </c>
    </row>
    <row r="4614" spans="1:16" ht="22" customHeight="1" x14ac:dyDescent="0.15">
      <c r="A4614" s="10" t="str">
        <f t="shared" si="746"/>
        <v>591_10_46_10_polygon</v>
      </c>
      <c r="B4614" s="2">
        <v>591</v>
      </c>
      <c r="C4614" s="30" t="str">
        <f>VLOOKUP(B4614,gachas!A:C,3)</f>
        <v xml:space="preserve"> 5月フィーバーフェス（チョイス1）</v>
      </c>
      <c r="D4614" s="21">
        <v>10</v>
      </c>
      <c r="E4614" s="2">
        <f t="shared" si="752"/>
        <v>46</v>
      </c>
      <c r="F4614" s="2">
        <v>10</v>
      </c>
      <c r="G4614" s="3" t="s">
        <v>22</v>
      </c>
      <c r="H4614" s="2">
        <v>50</v>
      </c>
      <c r="I4614" s="114" t="str">
        <f t="shared" si="753"/>
        <v>591100</v>
      </c>
      <c r="J4614" s="112" t="s">
        <v>84</v>
      </c>
      <c r="K4614" s="112" t="str">
        <f t="shared" si="751"/>
        <v>591100</v>
      </c>
      <c r="L4614" s="2">
        <v>1</v>
      </c>
      <c r="M4614" s="2" t="s">
        <v>84</v>
      </c>
      <c r="N4614" s="2" t="s">
        <v>84</v>
      </c>
      <c r="O4614" s="2" t="s">
        <v>841</v>
      </c>
      <c r="P4614" s="2" t="s">
        <v>2571</v>
      </c>
    </row>
    <row r="4615" spans="1:16" ht="22" customHeight="1" x14ac:dyDescent="0.15">
      <c r="A4615" s="10" t="str">
        <f t="shared" si="746"/>
        <v>591_10_47_10_polygon</v>
      </c>
      <c r="B4615" s="2">
        <v>591</v>
      </c>
      <c r="C4615" s="30" t="str">
        <f>VLOOKUP(B4615,gachas!A:C,3)</f>
        <v xml:space="preserve"> 5月フィーバーフェス（チョイス1）</v>
      </c>
      <c r="D4615" s="21">
        <v>10</v>
      </c>
      <c r="E4615" s="2">
        <f t="shared" si="752"/>
        <v>47</v>
      </c>
      <c r="F4615" s="2">
        <v>10</v>
      </c>
      <c r="G4615" s="3" t="s">
        <v>22</v>
      </c>
      <c r="H4615" s="2">
        <v>50</v>
      </c>
      <c r="I4615" s="114" t="str">
        <f t="shared" si="753"/>
        <v>591100</v>
      </c>
      <c r="J4615" s="112" t="s">
        <v>84</v>
      </c>
      <c r="K4615" s="112" t="str">
        <f t="shared" si="751"/>
        <v>591100</v>
      </c>
      <c r="L4615" s="2">
        <v>1</v>
      </c>
      <c r="M4615" s="2" t="s">
        <v>84</v>
      </c>
      <c r="N4615" s="2" t="s">
        <v>84</v>
      </c>
      <c r="O4615" s="2" t="s">
        <v>841</v>
      </c>
      <c r="P4615" s="2" t="s">
        <v>2571</v>
      </c>
    </row>
    <row r="4616" spans="1:16" ht="22" customHeight="1" x14ac:dyDescent="0.15">
      <c r="A4616" s="10" t="str">
        <f t="shared" si="746"/>
        <v>591_10_48_10_polygon</v>
      </c>
      <c r="B4616" s="2">
        <v>591</v>
      </c>
      <c r="C4616" s="30" t="str">
        <f>VLOOKUP(B4616,gachas!A:C,3)</f>
        <v xml:space="preserve"> 5月フィーバーフェス（チョイス1）</v>
      </c>
      <c r="D4616" s="21">
        <v>10</v>
      </c>
      <c r="E4616" s="2">
        <f t="shared" si="752"/>
        <v>48</v>
      </c>
      <c r="F4616" s="2">
        <v>10</v>
      </c>
      <c r="G4616" s="3" t="s">
        <v>22</v>
      </c>
      <c r="H4616" s="2">
        <v>50</v>
      </c>
      <c r="I4616" s="114" t="str">
        <f t="shared" si="753"/>
        <v>591100</v>
      </c>
      <c r="J4616" s="112" t="s">
        <v>84</v>
      </c>
      <c r="K4616" s="112" t="str">
        <f t="shared" si="751"/>
        <v>591100</v>
      </c>
      <c r="L4616" s="2">
        <v>1</v>
      </c>
      <c r="M4616" s="2" t="s">
        <v>84</v>
      </c>
      <c r="N4616" s="2" t="s">
        <v>84</v>
      </c>
      <c r="O4616" s="2" t="s">
        <v>841</v>
      </c>
      <c r="P4616" s="2" t="s">
        <v>2571</v>
      </c>
    </row>
    <row r="4617" spans="1:16" ht="22" customHeight="1" x14ac:dyDescent="0.15">
      <c r="A4617" s="10" t="str">
        <f t="shared" si="746"/>
        <v>591_10_49_10_polygon</v>
      </c>
      <c r="B4617" s="2">
        <v>591</v>
      </c>
      <c r="C4617" s="30" t="str">
        <f>VLOOKUP(B4617,gachas!A:C,3)</f>
        <v xml:space="preserve"> 5月フィーバーフェス（チョイス1）</v>
      </c>
      <c r="D4617" s="21">
        <v>10</v>
      </c>
      <c r="E4617" s="2">
        <f t="shared" si="752"/>
        <v>49</v>
      </c>
      <c r="F4617" s="2">
        <v>10</v>
      </c>
      <c r="G4617" s="3" t="s">
        <v>22</v>
      </c>
      <c r="H4617" s="2">
        <v>50</v>
      </c>
      <c r="I4617" s="114" t="str">
        <f t="shared" si="753"/>
        <v>591100</v>
      </c>
      <c r="J4617" s="112" t="s">
        <v>84</v>
      </c>
      <c r="K4617" s="112" t="str">
        <f t="shared" si="751"/>
        <v>591100</v>
      </c>
      <c r="L4617" s="2">
        <v>1</v>
      </c>
      <c r="M4617" s="2" t="s">
        <v>84</v>
      </c>
      <c r="N4617" s="2" t="s">
        <v>84</v>
      </c>
      <c r="O4617" s="2" t="s">
        <v>841</v>
      </c>
      <c r="P4617" s="2" t="s">
        <v>2571</v>
      </c>
    </row>
    <row r="4618" spans="1:16" ht="22" customHeight="1" x14ac:dyDescent="0.15">
      <c r="A4618" s="10" t="str">
        <f t="shared" ref="A4618:A4669" si="754">B4618&amp;"_"&amp;D4618&amp;"_"&amp;E4618&amp;"_"&amp;F4618&amp;"_"&amp;G4618</f>
        <v>591_10_50_10_polygon</v>
      </c>
      <c r="B4618" s="2">
        <v>591</v>
      </c>
      <c r="C4618" s="30" t="str">
        <f>VLOOKUP(B4618,gachas!A:C,3)</f>
        <v xml:space="preserve"> 5月フィーバーフェス（チョイス1）</v>
      </c>
      <c r="D4618" s="21">
        <v>10</v>
      </c>
      <c r="E4618" s="2">
        <f t="shared" si="752"/>
        <v>50</v>
      </c>
      <c r="F4618" s="2">
        <v>10</v>
      </c>
      <c r="G4618" s="3" t="s">
        <v>22</v>
      </c>
      <c r="H4618" s="2">
        <v>50</v>
      </c>
      <c r="I4618" s="114" t="str">
        <f t="shared" si="753"/>
        <v>591100</v>
      </c>
      <c r="J4618" s="112" t="str">
        <f>CONCATENATE(B4618,D4618,5)</f>
        <v>591105</v>
      </c>
      <c r="K4618" s="112" t="str">
        <f t="shared" si="751"/>
        <v>591100</v>
      </c>
      <c r="L4618" s="2">
        <v>1</v>
      </c>
      <c r="M4618" s="2" t="s">
        <v>84</v>
      </c>
      <c r="N4618" s="2" t="s">
        <v>84</v>
      </c>
      <c r="O4618" s="2" t="s">
        <v>841</v>
      </c>
      <c r="P4618" s="2" t="s">
        <v>2648</v>
      </c>
    </row>
    <row r="4619" spans="1:16" ht="22" customHeight="1" x14ac:dyDescent="0.15">
      <c r="A4619" s="10" t="str">
        <f t="shared" si="754"/>
        <v>592_1_0_1_polygon</v>
      </c>
      <c r="B4619" s="2">
        <v>592</v>
      </c>
      <c r="C4619" s="30" t="str">
        <f>VLOOKUP(B4619,gachas!A:C,3)</f>
        <v xml:space="preserve"> 5月フィーバーフェス（チョイス2）</v>
      </c>
      <c r="D4619" s="21">
        <v>1</v>
      </c>
      <c r="E4619" s="2">
        <v>0</v>
      </c>
      <c r="F4619" s="2">
        <v>1</v>
      </c>
      <c r="G4619" s="3" t="s">
        <v>22</v>
      </c>
      <c r="H4619" s="2">
        <v>5</v>
      </c>
      <c r="I4619" s="114" t="str">
        <f>CONCATENATE(B4619,IF(D4619=1,"01","10"),0)</f>
        <v>592010</v>
      </c>
      <c r="J4619" s="112" t="s">
        <v>84</v>
      </c>
      <c r="K4619" s="112" t="s">
        <v>84</v>
      </c>
      <c r="L4619" s="2">
        <v>0</v>
      </c>
      <c r="M4619" s="2" t="s">
        <v>84</v>
      </c>
      <c r="N4619" s="2" t="s">
        <v>84</v>
      </c>
      <c r="O4619" s="2" t="s">
        <v>841</v>
      </c>
      <c r="P4619" s="2" t="s">
        <v>84</v>
      </c>
    </row>
    <row r="4620" spans="1:16" ht="22" customHeight="1" x14ac:dyDescent="0.15">
      <c r="A4620" s="10" t="str">
        <f t="shared" si="754"/>
        <v>592_10_0_10_polygon</v>
      </c>
      <c r="B4620" s="2">
        <v>592</v>
      </c>
      <c r="C4620" s="30" t="str">
        <f>VLOOKUP(B4620,gachas!A:C,3)</f>
        <v xml:space="preserve"> 5月フィーバーフェス（チョイス2）</v>
      </c>
      <c r="D4620" s="21">
        <v>10</v>
      </c>
      <c r="E4620" s="2">
        <v>0</v>
      </c>
      <c r="F4620" s="2">
        <v>10</v>
      </c>
      <c r="G4620" s="3" t="s">
        <v>22</v>
      </c>
      <c r="H4620" s="2">
        <v>50</v>
      </c>
      <c r="I4620" s="114" t="str">
        <f>CONCATENATE(B4620,IF(D4620=1,"01","10"),0)</f>
        <v>592100</v>
      </c>
      <c r="J4620" s="112" t="s">
        <v>84</v>
      </c>
      <c r="K4620" s="112" t="str">
        <f t="shared" ref="K4620:K4670" si="755">I4620</f>
        <v>592100</v>
      </c>
      <c r="L4620" s="2">
        <v>1</v>
      </c>
      <c r="M4620" s="2" t="s">
        <v>84</v>
      </c>
      <c r="N4620" s="2" t="s">
        <v>84</v>
      </c>
      <c r="O4620" s="2" t="s">
        <v>841</v>
      </c>
      <c r="P4620" s="2" t="s">
        <v>2571</v>
      </c>
    </row>
    <row r="4621" spans="1:16" ht="22" customHeight="1" x14ac:dyDescent="0.15">
      <c r="A4621" s="10" t="str">
        <f t="shared" si="754"/>
        <v>592_10_1_10_polygon</v>
      </c>
      <c r="B4621" s="2">
        <v>592</v>
      </c>
      <c r="C4621" s="30" t="str">
        <f>VLOOKUP(B4621,gachas!A:C,3)</f>
        <v xml:space="preserve"> 5月フィーバーフェス（チョイス2）</v>
      </c>
      <c r="D4621" s="21">
        <v>10</v>
      </c>
      <c r="E4621" s="2">
        <f>E4620+1</f>
        <v>1</v>
      </c>
      <c r="F4621" s="2">
        <v>10</v>
      </c>
      <c r="G4621" s="3" t="s">
        <v>22</v>
      </c>
      <c r="H4621" s="2">
        <v>50</v>
      </c>
      <c r="I4621" s="114" t="str">
        <f>CONCATENATE(B4621,IF(D4621=1,"01","10"),0)</f>
        <v>592100</v>
      </c>
      <c r="J4621" s="112" t="s">
        <v>84</v>
      </c>
      <c r="K4621" s="112" t="str">
        <f t="shared" si="755"/>
        <v>592100</v>
      </c>
      <c r="L4621" s="2">
        <v>1</v>
      </c>
      <c r="M4621" s="2" t="s">
        <v>84</v>
      </c>
      <c r="N4621" s="2" t="s">
        <v>84</v>
      </c>
      <c r="O4621" s="2" t="s">
        <v>841</v>
      </c>
      <c r="P4621" s="2" t="s">
        <v>2571</v>
      </c>
    </row>
    <row r="4622" spans="1:16" ht="22" customHeight="1" x14ac:dyDescent="0.15">
      <c r="A4622" s="10" t="str">
        <f t="shared" si="754"/>
        <v>592_10_2_10_polygon</v>
      </c>
      <c r="B4622" s="2">
        <v>592</v>
      </c>
      <c r="C4622" s="30" t="str">
        <f>VLOOKUP(B4622,gachas!A:C,3)</f>
        <v xml:space="preserve"> 5月フィーバーフェス（チョイス2）</v>
      </c>
      <c r="D4622" s="21">
        <v>10</v>
      </c>
      <c r="E4622" s="2">
        <f t="shared" ref="E4622:E4670" si="756">E4621+1</f>
        <v>2</v>
      </c>
      <c r="F4622" s="2">
        <v>10</v>
      </c>
      <c r="G4622" s="3" t="s">
        <v>22</v>
      </c>
      <c r="H4622" s="2">
        <v>50</v>
      </c>
      <c r="I4622" s="114" t="str">
        <f t="shared" ref="I4622:I4670" si="757">CONCATENATE(B4622,IF(D4622=1,"01","10"),0)</f>
        <v>592100</v>
      </c>
      <c r="J4622" s="112" t="s">
        <v>84</v>
      </c>
      <c r="K4622" s="112" t="str">
        <f t="shared" si="755"/>
        <v>592100</v>
      </c>
      <c r="L4622" s="2">
        <v>1</v>
      </c>
      <c r="M4622" s="2" t="s">
        <v>84</v>
      </c>
      <c r="N4622" s="2" t="s">
        <v>84</v>
      </c>
      <c r="O4622" s="2" t="s">
        <v>841</v>
      </c>
      <c r="P4622" s="2" t="s">
        <v>2571</v>
      </c>
    </row>
    <row r="4623" spans="1:16" ht="22" customHeight="1" x14ac:dyDescent="0.15">
      <c r="A4623" s="10" t="str">
        <f t="shared" si="754"/>
        <v>592_10_3_10_polygon</v>
      </c>
      <c r="B4623" s="2">
        <v>592</v>
      </c>
      <c r="C4623" s="30" t="str">
        <f>VLOOKUP(B4623,gachas!A:C,3)</f>
        <v xml:space="preserve"> 5月フィーバーフェス（チョイス2）</v>
      </c>
      <c r="D4623" s="21">
        <v>10</v>
      </c>
      <c r="E4623" s="2">
        <f t="shared" si="756"/>
        <v>3</v>
      </c>
      <c r="F4623" s="2">
        <v>10</v>
      </c>
      <c r="G4623" s="3" t="s">
        <v>22</v>
      </c>
      <c r="H4623" s="2">
        <v>50</v>
      </c>
      <c r="I4623" s="114" t="str">
        <f t="shared" si="757"/>
        <v>592100</v>
      </c>
      <c r="J4623" s="112" t="s">
        <v>84</v>
      </c>
      <c r="K4623" s="112" t="str">
        <f t="shared" si="755"/>
        <v>592100</v>
      </c>
      <c r="L4623" s="2">
        <v>1</v>
      </c>
      <c r="M4623" s="2" t="s">
        <v>84</v>
      </c>
      <c r="N4623" s="2" t="s">
        <v>84</v>
      </c>
      <c r="O4623" s="2" t="s">
        <v>841</v>
      </c>
      <c r="P4623" s="2" t="s">
        <v>2571</v>
      </c>
    </row>
    <row r="4624" spans="1:16" ht="22" customHeight="1" x14ac:dyDescent="0.15">
      <c r="A4624" s="10" t="str">
        <f t="shared" si="754"/>
        <v>592_10_4_10_polygon</v>
      </c>
      <c r="B4624" s="2">
        <v>592</v>
      </c>
      <c r="C4624" s="30" t="str">
        <f>VLOOKUP(B4624,gachas!A:C,3)</f>
        <v xml:space="preserve"> 5月フィーバーフェス（チョイス2）</v>
      </c>
      <c r="D4624" s="21">
        <v>10</v>
      </c>
      <c r="E4624" s="2">
        <f t="shared" si="756"/>
        <v>4</v>
      </c>
      <c r="F4624" s="2">
        <v>10</v>
      </c>
      <c r="G4624" s="3" t="s">
        <v>22</v>
      </c>
      <c r="H4624" s="2">
        <v>50</v>
      </c>
      <c r="I4624" s="114" t="str">
        <f t="shared" si="757"/>
        <v>592100</v>
      </c>
      <c r="J4624" s="112" t="s">
        <v>84</v>
      </c>
      <c r="K4624" s="112" t="str">
        <f t="shared" si="755"/>
        <v>592100</v>
      </c>
      <c r="L4624" s="2">
        <v>1</v>
      </c>
      <c r="M4624" s="2" t="s">
        <v>84</v>
      </c>
      <c r="N4624" s="2" t="s">
        <v>84</v>
      </c>
      <c r="O4624" s="2" t="s">
        <v>841</v>
      </c>
      <c r="P4624" s="2" t="s">
        <v>2571</v>
      </c>
    </row>
    <row r="4625" spans="1:16" ht="22" customHeight="1" x14ac:dyDescent="0.15">
      <c r="A4625" s="10" t="str">
        <f t="shared" si="754"/>
        <v>592_10_5_10_polygon</v>
      </c>
      <c r="B4625" s="2">
        <v>592</v>
      </c>
      <c r="C4625" s="30" t="str">
        <f>VLOOKUP(B4625,gachas!A:C,3)</f>
        <v xml:space="preserve"> 5月フィーバーフェス（チョイス2）</v>
      </c>
      <c r="D4625" s="21">
        <v>10</v>
      </c>
      <c r="E4625" s="2">
        <f t="shared" si="756"/>
        <v>5</v>
      </c>
      <c r="F4625" s="2">
        <v>10</v>
      </c>
      <c r="G4625" s="3" t="s">
        <v>22</v>
      </c>
      <c r="H4625" s="2">
        <v>50</v>
      </c>
      <c r="I4625" s="114" t="str">
        <f t="shared" si="757"/>
        <v>592100</v>
      </c>
      <c r="J4625" s="112" t="str">
        <f>CONCATENATE(B4625,D4625,5)</f>
        <v>592105</v>
      </c>
      <c r="K4625" s="112" t="str">
        <f t="shared" si="755"/>
        <v>592100</v>
      </c>
      <c r="L4625" s="2">
        <v>1</v>
      </c>
      <c r="M4625" s="2" t="s">
        <v>84</v>
      </c>
      <c r="N4625" s="2" t="s">
        <v>84</v>
      </c>
      <c r="O4625" s="2" t="s">
        <v>841</v>
      </c>
      <c r="P4625" s="2" t="s">
        <v>2648</v>
      </c>
    </row>
    <row r="4626" spans="1:16" ht="22" customHeight="1" x14ac:dyDescent="0.15">
      <c r="A4626" s="10" t="str">
        <f t="shared" si="754"/>
        <v>592_10_6_10_polygon</v>
      </c>
      <c r="B4626" s="2">
        <v>592</v>
      </c>
      <c r="C4626" s="30" t="str">
        <f>VLOOKUP(B4626,gachas!A:C,3)</f>
        <v xml:space="preserve"> 5月フィーバーフェス（チョイス2）</v>
      </c>
      <c r="D4626" s="21">
        <v>10</v>
      </c>
      <c r="E4626" s="2">
        <f t="shared" si="756"/>
        <v>6</v>
      </c>
      <c r="F4626" s="2">
        <v>10</v>
      </c>
      <c r="G4626" s="3" t="s">
        <v>22</v>
      </c>
      <c r="H4626" s="2">
        <v>50</v>
      </c>
      <c r="I4626" s="114" t="str">
        <f t="shared" si="757"/>
        <v>592100</v>
      </c>
      <c r="J4626" s="112" t="s">
        <v>84</v>
      </c>
      <c r="K4626" s="112" t="str">
        <f t="shared" si="755"/>
        <v>592100</v>
      </c>
      <c r="L4626" s="2">
        <v>1</v>
      </c>
      <c r="M4626" s="2" t="s">
        <v>84</v>
      </c>
      <c r="N4626" s="2" t="s">
        <v>84</v>
      </c>
      <c r="O4626" s="2" t="s">
        <v>841</v>
      </c>
      <c r="P4626" s="2" t="s">
        <v>2571</v>
      </c>
    </row>
    <row r="4627" spans="1:16" ht="22" customHeight="1" x14ac:dyDescent="0.15">
      <c r="A4627" s="10" t="str">
        <f t="shared" si="754"/>
        <v>592_10_7_10_polygon</v>
      </c>
      <c r="B4627" s="2">
        <v>592</v>
      </c>
      <c r="C4627" s="30" t="str">
        <f>VLOOKUP(B4627,gachas!A:C,3)</f>
        <v xml:space="preserve"> 5月フィーバーフェス（チョイス2）</v>
      </c>
      <c r="D4627" s="21">
        <v>10</v>
      </c>
      <c r="E4627" s="2">
        <f t="shared" si="756"/>
        <v>7</v>
      </c>
      <c r="F4627" s="2">
        <v>10</v>
      </c>
      <c r="G4627" s="3" t="s">
        <v>22</v>
      </c>
      <c r="H4627" s="2">
        <v>50</v>
      </c>
      <c r="I4627" s="114" t="str">
        <f t="shared" si="757"/>
        <v>592100</v>
      </c>
      <c r="J4627" s="112" t="s">
        <v>84</v>
      </c>
      <c r="K4627" s="112" t="str">
        <f t="shared" si="755"/>
        <v>592100</v>
      </c>
      <c r="L4627" s="2">
        <v>1</v>
      </c>
      <c r="M4627" s="2" t="s">
        <v>84</v>
      </c>
      <c r="N4627" s="2" t="s">
        <v>84</v>
      </c>
      <c r="O4627" s="2" t="s">
        <v>841</v>
      </c>
      <c r="P4627" s="2" t="s">
        <v>2571</v>
      </c>
    </row>
    <row r="4628" spans="1:16" ht="22" customHeight="1" x14ac:dyDescent="0.15">
      <c r="A4628" s="10" t="str">
        <f t="shared" si="754"/>
        <v>592_10_8_10_polygon</v>
      </c>
      <c r="B4628" s="2">
        <v>592</v>
      </c>
      <c r="C4628" s="30" t="str">
        <f>VLOOKUP(B4628,gachas!A:C,3)</f>
        <v xml:space="preserve"> 5月フィーバーフェス（チョイス2）</v>
      </c>
      <c r="D4628" s="21">
        <v>10</v>
      </c>
      <c r="E4628" s="2">
        <f t="shared" si="756"/>
        <v>8</v>
      </c>
      <c r="F4628" s="2">
        <v>10</v>
      </c>
      <c r="G4628" s="3" t="s">
        <v>22</v>
      </c>
      <c r="H4628" s="2">
        <v>50</v>
      </c>
      <c r="I4628" s="114" t="str">
        <f t="shared" si="757"/>
        <v>592100</v>
      </c>
      <c r="J4628" s="112" t="s">
        <v>84</v>
      </c>
      <c r="K4628" s="112" t="str">
        <f t="shared" si="755"/>
        <v>592100</v>
      </c>
      <c r="L4628" s="2">
        <v>1</v>
      </c>
      <c r="M4628" s="2" t="s">
        <v>84</v>
      </c>
      <c r="N4628" s="2" t="s">
        <v>84</v>
      </c>
      <c r="O4628" s="2" t="s">
        <v>841</v>
      </c>
      <c r="P4628" s="2" t="s">
        <v>2571</v>
      </c>
    </row>
    <row r="4629" spans="1:16" ht="22" customHeight="1" x14ac:dyDescent="0.15">
      <c r="A4629" s="10" t="str">
        <f t="shared" si="754"/>
        <v>592_10_9_10_polygon</v>
      </c>
      <c r="B4629" s="2">
        <v>592</v>
      </c>
      <c r="C4629" s="30" t="str">
        <f>VLOOKUP(B4629,gachas!A:C,3)</f>
        <v xml:space="preserve"> 5月フィーバーフェス（チョイス2）</v>
      </c>
      <c r="D4629" s="21">
        <v>10</v>
      </c>
      <c r="E4629" s="2">
        <f t="shared" si="756"/>
        <v>9</v>
      </c>
      <c r="F4629" s="2">
        <v>10</v>
      </c>
      <c r="G4629" s="3" t="s">
        <v>22</v>
      </c>
      <c r="H4629" s="2">
        <v>50</v>
      </c>
      <c r="I4629" s="114" t="str">
        <f t="shared" si="757"/>
        <v>592100</v>
      </c>
      <c r="J4629" s="112" t="s">
        <v>84</v>
      </c>
      <c r="K4629" s="112" t="str">
        <f t="shared" si="755"/>
        <v>592100</v>
      </c>
      <c r="L4629" s="2">
        <v>1</v>
      </c>
      <c r="M4629" s="2" t="s">
        <v>84</v>
      </c>
      <c r="N4629" s="2" t="s">
        <v>84</v>
      </c>
      <c r="O4629" s="2" t="s">
        <v>841</v>
      </c>
      <c r="P4629" s="2" t="s">
        <v>2571</v>
      </c>
    </row>
    <row r="4630" spans="1:16" ht="22" customHeight="1" x14ac:dyDescent="0.15">
      <c r="A4630" s="10" t="str">
        <f t="shared" si="754"/>
        <v>592_10_10_10_polygon</v>
      </c>
      <c r="B4630" s="2">
        <v>592</v>
      </c>
      <c r="C4630" s="30" t="str">
        <f>VLOOKUP(B4630,gachas!A:C,3)</f>
        <v xml:space="preserve"> 5月フィーバーフェス（チョイス2）</v>
      </c>
      <c r="D4630" s="21">
        <v>10</v>
      </c>
      <c r="E4630" s="2">
        <f t="shared" si="756"/>
        <v>10</v>
      </c>
      <c r="F4630" s="2">
        <v>10</v>
      </c>
      <c r="G4630" s="3" t="s">
        <v>22</v>
      </c>
      <c r="H4630" s="2">
        <v>50</v>
      </c>
      <c r="I4630" s="114" t="str">
        <f t="shared" si="757"/>
        <v>592100</v>
      </c>
      <c r="J4630" s="112" t="str">
        <f>CONCATENATE(B4630,D4630,5)</f>
        <v>592105</v>
      </c>
      <c r="K4630" s="112" t="str">
        <f t="shared" si="755"/>
        <v>592100</v>
      </c>
      <c r="L4630" s="2">
        <v>1</v>
      </c>
      <c r="M4630" s="2" t="s">
        <v>84</v>
      </c>
      <c r="N4630" s="2" t="s">
        <v>84</v>
      </c>
      <c r="O4630" s="2" t="s">
        <v>841</v>
      </c>
      <c r="P4630" s="2" t="s">
        <v>2648</v>
      </c>
    </row>
    <row r="4631" spans="1:16" ht="22" customHeight="1" x14ac:dyDescent="0.15">
      <c r="A4631" s="10" t="str">
        <f t="shared" si="754"/>
        <v>592_10_11_10_polygon</v>
      </c>
      <c r="B4631" s="2">
        <v>592</v>
      </c>
      <c r="C4631" s="30" t="str">
        <f>VLOOKUP(B4631,gachas!A:C,3)</f>
        <v xml:space="preserve"> 5月フィーバーフェス（チョイス2）</v>
      </c>
      <c r="D4631" s="21">
        <v>10</v>
      </c>
      <c r="E4631" s="2">
        <f t="shared" si="756"/>
        <v>11</v>
      </c>
      <c r="F4631" s="2">
        <v>10</v>
      </c>
      <c r="G4631" s="3" t="s">
        <v>22</v>
      </c>
      <c r="H4631" s="2">
        <v>50</v>
      </c>
      <c r="I4631" s="114" t="str">
        <f t="shared" si="757"/>
        <v>592100</v>
      </c>
      <c r="J4631" s="112" t="s">
        <v>84</v>
      </c>
      <c r="K4631" s="112" t="str">
        <f t="shared" si="755"/>
        <v>592100</v>
      </c>
      <c r="L4631" s="2">
        <v>1</v>
      </c>
      <c r="M4631" s="2" t="s">
        <v>84</v>
      </c>
      <c r="N4631" s="2" t="s">
        <v>84</v>
      </c>
      <c r="O4631" s="2" t="s">
        <v>841</v>
      </c>
      <c r="P4631" s="2" t="s">
        <v>2571</v>
      </c>
    </row>
    <row r="4632" spans="1:16" ht="22" customHeight="1" x14ac:dyDescent="0.15">
      <c r="A4632" s="10" t="str">
        <f t="shared" si="754"/>
        <v>592_10_12_10_polygon</v>
      </c>
      <c r="B4632" s="2">
        <v>592</v>
      </c>
      <c r="C4632" s="30" t="str">
        <f>VLOOKUP(B4632,gachas!A:C,3)</f>
        <v xml:space="preserve"> 5月フィーバーフェス（チョイス2）</v>
      </c>
      <c r="D4632" s="21">
        <v>10</v>
      </c>
      <c r="E4632" s="2">
        <f t="shared" si="756"/>
        <v>12</v>
      </c>
      <c r="F4632" s="2">
        <v>10</v>
      </c>
      <c r="G4632" s="3" t="s">
        <v>22</v>
      </c>
      <c r="H4632" s="2">
        <v>50</v>
      </c>
      <c r="I4632" s="114" t="str">
        <f t="shared" si="757"/>
        <v>592100</v>
      </c>
      <c r="J4632" s="112" t="s">
        <v>84</v>
      </c>
      <c r="K4632" s="112" t="str">
        <f t="shared" si="755"/>
        <v>592100</v>
      </c>
      <c r="L4632" s="2">
        <v>1</v>
      </c>
      <c r="M4632" s="2" t="s">
        <v>84</v>
      </c>
      <c r="N4632" s="2" t="s">
        <v>84</v>
      </c>
      <c r="O4632" s="2" t="s">
        <v>841</v>
      </c>
      <c r="P4632" s="2" t="s">
        <v>2571</v>
      </c>
    </row>
    <row r="4633" spans="1:16" ht="22" customHeight="1" x14ac:dyDescent="0.15">
      <c r="A4633" s="10" t="str">
        <f t="shared" si="754"/>
        <v>592_10_13_10_polygon</v>
      </c>
      <c r="B4633" s="2">
        <v>592</v>
      </c>
      <c r="C4633" s="30" t="str">
        <f>VLOOKUP(B4633,gachas!A:C,3)</f>
        <v xml:space="preserve"> 5月フィーバーフェス（チョイス2）</v>
      </c>
      <c r="D4633" s="21">
        <v>10</v>
      </c>
      <c r="E4633" s="2">
        <f t="shared" si="756"/>
        <v>13</v>
      </c>
      <c r="F4633" s="2">
        <v>10</v>
      </c>
      <c r="G4633" s="3" t="s">
        <v>22</v>
      </c>
      <c r="H4633" s="2">
        <v>50</v>
      </c>
      <c r="I4633" s="114" t="str">
        <f t="shared" si="757"/>
        <v>592100</v>
      </c>
      <c r="J4633" s="112" t="s">
        <v>84</v>
      </c>
      <c r="K4633" s="112" t="str">
        <f t="shared" si="755"/>
        <v>592100</v>
      </c>
      <c r="L4633" s="2">
        <v>1</v>
      </c>
      <c r="M4633" s="2" t="s">
        <v>84</v>
      </c>
      <c r="N4633" s="2" t="s">
        <v>84</v>
      </c>
      <c r="O4633" s="2" t="s">
        <v>841</v>
      </c>
      <c r="P4633" s="2" t="s">
        <v>2571</v>
      </c>
    </row>
    <row r="4634" spans="1:16" ht="22" customHeight="1" x14ac:dyDescent="0.15">
      <c r="A4634" s="10" t="str">
        <f t="shared" si="754"/>
        <v>592_10_14_10_polygon</v>
      </c>
      <c r="B4634" s="2">
        <v>592</v>
      </c>
      <c r="C4634" s="30" t="str">
        <f>VLOOKUP(B4634,gachas!A:C,3)</f>
        <v xml:space="preserve"> 5月フィーバーフェス（チョイス2）</v>
      </c>
      <c r="D4634" s="21">
        <v>10</v>
      </c>
      <c r="E4634" s="2">
        <f t="shared" si="756"/>
        <v>14</v>
      </c>
      <c r="F4634" s="2">
        <v>10</v>
      </c>
      <c r="G4634" s="3" t="s">
        <v>22</v>
      </c>
      <c r="H4634" s="2">
        <v>50</v>
      </c>
      <c r="I4634" s="114" t="str">
        <f t="shared" si="757"/>
        <v>592100</v>
      </c>
      <c r="J4634" s="112" t="s">
        <v>84</v>
      </c>
      <c r="K4634" s="112" t="str">
        <f t="shared" si="755"/>
        <v>592100</v>
      </c>
      <c r="L4634" s="2">
        <v>1</v>
      </c>
      <c r="M4634" s="2" t="s">
        <v>84</v>
      </c>
      <c r="N4634" s="2" t="s">
        <v>84</v>
      </c>
      <c r="O4634" s="2" t="s">
        <v>841</v>
      </c>
      <c r="P4634" s="2" t="s">
        <v>2571</v>
      </c>
    </row>
    <row r="4635" spans="1:16" ht="22" customHeight="1" x14ac:dyDescent="0.15">
      <c r="A4635" s="10" t="str">
        <f t="shared" si="754"/>
        <v>592_10_15_10_polygon</v>
      </c>
      <c r="B4635" s="2">
        <v>592</v>
      </c>
      <c r="C4635" s="30" t="str">
        <f>VLOOKUP(B4635,gachas!A:C,3)</f>
        <v xml:space="preserve"> 5月フィーバーフェス（チョイス2）</v>
      </c>
      <c r="D4635" s="21">
        <v>10</v>
      </c>
      <c r="E4635" s="2">
        <f t="shared" si="756"/>
        <v>15</v>
      </c>
      <c r="F4635" s="2">
        <v>10</v>
      </c>
      <c r="G4635" s="3" t="s">
        <v>22</v>
      </c>
      <c r="H4635" s="2">
        <v>50</v>
      </c>
      <c r="I4635" s="114" t="str">
        <f t="shared" si="757"/>
        <v>592100</v>
      </c>
      <c r="J4635" s="112" t="str">
        <f>CONCATENATE(B4635,D4635,5)</f>
        <v>592105</v>
      </c>
      <c r="K4635" s="112" t="str">
        <f t="shared" si="755"/>
        <v>592100</v>
      </c>
      <c r="L4635" s="2">
        <v>1</v>
      </c>
      <c r="M4635" s="2" t="s">
        <v>84</v>
      </c>
      <c r="N4635" s="2" t="s">
        <v>84</v>
      </c>
      <c r="O4635" s="2" t="s">
        <v>841</v>
      </c>
      <c r="P4635" s="2" t="s">
        <v>2648</v>
      </c>
    </row>
    <row r="4636" spans="1:16" ht="22" customHeight="1" x14ac:dyDescent="0.15">
      <c r="A4636" s="10" t="str">
        <f t="shared" si="754"/>
        <v>592_10_16_10_polygon</v>
      </c>
      <c r="B4636" s="2">
        <v>592</v>
      </c>
      <c r="C4636" s="30" t="str">
        <f>VLOOKUP(B4636,gachas!A:C,3)</f>
        <v xml:space="preserve"> 5月フィーバーフェス（チョイス2）</v>
      </c>
      <c r="D4636" s="21">
        <v>10</v>
      </c>
      <c r="E4636" s="2">
        <f t="shared" si="756"/>
        <v>16</v>
      </c>
      <c r="F4636" s="2">
        <v>10</v>
      </c>
      <c r="G4636" s="3" t="s">
        <v>22</v>
      </c>
      <c r="H4636" s="2">
        <v>50</v>
      </c>
      <c r="I4636" s="114" t="str">
        <f t="shared" si="757"/>
        <v>592100</v>
      </c>
      <c r="J4636" s="112" t="s">
        <v>84</v>
      </c>
      <c r="K4636" s="112" t="str">
        <f t="shared" si="755"/>
        <v>592100</v>
      </c>
      <c r="L4636" s="2">
        <v>1</v>
      </c>
      <c r="M4636" s="2" t="s">
        <v>84</v>
      </c>
      <c r="N4636" s="2" t="s">
        <v>84</v>
      </c>
      <c r="O4636" s="2" t="s">
        <v>841</v>
      </c>
      <c r="P4636" s="2" t="s">
        <v>2571</v>
      </c>
    </row>
    <row r="4637" spans="1:16" ht="22" customHeight="1" x14ac:dyDescent="0.15">
      <c r="A4637" s="10" t="str">
        <f t="shared" si="754"/>
        <v>592_10_17_10_polygon</v>
      </c>
      <c r="B4637" s="2">
        <v>592</v>
      </c>
      <c r="C4637" s="30" t="str">
        <f>VLOOKUP(B4637,gachas!A:C,3)</f>
        <v xml:space="preserve"> 5月フィーバーフェス（チョイス2）</v>
      </c>
      <c r="D4637" s="21">
        <v>10</v>
      </c>
      <c r="E4637" s="2">
        <f t="shared" si="756"/>
        <v>17</v>
      </c>
      <c r="F4637" s="2">
        <v>10</v>
      </c>
      <c r="G4637" s="3" t="s">
        <v>22</v>
      </c>
      <c r="H4637" s="2">
        <v>50</v>
      </c>
      <c r="I4637" s="114" t="str">
        <f t="shared" si="757"/>
        <v>592100</v>
      </c>
      <c r="J4637" s="112" t="s">
        <v>84</v>
      </c>
      <c r="K4637" s="112" t="str">
        <f t="shared" si="755"/>
        <v>592100</v>
      </c>
      <c r="L4637" s="2">
        <v>1</v>
      </c>
      <c r="M4637" s="2" t="s">
        <v>84</v>
      </c>
      <c r="N4637" s="2" t="s">
        <v>84</v>
      </c>
      <c r="O4637" s="2" t="s">
        <v>841</v>
      </c>
      <c r="P4637" s="2" t="s">
        <v>2571</v>
      </c>
    </row>
    <row r="4638" spans="1:16" ht="22" customHeight="1" x14ac:dyDescent="0.15">
      <c r="A4638" s="10" t="str">
        <f t="shared" si="754"/>
        <v>592_10_18_10_polygon</v>
      </c>
      <c r="B4638" s="2">
        <v>592</v>
      </c>
      <c r="C4638" s="30" t="str">
        <f>VLOOKUP(B4638,gachas!A:C,3)</f>
        <v xml:space="preserve"> 5月フィーバーフェス（チョイス2）</v>
      </c>
      <c r="D4638" s="21">
        <v>10</v>
      </c>
      <c r="E4638" s="2">
        <f t="shared" si="756"/>
        <v>18</v>
      </c>
      <c r="F4638" s="2">
        <v>10</v>
      </c>
      <c r="G4638" s="3" t="s">
        <v>22</v>
      </c>
      <c r="H4638" s="2">
        <v>50</v>
      </c>
      <c r="I4638" s="114" t="str">
        <f t="shared" si="757"/>
        <v>592100</v>
      </c>
      <c r="J4638" s="112" t="s">
        <v>84</v>
      </c>
      <c r="K4638" s="112" t="str">
        <f t="shared" si="755"/>
        <v>592100</v>
      </c>
      <c r="L4638" s="2">
        <v>1</v>
      </c>
      <c r="M4638" s="2" t="s">
        <v>84</v>
      </c>
      <c r="N4638" s="2" t="s">
        <v>84</v>
      </c>
      <c r="O4638" s="2" t="s">
        <v>841</v>
      </c>
      <c r="P4638" s="2" t="s">
        <v>2571</v>
      </c>
    </row>
    <row r="4639" spans="1:16" ht="22" customHeight="1" x14ac:dyDescent="0.15">
      <c r="A4639" s="10" t="str">
        <f t="shared" si="754"/>
        <v>592_10_19_10_polygon</v>
      </c>
      <c r="B4639" s="2">
        <v>592</v>
      </c>
      <c r="C4639" s="30" t="str">
        <f>VLOOKUP(B4639,gachas!A:C,3)</f>
        <v xml:space="preserve"> 5月フィーバーフェス（チョイス2）</v>
      </c>
      <c r="D4639" s="21">
        <v>10</v>
      </c>
      <c r="E4639" s="2">
        <f t="shared" si="756"/>
        <v>19</v>
      </c>
      <c r="F4639" s="2">
        <v>10</v>
      </c>
      <c r="G4639" s="3" t="s">
        <v>22</v>
      </c>
      <c r="H4639" s="2">
        <v>50</v>
      </c>
      <c r="I4639" s="114" t="str">
        <f t="shared" si="757"/>
        <v>592100</v>
      </c>
      <c r="J4639" s="112" t="s">
        <v>84</v>
      </c>
      <c r="K4639" s="112" t="str">
        <f t="shared" si="755"/>
        <v>592100</v>
      </c>
      <c r="L4639" s="2">
        <v>1</v>
      </c>
      <c r="M4639" s="2" t="s">
        <v>84</v>
      </c>
      <c r="N4639" s="2" t="s">
        <v>84</v>
      </c>
      <c r="O4639" s="2" t="s">
        <v>841</v>
      </c>
      <c r="P4639" s="2" t="s">
        <v>2571</v>
      </c>
    </row>
    <row r="4640" spans="1:16" ht="22" customHeight="1" x14ac:dyDescent="0.15">
      <c r="A4640" s="10" t="str">
        <f t="shared" si="754"/>
        <v>592_10_20_10_polygon</v>
      </c>
      <c r="B4640" s="2">
        <v>592</v>
      </c>
      <c r="C4640" s="30" t="str">
        <f>VLOOKUP(B4640,gachas!A:C,3)</f>
        <v xml:space="preserve"> 5月フィーバーフェス（チョイス2）</v>
      </c>
      <c r="D4640" s="21">
        <v>10</v>
      </c>
      <c r="E4640" s="2">
        <f t="shared" si="756"/>
        <v>20</v>
      </c>
      <c r="F4640" s="2">
        <v>10</v>
      </c>
      <c r="G4640" s="3" t="s">
        <v>22</v>
      </c>
      <c r="H4640" s="2">
        <v>50</v>
      </c>
      <c r="I4640" s="114" t="str">
        <f t="shared" si="757"/>
        <v>592100</v>
      </c>
      <c r="J4640" s="112" t="str">
        <f>CONCATENATE(B4640,D4640,5)</f>
        <v>592105</v>
      </c>
      <c r="K4640" s="112" t="str">
        <f t="shared" si="755"/>
        <v>592100</v>
      </c>
      <c r="L4640" s="2">
        <v>1</v>
      </c>
      <c r="M4640" s="2" t="s">
        <v>84</v>
      </c>
      <c r="N4640" s="2" t="s">
        <v>84</v>
      </c>
      <c r="O4640" s="2" t="s">
        <v>841</v>
      </c>
      <c r="P4640" s="2" t="s">
        <v>2648</v>
      </c>
    </row>
    <row r="4641" spans="1:16" ht="22" customHeight="1" x14ac:dyDescent="0.15">
      <c r="A4641" s="10" t="str">
        <f t="shared" si="754"/>
        <v>592_10_21_10_polygon</v>
      </c>
      <c r="B4641" s="2">
        <v>592</v>
      </c>
      <c r="C4641" s="30" t="str">
        <f>VLOOKUP(B4641,gachas!A:C,3)</f>
        <v xml:space="preserve"> 5月フィーバーフェス（チョイス2）</v>
      </c>
      <c r="D4641" s="21">
        <v>10</v>
      </c>
      <c r="E4641" s="2">
        <f t="shared" si="756"/>
        <v>21</v>
      </c>
      <c r="F4641" s="2">
        <v>10</v>
      </c>
      <c r="G4641" s="3" t="s">
        <v>22</v>
      </c>
      <c r="H4641" s="2">
        <v>50</v>
      </c>
      <c r="I4641" s="114" t="str">
        <f t="shared" si="757"/>
        <v>592100</v>
      </c>
      <c r="J4641" s="112" t="s">
        <v>84</v>
      </c>
      <c r="K4641" s="112" t="str">
        <f t="shared" si="755"/>
        <v>592100</v>
      </c>
      <c r="L4641" s="2">
        <v>1</v>
      </c>
      <c r="M4641" s="2" t="s">
        <v>84</v>
      </c>
      <c r="N4641" s="2" t="s">
        <v>84</v>
      </c>
      <c r="O4641" s="2" t="s">
        <v>841</v>
      </c>
      <c r="P4641" s="2" t="s">
        <v>2571</v>
      </c>
    </row>
    <row r="4642" spans="1:16" ht="22" customHeight="1" x14ac:dyDescent="0.15">
      <c r="A4642" s="10" t="str">
        <f t="shared" si="754"/>
        <v>592_10_22_10_polygon</v>
      </c>
      <c r="B4642" s="2">
        <v>592</v>
      </c>
      <c r="C4642" s="30" t="str">
        <f>VLOOKUP(B4642,gachas!A:C,3)</f>
        <v xml:space="preserve"> 5月フィーバーフェス（チョイス2）</v>
      </c>
      <c r="D4642" s="21">
        <v>10</v>
      </c>
      <c r="E4642" s="2">
        <f t="shared" si="756"/>
        <v>22</v>
      </c>
      <c r="F4642" s="2">
        <v>10</v>
      </c>
      <c r="G4642" s="3" t="s">
        <v>22</v>
      </c>
      <c r="H4642" s="2">
        <v>50</v>
      </c>
      <c r="I4642" s="114" t="str">
        <f t="shared" si="757"/>
        <v>592100</v>
      </c>
      <c r="J4642" s="112" t="s">
        <v>84</v>
      </c>
      <c r="K4642" s="112" t="str">
        <f t="shared" si="755"/>
        <v>592100</v>
      </c>
      <c r="L4642" s="2">
        <v>1</v>
      </c>
      <c r="M4642" s="2" t="s">
        <v>84</v>
      </c>
      <c r="N4642" s="2" t="s">
        <v>84</v>
      </c>
      <c r="O4642" s="2" t="s">
        <v>841</v>
      </c>
      <c r="P4642" s="2" t="s">
        <v>2571</v>
      </c>
    </row>
    <row r="4643" spans="1:16" ht="22" customHeight="1" x14ac:dyDescent="0.15">
      <c r="A4643" s="10" t="str">
        <f t="shared" si="754"/>
        <v>592_10_23_10_polygon</v>
      </c>
      <c r="B4643" s="2">
        <v>592</v>
      </c>
      <c r="C4643" s="30" t="str">
        <f>VLOOKUP(B4643,gachas!A:C,3)</f>
        <v xml:space="preserve"> 5月フィーバーフェス（チョイス2）</v>
      </c>
      <c r="D4643" s="21">
        <v>10</v>
      </c>
      <c r="E4643" s="2">
        <f t="shared" si="756"/>
        <v>23</v>
      </c>
      <c r="F4643" s="2">
        <v>10</v>
      </c>
      <c r="G4643" s="3" t="s">
        <v>22</v>
      </c>
      <c r="H4643" s="2">
        <v>50</v>
      </c>
      <c r="I4643" s="114" t="str">
        <f t="shared" si="757"/>
        <v>592100</v>
      </c>
      <c r="J4643" s="112" t="s">
        <v>84</v>
      </c>
      <c r="K4643" s="112" t="str">
        <f t="shared" si="755"/>
        <v>592100</v>
      </c>
      <c r="L4643" s="2">
        <v>1</v>
      </c>
      <c r="M4643" s="2" t="s">
        <v>84</v>
      </c>
      <c r="N4643" s="2" t="s">
        <v>84</v>
      </c>
      <c r="O4643" s="2" t="s">
        <v>841</v>
      </c>
      <c r="P4643" s="2" t="s">
        <v>2571</v>
      </c>
    </row>
    <row r="4644" spans="1:16" ht="22" customHeight="1" x14ac:dyDescent="0.15">
      <c r="A4644" s="10" t="str">
        <f t="shared" si="754"/>
        <v>592_10_24_10_polygon</v>
      </c>
      <c r="B4644" s="2">
        <v>592</v>
      </c>
      <c r="C4644" s="30" t="str">
        <f>VLOOKUP(B4644,gachas!A:C,3)</f>
        <v xml:space="preserve"> 5月フィーバーフェス（チョイス2）</v>
      </c>
      <c r="D4644" s="21">
        <v>10</v>
      </c>
      <c r="E4644" s="2">
        <f t="shared" si="756"/>
        <v>24</v>
      </c>
      <c r="F4644" s="2">
        <v>10</v>
      </c>
      <c r="G4644" s="3" t="s">
        <v>22</v>
      </c>
      <c r="H4644" s="2">
        <v>50</v>
      </c>
      <c r="I4644" s="114" t="str">
        <f t="shared" si="757"/>
        <v>592100</v>
      </c>
      <c r="J4644" s="112" t="s">
        <v>84</v>
      </c>
      <c r="K4644" s="112" t="str">
        <f t="shared" si="755"/>
        <v>592100</v>
      </c>
      <c r="L4644" s="2">
        <v>1</v>
      </c>
      <c r="M4644" s="2" t="s">
        <v>84</v>
      </c>
      <c r="N4644" s="2" t="s">
        <v>84</v>
      </c>
      <c r="O4644" s="2" t="s">
        <v>841</v>
      </c>
      <c r="P4644" s="2" t="s">
        <v>2571</v>
      </c>
    </row>
    <row r="4645" spans="1:16" ht="22" customHeight="1" x14ac:dyDescent="0.15">
      <c r="A4645" s="10" t="str">
        <f t="shared" si="754"/>
        <v>592_10_25_10_polygon</v>
      </c>
      <c r="B4645" s="2">
        <v>592</v>
      </c>
      <c r="C4645" s="30" t="str">
        <f>VLOOKUP(B4645,gachas!A:C,3)</f>
        <v xml:space="preserve"> 5月フィーバーフェス（チョイス2）</v>
      </c>
      <c r="D4645" s="21">
        <v>10</v>
      </c>
      <c r="E4645" s="2">
        <f t="shared" si="756"/>
        <v>25</v>
      </c>
      <c r="F4645" s="2">
        <v>10</v>
      </c>
      <c r="G4645" s="3" t="s">
        <v>22</v>
      </c>
      <c r="H4645" s="2">
        <v>50</v>
      </c>
      <c r="I4645" s="114" t="str">
        <f t="shared" si="757"/>
        <v>592100</v>
      </c>
      <c r="J4645" s="112" t="str">
        <f>CONCATENATE(B4645,D4645,5)</f>
        <v>592105</v>
      </c>
      <c r="K4645" s="112" t="str">
        <f t="shared" si="755"/>
        <v>592100</v>
      </c>
      <c r="L4645" s="2">
        <v>1</v>
      </c>
      <c r="M4645" s="2" t="s">
        <v>84</v>
      </c>
      <c r="N4645" s="2" t="s">
        <v>84</v>
      </c>
      <c r="O4645" s="2" t="s">
        <v>841</v>
      </c>
      <c r="P4645" s="2" t="s">
        <v>2648</v>
      </c>
    </row>
    <row r="4646" spans="1:16" ht="22" customHeight="1" x14ac:dyDescent="0.15">
      <c r="A4646" s="10" t="str">
        <f t="shared" si="754"/>
        <v>592_10_26_10_polygon</v>
      </c>
      <c r="B4646" s="2">
        <v>592</v>
      </c>
      <c r="C4646" s="30" t="str">
        <f>VLOOKUP(B4646,gachas!A:C,3)</f>
        <v xml:space="preserve"> 5月フィーバーフェス（チョイス2）</v>
      </c>
      <c r="D4646" s="21">
        <v>10</v>
      </c>
      <c r="E4646" s="2">
        <f t="shared" si="756"/>
        <v>26</v>
      </c>
      <c r="F4646" s="2">
        <v>10</v>
      </c>
      <c r="G4646" s="3" t="s">
        <v>22</v>
      </c>
      <c r="H4646" s="2">
        <v>50</v>
      </c>
      <c r="I4646" s="114" t="str">
        <f t="shared" si="757"/>
        <v>592100</v>
      </c>
      <c r="J4646" s="112" t="s">
        <v>84</v>
      </c>
      <c r="K4646" s="112" t="str">
        <f t="shared" si="755"/>
        <v>592100</v>
      </c>
      <c r="L4646" s="2">
        <v>1</v>
      </c>
      <c r="M4646" s="2" t="s">
        <v>84</v>
      </c>
      <c r="N4646" s="2" t="s">
        <v>84</v>
      </c>
      <c r="O4646" s="2" t="s">
        <v>841</v>
      </c>
      <c r="P4646" s="2" t="s">
        <v>2571</v>
      </c>
    </row>
    <row r="4647" spans="1:16" ht="22" customHeight="1" x14ac:dyDescent="0.15">
      <c r="A4647" s="10" t="str">
        <f t="shared" si="754"/>
        <v>592_10_27_10_polygon</v>
      </c>
      <c r="B4647" s="2">
        <v>592</v>
      </c>
      <c r="C4647" s="30" t="str">
        <f>VLOOKUP(B4647,gachas!A:C,3)</f>
        <v xml:space="preserve"> 5月フィーバーフェス（チョイス2）</v>
      </c>
      <c r="D4647" s="21">
        <v>10</v>
      </c>
      <c r="E4647" s="2">
        <f t="shared" si="756"/>
        <v>27</v>
      </c>
      <c r="F4647" s="2">
        <v>10</v>
      </c>
      <c r="G4647" s="3" t="s">
        <v>22</v>
      </c>
      <c r="H4647" s="2">
        <v>50</v>
      </c>
      <c r="I4647" s="114" t="str">
        <f t="shared" si="757"/>
        <v>592100</v>
      </c>
      <c r="J4647" s="112" t="s">
        <v>84</v>
      </c>
      <c r="K4647" s="112" t="str">
        <f t="shared" si="755"/>
        <v>592100</v>
      </c>
      <c r="L4647" s="2">
        <v>1</v>
      </c>
      <c r="M4647" s="2" t="s">
        <v>84</v>
      </c>
      <c r="N4647" s="2" t="s">
        <v>84</v>
      </c>
      <c r="O4647" s="2" t="s">
        <v>841</v>
      </c>
      <c r="P4647" s="2" t="s">
        <v>2571</v>
      </c>
    </row>
    <row r="4648" spans="1:16" ht="22" customHeight="1" x14ac:dyDescent="0.15">
      <c r="A4648" s="10" t="str">
        <f t="shared" si="754"/>
        <v>592_10_28_10_polygon</v>
      </c>
      <c r="B4648" s="2">
        <v>592</v>
      </c>
      <c r="C4648" s="30" t="str">
        <f>VLOOKUP(B4648,gachas!A:C,3)</f>
        <v xml:space="preserve"> 5月フィーバーフェス（チョイス2）</v>
      </c>
      <c r="D4648" s="21">
        <v>10</v>
      </c>
      <c r="E4648" s="2">
        <f t="shared" si="756"/>
        <v>28</v>
      </c>
      <c r="F4648" s="2">
        <v>10</v>
      </c>
      <c r="G4648" s="3" t="s">
        <v>22</v>
      </c>
      <c r="H4648" s="2">
        <v>50</v>
      </c>
      <c r="I4648" s="114" t="str">
        <f t="shared" si="757"/>
        <v>592100</v>
      </c>
      <c r="J4648" s="112" t="s">
        <v>84</v>
      </c>
      <c r="K4648" s="112" t="str">
        <f t="shared" si="755"/>
        <v>592100</v>
      </c>
      <c r="L4648" s="2">
        <v>1</v>
      </c>
      <c r="M4648" s="2" t="s">
        <v>84</v>
      </c>
      <c r="N4648" s="2" t="s">
        <v>84</v>
      </c>
      <c r="O4648" s="2" t="s">
        <v>841</v>
      </c>
      <c r="P4648" s="2" t="s">
        <v>2571</v>
      </c>
    </row>
    <row r="4649" spans="1:16" ht="22" customHeight="1" x14ac:dyDescent="0.15">
      <c r="A4649" s="10" t="str">
        <f t="shared" si="754"/>
        <v>592_10_29_10_polygon</v>
      </c>
      <c r="B4649" s="2">
        <v>592</v>
      </c>
      <c r="C4649" s="30" t="str">
        <f>VLOOKUP(B4649,gachas!A:C,3)</f>
        <v xml:space="preserve"> 5月フィーバーフェス（チョイス2）</v>
      </c>
      <c r="D4649" s="21">
        <v>10</v>
      </c>
      <c r="E4649" s="2">
        <f t="shared" si="756"/>
        <v>29</v>
      </c>
      <c r="F4649" s="2">
        <v>10</v>
      </c>
      <c r="G4649" s="3" t="s">
        <v>22</v>
      </c>
      <c r="H4649" s="2">
        <v>50</v>
      </c>
      <c r="I4649" s="114" t="str">
        <f t="shared" si="757"/>
        <v>592100</v>
      </c>
      <c r="J4649" s="112" t="s">
        <v>84</v>
      </c>
      <c r="K4649" s="112" t="str">
        <f t="shared" si="755"/>
        <v>592100</v>
      </c>
      <c r="L4649" s="2">
        <v>1</v>
      </c>
      <c r="M4649" s="2" t="s">
        <v>84</v>
      </c>
      <c r="N4649" s="2" t="s">
        <v>84</v>
      </c>
      <c r="O4649" s="2" t="s">
        <v>841</v>
      </c>
      <c r="P4649" s="2" t="s">
        <v>2571</v>
      </c>
    </row>
    <row r="4650" spans="1:16" ht="22" customHeight="1" x14ac:dyDescent="0.15">
      <c r="A4650" s="10" t="str">
        <f t="shared" si="754"/>
        <v>592_10_30_10_polygon</v>
      </c>
      <c r="B4650" s="2">
        <v>592</v>
      </c>
      <c r="C4650" s="30" t="str">
        <f>VLOOKUP(B4650,gachas!A:C,3)</f>
        <v xml:space="preserve"> 5月フィーバーフェス（チョイス2）</v>
      </c>
      <c r="D4650" s="21">
        <v>10</v>
      </c>
      <c r="E4650" s="2">
        <f t="shared" si="756"/>
        <v>30</v>
      </c>
      <c r="F4650" s="2">
        <v>10</v>
      </c>
      <c r="G4650" s="3" t="s">
        <v>22</v>
      </c>
      <c r="H4650" s="2">
        <v>50</v>
      </c>
      <c r="I4650" s="114" t="str">
        <f t="shared" si="757"/>
        <v>592100</v>
      </c>
      <c r="J4650" s="112" t="str">
        <f>CONCATENATE(B4650,D4650,5)</f>
        <v>592105</v>
      </c>
      <c r="K4650" s="112" t="str">
        <f t="shared" si="755"/>
        <v>592100</v>
      </c>
      <c r="L4650" s="2">
        <v>1</v>
      </c>
      <c r="M4650" s="2" t="s">
        <v>84</v>
      </c>
      <c r="N4650" s="2" t="s">
        <v>84</v>
      </c>
      <c r="O4650" s="2" t="s">
        <v>841</v>
      </c>
      <c r="P4650" s="2" t="s">
        <v>2648</v>
      </c>
    </row>
    <row r="4651" spans="1:16" ht="22" customHeight="1" x14ac:dyDescent="0.15">
      <c r="A4651" s="10" t="str">
        <f t="shared" si="754"/>
        <v>592_10_31_10_polygon</v>
      </c>
      <c r="B4651" s="2">
        <v>592</v>
      </c>
      <c r="C4651" s="30" t="str">
        <f>VLOOKUP(B4651,gachas!A:C,3)</f>
        <v xml:space="preserve"> 5月フィーバーフェス（チョイス2）</v>
      </c>
      <c r="D4651" s="21">
        <v>10</v>
      </c>
      <c r="E4651" s="2">
        <f t="shared" si="756"/>
        <v>31</v>
      </c>
      <c r="F4651" s="2">
        <v>10</v>
      </c>
      <c r="G4651" s="3" t="s">
        <v>22</v>
      </c>
      <c r="H4651" s="2">
        <v>50</v>
      </c>
      <c r="I4651" s="114" t="str">
        <f t="shared" si="757"/>
        <v>592100</v>
      </c>
      <c r="J4651" s="112" t="s">
        <v>84</v>
      </c>
      <c r="K4651" s="112" t="str">
        <f t="shared" si="755"/>
        <v>592100</v>
      </c>
      <c r="L4651" s="2">
        <v>1</v>
      </c>
      <c r="M4651" s="2" t="s">
        <v>84</v>
      </c>
      <c r="N4651" s="2" t="s">
        <v>84</v>
      </c>
      <c r="O4651" s="2" t="s">
        <v>841</v>
      </c>
      <c r="P4651" s="2" t="s">
        <v>2571</v>
      </c>
    </row>
    <row r="4652" spans="1:16" ht="22" customHeight="1" x14ac:dyDescent="0.15">
      <c r="A4652" s="10" t="str">
        <f t="shared" si="754"/>
        <v>592_10_32_10_polygon</v>
      </c>
      <c r="B4652" s="2">
        <v>592</v>
      </c>
      <c r="C4652" s="30" t="str">
        <f>VLOOKUP(B4652,gachas!A:C,3)</f>
        <v xml:space="preserve"> 5月フィーバーフェス（チョイス2）</v>
      </c>
      <c r="D4652" s="21">
        <v>10</v>
      </c>
      <c r="E4652" s="2">
        <f t="shared" si="756"/>
        <v>32</v>
      </c>
      <c r="F4652" s="2">
        <v>10</v>
      </c>
      <c r="G4652" s="3" t="s">
        <v>22</v>
      </c>
      <c r="H4652" s="2">
        <v>50</v>
      </c>
      <c r="I4652" s="114" t="str">
        <f t="shared" si="757"/>
        <v>592100</v>
      </c>
      <c r="J4652" s="112" t="s">
        <v>84</v>
      </c>
      <c r="K4652" s="112" t="str">
        <f t="shared" si="755"/>
        <v>592100</v>
      </c>
      <c r="L4652" s="2">
        <v>1</v>
      </c>
      <c r="M4652" s="2" t="s">
        <v>84</v>
      </c>
      <c r="N4652" s="2" t="s">
        <v>84</v>
      </c>
      <c r="O4652" s="2" t="s">
        <v>841</v>
      </c>
      <c r="P4652" s="2" t="s">
        <v>2571</v>
      </c>
    </row>
    <row r="4653" spans="1:16" ht="22" customHeight="1" x14ac:dyDescent="0.15">
      <c r="A4653" s="10" t="str">
        <f t="shared" si="754"/>
        <v>592_10_33_10_polygon</v>
      </c>
      <c r="B4653" s="2">
        <v>592</v>
      </c>
      <c r="C4653" s="30" t="str">
        <f>VLOOKUP(B4653,gachas!A:C,3)</f>
        <v xml:space="preserve"> 5月フィーバーフェス（チョイス2）</v>
      </c>
      <c r="D4653" s="21">
        <v>10</v>
      </c>
      <c r="E4653" s="2">
        <f t="shared" si="756"/>
        <v>33</v>
      </c>
      <c r="F4653" s="2">
        <v>10</v>
      </c>
      <c r="G4653" s="3" t="s">
        <v>22</v>
      </c>
      <c r="H4653" s="2">
        <v>50</v>
      </c>
      <c r="I4653" s="114" t="str">
        <f t="shared" si="757"/>
        <v>592100</v>
      </c>
      <c r="J4653" s="112" t="s">
        <v>84</v>
      </c>
      <c r="K4653" s="112" t="str">
        <f t="shared" si="755"/>
        <v>592100</v>
      </c>
      <c r="L4653" s="2">
        <v>1</v>
      </c>
      <c r="M4653" s="2" t="s">
        <v>84</v>
      </c>
      <c r="N4653" s="2" t="s">
        <v>84</v>
      </c>
      <c r="O4653" s="2" t="s">
        <v>841</v>
      </c>
      <c r="P4653" s="2" t="s">
        <v>2571</v>
      </c>
    </row>
    <row r="4654" spans="1:16" ht="22" customHeight="1" x14ac:dyDescent="0.15">
      <c r="A4654" s="10" t="str">
        <f t="shared" si="754"/>
        <v>592_10_34_10_polygon</v>
      </c>
      <c r="B4654" s="2">
        <v>592</v>
      </c>
      <c r="C4654" s="30" t="str">
        <f>VLOOKUP(B4654,gachas!A:C,3)</f>
        <v xml:space="preserve"> 5月フィーバーフェス（チョイス2）</v>
      </c>
      <c r="D4654" s="21">
        <v>10</v>
      </c>
      <c r="E4654" s="2">
        <f t="shared" si="756"/>
        <v>34</v>
      </c>
      <c r="F4654" s="2">
        <v>10</v>
      </c>
      <c r="G4654" s="3" t="s">
        <v>22</v>
      </c>
      <c r="H4654" s="2">
        <v>50</v>
      </c>
      <c r="I4654" s="114" t="str">
        <f t="shared" si="757"/>
        <v>592100</v>
      </c>
      <c r="J4654" s="112" t="s">
        <v>84</v>
      </c>
      <c r="K4654" s="112" t="str">
        <f t="shared" si="755"/>
        <v>592100</v>
      </c>
      <c r="L4654" s="2">
        <v>1</v>
      </c>
      <c r="M4654" s="2" t="s">
        <v>84</v>
      </c>
      <c r="N4654" s="2" t="s">
        <v>84</v>
      </c>
      <c r="O4654" s="2" t="s">
        <v>841</v>
      </c>
      <c r="P4654" s="2" t="s">
        <v>2571</v>
      </c>
    </row>
    <row r="4655" spans="1:16" ht="22" customHeight="1" x14ac:dyDescent="0.15">
      <c r="A4655" s="10" t="str">
        <f t="shared" si="754"/>
        <v>592_10_35_10_polygon</v>
      </c>
      <c r="B4655" s="2">
        <v>592</v>
      </c>
      <c r="C4655" s="30" t="str">
        <f>VLOOKUP(B4655,gachas!A:C,3)</f>
        <v xml:space="preserve"> 5月フィーバーフェス（チョイス2）</v>
      </c>
      <c r="D4655" s="21">
        <v>10</v>
      </c>
      <c r="E4655" s="2">
        <f t="shared" si="756"/>
        <v>35</v>
      </c>
      <c r="F4655" s="2">
        <v>10</v>
      </c>
      <c r="G4655" s="3" t="s">
        <v>22</v>
      </c>
      <c r="H4655" s="2">
        <v>50</v>
      </c>
      <c r="I4655" s="114" t="str">
        <f t="shared" si="757"/>
        <v>592100</v>
      </c>
      <c r="J4655" s="112" t="str">
        <f>CONCATENATE(B4655,D4655,5)</f>
        <v>592105</v>
      </c>
      <c r="K4655" s="112" t="str">
        <f t="shared" si="755"/>
        <v>592100</v>
      </c>
      <c r="L4655" s="2">
        <v>1</v>
      </c>
      <c r="M4655" s="2" t="s">
        <v>84</v>
      </c>
      <c r="N4655" s="2" t="s">
        <v>84</v>
      </c>
      <c r="O4655" s="2" t="s">
        <v>841</v>
      </c>
      <c r="P4655" s="2" t="s">
        <v>2648</v>
      </c>
    </row>
    <row r="4656" spans="1:16" ht="22" customHeight="1" x14ac:dyDescent="0.15">
      <c r="A4656" s="10" t="str">
        <f t="shared" si="754"/>
        <v>592_10_36_10_polygon</v>
      </c>
      <c r="B4656" s="2">
        <v>592</v>
      </c>
      <c r="C4656" s="30" t="str">
        <f>VLOOKUP(B4656,gachas!A:C,3)</f>
        <v xml:space="preserve"> 5月フィーバーフェス（チョイス2）</v>
      </c>
      <c r="D4656" s="21">
        <v>10</v>
      </c>
      <c r="E4656" s="2">
        <f t="shared" si="756"/>
        <v>36</v>
      </c>
      <c r="F4656" s="2">
        <v>10</v>
      </c>
      <c r="G4656" s="3" t="s">
        <v>22</v>
      </c>
      <c r="H4656" s="2">
        <v>50</v>
      </c>
      <c r="I4656" s="114" t="str">
        <f t="shared" si="757"/>
        <v>592100</v>
      </c>
      <c r="J4656" s="112" t="s">
        <v>84</v>
      </c>
      <c r="K4656" s="112" t="str">
        <f t="shared" si="755"/>
        <v>592100</v>
      </c>
      <c r="L4656" s="2">
        <v>1</v>
      </c>
      <c r="M4656" s="2" t="s">
        <v>84</v>
      </c>
      <c r="N4656" s="2" t="s">
        <v>84</v>
      </c>
      <c r="O4656" s="2" t="s">
        <v>841</v>
      </c>
      <c r="P4656" s="2" t="s">
        <v>2571</v>
      </c>
    </row>
    <row r="4657" spans="1:16" ht="22" customHeight="1" x14ac:dyDescent="0.15">
      <c r="A4657" s="10" t="str">
        <f t="shared" si="754"/>
        <v>592_10_37_10_polygon</v>
      </c>
      <c r="B4657" s="2">
        <v>592</v>
      </c>
      <c r="C4657" s="30" t="str">
        <f>VLOOKUP(B4657,gachas!A:C,3)</f>
        <v xml:space="preserve"> 5月フィーバーフェス（チョイス2）</v>
      </c>
      <c r="D4657" s="21">
        <v>10</v>
      </c>
      <c r="E4657" s="2">
        <f t="shared" si="756"/>
        <v>37</v>
      </c>
      <c r="F4657" s="2">
        <v>10</v>
      </c>
      <c r="G4657" s="3" t="s">
        <v>22</v>
      </c>
      <c r="H4657" s="2">
        <v>50</v>
      </c>
      <c r="I4657" s="114" t="str">
        <f t="shared" si="757"/>
        <v>592100</v>
      </c>
      <c r="J4657" s="112" t="s">
        <v>84</v>
      </c>
      <c r="K4657" s="112" t="str">
        <f t="shared" si="755"/>
        <v>592100</v>
      </c>
      <c r="L4657" s="2">
        <v>1</v>
      </c>
      <c r="M4657" s="2" t="s">
        <v>84</v>
      </c>
      <c r="N4657" s="2" t="s">
        <v>84</v>
      </c>
      <c r="O4657" s="2" t="s">
        <v>841</v>
      </c>
      <c r="P4657" s="2" t="s">
        <v>2571</v>
      </c>
    </row>
    <row r="4658" spans="1:16" ht="22" customHeight="1" x14ac:dyDescent="0.15">
      <c r="A4658" s="10" t="str">
        <f t="shared" si="754"/>
        <v>592_10_38_10_polygon</v>
      </c>
      <c r="B4658" s="2">
        <v>592</v>
      </c>
      <c r="C4658" s="30" t="str">
        <f>VLOOKUP(B4658,gachas!A:C,3)</f>
        <v xml:space="preserve"> 5月フィーバーフェス（チョイス2）</v>
      </c>
      <c r="D4658" s="21">
        <v>10</v>
      </c>
      <c r="E4658" s="2">
        <f t="shared" si="756"/>
        <v>38</v>
      </c>
      <c r="F4658" s="2">
        <v>10</v>
      </c>
      <c r="G4658" s="3" t="s">
        <v>22</v>
      </c>
      <c r="H4658" s="2">
        <v>50</v>
      </c>
      <c r="I4658" s="114" t="str">
        <f t="shared" si="757"/>
        <v>592100</v>
      </c>
      <c r="J4658" s="112" t="s">
        <v>84</v>
      </c>
      <c r="K4658" s="112" t="str">
        <f t="shared" si="755"/>
        <v>592100</v>
      </c>
      <c r="L4658" s="2">
        <v>1</v>
      </c>
      <c r="M4658" s="2" t="s">
        <v>84</v>
      </c>
      <c r="N4658" s="2" t="s">
        <v>84</v>
      </c>
      <c r="O4658" s="2" t="s">
        <v>841</v>
      </c>
      <c r="P4658" s="2" t="s">
        <v>2571</v>
      </c>
    </row>
    <row r="4659" spans="1:16" ht="22" customHeight="1" x14ac:dyDescent="0.15">
      <c r="A4659" s="10" t="str">
        <f t="shared" si="754"/>
        <v>592_10_39_10_polygon</v>
      </c>
      <c r="B4659" s="2">
        <v>592</v>
      </c>
      <c r="C4659" s="30" t="str">
        <f>VLOOKUP(B4659,gachas!A:C,3)</f>
        <v xml:space="preserve"> 5月フィーバーフェス（チョイス2）</v>
      </c>
      <c r="D4659" s="21">
        <v>10</v>
      </c>
      <c r="E4659" s="2">
        <f t="shared" si="756"/>
        <v>39</v>
      </c>
      <c r="F4659" s="2">
        <v>10</v>
      </c>
      <c r="G4659" s="3" t="s">
        <v>22</v>
      </c>
      <c r="H4659" s="2">
        <v>50</v>
      </c>
      <c r="I4659" s="114" t="str">
        <f t="shared" si="757"/>
        <v>592100</v>
      </c>
      <c r="J4659" s="112" t="s">
        <v>84</v>
      </c>
      <c r="K4659" s="112" t="str">
        <f t="shared" si="755"/>
        <v>592100</v>
      </c>
      <c r="L4659" s="2">
        <v>1</v>
      </c>
      <c r="M4659" s="2" t="s">
        <v>84</v>
      </c>
      <c r="N4659" s="2" t="s">
        <v>84</v>
      </c>
      <c r="O4659" s="2" t="s">
        <v>841</v>
      </c>
      <c r="P4659" s="2" t="s">
        <v>2571</v>
      </c>
    </row>
    <row r="4660" spans="1:16" ht="22" customHeight="1" x14ac:dyDescent="0.15">
      <c r="A4660" s="10" t="str">
        <f t="shared" si="754"/>
        <v>592_10_40_10_polygon</v>
      </c>
      <c r="B4660" s="2">
        <v>592</v>
      </c>
      <c r="C4660" s="30" t="str">
        <f>VLOOKUP(B4660,gachas!A:C,3)</f>
        <v xml:space="preserve"> 5月フィーバーフェス（チョイス2）</v>
      </c>
      <c r="D4660" s="21">
        <v>10</v>
      </c>
      <c r="E4660" s="2">
        <f t="shared" si="756"/>
        <v>40</v>
      </c>
      <c r="F4660" s="2">
        <v>10</v>
      </c>
      <c r="G4660" s="3" t="s">
        <v>22</v>
      </c>
      <c r="H4660" s="2">
        <v>50</v>
      </c>
      <c r="I4660" s="114" t="str">
        <f t="shared" si="757"/>
        <v>592100</v>
      </c>
      <c r="J4660" s="112" t="str">
        <f>CONCATENATE(B4660,D4660,5)</f>
        <v>592105</v>
      </c>
      <c r="K4660" s="112" t="str">
        <f t="shared" si="755"/>
        <v>592100</v>
      </c>
      <c r="L4660" s="2">
        <v>1</v>
      </c>
      <c r="M4660" s="2" t="s">
        <v>84</v>
      </c>
      <c r="N4660" s="2" t="s">
        <v>84</v>
      </c>
      <c r="O4660" s="2" t="s">
        <v>841</v>
      </c>
      <c r="P4660" s="2" t="s">
        <v>2648</v>
      </c>
    </row>
    <row r="4661" spans="1:16" ht="22" customHeight="1" x14ac:dyDescent="0.15">
      <c r="A4661" s="10" t="str">
        <f t="shared" si="754"/>
        <v>592_10_41_10_polygon</v>
      </c>
      <c r="B4661" s="2">
        <v>592</v>
      </c>
      <c r="C4661" s="30" t="str">
        <f>VLOOKUP(B4661,gachas!A:C,3)</f>
        <v xml:space="preserve"> 5月フィーバーフェス（チョイス2）</v>
      </c>
      <c r="D4661" s="21">
        <v>10</v>
      </c>
      <c r="E4661" s="2">
        <f t="shared" si="756"/>
        <v>41</v>
      </c>
      <c r="F4661" s="2">
        <v>10</v>
      </c>
      <c r="G4661" s="3" t="s">
        <v>22</v>
      </c>
      <c r="H4661" s="2">
        <v>50</v>
      </c>
      <c r="I4661" s="114" t="str">
        <f t="shared" si="757"/>
        <v>592100</v>
      </c>
      <c r="J4661" s="112" t="s">
        <v>84</v>
      </c>
      <c r="K4661" s="112" t="str">
        <f t="shared" si="755"/>
        <v>592100</v>
      </c>
      <c r="L4661" s="2">
        <v>1</v>
      </c>
      <c r="M4661" s="2" t="s">
        <v>84</v>
      </c>
      <c r="N4661" s="2" t="s">
        <v>84</v>
      </c>
      <c r="O4661" s="2" t="s">
        <v>841</v>
      </c>
      <c r="P4661" s="2" t="s">
        <v>2571</v>
      </c>
    </row>
    <row r="4662" spans="1:16" ht="22" customHeight="1" x14ac:dyDescent="0.15">
      <c r="A4662" s="10" t="str">
        <f t="shared" si="754"/>
        <v>592_10_42_10_polygon</v>
      </c>
      <c r="B4662" s="2">
        <v>592</v>
      </c>
      <c r="C4662" s="30" t="str">
        <f>VLOOKUP(B4662,gachas!A:C,3)</f>
        <v xml:space="preserve"> 5月フィーバーフェス（チョイス2）</v>
      </c>
      <c r="D4662" s="21">
        <v>10</v>
      </c>
      <c r="E4662" s="2">
        <f t="shared" si="756"/>
        <v>42</v>
      </c>
      <c r="F4662" s="2">
        <v>10</v>
      </c>
      <c r="G4662" s="3" t="s">
        <v>22</v>
      </c>
      <c r="H4662" s="2">
        <v>50</v>
      </c>
      <c r="I4662" s="114" t="str">
        <f t="shared" si="757"/>
        <v>592100</v>
      </c>
      <c r="J4662" s="112" t="s">
        <v>84</v>
      </c>
      <c r="K4662" s="112" t="str">
        <f t="shared" si="755"/>
        <v>592100</v>
      </c>
      <c r="L4662" s="2">
        <v>1</v>
      </c>
      <c r="M4662" s="2" t="s">
        <v>84</v>
      </c>
      <c r="N4662" s="2" t="s">
        <v>84</v>
      </c>
      <c r="O4662" s="2" t="s">
        <v>841</v>
      </c>
      <c r="P4662" s="2" t="s">
        <v>2571</v>
      </c>
    </row>
    <row r="4663" spans="1:16" ht="22" customHeight="1" x14ac:dyDescent="0.15">
      <c r="A4663" s="10" t="str">
        <f t="shared" si="754"/>
        <v>592_10_43_10_polygon</v>
      </c>
      <c r="B4663" s="2">
        <v>592</v>
      </c>
      <c r="C4663" s="30" t="str">
        <f>VLOOKUP(B4663,gachas!A:C,3)</f>
        <v xml:space="preserve"> 5月フィーバーフェス（チョイス2）</v>
      </c>
      <c r="D4663" s="21">
        <v>10</v>
      </c>
      <c r="E4663" s="2">
        <f t="shared" si="756"/>
        <v>43</v>
      </c>
      <c r="F4663" s="2">
        <v>10</v>
      </c>
      <c r="G4663" s="3" t="s">
        <v>22</v>
      </c>
      <c r="H4663" s="2">
        <v>50</v>
      </c>
      <c r="I4663" s="114" t="str">
        <f t="shared" si="757"/>
        <v>592100</v>
      </c>
      <c r="J4663" s="112" t="s">
        <v>84</v>
      </c>
      <c r="K4663" s="112" t="str">
        <f t="shared" si="755"/>
        <v>592100</v>
      </c>
      <c r="L4663" s="2">
        <v>1</v>
      </c>
      <c r="M4663" s="2" t="s">
        <v>84</v>
      </c>
      <c r="N4663" s="2" t="s">
        <v>84</v>
      </c>
      <c r="O4663" s="2" t="s">
        <v>841</v>
      </c>
      <c r="P4663" s="2" t="s">
        <v>2571</v>
      </c>
    </row>
    <row r="4664" spans="1:16" ht="22" customHeight="1" x14ac:dyDescent="0.15">
      <c r="A4664" s="10" t="str">
        <f t="shared" si="754"/>
        <v>592_10_44_10_polygon</v>
      </c>
      <c r="B4664" s="2">
        <v>592</v>
      </c>
      <c r="C4664" s="30" t="str">
        <f>VLOOKUP(B4664,gachas!A:C,3)</f>
        <v xml:space="preserve"> 5月フィーバーフェス（チョイス2）</v>
      </c>
      <c r="D4664" s="21">
        <v>10</v>
      </c>
      <c r="E4664" s="2">
        <f t="shared" si="756"/>
        <v>44</v>
      </c>
      <c r="F4664" s="2">
        <v>10</v>
      </c>
      <c r="G4664" s="3" t="s">
        <v>22</v>
      </c>
      <c r="H4664" s="2">
        <v>50</v>
      </c>
      <c r="I4664" s="114" t="str">
        <f t="shared" si="757"/>
        <v>592100</v>
      </c>
      <c r="J4664" s="112" t="s">
        <v>84</v>
      </c>
      <c r="K4664" s="112" t="str">
        <f t="shared" si="755"/>
        <v>592100</v>
      </c>
      <c r="L4664" s="2">
        <v>1</v>
      </c>
      <c r="M4664" s="2" t="s">
        <v>84</v>
      </c>
      <c r="N4664" s="2" t="s">
        <v>84</v>
      </c>
      <c r="O4664" s="2" t="s">
        <v>841</v>
      </c>
      <c r="P4664" s="2" t="s">
        <v>2571</v>
      </c>
    </row>
    <row r="4665" spans="1:16" ht="22" customHeight="1" x14ac:dyDescent="0.15">
      <c r="A4665" s="10" t="str">
        <f t="shared" si="754"/>
        <v>592_10_45_10_polygon</v>
      </c>
      <c r="B4665" s="2">
        <v>592</v>
      </c>
      <c r="C4665" s="30" t="str">
        <f>VLOOKUP(B4665,gachas!A:C,3)</f>
        <v xml:space="preserve"> 5月フィーバーフェス（チョイス2）</v>
      </c>
      <c r="D4665" s="21">
        <v>10</v>
      </c>
      <c r="E4665" s="2">
        <f t="shared" si="756"/>
        <v>45</v>
      </c>
      <c r="F4665" s="2">
        <v>10</v>
      </c>
      <c r="G4665" s="3" t="s">
        <v>22</v>
      </c>
      <c r="H4665" s="2">
        <v>50</v>
      </c>
      <c r="I4665" s="114" t="str">
        <f t="shared" si="757"/>
        <v>592100</v>
      </c>
      <c r="J4665" s="112" t="str">
        <f>CONCATENATE(B4665,D4665,5)</f>
        <v>592105</v>
      </c>
      <c r="K4665" s="112" t="str">
        <f t="shared" si="755"/>
        <v>592100</v>
      </c>
      <c r="L4665" s="2">
        <v>1</v>
      </c>
      <c r="M4665" s="2" t="s">
        <v>84</v>
      </c>
      <c r="N4665" s="2" t="s">
        <v>84</v>
      </c>
      <c r="O4665" s="2" t="s">
        <v>841</v>
      </c>
      <c r="P4665" s="2" t="s">
        <v>2648</v>
      </c>
    </row>
    <row r="4666" spans="1:16" ht="22" customHeight="1" x14ac:dyDescent="0.15">
      <c r="A4666" s="10" t="str">
        <f t="shared" si="754"/>
        <v>592_10_46_10_polygon</v>
      </c>
      <c r="B4666" s="2">
        <v>592</v>
      </c>
      <c r="C4666" s="30" t="str">
        <f>VLOOKUP(B4666,gachas!A:C,3)</f>
        <v xml:space="preserve"> 5月フィーバーフェス（チョイス2）</v>
      </c>
      <c r="D4666" s="21">
        <v>10</v>
      </c>
      <c r="E4666" s="2">
        <f t="shared" si="756"/>
        <v>46</v>
      </c>
      <c r="F4666" s="2">
        <v>10</v>
      </c>
      <c r="G4666" s="3" t="s">
        <v>22</v>
      </c>
      <c r="H4666" s="2">
        <v>50</v>
      </c>
      <c r="I4666" s="114" t="str">
        <f t="shared" si="757"/>
        <v>592100</v>
      </c>
      <c r="J4666" s="112" t="s">
        <v>84</v>
      </c>
      <c r="K4666" s="112" t="str">
        <f t="shared" si="755"/>
        <v>592100</v>
      </c>
      <c r="L4666" s="2">
        <v>1</v>
      </c>
      <c r="M4666" s="2" t="s">
        <v>84</v>
      </c>
      <c r="N4666" s="2" t="s">
        <v>84</v>
      </c>
      <c r="O4666" s="2" t="s">
        <v>841</v>
      </c>
      <c r="P4666" s="2" t="s">
        <v>2571</v>
      </c>
    </row>
    <row r="4667" spans="1:16" ht="22" customHeight="1" x14ac:dyDescent="0.15">
      <c r="A4667" s="10" t="str">
        <f t="shared" si="754"/>
        <v>592_10_47_10_polygon</v>
      </c>
      <c r="B4667" s="2">
        <v>592</v>
      </c>
      <c r="C4667" s="30" t="str">
        <f>VLOOKUP(B4667,gachas!A:C,3)</f>
        <v xml:space="preserve"> 5月フィーバーフェス（チョイス2）</v>
      </c>
      <c r="D4667" s="21">
        <v>10</v>
      </c>
      <c r="E4667" s="2">
        <f t="shared" si="756"/>
        <v>47</v>
      </c>
      <c r="F4667" s="2">
        <v>10</v>
      </c>
      <c r="G4667" s="3" t="s">
        <v>22</v>
      </c>
      <c r="H4667" s="2">
        <v>50</v>
      </c>
      <c r="I4667" s="114" t="str">
        <f t="shared" si="757"/>
        <v>592100</v>
      </c>
      <c r="J4667" s="112" t="s">
        <v>84</v>
      </c>
      <c r="K4667" s="112" t="str">
        <f t="shared" si="755"/>
        <v>592100</v>
      </c>
      <c r="L4667" s="2">
        <v>1</v>
      </c>
      <c r="M4667" s="2" t="s">
        <v>84</v>
      </c>
      <c r="N4667" s="2" t="s">
        <v>84</v>
      </c>
      <c r="O4667" s="2" t="s">
        <v>841</v>
      </c>
      <c r="P4667" s="2" t="s">
        <v>2571</v>
      </c>
    </row>
    <row r="4668" spans="1:16" ht="22" customHeight="1" x14ac:dyDescent="0.15">
      <c r="A4668" s="10" t="str">
        <f t="shared" si="754"/>
        <v>592_10_48_10_polygon</v>
      </c>
      <c r="B4668" s="2">
        <v>592</v>
      </c>
      <c r="C4668" s="30" t="str">
        <f>VLOOKUP(B4668,gachas!A:C,3)</f>
        <v xml:space="preserve"> 5月フィーバーフェス（チョイス2）</v>
      </c>
      <c r="D4668" s="21">
        <v>10</v>
      </c>
      <c r="E4668" s="2">
        <f t="shared" si="756"/>
        <v>48</v>
      </c>
      <c r="F4668" s="2">
        <v>10</v>
      </c>
      <c r="G4668" s="3" t="s">
        <v>22</v>
      </c>
      <c r="H4668" s="2">
        <v>50</v>
      </c>
      <c r="I4668" s="114" t="str">
        <f t="shared" si="757"/>
        <v>592100</v>
      </c>
      <c r="J4668" s="112" t="s">
        <v>84</v>
      </c>
      <c r="K4668" s="112" t="str">
        <f t="shared" si="755"/>
        <v>592100</v>
      </c>
      <c r="L4668" s="2">
        <v>1</v>
      </c>
      <c r="M4668" s="2" t="s">
        <v>84</v>
      </c>
      <c r="N4668" s="2" t="s">
        <v>84</v>
      </c>
      <c r="O4668" s="2" t="s">
        <v>841</v>
      </c>
      <c r="P4668" s="2" t="s">
        <v>2571</v>
      </c>
    </row>
    <row r="4669" spans="1:16" ht="22" customHeight="1" x14ac:dyDescent="0.15">
      <c r="A4669" s="10" t="str">
        <f t="shared" si="754"/>
        <v>592_10_49_10_polygon</v>
      </c>
      <c r="B4669" s="2">
        <v>592</v>
      </c>
      <c r="C4669" s="30" t="str">
        <f>VLOOKUP(B4669,gachas!A:C,3)</f>
        <v xml:space="preserve"> 5月フィーバーフェス（チョイス2）</v>
      </c>
      <c r="D4669" s="21">
        <v>10</v>
      </c>
      <c r="E4669" s="2">
        <f t="shared" si="756"/>
        <v>49</v>
      </c>
      <c r="F4669" s="2">
        <v>10</v>
      </c>
      <c r="G4669" s="3" t="s">
        <v>22</v>
      </c>
      <c r="H4669" s="2">
        <v>50</v>
      </c>
      <c r="I4669" s="114" t="str">
        <f t="shared" si="757"/>
        <v>592100</v>
      </c>
      <c r="J4669" s="112" t="s">
        <v>84</v>
      </c>
      <c r="K4669" s="112" t="str">
        <f t="shared" si="755"/>
        <v>592100</v>
      </c>
      <c r="L4669" s="2">
        <v>1</v>
      </c>
      <c r="M4669" s="2" t="s">
        <v>84</v>
      </c>
      <c r="N4669" s="2" t="s">
        <v>84</v>
      </c>
      <c r="O4669" s="2" t="s">
        <v>841</v>
      </c>
      <c r="P4669" s="2" t="s">
        <v>2571</v>
      </c>
    </row>
    <row r="4670" spans="1:16" ht="22" customHeight="1" x14ac:dyDescent="0.15">
      <c r="A4670" s="10" t="str">
        <f t="shared" ref="A4670:A4721" si="758">B4670&amp;"_"&amp;D4670&amp;"_"&amp;E4670&amp;"_"&amp;F4670&amp;"_"&amp;G4670</f>
        <v>592_10_50_10_polygon</v>
      </c>
      <c r="B4670" s="2">
        <v>592</v>
      </c>
      <c r="C4670" s="30" t="str">
        <f>VLOOKUP(B4670,gachas!A:C,3)</f>
        <v xml:space="preserve"> 5月フィーバーフェス（チョイス2）</v>
      </c>
      <c r="D4670" s="21">
        <v>10</v>
      </c>
      <c r="E4670" s="2">
        <f t="shared" si="756"/>
        <v>50</v>
      </c>
      <c r="F4670" s="2">
        <v>10</v>
      </c>
      <c r="G4670" s="3" t="s">
        <v>22</v>
      </c>
      <c r="H4670" s="2">
        <v>50</v>
      </c>
      <c r="I4670" s="114" t="str">
        <f t="shared" si="757"/>
        <v>592100</v>
      </c>
      <c r="J4670" s="112" t="str">
        <f>CONCATENATE(B4670,D4670,5)</f>
        <v>592105</v>
      </c>
      <c r="K4670" s="112" t="str">
        <f t="shared" si="755"/>
        <v>592100</v>
      </c>
      <c r="L4670" s="2">
        <v>1</v>
      </c>
      <c r="M4670" s="2" t="s">
        <v>84</v>
      </c>
      <c r="N4670" s="2" t="s">
        <v>84</v>
      </c>
      <c r="O4670" s="2" t="s">
        <v>841</v>
      </c>
      <c r="P4670" s="2" t="s">
        <v>2648</v>
      </c>
    </row>
    <row r="4671" spans="1:16" ht="22" customHeight="1" x14ac:dyDescent="0.15">
      <c r="A4671" s="10" t="str">
        <f t="shared" si="758"/>
        <v>593_1_0_1_polygon</v>
      </c>
      <c r="B4671" s="2">
        <v>593</v>
      </c>
      <c r="C4671" s="30" t="str">
        <f>VLOOKUP(B4671,gachas!A:C,3)</f>
        <v xml:space="preserve"> 5月フィーバーフェス（チョイス3）</v>
      </c>
      <c r="D4671" s="21">
        <v>1</v>
      </c>
      <c r="E4671" s="2">
        <v>0</v>
      </c>
      <c r="F4671" s="2">
        <v>1</v>
      </c>
      <c r="G4671" s="3" t="s">
        <v>22</v>
      </c>
      <c r="H4671" s="2">
        <v>5</v>
      </c>
      <c r="I4671" s="114" t="str">
        <f>CONCATENATE(B4671,IF(D4671=1,"01","10"),0)</f>
        <v>593010</v>
      </c>
      <c r="J4671" s="112" t="s">
        <v>84</v>
      </c>
      <c r="K4671" s="112" t="s">
        <v>84</v>
      </c>
      <c r="L4671" s="2">
        <v>0</v>
      </c>
      <c r="M4671" s="2" t="s">
        <v>84</v>
      </c>
      <c r="N4671" s="2" t="s">
        <v>84</v>
      </c>
      <c r="O4671" s="2" t="s">
        <v>841</v>
      </c>
      <c r="P4671" s="2" t="s">
        <v>84</v>
      </c>
    </row>
    <row r="4672" spans="1:16" ht="22" customHeight="1" x14ac:dyDescent="0.15">
      <c r="A4672" s="10" t="str">
        <f t="shared" si="758"/>
        <v>593_10_0_10_polygon</v>
      </c>
      <c r="B4672" s="2">
        <v>593</v>
      </c>
      <c r="C4672" s="30" t="str">
        <f>VLOOKUP(B4672,gachas!A:C,3)</f>
        <v xml:space="preserve"> 5月フィーバーフェス（チョイス3）</v>
      </c>
      <c r="D4672" s="21">
        <v>10</v>
      </c>
      <c r="E4672" s="2">
        <v>0</v>
      </c>
      <c r="F4672" s="2">
        <v>10</v>
      </c>
      <c r="G4672" s="3" t="s">
        <v>22</v>
      </c>
      <c r="H4672" s="2">
        <v>50</v>
      </c>
      <c r="I4672" s="114" t="str">
        <f>CONCATENATE(B4672,IF(D4672=1,"01","10"),0)</f>
        <v>593100</v>
      </c>
      <c r="J4672" s="112" t="s">
        <v>84</v>
      </c>
      <c r="K4672" s="112" t="str">
        <f t="shared" ref="K4672:K4722" si="759">I4672</f>
        <v>593100</v>
      </c>
      <c r="L4672" s="2">
        <v>1</v>
      </c>
      <c r="M4672" s="2" t="s">
        <v>84</v>
      </c>
      <c r="N4672" s="2" t="s">
        <v>84</v>
      </c>
      <c r="O4672" s="2" t="s">
        <v>841</v>
      </c>
      <c r="P4672" s="2" t="s">
        <v>2571</v>
      </c>
    </row>
    <row r="4673" spans="1:16" ht="22" customHeight="1" x14ac:dyDescent="0.15">
      <c r="A4673" s="10" t="str">
        <f t="shared" si="758"/>
        <v>593_10_1_10_polygon</v>
      </c>
      <c r="B4673" s="2">
        <v>593</v>
      </c>
      <c r="C4673" s="30" t="str">
        <f>VLOOKUP(B4673,gachas!A:C,3)</f>
        <v xml:space="preserve"> 5月フィーバーフェス（チョイス3）</v>
      </c>
      <c r="D4673" s="21">
        <v>10</v>
      </c>
      <c r="E4673" s="2">
        <f>E4672+1</f>
        <v>1</v>
      </c>
      <c r="F4673" s="2">
        <v>10</v>
      </c>
      <c r="G4673" s="3" t="s">
        <v>22</v>
      </c>
      <c r="H4673" s="2">
        <v>50</v>
      </c>
      <c r="I4673" s="114" t="str">
        <f>CONCATENATE(B4673,IF(D4673=1,"01","10"),0)</f>
        <v>593100</v>
      </c>
      <c r="J4673" s="112" t="s">
        <v>84</v>
      </c>
      <c r="K4673" s="112" t="str">
        <f t="shared" si="759"/>
        <v>593100</v>
      </c>
      <c r="L4673" s="2">
        <v>1</v>
      </c>
      <c r="M4673" s="2" t="s">
        <v>84</v>
      </c>
      <c r="N4673" s="2" t="s">
        <v>84</v>
      </c>
      <c r="O4673" s="2" t="s">
        <v>841</v>
      </c>
      <c r="P4673" s="2" t="s">
        <v>2571</v>
      </c>
    </row>
    <row r="4674" spans="1:16" ht="22" customHeight="1" x14ac:dyDescent="0.15">
      <c r="A4674" s="10" t="str">
        <f t="shared" si="758"/>
        <v>593_10_2_10_polygon</v>
      </c>
      <c r="B4674" s="2">
        <v>593</v>
      </c>
      <c r="C4674" s="30" t="str">
        <f>VLOOKUP(B4674,gachas!A:C,3)</f>
        <v xml:space="preserve"> 5月フィーバーフェス（チョイス3）</v>
      </c>
      <c r="D4674" s="21">
        <v>10</v>
      </c>
      <c r="E4674" s="2">
        <f t="shared" ref="E4674:E4722" si="760">E4673+1</f>
        <v>2</v>
      </c>
      <c r="F4674" s="2">
        <v>10</v>
      </c>
      <c r="G4674" s="3" t="s">
        <v>22</v>
      </c>
      <c r="H4674" s="2">
        <v>50</v>
      </c>
      <c r="I4674" s="114" t="str">
        <f t="shared" ref="I4674:I4722" si="761">CONCATENATE(B4674,IF(D4674=1,"01","10"),0)</f>
        <v>593100</v>
      </c>
      <c r="J4674" s="112" t="s">
        <v>84</v>
      </c>
      <c r="K4674" s="112" t="str">
        <f t="shared" si="759"/>
        <v>593100</v>
      </c>
      <c r="L4674" s="2">
        <v>1</v>
      </c>
      <c r="M4674" s="2" t="s">
        <v>84</v>
      </c>
      <c r="N4674" s="2" t="s">
        <v>84</v>
      </c>
      <c r="O4674" s="2" t="s">
        <v>841</v>
      </c>
      <c r="P4674" s="2" t="s">
        <v>2571</v>
      </c>
    </row>
    <row r="4675" spans="1:16" ht="22" customHeight="1" x14ac:dyDescent="0.15">
      <c r="A4675" s="10" t="str">
        <f t="shared" si="758"/>
        <v>593_10_3_10_polygon</v>
      </c>
      <c r="B4675" s="2">
        <v>593</v>
      </c>
      <c r="C4675" s="30" t="str">
        <f>VLOOKUP(B4675,gachas!A:C,3)</f>
        <v xml:space="preserve"> 5月フィーバーフェス（チョイス3）</v>
      </c>
      <c r="D4675" s="21">
        <v>10</v>
      </c>
      <c r="E4675" s="2">
        <f t="shared" si="760"/>
        <v>3</v>
      </c>
      <c r="F4675" s="2">
        <v>10</v>
      </c>
      <c r="G4675" s="3" t="s">
        <v>22</v>
      </c>
      <c r="H4675" s="2">
        <v>50</v>
      </c>
      <c r="I4675" s="114" t="str">
        <f t="shared" si="761"/>
        <v>593100</v>
      </c>
      <c r="J4675" s="112" t="s">
        <v>84</v>
      </c>
      <c r="K4675" s="112" t="str">
        <f t="shared" si="759"/>
        <v>593100</v>
      </c>
      <c r="L4675" s="2">
        <v>1</v>
      </c>
      <c r="M4675" s="2" t="s">
        <v>84</v>
      </c>
      <c r="N4675" s="2" t="s">
        <v>84</v>
      </c>
      <c r="O4675" s="2" t="s">
        <v>841</v>
      </c>
      <c r="P4675" s="2" t="s">
        <v>2571</v>
      </c>
    </row>
    <row r="4676" spans="1:16" ht="22" customHeight="1" x14ac:dyDescent="0.15">
      <c r="A4676" s="10" t="str">
        <f t="shared" si="758"/>
        <v>593_10_4_10_polygon</v>
      </c>
      <c r="B4676" s="2">
        <v>593</v>
      </c>
      <c r="C4676" s="30" t="str">
        <f>VLOOKUP(B4676,gachas!A:C,3)</f>
        <v xml:space="preserve"> 5月フィーバーフェス（チョイス3）</v>
      </c>
      <c r="D4676" s="21">
        <v>10</v>
      </c>
      <c r="E4676" s="2">
        <f t="shared" si="760"/>
        <v>4</v>
      </c>
      <c r="F4676" s="2">
        <v>10</v>
      </c>
      <c r="G4676" s="3" t="s">
        <v>22</v>
      </c>
      <c r="H4676" s="2">
        <v>50</v>
      </c>
      <c r="I4676" s="114" t="str">
        <f t="shared" si="761"/>
        <v>593100</v>
      </c>
      <c r="J4676" s="112" t="s">
        <v>84</v>
      </c>
      <c r="K4676" s="112" t="str">
        <f t="shared" si="759"/>
        <v>593100</v>
      </c>
      <c r="L4676" s="2">
        <v>1</v>
      </c>
      <c r="M4676" s="2" t="s">
        <v>84</v>
      </c>
      <c r="N4676" s="2" t="s">
        <v>84</v>
      </c>
      <c r="O4676" s="2" t="s">
        <v>841</v>
      </c>
      <c r="P4676" s="2" t="s">
        <v>2571</v>
      </c>
    </row>
    <row r="4677" spans="1:16" ht="22" customHeight="1" x14ac:dyDescent="0.15">
      <c r="A4677" s="10" t="str">
        <f t="shared" si="758"/>
        <v>593_10_5_10_polygon</v>
      </c>
      <c r="B4677" s="2">
        <v>593</v>
      </c>
      <c r="C4677" s="30" t="str">
        <f>VLOOKUP(B4677,gachas!A:C,3)</f>
        <v xml:space="preserve"> 5月フィーバーフェス（チョイス3）</v>
      </c>
      <c r="D4677" s="21">
        <v>10</v>
      </c>
      <c r="E4677" s="2">
        <f t="shared" si="760"/>
        <v>5</v>
      </c>
      <c r="F4677" s="2">
        <v>10</v>
      </c>
      <c r="G4677" s="3" t="s">
        <v>22</v>
      </c>
      <c r="H4677" s="2">
        <v>50</v>
      </c>
      <c r="I4677" s="114" t="str">
        <f t="shared" si="761"/>
        <v>593100</v>
      </c>
      <c r="J4677" s="112" t="str">
        <f>CONCATENATE(B4677,D4677,5)</f>
        <v>593105</v>
      </c>
      <c r="K4677" s="112" t="str">
        <f t="shared" si="759"/>
        <v>593100</v>
      </c>
      <c r="L4677" s="2">
        <v>1</v>
      </c>
      <c r="M4677" s="2" t="s">
        <v>84</v>
      </c>
      <c r="N4677" s="2" t="s">
        <v>84</v>
      </c>
      <c r="O4677" s="2" t="s">
        <v>841</v>
      </c>
      <c r="P4677" s="2" t="s">
        <v>2648</v>
      </c>
    </row>
    <row r="4678" spans="1:16" ht="22" customHeight="1" x14ac:dyDescent="0.15">
      <c r="A4678" s="10" t="str">
        <f t="shared" si="758"/>
        <v>593_10_6_10_polygon</v>
      </c>
      <c r="B4678" s="2">
        <v>593</v>
      </c>
      <c r="C4678" s="30" t="str">
        <f>VLOOKUP(B4678,gachas!A:C,3)</f>
        <v xml:space="preserve"> 5月フィーバーフェス（チョイス3）</v>
      </c>
      <c r="D4678" s="21">
        <v>10</v>
      </c>
      <c r="E4678" s="2">
        <f t="shared" si="760"/>
        <v>6</v>
      </c>
      <c r="F4678" s="2">
        <v>10</v>
      </c>
      <c r="G4678" s="3" t="s">
        <v>22</v>
      </c>
      <c r="H4678" s="2">
        <v>50</v>
      </c>
      <c r="I4678" s="114" t="str">
        <f t="shared" si="761"/>
        <v>593100</v>
      </c>
      <c r="J4678" s="112" t="s">
        <v>84</v>
      </c>
      <c r="K4678" s="112" t="str">
        <f t="shared" si="759"/>
        <v>593100</v>
      </c>
      <c r="L4678" s="2">
        <v>1</v>
      </c>
      <c r="M4678" s="2" t="s">
        <v>84</v>
      </c>
      <c r="N4678" s="2" t="s">
        <v>84</v>
      </c>
      <c r="O4678" s="2" t="s">
        <v>841</v>
      </c>
      <c r="P4678" s="2" t="s">
        <v>2571</v>
      </c>
    </row>
    <row r="4679" spans="1:16" ht="22" customHeight="1" x14ac:dyDescent="0.15">
      <c r="A4679" s="10" t="str">
        <f t="shared" si="758"/>
        <v>593_10_7_10_polygon</v>
      </c>
      <c r="B4679" s="2">
        <v>593</v>
      </c>
      <c r="C4679" s="30" t="str">
        <f>VLOOKUP(B4679,gachas!A:C,3)</f>
        <v xml:space="preserve"> 5月フィーバーフェス（チョイス3）</v>
      </c>
      <c r="D4679" s="21">
        <v>10</v>
      </c>
      <c r="E4679" s="2">
        <f t="shared" si="760"/>
        <v>7</v>
      </c>
      <c r="F4679" s="2">
        <v>10</v>
      </c>
      <c r="G4679" s="3" t="s">
        <v>22</v>
      </c>
      <c r="H4679" s="2">
        <v>50</v>
      </c>
      <c r="I4679" s="114" t="str">
        <f t="shared" si="761"/>
        <v>593100</v>
      </c>
      <c r="J4679" s="112" t="s">
        <v>84</v>
      </c>
      <c r="K4679" s="112" t="str">
        <f t="shared" si="759"/>
        <v>593100</v>
      </c>
      <c r="L4679" s="2">
        <v>1</v>
      </c>
      <c r="M4679" s="2" t="s">
        <v>84</v>
      </c>
      <c r="N4679" s="2" t="s">
        <v>84</v>
      </c>
      <c r="O4679" s="2" t="s">
        <v>841</v>
      </c>
      <c r="P4679" s="2" t="s">
        <v>2571</v>
      </c>
    </row>
    <row r="4680" spans="1:16" ht="22" customHeight="1" x14ac:dyDescent="0.15">
      <c r="A4680" s="10" t="str">
        <f t="shared" si="758"/>
        <v>593_10_8_10_polygon</v>
      </c>
      <c r="B4680" s="2">
        <v>593</v>
      </c>
      <c r="C4680" s="30" t="str">
        <f>VLOOKUP(B4680,gachas!A:C,3)</f>
        <v xml:space="preserve"> 5月フィーバーフェス（チョイス3）</v>
      </c>
      <c r="D4680" s="21">
        <v>10</v>
      </c>
      <c r="E4680" s="2">
        <f t="shared" si="760"/>
        <v>8</v>
      </c>
      <c r="F4680" s="2">
        <v>10</v>
      </c>
      <c r="G4680" s="3" t="s">
        <v>22</v>
      </c>
      <c r="H4680" s="2">
        <v>50</v>
      </c>
      <c r="I4680" s="114" t="str">
        <f t="shared" si="761"/>
        <v>593100</v>
      </c>
      <c r="J4680" s="112" t="s">
        <v>84</v>
      </c>
      <c r="K4680" s="112" t="str">
        <f t="shared" si="759"/>
        <v>593100</v>
      </c>
      <c r="L4680" s="2">
        <v>1</v>
      </c>
      <c r="M4680" s="2" t="s">
        <v>84</v>
      </c>
      <c r="N4680" s="2" t="s">
        <v>84</v>
      </c>
      <c r="O4680" s="2" t="s">
        <v>841</v>
      </c>
      <c r="P4680" s="2" t="s">
        <v>2571</v>
      </c>
    </row>
    <row r="4681" spans="1:16" ht="22" customHeight="1" x14ac:dyDescent="0.15">
      <c r="A4681" s="10" t="str">
        <f t="shared" si="758"/>
        <v>593_10_9_10_polygon</v>
      </c>
      <c r="B4681" s="2">
        <v>593</v>
      </c>
      <c r="C4681" s="30" t="str">
        <f>VLOOKUP(B4681,gachas!A:C,3)</f>
        <v xml:space="preserve"> 5月フィーバーフェス（チョイス3）</v>
      </c>
      <c r="D4681" s="21">
        <v>10</v>
      </c>
      <c r="E4681" s="2">
        <f t="shared" si="760"/>
        <v>9</v>
      </c>
      <c r="F4681" s="2">
        <v>10</v>
      </c>
      <c r="G4681" s="3" t="s">
        <v>22</v>
      </c>
      <c r="H4681" s="2">
        <v>50</v>
      </c>
      <c r="I4681" s="114" t="str">
        <f t="shared" si="761"/>
        <v>593100</v>
      </c>
      <c r="J4681" s="112" t="s">
        <v>84</v>
      </c>
      <c r="K4681" s="112" t="str">
        <f t="shared" si="759"/>
        <v>593100</v>
      </c>
      <c r="L4681" s="2">
        <v>1</v>
      </c>
      <c r="M4681" s="2" t="s">
        <v>84</v>
      </c>
      <c r="N4681" s="2" t="s">
        <v>84</v>
      </c>
      <c r="O4681" s="2" t="s">
        <v>841</v>
      </c>
      <c r="P4681" s="2" t="s">
        <v>2571</v>
      </c>
    </row>
    <row r="4682" spans="1:16" ht="22" customHeight="1" x14ac:dyDescent="0.15">
      <c r="A4682" s="10" t="str">
        <f t="shared" si="758"/>
        <v>593_10_10_10_polygon</v>
      </c>
      <c r="B4682" s="2">
        <v>593</v>
      </c>
      <c r="C4682" s="30" t="str">
        <f>VLOOKUP(B4682,gachas!A:C,3)</f>
        <v xml:space="preserve"> 5月フィーバーフェス（チョイス3）</v>
      </c>
      <c r="D4682" s="21">
        <v>10</v>
      </c>
      <c r="E4682" s="2">
        <f t="shared" si="760"/>
        <v>10</v>
      </c>
      <c r="F4682" s="2">
        <v>10</v>
      </c>
      <c r="G4682" s="3" t="s">
        <v>22</v>
      </c>
      <c r="H4682" s="2">
        <v>50</v>
      </c>
      <c r="I4682" s="114" t="str">
        <f t="shared" si="761"/>
        <v>593100</v>
      </c>
      <c r="J4682" s="112" t="str">
        <f>CONCATENATE(B4682,D4682,5)</f>
        <v>593105</v>
      </c>
      <c r="K4682" s="112" t="str">
        <f t="shared" si="759"/>
        <v>593100</v>
      </c>
      <c r="L4682" s="2">
        <v>1</v>
      </c>
      <c r="M4682" s="2" t="s">
        <v>84</v>
      </c>
      <c r="N4682" s="2" t="s">
        <v>84</v>
      </c>
      <c r="O4682" s="2" t="s">
        <v>841</v>
      </c>
      <c r="P4682" s="2" t="s">
        <v>2648</v>
      </c>
    </row>
    <row r="4683" spans="1:16" ht="22" customHeight="1" x14ac:dyDescent="0.15">
      <c r="A4683" s="10" t="str">
        <f t="shared" si="758"/>
        <v>593_10_11_10_polygon</v>
      </c>
      <c r="B4683" s="2">
        <v>593</v>
      </c>
      <c r="C4683" s="30" t="str">
        <f>VLOOKUP(B4683,gachas!A:C,3)</f>
        <v xml:space="preserve"> 5月フィーバーフェス（チョイス3）</v>
      </c>
      <c r="D4683" s="21">
        <v>10</v>
      </c>
      <c r="E4683" s="2">
        <f t="shared" si="760"/>
        <v>11</v>
      </c>
      <c r="F4683" s="2">
        <v>10</v>
      </c>
      <c r="G4683" s="3" t="s">
        <v>22</v>
      </c>
      <c r="H4683" s="2">
        <v>50</v>
      </c>
      <c r="I4683" s="114" t="str">
        <f t="shared" si="761"/>
        <v>593100</v>
      </c>
      <c r="J4683" s="112" t="s">
        <v>84</v>
      </c>
      <c r="K4683" s="112" t="str">
        <f t="shared" si="759"/>
        <v>593100</v>
      </c>
      <c r="L4683" s="2">
        <v>1</v>
      </c>
      <c r="M4683" s="2" t="s">
        <v>84</v>
      </c>
      <c r="N4683" s="2" t="s">
        <v>84</v>
      </c>
      <c r="O4683" s="2" t="s">
        <v>841</v>
      </c>
      <c r="P4683" s="2" t="s">
        <v>2571</v>
      </c>
    </row>
    <row r="4684" spans="1:16" ht="22" customHeight="1" x14ac:dyDescent="0.15">
      <c r="A4684" s="10" t="str">
        <f t="shared" si="758"/>
        <v>593_10_12_10_polygon</v>
      </c>
      <c r="B4684" s="2">
        <v>593</v>
      </c>
      <c r="C4684" s="30" t="str">
        <f>VLOOKUP(B4684,gachas!A:C,3)</f>
        <v xml:space="preserve"> 5月フィーバーフェス（チョイス3）</v>
      </c>
      <c r="D4684" s="21">
        <v>10</v>
      </c>
      <c r="E4684" s="2">
        <f t="shared" si="760"/>
        <v>12</v>
      </c>
      <c r="F4684" s="2">
        <v>10</v>
      </c>
      <c r="G4684" s="3" t="s">
        <v>22</v>
      </c>
      <c r="H4684" s="2">
        <v>50</v>
      </c>
      <c r="I4684" s="114" t="str">
        <f t="shared" si="761"/>
        <v>593100</v>
      </c>
      <c r="J4684" s="112" t="s">
        <v>84</v>
      </c>
      <c r="K4684" s="112" t="str">
        <f t="shared" si="759"/>
        <v>593100</v>
      </c>
      <c r="L4684" s="2">
        <v>1</v>
      </c>
      <c r="M4684" s="2" t="s">
        <v>84</v>
      </c>
      <c r="N4684" s="2" t="s">
        <v>84</v>
      </c>
      <c r="O4684" s="2" t="s">
        <v>841</v>
      </c>
      <c r="P4684" s="2" t="s">
        <v>2571</v>
      </c>
    </row>
    <row r="4685" spans="1:16" ht="22" customHeight="1" x14ac:dyDescent="0.15">
      <c r="A4685" s="10" t="str">
        <f t="shared" si="758"/>
        <v>593_10_13_10_polygon</v>
      </c>
      <c r="B4685" s="2">
        <v>593</v>
      </c>
      <c r="C4685" s="30" t="str">
        <f>VLOOKUP(B4685,gachas!A:C,3)</f>
        <v xml:space="preserve"> 5月フィーバーフェス（チョイス3）</v>
      </c>
      <c r="D4685" s="21">
        <v>10</v>
      </c>
      <c r="E4685" s="2">
        <f t="shared" si="760"/>
        <v>13</v>
      </c>
      <c r="F4685" s="2">
        <v>10</v>
      </c>
      <c r="G4685" s="3" t="s">
        <v>22</v>
      </c>
      <c r="H4685" s="2">
        <v>50</v>
      </c>
      <c r="I4685" s="114" t="str">
        <f t="shared" si="761"/>
        <v>593100</v>
      </c>
      <c r="J4685" s="112" t="s">
        <v>84</v>
      </c>
      <c r="K4685" s="112" t="str">
        <f t="shared" si="759"/>
        <v>593100</v>
      </c>
      <c r="L4685" s="2">
        <v>1</v>
      </c>
      <c r="M4685" s="2" t="s">
        <v>84</v>
      </c>
      <c r="N4685" s="2" t="s">
        <v>84</v>
      </c>
      <c r="O4685" s="2" t="s">
        <v>841</v>
      </c>
      <c r="P4685" s="2" t="s">
        <v>2571</v>
      </c>
    </row>
    <row r="4686" spans="1:16" ht="22" customHeight="1" x14ac:dyDescent="0.15">
      <c r="A4686" s="10" t="str">
        <f t="shared" si="758"/>
        <v>593_10_14_10_polygon</v>
      </c>
      <c r="B4686" s="2">
        <v>593</v>
      </c>
      <c r="C4686" s="30" t="str">
        <f>VLOOKUP(B4686,gachas!A:C,3)</f>
        <v xml:space="preserve"> 5月フィーバーフェス（チョイス3）</v>
      </c>
      <c r="D4686" s="21">
        <v>10</v>
      </c>
      <c r="E4686" s="2">
        <f t="shared" si="760"/>
        <v>14</v>
      </c>
      <c r="F4686" s="2">
        <v>10</v>
      </c>
      <c r="G4686" s="3" t="s">
        <v>22</v>
      </c>
      <c r="H4686" s="2">
        <v>50</v>
      </c>
      <c r="I4686" s="114" t="str">
        <f t="shared" si="761"/>
        <v>593100</v>
      </c>
      <c r="J4686" s="112" t="s">
        <v>84</v>
      </c>
      <c r="K4686" s="112" t="str">
        <f t="shared" si="759"/>
        <v>593100</v>
      </c>
      <c r="L4686" s="2">
        <v>1</v>
      </c>
      <c r="M4686" s="2" t="s">
        <v>84</v>
      </c>
      <c r="N4686" s="2" t="s">
        <v>84</v>
      </c>
      <c r="O4686" s="2" t="s">
        <v>841</v>
      </c>
      <c r="P4686" s="2" t="s">
        <v>2571</v>
      </c>
    </row>
    <row r="4687" spans="1:16" ht="22" customHeight="1" x14ac:dyDescent="0.15">
      <c r="A4687" s="10" t="str">
        <f t="shared" si="758"/>
        <v>593_10_15_10_polygon</v>
      </c>
      <c r="B4687" s="2">
        <v>593</v>
      </c>
      <c r="C4687" s="30" t="str">
        <f>VLOOKUP(B4687,gachas!A:C,3)</f>
        <v xml:space="preserve"> 5月フィーバーフェス（チョイス3）</v>
      </c>
      <c r="D4687" s="21">
        <v>10</v>
      </c>
      <c r="E4687" s="2">
        <f t="shared" si="760"/>
        <v>15</v>
      </c>
      <c r="F4687" s="2">
        <v>10</v>
      </c>
      <c r="G4687" s="3" t="s">
        <v>22</v>
      </c>
      <c r="H4687" s="2">
        <v>50</v>
      </c>
      <c r="I4687" s="114" t="str">
        <f t="shared" si="761"/>
        <v>593100</v>
      </c>
      <c r="J4687" s="112" t="str">
        <f>CONCATENATE(B4687,D4687,5)</f>
        <v>593105</v>
      </c>
      <c r="K4687" s="112" t="str">
        <f t="shared" si="759"/>
        <v>593100</v>
      </c>
      <c r="L4687" s="2">
        <v>1</v>
      </c>
      <c r="M4687" s="2" t="s">
        <v>84</v>
      </c>
      <c r="N4687" s="2" t="s">
        <v>84</v>
      </c>
      <c r="O4687" s="2" t="s">
        <v>841</v>
      </c>
      <c r="P4687" s="2" t="s">
        <v>2648</v>
      </c>
    </row>
    <row r="4688" spans="1:16" ht="22" customHeight="1" x14ac:dyDescent="0.15">
      <c r="A4688" s="10" t="str">
        <f t="shared" si="758"/>
        <v>593_10_16_10_polygon</v>
      </c>
      <c r="B4688" s="2">
        <v>593</v>
      </c>
      <c r="C4688" s="30" t="str">
        <f>VLOOKUP(B4688,gachas!A:C,3)</f>
        <v xml:space="preserve"> 5月フィーバーフェス（チョイス3）</v>
      </c>
      <c r="D4688" s="21">
        <v>10</v>
      </c>
      <c r="E4688" s="2">
        <f t="shared" si="760"/>
        <v>16</v>
      </c>
      <c r="F4688" s="2">
        <v>10</v>
      </c>
      <c r="G4688" s="3" t="s">
        <v>22</v>
      </c>
      <c r="H4688" s="2">
        <v>50</v>
      </c>
      <c r="I4688" s="114" t="str">
        <f t="shared" si="761"/>
        <v>593100</v>
      </c>
      <c r="J4688" s="112" t="s">
        <v>84</v>
      </c>
      <c r="K4688" s="112" t="str">
        <f t="shared" si="759"/>
        <v>593100</v>
      </c>
      <c r="L4688" s="2">
        <v>1</v>
      </c>
      <c r="M4688" s="2" t="s">
        <v>84</v>
      </c>
      <c r="N4688" s="2" t="s">
        <v>84</v>
      </c>
      <c r="O4688" s="2" t="s">
        <v>841</v>
      </c>
      <c r="P4688" s="2" t="s">
        <v>2571</v>
      </c>
    </row>
    <row r="4689" spans="1:16" ht="22" customHeight="1" x14ac:dyDescent="0.15">
      <c r="A4689" s="10" t="str">
        <f t="shared" si="758"/>
        <v>593_10_17_10_polygon</v>
      </c>
      <c r="B4689" s="2">
        <v>593</v>
      </c>
      <c r="C4689" s="30" t="str">
        <f>VLOOKUP(B4689,gachas!A:C,3)</f>
        <v xml:space="preserve"> 5月フィーバーフェス（チョイス3）</v>
      </c>
      <c r="D4689" s="21">
        <v>10</v>
      </c>
      <c r="E4689" s="2">
        <f t="shared" si="760"/>
        <v>17</v>
      </c>
      <c r="F4689" s="2">
        <v>10</v>
      </c>
      <c r="G4689" s="3" t="s">
        <v>22</v>
      </c>
      <c r="H4689" s="2">
        <v>50</v>
      </c>
      <c r="I4689" s="114" t="str">
        <f t="shared" si="761"/>
        <v>593100</v>
      </c>
      <c r="J4689" s="112" t="s">
        <v>84</v>
      </c>
      <c r="K4689" s="112" t="str">
        <f t="shared" si="759"/>
        <v>593100</v>
      </c>
      <c r="L4689" s="2">
        <v>1</v>
      </c>
      <c r="M4689" s="2" t="s">
        <v>84</v>
      </c>
      <c r="N4689" s="2" t="s">
        <v>84</v>
      </c>
      <c r="O4689" s="2" t="s">
        <v>841</v>
      </c>
      <c r="P4689" s="2" t="s">
        <v>2571</v>
      </c>
    </row>
    <row r="4690" spans="1:16" ht="22" customHeight="1" x14ac:dyDescent="0.15">
      <c r="A4690" s="10" t="str">
        <f t="shared" si="758"/>
        <v>593_10_18_10_polygon</v>
      </c>
      <c r="B4690" s="2">
        <v>593</v>
      </c>
      <c r="C4690" s="30" t="str">
        <f>VLOOKUP(B4690,gachas!A:C,3)</f>
        <v xml:space="preserve"> 5月フィーバーフェス（チョイス3）</v>
      </c>
      <c r="D4690" s="21">
        <v>10</v>
      </c>
      <c r="E4690" s="2">
        <f t="shared" si="760"/>
        <v>18</v>
      </c>
      <c r="F4690" s="2">
        <v>10</v>
      </c>
      <c r="G4690" s="3" t="s">
        <v>22</v>
      </c>
      <c r="H4690" s="2">
        <v>50</v>
      </c>
      <c r="I4690" s="114" t="str">
        <f t="shared" si="761"/>
        <v>593100</v>
      </c>
      <c r="J4690" s="112" t="s">
        <v>84</v>
      </c>
      <c r="K4690" s="112" t="str">
        <f t="shared" si="759"/>
        <v>593100</v>
      </c>
      <c r="L4690" s="2">
        <v>1</v>
      </c>
      <c r="M4690" s="2" t="s">
        <v>84</v>
      </c>
      <c r="N4690" s="2" t="s">
        <v>84</v>
      </c>
      <c r="O4690" s="2" t="s">
        <v>841</v>
      </c>
      <c r="P4690" s="2" t="s">
        <v>2571</v>
      </c>
    </row>
    <row r="4691" spans="1:16" ht="22" customHeight="1" x14ac:dyDescent="0.15">
      <c r="A4691" s="10" t="str">
        <f t="shared" si="758"/>
        <v>593_10_19_10_polygon</v>
      </c>
      <c r="B4691" s="2">
        <v>593</v>
      </c>
      <c r="C4691" s="30" t="str">
        <f>VLOOKUP(B4691,gachas!A:C,3)</f>
        <v xml:space="preserve"> 5月フィーバーフェス（チョイス3）</v>
      </c>
      <c r="D4691" s="21">
        <v>10</v>
      </c>
      <c r="E4691" s="2">
        <f t="shared" si="760"/>
        <v>19</v>
      </c>
      <c r="F4691" s="2">
        <v>10</v>
      </c>
      <c r="G4691" s="3" t="s">
        <v>22</v>
      </c>
      <c r="H4691" s="2">
        <v>50</v>
      </c>
      <c r="I4691" s="114" t="str">
        <f t="shared" si="761"/>
        <v>593100</v>
      </c>
      <c r="J4691" s="112" t="s">
        <v>84</v>
      </c>
      <c r="K4691" s="112" t="str">
        <f t="shared" si="759"/>
        <v>593100</v>
      </c>
      <c r="L4691" s="2">
        <v>1</v>
      </c>
      <c r="M4691" s="2" t="s">
        <v>84</v>
      </c>
      <c r="N4691" s="2" t="s">
        <v>84</v>
      </c>
      <c r="O4691" s="2" t="s">
        <v>841</v>
      </c>
      <c r="P4691" s="2" t="s">
        <v>2571</v>
      </c>
    </row>
    <row r="4692" spans="1:16" ht="22" customHeight="1" x14ac:dyDescent="0.15">
      <c r="A4692" s="10" t="str">
        <f t="shared" si="758"/>
        <v>593_10_20_10_polygon</v>
      </c>
      <c r="B4692" s="2">
        <v>593</v>
      </c>
      <c r="C4692" s="30" t="str">
        <f>VLOOKUP(B4692,gachas!A:C,3)</f>
        <v xml:space="preserve"> 5月フィーバーフェス（チョイス3）</v>
      </c>
      <c r="D4692" s="21">
        <v>10</v>
      </c>
      <c r="E4692" s="2">
        <f t="shared" si="760"/>
        <v>20</v>
      </c>
      <c r="F4692" s="2">
        <v>10</v>
      </c>
      <c r="G4692" s="3" t="s">
        <v>22</v>
      </c>
      <c r="H4692" s="2">
        <v>50</v>
      </c>
      <c r="I4692" s="114" t="str">
        <f t="shared" si="761"/>
        <v>593100</v>
      </c>
      <c r="J4692" s="112" t="str">
        <f>CONCATENATE(B4692,D4692,5)</f>
        <v>593105</v>
      </c>
      <c r="K4692" s="112" t="str">
        <f t="shared" si="759"/>
        <v>593100</v>
      </c>
      <c r="L4692" s="2">
        <v>1</v>
      </c>
      <c r="M4692" s="2" t="s">
        <v>84</v>
      </c>
      <c r="N4692" s="2" t="s">
        <v>84</v>
      </c>
      <c r="O4692" s="2" t="s">
        <v>841</v>
      </c>
      <c r="P4692" s="2" t="s">
        <v>2648</v>
      </c>
    </row>
    <row r="4693" spans="1:16" ht="22" customHeight="1" x14ac:dyDescent="0.15">
      <c r="A4693" s="10" t="str">
        <f t="shared" si="758"/>
        <v>593_10_21_10_polygon</v>
      </c>
      <c r="B4693" s="2">
        <v>593</v>
      </c>
      <c r="C4693" s="30" t="str">
        <f>VLOOKUP(B4693,gachas!A:C,3)</f>
        <v xml:space="preserve"> 5月フィーバーフェス（チョイス3）</v>
      </c>
      <c r="D4693" s="21">
        <v>10</v>
      </c>
      <c r="E4693" s="2">
        <f t="shared" si="760"/>
        <v>21</v>
      </c>
      <c r="F4693" s="2">
        <v>10</v>
      </c>
      <c r="G4693" s="3" t="s">
        <v>22</v>
      </c>
      <c r="H4693" s="2">
        <v>50</v>
      </c>
      <c r="I4693" s="114" t="str">
        <f t="shared" si="761"/>
        <v>593100</v>
      </c>
      <c r="J4693" s="112" t="s">
        <v>84</v>
      </c>
      <c r="K4693" s="112" t="str">
        <f t="shared" si="759"/>
        <v>593100</v>
      </c>
      <c r="L4693" s="2">
        <v>1</v>
      </c>
      <c r="M4693" s="2" t="s">
        <v>84</v>
      </c>
      <c r="N4693" s="2" t="s">
        <v>84</v>
      </c>
      <c r="O4693" s="2" t="s">
        <v>841</v>
      </c>
      <c r="P4693" s="2" t="s">
        <v>2571</v>
      </c>
    </row>
    <row r="4694" spans="1:16" ht="22" customHeight="1" x14ac:dyDescent="0.15">
      <c r="A4694" s="10" t="str">
        <f t="shared" si="758"/>
        <v>593_10_22_10_polygon</v>
      </c>
      <c r="B4694" s="2">
        <v>593</v>
      </c>
      <c r="C4694" s="30" t="str">
        <f>VLOOKUP(B4694,gachas!A:C,3)</f>
        <v xml:space="preserve"> 5月フィーバーフェス（チョイス3）</v>
      </c>
      <c r="D4694" s="21">
        <v>10</v>
      </c>
      <c r="E4694" s="2">
        <f t="shared" si="760"/>
        <v>22</v>
      </c>
      <c r="F4694" s="2">
        <v>10</v>
      </c>
      <c r="G4694" s="3" t="s">
        <v>22</v>
      </c>
      <c r="H4694" s="2">
        <v>50</v>
      </c>
      <c r="I4694" s="114" t="str">
        <f t="shared" si="761"/>
        <v>593100</v>
      </c>
      <c r="J4694" s="112" t="s">
        <v>84</v>
      </c>
      <c r="K4694" s="112" t="str">
        <f t="shared" si="759"/>
        <v>593100</v>
      </c>
      <c r="L4694" s="2">
        <v>1</v>
      </c>
      <c r="M4694" s="2" t="s">
        <v>84</v>
      </c>
      <c r="N4694" s="2" t="s">
        <v>84</v>
      </c>
      <c r="O4694" s="2" t="s">
        <v>841</v>
      </c>
      <c r="P4694" s="2" t="s">
        <v>2571</v>
      </c>
    </row>
    <row r="4695" spans="1:16" ht="22" customHeight="1" x14ac:dyDescent="0.15">
      <c r="A4695" s="10" t="str">
        <f t="shared" si="758"/>
        <v>593_10_23_10_polygon</v>
      </c>
      <c r="B4695" s="2">
        <v>593</v>
      </c>
      <c r="C4695" s="30" t="str">
        <f>VLOOKUP(B4695,gachas!A:C,3)</f>
        <v xml:space="preserve"> 5月フィーバーフェス（チョイス3）</v>
      </c>
      <c r="D4695" s="21">
        <v>10</v>
      </c>
      <c r="E4695" s="2">
        <f t="shared" si="760"/>
        <v>23</v>
      </c>
      <c r="F4695" s="2">
        <v>10</v>
      </c>
      <c r="G4695" s="3" t="s">
        <v>22</v>
      </c>
      <c r="H4695" s="2">
        <v>50</v>
      </c>
      <c r="I4695" s="114" t="str">
        <f t="shared" si="761"/>
        <v>593100</v>
      </c>
      <c r="J4695" s="112" t="s">
        <v>84</v>
      </c>
      <c r="K4695" s="112" t="str">
        <f t="shared" si="759"/>
        <v>593100</v>
      </c>
      <c r="L4695" s="2">
        <v>1</v>
      </c>
      <c r="M4695" s="2" t="s">
        <v>84</v>
      </c>
      <c r="N4695" s="2" t="s">
        <v>84</v>
      </c>
      <c r="O4695" s="2" t="s">
        <v>841</v>
      </c>
      <c r="P4695" s="2" t="s">
        <v>2571</v>
      </c>
    </row>
    <row r="4696" spans="1:16" ht="22" customHeight="1" x14ac:dyDescent="0.15">
      <c r="A4696" s="10" t="str">
        <f t="shared" si="758"/>
        <v>593_10_24_10_polygon</v>
      </c>
      <c r="B4696" s="2">
        <v>593</v>
      </c>
      <c r="C4696" s="30" t="str">
        <f>VLOOKUP(B4696,gachas!A:C,3)</f>
        <v xml:space="preserve"> 5月フィーバーフェス（チョイス3）</v>
      </c>
      <c r="D4696" s="21">
        <v>10</v>
      </c>
      <c r="E4696" s="2">
        <f t="shared" si="760"/>
        <v>24</v>
      </c>
      <c r="F4696" s="2">
        <v>10</v>
      </c>
      <c r="G4696" s="3" t="s">
        <v>22</v>
      </c>
      <c r="H4696" s="2">
        <v>50</v>
      </c>
      <c r="I4696" s="114" t="str">
        <f t="shared" si="761"/>
        <v>593100</v>
      </c>
      <c r="J4696" s="112" t="s">
        <v>84</v>
      </c>
      <c r="K4696" s="112" t="str">
        <f t="shared" si="759"/>
        <v>593100</v>
      </c>
      <c r="L4696" s="2">
        <v>1</v>
      </c>
      <c r="M4696" s="2" t="s">
        <v>84</v>
      </c>
      <c r="N4696" s="2" t="s">
        <v>84</v>
      </c>
      <c r="O4696" s="2" t="s">
        <v>841</v>
      </c>
      <c r="P4696" s="2" t="s">
        <v>2571</v>
      </c>
    </row>
    <row r="4697" spans="1:16" ht="22" customHeight="1" x14ac:dyDescent="0.15">
      <c r="A4697" s="10" t="str">
        <f t="shared" si="758"/>
        <v>593_10_25_10_polygon</v>
      </c>
      <c r="B4697" s="2">
        <v>593</v>
      </c>
      <c r="C4697" s="30" t="str">
        <f>VLOOKUP(B4697,gachas!A:C,3)</f>
        <v xml:space="preserve"> 5月フィーバーフェス（チョイス3）</v>
      </c>
      <c r="D4697" s="21">
        <v>10</v>
      </c>
      <c r="E4697" s="2">
        <f t="shared" si="760"/>
        <v>25</v>
      </c>
      <c r="F4697" s="2">
        <v>10</v>
      </c>
      <c r="G4697" s="3" t="s">
        <v>22</v>
      </c>
      <c r="H4697" s="2">
        <v>50</v>
      </c>
      <c r="I4697" s="114" t="str">
        <f t="shared" si="761"/>
        <v>593100</v>
      </c>
      <c r="J4697" s="112" t="str">
        <f>CONCATENATE(B4697,D4697,5)</f>
        <v>593105</v>
      </c>
      <c r="K4697" s="112" t="str">
        <f t="shared" si="759"/>
        <v>593100</v>
      </c>
      <c r="L4697" s="2">
        <v>1</v>
      </c>
      <c r="M4697" s="2" t="s">
        <v>84</v>
      </c>
      <c r="N4697" s="2" t="s">
        <v>84</v>
      </c>
      <c r="O4697" s="2" t="s">
        <v>841</v>
      </c>
      <c r="P4697" s="2" t="s">
        <v>2648</v>
      </c>
    </row>
    <row r="4698" spans="1:16" ht="22" customHeight="1" x14ac:dyDescent="0.15">
      <c r="A4698" s="10" t="str">
        <f t="shared" si="758"/>
        <v>593_10_26_10_polygon</v>
      </c>
      <c r="B4698" s="2">
        <v>593</v>
      </c>
      <c r="C4698" s="30" t="str">
        <f>VLOOKUP(B4698,gachas!A:C,3)</f>
        <v xml:space="preserve"> 5月フィーバーフェス（チョイス3）</v>
      </c>
      <c r="D4698" s="21">
        <v>10</v>
      </c>
      <c r="E4698" s="2">
        <f t="shared" si="760"/>
        <v>26</v>
      </c>
      <c r="F4698" s="2">
        <v>10</v>
      </c>
      <c r="G4698" s="3" t="s">
        <v>22</v>
      </c>
      <c r="H4698" s="2">
        <v>50</v>
      </c>
      <c r="I4698" s="114" t="str">
        <f t="shared" si="761"/>
        <v>593100</v>
      </c>
      <c r="J4698" s="112" t="s">
        <v>84</v>
      </c>
      <c r="K4698" s="112" t="str">
        <f t="shared" si="759"/>
        <v>593100</v>
      </c>
      <c r="L4698" s="2">
        <v>1</v>
      </c>
      <c r="M4698" s="2" t="s">
        <v>84</v>
      </c>
      <c r="N4698" s="2" t="s">
        <v>84</v>
      </c>
      <c r="O4698" s="2" t="s">
        <v>841</v>
      </c>
      <c r="P4698" s="2" t="s">
        <v>2571</v>
      </c>
    </row>
    <row r="4699" spans="1:16" ht="22" customHeight="1" x14ac:dyDescent="0.15">
      <c r="A4699" s="10" t="str">
        <f t="shared" si="758"/>
        <v>593_10_27_10_polygon</v>
      </c>
      <c r="B4699" s="2">
        <v>593</v>
      </c>
      <c r="C4699" s="30" t="str">
        <f>VLOOKUP(B4699,gachas!A:C,3)</f>
        <v xml:space="preserve"> 5月フィーバーフェス（チョイス3）</v>
      </c>
      <c r="D4699" s="21">
        <v>10</v>
      </c>
      <c r="E4699" s="2">
        <f t="shared" si="760"/>
        <v>27</v>
      </c>
      <c r="F4699" s="2">
        <v>10</v>
      </c>
      <c r="G4699" s="3" t="s">
        <v>22</v>
      </c>
      <c r="H4699" s="2">
        <v>50</v>
      </c>
      <c r="I4699" s="114" t="str">
        <f t="shared" si="761"/>
        <v>593100</v>
      </c>
      <c r="J4699" s="112" t="s">
        <v>84</v>
      </c>
      <c r="K4699" s="112" t="str">
        <f t="shared" si="759"/>
        <v>593100</v>
      </c>
      <c r="L4699" s="2">
        <v>1</v>
      </c>
      <c r="M4699" s="2" t="s">
        <v>84</v>
      </c>
      <c r="N4699" s="2" t="s">
        <v>84</v>
      </c>
      <c r="O4699" s="2" t="s">
        <v>841</v>
      </c>
      <c r="P4699" s="2" t="s">
        <v>2571</v>
      </c>
    </row>
    <row r="4700" spans="1:16" ht="22" customHeight="1" x14ac:dyDescent="0.15">
      <c r="A4700" s="10" t="str">
        <f t="shared" si="758"/>
        <v>593_10_28_10_polygon</v>
      </c>
      <c r="B4700" s="2">
        <v>593</v>
      </c>
      <c r="C4700" s="30" t="str">
        <f>VLOOKUP(B4700,gachas!A:C,3)</f>
        <v xml:space="preserve"> 5月フィーバーフェス（チョイス3）</v>
      </c>
      <c r="D4700" s="21">
        <v>10</v>
      </c>
      <c r="E4700" s="2">
        <f t="shared" si="760"/>
        <v>28</v>
      </c>
      <c r="F4700" s="2">
        <v>10</v>
      </c>
      <c r="G4700" s="3" t="s">
        <v>22</v>
      </c>
      <c r="H4700" s="2">
        <v>50</v>
      </c>
      <c r="I4700" s="114" t="str">
        <f t="shared" si="761"/>
        <v>593100</v>
      </c>
      <c r="J4700" s="112" t="s">
        <v>84</v>
      </c>
      <c r="K4700" s="112" t="str">
        <f t="shared" si="759"/>
        <v>593100</v>
      </c>
      <c r="L4700" s="2">
        <v>1</v>
      </c>
      <c r="M4700" s="2" t="s">
        <v>84</v>
      </c>
      <c r="N4700" s="2" t="s">
        <v>84</v>
      </c>
      <c r="O4700" s="2" t="s">
        <v>841</v>
      </c>
      <c r="P4700" s="2" t="s">
        <v>2571</v>
      </c>
    </row>
    <row r="4701" spans="1:16" ht="22" customHeight="1" x14ac:dyDescent="0.15">
      <c r="A4701" s="10" t="str">
        <f t="shared" si="758"/>
        <v>593_10_29_10_polygon</v>
      </c>
      <c r="B4701" s="2">
        <v>593</v>
      </c>
      <c r="C4701" s="30" t="str">
        <f>VLOOKUP(B4701,gachas!A:C,3)</f>
        <v xml:space="preserve"> 5月フィーバーフェス（チョイス3）</v>
      </c>
      <c r="D4701" s="21">
        <v>10</v>
      </c>
      <c r="E4701" s="2">
        <f t="shared" si="760"/>
        <v>29</v>
      </c>
      <c r="F4701" s="2">
        <v>10</v>
      </c>
      <c r="G4701" s="3" t="s">
        <v>22</v>
      </c>
      <c r="H4701" s="2">
        <v>50</v>
      </c>
      <c r="I4701" s="114" t="str">
        <f t="shared" si="761"/>
        <v>593100</v>
      </c>
      <c r="J4701" s="112" t="s">
        <v>84</v>
      </c>
      <c r="K4701" s="112" t="str">
        <f t="shared" si="759"/>
        <v>593100</v>
      </c>
      <c r="L4701" s="2">
        <v>1</v>
      </c>
      <c r="M4701" s="2" t="s">
        <v>84</v>
      </c>
      <c r="N4701" s="2" t="s">
        <v>84</v>
      </c>
      <c r="O4701" s="2" t="s">
        <v>841</v>
      </c>
      <c r="P4701" s="2" t="s">
        <v>2571</v>
      </c>
    </row>
    <row r="4702" spans="1:16" ht="22" customHeight="1" x14ac:dyDescent="0.15">
      <c r="A4702" s="10" t="str">
        <f t="shared" si="758"/>
        <v>593_10_30_10_polygon</v>
      </c>
      <c r="B4702" s="2">
        <v>593</v>
      </c>
      <c r="C4702" s="30" t="str">
        <f>VLOOKUP(B4702,gachas!A:C,3)</f>
        <v xml:space="preserve"> 5月フィーバーフェス（チョイス3）</v>
      </c>
      <c r="D4702" s="21">
        <v>10</v>
      </c>
      <c r="E4702" s="2">
        <f t="shared" si="760"/>
        <v>30</v>
      </c>
      <c r="F4702" s="2">
        <v>10</v>
      </c>
      <c r="G4702" s="3" t="s">
        <v>22</v>
      </c>
      <c r="H4702" s="2">
        <v>50</v>
      </c>
      <c r="I4702" s="114" t="str">
        <f t="shared" si="761"/>
        <v>593100</v>
      </c>
      <c r="J4702" s="112" t="str">
        <f>CONCATENATE(B4702,D4702,5)</f>
        <v>593105</v>
      </c>
      <c r="K4702" s="112" t="str">
        <f t="shared" si="759"/>
        <v>593100</v>
      </c>
      <c r="L4702" s="2">
        <v>1</v>
      </c>
      <c r="M4702" s="2" t="s">
        <v>84</v>
      </c>
      <c r="N4702" s="2" t="s">
        <v>84</v>
      </c>
      <c r="O4702" s="2" t="s">
        <v>841</v>
      </c>
      <c r="P4702" s="2" t="s">
        <v>2648</v>
      </c>
    </row>
    <row r="4703" spans="1:16" ht="22" customHeight="1" x14ac:dyDescent="0.15">
      <c r="A4703" s="10" t="str">
        <f t="shared" si="758"/>
        <v>593_10_31_10_polygon</v>
      </c>
      <c r="B4703" s="2">
        <v>593</v>
      </c>
      <c r="C4703" s="30" t="str">
        <f>VLOOKUP(B4703,gachas!A:C,3)</f>
        <v xml:space="preserve"> 5月フィーバーフェス（チョイス3）</v>
      </c>
      <c r="D4703" s="21">
        <v>10</v>
      </c>
      <c r="E4703" s="2">
        <f t="shared" si="760"/>
        <v>31</v>
      </c>
      <c r="F4703" s="2">
        <v>10</v>
      </c>
      <c r="G4703" s="3" t="s">
        <v>22</v>
      </c>
      <c r="H4703" s="2">
        <v>50</v>
      </c>
      <c r="I4703" s="114" t="str">
        <f t="shared" si="761"/>
        <v>593100</v>
      </c>
      <c r="J4703" s="112" t="s">
        <v>84</v>
      </c>
      <c r="K4703" s="112" t="str">
        <f t="shared" si="759"/>
        <v>593100</v>
      </c>
      <c r="L4703" s="2">
        <v>1</v>
      </c>
      <c r="M4703" s="2" t="s">
        <v>84</v>
      </c>
      <c r="N4703" s="2" t="s">
        <v>84</v>
      </c>
      <c r="O4703" s="2" t="s">
        <v>841</v>
      </c>
      <c r="P4703" s="2" t="s">
        <v>2571</v>
      </c>
    </row>
    <row r="4704" spans="1:16" ht="22" customHeight="1" x14ac:dyDescent="0.15">
      <c r="A4704" s="10" t="str">
        <f t="shared" si="758"/>
        <v>593_10_32_10_polygon</v>
      </c>
      <c r="B4704" s="2">
        <v>593</v>
      </c>
      <c r="C4704" s="30" t="str">
        <f>VLOOKUP(B4704,gachas!A:C,3)</f>
        <v xml:space="preserve"> 5月フィーバーフェス（チョイス3）</v>
      </c>
      <c r="D4704" s="21">
        <v>10</v>
      </c>
      <c r="E4704" s="2">
        <f t="shared" si="760"/>
        <v>32</v>
      </c>
      <c r="F4704" s="2">
        <v>10</v>
      </c>
      <c r="G4704" s="3" t="s">
        <v>22</v>
      </c>
      <c r="H4704" s="2">
        <v>50</v>
      </c>
      <c r="I4704" s="114" t="str">
        <f t="shared" si="761"/>
        <v>593100</v>
      </c>
      <c r="J4704" s="112" t="s">
        <v>84</v>
      </c>
      <c r="K4704" s="112" t="str">
        <f t="shared" si="759"/>
        <v>593100</v>
      </c>
      <c r="L4704" s="2">
        <v>1</v>
      </c>
      <c r="M4704" s="2" t="s">
        <v>84</v>
      </c>
      <c r="N4704" s="2" t="s">
        <v>84</v>
      </c>
      <c r="O4704" s="2" t="s">
        <v>841</v>
      </c>
      <c r="P4704" s="2" t="s">
        <v>2571</v>
      </c>
    </row>
    <row r="4705" spans="1:16" ht="22" customHeight="1" x14ac:dyDescent="0.15">
      <c r="A4705" s="10" t="str">
        <f t="shared" si="758"/>
        <v>593_10_33_10_polygon</v>
      </c>
      <c r="B4705" s="2">
        <v>593</v>
      </c>
      <c r="C4705" s="30" t="str">
        <f>VLOOKUP(B4705,gachas!A:C,3)</f>
        <v xml:space="preserve"> 5月フィーバーフェス（チョイス3）</v>
      </c>
      <c r="D4705" s="21">
        <v>10</v>
      </c>
      <c r="E4705" s="2">
        <f t="shared" si="760"/>
        <v>33</v>
      </c>
      <c r="F4705" s="2">
        <v>10</v>
      </c>
      <c r="G4705" s="3" t="s">
        <v>22</v>
      </c>
      <c r="H4705" s="2">
        <v>50</v>
      </c>
      <c r="I4705" s="114" t="str">
        <f t="shared" si="761"/>
        <v>593100</v>
      </c>
      <c r="J4705" s="112" t="s">
        <v>84</v>
      </c>
      <c r="K4705" s="112" t="str">
        <f t="shared" si="759"/>
        <v>593100</v>
      </c>
      <c r="L4705" s="2">
        <v>1</v>
      </c>
      <c r="M4705" s="2" t="s">
        <v>84</v>
      </c>
      <c r="N4705" s="2" t="s">
        <v>84</v>
      </c>
      <c r="O4705" s="2" t="s">
        <v>841</v>
      </c>
      <c r="P4705" s="2" t="s">
        <v>2571</v>
      </c>
    </row>
    <row r="4706" spans="1:16" ht="22" customHeight="1" x14ac:dyDescent="0.15">
      <c r="A4706" s="10" t="str">
        <f t="shared" si="758"/>
        <v>593_10_34_10_polygon</v>
      </c>
      <c r="B4706" s="2">
        <v>593</v>
      </c>
      <c r="C4706" s="30" t="str">
        <f>VLOOKUP(B4706,gachas!A:C,3)</f>
        <v xml:space="preserve"> 5月フィーバーフェス（チョイス3）</v>
      </c>
      <c r="D4706" s="21">
        <v>10</v>
      </c>
      <c r="E4706" s="2">
        <f t="shared" si="760"/>
        <v>34</v>
      </c>
      <c r="F4706" s="2">
        <v>10</v>
      </c>
      <c r="G4706" s="3" t="s">
        <v>22</v>
      </c>
      <c r="H4706" s="2">
        <v>50</v>
      </c>
      <c r="I4706" s="114" t="str">
        <f t="shared" si="761"/>
        <v>593100</v>
      </c>
      <c r="J4706" s="112" t="s">
        <v>84</v>
      </c>
      <c r="K4706" s="112" t="str">
        <f t="shared" si="759"/>
        <v>593100</v>
      </c>
      <c r="L4706" s="2">
        <v>1</v>
      </c>
      <c r="M4706" s="2" t="s">
        <v>84</v>
      </c>
      <c r="N4706" s="2" t="s">
        <v>84</v>
      </c>
      <c r="O4706" s="2" t="s">
        <v>841</v>
      </c>
      <c r="P4706" s="2" t="s">
        <v>2571</v>
      </c>
    </row>
    <row r="4707" spans="1:16" ht="22" customHeight="1" x14ac:dyDescent="0.15">
      <c r="A4707" s="10" t="str">
        <f t="shared" si="758"/>
        <v>593_10_35_10_polygon</v>
      </c>
      <c r="B4707" s="2">
        <v>593</v>
      </c>
      <c r="C4707" s="30" t="str">
        <f>VLOOKUP(B4707,gachas!A:C,3)</f>
        <v xml:space="preserve"> 5月フィーバーフェス（チョイス3）</v>
      </c>
      <c r="D4707" s="21">
        <v>10</v>
      </c>
      <c r="E4707" s="2">
        <f t="shared" si="760"/>
        <v>35</v>
      </c>
      <c r="F4707" s="2">
        <v>10</v>
      </c>
      <c r="G4707" s="3" t="s">
        <v>22</v>
      </c>
      <c r="H4707" s="2">
        <v>50</v>
      </c>
      <c r="I4707" s="114" t="str">
        <f t="shared" si="761"/>
        <v>593100</v>
      </c>
      <c r="J4707" s="112" t="str">
        <f>CONCATENATE(B4707,D4707,5)</f>
        <v>593105</v>
      </c>
      <c r="K4707" s="112" t="str">
        <f t="shared" si="759"/>
        <v>593100</v>
      </c>
      <c r="L4707" s="2">
        <v>1</v>
      </c>
      <c r="M4707" s="2" t="s">
        <v>84</v>
      </c>
      <c r="N4707" s="2" t="s">
        <v>84</v>
      </c>
      <c r="O4707" s="2" t="s">
        <v>841</v>
      </c>
      <c r="P4707" s="2" t="s">
        <v>2648</v>
      </c>
    </row>
    <row r="4708" spans="1:16" ht="22" customHeight="1" x14ac:dyDescent="0.15">
      <c r="A4708" s="10" t="str">
        <f t="shared" si="758"/>
        <v>593_10_36_10_polygon</v>
      </c>
      <c r="B4708" s="2">
        <v>593</v>
      </c>
      <c r="C4708" s="30" t="str">
        <f>VLOOKUP(B4708,gachas!A:C,3)</f>
        <v xml:space="preserve"> 5月フィーバーフェス（チョイス3）</v>
      </c>
      <c r="D4708" s="21">
        <v>10</v>
      </c>
      <c r="E4708" s="2">
        <f t="shared" si="760"/>
        <v>36</v>
      </c>
      <c r="F4708" s="2">
        <v>10</v>
      </c>
      <c r="G4708" s="3" t="s">
        <v>22</v>
      </c>
      <c r="H4708" s="2">
        <v>50</v>
      </c>
      <c r="I4708" s="114" t="str">
        <f t="shared" si="761"/>
        <v>593100</v>
      </c>
      <c r="J4708" s="112" t="s">
        <v>84</v>
      </c>
      <c r="K4708" s="112" t="str">
        <f t="shared" si="759"/>
        <v>593100</v>
      </c>
      <c r="L4708" s="2">
        <v>1</v>
      </c>
      <c r="M4708" s="2" t="s">
        <v>84</v>
      </c>
      <c r="N4708" s="2" t="s">
        <v>84</v>
      </c>
      <c r="O4708" s="2" t="s">
        <v>841</v>
      </c>
      <c r="P4708" s="2" t="s">
        <v>2571</v>
      </c>
    </row>
    <row r="4709" spans="1:16" ht="22" customHeight="1" x14ac:dyDescent="0.15">
      <c r="A4709" s="10" t="str">
        <f t="shared" si="758"/>
        <v>593_10_37_10_polygon</v>
      </c>
      <c r="B4709" s="2">
        <v>593</v>
      </c>
      <c r="C4709" s="30" t="str">
        <f>VLOOKUP(B4709,gachas!A:C,3)</f>
        <v xml:space="preserve"> 5月フィーバーフェス（チョイス3）</v>
      </c>
      <c r="D4709" s="21">
        <v>10</v>
      </c>
      <c r="E4709" s="2">
        <f t="shared" si="760"/>
        <v>37</v>
      </c>
      <c r="F4709" s="2">
        <v>10</v>
      </c>
      <c r="G4709" s="3" t="s">
        <v>22</v>
      </c>
      <c r="H4709" s="2">
        <v>50</v>
      </c>
      <c r="I4709" s="114" t="str">
        <f t="shared" si="761"/>
        <v>593100</v>
      </c>
      <c r="J4709" s="112" t="s">
        <v>84</v>
      </c>
      <c r="K4709" s="112" t="str">
        <f t="shared" si="759"/>
        <v>593100</v>
      </c>
      <c r="L4709" s="2">
        <v>1</v>
      </c>
      <c r="M4709" s="2" t="s">
        <v>84</v>
      </c>
      <c r="N4709" s="2" t="s">
        <v>84</v>
      </c>
      <c r="O4709" s="2" t="s">
        <v>841</v>
      </c>
      <c r="P4709" s="2" t="s">
        <v>2571</v>
      </c>
    </row>
    <row r="4710" spans="1:16" ht="22" customHeight="1" x14ac:dyDescent="0.15">
      <c r="A4710" s="10" t="str">
        <f t="shared" si="758"/>
        <v>593_10_38_10_polygon</v>
      </c>
      <c r="B4710" s="2">
        <v>593</v>
      </c>
      <c r="C4710" s="30" t="str">
        <f>VLOOKUP(B4710,gachas!A:C,3)</f>
        <v xml:space="preserve"> 5月フィーバーフェス（チョイス3）</v>
      </c>
      <c r="D4710" s="21">
        <v>10</v>
      </c>
      <c r="E4710" s="2">
        <f t="shared" si="760"/>
        <v>38</v>
      </c>
      <c r="F4710" s="2">
        <v>10</v>
      </c>
      <c r="G4710" s="3" t="s">
        <v>22</v>
      </c>
      <c r="H4710" s="2">
        <v>50</v>
      </c>
      <c r="I4710" s="114" t="str">
        <f t="shared" si="761"/>
        <v>593100</v>
      </c>
      <c r="J4710" s="112" t="s">
        <v>84</v>
      </c>
      <c r="K4710" s="112" t="str">
        <f t="shared" si="759"/>
        <v>593100</v>
      </c>
      <c r="L4710" s="2">
        <v>1</v>
      </c>
      <c r="M4710" s="2" t="s">
        <v>84</v>
      </c>
      <c r="N4710" s="2" t="s">
        <v>84</v>
      </c>
      <c r="O4710" s="2" t="s">
        <v>841</v>
      </c>
      <c r="P4710" s="2" t="s">
        <v>2571</v>
      </c>
    </row>
    <row r="4711" spans="1:16" ht="22" customHeight="1" x14ac:dyDescent="0.15">
      <c r="A4711" s="10" t="str">
        <f t="shared" si="758"/>
        <v>593_10_39_10_polygon</v>
      </c>
      <c r="B4711" s="2">
        <v>593</v>
      </c>
      <c r="C4711" s="30" t="str">
        <f>VLOOKUP(B4711,gachas!A:C,3)</f>
        <v xml:space="preserve"> 5月フィーバーフェス（チョイス3）</v>
      </c>
      <c r="D4711" s="21">
        <v>10</v>
      </c>
      <c r="E4711" s="2">
        <f t="shared" si="760"/>
        <v>39</v>
      </c>
      <c r="F4711" s="2">
        <v>10</v>
      </c>
      <c r="G4711" s="3" t="s">
        <v>22</v>
      </c>
      <c r="H4711" s="2">
        <v>50</v>
      </c>
      <c r="I4711" s="114" t="str">
        <f t="shared" si="761"/>
        <v>593100</v>
      </c>
      <c r="J4711" s="112" t="s">
        <v>84</v>
      </c>
      <c r="K4711" s="112" t="str">
        <f t="shared" si="759"/>
        <v>593100</v>
      </c>
      <c r="L4711" s="2">
        <v>1</v>
      </c>
      <c r="M4711" s="2" t="s">
        <v>84</v>
      </c>
      <c r="N4711" s="2" t="s">
        <v>84</v>
      </c>
      <c r="O4711" s="2" t="s">
        <v>841</v>
      </c>
      <c r="P4711" s="2" t="s">
        <v>2571</v>
      </c>
    </row>
    <row r="4712" spans="1:16" ht="22" customHeight="1" x14ac:dyDescent="0.15">
      <c r="A4712" s="10" t="str">
        <f t="shared" si="758"/>
        <v>593_10_40_10_polygon</v>
      </c>
      <c r="B4712" s="2">
        <v>593</v>
      </c>
      <c r="C4712" s="30" t="str">
        <f>VLOOKUP(B4712,gachas!A:C,3)</f>
        <v xml:space="preserve"> 5月フィーバーフェス（チョイス3）</v>
      </c>
      <c r="D4712" s="21">
        <v>10</v>
      </c>
      <c r="E4712" s="2">
        <f t="shared" si="760"/>
        <v>40</v>
      </c>
      <c r="F4712" s="2">
        <v>10</v>
      </c>
      <c r="G4712" s="3" t="s">
        <v>22</v>
      </c>
      <c r="H4712" s="2">
        <v>50</v>
      </c>
      <c r="I4712" s="114" t="str">
        <f t="shared" si="761"/>
        <v>593100</v>
      </c>
      <c r="J4712" s="112" t="str">
        <f>CONCATENATE(B4712,D4712,5)</f>
        <v>593105</v>
      </c>
      <c r="K4712" s="112" t="str">
        <f t="shared" si="759"/>
        <v>593100</v>
      </c>
      <c r="L4712" s="2">
        <v>1</v>
      </c>
      <c r="M4712" s="2" t="s">
        <v>84</v>
      </c>
      <c r="N4712" s="2" t="s">
        <v>84</v>
      </c>
      <c r="O4712" s="2" t="s">
        <v>841</v>
      </c>
      <c r="P4712" s="2" t="s">
        <v>2648</v>
      </c>
    </row>
    <row r="4713" spans="1:16" ht="22" customHeight="1" x14ac:dyDescent="0.15">
      <c r="A4713" s="10" t="str">
        <f t="shared" si="758"/>
        <v>593_10_41_10_polygon</v>
      </c>
      <c r="B4713" s="2">
        <v>593</v>
      </c>
      <c r="C4713" s="30" t="str">
        <f>VLOOKUP(B4713,gachas!A:C,3)</f>
        <v xml:space="preserve"> 5月フィーバーフェス（チョイス3）</v>
      </c>
      <c r="D4713" s="21">
        <v>10</v>
      </c>
      <c r="E4713" s="2">
        <f t="shared" si="760"/>
        <v>41</v>
      </c>
      <c r="F4713" s="2">
        <v>10</v>
      </c>
      <c r="G4713" s="3" t="s">
        <v>22</v>
      </c>
      <c r="H4713" s="2">
        <v>50</v>
      </c>
      <c r="I4713" s="114" t="str">
        <f t="shared" si="761"/>
        <v>593100</v>
      </c>
      <c r="J4713" s="112" t="s">
        <v>84</v>
      </c>
      <c r="K4713" s="112" t="str">
        <f t="shared" si="759"/>
        <v>593100</v>
      </c>
      <c r="L4713" s="2">
        <v>1</v>
      </c>
      <c r="M4713" s="2" t="s">
        <v>84</v>
      </c>
      <c r="N4713" s="2" t="s">
        <v>84</v>
      </c>
      <c r="O4713" s="2" t="s">
        <v>841</v>
      </c>
      <c r="P4713" s="2" t="s">
        <v>2571</v>
      </c>
    </row>
    <row r="4714" spans="1:16" ht="22" customHeight="1" x14ac:dyDescent="0.15">
      <c r="A4714" s="10" t="str">
        <f t="shared" si="758"/>
        <v>593_10_42_10_polygon</v>
      </c>
      <c r="B4714" s="2">
        <v>593</v>
      </c>
      <c r="C4714" s="30" t="str">
        <f>VLOOKUP(B4714,gachas!A:C,3)</f>
        <v xml:space="preserve"> 5月フィーバーフェス（チョイス3）</v>
      </c>
      <c r="D4714" s="21">
        <v>10</v>
      </c>
      <c r="E4714" s="2">
        <f t="shared" si="760"/>
        <v>42</v>
      </c>
      <c r="F4714" s="2">
        <v>10</v>
      </c>
      <c r="G4714" s="3" t="s">
        <v>22</v>
      </c>
      <c r="H4714" s="2">
        <v>50</v>
      </c>
      <c r="I4714" s="114" t="str">
        <f t="shared" si="761"/>
        <v>593100</v>
      </c>
      <c r="J4714" s="112" t="s">
        <v>84</v>
      </c>
      <c r="K4714" s="112" t="str">
        <f t="shared" si="759"/>
        <v>593100</v>
      </c>
      <c r="L4714" s="2">
        <v>1</v>
      </c>
      <c r="M4714" s="2" t="s">
        <v>84</v>
      </c>
      <c r="N4714" s="2" t="s">
        <v>84</v>
      </c>
      <c r="O4714" s="2" t="s">
        <v>841</v>
      </c>
      <c r="P4714" s="2" t="s">
        <v>2571</v>
      </c>
    </row>
    <row r="4715" spans="1:16" ht="22" customHeight="1" x14ac:dyDescent="0.15">
      <c r="A4715" s="10" t="str">
        <f t="shared" si="758"/>
        <v>593_10_43_10_polygon</v>
      </c>
      <c r="B4715" s="2">
        <v>593</v>
      </c>
      <c r="C4715" s="30" t="str">
        <f>VLOOKUP(B4715,gachas!A:C,3)</f>
        <v xml:space="preserve"> 5月フィーバーフェス（チョイス3）</v>
      </c>
      <c r="D4715" s="21">
        <v>10</v>
      </c>
      <c r="E4715" s="2">
        <f t="shared" si="760"/>
        <v>43</v>
      </c>
      <c r="F4715" s="2">
        <v>10</v>
      </c>
      <c r="G4715" s="3" t="s">
        <v>22</v>
      </c>
      <c r="H4715" s="2">
        <v>50</v>
      </c>
      <c r="I4715" s="114" t="str">
        <f t="shared" si="761"/>
        <v>593100</v>
      </c>
      <c r="J4715" s="112" t="s">
        <v>84</v>
      </c>
      <c r="K4715" s="112" t="str">
        <f t="shared" si="759"/>
        <v>593100</v>
      </c>
      <c r="L4715" s="2">
        <v>1</v>
      </c>
      <c r="M4715" s="2" t="s">
        <v>84</v>
      </c>
      <c r="N4715" s="2" t="s">
        <v>84</v>
      </c>
      <c r="O4715" s="2" t="s">
        <v>841</v>
      </c>
      <c r="P4715" s="2" t="s">
        <v>2571</v>
      </c>
    </row>
    <row r="4716" spans="1:16" ht="22" customHeight="1" x14ac:dyDescent="0.15">
      <c r="A4716" s="10" t="str">
        <f t="shared" si="758"/>
        <v>593_10_44_10_polygon</v>
      </c>
      <c r="B4716" s="2">
        <v>593</v>
      </c>
      <c r="C4716" s="30" t="str">
        <f>VLOOKUP(B4716,gachas!A:C,3)</f>
        <v xml:space="preserve"> 5月フィーバーフェス（チョイス3）</v>
      </c>
      <c r="D4716" s="21">
        <v>10</v>
      </c>
      <c r="E4716" s="2">
        <f t="shared" si="760"/>
        <v>44</v>
      </c>
      <c r="F4716" s="2">
        <v>10</v>
      </c>
      <c r="G4716" s="3" t="s">
        <v>22</v>
      </c>
      <c r="H4716" s="2">
        <v>50</v>
      </c>
      <c r="I4716" s="114" t="str">
        <f t="shared" si="761"/>
        <v>593100</v>
      </c>
      <c r="J4716" s="112" t="s">
        <v>84</v>
      </c>
      <c r="K4716" s="112" t="str">
        <f t="shared" si="759"/>
        <v>593100</v>
      </c>
      <c r="L4716" s="2">
        <v>1</v>
      </c>
      <c r="M4716" s="2" t="s">
        <v>84</v>
      </c>
      <c r="N4716" s="2" t="s">
        <v>84</v>
      </c>
      <c r="O4716" s="2" t="s">
        <v>841</v>
      </c>
      <c r="P4716" s="2" t="s">
        <v>2571</v>
      </c>
    </row>
    <row r="4717" spans="1:16" ht="22" customHeight="1" x14ac:dyDescent="0.15">
      <c r="A4717" s="10" t="str">
        <f t="shared" si="758"/>
        <v>593_10_45_10_polygon</v>
      </c>
      <c r="B4717" s="2">
        <v>593</v>
      </c>
      <c r="C4717" s="30" t="str">
        <f>VLOOKUP(B4717,gachas!A:C,3)</f>
        <v xml:space="preserve"> 5月フィーバーフェス（チョイス3）</v>
      </c>
      <c r="D4717" s="21">
        <v>10</v>
      </c>
      <c r="E4717" s="2">
        <f t="shared" si="760"/>
        <v>45</v>
      </c>
      <c r="F4717" s="2">
        <v>10</v>
      </c>
      <c r="G4717" s="3" t="s">
        <v>22</v>
      </c>
      <c r="H4717" s="2">
        <v>50</v>
      </c>
      <c r="I4717" s="114" t="str">
        <f t="shared" si="761"/>
        <v>593100</v>
      </c>
      <c r="J4717" s="112" t="str">
        <f>CONCATENATE(B4717,D4717,5)</f>
        <v>593105</v>
      </c>
      <c r="K4717" s="112" t="str">
        <f t="shared" si="759"/>
        <v>593100</v>
      </c>
      <c r="L4717" s="2">
        <v>1</v>
      </c>
      <c r="M4717" s="2" t="s">
        <v>84</v>
      </c>
      <c r="N4717" s="2" t="s">
        <v>84</v>
      </c>
      <c r="O4717" s="2" t="s">
        <v>841</v>
      </c>
      <c r="P4717" s="2" t="s">
        <v>2648</v>
      </c>
    </row>
    <row r="4718" spans="1:16" ht="22" customHeight="1" x14ac:dyDescent="0.15">
      <c r="A4718" s="10" t="str">
        <f t="shared" si="758"/>
        <v>593_10_46_10_polygon</v>
      </c>
      <c r="B4718" s="2">
        <v>593</v>
      </c>
      <c r="C4718" s="30" t="str">
        <f>VLOOKUP(B4718,gachas!A:C,3)</f>
        <v xml:space="preserve"> 5月フィーバーフェス（チョイス3）</v>
      </c>
      <c r="D4718" s="21">
        <v>10</v>
      </c>
      <c r="E4718" s="2">
        <f t="shared" si="760"/>
        <v>46</v>
      </c>
      <c r="F4718" s="2">
        <v>10</v>
      </c>
      <c r="G4718" s="3" t="s">
        <v>22</v>
      </c>
      <c r="H4718" s="2">
        <v>50</v>
      </c>
      <c r="I4718" s="114" t="str">
        <f t="shared" si="761"/>
        <v>593100</v>
      </c>
      <c r="J4718" s="112" t="s">
        <v>84</v>
      </c>
      <c r="K4718" s="112" t="str">
        <f t="shared" si="759"/>
        <v>593100</v>
      </c>
      <c r="L4718" s="2">
        <v>1</v>
      </c>
      <c r="M4718" s="2" t="s">
        <v>84</v>
      </c>
      <c r="N4718" s="2" t="s">
        <v>84</v>
      </c>
      <c r="O4718" s="2" t="s">
        <v>841</v>
      </c>
      <c r="P4718" s="2" t="s">
        <v>2571</v>
      </c>
    </row>
    <row r="4719" spans="1:16" ht="22" customHeight="1" x14ac:dyDescent="0.15">
      <c r="A4719" s="10" t="str">
        <f t="shared" si="758"/>
        <v>593_10_47_10_polygon</v>
      </c>
      <c r="B4719" s="2">
        <v>593</v>
      </c>
      <c r="C4719" s="30" t="str">
        <f>VLOOKUP(B4719,gachas!A:C,3)</f>
        <v xml:space="preserve"> 5月フィーバーフェス（チョイス3）</v>
      </c>
      <c r="D4719" s="21">
        <v>10</v>
      </c>
      <c r="E4719" s="2">
        <f t="shared" si="760"/>
        <v>47</v>
      </c>
      <c r="F4719" s="2">
        <v>10</v>
      </c>
      <c r="G4719" s="3" t="s">
        <v>22</v>
      </c>
      <c r="H4719" s="2">
        <v>50</v>
      </c>
      <c r="I4719" s="114" t="str">
        <f t="shared" si="761"/>
        <v>593100</v>
      </c>
      <c r="J4719" s="112" t="s">
        <v>84</v>
      </c>
      <c r="K4719" s="112" t="str">
        <f t="shared" si="759"/>
        <v>593100</v>
      </c>
      <c r="L4719" s="2">
        <v>1</v>
      </c>
      <c r="M4719" s="2" t="s">
        <v>84</v>
      </c>
      <c r="N4719" s="2" t="s">
        <v>84</v>
      </c>
      <c r="O4719" s="2" t="s">
        <v>841</v>
      </c>
      <c r="P4719" s="2" t="s">
        <v>2571</v>
      </c>
    </row>
    <row r="4720" spans="1:16" ht="22" customHeight="1" x14ac:dyDescent="0.15">
      <c r="A4720" s="10" t="str">
        <f t="shared" si="758"/>
        <v>593_10_48_10_polygon</v>
      </c>
      <c r="B4720" s="2">
        <v>593</v>
      </c>
      <c r="C4720" s="30" t="str">
        <f>VLOOKUP(B4720,gachas!A:C,3)</f>
        <v xml:space="preserve"> 5月フィーバーフェス（チョイス3）</v>
      </c>
      <c r="D4720" s="21">
        <v>10</v>
      </c>
      <c r="E4720" s="2">
        <f t="shared" si="760"/>
        <v>48</v>
      </c>
      <c r="F4720" s="2">
        <v>10</v>
      </c>
      <c r="G4720" s="3" t="s">
        <v>22</v>
      </c>
      <c r="H4720" s="2">
        <v>50</v>
      </c>
      <c r="I4720" s="114" t="str">
        <f t="shared" si="761"/>
        <v>593100</v>
      </c>
      <c r="J4720" s="112" t="s">
        <v>84</v>
      </c>
      <c r="K4720" s="112" t="str">
        <f t="shared" si="759"/>
        <v>593100</v>
      </c>
      <c r="L4720" s="2">
        <v>1</v>
      </c>
      <c r="M4720" s="2" t="s">
        <v>84</v>
      </c>
      <c r="N4720" s="2" t="s">
        <v>84</v>
      </c>
      <c r="O4720" s="2" t="s">
        <v>841</v>
      </c>
      <c r="P4720" s="2" t="s">
        <v>2571</v>
      </c>
    </row>
    <row r="4721" spans="1:16" ht="22" customHeight="1" x14ac:dyDescent="0.15">
      <c r="A4721" s="10" t="str">
        <f t="shared" si="758"/>
        <v>593_10_49_10_polygon</v>
      </c>
      <c r="B4721" s="2">
        <v>593</v>
      </c>
      <c r="C4721" s="30" t="str">
        <f>VLOOKUP(B4721,gachas!A:C,3)</f>
        <v xml:space="preserve"> 5月フィーバーフェス（チョイス3）</v>
      </c>
      <c r="D4721" s="21">
        <v>10</v>
      </c>
      <c r="E4721" s="2">
        <f t="shared" si="760"/>
        <v>49</v>
      </c>
      <c r="F4721" s="2">
        <v>10</v>
      </c>
      <c r="G4721" s="3" t="s">
        <v>22</v>
      </c>
      <c r="H4721" s="2">
        <v>50</v>
      </c>
      <c r="I4721" s="114" t="str">
        <f t="shared" si="761"/>
        <v>593100</v>
      </c>
      <c r="J4721" s="112" t="s">
        <v>84</v>
      </c>
      <c r="K4721" s="112" t="str">
        <f t="shared" si="759"/>
        <v>593100</v>
      </c>
      <c r="L4721" s="2">
        <v>1</v>
      </c>
      <c r="M4721" s="2" t="s">
        <v>84</v>
      </c>
      <c r="N4721" s="2" t="s">
        <v>84</v>
      </c>
      <c r="O4721" s="2" t="s">
        <v>841</v>
      </c>
      <c r="P4721" s="2" t="s">
        <v>2571</v>
      </c>
    </row>
    <row r="4722" spans="1:16" ht="22" customHeight="1" x14ac:dyDescent="0.15">
      <c r="A4722" s="10" t="str">
        <f t="shared" ref="A4722:A4773" si="762">B4722&amp;"_"&amp;D4722&amp;"_"&amp;E4722&amp;"_"&amp;F4722&amp;"_"&amp;G4722</f>
        <v>593_10_50_10_polygon</v>
      </c>
      <c r="B4722" s="2">
        <v>593</v>
      </c>
      <c r="C4722" s="30" t="str">
        <f>VLOOKUP(B4722,gachas!A:C,3)</f>
        <v xml:space="preserve"> 5月フィーバーフェス（チョイス3）</v>
      </c>
      <c r="D4722" s="21">
        <v>10</v>
      </c>
      <c r="E4722" s="2">
        <f t="shared" si="760"/>
        <v>50</v>
      </c>
      <c r="F4722" s="2">
        <v>10</v>
      </c>
      <c r="G4722" s="3" t="s">
        <v>22</v>
      </c>
      <c r="H4722" s="2">
        <v>50</v>
      </c>
      <c r="I4722" s="114" t="str">
        <f t="shared" si="761"/>
        <v>593100</v>
      </c>
      <c r="J4722" s="112" t="str">
        <f>CONCATENATE(B4722,D4722,5)</f>
        <v>593105</v>
      </c>
      <c r="K4722" s="112" t="str">
        <f t="shared" si="759"/>
        <v>593100</v>
      </c>
      <c r="L4722" s="2">
        <v>1</v>
      </c>
      <c r="M4722" s="2" t="s">
        <v>84</v>
      </c>
      <c r="N4722" s="2" t="s">
        <v>84</v>
      </c>
      <c r="O4722" s="2" t="s">
        <v>841</v>
      </c>
      <c r="P4722" s="2" t="s">
        <v>2648</v>
      </c>
    </row>
    <row r="4723" spans="1:16" ht="22" customHeight="1" x14ac:dyDescent="0.15">
      <c r="A4723" s="10" t="str">
        <f t="shared" si="762"/>
        <v>594_1_0_1_polygon</v>
      </c>
      <c r="B4723" s="2">
        <v>594</v>
      </c>
      <c r="C4723" s="30" t="str">
        <f>VLOOKUP(B4723,gachas!A:C,3)</f>
        <v xml:space="preserve"> 5月フィーバーフェス（チョイス4）</v>
      </c>
      <c r="D4723" s="21">
        <v>1</v>
      </c>
      <c r="E4723" s="2">
        <v>0</v>
      </c>
      <c r="F4723" s="2">
        <v>1</v>
      </c>
      <c r="G4723" s="3" t="s">
        <v>22</v>
      </c>
      <c r="H4723" s="2">
        <v>5</v>
      </c>
      <c r="I4723" s="114" t="str">
        <f>CONCATENATE(B4723,IF(D4723=1,"01","10"),0)</f>
        <v>594010</v>
      </c>
      <c r="J4723" s="112" t="s">
        <v>84</v>
      </c>
      <c r="K4723" s="112" t="s">
        <v>84</v>
      </c>
      <c r="L4723" s="2">
        <v>0</v>
      </c>
      <c r="M4723" s="2" t="s">
        <v>84</v>
      </c>
      <c r="N4723" s="2" t="s">
        <v>84</v>
      </c>
      <c r="O4723" s="2" t="s">
        <v>841</v>
      </c>
      <c r="P4723" s="2" t="s">
        <v>84</v>
      </c>
    </row>
    <row r="4724" spans="1:16" ht="22" customHeight="1" x14ac:dyDescent="0.15">
      <c r="A4724" s="10" t="str">
        <f t="shared" si="762"/>
        <v>594_10_0_10_polygon</v>
      </c>
      <c r="B4724" s="2">
        <v>594</v>
      </c>
      <c r="C4724" s="30" t="str">
        <f>VLOOKUP(B4724,gachas!A:C,3)</f>
        <v xml:space="preserve"> 5月フィーバーフェス（チョイス4）</v>
      </c>
      <c r="D4724" s="21">
        <v>10</v>
      </c>
      <c r="E4724" s="2">
        <v>0</v>
      </c>
      <c r="F4724" s="2">
        <v>10</v>
      </c>
      <c r="G4724" s="3" t="s">
        <v>22</v>
      </c>
      <c r="H4724" s="2">
        <v>50</v>
      </c>
      <c r="I4724" s="114" t="str">
        <f>CONCATENATE(B4724,IF(D4724=1,"01","10"),0)</f>
        <v>594100</v>
      </c>
      <c r="J4724" s="112" t="s">
        <v>84</v>
      </c>
      <c r="K4724" s="112" t="str">
        <f t="shared" ref="K4724:K4774" si="763">I4724</f>
        <v>594100</v>
      </c>
      <c r="L4724" s="2">
        <v>1</v>
      </c>
      <c r="M4724" s="2" t="s">
        <v>84</v>
      </c>
      <c r="N4724" s="2" t="s">
        <v>84</v>
      </c>
      <c r="O4724" s="2" t="s">
        <v>841</v>
      </c>
      <c r="P4724" s="2" t="s">
        <v>2571</v>
      </c>
    </row>
    <row r="4725" spans="1:16" ht="22" customHeight="1" x14ac:dyDescent="0.15">
      <c r="A4725" s="10" t="str">
        <f t="shared" si="762"/>
        <v>594_10_1_10_polygon</v>
      </c>
      <c r="B4725" s="2">
        <v>594</v>
      </c>
      <c r="C4725" s="30" t="str">
        <f>VLOOKUP(B4725,gachas!A:C,3)</f>
        <v xml:space="preserve"> 5月フィーバーフェス（チョイス4）</v>
      </c>
      <c r="D4725" s="21">
        <v>10</v>
      </c>
      <c r="E4725" s="2">
        <f>E4724+1</f>
        <v>1</v>
      </c>
      <c r="F4725" s="2">
        <v>10</v>
      </c>
      <c r="G4725" s="3" t="s">
        <v>22</v>
      </c>
      <c r="H4725" s="2">
        <v>50</v>
      </c>
      <c r="I4725" s="114" t="str">
        <f>CONCATENATE(B4725,IF(D4725=1,"01","10"),0)</f>
        <v>594100</v>
      </c>
      <c r="J4725" s="112" t="s">
        <v>84</v>
      </c>
      <c r="K4725" s="112" t="str">
        <f t="shared" si="763"/>
        <v>594100</v>
      </c>
      <c r="L4725" s="2">
        <v>1</v>
      </c>
      <c r="M4725" s="2" t="s">
        <v>84</v>
      </c>
      <c r="N4725" s="2" t="s">
        <v>84</v>
      </c>
      <c r="O4725" s="2" t="s">
        <v>841</v>
      </c>
      <c r="P4725" s="2" t="s">
        <v>2571</v>
      </c>
    </row>
    <row r="4726" spans="1:16" ht="22" customHeight="1" x14ac:dyDescent="0.15">
      <c r="A4726" s="10" t="str">
        <f t="shared" si="762"/>
        <v>594_10_2_10_polygon</v>
      </c>
      <c r="B4726" s="2">
        <v>594</v>
      </c>
      <c r="C4726" s="30" t="str">
        <f>VLOOKUP(B4726,gachas!A:C,3)</f>
        <v xml:space="preserve"> 5月フィーバーフェス（チョイス4）</v>
      </c>
      <c r="D4726" s="21">
        <v>10</v>
      </c>
      <c r="E4726" s="2">
        <f t="shared" ref="E4726:E4774" si="764">E4725+1</f>
        <v>2</v>
      </c>
      <c r="F4726" s="2">
        <v>10</v>
      </c>
      <c r="G4726" s="3" t="s">
        <v>22</v>
      </c>
      <c r="H4726" s="2">
        <v>50</v>
      </c>
      <c r="I4726" s="114" t="str">
        <f t="shared" ref="I4726:I4774" si="765">CONCATENATE(B4726,IF(D4726=1,"01","10"),0)</f>
        <v>594100</v>
      </c>
      <c r="J4726" s="112" t="s">
        <v>84</v>
      </c>
      <c r="K4726" s="112" t="str">
        <f t="shared" si="763"/>
        <v>594100</v>
      </c>
      <c r="L4726" s="2">
        <v>1</v>
      </c>
      <c r="M4726" s="2" t="s">
        <v>84</v>
      </c>
      <c r="N4726" s="2" t="s">
        <v>84</v>
      </c>
      <c r="O4726" s="2" t="s">
        <v>841</v>
      </c>
      <c r="P4726" s="2" t="s">
        <v>2571</v>
      </c>
    </row>
    <row r="4727" spans="1:16" ht="22" customHeight="1" x14ac:dyDescent="0.15">
      <c r="A4727" s="10" t="str">
        <f t="shared" si="762"/>
        <v>594_10_3_10_polygon</v>
      </c>
      <c r="B4727" s="2">
        <v>594</v>
      </c>
      <c r="C4727" s="30" t="str">
        <f>VLOOKUP(B4727,gachas!A:C,3)</f>
        <v xml:space="preserve"> 5月フィーバーフェス（チョイス4）</v>
      </c>
      <c r="D4727" s="21">
        <v>10</v>
      </c>
      <c r="E4727" s="2">
        <f t="shared" si="764"/>
        <v>3</v>
      </c>
      <c r="F4727" s="2">
        <v>10</v>
      </c>
      <c r="G4727" s="3" t="s">
        <v>22</v>
      </c>
      <c r="H4727" s="2">
        <v>50</v>
      </c>
      <c r="I4727" s="114" t="str">
        <f t="shared" si="765"/>
        <v>594100</v>
      </c>
      <c r="J4727" s="112" t="s">
        <v>84</v>
      </c>
      <c r="K4727" s="112" t="str">
        <f t="shared" si="763"/>
        <v>594100</v>
      </c>
      <c r="L4727" s="2">
        <v>1</v>
      </c>
      <c r="M4727" s="2" t="s">
        <v>84</v>
      </c>
      <c r="N4727" s="2" t="s">
        <v>84</v>
      </c>
      <c r="O4727" s="2" t="s">
        <v>841</v>
      </c>
      <c r="P4727" s="2" t="s">
        <v>2571</v>
      </c>
    </row>
    <row r="4728" spans="1:16" ht="22" customHeight="1" x14ac:dyDescent="0.15">
      <c r="A4728" s="10" t="str">
        <f t="shared" si="762"/>
        <v>594_10_4_10_polygon</v>
      </c>
      <c r="B4728" s="2">
        <v>594</v>
      </c>
      <c r="C4728" s="30" t="str">
        <f>VLOOKUP(B4728,gachas!A:C,3)</f>
        <v xml:space="preserve"> 5月フィーバーフェス（チョイス4）</v>
      </c>
      <c r="D4728" s="21">
        <v>10</v>
      </c>
      <c r="E4728" s="2">
        <f t="shared" si="764"/>
        <v>4</v>
      </c>
      <c r="F4728" s="2">
        <v>10</v>
      </c>
      <c r="G4728" s="3" t="s">
        <v>22</v>
      </c>
      <c r="H4728" s="2">
        <v>50</v>
      </c>
      <c r="I4728" s="114" t="str">
        <f t="shared" si="765"/>
        <v>594100</v>
      </c>
      <c r="J4728" s="112" t="s">
        <v>84</v>
      </c>
      <c r="K4728" s="112" t="str">
        <f t="shared" si="763"/>
        <v>594100</v>
      </c>
      <c r="L4728" s="2">
        <v>1</v>
      </c>
      <c r="M4728" s="2" t="s">
        <v>84</v>
      </c>
      <c r="N4728" s="2" t="s">
        <v>84</v>
      </c>
      <c r="O4728" s="2" t="s">
        <v>841</v>
      </c>
      <c r="P4728" s="2" t="s">
        <v>2571</v>
      </c>
    </row>
    <row r="4729" spans="1:16" ht="22" customHeight="1" x14ac:dyDescent="0.15">
      <c r="A4729" s="10" t="str">
        <f t="shared" si="762"/>
        <v>594_10_5_10_polygon</v>
      </c>
      <c r="B4729" s="2">
        <v>594</v>
      </c>
      <c r="C4729" s="30" t="str">
        <f>VLOOKUP(B4729,gachas!A:C,3)</f>
        <v xml:space="preserve"> 5月フィーバーフェス（チョイス4）</v>
      </c>
      <c r="D4729" s="21">
        <v>10</v>
      </c>
      <c r="E4729" s="2">
        <f t="shared" si="764"/>
        <v>5</v>
      </c>
      <c r="F4729" s="2">
        <v>10</v>
      </c>
      <c r="G4729" s="3" t="s">
        <v>22</v>
      </c>
      <c r="H4729" s="2">
        <v>50</v>
      </c>
      <c r="I4729" s="114" t="str">
        <f t="shared" si="765"/>
        <v>594100</v>
      </c>
      <c r="J4729" s="112" t="str">
        <f>CONCATENATE(B4729,D4729,5)</f>
        <v>594105</v>
      </c>
      <c r="K4729" s="112" t="str">
        <f t="shared" si="763"/>
        <v>594100</v>
      </c>
      <c r="L4729" s="2">
        <v>1</v>
      </c>
      <c r="M4729" s="2" t="s">
        <v>84</v>
      </c>
      <c r="N4729" s="2" t="s">
        <v>84</v>
      </c>
      <c r="O4729" s="2" t="s">
        <v>841</v>
      </c>
      <c r="P4729" s="2" t="s">
        <v>2648</v>
      </c>
    </row>
    <row r="4730" spans="1:16" ht="22" customHeight="1" x14ac:dyDescent="0.15">
      <c r="A4730" s="10" t="str">
        <f t="shared" si="762"/>
        <v>594_10_6_10_polygon</v>
      </c>
      <c r="B4730" s="2">
        <v>594</v>
      </c>
      <c r="C4730" s="30" t="str">
        <f>VLOOKUP(B4730,gachas!A:C,3)</f>
        <v xml:space="preserve"> 5月フィーバーフェス（チョイス4）</v>
      </c>
      <c r="D4730" s="21">
        <v>10</v>
      </c>
      <c r="E4730" s="2">
        <f t="shared" si="764"/>
        <v>6</v>
      </c>
      <c r="F4730" s="2">
        <v>10</v>
      </c>
      <c r="G4730" s="3" t="s">
        <v>22</v>
      </c>
      <c r="H4730" s="2">
        <v>50</v>
      </c>
      <c r="I4730" s="114" t="str">
        <f t="shared" si="765"/>
        <v>594100</v>
      </c>
      <c r="J4730" s="112" t="s">
        <v>84</v>
      </c>
      <c r="K4730" s="112" t="str">
        <f t="shared" si="763"/>
        <v>594100</v>
      </c>
      <c r="L4730" s="2">
        <v>1</v>
      </c>
      <c r="M4730" s="2" t="s">
        <v>84</v>
      </c>
      <c r="N4730" s="2" t="s">
        <v>84</v>
      </c>
      <c r="O4730" s="2" t="s">
        <v>841</v>
      </c>
      <c r="P4730" s="2" t="s">
        <v>2571</v>
      </c>
    </row>
    <row r="4731" spans="1:16" ht="22" customHeight="1" x14ac:dyDescent="0.15">
      <c r="A4731" s="10" t="str">
        <f t="shared" si="762"/>
        <v>594_10_7_10_polygon</v>
      </c>
      <c r="B4731" s="2">
        <v>594</v>
      </c>
      <c r="C4731" s="30" t="str">
        <f>VLOOKUP(B4731,gachas!A:C,3)</f>
        <v xml:space="preserve"> 5月フィーバーフェス（チョイス4）</v>
      </c>
      <c r="D4731" s="21">
        <v>10</v>
      </c>
      <c r="E4731" s="2">
        <f t="shared" si="764"/>
        <v>7</v>
      </c>
      <c r="F4731" s="2">
        <v>10</v>
      </c>
      <c r="G4731" s="3" t="s">
        <v>22</v>
      </c>
      <c r="H4731" s="2">
        <v>50</v>
      </c>
      <c r="I4731" s="114" t="str">
        <f t="shared" si="765"/>
        <v>594100</v>
      </c>
      <c r="J4731" s="112" t="s">
        <v>84</v>
      </c>
      <c r="K4731" s="112" t="str">
        <f t="shared" si="763"/>
        <v>594100</v>
      </c>
      <c r="L4731" s="2">
        <v>1</v>
      </c>
      <c r="M4731" s="2" t="s">
        <v>84</v>
      </c>
      <c r="N4731" s="2" t="s">
        <v>84</v>
      </c>
      <c r="O4731" s="2" t="s">
        <v>841</v>
      </c>
      <c r="P4731" s="2" t="s">
        <v>2571</v>
      </c>
    </row>
    <row r="4732" spans="1:16" ht="22" customHeight="1" x14ac:dyDescent="0.15">
      <c r="A4732" s="10" t="str">
        <f t="shared" si="762"/>
        <v>594_10_8_10_polygon</v>
      </c>
      <c r="B4732" s="2">
        <v>594</v>
      </c>
      <c r="C4732" s="30" t="str">
        <f>VLOOKUP(B4732,gachas!A:C,3)</f>
        <v xml:space="preserve"> 5月フィーバーフェス（チョイス4）</v>
      </c>
      <c r="D4732" s="21">
        <v>10</v>
      </c>
      <c r="E4732" s="2">
        <f t="shared" si="764"/>
        <v>8</v>
      </c>
      <c r="F4732" s="2">
        <v>10</v>
      </c>
      <c r="G4732" s="3" t="s">
        <v>22</v>
      </c>
      <c r="H4732" s="2">
        <v>50</v>
      </c>
      <c r="I4732" s="114" t="str">
        <f t="shared" si="765"/>
        <v>594100</v>
      </c>
      <c r="J4732" s="112" t="s">
        <v>84</v>
      </c>
      <c r="K4732" s="112" t="str">
        <f t="shared" si="763"/>
        <v>594100</v>
      </c>
      <c r="L4732" s="2">
        <v>1</v>
      </c>
      <c r="M4732" s="2" t="s">
        <v>84</v>
      </c>
      <c r="N4732" s="2" t="s">
        <v>84</v>
      </c>
      <c r="O4732" s="2" t="s">
        <v>841</v>
      </c>
      <c r="P4732" s="2" t="s">
        <v>2571</v>
      </c>
    </row>
    <row r="4733" spans="1:16" ht="22" customHeight="1" x14ac:dyDescent="0.15">
      <c r="A4733" s="10" t="str">
        <f t="shared" si="762"/>
        <v>594_10_9_10_polygon</v>
      </c>
      <c r="B4733" s="2">
        <v>594</v>
      </c>
      <c r="C4733" s="30" t="str">
        <f>VLOOKUP(B4733,gachas!A:C,3)</f>
        <v xml:space="preserve"> 5月フィーバーフェス（チョイス4）</v>
      </c>
      <c r="D4733" s="21">
        <v>10</v>
      </c>
      <c r="E4733" s="2">
        <f t="shared" si="764"/>
        <v>9</v>
      </c>
      <c r="F4733" s="2">
        <v>10</v>
      </c>
      <c r="G4733" s="3" t="s">
        <v>22</v>
      </c>
      <c r="H4733" s="2">
        <v>50</v>
      </c>
      <c r="I4733" s="114" t="str">
        <f t="shared" si="765"/>
        <v>594100</v>
      </c>
      <c r="J4733" s="112" t="s">
        <v>84</v>
      </c>
      <c r="K4733" s="112" t="str">
        <f t="shared" si="763"/>
        <v>594100</v>
      </c>
      <c r="L4733" s="2">
        <v>1</v>
      </c>
      <c r="M4733" s="2" t="s">
        <v>84</v>
      </c>
      <c r="N4733" s="2" t="s">
        <v>84</v>
      </c>
      <c r="O4733" s="2" t="s">
        <v>841</v>
      </c>
      <c r="P4733" s="2" t="s">
        <v>2571</v>
      </c>
    </row>
    <row r="4734" spans="1:16" ht="22" customHeight="1" x14ac:dyDescent="0.15">
      <c r="A4734" s="10" t="str">
        <f t="shared" si="762"/>
        <v>594_10_10_10_polygon</v>
      </c>
      <c r="B4734" s="2">
        <v>594</v>
      </c>
      <c r="C4734" s="30" t="str">
        <f>VLOOKUP(B4734,gachas!A:C,3)</f>
        <v xml:space="preserve"> 5月フィーバーフェス（チョイス4）</v>
      </c>
      <c r="D4734" s="21">
        <v>10</v>
      </c>
      <c r="E4734" s="2">
        <f t="shared" si="764"/>
        <v>10</v>
      </c>
      <c r="F4734" s="2">
        <v>10</v>
      </c>
      <c r="G4734" s="3" t="s">
        <v>22</v>
      </c>
      <c r="H4734" s="2">
        <v>50</v>
      </c>
      <c r="I4734" s="114" t="str">
        <f t="shared" si="765"/>
        <v>594100</v>
      </c>
      <c r="J4734" s="112" t="str">
        <f>CONCATENATE(B4734,D4734,5)</f>
        <v>594105</v>
      </c>
      <c r="K4734" s="112" t="str">
        <f t="shared" si="763"/>
        <v>594100</v>
      </c>
      <c r="L4734" s="2">
        <v>1</v>
      </c>
      <c r="M4734" s="2" t="s">
        <v>84</v>
      </c>
      <c r="N4734" s="2" t="s">
        <v>84</v>
      </c>
      <c r="O4734" s="2" t="s">
        <v>841</v>
      </c>
      <c r="P4734" s="2" t="s">
        <v>2648</v>
      </c>
    </row>
    <row r="4735" spans="1:16" ht="22" customHeight="1" x14ac:dyDescent="0.15">
      <c r="A4735" s="10" t="str">
        <f t="shared" si="762"/>
        <v>594_10_11_10_polygon</v>
      </c>
      <c r="B4735" s="2">
        <v>594</v>
      </c>
      <c r="C4735" s="30" t="str">
        <f>VLOOKUP(B4735,gachas!A:C,3)</f>
        <v xml:space="preserve"> 5月フィーバーフェス（チョイス4）</v>
      </c>
      <c r="D4735" s="21">
        <v>10</v>
      </c>
      <c r="E4735" s="2">
        <f t="shared" si="764"/>
        <v>11</v>
      </c>
      <c r="F4735" s="2">
        <v>10</v>
      </c>
      <c r="G4735" s="3" t="s">
        <v>22</v>
      </c>
      <c r="H4735" s="2">
        <v>50</v>
      </c>
      <c r="I4735" s="114" t="str">
        <f t="shared" si="765"/>
        <v>594100</v>
      </c>
      <c r="J4735" s="112" t="s">
        <v>84</v>
      </c>
      <c r="K4735" s="112" t="str">
        <f t="shared" si="763"/>
        <v>594100</v>
      </c>
      <c r="L4735" s="2">
        <v>1</v>
      </c>
      <c r="M4735" s="2" t="s">
        <v>84</v>
      </c>
      <c r="N4735" s="2" t="s">
        <v>84</v>
      </c>
      <c r="O4735" s="2" t="s">
        <v>841</v>
      </c>
      <c r="P4735" s="2" t="s">
        <v>2571</v>
      </c>
    </row>
    <row r="4736" spans="1:16" ht="22" customHeight="1" x14ac:dyDescent="0.15">
      <c r="A4736" s="10" t="str">
        <f t="shared" si="762"/>
        <v>594_10_12_10_polygon</v>
      </c>
      <c r="B4736" s="2">
        <v>594</v>
      </c>
      <c r="C4736" s="30" t="str">
        <f>VLOOKUP(B4736,gachas!A:C,3)</f>
        <v xml:space="preserve"> 5月フィーバーフェス（チョイス4）</v>
      </c>
      <c r="D4736" s="21">
        <v>10</v>
      </c>
      <c r="E4736" s="2">
        <f t="shared" si="764"/>
        <v>12</v>
      </c>
      <c r="F4736" s="2">
        <v>10</v>
      </c>
      <c r="G4736" s="3" t="s">
        <v>22</v>
      </c>
      <c r="H4736" s="2">
        <v>50</v>
      </c>
      <c r="I4736" s="114" t="str">
        <f t="shared" si="765"/>
        <v>594100</v>
      </c>
      <c r="J4736" s="112" t="s">
        <v>84</v>
      </c>
      <c r="K4736" s="112" t="str">
        <f t="shared" si="763"/>
        <v>594100</v>
      </c>
      <c r="L4736" s="2">
        <v>1</v>
      </c>
      <c r="M4736" s="2" t="s">
        <v>84</v>
      </c>
      <c r="N4736" s="2" t="s">
        <v>84</v>
      </c>
      <c r="O4736" s="2" t="s">
        <v>841</v>
      </c>
      <c r="P4736" s="2" t="s">
        <v>2571</v>
      </c>
    </row>
    <row r="4737" spans="1:16" ht="22" customHeight="1" x14ac:dyDescent="0.15">
      <c r="A4737" s="10" t="str">
        <f t="shared" si="762"/>
        <v>594_10_13_10_polygon</v>
      </c>
      <c r="B4737" s="2">
        <v>594</v>
      </c>
      <c r="C4737" s="30" t="str">
        <f>VLOOKUP(B4737,gachas!A:C,3)</f>
        <v xml:space="preserve"> 5月フィーバーフェス（チョイス4）</v>
      </c>
      <c r="D4737" s="21">
        <v>10</v>
      </c>
      <c r="E4737" s="2">
        <f t="shared" si="764"/>
        <v>13</v>
      </c>
      <c r="F4737" s="2">
        <v>10</v>
      </c>
      <c r="G4737" s="3" t="s">
        <v>22</v>
      </c>
      <c r="H4737" s="2">
        <v>50</v>
      </c>
      <c r="I4737" s="114" t="str">
        <f t="shared" si="765"/>
        <v>594100</v>
      </c>
      <c r="J4737" s="112" t="s">
        <v>84</v>
      </c>
      <c r="K4737" s="112" t="str">
        <f t="shared" si="763"/>
        <v>594100</v>
      </c>
      <c r="L4737" s="2">
        <v>1</v>
      </c>
      <c r="M4737" s="2" t="s">
        <v>84</v>
      </c>
      <c r="N4737" s="2" t="s">
        <v>84</v>
      </c>
      <c r="O4737" s="2" t="s">
        <v>841</v>
      </c>
      <c r="P4737" s="2" t="s">
        <v>2571</v>
      </c>
    </row>
    <row r="4738" spans="1:16" ht="22" customHeight="1" x14ac:dyDescent="0.15">
      <c r="A4738" s="10" t="str">
        <f t="shared" si="762"/>
        <v>594_10_14_10_polygon</v>
      </c>
      <c r="B4738" s="2">
        <v>594</v>
      </c>
      <c r="C4738" s="30" t="str">
        <f>VLOOKUP(B4738,gachas!A:C,3)</f>
        <v xml:space="preserve"> 5月フィーバーフェス（チョイス4）</v>
      </c>
      <c r="D4738" s="21">
        <v>10</v>
      </c>
      <c r="E4738" s="2">
        <f t="shared" si="764"/>
        <v>14</v>
      </c>
      <c r="F4738" s="2">
        <v>10</v>
      </c>
      <c r="G4738" s="3" t="s">
        <v>22</v>
      </c>
      <c r="H4738" s="2">
        <v>50</v>
      </c>
      <c r="I4738" s="114" t="str">
        <f t="shared" si="765"/>
        <v>594100</v>
      </c>
      <c r="J4738" s="112" t="s">
        <v>84</v>
      </c>
      <c r="K4738" s="112" t="str">
        <f t="shared" si="763"/>
        <v>594100</v>
      </c>
      <c r="L4738" s="2">
        <v>1</v>
      </c>
      <c r="M4738" s="2" t="s">
        <v>84</v>
      </c>
      <c r="N4738" s="2" t="s">
        <v>84</v>
      </c>
      <c r="O4738" s="2" t="s">
        <v>841</v>
      </c>
      <c r="P4738" s="2" t="s">
        <v>2571</v>
      </c>
    </row>
    <row r="4739" spans="1:16" ht="22" customHeight="1" x14ac:dyDescent="0.15">
      <c r="A4739" s="10" t="str">
        <f t="shared" si="762"/>
        <v>594_10_15_10_polygon</v>
      </c>
      <c r="B4739" s="2">
        <v>594</v>
      </c>
      <c r="C4739" s="30" t="str">
        <f>VLOOKUP(B4739,gachas!A:C,3)</f>
        <v xml:space="preserve"> 5月フィーバーフェス（チョイス4）</v>
      </c>
      <c r="D4739" s="21">
        <v>10</v>
      </c>
      <c r="E4739" s="2">
        <f t="shared" si="764"/>
        <v>15</v>
      </c>
      <c r="F4739" s="2">
        <v>10</v>
      </c>
      <c r="G4739" s="3" t="s">
        <v>22</v>
      </c>
      <c r="H4739" s="2">
        <v>50</v>
      </c>
      <c r="I4739" s="114" t="str">
        <f t="shared" si="765"/>
        <v>594100</v>
      </c>
      <c r="J4739" s="112" t="str">
        <f>CONCATENATE(B4739,D4739,5)</f>
        <v>594105</v>
      </c>
      <c r="K4739" s="112" t="str">
        <f t="shared" si="763"/>
        <v>594100</v>
      </c>
      <c r="L4739" s="2">
        <v>1</v>
      </c>
      <c r="M4739" s="2" t="s">
        <v>84</v>
      </c>
      <c r="N4739" s="2" t="s">
        <v>84</v>
      </c>
      <c r="O4739" s="2" t="s">
        <v>841</v>
      </c>
      <c r="P4739" s="2" t="s">
        <v>2648</v>
      </c>
    </row>
    <row r="4740" spans="1:16" ht="22" customHeight="1" x14ac:dyDescent="0.15">
      <c r="A4740" s="10" t="str">
        <f t="shared" si="762"/>
        <v>594_10_16_10_polygon</v>
      </c>
      <c r="B4740" s="2">
        <v>594</v>
      </c>
      <c r="C4740" s="30" t="str">
        <f>VLOOKUP(B4740,gachas!A:C,3)</f>
        <v xml:space="preserve"> 5月フィーバーフェス（チョイス4）</v>
      </c>
      <c r="D4740" s="21">
        <v>10</v>
      </c>
      <c r="E4740" s="2">
        <f t="shared" si="764"/>
        <v>16</v>
      </c>
      <c r="F4740" s="2">
        <v>10</v>
      </c>
      <c r="G4740" s="3" t="s">
        <v>22</v>
      </c>
      <c r="H4740" s="2">
        <v>50</v>
      </c>
      <c r="I4740" s="114" t="str">
        <f t="shared" si="765"/>
        <v>594100</v>
      </c>
      <c r="J4740" s="112" t="s">
        <v>84</v>
      </c>
      <c r="K4740" s="112" t="str">
        <f t="shared" si="763"/>
        <v>594100</v>
      </c>
      <c r="L4740" s="2">
        <v>1</v>
      </c>
      <c r="M4740" s="2" t="s">
        <v>84</v>
      </c>
      <c r="N4740" s="2" t="s">
        <v>84</v>
      </c>
      <c r="O4740" s="2" t="s">
        <v>841</v>
      </c>
      <c r="P4740" s="2" t="s">
        <v>2571</v>
      </c>
    </row>
    <row r="4741" spans="1:16" ht="22" customHeight="1" x14ac:dyDescent="0.15">
      <c r="A4741" s="10" t="str">
        <f t="shared" si="762"/>
        <v>594_10_17_10_polygon</v>
      </c>
      <c r="B4741" s="2">
        <v>594</v>
      </c>
      <c r="C4741" s="30" t="str">
        <f>VLOOKUP(B4741,gachas!A:C,3)</f>
        <v xml:space="preserve"> 5月フィーバーフェス（チョイス4）</v>
      </c>
      <c r="D4741" s="21">
        <v>10</v>
      </c>
      <c r="E4741" s="2">
        <f t="shared" si="764"/>
        <v>17</v>
      </c>
      <c r="F4741" s="2">
        <v>10</v>
      </c>
      <c r="G4741" s="3" t="s">
        <v>22</v>
      </c>
      <c r="H4741" s="2">
        <v>50</v>
      </c>
      <c r="I4741" s="114" t="str">
        <f t="shared" si="765"/>
        <v>594100</v>
      </c>
      <c r="J4741" s="112" t="s">
        <v>84</v>
      </c>
      <c r="K4741" s="112" t="str">
        <f t="shared" si="763"/>
        <v>594100</v>
      </c>
      <c r="L4741" s="2">
        <v>1</v>
      </c>
      <c r="M4741" s="2" t="s">
        <v>84</v>
      </c>
      <c r="N4741" s="2" t="s">
        <v>84</v>
      </c>
      <c r="O4741" s="2" t="s">
        <v>841</v>
      </c>
      <c r="P4741" s="2" t="s">
        <v>2571</v>
      </c>
    </row>
    <row r="4742" spans="1:16" ht="22" customHeight="1" x14ac:dyDescent="0.15">
      <c r="A4742" s="10" t="str">
        <f t="shared" si="762"/>
        <v>594_10_18_10_polygon</v>
      </c>
      <c r="B4742" s="2">
        <v>594</v>
      </c>
      <c r="C4742" s="30" t="str">
        <f>VLOOKUP(B4742,gachas!A:C,3)</f>
        <v xml:space="preserve"> 5月フィーバーフェス（チョイス4）</v>
      </c>
      <c r="D4742" s="21">
        <v>10</v>
      </c>
      <c r="E4742" s="2">
        <f t="shared" si="764"/>
        <v>18</v>
      </c>
      <c r="F4742" s="2">
        <v>10</v>
      </c>
      <c r="G4742" s="3" t="s">
        <v>22</v>
      </c>
      <c r="H4742" s="2">
        <v>50</v>
      </c>
      <c r="I4742" s="114" t="str">
        <f t="shared" si="765"/>
        <v>594100</v>
      </c>
      <c r="J4742" s="112" t="s">
        <v>84</v>
      </c>
      <c r="K4742" s="112" t="str">
        <f t="shared" si="763"/>
        <v>594100</v>
      </c>
      <c r="L4742" s="2">
        <v>1</v>
      </c>
      <c r="M4742" s="2" t="s">
        <v>84</v>
      </c>
      <c r="N4742" s="2" t="s">
        <v>84</v>
      </c>
      <c r="O4742" s="2" t="s">
        <v>841</v>
      </c>
      <c r="P4742" s="2" t="s">
        <v>2571</v>
      </c>
    </row>
    <row r="4743" spans="1:16" ht="22" customHeight="1" x14ac:dyDescent="0.15">
      <c r="A4743" s="10" t="str">
        <f t="shared" si="762"/>
        <v>594_10_19_10_polygon</v>
      </c>
      <c r="B4743" s="2">
        <v>594</v>
      </c>
      <c r="C4743" s="30" t="str">
        <f>VLOOKUP(B4743,gachas!A:C,3)</f>
        <v xml:space="preserve"> 5月フィーバーフェス（チョイス4）</v>
      </c>
      <c r="D4743" s="21">
        <v>10</v>
      </c>
      <c r="E4743" s="2">
        <f t="shared" si="764"/>
        <v>19</v>
      </c>
      <c r="F4743" s="2">
        <v>10</v>
      </c>
      <c r="G4743" s="3" t="s">
        <v>22</v>
      </c>
      <c r="H4743" s="2">
        <v>50</v>
      </c>
      <c r="I4743" s="114" t="str">
        <f t="shared" si="765"/>
        <v>594100</v>
      </c>
      <c r="J4743" s="112" t="s">
        <v>84</v>
      </c>
      <c r="K4743" s="112" t="str">
        <f t="shared" si="763"/>
        <v>594100</v>
      </c>
      <c r="L4743" s="2">
        <v>1</v>
      </c>
      <c r="M4743" s="2" t="s">
        <v>84</v>
      </c>
      <c r="N4743" s="2" t="s">
        <v>84</v>
      </c>
      <c r="O4743" s="2" t="s">
        <v>841</v>
      </c>
      <c r="P4743" s="2" t="s">
        <v>2571</v>
      </c>
    </row>
    <row r="4744" spans="1:16" ht="22" customHeight="1" x14ac:dyDescent="0.15">
      <c r="A4744" s="10" t="str">
        <f t="shared" si="762"/>
        <v>594_10_20_10_polygon</v>
      </c>
      <c r="B4744" s="2">
        <v>594</v>
      </c>
      <c r="C4744" s="30" t="str">
        <f>VLOOKUP(B4744,gachas!A:C,3)</f>
        <v xml:space="preserve"> 5月フィーバーフェス（チョイス4）</v>
      </c>
      <c r="D4744" s="21">
        <v>10</v>
      </c>
      <c r="E4744" s="2">
        <f t="shared" si="764"/>
        <v>20</v>
      </c>
      <c r="F4744" s="2">
        <v>10</v>
      </c>
      <c r="G4744" s="3" t="s">
        <v>22</v>
      </c>
      <c r="H4744" s="2">
        <v>50</v>
      </c>
      <c r="I4744" s="114" t="str">
        <f t="shared" si="765"/>
        <v>594100</v>
      </c>
      <c r="J4744" s="112" t="str">
        <f>CONCATENATE(B4744,D4744,5)</f>
        <v>594105</v>
      </c>
      <c r="K4744" s="112" t="str">
        <f t="shared" si="763"/>
        <v>594100</v>
      </c>
      <c r="L4744" s="2">
        <v>1</v>
      </c>
      <c r="M4744" s="2" t="s">
        <v>84</v>
      </c>
      <c r="N4744" s="2" t="s">
        <v>84</v>
      </c>
      <c r="O4744" s="2" t="s">
        <v>841</v>
      </c>
      <c r="P4744" s="2" t="s">
        <v>2648</v>
      </c>
    </row>
    <row r="4745" spans="1:16" ht="22" customHeight="1" x14ac:dyDescent="0.15">
      <c r="A4745" s="10" t="str">
        <f t="shared" si="762"/>
        <v>594_10_21_10_polygon</v>
      </c>
      <c r="B4745" s="2">
        <v>594</v>
      </c>
      <c r="C4745" s="30" t="str">
        <f>VLOOKUP(B4745,gachas!A:C,3)</f>
        <v xml:space="preserve"> 5月フィーバーフェス（チョイス4）</v>
      </c>
      <c r="D4745" s="21">
        <v>10</v>
      </c>
      <c r="E4745" s="2">
        <f t="shared" si="764"/>
        <v>21</v>
      </c>
      <c r="F4745" s="2">
        <v>10</v>
      </c>
      <c r="G4745" s="3" t="s">
        <v>22</v>
      </c>
      <c r="H4745" s="2">
        <v>50</v>
      </c>
      <c r="I4745" s="114" t="str">
        <f t="shared" si="765"/>
        <v>594100</v>
      </c>
      <c r="J4745" s="112" t="s">
        <v>84</v>
      </c>
      <c r="K4745" s="112" t="str">
        <f t="shared" si="763"/>
        <v>594100</v>
      </c>
      <c r="L4745" s="2">
        <v>1</v>
      </c>
      <c r="M4745" s="2" t="s">
        <v>84</v>
      </c>
      <c r="N4745" s="2" t="s">
        <v>84</v>
      </c>
      <c r="O4745" s="2" t="s">
        <v>841</v>
      </c>
      <c r="P4745" s="2" t="s">
        <v>2571</v>
      </c>
    </row>
    <row r="4746" spans="1:16" ht="22" customHeight="1" x14ac:dyDescent="0.15">
      <c r="A4746" s="10" t="str">
        <f t="shared" si="762"/>
        <v>594_10_22_10_polygon</v>
      </c>
      <c r="B4746" s="2">
        <v>594</v>
      </c>
      <c r="C4746" s="30" t="str">
        <f>VLOOKUP(B4746,gachas!A:C,3)</f>
        <v xml:space="preserve"> 5月フィーバーフェス（チョイス4）</v>
      </c>
      <c r="D4746" s="21">
        <v>10</v>
      </c>
      <c r="E4746" s="2">
        <f t="shared" si="764"/>
        <v>22</v>
      </c>
      <c r="F4746" s="2">
        <v>10</v>
      </c>
      <c r="G4746" s="3" t="s">
        <v>22</v>
      </c>
      <c r="H4746" s="2">
        <v>50</v>
      </c>
      <c r="I4746" s="114" t="str">
        <f t="shared" si="765"/>
        <v>594100</v>
      </c>
      <c r="J4746" s="112" t="s">
        <v>84</v>
      </c>
      <c r="K4746" s="112" t="str">
        <f t="shared" si="763"/>
        <v>594100</v>
      </c>
      <c r="L4746" s="2">
        <v>1</v>
      </c>
      <c r="M4746" s="2" t="s">
        <v>84</v>
      </c>
      <c r="N4746" s="2" t="s">
        <v>84</v>
      </c>
      <c r="O4746" s="2" t="s">
        <v>841</v>
      </c>
      <c r="P4746" s="2" t="s">
        <v>2571</v>
      </c>
    </row>
    <row r="4747" spans="1:16" ht="22" customHeight="1" x14ac:dyDescent="0.15">
      <c r="A4747" s="10" t="str">
        <f t="shared" si="762"/>
        <v>594_10_23_10_polygon</v>
      </c>
      <c r="B4747" s="2">
        <v>594</v>
      </c>
      <c r="C4747" s="30" t="str">
        <f>VLOOKUP(B4747,gachas!A:C,3)</f>
        <v xml:space="preserve"> 5月フィーバーフェス（チョイス4）</v>
      </c>
      <c r="D4747" s="21">
        <v>10</v>
      </c>
      <c r="E4747" s="2">
        <f t="shared" si="764"/>
        <v>23</v>
      </c>
      <c r="F4747" s="2">
        <v>10</v>
      </c>
      <c r="G4747" s="3" t="s">
        <v>22</v>
      </c>
      <c r="H4747" s="2">
        <v>50</v>
      </c>
      <c r="I4747" s="114" t="str">
        <f t="shared" si="765"/>
        <v>594100</v>
      </c>
      <c r="J4747" s="112" t="s">
        <v>84</v>
      </c>
      <c r="K4747" s="112" t="str">
        <f t="shared" si="763"/>
        <v>594100</v>
      </c>
      <c r="L4747" s="2">
        <v>1</v>
      </c>
      <c r="M4747" s="2" t="s">
        <v>84</v>
      </c>
      <c r="N4747" s="2" t="s">
        <v>84</v>
      </c>
      <c r="O4747" s="2" t="s">
        <v>841</v>
      </c>
      <c r="P4747" s="2" t="s">
        <v>2571</v>
      </c>
    </row>
    <row r="4748" spans="1:16" ht="22" customHeight="1" x14ac:dyDescent="0.15">
      <c r="A4748" s="10" t="str">
        <f t="shared" si="762"/>
        <v>594_10_24_10_polygon</v>
      </c>
      <c r="B4748" s="2">
        <v>594</v>
      </c>
      <c r="C4748" s="30" t="str">
        <f>VLOOKUP(B4748,gachas!A:C,3)</f>
        <v xml:space="preserve"> 5月フィーバーフェス（チョイス4）</v>
      </c>
      <c r="D4748" s="21">
        <v>10</v>
      </c>
      <c r="E4748" s="2">
        <f t="shared" si="764"/>
        <v>24</v>
      </c>
      <c r="F4748" s="2">
        <v>10</v>
      </c>
      <c r="G4748" s="3" t="s">
        <v>22</v>
      </c>
      <c r="H4748" s="2">
        <v>50</v>
      </c>
      <c r="I4748" s="114" t="str">
        <f t="shared" si="765"/>
        <v>594100</v>
      </c>
      <c r="J4748" s="112" t="s">
        <v>84</v>
      </c>
      <c r="K4748" s="112" t="str">
        <f t="shared" si="763"/>
        <v>594100</v>
      </c>
      <c r="L4748" s="2">
        <v>1</v>
      </c>
      <c r="M4748" s="2" t="s">
        <v>84</v>
      </c>
      <c r="N4748" s="2" t="s">
        <v>84</v>
      </c>
      <c r="O4748" s="2" t="s">
        <v>841</v>
      </c>
      <c r="P4748" s="2" t="s">
        <v>2571</v>
      </c>
    </row>
    <row r="4749" spans="1:16" ht="22" customHeight="1" x14ac:dyDescent="0.15">
      <c r="A4749" s="10" t="str">
        <f t="shared" si="762"/>
        <v>594_10_25_10_polygon</v>
      </c>
      <c r="B4749" s="2">
        <v>594</v>
      </c>
      <c r="C4749" s="30" t="str">
        <f>VLOOKUP(B4749,gachas!A:C,3)</f>
        <v xml:space="preserve"> 5月フィーバーフェス（チョイス4）</v>
      </c>
      <c r="D4749" s="21">
        <v>10</v>
      </c>
      <c r="E4749" s="2">
        <f t="shared" si="764"/>
        <v>25</v>
      </c>
      <c r="F4749" s="2">
        <v>10</v>
      </c>
      <c r="G4749" s="3" t="s">
        <v>22</v>
      </c>
      <c r="H4749" s="2">
        <v>50</v>
      </c>
      <c r="I4749" s="114" t="str">
        <f t="shared" si="765"/>
        <v>594100</v>
      </c>
      <c r="J4749" s="112" t="str">
        <f>CONCATENATE(B4749,D4749,5)</f>
        <v>594105</v>
      </c>
      <c r="K4749" s="112" t="str">
        <f t="shared" si="763"/>
        <v>594100</v>
      </c>
      <c r="L4749" s="2">
        <v>1</v>
      </c>
      <c r="M4749" s="2" t="s">
        <v>84</v>
      </c>
      <c r="N4749" s="2" t="s">
        <v>84</v>
      </c>
      <c r="O4749" s="2" t="s">
        <v>841</v>
      </c>
      <c r="P4749" s="2" t="s">
        <v>2648</v>
      </c>
    </row>
    <row r="4750" spans="1:16" ht="22" customHeight="1" x14ac:dyDescent="0.15">
      <c r="A4750" s="10" t="str">
        <f t="shared" si="762"/>
        <v>594_10_26_10_polygon</v>
      </c>
      <c r="B4750" s="2">
        <v>594</v>
      </c>
      <c r="C4750" s="30" t="str">
        <f>VLOOKUP(B4750,gachas!A:C,3)</f>
        <v xml:space="preserve"> 5月フィーバーフェス（チョイス4）</v>
      </c>
      <c r="D4750" s="21">
        <v>10</v>
      </c>
      <c r="E4750" s="2">
        <f t="shared" si="764"/>
        <v>26</v>
      </c>
      <c r="F4750" s="2">
        <v>10</v>
      </c>
      <c r="G4750" s="3" t="s">
        <v>22</v>
      </c>
      <c r="H4750" s="2">
        <v>50</v>
      </c>
      <c r="I4750" s="114" t="str">
        <f t="shared" si="765"/>
        <v>594100</v>
      </c>
      <c r="J4750" s="112" t="s">
        <v>84</v>
      </c>
      <c r="K4750" s="112" t="str">
        <f t="shared" si="763"/>
        <v>594100</v>
      </c>
      <c r="L4750" s="2">
        <v>1</v>
      </c>
      <c r="M4750" s="2" t="s">
        <v>84</v>
      </c>
      <c r="N4750" s="2" t="s">
        <v>84</v>
      </c>
      <c r="O4750" s="2" t="s">
        <v>841</v>
      </c>
      <c r="P4750" s="2" t="s">
        <v>2571</v>
      </c>
    </row>
    <row r="4751" spans="1:16" ht="22" customHeight="1" x14ac:dyDescent="0.15">
      <c r="A4751" s="10" t="str">
        <f t="shared" si="762"/>
        <v>594_10_27_10_polygon</v>
      </c>
      <c r="B4751" s="2">
        <v>594</v>
      </c>
      <c r="C4751" s="30" t="str">
        <f>VLOOKUP(B4751,gachas!A:C,3)</f>
        <v xml:space="preserve"> 5月フィーバーフェス（チョイス4）</v>
      </c>
      <c r="D4751" s="21">
        <v>10</v>
      </c>
      <c r="E4751" s="2">
        <f t="shared" si="764"/>
        <v>27</v>
      </c>
      <c r="F4751" s="2">
        <v>10</v>
      </c>
      <c r="G4751" s="3" t="s">
        <v>22</v>
      </c>
      <c r="H4751" s="2">
        <v>50</v>
      </c>
      <c r="I4751" s="114" t="str">
        <f t="shared" si="765"/>
        <v>594100</v>
      </c>
      <c r="J4751" s="112" t="s">
        <v>84</v>
      </c>
      <c r="K4751" s="112" t="str">
        <f t="shared" si="763"/>
        <v>594100</v>
      </c>
      <c r="L4751" s="2">
        <v>1</v>
      </c>
      <c r="M4751" s="2" t="s">
        <v>84</v>
      </c>
      <c r="N4751" s="2" t="s">
        <v>84</v>
      </c>
      <c r="O4751" s="2" t="s">
        <v>841</v>
      </c>
      <c r="P4751" s="2" t="s">
        <v>2571</v>
      </c>
    </row>
    <row r="4752" spans="1:16" ht="22" customHeight="1" x14ac:dyDescent="0.15">
      <c r="A4752" s="10" t="str">
        <f t="shared" si="762"/>
        <v>594_10_28_10_polygon</v>
      </c>
      <c r="B4752" s="2">
        <v>594</v>
      </c>
      <c r="C4752" s="30" t="str">
        <f>VLOOKUP(B4752,gachas!A:C,3)</f>
        <v xml:space="preserve"> 5月フィーバーフェス（チョイス4）</v>
      </c>
      <c r="D4752" s="21">
        <v>10</v>
      </c>
      <c r="E4752" s="2">
        <f t="shared" si="764"/>
        <v>28</v>
      </c>
      <c r="F4752" s="2">
        <v>10</v>
      </c>
      <c r="G4752" s="3" t="s">
        <v>22</v>
      </c>
      <c r="H4752" s="2">
        <v>50</v>
      </c>
      <c r="I4752" s="114" t="str">
        <f t="shared" si="765"/>
        <v>594100</v>
      </c>
      <c r="J4752" s="112" t="s">
        <v>84</v>
      </c>
      <c r="K4752" s="112" t="str">
        <f t="shared" si="763"/>
        <v>594100</v>
      </c>
      <c r="L4752" s="2">
        <v>1</v>
      </c>
      <c r="M4752" s="2" t="s">
        <v>84</v>
      </c>
      <c r="N4752" s="2" t="s">
        <v>84</v>
      </c>
      <c r="O4752" s="2" t="s">
        <v>841</v>
      </c>
      <c r="P4752" s="2" t="s">
        <v>2571</v>
      </c>
    </row>
    <row r="4753" spans="1:16" ht="22" customHeight="1" x14ac:dyDescent="0.15">
      <c r="A4753" s="10" t="str">
        <f t="shared" si="762"/>
        <v>594_10_29_10_polygon</v>
      </c>
      <c r="B4753" s="2">
        <v>594</v>
      </c>
      <c r="C4753" s="30" t="str">
        <f>VLOOKUP(B4753,gachas!A:C,3)</f>
        <v xml:space="preserve"> 5月フィーバーフェス（チョイス4）</v>
      </c>
      <c r="D4753" s="21">
        <v>10</v>
      </c>
      <c r="E4753" s="2">
        <f t="shared" si="764"/>
        <v>29</v>
      </c>
      <c r="F4753" s="2">
        <v>10</v>
      </c>
      <c r="G4753" s="3" t="s">
        <v>22</v>
      </c>
      <c r="H4753" s="2">
        <v>50</v>
      </c>
      <c r="I4753" s="114" t="str">
        <f t="shared" si="765"/>
        <v>594100</v>
      </c>
      <c r="J4753" s="112" t="s">
        <v>84</v>
      </c>
      <c r="K4753" s="112" t="str">
        <f t="shared" si="763"/>
        <v>594100</v>
      </c>
      <c r="L4753" s="2">
        <v>1</v>
      </c>
      <c r="M4753" s="2" t="s">
        <v>84</v>
      </c>
      <c r="N4753" s="2" t="s">
        <v>84</v>
      </c>
      <c r="O4753" s="2" t="s">
        <v>841</v>
      </c>
      <c r="P4753" s="2" t="s">
        <v>2571</v>
      </c>
    </row>
    <row r="4754" spans="1:16" ht="22" customHeight="1" x14ac:dyDescent="0.15">
      <c r="A4754" s="10" t="str">
        <f t="shared" si="762"/>
        <v>594_10_30_10_polygon</v>
      </c>
      <c r="B4754" s="2">
        <v>594</v>
      </c>
      <c r="C4754" s="30" t="str">
        <f>VLOOKUP(B4754,gachas!A:C,3)</f>
        <v xml:space="preserve"> 5月フィーバーフェス（チョイス4）</v>
      </c>
      <c r="D4754" s="21">
        <v>10</v>
      </c>
      <c r="E4754" s="2">
        <f t="shared" si="764"/>
        <v>30</v>
      </c>
      <c r="F4754" s="2">
        <v>10</v>
      </c>
      <c r="G4754" s="3" t="s">
        <v>22</v>
      </c>
      <c r="H4754" s="2">
        <v>50</v>
      </c>
      <c r="I4754" s="114" t="str">
        <f t="shared" si="765"/>
        <v>594100</v>
      </c>
      <c r="J4754" s="112" t="str">
        <f>CONCATENATE(B4754,D4754,5)</f>
        <v>594105</v>
      </c>
      <c r="K4754" s="112" t="str">
        <f t="shared" si="763"/>
        <v>594100</v>
      </c>
      <c r="L4754" s="2">
        <v>1</v>
      </c>
      <c r="M4754" s="2" t="s">
        <v>84</v>
      </c>
      <c r="N4754" s="2" t="s">
        <v>84</v>
      </c>
      <c r="O4754" s="2" t="s">
        <v>841</v>
      </c>
      <c r="P4754" s="2" t="s">
        <v>2648</v>
      </c>
    </row>
    <row r="4755" spans="1:16" ht="22" customHeight="1" x14ac:dyDescent="0.15">
      <c r="A4755" s="10" t="str">
        <f t="shared" si="762"/>
        <v>594_10_31_10_polygon</v>
      </c>
      <c r="B4755" s="2">
        <v>594</v>
      </c>
      <c r="C4755" s="30" t="str">
        <f>VLOOKUP(B4755,gachas!A:C,3)</f>
        <v xml:space="preserve"> 5月フィーバーフェス（チョイス4）</v>
      </c>
      <c r="D4755" s="21">
        <v>10</v>
      </c>
      <c r="E4755" s="2">
        <f t="shared" si="764"/>
        <v>31</v>
      </c>
      <c r="F4755" s="2">
        <v>10</v>
      </c>
      <c r="G4755" s="3" t="s">
        <v>22</v>
      </c>
      <c r="H4755" s="2">
        <v>50</v>
      </c>
      <c r="I4755" s="114" t="str">
        <f t="shared" si="765"/>
        <v>594100</v>
      </c>
      <c r="J4755" s="112" t="s">
        <v>84</v>
      </c>
      <c r="K4755" s="112" t="str">
        <f t="shared" si="763"/>
        <v>594100</v>
      </c>
      <c r="L4755" s="2">
        <v>1</v>
      </c>
      <c r="M4755" s="2" t="s">
        <v>84</v>
      </c>
      <c r="N4755" s="2" t="s">
        <v>84</v>
      </c>
      <c r="O4755" s="2" t="s">
        <v>841</v>
      </c>
      <c r="P4755" s="2" t="s">
        <v>2571</v>
      </c>
    </row>
    <row r="4756" spans="1:16" ht="22" customHeight="1" x14ac:dyDescent="0.15">
      <c r="A4756" s="10" t="str">
        <f t="shared" si="762"/>
        <v>594_10_32_10_polygon</v>
      </c>
      <c r="B4756" s="2">
        <v>594</v>
      </c>
      <c r="C4756" s="30" t="str">
        <f>VLOOKUP(B4756,gachas!A:C,3)</f>
        <v xml:space="preserve"> 5月フィーバーフェス（チョイス4）</v>
      </c>
      <c r="D4756" s="21">
        <v>10</v>
      </c>
      <c r="E4756" s="2">
        <f t="shared" si="764"/>
        <v>32</v>
      </c>
      <c r="F4756" s="2">
        <v>10</v>
      </c>
      <c r="G4756" s="3" t="s">
        <v>22</v>
      </c>
      <c r="H4756" s="2">
        <v>50</v>
      </c>
      <c r="I4756" s="114" t="str">
        <f t="shared" si="765"/>
        <v>594100</v>
      </c>
      <c r="J4756" s="112" t="s">
        <v>84</v>
      </c>
      <c r="K4756" s="112" t="str">
        <f t="shared" si="763"/>
        <v>594100</v>
      </c>
      <c r="L4756" s="2">
        <v>1</v>
      </c>
      <c r="M4756" s="2" t="s">
        <v>84</v>
      </c>
      <c r="N4756" s="2" t="s">
        <v>84</v>
      </c>
      <c r="O4756" s="2" t="s">
        <v>841</v>
      </c>
      <c r="P4756" s="2" t="s">
        <v>2571</v>
      </c>
    </row>
    <row r="4757" spans="1:16" ht="22" customHeight="1" x14ac:dyDescent="0.15">
      <c r="A4757" s="10" t="str">
        <f t="shared" si="762"/>
        <v>594_10_33_10_polygon</v>
      </c>
      <c r="B4757" s="2">
        <v>594</v>
      </c>
      <c r="C4757" s="30" t="str">
        <f>VLOOKUP(B4757,gachas!A:C,3)</f>
        <v xml:space="preserve"> 5月フィーバーフェス（チョイス4）</v>
      </c>
      <c r="D4757" s="21">
        <v>10</v>
      </c>
      <c r="E4757" s="2">
        <f t="shared" si="764"/>
        <v>33</v>
      </c>
      <c r="F4757" s="2">
        <v>10</v>
      </c>
      <c r="G4757" s="3" t="s">
        <v>22</v>
      </c>
      <c r="H4757" s="2">
        <v>50</v>
      </c>
      <c r="I4757" s="114" t="str">
        <f t="shared" si="765"/>
        <v>594100</v>
      </c>
      <c r="J4757" s="112" t="s">
        <v>84</v>
      </c>
      <c r="K4757" s="112" t="str">
        <f t="shared" si="763"/>
        <v>594100</v>
      </c>
      <c r="L4757" s="2">
        <v>1</v>
      </c>
      <c r="M4757" s="2" t="s">
        <v>84</v>
      </c>
      <c r="N4757" s="2" t="s">
        <v>84</v>
      </c>
      <c r="O4757" s="2" t="s">
        <v>841</v>
      </c>
      <c r="P4757" s="2" t="s">
        <v>2571</v>
      </c>
    </row>
    <row r="4758" spans="1:16" ht="22" customHeight="1" x14ac:dyDescent="0.15">
      <c r="A4758" s="10" t="str">
        <f t="shared" si="762"/>
        <v>594_10_34_10_polygon</v>
      </c>
      <c r="B4758" s="2">
        <v>594</v>
      </c>
      <c r="C4758" s="30" t="str">
        <f>VLOOKUP(B4758,gachas!A:C,3)</f>
        <v xml:space="preserve"> 5月フィーバーフェス（チョイス4）</v>
      </c>
      <c r="D4758" s="21">
        <v>10</v>
      </c>
      <c r="E4758" s="2">
        <f t="shared" si="764"/>
        <v>34</v>
      </c>
      <c r="F4758" s="2">
        <v>10</v>
      </c>
      <c r="G4758" s="3" t="s">
        <v>22</v>
      </c>
      <c r="H4758" s="2">
        <v>50</v>
      </c>
      <c r="I4758" s="114" t="str">
        <f t="shared" si="765"/>
        <v>594100</v>
      </c>
      <c r="J4758" s="112" t="s">
        <v>84</v>
      </c>
      <c r="K4758" s="112" t="str">
        <f t="shared" si="763"/>
        <v>594100</v>
      </c>
      <c r="L4758" s="2">
        <v>1</v>
      </c>
      <c r="M4758" s="2" t="s">
        <v>84</v>
      </c>
      <c r="N4758" s="2" t="s">
        <v>84</v>
      </c>
      <c r="O4758" s="2" t="s">
        <v>841</v>
      </c>
      <c r="P4758" s="2" t="s">
        <v>2571</v>
      </c>
    </row>
    <row r="4759" spans="1:16" ht="22" customHeight="1" x14ac:dyDescent="0.15">
      <c r="A4759" s="10" t="str">
        <f t="shared" si="762"/>
        <v>594_10_35_10_polygon</v>
      </c>
      <c r="B4759" s="2">
        <v>594</v>
      </c>
      <c r="C4759" s="30" t="str">
        <f>VLOOKUP(B4759,gachas!A:C,3)</f>
        <v xml:space="preserve"> 5月フィーバーフェス（チョイス4）</v>
      </c>
      <c r="D4759" s="21">
        <v>10</v>
      </c>
      <c r="E4759" s="2">
        <f t="shared" si="764"/>
        <v>35</v>
      </c>
      <c r="F4759" s="2">
        <v>10</v>
      </c>
      <c r="G4759" s="3" t="s">
        <v>22</v>
      </c>
      <c r="H4759" s="2">
        <v>50</v>
      </c>
      <c r="I4759" s="114" t="str">
        <f t="shared" si="765"/>
        <v>594100</v>
      </c>
      <c r="J4759" s="112" t="str">
        <f>CONCATENATE(B4759,D4759,5)</f>
        <v>594105</v>
      </c>
      <c r="K4759" s="112" t="str">
        <f t="shared" si="763"/>
        <v>594100</v>
      </c>
      <c r="L4759" s="2">
        <v>1</v>
      </c>
      <c r="M4759" s="2" t="s">
        <v>84</v>
      </c>
      <c r="N4759" s="2" t="s">
        <v>84</v>
      </c>
      <c r="O4759" s="2" t="s">
        <v>841</v>
      </c>
      <c r="P4759" s="2" t="s">
        <v>2648</v>
      </c>
    </row>
    <row r="4760" spans="1:16" ht="22" customHeight="1" x14ac:dyDescent="0.15">
      <c r="A4760" s="10" t="str">
        <f t="shared" si="762"/>
        <v>594_10_36_10_polygon</v>
      </c>
      <c r="B4760" s="2">
        <v>594</v>
      </c>
      <c r="C4760" s="30" t="str">
        <f>VLOOKUP(B4760,gachas!A:C,3)</f>
        <v xml:space="preserve"> 5月フィーバーフェス（チョイス4）</v>
      </c>
      <c r="D4760" s="21">
        <v>10</v>
      </c>
      <c r="E4760" s="2">
        <f t="shared" si="764"/>
        <v>36</v>
      </c>
      <c r="F4760" s="2">
        <v>10</v>
      </c>
      <c r="G4760" s="3" t="s">
        <v>22</v>
      </c>
      <c r="H4760" s="2">
        <v>50</v>
      </c>
      <c r="I4760" s="114" t="str">
        <f t="shared" si="765"/>
        <v>594100</v>
      </c>
      <c r="J4760" s="112" t="s">
        <v>84</v>
      </c>
      <c r="K4760" s="112" t="str">
        <f t="shared" si="763"/>
        <v>594100</v>
      </c>
      <c r="L4760" s="2">
        <v>1</v>
      </c>
      <c r="M4760" s="2" t="s">
        <v>84</v>
      </c>
      <c r="N4760" s="2" t="s">
        <v>84</v>
      </c>
      <c r="O4760" s="2" t="s">
        <v>841</v>
      </c>
      <c r="P4760" s="2" t="s">
        <v>2571</v>
      </c>
    </row>
    <row r="4761" spans="1:16" ht="22" customHeight="1" x14ac:dyDescent="0.15">
      <c r="A4761" s="10" t="str">
        <f t="shared" si="762"/>
        <v>594_10_37_10_polygon</v>
      </c>
      <c r="B4761" s="2">
        <v>594</v>
      </c>
      <c r="C4761" s="30" t="str">
        <f>VLOOKUP(B4761,gachas!A:C,3)</f>
        <v xml:space="preserve"> 5月フィーバーフェス（チョイス4）</v>
      </c>
      <c r="D4761" s="21">
        <v>10</v>
      </c>
      <c r="E4761" s="2">
        <f t="shared" si="764"/>
        <v>37</v>
      </c>
      <c r="F4761" s="2">
        <v>10</v>
      </c>
      <c r="G4761" s="3" t="s">
        <v>22</v>
      </c>
      <c r="H4761" s="2">
        <v>50</v>
      </c>
      <c r="I4761" s="114" t="str">
        <f t="shared" si="765"/>
        <v>594100</v>
      </c>
      <c r="J4761" s="112" t="s">
        <v>84</v>
      </c>
      <c r="K4761" s="112" t="str">
        <f t="shared" si="763"/>
        <v>594100</v>
      </c>
      <c r="L4761" s="2">
        <v>1</v>
      </c>
      <c r="M4761" s="2" t="s">
        <v>84</v>
      </c>
      <c r="N4761" s="2" t="s">
        <v>84</v>
      </c>
      <c r="O4761" s="2" t="s">
        <v>841</v>
      </c>
      <c r="P4761" s="2" t="s">
        <v>2571</v>
      </c>
    </row>
    <row r="4762" spans="1:16" ht="22" customHeight="1" x14ac:dyDescent="0.15">
      <c r="A4762" s="10" t="str">
        <f t="shared" si="762"/>
        <v>594_10_38_10_polygon</v>
      </c>
      <c r="B4762" s="2">
        <v>594</v>
      </c>
      <c r="C4762" s="30" t="str">
        <f>VLOOKUP(B4762,gachas!A:C,3)</f>
        <v xml:space="preserve"> 5月フィーバーフェス（チョイス4）</v>
      </c>
      <c r="D4762" s="21">
        <v>10</v>
      </c>
      <c r="E4762" s="2">
        <f t="shared" si="764"/>
        <v>38</v>
      </c>
      <c r="F4762" s="2">
        <v>10</v>
      </c>
      <c r="G4762" s="3" t="s">
        <v>22</v>
      </c>
      <c r="H4762" s="2">
        <v>50</v>
      </c>
      <c r="I4762" s="114" t="str">
        <f t="shared" si="765"/>
        <v>594100</v>
      </c>
      <c r="J4762" s="112" t="s">
        <v>84</v>
      </c>
      <c r="K4762" s="112" t="str">
        <f t="shared" si="763"/>
        <v>594100</v>
      </c>
      <c r="L4762" s="2">
        <v>1</v>
      </c>
      <c r="M4762" s="2" t="s">
        <v>84</v>
      </c>
      <c r="N4762" s="2" t="s">
        <v>84</v>
      </c>
      <c r="O4762" s="2" t="s">
        <v>841</v>
      </c>
      <c r="P4762" s="2" t="s">
        <v>2571</v>
      </c>
    </row>
    <row r="4763" spans="1:16" ht="22" customHeight="1" x14ac:dyDescent="0.15">
      <c r="A4763" s="10" t="str">
        <f t="shared" si="762"/>
        <v>594_10_39_10_polygon</v>
      </c>
      <c r="B4763" s="2">
        <v>594</v>
      </c>
      <c r="C4763" s="30" t="str">
        <f>VLOOKUP(B4763,gachas!A:C,3)</f>
        <v xml:space="preserve"> 5月フィーバーフェス（チョイス4）</v>
      </c>
      <c r="D4763" s="21">
        <v>10</v>
      </c>
      <c r="E4763" s="2">
        <f t="shared" si="764"/>
        <v>39</v>
      </c>
      <c r="F4763" s="2">
        <v>10</v>
      </c>
      <c r="G4763" s="3" t="s">
        <v>22</v>
      </c>
      <c r="H4763" s="2">
        <v>50</v>
      </c>
      <c r="I4763" s="114" t="str">
        <f t="shared" si="765"/>
        <v>594100</v>
      </c>
      <c r="J4763" s="112" t="s">
        <v>84</v>
      </c>
      <c r="K4763" s="112" t="str">
        <f t="shared" si="763"/>
        <v>594100</v>
      </c>
      <c r="L4763" s="2">
        <v>1</v>
      </c>
      <c r="M4763" s="2" t="s">
        <v>84</v>
      </c>
      <c r="N4763" s="2" t="s">
        <v>84</v>
      </c>
      <c r="O4763" s="2" t="s">
        <v>841</v>
      </c>
      <c r="P4763" s="2" t="s">
        <v>2571</v>
      </c>
    </row>
    <row r="4764" spans="1:16" ht="22" customHeight="1" x14ac:dyDescent="0.15">
      <c r="A4764" s="10" t="str">
        <f t="shared" si="762"/>
        <v>594_10_40_10_polygon</v>
      </c>
      <c r="B4764" s="2">
        <v>594</v>
      </c>
      <c r="C4764" s="30" t="str">
        <f>VLOOKUP(B4764,gachas!A:C,3)</f>
        <v xml:space="preserve"> 5月フィーバーフェス（チョイス4）</v>
      </c>
      <c r="D4764" s="21">
        <v>10</v>
      </c>
      <c r="E4764" s="2">
        <f t="shared" si="764"/>
        <v>40</v>
      </c>
      <c r="F4764" s="2">
        <v>10</v>
      </c>
      <c r="G4764" s="3" t="s">
        <v>22</v>
      </c>
      <c r="H4764" s="2">
        <v>50</v>
      </c>
      <c r="I4764" s="114" t="str">
        <f t="shared" si="765"/>
        <v>594100</v>
      </c>
      <c r="J4764" s="112" t="str">
        <f>CONCATENATE(B4764,D4764,5)</f>
        <v>594105</v>
      </c>
      <c r="K4764" s="112" t="str">
        <f t="shared" si="763"/>
        <v>594100</v>
      </c>
      <c r="L4764" s="2">
        <v>1</v>
      </c>
      <c r="M4764" s="2" t="s">
        <v>84</v>
      </c>
      <c r="N4764" s="2" t="s">
        <v>84</v>
      </c>
      <c r="O4764" s="2" t="s">
        <v>841</v>
      </c>
      <c r="P4764" s="2" t="s">
        <v>2648</v>
      </c>
    </row>
    <row r="4765" spans="1:16" ht="22" customHeight="1" x14ac:dyDescent="0.15">
      <c r="A4765" s="10" t="str">
        <f t="shared" si="762"/>
        <v>594_10_41_10_polygon</v>
      </c>
      <c r="B4765" s="2">
        <v>594</v>
      </c>
      <c r="C4765" s="30" t="str">
        <f>VLOOKUP(B4765,gachas!A:C,3)</f>
        <v xml:space="preserve"> 5月フィーバーフェス（チョイス4）</v>
      </c>
      <c r="D4765" s="21">
        <v>10</v>
      </c>
      <c r="E4765" s="2">
        <f t="shared" si="764"/>
        <v>41</v>
      </c>
      <c r="F4765" s="2">
        <v>10</v>
      </c>
      <c r="G4765" s="3" t="s">
        <v>22</v>
      </c>
      <c r="H4765" s="2">
        <v>50</v>
      </c>
      <c r="I4765" s="114" t="str">
        <f t="shared" si="765"/>
        <v>594100</v>
      </c>
      <c r="J4765" s="112" t="s">
        <v>84</v>
      </c>
      <c r="K4765" s="112" t="str">
        <f t="shared" si="763"/>
        <v>594100</v>
      </c>
      <c r="L4765" s="2">
        <v>1</v>
      </c>
      <c r="M4765" s="2" t="s">
        <v>84</v>
      </c>
      <c r="N4765" s="2" t="s">
        <v>84</v>
      </c>
      <c r="O4765" s="2" t="s">
        <v>841</v>
      </c>
      <c r="P4765" s="2" t="s">
        <v>2571</v>
      </c>
    </row>
    <row r="4766" spans="1:16" ht="22" customHeight="1" x14ac:dyDescent="0.15">
      <c r="A4766" s="10" t="str">
        <f t="shared" si="762"/>
        <v>594_10_42_10_polygon</v>
      </c>
      <c r="B4766" s="2">
        <v>594</v>
      </c>
      <c r="C4766" s="30" t="str">
        <f>VLOOKUP(B4766,gachas!A:C,3)</f>
        <v xml:space="preserve"> 5月フィーバーフェス（チョイス4）</v>
      </c>
      <c r="D4766" s="21">
        <v>10</v>
      </c>
      <c r="E4766" s="2">
        <f t="shared" si="764"/>
        <v>42</v>
      </c>
      <c r="F4766" s="2">
        <v>10</v>
      </c>
      <c r="G4766" s="3" t="s">
        <v>22</v>
      </c>
      <c r="H4766" s="2">
        <v>50</v>
      </c>
      <c r="I4766" s="114" t="str">
        <f t="shared" si="765"/>
        <v>594100</v>
      </c>
      <c r="J4766" s="112" t="s">
        <v>84</v>
      </c>
      <c r="K4766" s="112" t="str">
        <f t="shared" si="763"/>
        <v>594100</v>
      </c>
      <c r="L4766" s="2">
        <v>1</v>
      </c>
      <c r="M4766" s="2" t="s">
        <v>84</v>
      </c>
      <c r="N4766" s="2" t="s">
        <v>84</v>
      </c>
      <c r="O4766" s="2" t="s">
        <v>841</v>
      </c>
      <c r="P4766" s="2" t="s">
        <v>2571</v>
      </c>
    </row>
    <row r="4767" spans="1:16" ht="22" customHeight="1" x14ac:dyDescent="0.15">
      <c r="A4767" s="10" t="str">
        <f t="shared" si="762"/>
        <v>594_10_43_10_polygon</v>
      </c>
      <c r="B4767" s="2">
        <v>594</v>
      </c>
      <c r="C4767" s="30" t="str">
        <f>VLOOKUP(B4767,gachas!A:C,3)</f>
        <v xml:space="preserve"> 5月フィーバーフェス（チョイス4）</v>
      </c>
      <c r="D4767" s="21">
        <v>10</v>
      </c>
      <c r="E4767" s="2">
        <f t="shared" si="764"/>
        <v>43</v>
      </c>
      <c r="F4767" s="2">
        <v>10</v>
      </c>
      <c r="G4767" s="3" t="s">
        <v>22</v>
      </c>
      <c r="H4767" s="2">
        <v>50</v>
      </c>
      <c r="I4767" s="114" t="str">
        <f t="shared" si="765"/>
        <v>594100</v>
      </c>
      <c r="J4767" s="112" t="s">
        <v>84</v>
      </c>
      <c r="K4767" s="112" t="str">
        <f t="shared" si="763"/>
        <v>594100</v>
      </c>
      <c r="L4767" s="2">
        <v>1</v>
      </c>
      <c r="M4767" s="2" t="s">
        <v>84</v>
      </c>
      <c r="N4767" s="2" t="s">
        <v>84</v>
      </c>
      <c r="O4767" s="2" t="s">
        <v>841</v>
      </c>
      <c r="P4767" s="2" t="s">
        <v>2571</v>
      </c>
    </row>
    <row r="4768" spans="1:16" ht="22" customHeight="1" x14ac:dyDescent="0.15">
      <c r="A4768" s="10" t="str">
        <f t="shared" si="762"/>
        <v>594_10_44_10_polygon</v>
      </c>
      <c r="B4768" s="2">
        <v>594</v>
      </c>
      <c r="C4768" s="30" t="str">
        <f>VLOOKUP(B4768,gachas!A:C,3)</f>
        <v xml:space="preserve"> 5月フィーバーフェス（チョイス4）</v>
      </c>
      <c r="D4768" s="21">
        <v>10</v>
      </c>
      <c r="E4768" s="2">
        <f t="shared" si="764"/>
        <v>44</v>
      </c>
      <c r="F4768" s="2">
        <v>10</v>
      </c>
      <c r="G4768" s="3" t="s">
        <v>22</v>
      </c>
      <c r="H4768" s="2">
        <v>50</v>
      </c>
      <c r="I4768" s="114" t="str">
        <f t="shared" si="765"/>
        <v>594100</v>
      </c>
      <c r="J4768" s="112" t="s">
        <v>84</v>
      </c>
      <c r="K4768" s="112" t="str">
        <f t="shared" si="763"/>
        <v>594100</v>
      </c>
      <c r="L4768" s="2">
        <v>1</v>
      </c>
      <c r="M4768" s="2" t="s">
        <v>84</v>
      </c>
      <c r="N4768" s="2" t="s">
        <v>84</v>
      </c>
      <c r="O4768" s="2" t="s">
        <v>841</v>
      </c>
      <c r="P4768" s="2" t="s">
        <v>2571</v>
      </c>
    </row>
    <row r="4769" spans="1:16" ht="22" customHeight="1" x14ac:dyDescent="0.15">
      <c r="A4769" s="10" t="str">
        <f t="shared" si="762"/>
        <v>594_10_45_10_polygon</v>
      </c>
      <c r="B4769" s="2">
        <v>594</v>
      </c>
      <c r="C4769" s="30" t="str">
        <f>VLOOKUP(B4769,gachas!A:C,3)</f>
        <v xml:space="preserve"> 5月フィーバーフェス（チョイス4）</v>
      </c>
      <c r="D4769" s="21">
        <v>10</v>
      </c>
      <c r="E4769" s="2">
        <f t="shared" si="764"/>
        <v>45</v>
      </c>
      <c r="F4769" s="2">
        <v>10</v>
      </c>
      <c r="G4769" s="3" t="s">
        <v>22</v>
      </c>
      <c r="H4769" s="2">
        <v>50</v>
      </c>
      <c r="I4769" s="114" t="str">
        <f t="shared" si="765"/>
        <v>594100</v>
      </c>
      <c r="J4769" s="112" t="str">
        <f>CONCATENATE(B4769,D4769,5)</f>
        <v>594105</v>
      </c>
      <c r="K4769" s="112" t="str">
        <f t="shared" si="763"/>
        <v>594100</v>
      </c>
      <c r="L4769" s="2">
        <v>1</v>
      </c>
      <c r="M4769" s="2" t="s">
        <v>84</v>
      </c>
      <c r="N4769" s="2" t="s">
        <v>84</v>
      </c>
      <c r="O4769" s="2" t="s">
        <v>841</v>
      </c>
      <c r="P4769" s="2" t="s">
        <v>2648</v>
      </c>
    </row>
    <row r="4770" spans="1:16" ht="22" customHeight="1" x14ac:dyDescent="0.15">
      <c r="A4770" s="10" t="str">
        <f t="shared" si="762"/>
        <v>594_10_46_10_polygon</v>
      </c>
      <c r="B4770" s="2">
        <v>594</v>
      </c>
      <c r="C4770" s="30" t="str">
        <f>VLOOKUP(B4770,gachas!A:C,3)</f>
        <v xml:space="preserve"> 5月フィーバーフェス（チョイス4）</v>
      </c>
      <c r="D4770" s="21">
        <v>10</v>
      </c>
      <c r="E4770" s="2">
        <f t="shared" si="764"/>
        <v>46</v>
      </c>
      <c r="F4770" s="2">
        <v>10</v>
      </c>
      <c r="G4770" s="3" t="s">
        <v>22</v>
      </c>
      <c r="H4770" s="2">
        <v>50</v>
      </c>
      <c r="I4770" s="114" t="str">
        <f t="shared" si="765"/>
        <v>594100</v>
      </c>
      <c r="J4770" s="112" t="s">
        <v>84</v>
      </c>
      <c r="K4770" s="112" t="str">
        <f t="shared" si="763"/>
        <v>594100</v>
      </c>
      <c r="L4770" s="2">
        <v>1</v>
      </c>
      <c r="M4770" s="2" t="s">
        <v>84</v>
      </c>
      <c r="N4770" s="2" t="s">
        <v>84</v>
      </c>
      <c r="O4770" s="2" t="s">
        <v>841</v>
      </c>
      <c r="P4770" s="2" t="s">
        <v>2571</v>
      </c>
    </row>
    <row r="4771" spans="1:16" ht="22" customHeight="1" x14ac:dyDescent="0.15">
      <c r="A4771" s="10" t="str">
        <f t="shared" si="762"/>
        <v>594_10_47_10_polygon</v>
      </c>
      <c r="B4771" s="2">
        <v>594</v>
      </c>
      <c r="C4771" s="30" t="str">
        <f>VLOOKUP(B4771,gachas!A:C,3)</f>
        <v xml:space="preserve"> 5月フィーバーフェス（チョイス4）</v>
      </c>
      <c r="D4771" s="21">
        <v>10</v>
      </c>
      <c r="E4771" s="2">
        <f t="shared" si="764"/>
        <v>47</v>
      </c>
      <c r="F4771" s="2">
        <v>10</v>
      </c>
      <c r="G4771" s="3" t="s">
        <v>22</v>
      </c>
      <c r="H4771" s="2">
        <v>50</v>
      </c>
      <c r="I4771" s="114" t="str">
        <f t="shared" si="765"/>
        <v>594100</v>
      </c>
      <c r="J4771" s="112" t="s">
        <v>84</v>
      </c>
      <c r="K4771" s="112" t="str">
        <f t="shared" si="763"/>
        <v>594100</v>
      </c>
      <c r="L4771" s="2">
        <v>1</v>
      </c>
      <c r="M4771" s="2" t="s">
        <v>84</v>
      </c>
      <c r="N4771" s="2" t="s">
        <v>84</v>
      </c>
      <c r="O4771" s="2" t="s">
        <v>841</v>
      </c>
      <c r="P4771" s="2" t="s">
        <v>2571</v>
      </c>
    </row>
    <row r="4772" spans="1:16" ht="22" customHeight="1" x14ac:dyDescent="0.15">
      <c r="A4772" s="10" t="str">
        <f t="shared" si="762"/>
        <v>594_10_48_10_polygon</v>
      </c>
      <c r="B4772" s="2">
        <v>594</v>
      </c>
      <c r="C4772" s="30" t="str">
        <f>VLOOKUP(B4772,gachas!A:C,3)</f>
        <v xml:space="preserve"> 5月フィーバーフェス（チョイス4）</v>
      </c>
      <c r="D4772" s="21">
        <v>10</v>
      </c>
      <c r="E4772" s="2">
        <f t="shared" si="764"/>
        <v>48</v>
      </c>
      <c r="F4772" s="2">
        <v>10</v>
      </c>
      <c r="G4772" s="3" t="s">
        <v>22</v>
      </c>
      <c r="H4772" s="2">
        <v>50</v>
      </c>
      <c r="I4772" s="114" t="str">
        <f t="shared" si="765"/>
        <v>594100</v>
      </c>
      <c r="J4772" s="112" t="s">
        <v>84</v>
      </c>
      <c r="K4772" s="112" t="str">
        <f t="shared" si="763"/>
        <v>594100</v>
      </c>
      <c r="L4772" s="2">
        <v>1</v>
      </c>
      <c r="M4772" s="2" t="s">
        <v>84</v>
      </c>
      <c r="N4772" s="2" t="s">
        <v>84</v>
      </c>
      <c r="O4772" s="2" t="s">
        <v>841</v>
      </c>
      <c r="P4772" s="2" t="s">
        <v>2571</v>
      </c>
    </row>
    <row r="4773" spans="1:16" ht="22" customHeight="1" x14ac:dyDescent="0.15">
      <c r="A4773" s="10" t="str">
        <f t="shared" si="762"/>
        <v>594_10_49_10_polygon</v>
      </c>
      <c r="B4773" s="2">
        <v>594</v>
      </c>
      <c r="C4773" s="30" t="str">
        <f>VLOOKUP(B4773,gachas!A:C,3)</f>
        <v xml:space="preserve"> 5月フィーバーフェス（チョイス4）</v>
      </c>
      <c r="D4773" s="21">
        <v>10</v>
      </c>
      <c r="E4773" s="2">
        <f t="shared" si="764"/>
        <v>49</v>
      </c>
      <c r="F4773" s="2">
        <v>10</v>
      </c>
      <c r="G4773" s="3" t="s">
        <v>22</v>
      </c>
      <c r="H4773" s="2">
        <v>50</v>
      </c>
      <c r="I4773" s="114" t="str">
        <f t="shared" si="765"/>
        <v>594100</v>
      </c>
      <c r="J4773" s="112" t="s">
        <v>84</v>
      </c>
      <c r="K4773" s="112" t="str">
        <f t="shared" si="763"/>
        <v>594100</v>
      </c>
      <c r="L4773" s="2">
        <v>1</v>
      </c>
      <c r="M4773" s="2" t="s">
        <v>84</v>
      </c>
      <c r="N4773" s="2" t="s">
        <v>84</v>
      </c>
      <c r="O4773" s="2" t="s">
        <v>841</v>
      </c>
      <c r="P4773" s="2" t="s">
        <v>2571</v>
      </c>
    </row>
    <row r="4774" spans="1:16" ht="22" customHeight="1" x14ac:dyDescent="0.15">
      <c r="A4774" s="10" t="str">
        <f t="shared" ref="A4774:A4837" si="766">B4774&amp;"_"&amp;D4774&amp;"_"&amp;E4774&amp;"_"&amp;F4774&amp;"_"&amp;G4774</f>
        <v>594_10_50_10_polygon</v>
      </c>
      <c r="B4774" s="2">
        <v>594</v>
      </c>
      <c r="C4774" s="30" t="str">
        <f>VLOOKUP(B4774,gachas!A:C,3)</f>
        <v xml:space="preserve"> 5月フィーバーフェス（チョイス4）</v>
      </c>
      <c r="D4774" s="21">
        <v>10</v>
      </c>
      <c r="E4774" s="2">
        <f t="shared" si="764"/>
        <v>50</v>
      </c>
      <c r="F4774" s="2">
        <v>10</v>
      </c>
      <c r="G4774" s="3" t="s">
        <v>22</v>
      </c>
      <c r="H4774" s="2">
        <v>50</v>
      </c>
      <c r="I4774" s="114" t="str">
        <f t="shared" si="765"/>
        <v>594100</v>
      </c>
      <c r="J4774" s="112" t="str">
        <f>CONCATENATE(B4774,D4774,5)</f>
        <v>594105</v>
      </c>
      <c r="K4774" s="112" t="str">
        <f t="shared" si="763"/>
        <v>594100</v>
      </c>
      <c r="L4774" s="2">
        <v>1</v>
      </c>
      <c r="M4774" s="2" t="s">
        <v>84</v>
      </c>
      <c r="N4774" s="2" t="s">
        <v>84</v>
      </c>
      <c r="O4774" s="2" t="s">
        <v>841</v>
      </c>
      <c r="P4774" s="2" t="s">
        <v>2648</v>
      </c>
    </row>
    <row r="4775" spans="1:16" ht="22" customHeight="1" x14ac:dyDescent="0.15">
      <c r="A4775" s="10" t="str">
        <f t="shared" si="766"/>
        <v>595_10_0_10_polygon</v>
      </c>
      <c r="B4775" s="2">
        <v>595</v>
      </c>
      <c r="C4775" s="30" t="str">
        <f>VLOOKUP(B4775,gachas!A:C,3)</f>
        <v>確定ステップアップガチャ（童話in)</v>
      </c>
      <c r="D4775" s="21">
        <v>10</v>
      </c>
      <c r="E4775" s="2">
        <v>0</v>
      </c>
      <c r="F4775" s="2">
        <v>10</v>
      </c>
      <c r="G4775" s="3" t="s">
        <v>22</v>
      </c>
      <c r="H4775" s="2">
        <v>40</v>
      </c>
      <c r="I4775" s="114" t="str">
        <f>CONCATENATE(B4775,IF(D4775=1,"01","10"),4)</f>
        <v>595104</v>
      </c>
      <c r="J4775" s="112" t="s">
        <v>84</v>
      </c>
      <c r="K4775" s="112" t="s">
        <v>84</v>
      </c>
      <c r="L4775" s="2">
        <v>0</v>
      </c>
      <c r="M4775" s="2" t="s">
        <v>84</v>
      </c>
      <c r="N4775" s="2" t="s">
        <v>84</v>
      </c>
      <c r="O4775" s="2" t="s">
        <v>841</v>
      </c>
      <c r="P4775" s="142" t="s">
        <v>2956</v>
      </c>
    </row>
    <row r="4776" spans="1:16" ht="22" customHeight="1" x14ac:dyDescent="0.15">
      <c r="A4776" s="10" t="str">
        <f t="shared" si="766"/>
        <v>595_10_1_1_polygon</v>
      </c>
      <c r="B4776" s="2">
        <v>595</v>
      </c>
      <c r="C4776" s="30" t="str">
        <f>VLOOKUP(B4776,gachas!A:C,3)</f>
        <v>確定ステップアップガチャ（童話in)</v>
      </c>
      <c r="D4776" s="21">
        <v>10</v>
      </c>
      <c r="E4776" s="2">
        <f>E4775+1</f>
        <v>1</v>
      </c>
      <c r="F4776" s="2">
        <v>1</v>
      </c>
      <c r="G4776" s="3" t="s">
        <v>22</v>
      </c>
      <c r="H4776" s="2">
        <v>1</v>
      </c>
      <c r="I4776" s="114" t="str">
        <f>CONCATENATE(B4776,IF(D4776=1,"01","10"),1)</f>
        <v>595101</v>
      </c>
      <c r="J4776" s="112" t="s">
        <v>84</v>
      </c>
      <c r="K4776" s="112" t="s">
        <v>84</v>
      </c>
      <c r="L4776" s="2">
        <v>0</v>
      </c>
      <c r="M4776" s="2" t="s">
        <v>84</v>
      </c>
      <c r="N4776" s="2" t="s">
        <v>84</v>
      </c>
      <c r="O4776" s="2" t="s">
        <v>841</v>
      </c>
      <c r="P4776" s="142" t="s">
        <v>2875</v>
      </c>
    </row>
    <row r="4777" spans="1:16" ht="22" customHeight="1" x14ac:dyDescent="0.15">
      <c r="A4777" s="10" t="str">
        <f t="shared" si="766"/>
        <v>595_10_2_2_polygon</v>
      </c>
      <c r="B4777" s="2">
        <v>595</v>
      </c>
      <c r="C4777" s="30" t="str">
        <f>VLOOKUP(B4777,gachas!A:C,3)</f>
        <v>確定ステップアップガチャ（童話in)</v>
      </c>
      <c r="D4777" s="21">
        <v>10</v>
      </c>
      <c r="E4777" s="2">
        <f t="shared" ref="E4777:E4824" si="767">E4776+1</f>
        <v>2</v>
      </c>
      <c r="F4777" s="2">
        <v>2</v>
      </c>
      <c r="G4777" s="3" t="s">
        <v>22</v>
      </c>
      <c r="H4777" s="2">
        <v>3</v>
      </c>
      <c r="I4777" s="114" t="str">
        <f>CONCATENATE(B4777,IF(D4777=1,"01","10"),1)</f>
        <v>595101</v>
      </c>
      <c r="J4777" s="112" t="s">
        <v>3098</v>
      </c>
      <c r="K4777" s="112" t="s">
        <v>84</v>
      </c>
      <c r="L4777" s="2">
        <v>0</v>
      </c>
      <c r="M4777" s="2" t="s">
        <v>84</v>
      </c>
      <c r="N4777" s="2" t="s">
        <v>84</v>
      </c>
      <c r="O4777" s="2" t="s">
        <v>841</v>
      </c>
      <c r="P4777" s="142" t="s">
        <v>2876</v>
      </c>
    </row>
    <row r="4778" spans="1:16" ht="22" customHeight="1" x14ac:dyDescent="0.15">
      <c r="A4778" s="10" t="str">
        <f t="shared" si="766"/>
        <v>595_10_3_3_polygon</v>
      </c>
      <c r="B4778" s="2">
        <v>595</v>
      </c>
      <c r="C4778" s="30" t="str">
        <f>VLOOKUP(B4778,gachas!A:C,3)</f>
        <v>確定ステップアップガチャ（童話in)</v>
      </c>
      <c r="D4778" s="21">
        <v>10</v>
      </c>
      <c r="E4778" s="2">
        <f t="shared" si="767"/>
        <v>3</v>
      </c>
      <c r="F4778" s="2">
        <v>3</v>
      </c>
      <c r="G4778" s="3" t="s">
        <v>22</v>
      </c>
      <c r="H4778" s="2">
        <v>9</v>
      </c>
      <c r="I4778" s="114" t="str">
        <f>CONCATENATE(B4778,IF(D4778=1,"01","10"),1)</f>
        <v>595101</v>
      </c>
      <c r="J4778" s="112" t="s">
        <v>3099</v>
      </c>
      <c r="K4778" s="112" t="s">
        <v>84</v>
      </c>
      <c r="L4778" s="2">
        <v>0</v>
      </c>
      <c r="M4778" s="2" t="s">
        <v>84</v>
      </c>
      <c r="N4778" s="2" t="s">
        <v>84</v>
      </c>
      <c r="O4778" s="2" t="s">
        <v>841</v>
      </c>
      <c r="P4778" s="142" t="s">
        <v>2954</v>
      </c>
    </row>
    <row r="4779" spans="1:16" ht="22" customHeight="1" x14ac:dyDescent="0.15">
      <c r="A4779" s="10" t="str">
        <f t="shared" si="766"/>
        <v>595_10_4_5_polygon</v>
      </c>
      <c r="B4779" s="2">
        <v>595</v>
      </c>
      <c r="C4779" s="30" t="str">
        <f>VLOOKUP(B4779,gachas!A:C,3)</f>
        <v>確定ステップアップガチャ（童話in)</v>
      </c>
      <c r="D4779" s="21">
        <v>10</v>
      </c>
      <c r="E4779" s="2">
        <f t="shared" si="767"/>
        <v>4</v>
      </c>
      <c r="F4779" s="2">
        <v>5</v>
      </c>
      <c r="G4779" s="3" t="s">
        <v>22</v>
      </c>
      <c r="H4779" s="2">
        <v>20</v>
      </c>
      <c r="I4779" s="114" t="str">
        <f>CONCATENATE(B4779,IF(D4779=1,"01","10"),4)</f>
        <v>595104</v>
      </c>
      <c r="J4779" s="112" t="s">
        <v>3096</v>
      </c>
      <c r="K4779" s="112" t="s">
        <v>84</v>
      </c>
      <c r="L4779" s="2">
        <v>0</v>
      </c>
      <c r="M4779" s="2" t="s">
        <v>84</v>
      </c>
      <c r="N4779" s="2" t="s">
        <v>84</v>
      </c>
      <c r="O4779" s="2" t="s">
        <v>841</v>
      </c>
      <c r="P4779" s="142" t="s">
        <v>2955</v>
      </c>
    </row>
    <row r="4780" spans="1:16" ht="22" customHeight="1" x14ac:dyDescent="0.15">
      <c r="A4780" s="10" t="str">
        <f t="shared" si="766"/>
        <v>595_10_5_10_polygon</v>
      </c>
      <c r="B4780" s="2">
        <v>595</v>
      </c>
      <c r="C4780" s="30" t="str">
        <f>VLOOKUP(B4780,gachas!A:C,3)</f>
        <v>確定ステップアップガチャ（童話in)</v>
      </c>
      <c r="D4780" s="21">
        <v>10</v>
      </c>
      <c r="E4780" s="2">
        <f t="shared" si="767"/>
        <v>5</v>
      </c>
      <c r="F4780" s="2">
        <v>10</v>
      </c>
      <c r="G4780" s="3" t="s">
        <v>22</v>
      </c>
      <c r="H4780" s="2">
        <v>40</v>
      </c>
      <c r="I4780" s="114" t="str">
        <f>CONCATENATE(B4780,IF(D4780=1,"01","10"),4)</f>
        <v>595104</v>
      </c>
      <c r="J4780" s="112" t="s">
        <v>84</v>
      </c>
      <c r="K4780" s="112" t="str">
        <f>CONCATENATE(B4780,D4780,5)</f>
        <v>595105</v>
      </c>
      <c r="L4780" s="2">
        <v>1</v>
      </c>
      <c r="M4780" s="2" t="s">
        <v>84</v>
      </c>
      <c r="N4780" s="2" t="s">
        <v>84</v>
      </c>
      <c r="O4780" s="2" t="s">
        <v>841</v>
      </c>
      <c r="P4780" s="142" t="s">
        <v>2879</v>
      </c>
    </row>
    <row r="4781" spans="1:16" ht="22" customHeight="1" x14ac:dyDescent="0.15">
      <c r="A4781" s="10" t="str">
        <f t="shared" si="766"/>
        <v>595_10_6_1_polygon</v>
      </c>
      <c r="B4781" s="2">
        <v>595</v>
      </c>
      <c r="C4781" s="30" t="str">
        <f>VLOOKUP(B4781,gachas!A:C,3)</f>
        <v>確定ステップアップガチャ（童話in)</v>
      </c>
      <c r="D4781" s="21">
        <v>10</v>
      </c>
      <c r="E4781" s="2">
        <f t="shared" si="767"/>
        <v>6</v>
      </c>
      <c r="F4781" s="2">
        <v>1</v>
      </c>
      <c r="G4781" s="3" t="s">
        <v>22</v>
      </c>
      <c r="H4781" s="2">
        <v>1</v>
      </c>
      <c r="I4781" s="114" t="str">
        <f>CONCATENATE(B4781,IF(D4781=1,"01","10"),1)</f>
        <v>595101</v>
      </c>
      <c r="J4781" s="112" t="s">
        <v>84</v>
      </c>
      <c r="K4781" s="112" t="s">
        <v>84</v>
      </c>
      <c r="L4781" s="2">
        <v>0</v>
      </c>
      <c r="M4781" s="2" t="s">
        <v>84</v>
      </c>
      <c r="N4781" s="2" t="s">
        <v>84</v>
      </c>
      <c r="O4781" s="2" t="s">
        <v>841</v>
      </c>
      <c r="P4781" s="142" t="s">
        <v>2875</v>
      </c>
    </row>
    <row r="4782" spans="1:16" ht="22" customHeight="1" x14ac:dyDescent="0.15">
      <c r="A4782" s="10" t="str">
        <f t="shared" si="766"/>
        <v>595_10_7_2_polygon</v>
      </c>
      <c r="B4782" s="2">
        <v>595</v>
      </c>
      <c r="C4782" s="30" t="str">
        <f>VLOOKUP(B4782,gachas!A:C,3)</f>
        <v>確定ステップアップガチャ（童話in)</v>
      </c>
      <c r="D4782" s="21">
        <v>10</v>
      </c>
      <c r="E4782" s="2">
        <f t="shared" si="767"/>
        <v>7</v>
      </c>
      <c r="F4782" s="2">
        <v>2</v>
      </c>
      <c r="G4782" s="3" t="s">
        <v>22</v>
      </c>
      <c r="H4782" s="2">
        <v>3</v>
      </c>
      <c r="I4782" s="114" t="str">
        <f>CONCATENATE(B4782,IF(D4782=1,"01","10"),1)</f>
        <v>595101</v>
      </c>
      <c r="J4782" s="112" t="s">
        <v>3098</v>
      </c>
      <c r="K4782" s="112" t="s">
        <v>84</v>
      </c>
      <c r="L4782" s="2">
        <v>0</v>
      </c>
      <c r="M4782" s="2" t="s">
        <v>84</v>
      </c>
      <c r="N4782" s="2" t="s">
        <v>84</v>
      </c>
      <c r="O4782" s="2" t="s">
        <v>841</v>
      </c>
      <c r="P4782" s="142" t="s">
        <v>2876</v>
      </c>
    </row>
    <row r="4783" spans="1:16" ht="22" customHeight="1" x14ac:dyDescent="0.15">
      <c r="A4783" s="10" t="str">
        <f t="shared" si="766"/>
        <v>595_10_8_3_polygon</v>
      </c>
      <c r="B4783" s="2">
        <v>595</v>
      </c>
      <c r="C4783" s="30" t="str">
        <f>VLOOKUP(B4783,gachas!A:C,3)</f>
        <v>確定ステップアップガチャ（童話in)</v>
      </c>
      <c r="D4783" s="21">
        <v>10</v>
      </c>
      <c r="E4783" s="2">
        <f t="shared" si="767"/>
        <v>8</v>
      </c>
      <c r="F4783" s="2">
        <v>3</v>
      </c>
      <c r="G4783" s="3" t="s">
        <v>22</v>
      </c>
      <c r="H4783" s="2">
        <v>9</v>
      </c>
      <c r="I4783" s="114" t="str">
        <f>CONCATENATE(B4783,IF(D4783=1,"01","10"),1)</f>
        <v>595101</v>
      </c>
      <c r="J4783" s="112" t="s">
        <v>3099</v>
      </c>
      <c r="K4783" s="112" t="s">
        <v>84</v>
      </c>
      <c r="L4783" s="2">
        <v>0</v>
      </c>
      <c r="M4783" s="2" t="s">
        <v>84</v>
      </c>
      <c r="N4783" s="2" t="s">
        <v>84</v>
      </c>
      <c r="O4783" s="2" t="s">
        <v>841</v>
      </c>
      <c r="P4783" s="142" t="s">
        <v>2954</v>
      </c>
    </row>
    <row r="4784" spans="1:16" ht="22" customHeight="1" x14ac:dyDescent="0.15">
      <c r="A4784" s="10" t="str">
        <f t="shared" si="766"/>
        <v>595_10_9_5_polygon</v>
      </c>
      <c r="B4784" s="2">
        <v>595</v>
      </c>
      <c r="C4784" s="30" t="str">
        <f>VLOOKUP(B4784,gachas!A:C,3)</f>
        <v>確定ステップアップガチャ（童話in)</v>
      </c>
      <c r="D4784" s="21">
        <v>10</v>
      </c>
      <c r="E4784" s="2">
        <f t="shared" si="767"/>
        <v>9</v>
      </c>
      <c r="F4784" s="2">
        <v>5</v>
      </c>
      <c r="G4784" s="3" t="s">
        <v>22</v>
      </c>
      <c r="H4784" s="2">
        <v>20</v>
      </c>
      <c r="I4784" s="114" t="str">
        <f>CONCATENATE(B4784,IF(D4784=1,"01","10"),4)</f>
        <v>595104</v>
      </c>
      <c r="J4784" s="112" t="s">
        <v>3096</v>
      </c>
      <c r="K4784" s="112" t="s">
        <v>84</v>
      </c>
      <c r="L4784" s="2">
        <v>0</v>
      </c>
      <c r="M4784" s="2" t="s">
        <v>84</v>
      </c>
      <c r="N4784" s="2" t="s">
        <v>84</v>
      </c>
      <c r="O4784" s="2" t="s">
        <v>841</v>
      </c>
      <c r="P4784" s="142" t="s">
        <v>2955</v>
      </c>
    </row>
    <row r="4785" spans="1:16" ht="22" customHeight="1" x14ac:dyDescent="0.15">
      <c r="A4785" s="10" t="str">
        <f t="shared" si="766"/>
        <v>595_10_10_10_polygon</v>
      </c>
      <c r="B4785" s="2">
        <v>595</v>
      </c>
      <c r="C4785" s="30" t="str">
        <f>VLOOKUP(B4785,gachas!A:C,3)</f>
        <v>確定ステップアップガチャ（童話in)</v>
      </c>
      <c r="D4785" s="21">
        <v>10</v>
      </c>
      <c r="E4785" s="2">
        <f t="shared" si="767"/>
        <v>10</v>
      </c>
      <c r="F4785" s="2">
        <v>10</v>
      </c>
      <c r="G4785" s="3" t="s">
        <v>22</v>
      </c>
      <c r="H4785" s="2">
        <v>40</v>
      </c>
      <c r="I4785" s="114" t="str">
        <f>CONCATENATE(B4785,IF(D4785=1,"01","10"),4)</f>
        <v>595104</v>
      </c>
      <c r="J4785" s="112" t="s">
        <v>84</v>
      </c>
      <c r="K4785" s="112" t="str">
        <f>CONCATENATE(B4785,D4785,5)</f>
        <v>595105</v>
      </c>
      <c r="L4785" s="2">
        <v>1</v>
      </c>
      <c r="M4785" s="2" t="s">
        <v>84</v>
      </c>
      <c r="N4785" s="2" t="s">
        <v>84</v>
      </c>
      <c r="O4785" s="2" t="s">
        <v>841</v>
      </c>
      <c r="P4785" s="142" t="s">
        <v>2879</v>
      </c>
    </row>
    <row r="4786" spans="1:16" ht="22" customHeight="1" x14ac:dyDescent="0.15">
      <c r="A4786" s="10" t="str">
        <f t="shared" si="766"/>
        <v>595_10_11_1_polygon</v>
      </c>
      <c r="B4786" s="2">
        <v>595</v>
      </c>
      <c r="C4786" s="30" t="str">
        <f>VLOOKUP(B4786,gachas!A:C,3)</f>
        <v>確定ステップアップガチャ（童話in)</v>
      </c>
      <c r="D4786" s="21">
        <v>10</v>
      </c>
      <c r="E4786" s="2">
        <f t="shared" si="767"/>
        <v>11</v>
      </c>
      <c r="F4786" s="2">
        <v>1</v>
      </c>
      <c r="G4786" s="3" t="s">
        <v>22</v>
      </c>
      <c r="H4786" s="2">
        <v>1</v>
      </c>
      <c r="I4786" s="114" t="str">
        <f>CONCATENATE(B4786,IF(D4786=1,"01","10"),1)</f>
        <v>595101</v>
      </c>
      <c r="J4786" s="112" t="s">
        <v>84</v>
      </c>
      <c r="K4786" s="112" t="s">
        <v>84</v>
      </c>
      <c r="L4786" s="2">
        <v>0</v>
      </c>
      <c r="M4786" s="2" t="s">
        <v>84</v>
      </c>
      <c r="N4786" s="2" t="s">
        <v>84</v>
      </c>
      <c r="O4786" s="2" t="s">
        <v>841</v>
      </c>
      <c r="P4786" s="142" t="s">
        <v>2875</v>
      </c>
    </row>
    <row r="4787" spans="1:16" ht="22" customHeight="1" x14ac:dyDescent="0.15">
      <c r="A4787" s="10" t="str">
        <f t="shared" si="766"/>
        <v>595_10_12_2_polygon</v>
      </c>
      <c r="B4787" s="2">
        <v>595</v>
      </c>
      <c r="C4787" s="30" t="str">
        <f>VLOOKUP(B4787,gachas!A:C,3)</f>
        <v>確定ステップアップガチャ（童話in)</v>
      </c>
      <c r="D4787" s="21">
        <v>10</v>
      </c>
      <c r="E4787" s="2">
        <f t="shared" si="767"/>
        <v>12</v>
      </c>
      <c r="F4787" s="2">
        <v>2</v>
      </c>
      <c r="G4787" s="3" t="s">
        <v>22</v>
      </c>
      <c r="H4787" s="2">
        <v>3</v>
      </c>
      <c r="I4787" s="114" t="str">
        <f>CONCATENATE(B4787,IF(D4787=1,"01","10"),1)</f>
        <v>595101</v>
      </c>
      <c r="J4787" s="112" t="s">
        <v>3098</v>
      </c>
      <c r="K4787" s="112" t="s">
        <v>84</v>
      </c>
      <c r="L4787" s="2">
        <v>0</v>
      </c>
      <c r="M4787" s="2" t="s">
        <v>84</v>
      </c>
      <c r="N4787" s="2" t="s">
        <v>84</v>
      </c>
      <c r="O4787" s="2" t="s">
        <v>841</v>
      </c>
      <c r="P4787" s="142" t="s">
        <v>2876</v>
      </c>
    </row>
    <row r="4788" spans="1:16" ht="22" customHeight="1" x14ac:dyDescent="0.15">
      <c r="A4788" s="10" t="str">
        <f t="shared" si="766"/>
        <v>595_10_13_3_polygon</v>
      </c>
      <c r="B4788" s="2">
        <v>595</v>
      </c>
      <c r="C4788" s="30" t="str">
        <f>VLOOKUP(B4788,gachas!A:C,3)</f>
        <v>確定ステップアップガチャ（童話in)</v>
      </c>
      <c r="D4788" s="21">
        <v>10</v>
      </c>
      <c r="E4788" s="2">
        <f t="shared" si="767"/>
        <v>13</v>
      </c>
      <c r="F4788" s="2">
        <v>3</v>
      </c>
      <c r="G4788" s="3" t="s">
        <v>22</v>
      </c>
      <c r="H4788" s="2">
        <v>9</v>
      </c>
      <c r="I4788" s="114" t="str">
        <f>CONCATENATE(B4788,IF(D4788=1,"01","10"),1)</f>
        <v>595101</v>
      </c>
      <c r="J4788" s="112" t="s">
        <v>3099</v>
      </c>
      <c r="K4788" s="112" t="s">
        <v>84</v>
      </c>
      <c r="L4788" s="2">
        <v>0</v>
      </c>
      <c r="M4788" s="2" t="s">
        <v>84</v>
      </c>
      <c r="N4788" s="2" t="s">
        <v>84</v>
      </c>
      <c r="O4788" s="2" t="s">
        <v>841</v>
      </c>
      <c r="P4788" s="142" t="s">
        <v>2954</v>
      </c>
    </row>
    <row r="4789" spans="1:16" ht="22" customHeight="1" x14ac:dyDescent="0.15">
      <c r="A4789" s="10" t="str">
        <f t="shared" si="766"/>
        <v>595_10_14_5_polygon</v>
      </c>
      <c r="B4789" s="2">
        <v>595</v>
      </c>
      <c r="C4789" s="30" t="str">
        <f>VLOOKUP(B4789,gachas!A:C,3)</f>
        <v>確定ステップアップガチャ（童話in)</v>
      </c>
      <c r="D4789" s="21">
        <v>10</v>
      </c>
      <c r="E4789" s="2">
        <f t="shared" si="767"/>
        <v>14</v>
      </c>
      <c r="F4789" s="2">
        <v>5</v>
      </c>
      <c r="G4789" s="3" t="s">
        <v>22</v>
      </c>
      <c r="H4789" s="2">
        <v>20</v>
      </c>
      <c r="I4789" s="114" t="str">
        <f>CONCATENATE(B4789,IF(D4789=1,"01","10"),4)</f>
        <v>595104</v>
      </c>
      <c r="J4789" s="112" t="s">
        <v>3096</v>
      </c>
      <c r="K4789" s="112" t="s">
        <v>84</v>
      </c>
      <c r="L4789" s="2">
        <v>0</v>
      </c>
      <c r="M4789" s="2" t="s">
        <v>84</v>
      </c>
      <c r="N4789" s="2" t="s">
        <v>84</v>
      </c>
      <c r="O4789" s="2" t="s">
        <v>841</v>
      </c>
      <c r="P4789" s="142" t="s">
        <v>2955</v>
      </c>
    </row>
    <row r="4790" spans="1:16" ht="22" customHeight="1" x14ac:dyDescent="0.15">
      <c r="A4790" s="10" t="str">
        <f t="shared" si="766"/>
        <v>595_10_15_10_polygon</v>
      </c>
      <c r="B4790" s="2">
        <v>595</v>
      </c>
      <c r="C4790" s="30" t="str">
        <f>VLOOKUP(B4790,gachas!A:C,3)</f>
        <v>確定ステップアップガチャ（童話in)</v>
      </c>
      <c r="D4790" s="21">
        <v>10</v>
      </c>
      <c r="E4790" s="2">
        <f t="shared" si="767"/>
        <v>15</v>
      </c>
      <c r="F4790" s="2">
        <v>10</v>
      </c>
      <c r="G4790" s="3" t="s">
        <v>22</v>
      </c>
      <c r="H4790" s="2">
        <v>40</v>
      </c>
      <c r="I4790" s="114" t="str">
        <f>CONCATENATE(B4790,IF(D4790=1,"01","10"),4)</f>
        <v>595104</v>
      </c>
      <c r="J4790" s="112" t="s">
        <v>84</v>
      </c>
      <c r="K4790" s="112" t="str">
        <f>CONCATENATE(B4790,D4790,5)</f>
        <v>595105</v>
      </c>
      <c r="L4790" s="2">
        <v>1</v>
      </c>
      <c r="M4790" s="2" t="s">
        <v>84</v>
      </c>
      <c r="N4790" s="2" t="s">
        <v>84</v>
      </c>
      <c r="O4790" s="2" t="s">
        <v>841</v>
      </c>
      <c r="P4790" s="142" t="s">
        <v>2879</v>
      </c>
    </row>
    <row r="4791" spans="1:16" ht="22" customHeight="1" x14ac:dyDescent="0.15">
      <c r="A4791" s="10" t="str">
        <f t="shared" si="766"/>
        <v>595_10_16_1_polygon</v>
      </c>
      <c r="B4791" s="2">
        <v>595</v>
      </c>
      <c r="C4791" s="30" t="str">
        <f>VLOOKUP(B4791,gachas!A:C,3)</f>
        <v>確定ステップアップガチャ（童話in)</v>
      </c>
      <c r="D4791" s="21">
        <v>10</v>
      </c>
      <c r="E4791" s="2">
        <f t="shared" si="767"/>
        <v>16</v>
      </c>
      <c r="F4791" s="2">
        <v>1</v>
      </c>
      <c r="G4791" s="3" t="s">
        <v>22</v>
      </c>
      <c r="H4791" s="2">
        <v>1</v>
      </c>
      <c r="I4791" s="114" t="str">
        <f>CONCATENATE(B4791,IF(D4791=1,"01","10"),1)</f>
        <v>595101</v>
      </c>
      <c r="J4791" s="112" t="s">
        <v>84</v>
      </c>
      <c r="K4791" s="112" t="s">
        <v>84</v>
      </c>
      <c r="L4791" s="2">
        <v>0</v>
      </c>
      <c r="M4791" s="2" t="s">
        <v>84</v>
      </c>
      <c r="N4791" s="2" t="s">
        <v>84</v>
      </c>
      <c r="O4791" s="2" t="s">
        <v>841</v>
      </c>
      <c r="P4791" s="142" t="s">
        <v>2875</v>
      </c>
    </row>
    <row r="4792" spans="1:16" ht="22" customHeight="1" x14ac:dyDescent="0.15">
      <c r="A4792" s="10" t="str">
        <f t="shared" si="766"/>
        <v>595_10_17_2_polygon</v>
      </c>
      <c r="B4792" s="2">
        <v>595</v>
      </c>
      <c r="C4792" s="30" t="str">
        <f>VLOOKUP(B4792,gachas!A:C,3)</f>
        <v>確定ステップアップガチャ（童話in)</v>
      </c>
      <c r="D4792" s="21">
        <v>10</v>
      </c>
      <c r="E4792" s="2">
        <f t="shared" si="767"/>
        <v>17</v>
      </c>
      <c r="F4792" s="2">
        <v>2</v>
      </c>
      <c r="G4792" s="3" t="s">
        <v>22</v>
      </c>
      <c r="H4792" s="2">
        <v>3</v>
      </c>
      <c r="I4792" s="114" t="str">
        <f>CONCATENATE(B4792,IF(D4792=1,"01","10"),1)</f>
        <v>595101</v>
      </c>
      <c r="J4792" s="112" t="s">
        <v>3098</v>
      </c>
      <c r="K4792" s="112" t="s">
        <v>84</v>
      </c>
      <c r="L4792" s="2">
        <v>0</v>
      </c>
      <c r="M4792" s="2" t="s">
        <v>84</v>
      </c>
      <c r="N4792" s="2" t="s">
        <v>84</v>
      </c>
      <c r="O4792" s="2" t="s">
        <v>841</v>
      </c>
      <c r="P4792" s="142" t="s">
        <v>2876</v>
      </c>
    </row>
    <row r="4793" spans="1:16" ht="22" customHeight="1" x14ac:dyDescent="0.15">
      <c r="A4793" s="10" t="str">
        <f t="shared" si="766"/>
        <v>595_10_18_3_polygon</v>
      </c>
      <c r="B4793" s="2">
        <v>595</v>
      </c>
      <c r="C4793" s="30" t="str">
        <f>VLOOKUP(B4793,gachas!A:C,3)</f>
        <v>確定ステップアップガチャ（童話in)</v>
      </c>
      <c r="D4793" s="21">
        <v>10</v>
      </c>
      <c r="E4793" s="2">
        <f t="shared" si="767"/>
        <v>18</v>
      </c>
      <c r="F4793" s="2">
        <v>3</v>
      </c>
      <c r="G4793" s="3" t="s">
        <v>22</v>
      </c>
      <c r="H4793" s="2">
        <v>9</v>
      </c>
      <c r="I4793" s="114" t="str">
        <f>CONCATENATE(B4793,IF(D4793=1,"01","10"),1)</f>
        <v>595101</v>
      </c>
      <c r="J4793" s="112" t="s">
        <v>3099</v>
      </c>
      <c r="K4793" s="112" t="s">
        <v>84</v>
      </c>
      <c r="L4793" s="2">
        <v>0</v>
      </c>
      <c r="M4793" s="2" t="s">
        <v>84</v>
      </c>
      <c r="N4793" s="2" t="s">
        <v>84</v>
      </c>
      <c r="O4793" s="2" t="s">
        <v>841</v>
      </c>
      <c r="P4793" s="142" t="s">
        <v>2954</v>
      </c>
    </row>
    <row r="4794" spans="1:16" ht="22" customHeight="1" x14ac:dyDescent="0.15">
      <c r="A4794" s="10" t="str">
        <f t="shared" si="766"/>
        <v>595_10_19_5_polygon</v>
      </c>
      <c r="B4794" s="2">
        <v>595</v>
      </c>
      <c r="C4794" s="30" t="str">
        <f>VLOOKUP(B4794,gachas!A:C,3)</f>
        <v>確定ステップアップガチャ（童話in)</v>
      </c>
      <c r="D4794" s="21">
        <v>10</v>
      </c>
      <c r="E4794" s="2">
        <f t="shared" si="767"/>
        <v>19</v>
      </c>
      <c r="F4794" s="2">
        <v>5</v>
      </c>
      <c r="G4794" s="3" t="s">
        <v>22</v>
      </c>
      <c r="H4794" s="2">
        <v>20</v>
      </c>
      <c r="I4794" s="114" t="str">
        <f>CONCATENATE(B4794,IF(D4794=1,"01","10"),4)</f>
        <v>595104</v>
      </c>
      <c r="J4794" s="112" t="s">
        <v>3096</v>
      </c>
      <c r="K4794" s="112" t="s">
        <v>84</v>
      </c>
      <c r="L4794" s="2">
        <v>0</v>
      </c>
      <c r="M4794" s="2" t="s">
        <v>84</v>
      </c>
      <c r="N4794" s="2" t="s">
        <v>84</v>
      </c>
      <c r="O4794" s="2" t="s">
        <v>841</v>
      </c>
      <c r="P4794" s="142" t="s">
        <v>2955</v>
      </c>
    </row>
    <row r="4795" spans="1:16" ht="22" customHeight="1" x14ac:dyDescent="0.15">
      <c r="A4795" s="10" t="str">
        <f t="shared" si="766"/>
        <v>595_10_20_10_polygon</v>
      </c>
      <c r="B4795" s="2">
        <v>595</v>
      </c>
      <c r="C4795" s="30" t="str">
        <f>VLOOKUP(B4795,gachas!A:C,3)</f>
        <v>確定ステップアップガチャ（童話in)</v>
      </c>
      <c r="D4795" s="21">
        <v>10</v>
      </c>
      <c r="E4795" s="2">
        <f t="shared" si="767"/>
        <v>20</v>
      </c>
      <c r="F4795" s="2">
        <v>10</v>
      </c>
      <c r="G4795" s="3" t="s">
        <v>22</v>
      </c>
      <c r="H4795" s="2">
        <v>40</v>
      </c>
      <c r="I4795" s="114" t="str">
        <f>CONCATENATE(B4795,IF(D4795=1,"01","10"),4)</f>
        <v>595104</v>
      </c>
      <c r="J4795" s="112" t="s">
        <v>84</v>
      </c>
      <c r="K4795" s="112" t="str">
        <f>CONCATENATE(B4795,D4795,5)</f>
        <v>595105</v>
      </c>
      <c r="L4795" s="2">
        <v>1</v>
      </c>
      <c r="M4795" s="2" t="s">
        <v>84</v>
      </c>
      <c r="N4795" s="2" t="s">
        <v>84</v>
      </c>
      <c r="O4795" s="2" t="s">
        <v>841</v>
      </c>
      <c r="P4795" s="142" t="s">
        <v>2879</v>
      </c>
    </row>
    <row r="4796" spans="1:16" ht="22" customHeight="1" x14ac:dyDescent="0.15">
      <c r="A4796" s="10" t="str">
        <f t="shared" si="766"/>
        <v>595_10_21_1_polygon</v>
      </c>
      <c r="B4796" s="2">
        <v>595</v>
      </c>
      <c r="C4796" s="30" t="str">
        <f>VLOOKUP(B4796,gachas!A:C,3)</f>
        <v>確定ステップアップガチャ（童話in)</v>
      </c>
      <c r="D4796" s="21">
        <v>10</v>
      </c>
      <c r="E4796" s="2">
        <f t="shared" si="767"/>
        <v>21</v>
      </c>
      <c r="F4796" s="2">
        <v>1</v>
      </c>
      <c r="G4796" s="3" t="s">
        <v>22</v>
      </c>
      <c r="H4796" s="2">
        <v>1</v>
      </c>
      <c r="I4796" s="114" t="str">
        <f>CONCATENATE(B4796,IF(D4796=1,"01","10"),1)</f>
        <v>595101</v>
      </c>
      <c r="J4796" s="112" t="s">
        <v>84</v>
      </c>
      <c r="K4796" s="112" t="s">
        <v>84</v>
      </c>
      <c r="L4796" s="2">
        <v>0</v>
      </c>
      <c r="M4796" s="2" t="s">
        <v>84</v>
      </c>
      <c r="N4796" s="2" t="s">
        <v>84</v>
      </c>
      <c r="O4796" s="2" t="s">
        <v>841</v>
      </c>
      <c r="P4796" s="142" t="s">
        <v>2875</v>
      </c>
    </row>
    <row r="4797" spans="1:16" ht="22" customHeight="1" x14ac:dyDescent="0.15">
      <c r="A4797" s="10" t="str">
        <f t="shared" si="766"/>
        <v>595_10_22_2_polygon</v>
      </c>
      <c r="B4797" s="2">
        <v>595</v>
      </c>
      <c r="C4797" s="30" t="str">
        <f>VLOOKUP(B4797,gachas!A:C,3)</f>
        <v>確定ステップアップガチャ（童話in)</v>
      </c>
      <c r="D4797" s="21">
        <v>10</v>
      </c>
      <c r="E4797" s="2">
        <f t="shared" si="767"/>
        <v>22</v>
      </c>
      <c r="F4797" s="2">
        <v>2</v>
      </c>
      <c r="G4797" s="3" t="s">
        <v>22</v>
      </c>
      <c r="H4797" s="2">
        <v>3</v>
      </c>
      <c r="I4797" s="114" t="str">
        <f>CONCATENATE(B4797,IF(D4797=1,"01","10"),1)</f>
        <v>595101</v>
      </c>
      <c r="J4797" s="112" t="s">
        <v>3098</v>
      </c>
      <c r="K4797" s="112" t="s">
        <v>84</v>
      </c>
      <c r="L4797" s="2">
        <v>0</v>
      </c>
      <c r="M4797" s="2" t="s">
        <v>84</v>
      </c>
      <c r="N4797" s="2" t="s">
        <v>84</v>
      </c>
      <c r="O4797" s="2" t="s">
        <v>841</v>
      </c>
      <c r="P4797" s="142" t="s">
        <v>2876</v>
      </c>
    </row>
    <row r="4798" spans="1:16" ht="22" customHeight="1" x14ac:dyDescent="0.15">
      <c r="A4798" s="10" t="str">
        <f t="shared" si="766"/>
        <v>595_10_23_3_polygon</v>
      </c>
      <c r="B4798" s="2">
        <v>595</v>
      </c>
      <c r="C4798" s="30" t="str">
        <f>VLOOKUP(B4798,gachas!A:C,3)</f>
        <v>確定ステップアップガチャ（童話in)</v>
      </c>
      <c r="D4798" s="21">
        <v>10</v>
      </c>
      <c r="E4798" s="2">
        <f t="shared" si="767"/>
        <v>23</v>
      </c>
      <c r="F4798" s="2">
        <v>3</v>
      </c>
      <c r="G4798" s="3" t="s">
        <v>22</v>
      </c>
      <c r="H4798" s="2">
        <v>9</v>
      </c>
      <c r="I4798" s="114" t="str">
        <f>CONCATENATE(B4798,IF(D4798=1,"01","10"),1)</f>
        <v>595101</v>
      </c>
      <c r="J4798" s="112" t="s">
        <v>3099</v>
      </c>
      <c r="K4798" s="112" t="s">
        <v>84</v>
      </c>
      <c r="L4798" s="2">
        <v>0</v>
      </c>
      <c r="M4798" s="2" t="s">
        <v>84</v>
      </c>
      <c r="N4798" s="2" t="s">
        <v>84</v>
      </c>
      <c r="O4798" s="2" t="s">
        <v>841</v>
      </c>
      <c r="P4798" s="142" t="s">
        <v>2954</v>
      </c>
    </row>
    <row r="4799" spans="1:16" ht="22" customHeight="1" x14ac:dyDescent="0.15">
      <c r="A4799" s="10" t="str">
        <f t="shared" si="766"/>
        <v>595_10_24_5_polygon</v>
      </c>
      <c r="B4799" s="2">
        <v>595</v>
      </c>
      <c r="C4799" s="30" t="str">
        <f>VLOOKUP(B4799,gachas!A:C,3)</f>
        <v>確定ステップアップガチャ（童話in)</v>
      </c>
      <c r="D4799" s="21">
        <v>10</v>
      </c>
      <c r="E4799" s="2">
        <f t="shared" si="767"/>
        <v>24</v>
      </c>
      <c r="F4799" s="2">
        <v>5</v>
      </c>
      <c r="G4799" s="3" t="s">
        <v>22</v>
      </c>
      <c r="H4799" s="2">
        <v>20</v>
      </c>
      <c r="I4799" s="114" t="str">
        <f>CONCATENATE(B4799,IF(D4799=1,"01","10"),4)</f>
        <v>595104</v>
      </c>
      <c r="J4799" s="112" t="s">
        <v>3096</v>
      </c>
      <c r="K4799" s="112" t="s">
        <v>84</v>
      </c>
      <c r="L4799" s="2">
        <v>0</v>
      </c>
      <c r="M4799" s="2" t="s">
        <v>84</v>
      </c>
      <c r="N4799" s="2" t="s">
        <v>84</v>
      </c>
      <c r="O4799" s="2" t="s">
        <v>841</v>
      </c>
      <c r="P4799" s="142" t="s">
        <v>2955</v>
      </c>
    </row>
    <row r="4800" spans="1:16" ht="22" customHeight="1" x14ac:dyDescent="0.15">
      <c r="A4800" s="10" t="str">
        <f t="shared" si="766"/>
        <v>595_10_25_10_polygon</v>
      </c>
      <c r="B4800" s="2">
        <v>595</v>
      </c>
      <c r="C4800" s="30" t="str">
        <f>VLOOKUP(B4800,gachas!A:C,3)</f>
        <v>確定ステップアップガチャ（童話in)</v>
      </c>
      <c r="D4800" s="21">
        <v>10</v>
      </c>
      <c r="E4800" s="2">
        <f t="shared" si="767"/>
        <v>25</v>
      </c>
      <c r="F4800" s="2">
        <v>10</v>
      </c>
      <c r="G4800" s="3" t="s">
        <v>22</v>
      </c>
      <c r="H4800" s="2">
        <v>40</v>
      </c>
      <c r="I4800" s="114" t="str">
        <f>CONCATENATE(B4800,IF(D4800=1,"01","10"),4)</f>
        <v>595104</v>
      </c>
      <c r="J4800" s="112" t="s">
        <v>84</v>
      </c>
      <c r="K4800" s="112" t="str">
        <f>CONCATENATE(B4800,D4800,5)</f>
        <v>595105</v>
      </c>
      <c r="L4800" s="2">
        <v>1</v>
      </c>
      <c r="M4800" s="2" t="s">
        <v>84</v>
      </c>
      <c r="N4800" s="2" t="s">
        <v>84</v>
      </c>
      <c r="O4800" s="2" t="s">
        <v>841</v>
      </c>
      <c r="P4800" s="142" t="s">
        <v>2879</v>
      </c>
    </row>
    <row r="4801" spans="1:16" ht="22" customHeight="1" x14ac:dyDescent="0.15">
      <c r="A4801" s="10" t="str">
        <f t="shared" si="766"/>
        <v>595_10_26_1_polygon</v>
      </c>
      <c r="B4801" s="2">
        <v>595</v>
      </c>
      <c r="C4801" s="30" t="str">
        <f>VLOOKUP(B4801,gachas!A:C,3)</f>
        <v>確定ステップアップガチャ（童話in)</v>
      </c>
      <c r="D4801" s="21">
        <v>10</v>
      </c>
      <c r="E4801" s="2">
        <f t="shared" si="767"/>
        <v>26</v>
      </c>
      <c r="F4801" s="2">
        <v>1</v>
      </c>
      <c r="G4801" s="3" t="s">
        <v>22</v>
      </c>
      <c r="H4801" s="2">
        <v>1</v>
      </c>
      <c r="I4801" s="114" t="str">
        <f>CONCATENATE(B4801,IF(D4801=1,"01","10"),1)</f>
        <v>595101</v>
      </c>
      <c r="J4801" s="112" t="s">
        <v>84</v>
      </c>
      <c r="K4801" s="112" t="s">
        <v>84</v>
      </c>
      <c r="L4801" s="2">
        <v>0</v>
      </c>
      <c r="M4801" s="2" t="s">
        <v>84</v>
      </c>
      <c r="N4801" s="2" t="s">
        <v>84</v>
      </c>
      <c r="O4801" s="2" t="s">
        <v>841</v>
      </c>
      <c r="P4801" s="142" t="s">
        <v>2875</v>
      </c>
    </row>
    <row r="4802" spans="1:16" ht="22" customHeight="1" x14ac:dyDescent="0.15">
      <c r="A4802" s="10" t="str">
        <f t="shared" si="766"/>
        <v>595_10_27_2_polygon</v>
      </c>
      <c r="B4802" s="2">
        <v>595</v>
      </c>
      <c r="C4802" s="30" t="str">
        <f>VLOOKUP(B4802,gachas!A:C,3)</f>
        <v>確定ステップアップガチャ（童話in)</v>
      </c>
      <c r="D4802" s="21">
        <v>10</v>
      </c>
      <c r="E4802" s="2">
        <f t="shared" si="767"/>
        <v>27</v>
      </c>
      <c r="F4802" s="2">
        <v>2</v>
      </c>
      <c r="G4802" s="3" t="s">
        <v>22</v>
      </c>
      <c r="H4802" s="2">
        <v>3</v>
      </c>
      <c r="I4802" s="114" t="str">
        <f>CONCATENATE(B4802,IF(D4802=1,"01","10"),1)</f>
        <v>595101</v>
      </c>
      <c r="J4802" s="112" t="s">
        <v>3098</v>
      </c>
      <c r="K4802" s="112" t="s">
        <v>84</v>
      </c>
      <c r="L4802" s="2">
        <v>0</v>
      </c>
      <c r="M4802" s="2" t="s">
        <v>84</v>
      </c>
      <c r="N4802" s="2" t="s">
        <v>84</v>
      </c>
      <c r="O4802" s="2" t="s">
        <v>841</v>
      </c>
      <c r="P4802" s="142" t="s">
        <v>2876</v>
      </c>
    </row>
    <row r="4803" spans="1:16" ht="22" customHeight="1" x14ac:dyDescent="0.15">
      <c r="A4803" s="10" t="str">
        <f t="shared" si="766"/>
        <v>595_10_28_3_polygon</v>
      </c>
      <c r="B4803" s="2">
        <v>595</v>
      </c>
      <c r="C4803" s="30" t="str">
        <f>VLOOKUP(B4803,gachas!A:C,3)</f>
        <v>確定ステップアップガチャ（童話in)</v>
      </c>
      <c r="D4803" s="21">
        <v>10</v>
      </c>
      <c r="E4803" s="2">
        <f t="shared" si="767"/>
        <v>28</v>
      </c>
      <c r="F4803" s="2">
        <v>3</v>
      </c>
      <c r="G4803" s="3" t="s">
        <v>22</v>
      </c>
      <c r="H4803" s="2">
        <v>9</v>
      </c>
      <c r="I4803" s="114" t="str">
        <f>CONCATENATE(B4803,IF(D4803=1,"01","10"),1)</f>
        <v>595101</v>
      </c>
      <c r="J4803" s="112" t="s">
        <v>3099</v>
      </c>
      <c r="K4803" s="112" t="s">
        <v>84</v>
      </c>
      <c r="L4803" s="2">
        <v>0</v>
      </c>
      <c r="M4803" s="2" t="s">
        <v>84</v>
      </c>
      <c r="N4803" s="2" t="s">
        <v>84</v>
      </c>
      <c r="O4803" s="2" t="s">
        <v>841</v>
      </c>
      <c r="P4803" s="142" t="s">
        <v>2954</v>
      </c>
    </row>
    <row r="4804" spans="1:16" ht="22" customHeight="1" x14ac:dyDescent="0.15">
      <c r="A4804" s="10" t="str">
        <f t="shared" si="766"/>
        <v>595_10_29_5_polygon</v>
      </c>
      <c r="B4804" s="2">
        <v>595</v>
      </c>
      <c r="C4804" s="30" t="str">
        <f>VLOOKUP(B4804,gachas!A:C,3)</f>
        <v>確定ステップアップガチャ（童話in)</v>
      </c>
      <c r="D4804" s="21">
        <v>10</v>
      </c>
      <c r="E4804" s="2">
        <f t="shared" si="767"/>
        <v>29</v>
      </c>
      <c r="F4804" s="2">
        <v>5</v>
      </c>
      <c r="G4804" s="3" t="s">
        <v>22</v>
      </c>
      <c r="H4804" s="2">
        <v>20</v>
      </c>
      <c r="I4804" s="114" t="str">
        <f>CONCATENATE(B4804,IF(D4804=1,"01","10"),4)</f>
        <v>595104</v>
      </c>
      <c r="J4804" s="112" t="s">
        <v>3096</v>
      </c>
      <c r="K4804" s="112" t="s">
        <v>84</v>
      </c>
      <c r="L4804" s="2">
        <v>0</v>
      </c>
      <c r="M4804" s="2" t="s">
        <v>84</v>
      </c>
      <c r="N4804" s="2" t="s">
        <v>84</v>
      </c>
      <c r="O4804" s="2" t="s">
        <v>841</v>
      </c>
      <c r="P4804" s="142" t="s">
        <v>2955</v>
      </c>
    </row>
    <row r="4805" spans="1:16" ht="22" customHeight="1" x14ac:dyDescent="0.15">
      <c r="A4805" s="10" t="str">
        <f t="shared" si="766"/>
        <v>595_10_30_10_polygon</v>
      </c>
      <c r="B4805" s="2">
        <v>595</v>
      </c>
      <c r="C4805" s="30" t="str">
        <f>VLOOKUP(B4805,gachas!A:C,3)</f>
        <v>確定ステップアップガチャ（童話in)</v>
      </c>
      <c r="D4805" s="21">
        <v>10</v>
      </c>
      <c r="E4805" s="2">
        <f t="shared" si="767"/>
        <v>30</v>
      </c>
      <c r="F4805" s="2">
        <v>10</v>
      </c>
      <c r="G4805" s="3" t="s">
        <v>22</v>
      </c>
      <c r="H4805" s="2">
        <v>40</v>
      </c>
      <c r="I4805" s="114" t="str">
        <f>CONCATENATE(B4805,IF(D4805=1,"01","10"),4)</f>
        <v>595104</v>
      </c>
      <c r="J4805" s="112" t="s">
        <v>84</v>
      </c>
      <c r="K4805" s="112" t="str">
        <f>CONCATENATE(B4805,D4805,5)</f>
        <v>595105</v>
      </c>
      <c r="L4805" s="2">
        <v>1</v>
      </c>
      <c r="M4805" s="2" t="s">
        <v>84</v>
      </c>
      <c r="N4805" s="2" t="s">
        <v>84</v>
      </c>
      <c r="O4805" s="2" t="s">
        <v>841</v>
      </c>
      <c r="P4805" s="142" t="s">
        <v>2879</v>
      </c>
    </row>
    <row r="4806" spans="1:16" ht="22" customHeight="1" x14ac:dyDescent="0.15">
      <c r="A4806" s="10" t="str">
        <f t="shared" si="766"/>
        <v>595_10_31_1_polygon</v>
      </c>
      <c r="B4806" s="2">
        <v>595</v>
      </c>
      <c r="C4806" s="30" t="str">
        <f>VLOOKUP(B4806,gachas!A:C,3)</f>
        <v>確定ステップアップガチャ（童話in)</v>
      </c>
      <c r="D4806" s="21">
        <v>10</v>
      </c>
      <c r="E4806" s="2">
        <f t="shared" si="767"/>
        <v>31</v>
      </c>
      <c r="F4806" s="2">
        <v>1</v>
      </c>
      <c r="G4806" s="3" t="s">
        <v>22</v>
      </c>
      <c r="H4806" s="2">
        <v>1</v>
      </c>
      <c r="I4806" s="114" t="str">
        <f>CONCATENATE(B4806,IF(D4806=1,"01","10"),1)</f>
        <v>595101</v>
      </c>
      <c r="J4806" s="112" t="s">
        <v>84</v>
      </c>
      <c r="K4806" s="112" t="s">
        <v>84</v>
      </c>
      <c r="L4806" s="2">
        <v>0</v>
      </c>
      <c r="M4806" s="2" t="s">
        <v>84</v>
      </c>
      <c r="N4806" s="2" t="s">
        <v>84</v>
      </c>
      <c r="O4806" s="2" t="s">
        <v>841</v>
      </c>
      <c r="P4806" s="142" t="s">
        <v>2875</v>
      </c>
    </row>
    <row r="4807" spans="1:16" ht="22" customHeight="1" x14ac:dyDescent="0.15">
      <c r="A4807" s="10" t="str">
        <f t="shared" si="766"/>
        <v>595_10_32_2_polygon</v>
      </c>
      <c r="B4807" s="2">
        <v>595</v>
      </c>
      <c r="C4807" s="30" t="str">
        <f>VLOOKUP(B4807,gachas!A:C,3)</f>
        <v>確定ステップアップガチャ（童話in)</v>
      </c>
      <c r="D4807" s="21">
        <v>10</v>
      </c>
      <c r="E4807" s="2">
        <f t="shared" si="767"/>
        <v>32</v>
      </c>
      <c r="F4807" s="2">
        <v>2</v>
      </c>
      <c r="G4807" s="3" t="s">
        <v>22</v>
      </c>
      <c r="H4807" s="2">
        <v>3</v>
      </c>
      <c r="I4807" s="114" t="str">
        <f>CONCATENATE(B4807,IF(D4807=1,"01","10"),1)</f>
        <v>595101</v>
      </c>
      <c r="J4807" s="112" t="s">
        <v>3098</v>
      </c>
      <c r="K4807" s="112" t="s">
        <v>84</v>
      </c>
      <c r="L4807" s="2">
        <v>0</v>
      </c>
      <c r="M4807" s="2" t="s">
        <v>84</v>
      </c>
      <c r="N4807" s="2" t="s">
        <v>84</v>
      </c>
      <c r="O4807" s="2" t="s">
        <v>841</v>
      </c>
      <c r="P4807" s="142" t="s">
        <v>2876</v>
      </c>
    </row>
    <row r="4808" spans="1:16" ht="22" customHeight="1" x14ac:dyDescent="0.15">
      <c r="A4808" s="10" t="str">
        <f t="shared" si="766"/>
        <v>595_10_33_3_polygon</v>
      </c>
      <c r="B4808" s="2">
        <v>595</v>
      </c>
      <c r="C4808" s="30" t="str">
        <f>VLOOKUP(B4808,gachas!A:C,3)</f>
        <v>確定ステップアップガチャ（童話in)</v>
      </c>
      <c r="D4808" s="21">
        <v>10</v>
      </c>
      <c r="E4808" s="2">
        <f t="shared" si="767"/>
        <v>33</v>
      </c>
      <c r="F4808" s="2">
        <v>3</v>
      </c>
      <c r="G4808" s="3" t="s">
        <v>22</v>
      </c>
      <c r="H4808" s="2">
        <v>9</v>
      </c>
      <c r="I4808" s="114" t="str">
        <f>CONCATENATE(B4808,IF(D4808=1,"01","10"),1)</f>
        <v>595101</v>
      </c>
      <c r="J4808" s="112" t="s">
        <v>3099</v>
      </c>
      <c r="K4808" s="112" t="s">
        <v>84</v>
      </c>
      <c r="L4808" s="2">
        <v>0</v>
      </c>
      <c r="M4808" s="2" t="s">
        <v>84</v>
      </c>
      <c r="N4808" s="2" t="s">
        <v>84</v>
      </c>
      <c r="O4808" s="2" t="s">
        <v>841</v>
      </c>
      <c r="P4808" s="142" t="s">
        <v>2954</v>
      </c>
    </row>
    <row r="4809" spans="1:16" ht="22" customHeight="1" x14ac:dyDescent="0.15">
      <c r="A4809" s="10" t="str">
        <f t="shared" si="766"/>
        <v>595_10_34_5_polygon</v>
      </c>
      <c r="B4809" s="2">
        <v>595</v>
      </c>
      <c r="C4809" s="30" t="str">
        <f>VLOOKUP(B4809,gachas!A:C,3)</f>
        <v>確定ステップアップガチャ（童話in)</v>
      </c>
      <c r="D4809" s="21">
        <v>10</v>
      </c>
      <c r="E4809" s="2">
        <f t="shared" si="767"/>
        <v>34</v>
      </c>
      <c r="F4809" s="2">
        <v>5</v>
      </c>
      <c r="G4809" s="3" t="s">
        <v>22</v>
      </c>
      <c r="H4809" s="2">
        <v>20</v>
      </c>
      <c r="I4809" s="114" t="str">
        <f>CONCATENATE(B4809,IF(D4809=1,"01","10"),4)</f>
        <v>595104</v>
      </c>
      <c r="J4809" s="112" t="s">
        <v>3096</v>
      </c>
      <c r="K4809" s="112" t="s">
        <v>84</v>
      </c>
      <c r="L4809" s="2">
        <v>0</v>
      </c>
      <c r="M4809" s="2" t="s">
        <v>84</v>
      </c>
      <c r="N4809" s="2" t="s">
        <v>84</v>
      </c>
      <c r="O4809" s="2" t="s">
        <v>841</v>
      </c>
      <c r="P4809" s="142" t="s">
        <v>2955</v>
      </c>
    </row>
    <row r="4810" spans="1:16" ht="22" customHeight="1" x14ac:dyDescent="0.15">
      <c r="A4810" s="10" t="str">
        <f t="shared" si="766"/>
        <v>595_10_35_10_polygon</v>
      </c>
      <c r="B4810" s="2">
        <v>595</v>
      </c>
      <c r="C4810" s="30" t="str">
        <f>VLOOKUP(B4810,gachas!A:C,3)</f>
        <v>確定ステップアップガチャ（童話in)</v>
      </c>
      <c r="D4810" s="21">
        <v>10</v>
      </c>
      <c r="E4810" s="2">
        <f t="shared" si="767"/>
        <v>35</v>
      </c>
      <c r="F4810" s="2">
        <v>10</v>
      </c>
      <c r="G4810" s="3" t="s">
        <v>22</v>
      </c>
      <c r="H4810" s="2">
        <v>40</v>
      </c>
      <c r="I4810" s="114" t="str">
        <f>CONCATENATE(B4810,IF(D4810=1,"01","10"),4)</f>
        <v>595104</v>
      </c>
      <c r="J4810" s="112" t="s">
        <v>84</v>
      </c>
      <c r="K4810" s="112" t="str">
        <f>CONCATENATE(B4810,D4810,5)</f>
        <v>595105</v>
      </c>
      <c r="L4810" s="2">
        <v>1</v>
      </c>
      <c r="M4810" s="2" t="s">
        <v>84</v>
      </c>
      <c r="N4810" s="2" t="s">
        <v>84</v>
      </c>
      <c r="O4810" s="2" t="s">
        <v>841</v>
      </c>
      <c r="P4810" s="142" t="s">
        <v>2879</v>
      </c>
    </row>
    <row r="4811" spans="1:16" ht="22" customHeight="1" x14ac:dyDescent="0.15">
      <c r="A4811" s="10" t="str">
        <f t="shared" si="766"/>
        <v>595_10_36_1_polygon</v>
      </c>
      <c r="B4811" s="2">
        <v>595</v>
      </c>
      <c r="C4811" s="30" t="str">
        <f>VLOOKUP(B4811,gachas!A:C,3)</f>
        <v>確定ステップアップガチャ（童話in)</v>
      </c>
      <c r="D4811" s="21">
        <v>10</v>
      </c>
      <c r="E4811" s="2">
        <f t="shared" si="767"/>
        <v>36</v>
      </c>
      <c r="F4811" s="2">
        <v>1</v>
      </c>
      <c r="G4811" s="3" t="s">
        <v>22</v>
      </c>
      <c r="H4811" s="2">
        <v>1</v>
      </c>
      <c r="I4811" s="114" t="str">
        <f>CONCATENATE(B4811,IF(D4811=1,"01","10"),1)</f>
        <v>595101</v>
      </c>
      <c r="J4811" s="112" t="s">
        <v>84</v>
      </c>
      <c r="K4811" s="112" t="s">
        <v>84</v>
      </c>
      <c r="L4811" s="2">
        <v>0</v>
      </c>
      <c r="M4811" s="2" t="s">
        <v>84</v>
      </c>
      <c r="N4811" s="2" t="s">
        <v>84</v>
      </c>
      <c r="O4811" s="2" t="s">
        <v>841</v>
      </c>
      <c r="P4811" s="142" t="s">
        <v>2875</v>
      </c>
    </row>
    <row r="4812" spans="1:16" ht="22" customHeight="1" x14ac:dyDescent="0.15">
      <c r="A4812" s="10" t="str">
        <f t="shared" si="766"/>
        <v>595_10_37_2_polygon</v>
      </c>
      <c r="B4812" s="2">
        <v>595</v>
      </c>
      <c r="C4812" s="30" t="str">
        <f>VLOOKUP(B4812,gachas!A:C,3)</f>
        <v>確定ステップアップガチャ（童話in)</v>
      </c>
      <c r="D4812" s="21">
        <v>10</v>
      </c>
      <c r="E4812" s="2">
        <f t="shared" si="767"/>
        <v>37</v>
      </c>
      <c r="F4812" s="2">
        <v>2</v>
      </c>
      <c r="G4812" s="3" t="s">
        <v>22</v>
      </c>
      <c r="H4812" s="2">
        <v>3</v>
      </c>
      <c r="I4812" s="114" t="str">
        <f>CONCATENATE(B4812,IF(D4812=1,"01","10"),1)</f>
        <v>595101</v>
      </c>
      <c r="J4812" s="112" t="s">
        <v>3098</v>
      </c>
      <c r="K4812" s="112" t="s">
        <v>84</v>
      </c>
      <c r="L4812" s="2">
        <v>0</v>
      </c>
      <c r="M4812" s="2" t="s">
        <v>84</v>
      </c>
      <c r="N4812" s="2" t="s">
        <v>84</v>
      </c>
      <c r="O4812" s="2" t="s">
        <v>841</v>
      </c>
      <c r="P4812" s="142" t="s">
        <v>2876</v>
      </c>
    </row>
    <row r="4813" spans="1:16" ht="22" customHeight="1" x14ac:dyDescent="0.15">
      <c r="A4813" s="10" t="str">
        <f t="shared" si="766"/>
        <v>595_10_38_3_polygon</v>
      </c>
      <c r="B4813" s="2">
        <v>595</v>
      </c>
      <c r="C4813" s="30" t="str">
        <f>VLOOKUP(B4813,gachas!A:C,3)</f>
        <v>確定ステップアップガチャ（童話in)</v>
      </c>
      <c r="D4813" s="21">
        <v>10</v>
      </c>
      <c r="E4813" s="2">
        <f t="shared" si="767"/>
        <v>38</v>
      </c>
      <c r="F4813" s="2">
        <v>3</v>
      </c>
      <c r="G4813" s="3" t="s">
        <v>22</v>
      </c>
      <c r="H4813" s="2">
        <v>9</v>
      </c>
      <c r="I4813" s="114" t="str">
        <f>CONCATENATE(B4813,IF(D4813=1,"01","10"),1)</f>
        <v>595101</v>
      </c>
      <c r="J4813" s="112" t="s">
        <v>3099</v>
      </c>
      <c r="K4813" s="112" t="s">
        <v>84</v>
      </c>
      <c r="L4813" s="2">
        <v>0</v>
      </c>
      <c r="M4813" s="2" t="s">
        <v>84</v>
      </c>
      <c r="N4813" s="2" t="s">
        <v>84</v>
      </c>
      <c r="O4813" s="2" t="s">
        <v>841</v>
      </c>
      <c r="P4813" s="142" t="s">
        <v>2954</v>
      </c>
    </row>
    <row r="4814" spans="1:16" ht="22" customHeight="1" x14ac:dyDescent="0.15">
      <c r="A4814" s="10" t="str">
        <f t="shared" si="766"/>
        <v>595_10_39_5_polygon</v>
      </c>
      <c r="B4814" s="2">
        <v>595</v>
      </c>
      <c r="C4814" s="30" t="str">
        <f>VLOOKUP(B4814,gachas!A:C,3)</f>
        <v>確定ステップアップガチャ（童話in)</v>
      </c>
      <c r="D4814" s="21">
        <v>10</v>
      </c>
      <c r="E4814" s="2">
        <f t="shared" si="767"/>
        <v>39</v>
      </c>
      <c r="F4814" s="2">
        <v>5</v>
      </c>
      <c r="G4814" s="3" t="s">
        <v>22</v>
      </c>
      <c r="H4814" s="2">
        <v>20</v>
      </c>
      <c r="I4814" s="114" t="str">
        <f>CONCATENATE(B4814,IF(D4814=1,"01","10"),4)</f>
        <v>595104</v>
      </c>
      <c r="J4814" s="112" t="s">
        <v>3096</v>
      </c>
      <c r="K4814" s="112" t="s">
        <v>84</v>
      </c>
      <c r="L4814" s="2">
        <v>0</v>
      </c>
      <c r="M4814" s="2" t="s">
        <v>84</v>
      </c>
      <c r="N4814" s="2" t="s">
        <v>84</v>
      </c>
      <c r="O4814" s="2" t="s">
        <v>841</v>
      </c>
      <c r="P4814" s="142" t="s">
        <v>2955</v>
      </c>
    </row>
    <row r="4815" spans="1:16" ht="22" customHeight="1" x14ac:dyDescent="0.15">
      <c r="A4815" s="10" t="str">
        <f t="shared" si="766"/>
        <v>595_10_40_10_polygon</v>
      </c>
      <c r="B4815" s="2">
        <v>595</v>
      </c>
      <c r="C4815" s="30" t="str">
        <f>VLOOKUP(B4815,gachas!A:C,3)</f>
        <v>確定ステップアップガチャ（童話in)</v>
      </c>
      <c r="D4815" s="21">
        <v>10</v>
      </c>
      <c r="E4815" s="2">
        <f t="shared" si="767"/>
        <v>40</v>
      </c>
      <c r="F4815" s="2">
        <v>10</v>
      </c>
      <c r="G4815" s="3" t="s">
        <v>22</v>
      </c>
      <c r="H4815" s="2">
        <v>40</v>
      </c>
      <c r="I4815" s="114" t="str">
        <f>CONCATENATE(B4815,IF(D4815=1,"01","10"),4)</f>
        <v>595104</v>
      </c>
      <c r="J4815" s="112" t="s">
        <v>84</v>
      </c>
      <c r="K4815" s="112" t="str">
        <f>CONCATENATE(B4815,D4815,5)</f>
        <v>595105</v>
      </c>
      <c r="L4815" s="2">
        <v>1</v>
      </c>
      <c r="M4815" s="2" t="s">
        <v>84</v>
      </c>
      <c r="N4815" s="2" t="s">
        <v>84</v>
      </c>
      <c r="O4815" s="2" t="s">
        <v>841</v>
      </c>
      <c r="P4815" s="142" t="s">
        <v>2879</v>
      </c>
    </row>
    <row r="4816" spans="1:16" ht="22" customHeight="1" x14ac:dyDescent="0.15">
      <c r="A4816" s="10" t="str">
        <f t="shared" si="766"/>
        <v>595_10_41_1_polygon</v>
      </c>
      <c r="B4816" s="2">
        <v>595</v>
      </c>
      <c r="C4816" s="30" t="str">
        <f>VLOOKUP(B4816,gachas!A:C,3)</f>
        <v>確定ステップアップガチャ（童話in)</v>
      </c>
      <c r="D4816" s="21">
        <v>10</v>
      </c>
      <c r="E4816" s="2">
        <f t="shared" si="767"/>
        <v>41</v>
      </c>
      <c r="F4816" s="2">
        <v>1</v>
      </c>
      <c r="G4816" s="3" t="s">
        <v>22</v>
      </c>
      <c r="H4816" s="2">
        <v>1</v>
      </c>
      <c r="I4816" s="114" t="str">
        <f>CONCATENATE(B4816,IF(D4816=1,"01","10"),1)</f>
        <v>595101</v>
      </c>
      <c r="J4816" s="112" t="s">
        <v>84</v>
      </c>
      <c r="K4816" s="112" t="s">
        <v>84</v>
      </c>
      <c r="L4816" s="2">
        <v>0</v>
      </c>
      <c r="M4816" s="2" t="s">
        <v>84</v>
      </c>
      <c r="N4816" s="2" t="s">
        <v>84</v>
      </c>
      <c r="O4816" s="2" t="s">
        <v>841</v>
      </c>
      <c r="P4816" s="142" t="s">
        <v>2875</v>
      </c>
    </row>
    <row r="4817" spans="1:16" ht="22" customHeight="1" x14ac:dyDescent="0.15">
      <c r="A4817" s="10" t="str">
        <f t="shared" si="766"/>
        <v>595_10_42_2_polygon</v>
      </c>
      <c r="B4817" s="2">
        <v>595</v>
      </c>
      <c r="C4817" s="30" t="str">
        <f>VLOOKUP(B4817,gachas!A:C,3)</f>
        <v>確定ステップアップガチャ（童話in)</v>
      </c>
      <c r="D4817" s="21">
        <v>10</v>
      </c>
      <c r="E4817" s="2">
        <f t="shared" si="767"/>
        <v>42</v>
      </c>
      <c r="F4817" s="2">
        <v>2</v>
      </c>
      <c r="G4817" s="3" t="s">
        <v>22</v>
      </c>
      <c r="H4817" s="2">
        <v>3</v>
      </c>
      <c r="I4817" s="114" t="str">
        <f>CONCATENATE(B4817,IF(D4817=1,"01","10"),1)</f>
        <v>595101</v>
      </c>
      <c r="J4817" s="112" t="s">
        <v>3098</v>
      </c>
      <c r="K4817" s="112" t="s">
        <v>84</v>
      </c>
      <c r="L4817" s="2">
        <v>0</v>
      </c>
      <c r="M4817" s="2" t="s">
        <v>84</v>
      </c>
      <c r="N4817" s="2" t="s">
        <v>84</v>
      </c>
      <c r="O4817" s="2" t="s">
        <v>841</v>
      </c>
      <c r="P4817" s="142" t="s">
        <v>2876</v>
      </c>
    </row>
    <row r="4818" spans="1:16" ht="22" customHeight="1" x14ac:dyDescent="0.15">
      <c r="A4818" s="10" t="str">
        <f t="shared" si="766"/>
        <v>595_10_43_3_polygon</v>
      </c>
      <c r="B4818" s="2">
        <v>595</v>
      </c>
      <c r="C4818" s="30" t="str">
        <f>VLOOKUP(B4818,gachas!A:C,3)</f>
        <v>確定ステップアップガチャ（童話in)</v>
      </c>
      <c r="D4818" s="21">
        <v>10</v>
      </c>
      <c r="E4818" s="2">
        <f t="shared" si="767"/>
        <v>43</v>
      </c>
      <c r="F4818" s="2">
        <v>3</v>
      </c>
      <c r="G4818" s="3" t="s">
        <v>22</v>
      </c>
      <c r="H4818" s="2">
        <v>9</v>
      </c>
      <c r="I4818" s="114" t="str">
        <f>CONCATENATE(B4818,IF(D4818=1,"01","10"),1)</f>
        <v>595101</v>
      </c>
      <c r="J4818" s="112" t="s">
        <v>3099</v>
      </c>
      <c r="K4818" s="112" t="s">
        <v>84</v>
      </c>
      <c r="L4818" s="2">
        <v>0</v>
      </c>
      <c r="M4818" s="2" t="s">
        <v>84</v>
      </c>
      <c r="N4818" s="2" t="s">
        <v>84</v>
      </c>
      <c r="O4818" s="2" t="s">
        <v>841</v>
      </c>
      <c r="P4818" s="142" t="s">
        <v>2954</v>
      </c>
    </row>
    <row r="4819" spans="1:16" ht="22" customHeight="1" x14ac:dyDescent="0.15">
      <c r="A4819" s="10" t="str">
        <f t="shared" si="766"/>
        <v>595_10_44_5_polygon</v>
      </c>
      <c r="B4819" s="2">
        <v>595</v>
      </c>
      <c r="C4819" s="30" t="str">
        <f>VLOOKUP(B4819,gachas!A:C,3)</f>
        <v>確定ステップアップガチャ（童話in)</v>
      </c>
      <c r="D4819" s="21">
        <v>10</v>
      </c>
      <c r="E4819" s="2">
        <f t="shared" si="767"/>
        <v>44</v>
      </c>
      <c r="F4819" s="2">
        <v>5</v>
      </c>
      <c r="G4819" s="3" t="s">
        <v>22</v>
      </c>
      <c r="H4819" s="2">
        <v>20</v>
      </c>
      <c r="I4819" s="114" t="str">
        <f>CONCATENATE(B4819,IF(D4819=1,"01","10"),4)</f>
        <v>595104</v>
      </c>
      <c r="J4819" s="112" t="s">
        <v>3096</v>
      </c>
      <c r="K4819" s="112" t="s">
        <v>84</v>
      </c>
      <c r="L4819" s="2">
        <v>0</v>
      </c>
      <c r="M4819" s="2" t="s">
        <v>84</v>
      </c>
      <c r="N4819" s="2" t="s">
        <v>84</v>
      </c>
      <c r="O4819" s="2" t="s">
        <v>841</v>
      </c>
      <c r="P4819" s="142" t="s">
        <v>2955</v>
      </c>
    </row>
    <row r="4820" spans="1:16" ht="22" customHeight="1" x14ac:dyDescent="0.15">
      <c r="A4820" s="10" t="str">
        <f t="shared" si="766"/>
        <v>595_10_45_10_polygon</v>
      </c>
      <c r="B4820" s="2">
        <v>595</v>
      </c>
      <c r="C4820" s="30" t="str">
        <f>VLOOKUP(B4820,gachas!A:C,3)</f>
        <v>確定ステップアップガチャ（童話in)</v>
      </c>
      <c r="D4820" s="21">
        <v>10</v>
      </c>
      <c r="E4820" s="2">
        <f>E4819+1</f>
        <v>45</v>
      </c>
      <c r="F4820" s="2">
        <v>10</v>
      </c>
      <c r="G4820" s="3" t="s">
        <v>22</v>
      </c>
      <c r="H4820" s="2">
        <v>40</v>
      </c>
      <c r="I4820" s="114" t="str">
        <f>CONCATENATE(B4820,IF(D4820=1,"01","10"),4)</f>
        <v>595104</v>
      </c>
      <c r="J4820" s="112" t="s">
        <v>84</v>
      </c>
      <c r="K4820" s="112" t="str">
        <f>CONCATENATE(B4820,D4820,5)</f>
        <v>595105</v>
      </c>
      <c r="L4820" s="2">
        <v>1</v>
      </c>
      <c r="M4820" s="2" t="s">
        <v>84</v>
      </c>
      <c r="N4820" s="2" t="s">
        <v>84</v>
      </c>
      <c r="O4820" s="2" t="s">
        <v>841</v>
      </c>
      <c r="P4820" s="142" t="s">
        <v>2879</v>
      </c>
    </row>
    <row r="4821" spans="1:16" ht="22" customHeight="1" x14ac:dyDescent="0.15">
      <c r="A4821" s="10" t="str">
        <f t="shared" si="766"/>
        <v>595_10_46_1_polygon</v>
      </c>
      <c r="B4821" s="2">
        <v>595</v>
      </c>
      <c r="C4821" s="30" t="str">
        <f>VLOOKUP(B4821,gachas!A:C,3)</f>
        <v>確定ステップアップガチャ（童話in)</v>
      </c>
      <c r="D4821" s="21">
        <v>10</v>
      </c>
      <c r="E4821" s="2">
        <f t="shared" si="767"/>
        <v>46</v>
      </c>
      <c r="F4821" s="2">
        <v>1</v>
      </c>
      <c r="G4821" s="3" t="s">
        <v>22</v>
      </c>
      <c r="H4821" s="2">
        <v>1</v>
      </c>
      <c r="I4821" s="114" t="str">
        <f>CONCATENATE(B4821,IF(D4821=1,"01","10"),1)</f>
        <v>595101</v>
      </c>
      <c r="J4821" s="112" t="s">
        <v>84</v>
      </c>
      <c r="K4821" s="112" t="s">
        <v>84</v>
      </c>
      <c r="L4821" s="2">
        <v>0</v>
      </c>
      <c r="M4821" s="2" t="s">
        <v>84</v>
      </c>
      <c r="N4821" s="2" t="s">
        <v>84</v>
      </c>
      <c r="O4821" s="2" t="s">
        <v>841</v>
      </c>
      <c r="P4821" s="142" t="s">
        <v>2875</v>
      </c>
    </row>
    <row r="4822" spans="1:16" ht="22" customHeight="1" x14ac:dyDescent="0.15">
      <c r="A4822" s="10" t="str">
        <f t="shared" si="766"/>
        <v>595_10_47_2_polygon</v>
      </c>
      <c r="B4822" s="2">
        <v>595</v>
      </c>
      <c r="C4822" s="30" t="str">
        <f>VLOOKUP(B4822,gachas!A:C,3)</f>
        <v>確定ステップアップガチャ（童話in)</v>
      </c>
      <c r="D4822" s="21">
        <v>10</v>
      </c>
      <c r="E4822" s="2">
        <f t="shared" si="767"/>
        <v>47</v>
      </c>
      <c r="F4822" s="2">
        <v>2</v>
      </c>
      <c r="G4822" s="3" t="s">
        <v>22</v>
      </c>
      <c r="H4822" s="2">
        <v>3</v>
      </c>
      <c r="I4822" s="114" t="str">
        <f>CONCATENATE(B4822,IF(D4822=1,"01","10"),1)</f>
        <v>595101</v>
      </c>
      <c r="J4822" s="112" t="s">
        <v>3098</v>
      </c>
      <c r="K4822" s="112" t="s">
        <v>84</v>
      </c>
      <c r="L4822" s="2">
        <v>0</v>
      </c>
      <c r="M4822" s="2" t="s">
        <v>84</v>
      </c>
      <c r="N4822" s="2" t="s">
        <v>84</v>
      </c>
      <c r="O4822" s="2" t="s">
        <v>841</v>
      </c>
      <c r="P4822" s="142" t="s">
        <v>2876</v>
      </c>
    </row>
    <row r="4823" spans="1:16" ht="22" customHeight="1" x14ac:dyDescent="0.15">
      <c r="A4823" s="10" t="str">
        <f t="shared" si="766"/>
        <v>595_10_48_3_polygon</v>
      </c>
      <c r="B4823" s="2">
        <v>595</v>
      </c>
      <c r="C4823" s="30" t="str">
        <f>VLOOKUP(B4823,gachas!A:C,3)</f>
        <v>確定ステップアップガチャ（童話in)</v>
      </c>
      <c r="D4823" s="21">
        <v>10</v>
      </c>
      <c r="E4823" s="2">
        <f t="shared" si="767"/>
        <v>48</v>
      </c>
      <c r="F4823" s="2">
        <v>3</v>
      </c>
      <c r="G4823" s="3" t="s">
        <v>22</v>
      </c>
      <c r="H4823" s="2">
        <v>9</v>
      </c>
      <c r="I4823" s="114" t="str">
        <f>CONCATENATE(B4823,IF(D4823=1,"01","10"),1)</f>
        <v>595101</v>
      </c>
      <c r="J4823" s="112" t="s">
        <v>3099</v>
      </c>
      <c r="K4823" s="112" t="s">
        <v>84</v>
      </c>
      <c r="L4823" s="2">
        <v>0</v>
      </c>
      <c r="M4823" s="2" t="s">
        <v>84</v>
      </c>
      <c r="N4823" s="2" t="s">
        <v>84</v>
      </c>
      <c r="O4823" s="2" t="s">
        <v>841</v>
      </c>
      <c r="P4823" s="142" t="s">
        <v>2954</v>
      </c>
    </row>
    <row r="4824" spans="1:16" ht="22" customHeight="1" x14ac:dyDescent="0.15">
      <c r="A4824" s="10" t="str">
        <f t="shared" si="766"/>
        <v>595_10_49_5_polygon</v>
      </c>
      <c r="B4824" s="2">
        <v>595</v>
      </c>
      <c r="C4824" s="30" t="str">
        <f>VLOOKUP(B4824,gachas!A:C,3)</f>
        <v>確定ステップアップガチャ（童話in)</v>
      </c>
      <c r="D4824" s="21">
        <v>10</v>
      </c>
      <c r="E4824" s="2">
        <f t="shared" si="767"/>
        <v>49</v>
      </c>
      <c r="F4824" s="2">
        <v>5</v>
      </c>
      <c r="G4824" s="3" t="s">
        <v>22</v>
      </c>
      <c r="H4824" s="2">
        <v>20</v>
      </c>
      <c r="I4824" s="114" t="str">
        <f>CONCATENATE(B4824,IF(D4824=1,"01","10"),4)</f>
        <v>595104</v>
      </c>
      <c r="J4824" s="112" t="s">
        <v>3096</v>
      </c>
      <c r="K4824" s="112" t="s">
        <v>84</v>
      </c>
      <c r="L4824" s="2">
        <v>0</v>
      </c>
      <c r="M4824" s="2" t="s">
        <v>84</v>
      </c>
      <c r="N4824" s="2" t="s">
        <v>84</v>
      </c>
      <c r="O4824" s="2" t="s">
        <v>841</v>
      </c>
      <c r="P4824" s="142" t="s">
        <v>2955</v>
      </c>
    </row>
    <row r="4825" spans="1:16" ht="22" customHeight="1" x14ac:dyDescent="0.15">
      <c r="A4825" s="10" t="str">
        <f t="shared" si="766"/>
        <v>595_10_50_10_polygon</v>
      </c>
      <c r="B4825" s="2">
        <v>595</v>
      </c>
      <c r="C4825" s="30" t="str">
        <f>VLOOKUP(B4825,gachas!A:C,3)</f>
        <v>確定ステップアップガチャ（童話in)</v>
      </c>
      <c r="D4825" s="21">
        <v>10</v>
      </c>
      <c r="E4825" s="2">
        <f>E4824+1</f>
        <v>50</v>
      </c>
      <c r="F4825" s="2">
        <v>10</v>
      </c>
      <c r="G4825" s="3" t="s">
        <v>22</v>
      </c>
      <c r="H4825" s="2">
        <v>40</v>
      </c>
      <c r="I4825" s="114" t="str">
        <f>CONCATENATE(B4825,IF(D4825=1,"01","10"),4)</f>
        <v>595104</v>
      </c>
      <c r="J4825" s="112" t="s">
        <v>84</v>
      </c>
      <c r="K4825" s="112" t="str">
        <f>CONCATENATE(B4825,D4825,5)</f>
        <v>595105</v>
      </c>
      <c r="L4825" s="2">
        <v>1</v>
      </c>
      <c r="M4825" s="2" t="s">
        <v>84</v>
      </c>
      <c r="N4825" s="2" t="s">
        <v>84</v>
      </c>
      <c r="O4825" s="2" t="s">
        <v>841</v>
      </c>
      <c r="P4825" s="142" t="s">
        <v>2879</v>
      </c>
    </row>
    <row r="4826" spans="1:16" ht="22" customHeight="1" x14ac:dyDescent="0.15">
      <c r="A4826" s="10" t="str">
        <f t="shared" si="766"/>
        <v>596_10_0_10_polygon</v>
      </c>
      <c r="B4826" s="2">
        <v>596</v>
      </c>
      <c r="C4826" s="30" t="str">
        <f>VLOOKUP(B4826,gachas!A:C,3)</f>
        <v>ランキング対抗ガチャ&lt;ライプニッツ&gt;</v>
      </c>
      <c r="D4826" s="21">
        <v>10</v>
      </c>
      <c r="E4826" s="2">
        <v>0</v>
      </c>
      <c r="F4826" s="2">
        <v>10</v>
      </c>
      <c r="G4826" s="3" t="s">
        <v>22</v>
      </c>
      <c r="H4826" s="2">
        <v>50</v>
      </c>
      <c r="I4826" s="114" t="str">
        <f t="shared" ref="I4826:I4827" si="768">B4826&amp;TEXT(D4826,"00")&amp;E4826</f>
        <v>596100</v>
      </c>
      <c r="J4826" s="112" t="s">
        <v>84</v>
      </c>
      <c r="K4826" s="116" t="s">
        <v>85</v>
      </c>
      <c r="L4826" s="2">
        <v>0</v>
      </c>
      <c r="M4826" s="2" t="s">
        <v>84</v>
      </c>
      <c r="N4826" s="2" t="s">
        <v>84</v>
      </c>
      <c r="O4826" s="2" t="s">
        <v>841</v>
      </c>
      <c r="P4826" s="18" t="s">
        <v>3254</v>
      </c>
    </row>
    <row r="4827" spans="1:16" ht="22" customHeight="1" x14ac:dyDescent="0.15">
      <c r="A4827" s="10" t="str">
        <f t="shared" si="766"/>
        <v>596_10_1_1_polygon</v>
      </c>
      <c r="B4827" s="2">
        <v>596</v>
      </c>
      <c r="C4827" s="30" t="str">
        <f>VLOOKUP(B4827,gachas!A:C,3)</f>
        <v>ランキング対抗ガチャ&lt;ライプニッツ&gt;</v>
      </c>
      <c r="D4827" s="21">
        <v>10</v>
      </c>
      <c r="E4827" s="2">
        <v>1</v>
      </c>
      <c r="F4827" s="2">
        <v>1</v>
      </c>
      <c r="G4827" s="3" t="s">
        <v>22</v>
      </c>
      <c r="H4827" s="2">
        <v>1</v>
      </c>
      <c r="I4827" s="114" t="str">
        <f t="shared" si="768"/>
        <v>596101</v>
      </c>
      <c r="J4827" s="112" t="s">
        <v>84</v>
      </c>
      <c r="K4827" s="116" t="s">
        <v>85</v>
      </c>
      <c r="L4827" s="2">
        <v>0</v>
      </c>
      <c r="M4827" s="2" t="s">
        <v>84</v>
      </c>
      <c r="N4827" s="2" t="s">
        <v>84</v>
      </c>
      <c r="O4827" s="2" t="s">
        <v>841</v>
      </c>
      <c r="P4827" s="18" t="s">
        <v>546</v>
      </c>
    </row>
    <row r="4828" spans="1:16" ht="22" customHeight="1" x14ac:dyDescent="0.15">
      <c r="A4828" s="10" t="str">
        <f t="shared" si="766"/>
        <v>596_10_2_3_polygon</v>
      </c>
      <c r="B4828" s="2">
        <v>596</v>
      </c>
      <c r="C4828" s="30" t="str">
        <f>VLOOKUP(B4828,gachas!A:C,3)</f>
        <v>ランキング対抗ガチャ&lt;ライプニッツ&gt;</v>
      </c>
      <c r="D4828" s="21">
        <v>10</v>
      </c>
      <c r="E4828" s="2">
        <v>2</v>
      </c>
      <c r="F4828" s="2">
        <v>3</v>
      </c>
      <c r="G4828" s="3" t="s">
        <v>22</v>
      </c>
      <c r="H4828" s="2">
        <v>9</v>
      </c>
      <c r="I4828" s="119" t="str">
        <f>I4827</f>
        <v>596101</v>
      </c>
      <c r="J4828" s="112" t="s">
        <v>84</v>
      </c>
      <c r="K4828" s="116" t="s">
        <v>85</v>
      </c>
      <c r="L4828" s="2">
        <v>0</v>
      </c>
      <c r="M4828" s="2" t="s">
        <v>84</v>
      </c>
      <c r="N4828" s="2" t="s">
        <v>84</v>
      </c>
      <c r="O4828" s="2" t="s">
        <v>841</v>
      </c>
      <c r="P4828" s="18" t="s">
        <v>1273</v>
      </c>
    </row>
    <row r="4829" spans="1:16" ht="22" customHeight="1" x14ac:dyDescent="0.15">
      <c r="A4829" s="10" t="str">
        <f t="shared" si="766"/>
        <v>596_10_3_10_polygon</v>
      </c>
      <c r="B4829" s="2">
        <v>596</v>
      </c>
      <c r="C4829" s="30" t="str">
        <f>VLOOKUP(B4829,gachas!A:C,3)</f>
        <v>ランキング対抗ガチャ&lt;ライプニッツ&gt;</v>
      </c>
      <c r="D4829" s="21">
        <v>10</v>
      </c>
      <c r="E4829" s="2">
        <v>3</v>
      </c>
      <c r="F4829" s="2">
        <v>10</v>
      </c>
      <c r="G4829" s="3" t="s">
        <v>22</v>
      </c>
      <c r="H4829" s="2">
        <v>35</v>
      </c>
      <c r="I4829" s="114" t="str">
        <f t="shared" ref="I4829:I4832" si="769">B4829&amp;TEXT(D4829,"00")&amp;E4829</f>
        <v>596103</v>
      </c>
      <c r="J4829" s="112" t="s">
        <v>84</v>
      </c>
      <c r="K4829" s="116" t="str">
        <f>I4829</f>
        <v>596103</v>
      </c>
      <c r="L4829" s="2">
        <v>1</v>
      </c>
      <c r="M4829" s="2" t="s">
        <v>84</v>
      </c>
      <c r="N4829" s="2" t="s">
        <v>84</v>
      </c>
      <c r="O4829" s="2" t="s">
        <v>841</v>
      </c>
      <c r="P4829" s="18" t="s">
        <v>3255</v>
      </c>
    </row>
    <row r="4830" spans="1:16" ht="22" customHeight="1" x14ac:dyDescent="0.15">
      <c r="A4830" s="10" t="str">
        <f t="shared" si="766"/>
        <v>596_10_4_10_polygon</v>
      </c>
      <c r="B4830" s="2">
        <v>596</v>
      </c>
      <c r="C4830" s="30" t="str">
        <f>VLOOKUP(B4830,gachas!A:C,3)</f>
        <v>ランキング対抗ガチャ&lt;ライプニッツ&gt;</v>
      </c>
      <c r="D4830" s="21">
        <v>10</v>
      </c>
      <c r="E4830" s="2">
        <v>4</v>
      </c>
      <c r="F4830" s="2">
        <v>10</v>
      </c>
      <c r="G4830" s="3" t="s">
        <v>22</v>
      </c>
      <c r="H4830" s="2">
        <v>50</v>
      </c>
      <c r="I4830" s="114" t="str">
        <f t="shared" si="769"/>
        <v>596104</v>
      </c>
      <c r="J4830" s="112" t="s">
        <v>84</v>
      </c>
      <c r="K4830" s="116" t="str">
        <f>I4830</f>
        <v>596104</v>
      </c>
      <c r="L4830" s="2">
        <v>1</v>
      </c>
      <c r="M4830" s="2" t="s">
        <v>84</v>
      </c>
      <c r="N4830" s="2" t="s">
        <v>84</v>
      </c>
      <c r="O4830" s="2" t="s">
        <v>841</v>
      </c>
      <c r="P4830" s="18" t="s">
        <v>3256</v>
      </c>
    </row>
    <row r="4831" spans="1:16" ht="22" customHeight="1" x14ac:dyDescent="0.15">
      <c r="A4831" s="10" t="str">
        <f t="shared" si="766"/>
        <v>596_10_5_10_polygon</v>
      </c>
      <c r="B4831" s="2">
        <v>596</v>
      </c>
      <c r="C4831" s="30" t="str">
        <f>VLOOKUP(B4831,gachas!A:C,3)</f>
        <v>ランキング対抗ガチャ&lt;ライプニッツ&gt;</v>
      </c>
      <c r="D4831" s="21">
        <v>10</v>
      </c>
      <c r="E4831" s="2">
        <v>5</v>
      </c>
      <c r="F4831" s="2">
        <v>10</v>
      </c>
      <c r="G4831" s="3" t="s">
        <v>22</v>
      </c>
      <c r="H4831" s="2">
        <v>50</v>
      </c>
      <c r="I4831" s="114" t="str">
        <f t="shared" si="769"/>
        <v>596105</v>
      </c>
      <c r="J4831" s="112" t="str">
        <f>I4831</f>
        <v>596105</v>
      </c>
      <c r="K4831" s="116" t="s">
        <v>85</v>
      </c>
      <c r="L4831" s="2">
        <v>0</v>
      </c>
      <c r="M4831" s="2" t="s">
        <v>84</v>
      </c>
      <c r="N4831" s="2" t="s">
        <v>84</v>
      </c>
      <c r="O4831" s="2" t="s">
        <v>841</v>
      </c>
      <c r="P4831" s="18" t="s">
        <v>3257</v>
      </c>
    </row>
    <row r="4832" spans="1:16" ht="22" customHeight="1" x14ac:dyDescent="0.15">
      <c r="A4832" s="10" t="str">
        <f t="shared" si="766"/>
        <v>596_10_6_10_polygon</v>
      </c>
      <c r="B4832" s="2">
        <v>596</v>
      </c>
      <c r="C4832" s="30" t="str">
        <f>VLOOKUP(B4832,gachas!A:C,3)</f>
        <v>ランキング対抗ガチャ&lt;ライプニッツ&gt;</v>
      </c>
      <c r="D4832" s="21">
        <v>10</v>
      </c>
      <c r="E4832" s="2">
        <v>6</v>
      </c>
      <c r="F4832" s="2">
        <v>10</v>
      </c>
      <c r="G4832" s="3" t="s">
        <v>22</v>
      </c>
      <c r="H4832" s="2">
        <v>50</v>
      </c>
      <c r="I4832" s="114" t="str">
        <f t="shared" si="769"/>
        <v>596106</v>
      </c>
      <c r="J4832" s="112" t="str">
        <f>I4832</f>
        <v>596106</v>
      </c>
      <c r="K4832" s="116" t="s">
        <v>85</v>
      </c>
      <c r="L4832" s="2">
        <v>0</v>
      </c>
      <c r="M4832" s="2" t="s">
        <v>84</v>
      </c>
      <c r="N4832" s="2" t="s">
        <v>84</v>
      </c>
      <c r="O4832" s="2" t="s">
        <v>841</v>
      </c>
      <c r="P4832" s="18" t="s">
        <v>3258</v>
      </c>
    </row>
    <row r="4833" spans="1:16" ht="22" customHeight="1" x14ac:dyDescent="0.15">
      <c r="A4833" s="10" t="str">
        <f t="shared" si="766"/>
        <v>596_10_7_10_polygon</v>
      </c>
      <c r="B4833" s="2">
        <v>596</v>
      </c>
      <c r="C4833" s="30" t="str">
        <f>VLOOKUP(B4833,gachas!A:C,3)</f>
        <v>ランキング対抗ガチャ&lt;ライプニッツ&gt;</v>
      </c>
      <c r="D4833" s="21">
        <v>10</v>
      </c>
      <c r="E4833" s="2">
        <v>7</v>
      </c>
      <c r="F4833" s="2">
        <v>10</v>
      </c>
      <c r="G4833" s="3" t="s">
        <v>22</v>
      </c>
      <c r="H4833" s="2">
        <v>50</v>
      </c>
      <c r="I4833" s="119" t="str">
        <f>I4826</f>
        <v>596100</v>
      </c>
      <c r="J4833" s="112" t="s">
        <v>84</v>
      </c>
      <c r="K4833" s="116" t="s">
        <v>85</v>
      </c>
      <c r="L4833" s="2">
        <v>0</v>
      </c>
      <c r="M4833" s="2" t="s">
        <v>84</v>
      </c>
      <c r="N4833" s="2" t="s">
        <v>84</v>
      </c>
      <c r="O4833" s="2" t="s">
        <v>841</v>
      </c>
      <c r="P4833" s="18" t="s">
        <v>3259</v>
      </c>
    </row>
    <row r="4834" spans="1:16" ht="22" customHeight="1" x14ac:dyDescent="0.15">
      <c r="A4834" s="10" t="str">
        <f t="shared" si="766"/>
        <v>597_10_1_10_polygon</v>
      </c>
      <c r="B4834" s="2">
        <v>597</v>
      </c>
      <c r="C4834" s="30" t="str">
        <f>VLOOKUP(B4834,gachas!A:C,3)</f>
        <v>★6確定ガチャ</v>
      </c>
      <c r="D4834" s="21">
        <v>10</v>
      </c>
      <c r="E4834" s="2">
        <v>1</v>
      </c>
      <c r="F4834" s="2">
        <v>10</v>
      </c>
      <c r="G4834" s="3" t="s">
        <v>22</v>
      </c>
      <c r="H4834" s="2">
        <v>40</v>
      </c>
      <c r="I4834" s="114" t="str">
        <f>CONCATENATE(B4834,IF(D4834=1,"01","10"),0)</f>
        <v>597100</v>
      </c>
      <c r="J4834" s="112" t="str">
        <f>CONCATENATE(B4834,IF(D4834=1,"01","10"),1)</f>
        <v>597101</v>
      </c>
      <c r="K4834" s="112" t="str">
        <f>CONCATENATE(B4834,IF(D4834=1,"01","10"),1)</f>
        <v>597101</v>
      </c>
      <c r="L4834" s="2">
        <v>1</v>
      </c>
      <c r="M4834" s="2" t="s">
        <v>84</v>
      </c>
      <c r="N4834" s="2" t="s">
        <v>84</v>
      </c>
      <c r="O4834" s="2" t="s">
        <v>841</v>
      </c>
      <c r="P4834" s="2" t="s">
        <v>84</v>
      </c>
    </row>
    <row r="4835" spans="1:16" ht="22" customHeight="1" x14ac:dyDescent="0.15">
      <c r="A4835" s="10" t="str">
        <f t="shared" si="766"/>
        <v>597_10_2_10_polygon</v>
      </c>
      <c r="B4835" s="2">
        <v>597</v>
      </c>
      <c r="C4835" s="30" t="str">
        <f>VLOOKUP(B4835,gachas!A:C,3)</f>
        <v>★6確定ガチャ</v>
      </c>
      <c r="D4835" s="21">
        <v>10</v>
      </c>
      <c r="E4835" s="2">
        <v>2</v>
      </c>
      <c r="F4835" s="2">
        <v>10</v>
      </c>
      <c r="G4835" s="3" t="s">
        <v>22</v>
      </c>
      <c r="H4835" s="2">
        <v>40</v>
      </c>
      <c r="I4835" s="114" t="str">
        <f t="shared" ref="I4835:I4836" si="770">CONCATENATE(B4835,IF(D4835=1,"01","10"),0)</f>
        <v>597100</v>
      </c>
      <c r="J4835" s="112" t="str">
        <f>CONCATENATE(B4835,IF(D4835=1,"01","10"),2)</f>
        <v>597102</v>
      </c>
      <c r="K4835" s="112" t="str">
        <f>CONCATENATE(B4835,IF(D4835=1,"01","10"),1)</f>
        <v>597101</v>
      </c>
      <c r="L4835" s="2">
        <v>1</v>
      </c>
      <c r="M4835" s="2" t="s">
        <v>84</v>
      </c>
      <c r="N4835" s="2" t="s">
        <v>84</v>
      </c>
      <c r="O4835" s="2" t="s">
        <v>841</v>
      </c>
      <c r="P4835" s="2" t="s">
        <v>84</v>
      </c>
    </row>
    <row r="4836" spans="1:16" ht="22" customHeight="1" x14ac:dyDescent="0.15">
      <c r="A4836" s="10" t="str">
        <f t="shared" si="766"/>
        <v>597_10_0_10_polygon</v>
      </c>
      <c r="B4836" s="2">
        <v>597</v>
      </c>
      <c r="C4836" s="30" t="str">
        <f>VLOOKUP(B4836,gachas!A:C,3)</f>
        <v>★6確定ガチャ</v>
      </c>
      <c r="D4836" s="21">
        <v>10</v>
      </c>
      <c r="E4836" s="2">
        <v>0</v>
      </c>
      <c r="F4836" s="2">
        <v>10</v>
      </c>
      <c r="G4836" s="3" t="s">
        <v>22</v>
      </c>
      <c r="H4836" s="2">
        <v>40</v>
      </c>
      <c r="I4836" s="114" t="str">
        <f t="shared" si="770"/>
        <v>597100</v>
      </c>
      <c r="J4836" s="112" t="str">
        <f>CONCATENATE(B4836,IF(D4836=1,"01","10"),3)</f>
        <v>597103</v>
      </c>
      <c r="K4836" s="112" t="str">
        <f>CONCATENATE(B4836,IF(D4836=1,"01","10"),3)</f>
        <v>597103</v>
      </c>
      <c r="L4836" s="2">
        <v>1</v>
      </c>
      <c r="M4836" s="2" t="s">
        <v>84</v>
      </c>
      <c r="N4836" s="2" t="s">
        <v>84</v>
      </c>
      <c r="O4836" s="2" t="s">
        <v>841</v>
      </c>
      <c r="P4836" s="2" t="s">
        <v>84</v>
      </c>
    </row>
    <row r="4837" spans="1:16" ht="22" customHeight="1" x14ac:dyDescent="0.15">
      <c r="A4837" s="10" t="str">
        <f t="shared" si="766"/>
        <v>598_1_0_1_polygon</v>
      </c>
      <c r="B4837" s="2">
        <v>598</v>
      </c>
      <c r="C4837" s="30" t="str">
        <f>VLOOKUP(B4837,gachas!A:C,3)</f>
        <v>ハガレンコラボガチャ</v>
      </c>
      <c r="D4837" s="21">
        <v>1</v>
      </c>
      <c r="E4837" s="2">
        <v>0</v>
      </c>
      <c r="F4837" s="2">
        <v>1</v>
      </c>
      <c r="G4837" s="3" t="s">
        <v>22</v>
      </c>
      <c r="H4837" s="2">
        <v>5</v>
      </c>
      <c r="I4837" s="114" t="str">
        <f>CONCATENATE(B4837,IF(D4837=1,"01","10"),0)</f>
        <v>598010</v>
      </c>
      <c r="J4837" s="112" t="s">
        <v>84</v>
      </c>
      <c r="K4837" s="112" t="s">
        <v>84</v>
      </c>
      <c r="L4837" s="2">
        <v>0</v>
      </c>
      <c r="M4837" s="2" t="s">
        <v>84</v>
      </c>
      <c r="N4837" s="2" t="s">
        <v>84</v>
      </c>
      <c r="O4837" s="2" t="s">
        <v>841</v>
      </c>
      <c r="P4837" s="2" t="s">
        <v>84</v>
      </c>
    </row>
    <row r="4838" spans="1:16" ht="22" customHeight="1" x14ac:dyDescent="0.15">
      <c r="A4838" s="10" t="str">
        <f t="shared" ref="A4838:A4839" si="771">B4838&amp;"_"&amp;D4838&amp;"_"&amp;E4838&amp;"_"&amp;F4838&amp;"_"&amp;G4838</f>
        <v>598_10_1_10_polygon</v>
      </c>
      <c r="B4838" s="2">
        <v>598</v>
      </c>
      <c r="C4838" s="30" t="str">
        <f>VLOOKUP(B4838,gachas!A:C,3)</f>
        <v>ハガレンコラボガチャ</v>
      </c>
      <c r="D4838" s="21">
        <v>10</v>
      </c>
      <c r="E4838" s="2">
        <v>1</v>
      </c>
      <c r="F4838" s="2">
        <v>10</v>
      </c>
      <c r="G4838" s="3" t="s">
        <v>22</v>
      </c>
      <c r="H4838" s="2">
        <v>35</v>
      </c>
      <c r="I4838" s="114" t="str">
        <f>CONCATENATE(B4838,IF(D4838=1,"01","10"),0)</f>
        <v>598100</v>
      </c>
      <c r="J4838" s="116" t="s">
        <v>84</v>
      </c>
      <c r="K4838" s="116" t="s">
        <v>84</v>
      </c>
      <c r="L4838" s="2">
        <v>0</v>
      </c>
      <c r="M4838" s="2" t="s">
        <v>84</v>
      </c>
      <c r="N4838" s="2" t="s">
        <v>84</v>
      </c>
      <c r="O4838" s="2" t="s">
        <v>841</v>
      </c>
      <c r="P4838" s="2" t="s">
        <v>3292</v>
      </c>
    </row>
    <row r="4839" spans="1:16" ht="22" customHeight="1" x14ac:dyDescent="0.15">
      <c r="A4839" s="10" t="str">
        <f t="shared" si="771"/>
        <v>598_10_2_10_polygon</v>
      </c>
      <c r="B4839" s="2">
        <v>598</v>
      </c>
      <c r="C4839" s="30" t="str">
        <f>VLOOKUP(B4839,gachas!A:C,3)</f>
        <v>ハガレンコラボガチャ</v>
      </c>
      <c r="D4839" s="21">
        <v>10</v>
      </c>
      <c r="E4839" s="2">
        <v>2</v>
      </c>
      <c r="F4839" s="2">
        <v>10</v>
      </c>
      <c r="G4839" s="3" t="s">
        <v>22</v>
      </c>
      <c r="H4839" s="2">
        <v>40</v>
      </c>
      <c r="I4839" s="114" t="str">
        <f t="shared" ref="I4839" si="772">CONCATENATE(B4839,IF(D4839=1,"01","10"),0)</f>
        <v>598100</v>
      </c>
      <c r="J4839" s="116" t="s">
        <v>84</v>
      </c>
      <c r="K4839" s="116" t="s">
        <v>84</v>
      </c>
      <c r="L4839" s="2">
        <v>0</v>
      </c>
      <c r="M4839" s="2" t="s">
        <v>84</v>
      </c>
      <c r="N4839" s="2" t="s">
        <v>84</v>
      </c>
      <c r="O4839" s="2" t="s">
        <v>841</v>
      </c>
      <c r="P4839" s="2" t="s">
        <v>3293</v>
      </c>
    </row>
    <row r="4840" spans="1:16" ht="22" customHeight="1" x14ac:dyDescent="0.15">
      <c r="A4840" s="10" t="str">
        <f t="shared" ref="A4840:A4853" si="773">B4840&amp;"_"&amp;D4840&amp;"_"&amp;E4840&amp;"_"&amp;F4840&amp;"_"&amp;G4840</f>
        <v>598_10_3_10_polygon</v>
      </c>
      <c r="B4840" s="2">
        <v>598</v>
      </c>
      <c r="C4840" s="30" t="str">
        <f>VLOOKUP(B4840,gachas!A:C,3)</f>
        <v>ハガレンコラボガチャ</v>
      </c>
      <c r="D4840" s="21">
        <v>10</v>
      </c>
      <c r="E4840" s="2">
        <v>3</v>
      </c>
      <c r="F4840" s="2">
        <v>10</v>
      </c>
      <c r="G4840" s="3" t="s">
        <v>22</v>
      </c>
      <c r="H4840" s="2">
        <v>50</v>
      </c>
      <c r="I4840" s="114" t="str">
        <f t="shared" ref="I4840:I4853" si="774">CONCATENATE(B4840,IF(D4840=1,"01","10"),0)</f>
        <v>598100</v>
      </c>
      <c r="J4840" s="116" t="s">
        <v>84</v>
      </c>
      <c r="K4840" s="112" t="str">
        <f>CONCATENATE(B4840,IF(D4840=1,"01","10"),E4840)</f>
        <v>598103</v>
      </c>
      <c r="L4840" s="2">
        <v>1</v>
      </c>
      <c r="M4840" s="2" t="s">
        <v>84</v>
      </c>
      <c r="N4840" s="2" t="s">
        <v>84</v>
      </c>
      <c r="O4840" s="2" t="s">
        <v>841</v>
      </c>
      <c r="P4840" s="2" t="s">
        <v>3284</v>
      </c>
    </row>
    <row r="4841" spans="1:16" ht="22" customHeight="1" x14ac:dyDescent="0.15">
      <c r="A4841" s="10" t="str">
        <f t="shared" si="773"/>
        <v>598_10_4_10_polygon</v>
      </c>
      <c r="B4841" s="2">
        <v>598</v>
      </c>
      <c r="C4841" s="30" t="str">
        <f>VLOOKUP(B4841,gachas!A:C,3)</f>
        <v>ハガレンコラボガチャ</v>
      </c>
      <c r="D4841" s="21">
        <v>10</v>
      </c>
      <c r="E4841" s="2">
        <v>4</v>
      </c>
      <c r="F4841" s="2">
        <v>10</v>
      </c>
      <c r="G4841" s="3" t="s">
        <v>22</v>
      </c>
      <c r="H4841" s="2">
        <v>35</v>
      </c>
      <c r="I4841" s="114" t="str">
        <f t="shared" si="774"/>
        <v>598100</v>
      </c>
      <c r="J4841" s="116" t="s">
        <v>84</v>
      </c>
      <c r="K4841" s="116" t="s">
        <v>84</v>
      </c>
      <c r="L4841" s="2">
        <v>0</v>
      </c>
      <c r="M4841" s="2" t="s">
        <v>84</v>
      </c>
      <c r="N4841" s="2" t="s">
        <v>84</v>
      </c>
      <c r="O4841" s="2" t="s">
        <v>841</v>
      </c>
      <c r="P4841" s="2" t="s">
        <v>3292</v>
      </c>
    </row>
    <row r="4842" spans="1:16" ht="22" customHeight="1" x14ac:dyDescent="0.15">
      <c r="A4842" s="10" t="str">
        <f t="shared" si="773"/>
        <v>598_10_5_10_polygon</v>
      </c>
      <c r="B4842" s="2">
        <v>598</v>
      </c>
      <c r="C4842" s="30" t="str">
        <f>VLOOKUP(B4842,gachas!A:C,3)</f>
        <v>ハガレンコラボガチャ</v>
      </c>
      <c r="D4842" s="21">
        <v>10</v>
      </c>
      <c r="E4842" s="2">
        <v>5</v>
      </c>
      <c r="F4842" s="2">
        <v>10</v>
      </c>
      <c r="G4842" s="3" t="s">
        <v>22</v>
      </c>
      <c r="H4842" s="2">
        <v>40</v>
      </c>
      <c r="I4842" s="114" t="str">
        <f t="shared" si="774"/>
        <v>598100</v>
      </c>
      <c r="J4842" s="116" t="s">
        <v>84</v>
      </c>
      <c r="K4842" s="116" t="s">
        <v>84</v>
      </c>
      <c r="L4842" s="2">
        <v>0</v>
      </c>
      <c r="M4842" s="2" t="s">
        <v>84</v>
      </c>
      <c r="N4842" s="2" t="s">
        <v>84</v>
      </c>
      <c r="O4842" s="2" t="s">
        <v>841</v>
      </c>
      <c r="P4842" s="2" t="s">
        <v>3293</v>
      </c>
    </row>
    <row r="4843" spans="1:16" ht="22" customHeight="1" x14ac:dyDescent="0.15">
      <c r="A4843" s="10" t="str">
        <f t="shared" si="773"/>
        <v>598_10_6_10_polygon</v>
      </c>
      <c r="B4843" s="2">
        <v>598</v>
      </c>
      <c r="C4843" s="30" t="str">
        <f>VLOOKUP(B4843,gachas!A:C,3)</f>
        <v>ハガレンコラボガチャ</v>
      </c>
      <c r="D4843" s="21">
        <v>10</v>
      </c>
      <c r="E4843" s="2">
        <v>6</v>
      </c>
      <c r="F4843" s="2">
        <v>10</v>
      </c>
      <c r="G4843" s="3" t="s">
        <v>22</v>
      </c>
      <c r="H4843" s="2">
        <v>50</v>
      </c>
      <c r="I4843" s="114" t="str">
        <f t="shared" si="774"/>
        <v>598100</v>
      </c>
      <c r="J4843" s="112" t="str">
        <f>CONCATENATE(B4843,IF(D4843=1,"01","10"),E4843)</f>
        <v>598106</v>
      </c>
      <c r="K4843" s="116" t="s">
        <v>84</v>
      </c>
      <c r="L4843" s="2">
        <v>0</v>
      </c>
      <c r="M4843" s="2" t="s">
        <v>84</v>
      </c>
      <c r="N4843" s="2" t="s">
        <v>84</v>
      </c>
      <c r="O4843" s="2" t="s">
        <v>841</v>
      </c>
      <c r="P4843" s="2" t="s">
        <v>3285</v>
      </c>
    </row>
    <row r="4844" spans="1:16" ht="22" customHeight="1" x14ac:dyDescent="0.15">
      <c r="A4844" s="10" t="str">
        <f t="shared" si="773"/>
        <v>598_10_0_10_polygon</v>
      </c>
      <c r="B4844" s="2">
        <v>598</v>
      </c>
      <c r="C4844" s="30" t="str">
        <f>VLOOKUP(B4844,gachas!A:C,3)</f>
        <v>ハガレンコラボガチャ</v>
      </c>
      <c r="D4844" s="21">
        <v>10</v>
      </c>
      <c r="E4844" s="2">
        <v>0</v>
      </c>
      <c r="F4844" s="2">
        <v>10</v>
      </c>
      <c r="G4844" s="3" t="s">
        <v>22</v>
      </c>
      <c r="H4844" s="2">
        <v>50</v>
      </c>
      <c r="I4844" s="114" t="str">
        <f t="shared" si="774"/>
        <v>598100</v>
      </c>
      <c r="J4844" s="116" t="s">
        <v>84</v>
      </c>
      <c r="K4844" s="116" t="s">
        <v>84</v>
      </c>
      <c r="L4844" s="2">
        <v>0</v>
      </c>
      <c r="M4844" s="2" t="s">
        <v>84</v>
      </c>
      <c r="N4844" s="2" t="s">
        <v>84</v>
      </c>
      <c r="O4844" s="2" t="s">
        <v>841</v>
      </c>
      <c r="P4844" s="59" t="s">
        <v>2637</v>
      </c>
    </row>
    <row r="4845" spans="1:16" ht="22" customHeight="1" x14ac:dyDescent="0.15">
      <c r="A4845" s="10" t="str">
        <f t="shared" si="773"/>
        <v>599_1_0_1_polygon</v>
      </c>
      <c r="B4845" s="2">
        <v>599</v>
      </c>
      <c r="C4845" s="30" t="str">
        <f>VLOOKUP(B4845,gachas!A:C,3)</f>
        <v>新クラファーコレクション</v>
      </c>
      <c r="D4845" s="21">
        <v>1</v>
      </c>
      <c r="E4845" s="2">
        <v>0</v>
      </c>
      <c r="F4845" s="2">
        <v>1</v>
      </c>
      <c r="G4845" s="3" t="s">
        <v>22</v>
      </c>
      <c r="H4845" s="2">
        <v>5</v>
      </c>
      <c r="I4845" s="114" t="str">
        <f>CONCATENATE(B4845,IF(D4845=1,"01","10"),0)</f>
        <v>599010</v>
      </c>
      <c r="J4845" s="112" t="s">
        <v>84</v>
      </c>
      <c r="K4845" s="112" t="s">
        <v>84</v>
      </c>
      <c r="L4845" s="2">
        <v>0</v>
      </c>
      <c r="M4845" s="2" t="s">
        <v>84</v>
      </c>
      <c r="N4845" s="2" t="s">
        <v>84</v>
      </c>
      <c r="O4845" s="2" t="s">
        <v>841</v>
      </c>
      <c r="P4845" s="2" t="s">
        <v>84</v>
      </c>
    </row>
    <row r="4846" spans="1:16" ht="22" customHeight="1" x14ac:dyDescent="0.15">
      <c r="A4846" s="10" t="str">
        <f t="shared" si="773"/>
        <v>599_10_1_10_polygon</v>
      </c>
      <c r="B4846" s="2">
        <v>599</v>
      </c>
      <c r="C4846" s="30" t="str">
        <f>VLOOKUP(B4846,gachas!A:C,3)</f>
        <v>新クラファーコレクション</v>
      </c>
      <c r="D4846" s="21">
        <v>10</v>
      </c>
      <c r="E4846" s="2">
        <v>1</v>
      </c>
      <c r="F4846" s="2">
        <v>10</v>
      </c>
      <c r="G4846" s="3" t="s">
        <v>22</v>
      </c>
      <c r="H4846" s="2">
        <v>30</v>
      </c>
      <c r="I4846" s="114" t="str">
        <f>CONCATENATE(B4846,IF(D4846=1,"01","10"),0)</f>
        <v>599100</v>
      </c>
      <c r="J4846" s="116" t="s">
        <v>84</v>
      </c>
      <c r="K4846" s="116" t="s">
        <v>84</v>
      </c>
      <c r="L4846" s="2">
        <v>0</v>
      </c>
      <c r="M4846" s="2" t="s">
        <v>84</v>
      </c>
      <c r="N4846" s="2" t="s">
        <v>84</v>
      </c>
      <c r="O4846" s="2" t="s">
        <v>841</v>
      </c>
      <c r="P4846" s="2" t="s">
        <v>3297</v>
      </c>
    </row>
    <row r="4847" spans="1:16" ht="22" customHeight="1" x14ac:dyDescent="0.15">
      <c r="A4847" s="10" t="str">
        <f t="shared" si="773"/>
        <v>599_10_2_10_polygon</v>
      </c>
      <c r="B4847" s="2">
        <v>599</v>
      </c>
      <c r="C4847" s="30" t="str">
        <f>VLOOKUP(B4847,gachas!A:C,3)</f>
        <v>新クラファーコレクション</v>
      </c>
      <c r="D4847" s="21">
        <v>10</v>
      </c>
      <c r="E4847" s="2">
        <v>2</v>
      </c>
      <c r="F4847" s="2">
        <v>10</v>
      </c>
      <c r="G4847" s="3" t="s">
        <v>22</v>
      </c>
      <c r="H4847" s="2">
        <v>40</v>
      </c>
      <c r="I4847" s="114" t="str">
        <f t="shared" ref="I4847:I4848" si="775">CONCATENATE(B4847,IF(D4847=1,"01","10"),0)</f>
        <v>599100</v>
      </c>
      <c r="J4847" s="116" t="s">
        <v>84</v>
      </c>
      <c r="K4847" s="116" t="s">
        <v>84</v>
      </c>
      <c r="L4847" s="2">
        <v>0</v>
      </c>
      <c r="M4847" s="2" t="s">
        <v>84</v>
      </c>
      <c r="N4847" s="2" t="s">
        <v>84</v>
      </c>
      <c r="O4847" s="2" t="s">
        <v>841</v>
      </c>
      <c r="P4847" s="2" t="s">
        <v>3298</v>
      </c>
    </row>
    <row r="4848" spans="1:16" ht="22" customHeight="1" x14ac:dyDescent="0.15">
      <c r="A4848" s="10" t="str">
        <f t="shared" ref="A4848" si="776">B4848&amp;"_"&amp;D4848&amp;"_"&amp;E4848&amp;"_"&amp;F4848&amp;"_"&amp;G4848</f>
        <v>599_10_3_10_polygon</v>
      </c>
      <c r="B4848" s="2">
        <v>599</v>
      </c>
      <c r="C4848" s="30" t="str">
        <f>VLOOKUP(B4848,gachas!A:C,3)</f>
        <v>新クラファーコレクション</v>
      </c>
      <c r="D4848" s="21">
        <v>10</v>
      </c>
      <c r="E4848" s="2">
        <v>3</v>
      </c>
      <c r="F4848" s="2">
        <v>10</v>
      </c>
      <c r="G4848" s="3" t="s">
        <v>22</v>
      </c>
      <c r="H4848" s="2">
        <v>50</v>
      </c>
      <c r="I4848" s="114" t="str">
        <f t="shared" si="775"/>
        <v>599100</v>
      </c>
      <c r="J4848" s="116" t="s">
        <v>84</v>
      </c>
      <c r="K4848" s="112" t="str">
        <f>CONCATENATE(B4848,IF(D4848=1,"01","10"),E4848)</f>
        <v>599103</v>
      </c>
      <c r="L4848" s="2">
        <v>1</v>
      </c>
      <c r="M4848" s="2" t="s">
        <v>84</v>
      </c>
      <c r="N4848" s="2" t="s">
        <v>84</v>
      </c>
      <c r="O4848" s="2" t="s">
        <v>841</v>
      </c>
      <c r="P4848" s="2" t="s">
        <v>3289</v>
      </c>
    </row>
    <row r="4849" spans="1:16" ht="22" customHeight="1" x14ac:dyDescent="0.15">
      <c r="A4849" s="10" t="str">
        <f t="shared" ref="A4849" si="777">B4849&amp;"_"&amp;D4849&amp;"_"&amp;E4849&amp;"_"&amp;F4849&amp;"_"&amp;G4849</f>
        <v>599_10_0_10_polygon</v>
      </c>
      <c r="B4849" s="2">
        <v>599</v>
      </c>
      <c r="C4849" s="30" t="str">
        <f>VLOOKUP(B4849,gachas!A:C,3)</f>
        <v>新クラファーコレクション</v>
      </c>
      <c r="D4849" s="21">
        <v>10</v>
      </c>
      <c r="E4849" s="2">
        <v>0</v>
      </c>
      <c r="F4849" s="2">
        <v>10</v>
      </c>
      <c r="G4849" s="3" t="s">
        <v>22</v>
      </c>
      <c r="H4849" s="2">
        <v>50</v>
      </c>
      <c r="I4849" s="114" t="str">
        <f t="shared" ref="I4849" si="778">CONCATENATE(B4849,IF(D4849=1,"01","10"),0)</f>
        <v>599100</v>
      </c>
      <c r="J4849" s="116" t="s">
        <v>84</v>
      </c>
      <c r="K4849" s="116" t="s">
        <v>84</v>
      </c>
      <c r="L4849" s="2">
        <v>0</v>
      </c>
      <c r="M4849" s="2" t="s">
        <v>84</v>
      </c>
      <c r="N4849" s="2" t="s">
        <v>84</v>
      </c>
      <c r="O4849" s="2" t="s">
        <v>841</v>
      </c>
      <c r="P4849" s="59" t="s">
        <v>2637</v>
      </c>
    </row>
    <row r="4850" spans="1:16" ht="22" customHeight="1" x14ac:dyDescent="0.15">
      <c r="A4850" s="10" t="str">
        <f t="shared" si="773"/>
        <v>600_1_0_1_polygon</v>
      </c>
      <c r="B4850" s="2">
        <v>600</v>
      </c>
      <c r="C4850" s="30" t="str">
        <f>VLOOKUP(B4850,gachas!A:C,3)</f>
        <v>クリスマススペシャルガチャSide:A</v>
      </c>
      <c r="D4850" s="21">
        <v>1</v>
      </c>
      <c r="E4850" s="2">
        <v>0</v>
      </c>
      <c r="F4850" s="2">
        <v>1</v>
      </c>
      <c r="G4850" s="3" t="s">
        <v>22</v>
      </c>
      <c r="H4850" s="2">
        <v>5</v>
      </c>
      <c r="I4850" s="114" t="str">
        <f t="shared" si="774"/>
        <v>600010</v>
      </c>
      <c r="J4850" s="112" t="s">
        <v>84</v>
      </c>
      <c r="K4850" s="112" t="s">
        <v>84</v>
      </c>
      <c r="L4850" s="2">
        <v>0</v>
      </c>
      <c r="M4850" s="2" t="s">
        <v>84</v>
      </c>
      <c r="N4850" s="2" t="s">
        <v>84</v>
      </c>
      <c r="O4850" s="2" t="s">
        <v>841</v>
      </c>
      <c r="P4850" s="2" t="s">
        <v>84</v>
      </c>
    </row>
    <row r="4851" spans="1:16" ht="22" customHeight="1" x14ac:dyDescent="0.15">
      <c r="A4851" s="10" t="str">
        <f t="shared" si="773"/>
        <v>600_10_0_10_polygon</v>
      </c>
      <c r="B4851" s="2">
        <v>600</v>
      </c>
      <c r="C4851" s="30" t="str">
        <f>VLOOKUP(B4851,gachas!A:C,3)</f>
        <v>クリスマススペシャルガチャSide:A</v>
      </c>
      <c r="D4851" s="21">
        <v>10</v>
      </c>
      <c r="E4851" s="2">
        <v>0</v>
      </c>
      <c r="F4851" s="2">
        <v>10</v>
      </c>
      <c r="G4851" s="3" t="s">
        <v>22</v>
      </c>
      <c r="H4851" s="2">
        <v>50</v>
      </c>
      <c r="I4851" s="114" t="str">
        <f t="shared" si="774"/>
        <v>600100</v>
      </c>
      <c r="J4851" s="112" t="s">
        <v>84</v>
      </c>
      <c r="K4851" s="125">
        <v>485100</v>
      </c>
      <c r="L4851" s="2">
        <v>1</v>
      </c>
      <c r="M4851" s="2" t="s">
        <v>84</v>
      </c>
      <c r="N4851" s="2" t="s">
        <v>84</v>
      </c>
      <c r="O4851" s="2" t="s">
        <v>841</v>
      </c>
      <c r="P4851" s="18" t="s">
        <v>1822</v>
      </c>
    </row>
    <row r="4852" spans="1:16" ht="22" customHeight="1" x14ac:dyDescent="0.15">
      <c r="A4852" s="10" t="str">
        <f t="shared" si="773"/>
        <v>601_1_0_1_polygon</v>
      </c>
      <c r="B4852" s="2">
        <v>601</v>
      </c>
      <c r="C4852" s="30" t="str">
        <f>VLOOKUP(B4852,gachas!A:C,3)</f>
        <v>クリスマススペシャルガチャSide:B</v>
      </c>
      <c r="D4852" s="21">
        <v>1</v>
      </c>
      <c r="E4852" s="2">
        <v>0</v>
      </c>
      <c r="F4852" s="2">
        <v>1</v>
      </c>
      <c r="G4852" s="3" t="s">
        <v>22</v>
      </c>
      <c r="H4852" s="2">
        <v>5</v>
      </c>
      <c r="I4852" s="114" t="str">
        <f t="shared" si="774"/>
        <v>601010</v>
      </c>
      <c r="J4852" s="112" t="s">
        <v>84</v>
      </c>
      <c r="K4852" s="112" t="s">
        <v>84</v>
      </c>
      <c r="L4852" s="2">
        <v>0</v>
      </c>
      <c r="M4852" s="2" t="s">
        <v>84</v>
      </c>
      <c r="N4852" s="2" t="s">
        <v>84</v>
      </c>
      <c r="O4852" s="2" t="s">
        <v>841</v>
      </c>
      <c r="P4852" s="2" t="s">
        <v>84</v>
      </c>
    </row>
    <row r="4853" spans="1:16" ht="22" customHeight="1" x14ac:dyDescent="0.15">
      <c r="A4853" s="10" t="str">
        <f t="shared" si="773"/>
        <v>601_10_0_10_polygon</v>
      </c>
      <c r="B4853" s="2">
        <v>601</v>
      </c>
      <c r="C4853" s="30" t="str">
        <f>VLOOKUP(B4853,gachas!A:C,3)</f>
        <v>クリスマススペシャルガチャSide:B</v>
      </c>
      <c r="D4853" s="21">
        <v>10</v>
      </c>
      <c r="E4853" s="2">
        <v>0</v>
      </c>
      <c r="F4853" s="2">
        <v>10</v>
      </c>
      <c r="G4853" s="3" t="s">
        <v>22</v>
      </c>
      <c r="H4853" s="2">
        <v>50</v>
      </c>
      <c r="I4853" s="114" t="str">
        <f t="shared" si="774"/>
        <v>601100</v>
      </c>
      <c r="J4853" s="112" t="s">
        <v>84</v>
      </c>
      <c r="K4853" s="125">
        <v>486100</v>
      </c>
      <c r="L4853" s="2">
        <v>1</v>
      </c>
      <c r="M4853" s="2" t="s">
        <v>84</v>
      </c>
      <c r="N4853" s="2" t="s">
        <v>84</v>
      </c>
      <c r="O4853" s="2" t="s">
        <v>841</v>
      </c>
      <c r="P4853" s="18" t="s">
        <v>1822</v>
      </c>
    </row>
    <row r="4854" spans="1:16" ht="22" customHeight="1" x14ac:dyDescent="0.15">
      <c r="A4854" s="10" t="str">
        <f t="shared" ref="A4854:A4861" si="779">B4854&amp;"_"&amp;D4854&amp;"_"&amp;E4854&amp;"_"&amp;F4854&amp;"_"&amp;G4854</f>
        <v>602_1_0_1_polygon</v>
      </c>
      <c r="B4854" s="2">
        <v>602</v>
      </c>
      <c r="C4854" s="30" t="str">
        <f>VLOOKUP(B4854,gachas!A:C,3)</f>
        <v>全世界800万DL突破記念ガチャSideA（セルシウス）</v>
      </c>
      <c r="D4854" s="21">
        <v>1</v>
      </c>
      <c r="E4854" s="2">
        <v>0</v>
      </c>
      <c r="F4854" s="2">
        <v>1</v>
      </c>
      <c r="G4854" s="3" t="s">
        <v>22</v>
      </c>
      <c r="H4854" s="2">
        <v>5</v>
      </c>
      <c r="I4854" s="114" t="str">
        <f t="shared" ref="I4854:I4861" si="780">CONCATENATE(B4854,IF(D4854=1,"01","10"),0)</f>
        <v>602010</v>
      </c>
      <c r="J4854" s="112" t="s">
        <v>84</v>
      </c>
      <c r="K4854" s="112" t="s">
        <v>84</v>
      </c>
      <c r="L4854" s="2">
        <v>0</v>
      </c>
      <c r="M4854" s="2" t="s">
        <v>84</v>
      </c>
      <c r="N4854" s="2" t="s">
        <v>84</v>
      </c>
      <c r="O4854" s="2" t="s">
        <v>841</v>
      </c>
      <c r="P4854" s="2" t="s">
        <v>84</v>
      </c>
    </row>
    <row r="4855" spans="1:16" ht="22" customHeight="1" x14ac:dyDescent="0.15">
      <c r="A4855" s="10" t="str">
        <f t="shared" si="779"/>
        <v>602_10_1_10_polygon</v>
      </c>
      <c r="B4855" s="2">
        <v>602</v>
      </c>
      <c r="C4855" s="30" t="str">
        <f>VLOOKUP(B4855,gachas!A:C,3)</f>
        <v>全世界800万DL突破記念ガチャSideA（セルシウス）</v>
      </c>
      <c r="D4855" s="21">
        <v>10</v>
      </c>
      <c r="E4855" s="2">
        <v>1</v>
      </c>
      <c r="F4855" s="2">
        <v>10</v>
      </c>
      <c r="G4855" s="3" t="s">
        <v>22</v>
      </c>
      <c r="H4855" s="2">
        <v>25</v>
      </c>
      <c r="I4855" s="114" t="str">
        <f t="shared" si="780"/>
        <v>602100</v>
      </c>
      <c r="J4855" s="112" t="s">
        <v>84</v>
      </c>
      <c r="K4855" s="112" t="s">
        <v>84</v>
      </c>
      <c r="L4855" s="2">
        <v>0</v>
      </c>
      <c r="M4855" s="2" t="s">
        <v>84</v>
      </c>
      <c r="N4855" s="2" t="s">
        <v>84</v>
      </c>
      <c r="O4855" s="2" t="s">
        <v>841</v>
      </c>
      <c r="P4855" s="59" t="s">
        <v>1783</v>
      </c>
    </row>
    <row r="4856" spans="1:16" ht="22" customHeight="1" x14ac:dyDescent="0.15">
      <c r="A4856" s="10" t="str">
        <f t="shared" si="779"/>
        <v>602_10_2_10_polygon</v>
      </c>
      <c r="B4856" s="2">
        <v>602</v>
      </c>
      <c r="C4856" s="30" t="str">
        <f>VLOOKUP(B4856,gachas!A:C,3)</f>
        <v>全世界800万DL突破記念ガチャSideA（セルシウス）</v>
      </c>
      <c r="D4856" s="21">
        <v>10</v>
      </c>
      <c r="E4856" s="2">
        <v>2</v>
      </c>
      <c r="F4856" s="2">
        <v>10</v>
      </c>
      <c r="G4856" s="3" t="s">
        <v>22</v>
      </c>
      <c r="H4856" s="2">
        <v>25</v>
      </c>
      <c r="I4856" s="114" t="str">
        <f t="shared" si="780"/>
        <v>602100</v>
      </c>
      <c r="J4856" s="112" t="s">
        <v>84</v>
      </c>
      <c r="K4856" s="112" t="s">
        <v>84</v>
      </c>
      <c r="L4856" s="2">
        <v>0</v>
      </c>
      <c r="M4856" s="2" t="s">
        <v>84</v>
      </c>
      <c r="N4856" s="2" t="s">
        <v>84</v>
      </c>
      <c r="O4856" s="2" t="s">
        <v>841</v>
      </c>
      <c r="P4856" s="59" t="s">
        <v>1783</v>
      </c>
    </row>
    <row r="4857" spans="1:16" ht="22" customHeight="1" x14ac:dyDescent="0.15">
      <c r="A4857" s="10" t="str">
        <f t="shared" si="779"/>
        <v>602_10_3_10_polygon</v>
      </c>
      <c r="B4857" s="2">
        <v>602</v>
      </c>
      <c r="C4857" s="30" t="str">
        <f>VLOOKUP(B4857,gachas!A:C,3)</f>
        <v>全世界800万DL突破記念ガチャSideA（セルシウス）</v>
      </c>
      <c r="D4857" s="21">
        <v>10</v>
      </c>
      <c r="E4857" s="2">
        <v>3</v>
      </c>
      <c r="F4857" s="2">
        <v>10</v>
      </c>
      <c r="G4857" s="3" t="s">
        <v>22</v>
      </c>
      <c r="H4857" s="2">
        <v>25</v>
      </c>
      <c r="I4857" s="114" t="str">
        <f t="shared" si="780"/>
        <v>602100</v>
      </c>
      <c r="J4857" s="112" t="s">
        <v>84</v>
      </c>
      <c r="K4857" s="112" t="s">
        <v>84</v>
      </c>
      <c r="L4857" s="2">
        <v>0</v>
      </c>
      <c r="M4857" s="2" t="s">
        <v>84</v>
      </c>
      <c r="N4857" s="2" t="s">
        <v>84</v>
      </c>
      <c r="O4857" s="2" t="s">
        <v>841</v>
      </c>
      <c r="P4857" s="59" t="s">
        <v>1783</v>
      </c>
    </row>
    <row r="4858" spans="1:16" ht="22" customHeight="1" x14ac:dyDescent="0.15">
      <c r="A4858" s="10" t="str">
        <f t="shared" si="779"/>
        <v>602_10_4_10_polygon</v>
      </c>
      <c r="B4858" s="2">
        <v>602</v>
      </c>
      <c r="C4858" s="30" t="str">
        <f>VLOOKUP(B4858,gachas!A:C,3)</f>
        <v>全世界800万DL突破記念ガチャSideA（セルシウス）</v>
      </c>
      <c r="D4858" s="21">
        <v>10</v>
      </c>
      <c r="E4858" s="2">
        <v>4</v>
      </c>
      <c r="F4858" s="2">
        <v>10</v>
      </c>
      <c r="G4858" s="3" t="s">
        <v>22</v>
      </c>
      <c r="H4858" s="2">
        <v>50</v>
      </c>
      <c r="I4858" s="114" t="str">
        <f>CONCATENATE(B4858,IF(D4858=1,"01","10"),0)</f>
        <v>602100</v>
      </c>
      <c r="J4858" s="112" t="s">
        <v>84</v>
      </c>
      <c r="K4858" s="125" t="str">
        <f>CONCATENATE(B4858,IF(D4858=1,"01","10"),E4858)</f>
        <v>602104</v>
      </c>
      <c r="L4858" s="2">
        <v>1</v>
      </c>
      <c r="M4858" s="2" t="s">
        <v>84</v>
      </c>
      <c r="N4858" s="2" t="s">
        <v>84</v>
      </c>
      <c r="O4858" s="2" t="s">
        <v>841</v>
      </c>
      <c r="P4858" s="103" t="s">
        <v>3111</v>
      </c>
    </row>
    <row r="4859" spans="1:16" ht="22" customHeight="1" x14ac:dyDescent="0.15">
      <c r="A4859" s="10" t="str">
        <f t="shared" si="779"/>
        <v>602_10_5_10_polygon</v>
      </c>
      <c r="B4859" s="2">
        <v>602</v>
      </c>
      <c r="C4859" s="30" t="str">
        <f>VLOOKUP(B4859,gachas!A:C,3)</f>
        <v>全世界800万DL突破記念ガチャSideA（セルシウス）</v>
      </c>
      <c r="D4859" s="21">
        <v>10</v>
      </c>
      <c r="E4859" s="2">
        <v>5</v>
      </c>
      <c r="F4859" s="2">
        <v>10</v>
      </c>
      <c r="G4859" s="3" t="s">
        <v>22</v>
      </c>
      <c r="H4859" s="2">
        <v>50</v>
      </c>
      <c r="I4859" s="114" t="str">
        <f t="shared" si="780"/>
        <v>602100</v>
      </c>
      <c r="J4859" s="112" t="s">
        <v>84</v>
      </c>
      <c r="K4859" s="125" t="str">
        <f>K4858</f>
        <v>602104</v>
      </c>
      <c r="L4859" s="2">
        <v>1</v>
      </c>
      <c r="M4859" s="2" t="s">
        <v>84</v>
      </c>
      <c r="N4859" s="2" t="s">
        <v>84</v>
      </c>
      <c r="O4859" s="2" t="s">
        <v>841</v>
      </c>
      <c r="P4859" s="103" t="s">
        <v>3111</v>
      </c>
    </row>
    <row r="4860" spans="1:16" ht="22" customHeight="1" x14ac:dyDescent="0.15">
      <c r="A4860" s="10" t="str">
        <f t="shared" si="779"/>
        <v>602_10_6_10_polygon</v>
      </c>
      <c r="B4860" s="2">
        <v>602</v>
      </c>
      <c r="C4860" s="30" t="str">
        <f>VLOOKUP(B4860,gachas!A:C,3)</f>
        <v>全世界800万DL突破記念ガチャSideA（セルシウス）</v>
      </c>
      <c r="D4860" s="21">
        <v>10</v>
      </c>
      <c r="E4860" s="2">
        <v>6</v>
      </c>
      <c r="F4860" s="2">
        <v>10</v>
      </c>
      <c r="G4860" s="3" t="s">
        <v>22</v>
      </c>
      <c r="H4860" s="2">
        <v>50</v>
      </c>
      <c r="I4860" s="114" t="str">
        <f t="shared" si="780"/>
        <v>602100</v>
      </c>
      <c r="J4860" s="112" t="s">
        <v>84</v>
      </c>
      <c r="K4860" s="125" t="str">
        <f>K4858</f>
        <v>602104</v>
      </c>
      <c r="L4860" s="2">
        <v>1</v>
      </c>
      <c r="M4860" s="2" t="s">
        <v>84</v>
      </c>
      <c r="N4860" s="2" t="s">
        <v>84</v>
      </c>
      <c r="O4860" s="2" t="s">
        <v>841</v>
      </c>
      <c r="P4860" s="103" t="s">
        <v>3111</v>
      </c>
    </row>
    <row r="4861" spans="1:16" ht="22" customHeight="1" x14ac:dyDescent="0.15">
      <c r="A4861" s="10" t="str">
        <f t="shared" si="779"/>
        <v>602_10_0_10_polygon</v>
      </c>
      <c r="B4861" s="2">
        <v>602</v>
      </c>
      <c r="C4861" s="30" t="str">
        <f>VLOOKUP(B4861,gachas!A:C,3)</f>
        <v>全世界800万DL突破記念ガチャSideA（セルシウス）</v>
      </c>
      <c r="D4861" s="21">
        <v>10</v>
      </c>
      <c r="E4861" s="2">
        <v>0</v>
      </c>
      <c r="F4861" s="2">
        <v>10</v>
      </c>
      <c r="G4861" s="3" t="s">
        <v>22</v>
      </c>
      <c r="H4861" s="2">
        <v>50</v>
      </c>
      <c r="I4861" s="114" t="str">
        <f t="shared" si="780"/>
        <v>602100</v>
      </c>
      <c r="J4861" s="112" t="s">
        <v>84</v>
      </c>
      <c r="K4861" s="125" t="str">
        <f>CONCATENATE(B4861,IF(D4861=1,"01","10"),E4861)</f>
        <v>602100</v>
      </c>
      <c r="L4861" s="2">
        <v>1</v>
      </c>
      <c r="M4861" s="2" t="s">
        <v>84</v>
      </c>
      <c r="N4861" s="2" t="s">
        <v>84</v>
      </c>
      <c r="O4861" s="2" t="s">
        <v>841</v>
      </c>
      <c r="P4861" s="2" t="s">
        <v>2571</v>
      </c>
    </row>
    <row r="4862" spans="1:16" ht="22" customHeight="1" x14ac:dyDescent="0.15">
      <c r="A4862" s="10" t="str">
        <f t="shared" ref="A4862:A4869" si="781">B4862&amp;"_"&amp;D4862&amp;"_"&amp;E4862&amp;"_"&amp;F4862&amp;"_"&amp;G4862</f>
        <v>603_1_0_1_polygon</v>
      </c>
      <c r="B4862" s="2">
        <v>603</v>
      </c>
      <c r="C4862" s="30" t="str">
        <f>VLOOKUP(B4862,gachas!A:C,3)</f>
        <v>全世界800万DL突破記念ガチャSideB（ハイゼンベルク）</v>
      </c>
      <c r="D4862" s="21">
        <v>1</v>
      </c>
      <c r="E4862" s="2">
        <v>0</v>
      </c>
      <c r="F4862" s="2">
        <v>1</v>
      </c>
      <c r="G4862" s="3" t="s">
        <v>22</v>
      </c>
      <c r="H4862" s="2">
        <v>5</v>
      </c>
      <c r="I4862" s="114" t="str">
        <f t="shared" ref="I4862:I4865" si="782">CONCATENATE(B4862,IF(D4862=1,"01","10"),0)</f>
        <v>603010</v>
      </c>
      <c r="J4862" s="112" t="s">
        <v>84</v>
      </c>
      <c r="K4862" s="112" t="s">
        <v>84</v>
      </c>
      <c r="L4862" s="2">
        <v>0</v>
      </c>
      <c r="M4862" s="2" t="s">
        <v>84</v>
      </c>
      <c r="N4862" s="2" t="s">
        <v>84</v>
      </c>
      <c r="O4862" s="2" t="s">
        <v>841</v>
      </c>
      <c r="P4862" s="2" t="s">
        <v>84</v>
      </c>
    </row>
    <row r="4863" spans="1:16" ht="22" customHeight="1" x14ac:dyDescent="0.15">
      <c r="A4863" s="10" t="str">
        <f t="shared" si="781"/>
        <v>603_10_1_10_polygon</v>
      </c>
      <c r="B4863" s="2">
        <v>603</v>
      </c>
      <c r="C4863" s="30" t="str">
        <f>VLOOKUP(B4863,gachas!A:C,3)</f>
        <v>全世界800万DL突破記念ガチャSideB（ハイゼンベルク）</v>
      </c>
      <c r="D4863" s="21">
        <v>10</v>
      </c>
      <c r="E4863" s="2">
        <v>1</v>
      </c>
      <c r="F4863" s="2">
        <v>10</v>
      </c>
      <c r="G4863" s="3" t="s">
        <v>22</v>
      </c>
      <c r="H4863" s="2">
        <v>25</v>
      </c>
      <c r="I4863" s="114" t="str">
        <f t="shared" si="782"/>
        <v>603100</v>
      </c>
      <c r="J4863" s="112" t="s">
        <v>84</v>
      </c>
      <c r="K4863" s="112" t="s">
        <v>84</v>
      </c>
      <c r="L4863" s="2">
        <v>0</v>
      </c>
      <c r="M4863" s="2" t="s">
        <v>84</v>
      </c>
      <c r="N4863" s="2" t="s">
        <v>84</v>
      </c>
      <c r="O4863" s="2" t="s">
        <v>841</v>
      </c>
      <c r="P4863" s="59" t="s">
        <v>1783</v>
      </c>
    </row>
    <row r="4864" spans="1:16" ht="22" customHeight="1" x14ac:dyDescent="0.15">
      <c r="A4864" s="10" t="str">
        <f t="shared" si="781"/>
        <v>603_10_2_10_polygon</v>
      </c>
      <c r="B4864" s="2">
        <v>603</v>
      </c>
      <c r="C4864" s="30" t="str">
        <f>VLOOKUP(B4864,gachas!A:C,3)</f>
        <v>全世界800万DL突破記念ガチャSideB（ハイゼンベルク）</v>
      </c>
      <c r="D4864" s="21">
        <v>10</v>
      </c>
      <c r="E4864" s="2">
        <v>2</v>
      </c>
      <c r="F4864" s="2">
        <v>10</v>
      </c>
      <c r="G4864" s="3" t="s">
        <v>22</v>
      </c>
      <c r="H4864" s="2">
        <v>25</v>
      </c>
      <c r="I4864" s="114" t="str">
        <f t="shared" si="782"/>
        <v>603100</v>
      </c>
      <c r="J4864" s="112" t="s">
        <v>84</v>
      </c>
      <c r="K4864" s="112" t="s">
        <v>84</v>
      </c>
      <c r="L4864" s="2">
        <v>0</v>
      </c>
      <c r="M4864" s="2" t="s">
        <v>84</v>
      </c>
      <c r="N4864" s="2" t="s">
        <v>84</v>
      </c>
      <c r="O4864" s="2" t="s">
        <v>841</v>
      </c>
      <c r="P4864" s="59" t="s">
        <v>1783</v>
      </c>
    </row>
    <row r="4865" spans="1:16" ht="22" customHeight="1" x14ac:dyDescent="0.15">
      <c r="A4865" s="10" t="str">
        <f t="shared" si="781"/>
        <v>603_10_3_10_polygon</v>
      </c>
      <c r="B4865" s="2">
        <v>603</v>
      </c>
      <c r="C4865" s="30" t="str">
        <f>VLOOKUP(B4865,gachas!A:C,3)</f>
        <v>全世界800万DL突破記念ガチャSideB（ハイゼンベルク）</v>
      </c>
      <c r="D4865" s="21">
        <v>10</v>
      </c>
      <c r="E4865" s="2">
        <v>3</v>
      </c>
      <c r="F4865" s="2">
        <v>10</v>
      </c>
      <c r="G4865" s="3" t="s">
        <v>22</v>
      </c>
      <c r="H4865" s="2">
        <v>25</v>
      </c>
      <c r="I4865" s="114" t="str">
        <f t="shared" si="782"/>
        <v>603100</v>
      </c>
      <c r="J4865" s="112" t="s">
        <v>84</v>
      </c>
      <c r="K4865" s="112" t="s">
        <v>84</v>
      </c>
      <c r="L4865" s="2">
        <v>0</v>
      </c>
      <c r="M4865" s="2" t="s">
        <v>84</v>
      </c>
      <c r="N4865" s="2" t="s">
        <v>84</v>
      </c>
      <c r="O4865" s="2" t="s">
        <v>841</v>
      </c>
      <c r="P4865" s="59" t="s">
        <v>1783</v>
      </c>
    </row>
    <row r="4866" spans="1:16" ht="22" customHeight="1" x14ac:dyDescent="0.15">
      <c r="A4866" s="10" t="str">
        <f t="shared" si="781"/>
        <v>603_10_4_10_polygon</v>
      </c>
      <c r="B4866" s="2">
        <v>603</v>
      </c>
      <c r="C4866" s="30" t="str">
        <f>VLOOKUP(B4866,gachas!A:C,3)</f>
        <v>全世界800万DL突破記念ガチャSideB（ハイゼンベルク）</v>
      </c>
      <c r="D4866" s="21">
        <v>10</v>
      </c>
      <c r="E4866" s="2">
        <v>4</v>
      </c>
      <c r="F4866" s="2">
        <v>10</v>
      </c>
      <c r="G4866" s="3" t="s">
        <v>22</v>
      </c>
      <c r="H4866" s="2">
        <v>50</v>
      </c>
      <c r="I4866" s="114" t="str">
        <f>CONCATENATE(B4866,IF(D4866=1,"01","10"),0)</f>
        <v>603100</v>
      </c>
      <c r="J4866" s="112" t="s">
        <v>84</v>
      </c>
      <c r="K4866" s="125" t="str">
        <f>CONCATENATE(B4866,IF(D4866=1,"01","10"),E4866)</f>
        <v>603104</v>
      </c>
      <c r="L4866" s="2">
        <v>1</v>
      </c>
      <c r="M4866" s="2" t="s">
        <v>84</v>
      </c>
      <c r="N4866" s="2" t="s">
        <v>84</v>
      </c>
      <c r="O4866" s="2" t="s">
        <v>841</v>
      </c>
      <c r="P4866" s="103" t="s">
        <v>3111</v>
      </c>
    </row>
    <row r="4867" spans="1:16" ht="22" customHeight="1" x14ac:dyDescent="0.15">
      <c r="A4867" s="10" t="str">
        <f t="shared" si="781"/>
        <v>603_10_5_10_polygon</v>
      </c>
      <c r="B4867" s="2">
        <v>603</v>
      </c>
      <c r="C4867" s="30" t="str">
        <f>VLOOKUP(B4867,gachas!A:C,3)</f>
        <v>全世界800万DL突破記念ガチャSideB（ハイゼンベルク）</v>
      </c>
      <c r="D4867" s="21">
        <v>10</v>
      </c>
      <c r="E4867" s="2">
        <v>5</v>
      </c>
      <c r="F4867" s="2">
        <v>10</v>
      </c>
      <c r="G4867" s="3" t="s">
        <v>22</v>
      </c>
      <c r="H4867" s="2">
        <v>50</v>
      </c>
      <c r="I4867" s="114" t="str">
        <f t="shared" ref="I4867:I4873" si="783">CONCATENATE(B4867,IF(D4867=1,"01","10"),0)</f>
        <v>603100</v>
      </c>
      <c r="J4867" s="112" t="s">
        <v>84</v>
      </c>
      <c r="K4867" s="125" t="str">
        <f>K4866</f>
        <v>603104</v>
      </c>
      <c r="L4867" s="2">
        <v>1</v>
      </c>
      <c r="M4867" s="2" t="s">
        <v>84</v>
      </c>
      <c r="N4867" s="2" t="s">
        <v>84</v>
      </c>
      <c r="O4867" s="2" t="s">
        <v>841</v>
      </c>
      <c r="P4867" s="103" t="s">
        <v>3111</v>
      </c>
    </row>
    <row r="4868" spans="1:16" ht="22" customHeight="1" x14ac:dyDescent="0.15">
      <c r="A4868" s="10" t="str">
        <f t="shared" si="781"/>
        <v>603_10_6_10_polygon</v>
      </c>
      <c r="B4868" s="2">
        <v>603</v>
      </c>
      <c r="C4868" s="30" t="str">
        <f>VLOOKUP(B4868,gachas!A:C,3)</f>
        <v>全世界800万DL突破記念ガチャSideB（ハイゼンベルク）</v>
      </c>
      <c r="D4868" s="21">
        <v>10</v>
      </c>
      <c r="E4868" s="2">
        <v>6</v>
      </c>
      <c r="F4868" s="2">
        <v>10</v>
      </c>
      <c r="G4868" s="3" t="s">
        <v>22</v>
      </c>
      <c r="H4868" s="2">
        <v>50</v>
      </c>
      <c r="I4868" s="114" t="str">
        <f t="shared" si="783"/>
        <v>603100</v>
      </c>
      <c r="J4868" s="112" t="s">
        <v>84</v>
      </c>
      <c r="K4868" s="125" t="str">
        <f>K4866</f>
        <v>603104</v>
      </c>
      <c r="L4868" s="2">
        <v>1</v>
      </c>
      <c r="M4868" s="2" t="s">
        <v>84</v>
      </c>
      <c r="N4868" s="2" t="s">
        <v>84</v>
      </c>
      <c r="O4868" s="2" t="s">
        <v>841</v>
      </c>
      <c r="P4868" s="103" t="s">
        <v>3111</v>
      </c>
    </row>
    <row r="4869" spans="1:16" ht="22" customHeight="1" x14ac:dyDescent="0.15">
      <c r="A4869" s="10" t="str">
        <f t="shared" si="781"/>
        <v>603_10_0_10_polygon</v>
      </c>
      <c r="B4869" s="2">
        <v>603</v>
      </c>
      <c r="C4869" s="30" t="str">
        <f>VLOOKUP(B4869,gachas!A:C,3)</f>
        <v>全世界800万DL突破記念ガチャSideB（ハイゼンベルク）</v>
      </c>
      <c r="D4869" s="21">
        <v>10</v>
      </c>
      <c r="E4869" s="2">
        <v>0</v>
      </c>
      <c r="F4869" s="2">
        <v>10</v>
      </c>
      <c r="G4869" s="3" t="s">
        <v>22</v>
      </c>
      <c r="H4869" s="2">
        <v>50</v>
      </c>
      <c r="I4869" s="114" t="str">
        <f t="shared" si="783"/>
        <v>603100</v>
      </c>
      <c r="J4869" s="112" t="s">
        <v>84</v>
      </c>
      <c r="K4869" s="125" t="str">
        <f>CONCATENATE(B4869,IF(D4869=1,"01","10"),E4869)</f>
        <v>603100</v>
      </c>
      <c r="L4869" s="2">
        <v>1</v>
      </c>
      <c r="M4869" s="2" t="s">
        <v>84</v>
      </c>
      <c r="N4869" s="2" t="s">
        <v>84</v>
      </c>
      <c r="O4869" s="2" t="s">
        <v>841</v>
      </c>
      <c r="P4869" s="2" t="s">
        <v>2571</v>
      </c>
    </row>
    <row r="4870" spans="1:16" ht="22" customHeight="1" x14ac:dyDescent="0.15">
      <c r="A4870" s="10" t="str">
        <f t="shared" ref="A4870:A4877" si="784">B4870&amp;"_"&amp;D4870&amp;"_"&amp;E4870&amp;"_"&amp;F4870&amp;"_"&amp;G4870</f>
        <v>604_1_0_1_polygon</v>
      </c>
      <c r="B4870" s="2">
        <v>604</v>
      </c>
      <c r="C4870" s="30" t="str">
        <f>VLOOKUP(B4870,gachas!A:C,3)</f>
        <v>全世界800万DL突破記念ガチャSideC（メビウス）</v>
      </c>
      <c r="D4870" s="21">
        <v>1</v>
      </c>
      <c r="E4870" s="2">
        <v>0</v>
      </c>
      <c r="F4870" s="2">
        <v>1</v>
      </c>
      <c r="G4870" s="3" t="s">
        <v>22</v>
      </c>
      <c r="H4870" s="2">
        <v>5</v>
      </c>
      <c r="I4870" s="114" t="str">
        <f t="shared" si="783"/>
        <v>604010</v>
      </c>
      <c r="J4870" s="112" t="s">
        <v>84</v>
      </c>
      <c r="K4870" s="112" t="s">
        <v>84</v>
      </c>
      <c r="L4870" s="2">
        <v>0</v>
      </c>
      <c r="M4870" s="2" t="s">
        <v>84</v>
      </c>
      <c r="N4870" s="2" t="s">
        <v>84</v>
      </c>
      <c r="O4870" s="2" t="s">
        <v>841</v>
      </c>
      <c r="P4870" s="2" t="s">
        <v>84</v>
      </c>
    </row>
    <row r="4871" spans="1:16" ht="22" customHeight="1" x14ac:dyDescent="0.15">
      <c r="A4871" s="10" t="str">
        <f t="shared" si="784"/>
        <v>604_10_1_10_polygon</v>
      </c>
      <c r="B4871" s="2">
        <v>604</v>
      </c>
      <c r="C4871" s="30" t="str">
        <f>VLOOKUP(B4871,gachas!A:C,3)</f>
        <v>全世界800万DL突破記念ガチャSideC（メビウス）</v>
      </c>
      <c r="D4871" s="21">
        <v>10</v>
      </c>
      <c r="E4871" s="2">
        <v>1</v>
      </c>
      <c r="F4871" s="2">
        <v>10</v>
      </c>
      <c r="G4871" s="3" t="s">
        <v>22</v>
      </c>
      <c r="H4871" s="2">
        <v>25</v>
      </c>
      <c r="I4871" s="114" t="str">
        <f t="shared" si="783"/>
        <v>604100</v>
      </c>
      <c r="J4871" s="112" t="s">
        <v>84</v>
      </c>
      <c r="K4871" s="112" t="s">
        <v>84</v>
      </c>
      <c r="L4871" s="2">
        <v>0</v>
      </c>
      <c r="M4871" s="2" t="s">
        <v>84</v>
      </c>
      <c r="N4871" s="2" t="s">
        <v>84</v>
      </c>
      <c r="O4871" s="2" t="s">
        <v>841</v>
      </c>
      <c r="P4871" s="59" t="s">
        <v>1783</v>
      </c>
    </row>
    <row r="4872" spans="1:16" ht="22" customHeight="1" x14ac:dyDescent="0.15">
      <c r="A4872" s="10" t="str">
        <f t="shared" si="784"/>
        <v>604_10_2_10_polygon</v>
      </c>
      <c r="B4872" s="2">
        <v>604</v>
      </c>
      <c r="C4872" s="30" t="str">
        <f>VLOOKUP(B4872,gachas!A:C,3)</f>
        <v>全世界800万DL突破記念ガチャSideC（メビウス）</v>
      </c>
      <c r="D4872" s="21">
        <v>10</v>
      </c>
      <c r="E4872" s="2">
        <v>2</v>
      </c>
      <c r="F4872" s="2">
        <v>10</v>
      </c>
      <c r="G4872" s="3" t="s">
        <v>22</v>
      </c>
      <c r="H4872" s="2">
        <v>25</v>
      </c>
      <c r="I4872" s="114" t="str">
        <f t="shared" si="783"/>
        <v>604100</v>
      </c>
      <c r="J4872" s="112" t="s">
        <v>84</v>
      </c>
      <c r="K4872" s="112" t="s">
        <v>84</v>
      </c>
      <c r="L4872" s="2">
        <v>0</v>
      </c>
      <c r="M4872" s="2" t="s">
        <v>84</v>
      </c>
      <c r="N4872" s="2" t="s">
        <v>84</v>
      </c>
      <c r="O4872" s="2" t="s">
        <v>841</v>
      </c>
      <c r="P4872" s="59" t="s">
        <v>1783</v>
      </c>
    </row>
    <row r="4873" spans="1:16" ht="22" customHeight="1" x14ac:dyDescent="0.15">
      <c r="A4873" s="10" t="str">
        <f t="shared" si="784"/>
        <v>604_10_3_10_polygon</v>
      </c>
      <c r="B4873" s="2">
        <v>604</v>
      </c>
      <c r="C4873" s="30" t="str">
        <f>VLOOKUP(B4873,gachas!A:C,3)</f>
        <v>全世界800万DL突破記念ガチャSideC（メビウス）</v>
      </c>
      <c r="D4873" s="21">
        <v>10</v>
      </c>
      <c r="E4873" s="2">
        <v>3</v>
      </c>
      <c r="F4873" s="2">
        <v>10</v>
      </c>
      <c r="G4873" s="3" t="s">
        <v>22</v>
      </c>
      <c r="H4873" s="2">
        <v>25</v>
      </c>
      <c r="I4873" s="114" t="str">
        <f t="shared" si="783"/>
        <v>604100</v>
      </c>
      <c r="J4873" s="112" t="s">
        <v>84</v>
      </c>
      <c r="K4873" s="112" t="s">
        <v>84</v>
      </c>
      <c r="L4873" s="2">
        <v>0</v>
      </c>
      <c r="M4873" s="2" t="s">
        <v>84</v>
      </c>
      <c r="N4873" s="2" t="s">
        <v>84</v>
      </c>
      <c r="O4873" s="2" t="s">
        <v>841</v>
      </c>
      <c r="P4873" s="59" t="s">
        <v>1783</v>
      </c>
    </row>
    <row r="4874" spans="1:16" ht="22" customHeight="1" x14ac:dyDescent="0.15">
      <c r="A4874" s="10" t="str">
        <f t="shared" si="784"/>
        <v>604_10_4_10_polygon</v>
      </c>
      <c r="B4874" s="2">
        <v>604</v>
      </c>
      <c r="C4874" s="30" t="str">
        <f>VLOOKUP(B4874,gachas!A:C,3)</f>
        <v>全世界800万DL突破記念ガチャSideC（メビウス）</v>
      </c>
      <c r="D4874" s="21">
        <v>10</v>
      </c>
      <c r="E4874" s="2">
        <v>4</v>
      </c>
      <c r="F4874" s="2">
        <v>10</v>
      </c>
      <c r="G4874" s="3" t="s">
        <v>22</v>
      </c>
      <c r="H4874" s="2">
        <v>50</v>
      </c>
      <c r="I4874" s="114" t="str">
        <f>CONCATENATE(B4874,IF(D4874=1,"01","10"),0)</f>
        <v>604100</v>
      </c>
      <c r="J4874" s="112" t="s">
        <v>84</v>
      </c>
      <c r="K4874" s="125" t="str">
        <f>CONCATENATE(B4874,IF(D4874=1,"01","10"),E4874)</f>
        <v>604104</v>
      </c>
      <c r="L4874" s="2">
        <v>1</v>
      </c>
      <c r="M4874" s="2" t="s">
        <v>84</v>
      </c>
      <c r="N4874" s="2" t="s">
        <v>84</v>
      </c>
      <c r="O4874" s="2" t="s">
        <v>841</v>
      </c>
      <c r="P4874" s="103" t="s">
        <v>3111</v>
      </c>
    </row>
    <row r="4875" spans="1:16" ht="22" customHeight="1" x14ac:dyDescent="0.15">
      <c r="A4875" s="10" t="str">
        <f t="shared" si="784"/>
        <v>604_10_5_10_polygon</v>
      </c>
      <c r="B4875" s="2">
        <v>604</v>
      </c>
      <c r="C4875" s="30" t="str">
        <f>VLOOKUP(B4875,gachas!A:C,3)</f>
        <v>全世界800万DL突破記念ガチャSideC（メビウス）</v>
      </c>
      <c r="D4875" s="21">
        <v>10</v>
      </c>
      <c r="E4875" s="2">
        <v>5</v>
      </c>
      <c r="F4875" s="2">
        <v>10</v>
      </c>
      <c r="G4875" s="3" t="s">
        <v>22</v>
      </c>
      <c r="H4875" s="2">
        <v>50</v>
      </c>
      <c r="I4875" s="114" t="str">
        <f t="shared" ref="I4875:I4881" si="785">CONCATENATE(B4875,IF(D4875=1,"01","10"),0)</f>
        <v>604100</v>
      </c>
      <c r="J4875" s="112" t="s">
        <v>84</v>
      </c>
      <c r="K4875" s="125" t="str">
        <f>K4874</f>
        <v>604104</v>
      </c>
      <c r="L4875" s="2">
        <v>1</v>
      </c>
      <c r="M4875" s="2" t="s">
        <v>84</v>
      </c>
      <c r="N4875" s="2" t="s">
        <v>84</v>
      </c>
      <c r="O4875" s="2" t="s">
        <v>841</v>
      </c>
      <c r="P4875" s="103" t="s">
        <v>3111</v>
      </c>
    </row>
    <row r="4876" spans="1:16" ht="22" customHeight="1" x14ac:dyDescent="0.15">
      <c r="A4876" s="10" t="str">
        <f t="shared" si="784"/>
        <v>604_10_6_10_polygon</v>
      </c>
      <c r="B4876" s="2">
        <v>604</v>
      </c>
      <c r="C4876" s="30" t="str">
        <f>VLOOKUP(B4876,gachas!A:C,3)</f>
        <v>全世界800万DL突破記念ガチャSideC（メビウス）</v>
      </c>
      <c r="D4876" s="21">
        <v>10</v>
      </c>
      <c r="E4876" s="2">
        <v>6</v>
      </c>
      <c r="F4876" s="2">
        <v>10</v>
      </c>
      <c r="G4876" s="3" t="s">
        <v>22</v>
      </c>
      <c r="H4876" s="2">
        <v>50</v>
      </c>
      <c r="I4876" s="114" t="str">
        <f t="shared" si="785"/>
        <v>604100</v>
      </c>
      <c r="J4876" s="112" t="s">
        <v>84</v>
      </c>
      <c r="K4876" s="125" t="str">
        <f>K4874</f>
        <v>604104</v>
      </c>
      <c r="L4876" s="2">
        <v>1</v>
      </c>
      <c r="M4876" s="2" t="s">
        <v>84</v>
      </c>
      <c r="N4876" s="2" t="s">
        <v>84</v>
      </c>
      <c r="O4876" s="2" t="s">
        <v>841</v>
      </c>
      <c r="P4876" s="103" t="s">
        <v>3111</v>
      </c>
    </row>
    <row r="4877" spans="1:16" ht="22" customHeight="1" x14ac:dyDescent="0.15">
      <c r="A4877" s="10" t="str">
        <f t="shared" si="784"/>
        <v>604_10_0_10_polygon</v>
      </c>
      <c r="B4877" s="2">
        <v>604</v>
      </c>
      <c r="C4877" s="30" t="str">
        <f>VLOOKUP(B4877,gachas!A:C,3)</f>
        <v>全世界800万DL突破記念ガチャSideC（メビウス）</v>
      </c>
      <c r="D4877" s="21">
        <v>10</v>
      </c>
      <c r="E4877" s="2">
        <v>0</v>
      </c>
      <c r="F4877" s="2">
        <v>10</v>
      </c>
      <c r="G4877" s="3" t="s">
        <v>22</v>
      </c>
      <c r="H4877" s="2">
        <v>50</v>
      </c>
      <c r="I4877" s="114" t="str">
        <f t="shared" si="785"/>
        <v>604100</v>
      </c>
      <c r="J4877" s="112" t="s">
        <v>84</v>
      </c>
      <c r="K4877" s="125" t="str">
        <f>CONCATENATE(B4877,IF(D4877=1,"01","10"),E4877)</f>
        <v>604100</v>
      </c>
      <c r="L4877" s="2">
        <v>1</v>
      </c>
      <c r="M4877" s="2" t="s">
        <v>84</v>
      </c>
      <c r="N4877" s="2" t="s">
        <v>84</v>
      </c>
      <c r="O4877" s="2" t="s">
        <v>841</v>
      </c>
      <c r="P4877" s="2" t="s">
        <v>2571</v>
      </c>
    </row>
    <row r="4878" spans="1:16" ht="22" customHeight="1" x14ac:dyDescent="0.15">
      <c r="A4878" s="10" t="str">
        <f t="shared" ref="A4878:A4887" si="786">B4878&amp;"_"&amp;D4878&amp;"_"&amp;E4878&amp;"_"&amp;F4878&amp;"_"&amp;G4878</f>
        <v>605_1_0_1_polygon</v>
      </c>
      <c r="B4878" s="2">
        <v>605</v>
      </c>
      <c r="C4878" s="30" t="str">
        <f>VLOOKUP(B4878,gachas!A:C,3)</f>
        <v>全世界800万DL突破記念ガチャSideD（コーシー）</v>
      </c>
      <c r="D4878" s="21">
        <v>1</v>
      </c>
      <c r="E4878" s="2">
        <v>0</v>
      </c>
      <c r="F4878" s="2">
        <v>1</v>
      </c>
      <c r="G4878" s="3" t="s">
        <v>22</v>
      </c>
      <c r="H4878" s="2">
        <v>5</v>
      </c>
      <c r="I4878" s="114" t="str">
        <f t="shared" si="785"/>
        <v>605010</v>
      </c>
      <c r="J4878" s="112" t="s">
        <v>84</v>
      </c>
      <c r="K4878" s="112" t="s">
        <v>84</v>
      </c>
      <c r="L4878" s="2">
        <v>0</v>
      </c>
      <c r="M4878" s="2" t="s">
        <v>84</v>
      </c>
      <c r="N4878" s="2" t="s">
        <v>84</v>
      </c>
      <c r="O4878" s="2" t="s">
        <v>841</v>
      </c>
      <c r="P4878" s="2" t="s">
        <v>84</v>
      </c>
    </row>
    <row r="4879" spans="1:16" ht="22" customHeight="1" x14ac:dyDescent="0.15">
      <c r="A4879" s="10" t="str">
        <f t="shared" si="786"/>
        <v>605_10_1_10_polygon</v>
      </c>
      <c r="B4879" s="2">
        <v>605</v>
      </c>
      <c r="C4879" s="30" t="str">
        <f>VLOOKUP(B4879,gachas!A:C,3)</f>
        <v>全世界800万DL突破記念ガチャSideD（コーシー）</v>
      </c>
      <c r="D4879" s="21">
        <v>10</v>
      </c>
      <c r="E4879" s="2">
        <v>1</v>
      </c>
      <c r="F4879" s="2">
        <v>10</v>
      </c>
      <c r="G4879" s="3" t="s">
        <v>22</v>
      </c>
      <c r="H4879" s="2">
        <v>25</v>
      </c>
      <c r="I4879" s="114" t="str">
        <f t="shared" si="785"/>
        <v>605100</v>
      </c>
      <c r="J4879" s="112" t="s">
        <v>84</v>
      </c>
      <c r="K4879" s="112" t="s">
        <v>84</v>
      </c>
      <c r="L4879" s="2">
        <v>0</v>
      </c>
      <c r="M4879" s="2" t="s">
        <v>84</v>
      </c>
      <c r="N4879" s="2" t="s">
        <v>84</v>
      </c>
      <c r="O4879" s="2" t="s">
        <v>841</v>
      </c>
      <c r="P4879" s="59" t="s">
        <v>1783</v>
      </c>
    </row>
    <row r="4880" spans="1:16" ht="22" customHeight="1" x14ac:dyDescent="0.15">
      <c r="A4880" s="10" t="str">
        <f t="shared" si="786"/>
        <v>605_10_2_10_polygon</v>
      </c>
      <c r="B4880" s="2">
        <v>605</v>
      </c>
      <c r="C4880" s="30" t="str">
        <f>VLOOKUP(B4880,gachas!A:C,3)</f>
        <v>全世界800万DL突破記念ガチャSideD（コーシー）</v>
      </c>
      <c r="D4880" s="21">
        <v>10</v>
      </c>
      <c r="E4880" s="2">
        <v>2</v>
      </c>
      <c r="F4880" s="2">
        <v>10</v>
      </c>
      <c r="G4880" s="3" t="s">
        <v>22</v>
      </c>
      <c r="H4880" s="2">
        <v>25</v>
      </c>
      <c r="I4880" s="114" t="str">
        <f t="shared" si="785"/>
        <v>605100</v>
      </c>
      <c r="J4880" s="112" t="s">
        <v>84</v>
      </c>
      <c r="K4880" s="112" t="s">
        <v>84</v>
      </c>
      <c r="L4880" s="2">
        <v>0</v>
      </c>
      <c r="M4880" s="2" t="s">
        <v>84</v>
      </c>
      <c r="N4880" s="2" t="s">
        <v>84</v>
      </c>
      <c r="O4880" s="2" t="s">
        <v>841</v>
      </c>
      <c r="P4880" s="59" t="s">
        <v>1783</v>
      </c>
    </row>
    <row r="4881" spans="1:16" ht="22" customHeight="1" x14ac:dyDescent="0.15">
      <c r="A4881" s="10" t="str">
        <f t="shared" si="786"/>
        <v>605_10_3_10_polygon</v>
      </c>
      <c r="B4881" s="2">
        <v>605</v>
      </c>
      <c r="C4881" s="30" t="str">
        <f>VLOOKUP(B4881,gachas!A:C,3)</f>
        <v>全世界800万DL突破記念ガチャSideD（コーシー）</v>
      </c>
      <c r="D4881" s="21">
        <v>10</v>
      </c>
      <c r="E4881" s="2">
        <v>3</v>
      </c>
      <c r="F4881" s="2">
        <v>10</v>
      </c>
      <c r="G4881" s="3" t="s">
        <v>22</v>
      </c>
      <c r="H4881" s="2">
        <v>25</v>
      </c>
      <c r="I4881" s="114" t="str">
        <f t="shared" si="785"/>
        <v>605100</v>
      </c>
      <c r="J4881" s="112" t="s">
        <v>84</v>
      </c>
      <c r="K4881" s="112" t="s">
        <v>84</v>
      </c>
      <c r="L4881" s="2">
        <v>0</v>
      </c>
      <c r="M4881" s="2" t="s">
        <v>84</v>
      </c>
      <c r="N4881" s="2" t="s">
        <v>84</v>
      </c>
      <c r="O4881" s="2" t="s">
        <v>841</v>
      </c>
      <c r="P4881" s="59" t="s">
        <v>1783</v>
      </c>
    </row>
    <row r="4882" spans="1:16" ht="22" customHeight="1" x14ac:dyDescent="0.15">
      <c r="A4882" s="10" t="str">
        <f t="shared" si="786"/>
        <v>605_10_4_10_polygon</v>
      </c>
      <c r="B4882" s="2">
        <v>605</v>
      </c>
      <c r="C4882" s="30" t="str">
        <f>VLOOKUP(B4882,gachas!A:C,3)</f>
        <v>全世界800万DL突破記念ガチャSideD（コーシー）</v>
      </c>
      <c r="D4882" s="21">
        <v>10</v>
      </c>
      <c r="E4882" s="2">
        <v>4</v>
      </c>
      <c r="F4882" s="2">
        <v>10</v>
      </c>
      <c r="G4882" s="3" t="s">
        <v>22</v>
      </c>
      <c r="H4882" s="2">
        <v>50</v>
      </c>
      <c r="I4882" s="114" t="str">
        <f>CONCATENATE(B4882,IF(D4882=1,"01","10"),0)</f>
        <v>605100</v>
      </c>
      <c r="J4882" s="112" t="s">
        <v>84</v>
      </c>
      <c r="K4882" s="125" t="str">
        <f>CONCATENATE(B4882,IF(D4882=1,"01","10"),E4882)</f>
        <v>605104</v>
      </c>
      <c r="L4882" s="2">
        <v>1</v>
      </c>
      <c r="M4882" s="2" t="s">
        <v>84</v>
      </c>
      <c r="N4882" s="2" t="s">
        <v>84</v>
      </c>
      <c r="O4882" s="2" t="s">
        <v>841</v>
      </c>
      <c r="P4882" s="103" t="s">
        <v>3111</v>
      </c>
    </row>
    <row r="4883" spans="1:16" ht="22" customHeight="1" x14ac:dyDescent="0.15">
      <c r="A4883" s="10" t="str">
        <f t="shared" si="786"/>
        <v>605_10_5_10_polygon</v>
      </c>
      <c r="B4883" s="2">
        <v>605</v>
      </c>
      <c r="C4883" s="30" t="str">
        <f>VLOOKUP(B4883,gachas!A:C,3)</f>
        <v>全世界800万DL突破記念ガチャSideD（コーシー）</v>
      </c>
      <c r="D4883" s="21">
        <v>10</v>
      </c>
      <c r="E4883" s="2">
        <v>5</v>
      </c>
      <c r="F4883" s="2">
        <v>10</v>
      </c>
      <c r="G4883" s="3" t="s">
        <v>22</v>
      </c>
      <c r="H4883" s="2">
        <v>50</v>
      </c>
      <c r="I4883" s="114" t="str">
        <f t="shared" ref="I4883:I4885" si="787">CONCATENATE(B4883,IF(D4883=1,"01","10"),0)</f>
        <v>605100</v>
      </c>
      <c r="J4883" s="112" t="s">
        <v>84</v>
      </c>
      <c r="K4883" s="125" t="str">
        <f>K4882</f>
        <v>605104</v>
      </c>
      <c r="L4883" s="2">
        <v>1</v>
      </c>
      <c r="M4883" s="2" t="s">
        <v>84</v>
      </c>
      <c r="N4883" s="2" t="s">
        <v>84</v>
      </c>
      <c r="O4883" s="2" t="s">
        <v>841</v>
      </c>
      <c r="P4883" s="103" t="s">
        <v>3111</v>
      </c>
    </row>
    <row r="4884" spans="1:16" ht="22" customHeight="1" x14ac:dyDescent="0.15">
      <c r="A4884" s="10" t="str">
        <f t="shared" si="786"/>
        <v>605_10_6_10_polygon</v>
      </c>
      <c r="B4884" s="2">
        <v>605</v>
      </c>
      <c r="C4884" s="30" t="str">
        <f>VLOOKUP(B4884,gachas!A:C,3)</f>
        <v>全世界800万DL突破記念ガチャSideD（コーシー）</v>
      </c>
      <c r="D4884" s="21">
        <v>10</v>
      </c>
      <c r="E4884" s="2">
        <v>6</v>
      </c>
      <c r="F4884" s="2">
        <v>10</v>
      </c>
      <c r="G4884" s="3" t="s">
        <v>22</v>
      </c>
      <c r="H4884" s="2">
        <v>50</v>
      </c>
      <c r="I4884" s="114" t="str">
        <f t="shared" si="787"/>
        <v>605100</v>
      </c>
      <c r="J4884" s="112" t="s">
        <v>84</v>
      </c>
      <c r="K4884" s="125" t="str">
        <f>K4882</f>
        <v>605104</v>
      </c>
      <c r="L4884" s="2">
        <v>1</v>
      </c>
      <c r="M4884" s="2" t="s">
        <v>84</v>
      </c>
      <c r="N4884" s="2" t="s">
        <v>84</v>
      </c>
      <c r="O4884" s="2" t="s">
        <v>841</v>
      </c>
      <c r="P4884" s="103" t="s">
        <v>3111</v>
      </c>
    </row>
    <row r="4885" spans="1:16" ht="22" customHeight="1" x14ac:dyDescent="0.15">
      <c r="A4885" s="10" t="str">
        <f t="shared" si="786"/>
        <v>605_10_0_10_polygon</v>
      </c>
      <c r="B4885" s="2">
        <v>605</v>
      </c>
      <c r="C4885" s="30" t="str">
        <f>VLOOKUP(B4885,gachas!A:C,3)</f>
        <v>全世界800万DL突破記念ガチャSideD（コーシー）</v>
      </c>
      <c r="D4885" s="21">
        <v>10</v>
      </c>
      <c r="E4885" s="2">
        <v>0</v>
      </c>
      <c r="F4885" s="2">
        <v>10</v>
      </c>
      <c r="G4885" s="3" t="s">
        <v>22</v>
      </c>
      <c r="H4885" s="2">
        <v>50</v>
      </c>
      <c r="I4885" s="114" t="str">
        <f t="shared" si="787"/>
        <v>605100</v>
      </c>
      <c r="J4885" s="112" t="s">
        <v>84</v>
      </c>
      <c r="K4885" s="125" t="str">
        <f>CONCATENATE(B4885,IF(D4885=1,"01","10"),E4885)</f>
        <v>605100</v>
      </c>
      <c r="L4885" s="2">
        <v>1</v>
      </c>
      <c r="M4885" s="2" t="s">
        <v>84</v>
      </c>
      <c r="N4885" s="2" t="s">
        <v>84</v>
      </c>
      <c r="O4885" s="2" t="s">
        <v>841</v>
      </c>
      <c r="P4885" s="2" t="s">
        <v>2571</v>
      </c>
    </row>
    <row r="4886" spans="1:16" ht="22" customHeight="1" x14ac:dyDescent="0.15">
      <c r="A4886" s="10" t="str">
        <f t="shared" si="786"/>
        <v>606_1_0_1_polygon</v>
      </c>
      <c r="B4886" s="2">
        <v>606</v>
      </c>
      <c r="C4886" s="30" t="str">
        <f>VLOOKUP(B4886,gachas!A:C,3)</f>
        <v xml:space="preserve"> 5月超フェス（チョイス1）</v>
      </c>
      <c r="D4886" s="21">
        <v>1</v>
      </c>
      <c r="E4886" s="2">
        <v>0</v>
      </c>
      <c r="F4886" s="2">
        <v>1</v>
      </c>
      <c r="G4886" s="3" t="s">
        <v>22</v>
      </c>
      <c r="H4886" s="2">
        <v>5</v>
      </c>
      <c r="I4886" s="119" t="str">
        <f>I4887</f>
        <v>606100</v>
      </c>
      <c r="J4886" s="112" t="s">
        <v>84</v>
      </c>
      <c r="K4886" s="2" t="s">
        <v>85</v>
      </c>
      <c r="L4886" s="2">
        <v>0</v>
      </c>
      <c r="M4886" s="2" t="s">
        <v>84</v>
      </c>
      <c r="N4886" s="2" t="s">
        <v>84</v>
      </c>
      <c r="O4886" s="2" t="s">
        <v>841</v>
      </c>
      <c r="P4886" s="2" t="s">
        <v>2572</v>
      </c>
    </row>
    <row r="4887" spans="1:16" ht="22" customHeight="1" x14ac:dyDescent="0.15">
      <c r="A4887" s="10" t="str">
        <f t="shared" si="786"/>
        <v>606_10_0_10_polygon</v>
      </c>
      <c r="B4887" s="2">
        <v>606</v>
      </c>
      <c r="C4887" s="30" t="str">
        <f>VLOOKUP(B4887,gachas!A:C,3)</f>
        <v xml:space="preserve"> 5月超フェス（チョイス1）</v>
      </c>
      <c r="D4887" s="21">
        <v>10</v>
      </c>
      <c r="E4887" s="2">
        <v>0</v>
      </c>
      <c r="F4887" s="2">
        <v>10</v>
      </c>
      <c r="G4887" s="3" t="s">
        <v>22</v>
      </c>
      <c r="H4887" s="2">
        <v>50</v>
      </c>
      <c r="I4887" s="114" t="str">
        <f>B4887&amp;TEXT(D4887,"00")&amp;E4887</f>
        <v>606100</v>
      </c>
      <c r="J4887" s="112" t="s">
        <v>84</v>
      </c>
      <c r="K4887" s="116" t="str">
        <f>I4887</f>
        <v>606100</v>
      </c>
      <c r="L4887" s="2">
        <v>1</v>
      </c>
      <c r="M4887" s="2" t="s">
        <v>84</v>
      </c>
      <c r="N4887" s="2" t="s">
        <v>84</v>
      </c>
      <c r="O4887" s="2" t="s">
        <v>841</v>
      </c>
      <c r="P4887" s="2" t="s">
        <v>2571</v>
      </c>
    </row>
    <row r="4888" spans="1:16" ht="22" customHeight="1" x14ac:dyDescent="0.15">
      <c r="A4888" s="10" t="str">
        <f t="shared" ref="A4888:A4889" si="788">B4888&amp;"_"&amp;D4888&amp;"_"&amp;E4888&amp;"_"&amp;F4888&amp;"_"&amp;G4888</f>
        <v>607_1_0_1_polygon</v>
      </c>
      <c r="B4888" s="2">
        <v>607</v>
      </c>
      <c r="C4888" s="30" t="str">
        <f>VLOOKUP(B4888,gachas!A:C,3)</f>
        <v xml:space="preserve"> 5月超フェス（チョイス2）</v>
      </c>
      <c r="D4888" s="21">
        <v>1</v>
      </c>
      <c r="E4888" s="2">
        <v>0</v>
      </c>
      <c r="F4888" s="2">
        <v>1</v>
      </c>
      <c r="G4888" s="3" t="s">
        <v>22</v>
      </c>
      <c r="H4888" s="2">
        <v>5</v>
      </c>
      <c r="I4888" s="119" t="str">
        <f>I4889</f>
        <v>607100</v>
      </c>
      <c r="J4888" s="112" t="s">
        <v>84</v>
      </c>
      <c r="K4888" s="2" t="s">
        <v>85</v>
      </c>
      <c r="L4888" s="2">
        <v>0</v>
      </c>
      <c r="M4888" s="2" t="s">
        <v>84</v>
      </c>
      <c r="N4888" s="2" t="s">
        <v>84</v>
      </c>
      <c r="O4888" s="2" t="s">
        <v>841</v>
      </c>
      <c r="P4888" s="2" t="s">
        <v>2572</v>
      </c>
    </row>
    <row r="4889" spans="1:16" ht="22" customHeight="1" x14ac:dyDescent="0.15">
      <c r="A4889" s="10" t="str">
        <f t="shared" si="788"/>
        <v>607_10_0_10_polygon</v>
      </c>
      <c r="B4889" s="2">
        <v>607</v>
      </c>
      <c r="C4889" s="30" t="str">
        <f>VLOOKUP(B4889,gachas!A:C,3)</f>
        <v xml:space="preserve"> 5月超フェス（チョイス2）</v>
      </c>
      <c r="D4889" s="21">
        <v>10</v>
      </c>
      <c r="E4889" s="2">
        <v>0</v>
      </c>
      <c r="F4889" s="2">
        <v>10</v>
      </c>
      <c r="G4889" s="3" t="s">
        <v>22</v>
      </c>
      <c r="H4889" s="2">
        <v>50</v>
      </c>
      <c r="I4889" s="114" t="str">
        <f>B4889&amp;TEXT(D4889,"00")&amp;E4889</f>
        <v>607100</v>
      </c>
      <c r="J4889" s="112" t="s">
        <v>84</v>
      </c>
      <c r="K4889" s="116" t="str">
        <f>I4889</f>
        <v>607100</v>
      </c>
      <c r="L4889" s="2">
        <v>1</v>
      </c>
      <c r="M4889" s="2" t="s">
        <v>84</v>
      </c>
      <c r="N4889" s="2" t="s">
        <v>84</v>
      </c>
      <c r="O4889" s="2" t="s">
        <v>841</v>
      </c>
      <c r="P4889" s="2" t="s">
        <v>2571</v>
      </c>
    </row>
    <row r="4890" spans="1:16" ht="22" customHeight="1" x14ac:dyDescent="0.15">
      <c r="A4890" s="10" t="str">
        <f t="shared" ref="A4890:A4891" si="789">B4890&amp;"_"&amp;D4890&amp;"_"&amp;E4890&amp;"_"&amp;F4890&amp;"_"&amp;G4890</f>
        <v>608_1_0_1_polygon</v>
      </c>
      <c r="B4890" s="2">
        <v>608</v>
      </c>
      <c r="C4890" s="30" t="str">
        <f>VLOOKUP(B4890,gachas!A:C,3)</f>
        <v xml:space="preserve"> 5月超フェス（チョイス3）</v>
      </c>
      <c r="D4890" s="21">
        <v>1</v>
      </c>
      <c r="E4890" s="2">
        <v>0</v>
      </c>
      <c r="F4890" s="2">
        <v>1</v>
      </c>
      <c r="G4890" s="3" t="s">
        <v>22</v>
      </c>
      <c r="H4890" s="2">
        <v>5</v>
      </c>
      <c r="I4890" s="119" t="str">
        <f>I4891</f>
        <v>608100</v>
      </c>
      <c r="J4890" s="112" t="s">
        <v>84</v>
      </c>
      <c r="K4890" s="2" t="s">
        <v>85</v>
      </c>
      <c r="L4890" s="2">
        <v>0</v>
      </c>
      <c r="M4890" s="2" t="s">
        <v>84</v>
      </c>
      <c r="N4890" s="2" t="s">
        <v>84</v>
      </c>
      <c r="O4890" s="2" t="s">
        <v>841</v>
      </c>
      <c r="P4890" s="2" t="s">
        <v>2572</v>
      </c>
    </row>
    <row r="4891" spans="1:16" ht="22" customHeight="1" x14ac:dyDescent="0.15">
      <c r="A4891" s="10" t="str">
        <f t="shared" si="789"/>
        <v>608_10_0_10_polygon</v>
      </c>
      <c r="B4891" s="2">
        <v>608</v>
      </c>
      <c r="C4891" s="30" t="str">
        <f>VLOOKUP(B4891,gachas!A:C,3)</f>
        <v xml:space="preserve"> 5月超フェス（チョイス3）</v>
      </c>
      <c r="D4891" s="21">
        <v>10</v>
      </c>
      <c r="E4891" s="2">
        <v>0</v>
      </c>
      <c r="F4891" s="2">
        <v>10</v>
      </c>
      <c r="G4891" s="3" t="s">
        <v>22</v>
      </c>
      <c r="H4891" s="2">
        <v>50</v>
      </c>
      <c r="I4891" s="114" t="str">
        <f>B4891&amp;TEXT(D4891,"00")&amp;E4891</f>
        <v>608100</v>
      </c>
      <c r="J4891" s="112" t="s">
        <v>84</v>
      </c>
      <c r="K4891" s="116" t="str">
        <f>I4891</f>
        <v>608100</v>
      </c>
      <c r="L4891" s="2">
        <v>1</v>
      </c>
      <c r="M4891" s="2" t="s">
        <v>84</v>
      </c>
      <c r="N4891" s="2" t="s">
        <v>84</v>
      </c>
      <c r="O4891" s="2" t="s">
        <v>841</v>
      </c>
      <c r="P4891" s="2" t="s">
        <v>2571</v>
      </c>
    </row>
    <row r="4892" spans="1:16" ht="22" customHeight="1" x14ac:dyDescent="0.15">
      <c r="A4892" s="10" t="str">
        <f t="shared" ref="A4892:A4963" si="790">B4892&amp;"_"&amp;D4892&amp;"_"&amp;E4892&amp;"_"&amp;F4892&amp;"_"&amp;G4892</f>
        <v>609_1_0_1_polygon</v>
      </c>
      <c r="B4892" s="2">
        <v>609</v>
      </c>
      <c r="C4892" s="30" t="str">
        <f>VLOOKUP(B4892,gachas!A:C,3)</f>
        <v xml:space="preserve"> 5月超フェス（チョイス4）</v>
      </c>
      <c r="D4892" s="21">
        <v>1</v>
      </c>
      <c r="E4892" s="2">
        <v>0</v>
      </c>
      <c r="F4892" s="2">
        <v>1</v>
      </c>
      <c r="G4892" s="3" t="s">
        <v>22</v>
      </c>
      <c r="H4892" s="2">
        <v>5</v>
      </c>
      <c r="I4892" s="119" t="str">
        <f>I4893</f>
        <v>609100</v>
      </c>
      <c r="J4892" s="112" t="s">
        <v>84</v>
      </c>
      <c r="K4892" s="2" t="s">
        <v>85</v>
      </c>
      <c r="L4892" s="2">
        <v>0</v>
      </c>
      <c r="M4892" s="2" t="s">
        <v>84</v>
      </c>
      <c r="N4892" s="2" t="s">
        <v>84</v>
      </c>
      <c r="O4892" s="2" t="s">
        <v>841</v>
      </c>
      <c r="P4892" s="2" t="s">
        <v>2572</v>
      </c>
    </row>
    <row r="4893" spans="1:16" ht="22" customHeight="1" x14ac:dyDescent="0.15">
      <c r="A4893" s="10" t="str">
        <f t="shared" si="790"/>
        <v>609_10_0_10_polygon</v>
      </c>
      <c r="B4893" s="2">
        <v>609</v>
      </c>
      <c r="C4893" s="30" t="str">
        <f>VLOOKUP(B4893,gachas!A:C,3)</f>
        <v xml:space="preserve"> 5月超フェス（チョイス4）</v>
      </c>
      <c r="D4893" s="21">
        <v>10</v>
      </c>
      <c r="E4893" s="2">
        <v>0</v>
      </c>
      <c r="F4893" s="2">
        <v>10</v>
      </c>
      <c r="G4893" s="3" t="s">
        <v>22</v>
      </c>
      <c r="H4893" s="2">
        <v>50</v>
      </c>
      <c r="I4893" s="114" t="str">
        <f>B4893&amp;TEXT(D4893,"00")&amp;E4893</f>
        <v>609100</v>
      </c>
      <c r="J4893" s="112" t="s">
        <v>84</v>
      </c>
      <c r="K4893" s="116" t="str">
        <f>I4893</f>
        <v>609100</v>
      </c>
      <c r="L4893" s="2">
        <v>1</v>
      </c>
      <c r="M4893" s="2" t="s">
        <v>84</v>
      </c>
      <c r="N4893" s="2" t="s">
        <v>84</v>
      </c>
      <c r="O4893" s="2" t="s">
        <v>841</v>
      </c>
      <c r="P4893" s="2" t="s">
        <v>2571</v>
      </c>
    </row>
    <row r="4894" spans="1:16" ht="22" customHeight="1" x14ac:dyDescent="0.15">
      <c r="A4894" s="10" t="str">
        <f t="shared" si="790"/>
        <v>610_1_0_1_polygon</v>
      </c>
      <c r="B4894" s="2">
        <v>610</v>
      </c>
      <c r="C4894" s="30" t="str">
        <f>VLOOKUP(B4894,gachas!A:C,3)</f>
        <v>全世界800万DL突破記念_海外版限定スペシャルガチャ（関羽）</v>
      </c>
      <c r="D4894" s="21">
        <v>1</v>
      </c>
      <c r="E4894" s="2">
        <v>0</v>
      </c>
      <c r="F4894" s="2">
        <v>1</v>
      </c>
      <c r="G4894" s="3" t="s">
        <v>22</v>
      </c>
      <c r="H4894" s="2">
        <v>5</v>
      </c>
      <c r="I4894" s="114" t="str">
        <f t="shared" ref="I4894:I4925" si="791">CONCATENATE(B4894,IF(D4894=1,"01","10"),0)</f>
        <v>610010</v>
      </c>
      <c r="J4894" s="112" t="s">
        <v>84</v>
      </c>
      <c r="K4894" s="112" t="s">
        <v>84</v>
      </c>
      <c r="L4894" s="2">
        <v>0</v>
      </c>
      <c r="M4894" s="2" t="s">
        <v>84</v>
      </c>
      <c r="N4894" s="2" t="s">
        <v>84</v>
      </c>
      <c r="O4894" s="2" t="s">
        <v>841</v>
      </c>
      <c r="P4894" s="2" t="s">
        <v>84</v>
      </c>
    </row>
    <row r="4895" spans="1:16" ht="22" customHeight="1" x14ac:dyDescent="0.15">
      <c r="A4895" s="10" t="str">
        <f t="shared" si="790"/>
        <v>610_10_0_10_polygon</v>
      </c>
      <c r="B4895" s="2">
        <v>610</v>
      </c>
      <c r="C4895" s="30" t="str">
        <f>VLOOKUP(B4895,gachas!A:C,3)</f>
        <v>全世界800万DL突破記念_海外版限定スペシャルガチャ（関羽）</v>
      </c>
      <c r="D4895" s="21">
        <v>10</v>
      </c>
      <c r="E4895" s="2">
        <v>0</v>
      </c>
      <c r="F4895" s="2">
        <v>10</v>
      </c>
      <c r="G4895" s="3" t="s">
        <v>22</v>
      </c>
      <c r="H4895" s="2">
        <v>50</v>
      </c>
      <c r="I4895" s="114" t="str">
        <f t="shared" si="791"/>
        <v>610100</v>
      </c>
      <c r="J4895" s="112" t="s">
        <v>84</v>
      </c>
      <c r="K4895" s="112" t="s">
        <v>84</v>
      </c>
      <c r="L4895" s="2">
        <v>0</v>
      </c>
      <c r="M4895" s="2" t="s">
        <v>84</v>
      </c>
      <c r="N4895" s="2" t="s">
        <v>84</v>
      </c>
      <c r="O4895" s="2" t="s">
        <v>841</v>
      </c>
      <c r="P4895" s="2" t="s">
        <v>2637</v>
      </c>
    </row>
    <row r="4896" spans="1:16" ht="22" customHeight="1" x14ac:dyDescent="0.15">
      <c r="A4896" s="10" t="str">
        <f t="shared" si="790"/>
        <v>610_10_1_10_polygon</v>
      </c>
      <c r="B4896" s="2">
        <v>610</v>
      </c>
      <c r="C4896" s="30" t="str">
        <f>VLOOKUP(B4896,gachas!A:C,3)</f>
        <v>全世界800万DL突破記念_海外版限定スペシャルガチャ（関羽）</v>
      </c>
      <c r="D4896" s="21">
        <v>10</v>
      </c>
      <c r="E4896" s="2">
        <v>1</v>
      </c>
      <c r="F4896" s="2">
        <v>10</v>
      </c>
      <c r="G4896" s="3" t="s">
        <v>22</v>
      </c>
      <c r="H4896" s="2">
        <v>30</v>
      </c>
      <c r="I4896" s="114" t="str">
        <f t="shared" si="791"/>
        <v>610100</v>
      </c>
      <c r="J4896" s="112" t="s">
        <v>84</v>
      </c>
      <c r="K4896" s="112" t="s">
        <v>84</v>
      </c>
      <c r="L4896" s="2">
        <v>0</v>
      </c>
      <c r="M4896" s="2" t="s">
        <v>84</v>
      </c>
      <c r="N4896" s="2" t="s">
        <v>84</v>
      </c>
      <c r="O4896" s="2" t="s">
        <v>841</v>
      </c>
      <c r="P4896" s="2" t="s">
        <v>3063</v>
      </c>
    </row>
    <row r="4897" spans="1:16" ht="22" customHeight="1" x14ac:dyDescent="0.15">
      <c r="A4897" s="10" t="str">
        <f t="shared" si="790"/>
        <v>610_10_2_10_polygon</v>
      </c>
      <c r="B4897" s="2">
        <v>610</v>
      </c>
      <c r="C4897" s="30" t="str">
        <f>VLOOKUP(B4897,gachas!A:C,3)</f>
        <v>全世界800万DL突破記念_海外版限定スペシャルガチャ（関羽）</v>
      </c>
      <c r="D4897" s="21">
        <v>10</v>
      </c>
      <c r="E4897" s="2">
        <v>2</v>
      </c>
      <c r="F4897" s="2">
        <v>10</v>
      </c>
      <c r="G4897" s="3" t="s">
        <v>22</v>
      </c>
      <c r="H4897" s="2">
        <v>40</v>
      </c>
      <c r="I4897" s="114" t="str">
        <f t="shared" si="791"/>
        <v>610100</v>
      </c>
      <c r="J4897" s="112" t="s">
        <v>84</v>
      </c>
      <c r="K4897" s="112" t="s">
        <v>84</v>
      </c>
      <c r="L4897" s="2">
        <v>0</v>
      </c>
      <c r="M4897" s="2" t="s">
        <v>84</v>
      </c>
      <c r="N4897" s="2" t="s">
        <v>84</v>
      </c>
      <c r="O4897" s="2" t="s">
        <v>841</v>
      </c>
      <c r="P4897" s="2" t="s">
        <v>3064</v>
      </c>
    </row>
    <row r="4898" spans="1:16" ht="22" customHeight="1" x14ac:dyDescent="0.15">
      <c r="A4898" s="10" t="str">
        <f t="shared" si="790"/>
        <v>610_10_3_10_polygon</v>
      </c>
      <c r="B4898" s="2">
        <v>610</v>
      </c>
      <c r="C4898" s="30" t="str">
        <f>VLOOKUP(B4898,gachas!A:C,3)</f>
        <v>全世界800万DL突破記念_海外版限定スペシャルガチャ（関羽）</v>
      </c>
      <c r="D4898" s="21">
        <v>10</v>
      </c>
      <c r="E4898" s="2">
        <v>3</v>
      </c>
      <c r="F4898" s="2">
        <v>10</v>
      </c>
      <c r="G4898" s="3" t="s">
        <v>22</v>
      </c>
      <c r="H4898" s="2">
        <v>50</v>
      </c>
      <c r="I4898" s="114" t="str">
        <f t="shared" si="791"/>
        <v>610100</v>
      </c>
      <c r="J4898" s="112" t="s">
        <v>84</v>
      </c>
      <c r="K4898" s="117" t="str">
        <f>CONCATENATE(B4898,"103")</f>
        <v>610103</v>
      </c>
      <c r="L4898" s="2">
        <v>1</v>
      </c>
      <c r="M4898" s="2" t="s">
        <v>84</v>
      </c>
      <c r="N4898" s="2" t="s">
        <v>84</v>
      </c>
      <c r="O4898" s="2" t="s">
        <v>841</v>
      </c>
      <c r="P4898" s="2" t="s">
        <v>3360</v>
      </c>
    </row>
    <row r="4899" spans="1:16" ht="22" customHeight="1" x14ac:dyDescent="0.15">
      <c r="A4899" s="10" t="str">
        <f t="shared" si="790"/>
        <v>610_10_4_10_polygon</v>
      </c>
      <c r="B4899" s="2">
        <v>610</v>
      </c>
      <c r="C4899" s="30" t="str">
        <f>VLOOKUP(B4899,gachas!A:C,3)</f>
        <v>全世界800万DL突破記念_海外版限定スペシャルガチャ（関羽）</v>
      </c>
      <c r="D4899" s="21">
        <v>10</v>
      </c>
      <c r="E4899" s="2">
        <v>4</v>
      </c>
      <c r="F4899" s="2">
        <v>10</v>
      </c>
      <c r="G4899" s="3" t="s">
        <v>22</v>
      </c>
      <c r="H4899" s="2">
        <v>30</v>
      </c>
      <c r="I4899" s="114" t="str">
        <f t="shared" si="791"/>
        <v>610100</v>
      </c>
      <c r="J4899" s="112" t="s">
        <v>84</v>
      </c>
      <c r="K4899" s="112" t="s">
        <v>84</v>
      </c>
      <c r="L4899" s="2">
        <v>0</v>
      </c>
      <c r="M4899" s="2" t="s">
        <v>84</v>
      </c>
      <c r="N4899" s="2" t="s">
        <v>84</v>
      </c>
      <c r="O4899" s="2" t="s">
        <v>841</v>
      </c>
      <c r="P4899" s="2" t="s">
        <v>3063</v>
      </c>
    </row>
    <row r="4900" spans="1:16" ht="22" customHeight="1" x14ac:dyDescent="0.15">
      <c r="A4900" s="10" t="str">
        <f t="shared" si="790"/>
        <v>610_10_5_10_polygon</v>
      </c>
      <c r="B4900" s="2">
        <v>610</v>
      </c>
      <c r="C4900" s="30" t="str">
        <f>VLOOKUP(B4900,gachas!A:C,3)</f>
        <v>全世界800万DL突破記念_海外版限定スペシャルガチャ（関羽）</v>
      </c>
      <c r="D4900" s="21">
        <v>10</v>
      </c>
      <c r="E4900" s="2">
        <v>5</v>
      </c>
      <c r="F4900" s="2">
        <v>10</v>
      </c>
      <c r="G4900" s="3" t="s">
        <v>22</v>
      </c>
      <c r="H4900" s="2">
        <v>40</v>
      </c>
      <c r="I4900" s="114" t="str">
        <f t="shared" si="791"/>
        <v>610100</v>
      </c>
      <c r="J4900" s="112" t="s">
        <v>84</v>
      </c>
      <c r="K4900" s="112" t="s">
        <v>84</v>
      </c>
      <c r="L4900" s="2">
        <v>0</v>
      </c>
      <c r="M4900" s="2" t="s">
        <v>84</v>
      </c>
      <c r="N4900" s="2" t="s">
        <v>84</v>
      </c>
      <c r="O4900" s="2" t="s">
        <v>841</v>
      </c>
      <c r="P4900" s="2" t="s">
        <v>3064</v>
      </c>
    </row>
    <row r="4901" spans="1:16" ht="22" customHeight="1" x14ac:dyDescent="0.15">
      <c r="A4901" s="10" t="str">
        <f t="shared" si="790"/>
        <v>610_10_6_10_polygon</v>
      </c>
      <c r="B4901" s="2">
        <v>610</v>
      </c>
      <c r="C4901" s="30" t="str">
        <f>VLOOKUP(B4901,gachas!A:C,3)</f>
        <v>全世界800万DL突破記念_海外版限定スペシャルガチャ（関羽）</v>
      </c>
      <c r="D4901" s="21">
        <v>10</v>
      </c>
      <c r="E4901" s="2">
        <v>6</v>
      </c>
      <c r="F4901" s="2">
        <v>10</v>
      </c>
      <c r="G4901" s="3" t="s">
        <v>22</v>
      </c>
      <c r="H4901" s="2">
        <v>50</v>
      </c>
      <c r="I4901" s="114" t="str">
        <f t="shared" si="791"/>
        <v>610100</v>
      </c>
      <c r="J4901" s="112" t="s">
        <v>84</v>
      </c>
      <c r="K4901" s="117" t="str">
        <f t="shared" ref="K4901" si="792">CONCATENATE(B4901,"103")</f>
        <v>610103</v>
      </c>
      <c r="L4901" s="2">
        <v>1</v>
      </c>
      <c r="M4901" s="2" t="s">
        <v>84</v>
      </c>
      <c r="N4901" s="2" t="s">
        <v>84</v>
      </c>
      <c r="O4901" s="2" t="s">
        <v>841</v>
      </c>
      <c r="P4901" s="2" t="s">
        <v>3360</v>
      </c>
    </row>
    <row r="4902" spans="1:16" ht="22" customHeight="1" x14ac:dyDescent="0.15">
      <c r="A4902" s="10" t="str">
        <f t="shared" si="790"/>
        <v>610_10_7_10_polygon</v>
      </c>
      <c r="B4902" s="2">
        <v>610</v>
      </c>
      <c r="C4902" s="30" t="str">
        <f>VLOOKUP(B4902,gachas!A:C,3)</f>
        <v>全世界800万DL突破記念_海外版限定スペシャルガチャ（関羽）</v>
      </c>
      <c r="D4902" s="21">
        <v>10</v>
      </c>
      <c r="E4902" s="2">
        <v>7</v>
      </c>
      <c r="F4902" s="2">
        <v>10</v>
      </c>
      <c r="G4902" s="3" t="s">
        <v>22</v>
      </c>
      <c r="H4902" s="2">
        <v>30</v>
      </c>
      <c r="I4902" s="114" t="str">
        <f t="shared" si="791"/>
        <v>610100</v>
      </c>
      <c r="J4902" s="112" t="s">
        <v>84</v>
      </c>
      <c r="K4902" s="112" t="s">
        <v>84</v>
      </c>
      <c r="L4902" s="2">
        <v>0</v>
      </c>
      <c r="M4902" s="2" t="s">
        <v>84</v>
      </c>
      <c r="N4902" s="2" t="s">
        <v>84</v>
      </c>
      <c r="O4902" s="2" t="s">
        <v>841</v>
      </c>
      <c r="P4902" s="2" t="s">
        <v>3063</v>
      </c>
    </row>
    <row r="4903" spans="1:16" ht="22" customHeight="1" x14ac:dyDescent="0.15">
      <c r="A4903" s="10" t="str">
        <f t="shared" si="790"/>
        <v>610_10_8_10_polygon</v>
      </c>
      <c r="B4903" s="2">
        <v>610</v>
      </c>
      <c r="C4903" s="30" t="str">
        <f>VLOOKUP(B4903,gachas!A:C,3)</f>
        <v>全世界800万DL突破記念_海外版限定スペシャルガチャ（関羽）</v>
      </c>
      <c r="D4903" s="21">
        <v>10</v>
      </c>
      <c r="E4903" s="2">
        <v>8</v>
      </c>
      <c r="F4903" s="2">
        <v>10</v>
      </c>
      <c r="G4903" s="3" t="s">
        <v>22</v>
      </c>
      <c r="H4903" s="2">
        <v>40</v>
      </c>
      <c r="I4903" s="114" t="str">
        <f t="shared" si="791"/>
        <v>610100</v>
      </c>
      <c r="J4903" s="112" t="s">
        <v>84</v>
      </c>
      <c r="K4903" s="112" t="s">
        <v>84</v>
      </c>
      <c r="L4903" s="2">
        <v>0</v>
      </c>
      <c r="M4903" s="2" t="s">
        <v>84</v>
      </c>
      <c r="N4903" s="2" t="s">
        <v>84</v>
      </c>
      <c r="O4903" s="2" t="s">
        <v>841</v>
      </c>
      <c r="P4903" s="2" t="s">
        <v>3064</v>
      </c>
    </row>
    <row r="4904" spans="1:16" ht="22" customHeight="1" x14ac:dyDescent="0.15">
      <c r="A4904" s="10" t="str">
        <f t="shared" si="790"/>
        <v>610_10_9_10_polygon</v>
      </c>
      <c r="B4904" s="2">
        <v>610</v>
      </c>
      <c r="C4904" s="30" t="str">
        <f>VLOOKUP(B4904,gachas!A:C,3)</f>
        <v>全世界800万DL突破記念_海外版限定スペシャルガチャ（関羽）</v>
      </c>
      <c r="D4904" s="21">
        <v>10</v>
      </c>
      <c r="E4904" s="2">
        <v>9</v>
      </c>
      <c r="F4904" s="2">
        <v>10</v>
      </c>
      <c r="G4904" s="3" t="s">
        <v>22</v>
      </c>
      <c r="H4904" s="2">
        <v>50</v>
      </c>
      <c r="I4904" s="114" t="str">
        <f t="shared" si="791"/>
        <v>610100</v>
      </c>
      <c r="J4904" s="112" t="s">
        <v>84</v>
      </c>
      <c r="K4904" s="117" t="str">
        <f t="shared" ref="K4904" si="793">CONCATENATE(B4904,"103")</f>
        <v>610103</v>
      </c>
      <c r="L4904" s="2">
        <v>1</v>
      </c>
      <c r="M4904" s="2" t="s">
        <v>84</v>
      </c>
      <c r="N4904" s="2" t="s">
        <v>84</v>
      </c>
      <c r="O4904" s="2" t="s">
        <v>841</v>
      </c>
      <c r="P4904" s="2" t="s">
        <v>3360</v>
      </c>
    </row>
    <row r="4905" spans="1:16" ht="22" customHeight="1" x14ac:dyDescent="0.15">
      <c r="A4905" s="10" t="str">
        <f t="shared" si="790"/>
        <v>610_10_10_10_polygon</v>
      </c>
      <c r="B4905" s="2">
        <v>610</v>
      </c>
      <c r="C4905" s="30" t="str">
        <f>VLOOKUP(B4905,gachas!A:C,3)</f>
        <v>全世界800万DL突破記念_海外版限定スペシャルガチャ（関羽）</v>
      </c>
      <c r="D4905" s="21">
        <v>10</v>
      </c>
      <c r="E4905" s="2">
        <v>10</v>
      </c>
      <c r="F4905" s="2">
        <v>10</v>
      </c>
      <c r="G4905" s="3" t="s">
        <v>22</v>
      </c>
      <c r="H4905" s="2">
        <v>30</v>
      </c>
      <c r="I4905" s="114" t="str">
        <f t="shared" si="791"/>
        <v>610100</v>
      </c>
      <c r="J4905" s="112" t="s">
        <v>84</v>
      </c>
      <c r="K4905" s="112" t="s">
        <v>84</v>
      </c>
      <c r="L4905" s="2">
        <v>0</v>
      </c>
      <c r="M4905" s="2" t="s">
        <v>84</v>
      </c>
      <c r="N4905" s="2" t="s">
        <v>84</v>
      </c>
      <c r="O4905" s="2" t="s">
        <v>841</v>
      </c>
      <c r="P4905" s="2" t="s">
        <v>3063</v>
      </c>
    </row>
    <row r="4906" spans="1:16" ht="22" customHeight="1" x14ac:dyDescent="0.15">
      <c r="A4906" s="10" t="str">
        <f t="shared" si="790"/>
        <v>610_10_11_10_polygon</v>
      </c>
      <c r="B4906" s="2">
        <v>610</v>
      </c>
      <c r="C4906" s="30" t="str">
        <f>VLOOKUP(B4906,gachas!A:C,3)</f>
        <v>全世界800万DL突破記念_海外版限定スペシャルガチャ（関羽）</v>
      </c>
      <c r="D4906" s="21">
        <v>10</v>
      </c>
      <c r="E4906" s="2">
        <v>11</v>
      </c>
      <c r="F4906" s="2">
        <v>10</v>
      </c>
      <c r="G4906" s="3" t="s">
        <v>22</v>
      </c>
      <c r="H4906" s="2">
        <v>40</v>
      </c>
      <c r="I4906" s="114" t="str">
        <f t="shared" si="791"/>
        <v>610100</v>
      </c>
      <c r="J4906" s="112" t="s">
        <v>84</v>
      </c>
      <c r="K4906" s="112" t="s">
        <v>84</v>
      </c>
      <c r="L4906" s="2">
        <v>0</v>
      </c>
      <c r="M4906" s="2" t="s">
        <v>84</v>
      </c>
      <c r="N4906" s="2" t="s">
        <v>84</v>
      </c>
      <c r="O4906" s="2" t="s">
        <v>841</v>
      </c>
      <c r="P4906" s="2" t="s">
        <v>3064</v>
      </c>
    </row>
    <row r="4907" spans="1:16" ht="22" customHeight="1" x14ac:dyDescent="0.15">
      <c r="A4907" s="10" t="str">
        <f t="shared" si="790"/>
        <v>610_10_12_10_polygon</v>
      </c>
      <c r="B4907" s="2">
        <v>610</v>
      </c>
      <c r="C4907" s="30" t="str">
        <f>VLOOKUP(B4907,gachas!A:C,3)</f>
        <v>全世界800万DL突破記念_海外版限定スペシャルガチャ（関羽）</v>
      </c>
      <c r="D4907" s="21">
        <v>10</v>
      </c>
      <c r="E4907" s="2">
        <v>12</v>
      </c>
      <c r="F4907" s="2">
        <v>10</v>
      </c>
      <c r="G4907" s="3" t="s">
        <v>22</v>
      </c>
      <c r="H4907" s="2">
        <v>50</v>
      </c>
      <c r="I4907" s="114" t="str">
        <f t="shared" si="791"/>
        <v>610100</v>
      </c>
      <c r="J4907" s="112" t="s">
        <v>84</v>
      </c>
      <c r="K4907" s="117" t="str">
        <f t="shared" ref="K4907" si="794">CONCATENATE(B4907,"103")</f>
        <v>610103</v>
      </c>
      <c r="L4907" s="2">
        <v>1</v>
      </c>
      <c r="M4907" s="2" t="s">
        <v>84</v>
      </c>
      <c r="N4907" s="2" t="s">
        <v>84</v>
      </c>
      <c r="O4907" s="2" t="s">
        <v>841</v>
      </c>
      <c r="P4907" s="2" t="s">
        <v>3360</v>
      </c>
    </row>
    <row r="4908" spans="1:16" ht="22" customHeight="1" x14ac:dyDescent="0.15">
      <c r="A4908" s="10" t="str">
        <f t="shared" si="790"/>
        <v>610_10_13_10_polygon</v>
      </c>
      <c r="B4908" s="2">
        <v>610</v>
      </c>
      <c r="C4908" s="30" t="str">
        <f>VLOOKUP(B4908,gachas!A:C,3)</f>
        <v>全世界800万DL突破記念_海外版限定スペシャルガチャ（関羽）</v>
      </c>
      <c r="D4908" s="21">
        <v>10</v>
      </c>
      <c r="E4908" s="2">
        <v>13</v>
      </c>
      <c r="F4908" s="2">
        <v>10</v>
      </c>
      <c r="G4908" s="3" t="s">
        <v>22</v>
      </c>
      <c r="H4908" s="2">
        <v>30</v>
      </c>
      <c r="I4908" s="114" t="str">
        <f t="shared" si="791"/>
        <v>610100</v>
      </c>
      <c r="J4908" s="112" t="s">
        <v>84</v>
      </c>
      <c r="K4908" s="112" t="s">
        <v>84</v>
      </c>
      <c r="L4908" s="2">
        <v>0</v>
      </c>
      <c r="M4908" s="2" t="s">
        <v>84</v>
      </c>
      <c r="N4908" s="2" t="s">
        <v>84</v>
      </c>
      <c r="O4908" s="2" t="s">
        <v>841</v>
      </c>
      <c r="P4908" s="2" t="s">
        <v>3063</v>
      </c>
    </row>
    <row r="4909" spans="1:16" ht="22" customHeight="1" x14ac:dyDescent="0.15">
      <c r="A4909" s="10" t="str">
        <f t="shared" si="790"/>
        <v>610_10_14_10_polygon</v>
      </c>
      <c r="B4909" s="2">
        <v>610</v>
      </c>
      <c r="C4909" s="30" t="str">
        <f>VLOOKUP(B4909,gachas!A:C,3)</f>
        <v>全世界800万DL突破記念_海外版限定スペシャルガチャ（関羽）</v>
      </c>
      <c r="D4909" s="21">
        <v>10</v>
      </c>
      <c r="E4909" s="2">
        <v>14</v>
      </c>
      <c r="F4909" s="2">
        <v>10</v>
      </c>
      <c r="G4909" s="3" t="s">
        <v>22</v>
      </c>
      <c r="H4909" s="2">
        <v>40</v>
      </c>
      <c r="I4909" s="114" t="str">
        <f t="shared" si="791"/>
        <v>610100</v>
      </c>
      <c r="J4909" s="112" t="s">
        <v>84</v>
      </c>
      <c r="K4909" s="112" t="s">
        <v>84</v>
      </c>
      <c r="L4909" s="2">
        <v>0</v>
      </c>
      <c r="M4909" s="2" t="s">
        <v>84</v>
      </c>
      <c r="N4909" s="2" t="s">
        <v>84</v>
      </c>
      <c r="O4909" s="2" t="s">
        <v>841</v>
      </c>
      <c r="P4909" s="2" t="s">
        <v>3064</v>
      </c>
    </row>
    <row r="4910" spans="1:16" ht="22" customHeight="1" x14ac:dyDescent="0.15">
      <c r="A4910" s="10" t="str">
        <f t="shared" si="790"/>
        <v>610_10_15_10_polygon</v>
      </c>
      <c r="B4910" s="2">
        <v>610</v>
      </c>
      <c r="C4910" s="30" t="str">
        <f>VLOOKUP(B4910,gachas!A:C,3)</f>
        <v>全世界800万DL突破記念_海外版限定スペシャルガチャ（関羽）</v>
      </c>
      <c r="D4910" s="21">
        <v>10</v>
      </c>
      <c r="E4910" s="2">
        <v>15</v>
      </c>
      <c r="F4910" s="2">
        <v>10</v>
      </c>
      <c r="G4910" s="3" t="s">
        <v>22</v>
      </c>
      <c r="H4910" s="2">
        <v>50</v>
      </c>
      <c r="I4910" s="114" t="str">
        <f t="shared" si="791"/>
        <v>610100</v>
      </c>
      <c r="J4910" s="112" t="s">
        <v>84</v>
      </c>
      <c r="K4910" s="117" t="str">
        <f t="shared" ref="K4910" si="795">CONCATENATE(B4910,"103")</f>
        <v>610103</v>
      </c>
      <c r="L4910" s="2">
        <v>1</v>
      </c>
      <c r="M4910" s="2" t="s">
        <v>84</v>
      </c>
      <c r="N4910" s="2" t="s">
        <v>84</v>
      </c>
      <c r="O4910" s="2" t="s">
        <v>841</v>
      </c>
      <c r="P4910" s="2" t="s">
        <v>3360</v>
      </c>
    </row>
    <row r="4911" spans="1:16" ht="22" customHeight="1" x14ac:dyDescent="0.15">
      <c r="A4911" s="10" t="str">
        <f t="shared" si="790"/>
        <v>610_10_16_10_polygon</v>
      </c>
      <c r="B4911" s="2">
        <v>610</v>
      </c>
      <c r="C4911" s="30" t="str">
        <f>VLOOKUP(B4911,gachas!A:C,3)</f>
        <v>全世界800万DL突破記念_海外版限定スペシャルガチャ（関羽）</v>
      </c>
      <c r="D4911" s="21">
        <v>10</v>
      </c>
      <c r="E4911" s="2">
        <v>16</v>
      </c>
      <c r="F4911" s="2">
        <v>10</v>
      </c>
      <c r="G4911" s="3" t="s">
        <v>22</v>
      </c>
      <c r="H4911" s="2">
        <v>30</v>
      </c>
      <c r="I4911" s="114" t="str">
        <f t="shared" si="791"/>
        <v>610100</v>
      </c>
      <c r="J4911" s="112" t="s">
        <v>84</v>
      </c>
      <c r="K4911" s="112" t="s">
        <v>84</v>
      </c>
      <c r="L4911" s="2">
        <v>0</v>
      </c>
      <c r="M4911" s="2" t="s">
        <v>84</v>
      </c>
      <c r="N4911" s="2" t="s">
        <v>84</v>
      </c>
      <c r="O4911" s="2" t="s">
        <v>841</v>
      </c>
      <c r="P4911" s="2" t="s">
        <v>3063</v>
      </c>
    </row>
    <row r="4912" spans="1:16" ht="22" customHeight="1" x14ac:dyDescent="0.15">
      <c r="A4912" s="10" t="str">
        <f t="shared" si="790"/>
        <v>610_10_17_10_polygon</v>
      </c>
      <c r="B4912" s="2">
        <v>610</v>
      </c>
      <c r="C4912" s="30" t="str">
        <f>VLOOKUP(B4912,gachas!A:C,3)</f>
        <v>全世界800万DL突破記念_海外版限定スペシャルガチャ（関羽）</v>
      </c>
      <c r="D4912" s="21">
        <v>10</v>
      </c>
      <c r="E4912" s="2">
        <v>17</v>
      </c>
      <c r="F4912" s="2">
        <v>10</v>
      </c>
      <c r="G4912" s="3" t="s">
        <v>22</v>
      </c>
      <c r="H4912" s="2">
        <v>40</v>
      </c>
      <c r="I4912" s="114" t="str">
        <f t="shared" si="791"/>
        <v>610100</v>
      </c>
      <c r="J4912" s="112" t="s">
        <v>84</v>
      </c>
      <c r="K4912" s="112" t="s">
        <v>84</v>
      </c>
      <c r="L4912" s="2">
        <v>0</v>
      </c>
      <c r="M4912" s="2" t="s">
        <v>84</v>
      </c>
      <c r="N4912" s="2" t="s">
        <v>84</v>
      </c>
      <c r="O4912" s="2" t="s">
        <v>841</v>
      </c>
      <c r="P4912" s="2" t="s">
        <v>3064</v>
      </c>
    </row>
    <row r="4913" spans="1:16" ht="22" customHeight="1" x14ac:dyDescent="0.15">
      <c r="A4913" s="10" t="str">
        <f t="shared" si="790"/>
        <v>610_10_18_10_polygon</v>
      </c>
      <c r="B4913" s="2">
        <v>610</v>
      </c>
      <c r="C4913" s="30" t="str">
        <f>VLOOKUP(B4913,gachas!A:C,3)</f>
        <v>全世界800万DL突破記念_海外版限定スペシャルガチャ（関羽）</v>
      </c>
      <c r="D4913" s="21">
        <v>10</v>
      </c>
      <c r="E4913" s="2">
        <v>18</v>
      </c>
      <c r="F4913" s="2">
        <v>10</v>
      </c>
      <c r="G4913" s="3" t="s">
        <v>22</v>
      </c>
      <c r="H4913" s="2">
        <v>50</v>
      </c>
      <c r="I4913" s="114" t="str">
        <f t="shared" si="791"/>
        <v>610100</v>
      </c>
      <c r="J4913" s="112" t="s">
        <v>84</v>
      </c>
      <c r="K4913" s="117" t="str">
        <f t="shared" ref="K4913" si="796">CONCATENATE(B4913,"103")</f>
        <v>610103</v>
      </c>
      <c r="L4913" s="2">
        <v>1</v>
      </c>
      <c r="M4913" s="2" t="s">
        <v>84</v>
      </c>
      <c r="N4913" s="2" t="s">
        <v>84</v>
      </c>
      <c r="O4913" s="2" t="s">
        <v>841</v>
      </c>
      <c r="P4913" s="2" t="s">
        <v>3360</v>
      </c>
    </row>
    <row r="4914" spans="1:16" ht="22" customHeight="1" x14ac:dyDescent="0.15">
      <c r="A4914" s="10" t="str">
        <f t="shared" si="790"/>
        <v>610_10_19_10_polygon</v>
      </c>
      <c r="B4914" s="2">
        <v>610</v>
      </c>
      <c r="C4914" s="30" t="str">
        <f>VLOOKUP(B4914,gachas!A:C,3)</f>
        <v>全世界800万DL突破記念_海外版限定スペシャルガチャ（関羽）</v>
      </c>
      <c r="D4914" s="21">
        <v>10</v>
      </c>
      <c r="E4914" s="2">
        <v>19</v>
      </c>
      <c r="F4914" s="2">
        <v>10</v>
      </c>
      <c r="G4914" s="3" t="s">
        <v>22</v>
      </c>
      <c r="H4914" s="2">
        <v>30</v>
      </c>
      <c r="I4914" s="114" t="str">
        <f t="shared" si="791"/>
        <v>610100</v>
      </c>
      <c r="J4914" s="112" t="s">
        <v>84</v>
      </c>
      <c r="K4914" s="112" t="s">
        <v>84</v>
      </c>
      <c r="L4914" s="2">
        <v>0</v>
      </c>
      <c r="M4914" s="2" t="s">
        <v>84</v>
      </c>
      <c r="N4914" s="2" t="s">
        <v>84</v>
      </c>
      <c r="O4914" s="2" t="s">
        <v>841</v>
      </c>
      <c r="P4914" s="2" t="s">
        <v>3063</v>
      </c>
    </row>
    <row r="4915" spans="1:16" ht="22" customHeight="1" x14ac:dyDescent="0.15">
      <c r="A4915" s="10" t="str">
        <f t="shared" si="790"/>
        <v>610_10_20_10_polygon</v>
      </c>
      <c r="B4915" s="2">
        <v>610</v>
      </c>
      <c r="C4915" s="30" t="str">
        <f>VLOOKUP(B4915,gachas!A:C,3)</f>
        <v>全世界800万DL突破記念_海外版限定スペシャルガチャ（関羽）</v>
      </c>
      <c r="D4915" s="21">
        <v>10</v>
      </c>
      <c r="E4915" s="2">
        <v>20</v>
      </c>
      <c r="F4915" s="2">
        <v>10</v>
      </c>
      <c r="G4915" s="3" t="s">
        <v>22</v>
      </c>
      <c r="H4915" s="2">
        <v>40</v>
      </c>
      <c r="I4915" s="114" t="str">
        <f t="shared" si="791"/>
        <v>610100</v>
      </c>
      <c r="J4915" s="112" t="s">
        <v>84</v>
      </c>
      <c r="K4915" s="112" t="s">
        <v>84</v>
      </c>
      <c r="L4915" s="2">
        <v>0</v>
      </c>
      <c r="M4915" s="2" t="s">
        <v>84</v>
      </c>
      <c r="N4915" s="2" t="s">
        <v>84</v>
      </c>
      <c r="O4915" s="2" t="s">
        <v>841</v>
      </c>
      <c r="P4915" s="2" t="s">
        <v>3064</v>
      </c>
    </row>
    <row r="4916" spans="1:16" ht="22" customHeight="1" x14ac:dyDescent="0.15">
      <c r="A4916" s="10" t="str">
        <f t="shared" si="790"/>
        <v>610_10_21_10_polygon</v>
      </c>
      <c r="B4916" s="2">
        <v>610</v>
      </c>
      <c r="C4916" s="30" t="str">
        <f>VLOOKUP(B4916,gachas!A:C,3)</f>
        <v>全世界800万DL突破記念_海外版限定スペシャルガチャ（関羽）</v>
      </c>
      <c r="D4916" s="21">
        <v>10</v>
      </c>
      <c r="E4916" s="2">
        <v>21</v>
      </c>
      <c r="F4916" s="2">
        <v>10</v>
      </c>
      <c r="G4916" s="3" t="s">
        <v>22</v>
      </c>
      <c r="H4916" s="2">
        <v>50</v>
      </c>
      <c r="I4916" s="114" t="str">
        <f t="shared" si="791"/>
        <v>610100</v>
      </c>
      <c r="J4916" s="112" t="s">
        <v>84</v>
      </c>
      <c r="K4916" s="117" t="str">
        <f t="shared" ref="K4916" si="797">CONCATENATE(B4916,"103")</f>
        <v>610103</v>
      </c>
      <c r="L4916" s="2">
        <v>1</v>
      </c>
      <c r="M4916" s="2" t="s">
        <v>84</v>
      </c>
      <c r="N4916" s="2" t="s">
        <v>84</v>
      </c>
      <c r="O4916" s="2" t="s">
        <v>841</v>
      </c>
      <c r="P4916" s="2" t="s">
        <v>3360</v>
      </c>
    </row>
    <row r="4917" spans="1:16" ht="22" customHeight="1" x14ac:dyDescent="0.15">
      <c r="A4917" s="10" t="str">
        <f t="shared" si="790"/>
        <v>610_10_22_10_polygon</v>
      </c>
      <c r="B4917" s="2">
        <v>610</v>
      </c>
      <c r="C4917" s="30" t="str">
        <f>VLOOKUP(B4917,gachas!A:C,3)</f>
        <v>全世界800万DL突破記念_海外版限定スペシャルガチャ（関羽）</v>
      </c>
      <c r="D4917" s="21">
        <v>10</v>
      </c>
      <c r="E4917" s="2">
        <v>22</v>
      </c>
      <c r="F4917" s="2">
        <v>10</v>
      </c>
      <c r="G4917" s="3" t="s">
        <v>22</v>
      </c>
      <c r="H4917" s="2">
        <v>30</v>
      </c>
      <c r="I4917" s="114" t="str">
        <f t="shared" si="791"/>
        <v>610100</v>
      </c>
      <c r="J4917" s="112" t="s">
        <v>84</v>
      </c>
      <c r="K4917" s="112" t="s">
        <v>84</v>
      </c>
      <c r="L4917" s="2">
        <v>0</v>
      </c>
      <c r="M4917" s="2" t="s">
        <v>84</v>
      </c>
      <c r="N4917" s="2" t="s">
        <v>84</v>
      </c>
      <c r="O4917" s="2" t="s">
        <v>841</v>
      </c>
      <c r="P4917" s="2" t="s">
        <v>3063</v>
      </c>
    </row>
    <row r="4918" spans="1:16" ht="22" customHeight="1" x14ac:dyDescent="0.15">
      <c r="A4918" s="10" t="str">
        <f t="shared" si="790"/>
        <v>610_10_23_10_polygon</v>
      </c>
      <c r="B4918" s="2">
        <v>610</v>
      </c>
      <c r="C4918" s="30" t="str">
        <f>VLOOKUP(B4918,gachas!A:C,3)</f>
        <v>全世界800万DL突破記念_海外版限定スペシャルガチャ（関羽）</v>
      </c>
      <c r="D4918" s="21">
        <v>10</v>
      </c>
      <c r="E4918" s="2">
        <v>23</v>
      </c>
      <c r="F4918" s="2">
        <v>10</v>
      </c>
      <c r="G4918" s="3" t="s">
        <v>22</v>
      </c>
      <c r="H4918" s="2">
        <v>40</v>
      </c>
      <c r="I4918" s="114" t="str">
        <f t="shared" si="791"/>
        <v>610100</v>
      </c>
      <c r="J4918" s="112" t="s">
        <v>84</v>
      </c>
      <c r="K4918" s="112" t="s">
        <v>84</v>
      </c>
      <c r="L4918" s="2">
        <v>0</v>
      </c>
      <c r="M4918" s="2" t="s">
        <v>84</v>
      </c>
      <c r="N4918" s="2" t="s">
        <v>84</v>
      </c>
      <c r="O4918" s="2" t="s">
        <v>841</v>
      </c>
      <c r="P4918" s="2" t="s">
        <v>3064</v>
      </c>
    </row>
    <row r="4919" spans="1:16" ht="22" customHeight="1" x14ac:dyDescent="0.15">
      <c r="A4919" s="10" t="str">
        <f t="shared" si="790"/>
        <v>610_10_24_10_polygon</v>
      </c>
      <c r="B4919" s="2">
        <v>610</v>
      </c>
      <c r="C4919" s="30" t="str">
        <f>VLOOKUP(B4919,gachas!A:C,3)</f>
        <v>全世界800万DL突破記念_海外版限定スペシャルガチャ（関羽）</v>
      </c>
      <c r="D4919" s="21">
        <v>10</v>
      </c>
      <c r="E4919" s="2">
        <v>24</v>
      </c>
      <c r="F4919" s="2">
        <v>10</v>
      </c>
      <c r="G4919" s="3" t="s">
        <v>22</v>
      </c>
      <c r="H4919" s="2">
        <v>50</v>
      </c>
      <c r="I4919" s="114" t="str">
        <f t="shared" si="791"/>
        <v>610100</v>
      </c>
      <c r="J4919" s="112" t="s">
        <v>84</v>
      </c>
      <c r="K4919" s="117" t="str">
        <f t="shared" ref="K4919" si="798">CONCATENATE(B4919,"103")</f>
        <v>610103</v>
      </c>
      <c r="L4919" s="2">
        <v>1</v>
      </c>
      <c r="M4919" s="2" t="s">
        <v>84</v>
      </c>
      <c r="N4919" s="2" t="s">
        <v>84</v>
      </c>
      <c r="O4919" s="2" t="s">
        <v>841</v>
      </c>
      <c r="P4919" s="2" t="s">
        <v>3360</v>
      </c>
    </row>
    <row r="4920" spans="1:16" ht="22" customHeight="1" x14ac:dyDescent="0.15">
      <c r="A4920" s="10" t="str">
        <f t="shared" si="790"/>
        <v>610_10_25_10_polygon</v>
      </c>
      <c r="B4920" s="2">
        <v>610</v>
      </c>
      <c r="C4920" s="30" t="str">
        <f>VLOOKUP(B4920,gachas!A:C,3)</f>
        <v>全世界800万DL突破記念_海外版限定スペシャルガチャ（関羽）</v>
      </c>
      <c r="D4920" s="21">
        <v>10</v>
      </c>
      <c r="E4920" s="2">
        <v>25</v>
      </c>
      <c r="F4920" s="2">
        <v>10</v>
      </c>
      <c r="G4920" s="3" t="s">
        <v>22</v>
      </c>
      <c r="H4920" s="2">
        <v>30</v>
      </c>
      <c r="I4920" s="114" t="str">
        <f t="shared" si="791"/>
        <v>610100</v>
      </c>
      <c r="J4920" s="112" t="s">
        <v>84</v>
      </c>
      <c r="K4920" s="112" t="s">
        <v>84</v>
      </c>
      <c r="L4920" s="2">
        <v>0</v>
      </c>
      <c r="M4920" s="2" t="s">
        <v>84</v>
      </c>
      <c r="N4920" s="2" t="s">
        <v>84</v>
      </c>
      <c r="O4920" s="2" t="s">
        <v>841</v>
      </c>
      <c r="P4920" s="2" t="s">
        <v>3063</v>
      </c>
    </row>
    <row r="4921" spans="1:16" ht="22" customHeight="1" x14ac:dyDescent="0.15">
      <c r="A4921" s="10" t="str">
        <f t="shared" si="790"/>
        <v>610_10_26_10_polygon</v>
      </c>
      <c r="B4921" s="2">
        <v>610</v>
      </c>
      <c r="C4921" s="30" t="str">
        <f>VLOOKUP(B4921,gachas!A:C,3)</f>
        <v>全世界800万DL突破記念_海外版限定スペシャルガチャ（関羽）</v>
      </c>
      <c r="D4921" s="21">
        <v>10</v>
      </c>
      <c r="E4921" s="2">
        <v>26</v>
      </c>
      <c r="F4921" s="2">
        <v>10</v>
      </c>
      <c r="G4921" s="3" t="s">
        <v>22</v>
      </c>
      <c r="H4921" s="2">
        <v>40</v>
      </c>
      <c r="I4921" s="114" t="str">
        <f t="shared" si="791"/>
        <v>610100</v>
      </c>
      <c r="J4921" s="112" t="s">
        <v>84</v>
      </c>
      <c r="K4921" s="112" t="s">
        <v>84</v>
      </c>
      <c r="L4921" s="2">
        <v>0</v>
      </c>
      <c r="M4921" s="2" t="s">
        <v>84</v>
      </c>
      <c r="N4921" s="2" t="s">
        <v>84</v>
      </c>
      <c r="O4921" s="2" t="s">
        <v>841</v>
      </c>
      <c r="P4921" s="2" t="s">
        <v>3064</v>
      </c>
    </row>
    <row r="4922" spans="1:16" ht="22" customHeight="1" x14ac:dyDescent="0.15">
      <c r="A4922" s="10" t="str">
        <f t="shared" si="790"/>
        <v>610_10_27_10_polygon</v>
      </c>
      <c r="B4922" s="2">
        <v>610</v>
      </c>
      <c r="C4922" s="30" t="str">
        <f>VLOOKUP(B4922,gachas!A:C,3)</f>
        <v>全世界800万DL突破記念_海外版限定スペシャルガチャ（関羽）</v>
      </c>
      <c r="D4922" s="21">
        <v>10</v>
      </c>
      <c r="E4922" s="2">
        <v>27</v>
      </c>
      <c r="F4922" s="2">
        <v>10</v>
      </c>
      <c r="G4922" s="3" t="s">
        <v>22</v>
      </c>
      <c r="H4922" s="2">
        <v>50</v>
      </c>
      <c r="I4922" s="114" t="str">
        <f t="shared" si="791"/>
        <v>610100</v>
      </c>
      <c r="J4922" s="112" t="s">
        <v>84</v>
      </c>
      <c r="K4922" s="117" t="str">
        <f t="shared" ref="K4922" si="799">CONCATENATE(B4922,"103")</f>
        <v>610103</v>
      </c>
      <c r="L4922" s="2">
        <v>1</v>
      </c>
      <c r="M4922" s="2" t="s">
        <v>84</v>
      </c>
      <c r="N4922" s="2" t="s">
        <v>84</v>
      </c>
      <c r="O4922" s="2" t="s">
        <v>841</v>
      </c>
      <c r="P4922" s="2" t="s">
        <v>3360</v>
      </c>
    </row>
    <row r="4923" spans="1:16" ht="22" customHeight="1" x14ac:dyDescent="0.15">
      <c r="A4923" s="10" t="str">
        <f t="shared" si="790"/>
        <v>610_10_28_10_polygon</v>
      </c>
      <c r="B4923" s="2">
        <v>610</v>
      </c>
      <c r="C4923" s="30" t="str">
        <f>VLOOKUP(B4923,gachas!A:C,3)</f>
        <v>全世界800万DL突破記念_海外版限定スペシャルガチャ（関羽）</v>
      </c>
      <c r="D4923" s="21">
        <v>10</v>
      </c>
      <c r="E4923" s="2">
        <v>28</v>
      </c>
      <c r="F4923" s="2">
        <v>10</v>
      </c>
      <c r="G4923" s="3" t="s">
        <v>22</v>
      </c>
      <c r="H4923" s="2">
        <v>30</v>
      </c>
      <c r="I4923" s="114" t="str">
        <f t="shared" si="791"/>
        <v>610100</v>
      </c>
      <c r="J4923" s="112" t="s">
        <v>84</v>
      </c>
      <c r="K4923" s="112" t="s">
        <v>84</v>
      </c>
      <c r="L4923" s="2">
        <v>0</v>
      </c>
      <c r="M4923" s="2" t="s">
        <v>84</v>
      </c>
      <c r="N4923" s="2" t="s">
        <v>84</v>
      </c>
      <c r="O4923" s="2" t="s">
        <v>841</v>
      </c>
      <c r="P4923" s="2" t="s">
        <v>3063</v>
      </c>
    </row>
    <row r="4924" spans="1:16" ht="22" customHeight="1" x14ac:dyDescent="0.15">
      <c r="A4924" s="10" t="str">
        <f t="shared" si="790"/>
        <v>610_10_29_10_polygon</v>
      </c>
      <c r="B4924" s="2">
        <v>610</v>
      </c>
      <c r="C4924" s="30" t="str">
        <f>VLOOKUP(B4924,gachas!A:C,3)</f>
        <v>全世界800万DL突破記念_海外版限定スペシャルガチャ（関羽）</v>
      </c>
      <c r="D4924" s="21">
        <v>10</v>
      </c>
      <c r="E4924" s="2">
        <v>29</v>
      </c>
      <c r="F4924" s="2">
        <v>10</v>
      </c>
      <c r="G4924" s="3" t="s">
        <v>22</v>
      </c>
      <c r="H4924" s="2">
        <v>40</v>
      </c>
      <c r="I4924" s="114" t="str">
        <f t="shared" si="791"/>
        <v>610100</v>
      </c>
      <c r="J4924" s="112" t="s">
        <v>84</v>
      </c>
      <c r="K4924" s="112" t="s">
        <v>84</v>
      </c>
      <c r="L4924" s="2">
        <v>0</v>
      </c>
      <c r="M4924" s="2" t="s">
        <v>84</v>
      </c>
      <c r="N4924" s="2" t="s">
        <v>84</v>
      </c>
      <c r="O4924" s="2" t="s">
        <v>841</v>
      </c>
      <c r="P4924" s="2" t="s">
        <v>3064</v>
      </c>
    </row>
    <row r="4925" spans="1:16" ht="22" customHeight="1" x14ac:dyDescent="0.15">
      <c r="A4925" s="10" t="str">
        <f t="shared" si="790"/>
        <v>610_10_30_10_polygon</v>
      </c>
      <c r="B4925" s="2">
        <v>610</v>
      </c>
      <c r="C4925" s="30" t="str">
        <f>VLOOKUP(B4925,gachas!A:C,3)</f>
        <v>全世界800万DL突破記念_海外版限定スペシャルガチャ（関羽）</v>
      </c>
      <c r="D4925" s="21">
        <v>10</v>
      </c>
      <c r="E4925" s="2">
        <v>30</v>
      </c>
      <c r="F4925" s="2">
        <v>10</v>
      </c>
      <c r="G4925" s="3" t="s">
        <v>22</v>
      </c>
      <c r="H4925" s="2">
        <v>50</v>
      </c>
      <c r="I4925" s="114" t="str">
        <f t="shared" si="791"/>
        <v>610100</v>
      </c>
      <c r="J4925" s="112" t="s">
        <v>84</v>
      </c>
      <c r="K4925" s="117" t="str">
        <f t="shared" ref="K4925" si="800">CONCATENATE(B4925,"103")</f>
        <v>610103</v>
      </c>
      <c r="L4925" s="2">
        <v>1</v>
      </c>
      <c r="M4925" s="2" t="s">
        <v>84</v>
      </c>
      <c r="N4925" s="2" t="s">
        <v>84</v>
      </c>
      <c r="O4925" s="2" t="s">
        <v>841</v>
      </c>
      <c r="P4925" s="2" t="s">
        <v>3360</v>
      </c>
    </row>
    <row r="4926" spans="1:16" ht="22" customHeight="1" x14ac:dyDescent="0.15">
      <c r="A4926" s="10" t="str">
        <f t="shared" si="790"/>
        <v>611_10_0_10_polygon</v>
      </c>
      <c r="B4926" s="2">
        <v>611</v>
      </c>
      <c r="C4926" s="30" t="str">
        <f>VLOOKUP(B4926,gachas!A:C,3)</f>
        <v>ランキング対抗ガチャ&lt;シュヴァルツシルト&gt;</v>
      </c>
      <c r="D4926" s="21">
        <v>10</v>
      </c>
      <c r="E4926" s="2">
        <v>0</v>
      </c>
      <c r="F4926" s="2">
        <v>10</v>
      </c>
      <c r="G4926" s="3" t="s">
        <v>22</v>
      </c>
      <c r="H4926" s="2">
        <v>50</v>
      </c>
      <c r="I4926" s="114" t="str">
        <f t="shared" ref="I4926:I4927" si="801">B4926&amp;TEXT(D4926,"00")&amp;E4926</f>
        <v>611100</v>
      </c>
      <c r="J4926" s="112" t="s">
        <v>84</v>
      </c>
      <c r="K4926" s="116" t="s">
        <v>85</v>
      </c>
      <c r="L4926" s="2">
        <v>0</v>
      </c>
      <c r="M4926" s="2" t="s">
        <v>84</v>
      </c>
      <c r="N4926" s="2" t="s">
        <v>84</v>
      </c>
      <c r="O4926" s="2" t="s">
        <v>841</v>
      </c>
      <c r="P4926" s="18" t="s">
        <v>3389</v>
      </c>
    </row>
    <row r="4927" spans="1:16" ht="22" customHeight="1" x14ac:dyDescent="0.15">
      <c r="A4927" s="10" t="str">
        <f t="shared" si="790"/>
        <v>611_10_1_1_polygon</v>
      </c>
      <c r="B4927" s="2">
        <v>611</v>
      </c>
      <c r="C4927" s="30" t="str">
        <f>VLOOKUP(B4927,gachas!A:C,3)</f>
        <v>ランキング対抗ガチャ&lt;シュヴァルツシルト&gt;</v>
      </c>
      <c r="D4927" s="21">
        <v>10</v>
      </c>
      <c r="E4927" s="2">
        <v>1</v>
      </c>
      <c r="F4927" s="2">
        <v>1</v>
      </c>
      <c r="G4927" s="3" t="s">
        <v>22</v>
      </c>
      <c r="H4927" s="2">
        <v>1</v>
      </c>
      <c r="I4927" s="114" t="str">
        <f t="shared" si="801"/>
        <v>611101</v>
      </c>
      <c r="J4927" s="112" t="s">
        <v>84</v>
      </c>
      <c r="K4927" s="116" t="s">
        <v>85</v>
      </c>
      <c r="L4927" s="2">
        <v>0</v>
      </c>
      <c r="M4927" s="2" t="s">
        <v>84</v>
      </c>
      <c r="N4927" s="2" t="s">
        <v>84</v>
      </c>
      <c r="O4927" s="2" t="s">
        <v>841</v>
      </c>
      <c r="P4927" s="18" t="s">
        <v>546</v>
      </c>
    </row>
    <row r="4928" spans="1:16" ht="22" customHeight="1" x14ac:dyDescent="0.15">
      <c r="A4928" s="10" t="str">
        <f t="shared" si="790"/>
        <v>611_10_2_3_polygon</v>
      </c>
      <c r="B4928" s="2">
        <v>611</v>
      </c>
      <c r="C4928" s="30" t="str">
        <f>VLOOKUP(B4928,gachas!A:C,3)</f>
        <v>ランキング対抗ガチャ&lt;シュヴァルツシルト&gt;</v>
      </c>
      <c r="D4928" s="21">
        <v>10</v>
      </c>
      <c r="E4928" s="2">
        <v>2</v>
      </c>
      <c r="F4928" s="2">
        <v>3</v>
      </c>
      <c r="G4928" s="3" t="s">
        <v>22</v>
      </c>
      <c r="H4928" s="2">
        <v>9</v>
      </c>
      <c r="I4928" s="119" t="str">
        <f>I4927</f>
        <v>611101</v>
      </c>
      <c r="J4928" s="112" t="s">
        <v>84</v>
      </c>
      <c r="K4928" s="116" t="s">
        <v>85</v>
      </c>
      <c r="L4928" s="2">
        <v>0</v>
      </c>
      <c r="M4928" s="2" t="s">
        <v>84</v>
      </c>
      <c r="N4928" s="2" t="s">
        <v>84</v>
      </c>
      <c r="O4928" s="2" t="s">
        <v>841</v>
      </c>
      <c r="P4928" s="18" t="s">
        <v>1273</v>
      </c>
    </row>
    <row r="4929" spans="1:16" ht="22" customHeight="1" x14ac:dyDescent="0.15">
      <c r="A4929" s="10" t="str">
        <f t="shared" si="790"/>
        <v>611_10_3_10_polygon</v>
      </c>
      <c r="B4929" s="2">
        <v>611</v>
      </c>
      <c r="C4929" s="30" t="str">
        <f>VLOOKUP(B4929,gachas!A:C,3)</f>
        <v>ランキング対抗ガチャ&lt;シュヴァルツシルト&gt;</v>
      </c>
      <c r="D4929" s="21">
        <v>10</v>
      </c>
      <c r="E4929" s="2">
        <v>3</v>
      </c>
      <c r="F4929" s="2">
        <v>10</v>
      </c>
      <c r="G4929" s="3" t="s">
        <v>22</v>
      </c>
      <c r="H4929" s="2">
        <v>35</v>
      </c>
      <c r="I4929" s="114" t="str">
        <f t="shared" ref="I4929:I4932" si="802">B4929&amp;TEXT(D4929,"00")&amp;E4929</f>
        <v>611103</v>
      </c>
      <c r="J4929" s="112" t="s">
        <v>84</v>
      </c>
      <c r="K4929" s="116" t="str">
        <f>I4929</f>
        <v>611103</v>
      </c>
      <c r="L4929" s="2">
        <v>1</v>
      </c>
      <c r="M4929" s="2" t="s">
        <v>84</v>
      </c>
      <c r="N4929" s="2" t="s">
        <v>84</v>
      </c>
      <c r="O4929" s="2" t="s">
        <v>841</v>
      </c>
      <c r="P4929" s="18" t="s">
        <v>3390</v>
      </c>
    </row>
    <row r="4930" spans="1:16" ht="22" customHeight="1" x14ac:dyDescent="0.15">
      <c r="A4930" s="10" t="str">
        <f t="shared" si="790"/>
        <v>611_10_4_10_polygon</v>
      </c>
      <c r="B4930" s="2">
        <v>611</v>
      </c>
      <c r="C4930" s="30" t="str">
        <f>VLOOKUP(B4930,gachas!A:C,3)</f>
        <v>ランキング対抗ガチャ&lt;シュヴァルツシルト&gt;</v>
      </c>
      <c r="D4930" s="21">
        <v>10</v>
      </c>
      <c r="E4930" s="2">
        <v>4</v>
      </c>
      <c r="F4930" s="2">
        <v>10</v>
      </c>
      <c r="G4930" s="3" t="s">
        <v>22</v>
      </c>
      <c r="H4930" s="2">
        <v>50</v>
      </c>
      <c r="I4930" s="114" t="str">
        <f t="shared" si="802"/>
        <v>611104</v>
      </c>
      <c r="J4930" s="112" t="s">
        <v>84</v>
      </c>
      <c r="K4930" s="116" t="str">
        <f>I4930</f>
        <v>611104</v>
      </c>
      <c r="L4930" s="2">
        <v>1</v>
      </c>
      <c r="M4930" s="2" t="s">
        <v>84</v>
      </c>
      <c r="N4930" s="2" t="s">
        <v>84</v>
      </c>
      <c r="O4930" s="2" t="s">
        <v>841</v>
      </c>
      <c r="P4930" s="18" t="s">
        <v>3391</v>
      </c>
    </row>
    <row r="4931" spans="1:16" ht="22" customHeight="1" x14ac:dyDescent="0.15">
      <c r="A4931" s="10" t="str">
        <f t="shared" si="790"/>
        <v>611_10_5_10_polygon</v>
      </c>
      <c r="B4931" s="2">
        <v>611</v>
      </c>
      <c r="C4931" s="30" t="str">
        <f>VLOOKUP(B4931,gachas!A:C,3)</f>
        <v>ランキング対抗ガチャ&lt;シュヴァルツシルト&gt;</v>
      </c>
      <c r="D4931" s="21">
        <v>10</v>
      </c>
      <c r="E4931" s="2">
        <v>5</v>
      </c>
      <c r="F4931" s="2">
        <v>10</v>
      </c>
      <c r="G4931" s="3" t="s">
        <v>22</v>
      </c>
      <c r="H4931" s="2">
        <v>50</v>
      </c>
      <c r="I4931" s="114" t="str">
        <f t="shared" si="802"/>
        <v>611105</v>
      </c>
      <c r="J4931" s="112" t="str">
        <f>I4931</f>
        <v>611105</v>
      </c>
      <c r="K4931" s="116" t="s">
        <v>85</v>
      </c>
      <c r="L4931" s="2">
        <v>0</v>
      </c>
      <c r="M4931" s="2" t="s">
        <v>84</v>
      </c>
      <c r="N4931" s="2" t="s">
        <v>84</v>
      </c>
      <c r="O4931" s="2" t="s">
        <v>841</v>
      </c>
      <c r="P4931" s="18" t="s">
        <v>3392</v>
      </c>
    </row>
    <row r="4932" spans="1:16" ht="22" customHeight="1" x14ac:dyDescent="0.15">
      <c r="A4932" s="10" t="str">
        <f t="shared" si="790"/>
        <v>611_10_6_10_polygon</v>
      </c>
      <c r="B4932" s="2">
        <v>611</v>
      </c>
      <c r="C4932" s="30" t="str">
        <f>VLOOKUP(B4932,gachas!A:C,3)</f>
        <v>ランキング対抗ガチャ&lt;シュヴァルツシルト&gt;</v>
      </c>
      <c r="D4932" s="21">
        <v>10</v>
      </c>
      <c r="E4932" s="2">
        <v>6</v>
      </c>
      <c r="F4932" s="2">
        <v>10</v>
      </c>
      <c r="G4932" s="3" t="s">
        <v>22</v>
      </c>
      <c r="H4932" s="2">
        <v>50</v>
      </c>
      <c r="I4932" s="114" t="str">
        <f t="shared" si="802"/>
        <v>611106</v>
      </c>
      <c r="J4932" s="112" t="str">
        <f>I4932</f>
        <v>611106</v>
      </c>
      <c r="K4932" s="116" t="s">
        <v>85</v>
      </c>
      <c r="L4932" s="2">
        <v>0</v>
      </c>
      <c r="M4932" s="2" t="s">
        <v>84</v>
      </c>
      <c r="N4932" s="2" t="s">
        <v>84</v>
      </c>
      <c r="O4932" s="2" t="s">
        <v>841</v>
      </c>
      <c r="P4932" s="18" t="s">
        <v>3393</v>
      </c>
    </row>
    <row r="4933" spans="1:16" ht="22" customHeight="1" x14ac:dyDescent="0.15">
      <c r="A4933" s="10" t="str">
        <f t="shared" si="790"/>
        <v>611_10_7_10_polygon</v>
      </c>
      <c r="B4933" s="2">
        <v>611</v>
      </c>
      <c r="C4933" s="30" t="str">
        <f>VLOOKUP(B4933,gachas!A:C,3)</f>
        <v>ランキング対抗ガチャ&lt;シュヴァルツシルト&gt;</v>
      </c>
      <c r="D4933" s="21">
        <v>10</v>
      </c>
      <c r="E4933" s="2">
        <v>7</v>
      </c>
      <c r="F4933" s="2">
        <v>10</v>
      </c>
      <c r="G4933" s="3" t="s">
        <v>22</v>
      </c>
      <c r="H4933" s="2">
        <v>50</v>
      </c>
      <c r="I4933" s="119" t="str">
        <f>I4926</f>
        <v>611100</v>
      </c>
      <c r="J4933" s="112" t="s">
        <v>84</v>
      </c>
      <c r="K4933" s="116" t="s">
        <v>85</v>
      </c>
      <c r="L4933" s="2">
        <v>0</v>
      </c>
      <c r="M4933" s="2" t="s">
        <v>84</v>
      </c>
      <c r="N4933" s="2" t="s">
        <v>84</v>
      </c>
      <c r="O4933" s="2" t="s">
        <v>841</v>
      </c>
      <c r="P4933" s="18" t="s">
        <v>3394</v>
      </c>
    </row>
    <row r="4934" spans="1:16" ht="22" customHeight="1" x14ac:dyDescent="0.15">
      <c r="A4934" s="10" t="str">
        <f t="shared" si="790"/>
        <v>612_10_0_10_polygon</v>
      </c>
      <c r="B4934" s="2">
        <v>612</v>
      </c>
      <c r="C4934" s="30" t="str">
        <f>VLOOKUP(B4934,gachas!A:C,3)</f>
        <v>確定ステップアップガチャ（童話in)</v>
      </c>
      <c r="D4934" s="21">
        <v>10</v>
      </c>
      <c r="E4934" s="2">
        <v>0</v>
      </c>
      <c r="F4934" s="2">
        <v>10</v>
      </c>
      <c r="G4934" s="3" t="s">
        <v>22</v>
      </c>
      <c r="H4934" s="2">
        <v>40</v>
      </c>
      <c r="I4934" s="119" t="s">
        <v>3386</v>
      </c>
      <c r="J4934" s="125" t="s">
        <v>84</v>
      </c>
      <c r="K4934" s="125" t="s">
        <v>84</v>
      </c>
      <c r="L4934" s="6">
        <v>0</v>
      </c>
      <c r="M4934" s="6" t="s">
        <v>84</v>
      </c>
      <c r="N4934" s="6" t="s">
        <v>84</v>
      </c>
      <c r="O4934" s="6" t="s">
        <v>841</v>
      </c>
      <c r="P4934" s="153" t="s">
        <v>2956</v>
      </c>
    </row>
    <row r="4935" spans="1:16" ht="22" customHeight="1" x14ac:dyDescent="0.15">
      <c r="A4935" s="10" t="str">
        <f t="shared" si="790"/>
        <v>612_10_1_1_polygon</v>
      </c>
      <c r="B4935" s="2">
        <v>612</v>
      </c>
      <c r="C4935" s="30" t="str">
        <f>VLOOKUP(B4935,gachas!A:C,3)</f>
        <v>確定ステップアップガチャ（童話in)</v>
      </c>
      <c r="D4935" s="21">
        <v>10</v>
      </c>
      <c r="E4935" s="2">
        <f>E4934+1</f>
        <v>1</v>
      </c>
      <c r="F4935" s="2">
        <v>1</v>
      </c>
      <c r="G4935" s="3" t="s">
        <v>22</v>
      </c>
      <c r="H4935" s="2">
        <v>1</v>
      </c>
      <c r="I4935" s="119" t="s">
        <v>3387</v>
      </c>
      <c r="J4935" s="125" t="s">
        <v>84</v>
      </c>
      <c r="K4935" s="125" t="s">
        <v>84</v>
      </c>
      <c r="L4935" s="6">
        <v>0</v>
      </c>
      <c r="M4935" s="6" t="s">
        <v>84</v>
      </c>
      <c r="N4935" s="6" t="s">
        <v>84</v>
      </c>
      <c r="O4935" s="6" t="s">
        <v>841</v>
      </c>
      <c r="P4935" s="153" t="s">
        <v>2875</v>
      </c>
    </row>
    <row r="4936" spans="1:16" ht="22" customHeight="1" x14ac:dyDescent="0.15">
      <c r="A4936" s="10" t="str">
        <f t="shared" si="790"/>
        <v>612_10_2_2_polygon</v>
      </c>
      <c r="B4936" s="2">
        <v>612</v>
      </c>
      <c r="C4936" s="30" t="str">
        <f>VLOOKUP(B4936,gachas!A:C,3)</f>
        <v>確定ステップアップガチャ（童話in)</v>
      </c>
      <c r="D4936" s="21">
        <v>10</v>
      </c>
      <c r="E4936" s="2">
        <f t="shared" ref="E4936:E4983" si="803">E4935+1</f>
        <v>2</v>
      </c>
      <c r="F4936" s="2">
        <v>2</v>
      </c>
      <c r="G4936" s="3" t="s">
        <v>22</v>
      </c>
      <c r="H4936" s="2">
        <v>3</v>
      </c>
      <c r="I4936" s="119" t="s">
        <v>3387</v>
      </c>
      <c r="J4936" s="125" t="s">
        <v>3098</v>
      </c>
      <c r="K4936" s="125" t="s">
        <v>84</v>
      </c>
      <c r="L4936" s="6">
        <v>0</v>
      </c>
      <c r="M4936" s="6" t="s">
        <v>84</v>
      </c>
      <c r="N4936" s="6" t="s">
        <v>84</v>
      </c>
      <c r="O4936" s="6" t="s">
        <v>841</v>
      </c>
      <c r="P4936" s="153" t="s">
        <v>2876</v>
      </c>
    </row>
    <row r="4937" spans="1:16" ht="22" customHeight="1" x14ac:dyDescent="0.15">
      <c r="A4937" s="10" t="str">
        <f t="shared" si="790"/>
        <v>612_10_3_3_polygon</v>
      </c>
      <c r="B4937" s="2">
        <v>612</v>
      </c>
      <c r="C4937" s="30" t="str">
        <f>VLOOKUP(B4937,gachas!A:C,3)</f>
        <v>確定ステップアップガチャ（童話in)</v>
      </c>
      <c r="D4937" s="21">
        <v>10</v>
      </c>
      <c r="E4937" s="2">
        <f t="shared" si="803"/>
        <v>3</v>
      </c>
      <c r="F4937" s="2">
        <v>3</v>
      </c>
      <c r="G4937" s="3" t="s">
        <v>22</v>
      </c>
      <c r="H4937" s="2">
        <v>9</v>
      </c>
      <c r="I4937" s="119" t="s">
        <v>3387</v>
      </c>
      <c r="J4937" s="125" t="s">
        <v>3099</v>
      </c>
      <c r="K4937" s="125" t="s">
        <v>84</v>
      </c>
      <c r="L4937" s="6">
        <v>0</v>
      </c>
      <c r="M4937" s="6" t="s">
        <v>84</v>
      </c>
      <c r="N4937" s="6" t="s">
        <v>84</v>
      </c>
      <c r="O4937" s="6" t="s">
        <v>841</v>
      </c>
      <c r="P4937" s="153" t="s">
        <v>2954</v>
      </c>
    </row>
    <row r="4938" spans="1:16" ht="22" customHeight="1" x14ac:dyDescent="0.15">
      <c r="A4938" s="10" t="str">
        <f t="shared" si="790"/>
        <v>612_10_4_5_polygon</v>
      </c>
      <c r="B4938" s="2">
        <v>612</v>
      </c>
      <c r="C4938" s="30" t="str">
        <f>VLOOKUP(B4938,gachas!A:C,3)</f>
        <v>確定ステップアップガチャ（童話in)</v>
      </c>
      <c r="D4938" s="21">
        <v>10</v>
      </c>
      <c r="E4938" s="2">
        <f t="shared" si="803"/>
        <v>4</v>
      </c>
      <c r="F4938" s="2">
        <v>5</v>
      </c>
      <c r="G4938" s="3" t="s">
        <v>22</v>
      </c>
      <c r="H4938" s="2">
        <v>20</v>
      </c>
      <c r="I4938" s="119" t="s">
        <v>3386</v>
      </c>
      <c r="J4938" s="125" t="s">
        <v>3096</v>
      </c>
      <c r="K4938" s="125" t="s">
        <v>84</v>
      </c>
      <c r="L4938" s="6">
        <v>0</v>
      </c>
      <c r="M4938" s="6" t="s">
        <v>84</v>
      </c>
      <c r="N4938" s="6" t="s">
        <v>84</v>
      </c>
      <c r="O4938" s="6" t="s">
        <v>841</v>
      </c>
      <c r="P4938" s="153" t="s">
        <v>2955</v>
      </c>
    </row>
    <row r="4939" spans="1:16" ht="22" customHeight="1" x14ac:dyDescent="0.15">
      <c r="A4939" s="10" t="str">
        <f t="shared" si="790"/>
        <v>612_10_5_10_polygon</v>
      </c>
      <c r="B4939" s="2">
        <v>612</v>
      </c>
      <c r="C4939" s="30" t="str">
        <f>VLOOKUP(B4939,gachas!A:C,3)</f>
        <v>確定ステップアップガチャ（童話in)</v>
      </c>
      <c r="D4939" s="21">
        <v>10</v>
      </c>
      <c r="E4939" s="2">
        <f t="shared" si="803"/>
        <v>5</v>
      </c>
      <c r="F4939" s="2">
        <v>10</v>
      </c>
      <c r="G4939" s="3" t="s">
        <v>22</v>
      </c>
      <c r="H4939" s="2">
        <v>40</v>
      </c>
      <c r="I4939" s="119" t="s">
        <v>3386</v>
      </c>
      <c r="J4939" s="125" t="s">
        <v>84</v>
      </c>
      <c r="K4939" s="125" t="s">
        <v>3388</v>
      </c>
      <c r="L4939" s="6">
        <v>1</v>
      </c>
      <c r="M4939" s="6" t="s">
        <v>84</v>
      </c>
      <c r="N4939" s="6" t="s">
        <v>84</v>
      </c>
      <c r="O4939" s="6" t="s">
        <v>841</v>
      </c>
      <c r="P4939" s="153" t="s">
        <v>2879</v>
      </c>
    </row>
    <row r="4940" spans="1:16" ht="22" customHeight="1" x14ac:dyDescent="0.15">
      <c r="A4940" s="10" t="str">
        <f t="shared" si="790"/>
        <v>612_10_6_1_polygon</v>
      </c>
      <c r="B4940" s="2">
        <v>612</v>
      </c>
      <c r="C4940" s="30" t="str">
        <f>VLOOKUP(B4940,gachas!A:C,3)</f>
        <v>確定ステップアップガチャ（童話in)</v>
      </c>
      <c r="D4940" s="21">
        <v>10</v>
      </c>
      <c r="E4940" s="2">
        <f t="shared" si="803"/>
        <v>6</v>
      </c>
      <c r="F4940" s="2">
        <v>1</v>
      </c>
      <c r="G4940" s="3" t="s">
        <v>22</v>
      </c>
      <c r="H4940" s="2">
        <v>1</v>
      </c>
      <c r="I4940" s="119" t="s">
        <v>3387</v>
      </c>
      <c r="J4940" s="125" t="s">
        <v>84</v>
      </c>
      <c r="K4940" s="125" t="s">
        <v>84</v>
      </c>
      <c r="L4940" s="6">
        <v>0</v>
      </c>
      <c r="M4940" s="6" t="s">
        <v>84</v>
      </c>
      <c r="N4940" s="6" t="s">
        <v>84</v>
      </c>
      <c r="O4940" s="6" t="s">
        <v>841</v>
      </c>
      <c r="P4940" s="153" t="s">
        <v>2875</v>
      </c>
    </row>
    <row r="4941" spans="1:16" ht="22" customHeight="1" x14ac:dyDescent="0.15">
      <c r="A4941" s="10" t="str">
        <f t="shared" si="790"/>
        <v>612_10_7_2_polygon</v>
      </c>
      <c r="B4941" s="2">
        <v>612</v>
      </c>
      <c r="C4941" s="30" t="str">
        <f>VLOOKUP(B4941,gachas!A:C,3)</f>
        <v>確定ステップアップガチャ（童話in)</v>
      </c>
      <c r="D4941" s="21">
        <v>10</v>
      </c>
      <c r="E4941" s="2">
        <f t="shared" si="803"/>
        <v>7</v>
      </c>
      <c r="F4941" s="2">
        <v>2</v>
      </c>
      <c r="G4941" s="3" t="s">
        <v>22</v>
      </c>
      <c r="H4941" s="2">
        <v>3</v>
      </c>
      <c r="I4941" s="119" t="s">
        <v>3387</v>
      </c>
      <c r="J4941" s="125" t="s">
        <v>3098</v>
      </c>
      <c r="K4941" s="125" t="s">
        <v>84</v>
      </c>
      <c r="L4941" s="6">
        <v>0</v>
      </c>
      <c r="M4941" s="6" t="s">
        <v>84</v>
      </c>
      <c r="N4941" s="6" t="s">
        <v>84</v>
      </c>
      <c r="O4941" s="6" t="s">
        <v>841</v>
      </c>
      <c r="P4941" s="153" t="s">
        <v>2876</v>
      </c>
    </row>
    <row r="4942" spans="1:16" ht="22" customHeight="1" x14ac:dyDescent="0.15">
      <c r="A4942" s="10" t="str">
        <f t="shared" si="790"/>
        <v>612_10_8_3_polygon</v>
      </c>
      <c r="B4942" s="2">
        <v>612</v>
      </c>
      <c r="C4942" s="30" t="str">
        <f>VLOOKUP(B4942,gachas!A:C,3)</f>
        <v>確定ステップアップガチャ（童話in)</v>
      </c>
      <c r="D4942" s="21">
        <v>10</v>
      </c>
      <c r="E4942" s="2">
        <f t="shared" si="803"/>
        <v>8</v>
      </c>
      <c r="F4942" s="2">
        <v>3</v>
      </c>
      <c r="G4942" s="3" t="s">
        <v>22</v>
      </c>
      <c r="H4942" s="2">
        <v>9</v>
      </c>
      <c r="I4942" s="119" t="s">
        <v>3387</v>
      </c>
      <c r="J4942" s="125" t="s">
        <v>3099</v>
      </c>
      <c r="K4942" s="125" t="s">
        <v>84</v>
      </c>
      <c r="L4942" s="6">
        <v>0</v>
      </c>
      <c r="M4942" s="6" t="s">
        <v>84</v>
      </c>
      <c r="N4942" s="6" t="s">
        <v>84</v>
      </c>
      <c r="O4942" s="6" t="s">
        <v>841</v>
      </c>
      <c r="P4942" s="153" t="s">
        <v>2954</v>
      </c>
    </row>
    <row r="4943" spans="1:16" ht="22" customHeight="1" x14ac:dyDescent="0.15">
      <c r="A4943" s="10" t="str">
        <f t="shared" si="790"/>
        <v>612_10_9_5_polygon</v>
      </c>
      <c r="B4943" s="2">
        <v>612</v>
      </c>
      <c r="C4943" s="30" t="str">
        <f>VLOOKUP(B4943,gachas!A:C,3)</f>
        <v>確定ステップアップガチャ（童話in)</v>
      </c>
      <c r="D4943" s="21">
        <v>10</v>
      </c>
      <c r="E4943" s="2">
        <f t="shared" si="803"/>
        <v>9</v>
      </c>
      <c r="F4943" s="2">
        <v>5</v>
      </c>
      <c r="G4943" s="3" t="s">
        <v>22</v>
      </c>
      <c r="H4943" s="2">
        <v>20</v>
      </c>
      <c r="I4943" s="119" t="s">
        <v>3386</v>
      </c>
      <c r="J4943" s="125" t="s">
        <v>3096</v>
      </c>
      <c r="K4943" s="125" t="s">
        <v>84</v>
      </c>
      <c r="L4943" s="6">
        <v>0</v>
      </c>
      <c r="M4943" s="6" t="s">
        <v>84</v>
      </c>
      <c r="N4943" s="6" t="s">
        <v>84</v>
      </c>
      <c r="O4943" s="6" t="s">
        <v>841</v>
      </c>
      <c r="P4943" s="153" t="s">
        <v>2955</v>
      </c>
    </row>
    <row r="4944" spans="1:16" ht="22" customHeight="1" x14ac:dyDescent="0.15">
      <c r="A4944" s="10" t="str">
        <f t="shared" si="790"/>
        <v>612_10_10_10_polygon</v>
      </c>
      <c r="B4944" s="2">
        <v>612</v>
      </c>
      <c r="C4944" s="30" t="str">
        <f>VLOOKUP(B4944,gachas!A:C,3)</f>
        <v>確定ステップアップガチャ（童話in)</v>
      </c>
      <c r="D4944" s="21">
        <v>10</v>
      </c>
      <c r="E4944" s="2">
        <f t="shared" si="803"/>
        <v>10</v>
      </c>
      <c r="F4944" s="2">
        <v>10</v>
      </c>
      <c r="G4944" s="3" t="s">
        <v>22</v>
      </c>
      <c r="H4944" s="2">
        <v>40</v>
      </c>
      <c r="I4944" s="119" t="s">
        <v>3386</v>
      </c>
      <c r="J4944" s="125" t="s">
        <v>84</v>
      </c>
      <c r="K4944" s="125" t="s">
        <v>3388</v>
      </c>
      <c r="L4944" s="6">
        <v>1</v>
      </c>
      <c r="M4944" s="6" t="s">
        <v>84</v>
      </c>
      <c r="N4944" s="6" t="s">
        <v>84</v>
      </c>
      <c r="O4944" s="6" t="s">
        <v>841</v>
      </c>
      <c r="P4944" s="153" t="s">
        <v>2879</v>
      </c>
    </row>
    <row r="4945" spans="1:16" ht="22" customHeight="1" x14ac:dyDescent="0.15">
      <c r="A4945" s="10" t="str">
        <f t="shared" si="790"/>
        <v>612_10_11_1_polygon</v>
      </c>
      <c r="B4945" s="2">
        <v>612</v>
      </c>
      <c r="C4945" s="30" t="str">
        <f>VLOOKUP(B4945,gachas!A:C,3)</f>
        <v>確定ステップアップガチャ（童話in)</v>
      </c>
      <c r="D4945" s="21">
        <v>10</v>
      </c>
      <c r="E4945" s="2">
        <f t="shared" si="803"/>
        <v>11</v>
      </c>
      <c r="F4945" s="2">
        <v>1</v>
      </c>
      <c r="G4945" s="3" t="s">
        <v>22</v>
      </c>
      <c r="H4945" s="2">
        <v>1</v>
      </c>
      <c r="I4945" s="119" t="s">
        <v>3387</v>
      </c>
      <c r="J4945" s="125" t="s">
        <v>84</v>
      </c>
      <c r="K4945" s="125" t="s">
        <v>84</v>
      </c>
      <c r="L4945" s="6">
        <v>0</v>
      </c>
      <c r="M4945" s="6" t="s">
        <v>84</v>
      </c>
      <c r="N4945" s="6" t="s">
        <v>84</v>
      </c>
      <c r="O4945" s="6" t="s">
        <v>841</v>
      </c>
      <c r="P4945" s="153" t="s">
        <v>2875</v>
      </c>
    </row>
    <row r="4946" spans="1:16" ht="22" customHeight="1" x14ac:dyDescent="0.15">
      <c r="A4946" s="10" t="str">
        <f t="shared" si="790"/>
        <v>612_10_12_2_polygon</v>
      </c>
      <c r="B4946" s="2">
        <v>612</v>
      </c>
      <c r="C4946" s="30" t="str">
        <f>VLOOKUP(B4946,gachas!A:C,3)</f>
        <v>確定ステップアップガチャ（童話in)</v>
      </c>
      <c r="D4946" s="21">
        <v>10</v>
      </c>
      <c r="E4946" s="2">
        <f t="shared" si="803"/>
        <v>12</v>
      </c>
      <c r="F4946" s="2">
        <v>2</v>
      </c>
      <c r="G4946" s="3" t="s">
        <v>22</v>
      </c>
      <c r="H4946" s="2">
        <v>3</v>
      </c>
      <c r="I4946" s="119" t="s">
        <v>3387</v>
      </c>
      <c r="J4946" s="125" t="s">
        <v>3098</v>
      </c>
      <c r="K4946" s="125" t="s">
        <v>84</v>
      </c>
      <c r="L4946" s="6">
        <v>0</v>
      </c>
      <c r="M4946" s="6" t="s">
        <v>84</v>
      </c>
      <c r="N4946" s="6" t="s">
        <v>84</v>
      </c>
      <c r="O4946" s="6" t="s">
        <v>841</v>
      </c>
      <c r="P4946" s="153" t="s">
        <v>2876</v>
      </c>
    </row>
    <row r="4947" spans="1:16" ht="22" customHeight="1" x14ac:dyDescent="0.15">
      <c r="A4947" s="10" t="str">
        <f t="shared" si="790"/>
        <v>612_10_13_3_polygon</v>
      </c>
      <c r="B4947" s="2">
        <v>612</v>
      </c>
      <c r="C4947" s="30" t="str">
        <f>VLOOKUP(B4947,gachas!A:C,3)</f>
        <v>確定ステップアップガチャ（童話in)</v>
      </c>
      <c r="D4947" s="21">
        <v>10</v>
      </c>
      <c r="E4947" s="2">
        <f t="shared" si="803"/>
        <v>13</v>
      </c>
      <c r="F4947" s="2">
        <v>3</v>
      </c>
      <c r="G4947" s="3" t="s">
        <v>22</v>
      </c>
      <c r="H4947" s="2">
        <v>9</v>
      </c>
      <c r="I4947" s="119" t="s">
        <v>3387</v>
      </c>
      <c r="J4947" s="125" t="s">
        <v>3099</v>
      </c>
      <c r="K4947" s="125" t="s">
        <v>84</v>
      </c>
      <c r="L4947" s="6">
        <v>0</v>
      </c>
      <c r="M4947" s="6" t="s">
        <v>84</v>
      </c>
      <c r="N4947" s="6" t="s">
        <v>84</v>
      </c>
      <c r="O4947" s="6" t="s">
        <v>841</v>
      </c>
      <c r="P4947" s="153" t="s">
        <v>2954</v>
      </c>
    </row>
    <row r="4948" spans="1:16" ht="22" customHeight="1" x14ac:dyDescent="0.15">
      <c r="A4948" s="10" t="str">
        <f t="shared" si="790"/>
        <v>612_10_14_5_polygon</v>
      </c>
      <c r="B4948" s="2">
        <v>612</v>
      </c>
      <c r="C4948" s="30" t="str">
        <f>VLOOKUP(B4948,gachas!A:C,3)</f>
        <v>確定ステップアップガチャ（童話in)</v>
      </c>
      <c r="D4948" s="21">
        <v>10</v>
      </c>
      <c r="E4948" s="2">
        <f t="shared" si="803"/>
        <v>14</v>
      </c>
      <c r="F4948" s="2">
        <v>5</v>
      </c>
      <c r="G4948" s="3" t="s">
        <v>22</v>
      </c>
      <c r="H4948" s="2">
        <v>20</v>
      </c>
      <c r="I4948" s="119" t="s">
        <v>3386</v>
      </c>
      <c r="J4948" s="125" t="s">
        <v>3096</v>
      </c>
      <c r="K4948" s="125" t="s">
        <v>84</v>
      </c>
      <c r="L4948" s="6">
        <v>0</v>
      </c>
      <c r="M4948" s="6" t="s">
        <v>84</v>
      </c>
      <c r="N4948" s="6" t="s">
        <v>84</v>
      </c>
      <c r="O4948" s="6" t="s">
        <v>841</v>
      </c>
      <c r="P4948" s="153" t="s">
        <v>2955</v>
      </c>
    </row>
    <row r="4949" spans="1:16" ht="22" customHeight="1" x14ac:dyDescent="0.15">
      <c r="A4949" s="10" t="str">
        <f t="shared" si="790"/>
        <v>612_10_15_10_polygon</v>
      </c>
      <c r="B4949" s="2">
        <v>612</v>
      </c>
      <c r="C4949" s="30" t="str">
        <f>VLOOKUP(B4949,gachas!A:C,3)</f>
        <v>確定ステップアップガチャ（童話in)</v>
      </c>
      <c r="D4949" s="21">
        <v>10</v>
      </c>
      <c r="E4949" s="2">
        <f t="shared" si="803"/>
        <v>15</v>
      </c>
      <c r="F4949" s="2">
        <v>10</v>
      </c>
      <c r="G4949" s="3" t="s">
        <v>22</v>
      </c>
      <c r="H4949" s="2">
        <v>40</v>
      </c>
      <c r="I4949" s="119" t="s">
        <v>3386</v>
      </c>
      <c r="J4949" s="125" t="s">
        <v>84</v>
      </c>
      <c r="K4949" s="125" t="s">
        <v>3388</v>
      </c>
      <c r="L4949" s="6">
        <v>1</v>
      </c>
      <c r="M4949" s="6" t="s">
        <v>84</v>
      </c>
      <c r="N4949" s="6" t="s">
        <v>84</v>
      </c>
      <c r="O4949" s="6" t="s">
        <v>841</v>
      </c>
      <c r="P4949" s="153" t="s">
        <v>2879</v>
      </c>
    </row>
    <row r="4950" spans="1:16" ht="22" customHeight="1" x14ac:dyDescent="0.15">
      <c r="A4950" s="10" t="str">
        <f t="shared" si="790"/>
        <v>612_10_16_1_polygon</v>
      </c>
      <c r="B4950" s="2">
        <v>612</v>
      </c>
      <c r="C4950" s="30" t="str">
        <f>VLOOKUP(B4950,gachas!A:C,3)</f>
        <v>確定ステップアップガチャ（童話in)</v>
      </c>
      <c r="D4950" s="21">
        <v>10</v>
      </c>
      <c r="E4950" s="2">
        <f t="shared" si="803"/>
        <v>16</v>
      </c>
      <c r="F4950" s="2">
        <v>1</v>
      </c>
      <c r="G4950" s="3" t="s">
        <v>22</v>
      </c>
      <c r="H4950" s="2">
        <v>1</v>
      </c>
      <c r="I4950" s="119" t="s">
        <v>3387</v>
      </c>
      <c r="J4950" s="125" t="s">
        <v>84</v>
      </c>
      <c r="K4950" s="125" t="s">
        <v>84</v>
      </c>
      <c r="L4950" s="6">
        <v>0</v>
      </c>
      <c r="M4950" s="6" t="s">
        <v>84</v>
      </c>
      <c r="N4950" s="6" t="s">
        <v>84</v>
      </c>
      <c r="O4950" s="6" t="s">
        <v>841</v>
      </c>
      <c r="P4950" s="153" t="s">
        <v>2875</v>
      </c>
    </row>
    <row r="4951" spans="1:16" ht="22" customHeight="1" x14ac:dyDescent="0.15">
      <c r="A4951" s="10" t="str">
        <f t="shared" si="790"/>
        <v>612_10_17_2_polygon</v>
      </c>
      <c r="B4951" s="2">
        <v>612</v>
      </c>
      <c r="C4951" s="30" t="str">
        <f>VLOOKUP(B4951,gachas!A:C,3)</f>
        <v>確定ステップアップガチャ（童話in)</v>
      </c>
      <c r="D4951" s="21">
        <v>10</v>
      </c>
      <c r="E4951" s="2">
        <f t="shared" si="803"/>
        <v>17</v>
      </c>
      <c r="F4951" s="2">
        <v>2</v>
      </c>
      <c r="G4951" s="3" t="s">
        <v>22</v>
      </c>
      <c r="H4951" s="2">
        <v>3</v>
      </c>
      <c r="I4951" s="119" t="s">
        <v>3387</v>
      </c>
      <c r="J4951" s="125" t="s">
        <v>3098</v>
      </c>
      <c r="K4951" s="125" t="s">
        <v>84</v>
      </c>
      <c r="L4951" s="6">
        <v>0</v>
      </c>
      <c r="M4951" s="6" t="s">
        <v>84</v>
      </c>
      <c r="N4951" s="6" t="s">
        <v>84</v>
      </c>
      <c r="O4951" s="6" t="s">
        <v>841</v>
      </c>
      <c r="P4951" s="153" t="s">
        <v>2876</v>
      </c>
    </row>
    <row r="4952" spans="1:16" ht="22" customHeight="1" x14ac:dyDescent="0.15">
      <c r="A4952" s="10" t="str">
        <f t="shared" si="790"/>
        <v>612_10_18_3_polygon</v>
      </c>
      <c r="B4952" s="2">
        <v>612</v>
      </c>
      <c r="C4952" s="30" t="str">
        <f>VLOOKUP(B4952,gachas!A:C,3)</f>
        <v>確定ステップアップガチャ（童話in)</v>
      </c>
      <c r="D4952" s="21">
        <v>10</v>
      </c>
      <c r="E4952" s="2">
        <f t="shared" si="803"/>
        <v>18</v>
      </c>
      <c r="F4952" s="2">
        <v>3</v>
      </c>
      <c r="G4952" s="3" t="s">
        <v>22</v>
      </c>
      <c r="H4952" s="2">
        <v>9</v>
      </c>
      <c r="I4952" s="119" t="s">
        <v>3387</v>
      </c>
      <c r="J4952" s="125" t="s">
        <v>3099</v>
      </c>
      <c r="K4952" s="125" t="s">
        <v>84</v>
      </c>
      <c r="L4952" s="6">
        <v>0</v>
      </c>
      <c r="M4952" s="6" t="s">
        <v>84</v>
      </c>
      <c r="N4952" s="6" t="s">
        <v>84</v>
      </c>
      <c r="O4952" s="6" t="s">
        <v>841</v>
      </c>
      <c r="P4952" s="153" t="s">
        <v>2954</v>
      </c>
    </row>
    <row r="4953" spans="1:16" ht="22" customHeight="1" x14ac:dyDescent="0.15">
      <c r="A4953" s="10" t="str">
        <f t="shared" si="790"/>
        <v>612_10_19_5_polygon</v>
      </c>
      <c r="B4953" s="2">
        <v>612</v>
      </c>
      <c r="C4953" s="30" t="str">
        <f>VLOOKUP(B4953,gachas!A:C,3)</f>
        <v>確定ステップアップガチャ（童話in)</v>
      </c>
      <c r="D4953" s="21">
        <v>10</v>
      </c>
      <c r="E4953" s="2">
        <f t="shared" si="803"/>
        <v>19</v>
      </c>
      <c r="F4953" s="2">
        <v>5</v>
      </c>
      <c r="G4953" s="3" t="s">
        <v>22</v>
      </c>
      <c r="H4953" s="2">
        <v>20</v>
      </c>
      <c r="I4953" s="119" t="s">
        <v>3386</v>
      </c>
      <c r="J4953" s="125" t="s">
        <v>3096</v>
      </c>
      <c r="K4953" s="125" t="s">
        <v>84</v>
      </c>
      <c r="L4953" s="6">
        <v>0</v>
      </c>
      <c r="M4953" s="6" t="s">
        <v>84</v>
      </c>
      <c r="N4953" s="6" t="s">
        <v>84</v>
      </c>
      <c r="O4953" s="6" t="s">
        <v>841</v>
      </c>
      <c r="P4953" s="153" t="s">
        <v>2955</v>
      </c>
    </row>
    <row r="4954" spans="1:16" ht="22" customHeight="1" x14ac:dyDescent="0.15">
      <c r="A4954" s="10" t="str">
        <f t="shared" si="790"/>
        <v>612_10_20_10_polygon</v>
      </c>
      <c r="B4954" s="2">
        <v>612</v>
      </c>
      <c r="C4954" s="30" t="str">
        <f>VLOOKUP(B4954,gachas!A:C,3)</f>
        <v>確定ステップアップガチャ（童話in)</v>
      </c>
      <c r="D4954" s="21">
        <v>10</v>
      </c>
      <c r="E4954" s="2">
        <f t="shared" si="803"/>
        <v>20</v>
      </c>
      <c r="F4954" s="2">
        <v>10</v>
      </c>
      <c r="G4954" s="3" t="s">
        <v>22</v>
      </c>
      <c r="H4954" s="2">
        <v>40</v>
      </c>
      <c r="I4954" s="119" t="s">
        <v>3386</v>
      </c>
      <c r="J4954" s="125" t="s">
        <v>84</v>
      </c>
      <c r="K4954" s="125" t="s">
        <v>3388</v>
      </c>
      <c r="L4954" s="6">
        <v>1</v>
      </c>
      <c r="M4954" s="6" t="s">
        <v>84</v>
      </c>
      <c r="N4954" s="6" t="s">
        <v>84</v>
      </c>
      <c r="O4954" s="6" t="s">
        <v>841</v>
      </c>
      <c r="P4954" s="153" t="s">
        <v>2879</v>
      </c>
    </row>
    <row r="4955" spans="1:16" ht="22" customHeight="1" x14ac:dyDescent="0.15">
      <c r="A4955" s="10" t="str">
        <f t="shared" si="790"/>
        <v>612_10_21_1_polygon</v>
      </c>
      <c r="B4955" s="2">
        <v>612</v>
      </c>
      <c r="C4955" s="30" t="str">
        <f>VLOOKUP(B4955,gachas!A:C,3)</f>
        <v>確定ステップアップガチャ（童話in)</v>
      </c>
      <c r="D4955" s="21">
        <v>10</v>
      </c>
      <c r="E4955" s="2">
        <f t="shared" si="803"/>
        <v>21</v>
      </c>
      <c r="F4955" s="2">
        <v>1</v>
      </c>
      <c r="G4955" s="3" t="s">
        <v>22</v>
      </c>
      <c r="H4955" s="2">
        <v>1</v>
      </c>
      <c r="I4955" s="119" t="s">
        <v>3387</v>
      </c>
      <c r="J4955" s="125" t="s">
        <v>84</v>
      </c>
      <c r="K4955" s="125" t="s">
        <v>84</v>
      </c>
      <c r="L4955" s="6">
        <v>0</v>
      </c>
      <c r="M4955" s="6" t="s">
        <v>84</v>
      </c>
      <c r="N4955" s="6" t="s">
        <v>84</v>
      </c>
      <c r="O4955" s="6" t="s">
        <v>841</v>
      </c>
      <c r="P4955" s="153" t="s">
        <v>2875</v>
      </c>
    </row>
    <row r="4956" spans="1:16" ht="22" customHeight="1" x14ac:dyDescent="0.15">
      <c r="A4956" s="10" t="str">
        <f t="shared" si="790"/>
        <v>612_10_22_2_polygon</v>
      </c>
      <c r="B4956" s="2">
        <v>612</v>
      </c>
      <c r="C4956" s="30" t="str">
        <f>VLOOKUP(B4956,gachas!A:C,3)</f>
        <v>確定ステップアップガチャ（童話in)</v>
      </c>
      <c r="D4956" s="21">
        <v>10</v>
      </c>
      <c r="E4956" s="2">
        <f t="shared" si="803"/>
        <v>22</v>
      </c>
      <c r="F4956" s="2">
        <v>2</v>
      </c>
      <c r="G4956" s="3" t="s">
        <v>22</v>
      </c>
      <c r="H4956" s="2">
        <v>3</v>
      </c>
      <c r="I4956" s="119" t="s">
        <v>3387</v>
      </c>
      <c r="J4956" s="125" t="s">
        <v>3098</v>
      </c>
      <c r="K4956" s="125" t="s">
        <v>84</v>
      </c>
      <c r="L4956" s="6">
        <v>0</v>
      </c>
      <c r="M4956" s="6" t="s">
        <v>84</v>
      </c>
      <c r="N4956" s="6" t="s">
        <v>84</v>
      </c>
      <c r="O4956" s="6" t="s">
        <v>841</v>
      </c>
      <c r="P4956" s="153" t="s">
        <v>2876</v>
      </c>
    </row>
    <row r="4957" spans="1:16" ht="22" customHeight="1" x14ac:dyDescent="0.15">
      <c r="A4957" s="10" t="str">
        <f t="shared" si="790"/>
        <v>612_10_23_3_polygon</v>
      </c>
      <c r="B4957" s="2">
        <v>612</v>
      </c>
      <c r="C4957" s="30" t="str">
        <f>VLOOKUP(B4957,gachas!A:C,3)</f>
        <v>確定ステップアップガチャ（童話in)</v>
      </c>
      <c r="D4957" s="21">
        <v>10</v>
      </c>
      <c r="E4957" s="2">
        <f t="shared" si="803"/>
        <v>23</v>
      </c>
      <c r="F4957" s="2">
        <v>3</v>
      </c>
      <c r="G4957" s="3" t="s">
        <v>22</v>
      </c>
      <c r="H4957" s="2">
        <v>9</v>
      </c>
      <c r="I4957" s="119" t="s">
        <v>3387</v>
      </c>
      <c r="J4957" s="125" t="s">
        <v>3099</v>
      </c>
      <c r="K4957" s="125" t="s">
        <v>84</v>
      </c>
      <c r="L4957" s="6">
        <v>0</v>
      </c>
      <c r="M4957" s="6" t="s">
        <v>84</v>
      </c>
      <c r="N4957" s="6" t="s">
        <v>84</v>
      </c>
      <c r="O4957" s="6" t="s">
        <v>841</v>
      </c>
      <c r="P4957" s="153" t="s">
        <v>2954</v>
      </c>
    </row>
    <row r="4958" spans="1:16" ht="22" customHeight="1" x14ac:dyDescent="0.15">
      <c r="A4958" s="10" t="str">
        <f t="shared" si="790"/>
        <v>612_10_24_5_polygon</v>
      </c>
      <c r="B4958" s="2">
        <v>612</v>
      </c>
      <c r="C4958" s="30" t="str">
        <f>VLOOKUP(B4958,gachas!A:C,3)</f>
        <v>確定ステップアップガチャ（童話in)</v>
      </c>
      <c r="D4958" s="21">
        <v>10</v>
      </c>
      <c r="E4958" s="2">
        <f t="shared" si="803"/>
        <v>24</v>
      </c>
      <c r="F4958" s="2">
        <v>5</v>
      </c>
      <c r="G4958" s="3" t="s">
        <v>22</v>
      </c>
      <c r="H4958" s="2">
        <v>20</v>
      </c>
      <c r="I4958" s="119" t="s">
        <v>3386</v>
      </c>
      <c r="J4958" s="125" t="s">
        <v>3096</v>
      </c>
      <c r="K4958" s="125" t="s">
        <v>84</v>
      </c>
      <c r="L4958" s="6">
        <v>0</v>
      </c>
      <c r="M4958" s="6" t="s">
        <v>84</v>
      </c>
      <c r="N4958" s="6" t="s">
        <v>84</v>
      </c>
      <c r="O4958" s="6" t="s">
        <v>841</v>
      </c>
      <c r="P4958" s="153" t="s">
        <v>2955</v>
      </c>
    </row>
    <row r="4959" spans="1:16" ht="22" customHeight="1" x14ac:dyDescent="0.15">
      <c r="A4959" s="10" t="str">
        <f t="shared" si="790"/>
        <v>612_10_25_10_polygon</v>
      </c>
      <c r="B4959" s="2">
        <v>612</v>
      </c>
      <c r="C4959" s="30" t="str">
        <f>VLOOKUP(B4959,gachas!A:C,3)</f>
        <v>確定ステップアップガチャ（童話in)</v>
      </c>
      <c r="D4959" s="21">
        <v>10</v>
      </c>
      <c r="E4959" s="2">
        <f t="shared" si="803"/>
        <v>25</v>
      </c>
      <c r="F4959" s="2">
        <v>10</v>
      </c>
      <c r="G4959" s="3" t="s">
        <v>22</v>
      </c>
      <c r="H4959" s="2">
        <v>40</v>
      </c>
      <c r="I4959" s="119" t="s">
        <v>3386</v>
      </c>
      <c r="J4959" s="125" t="s">
        <v>84</v>
      </c>
      <c r="K4959" s="125" t="s">
        <v>3388</v>
      </c>
      <c r="L4959" s="6">
        <v>1</v>
      </c>
      <c r="M4959" s="6" t="s">
        <v>84</v>
      </c>
      <c r="N4959" s="6" t="s">
        <v>84</v>
      </c>
      <c r="O4959" s="6" t="s">
        <v>841</v>
      </c>
      <c r="P4959" s="153" t="s">
        <v>2879</v>
      </c>
    </row>
    <row r="4960" spans="1:16" ht="22" customHeight="1" x14ac:dyDescent="0.15">
      <c r="A4960" s="10" t="str">
        <f t="shared" si="790"/>
        <v>612_10_26_1_polygon</v>
      </c>
      <c r="B4960" s="2">
        <v>612</v>
      </c>
      <c r="C4960" s="30" t="str">
        <f>VLOOKUP(B4960,gachas!A:C,3)</f>
        <v>確定ステップアップガチャ（童話in)</v>
      </c>
      <c r="D4960" s="21">
        <v>10</v>
      </c>
      <c r="E4960" s="2">
        <f t="shared" si="803"/>
        <v>26</v>
      </c>
      <c r="F4960" s="2">
        <v>1</v>
      </c>
      <c r="G4960" s="3" t="s">
        <v>22</v>
      </c>
      <c r="H4960" s="2">
        <v>1</v>
      </c>
      <c r="I4960" s="119" t="s">
        <v>3387</v>
      </c>
      <c r="J4960" s="125" t="s">
        <v>84</v>
      </c>
      <c r="K4960" s="125" t="s">
        <v>84</v>
      </c>
      <c r="L4960" s="6">
        <v>0</v>
      </c>
      <c r="M4960" s="6" t="s">
        <v>84</v>
      </c>
      <c r="N4960" s="6" t="s">
        <v>84</v>
      </c>
      <c r="O4960" s="6" t="s">
        <v>841</v>
      </c>
      <c r="P4960" s="153" t="s">
        <v>2875</v>
      </c>
    </row>
    <row r="4961" spans="1:16" ht="22" customHeight="1" x14ac:dyDescent="0.15">
      <c r="A4961" s="10" t="str">
        <f t="shared" si="790"/>
        <v>612_10_27_2_polygon</v>
      </c>
      <c r="B4961" s="2">
        <v>612</v>
      </c>
      <c r="C4961" s="30" t="str">
        <f>VLOOKUP(B4961,gachas!A:C,3)</f>
        <v>確定ステップアップガチャ（童話in)</v>
      </c>
      <c r="D4961" s="21">
        <v>10</v>
      </c>
      <c r="E4961" s="2">
        <f t="shared" si="803"/>
        <v>27</v>
      </c>
      <c r="F4961" s="2">
        <v>2</v>
      </c>
      <c r="G4961" s="3" t="s">
        <v>22</v>
      </c>
      <c r="H4961" s="2">
        <v>3</v>
      </c>
      <c r="I4961" s="119" t="s">
        <v>3387</v>
      </c>
      <c r="J4961" s="125" t="s">
        <v>3098</v>
      </c>
      <c r="K4961" s="125" t="s">
        <v>84</v>
      </c>
      <c r="L4961" s="6">
        <v>0</v>
      </c>
      <c r="M4961" s="6" t="s">
        <v>84</v>
      </c>
      <c r="N4961" s="6" t="s">
        <v>84</v>
      </c>
      <c r="O4961" s="6" t="s">
        <v>841</v>
      </c>
      <c r="P4961" s="153" t="s">
        <v>2876</v>
      </c>
    </row>
    <row r="4962" spans="1:16" ht="22" customHeight="1" x14ac:dyDescent="0.15">
      <c r="A4962" s="10" t="str">
        <f t="shared" si="790"/>
        <v>612_10_28_3_polygon</v>
      </c>
      <c r="B4962" s="2">
        <v>612</v>
      </c>
      <c r="C4962" s="30" t="str">
        <f>VLOOKUP(B4962,gachas!A:C,3)</f>
        <v>確定ステップアップガチャ（童話in)</v>
      </c>
      <c r="D4962" s="21">
        <v>10</v>
      </c>
      <c r="E4962" s="2">
        <f t="shared" si="803"/>
        <v>28</v>
      </c>
      <c r="F4962" s="2">
        <v>3</v>
      </c>
      <c r="G4962" s="3" t="s">
        <v>22</v>
      </c>
      <c r="H4962" s="2">
        <v>9</v>
      </c>
      <c r="I4962" s="119" t="s">
        <v>3387</v>
      </c>
      <c r="J4962" s="125" t="s">
        <v>3099</v>
      </c>
      <c r="K4962" s="125" t="s">
        <v>84</v>
      </c>
      <c r="L4962" s="6">
        <v>0</v>
      </c>
      <c r="M4962" s="6" t="s">
        <v>84</v>
      </c>
      <c r="N4962" s="6" t="s">
        <v>84</v>
      </c>
      <c r="O4962" s="6" t="s">
        <v>841</v>
      </c>
      <c r="P4962" s="153" t="s">
        <v>2954</v>
      </c>
    </row>
    <row r="4963" spans="1:16" ht="22" customHeight="1" x14ac:dyDescent="0.15">
      <c r="A4963" s="10" t="str">
        <f t="shared" si="790"/>
        <v>612_10_29_5_polygon</v>
      </c>
      <c r="B4963" s="2">
        <v>612</v>
      </c>
      <c r="C4963" s="30" t="str">
        <f>VLOOKUP(B4963,gachas!A:C,3)</f>
        <v>確定ステップアップガチャ（童話in)</v>
      </c>
      <c r="D4963" s="21">
        <v>10</v>
      </c>
      <c r="E4963" s="2">
        <f t="shared" si="803"/>
        <v>29</v>
      </c>
      <c r="F4963" s="2">
        <v>5</v>
      </c>
      <c r="G4963" s="3" t="s">
        <v>22</v>
      </c>
      <c r="H4963" s="2">
        <v>20</v>
      </c>
      <c r="I4963" s="119" t="s">
        <v>3386</v>
      </c>
      <c r="J4963" s="125" t="s">
        <v>3096</v>
      </c>
      <c r="K4963" s="125" t="s">
        <v>84</v>
      </c>
      <c r="L4963" s="6">
        <v>0</v>
      </c>
      <c r="M4963" s="6" t="s">
        <v>84</v>
      </c>
      <c r="N4963" s="6" t="s">
        <v>84</v>
      </c>
      <c r="O4963" s="6" t="s">
        <v>841</v>
      </c>
      <c r="P4963" s="153" t="s">
        <v>2955</v>
      </c>
    </row>
    <row r="4964" spans="1:16" ht="22" customHeight="1" x14ac:dyDescent="0.15">
      <c r="A4964" s="10" t="str">
        <f t="shared" ref="A4964:A5027" si="804">B4964&amp;"_"&amp;D4964&amp;"_"&amp;E4964&amp;"_"&amp;F4964&amp;"_"&amp;G4964</f>
        <v>612_10_30_10_polygon</v>
      </c>
      <c r="B4964" s="2">
        <v>612</v>
      </c>
      <c r="C4964" s="30" t="str">
        <f>VLOOKUP(B4964,gachas!A:C,3)</f>
        <v>確定ステップアップガチャ（童話in)</v>
      </c>
      <c r="D4964" s="21">
        <v>10</v>
      </c>
      <c r="E4964" s="2">
        <f t="shared" si="803"/>
        <v>30</v>
      </c>
      <c r="F4964" s="2">
        <v>10</v>
      </c>
      <c r="G4964" s="3" t="s">
        <v>22</v>
      </c>
      <c r="H4964" s="2">
        <v>40</v>
      </c>
      <c r="I4964" s="119" t="s">
        <v>3386</v>
      </c>
      <c r="J4964" s="125" t="s">
        <v>84</v>
      </c>
      <c r="K4964" s="125" t="s">
        <v>3388</v>
      </c>
      <c r="L4964" s="6">
        <v>1</v>
      </c>
      <c r="M4964" s="6" t="s">
        <v>84</v>
      </c>
      <c r="N4964" s="6" t="s">
        <v>84</v>
      </c>
      <c r="O4964" s="6" t="s">
        <v>841</v>
      </c>
      <c r="P4964" s="153" t="s">
        <v>2879</v>
      </c>
    </row>
    <row r="4965" spans="1:16" ht="22" customHeight="1" x14ac:dyDescent="0.15">
      <c r="A4965" s="10" t="str">
        <f t="shared" si="804"/>
        <v>612_10_31_1_polygon</v>
      </c>
      <c r="B4965" s="2">
        <v>612</v>
      </c>
      <c r="C4965" s="30" t="str">
        <f>VLOOKUP(B4965,gachas!A:C,3)</f>
        <v>確定ステップアップガチャ（童話in)</v>
      </c>
      <c r="D4965" s="21">
        <v>10</v>
      </c>
      <c r="E4965" s="2">
        <f t="shared" si="803"/>
        <v>31</v>
      </c>
      <c r="F4965" s="2">
        <v>1</v>
      </c>
      <c r="G4965" s="3" t="s">
        <v>22</v>
      </c>
      <c r="H4965" s="2">
        <v>1</v>
      </c>
      <c r="I4965" s="119" t="s">
        <v>3387</v>
      </c>
      <c r="J4965" s="125" t="s">
        <v>84</v>
      </c>
      <c r="K4965" s="125" t="s">
        <v>84</v>
      </c>
      <c r="L4965" s="6">
        <v>0</v>
      </c>
      <c r="M4965" s="6" t="s">
        <v>84</v>
      </c>
      <c r="N4965" s="6" t="s">
        <v>84</v>
      </c>
      <c r="O4965" s="6" t="s">
        <v>841</v>
      </c>
      <c r="P4965" s="153" t="s">
        <v>2875</v>
      </c>
    </row>
    <row r="4966" spans="1:16" ht="22" customHeight="1" x14ac:dyDescent="0.15">
      <c r="A4966" s="10" t="str">
        <f t="shared" si="804"/>
        <v>612_10_32_2_polygon</v>
      </c>
      <c r="B4966" s="2">
        <v>612</v>
      </c>
      <c r="C4966" s="30" t="str">
        <f>VLOOKUP(B4966,gachas!A:C,3)</f>
        <v>確定ステップアップガチャ（童話in)</v>
      </c>
      <c r="D4966" s="21">
        <v>10</v>
      </c>
      <c r="E4966" s="2">
        <f t="shared" si="803"/>
        <v>32</v>
      </c>
      <c r="F4966" s="2">
        <v>2</v>
      </c>
      <c r="G4966" s="3" t="s">
        <v>22</v>
      </c>
      <c r="H4966" s="2">
        <v>3</v>
      </c>
      <c r="I4966" s="119" t="s">
        <v>3387</v>
      </c>
      <c r="J4966" s="125" t="s">
        <v>3098</v>
      </c>
      <c r="K4966" s="125" t="s">
        <v>84</v>
      </c>
      <c r="L4966" s="6">
        <v>0</v>
      </c>
      <c r="M4966" s="6" t="s">
        <v>84</v>
      </c>
      <c r="N4966" s="6" t="s">
        <v>84</v>
      </c>
      <c r="O4966" s="6" t="s">
        <v>841</v>
      </c>
      <c r="P4966" s="153" t="s">
        <v>2876</v>
      </c>
    </row>
    <row r="4967" spans="1:16" ht="22" customHeight="1" x14ac:dyDescent="0.15">
      <c r="A4967" s="10" t="str">
        <f t="shared" si="804"/>
        <v>612_10_33_3_polygon</v>
      </c>
      <c r="B4967" s="2">
        <v>612</v>
      </c>
      <c r="C4967" s="30" t="str">
        <f>VLOOKUP(B4967,gachas!A:C,3)</f>
        <v>確定ステップアップガチャ（童話in)</v>
      </c>
      <c r="D4967" s="21">
        <v>10</v>
      </c>
      <c r="E4967" s="2">
        <f t="shared" si="803"/>
        <v>33</v>
      </c>
      <c r="F4967" s="2">
        <v>3</v>
      </c>
      <c r="G4967" s="3" t="s">
        <v>22</v>
      </c>
      <c r="H4967" s="2">
        <v>9</v>
      </c>
      <c r="I4967" s="119" t="s">
        <v>3387</v>
      </c>
      <c r="J4967" s="125" t="s">
        <v>3099</v>
      </c>
      <c r="K4967" s="125" t="s">
        <v>84</v>
      </c>
      <c r="L4967" s="6">
        <v>0</v>
      </c>
      <c r="M4967" s="6" t="s">
        <v>84</v>
      </c>
      <c r="N4967" s="6" t="s">
        <v>84</v>
      </c>
      <c r="O4967" s="6" t="s">
        <v>841</v>
      </c>
      <c r="P4967" s="153" t="s">
        <v>2954</v>
      </c>
    </row>
    <row r="4968" spans="1:16" ht="22" customHeight="1" x14ac:dyDescent="0.15">
      <c r="A4968" s="10" t="str">
        <f t="shared" si="804"/>
        <v>612_10_34_5_polygon</v>
      </c>
      <c r="B4968" s="2">
        <v>612</v>
      </c>
      <c r="C4968" s="30" t="str">
        <f>VLOOKUP(B4968,gachas!A:C,3)</f>
        <v>確定ステップアップガチャ（童話in)</v>
      </c>
      <c r="D4968" s="21">
        <v>10</v>
      </c>
      <c r="E4968" s="2">
        <f t="shared" si="803"/>
        <v>34</v>
      </c>
      <c r="F4968" s="2">
        <v>5</v>
      </c>
      <c r="G4968" s="3" t="s">
        <v>22</v>
      </c>
      <c r="H4968" s="2">
        <v>20</v>
      </c>
      <c r="I4968" s="119" t="s">
        <v>3386</v>
      </c>
      <c r="J4968" s="125" t="s">
        <v>3096</v>
      </c>
      <c r="K4968" s="125" t="s">
        <v>84</v>
      </c>
      <c r="L4968" s="6">
        <v>0</v>
      </c>
      <c r="M4968" s="6" t="s">
        <v>84</v>
      </c>
      <c r="N4968" s="6" t="s">
        <v>84</v>
      </c>
      <c r="O4968" s="6" t="s">
        <v>841</v>
      </c>
      <c r="P4968" s="153" t="s">
        <v>2955</v>
      </c>
    </row>
    <row r="4969" spans="1:16" ht="22" customHeight="1" x14ac:dyDescent="0.15">
      <c r="A4969" s="10" t="str">
        <f t="shared" si="804"/>
        <v>612_10_35_10_polygon</v>
      </c>
      <c r="B4969" s="2">
        <v>612</v>
      </c>
      <c r="C4969" s="30" t="str">
        <f>VLOOKUP(B4969,gachas!A:C,3)</f>
        <v>確定ステップアップガチャ（童話in)</v>
      </c>
      <c r="D4969" s="21">
        <v>10</v>
      </c>
      <c r="E4969" s="2">
        <f t="shared" si="803"/>
        <v>35</v>
      </c>
      <c r="F4969" s="2">
        <v>10</v>
      </c>
      <c r="G4969" s="3" t="s">
        <v>22</v>
      </c>
      <c r="H4969" s="2">
        <v>40</v>
      </c>
      <c r="I4969" s="119" t="s">
        <v>3386</v>
      </c>
      <c r="J4969" s="125" t="s">
        <v>84</v>
      </c>
      <c r="K4969" s="125" t="s">
        <v>3388</v>
      </c>
      <c r="L4969" s="6">
        <v>1</v>
      </c>
      <c r="M4969" s="6" t="s">
        <v>84</v>
      </c>
      <c r="N4969" s="6" t="s">
        <v>84</v>
      </c>
      <c r="O4969" s="6" t="s">
        <v>841</v>
      </c>
      <c r="P4969" s="153" t="s">
        <v>2879</v>
      </c>
    </row>
    <row r="4970" spans="1:16" ht="22" customHeight="1" x14ac:dyDescent="0.15">
      <c r="A4970" s="10" t="str">
        <f t="shared" si="804"/>
        <v>612_10_36_1_polygon</v>
      </c>
      <c r="B4970" s="2">
        <v>612</v>
      </c>
      <c r="C4970" s="30" t="str">
        <f>VLOOKUP(B4970,gachas!A:C,3)</f>
        <v>確定ステップアップガチャ（童話in)</v>
      </c>
      <c r="D4970" s="21">
        <v>10</v>
      </c>
      <c r="E4970" s="2">
        <f t="shared" si="803"/>
        <v>36</v>
      </c>
      <c r="F4970" s="2">
        <v>1</v>
      </c>
      <c r="G4970" s="3" t="s">
        <v>22</v>
      </c>
      <c r="H4970" s="2">
        <v>1</v>
      </c>
      <c r="I4970" s="119" t="s">
        <v>3387</v>
      </c>
      <c r="J4970" s="125" t="s">
        <v>84</v>
      </c>
      <c r="K4970" s="125" t="s">
        <v>84</v>
      </c>
      <c r="L4970" s="6">
        <v>0</v>
      </c>
      <c r="M4970" s="6" t="s">
        <v>84</v>
      </c>
      <c r="N4970" s="6" t="s">
        <v>84</v>
      </c>
      <c r="O4970" s="6" t="s">
        <v>841</v>
      </c>
      <c r="P4970" s="153" t="s">
        <v>2875</v>
      </c>
    </row>
    <row r="4971" spans="1:16" ht="22" customHeight="1" x14ac:dyDescent="0.15">
      <c r="A4971" s="10" t="str">
        <f t="shared" si="804"/>
        <v>612_10_37_2_polygon</v>
      </c>
      <c r="B4971" s="2">
        <v>612</v>
      </c>
      <c r="C4971" s="30" t="str">
        <f>VLOOKUP(B4971,gachas!A:C,3)</f>
        <v>確定ステップアップガチャ（童話in)</v>
      </c>
      <c r="D4971" s="21">
        <v>10</v>
      </c>
      <c r="E4971" s="2">
        <f t="shared" si="803"/>
        <v>37</v>
      </c>
      <c r="F4971" s="2">
        <v>2</v>
      </c>
      <c r="G4971" s="3" t="s">
        <v>22</v>
      </c>
      <c r="H4971" s="2">
        <v>3</v>
      </c>
      <c r="I4971" s="119" t="s">
        <v>3387</v>
      </c>
      <c r="J4971" s="125" t="s">
        <v>3098</v>
      </c>
      <c r="K4971" s="125" t="s">
        <v>84</v>
      </c>
      <c r="L4971" s="6">
        <v>0</v>
      </c>
      <c r="M4971" s="6" t="s">
        <v>84</v>
      </c>
      <c r="N4971" s="6" t="s">
        <v>84</v>
      </c>
      <c r="O4971" s="6" t="s">
        <v>841</v>
      </c>
      <c r="P4971" s="153" t="s">
        <v>2876</v>
      </c>
    </row>
    <row r="4972" spans="1:16" ht="22" customHeight="1" x14ac:dyDescent="0.15">
      <c r="A4972" s="10" t="str">
        <f t="shared" si="804"/>
        <v>612_10_38_3_polygon</v>
      </c>
      <c r="B4972" s="2">
        <v>612</v>
      </c>
      <c r="C4972" s="30" t="str">
        <f>VLOOKUP(B4972,gachas!A:C,3)</f>
        <v>確定ステップアップガチャ（童話in)</v>
      </c>
      <c r="D4972" s="21">
        <v>10</v>
      </c>
      <c r="E4972" s="2">
        <f t="shared" si="803"/>
        <v>38</v>
      </c>
      <c r="F4972" s="2">
        <v>3</v>
      </c>
      <c r="G4972" s="3" t="s">
        <v>22</v>
      </c>
      <c r="H4972" s="2">
        <v>9</v>
      </c>
      <c r="I4972" s="119" t="s">
        <v>3387</v>
      </c>
      <c r="J4972" s="125" t="s">
        <v>3099</v>
      </c>
      <c r="K4972" s="125" t="s">
        <v>84</v>
      </c>
      <c r="L4972" s="6">
        <v>0</v>
      </c>
      <c r="M4972" s="6" t="s">
        <v>84</v>
      </c>
      <c r="N4972" s="6" t="s">
        <v>84</v>
      </c>
      <c r="O4972" s="6" t="s">
        <v>841</v>
      </c>
      <c r="P4972" s="153" t="s">
        <v>2954</v>
      </c>
    </row>
    <row r="4973" spans="1:16" ht="22" customHeight="1" x14ac:dyDescent="0.15">
      <c r="A4973" s="10" t="str">
        <f t="shared" si="804"/>
        <v>612_10_39_5_polygon</v>
      </c>
      <c r="B4973" s="2">
        <v>612</v>
      </c>
      <c r="C4973" s="30" t="str">
        <f>VLOOKUP(B4973,gachas!A:C,3)</f>
        <v>確定ステップアップガチャ（童話in)</v>
      </c>
      <c r="D4973" s="21">
        <v>10</v>
      </c>
      <c r="E4973" s="2">
        <f t="shared" si="803"/>
        <v>39</v>
      </c>
      <c r="F4973" s="2">
        <v>5</v>
      </c>
      <c r="G4973" s="3" t="s">
        <v>22</v>
      </c>
      <c r="H4973" s="2">
        <v>20</v>
      </c>
      <c r="I4973" s="119" t="s">
        <v>3386</v>
      </c>
      <c r="J4973" s="125" t="s">
        <v>3096</v>
      </c>
      <c r="K4973" s="125" t="s">
        <v>84</v>
      </c>
      <c r="L4973" s="6">
        <v>0</v>
      </c>
      <c r="M4973" s="6" t="s">
        <v>84</v>
      </c>
      <c r="N4973" s="6" t="s">
        <v>84</v>
      </c>
      <c r="O4973" s="6" t="s">
        <v>841</v>
      </c>
      <c r="P4973" s="153" t="s">
        <v>2955</v>
      </c>
    </row>
    <row r="4974" spans="1:16" ht="22" customHeight="1" x14ac:dyDescent="0.15">
      <c r="A4974" s="10" t="str">
        <f t="shared" si="804"/>
        <v>612_10_40_10_polygon</v>
      </c>
      <c r="B4974" s="2">
        <v>612</v>
      </c>
      <c r="C4974" s="30" t="str">
        <f>VLOOKUP(B4974,gachas!A:C,3)</f>
        <v>確定ステップアップガチャ（童話in)</v>
      </c>
      <c r="D4974" s="21">
        <v>10</v>
      </c>
      <c r="E4974" s="2">
        <f t="shared" si="803"/>
        <v>40</v>
      </c>
      <c r="F4974" s="2">
        <v>10</v>
      </c>
      <c r="G4974" s="3" t="s">
        <v>22</v>
      </c>
      <c r="H4974" s="2">
        <v>40</v>
      </c>
      <c r="I4974" s="119" t="s">
        <v>3386</v>
      </c>
      <c r="J4974" s="125" t="s">
        <v>84</v>
      </c>
      <c r="K4974" s="125" t="s">
        <v>3388</v>
      </c>
      <c r="L4974" s="6">
        <v>1</v>
      </c>
      <c r="M4974" s="6" t="s">
        <v>84</v>
      </c>
      <c r="N4974" s="6" t="s">
        <v>84</v>
      </c>
      <c r="O4974" s="6" t="s">
        <v>841</v>
      </c>
      <c r="P4974" s="153" t="s">
        <v>2879</v>
      </c>
    </row>
    <row r="4975" spans="1:16" ht="22" customHeight="1" x14ac:dyDescent="0.15">
      <c r="A4975" s="10" t="str">
        <f t="shared" si="804"/>
        <v>612_10_41_1_polygon</v>
      </c>
      <c r="B4975" s="2">
        <v>612</v>
      </c>
      <c r="C4975" s="30" t="str">
        <f>VLOOKUP(B4975,gachas!A:C,3)</f>
        <v>確定ステップアップガチャ（童話in)</v>
      </c>
      <c r="D4975" s="21">
        <v>10</v>
      </c>
      <c r="E4975" s="2">
        <f t="shared" si="803"/>
        <v>41</v>
      </c>
      <c r="F4975" s="2">
        <v>1</v>
      </c>
      <c r="G4975" s="3" t="s">
        <v>22</v>
      </c>
      <c r="H4975" s="2">
        <v>1</v>
      </c>
      <c r="I4975" s="119" t="s">
        <v>3387</v>
      </c>
      <c r="J4975" s="125" t="s">
        <v>84</v>
      </c>
      <c r="K4975" s="125" t="s">
        <v>84</v>
      </c>
      <c r="L4975" s="6">
        <v>0</v>
      </c>
      <c r="M4975" s="6" t="s">
        <v>84</v>
      </c>
      <c r="N4975" s="6" t="s">
        <v>84</v>
      </c>
      <c r="O4975" s="6" t="s">
        <v>841</v>
      </c>
      <c r="P4975" s="153" t="s">
        <v>2875</v>
      </c>
    </row>
    <row r="4976" spans="1:16" ht="22" customHeight="1" x14ac:dyDescent="0.15">
      <c r="A4976" s="10" t="str">
        <f t="shared" si="804"/>
        <v>612_10_42_2_polygon</v>
      </c>
      <c r="B4976" s="2">
        <v>612</v>
      </c>
      <c r="C4976" s="30" t="str">
        <f>VLOOKUP(B4976,gachas!A:C,3)</f>
        <v>確定ステップアップガチャ（童話in)</v>
      </c>
      <c r="D4976" s="21">
        <v>10</v>
      </c>
      <c r="E4976" s="2">
        <f t="shared" si="803"/>
        <v>42</v>
      </c>
      <c r="F4976" s="2">
        <v>2</v>
      </c>
      <c r="G4976" s="3" t="s">
        <v>22</v>
      </c>
      <c r="H4976" s="2">
        <v>3</v>
      </c>
      <c r="I4976" s="119" t="s">
        <v>3387</v>
      </c>
      <c r="J4976" s="125" t="s">
        <v>3098</v>
      </c>
      <c r="K4976" s="125" t="s">
        <v>84</v>
      </c>
      <c r="L4976" s="6">
        <v>0</v>
      </c>
      <c r="M4976" s="6" t="s">
        <v>84</v>
      </c>
      <c r="N4976" s="6" t="s">
        <v>84</v>
      </c>
      <c r="O4976" s="6" t="s">
        <v>841</v>
      </c>
      <c r="P4976" s="153" t="s">
        <v>2876</v>
      </c>
    </row>
    <row r="4977" spans="1:16" ht="22" customHeight="1" x14ac:dyDescent="0.15">
      <c r="A4977" s="10" t="str">
        <f t="shared" si="804"/>
        <v>612_10_43_3_polygon</v>
      </c>
      <c r="B4977" s="2">
        <v>612</v>
      </c>
      <c r="C4977" s="30" t="str">
        <f>VLOOKUP(B4977,gachas!A:C,3)</f>
        <v>確定ステップアップガチャ（童話in)</v>
      </c>
      <c r="D4977" s="21">
        <v>10</v>
      </c>
      <c r="E4977" s="2">
        <f t="shared" si="803"/>
        <v>43</v>
      </c>
      <c r="F4977" s="2">
        <v>3</v>
      </c>
      <c r="G4977" s="3" t="s">
        <v>22</v>
      </c>
      <c r="H4977" s="2">
        <v>9</v>
      </c>
      <c r="I4977" s="119" t="s">
        <v>3387</v>
      </c>
      <c r="J4977" s="125" t="s">
        <v>3099</v>
      </c>
      <c r="K4977" s="125" t="s">
        <v>84</v>
      </c>
      <c r="L4977" s="6">
        <v>0</v>
      </c>
      <c r="M4977" s="6" t="s">
        <v>84</v>
      </c>
      <c r="N4977" s="6" t="s">
        <v>84</v>
      </c>
      <c r="O4977" s="6" t="s">
        <v>841</v>
      </c>
      <c r="P4977" s="153" t="s">
        <v>2954</v>
      </c>
    </row>
    <row r="4978" spans="1:16" ht="22" customHeight="1" x14ac:dyDescent="0.15">
      <c r="A4978" s="10" t="str">
        <f t="shared" si="804"/>
        <v>612_10_44_5_polygon</v>
      </c>
      <c r="B4978" s="2">
        <v>612</v>
      </c>
      <c r="C4978" s="30" t="str">
        <f>VLOOKUP(B4978,gachas!A:C,3)</f>
        <v>確定ステップアップガチャ（童話in)</v>
      </c>
      <c r="D4978" s="21">
        <v>10</v>
      </c>
      <c r="E4978" s="2">
        <f t="shared" si="803"/>
        <v>44</v>
      </c>
      <c r="F4978" s="2">
        <v>5</v>
      </c>
      <c r="G4978" s="3" t="s">
        <v>22</v>
      </c>
      <c r="H4978" s="2">
        <v>20</v>
      </c>
      <c r="I4978" s="119" t="s">
        <v>3386</v>
      </c>
      <c r="J4978" s="125" t="s">
        <v>3096</v>
      </c>
      <c r="K4978" s="125" t="s">
        <v>84</v>
      </c>
      <c r="L4978" s="6">
        <v>0</v>
      </c>
      <c r="M4978" s="6" t="s">
        <v>84</v>
      </c>
      <c r="N4978" s="6" t="s">
        <v>84</v>
      </c>
      <c r="O4978" s="6" t="s">
        <v>841</v>
      </c>
      <c r="P4978" s="153" t="s">
        <v>2955</v>
      </c>
    </row>
    <row r="4979" spans="1:16" ht="22" customHeight="1" x14ac:dyDescent="0.15">
      <c r="A4979" s="10" t="str">
        <f t="shared" si="804"/>
        <v>612_10_45_10_polygon</v>
      </c>
      <c r="B4979" s="2">
        <v>612</v>
      </c>
      <c r="C4979" s="30" t="str">
        <f>VLOOKUP(B4979,gachas!A:C,3)</f>
        <v>確定ステップアップガチャ（童話in)</v>
      </c>
      <c r="D4979" s="21">
        <v>10</v>
      </c>
      <c r="E4979" s="2">
        <f>E4978+1</f>
        <v>45</v>
      </c>
      <c r="F4979" s="2">
        <v>10</v>
      </c>
      <c r="G4979" s="3" t="s">
        <v>22</v>
      </c>
      <c r="H4979" s="2">
        <v>40</v>
      </c>
      <c r="I4979" s="119" t="s">
        <v>3386</v>
      </c>
      <c r="J4979" s="125" t="s">
        <v>84</v>
      </c>
      <c r="K4979" s="125" t="s">
        <v>3388</v>
      </c>
      <c r="L4979" s="6">
        <v>1</v>
      </c>
      <c r="M4979" s="6" t="s">
        <v>84</v>
      </c>
      <c r="N4979" s="6" t="s">
        <v>84</v>
      </c>
      <c r="O4979" s="6" t="s">
        <v>841</v>
      </c>
      <c r="P4979" s="153" t="s">
        <v>2879</v>
      </c>
    </row>
    <row r="4980" spans="1:16" ht="22" customHeight="1" x14ac:dyDescent="0.15">
      <c r="A4980" s="10" t="str">
        <f t="shared" si="804"/>
        <v>612_10_46_1_polygon</v>
      </c>
      <c r="B4980" s="2">
        <v>612</v>
      </c>
      <c r="C4980" s="30" t="str">
        <f>VLOOKUP(B4980,gachas!A:C,3)</f>
        <v>確定ステップアップガチャ（童話in)</v>
      </c>
      <c r="D4980" s="21">
        <v>10</v>
      </c>
      <c r="E4980" s="2">
        <f t="shared" si="803"/>
        <v>46</v>
      </c>
      <c r="F4980" s="2">
        <v>1</v>
      </c>
      <c r="G4980" s="3" t="s">
        <v>22</v>
      </c>
      <c r="H4980" s="2">
        <v>1</v>
      </c>
      <c r="I4980" s="119" t="s">
        <v>3387</v>
      </c>
      <c r="J4980" s="125" t="s">
        <v>84</v>
      </c>
      <c r="K4980" s="125" t="s">
        <v>84</v>
      </c>
      <c r="L4980" s="6">
        <v>0</v>
      </c>
      <c r="M4980" s="6" t="s">
        <v>84</v>
      </c>
      <c r="N4980" s="6" t="s">
        <v>84</v>
      </c>
      <c r="O4980" s="6" t="s">
        <v>841</v>
      </c>
      <c r="P4980" s="153" t="s">
        <v>2875</v>
      </c>
    </row>
    <row r="4981" spans="1:16" ht="22" customHeight="1" x14ac:dyDescent="0.15">
      <c r="A4981" s="10" t="str">
        <f t="shared" si="804"/>
        <v>612_10_47_2_polygon</v>
      </c>
      <c r="B4981" s="2">
        <v>612</v>
      </c>
      <c r="C4981" s="30" t="str">
        <f>VLOOKUP(B4981,gachas!A:C,3)</f>
        <v>確定ステップアップガチャ（童話in)</v>
      </c>
      <c r="D4981" s="21">
        <v>10</v>
      </c>
      <c r="E4981" s="2">
        <f t="shared" si="803"/>
        <v>47</v>
      </c>
      <c r="F4981" s="2">
        <v>2</v>
      </c>
      <c r="G4981" s="3" t="s">
        <v>22</v>
      </c>
      <c r="H4981" s="2">
        <v>3</v>
      </c>
      <c r="I4981" s="119" t="s">
        <v>3387</v>
      </c>
      <c r="J4981" s="125" t="s">
        <v>3098</v>
      </c>
      <c r="K4981" s="125" t="s">
        <v>84</v>
      </c>
      <c r="L4981" s="6">
        <v>0</v>
      </c>
      <c r="M4981" s="6" t="s">
        <v>84</v>
      </c>
      <c r="N4981" s="6" t="s">
        <v>84</v>
      </c>
      <c r="O4981" s="6" t="s">
        <v>841</v>
      </c>
      <c r="P4981" s="153" t="s">
        <v>2876</v>
      </c>
    </row>
    <row r="4982" spans="1:16" ht="22" customHeight="1" x14ac:dyDescent="0.15">
      <c r="A4982" s="10" t="str">
        <f t="shared" si="804"/>
        <v>612_10_48_3_polygon</v>
      </c>
      <c r="B4982" s="2">
        <v>612</v>
      </c>
      <c r="C4982" s="30" t="str">
        <f>VLOOKUP(B4982,gachas!A:C,3)</f>
        <v>確定ステップアップガチャ（童話in)</v>
      </c>
      <c r="D4982" s="21">
        <v>10</v>
      </c>
      <c r="E4982" s="2">
        <f t="shared" si="803"/>
        <v>48</v>
      </c>
      <c r="F4982" s="2">
        <v>3</v>
      </c>
      <c r="G4982" s="3" t="s">
        <v>22</v>
      </c>
      <c r="H4982" s="2">
        <v>9</v>
      </c>
      <c r="I4982" s="119" t="s">
        <v>3387</v>
      </c>
      <c r="J4982" s="125" t="s">
        <v>3099</v>
      </c>
      <c r="K4982" s="125" t="s">
        <v>84</v>
      </c>
      <c r="L4982" s="6">
        <v>0</v>
      </c>
      <c r="M4982" s="6" t="s">
        <v>84</v>
      </c>
      <c r="N4982" s="6" t="s">
        <v>84</v>
      </c>
      <c r="O4982" s="6" t="s">
        <v>841</v>
      </c>
      <c r="P4982" s="153" t="s">
        <v>2954</v>
      </c>
    </row>
    <row r="4983" spans="1:16" ht="22" customHeight="1" x14ac:dyDescent="0.15">
      <c r="A4983" s="10" t="str">
        <f t="shared" si="804"/>
        <v>612_10_49_5_polygon</v>
      </c>
      <c r="B4983" s="2">
        <v>612</v>
      </c>
      <c r="C4983" s="30" t="str">
        <f>VLOOKUP(B4983,gachas!A:C,3)</f>
        <v>確定ステップアップガチャ（童話in)</v>
      </c>
      <c r="D4983" s="21">
        <v>10</v>
      </c>
      <c r="E4983" s="2">
        <f t="shared" si="803"/>
        <v>49</v>
      </c>
      <c r="F4983" s="2">
        <v>5</v>
      </c>
      <c r="G4983" s="3" t="s">
        <v>22</v>
      </c>
      <c r="H4983" s="2">
        <v>20</v>
      </c>
      <c r="I4983" s="119" t="s">
        <v>3386</v>
      </c>
      <c r="J4983" s="125" t="s">
        <v>3096</v>
      </c>
      <c r="K4983" s="125" t="s">
        <v>84</v>
      </c>
      <c r="L4983" s="6">
        <v>0</v>
      </c>
      <c r="M4983" s="6" t="s">
        <v>84</v>
      </c>
      <c r="N4983" s="6" t="s">
        <v>84</v>
      </c>
      <c r="O4983" s="6" t="s">
        <v>841</v>
      </c>
      <c r="P4983" s="153" t="s">
        <v>2955</v>
      </c>
    </row>
    <row r="4984" spans="1:16" ht="22" customHeight="1" x14ac:dyDescent="0.15">
      <c r="A4984" s="10" t="str">
        <f t="shared" si="804"/>
        <v>612_10_50_10_polygon</v>
      </c>
      <c r="B4984" s="2">
        <v>612</v>
      </c>
      <c r="C4984" s="30" t="str">
        <f>VLOOKUP(B4984,gachas!A:C,3)</f>
        <v>確定ステップアップガチャ（童話in)</v>
      </c>
      <c r="D4984" s="21">
        <v>10</v>
      </c>
      <c r="E4984" s="2">
        <f>E4983+1</f>
        <v>50</v>
      </c>
      <c r="F4984" s="2">
        <v>10</v>
      </c>
      <c r="G4984" s="3" t="s">
        <v>22</v>
      </c>
      <c r="H4984" s="2">
        <v>40</v>
      </c>
      <c r="I4984" s="119" t="s">
        <v>3386</v>
      </c>
      <c r="J4984" s="125" t="s">
        <v>84</v>
      </c>
      <c r="K4984" s="125" t="s">
        <v>3388</v>
      </c>
      <c r="L4984" s="6">
        <v>1</v>
      </c>
      <c r="M4984" s="6" t="s">
        <v>84</v>
      </c>
      <c r="N4984" s="6" t="s">
        <v>84</v>
      </c>
      <c r="O4984" s="6" t="s">
        <v>841</v>
      </c>
      <c r="P4984" s="153" t="s">
        <v>2879</v>
      </c>
    </row>
    <row r="4985" spans="1:16" ht="22" customHeight="1" x14ac:dyDescent="0.15">
      <c r="A4985" s="10" t="str">
        <f t="shared" si="804"/>
        <v>613_1_0_1_polygon</v>
      </c>
      <c r="B4985" s="2">
        <v>613</v>
      </c>
      <c r="C4985" s="30" t="str">
        <f>VLOOKUP(B4985,gachas!A:C,3)</f>
        <v>ジューンブライドガチャSideA</v>
      </c>
      <c r="D4985" s="21">
        <v>1</v>
      </c>
      <c r="E4985" s="2">
        <v>0</v>
      </c>
      <c r="F4985" s="2">
        <v>1</v>
      </c>
      <c r="G4985" s="3" t="s">
        <v>22</v>
      </c>
      <c r="H4985" s="2">
        <v>5</v>
      </c>
      <c r="I4985" s="117" t="str">
        <f>CONCATENATE(B4985,"010")</f>
        <v>613010</v>
      </c>
      <c r="J4985" s="112" t="s">
        <v>84</v>
      </c>
      <c r="K4985" s="2" t="s">
        <v>84</v>
      </c>
      <c r="L4985" s="2">
        <v>0</v>
      </c>
      <c r="M4985" s="2" t="s">
        <v>84</v>
      </c>
      <c r="N4985" s="2" t="s">
        <v>84</v>
      </c>
      <c r="O4985" s="2" t="s">
        <v>841</v>
      </c>
      <c r="P4985" s="2" t="s">
        <v>84</v>
      </c>
    </row>
    <row r="4986" spans="1:16" ht="22" customHeight="1" x14ac:dyDescent="0.15">
      <c r="A4986" s="10" t="str">
        <f t="shared" si="804"/>
        <v>613_10_0_10_polygon</v>
      </c>
      <c r="B4986" s="2">
        <v>613</v>
      </c>
      <c r="C4986" s="30" t="str">
        <f>VLOOKUP(B4986,gachas!A:C,3)</f>
        <v>ジューンブライドガチャSideA</v>
      </c>
      <c r="D4986" s="21">
        <v>10</v>
      </c>
      <c r="E4986" s="2">
        <v>0</v>
      </c>
      <c r="F4986" s="2">
        <v>10</v>
      </c>
      <c r="G4986" s="3" t="s">
        <v>22</v>
      </c>
      <c r="H4986" s="2">
        <v>50</v>
      </c>
      <c r="I4986" s="117" t="str">
        <f t="shared" ref="I4986:I5036" si="805">CONCATENATE(B4986,"100")</f>
        <v>613100</v>
      </c>
      <c r="J4986" s="112" t="s">
        <v>84</v>
      </c>
      <c r="K4986" s="117" t="str">
        <f>CONCATENATE(B4986,"100")</f>
        <v>613100</v>
      </c>
      <c r="L4986" s="2">
        <v>1</v>
      </c>
      <c r="M4986" s="2" t="s">
        <v>84</v>
      </c>
      <c r="N4986" s="2" t="s">
        <v>84</v>
      </c>
      <c r="O4986" s="2" t="s">
        <v>841</v>
      </c>
      <c r="P4986" s="2" t="s">
        <v>3434</v>
      </c>
    </row>
    <row r="4987" spans="1:16" ht="22" customHeight="1" x14ac:dyDescent="0.15">
      <c r="A4987" s="10" t="str">
        <f t="shared" si="804"/>
        <v>613_10_1_10_polygon</v>
      </c>
      <c r="B4987" s="2">
        <v>613</v>
      </c>
      <c r="C4987" s="30" t="str">
        <f>VLOOKUP(B4987,gachas!A:C,3)</f>
        <v>ジューンブライドガチャSideA</v>
      </c>
      <c r="D4987" s="21">
        <v>10</v>
      </c>
      <c r="E4987" s="2">
        <f>E4986+1</f>
        <v>1</v>
      </c>
      <c r="F4987" s="2">
        <v>10</v>
      </c>
      <c r="G4987" s="3" t="s">
        <v>22</v>
      </c>
      <c r="H4987" s="2">
        <v>25</v>
      </c>
      <c r="I4987" s="117" t="str">
        <f t="shared" si="805"/>
        <v>613100</v>
      </c>
      <c r="J4987" s="112" t="s">
        <v>84</v>
      </c>
      <c r="K4987" s="117" t="str">
        <f>CONCATENATE(B4987,"100")</f>
        <v>613100</v>
      </c>
      <c r="L4987" s="2">
        <v>1</v>
      </c>
      <c r="M4987" s="2" t="s">
        <v>84</v>
      </c>
      <c r="N4987" s="2" t="s">
        <v>84</v>
      </c>
      <c r="O4987" s="2" t="s">
        <v>841</v>
      </c>
      <c r="P4987" s="59" t="s">
        <v>1783</v>
      </c>
    </row>
    <row r="4988" spans="1:16" ht="22" customHeight="1" x14ac:dyDescent="0.15">
      <c r="A4988" s="10" t="str">
        <f t="shared" si="804"/>
        <v>613_10_2_10_polygon</v>
      </c>
      <c r="B4988" s="2">
        <v>613</v>
      </c>
      <c r="C4988" s="30" t="str">
        <f>VLOOKUP(B4988,gachas!A:C,3)</f>
        <v>ジューンブライドガチャSideA</v>
      </c>
      <c r="D4988" s="21">
        <v>10</v>
      </c>
      <c r="E4988" s="2">
        <f t="shared" ref="E4988:E5036" si="806">E4987+1</f>
        <v>2</v>
      </c>
      <c r="F4988" s="2">
        <v>10</v>
      </c>
      <c r="G4988" s="3" t="s">
        <v>22</v>
      </c>
      <c r="H4988" s="2">
        <v>50</v>
      </c>
      <c r="I4988" s="117" t="str">
        <f t="shared" si="805"/>
        <v>613100</v>
      </c>
      <c r="J4988" s="112" t="s">
        <v>84</v>
      </c>
      <c r="K4988" s="117" t="str">
        <f>CONCATENATE(B4988,"100")</f>
        <v>613100</v>
      </c>
      <c r="L4988" s="2">
        <v>1</v>
      </c>
      <c r="M4988" s="2" t="s">
        <v>84</v>
      </c>
      <c r="N4988" s="2" t="s">
        <v>84</v>
      </c>
      <c r="O4988" s="2" t="s">
        <v>841</v>
      </c>
      <c r="P4988" s="2" t="s">
        <v>3434</v>
      </c>
    </row>
    <row r="4989" spans="1:16" ht="22" customHeight="1" x14ac:dyDescent="0.15">
      <c r="A4989" s="10" t="str">
        <f t="shared" si="804"/>
        <v>613_10_3_10_polygon</v>
      </c>
      <c r="B4989" s="2">
        <v>613</v>
      </c>
      <c r="C4989" s="30" t="str">
        <f>VLOOKUP(B4989,gachas!A:C,3)</f>
        <v>ジューンブライドガチャSideA</v>
      </c>
      <c r="D4989" s="21">
        <v>10</v>
      </c>
      <c r="E4989" s="2">
        <f t="shared" si="806"/>
        <v>3</v>
      </c>
      <c r="F4989" s="2">
        <v>10</v>
      </c>
      <c r="G4989" s="3" t="s">
        <v>22</v>
      </c>
      <c r="H4989" s="2">
        <v>50</v>
      </c>
      <c r="I4989" s="117" t="str">
        <f t="shared" si="805"/>
        <v>613100</v>
      </c>
      <c r="J4989" s="112" t="s">
        <v>84</v>
      </c>
      <c r="K4989" s="117" t="str">
        <f>CONCATENATE(B4989,"100")</f>
        <v>613100</v>
      </c>
      <c r="L4989" s="2">
        <v>1</v>
      </c>
      <c r="M4989" s="2" t="s">
        <v>84</v>
      </c>
      <c r="N4989" s="2" t="s">
        <v>84</v>
      </c>
      <c r="O4989" s="2" t="s">
        <v>841</v>
      </c>
      <c r="P4989" s="2" t="s">
        <v>3434</v>
      </c>
    </row>
    <row r="4990" spans="1:16" ht="22" customHeight="1" x14ac:dyDescent="0.15">
      <c r="A4990" s="10" t="str">
        <f t="shared" si="804"/>
        <v>613_10_4_10_polygon</v>
      </c>
      <c r="B4990" s="2">
        <v>613</v>
      </c>
      <c r="C4990" s="30" t="str">
        <f>VLOOKUP(B4990,gachas!A:C,3)</f>
        <v>ジューンブライドガチャSideA</v>
      </c>
      <c r="D4990" s="21">
        <v>10</v>
      </c>
      <c r="E4990" s="2">
        <f t="shared" si="806"/>
        <v>4</v>
      </c>
      <c r="F4990" s="2">
        <v>10</v>
      </c>
      <c r="G4990" s="3" t="s">
        <v>22</v>
      </c>
      <c r="H4990" s="2">
        <v>50</v>
      </c>
      <c r="I4990" s="117" t="str">
        <f t="shared" si="805"/>
        <v>613100</v>
      </c>
      <c r="J4990" s="112" t="s">
        <v>84</v>
      </c>
      <c r="K4990" s="117" t="str">
        <f>CONCATENATE(B4990,"100")</f>
        <v>613100</v>
      </c>
      <c r="L4990" s="2">
        <v>1</v>
      </c>
      <c r="M4990" s="2" t="s">
        <v>84</v>
      </c>
      <c r="N4990" s="2" t="s">
        <v>84</v>
      </c>
      <c r="O4990" s="2" t="s">
        <v>841</v>
      </c>
      <c r="P4990" s="2" t="s">
        <v>3434</v>
      </c>
    </row>
    <row r="4991" spans="1:16" ht="22" customHeight="1" x14ac:dyDescent="0.15">
      <c r="A4991" s="10" t="str">
        <f t="shared" si="804"/>
        <v>613_10_5_10_polygon</v>
      </c>
      <c r="B4991" s="2">
        <v>613</v>
      </c>
      <c r="C4991" s="30" t="str">
        <f>VLOOKUP(B4991,gachas!A:C,3)</f>
        <v>ジューンブライドガチャSideA</v>
      </c>
      <c r="D4991" s="21">
        <v>10</v>
      </c>
      <c r="E4991" s="2">
        <f t="shared" si="806"/>
        <v>5</v>
      </c>
      <c r="F4991" s="2">
        <v>10</v>
      </c>
      <c r="G4991" s="3" t="s">
        <v>22</v>
      </c>
      <c r="H4991" s="2">
        <v>50</v>
      </c>
      <c r="I4991" s="117" t="str">
        <f t="shared" si="805"/>
        <v>613100</v>
      </c>
      <c r="J4991" s="112" t="s">
        <v>84</v>
      </c>
      <c r="K4991" s="117" t="str">
        <f>CONCATENATE(B4991,"105")</f>
        <v>613105</v>
      </c>
      <c r="L4991" s="2">
        <v>1</v>
      </c>
      <c r="M4991" s="2" t="s">
        <v>84</v>
      </c>
      <c r="N4991" s="2" t="s">
        <v>84</v>
      </c>
      <c r="O4991" s="2" t="s">
        <v>841</v>
      </c>
      <c r="P4991" s="2" t="s">
        <v>3402</v>
      </c>
    </row>
    <row r="4992" spans="1:16" ht="22" customHeight="1" x14ac:dyDescent="0.15">
      <c r="A4992" s="10" t="str">
        <f t="shared" si="804"/>
        <v>613_10_6_10_polygon</v>
      </c>
      <c r="B4992" s="2">
        <v>613</v>
      </c>
      <c r="C4992" s="30" t="str">
        <f>VLOOKUP(B4992,gachas!A:C,3)</f>
        <v>ジューンブライドガチャSideA</v>
      </c>
      <c r="D4992" s="21">
        <v>10</v>
      </c>
      <c r="E4992" s="2">
        <f t="shared" si="806"/>
        <v>6</v>
      </c>
      <c r="F4992" s="2">
        <v>10</v>
      </c>
      <c r="G4992" s="3" t="s">
        <v>22</v>
      </c>
      <c r="H4992" s="2">
        <v>25</v>
      </c>
      <c r="I4992" s="117" t="str">
        <f t="shared" si="805"/>
        <v>613100</v>
      </c>
      <c r="J4992" s="112" t="s">
        <v>84</v>
      </c>
      <c r="K4992" s="117" t="str">
        <f t="shared" ref="K4992:K4995" si="807">CONCATENATE(B4992,"100")</f>
        <v>613100</v>
      </c>
      <c r="L4992" s="2">
        <v>1</v>
      </c>
      <c r="M4992" s="2" t="s">
        <v>84</v>
      </c>
      <c r="N4992" s="2" t="s">
        <v>84</v>
      </c>
      <c r="O4992" s="2" t="s">
        <v>841</v>
      </c>
      <c r="P4992" s="59" t="s">
        <v>1783</v>
      </c>
    </row>
    <row r="4993" spans="1:16" ht="22" customHeight="1" x14ac:dyDescent="0.15">
      <c r="A4993" s="10" t="str">
        <f t="shared" si="804"/>
        <v>613_10_7_10_polygon</v>
      </c>
      <c r="B4993" s="2">
        <v>613</v>
      </c>
      <c r="C4993" s="30" t="str">
        <f>VLOOKUP(B4993,gachas!A:C,3)</f>
        <v>ジューンブライドガチャSideA</v>
      </c>
      <c r="D4993" s="21">
        <v>10</v>
      </c>
      <c r="E4993" s="2">
        <f t="shared" si="806"/>
        <v>7</v>
      </c>
      <c r="F4993" s="2">
        <v>10</v>
      </c>
      <c r="G4993" s="3" t="s">
        <v>22</v>
      </c>
      <c r="H4993" s="2">
        <v>50</v>
      </c>
      <c r="I4993" s="117" t="str">
        <f t="shared" si="805"/>
        <v>613100</v>
      </c>
      <c r="J4993" s="112" t="s">
        <v>84</v>
      </c>
      <c r="K4993" s="117" t="str">
        <f t="shared" si="807"/>
        <v>613100</v>
      </c>
      <c r="L4993" s="2">
        <v>1</v>
      </c>
      <c r="M4993" s="2" t="s">
        <v>84</v>
      </c>
      <c r="N4993" s="2" t="s">
        <v>84</v>
      </c>
      <c r="O4993" s="2" t="s">
        <v>841</v>
      </c>
      <c r="P4993" s="2" t="s">
        <v>3434</v>
      </c>
    </row>
    <row r="4994" spans="1:16" ht="22" customHeight="1" x14ac:dyDescent="0.15">
      <c r="A4994" s="10" t="str">
        <f t="shared" si="804"/>
        <v>613_10_8_10_polygon</v>
      </c>
      <c r="B4994" s="2">
        <v>613</v>
      </c>
      <c r="C4994" s="30" t="str">
        <f>VLOOKUP(B4994,gachas!A:C,3)</f>
        <v>ジューンブライドガチャSideA</v>
      </c>
      <c r="D4994" s="21">
        <v>10</v>
      </c>
      <c r="E4994" s="2">
        <f t="shared" si="806"/>
        <v>8</v>
      </c>
      <c r="F4994" s="2">
        <v>10</v>
      </c>
      <c r="G4994" s="3" t="s">
        <v>22</v>
      </c>
      <c r="H4994" s="2">
        <v>50</v>
      </c>
      <c r="I4994" s="117" t="str">
        <f t="shared" si="805"/>
        <v>613100</v>
      </c>
      <c r="J4994" s="112" t="s">
        <v>84</v>
      </c>
      <c r="K4994" s="117" t="str">
        <f t="shared" si="807"/>
        <v>613100</v>
      </c>
      <c r="L4994" s="2">
        <v>1</v>
      </c>
      <c r="M4994" s="2" t="s">
        <v>84</v>
      </c>
      <c r="N4994" s="2" t="s">
        <v>84</v>
      </c>
      <c r="O4994" s="2" t="s">
        <v>841</v>
      </c>
      <c r="P4994" s="2" t="s">
        <v>3434</v>
      </c>
    </row>
    <row r="4995" spans="1:16" ht="22" customHeight="1" x14ac:dyDescent="0.15">
      <c r="A4995" s="10" t="str">
        <f t="shared" si="804"/>
        <v>613_10_9_10_polygon</v>
      </c>
      <c r="B4995" s="2">
        <v>613</v>
      </c>
      <c r="C4995" s="30" t="str">
        <f>VLOOKUP(B4995,gachas!A:C,3)</f>
        <v>ジューンブライドガチャSideA</v>
      </c>
      <c r="D4995" s="21">
        <v>10</v>
      </c>
      <c r="E4995" s="2">
        <f t="shared" si="806"/>
        <v>9</v>
      </c>
      <c r="F4995" s="2">
        <v>10</v>
      </c>
      <c r="G4995" s="3" t="s">
        <v>22</v>
      </c>
      <c r="H4995" s="2">
        <v>50</v>
      </c>
      <c r="I4995" s="117" t="str">
        <f t="shared" si="805"/>
        <v>613100</v>
      </c>
      <c r="J4995" s="112" t="s">
        <v>84</v>
      </c>
      <c r="K4995" s="117" t="str">
        <f t="shared" si="807"/>
        <v>613100</v>
      </c>
      <c r="L4995" s="2">
        <v>1</v>
      </c>
      <c r="M4995" s="2" t="s">
        <v>84</v>
      </c>
      <c r="N4995" s="2" t="s">
        <v>84</v>
      </c>
      <c r="O4995" s="2" t="s">
        <v>841</v>
      </c>
      <c r="P4995" s="2" t="s">
        <v>3434</v>
      </c>
    </row>
    <row r="4996" spans="1:16" ht="22" customHeight="1" x14ac:dyDescent="0.15">
      <c r="A4996" s="10" t="str">
        <f t="shared" si="804"/>
        <v>613_10_10_10_polygon</v>
      </c>
      <c r="B4996" s="2">
        <v>613</v>
      </c>
      <c r="C4996" s="30" t="str">
        <f>VLOOKUP(B4996,gachas!A:C,3)</f>
        <v>ジューンブライドガチャSideA</v>
      </c>
      <c r="D4996" s="21">
        <v>10</v>
      </c>
      <c r="E4996" s="2">
        <f t="shared" si="806"/>
        <v>10</v>
      </c>
      <c r="F4996" s="2">
        <v>10</v>
      </c>
      <c r="G4996" s="3" t="s">
        <v>22</v>
      </c>
      <c r="H4996" s="2">
        <v>50</v>
      </c>
      <c r="I4996" s="117" t="str">
        <f t="shared" si="805"/>
        <v>613100</v>
      </c>
      <c r="J4996" s="112" t="s">
        <v>84</v>
      </c>
      <c r="K4996" s="117" t="str">
        <f t="shared" ref="K4996" si="808">CONCATENATE(B4996,"105")</f>
        <v>613105</v>
      </c>
      <c r="L4996" s="2">
        <v>1</v>
      </c>
      <c r="M4996" s="2" t="s">
        <v>84</v>
      </c>
      <c r="N4996" s="2" t="s">
        <v>84</v>
      </c>
      <c r="O4996" s="2" t="s">
        <v>841</v>
      </c>
      <c r="P4996" s="2" t="s">
        <v>3402</v>
      </c>
    </row>
    <row r="4997" spans="1:16" ht="22" customHeight="1" x14ac:dyDescent="0.15">
      <c r="A4997" s="10" t="str">
        <f t="shared" si="804"/>
        <v>613_10_11_10_polygon</v>
      </c>
      <c r="B4997" s="2">
        <v>613</v>
      </c>
      <c r="C4997" s="30" t="str">
        <f>VLOOKUP(B4997,gachas!A:C,3)</f>
        <v>ジューンブライドガチャSideA</v>
      </c>
      <c r="D4997" s="21">
        <v>10</v>
      </c>
      <c r="E4997" s="2">
        <f t="shared" si="806"/>
        <v>11</v>
      </c>
      <c r="F4997" s="2">
        <v>10</v>
      </c>
      <c r="G4997" s="3" t="s">
        <v>22</v>
      </c>
      <c r="H4997" s="2">
        <v>25</v>
      </c>
      <c r="I4997" s="117" t="str">
        <f t="shared" si="805"/>
        <v>613100</v>
      </c>
      <c r="J4997" s="112" t="s">
        <v>84</v>
      </c>
      <c r="K4997" s="117" t="str">
        <f t="shared" ref="K4997:K5000" si="809">CONCATENATE(B4997,"100")</f>
        <v>613100</v>
      </c>
      <c r="L4997" s="2">
        <v>1</v>
      </c>
      <c r="M4997" s="2" t="s">
        <v>84</v>
      </c>
      <c r="N4997" s="2" t="s">
        <v>84</v>
      </c>
      <c r="O4997" s="2" t="s">
        <v>841</v>
      </c>
      <c r="P4997" s="59" t="s">
        <v>1783</v>
      </c>
    </row>
    <row r="4998" spans="1:16" ht="22" customHeight="1" x14ac:dyDescent="0.15">
      <c r="A4998" s="10" t="str">
        <f t="shared" si="804"/>
        <v>613_10_12_10_polygon</v>
      </c>
      <c r="B4998" s="2">
        <v>613</v>
      </c>
      <c r="C4998" s="30" t="str">
        <f>VLOOKUP(B4998,gachas!A:C,3)</f>
        <v>ジューンブライドガチャSideA</v>
      </c>
      <c r="D4998" s="21">
        <v>10</v>
      </c>
      <c r="E4998" s="2">
        <f t="shared" si="806"/>
        <v>12</v>
      </c>
      <c r="F4998" s="2">
        <v>10</v>
      </c>
      <c r="G4998" s="3" t="s">
        <v>22</v>
      </c>
      <c r="H4998" s="2">
        <v>50</v>
      </c>
      <c r="I4998" s="117" t="str">
        <f t="shared" si="805"/>
        <v>613100</v>
      </c>
      <c r="J4998" s="112" t="s">
        <v>84</v>
      </c>
      <c r="K4998" s="117" t="str">
        <f t="shared" si="809"/>
        <v>613100</v>
      </c>
      <c r="L4998" s="2">
        <v>1</v>
      </c>
      <c r="M4998" s="2" t="s">
        <v>84</v>
      </c>
      <c r="N4998" s="2" t="s">
        <v>84</v>
      </c>
      <c r="O4998" s="2" t="s">
        <v>841</v>
      </c>
      <c r="P4998" s="2" t="s">
        <v>3434</v>
      </c>
    </row>
    <row r="4999" spans="1:16" ht="22" customHeight="1" x14ac:dyDescent="0.15">
      <c r="A4999" s="10" t="str">
        <f t="shared" si="804"/>
        <v>613_10_13_10_polygon</v>
      </c>
      <c r="B4999" s="2">
        <v>613</v>
      </c>
      <c r="C4999" s="30" t="str">
        <f>VLOOKUP(B4999,gachas!A:C,3)</f>
        <v>ジューンブライドガチャSideA</v>
      </c>
      <c r="D4999" s="21">
        <v>10</v>
      </c>
      <c r="E4999" s="2">
        <f t="shared" si="806"/>
        <v>13</v>
      </c>
      <c r="F4999" s="2">
        <v>10</v>
      </c>
      <c r="G4999" s="3" t="s">
        <v>22</v>
      </c>
      <c r="H4999" s="2">
        <v>50</v>
      </c>
      <c r="I4999" s="117" t="str">
        <f t="shared" si="805"/>
        <v>613100</v>
      </c>
      <c r="J4999" s="112" t="s">
        <v>84</v>
      </c>
      <c r="K4999" s="117" t="str">
        <f t="shared" si="809"/>
        <v>613100</v>
      </c>
      <c r="L4999" s="2">
        <v>1</v>
      </c>
      <c r="M4999" s="2" t="s">
        <v>84</v>
      </c>
      <c r="N4999" s="2" t="s">
        <v>84</v>
      </c>
      <c r="O4999" s="2" t="s">
        <v>841</v>
      </c>
      <c r="P4999" s="2" t="s">
        <v>3434</v>
      </c>
    </row>
    <row r="5000" spans="1:16" ht="22" customHeight="1" x14ac:dyDescent="0.15">
      <c r="A5000" s="10" t="str">
        <f t="shared" si="804"/>
        <v>613_10_14_10_polygon</v>
      </c>
      <c r="B5000" s="2">
        <v>613</v>
      </c>
      <c r="C5000" s="30" t="str">
        <f>VLOOKUP(B5000,gachas!A:C,3)</f>
        <v>ジューンブライドガチャSideA</v>
      </c>
      <c r="D5000" s="21">
        <v>10</v>
      </c>
      <c r="E5000" s="2">
        <f t="shared" si="806"/>
        <v>14</v>
      </c>
      <c r="F5000" s="2">
        <v>10</v>
      </c>
      <c r="G5000" s="3" t="s">
        <v>22</v>
      </c>
      <c r="H5000" s="2">
        <v>50</v>
      </c>
      <c r="I5000" s="117" t="str">
        <f t="shared" si="805"/>
        <v>613100</v>
      </c>
      <c r="J5000" s="112" t="s">
        <v>84</v>
      </c>
      <c r="K5000" s="117" t="str">
        <f t="shared" si="809"/>
        <v>613100</v>
      </c>
      <c r="L5000" s="2">
        <v>1</v>
      </c>
      <c r="M5000" s="2" t="s">
        <v>84</v>
      </c>
      <c r="N5000" s="2" t="s">
        <v>84</v>
      </c>
      <c r="O5000" s="2" t="s">
        <v>841</v>
      </c>
      <c r="P5000" s="2" t="s">
        <v>3434</v>
      </c>
    </row>
    <row r="5001" spans="1:16" ht="22" customHeight="1" x14ac:dyDescent="0.15">
      <c r="A5001" s="10" t="str">
        <f t="shared" si="804"/>
        <v>613_10_15_10_polygon</v>
      </c>
      <c r="B5001" s="2">
        <v>613</v>
      </c>
      <c r="C5001" s="30" t="str">
        <f>VLOOKUP(B5001,gachas!A:C,3)</f>
        <v>ジューンブライドガチャSideA</v>
      </c>
      <c r="D5001" s="21">
        <v>10</v>
      </c>
      <c r="E5001" s="2">
        <f t="shared" si="806"/>
        <v>15</v>
      </c>
      <c r="F5001" s="2">
        <v>10</v>
      </c>
      <c r="G5001" s="3" t="s">
        <v>22</v>
      </c>
      <c r="H5001" s="2">
        <v>50</v>
      </c>
      <c r="I5001" s="117" t="str">
        <f t="shared" si="805"/>
        <v>613100</v>
      </c>
      <c r="J5001" s="112" t="s">
        <v>84</v>
      </c>
      <c r="K5001" s="117" t="str">
        <f t="shared" ref="K5001" si="810">CONCATENATE(B5001,"105")</f>
        <v>613105</v>
      </c>
      <c r="L5001" s="2">
        <v>1</v>
      </c>
      <c r="M5001" s="2" t="s">
        <v>84</v>
      </c>
      <c r="N5001" s="2" t="s">
        <v>84</v>
      </c>
      <c r="O5001" s="2" t="s">
        <v>841</v>
      </c>
      <c r="P5001" s="2" t="s">
        <v>3402</v>
      </c>
    </row>
    <row r="5002" spans="1:16" ht="22" customHeight="1" x14ac:dyDescent="0.15">
      <c r="A5002" s="10" t="str">
        <f t="shared" si="804"/>
        <v>613_10_16_10_polygon</v>
      </c>
      <c r="B5002" s="2">
        <v>613</v>
      </c>
      <c r="C5002" s="30" t="str">
        <f>VLOOKUP(B5002,gachas!A:C,3)</f>
        <v>ジューンブライドガチャSideA</v>
      </c>
      <c r="D5002" s="21">
        <v>10</v>
      </c>
      <c r="E5002" s="2">
        <f t="shared" si="806"/>
        <v>16</v>
      </c>
      <c r="F5002" s="2">
        <v>10</v>
      </c>
      <c r="G5002" s="3" t="s">
        <v>22</v>
      </c>
      <c r="H5002" s="2">
        <v>25</v>
      </c>
      <c r="I5002" s="117" t="str">
        <f t="shared" si="805"/>
        <v>613100</v>
      </c>
      <c r="J5002" s="112" t="s">
        <v>84</v>
      </c>
      <c r="K5002" s="117" t="str">
        <f t="shared" ref="K5002:K5005" si="811">CONCATENATE(B5002,"100")</f>
        <v>613100</v>
      </c>
      <c r="L5002" s="2">
        <v>1</v>
      </c>
      <c r="M5002" s="2" t="s">
        <v>84</v>
      </c>
      <c r="N5002" s="2" t="s">
        <v>84</v>
      </c>
      <c r="O5002" s="2" t="s">
        <v>841</v>
      </c>
      <c r="P5002" s="59" t="s">
        <v>1783</v>
      </c>
    </row>
    <row r="5003" spans="1:16" ht="22" customHeight="1" x14ac:dyDescent="0.15">
      <c r="A5003" s="10" t="str">
        <f t="shared" si="804"/>
        <v>613_10_17_10_polygon</v>
      </c>
      <c r="B5003" s="2">
        <v>613</v>
      </c>
      <c r="C5003" s="30" t="str">
        <f>VLOOKUP(B5003,gachas!A:C,3)</f>
        <v>ジューンブライドガチャSideA</v>
      </c>
      <c r="D5003" s="21">
        <v>10</v>
      </c>
      <c r="E5003" s="2">
        <f t="shared" si="806"/>
        <v>17</v>
      </c>
      <c r="F5003" s="2">
        <v>10</v>
      </c>
      <c r="G5003" s="3" t="s">
        <v>22</v>
      </c>
      <c r="H5003" s="2">
        <v>50</v>
      </c>
      <c r="I5003" s="117" t="str">
        <f t="shared" si="805"/>
        <v>613100</v>
      </c>
      <c r="J5003" s="112" t="s">
        <v>84</v>
      </c>
      <c r="K5003" s="117" t="str">
        <f t="shared" si="811"/>
        <v>613100</v>
      </c>
      <c r="L5003" s="2">
        <v>1</v>
      </c>
      <c r="M5003" s="2" t="s">
        <v>84</v>
      </c>
      <c r="N5003" s="2" t="s">
        <v>84</v>
      </c>
      <c r="O5003" s="2" t="s">
        <v>841</v>
      </c>
      <c r="P5003" s="2" t="s">
        <v>3434</v>
      </c>
    </row>
    <row r="5004" spans="1:16" ht="22" customHeight="1" x14ac:dyDescent="0.15">
      <c r="A5004" s="10" t="str">
        <f t="shared" si="804"/>
        <v>613_10_18_10_polygon</v>
      </c>
      <c r="B5004" s="2">
        <v>613</v>
      </c>
      <c r="C5004" s="30" t="str">
        <f>VLOOKUP(B5004,gachas!A:C,3)</f>
        <v>ジューンブライドガチャSideA</v>
      </c>
      <c r="D5004" s="21">
        <v>10</v>
      </c>
      <c r="E5004" s="2">
        <f t="shared" si="806"/>
        <v>18</v>
      </c>
      <c r="F5004" s="2">
        <v>10</v>
      </c>
      <c r="G5004" s="3" t="s">
        <v>22</v>
      </c>
      <c r="H5004" s="2">
        <v>50</v>
      </c>
      <c r="I5004" s="117" t="str">
        <f t="shared" si="805"/>
        <v>613100</v>
      </c>
      <c r="J5004" s="112" t="s">
        <v>84</v>
      </c>
      <c r="K5004" s="117" t="str">
        <f t="shared" si="811"/>
        <v>613100</v>
      </c>
      <c r="L5004" s="2">
        <v>1</v>
      </c>
      <c r="M5004" s="2" t="s">
        <v>84</v>
      </c>
      <c r="N5004" s="2" t="s">
        <v>84</v>
      </c>
      <c r="O5004" s="2" t="s">
        <v>841</v>
      </c>
      <c r="P5004" s="2" t="s">
        <v>3434</v>
      </c>
    </row>
    <row r="5005" spans="1:16" ht="22" customHeight="1" x14ac:dyDescent="0.15">
      <c r="A5005" s="10" t="str">
        <f t="shared" si="804"/>
        <v>613_10_19_10_polygon</v>
      </c>
      <c r="B5005" s="2">
        <v>613</v>
      </c>
      <c r="C5005" s="30" t="str">
        <f>VLOOKUP(B5005,gachas!A:C,3)</f>
        <v>ジューンブライドガチャSideA</v>
      </c>
      <c r="D5005" s="21">
        <v>10</v>
      </c>
      <c r="E5005" s="2">
        <f t="shared" si="806"/>
        <v>19</v>
      </c>
      <c r="F5005" s="2">
        <v>10</v>
      </c>
      <c r="G5005" s="3" t="s">
        <v>22</v>
      </c>
      <c r="H5005" s="2">
        <v>50</v>
      </c>
      <c r="I5005" s="117" t="str">
        <f t="shared" si="805"/>
        <v>613100</v>
      </c>
      <c r="J5005" s="112" t="s">
        <v>84</v>
      </c>
      <c r="K5005" s="117" t="str">
        <f t="shared" si="811"/>
        <v>613100</v>
      </c>
      <c r="L5005" s="2">
        <v>1</v>
      </c>
      <c r="M5005" s="2" t="s">
        <v>84</v>
      </c>
      <c r="N5005" s="2" t="s">
        <v>84</v>
      </c>
      <c r="O5005" s="2" t="s">
        <v>841</v>
      </c>
      <c r="P5005" s="2" t="s">
        <v>3434</v>
      </c>
    </row>
    <row r="5006" spans="1:16" ht="22" customHeight="1" x14ac:dyDescent="0.15">
      <c r="A5006" s="10" t="str">
        <f t="shared" si="804"/>
        <v>613_10_20_10_polygon</v>
      </c>
      <c r="B5006" s="2">
        <v>613</v>
      </c>
      <c r="C5006" s="30" t="str">
        <f>VLOOKUP(B5006,gachas!A:C,3)</f>
        <v>ジューンブライドガチャSideA</v>
      </c>
      <c r="D5006" s="21">
        <v>10</v>
      </c>
      <c r="E5006" s="2">
        <f t="shared" si="806"/>
        <v>20</v>
      </c>
      <c r="F5006" s="2">
        <v>10</v>
      </c>
      <c r="G5006" s="3" t="s">
        <v>22</v>
      </c>
      <c r="H5006" s="2">
        <v>50</v>
      </c>
      <c r="I5006" s="117" t="str">
        <f t="shared" si="805"/>
        <v>613100</v>
      </c>
      <c r="J5006" s="112" t="s">
        <v>84</v>
      </c>
      <c r="K5006" s="117" t="str">
        <f t="shared" ref="K5006" si="812">CONCATENATE(B5006,"105")</f>
        <v>613105</v>
      </c>
      <c r="L5006" s="2">
        <v>1</v>
      </c>
      <c r="M5006" s="2" t="s">
        <v>84</v>
      </c>
      <c r="N5006" s="2" t="s">
        <v>84</v>
      </c>
      <c r="O5006" s="2" t="s">
        <v>841</v>
      </c>
      <c r="P5006" s="2" t="s">
        <v>3402</v>
      </c>
    </row>
    <row r="5007" spans="1:16" ht="22" customHeight="1" x14ac:dyDescent="0.15">
      <c r="A5007" s="10" t="str">
        <f t="shared" si="804"/>
        <v>613_10_21_10_polygon</v>
      </c>
      <c r="B5007" s="2">
        <v>613</v>
      </c>
      <c r="C5007" s="30" t="str">
        <f>VLOOKUP(B5007,gachas!A:C,3)</f>
        <v>ジューンブライドガチャSideA</v>
      </c>
      <c r="D5007" s="21">
        <v>10</v>
      </c>
      <c r="E5007" s="2">
        <f t="shared" si="806"/>
        <v>21</v>
      </c>
      <c r="F5007" s="2">
        <v>10</v>
      </c>
      <c r="G5007" s="3" t="s">
        <v>22</v>
      </c>
      <c r="H5007" s="2">
        <v>25</v>
      </c>
      <c r="I5007" s="117" t="str">
        <f t="shared" si="805"/>
        <v>613100</v>
      </c>
      <c r="J5007" s="112" t="s">
        <v>84</v>
      </c>
      <c r="K5007" s="117" t="str">
        <f t="shared" ref="K5007:K5010" si="813">CONCATENATE(B5007,"100")</f>
        <v>613100</v>
      </c>
      <c r="L5007" s="2">
        <v>1</v>
      </c>
      <c r="M5007" s="2" t="s">
        <v>84</v>
      </c>
      <c r="N5007" s="2" t="s">
        <v>84</v>
      </c>
      <c r="O5007" s="2" t="s">
        <v>841</v>
      </c>
      <c r="P5007" s="59" t="s">
        <v>1783</v>
      </c>
    </row>
    <row r="5008" spans="1:16" ht="22" customHeight="1" x14ac:dyDescent="0.15">
      <c r="A5008" s="10" t="str">
        <f t="shared" si="804"/>
        <v>613_10_22_10_polygon</v>
      </c>
      <c r="B5008" s="2">
        <v>613</v>
      </c>
      <c r="C5008" s="30" t="str">
        <f>VLOOKUP(B5008,gachas!A:C,3)</f>
        <v>ジューンブライドガチャSideA</v>
      </c>
      <c r="D5008" s="21">
        <v>10</v>
      </c>
      <c r="E5008" s="2">
        <f t="shared" si="806"/>
        <v>22</v>
      </c>
      <c r="F5008" s="2">
        <v>10</v>
      </c>
      <c r="G5008" s="3" t="s">
        <v>22</v>
      </c>
      <c r="H5008" s="2">
        <v>50</v>
      </c>
      <c r="I5008" s="117" t="str">
        <f t="shared" si="805"/>
        <v>613100</v>
      </c>
      <c r="J5008" s="112" t="s">
        <v>84</v>
      </c>
      <c r="K5008" s="117" t="str">
        <f t="shared" si="813"/>
        <v>613100</v>
      </c>
      <c r="L5008" s="2">
        <v>1</v>
      </c>
      <c r="M5008" s="2" t="s">
        <v>84</v>
      </c>
      <c r="N5008" s="2" t="s">
        <v>84</v>
      </c>
      <c r="O5008" s="2" t="s">
        <v>841</v>
      </c>
      <c r="P5008" s="2" t="s">
        <v>3434</v>
      </c>
    </row>
    <row r="5009" spans="1:16" ht="22" customHeight="1" x14ac:dyDescent="0.15">
      <c r="A5009" s="10" t="str">
        <f t="shared" si="804"/>
        <v>613_10_23_10_polygon</v>
      </c>
      <c r="B5009" s="2">
        <v>613</v>
      </c>
      <c r="C5009" s="30" t="str">
        <f>VLOOKUP(B5009,gachas!A:C,3)</f>
        <v>ジューンブライドガチャSideA</v>
      </c>
      <c r="D5009" s="21">
        <v>10</v>
      </c>
      <c r="E5009" s="2">
        <f t="shared" si="806"/>
        <v>23</v>
      </c>
      <c r="F5009" s="2">
        <v>10</v>
      </c>
      <c r="G5009" s="3" t="s">
        <v>22</v>
      </c>
      <c r="H5009" s="2">
        <v>50</v>
      </c>
      <c r="I5009" s="117" t="str">
        <f t="shared" si="805"/>
        <v>613100</v>
      </c>
      <c r="J5009" s="112" t="s">
        <v>84</v>
      </c>
      <c r="K5009" s="117" t="str">
        <f t="shared" si="813"/>
        <v>613100</v>
      </c>
      <c r="L5009" s="2">
        <v>1</v>
      </c>
      <c r="M5009" s="2" t="s">
        <v>84</v>
      </c>
      <c r="N5009" s="2" t="s">
        <v>84</v>
      </c>
      <c r="O5009" s="2" t="s">
        <v>841</v>
      </c>
      <c r="P5009" s="2" t="s">
        <v>3434</v>
      </c>
    </row>
    <row r="5010" spans="1:16" ht="22" customHeight="1" x14ac:dyDescent="0.15">
      <c r="A5010" s="10" t="str">
        <f t="shared" si="804"/>
        <v>613_10_24_10_polygon</v>
      </c>
      <c r="B5010" s="2">
        <v>613</v>
      </c>
      <c r="C5010" s="30" t="str">
        <f>VLOOKUP(B5010,gachas!A:C,3)</f>
        <v>ジューンブライドガチャSideA</v>
      </c>
      <c r="D5010" s="21">
        <v>10</v>
      </c>
      <c r="E5010" s="2">
        <f t="shared" si="806"/>
        <v>24</v>
      </c>
      <c r="F5010" s="2">
        <v>10</v>
      </c>
      <c r="G5010" s="3" t="s">
        <v>22</v>
      </c>
      <c r="H5010" s="2">
        <v>50</v>
      </c>
      <c r="I5010" s="117" t="str">
        <f t="shared" si="805"/>
        <v>613100</v>
      </c>
      <c r="J5010" s="112" t="s">
        <v>84</v>
      </c>
      <c r="K5010" s="117" t="str">
        <f t="shared" si="813"/>
        <v>613100</v>
      </c>
      <c r="L5010" s="2">
        <v>1</v>
      </c>
      <c r="M5010" s="2" t="s">
        <v>84</v>
      </c>
      <c r="N5010" s="2" t="s">
        <v>84</v>
      </c>
      <c r="O5010" s="2" t="s">
        <v>841</v>
      </c>
      <c r="P5010" s="2" t="s">
        <v>3434</v>
      </c>
    </row>
    <row r="5011" spans="1:16" ht="22" customHeight="1" x14ac:dyDescent="0.15">
      <c r="A5011" s="10" t="str">
        <f t="shared" si="804"/>
        <v>613_10_25_10_polygon</v>
      </c>
      <c r="B5011" s="2">
        <v>613</v>
      </c>
      <c r="C5011" s="30" t="str">
        <f>VLOOKUP(B5011,gachas!A:C,3)</f>
        <v>ジューンブライドガチャSideA</v>
      </c>
      <c r="D5011" s="21">
        <v>10</v>
      </c>
      <c r="E5011" s="2">
        <f t="shared" si="806"/>
        <v>25</v>
      </c>
      <c r="F5011" s="2">
        <v>10</v>
      </c>
      <c r="G5011" s="3" t="s">
        <v>22</v>
      </c>
      <c r="H5011" s="2">
        <v>50</v>
      </c>
      <c r="I5011" s="117" t="str">
        <f t="shared" si="805"/>
        <v>613100</v>
      </c>
      <c r="J5011" s="112" t="s">
        <v>84</v>
      </c>
      <c r="K5011" s="117" t="str">
        <f t="shared" ref="K5011" si="814">CONCATENATE(B5011,"105")</f>
        <v>613105</v>
      </c>
      <c r="L5011" s="2">
        <v>1</v>
      </c>
      <c r="M5011" s="2" t="s">
        <v>84</v>
      </c>
      <c r="N5011" s="2" t="s">
        <v>84</v>
      </c>
      <c r="O5011" s="2" t="s">
        <v>841</v>
      </c>
      <c r="P5011" s="2" t="s">
        <v>3402</v>
      </c>
    </row>
    <row r="5012" spans="1:16" ht="22" customHeight="1" x14ac:dyDescent="0.15">
      <c r="A5012" s="10" t="str">
        <f t="shared" si="804"/>
        <v>613_10_26_10_polygon</v>
      </c>
      <c r="B5012" s="2">
        <v>613</v>
      </c>
      <c r="C5012" s="30" t="str">
        <f>VLOOKUP(B5012,gachas!A:C,3)</f>
        <v>ジューンブライドガチャSideA</v>
      </c>
      <c r="D5012" s="21">
        <v>10</v>
      </c>
      <c r="E5012" s="2">
        <f t="shared" si="806"/>
        <v>26</v>
      </c>
      <c r="F5012" s="2">
        <v>10</v>
      </c>
      <c r="G5012" s="3" t="s">
        <v>22</v>
      </c>
      <c r="H5012" s="2">
        <v>25</v>
      </c>
      <c r="I5012" s="117" t="str">
        <f t="shared" si="805"/>
        <v>613100</v>
      </c>
      <c r="J5012" s="112" t="s">
        <v>84</v>
      </c>
      <c r="K5012" s="117" t="str">
        <f t="shared" ref="K5012:K5015" si="815">CONCATENATE(B5012,"100")</f>
        <v>613100</v>
      </c>
      <c r="L5012" s="2">
        <v>1</v>
      </c>
      <c r="M5012" s="2" t="s">
        <v>84</v>
      </c>
      <c r="N5012" s="2" t="s">
        <v>84</v>
      </c>
      <c r="O5012" s="2" t="s">
        <v>841</v>
      </c>
      <c r="P5012" s="59" t="s">
        <v>1783</v>
      </c>
    </row>
    <row r="5013" spans="1:16" ht="22" customHeight="1" x14ac:dyDescent="0.15">
      <c r="A5013" s="10" t="str">
        <f t="shared" si="804"/>
        <v>613_10_27_10_polygon</v>
      </c>
      <c r="B5013" s="2">
        <v>613</v>
      </c>
      <c r="C5013" s="30" t="str">
        <f>VLOOKUP(B5013,gachas!A:C,3)</f>
        <v>ジューンブライドガチャSideA</v>
      </c>
      <c r="D5013" s="21">
        <v>10</v>
      </c>
      <c r="E5013" s="2">
        <f t="shared" si="806"/>
        <v>27</v>
      </c>
      <c r="F5013" s="2">
        <v>10</v>
      </c>
      <c r="G5013" s="3" t="s">
        <v>22</v>
      </c>
      <c r="H5013" s="2">
        <v>50</v>
      </c>
      <c r="I5013" s="117" t="str">
        <f t="shared" si="805"/>
        <v>613100</v>
      </c>
      <c r="J5013" s="112" t="s">
        <v>84</v>
      </c>
      <c r="K5013" s="117" t="str">
        <f t="shared" si="815"/>
        <v>613100</v>
      </c>
      <c r="L5013" s="2">
        <v>1</v>
      </c>
      <c r="M5013" s="2" t="s">
        <v>84</v>
      </c>
      <c r="N5013" s="2" t="s">
        <v>84</v>
      </c>
      <c r="O5013" s="2" t="s">
        <v>841</v>
      </c>
      <c r="P5013" s="2" t="s">
        <v>3434</v>
      </c>
    </row>
    <row r="5014" spans="1:16" ht="22" customHeight="1" x14ac:dyDescent="0.15">
      <c r="A5014" s="10" t="str">
        <f t="shared" si="804"/>
        <v>613_10_28_10_polygon</v>
      </c>
      <c r="B5014" s="2">
        <v>613</v>
      </c>
      <c r="C5014" s="30" t="str">
        <f>VLOOKUP(B5014,gachas!A:C,3)</f>
        <v>ジューンブライドガチャSideA</v>
      </c>
      <c r="D5014" s="21">
        <v>10</v>
      </c>
      <c r="E5014" s="2">
        <f t="shared" si="806"/>
        <v>28</v>
      </c>
      <c r="F5014" s="2">
        <v>10</v>
      </c>
      <c r="G5014" s="3" t="s">
        <v>22</v>
      </c>
      <c r="H5014" s="2">
        <v>50</v>
      </c>
      <c r="I5014" s="117" t="str">
        <f t="shared" si="805"/>
        <v>613100</v>
      </c>
      <c r="J5014" s="112" t="s">
        <v>84</v>
      </c>
      <c r="K5014" s="117" t="str">
        <f t="shared" si="815"/>
        <v>613100</v>
      </c>
      <c r="L5014" s="2">
        <v>1</v>
      </c>
      <c r="M5014" s="2" t="s">
        <v>84</v>
      </c>
      <c r="N5014" s="2" t="s">
        <v>84</v>
      </c>
      <c r="O5014" s="2" t="s">
        <v>841</v>
      </c>
      <c r="P5014" s="2" t="s">
        <v>3434</v>
      </c>
    </row>
    <row r="5015" spans="1:16" ht="22" customHeight="1" x14ac:dyDescent="0.15">
      <c r="A5015" s="10" t="str">
        <f t="shared" si="804"/>
        <v>613_10_29_10_polygon</v>
      </c>
      <c r="B5015" s="2">
        <v>613</v>
      </c>
      <c r="C5015" s="30" t="str">
        <f>VLOOKUP(B5015,gachas!A:C,3)</f>
        <v>ジューンブライドガチャSideA</v>
      </c>
      <c r="D5015" s="21">
        <v>10</v>
      </c>
      <c r="E5015" s="2">
        <f t="shared" si="806"/>
        <v>29</v>
      </c>
      <c r="F5015" s="2">
        <v>10</v>
      </c>
      <c r="G5015" s="3" t="s">
        <v>22</v>
      </c>
      <c r="H5015" s="2">
        <v>50</v>
      </c>
      <c r="I5015" s="117" t="str">
        <f t="shared" si="805"/>
        <v>613100</v>
      </c>
      <c r="J5015" s="112" t="s">
        <v>84</v>
      </c>
      <c r="K5015" s="117" t="str">
        <f t="shared" si="815"/>
        <v>613100</v>
      </c>
      <c r="L5015" s="2">
        <v>1</v>
      </c>
      <c r="M5015" s="2" t="s">
        <v>84</v>
      </c>
      <c r="N5015" s="2" t="s">
        <v>84</v>
      </c>
      <c r="O5015" s="2" t="s">
        <v>841</v>
      </c>
      <c r="P5015" s="2" t="s">
        <v>3434</v>
      </c>
    </row>
    <row r="5016" spans="1:16" ht="22" customHeight="1" x14ac:dyDescent="0.15">
      <c r="A5016" s="10" t="str">
        <f t="shared" si="804"/>
        <v>613_10_30_10_polygon</v>
      </c>
      <c r="B5016" s="2">
        <v>613</v>
      </c>
      <c r="C5016" s="30" t="str">
        <f>VLOOKUP(B5016,gachas!A:C,3)</f>
        <v>ジューンブライドガチャSideA</v>
      </c>
      <c r="D5016" s="21">
        <v>10</v>
      </c>
      <c r="E5016" s="2">
        <f t="shared" si="806"/>
        <v>30</v>
      </c>
      <c r="F5016" s="2">
        <v>10</v>
      </c>
      <c r="G5016" s="3" t="s">
        <v>22</v>
      </c>
      <c r="H5016" s="2">
        <v>50</v>
      </c>
      <c r="I5016" s="117" t="str">
        <f t="shared" si="805"/>
        <v>613100</v>
      </c>
      <c r="J5016" s="112" t="s">
        <v>84</v>
      </c>
      <c r="K5016" s="117" t="str">
        <f t="shared" ref="K5016" si="816">CONCATENATE(B5016,"105")</f>
        <v>613105</v>
      </c>
      <c r="L5016" s="2">
        <v>1</v>
      </c>
      <c r="M5016" s="2" t="s">
        <v>84</v>
      </c>
      <c r="N5016" s="2" t="s">
        <v>84</v>
      </c>
      <c r="O5016" s="2" t="s">
        <v>841</v>
      </c>
      <c r="P5016" s="2" t="s">
        <v>3402</v>
      </c>
    </row>
    <row r="5017" spans="1:16" ht="22" customHeight="1" x14ac:dyDescent="0.15">
      <c r="A5017" s="10" t="str">
        <f t="shared" si="804"/>
        <v>613_10_31_10_polygon</v>
      </c>
      <c r="B5017" s="2">
        <v>613</v>
      </c>
      <c r="C5017" s="30" t="str">
        <f>VLOOKUP(B5017,gachas!A:C,3)</f>
        <v>ジューンブライドガチャSideA</v>
      </c>
      <c r="D5017" s="21">
        <v>10</v>
      </c>
      <c r="E5017" s="2">
        <f t="shared" si="806"/>
        <v>31</v>
      </c>
      <c r="F5017" s="2">
        <v>10</v>
      </c>
      <c r="G5017" s="3" t="s">
        <v>22</v>
      </c>
      <c r="H5017" s="2">
        <v>25</v>
      </c>
      <c r="I5017" s="117" t="str">
        <f t="shared" si="805"/>
        <v>613100</v>
      </c>
      <c r="J5017" s="112" t="s">
        <v>84</v>
      </c>
      <c r="K5017" s="117" t="str">
        <f t="shared" ref="K5017:K5020" si="817">CONCATENATE(B5017,"100")</f>
        <v>613100</v>
      </c>
      <c r="L5017" s="2">
        <v>1</v>
      </c>
      <c r="M5017" s="2" t="s">
        <v>84</v>
      </c>
      <c r="N5017" s="2" t="s">
        <v>84</v>
      </c>
      <c r="O5017" s="2" t="s">
        <v>841</v>
      </c>
      <c r="P5017" s="59" t="s">
        <v>1783</v>
      </c>
    </row>
    <row r="5018" spans="1:16" ht="22" customHeight="1" x14ac:dyDescent="0.15">
      <c r="A5018" s="10" t="str">
        <f t="shared" si="804"/>
        <v>613_10_32_10_polygon</v>
      </c>
      <c r="B5018" s="2">
        <v>613</v>
      </c>
      <c r="C5018" s="30" t="str">
        <f>VLOOKUP(B5018,gachas!A:C,3)</f>
        <v>ジューンブライドガチャSideA</v>
      </c>
      <c r="D5018" s="21">
        <v>10</v>
      </c>
      <c r="E5018" s="2">
        <f t="shared" si="806"/>
        <v>32</v>
      </c>
      <c r="F5018" s="2">
        <v>10</v>
      </c>
      <c r="G5018" s="3" t="s">
        <v>22</v>
      </c>
      <c r="H5018" s="2">
        <v>50</v>
      </c>
      <c r="I5018" s="117" t="str">
        <f t="shared" si="805"/>
        <v>613100</v>
      </c>
      <c r="J5018" s="112" t="s">
        <v>84</v>
      </c>
      <c r="K5018" s="117" t="str">
        <f t="shared" si="817"/>
        <v>613100</v>
      </c>
      <c r="L5018" s="2">
        <v>1</v>
      </c>
      <c r="M5018" s="2" t="s">
        <v>84</v>
      </c>
      <c r="N5018" s="2" t="s">
        <v>84</v>
      </c>
      <c r="O5018" s="2" t="s">
        <v>841</v>
      </c>
      <c r="P5018" s="2" t="s">
        <v>3434</v>
      </c>
    </row>
    <row r="5019" spans="1:16" ht="22" customHeight="1" x14ac:dyDescent="0.15">
      <c r="A5019" s="10" t="str">
        <f t="shared" si="804"/>
        <v>613_10_33_10_polygon</v>
      </c>
      <c r="B5019" s="2">
        <v>613</v>
      </c>
      <c r="C5019" s="30" t="str">
        <f>VLOOKUP(B5019,gachas!A:C,3)</f>
        <v>ジューンブライドガチャSideA</v>
      </c>
      <c r="D5019" s="21">
        <v>10</v>
      </c>
      <c r="E5019" s="2">
        <f t="shared" si="806"/>
        <v>33</v>
      </c>
      <c r="F5019" s="2">
        <v>10</v>
      </c>
      <c r="G5019" s="3" t="s">
        <v>22</v>
      </c>
      <c r="H5019" s="2">
        <v>50</v>
      </c>
      <c r="I5019" s="117" t="str">
        <f t="shared" si="805"/>
        <v>613100</v>
      </c>
      <c r="J5019" s="112" t="s">
        <v>84</v>
      </c>
      <c r="K5019" s="117" t="str">
        <f t="shared" si="817"/>
        <v>613100</v>
      </c>
      <c r="L5019" s="2">
        <v>1</v>
      </c>
      <c r="M5019" s="2" t="s">
        <v>84</v>
      </c>
      <c r="N5019" s="2" t="s">
        <v>84</v>
      </c>
      <c r="O5019" s="2" t="s">
        <v>841</v>
      </c>
      <c r="P5019" s="2" t="s">
        <v>3434</v>
      </c>
    </row>
    <row r="5020" spans="1:16" ht="22" customHeight="1" x14ac:dyDescent="0.15">
      <c r="A5020" s="10" t="str">
        <f t="shared" si="804"/>
        <v>613_10_34_10_polygon</v>
      </c>
      <c r="B5020" s="2">
        <v>613</v>
      </c>
      <c r="C5020" s="30" t="str">
        <f>VLOOKUP(B5020,gachas!A:C,3)</f>
        <v>ジューンブライドガチャSideA</v>
      </c>
      <c r="D5020" s="21">
        <v>10</v>
      </c>
      <c r="E5020" s="2">
        <f t="shared" si="806"/>
        <v>34</v>
      </c>
      <c r="F5020" s="2">
        <v>10</v>
      </c>
      <c r="G5020" s="3" t="s">
        <v>22</v>
      </c>
      <c r="H5020" s="2">
        <v>50</v>
      </c>
      <c r="I5020" s="117" t="str">
        <f t="shared" si="805"/>
        <v>613100</v>
      </c>
      <c r="J5020" s="112" t="s">
        <v>84</v>
      </c>
      <c r="K5020" s="117" t="str">
        <f t="shared" si="817"/>
        <v>613100</v>
      </c>
      <c r="L5020" s="2">
        <v>1</v>
      </c>
      <c r="M5020" s="2" t="s">
        <v>84</v>
      </c>
      <c r="N5020" s="2" t="s">
        <v>84</v>
      </c>
      <c r="O5020" s="2" t="s">
        <v>841</v>
      </c>
      <c r="P5020" s="2" t="s">
        <v>3434</v>
      </c>
    </row>
    <row r="5021" spans="1:16" ht="22" customHeight="1" x14ac:dyDescent="0.15">
      <c r="A5021" s="10" t="str">
        <f t="shared" si="804"/>
        <v>613_10_35_10_polygon</v>
      </c>
      <c r="B5021" s="2">
        <v>613</v>
      </c>
      <c r="C5021" s="30" t="str">
        <f>VLOOKUP(B5021,gachas!A:C,3)</f>
        <v>ジューンブライドガチャSideA</v>
      </c>
      <c r="D5021" s="21">
        <v>10</v>
      </c>
      <c r="E5021" s="2">
        <f t="shared" si="806"/>
        <v>35</v>
      </c>
      <c r="F5021" s="2">
        <v>10</v>
      </c>
      <c r="G5021" s="3" t="s">
        <v>22</v>
      </c>
      <c r="H5021" s="2">
        <v>50</v>
      </c>
      <c r="I5021" s="117" t="str">
        <f t="shared" si="805"/>
        <v>613100</v>
      </c>
      <c r="J5021" s="112" t="s">
        <v>84</v>
      </c>
      <c r="K5021" s="117" t="str">
        <f t="shared" ref="K5021" si="818">CONCATENATE(B5021,"105")</f>
        <v>613105</v>
      </c>
      <c r="L5021" s="2">
        <v>1</v>
      </c>
      <c r="M5021" s="2" t="s">
        <v>84</v>
      </c>
      <c r="N5021" s="2" t="s">
        <v>84</v>
      </c>
      <c r="O5021" s="2" t="s">
        <v>841</v>
      </c>
      <c r="P5021" s="2" t="s">
        <v>3402</v>
      </c>
    </row>
    <row r="5022" spans="1:16" ht="22" customHeight="1" x14ac:dyDescent="0.15">
      <c r="A5022" s="10" t="str">
        <f t="shared" si="804"/>
        <v>613_10_36_10_polygon</v>
      </c>
      <c r="B5022" s="2">
        <v>613</v>
      </c>
      <c r="C5022" s="30" t="str">
        <f>VLOOKUP(B5022,gachas!A:C,3)</f>
        <v>ジューンブライドガチャSideA</v>
      </c>
      <c r="D5022" s="21">
        <v>10</v>
      </c>
      <c r="E5022" s="2">
        <f t="shared" si="806"/>
        <v>36</v>
      </c>
      <c r="F5022" s="2">
        <v>10</v>
      </c>
      <c r="G5022" s="3" t="s">
        <v>22</v>
      </c>
      <c r="H5022" s="2">
        <v>25</v>
      </c>
      <c r="I5022" s="117" t="str">
        <f t="shared" si="805"/>
        <v>613100</v>
      </c>
      <c r="J5022" s="112" t="s">
        <v>84</v>
      </c>
      <c r="K5022" s="117" t="str">
        <f t="shared" ref="K5022:K5025" si="819">CONCATENATE(B5022,"100")</f>
        <v>613100</v>
      </c>
      <c r="L5022" s="2">
        <v>1</v>
      </c>
      <c r="M5022" s="2" t="s">
        <v>84</v>
      </c>
      <c r="N5022" s="2" t="s">
        <v>84</v>
      </c>
      <c r="O5022" s="2" t="s">
        <v>841</v>
      </c>
      <c r="P5022" s="59" t="s">
        <v>1783</v>
      </c>
    </row>
    <row r="5023" spans="1:16" ht="22" customHeight="1" x14ac:dyDescent="0.15">
      <c r="A5023" s="10" t="str">
        <f t="shared" si="804"/>
        <v>613_10_37_10_polygon</v>
      </c>
      <c r="B5023" s="2">
        <v>613</v>
      </c>
      <c r="C5023" s="30" t="str">
        <f>VLOOKUP(B5023,gachas!A:C,3)</f>
        <v>ジューンブライドガチャSideA</v>
      </c>
      <c r="D5023" s="21">
        <v>10</v>
      </c>
      <c r="E5023" s="2">
        <f t="shared" si="806"/>
        <v>37</v>
      </c>
      <c r="F5023" s="2">
        <v>10</v>
      </c>
      <c r="G5023" s="3" t="s">
        <v>22</v>
      </c>
      <c r="H5023" s="2">
        <v>50</v>
      </c>
      <c r="I5023" s="117" t="str">
        <f t="shared" si="805"/>
        <v>613100</v>
      </c>
      <c r="J5023" s="112" t="s">
        <v>84</v>
      </c>
      <c r="K5023" s="117" t="str">
        <f t="shared" si="819"/>
        <v>613100</v>
      </c>
      <c r="L5023" s="2">
        <v>1</v>
      </c>
      <c r="M5023" s="2" t="s">
        <v>84</v>
      </c>
      <c r="N5023" s="2" t="s">
        <v>84</v>
      </c>
      <c r="O5023" s="2" t="s">
        <v>841</v>
      </c>
      <c r="P5023" s="2" t="s">
        <v>3434</v>
      </c>
    </row>
    <row r="5024" spans="1:16" ht="22" customHeight="1" x14ac:dyDescent="0.15">
      <c r="A5024" s="10" t="str">
        <f t="shared" si="804"/>
        <v>613_10_38_10_polygon</v>
      </c>
      <c r="B5024" s="2">
        <v>613</v>
      </c>
      <c r="C5024" s="30" t="str">
        <f>VLOOKUP(B5024,gachas!A:C,3)</f>
        <v>ジューンブライドガチャSideA</v>
      </c>
      <c r="D5024" s="21">
        <v>10</v>
      </c>
      <c r="E5024" s="2">
        <f t="shared" si="806"/>
        <v>38</v>
      </c>
      <c r="F5024" s="2">
        <v>10</v>
      </c>
      <c r="G5024" s="3" t="s">
        <v>22</v>
      </c>
      <c r="H5024" s="2">
        <v>50</v>
      </c>
      <c r="I5024" s="117" t="str">
        <f t="shared" si="805"/>
        <v>613100</v>
      </c>
      <c r="J5024" s="112" t="s">
        <v>84</v>
      </c>
      <c r="K5024" s="117" t="str">
        <f t="shared" si="819"/>
        <v>613100</v>
      </c>
      <c r="L5024" s="2">
        <v>1</v>
      </c>
      <c r="M5024" s="2" t="s">
        <v>84</v>
      </c>
      <c r="N5024" s="2" t="s">
        <v>84</v>
      </c>
      <c r="O5024" s="2" t="s">
        <v>841</v>
      </c>
      <c r="P5024" s="2" t="s">
        <v>3434</v>
      </c>
    </row>
    <row r="5025" spans="1:16" ht="22" customHeight="1" x14ac:dyDescent="0.15">
      <c r="A5025" s="10" t="str">
        <f t="shared" si="804"/>
        <v>613_10_39_10_polygon</v>
      </c>
      <c r="B5025" s="2">
        <v>613</v>
      </c>
      <c r="C5025" s="30" t="str">
        <f>VLOOKUP(B5025,gachas!A:C,3)</f>
        <v>ジューンブライドガチャSideA</v>
      </c>
      <c r="D5025" s="21">
        <v>10</v>
      </c>
      <c r="E5025" s="2">
        <f t="shared" si="806"/>
        <v>39</v>
      </c>
      <c r="F5025" s="2">
        <v>10</v>
      </c>
      <c r="G5025" s="3" t="s">
        <v>22</v>
      </c>
      <c r="H5025" s="2">
        <v>50</v>
      </c>
      <c r="I5025" s="117" t="str">
        <f t="shared" si="805"/>
        <v>613100</v>
      </c>
      <c r="J5025" s="112" t="s">
        <v>84</v>
      </c>
      <c r="K5025" s="117" t="str">
        <f t="shared" si="819"/>
        <v>613100</v>
      </c>
      <c r="L5025" s="2">
        <v>1</v>
      </c>
      <c r="M5025" s="2" t="s">
        <v>84</v>
      </c>
      <c r="N5025" s="2" t="s">
        <v>84</v>
      </c>
      <c r="O5025" s="2" t="s">
        <v>841</v>
      </c>
      <c r="P5025" s="2" t="s">
        <v>3434</v>
      </c>
    </row>
    <row r="5026" spans="1:16" ht="22" customHeight="1" x14ac:dyDescent="0.15">
      <c r="A5026" s="10" t="str">
        <f t="shared" si="804"/>
        <v>613_10_40_10_polygon</v>
      </c>
      <c r="B5026" s="2">
        <v>613</v>
      </c>
      <c r="C5026" s="30" t="str">
        <f>VLOOKUP(B5026,gachas!A:C,3)</f>
        <v>ジューンブライドガチャSideA</v>
      </c>
      <c r="D5026" s="21">
        <v>10</v>
      </c>
      <c r="E5026" s="2">
        <f t="shared" si="806"/>
        <v>40</v>
      </c>
      <c r="F5026" s="2">
        <v>10</v>
      </c>
      <c r="G5026" s="3" t="s">
        <v>22</v>
      </c>
      <c r="H5026" s="2">
        <v>50</v>
      </c>
      <c r="I5026" s="117" t="str">
        <f t="shared" si="805"/>
        <v>613100</v>
      </c>
      <c r="J5026" s="112" t="s">
        <v>84</v>
      </c>
      <c r="K5026" s="117" t="str">
        <f t="shared" ref="K5026" si="820">CONCATENATE(B5026,"105")</f>
        <v>613105</v>
      </c>
      <c r="L5026" s="2">
        <v>1</v>
      </c>
      <c r="M5026" s="2" t="s">
        <v>84</v>
      </c>
      <c r="N5026" s="2" t="s">
        <v>84</v>
      </c>
      <c r="O5026" s="2" t="s">
        <v>841</v>
      </c>
      <c r="P5026" s="2" t="s">
        <v>3402</v>
      </c>
    </row>
    <row r="5027" spans="1:16" ht="22" customHeight="1" x14ac:dyDescent="0.15">
      <c r="A5027" s="10" t="str">
        <f t="shared" si="804"/>
        <v>613_10_41_10_polygon</v>
      </c>
      <c r="B5027" s="2">
        <v>613</v>
      </c>
      <c r="C5027" s="30" t="str">
        <f>VLOOKUP(B5027,gachas!A:C,3)</f>
        <v>ジューンブライドガチャSideA</v>
      </c>
      <c r="D5027" s="21">
        <v>10</v>
      </c>
      <c r="E5027" s="2">
        <f t="shared" si="806"/>
        <v>41</v>
      </c>
      <c r="F5027" s="2">
        <v>10</v>
      </c>
      <c r="G5027" s="3" t="s">
        <v>22</v>
      </c>
      <c r="H5027" s="2">
        <v>25</v>
      </c>
      <c r="I5027" s="117" t="str">
        <f t="shared" si="805"/>
        <v>613100</v>
      </c>
      <c r="J5027" s="112" t="s">
        <v>84</v>
      </c>
      <c r="K5027" s="117" t="str">
        <f t="shared" ref="K5027:K5030" si="821">CONCATENATE(B5027,"100")</f>
        <v>613100</v>
      </c>
      <c r="L5027" s="2">
        <v>1</v>
      </c>
      <c r="M5027" s="2" t="s">
        <v>84</v>
      </c>
      <c r="N5027" s="2" t="s">
        <v>84</v>
      </c>
      <c r="O5027" s="2" t="s">
        <v>841</v>
      </c>
      <c r="P5027" s="59" t="s">
        <v>1783</v>
      </c>
    </row>
    <row r="5028" spans="1:16" ht="22" customHeight="1" x14ac:dyDescent="0.15">
      <c r="A5028" s="10" t="str">
        <f t="shared" ref="A5028:A5079" si="822">B5028&amp;"_"&amp;D5028&amp;"_"&amp;E5028&amp;"_"&amp;F5028&amp;"_"&amp;G5028</f>
        <v>613_10_42_10_polygon</v>
      </c>
      <c r="B5028" s="2">
        <v>613</v>
      </c>
      <c r="C5028" s="30" t="str">
        <f>VLOOKUP(B5028,gachas!A:C,3)</f>
        <v>ジューンブライドガチャSideA</v>
      </c>
      <c r="D5028" s="21">
        <v>10</v>
      </c>
      <c r="E5028" s="2">
        <f t="shared" si="806"/>
        <v>42</v>
      </c>
      <c r="F5028" s="2">
        <v>10</v>
      </c>
      <c r="G5028" s="3" t="s">
        <v>22</v>
      </c>
      <c r="H5028" s="2">
        <v>50</v>
      </c>
      <c r="I5028" s="117" t="str">
        <f t="shared" si="805"/>
        <v>613100</v>
      </c>
      <c r="J5028" s="112" t="s">
        <v>84</v>
      </c>
      <c r="K5028" s="117" t="str">
        <f t="shared" si="821"/>
        <v>613100</v>
      </c>
      <c r="L5028" s="2">
        <v>1</v>
      </c>
      <c r="M5028" s="2" t="s">
        <v>84</v>
      </c>
      <c r="N5028" s="2" t="s">
        <v>84</v>
      </c>
      <c r="O5028" s="2" t="s">
        <v>841</v>
      </c>
      <c r="P5028" s="2" t="s">
        <v>3434</v>
      </c>
    </row>
    <row r="5029" spans="1:16" ht="22" customHeight="1" x14ac:dyDescent="0.15">
      <c r="A5029" s="10" t="str">
        <f t="shared" si="822"/>
        <v>613_10_43_10_polygon</v>
      </c>
      <c r="B5029" s="2">
        <v>613</v>
      </c>
      <c r="C5029" s="30" t="str">
        <f>VLOOKUP(B5029,gachas!A:C,3)</f>
        <v>ジューンブライドガチャSideA</v>
      </c>
      <c r="D5029" s="21">
        <v>10</v>
      </c>
      <c r="E5029" s="2">
        <f t="shared" si="806"/>
        <v>43</v>
      </c>
      <c r="F5029" s="2">
        <v>10</v>
      </c>
      <c r="G5029" s="3" t="s">
        <v>22</v>
      </c>
      <c r="H5029" s="2">
        <v>50</v>
      </c>
      <c r="I5029" s="117" t="str">
        <f t="shared" si="805"/>
        <v>613100</v>
      </c>
      <c r="J5029" s="112" t="s">
        <v>84</v>
      </c>
      <c r="K5029" s="117" t="str">
        <f t="shared" si="821"/>
        <v>613100</v>
      </c>
      <c r="L5029" s="2">
        <v>1</v>
      </c>
      <c r="M5029" s="2" t="s">
        <v>84</v>
      </c>
      <c r="N5029" s="2" t="s">
        <v>84</v>
      </c>
      <c r="O5029" s="2" t="s">
        <v>841</v>
      </c>
      <c r="P5029" s="2" t="s">
        <v>3434</v>
      </c>
    </row>
    <row r="5030" spans="1:16" ht="22" customHeight="1" x14ac:dyDescent="0.15">
      <c r="A5030" s="10" t="str">
        <f t="shared" si="822"/>
        <v>613_10_44_10_polygon</v>
      </c>
      <c r="B5030" s="2">
        <v>613</v>
      </c>
      <c r="C5030" s="30" t="str">
        <f>VLOOKUP(B5030,gachas!A:C,3)</f>
        <v>ジューンブライドガチャSideA</v>
      </c>
      <c r="D5030" s="21">
        <v>10</v>
      </c>
      <c r="E5030" s="2">
        <f t="shared" si="806"/>
        <v>44</v>
      </c>
      <c r="F5030" s="2">
        <v>10</v>
      </c>
      <c r="G5030" s="3" t="s">
        <v>22</v>
      </c>
      <c r="H5030" s="2">
        <v>50</v>
      </c>
      <c r="I5030" s="117" t="str">
        <f t="shared" si="805"/>
        <v>613100</v>
      </c>
      <c r="J5030" s="112" t="s">
        <v>84</v>
      </c>
      <c r="K5030" s="117" t="str">
        <f t="shared" si="821"/>
        <v>613100</v>
      </c>
      <c r="L5030" s="2">
        <v>1</v>
      </c>
      <c r="M5030" s="2" t="s">
        <v>84</v>
      </c>
      <c r="N5030" s="2" t="s">
        <v>84</v>
      </c>
      <c r="O5030" s="2" t="s">
        <v>841</v>
      </c>
      <c r="P5030" s="2" t="s">
        <v>3434</v>
      </c>
    </row>
    <row r="5031" spans="1:16" ht="22" customHeight="1" x14ac:dyDescent="0.15">
      <c r="A5031" s="10" t="str">
        <f t="shared" si="822"/>
        <v>613_10_45_10_polygon</v>
      </c>
      <c r="B5031" s="2">
        <v>613</v>
      </c>
      <c r="C5031" s="30" t="str">
        <f>VLOOKUP(B5031,gachas!A:C,3)</f>
        <v>ジューンブライドガチャSideA</v>
      </c>
      <c r="D5031" s="21">
        <v>10</v>
      </c>
      <c r="E5031" s="2">
        <f t="shared" si="806"/>
        <v>45</v>
      </c>
      <c r="F5031" s="2">
        <v>10</v>
      </c>
      <c r="G5031" s="3" t="s">
        <v>22</v>
      </c>
      <c r="H5031" s="2">
        <v>50</v>
      </c>
      <c r="I5031" s="117" t="str">
        <f t="shared" si="805"/>
        <v>613100</v>
      </c>
      <c r="J5031" s="112" t="s">
        <v>84</v>
      </c>
      <c r="K5031" s="117" t="str">
        <f t="shared" ref="K5031" si="823">CONCATENATE(B5031,"105")</f>
        <v>613105</v>
      </c>
      <c r="L5031" s="2">
        <v>1</v>
      </c>
      <c r="M5031" s="2" t="s">
        <v>84</v>
      </c>
      <c r="N5031" s="2" t="s">
        <v>84</v>
      </c>
      <c r="O5031" s="2" t="s">
        <v>841</v>
      </c>
      <c r="P5031" s="2" t="s">
        <v>3402</v>
      </c>
    </row>
    <row r="5032" spans="1:16" ht="22" customHeight="1" x14ac:dyDescent="0.15">
      <c r="A5032" s="10" t="str">
        <f t="shared" si="822"/>
        <v>613_10_46_10_polygon</v>
      </c>
      <c r="B5032" s="2">
        <v>613</v>
      </c>
      <c r="C5032" s="30" t="str">
        <f>VLOOKUP(B5032,gachas!A:C,3)</f>
        <v>ジューンブライドガチャSideA</v>
      </c>
      <c r="D5032" s="21">
        <v>10</v>
      </c>
      <c r="E5032" s="2">
        <f t="shared" si="806"/>
        <v>46</v>
      </c>
      <c r="F5032" s="2">
        <v>10</v>
      </c>
      <c r="G5032" s="3" t="s">
        <v>22</v>
      </c>
      <c r="H5032" s="2">
        <v>25</v>
      </c>
      <c r="I5032" s="117" t="str">
        <f t="shared" si="805"/>
        <v>613100</v>
      </c>
      <c r="J5032" s="112" t="s">
        <v>84</v>
      </c>
      <c r="K5032" s="117" t="str">
        <f t="shared" ref="K5032:K5035" si="824">CONCATENATE(B5032,"100")</f>
        <v>613100</v>
      </c>
      <c r="L5032" s="2">
        <v>1</v>
      </c>
      <c r="M5032" s="2" t="s">
        <v>84</v>
      </c>
      <c r="N5032" s="2" t="s">
        <v>84</v>
      </c>
      <c r="O5032" s="2" t="s">
        <v>841</v>
      </c>
      <c r="P5032" s="59" t="s">
        <v>1783</v>
      </c>
    </row>
    <row r="5033" spans="1:16" ht="22" customHeight="1" x14ac:dyDescent="0.15">
      <c r="A5033" s="10" t="str">
        <f t="shared" si="822"/>
        <v>613_10_47_10_polygon</v>
      </c>
      <c r="B5033" s="2">
        <v>613</v>
      </c>
      <c r="C5033" s="30" t="str">
        <f>VLOOKUP(B5033,gachas!A:C,3)</f>
        <v>ジューンブライドガチャSideA</v>
      </c>
      <c r="D5033" s="21">
        <v>10</v>
      </c>
      <c r="E5033" s="2">
        <f t="shared" si="806"/>
        <v>47</v>
      </c>
      <c r="F5033" s="2">
        <v>10</v>
      </c>
      <c r="G5033" s="3" t="s">
        <v>22</v>
      </c>
      <c r="H5033" s="2">
        <v>50</v>
      </c>
      <c r="I5033" s="117" t="str">
        <f t="shared" si="805"/>
        <v>613100</v>
      </c>
      <c r="J5033" s="112" t="s">
        <v>84</v>
      </c>
      <c r="K5033" s="117" t="str">
        <f t="shared" si="824"/>
        <v>613100</v>
      </c>
      <c r="L5033" s="2">
        <v>1</v>
      </c>
      <c r="M5033" s="2" t="s">
        <v>84</v>
      </c>
      <c r="N5033" s="2" t="s">
        <v>84</v>
      </c>
      <c r="O5033" s="2" t="s">
        <v>841</v>
      </c>
      <c r="P5033" s="2" t="s">
        <v>3434</v>
      </c>
    </row>
    <row r="5034" spans="1:16" ht="22" customHeight="1" x14ac:dyDescent="0.15">
      <c r="A5034" s="10" t="str">
        <f t="shared" si="822"/>
        <v>613_10_48_10_polygon</v>
      </c>
      <c r="B5034" s="2">
        <v>613</v>
      </c>
      <c r="C5034" s="30" t="str">
        <f>VLOOKUP(B5034,gachas!A:C,3)</f>
        <v>ジューンブライドガチャSideA</v>
      </c>
      <c r="D5034" s="21">
        <v>10</v>
      </c>
      <c r="E5034" s="2">
        <f t="shared" si="806"/>
        <v>48</v>
      </c>
      <c r="F5034" s="2">
        <v>10</v>
      </c>
      <c r="G5034" s="3" t="s">
        <v>22</v>
      </c>
      <c r="H5034" s="2">
        <v>50</v>
      </c>
      <c r="I5034" s="117" t="str">
        <f t="shared" si="805"/>
        <v>613100</v>
      </c>
      <c r="J5034" s="112" t="s">
        <v>84</v>
      </c>
      <c r="K5034" s="117" t="str">
        <f t="shared" si="824"/>
        <v>613100</v>
      </c>
      <c r="L5034" s="2">
        <v>1</v>
      </c>
      <c r="M5034" s="2" t="s">
        <v>84</v>
      </c>
      <c r="N5034" s="2" t="s">
        <v>84</v>
      </c>
      <c r="O5034" s="2" t="s">
        <v>841</v>
      </c>
      <c r="P5034" s="2" t="s">
        <v>3434</v>
      </c>
    </row>
    <row r="5035" spans="1:16" ht="22" customHeight="1" x14ac:dyDescent="0.15">
      <c r="A5035" s="10" t="str">
        <f t="shared" si="822"/>
        <v>613_10_49_10_polygon</v>
      </c>
      <c r="B5035" s="2">
        <v>613</v>
      </c>
      <c r="C5035" s="30" t="str">
        <f>VLOOKUP(B5035,gachas!A:C,3)</f>
        <v>ジューンブライドガチャSideA</v>
      </c>
      <c r="D5035" s="21">
        <v>10</v>
      </c>
      <c r="E5035" s="2">
        <f t="shared" si="806"/>
        <v>49</v>
      </c>
      <c r="F5035" s="2">
        <v>10</v>
      </c>
      <c r="G5035" s="3" t="s">
        <v>22</v>
      </c>
      <c r="H5035" s="2">
        <v>50</v>
      </c>
      <c r="I5035" s="117" t="str">
        <f t="shared" si="805"/>
        <v>613100</v>
      </c>
      <c r="J5035" s="112" t="s">
        <v>84</v>
      </c>
      <c r="K5035" s="117" t="str">
        <f t="shared" si="824"/>
        <v>613100</v>
      </c>
      <c r="L5035" s="2">
        <v>1</v>
      </c>
      <c r="M5035" s="2" t="s">
        <v>84</v>
      </c>
      <c r="N5035" s="2" t="s">
        <v>84</v>
      </c>
      <c r="O5035" s="2" t="s">
        <v>841</v>
      </c>
      <c r="P5035" s="2" t="s">
        <v>3434</v>
      </c>
    </row>
    <row r="5036" spans="1:16" ht="22" customHeight="1" x14ac:dyDescent="0.15">
      <c r="A5036" s="10" t="str">
        <f t="shared" si="822"/>
        <v>613_10_50_10_polygon</v>
      </c>
      <c r="B5036" s="2">
        <v>613</v>
      </c>
      <c r="C5036" s="30" t="str">
        <f>VLOOKUP(B5036,gachas!A:C,3)</f>
        <v>ジューンブライドガチャSideA</v>
      </c>
      <c r="D5036" s="21">
        <v>10</v>
      </c>
      <c r="E5036" s="2">
        <f t="shared" si="806"/>
        <v>50</v>
      </c>
      <c r="F5036" s="2">
        <v>10</v>
      </c>
      <c r="G5036" s="3" t="s">
        <v>22</v>
      </c>
      <c r="H5036" s="2">
        <v>50</v>
      </c>
      <c r="I5036" s="117" t="str">
        <f t="shared" si="805"/>
        <v>613100</v>
      </c>
      <c r="J5036" s="112" t="s">
        <v>84</v>
      </c>
      <c r="K5036" s="117" t="str">
        <f t="shared" ref="K5036" si="825">CONCATENATE(B5036,"105")</f>
        <v>613105</v>
      </c>
      <c r="L5036" s="2">
        <v>1</v>
      </c>
      <c r="M5036" s="2" t="s">
        <v>84</v>
      </c>
      <c r="N5036" s="2" t="s">
        <v>84</v>
      </c>
      <c r="O5036" s="2" t="s">
        <v>841</v>
      </c>
      <c r="P5036" s="2" t="s">
        <v>3402</v>
      </c>
    </row>
    <row r="5037" spans="1:16" ht="22" customHeight="1" x14ac:dyDescent="0.15">
      <c r="A5037" s="10" t="str">
        <f t="shared" si="822"/>
        <v>614_1_0_1_polygon</v>
      </c>
      <c r="B5037" s="2">
        <v>614</v>
      </c>
      <c r="C5037" s="30" t="str">
        <f>VLOOKUP(B5037,gachas!A:C,3)</f>
        <v>ジューンブライドガチャSideB</v>
      </c>
      <c r="D5037" s="21">
        <v>1</v>
      </c>
      <c r="E5037" s="2">
        <v>0</v>
      </c>
      <c r="F5037" s="2">
        <v>1</v>
      </c>
      <c r="G5037" s="3" t="s">
        <v>22</v>
      </c>
      <c r="H5037" s="2">
        <v>5</v>
      </c>
      <c r="I5037" s="117" t="str">
        <f>CONCATENATE(B5037,"010")</f>
        <v>614010</v>
      </c>
      <c r="J5037" s="112" t="s">
        <v>84</v>
      </c>
      <c r="K5037" s="2" t="s">
        <v>84</v>
      </c>
      <c r="L5037" s="2">
        <v>0</v>
      </c>
      <c r="M5037" s="2" t="s">
        <v>84</v>
      </c>
      <c r="N5037" s="2" t="s">
        <v>84</v>
      </c>
      <c r="O5037" s="2" t="s">
        <v>841</v>
      </c>
      <c r="P5037" s="2" t="s">
        <v>84</v>
      </c>
    </row>
    <row r="5038" spans="1:16" ht="22" customHeight="1" x14ac:dyDescent="0.15">
      <c r="A5038" s="10" t="str">
        <f t="shared" si="822"/>
        <v>614_10_0_10_polygon</v>
      </c>
      <c r="B5038" s="2">
        <v>614</v>
      </c>
      <c r="C5038" s="30" t="str">
        <f>VLOOKUP(B5038,gachas!A:C,3)</f>
        <v>ジューンブライドガチャSideB</v>
      </c>
      <c r="D5038" s="21">
        <v>10</v>
      </c>
      <c r="E5038" s="2">
        <v>0</v>
      </c>
      <c r="F5038" s="2">
        <v>10</v>
      </c>
      <c r="G5038" s="3" t="s">
        <v>22</v>
      </c>
      <c r="H5038" s="2">
        <v>50</v>
      </c>
      <c r="I5038" s="117" t="str">
        <f t="shared" ref="I5038:I5088" si="826">CONCATENATE(B5038,"100")</f>
        <v>614100</v>
      </c>
      <c r="J5038" s="112" t="s">
        <v>84</v>
      </c>
      <c r="K5038" s="117" t="str">
        <f>CONCATENATE(B5038,"100")</f>
        <v>614100</v>
      </c>
      <c r="L5038" s="2">
        <v>1</v>
      </c>
      <c r="M5038" s="2" t="s">
        <v>84</v>
      </c>
      <c r="N5038" s="2" t="s">
        <v>84</v>
      </c>
      <c r="O5038" s="2" t="s">
        <v>841</v>
      </c>
      <c r="P5038" s="2" t="s">
        <v>3434</v>
      </c>
    </row>
    <row r="5039" spans="1:16" ht="22" customHeight="1" x14ac:dyDescent="0.15">
      <c r="A5039" s="10" t="str">
        <f t="shared" si="822"/>
        <v>614_10_1_10_polygon</v>
      </c>
      <c r="B5039" s="2">
        <v>614</v>
      </c>
      <c r="C5039" s="30" t="str">
        <f>VLOOKUP(B5039,gachas!A:C,3)</f>
        <v>ジューンブライドガチャSideB</v>
      </c>
      <c r="D5039" s="21">
        <v>10</v>
      </c>
      <c r="E5039" s="2">
        <f>E5038+1</f>
        <v>1</v>
      </c>
      <c r="F5039" s="2">
        <v>10</v>
      </c>
      <c r="G5039" s="3" t="s">
        <v>22</v>
      </c>
      <c r="H5039" s="2">
        <v>25</v>
      </c>
      <c r="I5039" s="117" t="str">
        <f t="shared" si="826"/>
        <v>614100</v>
      </c>
      <c r="J5039" s="112" t="s">
        <v>84</v>
      </c>
      <c r="K5039" s="117" t="str">
        <f>CONCATENATE(B5039,"100")</f>
        <v>614100</v>
      </c>
      <c r="L5039" s="2">
        <v>1</v>
      </c>
      <c r="M5039" s="2" t="s">
        <v>84</v>
      </c>
      <c r="N5039" s="2" t="s">
        <v>84</v>
      </c>
      <c r="O5039" s="2" t="s">
        <v>841</v>
      </c>
      <c r="P5039" s="59" t="s">
        <v>1783</v>
      </c>
    </row>
    <row r="5040" spans="1:16" ht="22" customHeight="1" x14ac:dyDescent="0.15">
      <c r="A5040" s="10" t="str">
        <f t="shared" si="822"/>
        <v>614_10_2_10_polygon</v>
      </c>
      <c r="B5040" s="2">
        <v>614</v>
      </c>
      <c r="C5040" s="30" t="str">
        <f>VLOOKUP(B5040,gachas!A:C,3)</f>
        <v>ジューンブライドガチャSideB</v>
      </c>
      <c r="D5040" s="21">
        <v>10</v>
      </c>
      <c r="E5040" s="2">
        <f t="shared" ref="E5040:E5088" si="827">E5039+1</f>
        <v>2</v>
      </c>
      <c r="F5040" s="2">
        <v>10</v>
      </c>
      <c r="G5040" s="3" t="s">
        <v>22</v>
      </c>
      <c r="H5040" s="2">
        <v>50</v>
      </c>
      <c r="I5040" s="117" t="str">
        <f t="shared" si="826"/>
        <v>614100</v>
      </c>
      <c r="J5040" s="112" t="s">
        <v>84</v>
      </c>
      <c r="K5040" s="117" t="str">
        <f>CONCATENATE(B5040,"100")</f>
        <v>614100</v>
      </c>
      <c r="L5040" s="2">
        <v>1</v>
      </c>
      <c r="M5040" s="2" t="s">
        <v>84</v>
      </c>
      <c r="N5040" s="2" t="s">
        <v>84</v>
      </c>
      <c r="O5040" s="2" t="s">
        <v>841</v>
      </c>
      <c r="P5040" s="2" t="s">
        <v>3434</v>
      </c>
    </row>
    <row r="5041" spans="1:16" ht="22" customHeight="1" x14ac:dyDescent="0.15">
      <c r="A5041" s="10" t="str">
        <f t="shared" si="822"/>
        <v>614_10_3_10_polygon</v>
      </c>
      <c r="B5041" s="2">
        <v>614</v>
      </c>
      <c r="C5041" s="30" t="str">
        <f>VLOOKUP(B5041,gachas!A:C,3)</f>
        <v>ジューンブライドガチャSideB</v>
      </c>
      <c r="D5041" s="21">
        <v>10</v>
      </c>
      <c r="E5041" s="2">
        <f t="shared" si="827"/>
        <v>3</v>
      </c>
      <c r="F5041" s="2">
        <v>10</v>
      </c>
      <c r="G5041" s="3" t="s">
        <v>22</v>
      </c>
      <c r="H5041" s="2">
        <v>50</v>
      </c>
      <c r="I5041" s="117" t="str">
        <f t="shared" si="826"/>
        <v>614100</v>
      </c>
      <c r="J5041" s="112" t="s">
        <v>84</v>
      </c>
      <c r="K5041" s="117" t="str">
        <f>CONCATENATE(B5041,"100")</f>
        <v>614100</v>
      </c>
      <c r="L5041" s="2">
        <v>1</v>
      </c>
      <c r="M5041" s="2" t="s">
        <v>84</v>
      </c>
      <c r="N5041" s="2" t="s">
        <v>84</v>
      </c>
      <c r="O5041" s="2" t="s">
        <v>841</v>
      </c>
      <c r="P5041" s="2" t="s">
        <v>3434</v>
      </c>
    </row>
    <row r="5042" spans="1:16" ht="22" customHeight="1" x14ac:dyDescent="0.15">
      <c r="A5042" s="10" t="str">
        <f t="shared" si="822"/>
        <v>614_10_4_10_polygon</v>
      </c>
      <c r="B5042" s="2">
        <v>614</v>
      </c>
      <c r="C5042" s="30" t="str">
        <f>VLOOKUP(B5042,gachas!A:C,3)</f>
        <v>ジューンブライドガチャSideB</v>
      </c>
      <c r="D5042" s="21">
        <v>10</v>
      </c>
      <c r="E5042" s="2">
        <f t="shared" si="827"/>
        <v>4</v>
      </c>
      <c r="F5042" s="2">
        <v>10</v>
      </c>
      <c r="G5042" s="3" t="s">
        <v>22</v>
      </c>
      <c r="H5042" s="2">
        <v>50</v>
      </c>
      <c r="I5042" s="117" t="str">
        <f t="shared" si="826"/>
        <v>614100</v>
      </c>
      <c r="J5042" s="112" t="s">
        <v>84</v>
      </c>
      <c r="K5042" s="117" t="str">
        <f>CONCATENATE(B5042,"100")</f>
        <v>614100</v>
      </c>
      <c r="L5042" s="2">
        <v>1</v>
      </c>
      <c r="M5042" s="2" t="s">
        <v>84</v>
      </c>
      <c r="N5042" s="2" t="s">
        <v>84</v>
      </c>
      <c r="O5042" s="2" t="s">
        <v>841</v>
      </c>
      <c r="P5042" s="2" t="s">
        <v>3434</v>
      </c>
    </row>
    <row r="5043" spans="1:16" ht="22" customHeight="1" x14ac:dyDescent="0.15">
      <c r="A5043" s="10" t="str">
        <f t="shared" si="822"/>
        <v>614_10_5_10_polygon</v>
      </c>
      <c r="B5043" s="2">
        <v>614</v>
      </c>
      <c r="C5043" s="30" t="str">
        <f>VLOOKUP(B5043,gachas!A:C,3)</f>
        <v>ジューンブライドガチャSideB</v>
      </c>
      <c r="D5043" s="21">
        <v>10</v>
      </c>
      <c r="E5043" s="2">
        <f t="shared" si="827"/>
        <v>5</v>
      </c>
      <c r="F5043" s="2">
        <v>10</v>
      </c>
      <c r="G5043" s="3" t="s">
        <v>22</v>
      </c>
      <c r="H5043" s="2">
        <v>50</v>
      </c>
      <c r="I5043" s="117" t="str">
        <f t="shared" si="826"/>
        <v>614100</v>
      </c>
      <c r="J5043" s="112" t="s">
        <v>84</v>
      </c>
      <c r="K5043" s="117" t="str">
        <f>CONCATENATE(B5043,"105")</f>
        <v>614105</v>
      </c>
      <c r="L5043" s="2">
        <v>1</v>
      </c>
      <c r="M5043" s="2" t="s">
        <v>84</v>
      </c>
      <c r="N5043" s="2" t="s">
        <v>84</v>
      </c>
      <c r="O5043" s="2" t="s">
        <v>841</v>
      </c>
      <c r="P5043" s="2" t="s">
        <v>3403</v>
      </c>
    </row>
    <row r="5044" spans="1:16" ht="22" customHeight="1" x14ac:dyDescent="0.15">
      <c r="A5044" s="10" t="str">
        <f t="shared" si="822"/>
        <v>614_10_6_10_polygon</v>
      </c>
      <c r="B5044" s="2">
        <v>614</v>
      </c>
      <c r="C5044" s="30" t="str">
        <f>VLOOKUP(B5044,gachas!A:C,3)</f>
        <v>ジューンブライドガチャSideB</v>
      </c>
      <c r="D5044" s="21">
        <v>10</v>
      </c>
      <c r="E5044" s="2">
        <f t="shared" si="827"/>
        <v>6</v>
      </c>
      <c r="F5044" s="2">
        <v>10</v>
      </c>
      <c r="G5044" s="3" t="s">
        <v>22</v>
      </c>
      <c r="H5044" s="2">
        <v>25</v>
      </c>
      <c r="I5044" s="117" t="str">
        <f t="shared" si="826"/>
        <v>614100</v>
      </c>
      <c r="J5044" s="112" t="s">
        <v>84</v>
      </c>
      <c r="K5044" s="117" t="str">
        <f t="shared" ref="K5044:K5047" si="828">CONCATENATE(B5044,"100")</f>
        <v>614100</v>
      </c>
      <c r="L5044" s="2">
        <v>1</v>
      </c>
      <c r="M5044" s="2" t="s">
        <v>84</v>
      </c>
      <c r="N5044" s="2" t="s">
        <v>84</v>
      </c>
      <c r="O5044" s="2" t="s">
        <v>841</v>
      </c>
      <c r="P5044" s="59" t="s">
        <v>1783</v>
      </c>
    </row>
    <row r="5045" spans="1:16" ht="22" customHeight="1" x14ac:dyDescent="0.15">
      <c r="A5045" s="10" t="str">
        <f t="shared" si="822"/>
        <v>614_10_7_10_polygon</v>
      </c>
      <c r="B5045" s="2">
        <v>614</v>
      </c>
      <c r="C5045" s="30" t="str">
        <f>VLOOKUP(B5045,gachas!A:C,3)</f>
        <v>ジューンブライドガチャSideB</v>
      </c>
      <c r="D5045" s="21">
        <v>10</v>
      </c>
      <c r="E5045" s="2">
        <f t="shared" si="827"/>
        <v>7</v>
      </c>
      <c r="F5045" s="2">
        <v>10</v>
      </c>
      <c r="G5045" s="3" t="s">
        <v>22</v>
      </c>
      <c r="H5045" s="2">
        <v>50</v>
      </c>
      <c r="I5045" s="117" t="str">
        <f t="shared" si="826"/>
        <v>614100</v>
      </c>
      <c r="J5045" s="112" t="s">
        <v>84</v>
      </c>
      <c r="K5045" s="117" t="str">
        <f t="shared" si="828"/>
        <v>614100</v>
      </c>
      <c r="L5045" s="2">
        <v>1</v>
      </c>
      <c r="M5045" s="2" t="s">
        <v>84</v>
      </c>
      <c r="N5045" s="2" t="s">
        <v>84</v>
      </c>
      <c r="O5045" s="2" t="s">
        <v>841</v>
      </c>
      <c r="P5045" s="2" t="s">
        <v>3434</v>
      </c>
    </row>
    <row r="5046" spans="1:16" ht="22" customHeight="1" x14ac:dyDescent="0.15">
      <c r="A5046" s="10" t="str">
        <f t="shared" si="822"/>
        <v>614_10_8_10_polygon</v>
      </c>
      <c r="B5046" s="2">
        <v>614</v>
      </c>
      <c r="C5046" s="30" t="str">
        <f>VLOOKUP(B5046,gachas!A:C,3)</f>
        <v>ジューンブライドガチャSideB</v>
      </c>
      <c r="D5046" s="21">
        <v>10</v>
      </c>
      <c r="E5046" s="2">
        <f t="shared" si="827"/>
        <v>8</v>
      </c>
      <c r="F5046" s="2">
        <v>10</v>
      </c>
      <c r="G5046" s="3" t="s">
        <v>22</v>
      </c>
      <c r="H5046" s="2">
        <v>50</v>
      </c>
      <c r="I5046" s="117" t="str">
        <f t="shared" si="826"/>
        <v>614100</v>
      </c>
      <c r="J5046" s="112" t="s">
        <v>84</v>
      </c>
      <c r="K5046" s="117" t="str">
        <f t="shared" si="828"/>
        <v>614100</v>
      </c>
      <c r="L5046" s="2">
        <v>1</v>
      </c>
      <c r="M5046" s="2" t="s">
        <v>84</v>
      </c>
      <c r="N5046" s="2" t="s">
        <v>84</v>
      </c>
      <c r="O5046" s="2" t="s">
        <v>841</v>
      </c>
      <c r="P5046" s="2" t="s">
        <v>3434</v>
      </c>
    </row>
    <row r="5047" spans="1:16" ht="22" customHeight="1" x14ac:dyDescent="0.15">
      <c r="A5047" s="10" t="str">
        <f t="shared" si="822"/>
        <v>614_10_9_10_polygon</v>
      </c>
      <c r="B5047" s="2">
        <v>614</v>
      </c>
      <c r="C5047" s="30" t="str">
        <f>VLOOKUP(B5047,gachas!A:C,3)</f>
        <v>ジューンブライドガチャSideB</v>
      </c>
      <c r="D5047" s="21">
        <v>10</v>
      </c>
      <c r="E5047" s="2">
        <f t="shared" si="827"/>
        <v>9</v>
      </c>
      <c r="F5047" s="2">
        <v>10</v>
      </c>
      <c r="G5047" s="3" t="s">
        <v>22</v>
      </c>
      <c r="H5047" s="2">
        <v>50</v>
      </c>
      <c r="I5047" s="117" t="str">
        <f t="shared" si="826"/>
        <v>614100</v>
      </c>
      <c r="J5047" s="112" t="s">
        <v>84</v>
      </c>
      <c r="K5047" s="117" t="str">
        <f t="shared" si="828"/>
        <v>614100</v>
      </c>
      <c r="L5047" s="2">
        <v>1</v>
      </c>
      <c r="M5047" s="2" t="s">
        <v>84</v>
      </c>
      <c r="N5047" s="2" t="s">
        <v>84</v>
      </c>
      <c r="O5047" s="2" t="s">
        <v>841</v>
      </c>
      <c r="P5047" s="2" t="s">
        <v>3434</v>
      </c>
    </row>
    <row r="5048" spans="1:16" ht="22" customHeight="1" x14ac:dyDescent="0.15">
      <c r="A5048" s="10" t="str">
        <f t="shared" si="822"/>
        <v>614_10_10_10_polygon</v>
      </c>
      <c r="B5048" s="2">
        <v>614</v>
      </c>
      <c r="C5048" s="30" t="str">
        <f>VLOOKUP(B5048,gachas!A:C,3)</f>
        <v>ジューンブライドガチャSideB</v>
      </c>
      <c r="D5048" s="21">
        <v>10</v>
      </c>
      <c r="E5048" s="2">
        <f t="shared" si="827"/>
        <v>10</v>
      </c>
      <c r="F5048" s="2">
        <v>10</v>
      </c>
      <c r="G5048" s="3" t="s">
        <v>22</v>
      </c>
      <c r="H5048" s="2">
        <v>50</v>
      </c>
      <c r="I5048" s="117" t="str">
        <f t="shared" si="826"/>
        <v>614100</v>
      </c>
      <c r="J5048" s="112" t="s">
        <v>84</v>
      </c>
      <c r="K5048" s="117" t="str">
        <f t="shared" ref="K5048" si="829">CONCATENATE(B5048,"105")</f>
        <v>614105</v>
      </c>
      <c r="L5048" s="2">
        <v>1</v>
      </c>
      <c r="M5048" s="2" t="s">
        <v>84</v>
      </c>
      <c r="N5048" s="2" t="s">
        <v>84</v>
      </c>
      <c r="O5048" s="2" t="s">
        <v>841</v>
      </c>
      <c r="P5048" s="2" t="s">
        <v>3403</v>
      </c>
    </row>
    <row r="5049" spans="1:16" ht="22" customHeight="1" x14ac:dyDescent="0.15">
      <c r="A5049" s="10" t="str">
        <f t="shared" si="822"/>
        <v>614_10_11_10_polygon</v>
      </c>
      <c r="B5049" s="2">
        <v>614</v>
      </c>
      <c r="C5049" s="30" t="str">
        <f>VLOOKUP(B5049,gachas!A:C,3)</f>
        <v>ジューンブライドガチャSideB</v>
      </c>
      <c r="D5049" s="21">
        <v>10</v>
      </c>
      <c r="E5049" s="2">
        <f t="shared" si="827"/>
        <v>11</v>
      </c>
      <c r="F5049" s="2">
        <v>10</v>
      </c>
      <c r="G5049" s="3" t="s">
        <v>22</v>
      </c>
      <c r="H5049" s="2">
        <v>25</v>
      </c>
      <c r="I5049" s="117" t="str">
        <f t="shared" si="826"/>
        <v>614100</v>
      </c>
      <c r="J5049" s="112" t="s">
        <v>84</v>
      </c>
      <c r="K5049" s="117" t="str">
        <f t="shared" ref="K5049:K5052" si="830">CONCATENATE(B5049,"100")</f>
        <v>614100</v>
      </c>
      <c r="L5049" s="2">
        <v>1</v>
      </c>
      <c r="M5049" s="2" t="s">
        <v>84</v>
      </c>
      <c r="N5049" s="2" t="s">
        <v>84</v>
      </c>
      <c r="O5049" s="2" t="s">
        <v>841</v>
      </c>
      <c r="P5049" s="59" t="s">
        <v>1783</v>
      </c>
    </row>
    <row r="5050" spans="1:16" ht="22" customHeight="1" x14ac:dyDescent="0.15">
      <c r="A5050" s="10" t="str">
        <f t="shared" si="822"/>
        <v>614_10_12_10_polygon</v>
      </c>
      <c r="B5050" s="2">
        <v>614</v>
      </c>
      <c r="C5050" s="30" t="str">
        <f>VLOOKUP(B5050,gachas!A:C,3)</f>
        <v>ジューンブライドガチャSideB</v>
      </c>
      <c r="D5050" s="21">
        <v>10</v>
      </c>
      <c r="E5050" s="2">
        <f t="shared" si="827"/>
        <v>12</v>
      </c>
      <c r="F5050" s="2">
        <v>10</v>
      </c>
      <c r="G5050" s="3" t="s">
        <v>22</v>
      </c>
      <c r="H5050" s="2">
        <v>50</v>
      </c>
      <c r="I5050" s="117" t="str">
        <f t="shared" si="826"/>
        <v>614100</v>
      </c>
      <c r="J5050" s="112" t="s">
        <v>84</v>
      </c>
      <c r="K5050" s="117" t="str">
        <f t="shared" si="830"/>
        <v>614100</v>
      </c>
      <c r="L5050" s="2">
        <v>1</v>
      </c>
      <c r="M5050" s="2" t="s">
        <v>84</v>
      </c>
      <c r="N5050" s="2" t="s">
        <v>84</v>
      </c>
      <c r="O5050" s="2" t="s">
        <v>841</v>
      </c>
      <c r="P5050" s="2" t="s">
        <v>3434</v>
      </c>
    </row>
    <row r="5051" spans="1:16" ht="22" customHeight="1" x14ac:dyDescent="0.15">
      <c r="A5051" s="10" t="str">
        <f t="shared" si="822"/>
        <v>614_10_13_10_polygon</v>
      </c>
      <c r="B5051" s="2">
        <v>614</v>
      </c>
      <c r="C5051" s="30" t="str">
        <f>VLOOKUP(B5051,gachas!A:C,3)</f>
        <v>ジューンブライドガチャSideB</v>
      </c>
      <c r="D5051" s="21">
        <v>10</v>
      </c>
      <c r="E5051" s="2">
        <f t="shared" si="827"/>
        <v>13</v>
      </c>
      <c r="F5051" s="2">
        <v>10</v>
      </c>
      <c r="G5051" s="3" t="s">
        <v>22</v>
      </c>
      <c r="H5051" s="2">
        <v>50</v>
      </c>
      <c r="I5051" s="117" t="str">
        <f t="shared" si="826"/>
        <v>614100</v>
      </c>
      <c r="J5051" s="112" t="s">
        <v>84</v>
      </c>
      <c r="K5051" s="117" t="str">
        <f t="shared" si="830"/>
        <v>614100</v>
      </c>
      <c r="L5051" s="2">
        <v>1</v>
      </c>
      <c r="M5051" s="2" t="s">
        <v>84</v>
      </c>
      <c r="N5051" s="2" t="s">
        <v>84</v>
      </c>
      <c r="O5051" s="2" t="s">
        <v>841</v>
      </c>
      <c r="P5051" s="2" t="s">
        <v>3434</v>
      </c>
    </row>
    <row r="5052" spans="1:16" ht="22" customHeight="1" x14ac:dyDescent="0.15">
      <c r="A5052" s="10" t="str">
        <f t="shared" si="822"/>
        <v>614_10_14_10_polygon</v>
      </c>
      <c r="B5052" s="2">
        <v>614</v>
      </c>
      <c r="C5052" s="30" t="str">
        <f>VLOOKUP(B5052,gachas!A:C,3)</f>
        <v>ジューンブライドガチャSideB</v>
      </c>
      <c r="D5052" s="21">
        <v>10</v>
      </c>
      <c r="E5052" s="2">
        <f t="shared" si="827"/>
        <v>14</v>
      </c>
      <c r="F5052" s="2">
        <v>10</v>
      </c>
      <c r="G5052" s="3" t="s">
        <v>22</v>
      </c>
      <c r="H5052" s="2">
        <v>50</v>
      </c>
      <c r="I5052" s="117" t="str">
        <f t="shared" si="826"/>
        <v>614100</v>
      </c>
      <c r="J5052" s="112" t="s">
        <v>84</v>
      </c>
      <c r="K5052" s="117" t="str">
        <f t="shared" si="830"/>
        <v>614100</v>
      </c>
      <c r="L5052" s="2">
        <v>1</v>
      </c>
      <c r="M5052" s="2" t="s">
        <v>84</v>
      </c>
      <c r="N5052" s="2" t="s">
        <v>84</v>
      </c>
      <c r="O5052" s="2" t="s">
        <v>841</v>
      </c>
      <c r="P5052" s="2" t="s">
        <v>3434</v>
      </c>
    </row>
    <row r="5053" spans="1:16" ht="22" customHeight="1" x14ac:dyDescent="0.15">
      <c r="A5053" s="10" t="str">
        <f t="shared" si="822"/>
        <v>614_10_15_10_polygon</v>
      </c>
      <c r="B5053" s="2">
        <v>614</v>
      </c>
      <c r="C5053" s="30" t="str">
        <f>VLOOKUP(B5053,gachas!A:C,3)</f>
        <v>ジューンブライドガチャSideB</v>
      </c>
      <c r="D5053" s="21">
        <v>10</v>
      </c>
      <c r="E5053" s="2">
        <f t="shared" si="827"/>
        <v>15</v>
      </c>
      <c r="F5053" s="2">
        <v>10</v>
      </c>
      <c r="G5053" s="3" t="s">
        <v>22</v>
      </c>
      <c r="H5053" s="2">
        <v>50</v>
      </c>
      <c r="I5053" s="117" t="str">
        <f t="shared" si="826"/>
        <v>614100</v>
      </c>
      <c r="J5053" s="112" t="s">
        <v>84</v>
      </c>
      <c r="K5053" s="117" t="str">
        <f t="shared" ref="K5053" si="831">CONCATENATE(B5053,"105")</f>
        <v>614105</v>
      </c>
      <c r="L5053" s="2">
        <v>1</v>
      </c>
      <c r="M5053" s="2" t="s">
        <v>84</v>
      </c>
      <c r="N5053" s="2" t="s">
        <v>84</v>
      </c>
      <c r="O5053" s="2" t="s">
        <v>841</v>
      </c>
      <c r="P5053" s="2" t="s">
        <v>3403</v>
      </c>
    </row>
    <row r="5054" spans="1:16" ht="22" customHeight="1" x14ac:dyDescent="0.15">
      <c r="A5054" s="10" t="str">
        <f t="shared" si="822"/>
        <v>614_10_16_10_polygon</v>
      </c>
      <c r="B5054" s="2">
        <v>614</v>
      </c>
      <c r="C5054" s="30" t="str">
        <f>VLOOKUP(B5054,gachas!A:C,3)</f>
        <v>ジューンブライドガチャSideB</v>
      </c>
      <c r="D5054" s="21">
        <v>10</v>
      </c>
      <c r="E5054" s="2">
        <f t="shared" si="827"/>
        <v>16</v>
      </c>
      <c r="F5054" s="2">
        <v>10</v>
      </c>
      <c r="G5054" s="3" t="s">
        <v>22</v>
      </c>
      <c r="H5054" s="2">
        <v>25</v>
      </c>
      <c r="I5054" s="117" t="str">
        <f t="shared" si="826"/>
        <v>614100</v>
      </c>
      <c r="J5054" s="112" t="s">
        <v>84</v>
      </c>
      <c r="K5054" s="117" t="str">
        <f t="shared" ref="K5054:K5057" si="832">CONCATENATE(B5054,"100")</f>
        <v>614100</v>
      </c>
      <c r="L5054" s="2">
        <v>1</v>
      </c>
      <c r="M5054" s="2" t="s">
        <v>84</v>
      </c>
      <c r="N5054" s="2" t="s">
        <v>84</v>
      </c>
      <c r="O5054" s="2" t="s">
        <v>841</v>
      </c>
      <c r="P5054" s="59" t="s">
        <v>1783</v>
      </c>
    </row>
    <row r="5055" spans="1:16" ht="22" customHeight="1" x14ac:dyDescent="0.15">
      <c r="A5055" s="10" t="str">
        <f t="shared" si="822"/>
        <v>614_10_17_10_polygon</v>
      </c>
      <c r="B5055" s="2">
        <v>614</v>
      </c>
      <c r="C5055" s="30" t="str">
        <f>VLOOKUP(B5055,gachas!A:C,3)</f>
        <v>ジューンブライドガチャSideB</v>
      </c>
      <c r="D5055" s="21">
        <v>10</v>
      </c>
      <c r="E5055" s="2">
        <f t="shared" si="827"/>
        <v>17</v>
      </c>
      <c r="F5055" s="2">
        <v>10</v>
      </c>
      <c r="G5055" s="3" t="s">
        <v>22</v>
      </c>
      <c r="H5055" s="2">
        <v>50</v>
      </c>
      <c r="I5055" s="117" t="str">
        <f t="shared" si="826"/>
        <v>614100</v>
      </c>
      <c r="J5055" s="112" t="s">
        <v>84</v>
      </c>
      <c r="K5055" s="117" t="str">
        <f t="shared" si="832"/>
        <v>614100</v>
      </c>
      <c r="L5055" s="2">
        <v>1</v>
      </c>
      <c r="M5055" s="2" t="s">
        <v>84</v>
      </c>
      <c r="N5055" s="2" t="s">
        <v>84</v>
      </c>
      <c r="O5055" s="2" t="s">
        <v>841</v>
      </c>
      <c r="P5055" s="2" t="s">
        <v>3434</v>
      </c>
    </row>
    <row r="5056" spans="1:16" ht="22" customHeight="1" x14ac:dyDescent="0.15">
      <c r="A5056" s="10" t="str">
        <f t="shared" si="822"/>
        <v>614_10_18_10_polygon</v>
      </c>
      <c r="B5056" s="2">
        <v>614</v>
      </c>
      <c r="C5056" s="30" t="str">
        <f>VLOOKUP(B5056,gachas!A:C,3)</f>
        <v>ジューンブライドガチャSideB</v>
      </c>
      <c r="D5056" s="21">
        <v>10</v>
      </c>
      <c r="E5056" s="2">
        <f t="shared" si="827"/>
        <v>18</v>
      </c>
      <c r="F5056" s="2">
        <v>10</v>
      </c>
      <c r="G5056" s="3" t="s">
        <v>22</v>
      </c>
      <c r="H5056" s="2">
        <v>50</v>
      </c>
      <c r="I5056" s="117" t="str">
        <f t="shared" si="826"/>
        <v>614100</v>
      </c>
      <c r="J5056" s="112" t="s">
        <v>84</v>
      </c>
      <c r="K5056" s="117" t="str">
        <f t="shared" si="832"/>
        <v>614100</v>
      </c>
      <c r="L5056" s="2">
        <v>1</v>
      </c>
      <c r="M5056" s="2" t="s">
        <v>84</v>
      </c>
      <c r="N5056" s="2" t="s">
        <v>84</v>
      </c>
      <c r="O5056" s="2" t="s">
        <v>841</v>
      </c>
      <c r="P5056" s="2" t="s">
        <v>3434</v>
      </c>
    </row>
    <row r="5057" spans="1:16" ht="22" customHeight="1" x14ac:dyDescent="0.15">
      <c r="A5057" s="10" t="str">
        <f t="shared" si="822"/>
        <v>614_10_19_10_polygon</v>
      </c>
      <c r="B5057" s="2">
        <v>614</v>
      </c>
      <c r="C5057" s="30" t="str">
        <f>VLOOKUP(B5057,gachas!A:C,3)</f>
        <v>ジューンブライドガチャSideB</v>
      </c>
      <c r="D5057" s="21">
        <v>10</v>
      </c>
      <c r="E5057" s="2">
        <f t="shared" si="827"/>
        <v>19</v>
      </c>
      <c r="F5057" s="2">
        <v>10</v>
      </c>
      <c r="G5057" s="3" t="s">
        <v>22</v>
      </c>
      <c r="H5057" s="2">
        <v>50</v>
      </c>
      <c r="I5057" s="117" t="str">
        <f t="shared" si="826"/>
        <v>614100</v>
      </c>
      <c r="J5057" s="112" t="s">
        <v>84</v>
      </c>
      <c r="K5057" s="117" t="str">
        <f t="shared" si="832"/>
        <v>614100</v>
      </c>
      <c r="L5057" s="2">
        <v>1</v>
      </c>
      <c r="M5057" s="2" t="s">
        <v>84</v>
      </c>
      <c r="N5057" s="2" t="s">
        <v>84</v>
      </c>
      <c r="O5057" s="2" t="s">
        <v>841</v>
      </c>
      <c r="P5057" s="2" t="s">
        <v>3434</v>
      </c>
    </row>
    <row r="5058" spans="1:16" ht="22" customHeight="1" x14ac:dyDescent="0.15">
      <c r="A5058" s="10" t="str">
        <f t="shared" si="822"/>
        <v>614_10_20_10_polygon</v>
      </c>
      <c r="B5058" s="2">
        <v>614</v>
      </c>
      <c r="C5058" s="30" t="str">
        <f>VLOOKUP(B5058,gachas!A:C,3)</f>
        <v>ジューンブライドガチャSideB</v>
      </c>
      <c r="D5058" s="21">
        <v>10</v>
      </c>
      <c r="E5058" s="2">
        <f t="shared" si="827"/>
        <v>20</v>
      </c>
      <c r="F5058" s="2">
        <v>10</v>
      </c>
      <c r="G5058" s="3" t="s">
        <v>22</v>
      </c>
      <c r="H5058" s="2">
        <v>50</v>
      </c>
      <c r="I5058" s="117" t="str">
        <f t="shared" si="826"/>
        <v>614100</v>
      </c>
      <c r="J5058" s="112" t="s">
        <v>84</v>
      </c>
      <c r="K5058" s="117" t="str">
        <f t="shared" ref="K5058" si="833">CONCATENATE(B5058,"105")</f>
        <v>614105</v>
      </c>
      <c r="L5058" s="2">
        <v>1</v>
      </c>
      <c r="M5058" s="2" t="s">
        <v>84</v>
      </c>
      <c r="N5058" s="2" t="s">
        <v>84</v>
      </c>
      <c r="O5058" s="2" t="s">
        <v>841</v>
      </c>
      <c r="P5058" s="2" t="s">
        <v>3403</v>
      </c>
    </row>
    <row r="5059" spans="1:16" ht="22" customHeight="1" x14ac:dyDescent="0.15">
      <c r="A5059" s="10" t="str">
        <f t="shared" si="822"/>
        <v>614_10_21_10_polygon</v>
      </c>
      <c r="B5059" s="2">
        <v>614</v>
      </c>
      <c r="C5059" s="30" t="str">
        <f>VLOOKUP(B5059,gachas!A:C,3)</f>
        <v>ジューンブライドガチャSideB</v>
      </c>
      <c r="D5059" s="21">
        <v>10</v>
      </c>
      <c r="E5059" s="2">
        <f t="shared" si="827"/>
        <v>21</v>
      </c>
      <c r="F5059" s="2">
        <v>10</v>
      </c>
      <c r="G5059" s="3" t="s">
        <v>22</v>
      </c>
      <c r="H5059" s="2">
        <v>25</v>
      </c>
      <c r="I5059" s="117" t="str">
        <f t="shared" si="826"/>
        <v>614100</v>
      </c>
      <c r="J5059" s="112" t="s">
        <v>84</v>
      </c>
      <c r="K5059" s="117" t="str">
        <f t="shared" ref="K5059:K5062" si="834">CONCATENATE(B5059,"100")</f>
        <v>614100</v>
      </c>
      <c r="L5059" s="2">
        <v>1</v>
      </c>
      <c r="M5059" s="2" t="s">
        <v>84</v>
      </c>
      <c r="N5059" s="2" t="s">
        <v>84</v>
      </c>
      <c r="O5059" s="2" t="s">
        <v>841</v>
      </c>
      <c r="P5059" s="59" t="s">
        <v>1783</v>
      </c>
    </row>
    <row r="5060" spans="1:16" ht="22" customHeight="1" x14ac:dyDescent="0.15">
      <c r="A5060" s="10" t="str">
        <f t="shared" si="822"/>
        <v>614_10_22_10_polygon</v>
      </c>
      <c r="B5060" s="2">
        <v>614</v>
      </c>
      <c r="C5060" s="30" t="str">
        <f>VLOOKUP(B5060,gachas!A:C,3)</f>
        <v>ジューンブライドガチャSideB</v>
      </c>
      <c r="D5060" s="21">
        <v>10</v>
      </c>
      <c r="E5060" s="2">
        <f t="shared" si="827"/>
        <v>22</v>
      </c>
      <c r="F5060" s="2">
        <v>10</v>
      </c>
      <c r="G5060" s="3" t="s">
        <v>22</v>
      </c>
      <c r="H5060" s="2">
        <v>50</v>
      </c>
      <c r="I5060" s="117" t="str">
        <f t="shared" si="826"/>
        <v>614100</v>
      </c>
      <c r="J5060" s="112" t="s">
        <v>84</v>
      </c>
      <c r="K5060" s="117" t="str">
        <f t="shared" si="834"/>
        <v>614100</v>
      </c>
      <c r="L5060" s="2">
        <v>1</v>
      </c>
      <c r="M5060" s="2" t="s">
        <v>84</v>
      </c>
      <c r="N5060" s="2" t="s">
        <v>84</v>
      </c>
      <c r="O5060" s="2" t="s">
        <v>841</v>
      </c>
      <c r="P5060" s="2" t="s">
        <v>3434</v>
      </c>
    </row>
    <row r="5061" spans="1:16" ht="22" customHeight="1" x14ac:dyDescent="0.15">
      <c r="A5061" s="10" t="str">
        <f t="shared" si="822"/>
        <v>614_10_23_10_polygon</v>
      </c>
      <c r="B5061" s="2">
        <v>614</v>
      </c>
      <c r="C5061" s="30" t="str">
        <f>VLOOKUP(B5061,gachas!A:C,3)</f>
        <v>ジューンブライドガチャSideB</v>
      </c>
      <c r="D5061" s="21">
        <v>10</v>
      </c>
      <c r="E5061" s="2">
        <f t="shared" si="827"/>
        <v>23</v>
      </c>
      <c r="F5061" s="2">
        <v>10</v>
      </c>
      <c r="G5061" s="3" t="s">
        <v>22</v>
      </c>
      <c r="H5061" s="2">
        <v>50</v>
      </c>
      <c r="I5061" s="117" t="str">
        <f t="shared" si="826"/>
        <v>614100</v>
      </c>
      <c r="J5061" s="112" t="s">
        <v>84</v>
      </c>
      <c r="K5061" s="117" t="str">
        <f t="shared" si="834"/>
        <v>614100</v>
      </c>
      <c r="L5061" s="2">
        <v>1</v>
      </c>
      <c r="M5061" s="2" t="s">
        <v>84</v>
      </c>
      <c r="N5061" s="2" t="s">
        <v>84</v>
      </c>
      <c r="O5061" s="2" t="s">
        <v>841</v>
      </c>
      <c r="P5061" s="2" t="s">
        <v>3434</v>
      </c>
    </row>
    <row r="5062" spans="1:16" ht="22" customHeight="1" x14ac:dyDescent="0.15">
      <c r="A5062" s="10" t="str">
        <f t="shared" si="822"/>
        <v>614_10_24_10_polygon</v>
      </c>
      <c r="B5062" s="2">
        <v>614</v>
      </c>
      <c r="C5062" s="30" t="str">
        <f>VLOOKUP(B5062,gachas!A:C,3)</f>
        <v>ジューンブライドガチャSideB</v>
      </c>
      <c r="D5062" s="21">
        <v>10</v>
      </c>
      <c r="E5062" s="2">
        <f t="shared" si="827"/>
        <v>24</v>
      </c>
      <c r="F5062" s="2">
        <v>10</v>
      </c>
      <c r="G5062" s="3" t="s">
        <v>22</v>
      </c>
      <c r="H5062" s="2">
        <v>50</v>
      </c>
      <c r="I5062" s="117" t="str">
        <f t="shared" si="826"/>
        <v>614100</v>
      </c>
      <c r="J5062" s="112" t="s">
        <v>84</v>
      </c>
      <c r="K5062" s="117" t="str">
        <f t="shared" si="834"/>
        <v>614100</v>
      </c>
      <c r="L5062" s="2">
        <v>1</v>
      </c>
      <c r="M5062" s="2" t="s">
        <v>84</v>
      </c>
      <c r="N5062" s="2" t="s">
        <v>84</v>
      </c>
      <c r="O5062" s="2" t="s">
        <v>841</v>
      </c>
      <c r="P5062" s="2" t="s">
        <v>3434</v>
      </c>
    </row>
    <row r="5063" spans="1:16" ht="22" customHeight="1" x14ac:dyDescent="0.15">
      <c r="A5063" s="10" t="str">
        <f t="shared" si="822"/>
        <v>614_10_25_10_polygon</v>
      </c>
      <c r="B5063" s="2">
        <v>614</v>
      </c>
      <c r="C5063" s="30" t="str">
        <f>VLOOKUP(B5063,gachas!A:C,3)</f>
        <v>ジューンブライドガチャSideB</v>
      </c>
      <c r="D5063" s="21">
        <v>10</v>
      </c>
      <c r="E5063" s="2">
        <f t="shared" si="827"/>
        <v>25</v>
      </c>
      <c r="F5063" s="2">
        <v>10</v>
      </c>
      <c r="G5063" s="3" t="s">
        <v>22</v>
      </c>
      <c r="H5063" s="2">
        <v>50</v>
      </c>
      <c r="I5063" s="117" t="str">
        <f t="shared" si="826"/>
        <v>614100</v>
      </c>
      <c r="J5063" s="112" t="s">
        <v>84</v>
      </c>
      <c r="K5063" s="117" t="str">
        <f t="shared" ref="K5063" si="835">CONCATENATE(B5063,"105")</f>
        <v>614105</v>
      </c>
      <c r="L5063" s="2">
        <v>1</v>
      </c>
      <c r="M5063" s="2" t="s">
        <v>84</v>
      </c>
      <c r="N5063" s="2" t="s">
        <v>84</v>
      </c>
      <c r="O5063" s="2" t="s">
        <v>841</v>
      </c>
      <c r="P5063" s="2" t="s">
        <v>3403</v>
      </c>
    </row>
    <row r="5064" spans="1:16" ht="22" customHeight="1" x14ac:dyDescent="0.15">
      <c r="A5064" s="10" t="str">
        <f t="shared" si="822"/>
        <v>614_10_26_10_polygon</v>
      </c>
      <c r="B5064" s="2">
        <v>614</v>
      </c>
      <c r="C5064" s="30" t="str">
        <f>VLOOKUP(B5064,gachas!A:C,3)</f>
        <v>ジューンブライドガチャSideB</v>
      </c>
      <c r="D5064" s="21">
        <v>10</v>
      </c>
      <c r="E5064" s="2">
        <f t="shared" si="827"/>
        <v>26</v>
      </c>
      <c r="F5064" s="2">
        <v>10</v>
      </c>
      <c r="G5064" s="3" t="s">
        <v>22</v>
      </c>
      <c r="H5064" s="2">
        <v>25</v>
      </c>
      <c r="I5064" s="117" t="str">
        <f t="shared" si="826"/>
        <v>614100</v>
      </c>
      <c r="J5064" s="112" t="s">
        <v>84</v>
      </c>
      <c r="K5064" s="117" t="str">
        <f t="shared" ref="K5064:K5067" si="836">CONCATENATE(B5064,"100")</f>
        <v>614100</v>
      </c>
      <c r="L5064" s="2">
        <v>1</v>
      </c>
      <c r="M5064" s="2" t="s">
        <v>84</v>
      </c>
      <c r="N5064" s="2" t="s">
        <v>84</v>
      </c>
      <c r="O5064" s="2" t="s">
        <v>841</v>
      </c>
      <c r="P5064" s="59" t="s">
        <v>1783</v>
      </c>
    </row>
    <row r="5065" spans="1:16" ht="22" customHeight="1" x14ac:dyDescent="0.15">
      <c r="A5065" s="10" t="str">
        <f t="shared" si="822"/>
        <v>614_10_27_10_polygon</v>
      </c>
      <c r="B5065" s="2">
        <v>614</v>
      </c>
      <c r="C5065" s="30" t="str">
        <f>VLOOKUP(B5065,gachas!A:C,3)</f>
        <v>ジューンブライドガチャSideB</v>
      </c>
      <c r="D5065" s="21">
        <v>10</v>
      </c>
      <c r="E5065" s="2">
        <f t="shared" si="827"/>
        <v>27</v>
      </c>
      <c r="F5065" s="2">
        <v>10</v>
      </c>
      <c r="G5065" s="3" t="s">
        <v>22</v>
      </c>
      <c r="H5065" s="2">
        <v>50</v>
      </c>
      <c r="I5065" s="117" t="str">
        <f t="shared" si="826"/>
        <v>614100</v>
      </c>
      <c r="J5065" s="112" t="s">
        <v>84</v>
      </c>
      <c r="K5065" s="117" t="str">
        <f t="shared" si="836"/>
        <v>614100</v>
      </c>
      <c r="L5065" s="2">
        <v>1</v>
      </c>
      <c r="M5065" s="2" t="s">
        <v>84</v>
      </c>
      <c r="N5065" s="2" t="s">
        <v>84</v>
      </c>
      <c r="O5065" s="2" t="s">
        <v>841</v>
      </c>
      <c r="P5065" s="2" t="s">
        <v>3434</v>
      </c>
    </row>
    <row r="5066" spans="1:16" ht="22" customHeight="1" x14ac:dyDescent="0.15">
      <c r="A5066" s="10" t="str">
        <f t="shared" si="822"/>
        <v>614_10_28_10_polygon</v>
      </c>
      <c r="B5066" s="2">
        <v>614</v>
      </c>
      <c r="C5066" s="30" t="str">
        <f>VLOOKUP(B5066,gachas!A:C,3)</f>
        <v>ジューンブライドガチャSideB</v>
      </c>
      <c r="D5066" s="21">
        <v>10</v>
      </c>
      <c r="E5066" s="2">
        <f t="shared" si="827"/>
        <v>28</v>
      </c>
      <c r="F5066" s="2">
        <v>10</v>
      </c>
      <c r="G5066" s="3" t="s">
        <v>22</v>
      </c>
      <c r="H5066" s="2">
        <v>50</v>
      </c>
      <c r="I5066" s="117" t="str">
        <f t="shared" si="826"/>
        <v>614100</v>
      </c>
      <c r="J5066" s="112" t="s">
        <v>84</v>
      </c>
      <c r="K5066" s="117" t="str">
        <f t="shared" si="836"/>
        <v>614100</v>
      </c>
      <c r="L5066" s="2">
        <v>1</v>
      </c>
      <c r="M5066" s="2" t="s">
        <v>84</v>
      </c>
      <c r="N5066" s="2" t="s">
        <v>84</v>
      </c>
      <c r="O5066" s="2" t="s">
        <v>841</v>
      </c>
      <c r="P5066" s="2" t="s">
        <v>3434</v>
      </c>
    </row>
    <row r="5067" spans="1:16" ht="22" customHeight="1" x14ac:dyDescent="0.15">
      <c r="A5067" s="10" t="str">
        <f t="shared" si="822"/>
        <v>614_10_29_10_polygon</v>
      </c>
      <c r="B5067" s="2">
        <v>614</v>
      </c>
      <c r="C5067" s="30" t="str">
        <f>VLOOKUP(B5067,gachas!A:C,3)</f>
        <v>ジューンブライドガチャSideB</v>
      </c>
      <c r="D5067" s="21">
        <v>10</v>
      </c>
      <c r="E5067" s="2">
        <f t="shared" si="827"/>
        <v>29</v>
      </c>
      <c r="F5067" s="2">
        <v>10</v>
      </c>
      <c r="G5067" s="3" t="s">
        <v>22</v>
      </c>
      <c r="H5067" s="2">
        <v>50</v>
      </c>
      <c r="I5067" s="117" t="str">
        <f t="shared" si="826"/>
        <v>614100</v>
      </c>
      <c r="J5067" s="112" t="s">
        <v>84</v>
      </c>
      <c r="K5067" s="117" t="str">
        <f t="shared" si="836"/>
        <v>614100</v>
      </c>
      <c r="L5067" s="2">
        <v>1</v>
      </c>
      <c r="M5067" s="2" t="s">
        <v>84</v>
      </c>
      <c r="N5067" s="2" t="s">
        <v>84</v>
      </c>
      <c r="O5067" s="2" t="s">
        <v>841</v>
      </c>
      <c r="P5067" s="2" t="s">
        <v>3434</v>
      </c>
    </row>
    <row r="5068" spans="1:16" ht="22" customHeight="1" x14ac:dyDescent="0.15">
      <c r="A5068" s="10" t="str">
        <f t="shared" si="822"/>
        <v>614_10_30_10_polygon</v>
      </c>
      <c r="B5068" s="2">
        <v>614</v>
      </c>
      <c r="C5068" s="30" t="str">
        <f>VLOOKUP(B5068,gachas!A:C,3)</f>
        <v>ジューンブライドガチャSideB</v>
      </c>
      <c r="D5068" s="21">
        <v>10</v>
      </c>
      <c r="E5068" s="2">
        <f t="shared" si="827"/>
        <v>30</v>
      </c>
      <c r="F5068" s="2">
        <v>10</v>
      </c>
      <c r="G5068" s="3" t="s">
        <v>22</v>
      </c>
      <c r="H5068" s="2">
        <v>50</v>
      </c>
      <c r="I5068" s="117" t="str">
        <f t="shared" si="826"/>
        <v>614100</v>
      </c>
      <c r="J5068" s="112" t="s">
        <v>84</v>
      </c>
      <c r="K5068" s="117" t="str">
        <f t="shared" ref="K5068" si="837">CONCATENATE(B5068,"105")</f>
        <v>614105</v>
      </c>
      <c r="L5068" s="2">
        <v>1</v>
      </c>
      <c r="M5068" s="2" t="s">
        <v>84</v>
      </c>
      <c r="N5068" s="2" t="s">
        <v>84</v>
      </c>
      <c r="O5068" s="2" t="s">
        <v>841</v>
      </c>
      <c r="P5068" s="2" t="s">
        <v>3403</v>
      </c>
    </row>
    <row r="5069" spans="1:16" ht="22" customHeight="1" x14ac:dyDescent="0.15">
      <c r="A5069" s="10" t="str">
        <f t="shared" si="822"/>
        <v>614_10_31_10_polygon</v>
      </c>
      <c r="B5069" s="2">
        <v>614</v>
      </c>
      <c r="C5069" s="30" t="str">
        <f>VLOOKUP(B5069,gachas!A:C,3)</f>
        <v>ジューンブライドガチャSideB</v>
      </c>
      <c r="D5069" s="21">
        <v>10</v>
      </c>
      <c r="E5069" s="2">
        <f t="shared" si="827"/>
        <v>31</v>
      </c>
      <c r="F5069" s="2">
        <v>10</v>
      </c>
      <c r="G5069" s="3" t="s">
        <v>22</v>
      </c>
      <c r="H5069" s="2">
        <v>25</v>
      </c>
      <c r="I5069" s="117" t="str">
        <f t="shared" si="826"/>
        <v>614100</v>
      </c>
      <c r="J5069" s="112" t="s">
        <v>84</v>
      </c>
      <c r="K5069" s="117" t="str">
        <f t="shared" ref="K5069:K5072" si="838">CONCATENATE(B5069,"100")</f>
        <v>614100</v>
      </c>
      <c r="L5069" s="2">
        <v>1</v>
      </c>
      <c r="M5069" s="2" t="s">
        <v>84</v>
      </c>
      <c r="N5069" s="2" t="s">
        <v>84</v>
      </c>
      <c r="O5069" s="2" t="s">
        <v>841</v>
      </c>
      <c r="P5069" s="59" t="s">
        <v>1783</v>
      </c>
    </row>
    <row r="5070" spans="1:16" ht="22" customHeight="1" x14ac:dyDescent="0.15">
      <c r="A5070" s="10" t="str">
        <f t="shared" si="822"/>
        <v>614_10_32_10_polygon</v>
      </c>
      <c r="B5070" s="2">
        <v>614</v>
      </c>
      <c r="C5070" s="30" t="str">
        <f>VLOOKUP(B5070,gachas!A:C,3)</f>
        <v>ジューンブライドガチャSideB</v>
      </c>
      <c r="D5070" s="21">
        <v>10</v>
      </c>
      <c r="E5070" s="2">
        <f t="shared" si="827"/>
        <v>32</v>
      </c>
      <c r="F5070" s="2">
        <v>10</v>
      </c>
      <c r="G5070" s="3" t="s">
        <v>22</v>
      </c>
      <c r="H5070" s="2">
        <v>50</v>
      </c>
      <c r="I5070" s="117" t="str">
        <f t="shared" si="826"/>
        <v>614100</v>
      </c>
      <c r="J5070" s="112" t="s">
        <v>84</v>
      </c>
      <c r="K5070" s="117" t="str">
        <f t="shared" si="838"/>
        <v>614100</v>
      </c>
      <c r="L5070" s="2">
        <v>1</v>
      </c>
      <c r="M5070" s="2" t="s">
        <v>84</v>
      </c>
      <c r="N5070" s="2" t="s">
        <v>84</v>
      </c>
      <c r="O5070" s="2" t="s">
        <v>841</v>
      </c>
      <c r="P5070" s="2" t="s">
        <v>3434</v>
      </c>
    </row>
    <row r="5071" spans="1:16" ht="22" customHeight="1" x14ac:dyDescent="0.15">
      <c r="A5071" s="10" t="str">
        <f t="shared" si="822"/>
        <v>614_10_33_10_polygon</v>
      </c>
      <c r="B5071" s="2">
        <v>614</v>
      </c>
      <c r="C5071" s="30" t="str">
        <f>VLOOKUP(B5071,gachas!A:C,3)</f>
        <v>ジューンブライドガチャSideB</v>
      </c>
      <c r="D5071" s="21">
        <v>10</v>
      </c>
      <c r="E5071" s="2">
        <f t="shared" si="827"/>
        <v>33</v>
      </c>
      <c r="F5071" s="2">
        <v>10</v>
      </c>
      <c r="G5071" s="3" t="s">
        <v>22</v>
      </c>
      <c r="H5071" s="2">
        <v>50</v>
      </c>
      <c r="I5071" s="117" t="str">
        <f t="shared" si="826"/>
        <v>614100</v>
      </c>
      <c r="J5071" s="112" t="s">
        <v>84</v>
      </c>
      <c r="K5071" s="117" t="str">
        <f t="shared" si="838"/>
        <v>614100</v>
      </c>
      <c r="L5071" s="2">
        <v>1</v>
      </c>
      <c r="M5071" s="2" t="s">
        <v>84</v>
      </c>
      <c r="N5071" s="2" t="s">
        <v>84</v>
      </c>
      <c r="O5071" s="2" t="s">
        <v>841</v>
      </c>
      <c r="P5071" s="2" t="s">
        <v>3434</v>
      </c>
    </row>
    <row r="5072" spans="1:16" ht="22" customHeight="1" x14ac:dyDescent="0.15">
      <c r="A5072" s="10" t="str">
        <f t="shared" si="822"/>
        <v>614_10_34_10_polygon</v>
      </c>
      <c r="B5072" s="2">
        <v>614</v>
      </c>
      <c r="C5072" s="30" t="str">
        <f>VLOOKUP(B5072,gachas!A:C,3)</f>
        <v>ジューンブライドガチャSideB</v>
      </c>
      <c r="D5072" s="21">
        <v>10</v>
      </c>
      <c r="E5072" s="2">
        <f t="shared" si="827"/>
        <v>34</v>
      </c>
      <c r="F5072" s="2">
        <v>10</v>
      </c>
      <c r="G5072" s="3" t="s">
        <v>22</v>
      </c>
      <c r="H5072" s="2">
        <v>50</v>
      </c>
      <c r="I5072" s="117" t="str">
        <f t="shared" si="826"/>
        <v>614100</v>
      </c>
      <c r="J5072" s="112" t="s">
        <v>84</v>
      </c>
      <c r="K5072" s="117" t="str">
        <f t="shared" si="838"/>
        <v>614100</v>
      </c>
      <c r="L5072" s="2">
        <v>1</v>
      </c>
      <c r="M5072" s="2" t="s">
        <v>84</v>
      </c>
      <c r="N5072" s="2" t="s">
        <v>84</v>
      </c>
      <c r="O5072" s="2" t="s">
        <v>841</v>
      </c>
      <c r="P5072" s="2" t="s">
        <v>3434</v>
      </c>
    </row>
    <row r="5073" spans="1:16" ht="22" customHeight="1" x14ac:dyDescent="0.15">
      <c r="A5073" s="10" t="str">
        <f t="shared" si="822"/>
        <v>614_10_35_10_polygon</v>
      </c>
      <c r="B5073" s="2">
        <v>614</v>
      </c>
      <c r="C5073" s="30" t="str">
        <f>VLOOKUP(B5073,gachas!A:C,3)</f>
        <v>ジューンブライドガチャSideB</v>
      </c>
      <c r="D5073" s="21">
        <v>10</v>
      </c>
      <c r="E5073" s="2">
        <f t="shared" si="827"/>
        <v>35</v>
      </c>
      <c r="F5073" s="2">
        <v>10</v>
      </c>
      <c r="G5073" s="3" t="s">
        <v>22</v>
      </c>
      <c r="H5073" s="2">
        <v>50</v>
      </c>
      <c r="I5073" s="117" t="str">
        <f t="shared" si="826"/>
        <v>614100</v>
      </c>
      <c r="J5073" s="112" t="s">
        <v>84</v>
      </c>
      <c r="K5073" s="117" t="str">
        <f t="shared" ref="K5073" si="839">CONCATENATE(B5073,"105")</f>
        <v>614105</v>
      </c>
      <c r="L5073" s="2">
        <v>1</v>
      </c>
      <c r="M5073" s="2" t="s">
        <v>84</v>
      </c>
      <c r="N5073" s="2" t="s">
        <v>84</v>
      </c>
      <c r="O5073" s="2" t="s">
        <v>841</v>
      </c>
      <c r="P5073" s="2" t="s">
        <v>3403</v>
      </c>
    </row>
    <row r="5074" spans="1:16" ht="22" customHeight="1" x14ac:dyDescent="0.15">
      <c r="A5074" s="10" t="str">
        <f t="shared" si="822"/>
        <v>614_10_36_10_polygon</v>
      </c>
      <c r="B5074" s="2">
        <v>614</v>
      </c>
      <c r="C5074" s="30" t="str">
        <f>VLOOKUP(B5074,gachas!A:C,3)</f>
        <v>ジューンブライドガチャSideB</v>
      </c>
      <c r="D5074" s="21">
        <v>10</v>
      </c>
      <c r="E5074" s="2">
        <f t="shared" si="827"/>
        <v>36</v>
      </c>
      <c r="F5074" s="2">
        <v>10</v>
      </c>
      <c r="G5074" s="3" t="s">
        <v>22</v>
      </c>
      <c r="H5074" s="2">
        <v>25</v>
      </c>
      <c r="I5074" s="117" t="str">
        <f t="shared" si="826"/>
        <v>614100</v>
      </c>
      <c r="J5074" s="112" t="s">
        <v>84</v>
      </c>
      <c r="K5074" s="117" t="str">
        <f t="shared" ref="K5074:K5077" si="840">CONCATENATE(B5074,"100")</f>
        <v>614100</v>
      </c>
      <c r="L5074" s="2">
        <v>1</v>
      </c>
      <c r="M5074" s="2" t="s">
        <v>84</v>
      </c>
      <c r="N5074" s="2" t="s">
        <v>84</v>
      </c>
      <c r="O5074" s="2" t="s">
        <v>841</v>
      </c>
      <c r="P5074" s="59" t="s">
        <v>1783</v>
      </c>
    </row>
    <row r="5075" spans="1:16" ht="22" customHeight="1" x14ac:dyDescent="0.15">
      <c r="A5075" s="10" t="str">
        <f t="shared" si="822"/>
        <v>614_10_37_10_polygon</v>
      </c>
      <c r="B5075" s="2">
        <v>614</v>
      </c>
      <c r="C5075" s="30" t="str">
        <f>VLOOKUP(B5075,gachas!A:C,3)</f>
        <v>ジューンブライドガチャSideB</v>
      </c>
      <c r="D5075" s="21">
        <v>10</v>
      </c>
      <c r="E5075" s="2">
        <f t="shared" si="827"/>
        <v>37</v>
      </c>
      <c r="F5075" s="2">
        <v>10</v>
      </c>
      <c r="G5075" s="3" t="s">
        <v>22</v>
      </c>
      <c r="H5075" s="2">
        <v>50</v>
      </c>
      <c r="I5075" s="117" t="str">
        <f t="shared" si="826"/>
        <v>614100</v>
      </c>
      <c r="J5075" s="112" t="s">
        <v>84</v>
      </c>
      <c r="K5075" s="117" t="str">
        <f t="shared" si="840"/>
        <v>614100</v>
      </c>
      <c r="L5075" s="2">
        <v>1</v>
      </c>
      <c r="M5075" s="2" t="s">
        <v>84</v>
      </c>
      <c r="N5075" s="2" t="s">
        <v>84</v>
      </c>
      <c r="O5075" s="2" t="s">
        <v>841</v>
      </c>
      <c r="P5075" s="2" t="s">
        <v>3434</v>
      </c>
    </row>
    <row r="5076" spans="1:16" ht="22" customHeight="1" x14ac:dyDescent="0.15">
      <c r="A5076" s="10" t="str">
        <f t="shared" si="822"/>
        <v>614_10_38_10_polygon</v>
      </c>
      <c r="B5076" s="2">
        <v>614</v>
      </c>
      <c r="C5076" s="30" t="str">
        <f>VLOOKUP(B5076,gachas!A:C,3)</f>
        <v>ジューンブライドガチャSideB</v>
      </c>
      <c r="D5076" s="21">
        <v>10</v>
      </c>
      <c r="E5076" s="2">
        <f t="shared" si="827"/>
        <v>38</v>
      </c>
      <c r="F5076" s="2">
        <v>10</v>
      </c>
      <c r="G5076" s="3" t="s">
        <v>22</v>
      </c>
      <c r="H5076" s="2">
        <v>50</v>
      </c>
      <c r="I5076" s="117" t="str">
        <f t="shared" si="826"/>
        <v>614100</v>
      </c>
      <c r="J5076" s="112" t="s">
        <v>84</v>
      </c>
      <c r="K5076" s="117" t="str">
        <f t="shared" si="840"/>
        <v>614100</v>
      </c>
      <c r="L5076" s="2">
        <v>1</v>
      </c>
      <c r="M5076" s="2" t="s">
        <v>84</v>
      </c>
      <c r="N5076" s="2" t="s">
        <v>84</v>
      </c>
      <c r="O5076" s="2" t="s">
        <v>841</v>
      </c>
      <c r="P5076" s="2" t="s">
        <v>3434</v>
      </c>
    </row>
    <row r="5077" spans="1:16" ht="22" customHeight="1" x14ac:dyDescent="0.15">
      <c r="A5077" s="10" t="str">
        <f t="shared" si="822"/>
        <v>614_10_39_10_polygon</v>
      </c>
      <c r="B5077" s="2">
        <v>614</v>
      </c>
      <c r="C5077" s="30" t="str">
        <f>VLOOKUP(B5077,gachas!A:C,3)</f>
        <v>ジューンブライドガチャSideB</v>
      </c>
      <c r="D5077" s="21">
        <v>10</v>
      </c>
      <c r="E5077" s="2">
        <f t="shared" si="827"/>
        <v>39</v>
      </c>
      <c r="F5077" s="2">
        <v>10</v>
      </c>
      <c r="G5077" s="3" t="s">
        <v>22</v>
      </c>
      <c r="H5077" s="2">
        <v>50</v>
      </c>
      <c r="I5077" s="117" t="str">
        <f t="shared" si="826"/>
        <v>614100</v>
      </c>
      <c r="J5077" s="112" t="s">
        <v>84</v>
      </c>
      <c r="K5077" s="117" t="str">
        <f t="shared" si="840"/>
        <v>614100</v>
      </c>
      <c r="L5077" s="2">
        <v>1</v>
      </c>
      <c r="M5077" s="2" t="s">
        <v>84</v>
      </c>
      <c r="N5077" s="2" t="s">
        <v>84</v>
      </c>
      <c r="O5077" s="2" t="s">
        <v>841</v>
      </c>
      <c r="P5077" s="2" t="s">
        <v>3434</v>
      </c>
    </row>
    <row r="5078" spans="1:16" ht="22" customHeight="1" x14ac:dyDescent="0.15">
      <c r="A5078" s="10" t="str">
        <f t="shared" si="822"/>
        <v>614_10_40_10_polygon</v>
      </c>
      <c r="B5078" s="2">
        <v>614</v>
      </c>
      <c r="C5078" s="30" t="str">
        <f>VLOOKUP(B5078,gachas!A:C,3)</f>
        <v>ジューンブライドガチャSideB</v>
      </c>
      <c r="D5078" s="21">
        <v>10</v>
      </c>
      <c r="E5078" s="2">
        <f t="shared" si="827"/>
        <v>40</v>
      </c>
      <c r="F5078" s="2">
        <v>10</v>
      </c>
      <c r="G5078" s="3" t="s">
        <v>22</v>
      </c>
      <c r="H5078" s="2">
        <v>50</v>
      </c>
      <c r="I5078" s="117" t="str">
        <f t="shared" si="826"/>
        <v>614100</v>
      </c>
      <c r="J5078" s="112" t="s">
        <v>84</v>
      </c>
      <c r="K5078" s="117" t="str">
        <f t="shared" ref="K5078" si="841">CONCATENATE(B5078,"105")</f>
        <v>614105</v>
      </c>
      <c r="L5078" s="2">
        <v>1</v>
      </c>
      <c r="M5078" s="2" t="s">
        <v>84</v>
      </c>
      <c r="N5078" s="2" t="s">
        <v>84</v>
      </c>
      <c r="O5078" s="2" t="s">
        <v>841</v>
      </c>
      <c r="P5078" s="2" t="s">
        <v>3403</v>
      </c>
    </row>
    <row r="5079" spans="1:16" ht="22" customHeight="1" x14ac:dyDescent="0.15">
      <c r="A5079" s="10" t="str">
        <f t="shared" si="822"/>
        <v>614_10_41_10_polygon</v>
      </c>
      <c r="B5079" s="2">
        <v>614</v>
      </c>
      <c r="C5079" s="30" t="str">
        <f>VLOOKUP(B5079,gachas!A:C,3)</f>
        <v>ジューンブライドガチャSideB</v>
      </c>
      <c r="D5079" s="21">
        <v>10</v>
      </c>
      <c r="E5079" s="2">
        <f t="shared" si="827"/>
        <v>41</v>
      </c>
      <c r="F5079" s="2">
        <v>10</v>
      </c>
      <c r="G5079" s="3" t="s">
        <v>22</v>
      </c>
      <c r="H5079" s="2">
        <v>25</v>
      </c>
      <c r="I5079" s="117" t="str">
        <f t="shared" si="826"/>
        <v>614100</v>
      </c>
      <c r="J5079" s="112" t="s">
        <v>84</v>
      </c>
      <c r="K5079" s="117" t="str">
        <f t="shared" ref="K5079:K5082" si="842">CONCATENATE(B5079,"100")</f>
        <v>614100</v>
      </c>
      <c r="L5079" s="2">
        <v>1</v>
      </c>
      <c r="M5079" s="2" t="s">
        <v>84</v>
      </c>
      <c r="N5079" s="2" t="s">
        <v>84</v>
      </c>
      <c r="O5079" s="2" t="s">
        <v>841</v>
      </c>
      <c r="P5079" s="59" t="s">
        <v>1783</v>
      </c>
    </row>
    <row r="5080" spans="1:16" ht="22" customHeight="1" x14ac:dyDescent="0.15">
      <c r="A5080" s="10" t="str">
        <f t="shared" ref="A5080:A5088" si="843">B5080&amp;"_"&amp;D5080&amp;"_"&amp;E5080&amp;"_"&amp;F5080&amp;"_"&amp;G5080</f>
        <v>614_10_42_10_polygon</v>
      </c>
      <c r="B5080" s="2">
        <v>614</v>
      </c>
      <c r="C5080" s="30" t="str">
        <f>VLOOKUP(B5080,gachas!A:C,3)</f>
        <v>ジューンブライドガチャSideB</v>
      </c>
      <c r="D5080" s="21">
        <v>10</v>
      </c>
      <c r="E5080" s="2">
        <f t="shared" si="827"/>
        <v>42</v>
      </c>
      <c r="F5080" s="2">
        <v>10</v>
      </c>
      <c r="G5080" s="3" t="s">
        <v>22</v>
      </c>
      <c r="H5080" s="2">
        <v>50</v>
      </c>
      <c r="I5080" s="117" t="str">
        <f t="shared" si="826"/>
        <v>614100</v>
      </c>
      <c r="J5080" s="112" t="s">
        <v>84</v>
      </c>
      <c r="K5080" s="117" t="str">
        <f t="shared" si="842"/>
        <v>614100</v>
      </c>
      <c r="L5080" s="2">
        <v>1</v>
      </c>
      <c r="M5080" s="2" t="s">
        <v>84</v>
      </c>
      <c r="N5080" s="2" t="s">
        <v>84</v>
      </c>
      <c r="O5080" s="2" t="s">
        <v>841</v>
      </c>
      <c r="P5080" s="2" t="s">
        <v>3434</v>
      </c>
    </row>
    <row r="5081" spans="1:16" ht="22" customHeight="1" x14ac:dyDescent="0.15">
      <c r="A5081" s="10" t="str">
        <f t="shared" si="843"/>
        <v>614_10_43_10_polygon</v>
      </c>
      <c r="B5081" s="2">
        <v>614</v>
      </c>
      <c r="C5081" s="30" t="str">
        <f>VLOOKUP(B5081,gachas!A:C,3)</f>
        <v>ジューンブライドガチャSideB</v>
      </c>
      <c r="D5081" s="21">
        <v>10</v>
      </c>
      <c r="E5081" s="2">
        <f t="shared" si="827"/>
        <v>43</v>
      </c>
      <c r="F5081" s="2">
        <v>10</v>
      </c>
      <c r="G5081" s="3" t="s">
        <v>22</v>
      </c>
      <c r="H5081" s="2">
        <v>50</v>
      </c>
      <c r="I5081" s="117" t="str">
        <f t="shared" si="826"/>
        <v>614100</v>
      </c>
      <c r="J5081" s="112" t="s">
        <v>84</v>
      </c>
      <c r="K5081" s="117" t="str">
        <f t="shared" si="842"/>
        <v>614100</v>
      </c>
      <c r="L5081" s="2">
        <v>1</v>
      </c>
      <c r="M5081" s="2" t="s">
        <v>84</v>
      </c>
      <c r="N5081" s="2" t="s">
        <v>84</v>
      </c>
      <c r="O5081" s="2" t="s">
        <v>841</v>
      </c>
      <c r="P5081" s="2" t="s">
        <v>3434</v>
      </c>
    </row>
    <row r="5082" spans="1:16" ht="22" customHeight="1" x14ac:dyDescent="0.15">
      <c r="A5082" s="10" t="str">
        <f t="shared" si="843"/>
        <v>614_10_44_10_polygon</v>
      </c>
      <c r="B5082" s="2">
        <v>614</v>
      </c>
      <c r="C5082" s="30" t="str">
        <f>VLOOKUP(B5082,gachas!A:C,3)</f>
        <v>ジューンブライドガチャSideB</v>
      </c>
      <c r="D5082" s="21">
        <v>10</v>
      </c>
      <c r="E5082" s="2">
        <f t="shared" si="827"/>
        <v>44</v>
      </c>
      <c r="F5082" s="2">
        <v>10</v>
      </c>
      <c r="G5082" s="3" t="s">
        <v>22</v>
      </c>
      <c r="H5082" s="2">
        <v>50</v>
      </c>
      <c r="I5082" s="117" t="str">
        <f t="shared" si="826"/>
        <v>614100</v>
      </c>
      <c r="J5082" s="112" t="s">
        <v>84</v>
      </c>
      <c r="K5082" s="117" t="str">
        <f t="shared" si="842"/>
        <v>614100</v>
      </c>
      <c r="L5082" s="2">
        <v>1</v>
      </c>
      <c r="M5082" s="2" t="s">
        <v>84</v>
      </c>
      <c r="N5082" s="2" t="s">
        <v>84</v>
      </c>
      <c r="O5082" s="2" t="s">
        <v>841</v>
      </c>
      <c r="P5082" s="2" t="s">
        <v>3434</v>
      </c>
    </row>
    <row r="5083" spans="1:16" ht="22" customHeight="1" x14ac:dyDescent="0.15">
      <c r="A5083" s="10" t="str">
        <f t="shared" si="843"/>
        <v>614_10_45_10_polygon</v>
      </c>
      <c r="B5083" s="2">
        <v>614</v>
      </c>
      <c r="C5083" s="30" t="str">
        <f>VLOOKUP(B5083,gachas!A:C,3)</f>
        <v>ジューンブライドガチャSideB</v>
      </c>
      <c r="D5083" s="21">
        <v>10</v>
      </c>
      <c r="E5083" s="2">
        <f t="shared" si="827"/>
        <v>45</v>
      </c>
      <c r="F5083" s="2">
        <v>10</v>
      </c>
      <c r="G5083" s="3" t="s">
        <v>22</v>
      </c>
      <c r="H5083" s="2">
        <v>50</v>
      </c>
      <c r="I5083" s="117" t="str">
        <f t="shared" si="826"/>
        <v>614100</v>
      </c>
      <c r="J5083" s="112" t="s">
        <v>84</v>
      </c>
      <c r="K5083" s="117" t="str">
        <f t="shared" ref="K5083" si="844">CONCATENATE(B5083,"105")</f>
        <v>614105</v>
      </c>
      <c r="L5083" s="2">
        <v>1</v>
      </c>
      <c r="M5083" s="2" t="s">
        <v>84</v>
      </c>
      <c r="N5083" s="2" t="s">
        <v>84</v>
      </c>
      <c r="O5083" s="2" t="s">
        <v>841</v>
      </c>
      <c r="P5083" s="2" t="s">
        <v>3403</v>
      </c>
    </row>
    <row r="5084" spans="1:16" ht="22" customHeight="1" x14ac:dyDescent="0.15">
      <c r="A5084" s="10" t="str">
        <f t="shared" si="843"/>
        <v>614_10_46_10_polygon</v>
      </c>
      <c r="B5084" s="2">
        <v>614</v>
      </c>
      <c r="C5084" s="30" t="str">
        <f>VLOOKUP(B5084,gachas!A:C,3)</f>
        <v>ジューンブライドガチャSideB</v>
      </c>
      <c r="D5084" s="21">
        <v>10</v>
      </c>
      <c r="E5084" s="2">
        <f t="shared" si="827"/>
        <v>46</v>
      </c>
      <c r="F5084" s="2">
        <v>10</v>
      </c>
      <c r="G5084" s="3" t="s">
        <v>22</v>
      </c>
      <c r="H5084" s="2">
        <v>25</v>
      </c>
      <c r="I5084" s="117" t="str">
        <f t="shared" si="826"/>
        <v>614100</v>
      </c>
      <c r="J5084" s="112" t="s">
        <v>84</v>
      </c>
      <c r="K5084" s="117" t="str">
        <f t="shared" ref="K5084:K5087" si="845">CONCATENATE(B5084,"100")</f>
        <v>614100</v>
      </c>
      <c r="L5084" s="2">
        <v>1</v>
      </c>
      <c r="M5084" s="2" t="s">
        <v>84</v>
      </c>
      <c r="N5084" s="2" t="s">
        <v>84</v>
      </c>
      <c r="O5084" s="2" t="s">
        <v>841</v>
      </c>
      <c r="P5084" s="59" t="s">
        <v>1783</v>
      </c>
    </row>
    <row r="5085" spans="1:16" ht="22" customHeight="1" x14ac:dyDescent="0.15">
      <c r="A5085" s="10" t="str">
        <f t="shared" si="843"/>
        <v>614_10_47_10_polygon</v>
      </c>
      <c r="B5085" s="2">
        <v>614</v>
      </c>
      <c r="C5085" s="30" t="str">
        <f>VLOOKUP(B5085,gachas!A:C,3)</f>
        <v>ジューンブライドガチャSideB</v>
      </c>
      <c r="D5085" s="21">
        <v>10</v>
      </c>
      <c r="E5085" s="2">
        <f t="shared" si="827"/>
        <v>47</v>
      </c>
      <c r="F5085" s="2">
        <v>10</v>
      </c>
      <c r="G5085" s="3" t="s">
        <v>22</v>
      </c>
      <c r="H5085" s="2">
        <v>50</v>
      </c>
      <c r="I5085" s="117" t="str">
        <f t="shared" si="826"/>
        <v>614100</v>
      </c>
      <c r="J5085" s="112" t="s">
        <v>84</v>
      </c>
      <c r="K5085" s="117" t="str">
        <f t="shared" si="845"/>
        <v>614100</v>
      </c>
      <c r="L5085" s="2">
        <v>1</v>
      </c>
      <c r="M5085" s="2" t="s">
        <v>84</v>
      </c>
      <c r="N5085" s="2" t="s">
        <v>84</v>
      </c>
      <c r="O5085" s="2" t="s">
        <v>841</v>
      </c>
      <c r="P5085" s="2" t="s">
        <v>3434</v>
      </c>
    </row>
    <row r="5086" spans="1:16" ht="22" customHeight="1" x14ac:dyDescent="0.15">
      <c r="A5086" s="10" t="str">
        <f t="shared" si="843"/>
        <v>614_10_48_10_polygon</v>
      </c>
      <c r="B5086" s="2">
        <v>614</v>
      </c>
      <c r="C5086" s="30" t="str">
        <f>VLOOKUP(B5086,gachas!A:C,3)</f>
        <v>ジューンブライドガチャSideB</v>
      </c>
      <c r="D5086" s="21">
        <v>10</v>
      </c>
      <c r="E5086" s="2">
        <f t="shared" si="827"/>
        <v>48</v>
      </c>
      <c r="F5086" s="2">
        <v>10</v>
      </c>
      <c r="G5086" s="3" t="s">
        <v>22</v>
      </c>
      <c r="H5086" s="2">
        <v>50</v>
      </c>
      <c r="I5086" s="117" t="str">
        <f t="shared" si="826"/>
        <v>614100</v>
      </c>
      <c r="J5086" s="112" t="s">
        <v>84</v>
      </c>
      <c r="K5086" s="117" t="str">
        <f t="shared" si="845"/>
        <v>614100</v>
      </c>
      <c r="L5086" s="2">
        <v>1</v>
      </c>
      <c r="M5086" s="2" t="s">
        <v>84</v>
      </c>
      <c r="N5086" s="2" t="s">
        <v>84</v>
      </c>
      <c r="O5086" s="2" t="s">
        <v>841</v>
      </c>
      <c r="P5086" s="2" t="s">
        <v>3434</v>
      </c>
    </row>
    <row r="5087" spans="1:16" ht="22" customHeight="1" x14ac:dyDescent="0.15">
      <c r="A5087" s="10" t="str">
        <f t="shared" si="843"/>
        <v>614_10_49_10_polygon</v>
      </c>
      <c r="B5087" s="2">
        <v>614</v>
      </c>
      <c r="C5087" s="30" t="str">
        <f>VLOOKUP(B5087,gachas!A:C,3)</f>
        <v>ジューンブライドガチャSideB</v>
      </c>
      <c r="D5087" s="21">
        <v>10</v>
      </c>
      <c r="E5087" s="2">
        <f t="shared" si="827"/>
        <v>49</v>
      </c>
      <c r="F5087" s="2">
        <v>10</v>
      </c>
      <c r="G5087" s="3" t="s">
        <v>22</v>
      </c>
      <c r="H5087" s="2">
        <v>50</v>
      </c>
      <c r="I5087" s="117" t="str">
        <f t="shared" si="826"/>
        <v>614100</v>
      </c>
      <c r="J5087" s="112" t="s">
        <v>84</v>
      </c>
      <c r="K5087" s="117" t="str">
        <f t="shared" si="845"/>
        <v>614100</v>
      </c>
      <c r="L5087" s="2">
        <v>1</v>
      </c>
      <c r="M5087" s="2" t="s">
        <v>84</v>
      </c>
      <c r="N5087" s="2" t="s">
        <v>84</v>
      </c>
      <c r="O5087" s="2" t="s">
        <v>841</v>
      </c>
      <c r="P5087" s="2" t="s">
        <v>3434</v>
      </c>
    </row>
    <row r="5088" spans="1:16" ht="22" customHeight="1" x14ac:dyDescent="0.15">
      <c r="A5088" s="10" t="str">
        <f t="shared" si="843"/>
        <v>614_10_50_10_polygon</v>
      </c>
      <c r="B5088" s="2">
        <v>614</v>
      </c>
      <c r="C5088" s="30" t="str">
        <f>VLOOKUP(B5088,gachas!A:C,3)</f>
        <v>ジューンブライドガチャSideB</v>
      </c>
      <c r="D5088" s="21">
        <v>10</v>
      </c>
      <c r="E5088" s="2">
        <f t="shared" si="827"/>
        <v>50</v>
      </c>
      <c r="F5088" s="2">
        <v>10</v>
      </c>
      <c r="G5088" s="3" t="s">
        <v>22</v>
      </c>
      <c r="H5088" s="2">
        <v>50</v>
      </c>
      <c r="I5088" s="117" t="str">
        <f t="shared" si="826"/>
        <v>614100</v>
      </c>
      <c r="J5088" s="112" t="s">
        <v>84</v>
      </c>
      <c r="K5088" s="117" t="str">
        <f t="shared" ref="K5088" si="846">CONCATENATE(B5088,"105")</f>
        <v>614105</v>
      </c>
      <c r="L5088" s="2">
        <v>1</v>
      </c>
      <c r="M5088" s="2" t="s">
        <v>84</v>
      </c>
      <c r="N5088" s="2" t="s">
        <v>84</v>
      </c>
      <c r="O5088" s="2" t="s">
        <v>841</v>
      </c>
      <c r="P5088" s="2" t="s">
        <v>3403</v>
      </c>
    </row>
    <row r="5089" spans="1:16" ht="22" customHeight="1" x14ac:dyDescent="0.15">
      <c r="A5089" s="10" t="str">
        <f t="shared" si="400"/>
        <v>201_1_0_1_link</v>
      </c>
      <c r="B5089" s="2">
        <v>201</v>
      </c>
      <c r="C5089" s="30" t="str">
        <f>VLOOKUP(B5089,gachas!A:C,3)</f>
        <v>男気リンクガチャ（常設）</v>
      </c>
      <c r="D5089" s="21">
        <v>1</v>
      </c>
      <c r="E5089" s="2">
        <v>0</v>
      </c>
      <c r="F5089" s="21">
        <v>1</v>
      </c>
      <c r="G5089" s="3" t="s">
        <v>7</v>
      </c>
      <c r="H5089" s="2">
        <v>100</v>
      </c>
      <c r="I5089" s="116">
        <v>202</v>
      </c>
      <c r="J5089" s="115" t="s">
        <v>84</v>
      </c>
      <c r="K5089" s="2" t="s">
        <v>84</v>
      </c>
      <c r="L5089" s="2">
        <v>0</v>
      </c>
      <c r="M5089" s="2" t="s">
        <v>84</v>
      </c>
      <c r="N5089" s="2" t="s">
        <v>84</v>
      </c>
      <c r="O5089" s="2" t="s">
        <v>841</v>
      </c>
      <c r="P5089" s="18" t="s">
        <v>84</v>
      </c>
    </row>
    <row r="5090" spans="1:16" ht="21" customHeight="1" x14ac:dyDescent="0.15">
      <c r="A5090" s="10" t="str">
        <f t="shared" ref="A5090:A5098" si="847">B5090&amp;"_"&amp;D5090&amp;"_"&amp;E5090&amp;"_"&amp;F5090&amp;"_"&amp;G5090</f>
        <v>201_2_0_2_link</v>
      </c>
      <c r="B5090" s="2">
        <v>201</v>
      </c>
      <c r="C5090" s="18" t="s">
        <v>90</v>
      </c>
      <c r="D5090" s="21">
        <v>2</v>
      </c>
      <c r="E5090" s="2">
        <v>0</v>
      </c>
      <c r="F5090" s="21">
        <v>2</v>
      </c>
      <c r="G5090" s="3" t="s">
        <v>7</v>
      </c>
      <c r="H5090" s="2">
        <v>200</v>
      </c>
      <c r="I5090" s="116">
        <v>201</v>
      </c>
      <c r="J5090" s="115" t="s">
        <v>85</v>
      </c>
      <c r="K5090" s="2" t="s">
        <v>87</v>
      </c>
      <c r="L5090" s="2">
        <v>0</v>
      </c>
      <c r="M5090" s="2" t="s">
        <v>86</v>
      </c>
      <c r="N5090" s="2" t="s">
        <v>86</v>
      </c>
      <c r="O5090" s="2" t="s">
        <v>841</v>
      </c>
      <c r="P5090" s="2" t="s">
        <v>86</v>
      </c>
    </row>
    <row r="5091" spans="1:16" ht="21" customHeight="1" x14ac:dyDescent="0.15">
      <c r="A5091" s="10" t="str">
        <f t="shared" si="847"/>
        <v>201_3_0_3_link</v>
      </c>
      <c r="B5091" s="2">
        <v>201</v>
      </c>
      <c r="C5091" s="18" t="s">
        <v>91</v>
      </c>
      <c r="D5091" s="21">
        <v>3</v>
      </c>
      <c r="E5091" s="2">
        <v>0</v>
      </c>
      <c r="F5091" s="21">
        <v>3</v>
      </c>
      <c r="G5091" s="3" t="s">
        <v>7</v>
      </c>
      <c r="H5091" s="2">
        <v>300</v>
      </c>
      <c r="I5091" s="116">
        <v>201</v>
      </c>
      <c r="J5091" s="115" t="s">
        <v>85</v>
      </c>
      <c r="K5091" s="2" t="s">
        <v>87</v>
      </c>
      <c r="L5091" s="2">
        <v>0</v>
      </c>
      <c r="M5091" s="2" t="s">
        <v>86</v>
      </c>
      <c r="N5091" s="2" t="s">
        <v>86</v>
      </c>
      <c r="O5091" s="2" t="s">
        <v>841</v>
      </c>
      <c r="P5091" s="2" t="s">
        <v>86</v>
      </c>
    </row>
    <row r="5092" spans="1:16" ht="21" customHeight="1" x14ac:dyDescent="0.15">
      <c r="A5092" s="10" t="str">
        <f t="shared" si="847"/>
        <v>201_4_0_4_link</v>
      </c>
      <c r="B5092" s="2">
        <v>201</v>
      </c>
      <c r="C5092" s="18" t="s">
        <v>92</v>
      </c>
      <c r="D5092" s="21">
        <v>4</v>
      </c>
      <c r="E5092" s="2">
        <v>0</v>
      </c>
      <c r="F5092" s="21">
        <v>4</v>
      </c>
      <c r="G5092" s="3" t="s">
        <v>7</v>
      </c>
      <c r="H5092" s="2">
        <v>400</v>
      </c>
      <c r="I5092" s="116">
        <v>201</v>
      </c>
      <c r="J5092" s="115" t="s">
        <v>85</v>
      </c>
      <c r="K5092" s="2" t="s">
        <v>87</v>
      </c>
      <c r="L5092" s="2">
        <v>0</v>
      </c>
      <c r="M5092" s="2" t="s">
        <v>86</v>
      </c>
      <c r="N5092" s="2" t="s">
        <v>86</v>
      </c>
      <c r="O5092" s="2" t="s">
        <v>841</v>
      </c>
      <c r="P5092" s="2" t="s">
        <v>86</v>
      </c>
    </row>
    <row r="5093" spans="1:16" ht="21" customHeight="1" x14ac:dyDescent="0.15">
      <c r="A5093" s="10" t="str">
        <f t="shared" si="847"/>
        <v>201_5_0_5_link</v>
      </c>
      <c r="B5093" s="2">
        <v>201</v>
      </c>
      <c r="C5093" s="18" t="s">
        <v>93</v>
      </c>
      <c r="D5093" s="21">
        <v>5</v>
      </c>
      <c r="E5093" s="2">
        <v>0</v>
      </c>
      <c r="F5093" s="21">
        <v>5</v>
      </c>
      <c r="G5093" s="3" t="s">
        <v>7</v>
      </c>
      <c r="H5093" s="2">
        <v>500</v>
      </c>
      <c r="I5093" s="116">
        <v>201</v>
      </c>
      <c r="J5093" s="115" t="s">
        <v>85</v>
      </c>
      <c r="K5093" s="2" t="s">
        <v>87</v>
      </c>
      <c r="L5093" s="2">
        <v>0</v>
      </c>
      <c r="M5093" s="2" t="s">
        <v>86</v>
      </c>
      <c r="N5093" s="2" t="s">
        <v>86</v>
      </c>
      <c r="O5093" s="2" t="s">
        <v>841</v>
      </c>
      <c r="P5093" s="2" t="s">
        <v>86</v>
      </c>
    </row>
    <row r="5094" spans="1:16" ht="21" customHeight="1" x14ac:dyDescent="0.15">
      <c r="A5094" s="10" t="str">
        <f t="shared" si="847"/>
        <v>201_6_0_6_link</v>
      </c>
      <c r="B5094" s="2">
        <v>201</v>
      </c>
      <c r="C5094" s="18" t="s">
        <v>94</v>
      </c>
      <c r="D5094" s="21">
        <v>6</v>
      </c>
      <c r="E5094" s="2">
        <v>0</v>
      </c>
      <c r="F5094" s="21">
        <v>6</v>
      </c>
      <c r="G5094" s="3" t="s">
        <v>7</v>
      </c>
      <c r="H5094" s="2">
        <v>600</v>
      </c>
      <c r="I5094" s="116">
        <v>201</v>
      </c>
      <c r="J5094" s="115" t="s">
        <v>85</v>
      </c>
      <c r="K5094" s="2" t="s">
        <v>87</v>
      </c>
      <c r="L5094" s="2">
        <v>0</v>
      </c>
      <c r="M5094" s="2" t="s">
        <v>86</v>
      </c>
      <c r="N5094" s="2" t="s">
        <v>86</v>
      </c>
      <c r="O5094" s="2" t="s">
        <v>841</v>
      </c>
      <c r="P5094" s="2" t="s">
        <v>86</v>
      </c>
    </row>
    <row r="5095" spans="1:16" ht="21" customHeight="1" x14ac:dyDescent="0.15">
      <c r="A5095" s="10" t="str">
        <f t="shared" si="847"/>
        <v>201_7_0_7_link</v>
      </c>
      <c r="B5095" s="2">
        <v>201</v>
      </c>
      <c r="C5095" s="18" t="s">
        <v>95</v>
      </c>
      <c r="D5095" s="21">
        <v>7</v>
      </c>
      <c r="E5095" s="2">
        <v>0</v>
      </c>
      <c r="F5095" s="21">
        <v>7</v>
      </c>
      <c r="G5095" s="3" t="s">
        <v>7</v>
      </c>
      <c r="H5095" s="2">
        <v>700</v>
      </c>
      <c r="I5095" s="116">
        <v>201</v>
      </c>
      <c r="J5095" s="115" t="s">
        <v>85</v>
      </c>
      <c r="K5095" s="2" t="s">
        <v>87</v>
      </c>
      <c r="L5095" s="2">
        <v>0</v>
      </c>
      <c r="M5095" s="2" t="s">
        <v>86</v>
      </c>
      <c r="N5095" s="2" t="s">
        <v>86</v>
      </c>
      <c r="O5095" s="2" t="s">
        <v>841</v>
      </c>
      <c r="P5095" s="2" t="s">
        <v>86</v>
      </c>
    </row>
    <row r="5096" spans="1:16" ht="21" customHeight="1" x14ac:dyDescent="0.15">
      <c r="A5096" s="10" t="str">
        <f t="shared" si="847"/>
        <v>201_8_0_8_link</v>
      </c>
      <c r="B5096" s="2">
        <v>201</v>
      </c>
      <c r="C5096" s="18" t="s">
        <v>96</v>
      </c>
      <c r="D5096" s="21">
        <v>8</v>
      </c>
      <c r="E5096" s="2">
        <v>0</v>
      </c>
      <c r="F5096" s="21">
        <v>8</v>
      </c>
      <c r="G5096" s="3" t="s">
        <v>7</v>
      </c>
      <c r="H5096" s="2">
        <v>800</v>
      </c>
      <c r="I5096" s="116">
        <v>201</v>
      </c>
      <c r="J5096" s="115" t="s">
        <v>85</v>
      </c>
      <c r="K5096" s="2" t="s">
        <v>87</v>
      </c>
      <c r="L5096" s="2">
        <v>0</v>
      </c>
      <c r="M5096" s="2" t="s">
        <v>86</v>
      </c>
      <c r="N5096" s="2" t="s">
        <v>86</v>
      </c>
      <c r="O5096" s="2" t="s">
        <v>841</v>
      </c>
      <c r="P5096" s="2" t="s">
        <v>86</v>
      </c>
    </row>
    <row r="5097" spans="1:16" ht="21" customHeight="1" x14ac:dyDescent="0.15">
      <c r="A5097" s="10" t="str">
        <f t="shared" si="847"/>
        <v>201_9_0_9_link</v>
      </c>
      <c r="B5097" s="2">
        <v>201</v>
      </c>
      <c r="C5097" s="18" t="s">
        <v>97</v>
      </c>
      <c r="D5097" s="21">
        <v>9</v>
      </c>
      <c r="E5097" s="2">
        <v>0</v>
      </c>
      <c r="F5097" s="21">
        <v>9</v>
      </c>
      <c r="G5097" s="3" t="s">
        <v>7</v>
      </c>
      <c r="H5097" s="2">
        <v>900</v>
      </c>
      <c r="I5097" s="116">
        <v>201</v>
      </c>
      <c r="J5097" s="115" t="s">
        <v>85</v>
      </c>
      <c r="K5097" s="2" t="s">
        <v>87</v>
      </c>
      <c r="L5097" s="2">
        <v>0</v>
      </c>
      <c r="M5097" s="2" t="s">
        <v>86</v>
      </c>
      <c r="N5097" s="2" t="s">
        <v>86</v>
      </c>
      <c r="O5097" s="2" t="s">
        <v>841</v>
      </c>
      <c r="P5097" s="2" t="s">
        <v>86</v>
      </c>
    </row>
    <row r="5098" spans="1:16" ht="21" customHeight="1" x14ac:dyDescent="0.15">
      <c r="A5098" s="10" t="str">
        <f t="shared" si="847"/>
        <v>201_10_0_10_link</v>
      </c>
      <c r="B5098" s="2">
        <v>201</v>
      </c>
      <c r="C5098" s="18" t="s">
        <v>98</v>
      </c>
      <c r="D5098" s="21">
        <v>10</v>
      </c>
      <c r="E5098" s="2">
        <v>0</v>
      </c>
      <c r="F5098" s="21">
        <v>10</v>
      </c>
      <c r="G5098" s="3" t="s">
        <v>7</v>
      </c>
      <c r="H5098" s="2">
        <v>1000</v>
      </c>
      <c r="I5098" s="116">
        <v>201</v>
      </c>
      <c r="J5098" s="115" t="s">
        <v>85</v>
      </c>
      <c r="K5098" s="2" t="s">
        <v>87</v>
      </c>
      <c r="L5098" s="2">
        <v>0</v>
      </c>
      <c r="M5098" s="2" t="s">
        <v>86</v>
      </c>
      <c r="N5098" s="2" t="s">
        <v>86</v>
      </c>
      <c r="O5098" s="2" t="s">
        <v>841</v>
      </c>
      <c r="P5098" s="2" t="s">
        <v>86</v>
      </c>
    </row>
    <row r="5099" spans="1:16" ht="21" customHeight="1" x14ac:dyDescent="0.15">
      <c r="A5099" s="10" t="str">
        <f t="shared" ref="A5099:A5108" si="848">B5099&amp;"_"&amp;D5099&amp;"_"&amp;E5099&amp;"_"&amp;F5099&amp;"_"&amp;G5099</f>
        <v>202_1_0_1_link</v>
      </c>
      <c r="B5099" s="2">
        <v>202</v>
      </c>
      <c r="C5099" s="18" t="s">
        <v>89</v>
      </c>
      <c r="D5099" s="21">
        <v>1</v>
      </c>
      <c r="E5099" s="2">
        <v>0</v>
      </c>
      <c r="F5099" s="21">
        <v>1</v>
      </c>
      <c r="G5099" s="3" t="s">
        <v>7</v>
      </c>
      <c r="H5099" s="2">
        <v>100</v>
      </c>
      <c r="I5099" s="116">
        <v>202</v>
      </c>
      <c r="J5099" s="115" t="s">
        <v>84</v>
      </c>
      <c r="K5099" s="2" t="s">
        <v>84</v>
      </c>
      <c r="L5099" s="2">
        <v>0</v>
      </c>
      <c r="M5099" s="2" t="s">
        <v>84</v>
      </c>
      <c r="N5099" s="2" t="s">
        <v>84</v>
      </c>
      <c r="O5099" s="2" t="s">
        <v>841</v>
      </c>
      <c r="P5099" s="2" t="s">
        <v>84</v>
      </c>
    </row>
    <row r="5100" spans="1:16" ht="21" customHeight="1" x14ac:dyDescent="0.15">
      <c r="A5100" s="10" t="str">
        <f t="shared" si="848"/>
        <v>202_2_0_2_link</v>
      </c>
      <c r="B5100" s="2">
        <v>202</v>
      </c>
      <c r="C5100" s="18" t="s">
        <v>90</v>
      </c>
      <c r="D5100" s="21">
        <v>2</v>
      </c>
      <c r="E5100" s="2">
        <v>0</v>
      </c>
      <c r="F5100" s="21">
        <v>2</v>
      </c>
      <c r="G5100" s="3" t="s">
        <v>7</v>
      </c>
      <c r="H5100" s="2">
        <v>200</v>
      </c>
      <c r="I5100" s="116">
        <v>202</v>
      </c>
      <c r="J5100" s="115" t="s">
        <v>84</v>
      </c>
      <c r="K5100" s="2" t="s">
        <v>84</v>
      </c>
      <c r="L5100" s="2">
        <v>0</v>
      </c>
      <c r="M5100" s="2" t="s">
        <v>84</v>
      </c>
      <c r="N5100" s="2" t="s">
        <v>84</v>
      </c>
      <c r="O5100" s="2" t="s">
        <v>841</v>
      </c>
      <c r="P5100" s="2" t="s">
        <v>84</v>
      </c>
    </row>
    <row r="5101" spans="1:16" ht="21" customHeight="1" x14ac:dyDescent="0.15">
      <c r="A5101" s="10" t="str">
        <f t="shared" si="848"/>
        <v>202_3_0_3_link</v>
      </c>
      <c r="B5101" s="2">
        <v>202</v>
      </c>
      <c r="C5101" s="18" t="s">
        <v>91</v>
      </c>
      <c r="D5101" s="21">
        <v>3</v>
      </c>
      <c r="E5101" s="2">
        <v>0</v>
      </c>
      <c r="F5101" s="21">
        <v>3</v>
      </c>
      <c r="G5101" s="3" t="s">
        <v>7</v>
      </c>
      <c r="H5101" s="2">
        <v>300</v>
      </c>
      <c r="I5101" s="116">
        <v>202</v>
      </c>
      <c r="J5101" s="115" t="s">
        <v>84</v>
      </c>
      <c r="K5101" s="2" t="s">
        <v>84</v>
      </c>
      <c r="L5101" s="2">
        <v>0</v>
      </c>
      <c r="M5101" s="2" t="s">
        <v>84</v>
      </c>
      <c r="N5101" s="2" t="s">
        <v>84</v>
      </c>
      <c r="O5101" s="2" t="s">
        <v>841</v>
      </c>
      <c r="P5101" s="2" t="s">
        <v>84</v>
      </c>
    </row>
    <row r="5102" spans="1:16" ht="21" customHeight="1" x14ac:dyDescent="0.15">
      <c r="A5102" s="10" t="str">
        <f t="shared" si="848"/>
        <v>202_4_0_4_link</v>
      </c>
      <c r="B5102" s="2">
        <v>202</v>
      </c>
      <c r="C5102" s="18" t="s">
        <v>92</v>
      </c>
      <c r="D5102" s="21">
        <v>4</v>
      </c>
      <c r="E5102" s="2">
        <v>0</v>
      </c>
      <c r="F5102" s="21">
        <v>4</v>
      </c>
      <c r="G5102" s="3" t="s">
        <v>7</v>
      </c>
      <c r="H5102" s="2">
        <v>400</v>
      </c>
      <c r="I5102" s="116">
        <v>202</v>
      </c>
      <c r="J5102" s="115" t="s">
        <v>84</v>
      </c>
      <c r="K5102" s="2" t="s">
        <v>84</v>
      </c>
      <c r="L5102" s="2">
        <v>0</v>
      </c>
      <c r="M5102" s="2" t="s">
        <v>84</v>
      </c>
      <c r="N5102" s="2" t="s">
        <v>84</v>
      </c>
      <c r="O5102" s="2" t="s">
        <v>841</v>
      </c>
      <c r="P5102" s="2" t="s">
        <v>84</v>
      </c>
    </row>
    <row r="5103" spans="1:16" ht="21" customHeight="1" x14ac:dyDescent="0.15">
      <c r="A5103" s="10" t="str">
        <f t="shared" si="848"/>
        <v>202_5_0_5_link</v>
      </c>
      <c r="B5103" s="2">
        <v>202</v>
      </c>
      <c r="C5103" s="18" t="s">
        <v>93</v>
      </c>
      <c r="D5103" s="21">
        <v>5</v>
      </c>
      <c r="E5103" s="2">
        <v>0</v>
      </c>
      <c r="F5103" s="21">
        <v>5</v>
      </c>
      <c r="G5103" s="3" t="s">
        <v>7</v>
      </c>
      <c r="H5103" s="2">
        <v>500</v>
      </c>
      <c r="I5103" s="116">
        <v>202</v>
      </c>
      <c r="J5103" s="115" t="s">
        <v>84</v>
      </c>
      <c r="K5103" s="2" t="s">
        <v>84</v>
      </c>
      <c r="L5103" s="2">
        <v>0</v>
      </c>
      <c r="M5103" s="2" t="s">
        <v>84</v>
      </c>
      <c r="N5103" s="2" t="s">
        <v>84</v>
      </c>
      <c r="O5103" s="2" t="s">
        <v>841</v>
      </c>
      <c r="P5103" s="2" t="s">
        <v>84</v>
      </c>
    </row>
    <row r="5104" spans="1:16" ht="21" customHeight="1" x14ac:dyDescent="0.15">
      <c r="A5104" s="10" t="str">
        <f t="shared" si="848"/>
        <v>202_6_0_6_link</v>
      </c>
      <c r="B5104" s="2">
        <v>202</v>
      </c>
      <c r="C5104" s="18" t="s">
        <v>94</v>
      </c>
      <c r="D5104" s="21">
        <v>6</v>
      </c>
      <c r="E5104" s="2">
        <v>0</v>
      </c>
      <c r="F5104" s="21">
        <v>6</v>
      </c>
      <c r="G5104" s="3" t="s">
        <v>7</v>
      </c>
      <c r="H5104" s="2">
        <v>600</v>
      </c>
      <c r="I5104" s="116">
        <v>202</v>
      </c>
      <c r="J5104" s="115" t="s">
        <v>84</v>
      </c>
      <c r="K5104" s="2" t="s">
        <v>84</v>
      </c>
      <c r="L5104" s="2">
        <v>0</v>
      </c>
      <c r="M5104" s="2" t="s">
        <v>84</v>
      </c>
      <c r="N5104" s="2" t="s">
        <v>84</v>
      </c>
      <c r="O5104" s="2" t="s">
        <v>841</v>
      </c>
      <c r="P5104" s="2" t="s">
        <v>84</v>
      </c>
    </row>
    <row r="5105" spans="1:16" ht="21" customHeight="1" x14ac:dyDescent="0.15">
      <c r="A5105" s="10" t="str">
        <f t="shared" si="848"/>
        <v>202_7_0_7_link</v>
      </c>
      <c r="B5105" s="2">
        <v>202</v>
      </c>
      <c r="C5105" s="18" t="s">
        <v>95</v>
      </c>
      <c r="D5105" s="21">
        <v>7</v>
      </c>
      <c r="E5105" s="2">
        <v>0</v>
      </c>
      <c r="F5105" s="21">
        <v>7</v>
      </c>
      <c r="G5105" s="3" t="s">
        <v>7</v>
      </c>
      <c r="H5105" s="2">
        <v>700</v>
      </c>
      <c r="I5105" s="116">
        <v>202</v>
      </c>
      <c r="J5105" s="115" t="s">
        <v>84</v>
      </c>
      <c r="K5105" s="2" t="s">
        <v>84</v>
      </c>
      <c r="L5105" s="2">
        <v>0</v>
      </c>
      <c r="M5105" s="2" t="s">
        <v>84</v>
      </c>
      <c r="N5105" s="2" t="s">
        <v>84</v>
      </c>
      <c r="O5105" s="2" t="s">
        <v>841</v>
      </c>
      <c r="P5105" s="2" t="s">
        <v>84</v>
      </c>
    </row>
    <row r="5106" spans="1:16" ht="21" customHeight="1" x14ac:dyDescent="0.15">
      <c r="A5106" s="10" t="str">
        <f t="shared" si="848"/>
        <v>202_8_0_8_link</v>
      </c>
      <c r="B5106" s="2">
        <v>202</v>
      </c>
      <c r="C5106" s="18" t="s">
        <v>96</v>
      </c>
      <c r="D5106" s="21">
        <v>8</v>
      </c>
      <c r="E5106" s="2">
        <v>0</v>
      </c>
      <c r="F5106" s="21">
        <v>8</v>
      </c>
      <c r="G5106" s="3" t="s">
        <v>7</v>
      </c>
      <c r="H5106" s="2">
        <v>800</v>
      </c>
      <c r="I5106" s="116">
        <v>202</v>
      </c>
      <c r="J5106" s="115" t="s">
        <v>84</v>
      </c>
      <c r="K5106" s="2" t="s">
        <v>84</v>
      </c>
      <c r="L5106" s="2">
        <v>0</v>
      </c>
      <c r="M5106" s="2" t="s">
        <v>84</v>
      </c>
      <c r="N5106" s="2" t="s">
        <v>84</v>
      </c>
      <c r="O5106" s="2" t="s">
        <v>841</v>
      </c>
      <c r="P5106" s="2" t="s">
        <v>84</v>
      </c>
    </row>
    <row r="5107" spans="1:16" ht="21" customHeight="1" x14ac:dyDescent="0.15">
      <c r="A5107" s="10" t="str">
        <f t="shared" si="848"/>
        <v>202_9_0_9_link</v>
      </c>
      <c r="B5107" s="2">
        <v>202</v>
      </c>
      <c r="C5107" s="18" t="s">
        <v>97</v>
      </c>
      <c r="D5107" s="21">
        <v>9</v>
      </c>
      <c r="E5107" s="2">
        <v>0</v>
      </c>
      <c r="F5107" s="21">
        <v>9</v>
      </c>
      <c r="G5107" s="3" t="s">
        <v>7</v>
      </c>
      <c r="H5107" s="2">
        <v>900</v>
      </c>
      <c r="I5107" s="116">
        <v>202</v>
      </c>
      <c r="J5107" s="115" t="s">
        <v>84</v>
      </c>
      <c r="K5107" s="2" t="s">
        <v>84</v>
      </c>
      <c r="L5107" s="2">
        <v>0</v>
      </c>
      <c r="M5107" s="2" t="s">
        <v>84</v>
      </c>
      <c r="N5107" s="2" t="s">
        <v>84</v>
      </c>
      <c r="O5107" s="2" t="s">
        <v>841</v>
      </c>
      <c r="P5107" s="2" t="s">
        <v>84</v>
      </c>
    </row>
    <row r="5108" spans="1:16" ht="21" customHeight="1" x14ac:dyDescent="0.15">
      <c r="A5108" s="10" t="str">
        <f t="shared" si="848"/>
        <v>202_10_0_10_link</v>
      </c>
      <c r="B5108" s="2">
        <v>202</v>
      </c>
      <c r="C5108" s="18" t="s">
        <v>98</v>
      </c>
      <c r="D5108" s="21">
        <v>10</v>
      </c>
      <c r="E5108" s="2">
        <v>0</v>
      </c>
      <c r="F5108" s="21">
        <v>10</v>
      </c>
      <c r="G5108" s="3" t="s">
        <v>7</v>
      </c>
      <c r="H5108" s="2">
        <v>1000</v>
      </c>
      <c r="I5108" s="116">
        <v>202</v>
      </c>
      <c r="J5108" s="115" t="s">
        <v>84</v>
      </c>
      <c r="K5108" s="2" t="s">
        <v>84</v>
      </c>
      <c r="L5108" s="2">
        <v>0</v>
      </c>
      <c r="M5108" s="2" t="s">
        <v>84</v>
      </c>
      <c r="N5108" s="2" t="s">
        <v>84</v>
      </c>
      <c r="O5108" s="2" t="s">
        <v>841</v>
      </c>
      <c r="P5108" s="2" t="s">
        <v>84</v>
      </c>
    </row>
    <row r="5109" spans="1:16" ht="21" customHeight="1" x14ac:dyDescent="0.15">
      <c r="A5109" s="10" t="str">
        <f t="shared" ref="A5109:A5118" si="849">B5109&amp;"_"&amp;D5109&amp;"_"&amp;E5109&amp;"_"&amp;F5109&amp;"_"&amp;G5109</f>
        <v>212_1_0_1_link</v>
      </c>
      <c r="B5109" s="2">
        <v>212</v>
      </c>
      <c r="C5109" s="18" t="s">
        <v>89</v>
      </c>
      <c r="D5109" s="21">
        <v>1</v>
      </c>
      <c r="E5109" s="2">
        <v>0</v>
      </c>
      <c r="F5109" s="21">
        <v>1</v>
      </c>
      <c r="G5109" s="3" t="s">
        <v>7</v>
      </c>
      <c r="H5109" s="2">
        <v>100</v>
      </c>
      <c r="I5109" s="116">
        <v>202</v>
      </c>
      <c r="J5109" s="115" t="s">
        <v>84</v>
      </c>
      <c r="K5109" s="2" t="s">
        <v>84</v>
      </c>
      <c r="L5109" s="2">
        <v>0</v>
      </c>
      <c r="M5109" s="2" t="s">
        <v>84</v>
      </c>
      <c r="N5109" s="2" t="s">
        <v>84</v>
      </c>
      <c r="O5109" s="2" t="s">
        <v>841</v>
      </c>
      <c r="P5109" s="2" t="s">
        <v>84</v>
      </c>
    </row>
    <row r="5110" spans="1:16" ht="21" customHeight="1" x14ac:dyDescent="0.15">
      <c r="A5110" s="10" t="str">
        <f t="shared" si="849"/>
        <v>212_2_0_2_link</v>
      </c>
      <c r="B5110" s="2">
        <v>212</v>
      </c>
      <c r="C5110" s="18" t="s">
        <v>90</v>
      </c>
      <c r="D5110" s="21">
        <v>2</v>
      </c>
      <c r="E5110" s="2">
        <v>0</v>
      </c>
      <c r="F5110" s="21">
        <v>2</v>
      </c>
      <c r="G5110" s="3" t="s">
        <v>7</v>
      </c>
      <c r="H5110" s="2">
        <v>200</v>
      </c>
      <c r="I5110" s="116">
        <v>202</v>
      </c>
      <c r="J5110" s="115" t="s">
        <v>84</v>
      </c>
      <c r="K5110" s="2" t="s">
        <v>84</v>
      </c>
      <c r="L5110" s="2">
        <v>0</v>
      </c>
      <c r="M5110" s="2" t="s">
        <v>84</v>
      </c>
      <c r="N5110" s="2" t="s">
        <v>84</v>
      </c>
      <c r="O5110" s="2" t="s">
        <v>841</v>
      </c>
      <c r="P5110" s="2" t="s">
        <v>84</v>
      </c>
    </row>
    <row r="5111" spans="1:16" ht="21" customHeight="1" x14ac:dyDescent="0.15">
      <c r="A5111" s="10" t="str">
        <f t="shared" si="849"/>
        <v>212_3_0_3_link</v>
      </c>
      <c r="B5111" s="2">
        <v>212</v>
      </c>
      <c r="C5111" s="18" t="s">
        <v>91</v>
      </c>
      <c r="D5111" s="21">
        <v>3</v>
      </c>
      <c r="E5111" s="2">
        <v>0</v>
      </c>
      <c r="F5111" s="21">
        <v>3</v>
      </c>
      <c r="G5111" s="3" t="s">
        <v>7</v>
      </c>
      <c r="H5111" s="2">
        <v>300</v>
      </c>
      <c r="I5111" s="116">
        <v>202</v>
      </c>
      <c r="J5111" s="115" t="s">
        <v>84</v>
      </c>
      <c r="K5111" s="2" t="s">
        <v>84</v>
      </c>
      <c r="L5111" s="2">
        <v>0</v>
      </c>
      <c r="M5111" s="2" t="s">
        <v>84</v>
      </c>
      <c r="N5111" s="2" t="s">
        <v>84</v>
      </c>
      <c r="O5111" s="2" t="s">
        <v>841</v>
      </c>
      <c r="P5111" s="2" t="s">
        <v>84</v>
      </c>
    </row>
    <row r="5112" spans="1:16" ht="21" customHeight="1" x14ac:dyDescent="0.15">
      <c r="A5112" s="10" t="str">
        <f t="shared" si="849"/>
        <v>212_4_0_4_link</v>
      </c>
      <c r="B5112" s="2">
        <v>212</v>
      </c>
      <c r="C5112" s="18" t="s">
        <v>92</v>
      </c>
      <c r="D5112" s="21">
        <v>4</v>
      </c>
      <c r="E5112" s="2">
        <v>0</v>
      </c>
      <c r="F5112" s="21">
        <v>4</v>
      </c>
      <c r="G5112" s="3" t="s">
        <v>7</v>
      </c>
      <c r="H5112" s="2">
        <v>400</v>
      </c>
      <c r="I5112" s="116">
        <v>202</v>
      </c>
      <c r="J5112" s="115" t="s">
        <v>84</v>
      </c>
      <c r="K5112" s="2" t="s">
        <v>84</v>
      </c>
      <c r="L5112" s="2">
        <v>0</v>
      </c>
      <c r="M5112" s="2" t="s">
        <v>84</v>
      </c>
      <c r="N5112" s="2" t="s">
        <v>84</v>
      </c>
      <c r="O5112" s="2" t="s">
        <v>841</v>
      </c>
      <c r="P5112" s="2" t="s">
        <v>84</v>
      </c>
    </row>
    <row r="5113" spans="1:16" ht="21" customHeight="1" x14ac:dyDescent="0.15">
      <c r="A5113" s="10" t="str">
        <f t="shared" si="849"/>
        <v>212_5_0_5_link</v>
      </c>
      <c r="B5113" s="2">
        <v>212</v>
      </c>
      <c r="C5113" s="18" t="s">
        <v>93</v>
      </c>
      <c r="D5113" s="21">
        <v>5</v>
      </c>
      <c r="E5113" s="2">
        <v>0</v>
      </c>
      <c r="F5113" s="21">
        <v>5</v>
      </c>
      <c r="G5113" s="3" t="s">
        <v>7</v>
      </c>
      <c r="H5113" s="2">
        <v>500</v>
      </c>
      <c r="I5113" s="116">
        <v>202</v>
      </c>
      <c r="J5113" s="115" t="s">
        <v>84</v>
      </c>
      <c r="K5113" s="2" t="s">
        <v>84</v>
      </c>
      <c r="L5113" s="2">
        <v>0</v>
      </c>
      <c r="M5113" s="2" t="s">
        <v>84</v>
      </c>
      <c r="N5113" s="2" t="s">
        <v>84</v>
      </c>
      <c r="O5113" s="2" t="s">
        <v>841</v>
      </c>
      <c r="P5113" s="2" t="s">
        <v>84</v>
      </c>
    </row>
    <row r="5114" spans="1:16" ht="21" customHeight="1" x14ac:dyDescent="0.15">
      <c r="A5114" s="10" t="str">
        <f t="shared" si="849"/>
        <v>212_6_0_6_link</v>
      </c>
      <c r="B5114" s="2">
        <v>212</v>
      </c>
      <c r="C5114" s="18" t="s">
        <v>94</v>
      </c>
      <c r="D5114" s="21">
        <v>6</v>
      </c>
      <c r="E5114" s="2">
        <v>0</v>
      </c>
      <c r="F5114" s="21">
        <v>6</v>
      </c>
      <c r="G5114" s="3" t="s">
        <v>7</v>
      </c>
      <c r="H5114" s="2">
        <v>600</v>
      </c>
      <c r="I5114" s="116">
        <v>202</v>
      </c>
      <c r="J5114" s="115" t="s">
        <v>84</v>
      </c>
      <c r="K5114" s="2" t="s">
        <v>84</v>
      </c>
      <c r="L5114" s="2">
        <v>0</v>
      </c>
      <c r="M5114" s="2" t="s">
        <v>84</v>
      </c>
      <c r="N5114" s="2" t="s">
        <v>84</v>
      </c>
      <c r="O5114" s="2" t="s">
        <v>841</v>
      </c>
      <c r="P5114" s="2" t="s">
        <v>84</v>
      </c>
    </row>
    <row r="5115" spans="1:16" ht="21" customHeight="1" x14ac:dyDescent="0.15">
      <c r="A5115" s="10" t="str">
        <f t="shared" si="849"/>
        <v>212_7_0_7_link</v>
      </c>
      <c r="B5115" s="2">
        <v>212</v>
      </c>
      <c r="C5115" s="18" t="s">
        <v>95</v>
      </c>
      <c r="D5115" s="21">
        <v>7</v>
      </c>
      <c r="E5115" s="2">
        <v>0</v>
      </c>
      <c r="F5115" s="21">
        <v>7</v>
      </c>
      <c r="G5115" s="3" t="s">
        <v>7</v>
      </c>
      <c r="H5115" s="2">
        <v>700</v>
      </c>
      <c r="I5115" s="116">
        <v>202</v>
      </c>
      <c r="J5115" s="115" t="s">
        <v>84</v>
      </c>
      <c r="K5115" s="2" t="s">
        <v>84</v>
      </c>
      <c r="L5115" s="2">
        <v>0</v>
      </c>
      <c r="M5115" s="2" t="s">
        <v>84</v>
      </c>
      <c r="N5115" s="2" t="s">
        <v>84</v>
      </c>
      <c r="O5115" s="2" t="s">
        <v>841</v>
      </c>
      <c r="P5115" s="2" t="s">
        <v>84</v>
      </c>
    </row>
    <row r="5116" spans="1:16" ht="21" customHeight="1" x14ac:dyDescent="0.15">
      <c r="A5116" s="10" t="str">
        <f t="shared" si="849"/>
        <v>212_8_0_8_link</v>
      </c>
      <c r="B5116" s="2">
        <v>212</v>
      </c>
      <c r="C5116" s="18" t="s">
        <v>96</v>
      </c>
      <c r="D5116" s="21">
        <v>8</v>
      </c>
      <c r="E5116" s="2">
        <v>0</v>
      </c>
      <c r="F5116" s="21">
        <v>8</v>
      </c>
      <c r="G5116" s="3" t="s">
        <v>7</v>
      </c>
      <c r="H5116" s="2">
        <v>800</v>
      </c>
      <c r="I5116" s="116">
        <v>202</v>
      </c>
      <c r="J5116" s="115" t="s">
        <v>84</v>
      </c>
      <c r="K5116" s="2" t="s">
        <v>84</v>
      </c>
      <c r="L5116" s="2">
        <v>0</v>
      </c>
      <c r="M5116" s="2" t="s">
        <v>84</v>
      </c>
      <c r="N5116" s="2" t="s">
        <v>84</v>
      </c>
      <c r="O5116" s="2" t="s">
        <v>841</v>
      </c>
      <c r="P5116" s="2" t="s">
        <v>84</v>
      </c>
    </row>
    <row r="5117" spans="1:16" ht="21" customHeight="1" x14ac:dyDescent="0.15">
      <c r="A5117" s="10" t="str">
        <f t="shared" si="849"/>
        <v>212_9_0_9_link</v>
      </c>
      <c r="B5117" s="2">
        <v>212</v>
      </c>
      <c r="C5117" s="18" t="s">
        <v>97</v>
      </c>
      <c r="D5117" s="21">
        <v>9</v>
      </c>
      <c r="E5117" s="2">
        <v>0</v>
      </c>
      <c r="F5117" s="21">
        <v>9</v>
      </c>
      <c r="G5117" s="3" t="s">
        <v>7</v>
      </c>
      <c r="H5117" s="2">
        <v>900</v>
      </c>
      <c r="I5117" s="116">
        <v>202</v>
      </c>
      <c r="J5117" s="115" t="s">
        <v>84</v>
      </c>
      <c r="K5117" s="2" t="s">
        <v>84</v>
      </c>
      <c r="L5117" s="2">
        <v>0</v>
      </c>
      <c r="M5117" s="2" t="s">
        <v>84</v>
      </c>
      <c r="N5117" s="2" t="s">
        <v>84</v>
      </c>
      <c r="O5117" s="2" t="s">
        <v>841</v>
      </c>
      <c r="P5117" s="2" t="s">
        <v>84</v>
      </c>
    </row>
    <row r="5118" spans="1:16" ht="21" customHeight="1" x14ac:dyDescent="0.15">
      <c r="A5118" s="10" t="str">
        <f t="shared" si="849"/>
        <v>212_10_0_10_link</v>
      </c>
      <c r="B5118" s="2">
        <v>212</v>
      </c>
      <c r="C5118" s="18" t="s">
        <v>98</v>
      </c>
      <c r="D5118" s="21">
        <v>10</v>
      </c>
      <c r="E5118" s="2">
        <v>0</v>
      </c>
      <c r="F5118" s="21">
        <v>10</v>
      </c>
      <c r="G5118" s="3" t="s">
        <v>7</v>
      </c>
      <c r="H5118" s="2">
        <v>1000</v>
      </c>
      <c r="I5118" s="116">
        <v>202</v>
      </c>
      <c r="J5118" s="115" t="s">
        <v>84</v>
      </c>
      <c r="K5118" s="2" t="s">
        <v>84</v>
      </c>
      <c r="L5118" s="2">
        <v>0</v>
      </c>
      <c r="M5118" s="2" t="s">
        <v>84</v>
      </c>
      <c r="N5118" s="2" t="s">
        <v>84</v>
      </c>
      <c r="O5118" s="2" t="s">
        <v>841</v>
      </c>
      <c r="P5118" s="2" t="s">
        <v>84</v>
      </c>
    </row>
    <row r="5119" spans="1:16" ht="21" customHeight="1" x14ac:dyDescent="0.15">
      <c r="A5119" s="10" t="str">
        <f t="shared" ref="A5119:A5128" si="850">B5119&amp;"_"&amp;D5119&amp;"_"&amp;E5119&amp;"_"&amp;F5119&amp;"_"&amp;G5119</f>
        <v>215_1_0_1_link</v>
      </c>
      <c r="B5119" s="2">
        <v>215</v>
      </c>
      <c r="C5119" s="18" t="s">
        <v>2834</v>
      </c>
      <c r="D5119" s="21">
        <v>1</v>
      </c>
      <c r="E5119" s="2">
        <v>0</v>
      </c>
      <c r="F5119" s="21">
        <v>1</v>
      </c>
      <c r="G5119" s="3" t="s">
        <v>7</v>
      </c>
      <c r="H5119" s="2">
        <v>100</v>
      </c>
      <c r="I5119" s="116">
        <v>215</v>
      </c>
      <c r="J5119" s="115" t="s">
        <v>84</v>
      </c>
      <c r="K5119" s="2" t="s">
        <v>84</v>
      </c>
      <c r="L5119" s="2">
        <v>0</v>
      </c>
      <c r="M5119" s="2" t="s">
        <v>84</v>
      </c>
      <c r="N5119" s="2" t="s">
        <v>84</v>
      </c>
      <c r="O5119" s="2" t="s">
        <v>841</v>
      </c>
      <c r="P5119" s="2" t="s">
        <v>84</v>
      </c>
    </row>
    <row r="5120" spans="1:16" ht="21" customHeight="1" x14ac:dyDescent="0.15">
      <c r="A5120" s="10" t="str">
        <f t="shared" si="850"/>
        <v>215_2_0_2_link</v>
      </c>
      <c r="B5120" s="2">
        <v>215</v>
      </c>
      <c r="C5120" s="18" t="s">
        <v>2835</v>
      </c>
      <c r="D5120" s="21">
        <v>2</v>
      </c>
      <c r="E5120" s="2">
        <v>0</v>
      </c>
      <c r="F5120" s="21">
        <v>2</v>
      </c>
      <c r="G5120" s="3" t="s">
        <v>7</v>
      </c>
      <c r="H5120" s="2">
        <v>200</v>
      </c>
      <c r="I5120" s="116">
        <v>215</v>
      </c>
      <c r="J5120" s="115" t="s">
        <v>84</v>
      </c>
      <c r="K5120" s="2" t="s">
        <v>84</v>
      </c>
      <c r="L5120" s="2">
        <v>0</v>
      </c>
      <c r="M5120" s="2" t="s">
        <v>84</v>
      </c>
      <c r="N5120" s="2" t="s">
        <v>84</v>
      </c>
      <c r="O5120" s="2" t="s">
        <v>841</v>
      </c>
      <c r="P5120" s="2" t="s">
        <v>84</v>
      </c>
    </row>
    <row r="5121" spans="1:16" ht="21" customHeight="1" x14ac:dyDescent="0.15">
      <c r="A5121" s="10" t="str">
        <f t="shared" si="850"/>
        <v>215_3_0_3_link</v>
      </c>
      <c r="B5121" s="2">
        <v>215</v>
      </c>
      <c r="C5121" s="18" t="s">
        <v>2836</v>
      </c>
      <c r="D5121" s="21">
        <v>3</v>
      </c>
      <c r="E5121" s="2">
        <v>0</v>
      </c>
      <c r="F5121" s="21">
        <v>3</v>
      </c>
      <c r="G5121" s="3" t="s">
        <v>7</v>
      </c>
      <c r="H5121" s="2">
        <v>300</v>
      </c>
      <c r="I5121" s="116">
        <v>215</v>
      </c>
      <c r="J5121" s="115" t="s">
        <v>84</v>
      </c>
      <c r="K5121" s="2" t="s">
        <v>84</v>
      </c>
      <c r="L5121" s="2">
        <v>0</v>
      </c>
      <c r="M5121" s="2" t="s">
        <v>84</v>
      </c>
      <c r="N5121" s="2" t="s">
        <v>84</v>
      </c>
      <c r="O5121" s="2" t="s">
        <v>841</v>
      </c>
      <c r="P5121" s="2" t="s">
        <v>84</v>
      </c>
    </row>
    <row r="5122" spans="1:16" ht="21" customHeight="1" x14ac:dyDescent="0.15">
      <c r="A5122" s="10" t="str">
        <f t="shared" si="850"/>
        <v>215_4_0_4_link</v>
      </c>
      <c r="B5122" s="2">
        <v>215</v>
      </c>
      <c r="C5122" s="18" t="s">
        <v>2837</v>
      </c>
      <c r="D5122" s="21">
        <v>4</v>
      </c>
      <c r="E5122" s="2">
        <v>0</v>
      </c>
      <c r="F5122" s="21">
        <v>4</v>
      </c>
      <c r="G5122" s="3" t="s">
        <v>7</v>
      </c>
      <c r="H5122" s="2">
        <v>400</v>
      </c>
      <c r="I5122" s="116">
        <v>215</v>
      </c>
      <c r="J5122" s="115" t="s">
        <v>84</v>
      </c>
      <c r="K5122" s="2" t="s">
        <v>84</v>
      </c>
      <c r="L5122" s="2">
        <v>0</v>
      </c>
      <c r="M5122" s="2" t="s">
        <v>84</v>
      </c>
      <c r="N5122" s="2" t="s">
        <v>84</v>
      </c>
      <c r="O5122" s="2" t="s">
        <v>841</v>
      </c>
      <c r="P5122" s="2" t="s">
        <v>84</v>
      </c>
    </row>
    <row r="5123" spans="1:16" ht="21" customHeight="1" x14ac:dyDescent="0.15">
      <c r="A5123" s="10" t="str">
        <f t="shared" si="850"/>
        <v>215_5_0_5_link</v>
      </c>
      <c r="B5123" s="2">
        <v>215</v>
      </c>
      <c r="C5123" s="18" t="s">
        <v>2838</v>
      </c>
      <c r="D5123" s="21">
        <v>5</v>
      </c>
      <c r="E5123" s="2">
        <v>0</v>
      </c>
      <c r="F5123" s="21">
        <v>5</v>
      </c>
      <c r="G5123" s="3" t="s">
        <v>7</v>
      </c>
      <c r="H5123" s="2">
        <v>500</v>
      </c>
      <c r="I5123" s="116">
        <v>215</v>
      </c>
      <c r="J5123" s="115" t="s">
        <v>84</v>
      </c>
      <c r="K5123" s="2" t="s">
        <v>84</v>
      </c>
      <c r="L5123" s="2">
        <v>0</v>
      </c>
      <c r="M5123" s="2" t="s">
        <v>84</v>
      </c>
      <c r="N5123" s="2" t="s">
        <v>84</v>
      </c>
      <c r="O5123" s="2" t="s">
        <v>841</v>
      </c>
      <c r="P5123" s="2" t="s">
        <v>84</v>
      </c>
    </row>
    <row r="5124" spans="1:16" ht="21" customHeight="1" x14ac:dyDescent="0.15">
      <c r="A5124" s="10" t="str">
        <f t="shared" si="850"/>
        <v>215_6_0_6_link</v>
      </c>
      <c r="B5124" s="2">
        <v>215</v>
      </c>
      <c r="C5124" s="18" t="s">
        <v>2839</v>
      </c>
      <c r="D5124" s="21">
        <v>6</v>
      </c>
      <c r="E5124" s="2">
        <v>0</v>
      </c>
      <c r="F5124" s="21">
        <v>6</v>
      </c>
      <c r="G5124" s="3" t="s">
        <v>7</v>
      </c>
      <c r="H5124" s="2">
        <v>600</v>
      </c>
      <c r="I5124" s="116">
        <v>215</v>
      </c>
      <c r="J5124" s="115" t="s">
        <v>84</v>
      </c>
      <c r="K5124" s="2" t="s">
        <v>84</v>
      </c>
      <c r="L5124" s="2">
        <v>0</v>
      </c>
      <c r="M5124" s="2" t="s">
        <v>84</v>
      </c>
      <c r="N5124" s="2" t="s">
        <v>84</v>
      </c>
      <c r="O5124" s="2" t="s">
        <v>841</v>
      </c>
      <c r="P5124" s="2" t="s">
        <v>84</v>
      </c>
    </row>
    <row r="5125" spans="1:16" ht="21" customHeight="1" x14ac:dyDescent="0.15">
      <c r="A5125" s="10" t="str">
        <f t="shared" si="850"/>
        <v>215_7_0_7_link</v>
      </c>
      <c r="B5125" s="2">
        <v>215</v>
      </c>
      <c r="C5125" s="18" t="s">
        <v>2840</v>
      </c>
      <c r="D5125" s="21">
        <v>7</v>
      </c>
      <c r="E5125" s="2">
        <v>0</v>
      </c>
      <c r="F5125" s="21">
        <v>7</v>
      </c>
      <c r="G5125" s="3" t="s">
        <v>7</v>
      </c>
      <c r="H5125" s="2">
        <v>700</v>
      </c>
      <c r="I5125" s="116">
        <v>215</v>
      </c>
      <c r="J5125" s="115" t="s">
        <v>84</v>
      </c>
      <c r="K5125" s="2" t="s">
        <v>84</v>
      </c>
      <c r="L5125" s="2">
        <v>0</v>
      </c>
      <c r="M5125" s="2" t="s">
        <v>84</v>
      </c>
      <c r="N5125" s="2" t="s">
        <v>84</v>
      </c>
      <c r="O5125" s="2" t="s">
        <v>841</v>
      </c>
      <c r="P5125" s="2" t="s">
        <v>84</v>
      </c>
    </row>
    <row r="5126" spans="1:16" ht="21" customHeight="1" x14ac:dyDescent="0.15">
      <c r="A5126" s="10" t="str">
        <f t="shared" si="850"/>
        <v>215_8_0_8_link</v>
      </c>
      <c r="B5126" s="2">
        <v>215</v>
      </c>
      <c r="C5126" s="18" t="s">
        <v>2841</v>
      </c>
      <c r="D5126" s="21">
        <v>8</v>
      </c>
      <c r="E5126" s="2">
        <v>0</v>
      </c>
      <c r="F5126" s="21">
        <v>8</v>
      </c>
      <c r="G5126" s="3" t="s">
        <v>7</v>
      </c>
      <c r="H5126" s="2">
        <v>800</v>
      </c>
      <c r="I5126" s="116">
        <v>215</v>
      </c>
      <c r="J5126" s="115" t="s">
        <v>84</v>
      </c>
      <c r="K5126" s="2" t="s">
        <v>84</v>
      </c>
      <c r="L5126" s="2">
        <v>0</v>
      </c>
      <c r="M5126" s="2" t="s">
        <v>84</v>
      </c>
      <c r="N5126" s="2" t="s">
        <v>84</v>
      </c>
      <c r="O5126" s="2" t="s">
        <v>841</v>
      </c>
      <c r="P5126" s="2" t="s">
        <v>84</v>
      </c>
    </row>
    <row r="5127" spans="1:16" ht="21" customHeight="1" x14ac:dyDescent="0.15">
      <c r="A5127" s="10" t="str">
        <f t="shared" si="850"/>
        <v>215_9_0_9_link</v>
      </c>
      <c r="B5127" s="2">
        <v>215</v>
      </c>
      <c r="C5127" s="18" t="s">
        <v>2842</v>
      </c>
      <c r="D5127" s="21">
        <v>9</v>
      </c>
      <c r="E5127" s="2">
        <v>0</v>
      </c>
      <c r="F5127" s="21">
        <v>9</v>
      </c>
      <c r="G5127" s="3" t="s">
        <v>7</v>
      </c>
      <c r="H5127" s="2">
        <v>900</v>
      </c>
      <c r="I5127" s="116">
        <v>215</v>
      </c>
      <c r="J5127" s="115" t="s">
        <v>84</v>
      </c>
      <c r="K5127" s="2" t="s">
        <v>84</v>
      </c>
      <c r="L5127" s="2">
        <v>0</v>
      </c>
      <c r="M5127" s="2" t="s">
        <v>84</v>
      </c>
      <c r="N5127" s="2" t="s">
        <v>84</v>
      </c>
      <c r="O5127" s="2" t="s">
        <v>841</v>
      </c>
      <c r="P5127" s="2" t="s">
        <v>84</v>
      </c>
    </row>
    <row r="5128" spans="1:16" ht="21" customHeight="1" x14ac:dyDescent="0.15">
      <c r="A5128" s="10" t="str">
        <f t="shared" si="850"/>
        <v>215_10_0_10_link</v>
      </c>
      <c r="B5128" s="2">
        <v>215</v>
      </c>
      <c r="C5128" s="18" t="s">
        <v>2843</v>
      </c>
      <c r="D5128" s="21">
        <v>10</v>
      </c>
      <c r="E5128" s="2">
        <v>0</v>
      </c>
      <c r="F5128" s="21">
        <v>10</v>
      </c>
      <c r="G5128" s="3" t="s">
        <v>7</v>
      </c>
      <c r="H5128" s="2">
        <v>1000</v>
      </c>
      <c r="I5128" s="116">
        <v>215</v>
      </c>
      <c r="J5128" s="115" t="s">
        <v>84</v>
      </c>
      <c r="K5128" s="2" t="s">
        <v>84</v>
      </c>
      <c r="L5128" s="2">
        <v>0</v>
      </c>
      <c r="M5128" s="2" t="s">
        <v>84</v>
      </c>
      <c r="N5128" s="2" t="s">
        <v>84</v>
      </c>
      <c r="O5128" s="2" t="s">
        <v>841</v>
      </c>
      <c r="P5128" s="2" t="s">
        <v>84</v>
      </c>
    </row>
    <row r="5129" spans="1:16" ht="21" customHeight="1" x14ac:dyDescent="0.15">
      <c r="A5129" s="10" t="str">
        <f t="shared" ref="A5129:A5148" si="851">B5129&amp;"_"&amp;D5129&amp;"_"&amp;E5129&amp;"_"&amp;F5129&amp;"_"&amp;G5129</f>
        <v>203_1_0_1_link</v>
      </c>
      <c r="B5129" s="2">
        <v>203</v>
      </c>
      <c r="C5129" s="30" t="str">
        <f>VLOOKUP(B5129,gachas!A:C,3)</f>
        <v>ゴールドフィーバー&lt;リンク&gt;</v>
      </c>
      <c r="D5129" s="21">
        <v>1</v>
      </c>
      <c r="E5129" s="2">
        <v>0</v>
      </c>
      <c r="F5129" s="21">
        <v>1</v>
      </c>
      <c r="G5129" s="3" t="s">
        <v>7</v>
      </c>
      <c r="H5129" s="2">
        <v>100</v>
      </c>
      <c r="I5129" s="120">
        <f>B5129</f>
        <v>203</v>
      </c>
      <c r="J5129" s="115" t="s">
        <v>85</v>
      </c>
      <c r="K5129" s="2" t="s">
        <v>84</v>
      </c>
      <c r="L5129" s="2">
        <v>0</v>
      </c>
      <c r="M5129" s="2" t="s">
        <v>86</v>
      </c>
      <c r="N5129" s="2" t="s">
        <v>86</v>
      </c>
      <c r="O5129" s="2" t="s">
        <v>841</v>
      </c>
      <c r="P5129" s="2" t="s">
        <v>86</v>
      </c>
    </row>
    <row r="5130" spans="1:16" ht="21" customHeight="1" x14ac:dyDescent="0.15">
      <c r="A5130" s="10" t="str">
        <f t="shared" si="851"/>
        <v>203_2_0_2_link</v>
      </c>
      <c r="B5130" s="2">
        <v>203</v>
      </c>
      <c r="C5130" s="30" t="str">
        <f>$C$5129&amp;"×"&amp;F5130&amp;"連"</f>
        <v>ゴールドフィーバー&lt;リンク&gt;×2連</v>
      </c>
      <c r="D5130" s="21">
        <v>2</v>
      </c>
      <c r="E5130" s="2">
        <v>0</v>
      </c>
      <c r="F5130" s="21">
        <v>2</v>
      </c>
      <c r="G5130" s="3" t="s">
        <v>7</v>
      </c>
      <c r="H5130" s="17">
        <f>$H$5129*F5130</f>
        <v>200</v>
      </c>
      <c r="I5130" s="120">
        <f t="shared" ref="I5130:I5138" si="852">B5130</f>
        <v>203</v>
      </c>
      <c r="J5130" s="115" t="s">
        <v>85</v>
      </c>
      <c r="K5130" s="2" t="s">
        <v>84</v>
      </c>
      <c r="L5130" s="2">
        <v>0</v>
      </c>
      <c r="M5130" s="2" t="s">
        <v>86</v>
      </c>
      <c r="N5130" s="2" t="s">
        <v>86</v>
      </c>
      <c r="O5130" s="2" t="s">
        <v>841</v>
      </c>
      <c r="P5130" s="2" t="s">
        <v>86</v>
      </c>
    </row>
    <row r="5131" spans="1:16" ht="21" customHeight="1" x14ac:dyDescent="0.15">
      <c r="A5131" s="10" t="str">
        <f t="shared" si="851"/>
        <v>203_3_0_3_link</v>
      </c>
      <c r="B5131" s="2">
        <v>203</v>
      </c>
      <c r="C5131" s="30" t="str">
        <f t="shared" ref="C5131:C5138" si="853">$C$5129&amp;"×"&amp;F5131&amp;"連"</f>
        <v>ゴールドフィーバー&lt;リンク&gt;×3連</v>
      </c>
      <c r="D5131" s="21">
        <v>3</v>
      </c>
      <c r="E5131" s="2">
        <v>0</v>
      </c>
      <c r="F5131" s="21">
        <v>3</v>
      </c>
      <c r="G5131" s="3" t="s">
        <v>7</v>
      </c>
      <c r="H5131" s="17">
        <f t="shared" ref="H5131:H5138" si="854">$H$5129*F5131</f>
        <v>300</v>
      </c>
      <c r="I5131" s="120">
        <f t="shared" si="852"/>
        <v>203</v>
      </c>
      <c r="J5131" s="115" t="s">
        <v>85</v>
      </c>
      <c r="K5131" s="2" t="s">
        <v>84</v>
      </c>
      <c r="L5131" s="2">
        <v>0</v>
      </c>
      <c r="M5131" s="2" t="s">
        <v>86</v>
      </c>
      <c r="N5131" s="2" t="s">
        <v>86</v>
      </c>
      <c r="O5131" s="2" t="s">
        <v>841</v>
      </c>
      <c r="P5131" s="2" t="s">
        <v>86</v>
      </c>
    </row>
    <row r="5132" spans="1:16" ht="21" customHeight="1" x14ac:dyDescent="0.15">
      <c r="A5132" s="10" t="str">
        <f t="shared" si="851"/>
        <v>203_4_0_4_link</v>
      </c>
      <c r="B5132" s="2">
        <v>203</v>
      </c>
      <c r="C5132" s="30" t="str">
        <f t="shared" si="853"/>
        <v>ゴールドフィーバー&lt;リンク&gt;×4連</v>
      </c>
      <c r="D5132" s="21">
        <v>4</v>
      </c>
      <c r="E5132" s="2">
        <v>0</v>
      </c>
      <c r="F5132" s="21">
        <v>4</v>
      </c>
      <c r="G5132" s="3" t="s">
        <v>7</v>
      </c>
      <c r="H5132" s="17">
        <f t="shared" si="854"/>
        <v>400</v>
      </c>
      <c r="I5132" s="120">
        <f t="shared" si="852"/>
        <v>203</v>
      </c>
      <c r="J5132" s="115" t="s">
        <v>85</v>
      </c>
      <c r="K5132" s="2" t="s">
        <v>84</v>
      </c>
      <c r="L5132" s="2">
        <v>0</v>
      </c>
      <c r="M5132" s="2" t="s">
        <v>86</v>
      </c>
      <c r="N5132" s="2" t="s">
        <v>86</v>
      </c>
      <c r="O5132" s="2" t="s">
        <v>841</v>
      </c>
      <c r="P5132" s="2" t="s">
        <v>86</v>
      </c>
    </row>
    <row r="5133" spans="1:16" ht="21" customHeight="1" x14ac:dyDescent="0.15">
      <c r="A5133" s="10" t="str">
        <f t="shared" si="851"/>
        <v>203_5_0_5_link</v>
      </c>
      <c r="B5133" s="2">
        <v>203</v>
      </c>
      <c r="C5133" s="30" t="str">
        <f t="shared" si="853"/>
        <v>ゴールドフィーバー&lt;リンク&gt;×5連</v>
      </c>
      <c r="D5133" s="21">
        <v>5</v>
      </c>
      <c r="E5133" s="2">
        <v>0</v>
      </c>
      <c r="F5133" s="21">
        <v>5</v>
      </c>
      <c r="G5133" s="3" t="s">
        <v>7</v>
      </c>
      <c r="H5133" s="17">
        <f t="shared" si="854"/>
        <v>500</v>
      </c>
      <c r="I5133" s="120">
        <f t="shared" si="852"/>
        <v>203</v>
      </c>
      <c r="J5133" s="115" t="s">
        <v>85</v>
      </c>
      <c r="K5133" s="2" t="s">
        <v>84</v>
      </c>
      <c r="L5133" s="2">
        <v>0</v>
      </c>
      <c r="M5133" s="2" t="s">
        <v>86</v>
      </c>
      <c r="N5133" s="2" t="s">
        <v>86</v>
      </c>
      <c r="O5133" s="2" t="s">
        <v>841</v>
      </c>
      <c r="P5133" s="2" t="s">
        <v>86</v>
      </c>
    </row>
    <row r="5134" spans="1:16" ht="21" customHeight="1" x14ac:dyDescent="0.15">
      <c r="A5134" s="10" t="str">
        <f t="shared" si="851"/>
        <v>203_6_0_6_link</v>
      </c>
      <c r="B5134" s="2">
        <v>203</v>
      </c>
      <c r="C5134" s="30" t="str">
        <f t="shared" si="853"/>
        <v>ゴールドフィーバー&lt;リンク&gt;×6連</v>
      </c>
      <c r="D5134" s="21">
        <v>6</v>
      </c>
      <c r="E5134" s="2">
        <v>0</v>
      </c>
      <c r="F5134" s="21">
        <v>6</v>
      </c>
      <c r="G5134" s="3" t="s">
        <v>7</v>
      </c>
      <c r="H5134" s="17">
        <f t="shared" si="854"/>
        <v>600</v>
      </c>
      <c r="I5134" s="120">
        <f t="shared" si="852"/>
        <v>203</v>
      </c>
      <c r="J5134" s="115" t="s">
        <v>85</v>
      </c>
      <c r="K5134" s="2" t="s">
        <v>84</v>
      </c>
      <c r="L5134" s="2">
        <v>0</v>
      </c>
      <c r="M5134" s="2" t="s">
        <v>86</v>
      </c>
      <c r="N5134" s="2" t="s">
        <v>86</v>
      </c>
      <c r="O5134" s="2" t="s">
        <v>841</v>
      </c>
      <c r="P5134" s="2" t="s">
        <v>86</v>
      </c>
    </row>
    <row r="5135" spans="1:16" ht="21" customHeight="1" x14ac:dyDescent="0.15">
      <c r="A5135" s="10" t="str">
        <f t="shared" si="851"/>
        <v>203_7_0_7_link</v>
      </c>
      <c r="B5135" s="2">
        <v>203</v>
      </c>
      <c r="C5135" s="30" t="str">
        <f t="shared" si="853"/>
        <v>ゴールドフィーバー&lt;リンク&gt;×7連</v>
      </c>
      <c r="D5135" s="21">
        <v>7</v>
      </c>
      <c r="E5135" s="2">
        <v>0</v>
      </c>
      <c r="F5135" s="21">
        <v>7</v>
      </c>
      <c r="G5135" s="3" t="s">
        <v>7</v>
      </c>
      <c r="H5135" s="17">
        <f t="shared" si="854"/>
        <v>700</v>
      </c>
      <c r="I5135" s="120">
        <f t="shared" si="852"/>
        <v>203</v>
      </c>
      <c r="J5135" s="115" t="s">
        <v>85</v>
      </c>
      <c r="K5135" s="2" t="s">
        <v>84</v>
      </c>
      <c r="L5135" s="2">
        <v>0</v>
      </c>
      <c r="M5135" s="2" t="s">
        <v>86</v>
      </c>
      <c r="N5135" s="2" t="s">
        <v>86</v>
      </c>
      <c r="O5135" s="2" t="s">
        <v>841</v>
      </c>
      <c r="P5135" s="2" t="s">
        <v>86</v>
      </c>
    </row>
    <row r="5136" spans="1:16" ht="21" customHeight="1" x14ac:dyDescent="0.15">
      <c r="A5136" s="10" t="str">
        <f t="shared" si="851"/>
        <v>203_8_0_8_link</v>
      </c>
      <c r="B5136" s="2">
        <v>203</v>
      </c>
      <c r="C5136" s="30" t="str">
        <f t="shared" si="853"/>
        <v>ゴールドフィーバー&lt;リンク&gt;×8連</v>
      </c>
      <c r="D5136" s="21">
        <v>8</v>
      </c>
      <c r="E5136" s="2">
        <v>0</v>
      </c>
      <c r="F5136" s="21">
        <v>8</v>
      </c>
      <c r="G5136" s="3" t="s">
        <v>7</v>
      </c>
      <c r="H5136" s="17">
        <f t="shared" si="854"/>
        <v>800</v>
      </c>
      <c r="I5136" s="120">
        <f t="shared" si="852"/>
        <v>203</v>
      </c>
      <c r="J5136" s="115" t="s">
        <v>85</v>
      </c>
      <c r="K5136" s="2" t="s">
        <v>84</v>
      </c>
      <c r="L5136" s="2">
        <v>0</v>
      </c>
      <c r="M5136" s="2" t="s">
        <v>86</v>
      </c>
      <c r="N5136" s="2" t="s">
        <v>86</v>
      </c>
      <c r="O5136" s="2" t="s">
        <v>841</v>
      </c>
      <c r="P5136" s="2" t="s">
        <v>86</v>
      </c>
    </row>
    <row r="5137" spans="1:16" ht="21" customHeight="1" x14ac:dyDescent="0.15">
      <c r="A5137" s="10" t="str">
        <f t="shared" si="851"/>
        <v>203_9_0_9_link</v>
      </c>
      <c r="B5137" s="2">
        <v>203</v>
      </c>
      <c r="C5137" s="30" t="str">
        <f t="shared" si="853"/>
        <v>ゴールドフィーバー&lt;リンク&gt;×9連</v>
      </c>
      <c r="D5137" s="21">
        <v>9</v>
      </c>
      <c r="E5137" s="2">
        <v>0</v>
      </c>
      <c r="F5137" s="21">
        <v>9</v>
      </c>
      <c r="G5137" s="3" t="s">
        <v>7</v>
      </c>
      <c r="H5137" s="17">
        <f t="shared" si="854"/>
        <v>900</v>
      </c>
      <c r="I5137" s="120">
        <f t="shared" si="852"/>
        <v>203</v>
      </c>
      <c r="J5137" s="115" t="s">
        <v>85</v>
      </c>
      <c r="K5137" s="2" t="s">
        <v>84</v>
      </c>
      <c r="L5137" s="2">
        <v>0</v>
      </c>
      <c r="M5137" s="2" t="s">
        <v>86</v>
      </c>
      <c r="N5137" s="2" t="s">
        <v>86</v>
      </c>
      <c r="O5137" s="2" t="s">
        <v>841</v>
      </c>
      <c r="P5137" s="2" t="s">
        <v>86</v>
      </c>
    </row>
    <row r="5138" spans="1:16" ht="21" customHeight="1" x14ac:dyDescent="0.15">
      <c r="A5138" s="10" t="str">
        <f t="shared" si="851"/>
        <v>203_10_0_10_link</v>
      </c>
      <c r="B5138" s="2">
        <v>203</v>
      </c>
      <c r="C5138" s="30" t="str">
        <f t="shared" si="853"/>
        <v>ゴールドフィーバー&lt;リンク&gt;×10連</v>
      </c>
      <c r="D5138" s="21">
        <v>10</v>
      </c>
      <c r="E5138" s="2">
        <v>0</v>
      </c>
      <c r="F5138" s="21">
        <v>10</v>
      </c>
      <c r="G5138" s="3" t="s">
        <v>7</v>
      </c>
      <c r="H5138" s="17">
        <f t="shared" si="854"/>
        <v>1000</v>
      </c>
      <c r="I5138" s="120">
        <f t="shared" si="852"/>
        <v>203</v>
      </c>
      <c r="J5138" s="115" t="s">
        <v>85</v>
      </c>
      <c r="K5138" s="2" t="s">
        <v>84</v>
      </c>
      <c r="L5138" s="2">
        <v>0</v>
      </c>
      <c r="M5138" s="2" t="s">
        <v>86</v>
      </c>
      <c r="N5138" s="2" t="s">
        <v>86</v>
      </c>
      <c r="O5138" s="2" t="s">
        <v>841</v>
      </c>
      <c r="P5138" s="2" t="s">
        <v>86</v>
      </c>
    </row>
    <row r="5139" spans="1:16" ht="21" customHeight="1" x14ac:dyDescent="0.15">
      <c r="A5139" s="10" t="str">
        <f t="shared" si="851"/>
        <v>204_1_0_1_link</v>
      </c>
      <c r="B5139" s="2">
        <v>204</v>
      </c>
      <c r="C5139" s="18" t="s">
        <v>89</v>
      </c>
      <c r="D5139" s="21">
        <v>1</v>
      </c>
      <c r="E5139" s="2">
        <v>0</v>
      </c>
      <c r="F5139" s="21">
        <v>1</v>
      </c>
      <c r="G5139" s="3" t="s">
        <v>7</v>
      </c>
      <c r="H5139" s="2">
        <v>100</v>
      </c>
      <c r="I5139" s="116">
        <v>204</v>
      </c>
      <c r="J5139" s="115" t="s">
        <v>84</v>
      </c>
      <c r="K5139" s="2" t="s">
        <v>84</v>
      </c>
      <c r="L5139" s="2">
        <v>0</v>
      </c>
      <c r="M5139" s="2" t="s">
        <v>84</v>
      </c>
      <c r="N5139" s="2" t="s">
        <v>84</v>
      </c>
      <c r="O5139" s="2" t="s">
        <v>841</v>
      </c>
      <c r="P5139" s="2" t="s">
        <v>84</v>
      </c>
    </row>
    <row r="5140" spans="1:16" ht="21" customHeight="1" x14ac:dyDescent="0.15">
      <c r="A5140" s="10" t="str">
        <f t="shared" si="851"/>
        <v>204_2_0_2_link</v>
      </c>
      <c r="B5140" s="2">
        <v>204</v>
      </c>
      <c r="C5140" s="18" t="s">
        <v>90</v>
      </c>
      <c r="D5140" s="21">
        <v>2</v>
      </c>
      <c r="E5140" s="2">
        <v>0</v>
      </c>
      <c r="F5140" s="21">
        <v>2</v>
      </c>
      <c r="G5140" s="3" t="s">
        <v>7</v>
      </c>
      <c r="H5140" s="2">
        <v>200</v>
      </c>
      <c r="I5140" s="116">
        <v>204</v>
      </c>
      <c r="J5140" s="115" t="s">
        <v>84</v>
      </c>
      <c r="K5140" s="2" t="s">
        <v>84</v>
      </c>
      <c r="L5140" s="2">
        <v>0</v>
      </c>
      <c r="M5140" s="2" t="s">
        <v>84</v>
      </c>
      <c r="N5140" s="2" t="s">
        <v>84</v>
      </c>
      <c r="O5140" s="2" t="s">
        <v>841</v>
      </c>
      <c r="P5140" s="2" t="s">
        <v>84</v>
      </c>
    </row>
    <row r="5141" spans="1:16" ht="21" customHeight="1" x14ac:dyDescent="0.15">
      <c r="A5141" s="10" t="str">
        <f t="shared" si="851"/>
        <v>204_3_0_3_link</v>
      </c>
      <c r="B5141" s="2">
        <v>204</v>
      </c>
      <c r="C5141" s="18" t="s">
        <v>91</v>
      </c>
      <c r="D5141" s="21">
        <v>3</v>
      </c>
      <c r="E5141" s="2">
        <v>0</v>
      </c>
      <c r="F5141" s="21">
        <v>3</v>
      </c>
      <c r="G5141" s="3" t="s">
        <v>7</v>
      </c>
      <c r="H5141" s="2">
        <v>300</v>
      </c>
      <c r="I5141" s="116">
        <v>204</v>
      </c>
      <c r="J5141" s="115" t="s">
        <v>84</v>
      </c>
      <c r="K5141" s="2" t="s">
        <v>84</v>
      </c>
      <c r="L5141" s="2">
        <v>0</v>
      </c>
      <c r="M5141" s="2" t="s">
        <v>84</v>
      </c>
      <c r="N5141" s="2" t="s">
        <v>84</v>
      </c>
      <c r="O5141" s="2" t="s">
        <v>841</v>
      </c>
      <c r="P5141" s="2" t="s">
        <v>84</v>
      </c>
    </row>
    <row r="5142" spans="1:16" ht="21" customHeight="1" x14ac:dyDescent="0.15">
      <c r="A5142" s="10" t="str">
        <f t="shared" si="851"/>
        <v>204_4_0_4_link</v>
      </c>
      <c r="B5142" s="2">
        <v>204</v>
      </c>
      <c r="C5142" s="18" t="s">
        <v>92</v>
      </c>
      <c r="D5142" s="21">
        <v>4</v>
      </c>
      <c r="E5142" s="2">
        <v>0</v>
      </c>
      <c r="F5142" s="21">
        <v>4</v>
      </c>
      <c r="G5142" s="3" t="s">
        <v>7</v>
      </c>
      <c r="H5142" s="2">
        <v>400</v>
      </c>
      <c r="I5142" s="116">
        <v>204</v>
      </c>
      <c r="J5142" s="115" t="s">
        <v>84</v>
      </c>
      <c r="K5142" s="2" t="s">
        <v>84</v>
      </c>
      <c r="L5142" s="2">
        <v>0</v>
      </c>
      <c r="M5142" s="2" t="s">
        <v>84</v>
      </c>
      <c r="N5142" s="2" t="s">
        <v>84</v>
      </c>
      <c r="O5142" s="2" t="s">
        <v>841</v>
      </c>
      <c r="P5142" s="2" t="s">
        <v>84</v>
      </c>
    </row>
    <row r="5143" spans="1:16" ht="21" customHeight="1" x14ac:dyDescent="0.15">
      <c r="A5143" s="10" t="str">
        <f t="shared" si="851"/>
        <v>204_5_0_5_link</v>
      </c>
      <c r="B5143" s="2">
        <v>204</v>
      </c>
      <c r="C5143" s="18" t="s">
        <v>93</v>
      </c>
      <c r="D5143" s="21">
        <v>5</v>
      </c>
      <c r="E5143" s="2">
        <v>0</v>
      </c>
      <c r="F5143" s="21">
        <v>5</v>
      </c>
      <c r="G5143" s="3" t="s">
        <v>7</v>
      </c>
      <c r="H5143" s="2">
        <v>500</v>
      </c>
      <c r="I5143" s="116">
        <v>204</v>
      </c>
      <c r="J5143" s="115" t="s">
        <v>84</v>
      </c>
      <c r="K5143" s="2" t="s">
        <v>84</v>
      </c>
      <c r="L5143" s="2">
        <v>0</v>
      </c>
      <c r="M5143" s="2" t="s">
        <v>84</v>
      </c>
      <c r="N5143" s="2" t="s">
        <v>84</v>
      </c>
      <c r="O5143" s="2" t="s">
        <v>841</v>
      </c>
      <c r="P5143" s="2" t="s">
        <v>84</v>
      </c>
    </row>
    <row r="5144" spans="1:16" ht="21" customHeight="1" x14ac:dyDescent="0.15">
      <c r="A5144" s="10" t="str">
        <f t="shared" si="851"/>
        <v>204_6_0_6_link</v>
      </c>
      <c r="B5144" s="2">
        <v>204</v>
      </c>
      <c r="C5144" s="18" t="s">
        <v>94</v>
      </c>
      <c r="D5144" s="21">
        <v>6</v>
      </c>
      <c r="E5144" s="2">
        <v>0</v>
      </c>
      <c r="F5144" s="21">
        <v>6</v>
      </c>
      <c r="G5144" s="3" t="s">
        <v>7</v>
      </c>
      <c r="H5144" s="2">
        <v>600</v>
      </c>
      <c r="I5144" s="116">
        <v>204</v>
      </c>
      <c r="J5144" s="115" t="s">
        <v>84</v>
      </c>
      <c r="K5144" s="2" t="s">
        <v>84</v>
      </c>
      <c r="L5144" s="2">
        <v>0</v>
      </c>
      <c r="M5144" s="2" t="s">
        <v>84</v>
      </c>
      <c r="N5144" s="2" t="s">
        <v>84</v>
      </c>
      <c r="O5144" s="2" t="s">
        <v>841</v>
      </c>
      <c r="P5144" s="2" t="s">
        <v>84</v>
      </c>
    </row>
    <row r="5145" spans="1:16" ht="21" customHeight="1" x14ac:dyDescent="0.15">
      <c r="A5145" s="10" t="str">
        <f t="shared" si="851"/>
        <v>204_7_0_7_link</v>
      </c>
      <c r="B5145" s="2">
        <v>204</v>
      </c>
      <c r="C5145" s="18" t="s">
        <v>95</v>
      </c>
      <c r="D5145" s="21">
        <v>7</v>
      </c>
      <c r="E5145" s="2">
        <v>0</v>
      </c>
      <c r="F5145" s="21">
        <v>7</v>
      </c>
      <c r="G5145" s="3" t="s">
        <v>7</v>
      </c>
      <c r="H5145" s="2">
        <v>700</v>
      </c>
      <c r="I5145" s="116">
        <v>204</v>
      </c>
      <c r="J5145" s="115" t="s">
        <v>84</v>
      </c>
      <c r="K5145" s="2" t="s">
        <v>84</v>
      </c>
      <c r="L5145" s="2">
        <v>0</v>
      </c>
      <c r="M5145" s="2" t="s">
        <v>84</v>
      </c>
      <c r="N5145" s="2" t="s">
        <v>84</v>
      </c>
      <c r="O5145" s="2" t="s">
        <v>841</v>
      </c>
      <c r="P5145" s="2" t="s">
        <v>84</v>
      </c>
    </row>
    <row r="5146" spans="1:16" ht="21" customHeight="1" x14ac:dyDescent="0.15">
      <c r="A5146" s="10" t="str">
        <f t="shared" si="851"/>
        <v>204_8_0_8_link</v>
      </c>
      <c r="B5146" s="2">
        <v>204</v>
      </c>
      <c r="C5146" s="18" t="s">
        <v>96</v>
      </c>
      <c r="D5146" s="21">
        <v>8</v>
      </c>
      <c r="E5146" s="2">
        <v>0</v>
      </c>
      <c r="F5146" s="21">
        <v>8</v>
      </c>
      <c r="G5146" s="3" t="s">
        <v>7</v>
      </c>
      <c r="H5146" s="2">
        <v>800</v>
      </c>
      <c r="I5146" s="116">
        <v>204</v>
      </c>
      <c r="J5146" s="115" t="s">
        <v>84</v>
      </c>
      <c r="K5146" s="2" t="s">
        <v>84</v>
      </c>
      <c r="L5146" s="2">
        <v>0</v>
      </c>
      <c r="M5146" s="2" t="s">
        <v>84</v>
      </c>
      <c r="N5146" s="2" t="s">
        <v>84</v>
      </c>
      <c r="O5146" s="2" t="s">
        <v>841</v>
      </c>
      <c r="P5146" s="2" t="s">
        <v>84</v>
      </c>
    </row>
    <row r="5147" spans="1:16" ht="21" customHeight="1" x14ac:dyDescent="0.15">
      <c r="A5147" s="10" t="str">
        <f t="shared" si="851"/>
        <v>204_9_0_9_link</v>
      </c>
      <c r="B5147" s="2">
        <v>204</v>
      </c>
      <c r="C5147" s="18" t="s">
        <v>97</v>
      </c>
      <c r="D5147" s="21">
        <v>9</v>
      </c>
      <c r="E5147" s="2">
        <v>0</v>
      </c>
      <c r="F5147" s="21">
        <v>9</v>
      </c>
      <c r="G5147" s="3" t="s">
        <v>7</v>
      </c>
      <c r="H5147" s="2">
        <v>900</v>
      </c>
      <c r="I5147" s="116">
        <v>204</v>
      </c>
      <c r="J5147" s="115" t="s">
        <v>84</v>
      </c>
      <c r="K5147" s="2" t="s">
        <v>84</v>
      </c>
      <c r="L5147" s="2">
        <v>0</v>
      </c>
      <c r="M5147" s="2" t="s">
        <v>84</v>
      </c>
      <c r="N5147" s="2" t="s">
        <v>84</v>
      </c>
      <c r="O5147" s="2" t="s">
        <v>841</v>
      </c>
      <c r="P5147" s="2" t="s">
        <v>84</v>
      </c>
    </row>
    <row r="5148" spans="1:16" ht="21" customHeight="1" x14ac:dyDescent="0.15">
      <c r="A5148" s="10" t="str">
        <f t="shared" si="851"/>
        <v>204_10_0_10_link</v>
      </c>
      <c r="B5148" s="2">
        <v>204</v>
      </c>
      <c r="C5148" s="18" t="s">
        <v>98</v>
      </c>
      <c r="D5148" s="21">
        <v>10</v>
      </c>
      <c r="E5148" s="2">
        <v>0</v>
      </c>
      <c r="F5148" s="21">
        <v>10</v>
      </c>
      <c r="G5148" s="3" t="s">
        <v>7</v>
      </c>
      <c r="H5148" s="2">
        <v>1000</v>
      </c>
      <c r="I5148" s="116">
        <v>204</v>
      </c>
      <c r="J5148" s="115" t="s">
        <v>84</v>
      </c>
      <c r="K5148" s="2" t="s">
        <v>84</v>
      </c>
      <c r="L5148" s="2">
        <v>0</v>
      </c>
      <c r="M5148" s="2" t="s">
        <v>84</v>
      </c>
      <c r="N5148" s="2" t="s">
        <v>84</v>
      </c>
      <c r="O5148" s="2" t="s">
        <v>841</v>
      </c>
      <c r="P5148" s="2" t="s">
        <v>84</v>
      </c>
    </row>
    <row r="5149" spans="1:16" ht="21" customHeight="1" x14ac:dyDescent="0.15">
      <c r="A5149" s="10" t="str">
        <f t="shared" ref="A5149:A5158" si="855">B5149&amp;"_"&amp;D5149&amp;"_"&amp;E5149&amp;"_"&amp;F5149&amp;"_"&amp;G5149</f>
        <v>205_1_0_1_link</v>
      </c>
      <c r="B5149" s="2">
        <v>205</v>
      </c>
      <c r="C5149" s="18" t="s">
        <v>89</v>
      </c>
      <c r="D5149" s="21">
        <v>1</v>
      </c>
      <c r="E5149" s="2">
        <v>0</v>
      </c>
      <c r="F5149" s="21">
        <v>1</v>
      </c>
      <c r="G5149" s="3" t="s">
        <v>7</v>
      </c>
      <c r="H5149" s="2">
        <v>100</v>
      </c>
      <c r="I5149" s="116">
        <v>205</v>
      </c>
      <c r="J5149" s="115" t="s">
        <v>84</v>
      </c>
      <c r="K5149" s="2" t="s">
        <v>84</v>
      </c>
      <c r="L5149" s="2">
        <v>0</v>
      </c>
      <c r="M5149" s="2" t="s">
        <v>84</v>
      </c>
      <c r="N5149" s="2" t="s">
        <v>84</v>
      </c>
      <c r="O5149" s="2" t="s">
        <v>841</v>
      </c>
      <c r="P5149" s="2" t="s">
        <v>84</v>
      </c>
    </row>
    <row r="5150" spans="1:16" ht="21" customHeight="1" x14ac:dyDescent="0.15">
      <c r="A5150" s="10" t="str">
        <f t="shared" si="855"/>
        <v>205_2_0_2_link</v>
      </c>
      <c r="B5150" s="2">
        <v>205</v>
      </c>
      <c r="C5150" s="18" t="s">
        <v>90</v>
      </c>
      <c r="D5150" s="21">
        <v>2</v>
      </c>
      <c r="E5150" s="2">
        <v>0</v>
      </c>
      <c r="F5150" s="21">
        <v>2</v>
      </c>
      <c r="G5150" s="3" t="s">
        <v>7</v>
      </c>
      <c r="H5150" s="2">
        <v>200</v>
      </c>
      <c r="I5150" s="116">
        <v>205</v>
      </c>
      <c r="J5150" s="115" t="s">
        <v>84</v>
      </c>
      <c r="K5150" s="2" t="s">
        <v>84</v>
      </c>
      <c r="L5150" s="2">
        <v>0</v>
      </c>
      <c r="M5150" s="2" t="s">
        <v>84</v>
      </c>
      <c r="N5150" s="2" t="s">
        <v>84</v>
      </c>
      <c r="O5150" s="2" t="s">
        <v>841</v>
      </c>
      <c r="P5150" s="2" t="s">
        <v>84</v>
      </c>
    </row>
    <row r="5151" spans="1:16" ht="21" customHeight="1" x14ac:dyDescent="0.15">
      <c r="A5151" s="10" t="str">
        <f t="shared" si="855"/>
        <v>205_3_0_3_link</v>
      </c>
      <c r="B5151" s="2">
        <v>205</v>
      </c>
      <c r="C5151" s="18" t="s">
        <v>91</v>
      </c>
      <c r="D5151" s="21">
        <v>3</v>
      </c>
      <c r="E5151" s="2">
        <v>0</v>
      </c>
      <c r="F5151" s="21">
        <v>3</v>
      </c>
      <c r="G5151" s="3" t="s">
        <v>7</v>
      </c>
      <c r="H5151" s="2">
        <v>300</v>
      </c>
      <c r="I5151" s="116">
        <v>205</v>
      </c>
      <c r="J5151" s="115" t="s">
        <v>84</v>
      </c>
      <c r="K5151" s="2" t="s">
        <v>84</v>
      </c>
      <c r="L5151" s="2">
        <v>0</v>
      </c>
      <c r="M5151" s="2" t="s">
        <v>84</v>
      </c>
      <c r="N5151" s="2" t="s">
        <v>84</v>
      </c>
      <c r="O5151" s="2" t="s">
        <v>841</v>
      </c>
      <c r="P5151" s="2" t="s">
        <v>84</v>
      </c>
    </row>
    <row r="5152" spans="1:16" ht="21" customHeight="1" x14ac:dyDescent="0.15">
      <c r="A5152" s="10" t="str">
        <f t="shared" si="855"/>
        <v>205_4_0_4_link</v>
      </c>
      <c r="B5152" s="2">
        <v>205</v>
      </c>
      <c r="C5152" s="18" t="s">
        <v>92</v>
      </c>
      <c r="D5152" s="21">
        <v>4</v>
      </c>
      <c r="E5152" s="2">
        <v>0</v>
      </c>
      <c r="F5152" s="21">
        <v>4</v>
      </c>
      <c r="G5152" s="3" t="s">
        <v>7</v>
      </c>
      <c r="H5152" s="2">
        <v>400</v>
      </c>
      <c r="I5152" s="116">
        <v>205</v>
      </c>
      <c r="J5152" s="115" t="s">
        <v>84</v>
      </c>
      <c r="K5152" s="2" t="s">
        <v>84</v>
      </c>
      <c r="L5152" s="2">
        <v>0</v>
      </c>
      <c r="M5152" s="2" t="s">
        <v>84</v>
      </c>
      <c r="N5152" s="2" t="s">
        <v>84</v>
      </c>
      <c r="O5152" s="2" t="s">
        <v>841</v>
      </c>
      <c r="P5152" s="2" t="s">
        <v>84</v>
      </c>
    </row>
    <row r="5153" spans="1:16" ht="21" customHeight="1" x14ac:dyDescent="0.15">
      <c r="A5153" s="10" t="str">
        <f t="shared" si="855"/>
        <v>205_5_0_5_link</v>
      </c>
      <c r="B5153" s="2">
        <v>205</v>
      </c>
      <c r="C5153" s="18" t="s">
        <v>93</v>
      </c>
      <c r="D5153" s="21">
        <v>5</v>
      </c>
      <c r="E5153" s="2">
        <v>0</v>
      </c>
      <c r="F5153" s="21">
        <v>5</v>
      </c>
      <c r="G5153" s="3" t="s">
        <v>7</v>
      </c>
      <c r="H5153" s="2">
        <v>500</v>
      </c>
      <c r="I5153" s="116">
        <v>205</v>
      </c>
      <c r="J5153" s="115" t="s">
        <v>84</v>
      </c>
      <c r="K5153" s="2" t="s">
        <v>84</v>
      </c>
      <c r="L5153" s="2">
        <v>0</v>
      </c>
      <c r="M5153" s="2" t="s">
        <v>84</v>
      </c>
      <c r="N5153" s="2" t="s">
        <v>84</v>
      </c>
      <c r="O5153" s="2" t="s">
        <v>841</v>
      </c>
      <c r="P5153" s="2" t="s">
        <v>84</v>
      </c>
    </row>
    <row r="5154" spans="1:16" ht="21" customHeight="1" x14ac:dyDescent="0.15">
      <c r="A5154" s="10" t="str">
        <f t="shared" si="855"/>
        <v>205_6_0_6_link</v>
      </c>
      <c r="B5154" s="2">
        <v>205</v>
      </c>
      <c r="C5154" s="18" t="s">
        <v>94</v>
      </c>
      <c r="D5154" s="21">
        <v>6</v>
      </c>
      <c r="E5154" s="2">
        <v>0</v>
      </c>
      <c r="F5154" s="21">
        <v>6</v>
      </c>
      <c r="G5154" s="3" t="s">
        <v>7</v>
      </c>
      <c r="H5154" s="2">
        <v>600</v>
      </c>
      <c r="I5154" s="116">
        <v>205</v>
      </c>
      <c r="J5154" s="115" t="s">
        <v>84</v>
      </c>
      <c r="K5154" s="2" t="s">
        <v>84</v>
      </c>
      <c r="L5154" s="2">
        <v>0</v>
      </c>
      <c r="M5154" s="2" t="s">
        <v>84</v>
      </c>
      <c r="N5154" s="2" t="s">
        <v>84</v>
      </c>
      <c r="O5154" s="2" t="s">
        <v>841</v>
      </c>
      <c r="P5154" s="2" t="s">
        <v>84</v>
      </c>
    </row>
    <row r="5155" spans="1:16" ht="21" customHeight="1" x14ac:dyDescent="0.15">
      <c r="A5155" s="10" t="str">
        <f t="shared" si="855"/>
        <v>205_7_0_7_link</v>
      </c>
      <c r="B5155" s="2">
        <v>205</v>
      </c>
      <c r="C5155" s="18" t="s">
        <v>95</v>
      </c>
      <c r="D5155" s="21">
        <v>7</v>
      </c>
      <c r="E5155" s="2">
        <v>0</v>
      </c>
      <c r="F5155" s="21">
        <v>7</v>
      </c>
      <c r="G5155" s="3" t="s">
        <v>7</v>
      </c>
      <c r="H5155" s="2">
        <v>700</v>
      </c>
      <c r="I5155" s="116">
        <v>205</v>
      </c>
      <c r="J5155" s="115" t="s">
        <v>84</v>
      </c>
      <c r="K5155" s="2" t="s">
        <v>84</v>
      </c>
      <c r="L5155" s="2">
        <v>0</v>
      </c>
      <c r="M5155" s="2" t="s">
        <v>84</v>
      </c>
      <c r="N5155" s="2" t="s">
        <v>84</v>
      </c>
      <c r="O5155" s="2" t="s">
        <v>841</v>
      </c>
      <c r="P5155" s="2" t="s">
        <v>84</v>
      </c>
    </row>
    <row r="5156" spans="1:16" ht="21" customHeight="1" x14ac:dyDescent="0.15">
      <c r="A5156" s="10" t="str">
        <f t="shared" si="855"/>
        <v>205_8_0_8_link</v>
      </c>
      <c r="B5156" s="2">
        <v>205</v>
      </c>
      <c r="C5156" s="18" t="s">
        <v>96</v>
      </c>
      <c r="D5156" s="21">
        <v>8</v>
      </c>
      <c r="E5156" s="2">
        <v>0</v>
      </c>
      <c r="F5156" s="21">
        <v>8</v>
      </c>
      <c r="G5156" s="3" t="s">
        <v>7</v>
      </c>
      <c r="H5156" s="2">
        <v>800</v>
      </c>
      <c r="I5156" s="116">
        <v>205</v>
      </c>
      <c r="J5156" s="115" t="s">
        <v>84</v>
      </c>
      <c r="K5156" s="2" t="s">
        <v>84</v>
      </c>
      <c r="L5156" s="2">
        <v>0</v>
      </c>
      <c r="M5156" s="2" t="s">
        <v>84</v>
      </c>
      <c r="N5156" s="2" t="s">
        <v>84</v>
      </c>
      <c r="O5156" s="2" t="s">
        <v>841</v>
      </c>
      <c r="P5156" s="2" t="s">
        <v>84</v>
      </c>
    </row>
    <row r="5157" spans="1:16" ht="21" customHeight="1" x14ac:dyDescent="0.15">
      <c r="A5157" s="10" t="str">
        <f t="shared" si="855"/>
        <v>205_9_0_9_link</v>
      </c>
      <c r="B5157" s="2">
        <v>205</v>
      </c>
      <c r="C5157" s="18" t="s">
        <v>97</v>
      </c>
      <c r="D5157" s="21">
        <v>9</v>
      </c>
      <c r="E5157" s="2">
        <v>0</v>
      </c>
      <c r="F5157" s="21">
        <v>9</v>
      </c>
      <c r="G5157" s="3" t="s">
        <v>7</v>
      </c>
      <c r="H5157" s="2">
        <v>900</v>
      </c>
      <c r="I5157" s="116">
        <v>205</v>
      </c>
      <c r="J5157" s="115" t="s">
        <v>84</v>
      </c>
      <c r="K5157" s="2" t="s">
        <v>84</v>
      </c>
      <c r="L5157" s="2">
        <v>0</v>
      </c>
      <c r="M5157" s="2" t="s">
        <v>84</v>
      </c>
      <c r="N5157" s="2" t="s">
        <v>84</v>
      </c>
      <c r="O5157" s="2" t="s">
        <v>841</v>
      </c>
      <c r="P5157" s="2" t="s">
        <v>84</v>
      </c>
    </row>
    <row r="5158" spans="1:16" ht="21" customHeight="1" x14ac:dyDescent="0.15">
      <c r="A5158" s="10" t="str">
        <f t="shared" si="855"/>
        <v>205_10_0_10_link</v>
      </c>
      <c r="B5158" s="2">
        <v>205</v>
      </c>
      <c r="C5158" s="18" t="s">
        <v>98</v>
      </c>
      <c r="D5158" s="21">
        <v>10</v>
      </c>
      <c r="E5158" s="2">
        <v>0</v>
      </c>
      <c r="F5158" s="21">
        <v>10</v>
      </c>
      <c r="G5158" s="3" t="s">
        <v>7</v>
      </c>
      <c r="H5158" s="2">
        <v>1000</v>
      </c>
      <c r="I5158" s="116">
        <v>205</v>
      </c>
      <c r="J5158" s="115" t="s">
        <v>84</v>
      </c>
      <c r="K5158" s="2" t="s">
        <v>84</v>
      </c>
      <c r="L5158" s="2">
        <v>0</v>
      </c>
      <c r="M5158" s="2" t="s">
        <v>84</v>
      </c>
      <c r="N5158" s="2" t="s">
        <v>84</v>
      </c>
      <c r="O5158" s="2" t="s">
        <v>841</v>
      </c>
      <c r="P5158" s="2" t="s">
        <v>84</v>
      </c>
    </row>
    <row r="5159" spans="1:16" ht="21" customHeight="1" x14ac:dyDescent="0.15">
      <c r="A5159" s="10" t="str">
        <f t="shared" ref="A5159:A5262" si="856">B5159&amp;"_"&amp;D5159&amp;"_"&amp;E5159&amp;"_"&amp;F5159&amp;"_"&amp;G5159</f>
        <v>206_1_0_1_link</v>
      </c>
      <c r="B5159" s="2">
        <v>206</v>
      </c>
      <c r="C5159" s="18" t="s">
        <v>468</v>
      </c>
      <c r="D5159" s="21">
        <v>1</v>
      </c>
      <c r="E5159" s="2">
        <v>0</v>
      </c>
      <c r="F5159" s="21">
        <v>1</v>
      </c>
      <c r="G5159" s="3" t="s">
        <v>7</v>
      </c>
      <c r="H5159" s="2">
        <v>100</v>
      </c>
      <c r="I5159" s="116">
        <v>206</v>
      </c>
      <c r="J5159" s="115" t="s">
        <v>84</v>
      </c>
      <c r="K5159" s="2" t="s">
        <v>84</v>
      </c>
      <c r="L5159" s="2">
        <v>0</v>
      </c>
      <c r="M5159" s="2" t="s">
        <v>84</v>
      </c>
      <c r="N5159" s="2" t="s">
        <v>84</v>
      </c>
      <c r="O5159" s="2" t="s">
        <v>841</v>
      </c>
      <c r="P5159" s="2" t="s">
        <v>84</v>
      </c>
    </row>
    <row r="5160" spans="1:16" ht="21" customHeight="1" x14ac:dyDescent="0.15">
      <c r="A5160" s="10" t="str">
        <f t="shared" si="856"/>
        <v>206_2_0_2_link</v>
      </c>
      <c r="B5160" s="2">
        <v>206</v>
      </c>
      <c r="C5160" s="18" t="s">
        <v>469</v>
      </c>
      <c r="D5160" s="21">
        <v>2</v>
      </c>
      <c r="E5160" s="2">
        <v>0</v>
      </c>
      <c r="F5160" s="21">
        <v>2</v>
      </c>
      <c r="G5160" s="3" t="s">
        <v>7</v>
      </c>
      <c r="H5160" s="2">
        <v>200</v>
      </c>
      <c r="I5160" s="116">
        <v>206</v>
      </c>
      <c r="J5160" s="115" t="s">
        <v>84</v>
      </c>
      <c r="K5160" s="2" t="s">
        <v>84</v>
      </c>
      <c r="L5160" s="2">
        <v>0</v>
      </c>
      <c r="M5160" s="2" t="s">
        <v>84</v>
      </c>
      <c r="N5160" s="2" t="s">
        <v>84</v>
      </c>
      <c r="O5160" s="2" t="s">
        <v>841</v>
      </c>
      <c r="P5160" s="2" t="s">
        <v>84</v>
      </c>
    </row>
    <row r="5161" spans="1:16" ht="21" customHeight="1" x14ac:dyDescent="0.15">
      <c r="A5161" s="10" t="str">
        <f t="shared" si="856"/>
        <v>206_3_0_3_link</v>
      </c>
      <c r="B5161" s="2">
        <v>206</v>
      </c>
      <c r="C5161" s="18" t="s">
        <v>470</v>
      </c>
      <c r="D5161" s="21">
        <v>3</v>
      </c>
      <c r="E5161" s="2">
        <v>0</v>
      </c>
      <c r="F5161" s="21">
        <v>3</v>
      </c>
      <c r="G5161" s="3" t="s">
        <v>7</v>
      </c>
      <c r="H5161" s="2">
        <v>300</v>
      </c>
      <c r="I5161" s="116">
        <v>206</v>
      </c>
      <c r="J5161" s="115" t="s">
        <v>84</v>
      </c>
      <c r="K5161" s="2" t="s">
        <v>84</v>
      </c>
      <c r="L5161" s="2">
        <v>0</v>
      </c>
      <c r="M5161" s="2" t="s">
        <v>84</v>
      </c>
      <c r="N5161" s="2" t="s">
        <v>84</v>
      </c>
      <c r="O5161" s="2" t="s">
        <v>841</v>
      </c>
      <c r="P5161" s="2" t="s">
        <v>84</v>
      </c>
    </row>
    <row r="5162" spans="1:16" ht="21" customHeight="1" x14ac:dyDescent="0.15">
      <c r="A5162" s="10" t="str">
        <f t="shared" si="856"/>
        <v>206_4_0_4_link</v>
      </c>
      <c r="B5162" s="2">
        <v>206</v>
      </c>
      <c r="C5162" s="18" t="s">
        <v>471</v>
      </c>
      <c r="D5162" s="21">
        <v>4</v>
      </c>
      <c r="E5162" s="2">
        <v>0</v>
      </c>
      <c r="F5162" s="21">
        <v>4</v>
      </c>
      <c r="G5162" s="3" t="s">
        <v>7</v>
      </c>
      <c r="H5162" s="2">
        <v>400</v>
      </c>
      <c r="I5162" s="116">
        <v>206</v>
      </c>
      <c r="J5162" s="115" t="s">
        <v>84</v>
      </c>
      <c r="K5162" s="2" t="s">
        <v>84</v>
      </c>
      <c r="L5162" s="2">
        <v>0</v>
      </c>
      <c r="M5162" s="2" t="s">
        <v>84</v>
      </c>
      <c r="N5162" s="2" t="s">
        <v>84</v>
      </c>
      <c r="O5162" s="2" t="s">
        <v>841</v>
      </c>
      <c r="P5162" s="2" t="s">
        <v>84</v>
      </c>
    </row>
    <row r="5163" spans="1:16" ht="21" customHeight="1" x14ac:dyDescent="0.15">
      <c r="A5163" s="10" t="str">
        <f t="shared" si="856"/>
        <v>206_5_0_5_link</v>
      </c>
      <c r="B5163" s="2">
        <v>206</v>
      </c>
      <c r="C5163" s="18" t="s">
        <v>472</v>
      </c>
      <c r="D5163" s="21">
        <v>5</v>
      </c>
      <c r="E5163" s="2">
        <v>0</v>
      </c>
      <c r="F5163" s="21">
        <v>5</v>
      </c>
      <c r="G5163" s="3" t="s">
        <v>7</v>
      </c>
      <c r="H5163" s="2">
        <v>500</v>
      </c>
      <c r="I5163" s="116">
        <v>206</v>
      </c>
      <c r="J5163" s="115" t="s">
        <v>84</v>
      </c>
      <c r="K5163" s="2" t="s">
        <v>84</v>
      </c>
      <c r="L5163" s="2">
        <v>0</v>
      </c>
      <c r="M5163" s="2" t="s">
        <v>84</v>
      </c>
      <c r="N5163" s="2" t="s">
        <v>84</v>
      </c>
      <c r="O5163" s="2" t="s">
        <v>841</v>
      </c>
      <c r="P5163" s="2" t="s">
        <v>84</v>
      </c>
    </row>
    <row r="5164" spans="1:16" ht="21" customHeight="1" x14ac:dyDescent="0.15">
      <c r="A5164" s="10" t="str">
        <f t="shared" si="856"/>
        <v>206_6_0_6_link</v>
      </c>
      <c r="B5164" s="2">
        <v>206</v>
      </c>
      <c r="C5164" s="18" t="s">
        <v>473</v>
      </c>
      <c r="D5164" s="21">
        <v>6</v>
      </c>
      <c r="E5164" s="2">
        <v>0</v>
      </c>
      <c r="F5164" s="21">
        <v>6</v>
      </c>
      <c r="G5164" s="3" t="s">
        <v>7</v>
      </c>
      <c r="H5164" s="2">
        <v>600</v>
      </c>
      <c r="I5164" s="116">
        <v>206</v>
      </c>
      <c r="J5164" s="115" t="s">
        <v>84</v>
      </c>
      <c r="K5164" s="2" t="s">
        <v>84</v>
      </c>
      <c r="L5164" s="2">
        <v>0</v>
      </c>
      <c r="M5164" s="2" t="s">
        <v>84</v>
      </c>
      <c r="N5164" s="2" t="s">
        <v>84</v>
      </c>
      <c r="O5164" s="2" t="s">
        <v>841</v>
      </c>
      <c r="P5164" s="2" t="s">
        <v>84</v>
      </c>
    </row>
    <row r="5165" spans="1:16" ht="21" customHeight="1" x14ac:dyDescent="0.15">
      <c r="A5165" s="10" t="str">
        <f t="shared" si="856"/>
        <v>206_7_0_7_link</v>
      </c>
      <c r="B5165" s="2">
        <v>206</v>
      </c>
      <c r="C5165" s="18" t="s">
        <v>474</v>
      </c>
      <c r="D5165" s="21">
        <v>7</v>
      </c>
      <c r="E5165" s="2">
        <v>0</v>
      </c>
      <c r="F5165" s="21">
        <v>7</v>
      </c>
      <c r="G5165" s="3" t="s">
        <v>7</v>
      </c>
      <c r="H5165" s="2">
        <v>700</v>
      </c>
      <c r="I5165" s="116">
        <v>206</v>
      </c>
      <c r="J5165" s="115" t="s">
        <v>84</v>
      </c>
      <c r="K5165" s="2" t="s">
        <v>84</v>
      </c>
      <c r="L5165" s="2">
        <v>0</v>
      </c>
      <c r="M5165" s="2" t="s">
        <v>84</v>
      </c>
      <c r="N5165" s="2" t="s">
        <v>84</v>
      </c>
      <c r="O5165" s="2" t="s">
        <v>841</v>
      </c>
      <c r="P5165" s="2" t="s">
        <v>84</v>
      </c>
    </row>
    <row r="5166" spans="1:16" ht="21" customHeight="1" x14ac:dyDescent="0.15">
      <c r="A5166" s="10" t="str">
        <f t="shared" si="856"/>
        <v>206_8_0_8_link</v>
      </c>
      <c r="B5166" s="2">
        <v>206</v>
      </c>
      <c r="C5166" s="18" t="s">
        <v>475</v>
      </c>
      <c r="D5166" s="21">
        <v>8</v>
      </c>
      <c r="E5166" s="2">
        <v>0</v>
      </c>
      <c r="F5166" s="21">
        <v>8</v>
      </c>
      <c r="G5166" s="3" t="s">
        <v>7</v>
      </c>
      <c r="H5166" s="2">
        <v>800</v>
      </c>
      <c r="I5166" s="116">
        <v>206</v>
      </c>
      <c r="J5166" s="115" t="s">
        <v>84</v>
      </c>
      <c r="K5166" s="2" t="s">
        <v>84</v>
      </c>
      <c r="L5166" s="2">
        <v>0</v>
      </c>
      <c r="M5166" s="2" t="s">
        <v>84</v>
      </c>
      <c r="N5166" s="2" t="s">
        <v>84</v>
      </c>
      <c r="O5166" s="2" t="s">
        <v>841</v>
      </c>
      <c r="P5166" s="2" t="s">
        <v>84</v>
      </c>
    </row>
    <row r="5167" spans="1:16" ht="21" customHeight="1" x14ac:dyDescent="0.15">
      <c r="A5167" s="10" t="str">
        <f t="shared" si="856"/>
        <v>206_9_0_9_link</v>
      </c>
      <c r="B5167" s="2">
        <v>206</v>
      </c>
      <c r="C5167" s="18" t="s">
        <v>476</v>
      </c>
      <c r="D5167" s="21">
        <v>9</v>
      </c>
      <c r="E5167" s="2">
        <v>0</v>
      </c>
      <c r="F5167" s="21">
        <v>9</v>
      </c>
      <c r="G5167" s="3" t="s">
        <v>7</v>
      </c>
      <c r="H5167" s="2">
        <v>900</v>
      </c>
      <c r="I5167" s="116">
        <v>206</v>
      </c>
      <c r="J5167" s="115" t="s">
        <v>84</v>
      </c>
      <c r="K5167" s="2" t="s">
        <v>84</v>
      </c>
      <c r="L5167" s="2">
        <v>0</v>
      </c>
      <c r="M5167" s="2" t="s">
        <v>84</v>
      </c>
      <c r="N5167" s="2" t="s">
        <v>84</v>
      </c>
      <c r="O5167" s="2" t="s">
        <v>841</v>
      </c>
      <c r="P5167" s="2" t="s">
        <v>84</v>
      </c>
    </row>
    <row r="5168" spans="1:16" ht="21" customHeight="1" x14ac:dyDescent="0.15">
      <c r="A5168" s="10" t="str">
        <f t="shared" si="856"/>
        <v>206_10_0_10_link</v>
      </c>
      <c r="B5168" s="2">
        <v>206</v>
      </c>
      <c r="C5168" s="18" t="s">
        <v>477</v>
      </c>
      <c r="D5168" s="21">
        <v>10</v>
      </c>
      <c r="E5168" s="2">
        <v>0</v>
      </c>
      <c r="F5168" s="21">
        <v>10</v>
      </c>
      <c r="G5168" s="3" t="s">
        <v>7</v>
      </c>
      <c r="H5168" s="2">
        <v>1000</v>
      </c>
      <c r="I5168" s="116">
        <v>206</v>
      </c>
      <c r="J5168" s="115" t="s">
        <v>84</v>
      </c>
      <c r="K5168" s="2" t="s">
        <v>84</v>
      </c>
      <c r="L5168" s="2">
        <v>0</v>
      </c>
      <c r="M5168" s="2" t="s">
        <v>84</v>
      </c>
      <c r="N5168" s="2" t="s">
        <v>84</v>
      </c>
      <c r="O5168" s="2" t="s">
        <v>841</v>
      </c>
      <c r="P5168" s="2" t="s">
        <v>84</v>
      </c>
    </row>
    <row r="5169" spans="1:16" ht="21" customHeight="1" x14ac:dyDescent="0.15">
      <c r="A5169" s="10" t="str">
        <f t="shared" ref="A5169:A5178" si="857">B5169&amp;"_"&amp;D5169&amp;"_"&amp;E5169&amp;"_"&amp;F5169&amp;"_"&amp;G5169</f>
        <v>208_1_0_1_link</v>
      </c>
      <c r="B5169" s="2">
        <v>208</v>
      </c>
      <c r="C5169" s="18" t="s">
        <v>857</v>
      </c>
      <c r="D5169" s="21">
        <v>1</v>
      </c>
      <c r="E5169" s="2">
        <v>0</v>
      </c>
      <c r="F5169" s="21">
        <v>1</v>
      </c>
      <c r="G5169" s="3" t="s">
        <v>7</v>
      </c>
      <c r="H5169" s="2">
        <v>100</v>
      </c>
      <c r="I5169" s="116">
        <v>208</v>
      </c>
      <c r="J5169" s="115" t="s">
        <v>84</v>
      </c>
      <c r="K5169" s="2" t="s">
        <v>84</v>
      </c>
      <c r="L5169" s="2">
        <v>0</v>
      </c>
      <c r="M5169" s="2" t="s">
        <v>84</v>
      </c>
      <c r="N5169" s="2" t="s">
        <v>84</v>
      </c>
      <c r="O5169" s="2" t="s">
        <v>841</v>
      </c>
      <c r="P5169" s="2" t="s">
        <v>84</v>
      </c>
    </row>
    <row r="5170" spans="1:16" ht="21" customHeight="1" x14ac:dyDescent="0.15">
      <c r="A5170" s="10" t="str">
        <f t="shared" si="857"/>
        <v>208_2_0_2_link</v>
      </c>
      <c r="B5170" s="2">
        <v>208</v>
      </c>
      <c r="C5170" s="18" t="s">
        <v>858</v>
      </c>
      <c r="D5170" s="21">
        <v>2</v>
      </c>
      <c r="E5170" s="2">
        <v>0</v>
      </c>
      <c r="F5170" s="21">
        <v>2</v>
      </c>
      <c r="G5170" s="3" t="s">
        <v>7</v>
      </c>
      <c r="H5170" s="2">
        <v>200</v>
      </c>
      <c r="I5170" s="116">
        <v>208</v>
      </c>
      <c r="J5170" s="115" t="s">
        <v>84</v>
      </c>
      <c r="K5170" s="2" t="s">
        <v>84</v>
      </c>
      <c r="L5170" s="2">
        <v>0</v>
      </c>
      <c r="M5170" s="2" t="s">
        <v>84</v>
      </c>
      <c r="N5170" s="2" t="s">
        <v>84</v>
      </c>
      <c r="O5170" s="2" t="s">
        <v>841</v>
      </c>
      <c r="P5170" s="2" t="s">
        <v>84</v>
      </c>
    </row>
    <row r="5171" spans="1:16" ht="21" customHeight="1" x14ac:dyDescent="0.15">
      <c r="A5171" s="10" t="str">
        <f t="shared" si="857"/>
        <v>208_3_0_3_link</v>
      </c>
      <c r="B5171" s="2">
        <v>208</v>
      </c>
      <c r="C5171" s="18" t="s">
        <v>859</v>
      </c>
      <c r="D5171" s="21">
        <v>3</v>
      </c>
      <c r="E5171" s="2">
        <v>0</v>
      </c>
      <c r="F5171" s="21">
        <v>3</v>
      </c>
      <c r="G5171" s="3" t="s">
        <v>7</v>
      </c>
      <c r="H5171" s="2">
        <v>300</v>
      </c>
      <c r="I5171" s="116">
        <v>208</v>
      </c>
      <c r="J5171" s="115" t="s">
        <v>84</v>
      </c>
      <c r="K5171" s="2" t="s">
        <v>84</v>
      </c>
      <c r="L5171" s="2">
        <v>0</v>
      </c>
      <c r="M5171" s="2" t="s">
        <v>84</v>
      </c>
      <c r="N5171" s="2" t="s">
        <v>84</v>
      </c>
      <c r="O5171" s="2" t="s">
        <v>841</v>
      </c>
      <c r="P5171" s="2" t="s">
        <v>84</v>
      </c>
    </row>
    <row r="5172" spans="1:16" ht="21" customHeight="1" x14ac:dyDescent="0.15">
      <c r="A5172" s="10" t="str">
        <f t="shared" si="857"/>
        <v>208_4_0_4_link</v>
      </c>
      <c r="B5172" s="2">
        <v>208</v>
      </c>
      <c r="C5172" s="18" t="s">
        <v>860</v>
      </c>
      <c r="D5172" s="21">
        <v>4</v>
      </c>
      <c r="E5172" s="2">
        <v>0</v>
      </c>
      <c r="F5172" s="21">
        <v>4</v>
      </c>
      <c r="G5172" s="3" t="s">
        <v>7</v>
      </c>
      <c r="H5172" s="2">
        <v>400</v>
      </c>
      <c r="I5172" s="116">
        <v>208</v>
      </c>
      <c r="J5172" s="115" t="s">
        <v>84</v>
      </c>
      <c r="K5172" s="2" t="s">
        <v>84</v>
      </c>
      <c r="L5172" s="2">
        <v>0</v>
      </c>
      <c r="M5172" s="2" t="s">
        <v>84</v>
      </c>
      <c r="N5172" s="2" t="s">
        <v>84</v>
      </c>
      <c r="O5172" s="2" t="s">
        <v>841</v>
      </c>
      <c r="P5172" s="2" t="s">
        <v>84</v>
      </c>
    </row>
    <row r="5173" spans="1:16" ht="21" customHeight="1" x14ac:dyDescent="0.15">
      <c r="A5173" s="10" t="str">
        <f t="shared" si="857"/>
        <v>208_5_0_5_link</v>
      </c>
      <c r="B5173" s="2">
        <v>208</v>
      </c>
      <c r="C5173" s="18" t="s">
        <v>861</v>
      </c>
      <c r="D5173" s="21">
        <v>5</v>
      </c>
      <c r="E5173" s="2">
        <v>0</v>
      </c>
      <c r="F5173" s="21">
        <v>5</v>
      </c>
      <c r="G5173" s="3" t="s">
        <v>7</v>
      </c>
      <c r="H5173" s="2">
        <v>500</v>
      </c>
      <c r="I5173" s="116">
        <v>208</v>
      </c>
      <c r="J5173" s="115" t="s">
        <v>84</v>
      </c>
      <c r="K5173" s="2" t="s">
        <v>84</v>
      </c>
      <c r="L5173" s="2">
        <v>0</v>
      </c>
      <c r="M5173" s="2" t="s">
        <v>84</v>
      </c>
      <c r="N5173" s="2" t="s">
        <v>84</v>
      </c>
      <c r="O5173" s="2" t="s">
        <v>841</v>
      </c>
      <c r="P5173" s="2" t="s">
        <v>84</v>
      </c>
    </row>
    <row r="5174" spans="1:16" ht="21" customHeight="1" x14ac:dyDescent="0.15">
      <c r="A5174" s="10" t="str">
        <f t="shared" si="857"/>
        <v>208_6_0_6_link</v>
      </c>
      <c r="B5174" s="2">
        <v>208</v>
      </c>
      <c r="C5174" s="18" t="s">
        <v>862</v>
      </c>
      <c r="D5174" s="21">
        <v>6</v>
      </c>
      <c r="E5174" s="2">
        <v>0</v>
      </c>
      <c r="F5174" s="21">
        <v>6</v>
      </c>
      <c r="G5174" s="3" t="s">
        <v>7</v>
      </c>
      <c r="H5174" s="2">
        <v>600</v>
      </c>
      <c r="I5174" s="116">
        <v>208</v>
      </c>
      <c r="J5174" s="115" t="s">
        <v>84</v>
      </c>
      <c r="K5174" s="2" t="s">
        <v>84</v>
      </c>
      <c r="L5174" s="2">
        <v>0</v>
      </c>
      <c r="M5174" s="2" t="s">
        <v>84</v>
      </c>
      <c r="N5174" s="2" t="s">
        <v>84</v>
      </c>
      <c r="O5174" s="2" t="s">
        <v>841</v>
      </c>
      <c r="P5174" s="2" t="s">
        <v>84</v>
      </c>
    </row>
    <row r="5175" spans="1:16" ht="21" customHeight="1" x14ac:dyDescent="0.15">
      <c r="A5175" s="10" t="str">
        <f t="shared" si="857"/>
        <v>208_7_0_7_link</v>
      </c>
      <c r="B5175" s="2">
        <v>208</v>
      </c>
      <c r="C5175" s="18" t="s">
        <v>863</v>
      </c>
      <c r="D5175" s="21">
        <v>7</v>
      </c>
      <c r="E5175" s="2">
        <v>0</v>
      </c>
      <c r="F5175" s="21">
        <v>7</v>
      </c>
      <c r="G5175" s="3" t="s">
        <v>7</v>
      </c>
      <c r="H5175" s="2">
        <v>700</v>
      </c>
      <c r="I5175" s="116">
        <v>208</v>
      </c>
      <c r="J5175" s="115" t="s">
        <v>84</v>
      </c>
      <c r="K5175" s="2" t="s">
        <v>84</v>
      </c>
      <c r="L5175" s="2">
        <v>0</v>
      </c>
      <c r="M5175" s="2" t="s">
        <v>84</v>
      </c>
      <c r="N5175" s="2" t="s">
        <v>84</v>
      </c>
      <c r="O5175" s="2" t="s">
        <v>841</v>
      </c>
      <c r="P5175" s="2" t="s">
        <v>84</v>
      </c>
    </row>
    <row r="5176" spans="1:16" ht="21" customHeight="1" x14ac:dyDescent="0.15">
      <c r="A5176" s="10" t="str">
        <f t="shared" si="857"/>
        <v>208_8_0_8_link</v>
      </c>
      <c r="B5176" s="2">
        <v>208</v>
      </c>
      <c r="C5176" s="18" t="s">
        <v>864</v>
      </c>
      <c r="D5176" s="21">
        <v>8</v>
      </c>
      <c r="E5176" s="2">
        <v>0</v>
      </c>
      <c r="F5176" s="21">
        <v>8</v>
      </c>
      <c r="G5176" s="3" t="s">
        <v>7</v>
      </c>
      <c r="H5176" s="2">
        <v>800</v>
      </c>
      <c r="I5176" s="116">
        <v>208</v>
      </c>
      <c r="J5176" s="115" t="s">
        <v>84</v>
      </c>
      <c r="K5176" s="2" t="s">
        <v>84</v>
      </c>
      <c r="L5176" s="2">
        <v>0</v>
      </c>
      <c r="M5176" s="2" t="s">
        <v>84</v>
      </c>
      <c r="N5176" s="2" t="s">
        <v>84</v>
      </c>
      <c r="O5176" s="2" t="s">
        <v>841</v>
      </c>
      <c r="P5176" s="2" t="s">
        <v>84</v>
      </c>
    </row>
    <row r="5177" spans="1:16" ht="21" customHeight="1" x14ac:dyDescent="0.15">
      <c r="A5177" s="10" t="str">
        <f t="shared" si="857"/>
        <v>208_9_0_9_link</v>
      </c>
      <c r="B5177" s="2">
        <v>208</v>
      </c>
      <c r="C5177" s="18" t="s">
        <v>865</v>
      </c>
      <c r="D5177" s="21">
        <v>9</v>
      </c>
      <c r="E5177" s="2">
        <v>0</v>
      </c>
      <c r="F5177" s="21">
        <v>9</v>
      </c>
      <c r="G5177" s="3" t="s">
        <v>7</v>
      </c>
      <c r="H5177" s="2">
        <v>900</v>
      </c>
      <c r="I5177" s="116">
        <v>208</v>
      </c>
      <c r="J5177" s="115" t="s">
        <v>84</v>
      </c>
      <c r="K5177" s="2" t="s">
        <v>84</v>
      </c>
      <c r="L5177" s="2">
        <v>0</v>
      </c>
      <c r="M5177" s="2" t="s">
        <v>84</v>
      </c>
      <c r="N5177" s="2" t="s">
        <v>84</v>
      </c>
      <c r="O5177" s="2" t="s">
        <v>841</v>
      </c>
      <c r="P5177" s="2" t="s">
        <v>84</v>
      </c>
    </row>
    <row r="5178" spans="1:16" ht="21" customHeight="1" x14ac:dyDescent="0.15">
      <c r="A5178" s="10" t="str">
        <f t="shared" si="857"/>
        <v>208_10_0_10_link</v>
      </c>
      <c r="B5178" s="2">
        <v>208</v>
      </c>
      <c r="C5178" s="18" t="s">
        <v>866</v>
      </c>
      <c r="D5178" s="21">
        <v>10</v>
      </c>
      <c r="E5178" s="2">
        <v>0</v>
      </c>
      <c r="F5178" s="21">
        <v>10</v>
      </c>
      <c r="G5178" s="3" t="s">
        <v>7</v>
      </c>
      <c r="H5178" s="2">
        <v>1000</v>
      </c>
      <c r="I5178" s="116">
        <v>208</v>
      </c>
      <c r="J5178" s="115" t="s">
        <v>84</v>
      </c>
      <c r="K5178" s="2" t="s">
        <v>84</v>
      </c>
      <c r="L5178" s="2">
        <v>0</v>
      </c>
      <c r="M5178" s="2" t="s">
        <v>84</v>
      </c>
      <c r="N5178" s="2" t="s">
        <v>84</v>
      </c>
      <c r="O5178" s="2" t="s">
        <v>841</v>
      </c>
      <c r="P5178" s="2" t="s">
        <v>84</v>
      </c>
    </row>
    <row r="5179" spans="1:16" ht="21" customHeight="1" x14ac:dyDescent="0.15">
      <c r="A5179" s="10" t="str">
        <f t="shared" ref="A5179:A5218" si="858">B5179&amp;"_"&amp;D5179&amp;"_"&amp;E5179&amp;"_"&amp;F5179&amp;"_"&amp;G5179</f>
        <v>209_1_0_1_link</v>
      </c>
      <c r="B5179" s="2">
        <v>209</v>
      </c>
      <c r="C5179" s="18" t="s">
        <v>857</v>
      </c>
      <c r="D5179" s="21">
        <v>1</v>
      </c>
      <c r="E5179" s="2">
        <v>0</v>
      </c>
      <c r="F5179" s="21">
        <v>1</v>
      </c>
      <c r="G5179" s="3" t="s">
        <v>7</v>
      </c>
      <c r="H5179" s="2">
        <v>100</v>
      </c>
      <c r="I5179" s="116">
        <v>209</v>
      </c>
      <c r="J5179" s="115" t="s">
        <v>84</v>
      </c>
      <c r="K5179" s="2" t="s">
        <v>84</v>
      </c>
      <c r="L5179" s="2">
        <v>0</v>
      </c>
      <c r="M5179" s="2" t="s">
        <v>84</v>
      </c>
      <c r="N5179" s="2" t="s">
        <v>84</v>
      </c>
      <c r="O5179" s="2" t="s">
        <v>841</v>
      </c>
      <c r="P5179" s="2" t="s">
        <v>84</v>
      </c>
    </row>
    <row r="5180" spans="1:16" ht="21" customHeight="1" x14ac:dyDescent="0.15">
      <c r="A5180" s="10" t="str">
        <f t="shared" si="858"/>
        <v>209_2_0_2_link</v>
      </c>
      <c r="B5180" s="2">
        <v>209</v>
      </c>
      <c r="C5180" s="18" t="s">
        <v>858</v>
      </c>
      <c r="D5180" s="21">
        <v>2</v>
      </c>
      <c r="E5180" s="2">
        <v>0</v>
      </c>
      <c r="F5180" s="21">
        <v>2</v>
      </c>
      <c r="G5180" s="3" t="s">
        <v>7</v>
      </c>
      <c r="H5180" s="2">
        <v>200</v>
      </c>
      <c r="I5180" s="116">
        <v>209</v>
      </c>
      <c r="J5180" s="115" t="s">
        <v>84</v>
      </c>
      <c r="K5180" s="2" t="s">
        <v>84</v>
      </c>
      <c r="L5180" s="2">
        <v>0</v>
      </c>
      <c r="M5180" s="2" t="s">
        <v>84</v>
      </c>
      <c r="N5180" s="2" t="s">
        <v>84</v>
      </c>
      <c r="O5180" s="2" t="s">
        <v>841</v>
      </c>
      <c r="P5180" s="2" t="s">
        <v>84</v>
      </c>
    </row>
    <row r="5181" spans="1:16" ht="21" customHeight="1" x14ac:dyDescent="0.15">
      <c r="A5181" s="10" t="str">
        <f t="shared" si="858"/>
        <v>209_3_0_3_link</v>
      </c>
      <c r="B5181" s="2">
        <v>209</v>
      </c>
      <c r="C5181" s="18" t="s">
        <v>859</v>
      </c>
      <c r="D5181" s="21">
        <v>3</v>
      </c>
      <c r="E5181" s="2">
        <v>0</v>
      </c>
      <c r="F5181" s="21">
        <v>3</v>
      </c>
      <c r="G5181" s="3" t="s">
        <v>7</v>
      </c>
      <c r="H5181" s="2">
        <v>300</v>
      </c>
      <c r="I5181" s="116">
        <v>209</v>
      </c>
      <c r="J5181" s="115" t="s">
        <v>84</v>
      </c>
      <c r="K5181" s="2" t="s">
        <v>84</v>
      </c>
      <c r="L5181" s="2">
        <v>0</v>
      </c>
      <c r="M5181" s="2" t="s">
        <v>84</v>
      </c>
      <c r="N5181" s="2" t="s">
        <v>84</v>
      </c>
      <c r="O5181" s="2" t="s">
        <v>841</v>
      </c>
      <c r="P5181" s="2" t="s">
        <v>84</v>
      </c>
    </row>
    <row r="5182" spans="1:16" ht="21" customHeight="1" x14ac:dyDescent="0.15">
      <c r="A5182" s="10" t="str">
        <f t="shared" si="858"/>
        <v>209_4_0_4_link</v>
      </c>
      <c r="B5182" s="2">
        <v>209</v>
      </c>
      <c r="C5182" s="18" t="s">
        <v>860</v>
      </c>
      <c r="D5182" s="21">
        <v>4</v>
      </c>
      <c r="E5182" s="2">
        <v>0</v>
      </c>
      <c r="F5182" s="21">
        <v>4</v>
      </c>
      <c r="G5182" s="3" t="s">
        <v>7</v>
      </c>
      <c r="H5182" s="2">
        <v>400</v>
      </c>
      <c r="I5182" s="116">
        <v>209</v>
      </c>
      <c r="J5182" s="115" t="s">
        <v>84</v>
      </c>
      <c r="K5182" s="2" t="s">
        <v>84</v>
      </c>
      <c r="L5182" s="2">
        <v>0</v>
      </c>
      <c r="M5182" s="2" t="s">
        <v>84</v>
      </c>
      <c r="N5182" s="2" t="s">
        <v>84</v>
      </c>
      <c r="O5182" s="2" t="s">
        <v>841</v>
      </c>
      <c r="P5182" s="2" t="s">
        <v>84</v>
      </c>
    </row>
    <row r="5183" spans="1:16" ht="21" customHeight="1" x14ac:dyDescent="0.15">
      <c r="A5183" s="10" t="str">
        <f t="shared" si="858"/>
        <v>209_5_0_5_link</v>
      </c>
      <c r="B5183" s="2">
        <v>209</v>
      </c>
      <c r="C5183" s="18" t="s">
        <v>861</v>
      </c>
      <c r="D5183" s="21">
        <v>5</v>
      </c>
      <c r="E5183" s="2">
        <v>0</v>
      </c>
      <c r="F5183" s="21">
        <v>5</v>
      </c>
      <c r="G5183" s="3" t="s">
        <v>7</v>
      </c>
      <c r="H5183" s="2">
        <v>500</v>
      </c>
      <c r="I5183" s="116">
        <v>209</v>
      </c>
      <c r="J5183" s="115" t="s">
        <v>84</v>
      </c>
      <c r="K5183" s="2" t="s">
        <v>84</v>
      </c>
      <c r="L5183" s="2">
        <v>0</v>
      </c>
      <c r="M5183" s="2" t="s">
        <v>84</v>
      </c>
      <c r="N5183" s="2" t="s">
        <v>84</v>
      </c>
      <c r="O5183" s="2" t="s">
        <v>841</v>
      </c>
      <c r="P5183" s="2" t="s">
        <v>84</v>
      </c>
    </row>
    <row r="5184" spans="1:16" ht="21" customHeight="1" x14ac:dyDescent="0.15">
      <c r="A5184" s="10" t="str">
        <f t="shared" si="858"/>
        <v>209_6_0_6_link</v>
      </c>
      <c r="B5184" s="2">
        <v>209</v>
      </c>
      <c r="C5184" s="18" t="s">
        <v>862</v>
      </c>
      <c r="D5184" s="21">
        <v>6</v>
      </c>
      <c r="E5184" s="2">
        <v>0</v>
      </c>
      <c r="F5184" s="21">
        <v>6</v>
      </c>
      <c r="G5184" s="3" t="s">
        <v>7</v>
      </c>
      <c r="H5184" s="2">
        <v>600</v>
      </c>
      <c r="I5184" s="116">
        <v>209</v>
      </c>
      <c r="J5184" s="115" t="s">
        <v>84</v>
      </c>
      <c r="K5184" s="2" t="s">
        <v>84</v>
      </c>
      <c r="L5184" s="2">
        <v>0</v>
      </c>
      <c r="M5184" s="2" t="s">
        <v>84</v>
      </c>
      <c r="N5184" s="2" t="s">
        <v>84</v>
      </c>
      <c r="O5184" s="2" t="s">
        <v>841</v>
      </c>
      <c r="P5184" s="2" t="s">
        <v>84</v>
      </c>
    </row>
    <row r="5185" spans="1:16" ht="21" customHeight="1" x14ac:dyDescent="0.15">
      <c r="A5185" s="10" t="str">
        <f t="shared" si="858"/>
        <v>209_7_0_7_link</v>
      </c>
      <c r="B5185" s="2">
        <v>209</v>
      </c>
      <c r="C5185" s="18" t="s">
        <v>863</v>
      </c>
      <c r="D5185" s="21">
        <v>7</v>
      </c>
      <c r="E5185" s="2">
        <v>0</v>
      </c>
      <c r="F5185" s="21">
        <v>7</v>
      </c>
      <c r="G5185" s="3" t="s">
        <v>7</v>
      </c>
      <c r="H5185" s="2">
        <v>700</v>
      </c>
      <c r="I5185" s="116">
        <v>209</v>
      </c>
      <c r="J5185" s="115" t="s">
        <v>84</v>
      </c>
      <c r="K5185" s="2" t="s">
        <v>84</v>
      </c>
      <c r="L5185" s="2">
        <v>0</v>
      </c>
      <c r="M5185" s="2" t="s">
        <v>84</v>
      </c>
      <c r="N5185" s="2" t="s">
        <v>84</v>
      </c>
      <c r="O5185" s="2" t="s">
        <v>841</v>
      </c>
      <c r="P5185" s="2" t="s">
        <v>84</v>
      </c>
    </row>
    <row r="5186" spans="1:16" ht="21" customHeight="1" x14ac:dyDescent="0.15">
      <c r="A5186" s="10" t="str">
        <f t="shared" si="858"/>
        <v>209_8_0_8_link</v>
      </c>
      <c r="B5186" s="2">
        <v>209</v>
      </c>
      <c r="C5186" s="18" t="s">
        <v>864</v>
      </c>
      <c r="D5186" s="21">
        <v>8</v>
      </c>
      <c r="E5186" s="2">
        <v>0</v>
      </c>
      <c r="F5186" s="21">
        <v>8</v>
      </c>
      <c r="G5186" s="3" t="s">
        <v>7</v>
      </c>
      <c r="H5186" s="2">
        <v>800</v>
      </c>
      <c r="I5186" s="116">
        <v>209</v>
      </c>
      <c r="J5186" s="115" t="s">
        <v>84</v>
      </c>
      <c r="K5186" s="2" t="s">
        <v>84</v>
      </c>
      <c r="L5186" s="2">
        <v>0</v>
      </c>
      <c r="M5186" s="2" t="s">
        <v>84</v>
      </c>
      <c r="N5186" s="2" t="s">
        <v>84</v>
      </c>
      <c r="O5186" s="2" t="s">
        <v>841</v>
      </c>
      <c r="P5186" s="2" t="s">
        <v>84</v>
      </c>
    </row>
    <row r="5187" spans="1:16" ht="21" customHeight="1" x14ac:dyDescent="0.15">
      <c r="A5187" s="10" t="str">
        <f t="shared" si="858"/>
        <v>209_9_0_9_link</v>
      </c>
      <c r="B5187" s="2">
        <v>209</v>
      </c>
      <c r="C5187" s="18" t="s">
        <v>865</v>
      </c>
      <c r="D5187" s="21">
        <v>9</v>
      </c>
      <c r="E5187" s="2">
        <v>0</v>
      </c>
      <c r="F5187" s="21">
        <v>9</v>
      </c>
      <c r="G5187" s="3" t="s">
        <v>7</v>
      </c>
      <c r="H5187" s="2">
        <v>900</v>
      </c>
      <c r="I5187" s="116">
        <v>209</v>
      </c>
      <c r="J5187" s="115" t="s">
        <v>84</v>
      </c>
      <c r="K5187" s="2" t="s">
        <v>84</v>
      </c>
      <c r="L5187" s="2">
        <v>0</v>
      </c>
      <c r="M5187" s="2" t="s">
        <v>84</v>
      </c>
      <c r="N5187" s="2" t="s">
        <v>84</v>
      </c>
      <c r="O5187" s="2" t="s">
        <v>841</v>
      </c>
      <c r="P5187" s="2" t="s">
        <v>84</v>
      </c>
    </row>
    <row r="5188" spans="1:16" ht="21" customHeight="1" x14ac:dyDescent="0.15">
      <c r="A5188" s="10" t="str">
        <f t="shared" si="858"/>
        <v>209_10_0_10_link</v>
      </c>
      <c r="B5188" s="2">
        <v>209</v>
      </c>
      <c r="C5188" s="18" t="s">
        <v>866</v>
      </c>
      <c r="D5188" s="21">
        <v>10</v>
      </c>
      <c r="E5188" s="2">
        <v>0</v>
      </c>
      <c r="F5188" s="21">
        <v>10</v>
      </c>
      <c r="G5188" s="3" t="s">
        <v>7</v>
      </c>
      <c r="H5188" s="2">
        <v>1000</v>
      </c>
      <c r="I5188" s="116">
        <v>209</v>
      </c>
      <c r="J5188" s="115" t="s">
        <v>84</v>
      </c>
      <c r="K5188" s="2" t="s">
        <v>84</v>
      </c>
      <c r="L5188" s="2">
        <v>0</v>
      </c>
      <c r="M5188" s="2" t="s">
        <v>84</v>
      </c>
      <c r="N5188" s="2" t="s">
        <v>84</v>
      </c>
      <c r="O5188" s="2" t="s">
        <v>841</v>
      </c>
      <c r="P5188" s="2" t="s">
        <v>84</v>
      </c>
    </row>
    <row r="5189" spans="1:16" ht="21" customHeight="1" x14ac:dyDescent="0.15">
      <c r="A5189" s="10" t="str">
        <f t="shared" si="858"/>
        <v>210_1_0_1_link</v>
      </c>
      <c r="B5189" s="2">
        <v>210</v>
      </c>
      <c r="C5189" s="18" t="s">
        <v>1027</v>
      </c>
      <c r="D5189" s="21">
        <v>1</v>
      </c>
      <c r="E5189" s="2">
        <v>0</v>
      </c>
      <c r="F5189" s="21">
        <v>1</v>
      </c>
      <c r="G5189" s="3" t="s">
        <v>7</v>
      </c>
      <c r="H5189" s="2">
        <v>100</v>
      </c>
      <c r="I5189" s="116">
        <f>B5189</f>
        <v>210</v>
      </c>
      <c r="J5189" s="115" t="s">
        <v>84</v>
      </c>
      <c r="K5189" s="2" t="s">
        <v>84</v>
      </c>
      <c r="L5189" s="2">
        <v>0</v>
      </c>
      <c r="M5189" s="2" t="s">
        <v>84</v>
      </c>
      <c r="N5189" s="2" t="s">
        <v>84</v>
      </c>
      <c r="O5189" s="2" t="s">
        <v>841</v>
      </c>
      <c r="P5189" s="2" t="s">
        <v>84</v>
      </c>
    </row>
    <row r="5190" spans="1:16" ht="21" customHeight="1" x14ac:dyDescent="0.15">
      <c r="A5190" s="10" t="str">
        <f t="shared" si="858"/>
        <v>210_2_0_2_link</v>
      </c>
      <c r="B5190" s="2">
        <v>210</v>
      </c>
      <c r="C5190" s="18" t="s">
        <v>1028</v>
      </c>
      <c r="D5190" s="21">
        <v>2</v>
      </c>
      <c r="E5190" s="2">
        <v>0</v>
      </c>
      <c r="F5190" s="21">
        <v>2</v>
      </c>
      <c r="G5190" s="3" t="s">
        <v>7</v>
      </c>
      <c r="H5190" s="2">
        <v>200</v>
      </c>
      <c r="I5190" s="116">
        <f t="shared" ref="I5190:I5198" si="859">B5190</f>
        <v>210</v>
      </c>
      <c r="J5190" s="115" t="s">
        <v>84</v>
      </c>
      <c r="K5190" s="2" t="s">
        <v>84</v>
      </c>
      <c r="L5190" s="2">
        <v>0</v>
      </c>
      <c r="M5190" s="2" t="s">
        <v>84</v>
      </c>
      <c r="N5190" s="2" t="s">
        <v>84</v>
      </c>
      <c r="O5190" s="2" t="s">
        <v>841</v>
      </c>
      <c r="P5190" s="2" t="s">
        <v>84</v>
      </c>
    </row>
    <row r="5191" spans="1:16" ht="21" customHeight="1" x14ac:dyDescent="0.15">
      <c r="A5191" s="10" t="str">
        <f t="shared" si="858"/>
        <v>210_3_0_3_link</v>
      </c>
      <c r="B5191" s="2">
        <v>210</v>
      </c>
      <c r="C5191" s="18" t="s">
        <v>1029</v>
      </c>
      <c r="D5191" s="21">
        <v>3</v>
      </c>
      <c r="E5191" s="2">
        <v>0</v>
      </c>
      <c r="F5191" s="21">
        <v>3</v>
      </c>
      <c r="G5191" s="3" t="s">
        <v>7</v>
      </c>
      <c r="H5191" s="2">
        <v>300</v>
      </c>
      <c r="I5191" s="116">
        <f t="shared" si="859"/>
        <v>210</v>
      </c>
      <c r="J5191" s="115" t="s">
        <v>84</v>
      </c>
      <c r="K5191" s="2" t="s">
        <v>84</v>
      </c>
      <c r="L5191" s="2">
        <v>0</v>
      </c>
      <c r="M5191" s="2" t="s">
        <v>84</v>
      </c>
      <c r="N5191" s="2" t="s">
        <v>84</v>
      </c>
      <c r="O5191" s="2" t="s">
        <v>841</v>
      </c>
      <c r="P5191" s="2" t="s">
        <v>84</v>
      </c>
    </row>
    <row r="5192" spans="1:16" ht="21" customHeight="1" x14ac:dyDescent="0.15">
      <c r="A5192" s="10" t="str">
        <f t="shared" si="858"/>
        <v>210_4_0_4_link</v>
      </c>
      <c r="B5192" s="2">
        <v>210</v>
      </c>
      <c r="C5192" s="18" t="s">
        <v>1030</v>
      </c>
      <c r="D5192" s="21">
        <v>4</v>
      </c>
      <c r="E5192" s="2">
        <v>0</v>
      </c>
      <c r="F5192" s="21">
        <v>4</v>
      </c>
      <c r="G5192" s="3" t="s">
        <v>7</v>
      </c>
      <c r="H5192" s="2">
        <v>400</v>
      </c>
      <c r="I5192" s="116">
        <f t="shared" si="859"/>
        <v>210</v>
      </c>
      <c r="J5192" s="115" t="s">
        <v>84</v>
      </c>
      <c r="K5192" s="2" t="s">
        <v>84</v>
      </c>
      <c r="L5192" s="2">
        <v>0</v>
      </c>
      <c r="M5192" s="2" t="s">
        <v>84</v>
      </c>
      <c r="N5192" s="2" t="s">
        <v>84</v>
      </c>
      <c r="O5192" s="2" t="s">
        <v>841</v>
      </c>
      <c r="P5192" s="2" t="s">
        <v>84</v>
      </c>
    </row>
    <row r="5193" spans="1:16" ht="21" customHeight="1" x14ac:dyDescent="0.15">
      <c r="A5193" s="10" t="str">
        <f t="shared" si="858"/>
        <v>210_5_0_5_link</v>
      </c>
      <c r="B5193" s="2">
        <v>210</v>
      </c>
      <c r="C5193" s="18" t="s">
        <v>1031</v>
      </c>
      <c r="D5193" s="21">
        <v>5</v>
      </c>
      <c r="E5193" s="2">
        <v>0</v>
      </c>
      <c r="F5193" s="21">
        <v>5</v>
      </c>
      <c r="G5193" s="3" t="s">
        <v>7</v>
      </c>
      <c r="H5193" s="2">
        <v>500</v>
      </c>
      <c r="I5193" s="116">
        <f t="shared" si="859"/>
        <v>210</v>
      </c>
      <c r="J5193" s="115" t="s">
        <v>84</v>
      </c>
      <c r="K5193" s="2" t="s">
        <v>84</v>
      </c>
      <c r="L5193" s="2">
        <v>0</v>
      </c>
      <c r="M5193" s="2" t="s">
        <v>84</v>
      </c>
      <c r="N5193" s="2" t="s">
        <v>84</v>
      </c>
      <c r="O5193" s="2" t="s">
        <v>841</v>
      </c>
      <c r="P5193" s="2" t="s">
        <v>84</v>
      </c>
    </row>
    <row r="5194" spans="1:16" ht="21" customHeight="1" x14ac:dyDescent="0.15">
      <c r="A5194" s="10" t="str">
        <f t="shared" si="858"/>
        <v>210_6_0_6_link</v>
      </c>
      <c r="B5194" s="2">
        <v>210</v>
      </c>
      <c r="C5194" s="18" t="s">
        <v>1032</v>
      </c>
      <c r="D5194" s="21">
        <v>6</v>
      </c>
      <c r="E5194" s="2">
        <v>0</v>
      </c>
      <c r="F5194" s="21">
        <v>6</v>
      </c>
      <c r="G5194" s="3" t="s">
        <v>7</v>
      </c>
      <c r="H5194" s="2">
        <v>600</v>
      </c>
      <c r="I5194" s="116">
        <f t="shared" si="859"/>
        <v>210</v>
      </c>
      <c r="J5194" s="115" t="s">
        <v>84</v>
      </c>
      <c r="K5194" s="2" t="s">
        <v>84</v>
      </c>
      <c r="L5194" s="2">
        <v>0</v>
      </c>
      <c r="M5194" s="2" t="s">
        <v>84</v>
      </c>
      <c r="N5194" s="2" t="s">
        <v>84</v>
      </c>
      <c r="O5194" s="2" t="s">
        <v>841</v>
      </c>
      <c r="P5194" s="2" t="s">
        <v>84</v>
      </c>
    </row>
    <row r="5195" spans="1:16" ht="21" customHeight="1" x14ac:dyDescent="0.15">
      <c r="A5195" s="10" t="str">
        <f t="shared" si="858"/>
        <v>210_7_0_7_link</v>
      </c>
      <c r="B5195" s="2">
        <v>210</v>
      </c>
      <c r="C5195" s="18" t="s">
        <v>1033</v>
      </c>
      <c r="D5195" s="21">
        <v>7</v>
      </c>
      <c r="E5195" s="2">
        <v>0</v>
      </c>
      <c r="F5195" s="21">
        <v>7</v>
      </c>
      <c r="G5195" s="3" t="s">
        <v>7</v>
      </c>
      <c r="H5195" s="2">
        <v>700</v>
      </c>
      <c r="I5195" s="116">
        <f t="shared" si="859"/>
        <v>210</v>
      </c>
      <c r="J5195" s="115" t="s">
        <v>84</v>
      </c>
      <c r="K5195" s="2" t="s">
        <v>84</v>
      </c>
      <c r="L5195" s="2">
        <v>0</v>
      </c>
      <c r="M5195" s="2" t="s">
        <v>84</v>
      </c>
      <c r="N5195" s="2" t="s">
        <v>84</v>
      </c>
      <c r="O5195" s="2" t="s">
        <v>841</v>
      </c>
      <c r="P5195" s="2" t="s">
        <v>84</v>
      </c>
    </row>
    <row r="5196" spans="1:16" ht="21" customHeight="1" x14ac:dyDescent="0.15">
      <c r="A5196" s="10" t="str">
        <f t="shared" si="858"/>
        <v>210_8_0_8_link</v>
      </c>
      <c r="B5196" s="2">
        <v>210</v>
      </c>
      <c r="C5196" s="18" t="s">
        <v>1034</v>
      </c>
      <c r="D5196" s="21">
        <v>8</v>
      </c>
      <c r="E5196" s="2">
        <v>0</v>
      </c>
      <c r="F5196" s="21">
        <v>8</v>
      </c>
      <c r="G5196" s="3" t="s">
        <v>7</v>
      </c>
      <c r="H5196" s="2">
        <v>800</v>
      </c>
      <c r="I5196" s="116">
        <f t="shared" si="859"/>
        <v>210</v>
      </c>
      <c r="J5196" s="115" t="s">
        <v>84</v>
      </c>
      <c r="K5196" s="2" t="s">
        <v>84</v>
      </c>
      <c r="L5196" s="2">
        <v>0</v>
      </c>
      <c r="M5196" s="2" t="s">
        <v>84</v>
      </c>
      <c r="N5196" s="2" t="s">
        <v>84</v>
      </c>
      <c r="O5196" s="2" t="s">
        <v>841</v>
      </c>
      <c r="P5196" s="2" t="s">
        <v>84</v>
      </c>
    </row>
    <row r="5197" spans="1:16" ht="21" customHeight="1" x14ac:dyDescent="0.15">
      <c r="A5197" s="10" t="str">
        <f t="shared" si="858"/>
        <v>210_9_0_9_link</v>
      </c>
      <c r="B5197" s="2">
        <v>210</v>
      </c>
      <c r="C5197" s="18" t="s">
        <v>1035</v>
      </c>
      <c r="D5197" s="21">
        <v>9</v>
      </c>
      <c r="E5197" s="2">
        <v>0</v>
      </c>
      <c r="F5197" s="21">
        <v>9</v>
      </c>
      <c r="G5197" s="3" t="s">
        <v>7</v>
      </c>
      <c r="H5197" s="2">
        <v>900</v>
      </c>
      <c r="I5197" s="116">
        <f t="shared" si="859"/>
        <v>210</v>
      </c>
      <c r="J5197" s="115" t="s">
        <v>84</v>
      </c>
      <c r="K5197" s="2" t="s">
        <v>84</v>
      </c>
      <c r="L5197" s="2">
        <v>0</v>
      </c>
      <c r="M5197" s="2" t="s">
        <v>84</v>
      </c>
      <c r="N5197" s="2" t="s">
        <v>84</v>
      </c>
      <c r="O5197" s="2" t="s">
        <v>841</v>
      </c>
      <c r="P5197" s="2" t="s">
        <v>84</v>
      </c>
    </row>
    <row r="5198" spans="1:16" ht="21" customHeight="1" x14ac:dyDescent="0.15">
      <c r="A5198" s="10" t="str">
        <f t="shared" si="858"/>
        <v>210_10_0_10_link</v>
      </c>
      <c r="B5198" s="2">
        <v>210</v>
      </c>
      <c r="C5198" s="18" t="s">
        <v>1036</v>
      </c>
      <c r="D5198" s="21">
        <v>10</v>
      </c>
      <c r="E5198" s="2">
        <v>0</v>
      </c>
      <c r="F5198" s="21">
        <v>10</v>
      </c>
      <c r="G5198" s="3" t="s">
        <v>7</v>
      </c>
      <c r="H5198" s="2">
        <v>1000</v>
      </c>
      <c r="I5198" s="116">
        <f t="shared" si="859"/>
        <v>210</v>
      </c>
      <c r="J5198" s="115" t="s">
        <v>84</v>
      </c>
      <c r="K5198" s="2" t="s">
        <v>84</v>
      </c>
      <c r="L5198" s="2">
        <v>0</v>
      </c>
      <c r="M5198" s="2" t="s">
        <v>84</v>
      </c>
      <c r="N5198" s="2" t="s">
        <v>84</v>
      </c>
      <c r="O5198" s="2" t="s">
        <v>841</v>
      </c>
      <c r="P5198" s="2" t="s">
        <v>84</v>
      </c>
    </row>
    <row r="5199" spans="1:16" ht="21" customHeight="1" x14ac:dyDescent="0.15">
      <c r="A5199" s="10" t="str">
        <f t="shared" si="858"/>
        <v>211_1_0_1_link</v>
      </c>
      <c r="B5199" s="2">
        <v>211</v>
      </c>
      <c r="C5199" s="18" t="s">
        <v>1541</v>
      </c>
      <c r="D5199" s="21">
        <v>1</v>
      </c>
      <c r="E5199" s="2">
        <v>0</v>
      </c>
      <c r="F5199" s="21">
        <v>1</v>
      </c>
      <c r="G5199" s="3" t="s">
        <v>7</v>
      </c>
      <c r="H5199" s="2">
        <v>200</v>
      </c>
      <c r="I5199" s="116">
        <f t="shared" ref="I5199:I5208" si="860">B5199</f>
        <v>211</v>
      </c>
      <c r="J5199" s="115" t="s">
        <v>84</v>
      </c>
      <c r="K5199" s="2" t="s">
        <v>84</v>
      </c>
      <c r="L5199" s="2">
        <v>0</v>
      </c>
      <c r="M5199" s="2" t="s">
        <v>84</v>
      </c>
      <c r="N5199" s="2" t="s">
        <v>84</v>
      </c>
      <c r="O5199" s="2" t="s">
        <v>841</v>
      </c>
      <c r="P5199" s="2" t="s">
        <v>84</v>
      </c>
    </row>
    <row r="5200" spans="1:16" ht="21" customHeight="1" x14ac:dyDescent="0.15">
      <c r="A5200" s="10" t="str">
        <f t="shared" si="858"/>
        <v>211_2_0_2_link</v>
      </c>
      <c r="B5200" s="2">
        <v>211</v>
      </c>
      <c r="C5200" s="18" t="s">
        <v>1542</v>
      </c>
      <c r="D5200" s="21">
        <v>2</v>
      </c>
      <c r="E5200" s="2">
        <v>0</v>
      </c>
      <c r="F5200" s="21">
        <v>2</v>
      </c>
      <c r="G5200" s="3" t="s">
        <v>7</v>
      </c>
      <c r="H5200" s="2">
        <v>400</v>
      </c>
      <c r="I5200" s="116">
        <f t="shared" si="860"/>
        <v>211</v>
      </c>
      <c r="J5200" s="115" t="s">
        <v>84</v>
      </c>
      <c r="K5200" s="2" t="s">
        <v>84</v>
      </c>
      <c r="L5200" s="2">
        <v>0</v>
      </c>
      <c r="M5200" s="2" t="s">
        <v>84</v>
      </c>
      <c r="N5200" s="2" t="s">
        <v>84</v>
      </c>
      <c r="O5200" s="2" t="s">
        <v>841</v>
      </c>
      <c r="P5200" s="2" t="s">
        <v>84</v>
      </c>
    </row>
    <row r="5201" spans="1:16" ht="21" customHeight="1" x14ac:dyDescent="0.15">
      <c r="A5201" s="10" t="str">
        <f t="shared" si="858"/>
        <v>211_3_0_3_link</v>
      </c>
      <c r="B5201" s="2">
        <v>211</v>
      </c>
      <c r="C5201" s="18" t="s">
        <v>1543</v>
      </c>
      <c r="D5201" s="21">
        <v>3</v>
      </c>
      <c r="E5201" s="2">
        <v>0</v>
      </c>
      <c r="F5201" s="21">
        <v>3</v>
      </c>
      <c r="G5201" s="3" t="s">
        <v>7</v>
      </c>
      <c r="H5201" s="2">
        <v>600</v>
      </c>
      <c r="I5201" s="116">
        <f t="shared" si="860"/>
        <v>211</v>
      </c>
      <c r="J5201" s="115" t="s">
        <v>84</v>
      </c>
      <c r="K5201" s="2" t="s">
        <v>84</v>
      </c>
      <c r="L5201" s="2">
        <v>0</v>
      </c>
      <c r="M5201" s="2" t="s">
        <v>84</v>
      </c>
      <c r="N5201" s="2" t="s">
        <v>84</v>
      </c>
      <c r="O5201" s="2" t="s">
        <v>841</v>
      </c>
      <c r="P5201" s="2" t="s">
        <v>84</v>
      </c>
    </row>
    <row r="5202" spans="1:16" ht="21" customHeight="1" x14ac:dyDescent="0.15">
      <c r="A5202" s="10" t="str">
        <f t="shared" si="858"/>
        <v>211_4_0_4_link</v>
      </c>
      <c r="B5202" s="2">
        <v>211</v>
      </c>
      <c r="C5202" s="18" t="s">
        <v>1544</v>
      </c>
      <c r="D5202" s="21">
        <v>4</v>
      </c>
      <c r="E5202" s="2">
        <v>0</v>
      </c>
      <c r="F5202" s="21">
        <v>4</v>
      </c>
      <c r="G5202" s="3" t="s">
        <v>7</v>
      </c>
      <c r="H5202" s="2">
        <v>800</v>
      </c>
      <c r="I5202" s="116">
        <f t="shared" si="860"/>
        <v>211</v>
      </c>
      <c r="J5202" s="115" t="s">
        <v>84</v>
      </c>
      <c r="K5202" s="2" t="s">
        <v>84</v>
      </c>
      <c r="L5202" s="2">
        <v>0</v>
      </c>
      <c r="M5202" s="2" t="s">
        <v>84</v>
      </c>
      <c r="N5202" s="2" t="s">
        <v>84</v>
      </c>
      <c r="O5202" s="2" t="s">
        <v>841</v>
      </c>
      <c r="P5202" s="2" t="s">
        <v>84</v>
      </c>
    </row>
    <row r="5203" spans="1:16" ht="21" customHeight="1" x14ac:dyDescent="0.15">
      <c r="A5203" s="10" t="str">
        <f t="shared" si="858"/>
        <v>211_5_0_5_link</v>
      </c>
      <c r="B5203" s="2">
        <v>211</v>
      </c>
      <c r="C5203" s="18" t="s">
        <v>1545</v>
      </c>
      <c r="D5203" s="21">
        <v>5</v>
      </c>
      <c r="E5203" s="2">
        <v>0</v>
      </c>
      <c r="F5203" s="21">
        <v>5</v>
      </c>
      <c r="G5203" s="3" t="s">
        <v>7</v>
      </c>
      <c r="H5203" s="2">
        <v>1000</v>
      </c>
      <c r="I5203" s="116">
        <f t="shared" si="860"/>
        <v>211</v>
      </c>
      <c r="J5203" s="115" t="s">
        <v>84</v>
      </c>
      <c r="K5203" s="2" t="s">
        <v>84</v>
      </c>
      <c r="L5203" s="2">
        <v>0</v>
      </c>
      <c r="M5203" s="2" t="s">
        <v>84</v>
      </c>
      <c r="N5203" s="2" t="s">
        <v>84</v>
      </c>
      <c r="O5203" s="2" t="s">
        <v>841</v>
      </c>
      <c r="P5203" s="2" t="s">
        <v>84</v>
      </c>
    </row>
    <row r="5204" spans="1:16" ht="21" customHeight="1" x14ac:dyDescent="0.15">
      <c r="A5204" s="10" t="str">
        <f t="shared" si="858"/>
        <v>211_6_0_6_link</v>
      </c>
      <c r="B5204" s="2">
        <v>211</v>
      </c>
      <c r="C5204" s="18" t="s">
        <v>1546</v>
      </c>
      <c r="D5204" s="21">
        <v>6</v>
      </c>
      <c r="E5204" s="2">
        <v>0</v>
      </c>
      <c r="F5204" s="21">
        <v>6</v>
      </c>
      <c r="G5204" s="3" t="s">
        <v>7</v>
      </c>
      <c r="H5204" s="2">
        <v>1200</v>
      </c>
      <c r="I5204" s="116">
        <f t="shared" si="860"/>
        <v>211</v>
      </c>
      <c r="J5204" s="115" t="s">
        <v>84</v>
      </c>
      <c r="K5204" s="2" t="s">
        <v>84</v>
      </c>
      <c r="L5204" s="2">
        <v>0</v>
      </c>
      <c r="M5204" s="2" t="s">
        <v>84</v>
      </c>
      <c r="N5204" s="2" t="s">
        <v>84</v>
      </c>
      <c r="O5204" s="2" t="s">
        <v>841</v>
      </c>
      <c r="P5204" s="2" t="s">
        <v>84</v>
      </c>
    </row>
    <row r="5205" spans="1:16" ht="21" customHeight="1" x14ac:dyDescent="0.15">
      <c r="A5205" s="10" t="str">
        <f t="shared" si="858"/>
        <v>211_7_0_7_link</v>
      </c>
      <c r="B5205" s="2">
        <v>211</v>
      </c>
      <c r="C5205" s="18" t="s">
        <v>1547</v>
      </c>
      <c r="D5205" s="21">
        <v>7</v>
      </c>
      <c r="E5205" s="2">
        <v>0</v>
      </c>
      <c r="F5205" s="21">
        <v>7</v>
      </c>
      <c r="G5205" s="3" t="s">
        <v>7</v>
      </c>
      <c r="H5205" s="2">
        <v>1400</v>
      </c>
      <c r="I5205" s="116">
        <f t="shared" si="860"/>
        <v>211</v>
      </c>
      <c r="J5205" s="115" t="s">
        <v>84</v>
      </c>
      <c r="K5205" s="2" t="s">
        <v>84</v>
      </c>
      <c r="L5205" s="2">
        <v>0</v>
      </c>
      <c r="M5205" s="2" t="s">
        <v>84</v>
      </c>
      <c r="N5205" s="2" t="s">
        <v>84</v>
      </c>
      <c r="O5205" s="2" t="s">
        <v>841</v>
      </c>
      <c r="P5205" s="2" t="s">
        <v>84</v>
      </c>
    </row>
    <row r="5206" spans="1:16" ht="21" customHeight="1" x14ac:dyDescent="0.15">
      <c r="A5206" s="10" t="str">
        <f t="shared" si="858"/>
        <v>211_8_0_8_link</v>
      </c>
      <c r="B5206" s="2">
        <v>211</v>
      </c>
      <c r="C5206" s="18" t="s">
        <v>1548</v>
      </c>
      <c r="D5206" s="21">
        <v>8</v>
      </c>
      <c r="E5206" s="2">
        <v>0</v>
      </c>
      <c r="F5206" s="21">
        <v>8</v>
      </c>
      <c r="G5206" s="3" t="s">
        <v>7</v>
      </c>
      <c r="H5206" s="2">
        <v>1600</v>
      </c>
      <c r="I5206" s="116">
        <f t="shared" si="860"/>
        <v>211</v>
      </c>
      <c r="J5206" s="115" t="s">
        <v>84</v>
      </c>
      <c r="K5206" s="2" t="s">
        <v>84</v>
      </c>
      <c r="L5206" s="2">
        <v>0</v>
      </c>
      <c r="M5206" s="2" t="s">
        <v>84</v>
      </c>
      <c r="N5206" s="2" t="s">
        <v>84</v>
      </c>
      <c r="O5206" s="2" t="s">
        <v>841</v>
      </c>
      <c r="P5206" s="2" t="s">
        <v>84</v>
      </c>
    </row>
    <row r="5207" spans="1:16" ht="21" customHeight="1" x14ac:dyDescent="0.15">
      <c r="A5207" s="10" t="str">
        <f t="shared" si="858"/>
        <v>211_9_0_9_link</v>
      </c>
      <c r="B5207" s="2">
        <v>211</v>
      </c>
      <c r="C5207" s="18" t="s">
        <v>1549</v>
      </c>
      <c r="D5207" s="21">
        <v>9</v>
      </c>
      <c r="E5207" s="2">
        <v>0</v>
      </c>
      <c r="F5207" s="21">
        <v>9</v>
      </c>
      <c r="G5207" s="3" t="s">
        <v>7</v>
      </c>
      <c r="H5207" s="2">
        <v>1800</v>
      </c>
      <c r="I5207" s="116">
        <f t="shared" si="860"/>
        <v>211</v>
      </c>
      <c r="J5207" s="115" t="s">
        <v>84</v>
      </c>
      <c r="K5207" s="2" t="s">
        <v>84</v>
      </c>
      <c r="L5207" s="2">
        <v>0</v>
      </c>
      <c r="M5207" s="2" t="s">
        <v>84</v>
      </c>
      <c r="N5207" s="2" t="s">
        <v>84</v>
      </c>
      <c r="O5207" s="2" t="s">
        <v>841</v>
      </c>
      <c r="P5207" s="2" t="s">
        <v>84</v>
      </c>
    </row>
    <row r="5208" spans="1:16" ht="21" customHeight="1" x14ac:dyDescent="0.15">
      <c r="A5208" s="10" t="str">
        <f t="shared" si="858"/>
        <v>211_10_0_10_link</v>
      </c>
      <c r="B5208" s="2">
        <v>211</v>
      </c>
      <c r="C5208" s="18" t="s">
        <v>1550</v>
      </c>
      <c r="D5208" s="21">
        <v>10</v>
      </c>
      <c r="E5208" s="2">
        <v>0</v>
      </c>
      <c r="F5208" s="21">
        <v>10</v>
      </c>
      <c r="G5208" s="3" t="s">
        <v>7</v>
      </c>
      <c r="H5208" s="2">
        <v>2000</v>
      </c>
      <c r="I5208" s="116">
        <f t="shared" si="860"/>
        <v>211</v>
      </c>
      <c r="J5208" s="115" t="s">
        <v>84</v>
      </c>
      <c r="K5208" s="2" t="s">
        <v>84</v>
      </c>
      <c r="L5208" s="2">
        <v>0</v>
      </c>
      <c r="M5208" s="2" t="s">
        <v>84</v>
      </c>
      <c r="N5208" s="2" t="s">
        <v>84</v>
      </c>
      <c r="O5208" s="2" t="s">
        <v>841</v>
      </c>
      <c r="P5208" s="2" t="s">
        <v>84</v>
      </c>
    </row>
    <row r="5209" spans="1:16" ht="21" customHeight="1" x14ac:dyDescent="0.15">
      <c r="A5209" s="10" t="str">
        <f t="shared" si="858"/>
        <v>213_1_0_1_link</v>
      </c>
      <c r="B5209" s="2">
        <v>213</v>
      </c>
      <c r="C5209" s="18" t="s">
        <v>2168</v>
      </c>
      <c r="D5209" s="21">
        <v>1</v>
      </c>
      <c r="E5209" s="2">
        <v>0</v>
      </c>
      <c r="F5209" s="21">
        <v>1</v>
      </c>
      <c r="G5209" s="3" t="s">
        <v>7</v>
      </c>
      <c r="H5209" s="2">
        <v>100</v>
      </c>
      <c r="I5209" s="116">
        <f>B5209</f>
        <v>213</v>
      </c>
      <c r="J5209" s="115" t="s">
        <v>84</v>
      </c>
      <c r="K5209" s="2" t="s">
        <v>84</v>
      </c>
      <c r="L5209" s="2">
        <v>0</v>
      </c>
      <c r="M5209" s="2" t="s">
        <v>84</v>
      </c>
      <c r="N5209" s="2" t="s">
        <v>84</v>
      </c>
      <c r="O5209" s="2" t="s">
        <v>841</v>
      </c>
      <c r="P5209" s="2" t="s">
        <v>84</v>
      </c>
    </row>
    <row r="5210" spans="1:16" ht="21" customHeight="1" x14ac:dyDescent="0.15">
      <c r="A5210" s="10" t="str">
        <f t="shared" si="858"/>
        <v>213_2_0_2_link</v>
      </c>
      <c r="B5210" s="2">
        <v>213</v>
      </c>
      <c r="C5210" s="18" t="s">
        <v>2169</v>
      </c>
      <c r="D5210" s="21">
        <v>2</v>
      </c>
      <c r="E5210" s="2">
        <v>0</v>
      </c>
      <c r="F5210" s="21">
        <v>2</v>
      </c>
      <c r="G5210" s="3" t="s">
        <v>7</v>
      </c>
      <c r="H5210" s="2">
        <v>200</v>
      </c>
      <c r="I5210" s="116">
        <f t="shared" ref="I5210:I5218" si="861">B5210</f>
        <v>213</v>
      </c>
      <c r="J5210" s="115" t="s">
        <v>84</v>
      </c>
      <c r="K5210" s="2" t="s">
        <v>84</v>
      </c>
      <c r="L5210" s="2">
        <v>0</v>
      </c>
      <c r="M5210" s="2" t="s">
        <v>84</v>
      </c>
      <c r="N5210" s="2" t="s">
        <v>84</v>
      </c>
      <c r="O5210" s="2" t="s">
        <v>841</v>
      </c>
      <c r="P5210" s="2" t="s">
        <v>84</v>
      </c>
    </row>
    <row r="5211" spans="1:16" ht="21" customHeight="1" x14ac:dyDescent="0.15">
      <c r="A5211" s="10" t="str">
        <f t="shared" si="858"/>
        <v>213_3_0_3_link</v>
      </c>
      <c r="B5211" s="2">
        <v>213</v>
      </c>
      <c r="C5211" s="18" t="s">
        <v>2170</v>
      </c>
      <c r="D5211" s="21">
        <v>3</v>
      </c>
      <c r="E5211" s="2">
        <v>0</v>
      </c>
      <c r="F5211" s="21">
        <v>3</v>
      </c>
      <c r="G5211" s="3" t="s">
        <v>7</v>
      </c>
      <c r="H5211" s="2">
        <v>300</v>
      </c>
      <c r="I5211" s="116">
        <f t="shared" si="861"/>
        <v>213</v>
      </c>
      <c r="J5211" s="115" t="s">
        <v>84</v>
      </c>
      <c r="K5211" s="2" t="s">
        <v>84</v>
      </c>
      <c r="L5211" s="2">
        <v>0</v>
      </c>
      <c r="M5211" s="2" t="s">
        <v>84</v>
      </c>
      <c r="N5211" s="2" t="s">
        <v>84</v>
      </c>
      <c r="O5211" s="2" t="s">
        <v>841</v>
      </c>
      <c r="P5211" s="2" t="s">
        <v>84</v>
      </c>
    </row>
    <row r="5212" spans="1:16" ht="21" customHeight="1" x14ac:dyDescent="0.15">
      <c r="A5212" s="10" t="str">
        <f t="shared" si="858"/>
        <v>213_4_0_4_link</v>
      </c>
      <c r="B5212" s="2">
        <v>213</v>
      </c>
      <c r="C5212" s="18" t="s">
        <v>2171</v>
      </c>
      <c r="D5212" s="21">
        <v>4</v>
      </c>
      <c r="E5212" s="2">
        <v>0</v>
      </c>
      <c r="F5212" s="21">
        <v>4</v>
      </c>
      <c r="G5212" s="3" t="s">
        <v>7</v>
      </c>
      <c r="H5212" s="2">
        <v>400</v>
      </c>
      <c r="I5212" s="116">
        <f t="shared" si="861"/>
        <v>213</v>
      </c>
      <c r="J5212" s="115" t="s">
        <v>84</v>
      </c>
      <c r="K5212" s="2" t="s">
        <v>84</v>
      </c>
      <c r="L5212" s="2">
        <v>0</v>
      </c>
      <c r="M5212" s="2" t="s">
        <v>84</v>
      </c>
      <c r="N5212" s="2" t="s">
        <v>84</v>
      </c>
      <c r="O5212" s="2" t="s">
        <v>841</v>
      </c>
      <c r="P5212" s="2" t="s">
        <v>84</v>
      </c>
    </row>
    <row r="5213" spans="1:16" ht="21" customHeight="1" x14ac:dyDescent="0.15">
      <c r="A5213" s="10" t="str">
        <f t="shared" si="858"/>
        <v>213_5_0_5_link</v>
      </c>
      <c r="B5213" s="2">
        <v>213</v>
      </c>
      <c r="C5213" s="18" t="s">
        <v>2172</v>
      </c>
      <c r="D5213" s="21">
        <v>5</v>
      </c>
      <c r="E5213" s="2">
        <v>0</v>
      </c>
      <c r="F5213" s="21">
        <v>5</v>
      </c>
      <c r="G5213" s="3" t="s">
        <v>7</v>
      </c>
      <c r="H5213" s="2">
        <v>500</v>
      </c>
      <c r="I5213" s="116">
        <f t="shared" si="861"/>
        <v>213</v>
      </c>
      <c r="J5213" s="115" t="s">
        <v>84</v>
      </c>
      <c r="K5213" s="2" t="s">
        <v>84</v>
      </c>
      <c r="L5213" s="2">
        <v>0</v>
      </c>
      <c r="M5213" s="2" t="s">
        <v>84</v>
      </c>
      <c r="N5213" s="2" t="s">
        <v>84</v>
      </c>
      <c r="O5213" s="2" t="s">
        <v>841</v>
      </c>
      <c r="P5213" s="2" t="s">
        <v>84</v>
      </c>
    </row>
    <row r="5214" spans="1:16" ht="21" customHeight="1" x14ac:dyDescent="0.15">
      <c r="A5214" s="10" t="str">
        <f t="shared" si="858"/>
        <v>213_6_0_6_link</v>
      </c>
      <c r="B5214" s="2">
        <v>213</v>
      </c>
      <c r="C5214" s="18" t="s">
        <v>2173</v>
      </c>
      <c r="D5214" s="21">
        <v>6</v>
      </c>
      <c r="E5214" s="2">
        <v>0</v>
      </c>
      <c r="F5214" s="21">
        <v>6</v>
      </c>
      <c r="G5214" s="3" t="s">
        <v>7</v>
      </c>
      <c r="H5214" s="2">
        <v>600</v>
      </c>
      <c r="I5214" s="116">
        <f t="shared" si="861"/>
        <v>213</v>
      </c>
      <c r="J5214" s="115" t="s">
        <v>84</v>
      </c>
      <c r="K5214" s="2" t="s">
        <v>84</v>
      </c>
      <c r="L5214" s="2">
        <v>0</v>
      </c>
      <c r="M5214" s="2" t="s">
        <v>84</v>
      </c>
      <c r="N5214" s="2" t="s">
        <v>84</v>
      </c>
      <c r="O5214" s="2" t="s">
        <v>841</v>
      </c>
      <c r="P5214" s="2" t="s">
        <v>84</v>
      </c>
    </row>
    <row r="5215" spans="1:16" ht="21" customHeight="1" x14ac:dyDescent="0.15">
      <c r="A5215" s="10" t="str">
        <f t="shared" si="858"/>
        <v>213_7_0_7_link</v>
      </c>
      <c r="B5215" s="2">
        <v>213</v>
      </c>
      <c r="C5215" s="18" t="s">
        <v>2174</v>
      </c>
      <c r="D5215" s="21">
        <v>7</v>
      </c>
      <c r="E5215" s="2">
        <v>0</v>
      </c>
      <c r="F5215" s="21">
        <v>7</v>
      </c>
      <c r="G5215" s="3" t="s">
        <v>7</v>
      </c>
      <c r="H5215" s="2">
        <v>700</v>
      </c>
      <c r="I5215" s="116">
        <f t="shared" si="861"/>
        <v>213</v>
      </c>
      <c r="J5215" s="115" t="s">
        <v>84</v>
      </c>
      <c r="K5215" s="2" t="s">
        <v>84</v>
      </c>
      <c r="L5215" s="2">
        <v>0</v>
      </c>
      <c r="M5215" s="2" t="s">
        <v>84</v>
      </c>
      <c r="N5215" s="2" t="s">
        <v>84</v>
      </c>
      <c r="O5215" s="2" t="s">
        <v>841</v>
      </c>
      <c r="P5215" s="2" t="s">
        <v>84</v>
      </c>
    </row>
    <row r="5216" spans="1:16" ht="21" customHeight="1" x14ac:dyDescent="0.15">
      <c r="A5216" s="10" t="str">
        <f t="shared" si="858"/>
        <v>213_8_0_8_link</v>
      </c>
      <c r="B5216" s="2">
        <v>213</v>
      </c>
      <c r="C5216" s="18" t="s">
        <v>2175</v>
      </c>
      <c r="D5216" s="21">
        <v>8</v>
      </c>
      <c r="E5216" s="2">
        <v>0</v>
      </c>
      <c r="F5216" s="21">
        <v>8</v>
      </c>
      <c r="G5216" s="3" t="s">
        <v>7</v>
      </c>
      <c r="H5216" s="2">
        <v>800</v>
      </c>
      <c r="I5216" s="116">
        <f t="shared" si="861"/>
        <v>213</v>
      </c>
      <c r="J5216" s="115" t="s">
        <v>84</v>
      </c>
      <c r="K5216" s="2" t="s">
        <v>84</v>
      </c>
      <c r="L5216" s="2">
        <v>0</v>
      </c>
      <c r="M5216" s="2" t="s">
        <v>84</v>
      </c>
      <c r="N5216" s="2" t="s">
        <v>84</v>
      </c>
      <c r="O5216" s="2" t="s">
        <v>841</v>
      </c>
      <c r="P5216" s="2" t="s">
        <v>84</v>
      </c>
    </row>
    <row r="5217" spans="1:16" ht="21" customHeight="1" x14ac:dyDescent="0.15">
      <c r="A5217" s="10" t="str">
        <f t="shared" si="858"/>
        <v>213_9_0_9_link</v>
      </c>
      <c r="B5217" s="2">
        <v>213</v>
      </c>
      <c r="C5217" s="18" t="s">
        <v>2176</v>
      </c>
      <c r="D5217" s="21">
        <v>9</v>
      </c>
      <c r="E5217" s="2">
        <v>0</v>
      </c>
      <c r="F5217" s="21">
        <v>9</v>
      </c>
      <c r="G5217" s="3" t="s">
        <v>7</v>
      </c>
      <c r="H5217" s="2">
        <v>900</v>
      </c>
      <c r="I5217" s="116">
        <f t="shared" si="861"/>
        <v>213</v>
      </c>
      <c r="J5217" s="115" t="s">
        <v>84</v>
      </c>
      <c r="K5217" s="2" t="s">
        <v>84</v>
      </c>
      <c r="L5217" s="2">
        <v>0</v>
      </c>
      <c r="M5217" s="2" t="s">
        <v>84</v>
      </c>
      <c r="N5217" s="2" t="s">
        <v>84</v>
      </c>
      <c r="O5217" s="2" t="s">
        <v>841</v>
      </c>
      <c r="P5217" s="2" t="s">
        <v>84</v>
      </c>
    </row>
    <row r="5218" spans="1:16" ht="21" customHeight="1" x14ac:dyDescent="0.15">
      <c r="A5218" s="10" t="str">
        <f t="shared" si="858"/>
        <v>213_10_0_10_link</v>
      </c>
      <c r="B5218" s="2">
        <v>213</v>
      </c>
      <c r="C5218" s="18" t="s">
        <v>2177</v>
      </c>
      <c r="D5218" s="21">
        <v>10</v>
      </c>
      <c r="E5218" s="2">
        <v>0</v>
      </c>
      <c r="F5218" s="21">
        <v>10</v>
      </c>
      <c r="G5218" s="3" t="s">
        <v>7</v>
      </c>
      <c r="H5218" s="2">
        <v>1000</v>
      </c>
      <c r="I5218" s="116">
        <f t="shared" si="861"/>
        <v>213</v>
      </c>
      <c r="J5218" s="115" t="s">
        <v>84</v>
      </c>
      <c r="K5218" s="2" t="s">
        <v>84</v>
      </c>
      <c r="L5218" s="2">
        <v>0</v>
      </c>
      <c r="M5218" s="2" t="s">
        <v>84</v>
      </c>
      <c r="N5218" s="2" t="s">
        <v>84</v>
      </c>
      <c r="O5218" s="2" t="s">
        <v>841</v>
      </c>
      <c r="P5218" s="2" t="s">
        <v>84</v>
      </c>
    </row>
    <row r="5219" spans="1:16" ht="21" customHeight="1" x14ac:dyDescent="0.15">
      <c r="A5219" s="10" t="str">
        <f t="shared" ref="A5219:A5228" si="862">B5219&amp;"_"&amp;D5219&amp;"_"&amp;E5219&amp;"_"&amp;F5219&amp;"_"&amp;G5219</f>
        <v>214_1_0_1_link</v>
      </c>
      <c r="B5219" s="2">
        <v>214</v>
      </c>
      <c r="C5219" s="18" t="s">
        <v>2733</v>
      </c>
      <c r="D5219" s="21">
        <v>1</v>
      </c>
      <c r="E5219" s="2">
        <v>0</v>
      </c>
      <c r="F5219" s="21">
        <v>1</v>
      </c>
      <c r="G5219" s="3" t="s">
        <v>7</v>
      </c>
      <c r="H5219" s="2">
        <v>100</v>
      </c>
      <c r="I5219" s="116">
        <f>B5219</f>
        <v>214</v>
      </c>
      <c r="J5219" s="115" t="s">
        <v>84</v>
      </c>
      <c r="K5219" s="2" t="s">
        <v>84</v>
      </c>
      <c r="L5219" s="2">
        <v>0</v>
      </c>
      <c r="M5219" s="2" t="s">
        <v>84</v>
      </c>
      <c r="N5219" s="2" t="s">
        <v>84</v>
      </c>
      <c r="O5219" s="2" t="s">
        <v>841</v>
      </c>
      <c r="P5219" s="2" t="s">
        <v>84</v>
      </c>
    </row>
    <row r="5220" spans="1:16" ht="21" customHeight="1" x14ac:dyDescent="0.15">
      <c r="A5220" s="10" t="str">
        <f t="shared" si="862"/>
        <v>214_2_0_2_link</v>
      </c>
      <c r="B5220" s="2">
        <v>214</v>
      </c>
      <c r="C5220" s="18" t="s">
        <v>2735</v>
      </c>
      <c r="D5220" s="21">
        <v>2</v>
      </c>
      <c r="E5220" s="2">
        <v>0</v>
      </c>
      <c r="F5220" s="21">
        <v>2</v>
      </c>
      <c r="G5220" s="3" t="s">
        <v>7</v>
      </c>
      <c r="H5220" s="2">
        <v>200</v>
      </c>
      <c r="I5220" s="116">
        <f t="shared" ref="I5220:I5228" si="863">B5220</f>
        <v>214</v>
      </c>
      <c r="J5220" s="115" t="s">
        <v>84</v>
      </c>
      <c r="K5220" s="2" t="s">
        <v>84</v>
      </c>
      <c r="L5220" s="2">
        <v>0</v>
      </c>
      <c r="M5220" s="2" t="s">
        <v>84</v>
      </c>
      <c r="N5220" s="2" t="s">
        <v>84</v>
      </c>
      <c r="O5220" s="2" t="s">
        <v>841</v>
      </c>
      <c r="P5220" s="2" t="s">
        <v>84</v>
      </c>
    </row>
    <row r="5221" spans="1:16" ht="21" customHeight="1" x14ac:dyDescent="0.15">
      <c r="A5221" s="10" t="str">
        <f t="shared" si="862"/>
        <v>214_3_0_3_link</v>
      </c>
      <c r="B5221" s="2">
        <v>214</v>
      </c>
      <c r="C5221" s="18" t="s">
        <v>2736</v>
      </c>
      <c r="D5221" s="21">
        <v>3</v>
      </c>
      <c r="E5221" s="2">
        <v>0</v>
      </c>
      <c r="F5221" s="21">
        <v>3</v>
      </c>
      <c r="G5221" s="3" t="s">
        <v>7</v>
      </c>
      <c r="H5221" s="2">
        <v>300</v>
      </c>
      <c r="I5221" s="116">
        <f t="shared" si="863"/>
        <v>214</v>
      </c>
      <c r="J5221" s="115" t="s">
        <v>84</v>
      </c>
      <c r="K5221" s="2" t="s">
        <v>84</v>
      </c>
      <c r="L5221" s="2">
        <v>0</v>
      </c>
      <c r="M5221" s="2" t="s">
        <v>84</v>
      </c>
      <c r="N5221" s="2" t="s">
        <v>84</v>
      </c>
      <c r="O5221" s="2" t="s">
        <v>841</v>
      </c>
      <c r="P5221" s="2" t="s">
        <v>84</v>
      </c>
    </row>
    <row r="5222" spans="1:16" ht="21" customHeight="1" x14ac:dyDescent="0.15">
      <c r="A5222" s="10" t="str">
        <f t="shared" si="862"/>
        <v>214_4_0_4_link</v>
      </c>
      <c r="B5222" s="2">
        <v>214</v>
      </c>
      <c r="C5222" s="18" t="s">
        <v>2737</v>
      </c>
      <c r="D5222" s="21">
        <v>4</v>
      </c>
      <c r="E5222" s="2">
        <v>0</v>
      </c>
      <c r="F5222" s="21">
        <v>4</v>
      </c>
      <c r="G5222" s="3" t="s">
        <v>7</v>
      </c>
      <c r="H5222" s="2">
        <v>400</v>
      </c>
      <c r="I5222" s="116">
        <f t="shared" si="863"/>
        <v>214</v>
      </c>
      <c r="J5222" s="115" t="s">
        <v>84</v>
      </c>
      <c r="K5222" s="2" t="s">
        <v>84</v>
      </c>
      <c r="L5222" s="2">
        <v>0</v>
      </c>
      <c r="M5222" s="2" t="s">
        <v>84</v>
      </c>
      <c r="N5222" s="2" t="s">
        <v>84</v>
      </c>
      <c r="O5222" s="2" t="s">
        <v>841</v>
      </c>
      <c r="P5222" s="2" t="s">
        <v>84</v>
      </c>
    </row>
    <row r="5223" spans="1:16" ht="21" customHeight="1" x14ac:dyDescent="0.15">
      <c r="A5223" s="10" t="str">
        <f t="shared" si="862"/>
        <v>214_5_0_5_link</v>
      </c>
      <c r="B5223" s="2">
        <v>214</v>
      </c>
      <c r="C5223" s="18" t="s">
        <v>2738</v>
      </c>
      <c r="D5223" s="21">
        <v>5</v>
      </c>
      <c r="E5223" s="2">
        <v>0</v>
      </c>
      <c r="F5223" s="21">
        <v>5</v>
      </c>
      <c r="G5223" s="3" t="s">
        <v>7</v>
      </c>
      <c r="H5223" s="2">
        <v>500</v>
      </c>
      <c r="I5223" s="116">
        <f t="shared" si="863"/>
        <v>214</v>
      </c>
      <c r="J5223" s="115" t="s">
        <v>84</v>
      </c>
      <c r="K5223" s="2" t="s">
        <v>84</v>
      </c>
      <c r="L5223" s="2">
        <v>0</v>
      </c>
      <c r="M5223" s="2" t="s">
        <v>84</v>
      </c>
      <c r="N5223" s="2" t="s">
        <v>84</v>
      </c>
      <c r="O5223" s="2" t="s">
        <v>841</v>
      </c>
      <c r="P5223" s="2" t="s">
        <v>84</v>
      </c>
    </row>
    <row r="5224" spans="1:16" ht="21" customHeight="1" x14ac:dyDescent="0.15">
      <c r="A5224" s="10" t="str">
        <f t="shared" si="862"/>
        <v>214_6_0_6_link</v>
      </c>
      <c r="B5224" s="2">
        <v>214</v>
      </c>
      <c r="C5224" s="18" t="s">
        <v>2739</v>
      </c>
      <c r="D5224" s="21">
        <v>6</v>
      </c>
      <c r="E5224" s="2">
        <v>0</v>
      </c>
      <c r="F5224" s="21">
        <v>6</v>
      </c>
      <c r="G5224" s="3" t="s">
        <v>7</v>
      </c>
      <c r="H5224" s="2">
        <v>600</v>
      </c>
      <c r="I5224" s="116">
        <f t="shared" si="863"/>
        <v>214</v>
      </c>
      <c r="J5224" s="115" t="s">
        <v>84</v>
      </c>
      <c r="K5224" s="2" t="s">
        <v>84</v>
      </c>
      <c r="L5224" s="2">
        <v>0</v>
      </c>
      <c r="M5224" s="2" t="s">
        <v>84</v>
      </c>
      <c r="N5224" s="2" t="s">
        <v>84</v>
      </c>
      <c r="O5224" s="2" t="s">
        <v>841</v>
      </c>
      <c r="P5224" s="2" t="s">
        <v>84</v>
      </c>
    </row>
    <row r="5225" spans="1:16" ht="21" customHeight="1" x14ac:dyDescent="0.15">
      <c r="A5225" s="10" t="str">
        <f t="shared" si="862"/>
        <v>214_7_0_7_link</v>
      </c>
      <c r="B5225" s="2">
        <v>214</v>
      </c>
      <c r="C5225" s="18" t="s">
        <v>2740</v>
      </c>
      <c r="D5225" s="21">
        <v>7</v>
      </c>
      <c r="E5225" s="2">
        <v>0</v>
      </c>
      <c r="F5225" s="21">
        <v>7</v>
      </c>
      <c r="G5225" s="3" t="s">
        <v>7</v>
      </c>
      <c r="H5225" s="2">
        <v>700</v>
      </c>
      <c r="I5225" s="116">
        <f t="shared" si="863"/>
        <v>214</v>
      </c>
      <c r="J5225" s="115" t="s">
        <v>84</v>
      </c>
      <c r="K5225" s="2" t="s">
        <v>84</v>
      </c>
      <c r="L5225" s="2">
        <v>0</v>
      </c>
      <c r="M5225" s="2" t="s">
        <v>84</v>
      </c>
      <c r="N5225" s="2" t="s">
        <v>84</v>
      </c>
      <c r="O5225" s="2" t="s">
        <v>841</v>
      </c>
      <c r="P5225" s="2" t="s">
        <v>84</v>
      </c>
    </row>
    <row r="5226" spans="1:16" ht="21" customHeight="1" x14ac:dyDescent="0.15">
      <c r="A5226" s="10" t="str">
        <f t="shared" si="862"/>
        <v>214_8_0_8_link</v>
      </c>
      <c r="B5226" s="2">
        <v>214</v>
      </c>
      <c r="C5226" s="18" t="s">
        <v>2741</v>
      </c>
      <c r="D5226" s="21">
        <v>8</v>
      </c>
      <c r="E5226" s="2">
        <v>0</v>
      </c>
      <c r="F5226" s="21">
        <v>8</v>
      </c>
      <c r="G5226" s="3" t="s">
        <v>7</v>
      </c>
      <c r="H5226" s="2">
        <v>800</v>
      </c>
      <c r="I5226" s="116">
        <f t="shared" si="863"/>
        <v>214</v>
      </c>
      <c r="J5226" s="115" t="s">
        <v>84</v>
      </c>
      <c r="K5226" s="2" t="s">
        <v>84</v>
      </c>
      <c r="L5226" s="2">
        <v>0</v>
      </c>
      <c r="M5226" s="2" t="s">
        <v>84</v>
      </c>
      <c r="N5226" s="2" t="s">
        <v>84</v>
      </c>
      <c r="O5226" s="2" t="s">
        <v>841</v>
      </c>
      <c r="P5226" s="2" t="s">
        <v>84</v>
      </c>
    </row>
    <row r="5227" spans="1:16" ht="21" customHeight="1" x14ac:dyDescent="0.15">
      <c r="A5227" s="10" t="str">
        <f t="shared" si="862"/>
        <v>214_9_0_9_link</v>
      </c>
      <c r="B5227" s="2">
        <v>214</v>
      </c>
      <c r="C5227" s="18" t="s">
        <v>2742</v>
      </c>
      <c r="D5227" s="21">
        <v>9</v>
      </c>
      <c r="E5227" s="2">
        <v>0</v>
      </c>
      <c r="F5227" s="21">
        <v>9</v>
      </c>
      <c r="G5227" s="3" t="s">
        <v>7</v>
      </c>
      <c r="H5227" s="2">
        <v>900</v>
      </c>
      <c r="I5227" s="116">
        <f t="shared" si="863"/>
        <v>214</v>
      </c>
      <c r="J5227" s="115" t="s">
        <v>84</v>
      </c>
      <c r="K5227" s="2" t="s">
        <v>84</v>
      </c>
      <c r="L5227" s="2">
        <v>0</v>
      </c>
      <c r="M5227" s="2" t="s">
        <v>84</v>
      </c>
      <c r="N5227" s="2" t="s">
        <v>84</v>
      </c>
      <c r="O5227" s="2" t="s">
        <v>841</v>
      </c>
      <c r="P5227" s="2" t="s">
        <v>84</v>
      </c>
    </row>
    <row r="5228" spans="1:16" ht="21" customHeight="1" x14ac:dyDescent="0.15">
      <c r="A5228" s="10" t="str">
        <f t="shared" si="862"/>
        <v>214_10_0_10_link</v>
      </c>
      <c r="B5228" s="2">
        <v>214</v>
      </c>
      <c r="C5228" s="18" t="s">
        <v>2743</v>
      </c>
      <c r="D5228" s="21">
        <v>10</v>
      </c>
      <c r="E5228" s="2">
        <v>0</v>
      </c>
      <c r="F5228" s="21">
        <v>10</v>
      </c>
      <c r="G5228" s="3" t="s">
        <v>7</v>
      </c>
      <c r="H5228" s="2">
        <v>1000</v>
      </c>
      <c r="I5228" s="116">
        <f t="shared" si="863"/>
        <v>214</v>
      </c>
      <c r="J5228" s="115" t="s">
        <v>84</v>
      </c>
      <c r="K5228" s="2" t="s">
        <v>84</v>
      </c>
      <c r="L5228" s="2">
        <v>0</v>
      </c>
      <c r="M5228" s="2" t="s">
        <v>84</v>
      </c>
      <c r="N5228" s="2" t="s">
        <v>84</v>
      </c>
      <c r="O5228" s="2" t="s">
        <v>841</v>
      </c>
      <c r="P5228" s="2" t="s">
        <v>84</v>
      </c>
    </row>
    <row r="5229" spans="1:16" ht="21" customHeight="1" x14ac:dyDescent="0.15">
      <c r="A5229" s="10" t="str">
        <f t="shared" ref="A5229:A5238" si="864">B5229&amp;"_"&amp;D5229&amp;"_"&amp;E5229&amp;"_"&amp;F5229&amp;"_"&amp;G5229</f>
        <v>216_1_0_1_link</v>
      </c>
      <c r="B5229" s="2">
        <v>216</v>
      </c>
      <c r="C5229" s="18" t="s">
        <v>3029</v>
      </c>
      <c r="D5229" s="21">
        <v>1</v>
      </c>
      <c r="E5229" s="2">
        <v>0</v>
      </c>
      <c r="F5229" s="21">
        <v>1</v>
      </c>
      <c r="G5229" s="3" t="s">
        <v>7</v>
      </c>
      <c r="H5229" s="2">
        <v>100</v>
      </c>
      <c r="I5229" s="116">
        <f>B5229</f>
        <v>216</v>
      </c>
      <c r="J5229" s="115" t="s">
        <v>84</v>
      </c>
      <c r="K5229" s="2" t="s">
        <v>84</v>
      </c>
      <c r="L5229" s="2">
        <v>0</v>
      </c>
      <c r="M5229" s="2" t="s">
        <v>84</v>
      </c>
      <c r="N5229" s="2" t="s">
        <v>84</v>
      </c>
      <c r="O5229" s="2" t="s">
        <v>841</v>
      </c>
      <c r="P5229" s="2" t="s">
        <v>84</v>
      </c>
    </row>
    <row r="5230" spans="1:16" ht="21" customHeight="1" x14ac:dyDescent="0.15">
      <c r="A5230" s="10" t="str">
        <f t="shared" si="864"/>
        <v>216_2_0_2_link</v>
      </c>
      <c r="B5230" s="2">
        <v>216</v>
      </c>
      <c r="C5230" s="18" t="s">
        <v>3033</v>
      </c>
      <c r="D5230" s="21">
        <v>2</v>
      </c>
      <c r="E5230" s="2">
        <v>0</v>
      </c>
      <c r="F5230" s="21">
        <v>2</v>
      </c>
      <c r="G5230" s="3" t="s">
        <v>7</v>
      </c>
      <c r="H5230" s="2">
        <v>200</v>
      </c>
      <c r="I5230" s="116">
        <f t="shared" ref="I5230:I5238" si="865">B5230</f>
        <v>216</v>
      </c>
      <c r="J5230" s="115" t="s">
        <v>84</v>
      </c>
      <c r="K5230" s="2" t="s">
        <v>84</v>
      </c>
      <c r="L5230" s="2">
        <v>0</v>
      </c>
      <c r="M5230" s="2" t="s">
        <v>84</v>
      </c>
      <c r="N5230" s="2" t="s">
        <v>84</v>
      </c>
      <c r="O5230" s="2" t="s">
        <v>841</v>
      </c>
      <c r="P5230" s="2" t="s">
        <v>84</v>
      </c>
    </row>
    <row r="5231" spans="1:16" ht="21" customHeight="1" x14ac:dyDescent="0.15">
      <c r="A5231" s="10" t="str">
        <f t="shared" si="864"/>
        <v>216_3_0_3_link</v>
      </c>
      <c r="B5231" s="2">
        <v>216</v>
      </c>
      <c r="C5231" s="18" t="s">
        <v>3034</v>
      </c>
      <c r="D5231" s="21">
        <v>3</v>
      </c>
      <c r="E5231" s="2">
        <v>0</v>
      </c>
      <c r="F5231" s="21">
        <v>3</v>
      </c>
      <c r="G5231" s="3" t="s">
        <v>7</v>
      </c>
      <c r="H5231" s="2">
        <v>300</v>
      </c>
      <c r="I5231" s="116">
        <f t="shared" si="865"/>
        <v>216</v>
      </c>
      <c r="J5231" s="115" t="s">
        <v>84</v>
      </c>
      <c r="K5231" s="2" t="s">
        <v>84</v>
      </c>
      <c r="L5231" s="2">
        <v>0</v>
      </c>
      <c r="M5231" s="2" t="s">
        <v>84</v>
      </c>
      <c r="N5231" s="2" t="s">
        <v>84</v>
      </c>
      <c r="O5231" s="2" t="s">
        <v>841</v>
      </c>
      <c r="P5231" s="2" t="s">
        <v>84</v>
      </c>
    </row>
    <row r="5232" spans="1:16" ht="21" customHeight="1" x14ac:dyDescent="0.15">
      <c r="A5232" s="10" t="str">
        <f t="shared" si="864"/>
        <v>216_4_0_4_link</v>
      </c>
      <c r="B5232" s="2">
        <v>216</v>
      </c>
      <c r="C5232" s="18" t="s">
        <v>3035</v>
      </c>
      <c r="D5232" s="21">
        <v>4</v>
      </c>
      <c r="E5232" s="2">
        <v>0</v>
      </c>
      <c r="F5232" s="21">
        <v>4</v>
      </c>
      <c r="G5232" s="3" t="s">
        <v>7</v>
      </c>
      <c r="H5232" s="2">
        <v>400</v>
      </c>
      <c r="I5232" s="116">
        <f t="shared" si="865"/>
        <v>216</v>
      </c>
      <c r="J5232" s="115" t="s">
        <v>84</v>
      </c>
      <c r="K5232" s="2" t="s">
        <v>84</v>
      </c>
      <c r="L5232" s="2">
        <v>0</v>
      </c>
      <c r="M5232" s="2" t="s">
        <v>84</v>
      </c>
      <c r="N5232" s="2" t="s">
        <v>84</v>
      </c>
      <c r="O5232" s="2" t="s">
        <v>841</v>
      </c>
      <c r="P5232" s="2" t="s">
        <v>84</v>
      </c>
    </row>
    <row r="5233" spans="1:16" ht="21" customHeight="1" x14ac:dyDescent="0.15">
      <c r="A5233" s="10" t="str">
        <f t="shared" si="864"/>
        <v>216_5_0_5_link</v>
      </c>
      <c r="B5233" s="2">
        <v>216</v>
      </c>
      <c r="C5233" s="18" t="s">
        <v>3036</v>
      </c>
      <c r="D5233" s="21">
        <v>5</v>
      </c>
      <c r="E5233" s="2">
        <v>0</v>
      </c>
      <c r="F5233" s="21">
        <v>5</v>
      </c>
      <c r="G5233" s="3" t="s">
        <v>7</v>
      </c>
      <c r="H5233" s="2">
        <v>500</v>
      </c>
      <c r="I5233" s="116">
        <f t="shared" si="865"/>
        <v>216</v>
      </c>
      <c r="J5233" s="115" t="s">
        <v>84</v>
      </c>
      <c r="K5233" s="2" t="s">
        <v>84</v>
      </c>
      <c r="L5233" s="2">
        <v>0</v>
      </c>
      <c r="M5233" s="2" t="s">
        <v>84</v>
      </c>
      <c r="N5233" s="2" t="s">
        <v>84</v>
      </c>
      <c r="O5233" s="2" t="s">
        <v>841</v>
      </c>
      <c r="P5233" s="2" t="s">
        <v>84</v>
      </c>
    </row>
    <row r="5234" spans="1:16" ht="21" customHeight="1" x14ac:dyDescent="0.15">
      <c r="A5234" s="10" t="str">
        <f t="shared" si="864"/>
        <v>216_6_0_6_link</v>
      </c>
      <c r="B5234" s="2">
        <v>216</v>
      </c>
      <c r="C5234" s="18" t="s">
        <v>3037</v>
      </c>
      <c r="D5234" s="21">
        <v>6</v>
      </c>
      <c r="E5234" s="2">
        <v>0</v>
      </c>
      <c r="F5234" s="21">
        <v>6</v>
      </c>
      <c r="G5234" s="3" t="s">
        <v>7</v>
      </c>
      <c r="H5234" s="2">
        <v>600</v>
      </c>
      <c r="I5234" s="116">
        <f t="shared" si="865"/>
        <v>216</v>
      </c>
      <c r="J5234" s="115" t="s">
        <v>84</v>
      </c>
      <c r="K5234" s="2" t="s">
        <v>84</v>
      </c>
      <c r="L5234" s="2">
        <v>0</v>
      </c>
      <c r="M5234" s="2" t="s">
        <v>84</v>
      </c>
      <c r="N5234" s="2" t="s">
        <v>84</v>
      </c>
      <c r="O5234" s="2" t="s">
        <v>841</v>
      </c>
      <c r="P5234" s="2" t="s">
        <v>84</v>
      </c>
    </row>
    <row r="5235" spans="1:16" ht="21" customHeight="1" x14ac:dyDescent="0.15">
      <c r="A5235" s="10" t="str">
        <f t="shared" si="864"/>
        <v>216_7_0_7_link</v>
      </c>
      <c r="B5235" s="2">
        <v>216</v>
      </c>
      <c r="C5235" s="18" t="s">
        <v>3038</v>
      </c>
      <c r="D5235" s="21">
        <v>7</v>
      </c>
      <c r="E5235" s="2">
        <v>0</v>
      </c>
      <c r="F5235" s="21">
        <v>7</v>
      </c>
      <c r="G5235" s="3" t="s">
        <v>7</v>
      </c>
      <c r="H5235" s="2">
        <v>700</v>
      </c>
      <c r="I5235" s="116">
        <f t="shared" si="865"/>
        <v>216</v>
      </c>
      <c r="J5235" s="115" t="s">
        <v>84</v>
      </c>
      <c r="K5235" s="2" t="s">
        <v>84</v>
      </c>
      <c r="L5235" s="2">
        <v>0</v>
      </c>
      <c r="M5235" s="2" t="s">
        <v>84</v>
      </c>
      <c r="N5235" s="2" t="s">
        <v>84</v>
      </c>
      <c r="O5235" s="2" t="s">
        <v>841</v>
      </c>
      <c r="P5235" s="2" t="s">
        <v>84</v>
      </c>
    </row>
    <row r="5236" spans="1:16" ht="21" customHeight="1" x14ac:dyDescent="0.15">
      <c r="A5236" s="10" t="str">
        <f t="shared" si="864"/>
        <v>216_8_0_8_link</v>
      </c>
      <c r="B5236" s="2">
        <v>216</v>
      </c>
      <c r="C5236" s="18" t="s">
        <v>3039</v>
      </c>
      <c r="D5236" s="21">
        <v>8</v>
      </c>
      <c r="E5236" s="2">
        <v>0</v>
      </c>
      <c r="F5236" s="21">
        <v>8</v>
      </c>
      <c r="G5236" s="3" t="s">
        <v>7</v>
      </c>
      <c r="H5236" s="2">
        <v>800</v>
      </c>
      <c r="I5236" s="116">
        <f t="shared" si="865"/>
        <v>216</v>
      </c>
      <c r="J5236" s="115" t="s">
        <v>84</v>
      </c>
      <c r="K5236" s="2" t="s">
        <v>84</v>
      </c>
      <c r="L5236" s="2">
        <v>0</v>
      </c>
      <c r="M5236" s="2" t="s">
        <v>84</v>
      </c>
      <c r="N5236" s="2" t="s">
        <v>84</v>
      </c>
      <c r="O5236" s="2" t="s">
        <v>841</v>
      </c>
      <c r="P5236" s="2" t="s">
        <v>84</v>
      </c>
    </row>
    <row r="5237" spans="1:16" ht="21" customHeight="1" x14ac:dyDescent="0.15">
      <c r="A5237" s="10" t="str">
        <f t="shared" si="864"/>
        <v>216_9_0_9_link</v>
      </c>
      <c r="B5237" s="2">
        <v>216</v>
      </c>
      <c r="C5237" s="18" t="s">
        <v>3040</v>
      </c>
      <c r="D5237" s="21">
        <v>9</v>
      </c>
      <c r="E5237" s="2">
        <v>0</v>
      </c>
      <c r="F5237" s="21">
        <v>9</v>
      </c>
      <c r="G5237" s="3" t="s">
        <v>7</v>
      </c>
      <c r="H5237" s="2">
        <v>900</v>
      </c>
      <c r="I5237" s="116">
        <f t="shared" si="865"/>
        <v>216</v>
      </c>
      <c r="J5237" s="115" t="s">
        <v>84</v>
      </c>
      <c r="K5237" s="2" t="s">
        <v>84</v>
      </c>
      <c r="L5237" s="2">
        <v>0</v>
      </c>
      <c r="M5237" s="2" t="s">
        <v>84</v>
      </c>
      <c r="N5237" s="2" t="s">
        <v>84</v>
      </c>
      <c r="O5237" s="2" t="s">
        <v>841</v>
      </c>
      <c r="P5237" s="2" t="s">
        <v>84</v>
      </c>
    </row>
    <row r="5238" spans="1:16" ht="21" customHeight="1" x14ac:dyDescent="0.15">
      <c r="A5238" s="10" t="str">
        <f t="shared" si="864"/>
        <v>216_10_0_10_link</v>
      </c>
      <c r="B5238" s="2">
        <v>216</v>
      </c>
      <c r="C5238" s="18" t="s">
        <v>3041</v>
      </c>
      <c r="D5238" s="21">
        <v>10</v>
      </c>
      <c r="E5238" s="2">
        <v>0</v>
      </c>
      <c r="F5238" s="21">
        <v>10</v>
      </c>
      <c r="G5238" s="3" t="s">
        <v>7</v>
      </c>
      <c r="H5238" s="2">
        <v>1000</v>
      </c>
      <c r="I5238" s="116">
        <f t="shared" si="865"/>
        <v>216</v>
      </c>
      <c r="J5238" s="115" t="s">
        <v>84</v>
      </c>
      <c r="K5238" s="2" t="s">
        <v>84</v>
      </c>
      <c r="L5238" s="2">
        <v>0</v>
      </c>
      <c r="M5238" s="2" t="s">
        <v>84</v>
      </c>
      <c r="N5238" s="2" t="s">
        <v>84</v>
      </c>
      <c r="O5238" s="2" t="s">
        <v>841</v>
      </c>
      <c r="P5238" s="2" t="s">
        <v>84</v>
      </c>
    </row>
    <row r="5239" spans="1:16" ht="21" customHeight="1" x14ac:dyDescent="0.15">
      <c r="A5239" s="10" t="str">
        <f t="shared" ref="A5239:A5248" si="866">B5239&amp;"_"&amp;D5239&amp;"_"&amp;E5239&amp;"_"&amp;F5239&amp;"_"&amp;G5239</f>
        <v>217_1_0_1_link</v>
      </c>
      <c r="B5239" s="2">
        <v>217</v>
      </c>
      <c r="C5239" s="18" t="s">
        <v>3338</v>
      </c>
      <c r="D5239" s="21">
        <v>1</v>
      </c>
      <c r="E5239" s="2">
        <v>0</v>
      </c>
      <c r="F5239" s="21">
        <v>1</v>
      </c>
      <c r="G5239" s="3" t="s">
        <v>7</v>
      </c>
      <c r="H5239" s="2">
        <v>100</v>
      </c>
      <c r="I5239" s="116">
        <f>B5239</f>
        <v>217</v>
      </c>
      <c r="J5239" s="115" t="s">
        <v>84</v>
      </c>
      <c r="K5239" s="2" t="s">
        <v>84</v>
      </c>
      <c r="L5239" s="2">
        <v>0</v>
      </c>
      <c r="M5239" s="2" t="s">
        <v>84</v>
      </c>
      <c r="N5239" s="2" t="s">
        <v>84</v>
      </c>
      <c r="O5239" s="2" t="s">
        <v>841</v>
      </c>
      <c r="P5239" s="2" t="s">
        <v>84</v>
      </c>
    </row>
    <row r="5240" spans="1:16" ht="21" customHeight="1" x14ac:dyDescent="0.15">
      <c r="A5240" s="10" t="str">
        <f t="shared" si="866"/>
        <v>217_2_0_2_link</v>
      </c>
      <c r="B5240" s="2">
        <v>217</v>
      </c>
      <c r="C5240" s="18" t="s">
        <v>3351</v>
      </c>
      <c r="D5240" s="21">
        <v>2</v>
      </c>
      <c r="E5240" s="2">
        <v>0</v>
      </c>
      <c r="F5240" s="21">
        <v>2</v>
      </c>
      <c r="G5240" s="3" t="s">
        <v>7</v>
      </c>
      <c r="H5240" s="2">
        <v>200</v>
      </c>
      <c r="I5240" s="116">
        <f t="shared" ref="I5240:I5248" si="867">B5240</f>
        <v>217</v>
      </c>
      <c r="J5240" s="115" t="s">
        <v>84</v>
      </c>
      <c r="K5240" s="2" t="s">
        <v>84</v>
      </c>
      <c r="L5240" s="2">
        <v>0</v>
      </c>
      <c r="M5240" s="2" t="s">
        <v>84</v>
      </c>
      <c r="N5240" s="2" t="s">
        <v>84</v>
      </c>
      <c r="O5240" s="2" t="s">
        <v>841</v>
      </c>
      <c r="P5240" s="2" t="s">
        <v>84</v>
      </c>
    </row>
    <row r="5241" spans="1:16" ht="21" customHeight="1" x14ac:dyDescent="0.15">
      <c r="A5241" s="10" t="str">
        <f t="shared" si="866"/>
        <v>217_3_0_3_link</v>
      </c>
      <c r="B5241" s="2">
        <v>217</v>
      </c>
      <c r="C5241" s="18" t="s">
        <v>3352</v>
      </c>
      <c r="D5241" s="21">
        <v>3</v>
      </c>
      <c r="E5241" s="2">
        <v>0</v>
      </c>
      <c r="F5241" s="21">
        <v>3</v>
      </c>
      <c r="G5241" s="3" t="s">
        <v>7</v>
      </c>
      <c r="H5241" s="2">
        <v>300</v>
      </c>
      <c r="I5241" s="116">
        <f t="shared" si="867"/>
        <v>217</v>
      </c>
      <c r="J5241" s="115" t="s">
        <v>84</v>
      </c>
      <c r="K5241" s="2" t="s">
        <v>84</v>
      </c>
      <c r="L5241" s="2">
        <v>0</v>
      </c>
      <c r="M5241" s="2" t="s">
        <v>84</v>
      </c>
      <c r="N5241" s="2" t="s">
        <v>84</v>
      </c>
      <c r="O5241" s="2" t="s">
        <v>841</v>
      </c>
      <c r="P5241" s="2" t="s">
        <v>84</v>
      </c>
    </row>
    <row r="5242" spans="1:16" ht="21" customHeight="1" x14ac:dyDescent="0.15">
      <c r="A5242" s="10" t="str">
        <f t="shared" si="866"/>
        <v>217_4_0_4_link</v>
      </c>
      <c r="B5242" s="2">
        <v>217</v>
      </c>
      <c r="C5242" s="18" t="s">
        <v>3353</v>
      </c>
      <c r="D5242" s="21">
        <v>4</v>
      </c>
      <c r="E5242" s="2">
        <v>0</v>
      </c>
      <c r="F5242" s="21">
        <v>4</v>
      </c>
      <c r="G5242" s="3" t="s">
        <v>7</v>
      </c>
      <c r="H5242" s="2">
        <v>400</v>
      </c>
      <c r="I5242" s="116">
        <f t="shared" si="867"/>
        <v>217</v>
      </c>
      <c r="J5242" s="115" t="s">
        <v>84</v>
      </c>
      <c r="K5242" s="2" t="s">
        <v>84</v>
      </c>
      <c r="L5242" s="2">
        <v>0</v>
      </c>
      <c r="M5242" s="2" t="s">
        <v>84</v>
      </c>
      <c r="N5242" s="2" t="s">
        <v>84</v>
      </c>
      <c r="O5242" s="2" t="s">
        <v>841</v>
      </c>
      <c r="P5242" s="2" t="s">
        <v>84</v>
      </c>
    </row>
    <row r="5243" spans="1:16" ht="21" customHeight="1" x14ac:dyDescent="0.15">
      <c r="A5243" s="10" t="str">
        <f t="shared" si="866"/>
        <v>217_5_0_5_link</v>
      </c>
      <c r="B5243" s="2">
        <v>217</v>
      </c>
      <c r="C5243" s="18" t="s">
        <v>3354</v>
      </c>
      <c r="D5243" s="21">
        <v>5</v>
      </c>
      <c r="E5243" s="2">
        <v>0</v>
      </c>
      <c r="F5243" s="21">
        <v>5</v>
      </c>
      <c r="G5243" s="3" t="s">
        <v>7</v>
      </c>
      <c r="H5243" s="2">
        <v>500</v>
      </c>
      <c r="I5243" s="116">
        <f t="shared" si="867"/>
        <v>217</v>
      </c>
      <c r="J5243" s="115" t="s">
        <v>84</v>
      </c>
      <c r="K5243" s="2" t="s">
        <v>84</v>
      </c>
      <c r="L5243" s="2">
        <v>0</v>
      </c>
      <c r="M5243" s="2" t="s">
        <v>84</v>
      </c>
      <c r="N5243" s="2" t="s">
        <v>84</v>
      </c>
      <c r="O5243" s="2" t="s">
        <v>841</v>
      </c>
      <c r="P5243" s="2" t="s">
        <v>84</v>
      </c>
    </row>
    <row r="5244" spans="1:16" ht="21" customHeight="1" x14ac:dyDescent="0.15">
      <c r="A5244" s="10" t="str">
        <f t="shared" si="866"/>
        <v>217_6_0_6_link</v>
      </c>
      <c r="B5244" s="2">
        <v>217</v>
      </c>
      <c r="C5244" s="18" t="s">
        <v>3355</v>
      </c>
      <c r="D5244" s="21">
        <v>6</v>
      </c>
      <c r="E5244" s="2">
        <v>0</v>
      </c>
      <c r="F5244" s="21">
        <v>6</v>
      </c>
      <c r="G5244" s="3" t="s">
        <v>7</v>
      </c>
      <c r="H5244" s="2">
        <v>600</v>
      </c>
      <c r="I5244" s="116">
        <f t="shared" si="867"/>
        <v>217</v>
      </c>
      <c r="J5244" s="115" t="s">
        <v>84</v>
      </c>
      <c r="K5244" s="2" t="s">
        <v>84</v>
      </c>
      <c r="L5244" s="2">
        <v>0</v>
      </c>
      <c r="M5244" s="2" t="s">
        <v>84</v>
      </c>
      <c r="N5244" s="2" t="s">
        <v>84</v>
      </c>
      <c r="O5244" s="2" t="s">
        <v>841</v>
      </c>
      <c r="P5244" s="2" t="s">
        <v>84</v>
      </c>
    </row>
    <row r="5245" spans="1:16" ht="21" customHeight="1" x14ac:dyDescent="0.15">
      <c r="A5245" s="10" t="str">
        <f t="shared" si="866"/>
        <v>217_7_0_7_link</v>
      </c>
      <c r="B5245" s="2">
        <v>217</v>
      </c>
      <c r="C5245" s="18" t="s">
        <v>3356</v>
      </c>
      <c r="D5245" s="21">
        <v>7</v>
      </c>
      <c r="E5245" s="2">
        <v>0</v>
      </c>
      <c r="F5245" s="21">
        <v>7</v>
      </c>
      <c r="G5245" s="3" t="s">
        <v>7</v>
      </c>
      <c r="H5245" s="2">
        <v>700</v>
      </c>
      <c r="I5245" s="116">
        <f t="shared" si="867"/>
        <v>217</v>
      </c>
      <c r="J5245" s="115" t="s">
        <v>84</v>
      </c>
      <c r="K5245" s="2" t="s">
        <v>84</v>
      </c>
      <c r="L5245" s="2">
        <v>0</v>
      </c>
      <c r="M5245" s="2" t="s">
        <v>84</v>
      </c>
      <c r="N5245" s="2" t="s">
        <v>84</v>
      </c>
      <c r="O5245" s="2" t="s">
        <v>841</v>
      </c>
      <c r="P5245" s="2" t="s">
        <v>84</v>
      </c>
    </row>
    <row r="5246" spans="1:16" ht="21" customHeight="1" x14ac:dyDescent="0.15">
      <c r="A5246" s="10" t="str">
        <f t="shared" si="866"/>
        <v>217_8_0_8_link</v>
      </c>
      <c r="B5246" s="2">
        <v>217</v>
      </c>
      <c r="C5246" s="18" t="s">
        <v>3357</v>
      </c>
      <c r="D5246" s="21">
        <v>8</v>
      </c>
      <c r="E5246" s="2">
        <v>0</v>
      </c>
      <c r="F5246" s="21">
        <v>8</v>
      </c>
      <c r="G5246" s="3" t="s">
        <v>7</v>
      </c>
      <c r="H5246" s="2">
        <v>800</v>
      </c>
      <c r="I5246" s="116">
        <f t="shared" si="867"/>
        <v>217</v>
      </c>
      <c r="J5246" s="115" t="s">
        <v>84</v>
      </c>
      <c r="K5246" s="2" t="s">
        <v>84</v>
      </c>
      <c r="L5246" s="2">
        <v>0</v>
      </c>
      <c r="M5246" s="2" t="s">
        <v>84</v>
      </c>
      <c r="N5246" s="2" t="s">
        <v>84</v>
      </c>
      <c r="O5246" s="2" t="s">
        <v>841</v>
      </c>
      <c r="P5246" s="2" t="s">
        <v>84</v>
      </c>
    </row>
    <row r="5247" spans="1:16" ht="21" customHeight="1" x14ac:dyDescent="0.15">
      <c r="A5247" s="10" t="str">
        <f t="shared" si="866"/>
        <v>217_9_0_9_link</v>
      </c>
      <c r="B5247" s="2">
        <v>217</v>
      </c>
      <c r="C5247" s="18" t="s">
        <v>3358</v>
      </c>
      <c r="D5247" s="21">
        <v>9</v>
      </c>
      <c r="E5247" s="2">
        <v>0</v>
      </c>
      <c r="F5247" s="21">
        <v>9</v>
      </c>
      <c r="G5247" s="3" t="s">
        <v>7</v>
      </c>
      <c r="H5247" s="2">
        <v>900</v>
      </c>
      <c r="I5247" s="116">
        <f t="shared" si="867"/>
        <v>217</v>
      </c>
      <c r="J5247" s="115" t="s">
        <v>84</v>
      </c>
      <c r="K5247" s="2" t="s">
        <v>84</v>
      </c>
      <c r="L5247" s="2">
        <v>0</v>
      </c>
      <c r="M5247" s="2" t="s">
        <v>84</v>
      </c>
      <c r="N5247" s="2" t="s">
        <v>84</v>
      </c>
      <c r="O5247" s="2" t="s">
        <v>841</v>
      </c>
      <c r="P5247" s="2" t="s">
        <v>84</v>
      </c>
    </row>
    <row r="5248" spans="1:16" ht="21" customHeight="1" x14ac:dyDescent="0.15">
      <c r="A5248" s="10" t="str">
        <f t="shared" si="866"/>
        <v>217_10_0_10_link</v>
      </c>
      <c r="B5248" s="2">
        <v>217</v>
      </c>
      <c r="C5248" s="18" t="s">
        <v>3359</v>
      </c>
      <c r="D5248" s="21">
        <v>10</v>
      </c>
      <c r="E5248" s="2">
        <v>0</v>
      </c>
      <c r="F5248" s="21">
        <v>10</v>
      </c>
      <c r="G5248" s="3" t="s">
        <v>7</v>
      </c>
      <c r="H5248" s="2">
        <v>1000</v>
      </c>
      <c r="I5248" s="116">
        <f t="shared" si="867"/>
        <v>217</v>
      </c>
      <c r="J5248" s="115" t="s">
        <v>84</v>
      </c>
      <c r="K5248" s="2" t="s">
        <v>84</v>
      </c>
      <c r="L5248" s="2">
        <v>0</v>
      </c>
      <c r="M5248" s="2" t="s">
        <v>84</v>
      </c>
      <c r="N5248" s="2" t="s">
        <v>84</v>
      </c>
      <c r="O5248" s="2" t="s">
        <v>841</v>
      </c>
      <c r="P5248" s="2" t="s">
        <v>84</v>
      </c>
    </row>
    <row r="5249" spans="1:16" ht="21" customHeight="1" x14ac:dyDescent="0.15">
      <c r="A5249" s="10" t="str">
        <f t="shared" ref="A5249" si="868">B5249&amp;"_"&amp;D5249&amp;"_"&amp;E5249&amp;"_"&amp;F5249&amp;"_"&amp;G5249</f>
        <v>6000_10_0_1_ticket_ranking160401</v>
      </c>
      <c r="B5249" s="2">
        <v>6000</v>
      </c>
      <c r="C5249" s="30" t="str">
        <f>VLOOKUP(B5249,gachas!A:C,3)</f>
        <v>４月ランキングガチャ</v>
      </c>
      <c r="D5249" s="21">
        <v>10</v>
      </c>
      <c r="E5249" s="2">
        <v>0</v>
      </c>
      <c r="F5249" s="21">
        <v>1</v>
      </c>
      <c r="G5249" s="64" t="s">
        <v>737</v>
      </c>
      <c r="H5249" s="2">
        <v>1</v>
      </c>
      <c r="I5249" s="117">
        <f>B5249</f>
        <v>6000</v>
      </c>
      <c r="J5249" s="112" t="s">
        <v>84</v>
      </c>
      <c r="K5249" s="2" t="s">
        <v>86</v>
      </c>
      <c r="L5249" s="2">
        <v>0</v>
      </c>
      <c r="M5249" s="2" t="s">
        <v>84</v>
      </c>
      <c r="N5249" s="2" t="s">
        <v>84</v>
      </c>
      <c r="O5249" s="2" t="s">
        <v>841</v>
      </c>
      <c r="P5249" s="2" t="s">
        <v>84</v>
      </c>
    </row>
    <row r="5250" spans="1:16" ht="21" customHeight="1" x14ac:dyDescent="0.15">
      <c r="A5250" s="10" t="str">
        <f t="shared" ref="A5250:A5251" si="869">B5250&amp;"_"&amp;D5250&amp;"_"&amp;E5250&amp;"_"&amp;F5250&amp;"_"&amp;G5250</f>
        <v>6001_10_0_1_ticket_piece</v>
      </c>
      <c r="B5250" s="2">
        <v>6001</v>
      </c>
      <c r="C5250" s="30" t="str">
        <f>VLOOKUP(B5250,gachas!A:C,3)</f>
        <v>４月ランキングピースガチャ</v>
      </c>
      <c r="D5250" s="21">
        <v>10</v>
      </c>
      <c r="E5250" s="2">
        <v>0</v>
      </c>
      <c r="F5250" s="21">
        <v>1</v>
      </c>
      <c r="G5250" s="58" t="s">
        <v>806</v>
      </c>
      <c r="H5250" s="2">
        <v>5</v>
      </c>
      <c r="I5250" s="119">
        <f>I5249</f>
        <v>6000</v>
      </c>
      <c r="J5250" s="112" t="s">
        <v>84</v>
      </c>
      <c r="K5250" s="2" t="s">
        <v>86</v>
      </c>
      <c r="L5250" s="2">
        <v>0</v>
      </c>
      <c r="M5250" s="2" t="s">
        <v>84</v>
      </c>
      <c r="N5250" s="2" t="s">
        <v>84</v>
      </c>
      <c r="O5250" s="2" t="s">
        <v>841</v>
      </c>
      <c r="P5250" s="2" t="s">
        <v>84</v>
      </c>
    </row>
    <row r="5251" spans="1:16" ht="21" customHeight="1" x14ac:dyDescent="0.15">
      <c r="A5251" s="10" t="str">
        <f t="shared" si="869"/>
        <v>6002_10_0_1_ticket_ranking160608</v>
      </c>
      <c r="B5251" s="2">
        <v>6002</v>
      </c>
      <c r="C5251" s="30" t="str">
        <f>VLOOKUP(B5251,gachas!A:C,3)</f>
        <v>6月ランキングガチャ</v>
      </c>
      <c r="D5251" s="21">
        <v>10</v>
      </c>
      <c r="E5251" s="2">
        <v>0</v>
      </c>
      <c r="F5251" s="21">
        <v>1</v>
      </c>
      <c r="G5251" s="64" t="s">
        <v>1052</v>
      </c>
      <c r="H5251" s="2">
        <v>1</v>
      </c>
      <c r="I5251" s="119">
        <f t="shared" ref="I5251:I5252" si="870">I5250</f>
        <v>6000</v>
      </c>
      <c r="J5251" s="112" t="s">
        <v>84</v>
      </c>
      <c r="K5251" s="2" t="s">
        <v>86</v>
      </c>
      <c r="L5251" s="2">
        <v>0</v>
      </c>
      <c r="M5251" s="2" t="s">
        <v>84</v>
      </c>
      <c r="N5251" s="2" t="s">
        <v>84</v>
      </c>
      <c r="O5251" s="2" t="s">
        <v>841</v>
      </c>
      <c r="P5251" s="2" t="s">
        <v>84</v>
      </c>
    </row>
    <row r="5252" spans="1:16" ht="21" customHeight="1" x14ac:dyDescent="0.15">
      <c r="A5252" s="10" t="str">
        <f t="shared" ref="A5252:A5253" si="871">B5252&amp;"_"&amp;D5252&amp;"_"&amp;E5252&amp;"_"&amp;F5252&amp;"_"&amp;G5252</f>
        <v>6003_10_0_1_ticket_piece</v>
      </c>
      <c r="B5252" s="2">
        <v>6003</v>
      </c>
      <c r="C5252" s="30" t="str">
        <f>VLOOKUP(B5252,gachas!A:C,3)</f>
        <v>6月ランキングピースガチャ</v>
      </c>
      <c r="D5252" s="21">
        <v>10</v>
      </c>
      <c r="E5252" s="2">
        <v>0</v>
      </c>
      <c r="F5252" s="21">
        <v>1</v>
      </c>
      <c r="G5252" s="58" t="s">
        <v>806</v>
      </c>
      <c r="H5252" s="2">
        <v>5</v>
      </c>
      <c r="I5252" s="119">
        <f t="shared" si="870"/>
        <v>6000</v>
      </c>
      <c r="J5252" s="112" t="s">
        <v>84</v>
      </c>
      <c r="K5252" s="2" t="s">
        <v>86</v>
      </c>
      <c r="L5252" s="2">
        <v>0</v>
      </c>
      <c r="M5252" s="2" t="s">
        <v>84</v>
      </c>
      <c r="N5252" s="2" t="s">
        <v>84</v>
      </c>
      <c r="O5252" s="2" t="s">
        <v>841</v>
      </c>
      <c r="P5252" s="2" t="s">
        <v>84</v>
      </c>
    </row>
    <row r="5253" spans="1:16" ht="21" customHeight="1" x14ac:dyDescent="0.15">
      <c r="A5253" s="10" t="str">
        <f t="shared" si="871"/>
        <v>6004_10_0_1_ticket_ranking160711</v>
      </c>
      <c r="B5253" s="2">
        <v>6004</v>
      </c>
      <c r="C5253" s="30" t="str">
        <f>VLOOKUP(B5253,gachas!A:C,3)</f>
        <v>7月ランキングガチャ&lt;槍&gt;</v>
      </c>
      <c r="D5253" s="21">
        <v>10</v>
      </c>
      <c r="E5253" s="2">
        <v>0</v>
      </c>
      <c r="F5253" s="21">
        <v>1</v>
      </c>
      <c r="G5253" s="64" t="s">
        <v>1187</v>
      </c>
      <c r="H5253" s="2">
        <v>1</v>
      </c>
      <c r="I5253" s="119">
        <v>6004</v>
      </c>
      <c r="J5253" s="112" t="s">
        <v>84</v>
      </c>
      <c r="K5253" s="2" t="s">
        <v>86</v>
      </c>
      <c r="L5253" s="2">
        <v>0</v>
      </c>
      <c r="M5253" s="2" t="s">
        <v>84</v>
      </c>
      <c r="N5253" s="2" t="s">
        <v>84</v>
      </c>
      <c r="O5253" s="2" t="s">
        <v>841</v>
      </c>
      <c r="P5253" s="2" t="s">
        <v>84</v>
      </c>
    </row>
    <row r="5254" spans="1:16" ht="21" customHeight="1" x14ac:dyDescent="0.15">
      <c r="A5254" s="10" t="str">
        <f t="shared" ref="A5254:A5255" si="872">B5254&amp;"_"&amp;D5254&amp;"_"&amp;E5254&amp;"_"&amp;F5254&amp;"_"&amp;G5254</f>
        <v>6005_10_0_1_ticket_piece_spear</v>
      </c>
      <c r="B5254" s="2">
        <v>6005</v>
      </c>
      <c r="C5254" s="30" t="str">
        <f>VLOOKUP(B5254,gachas!A:C,3)</f>
        <v>7月ランキングピースガチャ</v>
      </c>
      <c r="D5254" s="21">
        <v>10</v>
      </c>
      <c r="E5254" s="2">
        <v>0</v>
      </c>
      <c r="F5254" s="21">
        <v>1</v>
      </c>
      <c r="G5254" s="64" t="s">
        <v>1195</v>
      </c>
      <c r="H5254" s="2">
        <v>5</v>
      </c>
      <c r="I5254" s="119">
        <v>6004</v>
      </c>
      <c r="J5254" s="112" t="s">
        <v>84</v>
      </c>
      <c r="K5254" s="2" t="s">
        <v>86</v>
      </c>
      <c r="L5254" s="2">
        <v>0</v>
      </c>
      <c r="M5254" s="2" t="s">
        <v>84</v>
      </c>
      <c r="N5254" s="2" t="s">
        <v>84</v>
      </c>
      <c r="O5254" s="2" t="s">
        <v>841</v>
      </c>
      <c r="P5254" s="2" t="s">
        <v>84</v>
      </c>
    </row>
    <row r="5255" spans="1:16" ht="21" customHeight="1" x14ac:dyDescent="0.15">
      <c r="A5255" s="10" t="str">
        <f t="shared" si="872"/>
        <v>6006_10_0_1_ticket_ranking160401</v>
      </c>
      <c r="B5255" s="2">
        <v>6006</v>
      </c>
      <c r="C5255" s="30" t="str">
        <f>VLOOKUP(B5255,gachas!A:C,3)</f>
        <v>ランキングガチャ&lt;刀&gt;</v>
      </c>
      <c r="D5255" s="21">
        <v>10</v>
      </c>
      <c r="E5255" s="2">
        <v>0</v>
      </c>
      <c r="F5255" s="21">
        <v>1</v>
      </c>
      <c r="G5255" s="64" t="s">
        <v>737</v>
      </c>
      <c r="H5255" s="2">
        <v>1</v>
      </c>
      <c r="I5255" s="127" t="s">
        <v>1312</v>
      </c>
      <c r="J5255" s="112" t="s">
        <v>84</v>
      </c>
      <c r="K5255" s="2" t="s">
        <v>84</v>
      </c>
      <c r="L5255" s="2">
        <v>0</v>
      </c>
      <c r="M5255" s="2" t="s">
        <v>84</v>
      </c>
      <c r="N5255" s="2" t="s">
        <v>84</v>
      </c>
      <c r="O5255" s="2" t="s">
        <v>841</v>
      </c>
      <c r="P5255" s="2" t="s">
        <v>84</v>
      </c>
    </row>
    <row r="5256" spans="1:16" ht="21" customHeight="1" x14ac:dyDescent="0.15">
      <c r="A5256" s="10" t="str">
        <f t="shared" ref="A5256" si="873">B5256&amp;"_"&amp;D5256&amp;"_"&amp;E5256&amp;"_"&amp;F5256&amp;"_"&amp;G5256</f>
        <v>6007_10_0_1_ticket_piece</v>
      </c>
      <c r="B5256" s="2">
        <v>6007</v>
      </c>
      <c r="C5256" s="30" t="str">
        <f>VLOOKUP(B5256,gachas!A:C,3)</f>
        <v>ランキングピースガチャ&lt;刀&gt;</v>
      </c>
      <c r="D5256" s="21">
        <v>10</v>
      </c>
      <c r="E5256" s="2">
        <v>0</v>
      </c>
      <c r="F5256" s="21">
        <v>1</v>
      </c>
      <c r="G5256" s="58" t="s">
        <v>806</v>
      </c>
      <c r="H5256" s="2">
        <v>5</v>
      </c>
      <c r="I5256" s="127" t="s">
        <v>1312</v>
      </c>
      <c r="J5256" s="112" t="s">
        <v>84</v>
      </c>
      <c r="K5256" s="2" t="s">
        <v>84</v>
      </c>
      <c r="L5256" s="2">
        <v>0</v>
      </c>
      <c r="M5256" s="2" t="s">
        <v>84</v>
      </c>
      <c r="N5256" s="2" t="s">
        <v>84</v>
      </c>
      <c r="O5256" s="2" t="s">
        <v>841</v>
      </c>
      <c r="P5256" s="2" t="s">
        <v>84</v>
      </c>
    </row>
    <row r="5257" spans="1:16" ht="21" customHeight="1" x14ac:dyDescent="0.15">
      <c r="A5257" s="10" t="str">
        <f t="shared" ref="A5257" si="874">B5257&amp;"_"&amp;D5257&amp;"_"&amp;E5257&amp;"_"&amp;F5257&amp;"_"&amp;G5257</f>
        <v>6008_10_0_1_ticket_ranking160608</v>
      </c>
      <c r="B5257" s="2">
        <v>6008</v>
      </c>
      <c r="C5257" s="30" t="str">
        <f>VLOOKUP(B5257,gachas!A:C,3)</f>
        <v>ランキングガチャ&lt;刀&gt; 6月チケット対応</v>
      </c>
      <c r="D5257" s="21">
        <v>10</v>
      </c>
      <c r="E5257" s="2">
        <v>0</v>
      </c>
      <c r="F5257" s="21">
        <v>1</v>
      </c>
      <c r="G5257" s="64" t="s">
        <v>1052</v>
      </c>
      <c r="H5257" s="2">
        <v>1</v>
      </c>
      <c r="I5257" s="127" t="s">
        <v>1312</v>
      </c>
      <c r="J5257" s="112" t="s">
        <v>84</v>
      </c>
      <c r="K5257" s="2" t="s">
        <v>84</v>
      </c>
      <c r="L5257" s="2">
        <v>0</v>
      </c>
      <c r="M5257" s="2" t="s">
        <v>84</v>
      </c>
      <c r="N5257" s="2" t="s">
        <v>84</v>
      </c>
      <c r="O5257" s="2" t="s">
        <v>841</v>
      </c>
      <c r="P5257" s="2" t="s">
        <v>84</v>
      </c>
    </row>
    <row r="5258" spans="1:16" ht="21" customHeight="1" x14ac:dyDescent="0.15">
      <c r="A5258" s="10" t="str">
        <f t="shared" ref="A5258:A5259" si="875">B5258&amp;"_"&amp;D5258&amp;"_"&amp;E5258&amp;"_"&amp;F5258&amp;"_"&amp;G5258</f>
        <v>6009_10_0_1_ticket_ranking161115</v>
      </c>
      <c r="B5258" s="2">
        <v>6009</v>
      </c>
      <c r="C5258" s="30" t="str">
        <f>VLOOKUP(B5258,gachas!A:C,3)</f>
        <v>ランキングガチャ&lt;杖&gt;</v>
      </c>
      <c r="D5258" s="21">
        <v>10</v>
      </c>
      <c r="E5258" s="2">
        <v>0</v>
      </c>
      <c r="F5258" s="21">
        <v>1</v>
      </c>
      <c r="G5258" s="64" t="s">
        <v>2213</v>
      </c>
      <c r="H5258" s="2">
        <v>1</v>
      </c>
      <c r="I5258" s="127">
        <v>6009</v>
      </c>
      <c r="J5258" s="112" t="s">
        <v>84</v>
      </c>
      <c r="K5258" s="2" t="s">
        <v>84</v>
      </c>
      <c r="L5258" s="2">
        <v>0</v>
      </c>
      <c r="M5258" s="2" t="s">
        <v>84</v>
      </c>
      <c r="N5258" s="2" t="s">
        <v>84</v>
      </c>
      <c r="O5258" s="2" t="s">
        <v>841</v>
      </c>
      <c r="P5258" s="2" t="s">
        <v>84</v>
      </c>
    </row>
    <row r="5259" spans="1:16" ht="21" customHeight="1" x14ac:dyDescent="0.15">
      <c r="A5259" s="10" t="str">
        <f t="shared" si="875"/>
        <v>6010_10_0_1_ticket_piece_cane</v>
      </c>
      <c r="B5259" s="2">
        <v>6010</v>
      </c>
      <c r="C5259" s="30" t="str">
        <f>VLOOKUP(B5259,gachas!A:C,3)</f>
        <v>ランキングピースガチャ&lt;杖&gt;</v>
      </c>
      <c r="D5259" s="21">
        <v>10</v>
      </c>
      <c r="E5259" s="2">
        <v>0</v>
      </c>
      <c r="F5259" s="21">
        <v>1</v>
      </c>
      <c r="G5259" s="64" t="s">
        <v>3140</v>
      </c>
      <c r="H5259" s="2">
        <v>5</v>
      </c>
      <c r="I5259" s="127">
        <v>6009</v>
      </c>
      <c r="J5259" s="112" t="s">
        <v>84</v>
      </c>
      <c r="K5259" s="2" t="s">
        <v>84</v>
      </c>
      <c r="L5259" s="2">
        <v>0</v>
      </c>
      <c r="M5259" s="2" t="s">
        <v>84</v>
      </c>
      <c r="N5259" s="2" t="s">
        <v>84</v>
      </c>
      <c r="O5259" s="2" t="s">
        <v>841</v>
      </c>
      <c r="P5259" s="2" t="s">
        <v>84</v>
      </c>
    </row>
    <row r="5260" spans="1:16" ht="21" customHeight="1" x14ac:dyDescent="0.15">
      <c r="A5260" s="10" t="str">
        <f t="shared" si="856"/>
        <v>7000_10_0_5_ticket_beginner</v>
      </c>
      <c r="B5260" s="2">
        <v>7000</v>
      </c>
      <c r="C5260" s="30" t="str">
        <f>VLOOKUP(B5260,gachas!A:C,3)</f>
        <v>初心者応援チケットガチャ</v>
      </c>
      <c r="D5260" s="21">
        <v>10</v>
      </c>
      <c r="E5260" s="2">
        <v>0</v>
      </c>
      <c r="F5260" s="21">
        <v>5</v>
      </c>
      <c r="G5260" s="64" t="s">
        <v>734</v>
      </c>
      <c r="H5260" s="2">
        <v>1</v>
      </c>
      <c r="I5260" s="117" t="str">
        <f>B5260&amp;TEXT(D5260,"00")&amp;E5260</f>
        <v>7000100</v>
      </c>
      <c r="J5260" s="112" t="s">
        <v>84</v>
      </c>
      <c r="K5260" s="2" t="str">
        <f>B5260&amp;TEXT(D5260,"00")&amp;E5260</f>
        <v>7000100</v>
      </c>
      <c r="L5260" s="2">
        <v>1</v>
      </c>
      <c r="M5260" s="2" t="s">
        <v>84</v>
      </c>
      <c r="N5260" s="2" t="s">
        <v>84</v>
      </c>
      <c r="O5260" s="2" t="s">
        <v>841</v>
      </c>
      <c r="P5260" s="2" t="s">
        <v>84</v>
      </c>
    </row>
    <row r="5261" spans="1:16" ht="21" customHeight="1" x14ac:dyDescent="0.15">
      <c r="A5261" s="10" t="str">
        <f t="shared" si="856"/>
        <v>7001_10_0_5_ticket_beginner</v>
      </c>
      <c r="B5261" s="2">
        <f t="shared" ref="B5261:B5299" si="876">B5260+1</f>
        <v>7001</v>
      </c>
      <c r="C5261" s="30" t="str">
        <f>VLOOKUP(B5261,gachas!A:C,3)</f>
        <v>初心者応援チケットガチャ&lt;天使in&gt;</v>
      </c>
      <c r="D5261" s="21">
        <v>10</v>
      </c>
      <c r="E5261" s="2">
        <v>0</v>
      </c>
      <c r="F5261" s="21">
        <v>5</v>
      </c>
      <c r="G5261" s="64" t="s">
        <v>734</v>
      </c>
      <c r="H5261" s="2">
        <v>1</v>
      </c>
      <c r="I5261" s="130" t="str">
        <f>I546</f>
        <v>337010</v>
      </c>
      <c r="J5261" s="112" t="s">
        <v>84</v>
      </c>
      <c r="K5261" s="2" t="str">
        <f>B5261&amp;TEXT(D5261,"00")&amp;E5261</f>
        <v>7001100</v>
      </c>
      <c r="L5261" s="2">
        <v>1</v>
      </c>
      <c r="M5261" s="2" t="s">
        <v>84</v>
      </c>
      <c r="N5261" s="2" t="s">
        <v>84</v>
      </c>
      <c r="O5261" s="2" t="s">
        <v>841</v>
      </c>
      <c r="P5261" s="2" t="s">
        <v>84</v>
      </c>
    </row>
    <row r="5262" spans="1:16" ht="21" customHeight="1" x14ac:dyDescent="0.15">
      <c r="A5262" s="10" t="str">
        <f t="shared" si="856"/>
        <v>7002_10_0_5_ticket_beginner</v>
      </c>
      <c r="B5262" s="2">
        <f t="shared" si="876"/>
        <v>7002</v>
      </c>
      <c r="C5262" s="30" t="str">
        <f>VLOOKUP(B5262,gachas!A:C,3)</f>
        <v>初心者応援チケットガチャ&lt;八咫ヘングレin&gt;</v>
      </c>
      <c r="D5262" s="21">
        <v>10</v>
      </c>
      <c r="E5262" s="2">
        <v>0</v>
      </c>
      <c r="F5262" s="21">
        <v>5</v>
      </c>
      <c r="G5262" s="64" t="s">
        <v>734</v>
      </c>
      <c r="H5262" s="2">
        <v>1</v>
      </c>
      <c r="I5262" s="130" t="str">
        <f>I546</f>
        <v>337010</v>
      </c>
      <c r="J5262" s="112" t="s">
        <v>84</v>
      </c>
      <c r="K5262" s="62" t="str">
        <f>K5261</f>
        <v>7001100</v>
      </c>
      <c r="L5262" s="2">
        <v>1</v>
      </c>
      <c r="M5262" s="2" t="s">
        <v>84</v>
      </c>
      <c r="N5262" s="2" t="s">
        <v>84</v>
      </c>
      <c r="O5262" s="2" t="s">
        <v>841</v>
      </c>
      <c r="P5262" s="2" t="s">
        <v>84</v>
      </c>
    </row>
    <row r="5263" spans="1:16" ht="21" customHeight="1" x14ac:dyDescent="0.15">
      <c r="A5263" s="10" t="str">
        <f t="shared" ref="A5263" si="877">B5263&amp;"_"&amp;D5263&amp;"_"&amp;E5263&amp;"_"&amp;F5263&amp;"_"&amp;G5263</f>
        <v>7003_10_0_5_ticket_beginner</v>
      </c>
      <c r="B5263" s="2">
        <f t="shared" si="876"/>
        <v>7003</v>
      </c>
      <c r="C5263" s="30" t="str">
        <f>VLOOKUP(B5263,gachas!A:C,3)</f>
        <v>初心者応援チケットガチャ&lt;グリム2in&gt;</v>
      </c>
      <c r="D5263" s="21">
        <v>10</v>
      </c>
      <c r="E5263" s="2">
        <v>0</v>
      </c>
      <c r="F5263" s="21">
        <v>5</v>
      </c>
      <c r="G5263" s="64" t="s">
        <v>734</v>
      </c>
      <c r="H5263" s="2">
        <v>1</v>
      </c>
      <c r="I5263" s="130" t="str">
        <f>I566</f>
        <v>347010</v>
      </c>
      <c r="J5263" s="112" t="s">
        <v>84</v>
      </c>
      <c r="K5263" s="2" t="str">
        <f>B5263&amp;TEXT(D5263,"00")&amp;E5263</f>
        <v>7003100</v>
      </c>
      <c r="L5263" s="2">
        <v>1</v>
      </c>
      <c r="M5263" s="2" t="s">
        <v>84</v>
      </c>
      <c r="N5263" s="2" t="s">
        <v>84</v>
      </c>
      <c r="O5263" s="2" t="s">
        <v>841</v>
      </c>
      <c r="P5263" s="2" t="s">
        <v>84</v>
      </c>
    </row>
    <row r="5264" spans="1:16" ht="21" customHeight="1" x14ac:dyDescent="0.15">
      <c r="A5264" s="10" t="str">
        <f t="shared" ref="A5264" si="878">B5264&amp;"_"&amp;D5264&amp;"_"&amp;E5264&amp;"_"&amp;F5264&amp;"_"&amp;G5264</f>
        <v>7004_10_0_5_ticket_beginner</v>
      </c>
      <c r="B5264" s="2">
        <f t="shared" si="876"/>
        <v>7004</v>
      </c>
      <c r="C5264" s="30" t="str">
        <f>VLOOKUP(B5264,gachas!A:C,3)</f>
        <v>初心者応援チケットガチャ&lt;D.R.T.H.、モルドレッドin&gt;</v>
      </c>
      <c r="D5264" s="21">
        <v>10</v>
      </c>
      <c r="E5264" s="2">
        <v>0</v>
      </c>
      <c r="F5264" s="21">
        <v>5</v>
      </c>
      <c r="G5264" s="64" t="s">
        <v>734</v>
      </c>
      <c r="H5264" s="2">
        <v>1</v>
      </c>
      <c r="I5264" s="130" t="str">
        <f>I566</f>
        <v>347010</v>
      </c>
      <c r="J5264" s="112" t="s">
        <v>84</v>
      </c>
      <c r="K5264" s="2" t="str">
        <f>K5263</f>
        <v>7003100</v>
      </c>
      <c r="L5264" s="2">
        <v>1</v>
      </c>
      <c r="M5264" s="2" t="s">
        <v>84</v>
      </c>
      <c r="N5264" s="2" t="s">
        <v>84</v>
      </c>
      <c r="O5264" s="2" t="s">
        <v>841</v>
      </c>
      <c r="P5264" s="2" t="s">
        <v>84</v>
      </c>
    </row>
    <row r="5265" spans="1:16" ht="21" customHeight="1" x14ac:dyDescent="0.15">
      <c r="A5265" s="10" t="str">
        <f t="shared" ref="A5265" si="879">B5265&amp;"_"&amp;D5265&amp;"_"&amp;E5265&amp;"_"&amp;F5265&amp;"_"&amp;G5265</f>
        <v>7005_10_0_5_ticket_beginner</v>
      </c>
      <c r="B5265" s="2">
        <f t="shared" si="876"/>
        <v>7005</v>
      </c>
      <c r="C5265" s="30" t="str">
        <f>VLOOKUP(B5265,gachas!A:C,3)</f>
        <v>初心者応援チケットガチャ&lt;アポロン、ヘルメス&gt;</v>
      </c>
      <c r="D5265" s="21">
        <v>10</v>
      </c>
      <c r="E5265" s="2">
        <v>0</v>
      </c>
      <c r="F5265" s="21">
        <v>5</v>
      </c>
      <c r="G5265" s="64" t="s">
        <v>734</v>
      </c>
      <c r="H5265" s="2">
        <v>1</v>
      </c>
      <c r="I5265" s="130">
        <v>361010</v>
      </c>
      <c r="J5265" s="112" t="s">
        <v>84</v>
      </c>
      <c r="K5265" s="2" t="str">
        <f t="shared" ref="K5265:K5300" si="880">B5265&amp;TEXT(D5265,"00")&amp;E5265</f>
        <v>7005100</v>
      </c>
      <c r="L5265" s="2">
        <v>1</v>
      </c>
      <c r="M5265" s="2" t="s">
        <v>84</v>
      </c>
      <c r="N5265" s="2" t="s">
        <v>84</v>
      </c>
      <c r="O5265" s="2" t="s">
        <v>841</v>
      </c>
      <c r="P5265" s="2" t="s">
        <v>84</v>
      </c>
    </row>
    <row r="5266" spans="1:16" ht="21" customHeight="1" x14ac:dyDescent="0.15">
      <c r="A5266" s="10" t="str">
        <f t="shared" ref="A5266" si="881">B5266&amp;"_"&amp;D5266&amp;"_"&amp;E5266&amp;"_"&amp;F5266&amp;"_"&amp;G5266</f>
        <v>7006_10_0_5_ticket_beginner</v>
      </c>
      <c r="B5266" s="2">
        <f t="shared" si="876"/>
        <v>7006</v>
      </c>
      <c r="C5266" s="30" t="str">
        <f>VLOOKUP(B5266,gachas!A:C,3)</f>
        <v>初心者応援チケットガチャ&lt;フランスin&gt;</v>
      </c>
      <c r="D5266" s="21">
        <v>10</v>
      </c>
      <c r="E5266" s="2">
        <v>0</v>
      </c>
      <c r="F5266" s="21">
        <v>5</v>
      </c>
      <c r="G5266" s="64" t="s">
        <v>734</v>
      </c>
      <c r="H5266" s="2">
        <v>1</v>
      </c>
      <c r="I5266" s="131" t="s">
        <v>1135</v>
      </c>
      <c r="J5266" s="112" t="s">
        <v>84</v>
      </c>
      <c r="K5266" s="2" t="str">
        <f t="shared" si="880"/>
        <v>7006100</v>
      </c>
      <c r="L5266" s="2">
        <v>1</v>
      </c>
      <c r="M5266" s="2" t="s">
        <v>84</v>
      </c>
      <c r="N5266" s="2" t="s">
        <v>84</v>
      </c>
      <c r="O5266" s="2" t="s">
        <v>841</v>
      </c>
      <c r="P5266" s="2" t="s">
        <v>84</v>
      </c>
    </row>
    <row r="5267" spans="1:16" ht="21" customHeight="1" x14ac:dyDescent="0.15">
      <c r="A5267" s="10" t="str">
        <f t="shared" ref="A5267" si="882">B5267&amp;"_"&amp;D5267&amp;"_"&amp;E5267&amp;"_"&amp;F5267&amp;"_"&amp;G5267</f>
        <v>7007_10_0_5_ticket_beginner</v>
      </c>
      <c r="B5267" s="2">
        <f t="shared" si="876"/>
        <v>7007</v>
      </c>
      <c r="C5267" s="30" t="str">
        <f>VLOOKUP(B5267,gachas!A:C,3)</f>
        <v>初心者応援チケットガチャ&lt;エジプトin&gt;</v>
      </c>
      <c r="D5267" s="21">
        <v>10</v>
      </c>
      <c r="E5267" s="2">
        <v>0</v>
      </c>
      <c r="F5267" s="21">
        <v>5</v>
      </c>
      <c r="G5267" s="64" t="s">
        <v>734</v>
      </c>
      <c r="H5267" s="2">
        <v>1</v>
      </c>
      <c r="I5267" s="131" t="s">
        <v>1317</v>
      </c>
      <c r="J5267" s="112" t="s">
        <v>84</v>
      </c>
      <c r="K5267" s="2" t="str">
        <f t="shared" si="880"/>
        <v>7007100</v>
      </c>
      <c r="L5267" s="2">
        <v>1</v>
      </c>
      <c r="M5267" s="2" t="s">
        <v>84</v>
      </c>
      <c r="N5267" s="2" t="s">
        <v>84</v>
      </c>
      <c r="O5267" s="2" t="s">
        <v>841</v>
      </c>
      <c r="P5267" s="2" t="s">
        <v>84</v>
      </c>
    </row>
    <row r="5268" spans="1:16" ht="21" customHeight="1" x14ac:dyDescent="0.15">
      <c r="A5268" s="10" t="str">
        <f t="shared" ref="A5268" si="883">B5268&amp;"_"&amp;D5268&amp;"_"&amp;E5268&amp;"_"&amp;F5268&amp;"_"&amp;G5268</f>
        <v>7008_10_0_5_ticket_beginner</v>
      </c>
      <c r="B5268" s="2">
        <f t="shared" si="876"/>
        <v>7008</v>
      </c>
      <c r="C5268" s="30" t="str">
        <f>VLOOKUP(B5268,gachas!A:C,3)</f>
        <v>初心者応援チケットガチャ&lt;平安in&gt;</v>
      </c>
      <c r="D5268" s="21">
        <v>10</v>
      </c>
      <c r="E5268" s="2">
        <v>0</v>
      </c>
      <c r="F5268" s="21">
        <v>5</v>
      </c>
      <c r="G5268" s="64" t="s">
        <v>734</v>
      </c>
      <c r="H5268" s="2">
        <v>1</v>
      </c>
      <c r="I5268" s="131" t="s">
        <v>1416</v>
      </c>
      <c r="J5268" s="112" t="s">
        <v>84</v>
      </c>
      <c r="K5268" s="2" t="str">
        <f t="shared" si="880"/>
        <v>7008100</v>
      </c>
      <c r="L5268" s="2">
        <v>1</v>
      </c>
      <c r="M5268" s="2" t="s">
        <v>84</v>
      </c>
      <c r="N5268" s="2" t="s">
        <v>84</v>
      </c>
      <c r="O5268" s="2" t="s">
        <v>841</v>
      </c>
      <c r="P5268" s="2" t="s">
        <v>84</v>
      </c>
    </row>
    <row r="5269" spans="1:16" ht="21" customHeight="1" x14ac:dyDescent="0.15">
      <c r="A5269" s="10" t="str">
        <f t="shared" ref="A5269" si="884">B5269&amp;"_"&amp;D5269&amp;"_"&amp;E5269&amp;"_"&amp;F5269&amp;"_"&amp;G5269</f>
        <v>7009_10_0_5_ticket_beginner</v>
      </c>
      <c r="B5269" s="2">
        <f t="shared" si="876"/>
        <v>7009</v>
      </c>
      <c r="C5269" s="30" t="str">
        <f>VLOOKUP(B5269,gachas!A:C,3)</f>
        <v>初心者応援チケットガチャ&lt;メソポタミアin&gt;</v>
      </c>
      <c r="D5269" s="21">
        <v>10</v>
      </c>
      <c r="E5269" s="2">
        <v>0</v>
      </c>
      <c r="F5269" s="21">
        <v>5</v>
      </c>
      <c r="G5269" s="64" t="s">
        <v>734</v>
      </c>
      <c r="H5269" s="2">
        <v>1</v>
      </c>
      <c r="I5269" s="131" t="s">
        <v>1455</v>
      </c>
      <c r="J5269" s="112" t="s">
        <v>84</v>
      </c>
      <c r="K5269" s="2" t="str">
        <f t="shared" si="880"/>
        <v>7009100</v>
      </c>
      <c r="L5269" s="2">
        <v>1</v>
      </c>
      <c r="M5269" s="2" t="s">
        <v>84</v>
      </c>
      <c r="N5269" s="2" t="s">
        <v>84</v>
      </c>
      <c r="O5269" s="2" t="s">
        <v>841</v>
      </c>
      <c r="P5269" s="2" t="s">
        <v>84</v>
      </c>
    </row>
    <row r="5270" spans="1:16" ht="21" customHeight="1" x14ac:dyDescent="0.15">
      <c r="A5270" s="10" t="str">
        <f t="shared" ref="A5270" si="885">B5270&amp;"_"&amp;D5270&amp;"_"&amp;E5270&amp;"_"&amp;F5270&amp;"_"&amp;G5270</f>
        <v>7010_10_0_5_ticket_beginner</v>
      </c>
      <c r="B5270" s="2">
        <f t="shared" si="876"/>
        <v>7010</v>
      </c>
      <c r="C5270" s="30" t="str">
        <f>VLOOKUP(B5270,gachas!A:C,3)</f>
        <v>初心者応援チケットガチャ&lt;画家in&gt;</v>
      </c>
      <c r="D5270" s="21">
        <v>10</v>
      </c>
      <c r="E5270" s="2">
        <v>0</v>
      </c>
      <c r="F5270" s="21">
        <v>5</v>
      </c>
      <c r="G5270" s="64" t="s">
        <v>734</v>
      </c>
      <c r="H5270" s="2">
        <v>1</v>
      </c>
      <c r="I5270" s="131" t="s">
        <v>1532</v>
      </c>
      <c r="J5270" s="112" t="s">
        <v>84</v>
      </c>
      <c r="K5270" s="2" t="str">
        <f t="shared" ref="K5270" si="886">B5270&amp;TEXT(D5270,"00")&amp;E5270</f>
        <v>7010100</v>
      </c>
      <c r="L5270" s="2">
        <v>1</v>
      </c>
      <c r="M5270" s="2" t="s">
        <v>84</v>
      </c>
      <c r="N5270" s="2" t="s">
        <v>84</v>
      </c>
      <c r="O5270" s="2" t="s">
        <v>841</v>
      </c>
      <c r="P5270" s="2" t="s">
        <v>84</v>
      </c>
    </row>
    <row r="5271" spans="1:16" ht="21" customHeight="1" x14ac:dyDescent="0.15">
      <c r="A5271" s="10" t="str">
        <f t="shared" ref="A5271" si="887">B5271&amp;"_"&amp;D5271&amp;"_"&amp;E5271&amp;"_"&amp;F5271&amp;"_"&amp;G5271</f>
        <v>7011_10_0_5_ticket_beginner</v>
      </c>
      <c r="B5271" s="2">
        <f t="shared" si="876"/>
        <v>7011</v>
      </c>
      <c r="C5271" s="30" t="str">
        <f>VLOOKUP(B5271,gachas!A:C,3)</f>
        <v>初心者応援チケットガチャ&lt;三国志in&gt;</v>
      </c>
      <c r="D5271" s="21">
        <v>10</v>
      </c>
      <c r="E5271" s="2">
        <v>0</v>
      </c>
      <c r="F5271" s="21">
        <v>5</v>
      </c>
      <c r="G5271" s="64" t="s">
        <v>734</v>
      </c>
      <c r="H5271" s="2">
        <v>1</v>
      </c>
      <c r="I5271" s="132" t="s">
        <v>1688</v>
      </c>
      <c r="J5271" s="112" t="s">
        <v>84</v>
      </c>
      <c r="K5271" s="2" t="str">
        <f t="shared" ref="K5271" si="888">B5271&amp;TEXT(D5271,"00")&amp;E5271</f>
        <v>7011100</v>
      </c>
      <c r="L5271" s="2">
        <v>1</v>
      </c>
      <c r="M5271" s="2" t="s">
        <v>84</v>
      </c>
      <c r="N5271" s="2" t="s">
        <v>84</v>
      </c>
      <c r="O5271" s="2" t="s">
        <v>841</v>
      </c>
      <c r="P5271" s="2" t="s">
        <v>84</v>
      </c>
    </row>
    <row r="5272" spans="1:16" ht="21" customHeight="1" x14ac:dyDescent="0.15">
      <c r="A5272" s="10" t="str">
        <f t="shared" ref="A5272" si="889">B5272&amp;"_"&amp;D5272&amp;"_"&amp;E5272&amp;"_"&amp;F5272&amp;"_"&amp;G5272</f>
        <v>7012_10_0_5_ticket_beginner</v>
      </c>
      <c r="B5272" s="2">
        <f t="shared" si="876"/>
        <v>7012</v>
      </c>
      <c r="C5272" s="30" t="str">
        <f>VLOOKUP(B5272,gachas!A:C,3)</f>
        <v>初心者応援チケットガチャ&lt;インド第2弾in&gt;</v>
      </c>
      <c r="D5272" s="21">
        <v>10</v>
      </c>
      <c r="E5272" s="2">
        <v>0</v>
      </c>
      <c r="F5272" s="21">
        <v>5</v>
      </c>
      <c r="G5272" s="64" t="s">
        <v>734</v>
      </c>
      <c r="H5272" s="2">
        <v>1</v>
      </c>
      <c r="I5272" s="132" t="s">
        <v>1757</v>
      </c>
      <c r="J5272" s="112" t="s">
        <v>84</v>
      </c>
      <c r="K5272" s="2" t="str">
        <f t="shared" ref="K5272" si="890">B5272&amp;TEXT(D5272,"00")&amp;E5272</f>
        <v>7012100</v>
      </c>
      <c r="L5272" s="2">
        <v>1</v>
      </c>
      <c r="M5272" s="2" t="s">
        <v>84</v>
      </c>
      <c r="N5272" s="2" t="s">
        <v>84</v>
      </c>
      <c r="O5272" s="2" t="s">
        <v>841</v>
      </c>
      <c r="P5272" s="2" t="s">
        <v>84</v>
      </c>
    </row>
    <row r="5273" spans="1:16" ht="21" customHeight="1" x14ac:dyDescent="0.15">
      <c r="A5273" s="10" t="str">
        <f t="shared" ref="A5273" si="891">B5273&amp;"_"&amp;D5273&amp;"_"&amp;E5273&amp;"_"&amp;F5273&amp;"_"&amp;G5273</f>
        <v>7013_10_0_5_ticket_beginner</v>
      </c>
      <c r="B5273" s="2">
        <f t="shared" si="876"/>
        <v>7013</v>
      </c>
      <c r="C5273" s="30" t="str">
        <f>VLOOKUP(B5273,gachas!A:C,3)</f>
        <v>初心者応援チケットガチャ&lt;ギリシャ神話第2弾in&gt;</v>
      </c>
      <c r="D5273" s="21">
        <v>10</v>
      </c>
      <c r="E5273" s="2">
        <v>0</v>
      </c>
      <c r="F5273" s="21">
        <v>5</v>
      </c>
      <c r="G5273" s="64" t="s">
        <v>734</v>
      </c>
      <c r="H5273" s="2">
        <v>1</v>
      </c>
      <c r="I5273" s="132">
        <v>445100</v>
      </c>
      <c r="J5273" s="112" t="s">
        <v>84</v>
      </c>
      <c r="K5273" s="2" t="str">
        <f t="shared" ref="K5273" si="892">B5273&amp;TEXT(D5273,"00")&amp;E5273</f>
        <v>7013100</v>
      </c>
      <c r="L5273" s="2">
        <v>1</v>
      </c>
      <c r="M5273" s="2" t="s">
        <v>84</v>
      </c>
      <c r="N5273" s="2" t="s">
        <v>84</v>
      </c>
      <c r="O5273" s="2" t="s">
        <v>841</v>
      </c>
      <c r="P5273" s="2" t="s">
        <v>84</v>
      </c>
    </row>
    <row r="5274" spans="1:16" ht="21" customHeight="1" x14ac:dyDescent="0.15">
      <c r="A5274" s="10" t="str">
        <f t="shared" ref="A5274:A5278" si="893">B5274&amp;"_"&amp;D5274&amp;"_"&amp;E5274&amp;"_"&amp;F5274&amp;"_"&amp;G5274</f>
        <v>7014_10_0_1_ticket_beginner_r6</v>
      </c>
      <c r="B5274" s="2">
        <f>B5273+1</f>
        <v>7014</v>
      </c>
      <c r="C5274" s="30" t="str">
        <f>VLOOKUP(B5274,gachas!A:C,3)</f>
        <v>新初心者パック★6＜リリース＞</v>
      </c>
      <c r="D5274" s="21">
        <v>10</v>
      </c>
      <c r="E5274" s="2">
        <v>0</v>
      </c>
      <c r="F5274" s="21">
        <v>1</v>
      </c>
      <c r="G5274" s="137" t="s">
        <v>1982</v>
      </c>
      <c r="H5274" s="2">
        <v>1</v>
      </c>
      <c r="I5274" s="132">
        <v>7014100</v>
      </c>
      <c r="J5274" s="112" t="s">
        <v>84</v>
      </c>
      <c r="K5274" s="112" t="s">
        <v>84</v>
      </c>
      <c r="L5274" s="2">
        <v>0</v>
      </c>
      <c r="M5274" s="2" t="s">
        <v>84</v>
      </c>
      <c r="N5274" s="2" t="s">
        <v>84</v>
      </c>
      <c r="O5274" s="2" t="s">
        <v>841</v>
      </c>
      <c r="P5274" s="2" t="s">
        <v>84</v>
      </c>
    </row>
    <row r="5275" spans="1:16" ht="21" customHeight="1" x14ac:dyDescent="0.15">
      <c r="A5275" s="10" t="str">
        <f t="shared" si="893"/>
        <v>7015_10_0_1_ticket_beginner_red</v>
      </c>
      <c r="B5275" s="2">
        <f t="shared" si="876"/>
        <v>7015</v>
      </c>
      <c r="C5275" s="30" t="str">
        <f>VLOOKUP(B5275,gachas!A:C,3)</f>
        <v>新初心者パック赤＜リリース＞</v>
      </c>
      <c r="D5275" s="21">
        <v>10</v>
      </c>
      <c r="E5275" s="2">
        <v>0</v>
      </c>
      <c r="F5275" s="21">
        <v>1</v>
      </c>
      <c r="G5275" s="137" t="s">
        <v>1983</v>
      </c>
      <c r="H5275" s="2">
        <v>1</v>
      </c>
      <c r="I5275" s="132">
        <v>7014101</v>
      </c>
      <c r="J5275" s="112" t="s">
        <v>84</v>
      </c>
      <c r="K5275" s="112" t="s">
        <v>84</v>
      </c>
      <c r="L5275" s="2">
        <v>0</v>
      </c>
      <c r="M5275" s="2" t="s">
        <v>84</v>
      </c>
      <c r="N5275" s="2" t="s">
        <v>84</v>
      </c>
      <c r="O5275" s="2" t="s">
        <v>841</v>
      </c>
      <c r="P5275" s="2" t="s">
        <v>84</v>
      </c>
    </row>
    <row r="5276" spans="1:16" ht="21" customHeight="1" x14ac:dyDescent="0.15">
      <c r="A5276" s="10" t="str">
        <f t="shared" si="893"/>
        <v>7016_10_0_1_ticket_beginner_blue</v>
      </c>
      <c r="B5276" s="2">
        <f t="shared" si="876"/>
        <v>7016</v>
      </c>
      <c r="C5276" s="30" t="str">
        <f>VLOOKUP(B5276,gachas!A:C,3)</f>
        <v>新初心者パック青＜リリース＞</v>
      </c>
      <c r="D5276" s="21">
        <v>10</v>
      </c>
      <c r="E5276" s="2">
        <v>0</v>
      </c>
      <c r="F5276" s="21">
        <v>1</v>
      </c>
      <c r="G5276" s="137" t="s">
        <v>1984</v>
      </c>
      <c r="H5276" s="2">
        <v>1</v>
      </c>
      <c r="I5276" s="132">
        <v>7014102</v>
      </c>
      <c r="J5276" s="112" t="s">
        <v>84</v>
      </c>
      <c r="K5276" s="112" t="s">
        <v>84</v>
      </c>
      <c r="L5276" s="2">
        <v>0</v>
      </c>
      <c r="M5276" s="2" t="s">
        <v>84</v>
      </c>
      <c r="N5276" s="2" t="s">
        <v>84</v>
      </c>
      <c r="O5276" s="2" t="s">
        <v>841</v>
      </c>
      <c r="P5276" s="2" t="s">
        <v>84</v>
      </c>
    </row>
    <row r="5277" spans="1:16" ht="21" customHeight="1" x14ac:dyDescent="0.15">
      <c r="A5277" s="10" t="str">
        <f t="shared" si="893"/>
        <v>7017_10_0_1_ticket_beginner_green</v>
      </c>
      <c r="B5277" s="2">
        <f t="shared" si="876"/>
        <v>7017</v>
      </c>
      <c r="C5277" s="30" t="str">
        <f>VLOOKUP(B5277,gachas!A:C,3)</f>
        <v>新初心者パック緑＜リリース＞</v>
      </c>
      <c r="D5277" s="21">
        <v>10</v>
      </c>
      <c r="E5277" s="2">
        <v>0</v>
      </c>
      <c r="F5277" s="21">
        <v>1</v>
      </c>
      <c r="G5277" s="137" t="s">
        <v>1985</v>
      </c>
      <c r="H5277" s="2">
        <v>1</v>
      </c>
      <c r="I5277" s="132">
        <v>7014103</v>
      </c>
      <c r="J5277" s="112" t="s">
        <v>84</v>
      </c>
      <c r="K5277" s="112" t="s">
        <v>84</v>
      </c>
      <c r="L5277" s="2">
        <v>0</v>
      </c>
      <c r="M5277" s="2" t="s">
        <v>84</v>
      </c>
      <c r="N5277" s="2" t="s">
        <v>84</v>
      </c>
      <c r="O5277" s="2" t="s">
        <v>841</v>
      </c>
      <c r="P5277" s="2" t="s">
        <v>84</v>
      </c>
    </row>
    <row r="5278" spans="1:16" ht="21" customHeight="1" x14ac:dyDescent="0.15">
      <c r="A5278" s="10" t="str">
        <f t="shared" si="893"/>
        <v>7018_10_0_1_ticket_beginner_yellow</v>
      </c>
      <c r="B5278" s="2">
        <f t="shared" si="876"/>
        <v>7018</v>
      </c>
      <c r="C5278" s="30" t="str">
        <f>VLOOKUP(B5278,gachas!A:C,3)</f>
        <v>新初心者パック黄＜リリース＞</v>
      </c>
      <c r="D5278" s="21">
        <v>10</v>
      </c>
      <c r="E5278" s="2">
        <v>0</v>
      </c>
      <c r="F5278" s="21">
        <v>1</v>
      </c>
      <c r="G5278" s="137" t="s">
        <v>1986</v>
      </c>
      <c r="H5278" s="2">
        <v>1</v>
      </c>
      <c r="I5278" s="132">
        <v>7014104</v>
      </c>
      <c r="J5278" s="112" t="s">
        <v>84</v>
      </c>
      <c r="K5278" s="112" t="s">
        <v>84</v>
      </c>
      <c r="L5278" s="2">
        <v>0</v>
      </c>
      <c r="M5278" s="2" t="s">
        <v>84</v>
      </c>
      <c r="N5278" s="2" t="s">
        <v>84</v>
      </c>
      <c r="O5278" s="2" t="s">
        <v>841</v>
      </c>
      <c r="P5278" s="2" t="s">
        <v>84</v>
      </c>
    </row>
    <row r="5279" spans="1:16" ht="21" customHeight="1" x14ac:dyDescent="0.15">
      <c r="A5279" s="10" t="str">
        <f t="shared" ref="A5279:A5284" si="894">B5279&amp;"_"&amp;D5279&amp;"_"&amp;E5279&amp;"_"&amp;F5279&amp;"_"&amp;G5279</f>
        <v>7019_10_0_5_ticket_beginner</v>
      </c>
      <c r="B5279" s="2">
        <f t="shared" si="876"/>
        <v>7019</v>
      </c>
      <c r="C5279" s="30" t="str">
        <f>VLOOKUP(B5279,gachas!A:C,3)</f>
        <v>初心者応援チケットガチャ&lt;文豪in&gt;</v>
      </c>
      <c r="D5279" s="21">
        <v>10</v>
      </c>
      <c r="E5279" s="2">
        <v>0</v>
      </c>
      <c r="F5279" s="21">
        <v>5</v>
      </c>
      <c r="G5279" s="64" t="s">
        <v>734</v>
      </c>
      <c r="H5279" s="2">
        <v>1</v>
      </c>
      <c r="I5279" s="132">
        <v>455010</v>
      </c>
      <c r="J5279" s="112" t="s">
        <v>84</v>
      </c>
      <c r="K5279" s="2" t="str">
        <f t="shared" ref="K5279" si="895">B5279&amp;TEXT(D5279,"00")&amp;E5279</f>
        <v>7019100</v>
      </c>
      <c r="L5279" s="2">
        <v>1</v>
      </c>
      <c r="M5279" s="2" t="s">
        <v>84</v>
      </c>
      <c r="N5279" s="2" t="s">
        <v>84</v>
      </c>
      <c r="O5279" s="2" t="s">
        <v>841</v>
      </c>
      <c r="P5279" s="2" t="s">
        <v>84</v>
      </c>
    </row>
    <row r="5280" spans="1:16" ht="21" customHeight="1" x14ac:dyDescent="0.15">
      <c r="A5280" s="10" t="str">
        <f t="shared" si="894"/>
        <v>7020_10_0_1_ticket_beginner_r6</v>
      </c>
      <c r="B5280" s="2">
        <f t="shared" si="876"/>
        <v>7020</v>
      </c>
      <c r="C5280" s="30" t="str">
        <f>VLOOKUP(B5280,gachas!A:C,3)</f>
        <v>新初心者パック★6＜戦国2in＞</v>
      </c>
      <c r="D5280" s="21">
        <v>10</v>
      </c>
      <c r="E5280" s="2">
        <v>0</v>
      </c>
      <c r="F5280" s="21">
        <v>1</v>
      </c>
      <c r="G5280" s="137" t="s">
        <v>1982</v>
      </c>
      <c r="H5280" s="2">
        <v>1</v>
      </c>
      <c r="I5280" s="132">
        <v>7020100</v>
      </c>
      <c r="J5280" s="112" t="s">
        <v>84</v>
      </c>
      <c r="K5280" s="112" t="s">
        <v>84</v>
      </c>
      <c r="L5280" s="2">
        <v>0</v>
      </c>
      <c r="M5280" s="2" t="s">
        <v>84</v>
      </c>
      <c r="N5280" s="2" t="s">
        <v>84</v>
      </c>
      <c r="O5280" s="2" t="s">
        <v>841</v>
      </c>
      <c r="P5280" s="2" t="s">
        <v>84</v>
      </c>
    </row>
    <row r="5281" spans="1:16" ht="21" customHeight="1" x14ac:dyDescent="0.15">
      <c r="A5281" s="10" t="str">
        <f t="shared" si="894"/>
        <v>7021_10_0_1_ticket_beginner_red</v>
      </c>
      <c r="B5281" s="2">
        <f t="shared" si="876"/>
        <v>7021</v>
      </c>
      <c r="C5281" s="30" t="str">
        <f>VLOOKUP(B5281,gachas!A:C,3)</f>
        <v>新初心者パック赤＜戦国2in＞</v>
      </c>
      <c r="D5281" s="21">
        <v>10</v>
      </c>
      <c r="E5281" s="2">
        <v>0</v>
      </c>
      <c r="F5281" s="21">
        <v>1</v>
      </c>
      <c r="G5281" s="137" t="s">
        <v>1983</v>
      </c>
      <c r="H5281" s="2">
        <v>1</v>
      </c>
      <c r="I5281" s="132">
        <v>7020101</v>
      </c>
      <c r="J5281" s="112" t="s">
        <v>84</v>
      </c>
      <c r="K5281" s="112" t="s">
        <v>84</v>
      </c>
      <c r="L5281" s="2">
        <v>0</v>
      </c>
      <c r="M5281" s="2" t="s">
        <v>84</v>
      </c>
      <c r="N5281" s="2" t="s">
        <v>84</v>
      </c>
      <c r="O5281" s="2" t="s">
        <v>841</v>
      </c>
      <c r="P5281" s="2" t="s">
        <v>84</v>
      </c>
    </row>
    <row r="5282" spans="1:16" ht="21" customHeight="1" x14ac:dyDescent="0.15">
      <c r="A5282" s="10" t="str">
        <f t="shared" si="894"/>
        <v>7022_10_0_1_ticket_beginner_blue</v>
      </c>
      <c r="B5282" s="2">
        <f t="shared" si="876"/>
        <v>7022</v>
      </c>
      <c r="C5282" s="30" t="str">
        <f>VLOOKUP(B5282,gachas!A:C,3)</f>
        <v>新初心者パック青＜戦国2in＞</v>
      </c>
      <c r="D5282" s="21">
        <v>10</v>
      </c>
      <c r="E5282" s="2">
        <v>0</v>
      </c>
      <c r="F5282" s="21">
        <v>1</v>
      </c>
      <c r="G5282" s="137" t="s">
        <v>1984</v>
      </c>
      <c r="H5282" s="2">
        <v>1</v>
      </c>
      <c r="I5282" s="132">
        <v>7020102</v>
      </c>
      <c r="J5282" s="112" t="s">
        <v>84</v>
      </c>
      <c r="K5282" s="112" t="s">
        <v>84</v>
      </c>
      <c r="L5282" s="2">
        <v>0</v>
      </c>
      <c r="M5282" s="2" t="s">
        <v>84</v>
      </c>
      <c r="N5282" s="2" t="s">
        <v>84</v>
      </c>
      <c r="O5282" s="2" t="s">
        <v>841</v>
      </c>
      <c r="P5282" s="2" t="s">
        <v>84</v>
      </c>
    </row>
    <row r="5283" spans="1:16" ht="21" customHeight="1" x14ac:dyDescent="0.15">
      <c r="A5283" s="10" t="str">
        <f t="shared" si="894"/>
        <v>7023_10_0_1_ticket_beginner_green</v>
      </c>
      <c r="B5283" s="2">
        <f t="shared" si="876"/>
        <v>7023</v>
      </c>
      <c r="C5283" s="30" t="str">
        <f>VLOOKUP(B5283,gachas!A:C,3)</f>
        <v>新初心者パック緑＜戦国2in＞</v>
      </c>
      <c r="D5283" s="21">
        <v>10</v>
      </c>
      <c r="E5283" s="2">
        <v>0</v>
      </c>
      <c r="F5283" s="21">
        <v>1</v>
      </c>
      <c r="G5283" s="137" t="s">
        <v>1985</v>
      </c>
      <c r="H5283" s="2">
        <v>1</v>
      </c>
      <c r="I5283" s="132">
        <v>7020103</v>
      </c>
      <c r="J5283" s="112" t="s">
        <v>84</v>
      </c>
      <c r="K5283" s="112" t="s">
        <v>84</v>
      </c>
      <c r="L5283" s="2">
        <v>0</v>
      </c>
      <c r="M5283" s="2" t="s">
        <v>84</v>
      </c>
      <c r="N5283" s="2" t="s">
        <v>84</v>
      </c>
      <c r="O5283" s="2" t="s">
        <v>841</v>
      </c>
      <c r="P5283" s="2" t="s">
        <v>84</v>
      </c>
    </row>
    <row r="5284" spans="1:16" ht="21" customHeight="1" x14ac:dyDescent="0.15">
      <c r="A5284" s="10" t="str">
        <f t="shared" si="894"/>
        <v>7024_10_0_1_ticket_beginner_yellow</v>
      </c>
      <c r="B5284" s="2">
        <f t="shared" si="876"/>
        <v>7024</v>
      </c>
      <c r="C5284" s="30" t="str">
        <f>VLOOKUP(B5284,gachas!A:C,3)</f>
        <v>新初心者パック黄＜戦国2in＞</v>
      </c>
      <c r="D5284" s="21">
        <v>10</v>
      </c>
      <c r="E5284" s="2">
        <v>0</v>
      </c>
      <c r="F5284" s="21">
        <v>1</v>
      </c>
      <c r="G5284" s="137" t="s">
        <v>1986</v>
      </c>
      <c r="H5284" s="2">
        <v>1</v>
      </c>
      <c r="I5284" s="132">
        <v>7020104</v>
      </c>
      <c r="J5284" s="112" t="s">
        <v>84</v>
      </c>
      <c r="K5284" s="112" t="s">
        <v>84</v>
      </c>
      <c r="L5284" s="2">
        <v>0</v>
      </c>
      <c r="M5284" s="2" t="s">
        <v>84</v>
      </c>
      <c r="N5284" s="2" t="s">
        <v>84</v>
      </c>
      <c r="O5284" s="2" t="s">
        <v>841</v>
      </c>
      <c r="P5284" s="2" t="s">
        <v>84</v>
      </c>
    </row>
    <row r="5285" spans="1:16" ht="21" customHeight="1" x14ac:dyDescent="0.15">
      <c r="A5285" s="10" t="str">
        <f t="shared" ref="A5285:A5289" si="896">B5285&amp;"_"&amp;D5285&amp;"_"&amp;E5285&amp;"_"&amp;F5285&amp;"_"&amp;G5285</f>
        <v>7025_10_0_1_ticket_beginner_r6</v>
      </c>
      <c r="B5285" s="2">
        <f t="shared" si="876"/>
        <v>7025</v>
      </c>
      <c r="C5285" s="30" t="str">
        <f>VLOOKUP(B5285,gachas!A:C,3)</f>
        <v>新初心者パック★6＜北欧2in＞</v>
      </c>
      <c r="D5285" s="21">
        <v>10</v>
      </c>
      <c r="E5285" s="2">
        <v>0</v>
      </c>
      <c r="F5285" s="21">
        <v>1</v>
      </c>
      <c r="G5285" s="137" t="s">
        <v>1982</v>
      </c>
      <c r="H5285" s="2">
        <v>1</v>
      </c>
      <c r="I5285" s="132">
        <v>7025100</v>
      </c>
      <c r="J5285" s="112" t="s">
        <v>84</v>
      </c>
      <c r="K5285" s="112" t="s">
        <v>84</v>
      </c>
      <c r="L5285" s="2">
        <v>0</v>
      </c>
      <c r="M5285" s="2" t="s">
        <v>84</v>
      </c>
      <c r="N5285" s="2" t="s">
        <v>84</v>
      </c>
      <c r="O5285" s="2" t="s">
        <v>841</v>
      </c>
      <c r="P5285" s="2" t="s">
        <v>84</v>
      </c>
    </row>
    <row r="5286" spans="1:16" ht="21" customHeight="1" x14ac:dyDescent="0.15">
      <c r="A5286" s="10" t="str">
        <f t="shared" si="896"/>
        <v>7026_10_0_1_ticket_beginner_red</v>
      </c>
      <c r="B5286" s="2">
        <f t="shared" si="876"/>
        <v>7026</v>
      </c>
      <c r="C5286" s="30" t="str">
        <f>VLOOKUP(B5286,gachas!A:C,3)</f>
        <v>新初心者パック赤＜北欧2in＞</v>
      </c>
      <c r="D5286" s="21">
        <v>10</v>
      </c>
      <c r="E5286" s="2">
        <v>0</v>
      </c>
      <c r="F5286" s="21">
        <v>1</v>
      </c>
      <c r="G5286" s="137" t="s">
        <v>1983</v>
      </c>
      <c r="H5286" s="2">
        <v>1</v>
      </c>
      <c r="I5286" s="132">
        <v>7025101</v>
      </c>
      <c r="J5286" s="112" t="s">
        <v>84</v>
      </c>
      <c r="K5286" s="112" t="s">
        <v>84</v>
      </c>
      <c r="L5286" s="2">
        <v>0</v>
      </c>
      <c r="M5286" s="2" t="s">
        <v>84</v>
      </c>
      <c r="N5286" s="2" t="s">
        <v>84</v>
      </c>
      <c r="O5286" s="2" t="s">
        <v>841</v>
      </c>
      <c r="P5286" s="2" t="s">
        <v>84</v>
      </c>
    </row>
    <row r="5287" spans="1:16" ht="21" customHeight="1" x14ac:dyDescent="0.15">
      <c r="A5287" s="10" t="str">
        <f t="shared" si="896"/>
        <v>7027_10_0_1_ticket_beginner_blue</v>
      </c>
      <c r="B5287" s="2">
        <f t="shared" si="876"/>
        <v>7027</v>
      </c>
      <c r="C5287" s="30" t="str">
        <f>VLOOKUP(B5287,gachas!A:C,3)</f>
        <v>新初心者パック青＜北欧2in＞</v>
      </c>
      <c r="D5287" s="21">
        <v>10</v>
      </c>
      <c r="E5287" s="2">
        <v>0</v>
      </c>
      <c r="F5287" s="21">
        <v>1</v>
      </c>
      <c r="G5287" s="137" t="s">
        <v>1984</v>
      </c>
      <c r="H5287" s="2">
        <v>1</v>
      </c>
      <c r="I5287" s="132">
        <v>7025102</v>
      </c>
      <c r="J5287" s="112" t="s">
        <v>84</v>
      </c>
      <c r="K5287" s="112" t="s">
        <v>84</v>
      </c>
      <c r="L5287" s="2">
        <v>0</v>
      </c>
      <c r="M5287" s="2" t="s">
        <v>84</v>
      </c>
      <c r="N5287" s="2" t="s">
        <v>84</v>
      </c>
      <c r="O5287" s="2" t="s">
        <v>841</v>
      </c>
      <c r="P5287" s="2" t="s">
        <v>84</v>
      </c>
    </row>
    <row r="5288" spans="1:16" ht="21" customHeight="1" x14ac:dyDescent="0.15">
      <c r="A5288" s="10" t="str">
        <f t="shared" si="896"/>
        <v>7028_10_0_1_ticket_beginner_green</v>
      </c>
      <c r="B5288" s="2">
        <f t="shared" si="876"/>
        <v>7028</v>
      </c>
      <c r="C5288" s="30" t="str">
        <f>VLOOKUP(B5288,gachas!A:C,3)</f>
        <v>新初心者パック緑＜北欧2in＞</v>
      </c>
      <c r="D5288" s="21">
        <v>10</v>
      </c>
      <c r="E5288" s="2">
        <v>0</v>
      </c>
      <c r="F5288" s="21">
        <v>1</v>
      </c>
      <c r="G5288" s="137" t="s">
        <v>1985</v>
      </c>
      <c r="H5288" s="2">
        <v>1</v>
      </c>
      <c r="I5288" s="132">
        <v>7025103</v>
      </c>
      <c r="J5288" s="112" t="s">
        <v>84</v>
      </c>
      <c r="K5288" s="112" t="s">
        <v>84</v>
      </c>
      <c r="L5288" s="2">
        <v>0</v>
      </c>
      <c r="M5288" s="2" t="s">
        <v>84</v>
      </c>
      <c r="N5288" s="2" t="s">
        <v>84</v>
      </c>
      <c r="O5288" s="2" t="s">
        <v>841</v>
      </c>
      <c r="P5288" s="2" t="s">
        <v>84</v>
      </c>
    </row>
    <row r="5289" spans="1:16" ht="21" customHeight="1" x14ac:dyDescent="0.15">
      <c r="A5289" s="10" t="str">
        <f t="shared" si="896"/>
        <v>7029_10_0_1_ticket_beginner_yellow</v>
      </c>
      <c r="B5289" s="2">
        <f t="shared" si="876"/>
        <v>7029</v>
      </c>
      <c r="C5289" s="30" t="str">
        <f>VLOOKUP(B5289,gachas!A:C,3)</f>
        <v>新初心者パック黄＜北欧2in＞</v>
      </c>
      <c r="D5289" s="21">
        <v>10</v>
      </c>
      <c r="E5289" s="2">
        <v>0</v>
      </c>
      <c r="F5289" s="21">
        <v>1</v>
      </c>
      <c r="G5289" s="137" t="s">
        <v>1986</v>
      </c>
      <c r="H5289" s="2">
        <v>1</v>
      </c>
      <c r="I5289" s="132">
        <v>7025104</v>
      </c>
      <c r="J5289" s="112" t="s">
        <v>84</v>
      </c>
      <c r="K5289" s="112" t="s">
        <v>84</v>
      </c>
      <c r="L5289" s="2">
        <v>0</v>
      </c>
      <c r="M5289" s="2" t="s">
        <v>84</v>
      </c>
      <c r="N5289" s="2" t="s">
        <v>84</v>
      </c>
      <c r="O5289" s="2" t="s">
        <v>841</v>
      </c>
      <c r="P5289" s="2" t="s">
        <v>84</v>
      </c>
    </row>
    <row r="5290" spans="1:16" ht="21" customHeight="1" x14ac:dyDescent="0.15">
      <c r="A5290" s="10" t="str">
        <f t="shared" ref="A5290:A5294" si="897">B5290&amp;"_"&amp;D5290&amp;"_"&amp;E5290&amp;"_"&amp;F5290&amp;"_"&amp;G5290</f>
        <v>7030_10_0_1_ticket_beginner_r6</v>
      </c>
      <c r="B5290" s="2">
        <f t="shared" si="876"/>
        <v>7030</v>
      </c>
      <c r="C5290" s="30" t="str">
        <f>VLOOKUP(B5290,gachas!A:C,3)</f>
        <v>新初心者パック★6＜日本神話2in＞</v>
      </c>
      <c r="D5290" s="21">
        <v>10</v>
      </c>
      <c r="E5290" s="2">
        <v>0</v>
      </c>
      <c r="F5290" s="21">
        <v>1</v>
      </c>
      <c r="G5290" s="137" t="s">
        <v>1982</v>
      </c>
      <c r="H5290" s="2">
        <v>1</v>
      </c>
      <c r="I5290" s="132">
        <v>7030100</v>
      </c>
      <c r="J5290" s="112" t="s">
        <v>84</v>
      </c>
      <c r="K5290" s="112" t="s">
        <v>84</v>
      </c>
      <c r="L5290" s="2">
        <v>0</v>
      </c>
      <c r="M5290" s="2" t="s">
        <v>84</v>
      </c>
      <c r="N5290" s="2" t="s">
        <v>84</v>
      </c>
      <c r="O5290" s="2" t="s">
        <v>841</v>
      </c>
      <c r="P5290" s="2" t="s">
        <v>84</v>
      </c>
    </row>
    <row r="5291" spans="1:16" ht="21" customHeight="1" x14ac:dyDescent="0.15">
      <c r="A5291" s="10" t="str">
        <f t="shared" si="897"/>
        <v>7031_10_0_1_ticket_beginner_red</v>
      </c>
      <c r="B5291" s="2">
        <f t="shared" si="876"/>
        <v>7031</v>
      </c>
      <c r="C5291" s="30" t="str">
        <f>VLOOKUP(B5291,gachas!A:C,3)</f>
        <v>新初心者パック赤＜日本神話2in＞</v>
      </c>
      <c r="D5291" s="21">
        <v>10</v>
      </c>
      <c r="E5291" s="2">
        <v>0</v>
      </c>
      <c r="F5291" s="21">
        <v>1</v>
      </c>
      <c r="G5291" s="137" t="s">
        <v>1983</v>
      </c>
      <c r="H5291" s="2">
        <v>1</v>
      </c>
      <c r="I5291" s="132">
        <v>7030101</v>
      </c>
      <c r="J5291" s="112" t="s">
        <v>84</v>
      </c>
      <c r="K5291" s="112" t="s">
        <v>84</v>
      </c>
      <c r="L5291" s="2">
        <v>0</v>
      </c>
      <c r="M5291" s="2" t="s">
        <v>84</v>
      </c>
      <c r="N5291" s="2" t="s">
        <v>84</v>
      </c>
      <c r="O5291" s="2" t="s">
        <v>841</v>
      </c>
      <c r="P5291" s="2" t="s">
        <v>84</v>
      </c>
    </row>
    <row r="5292" spans="1:16" ht="21" customHeight="1" x14ac:dyDescent="0.15">
      <c r="A5292" s="10" t="str">
        <f t="shared" si="897"/>
        <v>7032_10_0_1_ticket_beginner_blue</v>
      </c>
      <c r="B5292" s="2">
        <f t="shared" si="876"/>
        <v>7032</v>
      </c>
      <c r="C5292" s="30" t="str">
        <f>VLOOKUP(B5292,gachas!A:C,3)</f>
        <v>新初心者パック青＜日本神話2in＞</v>
      </c>
      <c r="D5292" s="21">
        <v>10</v>
      </c>
      <c r="E5292" s="2">
        <v>0</v>
      </c>
      <c r="F5292" s="21">
        <v>1</v>
      </c>
      <c r="G5292" s="137" t="s">
        <v>1984</v>
      </c>
      <c r="H5292" s="2">
        <v>1</v>
      </c>
      <c r="I5292" s="132">
        <v>7030102</v>
      </c>
      <c r="J5292" s="112" t="s">
        <v>84</v>
      </c>
      <c r="K5292" s="112" t="s">
        <v>84</v>
      </c>
      <c r="L5292" s="2">
        <v>0</v>
      </c>
      <c r="M5292" s="2" t="s">
        <v>84</v>
      </c>
      <c r="N5292" s="2" t="s">
        <v>84</v>
      </c>
      <c r="O5292" s="2" t="s">
        <v>841</v>
      </c>
      <c r="P5292" s="2" t="s">
        <v>84</v>
      </c>
    </row>
    <row r="5293" spans="1:16" ht="21" customHeight="1" x14ac:dyDescent="0.15">
      <c r="A5293" s="10" t="str">
        <f t="shared" si="897"/>
        <v>7033_10_0_1_ticket_beginner_green</v>
      </c>
      <c r="B5293" s="2">
        <f t="shared" si="876"/>
        <v>7033</v>
      </c>
      <c r="C5293" s="30" t="str">
        <f>VLOOKUP(B5293,gachas!A:C,3)</f>
        <v>新初心者パック緑＜日本神話2in＞</v>
      </c>
      <c r="D5293" s="21">
        <v>10</v>
      </c>
      <c r="E5293" s="2">
        <v>0</v>
      </c>
      <c r="F5293" s="21">
        <v>1</v>
      </c>
      <c r="G5293" s="137" t="s">
        <v>1985</v>
      </c>
      <c r="H5293" s="2">
        <v>1</v>
      </c>
      <c r="I5293" s="132">
        <v>7030103</v>
      </c>
      <c r="J5293" s="112" t="s">
        <v>84</v>
      </c>
      <c r="K5293" s="112" t="s">
        <v>84</v>
      </c>
      <c r="L5293" s="2">
        <v>0</v>
      </c>
      <c r="M5293" s="2" t="s">
        <v>84</v>
      </c>
      <c r="N5293" s="2" t="s">
        <v>84</v>
      </c>
      <c r="O5293" s="2" t="s">
        <v>841</v>
      </c>
      <c r="P5293" s="2" t="s">
        <v>84</v>
      </c>
    </row>
    <row r="5294" spans="1:16" ht="21" customHeight="1" x14ac:dyDescent="0.15">
      <c r="A5294" s="10" t="str">
        <f t="shared" si="897"/>
        <v>7034_10_0_1_ticket_beginner_yellow</v>
      </c>
      <c r="B5294" s="2">
        <f t="shared" si="876"/>
        <v>7034</v>
      </c>
      <c r="C5294" s="30" t="str">
        <f>VLOOKUP(B5294,gachas!A:C,3)</f>
        <v>新初心者パック黄＜日本神話2in＞</v>
      </c>
      <c r="D5294" s="21">
        <v>10</v>
      </c>
      <c r="E5294" s="2">
        <v>0</v>
      </c>
      <c r="F5294" s="21">
        <v>1</v>
      </c>
      <c r="G5294" s="137" t="s">
        <v>1986</v>
      </c>
      <c r="H5294" s="2">
        <v>1</v>
      </c>
      <c r="I5294" s="132">
        <v>7030104</v>
      </c>
      <c r="J5294" s="112" t="s">
        <v>84</v>
      </c>
      <c r="K5294" s="112" t="s">
        <v>84</v>
      </c>
      <c r="L5294" s="2">
        <v>0</v>
      </c>
      <c r="M5294" s="2" t="s">
        <v>84</v>
      </c>
      <c r="N5294" s="2" t="s">
        <v>84</v>
      </c>
      <c r="O5294" s="2" t="s">
        <v>841</v>
      </c>
      <c r="P5294" s="2" t="s">
        <v>84</v>
      </c>
    </row>
    <row r="5295" spans="1:16" ht="21" customHeight="1" x14ac:dyDescent="0.15">
      <c r="A5295" s="10" t="str">
        <f t="shared" ref="A5295:A5299" si="898">B5295&amp;"_"&amp;D5295&amp;"_"&amp;E5295&amp;"_"&amp;F5295&amp;"_"&amp;G5295</f>
        <v>7035_10_0_1_ticket_beginner_r6</v>
      </c>
      <c r="B5295" s="2">
        <f t="shared" si="876"/>
        <v>7035</v>
      </c>
      <c r="C5295" s="30" t="str">
        <f>VLOOKUP(B5295,gachas!A:C,3)</f>
        <v>新初心者パック★6＜童話in＞</v>
      </c>
      <c r="D5295" s="21">
        <v>10</v>
      </c>
      <c r="E5295" s="2">
        <v>0</v>
      </c>
      <c r="F5295" s="21">
        <v>1</v>
      </c>
      <c r="G5295" s="137" t="s">
        <v>1982</v>
      </c>
      <c r="H5295" s="2">
        <v>1</v>
      </c>
      <c r="I5295" s="132">
        <v>7035100</v>
      </c>
      <c r="J5295" s="112" t="s">
        <v>84</v>
      </c>
      <c r="K5295" s="112" t="s">
        <v>84</v>
      </c>
      <c r="L5295" s="2">
        <v>0</v>
      </c>
      <c r="M5295" s="2" t="s">
        <v>84</v>
      </c>
      <c r="N5295" s="2" t="s">
        <v>84</v>
      </c>
      <c r="O5295" s="2" t="s">
        <v>841</v>
      </c>
      <c r="P5295" s="2" t="s">
        <v>84</v>
      </c>
    </row>
    <row r="5296" spans="1:16" ht="21" customHeight="1" x14ac:dyDescent="0.15">
      <c r="A5296" s="10" t="str">
        <f t="shared" si="898"/>
        <v>7036_10_0_1_ticket_beginner_red</v>
      </c>
      <c r="B5296" s="2">
        <f t="shared" si="876"/>
        <v>7036</v>
      </c>
      <c r="C5296" s="30" t="str">
        <f>VLOOKUP(B5296,gachas!A:C,3)</f>
        <v>新初心者パック赤＜童話in＞</v>
      </c>
      <c r="D5296" s="21">
        <v>10</v>
      </c>
      <c r="E5296" s="2">
        <v>0</v>
      </c>
      <c r="F5296" s="21">
        <v>1</v>
      </c>
      <c r="G5296" s="137" t="s">
        <v>1983</v>
      </c>
      <c r="H5296" s="2">
        <v>1</v>
      </c>
      <c r="I5296" s="132">
        <v>7035101</v>
      </c>
      <c r="J5296" s="112" t="s">
        <v>84</v>
      </c>
      <c r="K5296" s="112" t="s">
        <v>84</v>
      </c>
      <c r="L5296" s="2">
        <v>0</v>
      </c>
      <c r="M5296" s="2" t="s">
        <v>84</v>
      </c>
      <c r="N5296" s="2" t="s">
        <v>84</v>
      </c>
      <c r="O5296" s="2" t="s">
        <v>841</v>
      </c>
      <c r="P5296" s="2" t="s">
        <v>84</v>
      </c>
    </row>
    <row r="5297" spans="1:16" ht="21" customHeight="1" x14ac:dyDescent="0.15">
      <c r="A5297" s="10" t="str">
        <f t="shared" si="898"/>
        <v>7037_10_0_1_ticket_beginner_blue</v>
      </c>
      <c r="B5297" s="2">
        <f t="shared" si="876"/>
        <v>7037</v>
      </c>
      <c r="C5297" s="30" t="str">
        <f>VLOOKUP(B5297,gachas!A:C,3)</f>
        <v>新初心者パック青＜童話in＞</v>
      </c>
      <c r="D5297" s="21">
        <v>10</v>
      </c>
      <c r="E5297" s="2">
        <v>0</v>
      </c>
      <c r="F5297" s="21">
        <v>1</v>
      </c>
      <c r="G5297" s="137" t="s">
        <v>1984</v>
      </c>
      <c r="H5297" s="2">
        <v>1</v>
      </c>
      <c r="I5297" s="132">
        <v>7035102</v>
      </c>
      <c r="J5297" s="112" t="s">
        <v>84</v>
      </c>
      <c r="K5297" s="112" t="s">
        <v>84</v>
      </c>
      <c r="L5297" s="2">
        <v>0</v>
      </c>
      <c r="M5297" s="2" t="s">
        <v>84</v>
      </c>
      <c r="N5297" s="2" t="s">
        <v>84</v>
      </c>
      <c r="O5297" s="2" t="s">
        <v>841</v>
      </c>
      <c r="P5297" s="2" t="s">
        <v>84</v>
      </c>
    </row>
    <row r="5298" spans="1:16" ht="21" customHeight="1" x14ac:dyDescent="0.15">
      <c r="A5298" s="10" t="str">
        <f t="shared" si="898"/>
        <v>7038_10_0_1_ticket_beginner_green</v>
      </c>
      <c r="B5298" s="2">
        <f t="shared" si="876"/>
        <v>7038</v>
      </c>
      <c r="C5298" s="30" t="str">
        <f>VLOOKUP(B5298,gachas!A:C,3)</f>
        <v>新初心者パック緑＜童話in＞</v>
      </c>
      <c r="D5298" s="21">
        <v>10</v>
      </c>
      <c r="E5298" s="2">
        <v>0</v>
      </c>
      <c r="F5298" s="21">
        <v>1</v>
      </c>
      <c r="G5298" s="137" t="s">
        <v>1985</v>
      </c>
      <c r="H5298" s="2">
        <v>1</v>
      </c>
      <c r="I5298" s="132">
        <v>7035103</v>
      </c>
      <c r="J5298" s="112" t="s">
        <v>84</v>
      </c>
      <c r="K5298" s="112" t="s">
        <v>84</v>
      </c>
      <c r="L5298" s="2">
        <v>0</v>
      </c>
      <c r="M5298" s="2" t="s">
        <v>84</v>
      </c>
      <c r="N5298" s="2" t="s">
        <v>84</v>
      </c>
      <c r="O5298" s="2" t="s">
        <v>841</v>
      </c>
      <c r="P5298" s="2" t="s">
        <v>84</v>
      </c>
    </row>
    <row r="5299" spans="1:16" ht="21" customHeight="1" x14ac:dyDescent="0.15">
      <c r="A5299" s="10" t="str">
        <f t="shared" si="898"/>
        <v>7039_10_0_1_ticket_beginner_yellow</v>
      </c>
      <c r="B5299" s="2">
        <f t="shared" si="876"/>
        <v>7039</v>
      </c>
      <c r="C5299" s="30" t="str">
        <f>VLOOKUP(B5299,gachas!A:C,3)</f>
        <v>新初心者パック黄＜童話in＞</v>
      </c>
      <c r="D5299" s="21">
        <v>10</v>
      </c>
      <c r="E5299" s="2">
        <v>0</v>
      </c>
      <c r="F5299" s="21">
        <v>1</v>
      </c>
      <c r="G5299" s="137" t="s">
        <v>1986</v>
      </c>
      <c r="H5299" s="2">
        <v>1</v>
      </c>
      <c r="I5299" s="132">
        <v>7035104</v>
      </c>
      <c r="J5299" s="112" t="s">
        <v>84</v>
      </c>
      <c r="K5299" s="112" t="s">
        <v>84</v>
      </c>
      <c r="L5299" s="2">
        <v>0</v>
      </c>
      <c r="M5299" s="2" t="s">
        <v>84</v>
      </c>
      <c r="N5299" s="2" t="s">
        <v>84</v>
      </c>
      <c r="O5299" s="2" t="s">
        <v>841</v>
      </c>
      <c r="P5299" s="2" t="s">
        <v>84</v>
      </c>
    </row>
    <row r="5300" spans="1:16" ht="21" customHeight="1" x14ac:dyDescent="0.15">
      <c r="A5300" s="10" t="str">
        <f t="shared" ref="A5300:A5330" si="899">B5300&amp;"_"&amp;D5300&amp;"_"&amp;E5300&amp;"_"&amp;F5300&amp;"_"&amp;G5300</f>
        <v>7100_10_0_5_ticket_middle</v>
      </c>
      <c r="B5300" s="2">
        <v>7100</v>
      </c>
      <c r="C5300" s="30" t="str">
        <f>VLOOKUP(B5300,gachas!A:C,3)</f>
        <v>中級者チケットガチャ</v>
      </c>
      <c r="D5300" s="21">
        <v>10</v>
      </c>
      <c r="E5300" s="2">
        <v>0</v>
      </c>
      <c r="F5300" s="21">
        <v>5</v>
      </c>
      <c r="G5300" s="64" t="s">
        <v>735</v>
      </c>
      <c r="H5300" s="2">
        <v>1</v>
      </c>
      <c r="I5300" s="117" t="str">
        <f>B5300&amp;TEXT(D5300,"00")&amp;E5300</f>
        <v>7100100</v>
      </c>
      <c r="J5300" s="112" t="s">
        <v>84</v>
      </c>
      <c r="K5300" s="2" t="str">
        <f t="shared" si="880"/>
        <v>7100100</v>
      </c>
      <c r="L5300" s="2">
        <v>1</v>
      </c>
      <c r="M5300" s="2" t="s">
        <v>84</v>
      </c>
      <c r="N5300" s="2" t="s">
        <v>84</v>
      </c>
      <c r="O5300" s="2" t="s">
        <v>841</v>
      </c>
      <c r="P5300" s="2" t="s">
        <v>84</v>
      </c>
    </row>
    <row r="5301" spans="1:16" ht="21" customHeight="1" x14ac:dyDescent="0.15">
      <c r="A5301" s="10" t="str">
        <f t="shared" si="899"/>
        <v>7101_10_0_5_ticket_middle</v>
      </c>
      <c r="B5301" s="2">
        <f t="shared" ref="B5301:B5310" si="900">B5300+1</f>
        <v>7101</v>
      </c>
      <c r="C5301" s="30" t="str">
        <f>VLOOKUP(B5301,gachas!A:C,3)</f>
        <v>中級者チケットガチャ&lt;天使in&gt;</v>
      </c>
      <c r="D5301" s="21">
        <v>10</v>
      </c>
      <c r="E5301" s="2">
        <v>0</v>
      </c>
      <c r="F5301" s="21">
        <v>5</v>
      </c>
      <c r="G5301" s="64" t="s">
        <v>735</v>
      </c>
      <c r="H5301" s="2">
        <v>1</v>
      </c>
      <c r="I5301" s="130" t="str">
        <f>I5261</f>
        <v>337010</v>
      </c>
      <c r="J5301" s="112" t="s">
        <v>84</v>
      </c>
      <c r="K5301" s="2" t="str">
        <f t="shared" ref="K5301:K5302" si="901">B5301&amp;TEXT(D5301,"00")&amp;E5301</f>
        <v>7101100</v>
      </c>
      <c r="L5301" s="2">
        <v>1</v>
      </c>
      <c r="M5301" s="2" t="s">
        <v>84</v>
      </c>
      <c r="N5301" s="2" t="s">
        <v>84</v>
      </c>
      <c r="O5301" s="2" t="s">
        <v>841</v>
      </c>
      <c r="P5301" s="2" t="s">
        <v>84</v>
      </c>
    </row>
    <row r="5302" spans="1:16" ht="21" customHeight="1" x14ac:dyDescent="0.15">
      <c r="A5302" s="10" t="str">
        <f t="shared" ref="A5302" si="902">B5302&amp;"_"&amp;D5302&amp;"_"&amp;E5302&amp;"_"&amp;F5302&amp;"_"&amp;G5302</f>
        <v>7102_10_0_5_ticket_middle</v>
      </c>
      <c r="B5302" s="2">
        <f t="shared" si="900"/>
        <v>7102</v>
      </c>
      <c r="C5302" s="30" t="str">
        <f>VLOOKUP(B5302,gachas!A:C,3)</f>
        <v>中級者チケットガチャ&lt;八咫ヘングレin&gt;</v>
      </c>
      <c r="D5302" s="21">
        <v>10</v>
      </c>
      <c r="E5302" s="2">
        <v>0</v>
      </c>
      <c r="F5302" s="21">
        <v>5</v>
      </c>
      <c r="G5302" s="64" t="s">
        <v>735</v>
      </c>
      <c r="H5302" s="2">
        <v>1</v>
      </c>
      <c r="I5302" s="130" t="str">
        <f>I5262</f>
        <v>337010</v>
      </c>
      <c r="J5302" s="112" t="s">
        <v>84</v>
      </c>
      <c r="K5302" s="2" t="str">
        <f t="shared" si="901"/>
        <v>7102100</v>
      </c>
      <c r="L5302" s="2">
        <v>1</v>
      </c>
      <c r="M5302" s="2" t="s">
        <v>84</v>
      </c>
      <c r="N5302" s="2" t="s">
        <v>84</v>
      </c>
      <c r="O5302" s="2" t="s">
        <v>841</v>
      </c>
      <c r="P5302" s="2" t="s">
        <v>84</v>
      </c>
    </row>
    <row r="5303" spans="1:16" ht="21" customHeight="1" x14ac:dyDescent="0.15">
      <c r="A5303" s="10" t="str">
        <f t="shared" ref="A5303" si="903">B5303&amp;"_"&amp;D5303&amp;"_"&amp;E5303&amp;"_"&amp;F5303&amp;"_"&amp;G5303</f>
        <v>7103_10_0_5_ticket_middle</v>
      </c>
      <c r="B5303" s="2">
        <f t="shared" si="900"/>
        <v>7103</v>
      </c>
      <c r="C5303" s="30" t="str">
        <f>VLOOKUP(B5303,gachas!A:C,3)</f>
        <v>中級者チケットガチャ&lt;グリム2in&gt;</v>
      </c>
      <c r="D5303" s="21">
        <v>10</v>
      </c>
      <c r="E5303" s="2">
        <v>0</v>
      </c>
      <c r="F5303" s="21">
        <v>5</v>
      </c>
      <c r="G5303" s="64" t="s">
        <v>735</v>
      </c>
      <c r="H5303" s="2">
        <v>1</v>
      </c>
      <c r="I5303" s="130" t="str">
        <f>I5263</f>
        <v>347010</v>
      </c>
      <c r="J5303" s="112" t="s">
        <v>84</v>
      </c>
      <c r="K5303" s="2" t="str">
        <f t="shared" ref="K5303" si="904">B5303&amp;TEXT(D5303,"00")&amp;E5303</f>
        <v>7103100</v>
      </c>
      <c r="L5303" s="2">
        <v>1</v>
      </c>
      <c r="M5303" s="2" t="s">
        <v>84</v>
      </c>
      <c r="N5303" s="2" t="s">
        <v>84</v>
      </c>
      <c r="O5303" s="2" t="s">
        <v>841</v>
      </c>
      <c r="P5303" s="2" t="s">
        <v>84</v>
      </c>
    </row>
    <row r="5304" spans="1:16" ht="21" customHeight="1" x14ac:dyDescent="0.15">
      <c r="A5304" s="10" t="str">
        <f t="shared" ref="A5304" si="905">B5304&amp;"_"&amp;D5304&amp;"_"&amp;E5304&amp;"_"&amp;F5304&amp;"_"&amp;G5304</f>
        <v>7104_10_0_5_ticket_middle</v>
      </c>
      <c r="B5304" s="2">
        <f t="shared" si="900"/>
        <v>7104</v>
      </c>
      <c r="C5304" s="30" t="str">
        <f>VLOOKUP(B5304,gachas!A:C,3)</f>
        <v>中級者チケットガチャ&lt;D.R.T.H.、モルドレッドin&gt;</v>
      </c>
      <c r="D5304" s="21">
        <v>10</v>
      </c>
      <c r="E5304" s="2">
        <v>0</v>
      </c>
      <c r="F5304" s="21">
        <v>5</v>
      </c>
      <c r="G5304" s="64" t="s">
        <v>735</v>
      </c>
      <c r="H5304" s="2">
        <v>1</v>
      </c>
      <c r="I5304" s="130" t="str">
        <f>I5264</f>
        <v>347010</v>
      </c>
      <c r="J5304" s="112" t="s">
        <v>84</v>
      </c>
      <c r="K5304" s="2" t="str">
        <f t="shared" ref="K5304" si="906">B5304&amp;TEXT(D5304,"00")&amp;E5304</f>
        <v>7104100</v>
      </c>
      <c r="L5304" s="2">
        <v>1</v>
      </c>
      <c r="M5304" s="2" t="s">
        <v>84</v>
      </c>
      <c r="N5304" s="2" t="s">
        <v>84</v>
      </c>
      <c r="O5304" s="2" t="s">
        <v>841</v>
      </c>
      <c r="P5304" s="2" t="s">
        <v>84</v>
      </c>
    </row>
    <row r="5305" spans="1:16" ht="21" customHeight="1" x14ac:dyDescent="0.15">
      <c r="A5305" s="10" t="str">
        <f t="shared" ref="A5305" si="907">B5305&amp;"_"&amp;D5305&amp;"_"&amp;E5305&amp;"_"&amp;F5305&amp;"_"&amp;G5305</f>
        <v>7105_10_0_5_ticket_middle</v>
      </c>
      <c r="B5305" s="2">
        <f t="shared" si="900"/>
        <v>7105</v>
      </c>
      <c r="C5305" s="30" t="str">
        <f>VLOOKUP(B5305,gachas!A:C,3)</f>
        <v>中級者チケットガチャ&lt;ペロー、ハーメルン&gt;</v>
      </c>
      <c r="D5305" s="21">
        <v>10</v>
      </c>
      <c r="E5305" s="2">
        <v>0</v>
      </c>
      <c r="F5305" s="21">
        <v>5</v>
      </c>
      <c r="G5305" s="64" t="s">
        <v>735</v>
      </c>
      <c r="H5305" s="2">
        <v>1</v>
      </c>
      <c r="I5305" s="131" t="s">
        <v>1045</v>
      </c>
      <c r="J5305" s="112" t="s">
        <v>84</v>
      </c>
      <c r="K5305" s="2" t="str">
        <f t="shared" ref="K5305" si="908">B5305&amp;TEXT(D5305,"00")&amp;E5305</f>
        <v>7105100</v>
      </c>
      <c r="L5305" s="2">
        <v>1</v>
      </c>
      <c r="M5305" s="2" t="s">
        <v>84</v>
      </c>
      <c r="N5305" s="2" t="s">
        <v>84</v>
      </c>
      <c r="O5305" s="2" t="s">
        <v>841</v>
      </c>
      <c r="P5305" s="2" t="s">
        <v>84</v>
      </c>
    </row>
    <row r="5306" spans="1:16" ht="21" customHeight="1" x14ac:dyDescent="0.15">
      <c r="A5306" s="10" t="str">
        <f t="shared" ref="A5306" si="909">B5306&amp;"_"&amp;D5306&amp;"_"&amp;E5306&amp;"_"&amp;F5306&amp;"_"&amp;G5306</f>
        <v>7106_10_0_5_ticket_middle</v>
      </c>
      <c r="B5306" s="2">
        <f t="shared" si="900"/>
        <v>7106</v>
      </c>
      <c r="C5306" s="30" t="str">
        <f>VLOOKUP(B5306,gachas!A:C,3)</f>
        <v>中級者チケットガチャ&lt;アポロン、ヘルメス&gt;</v>
      </c>
      <c r="D5306" s="21">
        <v>10</v>
      </c>
      <c r="E5306" s="2">
        <v>0</v>
      </c>
      <c r="F5306" s="21">
        <v>5</v>
      </c>
      <c r="G5306" s="64" t="s">
        <v>735</v>
      </c>
      <c r="H5306" s="2">
        <v>1</v>
      </c>
      <c r="I5306" s="131" t="s">
        <v>1103</v>
      </c>
      <c r="J5306" s="112" t="s">
        <v>84</v>
      </c>
      <c r="K5306" s="2" t="str">
        <f t="shared" ref="K5306" si="910">B5306&amp;TEXT(D5306,"00")&amp;E5306</f>
        <v>7106100</v>
      </c>
      <c r="L5306" s="2">
        <v>1</v>
      </c>
      <c r="M5306" s="2" t="s">
        <v>84</v>
      </c>
      <c r="N5306" s="2" t="s">
        <v>84</v>
      </c>
      <c r="O5306" s="2" t="s">
        <v>841</v>
      </c>
      <c r="P5306" s="2" t="s">
        <v>84</v>
      </c>
    </row>
    <row r="5307" spans="1:16" ht="21" customHeight="1" x14ac:dyDescent="0.15">
      <c r="A5307" s="10" t="str">
        <f t="shared" ref="A5307" si="911">B5307&amp;"_"&amp;D5307&amp;"_"&amp;E5307&amp;"_"&amp;F5307&amp;"_"&amp;G5307</f>
        <v>7107_10_0_5_ticket_middle</v>
      </c>
      <c r="B5307" s="2">
        <f t="shared" si="900"/>
        <v>7107</v>
      </c>
      <c r="C5307" s="30" t="str">
        <f>VLOOKUP(B5307,gachas!A:C,3)</f>
        <v>中級者チケットガチャ&lt;フランスin&gt;</v>
      </c>
      <c r="D5307" s="21">
        <v>10</v>
      </c>
      <c r="E5307" s="2">
        <v>0</v>
      </c>
      <c r="F5307" s="21">
        <v>5</v>
      </c>
      <c r="G5307" s="64" t="s">
        <v>735</v>
      </c>
      <c r="H5307" s="2">
        <v>1</v>
      </c>
      <c r="I5307" s="131" t="s">
        <v>1136</v>
      </c>
      <c r="J5307" s="112" t="s">
        <v>84</v>
      </c>
      <c r="K5307" s="2" t="str">
        <f t="shared" ref="K5307" si="912">B5307&amp;TEXT(D5307,"00")&amp;E5307</f>
        <v>7107100</v>
      </c>
      <c r="L5307" s="2">
        <v>1</v>
      </c>
      <c r="M5307" s="2" t="s">
        <v>84</v>
      </c>
      <c r="N5307" s="2" t="s">
        <v>84</v>
      </c>
      <c r="O5307" s="2" t="s">
        <v>841</v>
      </c>
      <c r="P5307" s="2" t="s">
        <v>84</v>
      </c>
    </row>
    <row r="5308" spans="1:16" ht="21" customHeight="1" x14ac:dyDescent="0.15">
      <c r="A5308" s="10" t="str">
        <f t="shared" ref="A5308" si="913">B5308&amp;"_"&amp;D5308&amp;"_"&amp;E5308&amp;"_"&amp;F5308&amp;"_"&amp;G5308</f>
        <v>7108_10_0_5_ticket_middle</v>
      </c>
      <c r="B5308" s="2">
        <f t="shared" si="900"/>
        <v>7108</v>
      </c>
      <c r="C5308" s="30" t="str">
        <f>VLOOKUP(B5308,gachas!A:C,3)</f>
        <v>中級者チケットガチャ&lt;クルミ、フウガ、ラプ、フレイヤin&gt;</v>
      </c>
      <c r="D5308" s="21">
        <v>10</v>
      </c>
      <c r="E5308" s="2">
        <v>0</v>
      </c>
      <c r="F5308" s="21">
        <v>5</v>
      </c>
      <c r="G5308" s="64" t="s">
        <v>735</v>
      </c>
      <c r="H5308" s="2">
        <v>1</v>
      </c>
      <c r="I5308" s="131" t="s">
        <v>1136</v>
      </c>
      <c r="J5308" s="112" t="s">
        <v>84</v>
      </c>
      <c r="K5308" s="2" t="str">
        <f t="shared" ref="K5308" si="914">B5308&amp;TEXT(D5308,"00")&amp;E5308</f>
        <v>7108100</v>
      </c>
      <c r="L5308" s="2">
        <v>1</v>
      </c>
      <c r="M5308" s="2" t="s">
        <v>84</v>
      </c>
      <c r="N5308" s="2" t="s">
        <v>84</v>
      </c>
      <c r="O5308" s="2" t="s">
        <v>841</v>
      </c>
      <c r="P5308" s="2" t="s">
        <v>84</v>
      </c>
    </row>
    <row r="5309" spans="1:16" ht="21" customHeight="1" x14ac:dyDescent="0.15">
      <c r="A5309" s="10" t="str">
        <f t="shared" ref="A5309" si="915">B5309&amp;"_"&amp;D5309&amp;"_"&amp;E5309&amp;"_"&amp;F5309&amp;"_"&amp;G5309</f>
        <v>7109_10_0_5_ticket_middle</v>
      </c>
      <c r="B5309" s="2">
        <f t="shared" si="900"/>
        <v>7109</v>
      </c>
      <c r="C5309" s="30" t="str">
        <f>VLOOKUP(B5309,gachas!A:C,3)</f>
        <v>中級者チケットガチャ&lt;近藤、ランスロットin&gt;</v>
      </c>
      <c r="D5309" s="21">
        <v>10</v>
      </c>
      <c r="E5309" s="2">
        <v>0</v>
      </c>
      <c r="F5309" s="21">
        <v>5</v>
      </c>
      <c r="G5309" s="64" t="s">
        <v>735</v>
      </c>
      <c r="H5309" s="2">
        <v>1</v>
      </c>
      <c r="I5309" s="131" t="s">
        <v>1136</v>
      </c>
      <c r="J5309" s="112" t="s">
        <v>84</v>
      </c>
      <c r="K5309" s="2" t="str">
        <f t="shared" ref="K5309" si="916">B5309&amp;TEXT(D5309,"00")&amp;E5309</f>
        <v>7109100</v>
      </c>
      <c r="L5309" s="2">
        <v>1</v>
      </c>
      <c r="M5309" s="2" t="s">
        <v>84</v>
      </c>
      <c r="N5309" s="2" t="s">
        <v>84</v>
      </c>
      <c r="O5309" s="2" t="s">
        <v>841</v>
      </c>
      <c r="P5309" s="2" t="s">
        <v>84</v>
      </c>
    </row>
    <row r="5310" spans="1:16" ht="21" customHeight="1" x14ac:dyDescent="0.15">
      <c r="A5310" s="10" t="str">
        <f t="shared" ref="A5310" si="917">B5310&amp;"_"&amp;D5310&amp;"_"&amp;E5310&amp;"_"&amp;F5310&amp;"_"&amp;G5310</f>
        <v>7110_10_0_5_ticket_middle</v>
      </c>
      <c r="B5310" s="2">
        <f t="shared" si="900"/>
        <v>7110</v>
      </c>
      <c r="C5310" s="30" t="str">
        <f>VLOOKUP(B5310,gachas!A:C,3)</f>
        <v>中級者チケットガチャ&lt;エジプトin&gt;</v>
      </c>
      <c r="D5310" s="21">
        <v>10</v>
      </c>
      <c r="E5310" s="2">
        <v>0</v>
      </c>
      <c r="F5310" s="21">
        <v>5</v>
      </c>
      <c r="G5310" s="64" t="s">
        <v>735</v>
      </c>
      <c r="H5310" s="2">
        <v>1</v>
      </c>
      <c r="I5310" s="131" t="s">
        <v>1315</v>
      </c>
      <c r="J5310" s="112" t="s">
        <v>84</v>
      </c>
      <c r="K5310" s="2" t="str">
        <f t="shared" ref="K5310" si="918">B5310&amp;TEXT(D5310,"00")&amp;E5310</f>
        <v>7110100</v>
      </c>
      <c r="L5310" s="2">
        <v>1</v>
      </c>
      <c r="M5310" s="2" t="s">
        <v>84</v>
      </c>
      <c r="N5310" s="2" t="s">
        <v>84</v>
      </c>
      <c r="O5310" s="2" t="s">
        <v>841</v>
      </c>
      <c r="P5310" s="2" t="s">
        <v>84</v>
      </c>
    </row>
    <row r="5311" spans="1:16" ht="21" customHeight="1" x14ac:dyDescent="0.15">
      <c r="A5311" s="10" t="str">
        <f t="shared" ref="A5311" si="919">B5311&amp;"_"&amp;D5311&amp;"_"&amp;E5311&amp;"_"&amp;F5311&amp;"_"&amp;G5311</f>
        <v>7111_10_0_5_ticket_middle</v>
      </c>
      <c r="B5311" s="2">
        <f t="shared" ref="B5311:B5329" si="920">B5310+1</f>
        <v>7111</v>
      </c>
      <c r="C5311" s="30" t="str">
        <f>VLOOKUP(B5311,gachas!A:C,3)</f>
        <v>中級者チケットガチャ&lt;ヴィシュヌ、サラスヴァティin&gt;</v>
      </c>
      <c r="D5311" s="21">
        <v>10</v>
      </c>
      <c r="E5311" s="2">
        <v>0</v>
      </c>
      <c r="F5311" s="21">
        <v>5</v>
      </c>
      <c r="G5311" s="64" t="s">
        <v>735</v>
      </c>
      <c r="H5311" s="2">
        <v>1</v>
      </c>
      <c r="I5311" s="131" t="s">
        <v>1315</v>
      </c>
      <c r="J5311" s="112" t="s">
        <v>84</v>
      </c>
      <c r="K5311" s="2" t="str">
        <f t="shared" ref="K5311" si="921">B5311&amp;TEXT(D5311,"00")&amp;E5311</f>
        <v>7111100</v>
      </c>
      <c r="L5311" s="2">
        <v>1</v>
      </c>
      <c r="M5311" s="2" t="s">
        <v>84</v>
      </c>
      <c r="N5311" s="2" t="s">
        <v>84</v>
      </c>
      <c r="O5311" s="2" t="s">
        <v>841</v>
      </c>
      <c r="P5311" s="2" t="s">
        <v>84</v>
      </c>
    </row>
    <row r="5312" spans="1:16" ht="21" customHeight="1" x14ac:dyDescent="0.15">
      <c r="A5312" s="10" t="str">
        <f t="shared" ref="A5312" si="922">B5312&amp;"_"&amp;D5312&amp;"_"&amp;E5312&amp;"_"&amp;F5312&amp;"_"&amp;G5312</f>
        <v>7112_10_0_5_ticket_middle</v>
      </c>
      <c r="B5312" s="2">
        <f t="shared" si="920"/>
        <v>7112</v>
      </c>
      <c r="C5312" s="30" t="str">
        <f>VLOOKUP(B5312,gachas!A:C,3)</f>
        <v>中級者チケットガチャ&lt;ハヅル、イナバin&gt;</v>
      </c>
      <c r="D5312" s="21">
        <v>10</v>
      </c>
      <c r="E5312" s="2">
        <v>0</v>
      </c>
      <c r="F5312" s="21">
        <v>5</v>
      </c>
      <c r="G5312" s="64" t="s">
        <v>735</v>
      </c>
      <c r="H5312" s="2">
        <v>1</v>
      </c>
      <c r="I5312" s="131" t="s">
        <v>1315</v>
      </c>
      <c r="J5312" s="112" t="s">
        <v>84</v>
      </c>
      <c r="K5312" s="2" t="str">
        <f t="shared" ref="K5312:K5317" si="923">B5312&amp;TEXT(D5312,"00")&amp;E5312</f>
        <v>7112100</v>
      </c>
      <c r="L5312" s="2">
        <v>1</v>
      </c>
      <c r="M5312" s="2" t="s">
        <v>84</v>
      </c>
      <c r="N5312" s="2" t="s">
        <v>84</v>
      </c>
      <c r="O5312" s="2" t="s">
        <v>841</v>
      </c>
      <c r="P5312" s="2" t="s">
        <v>84</v>
      </c>
    </row>
    <row r="5313" spans="1:16" ht="21" customHeight="1" x14ac:dyDescent="0.15">
      <c r="A5313" s="10" t="str">
        <f t="shared" ref="A5313" si="924">B5313&amp;"_"&amp;D5313&amp;"_"&amp;E5313&amp;"_"&amp;F5313&amp;"_"&amp;G5313</f>
        <v>7113_10_0_5_ticket_middle</v>
      </c>
      <c r="B5313" s="2">
        <f t="shared" si="920"/>
        <v>7113</v>
      </c>
      <c r="C5313" s="30" t="str">
        <f>VLOOKUP(B5313,gachas!A:C,3)</f>
        <v>中級者チケットガチャ&lt;平安in&gt;</v>
      </c>
      <c r="D5313" s="21">
        <v>10</v>
      </c>
      <c r="E5313" s="2">
        <v>0</v>
      </c>
      <c r="F5313" s="21">
        <v>5</v>
      </c>
      <c r="G5313" s="64" t="s">
        <v>735</v>
      </c>
      <c r="H5313" s="2">
        <v>1</v>
      </c>
      <c r="I5313" s="131" t="s">
        <v>1416</v>
      </c>
      <c r="J5313" s="112" t="s">
        <v>84</v>
      </c>
      <c r="K5313" s="2" t="str">
        <f t="shared" si="923"/>
        <v>7113100</v>
      </c>
      <c r="L5313" s="2">
        <v>1</v>
      </c>
      <c r="M5313" s="2" t="s">
        <v>84</v>
      </c>
      <c r="N5313" s="2" t="s">
        <v>84</v>
      </c>
      <c r="O5313" s="2" t="s">
        <v>841</v>
      </c>
      <c r="P5313" s="2" t="s">
        <v>84</v>
      </c>
    </row>
    <row r="5314" spans="1:16" ht="21" customHeight="1" x14ac:dyDescent="0.15">
      <c r="A5314" s="10" t="str">
        <f t="shared" ref="A5314" si="925">B5314&amp;"_"&amp;D5314&amp;"_"&amp;E5314&amp;"_"&amp;F5314&amp;"_"&amp;G5314</f>
        <v>7114_10_0_5_ticket_middle</v>
      </c>
      <c r="B5314" s="2">
        <f t="shared" si="920"/>
        <v>7114</v>
      </c>
      <c r="C5314" s="30" t="str">
        <f>VLOOKUP(B5314,gachas!A:C,3)</f>
        <v>中級者チケットガチャ&lt;メソポタミアin&gt;</v>
      </c>
      <c r="D5314" s="21">
        <v>10</v>
      </c>
      <c r="E5314" s="2">
        <v>0</v>
      </c>
      <c r="F5314" s="21">
        <v>5</v>
      </c>
      <c r="G5314" s="64" t="s">
        <v>735</v>
      </c>
      <c r="H5314" s="2">
        <v>1</v>
      </c>
      <c r="I5314" s="131" t="s">
        <v>1456</v>
      </c>
      <c r="J5314" s="112" t="s">
        <v>84</v>
      </c>
      <c r="K5314" s="2" t="str">
        <f t="shared" si="923"/>
        <v>7114100</v>
      </c>
      <c r="L5314" s="2">
        <v>1</v>
      </c>
      <c r="M5314" s="2" t="s">
        <v>84</v>
      </c>
      <c r="N5314" s="2" t="s">
        <v>84</v>
      </c>
      <c r="O5314" s="2" t="s">
        <v>841</v>
      </c>
      <c r="P5314" s="2" t="s">
        <v>84</v>
      </c>
    </row>
    <row r="5315" spans="1:16" ht="21" customHeight="1" x14ac:dyDescent="0.15">
      <c r="A5315" s="10" t="str">
        <f t="shared" ref="A5315" si="926">B5315&amp;"_"&amp;D5315&amp;"_"&amp;E5315&amp;"_"&amp;F5315&amp;"_"&amp;G5315</f>
        <v>7115_10_0_5_ticket_middle</v>
      </c>
      <c r="B5315" s="2">
        <f t="shared" si="920"/>
        <v>7115</v>
      </c>
      <c r="C5315" s="30" t="str">
        <f>VLOOKUP(B5315,gachas!A:C,3)</f>
        <v>中級者チケットガチャ&lt;アルフヘイムin&gt;</v>
      </c>
      <c r="D5315" s="21">
        <v>10</v>
      </c>
      <c r="E5315" s="2">
        <v>0</v>
      </c>
      <c r="F5315" s="21">
        <v>5</v>
      </c>
      <c r="G5315" s="64" t="s">
        <v>735</v>
      </c>
      <c r="H5315" s="2">
        <v>1</v>
      </c>
      <c r="I5315" s="131" t="s">
        <v>1456</v>
      </c>
      <c r="J5315" s="112" t="s">
        <v>84</v>
      </c>
      <c r="K5315" s="2" t="str">
        <f t="shared" si="923"/>
        <v>7115100</v>
      </c>
      <c r="L5315" s="2">
        <v>1</v>
      </c>
      <c r="M5315" s="2" t="s">
        <v>84</v>
      </c>
      <c r="N5315" s="2" t="s">
        <v>84</v>
      </c>
      <c r="O5315" s="2" t="s">
        <v>841</v>
      </c>
      <c r="P5315" s="2" t="s">
        <v>84</v>
      </c>
    </row>
    <row r="5316" spans="1:16" ht="21" customHeight="1" x14ac:dyDescent="0.15">
      <c r="A5316" s="10" t="str">
        <f t="shared" ref="A5316" si="927">B5316&amp;"_"&amp;D5316&amp;"_"&amp;E5316&amp;"_"&amp;F5316&amp;"_"&amp;G5316</f>
        <v>7116_10_0_5_ticket_middle</v>
      </c>
      <c r="B5316" s="2">
        <f t="shared" si="920"/>
        <v>7116</v>
      </c>
      <c r="C5316" s="30" t="str">
        <f>VLOOKUP(B5316,gachas!A:C,3)</f>
        <v>中級者チケットガチャ&lt;ドライグin&gt;</v>
      </c>
      <c r="D5316" s="21">
        <v>10</v>
      </c>
      <c r="E5316" s="2">
        <v>0</v>
      </c>
      <c r="F5316" s="21">
        <v>5</v>
      </c>
      <c r="G5316" s="64" t="s">
        <v>735</v>
      </c>
      <c r="H5316" s="2">
        <v>1</v>
      </c>
      <c r="I5316" s="131" t="s">
        <v>1455</v>
      </c>
      <c r="J5316" s="112" t="s">
        <v>84</v>
      </c>
      <c r="K5316" s="2" t="str">
        <f t="shared" si="923"/>
        <v>7116100</v>
      </c>
      <c r="L5316" s="2">
        <v>1</v>
      </c>
      <c r="M5316" s="2" t="s">
        <v>84</v>
      </c>
      <c r="N5316" s="2" t="s">
        <v>84</v>
      </c>
      <c r="O5316" s="2" t="s">
        <v>841</v>
      </c>
      <c r="P5316" s="2" t="s">
        <v>84</v>
      </c>
    </row>
    <row r="5317" spans="1:16" ht="21" customHeight="1" x14ac:dyDescent="0.15">
      <c r="A5317" s="10" t="str">
        <f t="shared" ref="A5317" si="928">B5317&amp;"_"&amp;D5317&amp;"_"&amp;E5317&amp;"_"&amp;F5317&amp;"_"&amp;G5317</f>
        <v>7117_10_0_5_ticket_middle</v>
      </c>
      <c r="B5317" s="2">
        <f t="shared" si="920"/>
        <v>7117</v>
      </c>
      <c r="C5317" s="30" t="str">
        <f>VLOOKUP(B5317,gachas!A:C,3)</f>
        <v>中級者チケットガチャ&lt;画家in&gt;</v>
      </c>
      <c r="D5317" s="21">
        <v>10</v>
      </c>
      <c r="E5317" s="2">
        <v>0</v>
      </c>
      <c r="F5317" s="21">
        <v>5</v>
      </c>
      <c r="G5317" s="64" t="s">
        <v>735</v>
      </c>
      <c r="H5317" s="2">
        <v>1</v>
      </c>
      <c r="I5317" s="131" t="s">
        <v>1532</v>
      </c>
      <c r="J5317" s="112" t="s">
        <v>84</v>
      </c>
      <c r="K5317" s="2" t="str">
        <f t="shared" si="923"/>
        <v>7117100</v>
      </c>
      <c r="L5317" s="2">
        <v>1</v>
      </c>
      <c r="M5317" s="2" t="s">
        <v>84</v>
      </c>
      <c r="N5317" s="2" t="s">
        <v>84</v>
      </c>
      <c r="O5317" s="2" t="s">
        <v>841</v>
      </c>
      <c r="P5317" s="2" t="s">
        <v>84</v>
      </c>
    </row>
    <row r="5318" spans="1:16" ht="21" customHeight="1" x14ac:dyDescent="0.15">
      <c r="A5318" s="10" t="str">
        <f t="shared" ref="A5318" si="929">B5318&amp;"_"&amp;D5318&amp;"_"&amp;E5318&amp;"_"&amp;F5318&amp;"_"&amp;G5318</f>
        <v>7118_10_0_5_ticket_middle</v>
      </c>
      <c r="B5318" s="2">
        <f t="shared" si="920"/>
        <v>7118</v>
      </c>
      <c r="C5318" s="30" t="str">
        <f>VLOOKUP(B5318,gachas!A:C,3)</f>
        <v>中級者チケットガチャ&lt;三国志in&gt;</v>
      </c>
      <c r="D5318" s="21">
        <v>10</v>
      </c>
      <c r="E5318" s="2">
        <v>0</v>
      </c>
      <c r="F5318" s="21">
        <v>5</v>
      </c>
      <c r="G5318" s="64" t="s">
        <v>735</v>
      </c>
      <c r="H5318" s="2">
        <v>1</v>
      </c>
      <c r="I5318" s="132" t="s">
        <v>1688</v>
      </c>
      <c r="J5318" s="112" t="s">
        <v>84</v>
      </c>
      <c r="K5318" s="2" t="str">
        <f t="shared" ref="K5318" si="930">B5318&amp;TEXT(D5318,"00")&amp;E5318</f>
        <v>7118100</v>
      </c>
      <c r="L5318" s="2">
        <v>1</v>
      </c>
      <c r="M5318" s="2" t="s">
        <v>84</v>
      </c>
      <c r="N5318" s="2" t="s">
        <v>84</v>
      </c>
      <c r="O5318" s="2" t="s">
        <v>841</v>
      </c>
      <c r="P5318" s="2" t="s">
        <v>84</v>
      </c>
    </row>
    <row r="5319" spans="1:16" ht="21" customHeight="1" x14ac:dyDescent="0.15">
      <c r="A5319" s="10" t="str">
        <f t="shared" ref="A5319" si="931">B5319&amp;"_"&amp;D5319&amp;"_"&amp;E5319&amp;"_"&amp;F5319&amp;"_"&amp;G5319</f>
        <v>7119_10_0_5_ticket_middle</v>
      </c>
      <c r="B5319" s="2">
        <f t="shared" si="920"/>
        <v>7119</v>
      </c>
      <c r="C5319" s="30" t="str">
        <f>VLOOKUP(B5319,gachas!A:C,3)</f>
        <v>中級者チケットガチャ&lt;インド第2弾in&gt;</v>
      </c>
      <c r="D5319" s="21">
        <v>10</v>
      </c>
      <c r="E5319" s="2">
        <v>0</v>
      </c>
      <c r="F5319" s="21">
        <v>5</v>
      </c>
      <c r="G5319" s="64" t="s">
        <v>735</v>
      </c>
      <c r="H5319" s="2">
        <v>1</v>
      </c>
      <c r="I5319" s="132" t="s">
        <v>1758</v>
      </c>
      <c r="J5319" s="112" t="s">
        <v>84</v>
      </c>
      <c r="K5319" s="2" t="str">
        <f t="shared" ref="K5319" si="932">B5319&amp;TEXT(D5319,"00")&amp;E5319</f>
        <v>7119100</v>
      </c>
      <c r="L5319" s="2">
        <v>1</v>
      </c>
      <c r="M5319" s="2" t="s">
        <v>84</v>
      </c>
      <c r="N5319" s="2" t="s">
        <v>84</v>
      </c>
      <c r="O5319" s="2" t="s">
        <v>841</v>
      </c>
      <c r="P5319" s="2" t="s">
        <v>84</v>
      </c>
    </row>
    <row r="5320" spans="1:16" ht="21" customHeight="1" x14ac:dyDescent="0.15">
      <c r="A5320" s="10" t="str">
        <f t="shared" ref="A5320" si="933">B5320&amp;"_"&amp;D5320&amp;"_"&amp;E5320&amp;"_"&amp;F5320&amp;"_"&amp;G5320</f>
        <v>7120_10_0_5_ticket_middle</v>
      </c>
      <c r="B5320" s="2">
        <f t="shared" si="920"/>
        <v>7120</v>
      </c>
      <c r="C5320" s="30" t="str">
        <f>VLOOKUP(B5320,gachas!A:C,3)</f>
        <v>中級者チケットガチャ&lt;ギリシャ神話第2弾in&gt;</v>
      </c>
      <c r="D5320" s="21">
        <v>10</v>
      </c>
      <c r="E5320" s="2">
        <v>0</v>
      </c>
      <c r="F5320" s="21">
        <v>5</v>
      </c>
      <c r="G5320" s="64" t="s">
        <v>735</v>
      </c>
      <c r="H5320" s="2">
        <v>1</v>
      </c>
      <c r="I5320" s="132" t="s">
        <v>1898</v>
      </c>
      <c r="J5320" s="112" t="s">
        <v>84</v>
      </c>
      <c r="K5320" s="2" t="str">
        <f t="shared" ref="K5320" si="934">B5320&amp;TEXT(D5320,"00")&amp;E5320</f>
        <v>7120100</v>
      </c>
      <c r="L5320" s="2">
        <v>1</v>
      </c>
      <c r="M5320" s="2" t="s">
        <v>84</v>
      </c>
      <c r="N5320" s="2" t="s">
        <v>84</v>
      </c>
      <c r="O5320" s="2" t="s">
        <v>841</v>
      </c>
      <c r="P5320" s="2" t="s">
        <v>84</v>
      </c>
    </row>
    <row r="5321" spans="1:16" ht="21" customHeight="1" x14ac:dyDescent="0.15">
      <c r="A5321" s="10" t="str">
        <f t="shared" ref="A5321:A5324" si="935">B5321&amp;"_"&amp;D5321&amp;"_"&amp;E5321&amp;"_"&amp;F5321&amp;"_"&amp;G5321</f>
        <v>7121_10_0_1_ticket_middle_01</v>
      </c>
      <c r="B5321" s="2">
        <f t="shared" si="920"/>
        <v>7121</v>
      </c>
      <c r="C5321" s="30" t="str">
        <f>VLOOKUP(B5321,gachas!A:C,3)</f>
        <v>赤属性選抜ガチャ＜リリース＞</v>
      </c>
      <c r="D5321" s="21">
        <v>10</v>
      </c>
      <c r="E5321" s="2">
        <v>0</v>
      </c>
      <c r="F5321" s="21">
        <v>1</v>
      </c>
      <c r="G5321" s="64" t="s">
        <v>1995</v>
      </c>
      <c r="H5321" s="2">
        <v>1</v>
      </c>
      <c r="I5321" s="132">
        <v>7121101</v>
      </c>
      <c r="J5321" s="112" t="s">
        <v>84</v>
      </c>
      <c r="K5321" s="112" t="s">
        <v>84</v>
      </c>
      <c r="L5321" s="2">
        <v>0</v>
      </c>
      <c r="M5321" s="2" t="s">
        <v>84</v>
      </c>
      <c r="N5321" s="2" t="s">
        <v>84</v>
      </c>
      <c r="O5321" s="2" t="s">
        <v>841</v>
      </c>
      <c r="P5321" s="2" t="s">
        <v>84</v>
      </c>
    </row>
    <row r="5322" spans="1:16" ht="21" customHeight="1" x14ac:dyDescent="0.15">
      <c r="A5322" s="10" t="str">
        <f t="shared" si="935"/>
        <v>7122_10_0_1_ticket_middle_01</v>
      </c>
      <c r="B5322" s="2">
        <f t="shared" si="920"/>
        <v>7122</v>
      </c>
      <c r="C5322" s="30" t="str">
        <f>VLOOKUP(B5322,gachas!A:C,3)</f>
        <v>青属性選抜ガチャ＜リリース＞</v>
      </c>
      <c r="D5322" s="21">
        <v>10</v>
      </c>
      <c r="E5322" s="2">
        <v>0</v>
      </c>
      <c r="F5322" s="21">
        <v>1</v>
      </c>
      <c r="G5322" s="64" t="s">
        <v>1995</v>
      </c>
      <c r="H5322" s="2">
        <v>1</v>
      </c>
      <c r="I5322" s="132">
        <v>7121102</v>
      </c>
      <c r="J5322" s="112" t="s">
        <v>84</v>
      </c>
      <c r="K5322" s="112" t="s">
        <v>84</v>
      </c>
      <c r="L5322" s="2">
        <v>0</v>
      </c>
      <c r="M5322" s="2" t="s">
        <v>84</v>
      </c>
      <c r="N5322" s="2" t="s">
        <v>84</v>
      </c>
      <c r="O5322" s="2" t="s">
        <v>841</v>
      </c>
      <c r="P5322" s="2" t="s">
        <v>84</v>
      </c>
    </row>
    <row r="5323" spans="1:16" ht="21" customHeight="1" x14ac:dyDescent="0.15">
      <c r="A5323" s="10" t="str">
        <f t="shared" si="935"/>
        <v>7123_10_0_1_ticket_middle_01</v>
      </c>
      <c r="B5323" s="2">
        <f t="shared" si="920"/>
        <v>7123</v>
      </c>
      <c r="C5323" s="30" t="str">
        <f>VLOOKUP(B5323,gachas!A:C,3)</f>
        <v>緑属性選抜ガチャ＜リリース＞</v>
      </c>
      <c r="D5323" s="21">
        <v>10</v>
      </c>
      <c r="E5323" s="2">
        <v>0</v>
      </c>
      <c r="F5323" s="21">
        <v>1</v>
      </c>
      <c r="G5323" s="64" t="s">
        <v>1995</v>
      </c>
      <c r="H5323" s="2">
        <v>1</v>
      </c>
      <c r="I5323" s="132">
        <v>7121103</v>
      </c>
      <c r="J5323" s="112" t="s">
        <v>84</v>
      </c>
      <c r="K5323" s="112" t="s">
        <v>84</v>
      </c>
      <c r="L5323" s="2">
        <v>0</v>
      </c>
      <c r="M5323" s="2" t="s">
        <v>84</v>
      </c>
      <c r="N5323" s="2" t="s">
        <v>84</v>
      </c>
      <c r="O5323" s="2" t="s">
        <v>841</v>
      </c>
      <c r="P5323" s="2" t="s">
        <v>84</v>
      </c>
    </row>
    <row r="5324" spans="1:16" ht="21" customHeight="1" x14ac:dyDescent="0.15">
      <c r="A5324" s="10" t="str">
        <f t="shared" si="935"/>
        <v>7124_10_0_1_ticket_middle_01</v>
      </c>
      <c r="B5324" s="2">
        <f t="shared" si="920"/>
        <v>7124</v>
      </c>
      <c r="C5324" s="30" t="str">
        <f>VLOOKUP(B5324,gachas!A:C,3)</f>
        <v>黄属性選抜ガチャ＜リリース＞</v>
      </c>
      <c r="D5324" s="21">
        <v>10</v>
      </c>
      <c r="E5324" s="2">
        <v>0</v>
      </c>
      <c r="F5324" s="21">
        <v>1</v>
      </c>
      <c r="G5324" s="64" t="s">
        <v>1995</v>
      </c>
      <c r="H5324" s="2">
        <v>1</v>
      </c>
      <c r="I5324" s="132">
        <v>7121104</v>
      </c>
      <c r="J5324" s="112" t="s">
        <v>84</v>
      </c>
      <c r="K5324" s="112" t="s">
        <v>84</v>
      </c>
      <c r="L5324" s="2">
        <v>0</v>
      </c>
      <c r="M5324" s="2" t="s">
        <v>84</v>
      </c>
      <c r="N5324" s="2" t="s">
        <v>84</v>
      </c>
      <c r="O5324" s="2" t="s">
        <v>841</v>
      </c>
      <c r="P5324" s="2" t="s">
        <v>84</v>
      </c>
    </row>
    <row r="5325" spans="1:16" ht="21" customHeight="1" x14ac:dyDescent="0.15">
      <c r="A5325" s="10" t="str">
        <f t="shared" ref="A5325:A5329" si="936">B5325&amp;"_"&amp;D5325&amp;"_"&amp;E5325&amp;"_"&amp;F5325&amp;"_"&amp;G5325</f>
        <v>7125_10_0_5_ticket_middle</v>
      </c>
      <c r="B5325" s="2">
        <f t="shared" si="920"/>
        <v>7125</v>
      </c>
      <c r="C5325" s="30" t="str">
        <f>VLOOKUP(B5325,gachas!A:C,3)</f>
        <v>中級者チケットガチャ&lt;文豪in&gt;</v>
      </c>
      <c r="D5325" s="21">
        <v>10</v>
      </c>
      <c r="E5325" s="2">
        <v>0</v>
      </c>
      <c r="F5325" s="21">
        <v>5</v>
      </c>
      <c r="G5325" s="64" t="s">
        <v>2053</v>
      </c>
      <c r="H5325" s="2">
        <v>1</v>
      </c>
      <c r="I5325" s="132">
        <v>455100</v>
      </c>
      <c r="J5325" s="112" t="s">
        <v>84</v>
      </c>
      <c r="K5325" s="2" t="str">
        <f t="shared" ref="K5325" si="937">B5325&amp;TEXT(D5325,"00")&amp;E5325</f>
        <v>7125100</v>
      </c>
      <c r="L5325" s="2">
        <v>1</v>
      </c>
      <c r="M5325" s="2" t="s">
        <v>84</v>
      </c>
      <c r="N5325" s="2" t="s">
        <v>84</v>
      </c>
      <c r="O5325" s="2" t="s">
        <v>841</v>
      </c>
      <c r="P5325" s="2" t="s">
        <v>84</v>
      </c>
    </row>
    <row r="5326" spans="1:16" ht="21" customHeight="1" x14ac:dyDescent="0.15">
      <c r="A5326" s="10" t="str">
        <f t="shared" si="936"/>
        <v>7126_10_0_1_ticket_middle_02</v>
      </c>
      <c r="B5326" s="2">
        <f t="shared" si="920"/>
        <v>7126</v>
      </c>
      <c r="C5326" s="30" t="str">
        <f>VLOOKUP(B5326,gachas!A:C,3)</f>
        <v>赤属性選抜ガチャ＜第二弾＞</v>
      </c>
      <c r="D5326" s="21">
        <v>10</v>
      </c>
      <c r="E5326" s="2">
        <v>0</v>
      </c>
      <c r="F5326" s="21">
        <v>1</v>
      </c>
      <c r="G5326" s="64" t="s">
        <v>3208</v>
      </c>
      <c r="H5326" s="2">
        <v>1</v>
      </c>
      <c r="I5326" s="132">
        <v>7126101</v>
      </c>
      <c r="J5326" s="112" t="s">
        <v>84</v>
      </c>
      <c r="K5326" s="112" t="s">
        <v>84</v>
      </c>
      <c r="L5326" s="2">
        <v>0</v>
      </c>
      <c r="M5326" s="2" t="s">
        <v>84</v>
      </c>
      <c r="N5326" s="2" t="s">
        <v>84</v>
      </c>
      <c r="O5326" s="2" t="s">
        <v>841</v>
      </c>
      <c r="P5326" s="2" t="s">
        <v>84</v>
      </c>
    </row>
    <row r="5327" spans="1:16" ht="21" customHeight="1" x14ac:dyDescent="0.15">
      <c r="A5327" s="10" t="str">
        <f t="shared" si="936"/>
        <v>7127_10_0_1_ticket_middle_02</v>
      </c>
      <c r="B5327" s="2">
        <f t="shared" si="920"/>
        <v>7127</v>
      </c>
      <c r="C5327" s="30" t="str">
        <f>VLOOKUP(B5327,gachas!A:C,3)</f>
        <v>青属性選抜ガチャ＜第二弾＞</v>
      </c>
      <c r="D5327" s="21">
        <v>10</v>
      </c>
      <c r="E5327" s="2">
        <v>0</v>
      </c>
      <c r="F5327" s="21">
        <v>1</v>
      </c>
      <c r="G5327" s="64" t="s">
        <v>3208</v>
      </c>
      <c r="H5327" s="2">
        <v>1</v>
      </c>
      <c r="I5327" s="132">
        <v>7126102</v>
      </c>
      <c r="J5327" s="112" t="s">
        <v>84</v>
      </c>
      <c r="K5327" s="112" t="s">
        <v>84</v>
      </c>
      <c r="L5327" s="2">
        <v>0</v>
      </c>
      <c r="M5327" s="2" t="s">
        <v>84</v>
      </c>
      <c r="N5327" s="2" t="s">
        <v>84</v>
      </c>
      <c r="O5327" s="2" t="s">
        <v>841</v>
      </c>
      <c r="P5327" s="2" t="s">
        <v>84</v>
      </c>
    </row>
    <row r="5328" spans="1:16" ht="21" customHeight="1" x14ac:dyDescent="0.15">
      <c r="A5328" s="10" t="str">
        <f t="shared" si="936"/>
        <v>7128_10_0_1_ticket_middle_02</v>
      </c>
      <c r="B5328" s="2">
        <f t="shared" si="920"/>
        <v>7128</v>
      </c>
      <c r="C5328" s="30" t="str">
        <f>VLOOKUP(B5328,gachas!A:C,3)</f>
        <v>緑属性選抜ガチャ＜第二弾＞</v>
      </c>
      <c r="D5328" s="21">
        <v>10</v>
      </c>
      <c r="E5328" s="2">
        <v>0</v>
      </c>
      <c r="F5328" s="21">
        <v>1</v>
      </c>
      <c r="G5328" s="64" t="s">
        <v>3208</v>
      </c>
      <c r="H5328" s="2">
        <v>1</v>
      </c>
      <c r="I5328" s="132">
        <v>7126103</v>
      </c>
      <c r="J5328" s="112" t="s">
        <v>84</v>
      </c>
      <c r="K5328" s="112" t="s">
        <v>84</v>
      </c>
      <c r="L5328" s="2">
        <v>0</v>
      </c>
      <c r="M5328" s="2" t="s">
        <v>84</v>
      </c>
      <c r="N5328" s="2" t="s">
        <v>84</v>
      </c>
      <c r="O5328" s="2" t="s">
        <v>841</v>
      </c>
      <c r="P5328" s="2" t="s">
        <v>84</v>
      </c>
    </row>
    <row r="5329" spans="1:16" ht="21" customHeight="1" x14ac:dyDescent="0.15">
      <c r="A5329" s="10" t="str">
        <f t="shared" si="936"/>
        <v>7129_10_0_1_ticket_middle_02</v>
      </c>
      <c r="B5329" s="2">
        <f t="shared" si="920"/>
        <v>7129</v>
      </c>
      <c r="C5329" s="30" t="str">
        <f>VLOOKUP(B5329,gachas!A:C,3)</f>
        <v>黄属性選抜ガチャ＜第二弾＞</v>
      </c>
      <c r="D5329" s="21">
        <v>10</v>
      </c>
      <c r="E5329" s="2">
        <v>0</v>
      </c>
      <c r="F5329" s="21">
        <v>1</v>
      </c>
      <c r="G5329" s="64" t="s">
        <v>3208</v>
      </c>
      <c r="H5329" s="2">
        <v>1</v>
      </c>
      <c r="I5329" s="132">
        <v>7126104</v>
      </c>
      <c r="J5329" s="112" t="s">
        <v>84</v>
      </c>
      <c r="K5329" s="112" t="s">
        <v>84</v>
      </c>
      <c r="L5329" s="2">
        <v>0</v>
      </c>
      <c r="M5329" s="2" t="s">
        <v>84</v>
      </c>
      <c r="N5329" s="2" t="s">
        <v>84</v>
      </c>
      <c r="O5329" s="2" t="s">
        <v>841</v>
      </c>
      <c r="P5329" s="2" t="s">
        <v>84</v>
      </c>
    </row>
    <row r="5330" spans="1:16" ht="21" customHeight="1" x14ac:dyDescent="0.15">
      <c r="A5330" s="10" t="str">
        <f t="shared" si="899"/>
        <v>7200_10_0_1_ticket_other</v>
      </c>
      <c r="B5330" s="2">
        <v>7200</v>
      </c>
      <c r="C5330" s="30" t="str">
        <f>VLOOKUP(B5330,gachas!A:C,3)</f>
        <v>超お得チケットガチャ</v>
      </c>
      <c r="D5330" s="21">
        <v>10</v>
      </c>
      <c r="E5330" s="2">
        <v>0</v>
      </c>
      <c r="F5330" s="21">
        <v>1</v>
      </c>
      <c r="G5330" s="64" t="s">
        <v>736</v>
      </c>
      <c r="H5330" s="2">
        <v>1</v>
      </c>
      <c r="I5330" s="133" t="str">
        <f t="shared" ref="I5330:I5335" si="938">I5300</f>
        <v>7100100</v>
      </c>
      <c r="J5330" s="112" t="s">
        <v>84</v>
      </c>
      <c r="K5330" s="6" t="str">
        <f t="shared" ref="K5330:K5350" si="939">K5300</f>
        <v>7100100</v>
      </c>
      <c r="L5330" s="2">
        <v>1</v>
      </c>
      <c r="M5330" s="2" t="s">
        <v>84</v>
      </c>
      <c r="N5330" s="2" t="s">
        <v>84</v>
      </c>
      <c r="O5330" s="2" t="s">
        <v>841</v>
      </c>
      <c r="P5330" s="2" t="s">
        <v>84</v>
      </c>
    </row>
    <row r="5331" spans="1:16" ht="21" customHeight="1" x14ac:dyDescent="0.15">
      <c r="A5331" s="10" t="str">
        <f t="shared" ref="A5331:A5332" si="940">B5331&amp;"_"&amp;D5331&amp;"_"&amp;E5331&amp;"_"&amp;F5331&amp;"_"&amp;G5331</f>
        <v>7201_10_0_1_ticket_other</v>
      </c>
      <c r="B5331" s="2">
        <f t="shared" ref="B5331:B5400" si="941">B5330+1</f>
        <v>7201</v>
      </c>
      <c r="C5331" s="30" t="str">
        <f>VLOOKUP(B5331,gachas!A:C,3)</f>
        <v>超お得チケットガチャ&lt;天使in&gt;</v>
      </c>
      <c r="D5331" s="21">
        <v>10</v>
      </c>
      <c r="E5331" s="2">
        <v>0</v>
      </c>
      <c r="F5331" s="21">
        <v>1</v>
      </c>
      <c r="G5331" s="64" t="s">
        <v>736</v>
      </c>
      <c r="H5331" s="2">
        <v>1</v>
      </c>
      <c r="I5331" s="133" t="str">
        <f t="shared" si="938"/>
        <v>337010</v>
      </c>
      <c r="J5331" s="112" t="s">
        <v>84</v>
      </c>
      <c r="K5331" s="6" t="str">
        <f t="shared" si="939"/>
        <v>7101100</v>
      </c>
      <c r="L5331" s="2">
        <v>1</v>
      </c>
      <c r="M5331" s="2" t="s">
        <v>84</v>
      </c>
      <c r="N5331" s="2" t="s">
        <v>84</v>
      </c>
      <c r="O5331" s="2" t="s">
        <v>841</v>
      </c>
      <c r="P5331" s="2" t="s">
        <v>84</v>
      </c>
    </row>
    <row r="5332" spans="1:16" ht="21" customHeight="1" x14ac:dyDescent="0.15">
      <c r="A5332" s="10" t="str">
        <f t="shared" si="940"/>
        <v>7202_10_0_1_ticket_other</v>
      </c>
      <c r="B5332" s="2">
        <f t="shared" si="941"/>
        <v>7202</v>
      </c>
      <c r="C5332" s="30" t="str">
        <f>VLOOKUP(B5332,gachas!A:C,3)</f>
        <v>超お得チケットガチャ&lt;八咫ヘングレin&gt;</v>
      </c>
      <c r="D5332" s="21">
        <v>10</v>
      </c>
      <c r="E5332" s="2">
        <v>0</v>
      </c>
      <c r="F5332" s="21">
        <v>1</v>
      </c>
      <c r="G5332" s="64" t="s">
        <v>736</v>
      </c>
      <c r="H5332" s="2">
        <v>1</v>
      </c>
      <c r="I5332" s="133" t="str">
        <f t="shared" si="938"/>
        <v>337010</v>
      </c>
      <c r="J5332" s="112" t="s">
        <v>84</v>
      </c>
      <c r="K5332" s="6" t="str">
        <f t="shared" si="939"/>
        <v>7102100</v>
      </c>
      <c r="L5332" s="2">
        <v>1</v>
      </c>
      <c r="M5332" s="2" t="s">
        <v>84</v>
      </c>
      <c r="N5332" s="2" t="s">
        <v>84</v>
      </c>
      <c r="O5332" s="2" t="s">
        <v>841</v>
      </c>
      <c r="P5332" s="2" t="s">
        <v>84</v>
      </c>
    </row>
    <row r="5333" spans="1:16" ht="21" customHeight="1" x14ac:dyDescent="0.15">
      <c r="A5333" s="10" t="str">
        <f t="shared" ref="A5333" si="942">B5333&amp;"_"&amp;D5333&amp;"_"&amp;E5333&amp;"_"&amp;F5333&amp;"_"&amp;G5333</f>
        <v>7203_10_0_1_ticket_other</v>
      </c>
      <c r="B5333" s="2">
        <f t="shared" si="941"/>
        <v>7203</v>
      </c>
      <c r="C5333" s="30" t="str">
        <f>VLOOKUP(B5333,gachas!A:C,3)</f>
        <v>超お得チケットガチャ&lt;グリム2in&gt;</v>
      </c>
      <c r="D5333" s="21">
        <v>10</v>
      </c>
      <c r="E5333" s="2">
        <v>0</v>
      </c>
      <c r="F5333" s="21">
        <v>1</v>
      </c>
      <c r="G5333" s="64" t="s">
        <v>736</v>
      </c>
      <c r="H5333" s="2">
        <v>1</v>
      </c>
      <c r="I5333" s="133" t="str">
        <f t="shared" si="938"/>
        <v>347010</v>
      </c>
      <c r="J5333" s="112" t="s">
        <v>84</v>
      </c>
      <c r="K5333" s="6" t="str">
        <f t="shared" si="939"/>
        <v>7103100</v>
      </c>
      <c r="L5333" s="2">
        <v>1</v>
      </c>
      <c r="M5333" s="2" t="s">
        <v>84</v>
      </c>
      <c r="N5333" s="2" t="s">
        <v>84</v>
      </c>
      <c r="O5333" s="2" t="s">
        <v>841</v>
      </c>
      <c r="P5333" s="2" t="s">
        <v>84</v>
      </c>
    </row>
    <row r="5334" spans="1:16" ht="21" customHeight="1" x14ac:dyDescent="0.15">
      <c r="A5334" s="10" t="str">
        <f t="shared" ref="A5334" si="943">B5334&amp;"_"&amp;D5334&amp;"_"&amp;E5334&amp;"_"&amp;F5334&amp;"_"&amp;G5334</f>
        <v>7204_10_0_1_ticket_other</v>
      </c>
      <c r="B5334" s="2">
        <f t="shared" si="941"/>
        <v>7204</v>
      </c>
      <c r="C5334" s="30" t="str">
        <f>VLOOKUP(B5334,gachas!A:C,3)</f>
        <v>超お得チケットガチャ&lt;D.R.T.H.、モルドレッドin&gt;</v>
      </c>
      <c r="D5334" s="21">
        <v>10</v>
      </c>
      <c r="E5334" s="2">
        <v>0</v>
      </c>
      <c r="F5334" s="21">
        <v>1</v>
      </c>
      <c r="G5334" s="64" t="s">
        <v>736</v>
      </c>
      <c r="H5334" s="2">
        <v>1</v>
      </c>
      <c r="I5334" s="133" t="str">
        <f t="shared" si="938"/>
        <v>347010</v>
      </c>
      <c r="J5334" s="112" t="s">
        <v>84</v>
      </c>
      <c r="K5334" s="6" t="str">
        <f t="shared" si="939"/>
        <v>7104100</v>
      </c>
      <c r="L5334" s="2">
        <v>1</v>
      </c>
      <c r="M5334" s="2" t="s">
        <v>84</v>
      </c>
      <c r="N5334" s="2" t="s">
        <v>84</v>
      </c>
      <c r="O5334" s="2" t="s">
        <v>841</v>
      </c>
      <c r="P5334" s="2" t="s">
        <v>84</v>
      </c>
    </row>
    <row r="5335" spans="1:16" ht="21" customHeight="1" x14ac:dyDescent="0.15">
      <c r="A5335" s="10" t="str">
        <f t="shared" ref="A5335" si="944">B5335&amp;"_"&amp;D5335&amp;"_"&amp;E5335&amp;"_"&amp;F5335&amp;"_"&amp;G5335</f>
        <v>7205_10_0_1_ticket_other</v>
      </c>
      <c r="B5335" s="2">
        <f t="shared" si="941"/>
        <v>7205</v>
      </c>
      <c r="C5335" s="30" t="str">
        <f>VLOOKUP(B5335,gachas!A:C,3)</f>
        <v>超お得チケットガチャ&lt;ペロー、ハーメルン&gt;</v>
      </c>
      <c r="D5335" s="21">
        <v>10</v>
      </c>
      <c r="E5335" s="2">
        <v>0</v>
      </c>
      <c r="F5335" s="21">
        <v>1</v>
      </c>
      <c r="G5335" s="64" t="s">
        <v>736</v>
      </c>
      <c r="H5335" s="2">
        <v>1</v>
      </c>
      <c r="I5335" s="133" t="str">
        <f t="shared" si="938"/>
        <v>347010</v>
      </c>
      <c r="J5335" s="112" t="s">
        <v>84</v>
      </c>
      <c r="K5335" s="6" t="str">
        <f t="shared" si="939"/>
        <v>7105100</v>
      </c>
      <c r="L5335" s="2">
        <v>1</v>
      </c>
      <c r="M5335" s="2" t="s">
        <v>84</v>
      </c>
      <c r="N5335" s="2" t="s">
        <v>84</v>
      </c>
      <c r="O5335" s="2" t="s">
        <v>841</v>
      </c>
      <c r="P5335" s="2" t="s">
        <v>84</v>
      </c>
    </row>
    <row r="5336" spans="1:16" ht="21" customHeight="1" x14ac:dyDescent="0.15">
      <c r="A5336" s="10" t="str">
        <f t="shared" ref="A5336" si="945">B5336&amp;"_"&amp;D5336&amp;"_"&amp;E5336&amp;"_"&amp;F5336&amp;"_"&amp;G5336</f>
        <v>7206_10_0_1_ticket_other</v>
      </c>
      <c r="B5336" s="2">
        <f t="shared" si="941"/>
        <v>7206</v>
      </c>
      <c r="C5336" s="30" t="str">
        <f>VLOOKUP(B5336,gachas!A:C,3)</f>
        <v>超お得チケットガチャ&lt;アポロン、ヘルメス&gt;</v>
      </c>
      <c r="D5336" s="21">
        <v>10</v>
      </c>
      <c r="E5336" s="2">
        <v>0</v>
      </c>
      <c r="F5336" s="21">
        <v>1</v>
      </c>
      <c r="G5336" s="64" t="s">
        <v>736</v>
      </c>
      <c r="H5336" s="2">
        <v>1</v>
      </c>
      <c r="I5336" s="134" t="s">
        <v>1102</v>
      </c>
      <c r="J5336" s="112" t="s">
        <v>84</v>
      </c>
      <c r="K5336" s="6" t="str">
        <f t="shared" si="939"/>
        <v>7106100</v>
      </c>
      <c r="L5336" s="2">
        <v>1</v>
      </c>
      <c r="M5336" s="2" t="s">
        <v>84</v>
      </c>
      <c r="N5336" s="2" t="s">
        <v>84</v>
      </c>
      <c r="O5336" s="2" t="s">
        <v>841</v>
      </c>
      <c r="P5336" s="2" t="s">
        <v>84</v>
      </c>
    </row>
    <row r="5337" spans="1:16" ht="21" customHeight="1" x14ac:dyDescent="0.15">
      <c r="A5337" s="10" t="str">
        <f t="shared" ref="A5337" si="946">B5337&amp;"_"&amp;D5337&amp;"_"&amp;E5337&amp;"_"&amp;F5337&amp;"_"&amp;G5337</f>
        <v>7207_10_0_1_ticket_other</v>
      </c>
      <c r="B5337" s="2">
        <f t="shared" si="941"/>
        <v>7207</v>
      </c>
      <c r="C5337" s="30" t="str">
        <f>VLOOKUP(B5337,gachas!A:C,3)</f>
        <v>超お得チケットガチャ&lt;フランスin&gt;</v>
      </c>
      <c r="D5337" s="21">
        <v>10</v>
      </c>
      <c r="E5337" s="2">
        <v>0</v>
      </c>
      <c r="F5337" s="21">
        <v>1</v>
      </c>
      <c r="G5337" s="64" t="s">
        <v>736</v>
      </c>
      <c r="H5337" s="2">
        <v>1</v>
      </c>
      <c r="I5337" s="134" t="s">
        <v>1136</v>
      </c>
      <c r="J5337" s="112" t="s">
        <v>84</v>
      </c>
      <c r="K5337" s="6" t="str">
        <f t="shared" si="939"/>
        <v>7107100</v>
      </c>
      <c r="L5337" s="2">
        <v>1</v>
      </c>
      <c r="M5337" s="2" t="s">
        <v>84</v>
      </c>
      <c r="N5337" s="2" t="s">
        <v>84</v>
      </c>
      <c r="O5337" s="2" t="s">
        <v>841</v>
      </c>
      <c r="P5337" s="2" t="s">
        <v>84</v>
      </c>
    </row>
    <row r="5338" spans="1:16" ht="21" customHeight="1" x14ac:dyDescent="0.15">
      <c r="A5338" s="10" t="str">
        <f t="shared" ref="A5338" si="947">B5338&amp;"_"&amp;D5338&amp;"_"&amp;E5338&amp;"_"&amp;F5338&amp;"_"&amp;G5338</f>
        <v>7208_10_0_1_ticket_other</v>
      </c>
      <c r="B5338" s="2">
        <f t="shared" si="941"/>
        <v>7208</v>
      </c>
      <c r="C5338" s="30" t="str">
        <f>VLOOKUP(B5338,gachas!A:C,3)</f>
        <v>超お得チケットガチャ&lt;クルミ、フウガ、ラプ、フレイヤin&gt;</v>
      </c>
      <c r="D5338" s="21">
        <v>10</v>
      </c>
      <c r="E5338" s="2">
        <v>0</v>
      </c>
      <c r="F5338" s="21">
        <v>1</v>
      </c>
      <c r="G5338" s="64" t="s">
        <v>736</v>
      </c>
      <c r="H5338" s="2">
        <v>1</v>
      </c>
      <c r="I5338" s="134" t="s">
        <v>1135</v>
      </c>
      <c r="J5338" s="112" t="s">
        <v>84</v>
      </c>
      <c r="K5338" s="6" t="str">
        <f t="shared" si="939"/>
        <v>7108100</v>
      </c>
      <c r="L5338" s="2">
        <v>1</v>
      </c>
      <c r="M5338" s="2" t="s">
        <v>84</v>
      </c>
      <c r="N5338" s="2" t="s">
        <v>84</v>
      </c>
      <c r="O5338" s="2" t="s">
        <v>841</v>
      </c>
      <c r="P5338" s="2" t="s">
        <v>84</v>
      </c>
    </row>
    <row r="5339" spans="1:16" ht="21" customHeight="1" x14ac:dyDescent="0.15">
      <c r="A5339" s="10" t="str">
        <f t="shared" ref="A5339" si="948">B5339&amp;"_"&amp;D5339&amp;"_"&amp;E5339&amp;"_"&amp;F5339&amp;"_"&amp;G5339</f>
        <v>7209_10_0_1_ticket_other</v>
      </c>
      <c r="B5339" s="2">
        <f t="shared" si="941"/>
        <v>7209</v>
      </c>
      <c r="C5339" s="30" t="str">
        <f>VLOOKUP(B5339,gachas!A:C,3)</f>
        <v>超お得チケットガチャ&lt;近藤、ランスロットin&gt;</v>
      </c>
      <c r="D5339" s="21">
        <v>10</v>
      </c>
      <c r="E5339" s="2">
        <v>0</v>
      </c>
      <c r="F5339" s="21">
        <v>1</v>
      </c>
      <c r="G5339" s="64" t="s">
        <v>736</v>
      </c>
      <c r="H5339" s="2">
        <v>1</v>
      </c>
      <c r="I5339" s="134" t="s">
        <v>1135</v>
      </c>
      <c r="J5339" s="112" t="s">
        <v>84</v>
      </c>
      <c r="K5339" s="6" t="str">
        <f t="shared" si="939"/>
        <v>7109100</v>
      </c>
      <c r="L5339" s="2">
        <v>1</v>
      </c>
      <c r="M5339" s="2" t="s">
        <v>84</v>
      </c>
      <c r="N5339" s="2" t="s">
        <v>84</v>
      </c>
      <c r="O5339" s="2" t="s">
        <v>841</v>
      </c>
      <c r="P5339" s="2" t="s">
        <v>84</v>
      </c>
    </row>
    <row r="5340" spans="1:16" ht="21" customHeight="1" x14ac:dyDescent="0.15">
      <c r="A5340" s="10" t="str">
        <f t="shared" ref="A5340" si="949">B5340&amp;"_"&amp;D5340&amp;"_"&amp;E5340&amp;"_"&amp;F5340&amp;"_"&amp;G5340</f>
        <v>7210_10_0_1_ticket_other</v>
      </c>
      <c r="B5340" s="2">
        <f t="shared" si="941"/>
        <v>7210</v>
      </c>
      <c r="C5340" s="30" t="str">
        <f>VLOOKUP(B5340,gachas!A:C,3)</f>
        <v>超お得チケットガチャ&lt;エジプトin&gt;</v>
      </c>
      <c r="D5340" s="21">
        <v>10</v>
      </c>
      <c r="E5340" s="2">
        <v>0</v>
      </c>
      <c r="F5340" s="21">
        <v>1</v>
      </c>
      <c r="G5340" s="64" t="s">
        <v>736</v>
      </c>
      <c r="H5340" s="2">
        <v>1</v>
      </c>
      <c r="I5340" s="134" t="s">
        <v>1316</v>
      </c>
      <c r="J5340" s="112" t="s">
        <v>84</v>
      </c>
      <c r="K5340" s="6" t="str">
        <f t="shared" si="939"/>
        <v>7110100</v>
      </c>
      <c r="L5340" s="2">
        <v>1</v>
      </c>
      <c r="M5340" s="2" t="s">
        <v>84</v>
      </c>
      <c r="N5340" s="2" t="s">
        <v>84</v>
      </c>
      <c r="O5340" s="2" t="s">
        <v>841</v>
      </c>
      <c r="P5340" s="2" t="s">
        <v>84</v>
      </c>
    </row>
    <row r="5341" spans="1:16" ht="21" customHeight="1" x14ac:dyDescent="0.15">
      <c r="A5341" s="10" t="str">
        <f t="shared" ref="A5341" si="950">B5341&amp;"_"&amp;D5341&amp;"_"&amp;E5341&amp;"_"&amp;F5341&amp;"_"&amp;G5341</f>
        <v>7211_10_0_1_ticket_other</v>
      </c>
      <c r="B5341" s="2">
        <f t="shared" si="941"/>
        <v>7211</v>
      </c>
      <c r="C5341" s="30" t="str">
        <f>VLOOKUP(B5341,gachas!A:C,3)</f>
        <v>超お得チケットガチャ&lt;ヴィシュヌ、サラスヴァティin&gt;</v>
      </c>
      <c r="D5341" s="21">
        <v>10</v>
      </c>
      <c r="E5341" s="2">
        <v>0</v>
      </c>
      <c r="F5341" s="21">
        <v>1</v>
      </c>
      <c r="G5341" s="64" t="s">
        <v>736</v>
      </c>
      <c r="H5341" s="2">
        <v>1</v>
      </c>
      <c r="I5341" s="134" t="s">
        <v>1316</v>
      </c>
      <c r="J5341" s="112" t="s">
        <v>84</v>
      </c>
      <c r="K5341" s="6" t="str">
        <f t="shared" si="939"/>
        <v>7111100</v>
      </c>
      <c r="L5341" s="2">
        <v>1</v>
      </c>
      <c r="M5341" s="2" t="s">
        <v>84</v>
      </c>
      <c r="N5341" s="2" t="s">
        <v>84</v>
      </c>
      <c r="O5341" s="2" t="s">
        <v>841</v>
      </c>
      <c r="P5341" s="2" t="s">
        <v>84</v>
      </c>
    </row>
    <row r="5342" spans="1:16" ht="21" customHeight="1" x14ac:dyDescent="0.15">
      <c r="A5342" s="10" t="str">
        <f t="shared" ref="A5342" si="951">B5342&amp;"_"&amp;D5342&amp;"_"&amp;E5342&amp;"_"&amp;F5342&amp;"_"&amp;G5342</f>
        <v>7212_10_0_1_ticket_other</v>
      </c>
      <c r="B5342" s="2">
        <f t="shared" ref="B5342:B5356" si="952">B5341+1</f>
        <v>7212</v>
      </c>
      <c r="C5342" s="30" t="str">
        <f>VLOOKUP(B5342,gachas!A:C,3)</f>
        <v>超お得チケットガチャ&lt;ハヅル、イナバin&gt;</v>
      </c>
      <c r="D5342" s="21">
        <v>10</v>
      </c>
      <c r="E5342" s="2">
        <v>0</v>
      </c>
      <c r="F5342" s="21">
        <v>1</v>
      </c>
      <c r="G5342" s="64" t="s">
        <v>736</v>
      </c>
      <c r="H5342" s="2">
        <v>1</v>
      </c>
      <c r="I5342" s="134" t="s">
        <v>1316</v>
      </c>
      <c r="J5342" s="112" t="s">
        <v>84</v>
      </c>
      <c r="K5342" s="6" t="str">
        <f t="shared" si="939"/>
        <v>7112100</v>
      </c>
      <c r="L5342" s="2">
        <v>1</v>
      </c>
      <c r="M5342" s="2" t="s">
        <v>84</v>
      </c>
      <c r="N5342" s="2" t="s">
        <v>84</v>
      </c>
      <c r="O5342" s="2" t="s">
        <v>841</v>
      </c>
      <c r="P5342" s="2" t="s">
        <v>84</v>
      </c>
    </row>
    <row r="5343" spans="1:16" ht="21" customHeight="1" x14ac:dyDescent="0.15">
      <c r="A5343" s="10" t="str">
        <f t="shared" ref="A5343" si="953">B5343&amp;"_"&amp;D5343&amp;"_"&amp;E5343&amp;"_"&amp;F5343&amp;"_"&amp;G5343</f>
        <v>7213_10_0_1_ticket_other</v>
      </c>
      <c r="B5343" s="2">
        <f t="shared" si="952"/>
        <v>7213</v>
      </c>
      <c r="C5343" s="30" t="str">
        <f>VLOOKUP(B5343,gachas!A:C,3)</f>
        <v>超お得チケットガチャ&lt;平安in&gt;</v>
      </c>
      <c r="D5343" s="21">
        <v>10</v>
      </c>
      <c r="E5343" s="2">
        <v>0</v>
      </c>
      <c r="F5343" s="21">
        <v>1</v>
      </c>
      <c r="G5343" s="64" t="s">
        <v>736</v>
      </c>
      <c r="H5343" s="2">
        <v>1</v>
      </c>
      <c r="I5343" s="134" t="s">
        <v>1416</v>
      </c>
      <c r="J5343" s="112" t="s">
        <v>84</v>
      </c>
      <c r="K5343" s="6" t="str">
        <f t="shared" si="939"/>
        <v>7113100</v>
      </c>
      <c r="L5343" s="2">
        <v>1</v>
      </c>
      <c r="M5343" s="2" t="s">
        <v>84</v>
      </c>
      <c r="N5343" s="2" t="s">
        <v>84</v>
      </c>
      <c r="O5343" s="2" t="s">
        <v>841</v>
      </c>
      <c r="P5343" s="2" t="s">
        <v>84</v>
      </c>
    </row>
    <row r="5344" spans="1:16" ht="21" customHeight="1" x14ac:dyDescent="0.15">
      <c r="A5344" s="10" t="str">
        <f t="shared" ref="A5344" si="954">B5344&amp;"_"&amp;D5344&amp;"_"&amp;E5344&amp;"_"&amp;F5344&amp;"_"&amp;G5344</f>
        <v>7214_10_0_1_ticket_other</v>
      </c>
      <c r="B5344" s="2">
        <f t="shared" si="952"/>
        <v>7214</v>
      </c>
      <c r="C5344" s="30" t="str">
        <f>VLOOKUP(B5344,gachas!A:C,3)</f>
        <v>超お得チケットガチャ&lt;メソポタミアin&gt;</v>
      </c>
      <c r="D5344" s="21">
        <v>10</v>
      </c>
      <c r="E5344" s="2">
        <v>0</v>
      </c>
      <c r="F5344" s="21">
        <v>1</v>
      </c>
      <c r="G5344" s="64" t="s">
        <v>736</v>
      </c>
      <c r="H5344" s="2">
        <v>1</v>
      </c>
      <c r="I5344" s="134" t="s">
        <v>1455</v>
      </c>
      <c r="J5344" s="112" t="s">
        <v>84</v>
      </c>
      <c r="K5344" s="6" t="str">
        <f t="shared" si="939"/>
        <v>7114100</v>
      </c>
      <c r="L5344" s="2">
        <v>1</v>
      </c>
      <c r="M5344" s="2" t="s">
        <v>84</v>
      </c>
      <c r="N5344" s="2" t="s">
        <v>84</v>
      </c>
      <c r="O5344" s="2" t="s">
        <v>841</v>
      </c>
      <c r="P5344" s="2" t="s">
        <v>84</v>
      </c>
    </row>
    <row r="5345" spans="1:16" ht="21" customHeight="1" x14ac:dyDescent="0.15">
      <c r="A5345" s="10" t="str">
        <f t="shared" ref="A5345" si="955">B5345&amp;"_"&amp;D5345&amp;"_"&amp;E5345&amp;"_"&amp;F5345&amp;"_"&amp;G5345</f>
        <v>7215_10_0_1_ticket_other</v>
      </c>
      <c r="B5345" s="2">
        <f t="shared" si="952"/>
        <v>7215</v>
      </c>
      <c r="C5345" s="30" t="str">
        <f>VLOOKUP(B5345,gachas!A:C,3)</f>
        <v>超お得チケットガチャ&lt;アルフヘイムin&gt;</v>
      </c>
      <c r="D5345" s="21">
        <v>10</v>
      </c>
      <c r="E5345" s="2">
        <v>0</v>
      </c>
      <c r="F5345" s="21">
        <v>1</v>
      </c>
      <c r="G5345" s="64" t="s">
        <v>736</v>
      </c>
      <c r="H5345" s="2">
        <v>1</v>
      </c>
      <c r="I5345" s="134" t="s">
        <v>1455</v>
      </c>
      <c r="J5345" s="112" t="s">
        <v>84</v>
      </c>
      <c r="K5345" s="6" t="str">
        <f t="shared" si="939"/>
        <v>7115100</v>
      </c>
      <c r="L5345" s="2">
        <v>1</v>
      </c>
      <c r="M5345" s="2" t="s">
        <v>84</v>
      </c>
      <c r="N5345" s="2" t="s">
        <v>84</v>
      </c>
      <c r="O5345" s="2" t="s">
        <v>841</v>
      </c>
      <c r="P5345" s="2" t="s">
        <v>84</v>
      </c>
    </row>
    <row r="5346" spans="1:16" ht="21" customHeight="1" x14ac:dyDescent="0.15">
      <c r="A5346" s="10" t="str">
        <f t="shared" ref="A5346" si="956">B5346&amp;"_"&amp;D5346&amp;"_"&amp;E5346&amp;"_"&amp;F5346&amp;"_"&amp;G5346</f>
        <v>7216_10_0_1_ticket_other</v>
      </c>
      <c r="B5346" s="2">
        <f t="shared" si="952"/>
        <v>7216</v>
      </c>
      <c r="C5346" s="30" t="str">
        <f>VLOOKUP(B5346,gachas!A:C,3)</f>
        <v>超お得チケットガチャ&lt;ドライグin&gt;</v>
      </c>
      <c r="D5346" s="21">
        <v>10</v>
      </c>
      <c r="E5346" s="2">
        <v>0</v>
      </c>
      <c r="F5346" s="21">
        <v>1</v>
      </c>
      <c r="G5346" s="64" t="s">
        <v>736</v>
      </c>
      <c r="H5346" s="2">
        <v>1</v>
      </c>
      <c r="I5346" s="134" t="s">
        <v>1455</v>
      </c>
      <c r="J5346" s="112" t="s">
        <v>84</v>
      </c>
      <c r="K5346" s="6" t="str">
        <f t="shared" si="939"/>
        <v>7116100</v>
      </c>
      <c r="L5346" s="2">
        <v>1</v>
      </c>
      <c r="M5346" s="2" t="s">
        <v>84</v>
      </c>
      <c r="N5346" s="2" t="s">
        <v>84</v>
      </c>
      <c r="O5346" s="2" t="s">
        <v>841</v>
      </c>
      <c r="P5346" s="2" t="s">
        <v>84</v>
      </c>
    </row>
    <row r="5347" spans="1:16" ht="21" customHeight="1" x14ac:dyDescent="0.15">
      <c r="A5347" s="10" t="str">
        <f t="shared" ref="A5347" si="957">B5347&amp;"_"&amp;D5347&amp;"_"&amp;E5347&amp;"_"&amp;F5347&amp;"_"&amp;G5347</f>
        <v>7217_10_0_1_ticket_other</v>
      </c>
      <c r="B5347" s="2">
        <f t="shared" si="952"/>
        <v>7217</v>
      </c>
      <c r="C5347" s="30" t="str">
        <f>VLOOKUP(B5347,gachas!A:C,3)</f>
        <v>超お得チケットガチャ&lt;画家in&gt;</v>
      </c>
      <c r="D5347" s="21">
        <v>10</v>
      </c>
      <c r="E5347" s="2">
        <v>0</v>
      </c>
      <c r="F5347" s="21">
        <v>1</v>
      </c>
      <c r="G5347" s="64" t="s">
        <v>736</v>
      </c>
      <c r="H5347" s="2">
        <v>1</v>
      </c>
      <c r="I5347" s="131" t="s">
        <v>1532</v>
      </c>
      <c r="J5347" s="112" t="s">
        <v>84</v>
      </c>
      <c r="K5347" s="6" t="str">
        <f t="shared" si="939"/>
        <v>7117100</v>
      </c>
      <c r="L5347" s="2">
        <v>1</v>
      </c>
      <c r="M5347" s="2" t="s">
        <v>84</v>
      </c>
      <c r="N5347" s="2" t="s">
        <v>84</v>
      </c>
      <c r="O5347" s="2" t="s">
        <v>841</v>
      </c>
      <c r="P5347" s="2" t="s">
        <v>84</v>
      </c>
    </row>
    <row r="5348" spans="1:16" ht="21" customHeight="1" x14ac:dyDescent="0.15">
      <c r="A5348" s="10" t="str">
        <f t="shared" ref="A5348" si="958">B5348&amp;"_"&amp;D5348&amp;"_"&amp;E5348&amp;"_"&amp;F5348&amp;"_"&amp;G5348</f>
        <v>7218_10_0_1_ticket_other</v>
      </c>
      <c r="B5348" s="2">
        <f t="shared" si="952"/>
        <v>7218</v>
      </c>
      <c r="C5348" s="30" t="str">
        <f>VLOOKUP(B5348,gachas!A:C,3)</f>
        <v>超お得チケットガチャ&lt;三国志in&gt;</v>
      </c>
      <c r="D5348" s="21">
        <v>10</v>
      </c>
      <c r="E5348" s="2">
        <v>0</v>
      </c>
      <c r="F5348" s="21">
        <v>1</v>
      </c>
      <c r="G5348" s="64" t="s">
        <v>736</v>
      </c>
      <c r="H5348" s="2">
        <v>1</v>
      </c>
      <c r="I5348" s="132" t="s">
        <v>1688</v>
      </c>
      <c r="J5348" s="112" t="s">
        <v>84</v>
      </c>
      <c r="K5348" s="6" t="str">
        <f t="shared" si="939"/>
        <v>7118100</v>
      </c>
      <c r="L5348" s="2">
        <v>1</v>
      </c>
      <c r="M5348" s="2" t="s">
        <v>84</v>
      </c>
      <c r="N5348" s="2" t="s">
        <v>84</v>
      </c>
      <c r="O5348" s="2" t="s">
        <v>841</v>
      </c>
      <c r="P5348" s="2" t="s">
        <v>84</v>
      </c>
    </row>
    <row r="5349" spans="1:16" ht="21" customHeight="1" x14ac:dyDescent="0.15">
      <c r="A5349" s="10" t="str">
        <f t="shared" ref="A5349" si="959">B5349&amp;"_"&amp;D5349&amp;"_"&amp;E5349&amp;"_"&amp;F5349&amp;"_"&amp;G5349</f>
        <v>7219_10_0_1_ticket_other</v>
      </c>
      <c r="B5349" s="2">
        <f t="shared" si="952"/>
        <v>7219</v>
      </c>
      <c r="C5349" s="30" t="str">
        <f>VLOOKUP(B5349,gachas!A:C,3)</f>
        <v>超お得チケットガチャ&lt;インド第2弾in&gt;</v>
      </c>
      <c r="D5349" s="21">
        <v>10</v>
      </c>
      <c r="E5349" s="2">
        <v>0</v>
      </c>
      <c r="F5349" s="21">
        <v>1</v>
      </c>
      <c r="G5349" s="64" t="s">
        <v>736</v>
      </c>
      <c r="H5349" s="2">
        <v>1</v>
      </c>
      <c r="I5349" s="132" t="s">
        <v>1757</v>
      </c>
      <c r="J5349" s="112" t="s">
        <v>84</v>
      </c>
      <c r="K5349" s="6" t="str">
        <f t="shared" si="939"/>
        <v>7119100</v>
      </c>
      <c r="L5349" s="2">
        <v>1</v>
      </c>
      <c r="M5349" s="2" t="s">
        <v>84</v>
      </c>
      <c r="N5349" s="2" t="s">
        <v>84</v>
      </c>
      <c r="O5349" s="2" t="s">
        <v>841</v>
      </c>
      <c r="P5349" s="2" t="s">
        <v>84</v>
      </c>
    </row>
    <row r="5350" spans="1:16" ht="21" customHeight="1" x14ac:dyDescent="0.15">
      <c r="A5350" s="10" t="str">
        <f t="shared" ref="A5350" si="960">B5350&amp;"_"&amp;D5350&amp;"_"&amp;E5350&amp;"_"&amp;F5350&amp;"_"&amp;G5350</f>
        <v>7220_10_0_1_ticket_other</v>
      </c>
      <c r="B5350" s="2">
        <f t="shared" si="952"/>
        <v>7220</v>
      </c>
      <c r="C5350" s="30" t="str">
        <f>VLOOKUP(B5350,gachas!A:C,3)</f>
        <v>超お得チケットガチャ&lt;ギリシャ神話第2弾in&gt;</v>
      </c>
      <c r="D5350" s="21">
        <v>10</v>
      </c>
      <c r="E5350" s="2">
        <v>0</v>
      </c>
      <c r="F5350" s="21">
        <v>1</v>
      </c>
      <c r="G5350" s="64" t="s">
        <v>736</v>
      </c>
      <c r="H5350" s="2">
        <v>1</v>
      </c>
      <c r="I5350" s="132">
        <v>445100</v>
      </c>
      <c r="J5350" s="112" t="s">
        <v>84</v>
      </c>
      <c r="K5350" s="6" t="str">
        <f t="shared" si="939"/>
        <v>7120100</v>
      </c>
      <c r="L5350" s="2">
        <v>1</v>
      </c>
      <c r="M5350" s="2" t="s">
        <v>84</v>
      </c>
      <c r="N5350" s="2" t="s">
        <v>84</v>
      </c>
      <c r="O5350" s="2" t="s">
        <v>841</v>
      </c>
      <c r="P5350" s="2" t="s">
        <v>84</v>
      </c>
    </row>
    <row r="5351" spans="1:16" ht="21" customHeight="1" x14ac:dyDescent="0.15">
      <c r="A5351" s="10" t="str">
        <f t="shared" ref="A5351" si="961">B5351&amp;"_"&amp;D5351&amp;"_"&amp;E5351&amp;"_"&amp;F5351&amp;"_"&amp;G5351</f>
        <v>7221_10_0_1_ticket_other</v>
      </c>
      <c r="B5351" s="2">
        <f t="shared" si="952"/>
        <v>7221</v>
      </c>
      <c r="C5351" s="30" t="str">
        <f>VLOOKUP(B5351,gachas!A:C,3)</f>
        <v>超お得チケットガチャ&lt;文豪in&gt;</v>
      </c>
      <c r="D5351" s="21">
        <v>10</v>
      </c>
      <c r="E5351" s="2">
        <v>0</v>
      </c>
      <c r="F5351" s="21">
        <v>1</v>
      </c>
      <c r="G5351" s="64" t="s">
        <v>736</v>
      </c>
      <c r="H5351" s="2">
        <v>1</v>
      </c>
      <c r="I5351" s="132">
        <v>455100</v>
      </c>
      <c r="J5351" s="112" t="s">
        <v>84</v>
      </c>
      <c r="K5351" s="6" t="str">
        <f>K5325</f>
        <v>7125100</v>
      </c>
      <c r="L5351" s="2">
        <v>1</v>
      </c>
      <c r="M5351" s="2" t="s">
        <v>84</v>
      </c>
      <c r="N5351" s="2" t="s">
        <v>84</v>
      </c>
      <c r="O5351" s="2" t="s">
        <v>841</v>
      </c>
      <c r="P5351" s="2" t="s">
        <v>84</v>
      </c>
    </row>
    <row r="5352" spans="1:16" ht="21" customHeight="1" x14ac:dyDescent="0.15">
      <c r="A5352" s="10" t="str">
        <f t="shared" ref="A5352" si="962">B5352&amp;"_"&amp;D5352&amp;"_"&amp;E5352&amp;"_"&amp;F5352&amp;"_"&amp;G5352</f>
        <v>7222_10_0_1_ticket_other</v>
      </c>
      <c r="B5352" s="2">
        <f t="shared" si="952"/>
        <v>7222</v>
      </c>
      <c r="C5352" s="30" t="str">
        <f>VLOOKUP(B5352,gachas!A:C,3)</f>
        <v>超お得チケットガチャ&lt;戦国2in&gt;</v>
      </c>
      <c r="D5352" s="21">
        <v>10</v>
      </c>
      <c r="E5352" s="2">
        <v>0</v>
      </c>
      <c r="F5352" s="21">
        <v>1</v>
      </c>
      <c r="G5352" s="64" t="s">
        <v>736</v>
      </c>
      <c r="H5352" s="2">
        <v>1</v>
      </c>
      <c r="I5352" s="132">
        <v>494100</v>
      </c>
      <c r="J5352" s="112" t="s">
        <v>84</v>
      </c>
      <c r="K5352" s="6">
        <v>7222100</v>
      </c>
      <c r="L5352" s="2">
        <v>1</v>
      </c>
      <c r="M5352" s="2" t="s">
        <v>84</v>
      </c>
      <c r="N5352" s="2" t="s">
        <v>84</v>
      </c>
      <c r="O5352" s="2" t="s">
        <v>841</v>
      </c>
      <c r="P5352" s="2" t="s">
        <v>84</v>
      </c>
    </row>
    <row r="5353" spans="1:16" ht="21" customHeight="1" x14ac:dyDescent="0.15">
      <c r="A5353" s="10" t="str">
        <f t="shared" ref="A5353" si="963">B5353&amp;"_"&amp;D5353&amp;"_"&amp;E5353&amp;"_"&amp;F5353&amp;"_"&amp;G5353</f>
        <v>7223_10_0_1_ticket_other</v>
      </c>
      <c r="B5353" s="2">
        <f t="shared" si="952"/>
        <v>7223</v>
      </c>
      <c r="C5353" s="30" t="str">
        <f>VLOOKUP(B5353,gachas!A:C,3)</f>
        <v>超お得チケットガチャ&lt;北欧in&gt;</v>
      </c>
      <c r="D5353" s="21">
        <v>10</v>
      </c>
      <c r="E5353" s="2">
        <v>0</v>
      </c>
      <c r="F5353" s="21">
        <v>1</v>
      </c>
      <c r="G5353" s="64" t="s">
        <v>736</v>
      </c>
      <c r="H5353" s="2">
        <v>1</v>
      </c>
      <c r="I5353" s="132">
        <v>514100</v>
      </c>
      <c r="J5353" s="112" t="s">
        <v>84</v>
      </c>
      <c r="K5353" s="6">
        <v>7223100</v>
      </c>
      <c r="L5353" s="2">
        <v>1</v>
      </c>
      <c r="M5353" s="2" t="s">
        <v>84</v>
      </c>
      <c r="N5353" s="2" t="s">
        <v>84</v>
      </c>
      <c r="O5353" s="2" t="s">
        <v>841</v>
      </c>
      <c r="P5353" s="2" t="s">
        <v>84</v>
      </c>
    </row>
    <row r="5354" spans="1:16" ht="21" customHeight="1" x14ac:dyDescent="0.15">
      <c r="A5354" s="10" t="str">
        <f t="shared" ref="A5354" si="964">B5354&amp;"_"&amp;D5354&amp;"_"&amp;E5354&amp;"_"&amp;F5354&amp;"_"&amp;G5354</f>
        <v>7224_10_0_1_ticket_other</v>
      </c>
      <c r="B5354" s="2">
        <f t="shared" si="952"/>
        <v>7224</v>
      </c>
      <c r="C5354" s="30" t="str">
        <f>VLOOKUP(B5354,gachas!A:C,3)</f>
        <v>超お得チケットガチャ&lt;日本神話in&gt;</v>
      </c>
      <c r="D5354" s="21">
        <v>10</v>
      </c>
      <c r="E5354" s="2">
        <v>0</v>
      </c>
      <c r="F5354" s="21">
        <v>1</v>
      </c>
      <c r="G5354" s="64" t="s">
        <v>736</v>
      </c>
      <c r="H5354" s="2">
        <v>1</v>
      </c>
      <c r="I5354" s="132">
        <v>532100</v>
      </c>
      <c r="J5354" s="112" t="s">
        <v>84</v>
      </c>
      <c r="K5354" s="6">
        <v>7224100</v>
      </c>
      <c r="L5354" s="2">
        <v>1</v>
      </c>
      <c r="M5354" s="2" t="s">
        <v>84</v>
      </c>
      <c r="N5354" s="2" t="s">
        <v>84</v>
      </c>
      <c r="O5354" s="2" t="s">
        <v>841</v>
      </c>
      <c r="P5354" s="2" t="s">
        <v>84</v>
      </c>
    </row>
    <row r="5355" spans="1:16" ht="21" customHeight="1" x14ac:dyDescent="0.15">
      <c r="A5355" s="10" t="str">
        <f t="shared" ref="A5355:A5356" si="965">B5355&amp;"_"&amp;D5355&amp;"_"&amp;E5355&amp;"_"&amp;F5355&amp;"_"&amp;G5355</f>
        <v>7225_10_0_1_ticket_hanamiPack</v>
      </c>
      <c r="B5355" s="2">
        <f t="shared" si="952"/>
        <v>7225</v>
      </c>
      <c r="C5355" s="30" t="str">
        <f>VLOOKUP(B5355,gachas!A:C,3)</f>
        <v>お花見キャンペーン記念★6確定チャンスパック</v>
      </c>
      <c r="D5355" s="21">
        <v>10</v>
      </c>
      <c r="E5355" s="2">
        <v>0</v>
      </c>
      <c r="F5355" s="21">
        <v>1</v>
      </c>
      <c r="G5355" s="64" t="s">
        <v>2976</v>
      </c>
      <c r="H5355" s="2">
        <v>1</v>
      </c>
      <c r="I5355" s="132">
        <v>7225100</v>
      </c>
      <c r="J5355" s="112" t="s">
        <v>84</v>
      </c>
      <c r="K5355" s="18" t="s">
        <v>84</v>
      </c>
      <c r="L5355" s="2">
        <v>0</v>
      </c>
      <c r="M5355" s="2" t="s">
        <v>84</v>
      </c>
      <c r="N5355" s="2" t="s">
        <v>84</v>
      </c>
      <c r="O5355" s="2" t="s">
        <v>841</v>
      </c>
      <c r="P5355" s="2" t="s">
        <v>84</v>
      </c>
    </row>
    <row r="5356" spans="1:16" ht="21" customHeight="1" x14ac:dyDescent="0.15">
      <c r="A5356" s="10" t="str">
        <f t="shared" si="965"/>
        <v>7226_10_0_1_ticket_other</v>
      </c>
      <c r="B5356" s="2">
        <f t="shared" si="952"/>
        <v>7226</v>
      </c>
      <c r="C5356" s="30" t="str">
        <f>VLOOKUP(B5356,gachas!A:C,3)</f>
        <v>超お得チケットガチャ&lt;童話in&gt;</v>
      </c>
      <c r="D5356" s="21">
        <v>10</v>
      </c>
      <c r="E5356" s="2">
        <v>0</v>
      </c>
      <c r="F5356" s="21">
        <v>1</v>
      </c>
      <c r="G5356" s="64" t="s">
        <v>736</v>
      </c>
      <c r="H5356" s="2">
        <v>1</v>
      </c>
      <c r="I5356" s="132">
        <v>7226100</v>
      </c>
      <c r="J5356" s="112" t="s">
        <v>84</v>
      </c>
      <c r="K5356" s="18" t="s">
        <v>84</v>
      </c>
      <c r="L5356" s="2">
        <v>0</v>
      </c>
      <c r="M5356" s="2" t="s">
        <v>84</v>
      </c>
      <c r="N5356" s="2" t="s">
        <v>84</v>
      </c>
      <c r="O5356" s="2" t="s">
        <v>841</v>
      </c>
      <c r="P5356" s="2" t="s">
        <v>84</v>
      </c>
    </row>
    <row r="5357" spans="1:16" ht="21" customHeight="1" x14ac:dyDescent="0.15">
      <c r="A5357" s="10" t="str">
        <f t="shared" ref="A5357:A5358" si="966">B5357&amp;"_"&amp;D5357&amp;"_"&amp;E5357&amp;"_"&amp;F5357&amp;"_"&amp;G5357</f>
        <v>7300_1_0_1_ticket_suika</v>
      </c>
      <c r="B5357" s="2">
        <v>7300</v>
      </c>
      <c r="C5357" s="30" t="str">
        <f>VLOOKUP(B5357,gachas!A:C,3)</f>
        <v>スイカチケットガチャ</v>
      </c>
      <c r="D5357" s="21">
        <v>1</v>
      </c>
      <c r="E5357" s="2">
        <v>0</v>
      </c>
      <c r="F5357" s="21">
        <v>1</v>
      </c>
      <c r="G5357" s="64" t="s">
        <v>1235</v>
      </c>
      <c r="H5357" s="2">
        <v>1</v>
      </c>
      <c r="I5357" s="114" t="str">
        <f>B5357&amp;TEXT(D5357,"00")&amp;E5357</f>
        <v>7300010</v>
      </c>
      <c r="J5357" s="112" t="s">
        <v>84</v>
      </c>
      <c r="K5357" s="2" t="s">
        <v>1280</v>
      </c>
      <c r="L5357" s="2">
        <v>0</v>
      </c>
      <c r="M5357" s="2" t="s">
        <v>84</v>
      </c>
      <c r="N5357" s="2" t="s">
        <v>84</v>
      </c>
      <c r="O5357" s="2" t="s">
        <v>841</v>
      </c>
      <c r="P5357" s="2" t="s">
        <v>84</v>
      </c>
    </row>
    <row r="5358" spans="1:16" ht="21" customHeight="1" x14ac:dyDescent="0.15">
      <c r="A5358" s="10" t="str">
        <f t="shared" si="966"/>
        <v>7301_10_0_10_ticket_suika</v>
      </c>
      <c r="B5358" s="2">
        <f t="shared" si="941"/>
        <v>7301</v>
      </c>
      <c r="C5358" s="30" t="str">
        <f>VLOOKUP(B5358,gachas!A:C,3)</f>
        <v>スイカチケットガチャ10連</v>
      </c>
      <c r="D5358" s="21">
        <v>10</v>
      </c>
      <c r="E5358" s="2">
        <v>0</v>
      </c>
      <c r="F5358" s="21">
        <v>10</v>
      </c>
      <c r="G5358" s="64" t="s">
        <v>1235</v>
      </c>
      <c r="H5358" s="2">
        <v>10</v>
      </c>
      <c r="I5358" s="114" t="str">
        <f>B5358&amp;TEXT(D5358,"00")&amp;E5358</f>
        <v>7301100</v>
      </c>
      <c r="J5358" s="112" t="s">
        <v>84</v>
      </c>
      <c r="K5358" s="2" t="str">
        <f t="shared" ref="K5358" si="967">B5358&amp;TEXT(D5358,"00")&amp;E5358</f>
        <v>7301100</v>
      </c>
      <c r="L5358" s="2">
        <v>1</v>
      </c>
      <c r="M5358" s="2" t="s">
        <v>84</v>
      </c>
      <c r="N5358" s="2" t="s">
        <v>84</v>
      </c>
      <c r="O5358" s="2" t="s">
        <v>841</v>
      </c>
      <c r="P5358" s="2" t="s">
        <v>84</v>
      </c>
    </row>
    <row r="5359" spans="1:16" ht="21" customHeight="1" x14ac:dyDescent="0.15">
      <c r="A5359" s="10" t="str">
        <f t="shared" ref="A5359" si="968">B5359&amp;"_"&amp;D5359&amp;"_"&amp;E5359&amp;"_"&amp;F5359&amp;"_"&amp;G5359</f>
        <v>7302_1_0_1_ticket_hyperlimited_1609</v>
      </c>
      <c r="B5359" s="2">
        <f t="shared" si="941"/>
        <v>7302</v>
      </c>
      <c r="C5359" s="30" t="str">
        <f>VLOOKUP(B5359,gachas!A:C,3)</f>
        <v>超厳選チケットガチャ</v>
      </c>
      <c r="D5359" s="21">
        <v>1</v>
      </c>
      <c r="E5359" s="2">
        <v>0</v>
      </c>
      <c r="F5359" s="21">
        <v>1</v>
      </c>
      <c r="G5359" s="58" t="s">
        <v>1615</v>
      </c>
      <c r="H5359" s="2">
        <v>1</v>
      </c>
      <c r="I5359" s="114" t="str">
        <f>B5359&amp;TEXT(D5359,"00")&amp;E5359</f>
        <v>7302010</v>
      </c>
      <c r="J5359" s="112" t="s">
        <v>84</v>
      </c>
      <c r="K5359" s="2" t="s">
        <v>539</v>
      </c>
      <c r="L5359" s="2">
        <v>0</v>
      </c>
      <c r="M5359" s="2" t="s">
        <v>84</v>
      </c>
      <c r="N5359" s="2" t="s">
        <v>84</v>
      </c>
      <c r="O5359" s="2" t="s">
        <v>841</v>
      </c>
      <c r="P5359" s="2" t="s">
        <v>84</v>
      </c>
    </row>
    <row r="5360" spans="1:16" ht="21" customHeight="1" x14ac:dyDescent="0.15">
      <c r="A5360" s="10" t="str">
        <f t="shared" ref="A5360" si="969">B5360&amp;"_"&amp;D5360&amp;"_"&amp;E5360&amp;"_"&amp;F5360&amp;"_"&amp;G5360</f>
        <v>7303_1_0_1_ticket_fes_161013</v>
      </c>
      <c r="B5360" s="2">
        <f t="shared" si="941"/>
        <v>7303</v>
      </c>
      <c r="C5360" s="30" t="str">
        <f>VLOOKUP(B5360,gachas!A:C,3)</f>
        <v>★6覚醒可能ユニット確定ガチャ</v>
      </c>
      <c r="D5360" s="21">
        <v>1</v>
      </c>
      <c r="E5360" s="2">
        <v>0</v>
      </c>
      <c r="F5360" s="21">
        <v>1</v>
      </c>
      <c r="G5360" s="58" t="s">
        <v>1740</v>
      </c>
      <c r="H5360" s="2">
        <v>1</v>
      </c>
      <c r="I5360" s="114" t="str">
        <f>B5360&amp;TEXT(D5360,"00")&amp;E5360</f>
        <v>7303010</v>
      </c>
      <c r="J5360" s="112" t="s">
        <v>84</v>
      </c>
      <c r="K5360" s="2" t="s">
        <v>257</v>
      </c>
      <c r="L5360" s="2">
        <v>0</v>
      </c>
      <c r="M5360" s="2" t="s">
        <v>84</v>
      </c>
      <c r="N5360" s="2" t="s">
        <v>84</v>
      </c>
      <c r="O5360" s="2" t="s">
        <v>841</v>
      </c>
      <c r="P5360" s="2" t="s">
        <v>84</v>
      </c>
    </row>
    <row r="5361" spans="1:16" ht="21" customHeight="1" x14ac:dyDescent="0.15">
      <c r="A5361" s="10" t="str">
        <f t="shared" ref="A5361:A5362" si="970">B5361&amp;"_"&amp;D5361&amp;"_"&amp;E5361&amp;"_"&amp;F5361&amp;"_"&amp;G5361</f>
        <v>7304_1_0_1_ticket_okashi</v>
      </c>
      <c r="B5361" s="2">
        <f t="shared" si="941"/>
        <v>7304</v>
      </c>
      <c r="C5361" s="30" t="str">
        <f>VLOOKUP(B5361,gachas!A:C,3)</f>
        <v>お菓子チケットガチャ</v>
      </c>
      <c r="D5361" s="21">
        <v>1</v>
      </c>
      <c r="E5361" s="2">
        <v>0</v>
      </c>
      <c r="F5361" s="21">
        <v>1</v>
      </c>
      <c r="G5361" s="58" t="s">
        <v>1815</v>
      </c>
      <c r="H5361" s="2">
        <v>3</v>
      </c>
      <c r="I5361" s="114" t="str">
        <f t="shared" ref="I5361:I5362" si="971">B5361&amp;TEXT(D5361,"00")&amp;E5361</f>
        <v>7304010</v>
      </c>
      <c r="J5361" s="112" t="s">
        <v>84</v>
      </c>
      <c r="K5361" s="2" t="s">
        <v>257</v>
      </c>
      <c r="L5361" s="2">
        <v>0</v>
      </c>
      <c r="M5361" s="2" t="s">
        <v>84</v>
      </c>
      <c r="N5361" s="2" t="s">
        <v>84</v>
      </c>
      <c r="O5361" s="2" t="s">
        <v>841</v>
      </c>
      <c r="P5361" s="2" t="s">
        <v>84</v>
      </c>
    </row>
    <row r="5362" spans="1:16" ht="21" customHeight="1" x14ac:dyDescent="0.15">
      <c r="A5362" s="10" t="str">
        <f t="shared" si="970"/>
        <v>7305_10_0_10_ticket_okashi</v>
      </c>
      <c r="B5362" s="2">
        <f t="shared" si="941"/>
        <v>7305</v>
      </c>
      <c r="C5362" s="30" t="str">
        <f>VLOOKUP(B5362,gachas!A:C,3)</f>
        <v>お菓子チケットガチャ10連</v>
      </c>
      <c r="D5362" s="21">
        <v>10</v>
      </c>
      <c r="E5362" s="2">
        <v>0</v>
      </c>
      <c r="F5362" s="21">
        <v>10</v>
      </c>
      <c r="G5362" s="58" t="s">
        <v>1815</v>
      </c>
      <c r="H5362" s="2">
        <v>30</v>
      </c>
      <c r="I5362" s="114" t="str">
        <f t="shared" si="971"/>
        <v>7305100</v>
      </c>
      <c r="J5362" s="112" t="s">
        <v>84</v>
      </c>
      <c r="K5362" s="2" t="s">
        <v>257</v>
      </c>
      <c r="L5362" s="2">
        <v>0</v>
      </c>
      <c r="M5362" s="2" t="s">
        <v>84</v>
      </c>
      <c r="N5362" s="2" t="s">
        <v>84</v>
      </c>
      <c r="O5362" s="2" t="s">
        <v>841</v>
      </c>
      <c r="P5362" s="2" t="s">
        <v>84</v>
      </c>
    </row>
    <row r="5363" spans="1:16" ht="21" customHeight="1" x14ac:dyDescent="0.15">
      <c r="A5363" s="10" t="str">
        <f t="shared" ref="A5363" si="972">B5363&amp;"_"&amp;D5363&amp;"_"&amp;E5363&amp;"_"&amp;F5363&amp;"_"&amp;G5363</f>
        <v>7306_1_0_1_ticket_fes_161013</v>
      </c>
      <c r="B5363" s="2">
        <f t="shared" si="941"/>
        <v>7306</v>
      </c>
      <c r="C5363" s="30" t="str">
        <f>VLOOKUP(B5363,gachas!A:C,3)</f>
        <v>★6覚醒可能ユニット確定ガチャ</v>
      </c>
      <c r="D5363" s="21">
        <v>1</v>
      </c>
      <c r="E5363" s="2">
        <v>0</v>
      </c>
      <c r="F5363" s="21">
        <v>1</v>
      </c>
      <c r="G5363" s="58" t="s">
        <v>1740</v>
      </c>
      <c r="H5363" s="2">
        <v>1</v>
      </c>
      <c r="I5363" s="114" t="str">
        <f t="shared" ref="I5363" si="973">B5363&amp;TEXT(D5363,"00")&amp;E5363</f>
        <v>7306010</v>
      </c>
      <c r="J5363" s="112" t="s">
        <v>84</v>
      </c>
      <c r="K5363" s="2" t="s">
        <v>84</v>
      </c>
      <c r="L5363" s="2">
        <v>0</v>
      </c>
      <c r="M5363" s="2" t="s">
        <v>84</v>
      </c>
      <c r="N5363" s="2" t="s">
        <v>84</v>
      </c>
      <c r="O5363" s="2" t="s">
        <v>841</v>
      </c>
      <c r="P5363" s="2" t="s">
        <v>84</v>
      </c>
    </row>
    <row r="5364" spans="1:16" ht="21" customHeight="1" x14ac:dyDescent="0.15">
      <c r="A5364" s="10" t="str">
        <f t="shared" ref="A5364" si="974">B5364&amp;"_"&amp;D5364&amp;"_"&amp;E5364&amp;"_"&amp;F5364&amp;"_"&amp;G5364</f>
        <v>7307_1_0_1_ticket_comeback</v>
      </c>
      <c r="B5364" s="2">
        <f t="shared" si="941"/>
        <v>7307</v>
      </c>
      <c r="C5364" s="30" t="str">
        <f>VLOOKUP(B5364,gachas!A:C,3)</f>
        <v>カムバックチケットガチャ</v>
      </c>
      <c r="D5364" s="21">
        <v>1</v>
      </c>
      <c r="E5364" s="2">
        <v>0</v>
      </c>
      <c r="F5364" s="21">
        <v>1</v>
      </c>
      <c r="G5364" s="58" t="s">
        <v>2048</v>
      </c>
      <c r="H5364" s="2">
        <v>1</v>
      </c>
      <c r="I5364" s="114" t="str">
        <f t="shared" ref="I5364:I5365" si="975">B5364&amp;TEXT(D5364,"00")&amp;E5364</f>
        <v>7307010</v>
      </c>
      <c r="J5364" s="112" t="s">
        <v>84</v>
      </c>
      <c r="K5364" s="2" t="s">
        <v>84</v>
      </c>
      <c r="L5364" s="2">
        <v>0</v>
      </c>
      <c r="M5364" s="2" t="s">
        <v>84</v>
      </c>
      <c r="N5364" s="2" t="s">
        <v>84</v>
      </c>
      <c r="O5364" s="2" t="s">
        <v>841</v>
      </c>
      <c r="P5364" s="2" t="s">
        <v>84</v>
      </c>
    </row>
    <row r="5365" spans="1:16" ht="21" customHeight="1" x14ac:dyDescent="0.15">
      <c r="A5365" s="10" t="str">
        <f t="shared" ref="A5365:A5366" si="976">B5365&amp;"_"&amp;D5365&amp;"_"&amp;E5365&amp;"_"&amp;F5365&amp;"_"&amp;G5365</f>
        <v>7308_1_0_1_ticket_winter</v>
      </c>
      <c r="B5365" s="2">
        <f t="shared" si="941"/>
        <v>7308</v>
      </c>
      <c r="C5365" s="30" t="str">
        <f>VLOOKUP(B5365,gachas!A:C,3)</f>
        <v>ウィンターチケットガチャ</v>
      </c>
      <c r="D5365" s="21">
        <v>1</v>
      </c>
      <c r="E5365" s="2">
        <v>0</v>
      </c>
      <c r="F5365" s="21">
        <v>1</v>
      </c>
      <c r="G5365" s="58" t="s">
        <v>2285</v>
      </c>
      <c r="H5365" s="2">
        <v>3</v>
      </c>
      <c r="I5365" s="114" t="str">
        <f t="shared" si="975"/>
        <v>7308010</v>
      </c>
      <c r="J5365" s="112" t="s">
        <v>84</v>
      </c>
      <c r="K5365" s="2" t="s">
        <v>257</v>
      </c>
      <c r="L5365" s="2">
        <v>0</v>
      </c>
      <c r="M5365" s="2" t="s">
        <v>84</v>
      </c>
      <c r="N5365" s="2" t="s">
        <v>84</v>
      </c>
      <c r="O5365" s="2" t="s">
        <v>841</v>
      </c>
      <c r="P5365" s="2" t="s">
        <v>84</v>
      </c>
    </row>
    <row r="5366" spans="1:16" ht="21" customHeight="1" x14ac:dyDescent="0.15">
      <c r="A5366" s="10" t="str">
        <f t="shared" si="976"/>
        <v>7309_10_0_10_ticket_winter</v>
      </c>
      <c r="B5366" s="2">
        <f t="shared" si="941"/>
        <v>7309</v>
      </c>
      <c r="C5366" s="30" t="str">
        <f>VLOOKUP(B5366,gachas!A:C,3)</f>
        <v>ウィンターチケットガチャ10連</v>
      </c>
      <c r="D5366" s="21">
        <v>10</v>
      </c>
      <c r="E5366" s="2">
        <v>0</v>
      </c>
      <c r="F5366" s="21">
        <v>10</v>
      </c>
      <c r="G5366" s="58" t="s">
        <v>2285</v>
      </c>
      <c r="H5366" s="2">
        <v>30</v>
      </c>
      <c r="I5366" s="114">
        <v>7308010</v>
      </c>
      <c r="J5366" s="112" t="s">
        <v>84</v>
      </c>
      <c r="K5366" s="2">
        <v>7308</v>
      </c>
      <c r="L5366" s="2">
        <v>1</v>
      </c>
      <c r="M5366" s="2" t="s">
        <v>84</v>
      </c>
      <c r="N5366" s="2" t="s">
        <v>84</v>
      </c>
      <c r="O5366" s="2" t="s">
        <v>841</v>
      </c>
      <c r="P5366" s="2" t="s">
        <v>84</v>
      </c>
    </row>
    <row r="5367" spans="1:16" ht="21" customHeight="1" x14ac:dyDescent="0.15">
      <c r="A5367" s="10" t="str">
        <f t="shared" ref="A5367" si="977">B5367&amp;"_"&amp;D5367&amp;"_"&amp;E5367&amp;"_"&amp;F5367&amp;"_"&amp;G5367</f>
        <v>7310_1_0_1_ticket_fes_161013</v>
      </c>
      <c r="B5367" s="2">
        <f t="shared" si="941"/>
        <v>7310</v>
      </c>
      <c r="C5367" s="30" t="str">
        <f>VLOOKUP(B5367,gachas!A:C,3)</f>
        <v>★6覚醒可能ユニット確定ガチャ</v>
      </c>
      <c r="D5367" s="21">
        <v>1</v>
      </c>
      <c r="E5367" s="2">
        <v>0</v>
      </c>
      <c r="F5367" s="21">
        <v>1</v>
      </c>
      <c r="G5367" s="58" t="s">
        <v>1740</v>
      </c>
      <c r="H5367" s="2">
        <v>1</v>
      </c>
      <c r="I5367" s="112">
        <v>483100</v>
      </c>
      <c r="J5367" s="112" t="s">
        <v>84</v>
      </c>
      <c r="K5367" s="112">
        <v>483105</v>
      </c>
      <c r="L5367" s="2">
        <v>1</v>
      </c>
      <c r="M5367" s="2" t="s">
        <v>84</v>
      </c>
      <c r="N5367" s="2" t="s">
        <v>84</v>
      </c>
      <c r="O5367" s="2" t="s">
        <v>841</v>
      </c>
      <c r="P5367" s="2" t="s">
        <v>84</v>
      </c>
    </row>
    <row r="5368" spans="1:16" ht="21" customHeight="1" x14ac:dyDescent="0.15">
      <c r="A5368" s="10" t="str">
        <f t="shared" ref="A5368" si="978">B5368&amp;"_"&amp;D5368&amp;"_"&amp;E5368&amp;"_"&amp;F5368&amp;"_"&amp;G5368</f>
        <v>7311_1_0_1_ticket_fes_161013</v>
      </c>
      <c r="B5368" s="2">
        <f t="shared" si="941"/>
        <v>7311</v>
      </c>
      <c r="C5368" s="30" t="str">
        <f>VLOOKUP(B5368,gachas!A:C,3)</f>
        <v>★6覚醒可能ユニット確定ガチャ</v>
      </c>
      <c r="D5368" s="21">
        <v>1</v>
      </c>
      <c r="E5368" s="2">
        <v>0</v>
      </c>
      <c r="F5368" s="21">
        <v>1</v>
      </c>
      <c r="G5368" s="58" t="s">
        <v>1740</v>
      </c>
      <c r="H5368" s="2">
        <v>1</v>
      </c>
      <c r="I5368" s="112">
        <v>7311010</v>
      </c>
      <c r="J5368" s="112" t="s">
        <v>84</v>
      </c>
      <c r="K5368" s="112" t="s">
        <v>2520</v>
      </c>
      <c r="L5368" s="2">
        <v>0</v>
      </c>
      <c r="M5368" s="2" t="s">
        <v>84</v>
      </c>
      <c r="N5368" s="2" t="s">
        <v>84</v>
      </c>
      <c r="O5368" s="2" t="s">
        <v>841</v>
      </c>
      <c r="P5368" s="2" t="s">
        <v>84</v>
      </c>
    </row>
    <row r="5369" spans="1:16" ht="21" customHeight="1" x14ac:dyDescent="0.15">
      <c r="A5369" s="10" t="str">
        <f t="shared" ref="A5369:A5370" si="979">B5369&amp;"_"&amp;D5369&amp;"_"&amp;E5369&amp;"_"&amp;F5369&amp;"_"&amp;G5369</f>
        <v>7312_1_0_1_ticket_fes_161013</v>
      </c>
      <c r="B5369" s="2">
        <f t="shared" si="941"/>
        <v>7312</v>
      </c>
      <c r="C5369" s="30" t="str">
        <f>VLOOKUP(B5369,gachas!A:C,3)</f>
        <v>★6覚醒可能ユニット確定ガチャ</v>
      </c>
      <c r="D5369" s="21">
        <v>1</v>
      </c>
      <c r="E5369" s="2">
        <v>0</v>
      </c>
      <c r="F5369" s="21">
        <v>1</v>
      </c>
      <c r="G5369" s="58" t="s">
        <v>1740</v>
      </c>
      <c r="H5369" s="2">
        <v>1</v>
      </c>
      <c r="I5369" s="112">
        <v>7312010</v>
      </c>
      <c r="J5369" s="112" t="s">
        <v>84</v>
      </c>
      <c r="K5369" s="112" t="s">
        <v>2520</v>
      </c>
      <c r="L5369" s="2">
        <v>0</v>
      </c>
      <c r="M5369" s="2" t="s">
        <v>84</v>
      </c>
      <c r="N5369" s="2" t="s">
        <v>84</v>
      </c>
      <c r="O5369" s="2" t="s">
        <v>841</v>
      </c>
      <c r="P5369" s="2" t="s">
        <v>84</v>
      </c>
    </row>
    <row r="5370" spans="1:16" ht="21" customHeight="1" x14ac:dyDescent="0.15">
      <c r="A5370" s="10" t="str">
        <f t="shared" si="979"/>
        <v>7313_1_0_1_30day_sp_ticket</v>
      </c>
      <c r="B5370" s="2">
        <f t="shared" si="941"/>
        <v>7313</v>
      </c>
      <c r="C5370" s="30" t="str">
        <f>VLOOKUP(B5370,gachas!A:C,3)</f>
        <v>30日達成スペシャルチケットガチャ(赤)</v>
      </c>
      <c r="D5370" s="21">
        <v>1</v>
      </c>
      <c r="E5370" s="2">
        <v>0</v>
      </c>
      <c r="F5370" s="21">
        <v>1</v>
      </c>
      <c r="G5370" s="58" t="s">
        <v>2716</v>
      </c>
      <c r="H5370" s="2">
        <v>1</v>
      </c>
      <c r="I5370" s="112">
        <v>7313010</v>
      </c>
      <c r="J5370" s="112" t="s">
        <v>84</v>
      </c>
      <c r="K5370" s="112" t="s">
        <v>85</v>
      </c>
      <c r="L5370" s="2">
        <v>0</v>
      </c>
      <c r="M5370" s="2" t="s">
        <v>84</v>
      </c>
      <c r="N5370" s="2" t="s">
        <v>84</v>
      </c>
      <c r="O5370" s="2" t="s">
        <v>841</v>
      </c>
      <c r="P5370" s="2" t="s">
        <v>84</v>
      </c>
    </row>
    <row r="5371" spans="1:16" ht="21" customHeight="1" x14ac:dyDescent="0.15">
      <c r="A5371" s="10" t="str">
        <f t="shared" ref="A5371:A5373" si="980">B5371&amp;"_"&amp;D5371&amp;"_"&amp;E5371&amp;"_"&amp;F5371&amp;"_"&amp;G5371</f>
        <v>7314_1_0_1_30day_sp_ticket</v>
      </c>
      <c r="B5371" s="2">
        <f t="shared" si="941"/>
        <v>7314</v>
      </c>
      <c r="C5371" s="30" t="str">
        <f>VLOOKUP(B5371,gachas!A:C,3)</f>
        <v>30日達成スペシャルチケットガチャ(青)</v>
      </c>
      <c r="D5371" s="21">
        <v>1</v>
      </c>
      <c r="E5371" s="2">
        <v>0</v>
      </c>
      <c r="F5371" s="21">
        <v>1</v>
      </c>
      <c r="G5371" s="58" t="s">
        <v>2716</v>
      </c>
      <c r="H5371" s="2">
        <v>1</v>
      </c>
      <c r="I5371" s="112">
        <v>7314010</v>
      </c>
      <c r="J5371" s="112" t="s">
        <v>84</v>
      </c>
      <c r="K5371" s="112" t="s">
        <v>85</v>
      </c>
      <c r="L5371" s="2">
        <v>0</v>
      </c>
      <c r="M5371" s="2" t="s">
        <v>84</v>
      </c>
      <c r="N5371" s="2" t="s">
        <v>84</v>
      </c>
      <c r="O5371" s="2" t="s">
        <v>841</v>
      </c>
      <c r="P5371" s="2" t="s">
        <v>84</v>
      </c>
    </row>
    <row r="5372" spans="1:16" ht="21" customHeight="1" x14ac:dyDescent="0.15">
      <c r="A5372" s="10" t="str">
        <f t="shared" si="980"/>
        <v>7315_1_0_1_30day_sp_ticket</v>
      </c>
      <c r="B5372" s="2">
        <f t="shared" si="941"/>
        <v>7315</v>
      </c>
      <c r="C5372" s="30" t="str">
        <f>VLOOKUP(B5372,gachas!A:C,3)</f>
        <v>30日達成スペシャルチケットガチャ(緑)</v>
      </c>
      <c r="D5372" s="21">
        <v>1</v>
      </c>
      <c r="E5372" s="2">
        <v>0</v>
      </c>
      <c r="F5372" s="21">
        <v>1</v>
      </c>
      <c r="G5372" s="58" t="s">
        <v>2716</v>
      </c>
      <c r="H5372" s="2">
        <v>1</v>
      </c>
      <c r="I5372" s="112">
        <v>7315010</v>
      </c>
      <c r="J5372" s="112" t="s">
        <v>84</v>
      </c>
      <c r="K5372" s="112" t="s">
        <v>85</v>
      </c>
      <c r="L5372" s="2">
        <v>0</v>
      </c>
      <c r="M5372" s="2" t="s">
        <v>84</v>
      </c>
      <c r="N5372" s="2" t="s">
        <v>84</v>
      </c>
      <c r="O5372" s="2" t="s">
        <v>841</v>
      </c>
      <c r="P5372" s="2" t="s">
        <v>84</v>
      </c>
    </row>
    <row r="5373" spans="1:16" ht="21" customHeight="1" x14ac:dyDescent="0.15">
      <c r="A5373" s="10" t="str">
        <f t="shared" si="980"/>
        <v>7316_1_0_1_30day_sp_ticket</v>
      </c>
      <c r="B5373" s="2">
        <f t="shared" si="941"/>
        <v>7316</v>
      </c>
      <c r="C5373" s="30" t="str">
        <f>VLOOKUP(B5373,gachas!A:C,3)</f>
        <v>30日達成スペシャルチケットガチャ(黄)</v>
      </c>
      <c r="D5373" s="21">
        <v>1</v>
      </c>
      <c r="E5373" s="2">
        <v>0</v>
      </c>
      <c r="F5373" s="21">
        <v>1</v>
      </c>
      <c r="G5373" s="58" t="s">
        <v>2716</v>
      </c>
      <c r="H5373" s="2">
        <v>1</v>
      </c>
      <c r="I5373" s="112">
        <v>7316010</v>
      </c>
      <c r="J5373" s="112" t="s">
        <v>84</v>
      </c>
      <c r="K5373" s="112" t="s">
        <v>85</v>
      </c>
      <c r="L5373" s="2">
        <v>0</v>
      </c>
      <c r="M5373" s="2" t="s">
        <v>84</v>
      </c>
      <c r="N5373" s="2" t="s">
        <v>84</v>
      </c>
      <c r="O5373" s="2" t="s">
        <v>841</v>
      </c>
      <c r="P5373" s="2" t="s">
        <v>84</v>
      </c>
    </row>
    <row r="5374" spans="1:16" ht="21" customHeight="1" x14ac:dyDescent="0.15">
      <c r="A5374" s="10" t="str">
        <f t="shared" ref="A5374:A5375" si="981">B5374&amp;"_"&amp;D5374&amp;"_"&amp;E5374&amp;"_"&amp;F5374&amp;"_"&amp;G5374</f>
        <v>7317_1_0_1_ticket_whiteday</v>
      </c>
      <c r="B5374" s="2">
        <f t="shared" si="941"/>
        <v>7317</v>
      </c>
      <c r="C5374" s="30" t="str">
        <f>VLOOKUP(B5374,gachas!A:C,3)</f>
        <v>ホワイトデーチケットガチャ</v>
      </c>
      <c r="D5374" s="21">
        <v>1</v>
      </c>
      <c r="E5374" s="2">
        <v>0</v>
      </c>
      <c r="F5374" s="21">
        <v>1</v>
      </c>
      <c r="G5374" s="58" t="s">
        <v>2782</v>
      </c>
      <c r="H5374" s="2">
        <v>3</v>
      </c>
      <c r="I5374" s="112">
        <v>7317010</v>
      </c>
      <c r="J5374" s="112" t="s">
        <v>84</v>
      </c>
      <c r="K5374" s="112" t="s">
        <v>85</v>
      </c>
      <c r="L5374" s="2">
        <v>0</v>
      </c>
      <c r="M5374" s="2" t="s">
        <v>84</v>
      </c>
      <c r="N5374" s="2" t="s">
        <v>84</v>
      </c>
      <c r="O5374" s="2" t="s">
        <v>841</v>
      </c>
      <c r="P5374" s="2" t="s">
        <v>84</v>
      </c>
    </row>
    <row r="5375" spans="1:16" ht="21" customHeight="1" x14ac:dyDescent="0.15">
      <c r="A5375" s="10" t="str">
        <f t="shared" si="981"/>
        <v>7318_10_0_10_ticket_whiteday</v>
      </c>
      <c r="B5375" s="2">
        <f t="shared" si="941"/>
        <v>7318</v>
      </c>
      <c r="C5375" s="30" t="str">
        <f>VLOOKUP(B5375,gachas!A:C,3)</f>
        <v>ホワイトデーチケットガチャ10連</v>
      </c>
      <c r="D5375" s="21">
        <v>10</v>
      </c>
      <c r="E5375" s="2">
        <v>0</v>
      </c>
      <c r="F5375" s="21">
        <v>10</v>
      </c>
      <c r="G5375" s="58" t="s">
        <v>2782</v>
      </c>
      <c r="H5375" s="2">
        <v>30</v>
      </c>
      <c r="I5375" s="112">
        <v>7318010</v>
      </c>
      <c r="J5375" s="112" t="s">
        <v>84</v>
      </c>
      <c r="K5375" s="112">
        <v>7318010</v>
      </c>
      <c r="L5375" s="2">
        <v>1</v>
      </c>
      <c r="M5375" s="2" t="s">
        <v>84</v>
      </c>
      <c r="N5375" s="2" t="s">
        <v>84</v>
      </c>
      <c r="O5375" s="2" t="s">
        <v>841</v>
      </c>
      <c r="P5375" s="2" t="s">
        <v>84</v>
      </c>
    </row>
    <row r="5376" spans="1:16" ht="21" customHeight="1" x14ac:dyDescent="0.15">
      <c r="A5376" s="10" t="str">
        <f t="shared" ref="A5376:A5377" si="982">B5376&amp;"_"&amp;D5376&amp;"_"&amp;E5376&amp;"_"&amp;F5376&amp;"_"&amp;G5376</f>
        <v>7319_1_0_1_ticket_nyanko</v>
      </c>
      <c r="B5376" s="2">
        <f t="shared" si="941"/>
        <v>7319</v>
      </c>
      <c r="C5376" s="30" t="str">
        <f>VLOOKUP(B5376,gachas!A:C,3)</f>
        <v>にゃんこワクワクチケットガチャ</v>
      </c>
      <c r="D5376" s="21">
        <v>1</v>
      </c>
      <c r="E5376" s="2">
        <v>0</v>
      </c>
      <c r="F5376" s="21">
        <v>1</v>
      </c>
      <c r="G5376" s="58" t="s">
        <v>2866</v>
      </c>
      <c r="H5376" s="2">
        <v>1</v>
      </c>
      <c r="I5376" s="112">
        <v>7319010</v>
      </c>
      <c r="J5376" s="112" t="s">
        <v>84</v>
      </c>
      <c r="K5376" s="112" t="s">
        <v>85</v>
      </c>
      <c r="L5376" s="2">
        <v>0</v>
      </c>
      <c r="M5376" s="2" t="s">
        <v>84</v>
      </c>
      <c r="N5376" s="2" t="s">
        <v>84</v>
      </c>
      <c r="O5376" s="2" t="s">
        <v>841</v>
      </c>
      <c r="P5376" s="2" t="s">
        <v>84</v>
      </c>
    </row>
    <row r="5377" spans="1:17" ht="21" customHeight="1" x14ac:dyDescent="0.15">
      <c r="A5377" s="10" t="str">
        <f t="shared" si="982"/>
        <v>7320_10_0_10_ticket_nyanko</v>
      </c>
      <c r="B5377" s="2">
        <f t="shared" si="941"/>
        <v>7320</v>
      </c>
      <c r="C5377" s="30" t="str">
        <f>VLOOKUP(B5377,gachas!A:C,3)</f>
        <v>にゃんこワクワクチケットガチャ10連</v>
      </c>
      <c r="D5377" s="21">
        <v>10</v>
      </c>
      <c r="E5377" s="2">
        <v>0</v>
      </c>
      <c r="F5377" s="21">
        <v>10</v>
      </c>
      <c r="G5377" s="58" t="s">
        <v>2866</v>
      </c>
      <c r="H5377" s="2">
        <v>10</v>
      </c>
      <c r="I5377" s="112">
        <v>7320010</v>
      </c>
      <c r="J5377" s="112" t="s">
        <v>84</v>
      </c>
      <c r="K5377" s="112" t="s">
        <v>85</v>
      </c>
      <c r="L5377" s="2">
        <v>0</v>
      </c>
      <c r="M5377" s="2" t="s">
        <v>84</v>
      </c>
      <c r="N5377" s="2" t="s">
        <v>84</v>
      </c>
      <c r="O5377" s="2" t="s">
        <v>841</v>
      </c>
      <c r="P5377" s="2" t="s">
        <v>84</v>
      </c>
    </row>
    <row r="5378" spans="1:17" ht="21" customHeight="1" x14ac:dyDescent="0.15">
      <c r="A5378" s="10" t="str">
        <f t="shared" ref="A5378:A5379" si="983">B5378&amp;"_"&amp;D5378&amp;"_"&amp;E5378&amp;"_"&amp;F5378&amp;"_"&amp;G5378</f>
        <v>7321_1_0_1_ticket_sakura</v>
      </c>
      <c r="B5378" s="2">
        <f t="shared" si="941"/>
        <v>7321</v>
      </c>
      <c r="C5378" s="30" t="str">
        <f>VLOOKUP(B5378,gachas!A:C,3)</f>
        <v>桜の花びら交換所 1枚</v>
      </c>
      <c r="D5378" s="21">
        <v>1</v>
      </c>
      <c r="E5378" s="2">
        <v>0</v>
      </c>
      <c r="F5378" s="21">
        <v>1</v>
      </c>
      <c r="G5378" s="58" t="s">
        <v>2949</v>
      </c>
      <c r="H5378" s="2">
        <v>1</v>
      </c>
      <c r="I5378" s="112">
        <v>7321010</v>
      </c>
      <c r="J5378" s="112" t="s">
        <v>84</v>
      </c>
      <c r="K5378" s="112" t="s">
        <v>84</v>
      </c>
      <c r="L5378" s="2">
        <v>0</v>
      </c>
      <c r="M5378" s="2" t="s">
        <v>84</v>
      </c>
      <c r="N5378" s="2" t="s">
        <v>84</v>
      </c>
      <c r="O5378" s="2" t="s">
        <v>841</v>
      </c>
      <c r="P5378" s="2" t="s">
        <v>84</v>
      </c>
    </row>
    <row r="5379" spans="1:17" ht="21" customHeight="1" x14ac:dyDescent="0.15">
      <c r="A5379" s="10" t="str">
        <f t="shared" si="983"/>
        <v>7322_10_0_10_ticket_sakura</v>
      </c>
      <c r="B5379" s="2">
        <f t="shared" si="941"/>
        <v>7322</v>
      </c>
      <c r="C5379" s="30" t="str">
        <f>VLOOKUP(B5379,gachas!A:C,3)</f>
        <v>桜の花びら交換所 10枚</v>
      </c>
      <c r="D5379" s="21">
        <v>10</v>
      </c>
      <c r="E5379" s="2">
        <v>0</v>
      </c>
      <c r="F5379" s="21">
        <v>10</v>
      </c>
      <c r="G5379" s="58" t="s">
        <v>2949</v>
      </c>
      <c r="H5379" s="2">
        <v>10</v>
      </c>
      <c r="I5379" s="112">
        <v>7321010</v>
      </c>
      <c r="J5379" s="112" t="s">
        <v>84</v>
      </c>
      <c r="K5379" s="112">
        <v>7322010</v>
      </c>
      <c r="L5379" s="2">
        <v>1</v>
      </c>
      <c r="M5379" s="2" t="s">
        <v>84</v>
      </c>
      <c r="N5379" s="2" t="s">
        <v>84</v>
      </c>
      <c r="O5379" s="2" t="s">
        <v>841</v>
      </c>
      <c r="P5379" s="2" t="s">
        <v>84</v>
      </c>
    </row>
    <row r="5380" spans="1:17" ht="21" customHeight="1" x14ac:dyDescent="0.15">
      <c r="A5380" s="10" t="str">
        <f t="shared" ref="A5380:A5382" si="984">B5380&amp;"_"&amp;D5380&amp;"_"&amp;E5380&amp;"_"&amp;F5380&amp;"_"&amp;G5380</f>
        <v>7323_1_0_1_ticket_piece_happy</v>
      </c>
      <c r="B5380" s="2">
        <f t="shared" si="941"/>
        <v>7323</v>
      </c>
      <c r="C5380" s="30" t="str">
        <f>VLOOKUP(B5380,gachas!A:C,3)</f>
        <v>ハッピーチケットピースガチャ_レベル1</v>
      </c>
      <c r="D5380" s="21">
        <v>1</v>
      </c>
      <c r="E5380" s="2">
        <v>0</v>
      </c>
      <c r="F5380" s="21">
        <v>1</v>
      </c>
      <c r="G5380" s="58" t="s">
        <v>3141</v>
      </c>
      <c r="H5380" s="2">
        <v>3</v>
      </c>
      <c r="I5380" s="119">
        <v>532010</v>
      </c>
      <c r="J5380" s="112" t="s">
        <v>84</v>
      </c>
      <c r="K5380" s="112" t="s">
        <v>84</v>
      </c>
      <c r="L5380" s="2">
        <v>0</v>
      </c>
      <c r="M5380" s="2" t="s">
        <v>84</v>
      </c>
      <c r="N5380" s="2" t="s">
        <v>84</v>
      </c>
      <c r="O5380" s="2" t="s">
        <v>841</v>
      </c>
      <c r="P5380" s="2" t="s">
        <v>84</v>
      </c>
    </row>
    <row r="5381" spans="1:17" ht="21" customHeight="1" x14ac:dyDescent="0.15">
      <c r="A5381" s="10" t="str">
        <f t="shared" si="984"/>
        <v>7324_1_0_1_ticket_piece_happy</v>
      </c>
      <c r="B5381" s="2">
        <f t="shared" si="941"/>
        <v>7324</v>
      </c>
      <c r="C5381" s="30" t="str">
        <f>VLOOKUP(B5381,gachas!A:C,3)</f>
        <v>ハッピーチケットピースガチャ_レベル2</v>
      </c>
      <c r="D5381" s="21">
        <v>1</v>
      </c>
      <c r="E5381" s="2">
        <v>0</v>
      </c>
      <c r="F5381" s="21">
        <v>1</v>
      </c>
      <c r="G5381" s="58" t="s">
        <v>3141</v>
      </c>
      <c r="H5381" s="2">
        <v>10</v>
      </c>
      <c r="I5381" s="112">
        <v>7324010</v>
      </c>
      <c r="J5381" s="112" t="s">
        <v>84</v>
      </c>
      <c r="K5381" s="112" t="s">
        <v>84</v>
      </c>
      <c r="L5381" s="2">
        <v>0</v>
      </c>
      <c r="M5381" s="2" t="s">
        <v>84</v>
      </c>
      <c r="N5381" s="2" t="s">
        <v>84</v>
      </c>
      <c r="O5381" s="2" t="s">
        <v>841</v>
      </c>
      <c r="P5381" s="2" t="s">
        <v>84</v>
      </c>
    </row>
    <row r="5382" spans="1:17" ht="21" customHeight="1" x14ac:dyDescent="0.15">
      <c r="A5382" s="10" t="str">
        <f t="shared" si="984"/>
        <v>7325_1_0_1_ticket_piece_happy</v>
      </c>
      <c r="B5382" s="2">
        <f t="shared" si="941"/>
        <v>7325</v>
      </c>
      <c r="C5382" s="30" t="str">
        <f>VLOOKUP(B5382,gachas!A:C,3)</f>
        <v>ハッピーチケットピースガチャ_レベル3</v>
      </c>
      <c r="D5382" s="21">
        <v>1</v>
      </c>
      <c r="E5382" s="2">
        <v>0</v>
      </c>
      <c r="F5382" s="21">
        <v>1</v>
      </c>
      <c r="G5382" s="58" t="s">
        <v>3141</v>
      </c>
      <c r="H5382" s="2">
        <v>20</v>
      </c>
      <c r="I5382" s="112">
        <v>7325010</v>
      </c>
      <c r="J5382" s="112" t="s">
        <v>84</v>
      </c>
      <c r="K5382" s="112" t="s">
        <v>84</v>
      </c>
      <c r="L5382" s="2">
        <v>0</v>
      </c>
      <c r="M5382" s="2" t="s">
        <v>84</v>
      </c>
      <c r="N5382" s="2" t="s">
        <v>84</v>
      </c>
      <c r="O5382" s="2" t="s">
        <v>841</v>
      </c>
      <c r="P5382" s="2" t="s">
        <v>84</v>
      </c>
    </row>
    <row r="5383" spans="1:17" ht="21" customHeight="1" x14ac:dyDescent="0.15">
      <c r="A5383" s="10" t="str">
        <f t="shared" ref="A5383:A5390" si="985">B5383&amp;"_"&amp;D5383&amp;"_"&amp;E5383&amp;"_"&amp;F5383&amp;"_"&amp;G5383</f>
        <v>7326_1_0_1_ticket_piece_happy</v>
      </c>
      <c r="B5383" s="2">
        <f t="shared" si="941"/>
        <v>7326</v>
      </c>
      <c r="C5383" s="30" t="str">
        <f>VLOOKUP(B5383,gachas!A:C,3)</f>
        <v>ハッピーチケットピースガチャ_レベル1（童話in）</v>
      </c>
      <c r="D5383" s="21">
        <v>1</v>
      </c>
      <c r="E5383" s="2">
        <v>0</v>
      </c>
      <c r="F5383" s="21">
        <v>1</v>
      </c>
      <c r="G5383" s="58" t="s">
        <v>3141</v>
      </c>
      <c r="H5383" s="2">
        <v>3</v>
      </c>
      <c r="I5383" s="119">
        <v>590010</v>
      </c>
      <c r="J5383" s="112" t="s">
        <v>84</v>
      </c>
      <c r="K5383" s="112" t="s">
        <v>84</v>
      </c>
      <c r="L5383" s="2">
        <v>0</v>
      </c>
      <c r="M5383" s="2" t="s">
        <v>84</v>
      </c>
      <c r="N5383" s="2" t="s">
        <v>84</v>
      </c>
      <c r="O5383" s="2" t="s">
        <v>841</v>
      </c>
      <c r="P5383" s="2" t="s">
        <v>84</v>
      </c>
    </row>
    <row r="5384" spans="1:17" ht="21" customHeight="1" x14ac:dyDescent="0.15">
      <c r="A5384" s="10" t="str">
        <f t="shared" si="985"/>
        <v>7327_1_0_1_ticket_piece_happy</v>
      </c>
      <c r="B5384" s="2">
        <f t="shared" si="941"/>
        <v>7327</v>
      </c>
      <c r="C5384" s="30" t="str">
        <f>VLOOKUP(B5384,gachas!A:C,3)</f>
        <v>ハッピーチケットピースガチャ_レベル2（童話in）</v>
      </c>
      <c r="D5384" s="21">
        <v>1</v>
      </c>
      <c r="E5384" s="2">
        <v>0</v>
      </c>
      <c r="F5384" s="21">
        <v>1</v>
      </c>
      <c r="G5384" s="58" t="s">
        <v>3141</v>
      </c>
      <c r="H5384" s="2">
        <v>10</v>
      </c>
      <c r="I5384" s="112">
        <v>7327010</v>
      </c>
      <c r="J5384" s="112" t="s">
        <v>84</v>
      </c>
      <c r="K5384" s="112" t="s">
        <v>84</v>
      </c>
      <c r="L5384" s="2">
        <v>0</v>
      </c>
      <c r="M5384" s="2" t="s">
        <v>84</v>
      </c>
      <c r="N5384" s="2" t="s">
        <v>84</v>
      </c>
      <c r="O5384" s="2" t="s">
        <v>841</v>
      </c>
      <c r="P5384" s="2" t="s">
        <v>84</v>
      </c>
    </row>
    <row r="5385" spans="1:17" ht="21" customHeight="1" x14ac:dyDescent="0.15">
      <c r="A5385" s="10" t="str">
        <f t="shared" si="985"/>
        <v>7328_1_0_1_ticket_piece_happy</v>
      </c>
      <c r="B5385" s="2">
        <f t="shared" si="941"/>
        <v>7328</v>
      </c>
      <c r="C5385" s="30" t="str">
        <f>VLOOKUP(B5385,gachas!A:C,3)</f>
        <v>ハッピーチケットピースガチャ_レベル3（童話in）</v>
      </c>
      <c r="D5385" s="21">
        <v>1</v>
      </c>
      <c r="E5385" s="2">
        <v>0</v>
      </c>
      <c r="F5385" s="21">
        <v>1</v>
      </c>
      <c r="G5385" s="58" t="s">
        <v>3141</v>
      </c>
      <c r="H5385" s="2">
        <v>20</v>
      </c>
      <c r="I5385" s="150">
        <f>I5356</f>
        <v>7226100</v>
      </c>
      <c r="J5385" s="112" t="s">
        <v>84</v>
      </c>
      <c r="K5385" s="112" t="s">
        <v>84</v>
      </c>
      <c r="L5385" s="2">
        <v>0</v>
      </c>
      <c r="M5385" s="2" t="s">
        <v>84</v>
      </c>
      <c r="N5385" s="2" t="s">
        <v>84</v>
      </c>
      <c r="O5385" s="2" t="s">
        <v>841</v>
      </c>
      <c r="P5385" s="2" t="s">
        <v>84</v>
      </c>
      <c r="Q5385" s="1" t="s">
        <v>3142</v>
      </c>
    </row>
    <row r="5386" spans="1:17" ht="21" customHeight="1" x14ac:dyDescent="0.15">
      <c r="A5386" s="10" t="str">
        <f t="shared" si="985"/>
        <v>7329_1_0_1_ticket_fes_161013</v>
      </c>
      <c r="B5386" s="2">
        <f t="shared" si="941"/>
        <v>7329</v>
      </c>
      <c r="C5386" s="30" t="str">
        <f>VLOOKUP(B5386,gachas!A:C,3)</f>
        <v>★6覚醒可能ユニット確定ガチャ（童話in）</v>
      </c>
      <c r="D5386" s="21">
        <v>1</v>
      </c>
      <c r="E5386" s="2">
        <v>0</v>
      </c>
      <c r="F5386" s="21">
        <v>1</v>
      </c>
      <c r="G5386" s="58" t="s">
        <v>1740</v>
      </c>
      <c r="H5386" s="2">
        <v>1</v>
      </c>
      <c r="I5386" s="112">
        <v>7329010</v>
      </c>
      <c r="J5386" s="112" t="s">
        <v>84</v>
      </c>
      <c r="K5386" s="112" t="s">
        <v>257</v>
      </c>
      <c r="L5386" s="2">
        <v>0</v>
      </c>
      <c r="M5386" s="2" t="s">
        <v>84</v>
      </c>
      <c r="N5386" s="2" t="s">
        <v>84</v>
      </c>
      <c r="O5386" s="2" t="s">
        <v>841</v>
      </c>
      <c r="P5386" s="2" t="s">
        <v>84</v>
      </c>
    </row>
    <row r="5387" spans="1:17" ht="21" customHeight="1" x14ac:dyDescent="0.15">
      <c r="A5387" s="10" t="str">
        <f t="shared" si="985"/>
        <v>7330_1_0_1_30day_sp_ticket</v>
      </c>
      <c r="B5387" s="2">
        <f t="shared" si="941"/>
        <v>7330</v>
      </c>
      <c r="C5387" s="30" t="str">
        <f>VLOOKUP(B5387,gachas!A:C,3)</f>
        <v>30日達成スペシャルチケットガチャ(赤)（童話in）</v>
      </c>
      <c r="D5387" s="21">
        <v>1</v>
      </c>
      <c r="E5387" s="2">
        <v>0</v>
      </c>
      <c r="F5387" s="21">
        <v>1</v>
      </c>
      <c r="G5387" s="58" t="s">
        <v>2716</v>
      </c>
      <c r="H5387" s="2">
        <v>1</v>
      </c>
      <c r="I5387" s="125">
        <f>I5370</f>
        <v>7313010</v>
      </c>
      <c r="J5387" s="112" t="s">
        <v>84</v>
      </c>
      <c r="K5387" s="112" t="s">
        <v>85</v>
      </c>
      <c r="L5387" s="2">
        <v>0</v>
      </c>
      <c r="M5387" s="2" t="s">
        <v>84</v>
      </c>
      <c r="N5387" s="2" t="s">
        <v>84</v>
      </c>
      <c r="O5387" s="2" t="s">
        <v>841</v>
      </c>
      <c r="P5387" s="2" t="s">
        <v>84</v>
      </c>
    </row>
    <row r="5388" spans="1:17" ht="21" customHeight="1" x14ac:dyDescent="0.15">
      <c r="A5388" s="10" t="str">
        <f t="shared" si="985"/>
        <v>7331_1_0_1_30day_sp_ticket</v>
      </c>
      <c r="B5388" s="2">
        <f t="shared" si="941"/>
        <v>7331</v>
      </c>
      <c r="C5388" s="30" t="str">
        <f>VLOOKUP(B5388,gachas!A:C,3)</f>
        <v>30日達成スペシャルチケットガチャ(青)（童話in）</v>
      </c>
      <c r="D5388" s="21">
        <v>1</v>
      </c>
      <c r="E5388" s="2">
        <v>0</v>
      </c>
      <c r="F5388" s="21">
        <v>1</v>
      </c>
      <c r="G5388" s="58" t="s">
        <v>2716</v>
      </c>
      <c r="H5388" s="2">
        <v>1</v>
      </c>
      <c r="I5388" s="114" t="str">
        <f t="shared" ref="I5388:I5390" si="986">B5388&amp;TEXT(D5388,"00")&amp;E5388</f>
        <v>7331010</v>
      </c>
      <c r="J5388" s="112" t="s">
        <v>84</v>
      </c>
      <c r="K5388" s="112" t="s">
        <v>85</v>
      </c>
      <c r="L5388" s="2">
        <v>0</v>
      </c>
      <c r="M5388" s="2" t="s">
        <v>84</v>
      </c>
      <c r="N5388" s="2" t="s">
        <v>84</v>
      </c>
      <c r="O5388" s="2" t="s">
        <v>841</v>
      </c>
      <c r="P5388" s="2" t="s">
        <v>84</v>
      </c>
    </row>
    <row r="5389" spans="1:17" ht="21" customHeight="1" x14ac:dyDescent="0.15">
      <c r="A5389" s="10" t="str">
        <f t="shared" si="985"/>
        <v>7332_1_0_1_30day_sp_ticket</v>
      </c>
      <c r="B5389" s="2">
        <f t="shared" si="941"/>
        <v>7332</v>
      </c>
      <c r="C5389" s="30" t="str">
        <f>VLOOKUP(B5389,gachas!A:C,3)</f>
        <v>30日達成スペシャルチケットガチャ(緑)（童話in）</v>
      </c>
      <c r="D5389" s="21">
        <v>1</v>
      </c>
      <c r="E5389" s="2">
        <v>0</v>
      </c>
      <c r="F5389" s="21">
        <v>1</v>
      </c>
      <c r="G5389" s="58" t="s">
        <v>2716</v>
      </c>
      <c r="H5389" s="2">
        <v>1</v>
      </c>
      <c r="I5389" s="114" t="str">
        <f t="shared" si="986"/>
        <v>7332010</v>
      </c>
      <c r="J5389" s="112" t="s">
        <v>84</v>
      </c>
      <c r="K5389" s="112" t="s">
        <v>85</v>
      </c>
      <c r="L5389" s="2">
        <v>0</v>
      </c>
      <c r="M5389" s="2" t="s">
        <v>84</v>
      </c>
      <c r="N5389" s="2" t="s">
        <v>84</v>
      </c>
      <c r="O5389" s="2" t="s">
        <v>841</v>
      </c>
      <c r="P5389" s="2" t="s">
        <v>84</v>
      </c>
    </row>
    <row r="5390" spans="1:17" ht="21" customHeight="1" x14ac:dyDescent="0.15">
      <c r="A5390" s="10" t="str">
        <f t="shared" si="985"/>
        <v>7333_1_0_1_30day_sp_ticket</v>
      </c>
      <c r="B5390" s="2">
        <f t="shared" si="941"/>
        <v>7333</v>
      </c>
      <c r="C5390" s="30" t="str">
        <f>VLOOKUP(B5390,gachas!A:C,3)</f>
        <v>30日達成スペシャルチケットガチャ(黄)（童話in）</v>
      </c>
      <c r="D5390" s="21">
        <v>1</v>
      </c>
      <c r="E5390" s="2">
        <v>0</v>
      </c>
      <c r="F5390" s="21">
        <v>1</v>
      </c>
      <c r="G5390" s="58" t="s">
        <v>2716</v>
      </c>
      <c r="H5390" s="2">
        <v>1</v>
      </c>
      <c r="I5390" s="114" t="str">
        <f t="shared" si="986"/>
        <v>7333010</v>
      </c>
      <c r="J5390" s="112" t="s">
        <v>84</v>
      </c>
      <c r="K5390" s="112" t="s">
        <v>85</v>
      </c>
      <c r="L5390" s="2">
        <v>0</v>
      </c>
      <c r="M5390" s="2" t="s">
        <v>84</v>
      </c>
      <c r="N5390" s="2" t="s">
        <v>84</v>
      </c>
      <c r="O5390" s="2" t="s">
        <v>841</v>
      </c>
      <c r="P5390" s="2" t="s">
        <v>84</v>
      </c>
    </row>
    <row r="5391" spans="1:17" ht="21" customHeight="1" x14ac:dyDescent="0.15">
      <c r="A5391" s="10" t="str">
        <f t="shared" ref="A5391:A5397" si="987">B5391&amp;"_"&amp;D5391&amp;"_"&amp;E5391&amp;"_"&amp;F5391&amp;"_"&amp;G5391</f>
        <v>7334_1_0_1_ticket_collabo_hagane</v>
      </c>
      <c r="B5391" s="2">
        <f t="shared" si="941"/>
        <v>7334</v>
      </c>
      <c r="C5391" s="30" t="str">
        <f>VLOOKUP(B5391,gachas!A:C,3)</f>
        <v>ハガレンコラボチケットガチャ（エド）</v>
      </c>
      <c r="D5391" s="21">
        <v>1</v>
      </c>
      <c r="E5391" s="2">
        <v>0</v>
      </c>
      <c r="F5391" s="21">
        <v>1</v>
      </c>
      <c r="G5391" s="58" t="s">
        <v>3288</v>
      </c>
      <c r="H5391" s="2">
        <v>1</v>
      </c>
      <c r="I5391" s="114" t="str">
        <f t="shared" ref="I5391:I5393" si="988">B5391&amp;TEXT(D5391,"00")&amp;E5391</f>
        <v>7334010</v>
      </c>
      <c r="J5391" s="112" t="s">
        <v>84</v>
      </c>
      <c r="K5391" s="112" t="s">
        <v>84</v>
      </c>
      <c r="L5391" s="2">
        <v>0</v>
      </c>
      <c r="M5391" s="2" t="s">
        <v>84</v>
      </c>
      <c r="N5391" s="2" t="s">
        <v>84</v>
      </c>
      <c r="O5391" s="2" t="s">
        <v>841</v>
      </c>
      <c r="P5391" s="2" t="s">
        <v>84</v>
      </c>
    </row>
    <row r="5392" spans="1:17" ht="21" customHeight="1" x14ac:dyDescent="0.15">
      <c r="A5392" s="10" t="str">
        <f t="shared" si="987"/>
        <v>7335_1_0_1_ticket_collabo_hagane</v>
      </c>
      <c r="B5392" s="2">
        <f t="shared" si="941"/>
        <v>7335</v>
      </c>
      <c r="C5392" s="30" t="str">
        <f>VLOOKUP(B5392,gachas!A:C,3)</f>
        <v>ハガレンコラボチケットガチャ（アル）</v>
      </c>
      <c r="D5392" s="21">
        <v>1</v>
      </c>
      <c r="E5392" s="2">
        <v>0</v>
      </c>
      <c r="F5392" s="21">
        <v>1</v>
      </c>
      <c r="G5392" s="58" t="s">
        <v>3288</v>
      </c>
      <c r="H5392" s="2">
        <v>1</v>
      </c>
      <c r="I5392" s="114" t="str">
        <f t="shared" si="988"/>
        <v>7335010</v>
      </c>
      <c r="J5392" s="112" t="s">
        <v>84</v>
      </c>
      <c r="K5392" s="112" t="s">
        <v>84</v>
      </c>
      <c r="L5392" s="2">
        <v>0</v>
      </c>
      <c r="M5392" s="2" t="s">
        <v>84</v>
      </c>
      <c r="N5392" s="2" t="s">
        <v>84</v>
      </c>
      <c r="O5392" s="2" t="s">
        <v>841</v>
      </c>
      <c r="P5392" s="2" t="s">
        <v>84</v>
      </c>
    </row>
    <row r="5393" spans="1:16" ht="21" customHeight="1" x14ac:dyDescent="0.15">
      <c r="A5393" s="10" t="str">
        <f t="shared" si="987"/>
        <v>7336_1_0_1_ticket_collabo_hagane</v>
      </c>
      <c r="B5393" s="2">
        <f t="shared" si="941"/>
        <v>7336</v>
      </c>
      <c r="C5393" s="30" t="str">
        <f>VLOOKUP(B5393,gachas!A:C,3)</f>
        <v>ハガレンコラボチケットガチャ（ロイ）</v>
      </c>
      <c r="D5393" s="21">
        <v>1</v>
      </c>
      <c r="E5393" s="2">
        <v>0</v>
      </c>
      <c r="F5393" s="21">
        <v>1</v>
      </c>
      <c r="G5393" s="58" t="s">
        <v>3288</v>
      </c>
      <c r="H5393" s="2">
        <v>1</v>
      </c>
      <c r="I5393" s="114" t="str">
        <f t="shared" si="988"/>
        <v>7336010</v>
      </c>
      <c r="J5393" s="112" t="s">
        <v>84</v>
      </c>
      <c r="K5393" s="112" t="s">
        <v>84</v>
      </c>
      <c r="L5393" s="2">
        <v>0</v>
      </c>
      <c r="M5393" s="2" t="s">
        <v>84</v>
      </c>
      <c r="N5393" s="2" t="s">
        <v>84</v>
      </c>
      <c r="O5393" s="2" t="s">
        <v>841</v>
      </c>
      <c r="P5393" s="2" t="s">
        <v>84</v>
      </c>
    </row>
    <row r="5394" spans="1:16" ht="22" customHeight="1" x14ac:dyDescent="0.15">
      <c r="A5394" s="10" t="str">
        <f t="shared" si="987"/>
        <v>7337_1_0_1_ticket_8million_level1</v>
      </c>
      <c r="B5394" s="2">
        <f t="shared" si="941"/>
        <v>7337</v>
      </c>
      <c r="C5394" s="30" t="str">
        <f>VLOOKUP(B5394,gachas!A:C,3)</f>
        <v>800万DL突破記念_無料チケットガチャ（レベル1）</v>
      </c>
      <c r="D5394" s="21">
        <v>1</v>
      </c>
      <c r="E5394" s="2">
        <v>0</v>
      </c>
      <c r="F5394" s="2">
        <v>1</v>
      </c>
      <c r="G5394" s="58" t="s">
        <v>3361</v>
      </c>
      <c r="H5394" s="2">
        <v>1</v>
      </c>
      <c r="I5394" s="119">
        <v>590010</v>
      </c>
      <c r="J5394" s="112" t="s">
        <v>1571</v>
      </c>
      <c r="K5394" s="2" t="s">
        <v>1571</v>
      </c>
      <c r="L5394" s="2">
        <v>0</v>
      </c>
      <c r="M5394" s="2" t="s">
        <v>1571</v>
      </c>
      <c r="N5394" s="2" t="s">
        <v>1571</v>
      </c>
      <c r="O5394" s="2" t="s">
        <v>118</v>
      </c>
      <c r="P5394" s="2" t="s">
        <v>84</v>
      </c>
    </row>
    <row r="5395" spans="1:16" ht="22" customHeight="1" x14ac:dyDescent="0.15">
      <c r="A5395" s="10" t="str">
        <f t="shared" si="987"/>
        <v>7338_1_0_1_ticket_8million_level2</v>
      </c>
      <c r="B5395" s="2">
        <f t="shared" si="941"/>
        <v>7338</v>
      </c>
      <c r="C5395" s="30" t="str">
        <f>VLOOKUP(B5395,gachas!A:C,3)</f>
        <v>800万DL突破記念_無料チケットガチャ（レベル2）</v>
      </c>
      <c r="D5395" s="21">
        <v>1</v>
      </c>
      <c r="E5395" s="2">
        <v>0</v>
      </c>
      <c r="F5395" s="2">
        <v>1</v>
      </c>
      <c r="G5395" s="58" t="s">
        <v>3362</v>
      </c>
      <c r="H5395" s="2">
        <v>1</v>
      </c>
      <c r="I5395" s="119">
        <v>590100</v>
      </c>
      <c r="J5395" s="112" t="s">
        <v>1571</v>
      </c>
      <c r="K5395" s="2" t="s">
        <v>1571</v>
      </c>
      <c r="L5395" s="2">
        <v>0</v>
      </c>
      <c r="M5395" s="2" t="s">
        <v>1571</v>
      </c>
      <c r="N5395" s="2" t="s">
        <v>1571</v>
      </c>
      <c r="O5395" s="2" t="s">
        <v>118</v>
      </c>
      <c r="P5395" s="2" t="s">
        <v>84</v>
      </c>
    </row>
    <row r="5396" spans="1:16" ht="22" customHeight="1" x14ac:dyDescent="0.15">
      <c r="A5396" s="10" t="str">
        <f t="shared" si="987"/>
        <v>7339_1_0_1_ticket_8million_level3</v>
      </c>
      <c r="B5396" s="2">
        <f t="shared" si="941"/>
        <v>7339</v>
      </c>
      <c r="C5396" s="30" t="str">
        <f>VLOOKUP(B5396,gachas!A:C,3)</f>
        <v>800万DL突破記念_無料チケットガチャ（レベル3）</v>
      </c>
      <c r="D5396" s="21">
        <v>1</v>
      </c>
      <c r="E5396" s="2">
        <v>0</v>
      </c>
      <c r="F5396" s="2">
        <v>1</v>
      </c>
      <c r="G5396" s="58" t="s">
        <v>3363</v>
      </c>
      <c r="H5396" s="2">
        <v>1</v>
      </c>
      <c r="I5396" s="114" t="str">
        <f t="shared" ref="I5396" si="989">CONCATENATE(B5396,IF(D5396=1,"01","10"),0)</f>
        <v>7339010</v>
      </c>
      <c r="J5396" s="112" t="s">
        <v>84</v>
      </c>
      <c r="K5396" s="2" t="s">
        <v>1571</v>
      </c>
      <c r="L5396" s="2">
        <v>0</v>
      </c>
      <c r="M5396" s="2" t="s">
        <v>84</v>
      </c>
      <c r="N5396" s="2" t="s">
        <v>84</v>
      </c>
      <c r="O5396" s="2" t="s">
        <v>841</v>
      </c>
      <c r="P5396" s="2" t="s">
        <v>84</v>
      </c>
    </row>
    <row r="5397" spans="1:16" ht="22" customHeight="1" x14ac:dyDescent="0.15">
      <c r="A5397" s="10" t="str">
        <f t="shared" si="987"/>
        <v>7340_1_0_1_ticket_8million_sp</v>
      </c>
      <c r="B5397" s="2">
        <f t="shared" si="941"/>
        <v>7340</v>
      </c>
      <c r="C5397" s="30" t="str">
        <f>VLOOKUP(B5397,gachas!A:C,3)</f>
        <v>800万DL突破記念_無料チケットガチャ（レベル4）</v>
      </c>
      <c r="D5397" s="21">
        <v>1</v>
      </c>
      <c r="E5397" s="2">
        <v>0</v>
      </c>
      <c r="F5397" s="2">
        <v>1</v>
      </c>
      <c r="G5397" s="58" t="s">
        <v>3364</v>
      </c>
      <c r="H5397" s="2">
        <v>1</v>
      </c>
      <c r="I5397" s="132">
        <v>7035100</v>
      </c>
      <c r="J5397" s="112" t="s">
        <v>84</v>
      </c>
      <c r="K5397" s="2" t="s">
        <v>1571</v>
      </c>
      <c r="L5397" s="2">
        <v>0</v>
      </c>
      <c r="M5397" s="2" t="s">
        <v>84</v>
      </c>
      <c r="N5397" s="2" t="s">
        <v>84</v>
      </c>
      <c r="O5397" s="2" t="s">
        <v>841</v>
      </c>
      <c r="P5397" s="2" t="s">
        <v>84</v>
      </c>
    </row>
    <row r="5398" spans="1:16" ht="22" customHeight="1" x14ac:dyDescent="0.15">
      <c r="A5398" s="10" t="str">
        <f t="shared" ref="A5398:A5413" si="990">B5398&amp;"_"&amp;D5398&amp;"_"&amp;E5398&amp;"_"&amp;F5398&amp;"_"&amp;G5398</f>
        <v>7341_1_0_1_ticket_juneBride</v>
      </c>
      <c r="B5398" s="2">
        <f t="shared" si="941"/>
        <v>7341</v>
      </c>
      <c r="C5398" s="30" t="str">
        <f>VLOOKUP(B5398,gachas!A:C,3)</f>
        <v>ジューンブライドチケットガチャSideA</v>
      </c>
      <c r="D5398" s="21">
        <v>1</v>
      </c>
      <c r="E5398" s="2">
        <v>0</v>
      </c>
      <c r="F5398" s="2">
        <v>1</v>
      </c>
      <c r="G5398" s="58" t="s">
        <v>3408</v>
      </c>
      <c r="H5398" s="2">
        <v>1</v>
      </c>
      <c r="I5398" s="132" t="s">
        <v>3422</v>
      </c>
      <c r="J5398" s="112" t="s">
        <v>84</v>
      </c>
      <c r="K5398" s="2" t="s">
        <v>1571</v>
      </c>
      <c r="L5398" s="2">
        <v>0</v>
      </c>
      <c r="M5398" s="2" t="s">
        <v>84</v>
      </c>
      <c r="N5398" s="2" t="s">
        <v>84</v>
      </c>
      <c r="O5398" s="2" t="s">
        <v>841</v>
      </c>
      <c r="P5398" s="2" t="s">
        <v>84</v>
      </c>
    </row>
    <row r="5399" spans="1:16" ht="22" customHeight="1" x14ac:dyDescent="0.15">
      <c r="A5399" s="10" t="str">
        <f t="shared" si="990"/>
        <v>7342_1_0_1_ticket_juneBride</v>
      </c>
      <c r="B5399" s="2">
        <f t="shared" ref="B5399" si="991">B5398+1</f>
        <v>7342</v>
      </c>
      <c r="C5399" s="30" t="str">
        <f>VLOOKUP(B5399,gachas!A:C,3)</f>
        <v>ジューンブライドチケットガチャSideB</v>
      </c>
      <c r="D5399" s="21">
        <v>1</v>
      </c>
      <c r="E5399" s="2">
        <v>0</v>
      </c>
      <c r="F5399" s="2">
        <v>1</v>
      </c>
      <c r="G5399" s="58" t="s">
        <v>3408</v>
      </c>
      <c r="H5399" s="2">
        <v>1</v>
      </c>
      <c r="I5399" s="132" t="s">
        <v>3421</v>
      </c>
      <c r="J5399" s="112" t="s">
        <v>84</v>
      </c>
      <c r="K5399" s="2" t="s">
        <v>1571</v>
      </c>
      <c r="L5399" s="2">
        <v>0</v>
      </c>
      <c r="M5399" s="2" t="s">
        <v>84</v>
      </c>
      <c r="N5399" s="2" t="s">
        <v>84</v>
      </c>
      <c r="O5399" s="2" t="s">
        <v>841</v>
      </c>
      <c r="P5399" s="2" t="s">
        <v>84</v>
      </c>
    </row>
    <row r="5400" spans="1:16" ht="21" customHeight="1" x14ac:dyDescent="0.15">
      <c r="A5400" s="10" t="str">
        <f t="shared" si="990"/>
        <v>7343_1_0_1_ticket_red_bouquet</v>
      </c>
      <c r="B5400" s="2">
        <f t="shared" si="941"/>
        <v>7343</v>
      </c>
      <c r="C5400" s="30" t="str">
        <f>VLOOKUP(B5400,gachas!A:C,3)</f>
        <v>ジューンブライド_レッドブーケガチャ</v>
      </c>
      <c r="D5400" s="21">
        <v>1</v>
      </c>
      <c r="E5400" s="2">
        <v>0</v>
      </c>
      <c r="F5400" s="21">
        <v>1</v>
      </c>
      <c r="G5400" s="58" t="s">
        <v>3419</v>
      </c>
      <c r="H5400" s="2">
        <v>1</v>
      </c>
      <c r="I5400" s="114" t="str">
        <f t="shared" ref="I5400" si="992">B5400&amp;TEXT(D5400,"00")&amp;E5400</f>
        <v>7343010</v>
      </c>
      <c r="J5400" s="112" t="s">
        <v>84</v>
      </c>
      <c r="K5400" s="2" t="s">
        <v>257</v>
      </c>
      <c r="L5400" s="2">
        <v>0</v>
      </c>
      <c r="M5400" s="2" t="s">
        <v>84</v>
      </c>
      <c r="N5400" s="2" t="s">
        <v>84</v>
      </c>
      <c r="O5400" s="2" t="s">
        <v>841</v>
      </c>
      <c r="P5400" s="2" t="s">
        <v>84</v>
      </c>
    </row>
    <row r="5401" spans="1:16" ht="21" customHeight="1" x14ac:dyDescent="0.15">
      <c r="A5401" s="10" t="str">
        <f t="shared" si="990"/>
        <v>7344_10_0_10_ticket_red_bouquet</v>
      </c>
      <c r="B5401" s="2">
        <f t="shared" ref="B5401" si="993">B5400+1</f>
        <v>7344</v>
      </c>
      <c r="C5401" s="30" t="str">
        <f>VLOOKUP(B5401,gachas!A:C,3)</f>
        <v>ジューンブライド_レッドブーケガチャ10連</v>
      </c>
      <c r="D5401" s="21">
        <v>10</v>
      </c>
      <c r="E5401" s="2">
        <v>0</v>
      </c>
      <c r="F5401" s="21">
        <v>10</v>
      </c>
      <c r="G5401" s="58" t="s">
        <v>3419</v>
      </c>
      <c r="H5401" s="2">
        <v>10</v>
      </c>
      <c r="I5401" s="119" t="str">
        <f>$I$5400</f>
        <v>7343010</v>
      </c>
      <c r="J5401" s="112" t="s">
        <v>84</v>
      </c>
      <c r="K5401" s="2">
        <v>7344100</v>
      </c>
      <c r="L5401" s="2">
        <v>1</v>
      </c>
      <c r="M5401" s="2" t="s">
        <v>84</v>
      </c>
      <c r="N5401" s="2" t="s">
        <v>84</v>
      </c>
      <c r="O5401" s="2" t="s">
        <v>841</v>
      </c>
      <c r="P5401" s="2" t="s">
        <v>84</v>
      </c>
    </row>
    <row r="5402" spans="1:16" ht="21" customHeight="1" x14ac:dyDescent="0.15">
      <c r="A5402" s="10" t="str">
        <f t="shared" si="990"/>
        <v>7344_10_1_10_ticket_red_bouquet</v>
      </c>
      <c r="B5402" s="2">
        <f>$B$5401</f>
        <v>7344</v>
      </c>
      <c r="C5402" s="30" t="str">
        <f>VLOOKUP(B5402,gachas!A:C,3)</f>
        <v>ジューンブライド_レッドブーケガチャ10連</v>
      </c>
      <c r="D5402" s="21">
        <v>10</v>
      </c>
      <c r="E5402" s="2">
        <v>1</v>
      </c>
      <c r="F5402" s="21">
        <v>10</v>
      </c>
      <c r="G5402" s="58" t="s">
        <v>3419</v>
      </c>
      <c r="H5402" s="2">
        <v>10</v>
      </c>
      <c r="I5402" s="119" t="str">
        <f t="shared" ref="I5402:I5411" si="994">$I$5400</f>
        <v>7343010</v>
      </c>
      <c r="J5402" s="112">
        <v>734401</v>
      </c>
      <c r="K5402" s="2">
        <v>7344100</v>
      </c>
      <c r="L5402" s="2">
        <v>1</v>
      </c>
      <c r="M5402" s="2" t="s">
        <v>84</v>
      </c>
      <c r="N5402" s="2" t="s">
        <v>84</v>
      </c>
      <c r="O5402" s="2" t="s">
        <v>841</v>
      </c>
      <c r="P5402" s="155" t="s">
        <v>3424</v>
      </c>
    </row>
    <row r="5403" spans="1:16" ht="21" customHeight="1" x14ac:dyDescent="0.15">
      <c r="A5403" s="10" t="str">
        <f t="shared" si="990"/>
        <v>7344_10_2_10_ticket_red_bouquet</v>
      </c>
      <c r="B5403" s="2">
        <f t="shared" ref="B5403:B5411" si="995">$B$5401</f>
        <v>7344</v>
      </c>
      <c r="C5403" s="30" t="str">
        <f>VLOOKUP(B5403,gachas!A:C,3)</f>
        <v>ジューンブライド_レッドブーケガチャ10連</v>
      </c>
      <c r="D5403" s="21">
        <v>10</v>
      </c>
      <c r="E5403" s="2">
        <v>2</v>
      </c>
      <c r="F5403" s="21">
        <v>10</v>
      </c>
      <c r="G5403" s="58" t="s">
        <v>3419</v>
      </c>
      <c r="H5403" s="2">
        <v>10</v>
      </c>
      <c r="I5403" s="119" t="str">
        <f t="shared" si="994"/>
        <v>7343010</v>
      </c>
      <c r="J5403" s="112">
        <v>734402</v>
      </c>
      <c r="K5403" s="2">
        <v>7344100</v>
      </c>
      <c r="L5403" s="2">
        <v>1</v>
      </c>
      <c r="M5403" s="2" t="s">
        <v>84</v>
      </c>
      <c r="N5403" s="2" t="s">
        <v>84</v>
      </c>
      <c r="O5403" s="2" t="s">
        <v>841</v>
      </c>
      <c r="P5403" s="155" t="s">
        <v>3425</v>
      </c>
    </row>
    <row r="5404" spans="1:16" ht="21" customHeight="1" x14ac:dyDescent="0.15">
      <c r="A5404" s="10" t="str">
        <f t="shared" si="990"/>
        <v>7344_10_3_10_ticket_red_bouquet</v>
      </c>
      <c r="B5404" s="2">
        <f t="shared" si="995"/>
        <v>7344</v>
      </c>
      <c r="C5404" s="30" t="str">
        <f>VLOOKUP(B5404,gachas!A:C,3)</f>
        <v>ジューンブライド_レッドブーケガチャ10連</v>
      </c>
      <c r="D5404" s="21">
        <v>10</v>
      </c>
      <c r="E5404" s="2">
        <v>3</v>
      </c>
      <c r="F5404" s="21">
        <v>10</v>
      </c>
      <c r="G5404" s="58" t="s">
        <v>3419</v>
      </c>
      <c r="H5404" s="2">
        <v>10</v>
      </c>
      <c r="I5404" s="119" t="str">
        <f t="shared" si="994"/>
        <v>7343010</v>
      </c>
      <c r="J5404" s="112">
        <v>734403</v>
      </c>
      <c r="K5404" s="2">
        <v>7344100</v>
      </c>
      <c r="L5404" s="2">
        <v>1</v>
      </c>
      <c r="M5404" s="2" t="s">
        <v>84</v>
      </c>
      <c r="N5404" s="2" t="s">
        <v>84</v>
      </c>
      <c r="O5404" s="2" t="s">
        <v>841</v>
      </c>
      <c r="P5404" s="155" t="s">
        <v>3426</v>
      </c>
    </row>
    <row r="5405" spans="1:16" ht="21" customHeight="1" x14ac:dyDescent="0.15">
      <c r="A5405" s="10" t="str">
        <f t="shared" si="990"/>
        <v>7344_10_4_10_ticket_red_bouquet</v>
      </c>
      <c r="B5405" s="2">
        <f t="shared" si="995"/>
        <v>7344</v>
      </c>
      <c r="C5405" s="30" t="str">
        <f>VLOOKUP(B5405,gachas!A:C,3)</f>
        <v>ジューンブライド_レッドブーケガチャ10連</v>
      </c>
      <c r="D5405" s="21">
        <v>10</v>
      </c>
      <c r="E5405" s="2">
        <v>4</v>
      </c>
      <c r="F5405" s="21">
        <v>10</v>
      </c>
      <c r="G5405" s="58" t="s">
        <v>3419</v>
      </c>
      <c r="H5405" s="2">
        <v>10</v>
      </c>
      <c r="I5405" s="119" t="str">
        <f t="shared" si="994"/>
        <v>7343010</v>
      </c>
      <c r="J5405" s="112">
        <v>734404</v>
      </c>
      <c r="K5405" s="2">
        <v>7344100</v>
      </c>
      <c r="L5405" s="2">
        <v>1</v>
      </c>
      <c r="M5405" s="2" t="s">
        <v>84</v>
      </c>
      <c r="N5405" s="2" t="s">
        <v>84</v>
      </c>
      <c r="O5405" s="2" t="s">
        <v>841</v>
      </c>
      <c r="P5405" s="155" t="s">
        <v>3427</v>
      </c>
    </row>
    <row r="5406" spans="1:16" ht="21" customHeight="1" x14ac:dyDescent="0.15">
      <c r="A5406" s="10" t="str">
        <f t="shared" si="990"/>
        <v>7344_10_5_10_ticket_red_bouquet</v>
      </c>
      <c r="B5406" s="2">
        <f t="shared" si="995"/>
        <v>7344</v>
      </c>
      <c r="C5406" s="30" t="str">
        <f>VLOOKUP(B5406,gachas!A:C,3)</f>
        <v>ジューンブライド_レッドブーケガチャ10連</v>
      </c>
      <c r="D5406" s="21">
        <v>10</v>
      </c>
      <c r="E5406" s="2">
        <v>5</v>
      </c>
      <c r="F5406" s="21">
        <v>10</v>
      </c>
      <c r="G5406" s="58" t="s">
        <v>3419</v>
      </c>
      <c r="H5406" s="2">
        <v>10</v>
      </c>
      <c r="I5406" s="119" t="str">
        <f t="shared" si="994"/>
        <v>7343010</v>
      </c>
      <c r="J5406" s="112">
        <v>734405</v>
      </c>
      <c r="K5406" s="2">
        <v>7344100</v>
      </c>
      <c r="L5406" s="2">
        <v>1</v>
      </c>
      <c r="M5406" s="2" t="s">
        <v>84</v>
      </c>
      <c r="N5406" s="2" t="s">
        <v>84</v>
      </c>
      <c r="O5406" s="2" t="s">
        <v>841</v>
      </c>
      <c r="P5406" s="155" t="s">
        <v>3428</v>
      </c>
    </row>
    <row r="5407" spans="1:16" ht="21" customHeight="1" x14ac:dyDescent="0.15">
      <c r="A5407" s="10" t="str">
        <f t="shared" si="990"/>
        <v>7344_10_6_10_ticket_red_bouquet</v>
      </c>
      <c r="B5407" s="2">
        <f t="shared" si="995"/>
        <v>7344</v>
      </c>
      <c r="C5407" s="30" t="str">
        <f>VLOOKUP(B5407,gachas!A:C,3)</f>
        <v>ジューンブライド_レッドブーケガチャ10連</v>
      </c>
      <c r="D5407" s="21">
        <v>10</v>
      </c>
      <c r="E5407" s="2">
        <v>6</v>
      </c>
      <c r="F5407" s="21">
        <v>10</v>
      </c>
      <c r="G5407" s="58" t="s">
        <v>3419</v>
      </c>
      <c r="H5407" s="2">
        <v>10</v>
      </c>
      <c r="I5407" s="119" t="str">
        <f t="shared" si="994"/>
        <v>7343010</v>
      </c>
      <c r="J5407" s="112">
        <v>734406</v>
      </c>
      <c r="K5407" s="2">
        <v>7344100</v>
      </c>
      <c r="L5407" s="2">
        <v>1</v>
      </c>
      <c r="M5407" s="2" t="s">
        <v>84</v>
      </c>
      <c r="N5407" s="2" t="s">
        <v>84</v>
      </c>
      <c r="O5407" s="2" t="s">
        <v>841</v>
      </c>
      <c r="P5407" s="155" t="s">
        <v>3429</v>
      </c>
    </row>
    <row r="5408" spans="1:16" ht="21" customHeight="1" x14ac:dyDescent="0.15">
      <c r="A5408" s="10" t="str">
        <f t="shared" si="990"/>
        <v>7344_10_7_10_ticket_red_bouquet</v>
      </c>
      <c r="B5408" s="2">
        <f t="shared" si="995"/>
        <v>7344</v>
      </c>
      <c r="C5408" s="30" t="str">
        <f>VLOOKUP(B5408,gachas!A:C,3)</f>
        <v>ジューンブライド_レッドブーケガチャ10連</v>
      </c>
      <c r="D5408" s="21">
        <v>10</v>
      </c>
      <c r="E5408" s="2">
        <v>7</v>
      </c>
      <c r="F5408" s="21">
        <v>10</v>
      </c>
      <c r="G5408" s="58" t="s">
        <v>3419</v>
      </c>
      <c r="H5408" s="2">
        <v>10</v>
      </c>
      <c r="I5408" s="119" t="str">
        <f t="shared" si="994"/>
        <v>7343010</v>
      </c>
      <c r="J5408" s="112">
        <v>734407</v>
      </c>
      <c r="K5408" s="2">
        <v>7344100</v>
      </c>
      <c r="L5408" s="2">
        <v>1</v>
      </c>
      <c r="M5408" s="2" t="s">
        <v>84</v>
      </c>
      <c r="N5408" s="2" t="s">
        <v>84</v>
      </c>
      <c r="O5408" s="2" t="s">
        <v>841</v>
      </c>
      <c r="P5408" s="155" t="s">
        <v>3430</v>
      </c>
    </row>
    <row r="5409" spans="1:16" ht="21" customHeight="1" x14ac:dyDescent="0.15">
      <c r="A5409" s="10" t="str">
        <f t="shared" si="990"/>
        <v>7344_10_8_10_ticket_red_bouquet</v>
      </c>
      <c r="B5409" s="2">
        <f t="shared" si="995"/>
        <v>7344</v>
      </c>
      <c r="C5409" s="30" t="str">
        <f>VLOOKUP(B5409,gachas!A:C,3)</f>
        <v>ジューンブライド_レッドブーケガチャ10連</v>
      </c>
      <c r="D5409" s="21">
        <v>10</v>
      </c>
      <c r="E5409" s="2">
        <v>8</v>
      </c>
      <c r="F5409" s="21">
        <v>10</v>
      </c>
      <c r="G5409" s="58" t="s">
        <v>3419</v>
      </c>
      <c r="H5409" s="2">
        <v>10</v>
      </c>
      <c r="I5409" s="119" t="str">
        <f t="shared" si="994"/>
        <v>7343010</v>
      </c>
      <c r="J5409" s="112">
        <v>734408</v>
      </c>
      <c r="K5409" s="2">
        <v>7344100</v>
      </c>
      <c r="L5409" s="2">
        <v>1</v>
      </c>
      <c r="M5409" s="2" t="s">
        <v>84</v>
      </c>
      <c r="N5409" s="2" t="s">
        <v>84</v>
      </c>
      <c r="O5409" s="2" t="s">
        <v>841</v>
      </c>
      <c r="P5409" s="155" t="s">
        <v>3431</v>
      </c>
    </row>
    <row r="5410" spans="1:16" ht="21" customHeight="1" x14ac:dyDescent="0.15">
      <c r="A5410" s="10" t="str">
        <f t="shared" si="990"/>
        <v>7344_10_9_10_ticket_red_bouquet</v>
      </c>
      <c r="B5410" s="2">
        <f t="shared" si="995"/>
        <v>7344</v>
      </c>
      <c r="C5410" s="30" t="str">
        <f>VLOOKUP(B5410,gachas!A:C,3)</f>
        <v>ジューンブライド_レッドブーケガチャ10連</v>
      </c>
      <c r="D5410" s="21">
        <v>10</v>
      </c>
      <c r="E5410" s="2">
        <v>9</v>
      </c>
      <c r="F5410" s="21">
        <v>10</v>
      </c>
      <c r="G5410" s="58" t="s">
        <v>3419</v>
      </c>
      <c r="H5410" s="2">
        <v>10</v>
      </c>
      <c r="I5410" s="119" t="str">
        <f t="shared" si="994"/>
        <v>7343010</v>
      </c>
      <c r="J5410" s="112">
        <v>734409</v>
      </c>
      <c r="K5410" s="2">
        <v>7344100</v>
      </c>
      <c r="L5410" s="2">
        <v>1</v>
      </c>
      <c r="M5410" s="2" t="s">
        <v>84</v>
      </c>
      <c r="N5410" s="2" t="s">
        <v>84</v>
      </c>
      <c r="O5410" s="2" t="s">
        <v>841</v>
      </c>
      <c r="P5410" s="155" t="s">
        <v>3432</v>
      </c>
    </row>
    <row r="5411" spans="1:16" ht="21" customHeight="1" x14ac:dyDescent="0.15">
      <c r="A5411" s="10" t="str">
        <f t="shared" si="990"/>
        <v>7344_10_10_10_ticket_red_bouquet</v>
      </c>
      <c r="B5411" s="2">
        <f t="shared" si="995"/>
        <v>7344</v>
      </c>
      <c r="C5411" s="30" t="str">
        <f>VLOOKUP(B5411,gachas!A:C,3)</f>
        <v>ジューンブライド_レッドブーケガチャ10連</v>
      </c>
      <c r="D5411" s="21">
        <v>10</v>
      </c>
      <c r="E5411" s="2">
        <v>10</v>
      </c>
      <c r="F5411" s="21">
        <v>10</v>
      </c>
      <c r="G5411" s="58" t="s">
        <v>3419</v>
      </c>
      <c r="H5411" s="2">
        <v>10</v>
      </c>
      <c r="I5411" s="119" t="str">
        <f t="shared" si="994"/>
        <v>7343010</v>
      </c>
      <c r="J5411" s="112">
        <v>734410</v>
      </c>
      <c r="K5411" s="2">
        <v>7344100</v>
      </c>
      <c r="L5411" s="2">
        <v>1</v>
      </c>
      <c r="M5411" s="2" t="s">
        <v>84</v>
      </c>
      <c r="N5411" s="2" t="s">
        <v>84</v>
      </c>
      <c r="O5411" s="2" t="s">
        <v>841</v>
      </c>
      <c r="P5411" s="155" t="s">
        <v>3433</v>
      </c>
    </row>
    <row r="5412" spans="1:16" ht="21" customHeight="1" x14ac:dyDescent="0.15">
      <c r="A5412" s="10" t="str">
        <f t="shared" si="990"/>
        <v>7345_1_0_1_ticket_green_bouquet</v>
      </c>
      <c r="B5412" s="2">
        <f>B5401+1</f>
        <v>7345</v>
      </c>
      <c r="C5412" s="30" t="str">
        <f>VLOOKUP(B5412,gachas!A:C,3)</f>
        <v>ジューンブライド_グリーンブーケガチャ</v>
      </c>
      <c r="D5412" s="21">
        <v>1</v>
      </c>
      <c r="E5412" s="2">
        <v>0</v>
      </c>
      <c r="F5412" s="21">
        <v>1</v>
      </c>
      <c r="G5412" s="58" t="s">
        <v>3420</v>
      </c>
      <c r="H5412" s="2">
        <v>1</v>
      </c>
      <c r="I5412" s="114" t="str">
        <f t="shared" ref="I5412" si="996">B5412&amp;TEXT(D5412,"00")&amp;E5412</f>
        <v>7345010</v>
      </c>
      <c r="J5412" s="112" t="s">
        <v>84</v>
      </c>
      <c r="K5412" s="2" t="s">
        <v>257</v>
      </c>
      <c r="L5412" s="2">
        <v>0</v>
      </c>
      <c r="M5412" s="2" t="s">
        <v>84</v>
      </c>
      <c r="N5412" s="2" t="s">
        <v>84</v>
      </c>
      <c r="O5412" s="2" t="s">
        <v>841</v>
      </c>
      <c r="P5412" s="2" t="s">
        <v>84</v>
      </c>
    </row>
    <row r="5413" spans="1:16" ht="21" customHeight="1" x14ac:dyDescent="0.15">
      <c r="A5413" s="10" t="str">
        <f t="shared" si="990"/>
        <v>7346_10_0_10_ticket_green_bouquet</v>
      </c>
      <c r="B5413" s="2">
        <f t="shared" ref="B5413" si="997">B5412+1</f>
        <v>7346</v>
      </c>
      <c r="C5413" s="30" t="str">
        <f>VLOOKUP(B5413,gachas!A:C,3)</f>
        <v>ジューンブライド_グリーンブーケガチャ10連</v>
      </c>
      <c r="D5413" s="21">
        <v>10</v>
      </c>
      <c r="E5413" s="2">
        <v>0</v>
      </c>
      <c r="F5413" s="21">
        <v>10</v>
      </c>
      <c r="G5413" s="58" t="s">
        <v>3420</v>
      </c>
      <c r="H5413" s="2">
        <v>10</v>
      </c>
      <c r="I5413" s="119" t="str">
        <f>$I$5412</f>
        <v>7345010</v>
      </c>
      <c r="J5413" s="112" t="s">
        <v>84</v>
      </c>
      <c r="K5413" s="2">
        <v>7346100</v>
      </c>
      <c r="L5413" s="2">
        <v>1</v>
      </c>
      <c r="M5413" s="2" t="s">
        <v>84</v>
      </c>
      <c r="N5413" s="2" t="s">
        <v>84</v>
      </c>
      <c r="O5413" s="2" t="s">
        <v>841</v>
      </c>
      <c r="P5413" s="2" t="s">
        <v>84</v>
      </c>
    </row>
    <row r="5414" spans="1:16" ht="21" customHeight="1" x14ac:dyDescent="0.15">
      <c r="A5414" s="10" t="str">
        <f t="shared" ref="A5414:A5423" si="998">B5414&amp;"_"&amp;D5414&amp;"_"&amp;E5414&amp;"_"&amp;F5414&amp;"_"&amp;G5414</f>
        <v>7346_10_1_10_ticket_green_bouquet</v>
      </c>
      <c r="B5414" s="2">
        <f>$B$5413</f>
        <v>7346</v>
      </c>
      <c r="C5414" s="30" t="str">
        <f>VLOOKUP(B5414,gachas!A:C,3)</f>
        <v>ジューンブライド_グリーンブーケガチャ10連</v>
      </c>
      <c r="D5414" s="21">
        <v>10</v>
      </c>
      <c r="E5414" s="2">
        <v>1</v>
      </c>
      <c r="F5414" s="21">
        <v>10</v>
      </c>
      <c r="G5414" s="58" t="s">
        <v>3420</v>
      </c>
      <c r="H5414" s="2">
        <v>10</v>
      </c>
      <c r="I5414" s="119" t="str">
        <f>$I$5412</f>
        <v>7345010</v>
      </c>
      <c r="J5414" s="112">
        <v>734601</v>
      </c>
      <c r="K5414" s="2">
        <v>7346100</v>
      </c>
      <c r="L5414" s="2">
        <v>1</v>
      </c>
      <c r="M5414" s="2" t="s">
        <v>84</v>
      </c>
      <c r="N5414" s="2" t="s">
        <v>84</v>
      </c>
      <c r="O5414" s="2" t="s">
        <v>841</v>
      </c>
      <c r="P5414" s="155" t="s">
        <v>3424</v>
      </c>
    </row>
    <row r="5415" spans="1:16" ht="21" customHeight="1" x14ac:dyDescent="0.15">
      <c r="A5415" s="10" t="str">
        <f t="shared" si="998"/>
        <v>7346_10_2_10_ticket_green_bouquet</v>
      </c>
      <c r="B5415" s="2">
        <f>$B$5413</f>
        <v>7346</v>
      </c>
      <c r="C5415" s="30" t="str">
        <f>VLOOKUP(B5415,gachas!A:C,3)</f>
        <v>ジューンブライド_グリーンブーケガチャ10連</v>
      </c>
      <c r="D5415" s="21">
        <v>10</v>
      </c>
      <c r="E5415" s="2">
        <v>2</v>
      </c>
      <c r="F5415" s="21">
        <v>10</v>
      </c>
      <c r="G5415" s="58" t="s">
        <v>3420</v>
      </c>
      <c r="H5415" s="2">
        <v>10</v>
      </c>
      <c r="I5415" s="119" t="str">
        <f t="shared" ref="I5415:I5423" si="999">$I$5412</f>
        <v>7345010</v>
      </c>
      <c r="J5415" s="112">
        <v>734602</v>
      </c>
      <c r="K5415" s="2">
        <v>7346100</v>
      </c>
      <c r="L5415" s="2">
        <v>1</v>
      </c>
      <c r="M5415" s="2" t="s">
        <v>84</v>
      </c>
      <c r="N5415" s="2" t="s">
        <v>84</v>
      </c>
      <c r="O5415" s="2" t="s">
        <v>841</v>
      </c>
      <c r="P5415" s="155" t="s">
        <v>3425</v>
      </c>
    </row>
    <row r="5416" spans="1:16" ht="21" customHeight="1" x14ac:dyDescent="0.15">
      <c r="A5416" s="10" t="str">
        <f t="shared" si="998"/>
        <v>7346_10_3_10_ticket_green_bouquet</v>
      </c>
      <c r="B5416" s="2">
        <f t="shared" ref="B5416:B5423" si="1000">$B$5413</f>
        <v>7346</v>
      </c>
      <c r="C5416" s="30" t="str">
        <f>VLOOKUP(B5416,gachas!A:C,3)</f>
        <v>ジューンブライド_グリーンブーケガチャ10連</v>
      </c>
      <c r="D5416" s="21">
        <v>10</v>
      </c>
      <c r="E5416" s="2">
        <v>3</v>
      </c>
      <c r="F5416" s="21">
        <v>10</v>
      </c>
      <c r="G5416" s="58" t="s">
        <v>3420</v>
      </c>
      <c r="H5416" s="2">
        <v>10</v>
      </c>
      <c r="I5416" s="119" t="str">
        <f t="shared" si="999"/>
        <v>7345010</v>
      </c>
      <c r="J5416" s="112">
        <v>734603</v>
      </c>
      <c r="K5416" s="2">
        <v>7346100</v>
      </c>
      <c r="L5416" s="2">
        <v>1</v>
      </c>
      <c r="M5416" s="2" t="s">
        <v>84</v>
      </c>
      <c r="N5416" s="2" t="s">
        <v>84</v>
      </c>
      <c r="O5416" s="2" t="s">
        <v>841</v>
      </c>
      <c r="P5416" s="155" t="s">
        <v>3426</v>
      </c>
    </row>
    <row r="5417" spans="1:16" ht="21" customHeight="1" x14ac:dyDescent="0.15">
      <c r="A5417" s="10" t="str">
        <f t="shared" si="998"/>
        <v>7346_10_4_10_ticket_green_bouquet</v>
      </c>
      <c r="B5417" s="2">
        <f t="shared" si="1000"/>
        <v>7346</v>
      </c>
      <c r="C5417" s="30" t="str">
        <f>VLOOKUP(B5417,gachas!A:C,3)</f>
        <v>ジューンブライド_グリーンブーケガチャ10連</v>
      </c>
      <c r="D5417" s="21">
        <v>10</v>
      </c>
      <c r="E5417" s="2">
        <v>4</v>
      </c>
      <c r="F5417" s="21">
        <v>10</v>
      </c>
      <c r="G5417" s="58" t="s">
        <v>3420</v>
      </c>
      <c r="H5417" s="2">
        <v>10</v>
      </c>
      <c r="I5417" s="119" t="str">
        <f t="shared" si="999"/>
        <v>7345010</v>
      </c>
      <c r="J5417" s="112">
        <v>734604</v>
      </c>
      <c r="K5417" s="2">
        <v>7346100</v>
      </c>
      <c r="L5417" s="2">
        <v>1</v>
      </c>
      <c r="M5417" s="2" t="s">
        <v>84</v>
      </c>
      <c r="N5417" s="2" t="s">
        <v>84</v>
      </c>
      <c r="O5417" s="2" t="s">
        <v>841</v>
      </c>
      <c r="P5417" s="155" t="s">
        <v>3427</v>
      </c>
    </row>
    <row r="5418" spans="1:16" ht="21" customHeight="1" x14ac:dyDescent="0.15">
      <c r="A5418" s="10" t="str">
        <f t="shared" si="998"/>
        <v>7346_10_5_10_ticket_green_bouquet</v>
      </c>
      <c r="B5418" s="2">
        <f t="shared" si="1000"/>
        <v>7346</v>
      </c>
      <c r="C5418" s="30" t="str">
        <f>VLOOKUP(B5418,gachas!A:C,3)</f>
        <v>ジューンブライド_グリーンブーケガチャ10連</v>
      </c>
      <c r="D5418" s="21">
        <v>10</v>
      </c>
      <c r="E5418" s="2">
        <v>5</v>
      </c>
      <c r="F5418" s="21">
        <v>10</v>
      </c>
      <c r="G5418" s="58" t="s">
        <v>3420</v>
      </c>
      <c r="H5418" s="2">
        <v>10</v>
      </c>
      <c r="I5418" s="119" t="str">
        <f t="shared" si="999"/>
        <v>7345010</v>
      </c>
      <c r="J5418" s="112">
        <v>734605</v>
      </c>
      <c r="K5418" s="2">
        <v>7346100</v>
      </c>
      <c r="L5418" s="2">
        <v>1</v>
      </c>
      <c r="M5418" s="2" t="s">
        <v>84</v>
      </c>
      <c r="N5418" s="2" t="s">
        <v>84</v>
      </c>
      <c r="O5418" s="2" t="s">
        <v>841</v>
      </c>
      <c r="P5418" s="155" t="s">
        <v>3428</v>
      </c>
    </row>
    <row r="5419" spans="1:16" ht="21" customHeight="1" x14ac:dyDescent="0.15">
      <c r="A5419" s="10" t="str">
        <f t="shared" si="998"/>
        <v>7346_10_6_10_ticket_green_bouquet</v>
      </c>
      <c r="B5419" s="2">
        <f t="shared" si="1000"/>
        <v>7346</v>
      </c>
      <c r="C5419" s="30" t="str">
        <f>VLOOKUP(B5419,gachas!A:C,3)</f>
        <v>ジューンブライド_グリーンブーケガチャ10連</v>
      </c>
      <c r="D5419" s="21">
        <v>10</v>
      </c>
      <c r="E5419" s="2">
        <v>6</v>
      </c>
      <c r="F5419" s="21">
        <v>10</v>
      </c>
      <c r="G5419" s="58" t="s">
        <v>3420</v>
      </c>
      <c r="H5419" s="2">
        <v>10</v>
      </c>
      <c r="I5419" s="119" t="str">
        <f t="shared" si="999"/>
        <v>7345010</v>
      </c>
      <c r="J5419" s="112">
        <v>734606</v>
      </c>
      <c r="K5419" s="2">
        <v>7346100</v>
      </c>
      <c r="L5419" s="2">
        <v>1</v>
      </c>
      <c r="M5419" s="2" t="s">
        <v>84</v>
      </c>
      <c r="N5419" s="2" t="s">
        <v>84</v>
      </c>
      <c r="O5419" s="2" t="s">
        <v>841</v>
      </c>
      <c r="P5419" s="155" t="s">
        <v>3429</v>
      </c>
    </row>
    <row r="5420" spans="1:16" ht="21" customHeight="1" x14ac:dyDescent="0.15">
      <c r="A5420" s="10" t="str">
        <f t="shared" si="998"/>
        <v>7346_10_7_10_ticket_green_bouquet</v>
      </c>
      <c r="B5420" s="2">
        <f t="shared" si="1000"/>
        <v>7346</v>
      </c>
      <c r="C5420" s="30" t="str">
        <f>VLOOKUP(B5420,gachas!A:C,3)</f>
        <v>ジューンブライド_グリーンブーケガチャ10連</v>
      </c>
      <c r="D5420" s="21">
        <v>10</v>
      </c>
      <c r="E5420" s="2">
        <v>7</v>
      </c>
      <c r="F5420" s="21">
        <v>10</v>
      </c>
      <c r="G5420" s="58" t="s">
        <v>3420</v>
      </c>
      <c r="H5420" s="2">
        <v>10</v>
      </c>
      <c r="I5420" s="119" t="str">
        <f t="shared" si="999"/>
        <v>7345010</v>
      </c>
      <c r="J5420" s="112">
        <v>734607</v>
      </c>
      <c r="K5420" s="2">
        <v>7346100</v>
      </c>
      <c r="L5420" s="2">
        <v>1</v>
      </c>
      <c r="M5420" s="2" t="s">
        <v>84</v>
      </c>
      <c r="N5420" s="2" t="s">
        <v>84</v>
      </c>
      <c r="O5420" s="2" t="s">
        <v>841</v>
      </c>
      <c r="P5420" s="155" t="s">
        <v>3430</v>
      </c>
    </row>
    <row r="5421" spans="1:16" ht="21" customHeight="1" x14ac:dyDescent="0.15">
      <c r="A5421" s="10" t="str">
        <f t="shared" si="998"/>
        <v>7346_10_8_10_ticket_green_bouquet</v>
      </c>
      <c r="B5421" s="2">
        <f t="shared" si="1000"/>
        <v>7346</v>
      </c>
      <c r="C5421" s="30" t="str">
        <f>VLOOKUP(B5421,gachas!A:C,3)</f>
        <v>ジューンブライド_グリーンブーケガチャ10連</v>
      </c>
      <c r="D5421" s="21">
        <v>10</v>
      </c>
      <c r="E5421" s="2">
        <v>8</v>
      </c>
      <c r="F5421" s="21">
        <v>10</v>
      </c>
      <c r="G5421" s="58" t="s">
        <v>3420</v>
      </c>
      <c r="H5421" s="2">
        <v>10</v>
      </c>
      <c r="I5421" s="119" t="str">
        <f t="shared" si="999"/>
        <v>7345010</v>
      </c>
      <c r="J5421" s="112">
        <v>734608</v>
      </c>
      <c r="K5421" s="2">
        <v>7346100</v>
      </c>
      <c r="L5421" s="2">
        <v>1</v>
      </c>
      <c r="M5421" s="2" t="s">
        <v>84</v>
      </c>
      <c r="N5421" s="2" t="s">
        <v>84</v>
      </c>
      <c r="O5421" s="2" t="s">
        <v>841</v>
      </c>
      <c r="P5421" s="155" t="s">
        <v>3431</v>
      </c>
    </row>
    <row r="5422" spans="1:16" ht="21" customHeight="1" x14ac:dyDescent="0.15">
      <c r="A5422" s="10" t="str">
        <f t="shared" si="998"/>
        <v>7346_10_9_10_ticket_green_bouquet</v>
      </c>
      <c r="B5422" s="2">
        <f t="shared" si="1000"/>
        <v>7346</v>
      </c>
      <c r="C5422" s="30" t="str">
        <f>VLOOKUP(B5422,gachas!A:C,3)</f>
        <v>ジューンブライド_グリーンブーケガチャ10連</v>
      </c>
      <c r="D5422" s="21">
        <v>10</v>
      </c>
      <c r="E5422" s="2">
        <v>9</v>
      </c>
      <c r="F5422" s="21">
        <v>10</v>
      </c>
      <c r="G5422" s="58" t="s">
        <v>3420</v>
      </c>
      <c r="H5422" s="2">
        <v>10</v>
      </c>
      <c r="I5422" s="119" t="str">
        <f t="shared" si="999"/>
        <v>7345010</v>
      </c>
      <c r="J5422" s="112">
        <v>734609</v>
      </c>
      <c r="K5422" s="2">
        <v>7346100</v>
      </c>
      <c r="L5422" s="2">
        <v>1</v>
      </c>
      <c r="M5422" s="2" t="s">
        <v>84</v>
      </c>
      <c r="N5422" s="2" t="s">
        <v>84</v>
      </c>
      <c r="O5422" s="2" t="s">
        <v>841</v>
      </c>
      <c r="P5422" s="155" t="s">
        <v>3432</v>
      </c>
    </row>
    <row r="5423" spans="1:16" ht="21" customHeight="1" x14ac:dyDescent="0.15">
      <c r="A5423" s="10" t="str">
        <f t="shared" si="998"/>
        <v>7346_10_10_10_ticket_green_bouquet</v>
      </c>
      <c r="B5423" s="2">
        <f t="shared" si="1000"/>
        <v>7346</v>
      </c>
      <c r="C5423" s="30" t="str">
        <f>VLOOKUP(B5423,gachas!A:C,3)</f>
        <v>ジューンブライド_グリーンブーケガチャ10連</v>
      </c>
      <c r="D5423" s="21">
        <v>10</v>
      </c>
      <c r="E5423" s="2">
        <v>10</v>
      </c>
      <c r="F5423" s="21">
        <v>10</v>
      </c>
      <c r="G5423" s="58" t="s">
        <v>3420</v>
      </c>
      <c r="H5423" s="2">
        <v>10</v>
      </c>
      <c r="I5423" s="119" t="str">
        <f t="shared" si="999"/>
        <v>7345010</v>
      </c>
      <c r="J5423" s="112">
        <v>734610</v>
      </c>
      <c r="K5423" s="2">
        <v>7346100</v>
      </c>
      <c r="L5423" s="2">
        <v>1</v>
      </c>
      <c r="M5423" s="2" t="s">
        <v>84</v>
      </c>
      <c r="N5423" s="2" t="s">
        <v>84</v>
      </c>
      <c r="O5423" s="2" t="s">
        <v>841</v>
      </c>
      <c r="P5423" s="155" t="s">
        <v>3433</v>
      </c>
    </row>
  </sheetData>
  <phoneticPr fontId="12"/>
  <pageMargins left="0.75" right="0.75" top="1" bottom="1" header="0.3" footer="0.3"/>
  <pageSetup paperSize="9" orientation="portrait" horizontalDpi="4294967292" verticalDpi="4294967292"/>
  <ignoredErrors>
    <ignoredError sqref="I3318 J3328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0000FF"/>
    <outlinePr summaryBelow="0" summaryRight="0"/>
  </sheetPr>
  <dimension ref="A1:I193"/>
  <sheetViews>
    <sheetView showGridLines="0" workbookViewId="0">
      <pane xSplit="9" ySplit="1" topLeftCell="J160" activePane="bottomRight" state="frozen"/>
      <selection pane="topRight" activeCell="J1" sqref="J1"/>
      <selection pane="bottomLeft" activeCell="A2" sqref="A2"/>
      <selection pane="bottomRight" activeCell="D193" sqref="D193"/>
    </sheetView>
  </sheetViews>
  <sheetFormatPr baseColWidth="12" defaultRowHeight="21" customHeight="1" x14ac:dyDescent="0.15"/>
  <cols>
    <col min="1" max="1" width="14.19921875" style="1" customWidth="1"/>
    <col min="2" max="2" width="40" style="1" customWidth="1"/>
    <col min="3" max="6" width="13" style="1"/>
    <col min="7" max="7" width="24.3984375" style="1" bestFit="1" customWidth="1"/>
    <col min="10" max="16384" width="13" style="1"/>
  </cols>
  <sheetData>
    <row r="1" spans="1:9" ht="21" customHeight="1" x14ac:dyDescent="0.15">
      <c r="A1" s="5" t="s">
        <v>100</v>
      </c>
      <c r="B1" s="4" t="s">
        <v>482</v>
      </c>
      <c r="C1" s="22" t="s">
        <v>106</v>
      </c>
      <c r="D1" s="22" t="s">
        <v>832</v>
      </c>
      <c r="E1" s="22" t="s">
        <v>834</v>
      </c>
      <c r="F1" s="22" t="s">
        <v>835</v>
      </c>
      <c r="G1" s="5" t="s">
        <v>833</v>
      </c>
      <c r="I1" s="75" t="s">
        <v>843</v>
      </c>
    </row>
    <row r="2" spans="1:9" ht="21" customHeight="1" x14ac:dyDescent="0.15">
      <c r="A2" s="24">
        <v>0</v>
      </c>
      <c r="B2" s="23"/>
      <c r="C2" s="18">
        <v>1</v>
      </c>
      <c r="D2" s="2" t="s">
        <v>107</v>
      </c>
      <c r="E2" s="2" t="s">
        <v>836</v>
      </c>
      <c r="F2" s="2" t="s">
        <v>836</v>
      </c>
      <c r="G2" s="23"/>
      <c r="I2" t="s">
        <v>842</v>
      </c>
    </row>
    <row r="3" spans="1:9" ht="21" customHeight="1" x14ac:dyDescent="0.15">
      <c r="A3" s="24">
        <v>1</v>
      </c>
      <c r="B3" s="23"/>
      <c r="C3" s="18">
        <v>1</v>
      </c>
      <c r="D3" s="2" t="s">
        <v>107</v>
      </c>
      <c r="E3" s="2" t="s">
        <v>836</v>
      </c>
      <c r="F3" s="2" t="s">
        <v>836</v>
      </c>
      <c r="G3" s="23"/>
    </row>
    <row r="4" spans="1:9" ht="21" customHeight="1" x14ac:dyDescent="0.15">
      <c r="A4" s="24">
        <v>2</v>
      </c>
      <c r="B4" s="23"/>
      <c r="C4" s="18">
        <v>1</v>
      </c>
      <c r="D4" s="2" t="s">
        <v>107</v>
      </c>
      <c r="E4" s="2" t="s">
        <v>836</v>
      </c>
      <c r="F4" s="2" t="s">
        <v>836</v>
      </c>
      <c r="G4" s="23"/>
    </row>
    <row r="5" spans="1:9" ht="21" customHeight="1" x14ac:dyDescent="0.15">
      <c r="A5" s="21">
        <v>102</v>
      </c>
      <c r="B5" s="12" t="str">
        <f ca="1">VLOOKUP($A5,OFFSET(gachas!$A$1,0,0,COUNTA(gachas!$A:$A),MATCH(B$1,gachas!$1:$1,0)-MATCH($A$1,gachas!$1:$1,0)+1),MATCH(B$1,gachas!$1:$1,0)-MATCH($A$1,gachas!$1:$1,0)+1,FALSE)</f>
        <v>レアガチャ（追加02 確率UP）</v>
      </c>
      <c r="C5" s="18">
        <v>1</v>
      </c>
      <c r="D5" s="2" t="s">
        <v>107</v>
      </c>
      <c r="E5" s="2" t="s">
        <v>836</v>
      </c>
      <c r="F5" s="2" t="s">
        <v>836</v>
      </c>
      <c r="G5" s="20" t="s">
        <v>101</v>
      </c>
    </row>
    <row r="6" spans="1:9" ht="21" customHeight="1" x14ac:dyDescent="0.15">
      <c r="A6" s="21">
        <v>103</v>
      </c>
      <c r="B6" s="12" t="str">
        <f ca="1">VLOOKUP($A6,OFFSET(gachas!$A$1,0,0,COUNTA(gachas!$A:$A),MATCH(B$1,gachas!$1:$1,0)-MATCH($A$1,gachas!$1:$1,0)+1),MATCH(B$1,gachas!$1:$1,0)-MATCH($A$1,gachas!$1:$1,0)+1,FALSE)</f>
        <v>レアガチャ（追加02）（大罪）</v>
      </c>
      <c r="C6" s="18">
        <v>1</v>
      </c>
      <c r="D6" s="2" t="s">
        <v>107</v>
      </c>
      <c r="E6" s="2" t="s">
        <v>836</v>
      </c>
      <c r="F6" s="2" t="s">
        <v>836</v>
      </c>
      <c r="G6" s="20"/>
    </row>
    <row r="7" spans="1:9" ht="21" customHeight="1" x14ac:dyDescent="0.15">
      <c r="A7" s="21">
        <v>104</v>
      </c>
      <c r="B7" s="12" t="str">
        <f ca="1">VLOOKUP($A7,OFFSET(gachas!$A$1,0,0,COUNTA(gachas!$A:$A),MATCH(B$1,gachas!$1:$1,0)-MATCH($A$1,gachas!$1:$1,0)+1),MATCH(B$1,gachas!$1:$1,0)-MATCH($A$1,gachas!$1:$1,0)+1,FALSE)</f>
        <v>ピックアップ01　開始</v>
      </c>
      <c r="C7" s="18">
        <v>1</v>
      </c>
      <c r="D7" s="2" t="s">
        <v>107</v>
      </c>
      <c r="E7" s="2" t="s">
        <v>836</v>
      </c>
      <c r="F7" s="2" t="s">
        <v>836</v>
      </c>
      <c r="G7" s="20"/>
    </row>
    <row r="8" spans="1:9" ht="21" customHeight="1" x14ac:dyDescent="0.15">
      <c r="A8" s="21">
        <v>105</v>
      </c>
      <c r="B8" s="12" t="str">
        <f ca="1">VLOOKUP($A8,OFFSET(gachas!$A$1,0,0,COUNTA(gachas!$A:$A),MATCH(B$1,gachas!$1:$1,0)-MATCH($A$1,gachas!$1:$1,0)+1),MATCH(B$1,gachas!$1:$1,0)-MATCH($A$1,gachas!$1:$1,0)+1,FALSE)</f>
        <v>ピックアップ01　あと少し</v>
      </c>
      <c r="C8" s="18">
        <v>1</v>
      </c>
      <c r="D8" s="2" t="s">
        <v>107</v>
      </c>
      <c r="E8" s="2" t="s">
        <v>836</v>
      </c>
      <c r="F8" s="2" t="s">
        <v>836</v>
      </c>
      <c r="G8" s="20"/>
    </row>
    <row r="9" spans="1:9" ht="21" customHeight="1" x14ac:dyDescent="0.15">
      <c r="A9" s="21">
        <v>106</v>
      </c>
      <c r="B9" s="12" t="str">
        <f ca="1">VLOOKUP($A9,OFFSET(gachas!$A$1,0,0,COUNTA(gachas!$A:$A),MATCH(B$1,gachas!$1:$1,0)-MATCH($A$1,gachas!$1:$1,0)+1),MATCH(B$1,gachas!$1:$1,0)-MATCH($A$1,gachas!$1:$1,0)+1,FALSE)</f>
        <v>ピックアップ01　最終日</v>
      </c>
      <c r="C9" s="18">
        <v>1</v>
      </c>
      <c r="D9" s="2" t="s">
        <v>107</v>
      </c>
      <c r="E9" s="2" t="s">
        <v>836</v>
      </c>
      <c r="F9" s="2" t="s">
        <v>836</v>
      </c>
      <c r="G9" s="20"/>
    </row>
    <row r="10" spans="1:9" ht="21" customHeight="1" x14ac:dyDescent="0.15">
      <c r="A10" s="21">
        <v>107</v>
      </c>
      <c r="B10" s="12" t="str">
        <f ca="1">VLOOKUP($A10,OFFSET(gachas!$A$1,0,0,COUNTA(gachas!$A:$A),MATCH(B$1,gachas!$1:$1,0)-MATCH($A$1,gachas!$1:$1,0)+1),MATCH(B$1,gachas!$1:$1,0)-MATCH($A$1,gachas!$1:$1,0)+1,FALSE)</f>
        <v>新キャラ追加03（新撰組）</v>
      </c>
      <c r="C10" s="18">
        <v>1</v>
      </c>
      <c r="D10" s="2" t="s">
        <v>107</v>
      </c>
      <c r="E10" s="2" t="s">
        <v>836</v>
      </c>
      <c r="F10" s="2" t="s">
        <v>836</v>
      </c>
      <c r="G10" s="20"/>
    </row>
    <row r="11" spans="1:9" ht="21" customHeight="1" x14ac:dyDescent="0.15">
      <c r="A11" s="21">
        <v>108</v>
      </c>
      <c r="B11" s="12" t="str">
        <f ca="1">VLOOKUP($A11,OFFSET(gachas!$A$1,0,0,COUNTA(gachas!$A:$A),MATCH(B$1,gachas!$1:$1,0)-MATCH($A$1,gachas!$1:$1,0)+1),MATCH(B$1,gachas!$1:$1,0)-MATCH($A$1,gachas!$1:$1,0)+1,FALSE)</f>
        <v>赤アップ01　開始</v>
      </c>
      <c r="C11" s="18">
        <v>1</v>
      </c>
      <c r="D11" s="2" t="s">
        <v>107</v>
      </c>
      <c r="E11" s="2" t="s">
        <v>836</v>
      </c>
      <c r="F11" s="2" t="s">
        <v>836</v>
      </c>
      <c r="G11" s="20"/>
    </row>
    <row r="12" spans="1:9" ht="21" customHeight="1" x14ac:dyDescent="0.15">
      <c r="A12" s="21">
        <v>109</v>
      </c>
      <c r="B12" s="12" t="str">
        <f ca="1">VLOOKUP($A12,OFFSET(gachas!$A$1,0,0,COUNTA(gachas!$A:$A),MATCH(B$1,gachas!$1:$1,0)-MATCH($A$1,gachas!$1:$1,0)+1),MATCH(B$1,gachas!$1:$1,0)-MATCH($A$1,gachas!$1:$1,0)+1,FALSE)</f>
        <v>赤アップ0１　あと少し</v>
      </c>
      <c r="C12" s="18">
        <v>1</v>
      </c>
      <c r="D12" s="2" t="s">
        <v>107</v>
      </c>
      <c r="E12" s="2" t="s">
        <v>836</v>
      </c>
      <c r="F12" s="2" t="s">
        <v>836</v>
      </c>
      <c r="G12" s="20"/>
    </row>
    <row r="13" spans="1:9" ht="21" customHeight="1" x14ac:dyDescent="0.15">
      <c r="A13" s="21">
        <v>110</v>
      </c>
      <c r="B13" s="12" t="str">
        <f ca="1">VLOOKUP($A13,OFFSET(gachas!$A$1,0,0,COUNTA(gachas!$A:$A),MATCH(B$1,gachas!$1:$1,0)-MATCH($A$1,gachas!$1:$1,0)+1),MATCH(B$1,gachas!$1:$1,0)-MATCH($A$1,gachas!$1:$1,0)+1,FALSE)</f>
        <v>赤アップ0１　最終日</v>
      </c>
      <c r="C13" s="18">
        <v>1</v>
      </c>
      <c r="D13" s="2" t="s">
        <v>107</v>
      </c>
      <c r="E13" s="2" t="s">
        <v>836</v>
      </c>
      <c r="F13" s="2" t="s">
        <v>836</v>
      </c>
      <c r="G13" s="20"/>
    </row>
    <row r="14" spans="1:9" ht="21" customHeight="1" x14ac:dyDescent="0.15">
      <c r="A14" s="21">
        <v>111</v>
      </c>
      <c r="B14" s="12" t="str">
        <f ca="1">VLOOKUP($A14,OFFSET(gachas!$A$1,0,0,COUNTA(gachas!$A:$A),MATCH(B$1,gachas!$1:$1,0)-MATCH($A$1,gachas!$1:$1,0)+1),MATCH(B$1,gachas!$1:$1,0)-MATCH($A$1,gachas!$1:$1,0)+1,FALSE)</f>
        <v>ピックアップ02(沖田) 開始</v>
      </c>
      <c r="C14" s="18">
        <v>1</v>
      </c>
      <c r="D14" s="2" t="s">
        <v>107</v>
      </c>
      <c r="E14" s="2" t="s">
        <v>836</v>
      </c>
      <c r="F14" s="2" t="s">
        <v>836</v>
      </c>
      <c r="G14" s="20"/>
    </row>
    <row r="15" spans="1:9" ht="21" customHeight="1" x14ac:dyDescent="0.15">
      <c r="A15" s="21">
        <v>112</v>
      </c>
      <c r="B15" s="12" t="str">
        <f ca="1">VLOOKUP($A15,OFFSET(gachas!$A$1,0,0,COUNTA(gachas!$A:$A),MATCH(B$1,gachas!$1:$1,0)-MATCH($A$1,gachas!$1:$1,0)+1),MATCH(B$1,gachas!$1:$1,0)-MATCH($A$1,gachas!$1:$1,0)+1,FALSE)</f>
        <v>ピックアップ02(沖田) あと少し</v>
      </c>
      <c r="C15" s="18">
        <v>1</v>
      </c>
      <c r="D15" s="2" t="s">
        <v>107</v>
      </c>
      <c r="E15" s="2" t="s">
        <v>836</v>
      </c>
      <c r="F15" s="2" t="s">
        <v>836</v>
      </c>
      <c r="G15" s="20"/>
    </row>
    <row r="16" spans="1:9" ht="21" customHeight="1" x14ac:dyDescent="0.15">
      <c r="A16" s="21">
        <v>113</v>
      </c>
      <c r="B16" s="12" t="str">
        <f ca="1">VLOOKUP($A16,OFFSET(gachas!$A$1,0,0,COUNTA(gachas!$A:$A),MATCH(B$1,gachas!$1:$1,0)-MATCH($A$1,gachas!$1:$1,0)+1),MATCH(B$1,gachas!$1:$1,0)-MATCH($A$1,gachas!$1:$1,0)+1,FALSE)</f>
        <v>ピックアップ02(沖田) 最終日</v>
      </c>
      <c r="C16" s="18">
        <v>1</v>
      </c>
      <c r="D16" s="2" t="s">
        <v>107</v>
      </c>
      <c r="E16" s="2" t="s">
        <v>836</v>
      </c>
      <c r="F16" s="2" t="s">
        <v>836</v>
      </c>
      <c r="G16" s="20"/>
    </row>
    <row r="17" spans="1:7" ht="21" customHeight="1" x14ac:dyDescent="0.15">
      <c r="A17" s="21">
        <v>114</v>
      </c>
      <c r="B17" s="12" t="str">
        <f ca="1">VLOOKUP($A17,OFFSET(gachas!$A$1,0,0,COUNTA(gachas!$A:$A),MATCH(B$1,gachas!$1:$1,0)-MATCH($A$1,gachas!$1:$1,0)+1),MATCH(B$1,gachas!$1:$1,0)-MATCH($A$1,gachas!$1:$1,0)+1,FALSE)</f>
        <v>新キャラ追加04(ドラゴン）確率アップ</v>
      </c>
      <c r="C17" s="18">
        <v>1</v>
      </c>
      <c r="D17" s="2" t="s">
        <v>107</v>
      </c>
      <c r="E17" s="2" t="s">
        <v>836</v>
      </c>
      <c r="F17" s="2" t="s">
        <v>836</v>
      </c>
      <c r="G17" s="20"/>
    </row>
    <row r="18" spans="1:7" ht="21" customHeight="1" x14ac:dyDescent="0.15">
      <c r="A18" s="21">
        <v>115</v>
      </c>
      <c r="B18" s="12" t="str">
        <f ca="1">VLOOKUP($A18,OFFSET(gachas!$A$1,0,0,COUNTA(gachas!$A:$A),MATCH(B$1,gachas!$1:$1,0)-MATCH($A$1,gachas!$1:$1,0)+1),MATCH(B$1,gachas!$1:$1,0)-MATCH($A$1,gachas!$1:$1,0)+1,FALSE)</f>
        <v>青アップ01　開始</v>
      </c>
      <c r="C18" s="18">
        <v>1</v>
      </c>
      <c r="D18" s="2" t="s">
        <v>107</v>
      </c>
      <c r="E18" s="2" t="s">
        <v>836</v>
      </c>
      <c r="F18" s="2" t="s">
        <v>836</v>
      </c>
      <c r="G18" s="20"/>
    </row>
    <row r="19" spans="1:7" ht="21" customHeight="1" x14ac:dyDescent="0.15">
      <c r="A19" s="21">
        <v>116</v>
      </c>
      <c r="B19" s="12" t="str">
        <f ca="1">VLOOKUP($A19,OFFSET(gachas!$A$1,0,0,COUNTA(gachas!$A:$A),MATCH(B$1,gachas!$1:$1,0)-MATCH($A$1,gachas!$1:$1,0)+1),MATCH(B$1,gachas!$1:$1,0)-MATCH($A$1,gachas!$1:$1,0)+1,FALSE)</f>
        <v>青アップ0１　あと少し</v>
      </c>
      <c r="C19" s="18">
        <v>1</v>
      </c>
      <c r="D19" s="2" t="s">
        <v>107</v>
      </c>
      <c r="E19" s="2" t="s">
        <v>836</v>
      </c>
      <c r="F19" s="2" t="s">
        <v>836</v>
      </c>
      <c r="G19" s="20"/>
    </row>
    <row r="20" spans="1:7" ht="21" customHeight="1" x14ac:dyDescent="0.15">
      <c r="A20" s="21">
        <v>117</v>
      </c>
      <c r="B20" s="12" t="str">
        <f ca="1">VLOOKUP($A20,OFFSET(gachas!$A$1,0,0,COUNTA(gachas!$A:$A),MATCH(B$1,gachas!$1:$1,0)-MATCH($A$1,gachas!$1:$1,0)+1),MATCH(B$1,gachas!$1:$1,0)-MATCH($A$1,gachas!$1:$1,0)+1,FALSE)</f>
        <v>青アップ0１　最終日</v>
      </c>
      <c r="C20" s="18">
        <v>1</v>
      </c>
      <c r="D20" s="2" t="s">
        <v>107</v>
      </c>
      <c r="E20" s="2" t="s">
        <v>836</v>
      </c>
      <c r="F20" s="2" t="s">
        <v>836</v>
      </c>
      <c r="G20" s="20"/>
    </row>
    <row r="21" spans="1:7" ht="21" customHeight="1" x14ac:dyDescent="0.15">
      <c r="A21" s="21">
        <v>118</v>
      </c>
      <c r="B21" s="12" t="str">
        <f ca="1">VLOOKUP($A21,OFFSET(gachas!$A$1,0,0,COUNTA(gachas!$A:$A),MATCH(B$1,gachas!$1:$1,0)-MATCH($A$1,gachas!$1:$1,0)+1),MATCH(B$1,gachas!$1:$1,0)-MATCH($A$1,gachas!$1:$1,0)+1,FALSE)</f>
        <v>緑アップ01 開始</v>
      </c>
      <c r="C21" s="18">
        <v>1</v>
      </c>
      <c r="D21" s="2" t="s">
        <v>107</v>
      </c>
      <c r="E21" s="2" t="s">
        <v>836</v>
      </c>
      <c r="F21" s="2" t="s">
        <v>836</v>
      </c>
      <c r="G21" s="20"/>
    </row>
    <row r="22" spans="1:7" ht="21" customHeight="1" x14ac:dyDescent="0.15">
      <c r="A22" s="21">
        <v>119</v>
      </c>
      <c r="B22" s="12" t="str">
        <f ca="1">VLOOKUP($A22,OFFSET(gachas!$A$1,0,0,COUNTA(gachas!$A:$A),MATCH(B$1,gachas!$1:$1,0)-MATCH($A$1,gachas!$1:$1,0)+1),MATCH(B$1,gachas!$1:$1,0)-MATCH($A$1,gachas!$1:$1,0)+1,FALSE)</f>
        <v>緑アップ01 あと少し</v>
      </c>
      <c r="C22" s="18">
        <v>1</v>
      </c>
      <c r="D22" s="2" t="s">
        <v>107</v>
      </c>
      <c r="E22" s="2" t="s">
        <v>836</v>
      </c>
      <c r="F22" s="2" t="s">
        <v>836</v>
      </c>
      <c r="G22" s="20"/>
    </row>
    <row r="23" spans="1:7" ht="21" customHeight="1" x14ac:dyDescent="0.15">
      <c r="A23" s="21">
        <v>120</v>
      </c>
      <c r="B23" s="12" t="str">
        <f ca="1">VLOOKUP($A23,OFFSET(gachas!$A$1,0,0,COUNTA(gachas!$A:$A),MATCH(B$1,gachas!$1:$1,0)-MATCH($A$1,gachas!$1:$1,0)+1),MATCH(B$1,gachas!$1:$1,0)-MATCH($A$1,gachas!$1:$1,0)+1,FALSE)</f>
        <v>緑アップ01 最終日</v>
      </c>
      <c r="C23" s="18">
        <v>1</v>
      </c>
      <c r="D23" s="2" t="s">
        <v>107</v>
      </c>
      <c r="E23" s="2" t="s">
        <v>836</v>
      </c>
      <c r="F23" s="2" t="s">
        <v>836</v>
      </c>
      <c r="G23" s="20"/>
    </row>
    <row r="24" spans="1:7" ht="21" customHeight="1" x14ac:dyDescent="0.15">
      <c r="A24" s="21">
        <v>121</v>
      </c>
      <c r="B24" s="12" t="str">
        <f ca="1">VLOOKUP($A24,OFFSET(gachas!$A$1,0,0,COUNTA(gachas!$A:$A),MATCH(B$1,gachas!$1:$1,0)-MATCH($A$1,gachas!$1:$1,0)+1),MATCH(B$1,gachas!$1:$1,0)-MATCH($A$1,gachas!$1:$1,0)+1,FALSE)</f>
        <v>赤アップ02開始</v>
      </c>
      <c r="C24" s="18">
        <v>1</v>
      </c>
      <c r="D24" s="2" t="s">
        <v>107</v>
      </c>
      <c r="E24" s="2" t="s">
        <v>836</v>
      </c>
      <c r="F24" s="2" t="s">
        <v>836</v>
      </c>
      <c r="G24" s="20"/>
    </row>
    <row r="25" spans="1:7" ht="21" customHeight="1" x14ac:dyDescent="0.15">
      <c r="A25" s="21">
        <v>122</v>
      </c>
      <c r="B25" s="12" t="str">
        <f ca="1">VLOOKUP($A25,OFFSET(gachas!$A$1,0,0,COUNTA(gachas!$A:$A),MATCH(B$1,gachas!$1:$1,0)-MATCH($A$1,gachas!$1:$1,0)+1),MATCH(B$1,gachas!$1:$1,0)-MATCH($A$1,gachas!$1:$1,0)+1,FALSE)</f>
        <v>新キャラ追加04(ドラゴン）あと少し</v>
      </c>
      <c r="C25" s="18">
        <v>1</v>
      </c>
      <c r="D25" s="2" t="s">
        <v>107</v>
      </c>
      <c r="E25" s="2" t="s">
        <v>836</v>
      </c>
      <c r="F25" s="2" t="s">
        <v>836</v>
      </c>
      <c r="G25" s="20"/>
    </row>
    <row r="26" spans="1:7" ht="21" customHeight="1" x14ac:dyDescent="0.15">
      <c r="A26" s="21">
        <v>123</v>
      </c>
      <c r="B26" s="12" t="str">
        <f ca="1">VLOOKUP($A26,OFFSET(gachas!$A$1,0,0,COUNTA(gachas!$A:$A),MATCH(B$1,gachas!$1:$1,0)-MATCH($A$1,gachas!$1:$1,0)+1),MATCH(B$1,gachas!$1:$1,0)-MATCH($A$1,gachas!$1:$1,0)+1,FALSE)</f>
        <v>新キャラ追加04(ドラゴン）最終日</v>
      </c>
      <c r="C26" s="18">
        <v>1</v>
      </c>
      <c r="D26" s="2" t="s">
        <v>107</v>
      </c>
      <c r="E26" s="2" t="s">
        <v>836</v>
      </c>
      <c r="F26" s="2" t="s">
        <v>836</v>
      </c>
      <c r="G26" s="20"/>
    </row>
    <row r="27" spans="1:7" ht="21" customHeight="1" x14ac:dyDescent="0.15">
      <c r="A27" s="21">
        <v>124</v>
      </c>
      <c r="B27" s="12" t="str">
        <f ca="1">VLOOKUP($A27,OFFSET(gachas!$A$1,0,0,COUNTA(gachas!$A:$A),MATCH(B$1,gachas!$1:$1,0)-MATCH($A$1,gachas!$1:$1,0)+1),MATCH(B$1,gachas!$1:$1,0)-MATCH($A$1,gachas!$1:$1,0)+1,FALSE)</f>
        <v>新キャラ追加04(ドラゴン)通常</v>
      </c>
      <c r="C27" s="18">
        <v>1</v>
      </c>
      <c r="D27" s="2" t="s">
        <v>107</v>
      </c>
      <c r="E27" s="2" t="s">
        <v>836</v>
      </c>
      <c r="F27" s="2" t="s">
        <v>836</v>
      </c>
      <c r="G27" s="20"/>
    </row>
    <row r="28" spans="1:7" ht="21" customHeight="1" x14ac:dyDescent="0.15">
      <c r="A28" s="21">
        <v>125</v>
      </c>
      <c r="B28" s="12" t="str">
        <f ca="1">VLOOKUP($A28,OFFSET(gachas!$A$1,0,0,COUNTA(gachas!$A:$A),MATCH(B$1,gachas!$1:$1,0)-MATCH($A$1,gachas!$1:$1,0)+1),MATCH(B$1,gachas!$1:$1,0)-MATCH($A$1,gachas!$1:$1,0)+1,FALSE)</f>
        <v>赤アップ02　あと少し</v>
      </c>
      <c r="C28" s="18">
        <v>1</v>
      </c>
      <c r="D28" s="2" t="s">
        <v>107</v>
      </c>
      <c r="E28" s="2" t="s">
        <v>836</v>
      </c>
      <c r="F28" s="2" t="s">
        <v>836</v>
      </c>
      <c r="G28" s="20"/>
    </row>
    <row r="29" spans="1:7" ht="21" customHeight="1" x14ac:dyDescent="0.15">
      <c r="A29" s="21">
        <v>126</v>
      </c>
      <c r="B29" s="12" t="str">
        <f ca="1">VLOOKUP($A29,OFFSET(gachas!$A$1,0,0,COUNTA(gachas!$A:$A),MATCH(B$1,gachas!$1:$1,0)-MATCH($A$1,gachas!$1:$1,0)+1),MATCH(B$1,gachas!$1:$1,0)-MATCH($A$1,gachas!$1:$1,0)+1,FALSE)</f>
        <v>赤アップ02　最終日</v>
      </c>
      <c r="C29" s="18">
        <v>1</v>
      </c>
      <c r="D29" s="2" t="s">
        <v>107</v>
      </c>
      <c r="E29" s="2" t="s">
        <v>836</v>
      </c>
      <c r="F29" s="2" t="s">
        <v>836</v>
      </c>
      <c r="G29" s="20"/>
    </row>
    <row r="30" spans="1:7" ht="21" customHeight="1" x14ac:dyDescent="0.15">
      <c r="A30" s="21">
        <v>127</v>
      </c>
      <c r="B30" s="12" t="str">
        <f ca="1">VLOOKUP($A30,OFFSET(gachas!$A$1,0,0,COUNTA(gachas!$A:$A),MATCH(B$1,gachas!$1:$1,0)-MATCH($A$1,gachas!$1:$1,0)+1),MATCH(B$1,gachas!$1:$1,0)-MATCH($A$1,gachas!$1:$1,0)+1,FALSE)</f>
        <v>黄アップ01　開始</v>
      </c>
      <c r="C30" s="18">
        <v>1</v>
      </c>
      <c r="D30" s="2" t="s">
        <v>107</v>
      </c>
      <c r="E30" s="2" t="s">
        <v>836</v>
      </c>
      <c r="F30" s="2" t="s">
        <v>836</v>
      </c>
      <c r="G30" s="20"/>
    </row>
    <row r="31" spans="1:7" ht="21" customHeight="1" x14ac:dyDescent="0.15">
      <c r="A31" s="21">
        <v>128</v>
      </c>
      <c r="B31" s="12" t="str">
        <f ca="1">VLOOKUP($A31,OFFSET(gachas!$A$1,0,0,COUNTA(gachas!$A:$A),MATCH(B$1,gachas!$1:$1,0)-MATCH($A$1,gachas!$1:$1,0)+1),MATCH(B$1,gachas!$1:$1,0)-MATCH($A$1,gachas!$1:$1,0)+1,FALSE)</f>
        <v>黄アップ01　あと少し</v>
      </c>
      <c r="C31" s="18">
        <v>1</v>
      </c>
      <c r="D31" s="2" t="s">
        <v>107</v>
      </c>
      <c r="E31" s="2" t="s">
        <v>836</v>
      </c>
      <c r="F31" s="2" t="s">
        <v>836</v>
      </c>
      <c r="G31" s="20"/>
    </row>
    <row r="32" spans="1:7" ht="21" customHeight="1" x14ac:dyDescent="0.15">
      <c r="A32" s="21">
        <v>129</v>
      </c>
      <c r="B32" s="12" t="str">
        <f ca="1">VLOOKUP($A32,OFFSET(gachas!$A$1,0,0,COUNTA(gachas!$A:$A),MATCH(B$1,gachas!$1:$1,0)-MATCH($A$1,gachas!$1:$1,0)+1),MATCH(B$1,gachas!$1:$1,0)-MATCH($A$1,gachas!$1:$1,0)+1,FALSE)</f>
        <v>黄アップ01　最終日</v>
      </c>
      <c r="C32" s="18">
        <v>1</v>
      </c>
      <c r="D32" s="2" t="s">
        <v>107</v>
      </c>
      <c r="E32" s="2" t="s">
        <v>836</v>
      </c>
      <c r="F32" s="2" t="s">
        <v>836</v>
      </c>
      <c r="G32" s="20"/>
    </row>
    <row r="33" spans="1:7" ht="21" customHeight="1" x14ac:dyDescent="0.15">
      <c r="A33" s="21">
        <v>130</v>
      </c>
      <c r="B33" s="12" t="str">
        <f ca="1">VLOOKUP($A33,OFFSET(gachas!$A$1,0,0,COUNTA(gachas!$A:$A),MATCH(B$1,gachas!$1:$1,0)-MATCH($A$1,gachas!$1:$1,0)+1),MATCH(B$1,gachas!$1:$1,0)-MATCH($A$1,gachas!$1:$1,0)+1,FALSE)</f>
        <v>新撰組UP 開始</v>
      </c>
      <c r="C33" s="18">
        <v>1</v>
      </c>
      <c r="D33" s="2" t="s">
        <v>107</v>
      </c>
      <c r="E33" s="2" t="s">
        <v>836</v>
      </c>
      <c r="F33" s="2" t="s">
        <v>836</v>
      </c>
      <c r="G33" s="20"/>
    </row>
    <row r="34" spans="1:7" ht="21" customHeight="1" x14ac:dyDescent="0.15">
      <c r="A34" s="21">
        <v>131</v>
      </c>
      <c r="B34" s="12" t="str">
        <f ca="1">VLOOKUP($A34,OFFSET(gachas!$A$1,0,0,COUNTA(gachas!$A:$A),MATCH(B$1,gachas!$1:$1,0)-MATCH($A$1,gachas!$1:$1,0)+1),MATCH(B$1,gachas!$1:$1,0)-MATCH($A$1,gachas!$1:$1,0)+1,FALSE)</f>
        <v>新撰組UP あと少し</v>
      </c>
      <c r="C34" s="18">
        <v>1</v>
      </c>
      <c r="D34" s="2" t="s">
        <v>107</v>
      </c>
      <c r="E34" s="2" t="s">
        <v>836</v>
      </c>
      <c r="F34" s="2" t="s">
        <v>836</v>
      </c>
      <c r="G34" s="20"/>
    </row>
    <row r="35" spans="1:7" ht="21" customHeight="1" x14ac:dyDescent="0.15">
      <c r="A35" s="21">
        <v>132</v>
      </c>
      <c r="B35" s="12" t="str">
        <f ca="1">VLOOKUP($A35,OFFSET(gachas!$A$1,0,0,COUNTA(gachas!$A:$A),MATCH(B$1,gachas!$1:$1,0)-MATCH($A$1,gachas!$1:$1,0)+1),MATCH(B$1,gachas!$1:$1,0)-MATCH($A$1,gachas!$1:$1,0)+1,FALSE)</f>
        <v>新撰組UP 最終日</v>
      </c>
      <c r="C35" s="18">
        <v>1</v>
      </c>
      <c r="D35" s="2" t="s">
        <v>107</v>
      </c>
      <c r="E35" s="2" t="s">
        <v>836</v>
      </c>
      <c r="F35" s="2" t="s">
        <v>836</v>
      </c>
      <c r="G35" s="20"/>
    </row>
    <row r="36" spans="1:7" ht="21" customHeight="1" x14ac:dyDescent="0.15">
      <c r="A36" s="21">
        <v>133</v>
      </c>
      <c r="B36" s="12" t="str">
        <f ca="1">VLOOKUP($A36,OFFSET(gachas!$A$1,0,0,COUNTA(gachas!$A:$A),MATCH(B$1,gachas!$1:$1,0)-MATCH($A$1,gachas!$1:$1,0)+1),MATCH(B$1,gachas!$1:$1,0)-MATCH($A$1,gachas!$1:$1,0)+1,FALSE)</f>
        <v>童話ガチャ　開始</v>
      </c>
      <c r="C36" s="18">
        <v>1</v>
      </c>
      <c r="D36" s="2" t="s">
        <v>107</v>
      </c>
      <c r="E36" s="2" t="s">
        <v>836</v>
      </c>
      <c r="F36" s="2" t="s">
        <v>836</v>
      </c>
      <c r="G36" s="20"/>
    </row>
    <row r="37" spans="1:7" ht="21" customHeight="1" x14ac:dyDescent="0.15">
      <c r="A37" s="21">
        <v>134</v>
      </c>
      <c r="B37" s="12" t="str">
        <f ca="1">VLOOKUP($A37,OFFSET(gachas!$A$1,0,0,COUNTA(gachas!$A:$A),MATCH(B$1,gachas!$1:$1,0)-MATCH($A$1,gachas!$1:$1,0)+1),MATCH(B$1,gachas!$1:$1,0)-MATCH($A$1,gachas!$1:$1,0)+1,FALSE)</f>
        <v>童話ガチャ　あと少し</v>
      </c>
      <c r="C37" s="18">
        <v>1</v>
      </c>
      <c r="D37" s="2" t="s">
        <v>107</v>
      </c>
      <c r="E37" s="2" t="s">
        <v>836</v>
      </c>
      <c r="F37" s="2" t="s">
        <v>836</v>
      </c>
      <c r="G37" s="20"/>
    </row>
    <row r="38" spans="1:7" ht="21" customHeight="1" x14ac:dyDescent="0.15">
      <c r="A38" s="21">
        <v>135</v>
      </c>
      <c r="B38" s="12" t="str">
        <f ca="1">VLOOKUP($A38,OFFSET(gachas!$A$1,0,0,COUNTA(gachas!$A:$A),MATCH(B$1,gachas!$1:$1,0)-MATCH($A$1,gachas!$1:$1,0)+1),MATCH(B$1,gachas!$1:$1,0)-MATCH($A$1,gachas!$1:$1,0)+1,FALSE)</f>
        <v>童話ガチャ　最終日</v>
      </c>
      <c r="C38" s="18">
        <v>1</v>
      </c>
      <c r="D38" s="2" t="s">
        <v>107</v>
      </c>
      <c r="E38" s="2" t="s">
        <v>836</v>
      </c>
      <c r="F38" s="2" t="s">
        <v>836</v>
      </c>
      <c r="G38" s="20"/>
    </row>
    <row r="39" spans="1:7" ht="21" customHeight="1" x14ac:dyDescent="0.15">
      <c r="A39" s="21">
        <v>136</v>
      </c>
      <c r="B39" s="12" t="str">
        <f ca="1">VLOOKUP($A39,OFFSET(gachas!$A$1,0,0,COUNTA(gachas!$A:$A),MATCH(B$1,gachas!$1:$1,0)-MATCH($A$1,gachas!$1:$1,0)+1),MATCH(B$1,gachas!$1:$1,0)-MATCH($A$1,gachas!$1:$1,0)+1,FALSE)</f>
        <v xml:space="preserve">攻撃凸 </v>
      </c>
      <c r="C39" s="18">
        <v>1</v>
      </c>
      <c r="D39" s="2" t="s">
        <v>107</v>
      </c>
      <c r="E39" s="2" t="s">
        <v>836</v>
      </c>
      <c r="F39" s="2" t="s">
        <v>836</v>
      </c>
      <c r="G39" s="20"/>
    </row>
    <row r="40" spans="1:7" ht="21" customHeight="1" x14ac:dyDescent="0.15">
      <c r="A40" s="21">
        <v>138</v>
      </c>
      <c r="B40" s="12" t="str">
        <f ca="1">VLOOKUP($A40,OFFSET(gachas!$A$1,0,0,COUNTA(gachas!$A:$A),MATCH(B$1,gachas!$1:$1,0)-MATCH($A$1,gachas!$1:$1,0)+1),MATCH(B$1,gachas!$1:$1,0)-MATCH($A$1,gachas!$1:$1,0)+1,FALSE)</f>
        <v>斎藤ピックアップ</v>
      </c>
      <c r="C40" s="18">
        <v>1</v>
      </c>
      <c r="D40" s="2" t="s">
        <v>107</v>
      </c>
      <c r="E40" s="2" t="s">
        <v>836</v>
      </c>
      <c r="F40" s="2" t="s">
        <v>836</v>
      </c>
      <c r="G40" s="20"/>
    </row>
    <row r="41" spans="1:7" ht="21" customHeight="1" x14ac:dyDescent="0.15">
      <c r="A41" s="21">
        <v>140</v>
      </c>
      <c r="B41" s="12" t="str">
        <f ca="1">VLOOKUP($A41,OFFSET(gachas!$A$1,0,0,COUNTA(gachas!$A:$A),MATCH(B$1,gachas!$1:$1,0)-MATCH($A$1,gachas!$1:$1,0)+1),MATCH(B$1,gachas!$1:$1,0)-MATCH($A$1,gachas!$1:$1,0)+1,FALSE)</f>
        <v>新ガチャ（神話動物）前半</v>
      </c>
      <c r="C41" s="18">
        <v>1</v>
      </c>
      <c r="D41" s="2" t="s">
        <v>107</v>
      </c>
      <c r="E41" s="2" t="s">
        <v>836</v>
      </c>
      <c r="F41" s="2" t="s">
        <v>836</v>
      </c>
      <c r="G41" s="20"/>
    </row>
    <row r="42" spans="1:7" ht="21" customHeight="1" x14ac:dyDescent="0.15">
      <c r="A42" s="21">
        <v>142</v>
      </c>
      <c r="B42" s="12" t="str">
        <f ca="1">VLOOKUP($A42,OFFSET(gachas!$A$1,0,0,COUNTA(gachas!$A:$A),MATCH(B$1,gachas!$1:$1,0)-MATCH($A$1,gachas!$1:$1,0)+1),MATCH(B$1,gachas!$1:$1,0)-MATCH($A$1,gachas!$1:$1,0)+1,FALSE)</f>
        <v>新ガチャ（神話動物）後半</v>
      </c>
      <c r="C42" s="18">
        <v>1</v>
      </c>
      <c r="D42" s="2" t="s">
        <v>107</v>
      </c>
      <c r="E42" s="2" t="s">
        <v>836</v>
      </c>
      <c r="F42" s="2" t="s">
        <v>836</v>
      </c>
      <c r="G42" s="20"/>
    </row>
    <row r="43" spans="1:7" ht="21" customHeight="1" x14ac:dyDescent="0.15">
      <c r="A43" s="21">
        <v>144</v>
      </c>
      <c r="B43" s="12" t="str">
        <f ca="1">VLOOKUP($A43,OFFSET(gachas!$A$1,0,0,COUNTA(gachas!$A:$A),MATCH(B$1,gachas!$1:$1,0)-MATCH($A$1,gachas!$1:$1,0)+1),MATCH(B$1,gachas!$1:$1,0)-MATCH($A$1,gachas!$1:$1,0)+1,FALSE)</f>
        <v>フィーバーフェスティバル</v>
      </c>
      <c r="C43" s="18">
        <v>1</v>
      </c>
      <c r="D43" s="2" t="s">
        <v>107</v>
      </c>
      <c r="E43" s="2" t="s">
        <v>836</v>
      </c>
      <c r="F43" s="2" t="s">
        <v>836</v>
      </c>
      <c r="G43" s="20"/>
    </row>
    <row r="44" spans="1:7" ht="21" customHeight="1" x14ac:dyDescent="0.15">
      <c r="A44" s="21">
        <v>146</v>
      </c>
      <c r="B44" s="12" t="str">
        <f ca="1">VLOOKUP($A44,OFFSET(gachas!$A$1,0,0,COUNTA(gachas!$A:$A),MATCH(B$1,gachas!$1:$1,0)-MATCH($A$1,gachas!$1:$1,0)+1),MATCH(B$1,gachas!$1:$1,0)-MATCH($A$1,gachas!$1:$1,0)+1,FALSE)</f>
        <v>新ガチャ（神話動物）恒常</v>
      </c>
      <c r="C44" s="18">
        <v>1</v>
      </c>
      <c r="D44" s="2" t="s">
        <v>107</v>
      </c>
      <c r="E44" s="2" t="s">
        <v>836</v>
      </c>
      <c r="F44" s="2" t="s">
        <v>836</v>
      </c>
      <c r="G44" s="20"/>
    </row>
    <row r="45" spans="1:7" ht="21" customHeight="1" x14ac:dyDescent="0.15">
      <c r="A45" s="21">
        <v>148</v>
      </c>
      <c r="B45" s="12" t="str">
        <f ca="1">VLOOKUP($A45,OFFSET(gachas!$A$1,0,0,COUNTA(gachas!$A:$A),MATCH(B$1,gachas!$1:$1,0)-MATCH($A$1,gachas!$1:$1,0)+1),MATCH(B$1,gachas!$1:$1,0)-MATCH($A$1,gachas!$1:$1,0)+1,FALSE)</f>
        <v>親指ピックアップ</v>
      </c>
      <c r="C45" s="18">
        <v>1</v>
      </c>
      <c r="D45" s="2" t="s">
        <v>107</v>
      </c>
      <c r="E45" s="2" t="s">
        <v>836</v>
      </c>
      <c r="F45" s="2" t="s">
        <v>836</v>
      </c>
      <c r="G45" s="20"/>
    </row>
    <row r="46" spans="1:7" ht="21" customHeight="1" x14ac:dyDescent="0.15">
      <c r="A46" s="21">
        <v>149</v>
      </c>
      <c r="B46" s="12" t="str">
        <f ca="1">VLOOKUP($A46,OFFSET(gachas!$A$1,0,0,COUNTA(gachas!$A:$A),MATCH(B$1,gachas!$1:$1,0)-MATCH($A$1,gachas!$1:$1,0)+1),MATCH(B$1,gachas!$1:$1,0)-MATCH($A$1,gachas!$1:$1,0)+1,FALSE)</f>
        <v>山田ピックアップ</v>
      </c>
      <c r="C46" s="18">
        <v>1</v>
      </c>
      <c r="D46" s="2" t="s">
        <v>107</v>
      </c>
      <c r="E46" s="2" t="s">
        <v>836</v>
      </c>
      <c r="F46" s="2" t="s">
        <v>836</v>
      </c>
      <c r="G46" s="20"/>
    </row>
    <row r="47" spans="1:7" ht="21" customHeight="1" x14ac:dyDescent="0.15">
      <c r="A47" s="21">
        <v>150</v>
      </c>
      <c r="B47" s="12" t="str">
        <f ca="1">VLOOKUP($A47,OFFSET(gachas!$A$1,0,0,COUNTA(gachas!$A:$A),MATCH(B$1,gachas!$1:$1,0)-MATCH($A$1,gachas!$1:$1,0)+1),MATCH(B$1,gachas!$1:$1,0)-MATCH($A$1,gachas!$1:$1,0)+1,FALSE)</f>
        <v>100万DL記念</v>
      </c>
      <c r="C47" s="18">
        <v>1</v>
      </c>
      <c r="D47" s="2" t="s">
        <v>107</v>
      </c>
      <c r="E47" s="2" t="s">
        <v>836</v>
      </c>
      <c r="F47" s="2" t="s">
        <v>836</v>
      </c>
      <c r="G47" s="20"/>
    </row>
    <row r="48" spans="1:7" ht="21" customHeight="1" x14ac:dyDescent="0.15">
      <c r="A48" s="21">
        <v>151</v>
      </c>
      <c r="B48" s="12" t="str">
        <f ca="1">VLOOKUP($A48,OFFSET(gachas!$A$1,0,0,COUNTA(gachas!$A:$A),MATCH(B$1,gachas!$1:$1,0)-MATCH($A$1,gachas!$1:$1,0)+1),MATCH(B$1,gachas!$1:$1,0)-MATCH($A$1,gachas!$1:$1,0)+1,FALSE)</f>
        <v>オズ</v>
      </c>
      <c r="C48" s="18">
        <v>1</v>
      </c>
      <c r="D48" s="2" t="s">
        <v>107</v>
      </c>
      <c r="E48" s="2" t="s">
        <v>836</v>
      </c>
      <c r="F48" s="2" t="s">
        <v>836</v>
      </c>
      <c r="G48" s="20"/>
    </row>
    <row r="49" spans="1:7" ht="21" customHeight="1" x14ac:dyDescent="0.15">
      <c r="A49" s="21">
        <v>152</v>
      </c>
      <c r="B49" s="12" t="str">
        <f ca="1">VLOOKUP($A49,OFFSET(gachas!$A$1,0,0,COUNTA(gachas!$A:$A),MATCH(B$1,gachas!$1:$1,0)-MATCH($A$1,gachas!$1:$1,0)+1),MATCH(B$1,gachas!$1:$1,0)-MATCH($A$1,gachas!$1:$1,0)+1,FALSE)</f>
        <v>ウィザードピックアップ</v>
      </c>
      <c r="C49" s="18">
        <v>1</v>
      </c>
      <c r="D49" s="2" t="s">
        <v>107</v>
      </c>
      <c r="E49" s="2" t="s">
        <v>836</v>
      </c>
      <c r="F49" s="2" t="s">
        <v>836</v>
      </c>
      <c r="G49" s="20"/>
    </row>
    <row r="50" spans="1:7" ht="21" customHeight="1" x14ac:dyDescent="0.15">
      <c r="A50" s="21">
        <v>153</v>
      </c>
      <c r="B50" s="12" t="str">
        <f ca="1">VLOOKUP($A50,OFFSET(gachas!$A$1,0,0,COUNTA(gachas!$A:$A),MATCH(B$1,gachas!$1:$1,0)-MATCH($A$1,gachas!$1:$1,0)+1),MATCH(B$1,gachas!$1:$1,0)-MATCH($A$1,gachas!$1:$1,0)+1,FALSE)</f>
        <v>フィバフェス</v>
      </c>
      <c r="C50" s="18">
        <v>1</v>
      </c>
      <c r="D50" s="2" t="s">
        <v>107</v>
      </c>
      <c r="E50" s="2" t="s">
        <v>836</v>
      </c>
      <c r="F50" s="2" t="s">
        <v>836</v>
      </c>
      <c r="G50" s="20"/>
    </row>
    <row r="51" spans="1:7" ht="21" customHeight="1" x14ac:dyDescent="0.15">
      <c r="A51" s="21">
        <v>154</v>
      </c>
      <c r="B51" s="12" t="str">
        <f ca="1">VLOOKUP($A51,OFFSET(gachas!$A$1,0,0,COUNTA(gachas!$A:$A),MATCH(B$1,gachas!$1:$1,0)-MATCH($A$1,gachas!$1:$1,0)+1),MATCH(B$1,gachas!$1:$1,0)-MATCH($A$1,gachas!$1:$1,0)+1,FALSE)</f>
        <v>円卓ガチャ</v>
      </c>
      <c r="C51" s="18">
        <v>1</v>
      </c>
      <c r="D51" s="2" t="s">
        <v>107</v>
      </c>
      <c r="E51" s="2" t="s">
        <v>836</v>
      </c>
      <c r="F51" s="2" t="s">
        <v>836</v>
      </c>
      <c r="G51" s="20"/>
    </row>
    <row r="52" spans="1:7" ht="21" customHeight="1" x14ac:dyDescent="0.15">
      <c r="A52" s="21">
        <v>155</v>
      </c>
      <c r="B52" s="12" t="str">
        <f ca="1">VLOOKUP($A52,OFFSET(gachas!$A$1,0,0,COUNTA(gachas!$A:$A),MATCH(B$1,gachas!$1:$1,0)-MATCH($A$1,gachas!$1:$1,0)+1),MATCH(B$1,gachas!$1:$1,0)-MATCH($A$1,gachas!$1:$1,0)+1,FALSE)</f>
        <v>緑フィーバー</v>
      </c>
      <c r="C52" s="18">
        <v>1</v>
      </c>
      <c r="D52" s="2" t="s">
        <v>107</v>
      </c>
      <c r="E52" s="2" t="s">
        <v>836</v>
      </c>
      <c r="F52" s="2" t="s">
        <v>836</v>
      </c>
      <c r="G52" s="20"/>
    </row>
    <row r="53" spans="1:7" ht="21" customHeight="1" x14ac:dyDescent="0.15">
      <c r="A53" s="21">
        <v>156</v>
      </c>
      <c r="B53" s="12" t="str">
        <f ca="1">VLOOKUP($A53,OFFSET(gachas!$A$1,0,0,COUNTA(gachas!$A:$A),MATCH(B$1,gachas!$1:$1,0)-MATCH($A$1,gachas!$1:$1,0)+1),MATCH(B$1,gachas!$1:$1,0)-MATCH($A$1,gachas!$1:$1,0)+1,FALSE)</f>
        <v>クラファーセレクション</v>
      </c>
      <c r="C53" s="18">
        <v>1</v>
      </c>
      <c r="D53" s="2" t="s">
        <v>107</v>
      </c>
      <c r="E53" s="2" t="s">
        <v>836</v>
      </c>
      <c r="F53" s="2" t="s">
        <v>836</v>
      </c>
      <c r="G53" s="20"/>
    </row>
    <row r="54" spans="1:7" ht="21" customHeight="1" x14ac:dyDescent="0.15">
      <c r="A54" s="21">
        <v>157</v>
      </c>
      <c r="B54" s="12" t="str">
        <f ca="1">VLOOKUP($A54,OFFSET(gachas!$A$1,0,0,COUNTA(gachas!$A:$A),MATCH(B$1,gachas!$1:$1,0)-MATCH($A$1,gachas!$1:$1,0)+1),MATCH(B$1,gachas!$1:$1,0)-MATCH($A$1,gachas!$1:$1,0)+1,FALSE)</f>
        <v>体力フィーバー</v>
      </c>
      <c r="C54" s="18">
        <v>1</v>
      </c>
      <c r="D54" s="2" t="s">
        <v>107</v>
      </c>
      <c r="E54" s="2" t="s">
        <v>836</v>
      </c>
      <c r="F54" s="2" t="s">
        <v>836</v>
      </c>
      <c r="G54" s="20"/>
    </row>
    <row r="55" spans="1:7" ht="21" customHeight="1" x14ac:dyDescent="0.15">
      <c r="A55" s="21">
        <v>158</v>
      </c>
      <c r="B55" s="12" t="str">
        <f ca="1">VLOOKUP($A55,OFFSET(gachas!$A$1,0,0,COUNTA(gachas!$A:$A),MATCH(B$1,gachas!$1:$1,0)-MATCH($A$1,gachas!$1:$1,0)+1),MATCH(B$1,gachas!$1:$1,0)-MATCH($A$1,gachas!$1:$1,0)+1,FALSE)</f>
        <v>ブルーフェスティバル</v>
      </c>
      <c r="C55" s="18">
        <v>1</v>
      </c>
      <c r="D55" s="2" t="s">
        <v>107</v>
      </c>
      <c r="E55" s="2" t="s">
        <v>836</v>
      </c>
      <c r="F55" s="2" t="s">
        <v>836</v>
      </c>
      <c r="G55" s="20"/>
    </row>
    <row r="56" spans="1:7" ht="21" customHeight="1" x14ac:dyDescent="0.15">
      <c r="A56" s="21">
        <v>159</v>
      </c>
      <c r="B56" s="12" t="str">
        <f ca="1">VLOOKUP($A56,OFFSET(gachas!$A$1,0,0,COUNTA(gachas!$A:$A),MATCH(B$1,gachas!$1:$1,0)-MATCH($A$1,gachas!$1:$1,0)+1),MATCH(B$1,gachas!$1:$1,0)-MATCH($A$1,gachas!$1:$1,0)+1,FALSE)</f>
        <v>オズ対抗ピックアップ</v>
      </c>
      <c r="C56" s="18">
        <v>1</v>
      </c>
      <c r="D56" s="2" t="s">
        <v>107</v>
      </c>
      <c r="E56" s="2" t="s">
        <v>836</v>
      </c>
      <c r="F56" s="2" t="s">
        <v>836</v>
      </c>
      <c r="G56" s="20"/>
    </row>
    <row r="57" spans="1:7" ht="21" customHeight="1" x14ac:dyDescent="0.15">
      <c r="A57" s="21">
        <v>160</v>
      </c>
      <c r="B57" s="12" t="str">
        <f ca="1">VLOOKUP($A57,OFFSET(gachas!$A$1,0,0,COUNTA(gachas!$A:$A),MATCH(B$1,gachas!$1:$1,0)-MATCH($A$1,gachas!$1:$1,0)+1),MATCH(B$1,gachas!$1:$1,0)-MATCH($A$1,gachas!$1:$1,0)+1,FALSE)</f>
        <v>クリスマスフェス</v>
      </c>
      <c r="C57" s="18">
        <v>1</v>
      </c>
      <c r="D57" s="2" t="s">
        <v>107</v>
      </c>
      <c r="E57" s="2" t="s">
        <v>836</v>
      </c>
      <c r="F57" s="2" t="s">
        <v>836</v>
      </c>
      <c r="G57" s="20"/>
    </row>
    <row r="58" spans="1:7" ht="21" customHeight="1" x14ac:dyDescent="0.15">
      <c r="A58" s="21">
        <v>161</v>
      </c>
      <c r="B58" s="12" t="str">
        <f ca="1">VLOOKUP($A58,OFFSET(gachas!$A$1,0,0,COUNTA(gachas!$A:$A),MATCH(B$1,gachas!$1:$1,0)-MATCH($A$1,gachas!$1:$1,0)+1),MATCH(B$1,gachas!$1:$1,0)-MATCH($A$1,gachas!$1:$1,0)+1,FALSE)</f>
        <v>赤フィーバー</v>
      </c>
      <c r="C58" s="18">
        <v>1</v>
      </c>
      <c r="D58" s="2" t="s">
        <v>107</v>
      </c>
      <c r="E58" s="2" t="s">
        <v>836</v>
      </c>
      <c r="F58" s="2" t="s">
        <v>836</v>
      </c>
      <c r="G58" s="20"/>
    </row>
    <row r="59" spans="1:7" ht="21" customHeight="1" x14ac:dyDescent="0.15">
      <c r="A59" s="21">
        <v>162</v>
      </c>
      <c r="B59" s="12" t="str">
        <f ca="1">VLOOKUP($A59,OFFSET(gachas!$A$1,0,0,COUNTA(gachas!$A:$A),MATCH(B$1,gachas!$1:$1,0)-MATCH($A$1,gachas!$1:$1,0)+1),MATCH(B$1,gachas!$1:$1,0)-MATCH($A$1,gachas!$1:$1,0)+1,FALSE)</f>
        <v>アーサー対抗ピックアップ</v>
      </c>
      <c r="C59" s="18">
        <v>1</v>
      </c>
      <c r="D59" s="2" t="s">
        <v>107</v>
      </c>
      <c r="E59" s="2" t="s">
        <v>836</v>
      </c>
      <c r="F59" s="2" t="s">
        <v>836</v>
      </c>
      <c r="G59" s="20"/>
    </row>
    <row r="60" spans="1:7" ht="21" customHeight="1" x14ac:dyDescent="0.15">
      <c r="A60" s="21">
        <v>163</v>
      </c>
      <c r="B60" s="12" t="str">
        <f ca="1">VLOOKUP($A60,OFFSET(gachas!$A$1,0,0,COUNTA(gachas!$A:$A),MATCH(B$1,gachas!$1:$1,0)-MATCH($A$1,gachas!$1:$1,0)+1),MATCH(B$1,gachas!$1:$1,0)-MATCH($A$1,gachas!$1:$1,0)+1,FALSE)</f>
        <v>ロキガチャ</v>
      </c>
      <c r="C60" s="18">
        <v>1</v>
      </c>
      <c r="D60" s="2" t="s">
        <v>107</v>
      </c>
      <c r="E60" s="2" t="s">
        <v>836</v>
      </c>
      <c r="F60" s="2" t="s">
        <v>836</v>
      </c>
      <c r="G60" s="20"/>
    </row>
    <row r="61" spans="1:7" ht="21" customHeight="1" x14ac:dyDescent="0.15">
      <c r="A61" s="21">
        <v>164</v>
      </c>
      <c r="B61" s="12" t="str">
        <f ca="1">VLOOKUP($A61,OFFSET(gachas!$A$1,0,0,COUNTA(gachas!$A:$A),MATCH(B$1,gachas!$1:$1,0)-MATCH($A$1,gachas!$1:$1,0)+1),MATCH(B$1,gachas!$1:$1,0)-MATCH($A$1,gachas!$1:$1,0)+1,FALSE)</f>
        <v>ドラゴンフィーバー</v>
      </c>
      <c r="C61" s="18">
        <v>1</v>
      </c>
      <c r="D61" s="2" t="s">
        <v>107</v>
      </c>
      <c r="E61" s="2" t="s">
        <v>836</v>
      </c>
      <c r="F61" s="2" t="s">
        <v>836</v>
      </c>
      <c r="G61" s="20"/>
    </row>
    <row r="62" spans="1:7" ht="21" customHeight="1" x14ac:dyDescent="0.15">
      <c r="A62" s="21">
        <v>165</v>
      </c>
      <c r="B62" s="12" t="str">
        <f ca="1">VLOOKUP($A62,OFFSET(gachas!$A$1,0,0,COUNTA(gachas!$A:$A),MATCH(B$1,gachas!$1:$1,0)-MATCH($A$1,gachas!$1:$1,0)+1),MATCH(B$1,gachas!$1:$1,0)-MATCH($A$1,gachas!$1:$1,0)+1,FALSE)</f>
        <v>年忘れフィーバーフェス</v>
      </c>
      <c r="C62" s="18">
        <v>1</v>
      </c>
      <c r="D62" s="2" t="s">
        <v>107</v>
      </c>
      <c r="E62" s="2" t="s">
        <v>836</v>
      </c>
      <c r="F62" s="2" t="s">
        <v>836</v>
      </c>
      <c r="G62" s="20"/>
    </row>
    <row r="63" spans="1:7" ht="21" customHeight="1" x14ac:dyDescent="0.15">
      <c r="A63" s="21">
        <v>166</v>
      </c>
      <c r="B63" s="12" t="str">
        <f ca="1">VLOOKUP($A63,OFFSET(gachas!$A$1,0,0,COUNTA(gachas!$A:$A),MATCH(B$1,gachas!$1:$1,0)-MATCH($A$1,gachas!$1:$1,0)+1),MATCH(B$1,gachas!$1:$1,0)-MATCH($A$1,gachas!$1:$1,0)+1,FALSE)</f>
        <v>お年玉ガチャ</v>
      </c>
      <c r="C63" s="18">
        <v>1</v>
      </c>
      <c r="D63" s="2" t="s">
        <v>107</v>
      </c>
      <c r="E63" s="2" t="s">
        <v>836</v>
      </c>
      <c r="F63" s="2" t="s">
        <v>836</v>
      </c>
      <c r="G63" s="20"/>
    </row>
    <row r="64" spans="1:7" ht="21" customHeight="1" x14ac:dyDescent="0.15">
      <c r="A64" s="21">
        <v>167</v>
      </c>
      <c r="B64" s="12" t="str">
        <f ca="1">VLOOKUP($A64,OFFSET(gachas!$A$1,0,0,COUNTA(gachas!$A:$A),MATCH(B$1,gachas!$1:$1,0)-MATCH($A$1,gachas!$1:$1,0)+1),MATCH(B$1,gachas!$1:$1,0)-MATCH($A$1,gachas!$1:$1,0)+1,FALSE)</f>
        <v>福袋ガチャ</v>
      </c>
      <c r="C64" s="18">
        <v>1</v>
      </c>
      <c r="D64" s="2" t="s">
        <v>107</v>
      </c>
      <c r="E64" s="2" t="s">
        <v>836</v>
      </c>
      <c r="F64" s="2" t="s">
        <v>836</v>
      </c>
      <c r="G64" s="20"/>
    </row>
    <row r="65" spans="1:7" ht="21" customHeight="1" x14ac:dyDescent="0.15">
      <c r="A65" s="21">
        <v>168</v>
      </c>
      <c r="B65" s="12" t="str">
        <f ca="1">VLOOKUP($A65,OFFSET(gachas!$A$1,0,0,COUNTA(gachas!$A:$A),MATCH(B$1,gachas!$1:$1,0)-MATCH($A$1,gachas!$1:$1,0)+1),MATCH(B$1,gachas!$1:$1,0)-MATCH($A$1,gachas!$1:$1,0)+1,FALSE)</f>
        <v>美女と野獣ガチャ（バナーA)</v>
      </c>
      <c r="C65" s="18">
        <v>1</v>
      </c>
      <c r="D65" s="2" t="s">
        <v>107</v>
      </c>
      <c r="E65" s="2" t="s">
        <v>836</v>
      </c>
      <c r="F65" s="2" t="s">
        <v>836</v>
      </c>
      <c r="G65" s="20"/>
    </row>
    <row r="66" spans="1:7" ht="21" customHeight="1" x14ac:dyDescent="0.15">
      <c r="A66" s="21">
        <v>169</v>
      </c>
      <c r="B66" s="12" t="str">
        <f ca="1">VLOOKUP($A66,OFFSET(gachas!$A$1,0,0,COUNTA(gachas!$A:$A),MATCH(B$1,gachas!$1:$1,0)-MATCH($A$1,gachas!$1:$1,0)+1),MATCH(B$1,gachas!$1:$1,0)-MATCH($A$1,gachas!$1:$1,0)+1,FALSE)</f>
        <v>美女と野獣ガチャ（バナーB）</v>
      </c>
      <c r="C66" s="18">
        <v>1</v>
      </c>
      <c r="D66" s="2" t="s">
        <v>107</v>
      </c>
      <c r="E66" s="2" t="s">
        <v>836</v>
      </c>
      <c r="F66" s="2" t="s">
        <v>836</v>
      </c>
      <c r="G66" s="20"/>
    </row>
    <row r="67" spans="1:7" ht="21" customHeight="1" x14ac:dyDescent="0.15">
      <c r="A67" s="21">
        <v>170</v>
      </c>
      <c r="B67" s="12" t="str">
        <f ca="1">VLOOKUP($A67,OFFSET(gachas!$A$1,0,0,COUNTA(gachas!$A:$A),MATCH(B$1,gachas!$1:$1,0)-MATCH($A$1,gachas!$1:$1,0)+1),MATCH(B$1,gachas!$1:$1,0)-MATCH($A$1,gachas!$1:$1,0)+1,FALSE)</f>
        <v>ブルーフェスティバル</v>
      </c>
      <c r="C67" s="18">
        <v>1</v>
      </c>
      <c r="D67" s="2" t="s">
        <v>107</v>
      </c>
      <c r="E67" s="2" t="s">
        <v>836</v>
      </c>
      <c r="F67" s="2" t="s">
        <v>836</v>
      </c>
      <c r="G67" s="20"/>
    </row>
    <row r="68" spans="1:7" ht="21" customHeight="1" x14ac:dyDescent="0.15">
      <c r="A68" s="21">
        <v>171</v>
      </c>
      <c r="B68" s="12" t="str">
        <f ca="1">VLOOKUP($A68,OFFSET(gachas!$A$1,0,0,COUNTA(gachas!$A:$A),MATCH(B$1,gachas!$1:$1,0)-MATCH($A$1,gachas!$1:$1,0)+1),MATCH(B$1,gachas!$1:$1,0)-MATCH($A$1,gachas!$1:$1,0)+1,FALSE)</f>
        <v>150万DL記念ガチャ</v>
      </c>
      <c r="C68" s="18">
        <v>1</v>
      </c>
      <c r="D68" s="2" t="s">
        <v>107</v>
      </c>
      <c r="E68" s="2" t="s">
        <v>836</v>
      </c>
      <c r="F68" s="2" t="s">
        <v>836</v>
      </c>
      <c r="G68" s="20"/>
    </row>
    <row r="69" spans="1:7" ht="21" customHeight="1" x14ac:dyDescent="0.15">
      <c r="A69" s="21">
        <v>172</v>
      </c>
      <c r="B69" s="12" t="str">
        <f ca="1">VLOOKUP($A69,OFFSET(gachas!$A$1,0,0,COUNTA(gachas!$A:$A),MATCH(B$1,gachas!$1:$1,0)-MATCH($A$1,gachas!$1:$1,0)+1),MATCH(B$1,gachas!$1:$1,0)-MATCH($A$1,gachas!$1:$1,0)+1,FALSE)</f>
        <v>グリム対抗ピックアップ</v>
      </c>
      <c r="C69" s="18">
        <v>1</v>
      </c>
      <c r="D69" s="2" t="s">
        <v>107</v>
      </c>
      <c r="E69" s="2" t="s">
        <v>836</v>
      </c>
      <c r="F69" s="2" t="s">
        <v>836</v>
      </c>
      <c r="G69" s="20"/>
    </row>
    <row r="70" spans="1:7" ht="21" customHeight="1" x14ac:dyDescent="0.15">
      <c r="A70" s="21">
        <v>173</v>
      </c>
      <c r="B70" s="12" t="str">
        <f ca="1">VLOOKUP($A70,OFFSET(gachas!$A$1,0,0,COUNTA(gachas!$A:$A),MATCH(B$1,gachas!$1:$1,0)-MATCH($A$1,gachas!$1:$1,0)+1),MATCH(B$1,gachas!$1:$1,0)-MATCH($A$1,gachas!$1:$1,0)+1,FALSE)</f>
        <v>アルフヘイムガチャ</v>
      </c>
      <c r="C70" s="18">
        <v>1</v>
      </c>
      <c r="D70" s="2" t="s">
        <v>107</v>
      </c>
      <c r="E70" s="2" t="s">
        <v>836</v>
      </c>
      <c r="F70" s="2" t="s">
        <v>836</v>
      </c>
      <c r="G70" s="20"/>
    </row>
    <row r="71" spans="1:7" ht="21" customHeight="1" x14ac:dyDescent="0.15">
      <c r="A71" s="21">
        <v>174</v>
      </c>
      <c r="B71" s="12" t="str">
        <f ca="1">VLOOKUP($A71,OFFSET(gachas!$A$1,0,0,COUNTA(gachas!$A:$A),MATCH(B$1,gachas!$1:$1,0)-MATCH($A$1,gachas!$1:$1,0)+1),MATCH(B$1,gachas!$1:$1,0)-MATCH($A$1,gachas!$1:$1,0)+1,FALSE)</f>
        <v>レッドフェスティバル</v>
      </c>
      <c r="C71" s="18">
        <v>1</v>
      </c>
      <c r="D71" s="2" t="s">
        <v>107</v>
      </c>
      <c r="E71" s="2" t="s">
        <v>836</v>
      </c>
      <c r="F71" s="2" t="s">
        <v>836</v>
      </c>
      <c r="G71" s="20"/>
    </row>
    <row r="72" spans="1:7" ht="21" customHeight="1" x14ac:dyDescent="0.15">
      <c r="A72" s="21">
        <v>175</v>
      </c>
      <c r="B72" s="12" t="str">
        <f ca="1">VLOOKUP($A72,OFFSET(gachas!$A$1,0,0,COUNTA(gachas!$A:$A),MATCH(B$1,gachas!$1:$1,0)-MATCH($A$1,gachas!$1:$1,0)+1),MATCH(B$1,gachas!$1:$1,0)-MATCH($A$1,gachas!$1:$1,0)+1,FALSE)</f>
        <v>ステップアップガチャ</v>
      </c>
      <c r="C72" s="18">
        <v>1</v>
      </c>
      <c r="D72" s="2" t="s">
        <v>107</v>
      </c>
      <c r="E72" s="2" t="s">
        <v>836</v>
      </c>
      <c r="F72" s="2" t="s">
        <v>836</v>
      </c>
      <c r="G72" s="20"/>
    </row>
    <row r="73" spans="1:7" ht="21" customHeight="1" x14ac:dyDescent="0.15">
      <c r="A73" s="21">
        <v>176</v>
      </c>
      <c r="B73" s="12" t="str">
        <f ca="1">VLOOKUP($A73,OFFSET(gachas!$A$1,0,0,COUNTA(gachas!$A:$A),MATCH(B$1,gachas!$1:$1,0)-MATCH($A$1,gachas!$1:$1,0)+1),MATCH(B$1,gachas!$1:$1,0)-MATCH($A$1,gachas!$1:$1,0)+1,FALSE)</f>
        <v>ドラゴンフィーバー</v>
      </c>
      <c r="C73" s="18">
        <v>1</v>
      </c>
      <c r="D73" s="2" t="s">
        <v>107</v>
      </c>
      <c r="E73" s="2" t="s">
        <v>836</v>
      </c>
      <c r="F73" s="2" t="s">
        <v>836</v>
      </c>
      <c r="G73" s="20"/>
    </row>
    <row r="74" spans="1:7" ht="21" customHeight="1" x14ac:dyDescent="0.15">
      <c r="A74" s="21">
        <v>177</v>
      </c>
      <c r="B74" s="12" t="str">
        <f ca="1">VLOOKUP($A74,OFFSET(gachas!$A$1,0,0,COUNTA(gachas!$A:$A),MATCH(B$1,gachas!$1:$1,0)-MATCH($A$1,gachas!$1:$1,0)+1),MATCH(B$1,gachas!$1:$1,0)-MATCH($A$1,gachas!$1:$1,0)+1,FALSE)</f>
        <v>クラコレ</v>
      </c>
      <c r="C74" s="18">
        <v>1</v>
      </c>
      <c r="D74" s="2" t="s">
        <v>107</v>
      </c>
      <c r="E74" s="2" t="s">
        <v>836</v>
      </c>
      <c r="F74" s="2" t="s">
        <v>836</v>
      </c>
      <c r="G74" s="20"/>
    </row>
    <row r="75" spans="1:7" ht="21" customHeight="1" x14ac:dyDescent="0.15">
      <c r="A75" s="21">
        <v>178</v>
      </c>
      <c r="B75" s="12" t="str">
        <f ca="1">VLOOKUP($A75,OFFSET(gachas!$A$1,0,0,COUNTA(gachas!$A:$A),MATCH(B$1,gachas!$1:$1,0)-MATCH($A$1,gachas!$1:$1,0)+1),MATCH(B$1,gachas!$1:$1,0)-MATCH($A$1,gachas!$1:$1,0)+1,FALSE)</f>
        <v>ミクガチャ（ミクUP）</v>
      </c>
      <c r="C75" s="18">
        <v>1</v>
      </c>
      <c r="D75" s="2" t="s">
        <v>107</v>
      </c>
      <c r="E75" s="2" t="s">
        <v>836</v>
      </c>
      <c r="F75" s="2" t="s">
        <v>836</v>
      </c>
      <c r="G75" s="20"/>
    </row>
    <row r="76" spans="1:7" ht="21" customHeight="1" x14ac:dyDescent="0.15">
      <c r="A76" s="21">
        <v>179</v>
      </c>
      <c r="B76" s="12" t="str">
        <f ca="1">VLOOKUP($A76,OFFSET(gachas!$A$1,0,0,COUNTA(gachas!$A:$A),MATCH(B$1,gachas!$1:$1,0)-MATCH($A$1,gachas!$1:$1,0)+1),MATCH(B$1,gachas!$1:$1,0)-MATCH($A$1,gachas!$1:$1,0)+1,FALSE)</f>
        <v>ミクガチャ（アペンドUP）</v>
      </c>
      <c r="C76" s="18">
        <v>1</v>
      </c>
      <c r="D76" s="2" t="s">
        <v>107</v>
      </c>
      <c r="E76" s="2" t="s">
        <v>836</v>
      </c>
      <c r="F76" s="2" t="s">
        <v>836</v>
      </c>
      <c r="G76" s="20"/>
    </row>
    <row r="77" spans="1:7" ht="21" customHeight="1" x14ac:dyDescent="0.15">
      <c r="A77" s="21">
        <v>180</v>
      </c>
      <c r="B77" s="12" t="str">
        <f ca="1">VLOOKUP($A77,OFFSET(gachas!$A$1,0,0,COUNTA(gachas!$A:$A),MATCH(B$1,gachas!$1:$1,0)-MATCH($A$1,gachas!$1:$1,0)+1),MATCH(B$1,gachas!$1:$1,0)-MATCH($A$1,gachas!$1:$1,0)+1,FALSE)</f>
        <v>フィーバーフェスティバル</v>
      </c>
      <c r="C77" s="18">
        <v>1</v>
      </c>
      <c r="D77" s="2" t="s">
        <v>107</v>
      </c>
      <c r="E77" s="2" t="s">
        <v>836</v>
      </c>
      <c r="F77" s="2" t="s">
        <v>836</v>
      </c>
      <c r="G77" s="20"/>
    </row>
    <row r="78" spans="1:7" ht="21" customHeight="1" x14ac:dyDescent="0.15">
      <c r="A78" s="21">
        <v>181</v>
      </c>
      <c r="B78" s="12" t="str">
        <f ca="1">VLOOKUP($A78,OFFSET(gachas!$A$1,0,0,COUNTA(gachas!$A:$A),MATCH(B$1,gachas!$1:$1,0)-MATCH($A$1,gachas!$1:$1,0)+1),MATCH(B$1,gachas!$1:$1,0)-MATCH($A$1,gachas!$1:$1,0)+1,FALSE)</f>
        <v>ピックアップフィーバー</v>
      </c>
      <c r="C78" s="18">
        <v>1</v>
      </c>
      <c r="D78" s="2" t="s">
        <v>107</v>
      </c>
      <c r="E78" s="2" t="s">
        <v>836</v>
      </c>
      <c r="F78" s="2" t="s">
        <v>836</v>
      </c>
      <c r="G78" s="20"/>
    </row>
    <row r="79" spans="1:7" ht="21" customHeight="1" x14ac:dyDescent="0.15">
      <c r="A79" s="21">
        <v>182</v>
      </c>
      <c r="B79" s="12" t="str">
        <f ca="1">VLOOKUP($A79,OFFSET(gachas!$A$1,0,0,COUNTA(gachas!$A:$A),MATCH(B$1,gachas!$1:$1,0)-MATCH($A$1,gachas!$1:$1,0)+1),MATCH(B$1,gachas!$1:$1,0)-MATCH($A$1,gachas!$1:$1,0)+1,FALSE)</f>
        <v>ラグナロクガチャ２</v>
      </c>
      <c r="C79" s="18">
        <v>1</v>
      </c>
      <c r="D79" s="2" t="s">
        <v>107</v>
      </c>
      <c r="E79" s="2" t="s">
        <v>836</v>
      </c>
      <c r="F79" s="2" t="s">
        <v>836</v>
      </c>
      <c r="G79" s="20"/>
    </row>
    <row r="80" spans="1:7" ht="21" customHeight="1" x14ac:dyDescent="0.15">
      <c r="A80" s="21">
        <v>184</v>
      </c>
      <c r="B80" s="12" t="str">
        <f ca="1">VLOOKUP($A80,OFFSET(gachas!$A$1,0,0,COUNTA(gachas!$A:$A),MATCH(B$1,gachas!$1:$1,0)-MATCH($A$1,gachas!$1:$1,0)+1),MATCH(B$1,gachas!$1:$1,0)-MATCH($A$1,gachas!$1:$1,0)+1,FALSE)</f>
        <v>イエローフェス（ハップル）</v>
      </c>
      <c r="C80" s="18">
        <v>1</v>
      </c>
      <c r="D80" s="2" t="s">
        <v>107</v>
      </c>
      <c r="E80" s="2" t="s">
        <v>836</v>
      </c>
      <c r="F80" s="2" t="s">
        <v>836</v>
      </c>
      <c r="G80" s="20"/>
    </row>
    <row r="81" spans="1:7" ht="21" customHeight="1" x14ac:dyDescent="0.15">
      <c r="A81" s="21">
        <v>185</v>
      </c>
      <c r="B81" s="12" t="str">
        <f ca="1">VLOOKUP($A81,OFFSET(gachas!$A$1,0,0,COUNTA(gachas!$A:$A),MATCH(B$1,gachas!$1:$1,0)-MATCH($A$1,gachas!$1:$1,0)+1),MATCH(B$1,gachas!$1:$1,0)-MATCH($A$1,gachas!$1:$1,0)+1,FALSE)</f>
        <v>旧Wiz対抗ピックアップ</v>
      </c>
      <c r="C81" s="18">
        <v>1</v>
      </c>
      <c r="D81" s="2" t="s">
        <v>107</v>
      </c>
      <c r="E81" s="2" t="s">
        <v>836</v>
      </c>
      <c r="F81" s="2" t="s">
        <v>836</v>
      </c>
      <c r="G81" s="20"/>
    </row>
    <row r="82" spans="1:7" ht="21" customHeight="1" x14ac:dyDescent="0.15">
      <c r="A82" s="21">
        <v>187</v>
      </c>
      <c r="B82" s="12" t="str">
        <f ca="1">VLOOKUP($A82,OFFSET(gachas!$A$1,0,0,COUNTA(gachas!$A:$A),MATCH(B$1,gachas!$1:$1,0)-MATCH($A$1,gachas!$1:$1,0)+1),MATCH(B$1,gachas!$1:$1,0)-MATCH($A$1,gachas!$1:$1,0)+1,FALSE)</f>
        <v>マシンフィーバー</v>
      </c>
      <c r="C82" s="18">
        <v>1</v>
      </c>
      <c r="D82" s="2" t="s">
        <v>107</v>
      </c>
      <c r="E82" s="2" t="s">
        <v>836</v>
      </c>
      <c r="F82" s="2" t="s">
        <v>836</v>
      </c>
      <c r="G82" s="20"/>
    </row>
    <row r="83" spans="1:7" ht="21" customHeight="1" x14ac:dyDescent="0.15">
      <c r="A83" s="21">
        <v>189</v>
      </c>
      <c r="B83" s="12" t="str">
        <f ca="1">VLOOKUP($A83,OFFSET(gachas!$A$1,0,0,COUNTA(gachas!$A:$A),MATCH(B$1,gachas!$1:$1,0)-MATCH($A$1,gachas!$1:$1,0)+1),MATCH(B$1,gachas!$1:$1,0)-MATCH($A$1,gachas!$1:$1,0)+1,FALSE)</f>
        <v>クラファーコレクション</v>
      </c>
      <c r="C83" s="18">
        <v>1</v>
      </c>
      <c r="D83" s="2" t="s">
        <v>107</v>
      </c>
      <c r="E83" s="2" t="s">
        <v>836</v>
      </c>
      <c r="F83" s="2" t="s">
        <v>836</v>
      </c>
      <c r="G83" s="20"/>
    </row>
    <row r="84" spans="1:7" ht="21" customHeight="1" x14ac:dyDescent="0.15">
      <c r="A84" s="21">
        <v>190</v>
      </c>
      <c r="B84" s="12" t="str">
        <f ca="1">VLOOKUP($A84,OFFSET(gachas!$A$1,0,0,COUNTA(gachas!$A:$A),MATCH(B$1,gachas!$1:$1,0)-MATCH($A$1,gachas!$1:$1,0)+1),MATCH(B$1,gachas!$1:$1,0)-MATCH($A$1,gachas!$1:$1,0)+1,FALSE)</f>
        <v>第１弾 200万DL記念ガチャ</v>
      </c>
      <c r="C84" s="18">
        <v>1</v>
      </c>
      <c r="D84" s="2" t="s">
        <v>107</v>
      </c>
      <c r="E84" s="2" t="s">
        <v>836</v>
      </c>
      <c r="F84" s="2" t="s">
        <v>836</v>
      </c>
      <c r="G84" s="20"/>
    </row>
    <row r="85" spans="1:7" ht="21" customHeight="1" x14ac:dyDescent="0.15">
      <c r="A85" s="21">
        <v>196</v>
      </c>
      <c r="B85" s="12" t="str">
        <f ca="1">VLOOKUP($A85,OFFSET(gachas!$A$1,0,0,COUNTA(gachas!$A:$A),MATCH(B$1,gachas!$1:$1,0)-MATCH($A$1,gachas!$1:$1,0)+1),MATCH(B$1,gachas!$1:$1,0)-MATCH($A$1,gachas!$1:$1,0)+1,FALSE)</f>
        <v>フィーバーフェスティバル（ファラデーUP）</v>
      </c>
      <c r="C85" s="18">
        <v>1</v>
      </c>
      <c r="D85" s="2" t="s">
        <v>107</v>
      </c>
      <c r="E85" s="2" t="s">
        <v>836</v>
      </c>
      <c r="F85" s="2" t="s">
        <v>836</v>
      </c>
      <c r="G85" s="20"/>
    </row>
    <row r="86" spans="1:7" ht="21" customHeight="1" x14ac:dyDescent="0.15">
      <c r="A86" s="21">
        <v>197</v>
      </c>
      <c r="B86" s="12" t="str">
        <f ca="1">VLOOKUP($A86,OFFSET(gachas!$A$1,0,0,COUNTA(gachas!$A:$A),MATCH(B$1,gachas!$1:$1,0)-MATCH($A$1,gachas!$1:$1,0)+1),MATCH(B$1,gachas!$1:$1,0)-MATCH($A$1,gachas!$1:$1,0)+1,FALSE)</f>
        <v>フィーバーフェスティバル（ユークリッドUP）</v>
      </c>
      <c r="C86" s="18">
        <v>1</v>
      </c>
      <c r="D86" s="2" t="s">
        <v>107</v>
      </c>
      <c r="E86" s="2" t="s">
        <v>836</v>
      </c>
      <c r="F86" s="2" t="s">
        <v>836</v>
      </c>
      <c r="G86" s="20"/>
    </row>
    <row r="87" spans="1:7" ht="21" customHeight="1" x14ac:dyDescent="0.15">
      <c r="A87" s="21">
        <v>303</v>
      </c>
      <c r="B87" s="12" t="str">
        <f ca="1">VLOOKUP($A87,OFFSET(gachas!$A$1,0,0,COUNTA(gachas!$A:$A),MATCH(B$1,gachas!$1:$1,0)-MATCH($A$1,gachas!$1:$1,0)+1),MATCH(B$1,gachas!$1:$1,0)-MATCH($A$1,gachas!$1:$1,0)+1,FALSE)</f>
        <v>グリーンフェス（チューリング）</v>
      </c>
      <c r="C87" s="18">
        <v>1</v>
      </c>
      <c r="D87" s="2" t="s">
        <v>107</v>
      </c>
      <c r="E87" s="2" t="s">
        <v>836</v>
      </c>
      <c r="F87" s="2" t="s">
        <v>836</v>
      </c>
      <c r="G87" s="20"/>
    </row>
    <row r="88" spans="1:7" ht="21" customHeight="1" x14ac:dyDescent="0.15">
      <c r="A88" s="21">
        <v>305</v>
      </c>
      <c r="B88" s="12" t="str">
        <f ca="1">VLOOKUP($A88,OFFSET(gachas!$A$1,0,0,COUNTA(gachas!$A:$A),MATCH(B$1,gachas!$1:$1,0)-MATCH($A$1,gachas!$1:$1,0)+1),MATCH(B$1,gachas!$1:$1,0)-MATCH($A$1,gachas!$1:$1,0)+1,FALSE)</f>
        <v>ホワイトデーガチャ</v>
      </c>
      <c r="C88" s="18">
        <v>1</v>
      </c>
      <c r="D88" s="2" t="s">
        <v>107</v>
      </c>
      <c r="E88" s="2" t="s">
        <v>836</v>
      </c>
      <c r="F88" s="2" t="s">
        <v>836</v>
      </c>
      <c r="G88" s="20"/>
    </row>
    <row r="89" spans="1:7" ht="21" customHeight="1" x14ac:dyDescent="0.15">
      <c r="A89" s="21">
        <v>306</v>
      </c>
      <c r="B89" s="12" t="str">
        <f ca="1">VLOOKUP($A89,OFFSET(gachas!$A$1,0,0,COUNTA(gachas!$A:$A),MATCH(B$1,gachas!$1:$1,0)-MATCH($A$1,gachas!$1:$1,0)+1),MATCH(B$1,gachas!$1:$1,0)-MATCH($A$1,gachas!$1:$1,0)+1,FALSE)</f>
        <v>ガールズフィーバー</v>
      </c>
      <c r="C89" s="18">
        <v>1</v>
      </c>
      <c r="D89" s="2" t="s">
        <v>107</v>
      </c>
      <c r="E89" s="2" t="s">
        <v>836</v>
      </c>
      <c r="F89" s="2" t="s">
        <v>836</v>
      </c>
      <c r="G89" s="20"/>
    </row>
    <row r="90" spans="1:7" ht="21" customHeight="1" x14ac:dyDescent="0.15">
      <c r="A90" s="21">
        <v>307</v>
      </c>
      <c r="B90" s="12" t="str">
        <f ca="1">VLOOKUP($A90,OFFSET(gachas!$A$1,0,0,COUNTA(gachas!$A:$A),MATCH(B$1,gachas!$1:$1,0)-MATCH($A$1,gachas!$1:$1,0)+1),MATCH(B$1,gachas!$1:$1,0)-MATCH($A$1,gachas!$1:$1,0)+1,FALSE)</f>
        <v>ボーイズフィーバー</v>
      </c>
      <c r="C90" s="18">
        <v>1</v>
      </c>
      <c r="D90" s="2" t="s">
        <v>107</v>
      </c>
      <c r="E90" s="2" t="s">
        <v>836</v>
      </c>
      <c r="F90" s="2" t="s">
        <v>836</v>
      </c>
      <c r="G90" s="20"/>
    </row>
    <row r="91" spans="1:7" ht="21" customHeight="1" x14ac:dyDescent="0.15">
      <c r="A91" s="21">
        <v>308</v>
      </c>
      <c r="B91" s="12" t="str">
        <f ca="1">VLOOKUP($A91,OFFSET(gachas!$A$1,0,0,COUNTA(gachas!$A:$A),MATCH(B$1,gachas!$1:$1,0)-MATCH($A$1,gachas!$1:$1,0)+1),MATCH(B$1,gachas!$1:$1,0)-MATCH($A$1,gachas!$1:$1,0)+1,FALSE)</f>
        <v>ブルーフェスティバル</v>
      </c>
      <c r="C91" s="18">
        <v>1</v>
      </c>
      <c r="D91" s="2" t="s">
        <v>107</v>
      </c>
      <c r="E91" s="2" t="s">
        <v>836</v>
      </c>
      <c r="F91" s="2" t="s">
        <v>836</v>
      </c>
      <c r="G91" s="20"/>
    </row>
    <row r="92" spans="1:7" ht="21" customHeight="1" x14ac:dyDescent="0.15">
      <c r="A92" s="21">
        <v>309</v>
      </c>
      <c r="B92" s="12" t="str">
        <f ca="1">VLOOKUP($A92,OFFSET(gachas!$A$1,0,0,COUNTA(gachas!$A:$A),MATCH(B$1,gachas!$1:$1,0)-MATCH($A$1,gachas!$1:$1,0)+1),MATCH(B$1,gachas!$1:$1,0)-MATCH($A$1,gachas!$1:$1,0)+1,FALSE)</f>
        <v>インドガチャ</v>
      </c>
      <c r="C92" s="18">
        <v>1</v>
      </c>
      <c r="D92" s="2" t="s">
        <v>107</v>
      </c>
      <c r="E92" s="2" t="s">
        <v>836</v>
      </c>
      <c r="F92" s="2" t="s">
        <v>836</v>
      </c>
      <c r="G92" s="20"/>
    </row>
    <row r="93" spans="1:7" ht="21" customHeight="1" x14ac:dyDescent="0.15">
      <c r="A93" s="21">
        <v>300</v>
      </c>
      <c r="B93" s="12" t="str">
        <f ca="1">VLOOKUP($A93,OFFSET(gachas!$A$1,0,0,COUNTA(gachas!$A:$A),MATCH(B$1,gachas!$1:$1,0)-MATCH($A$1,gachas!$1:$1,0)+1),MATCH(B$1,gachas!$1:$1,0)-MATCH($A$1,gachas!$1:$1,0)+1,FALSE)</f>
        <v>ノーマルガチャ</v>
      </c>
      <c r="C93" s="18">
        <v>1</v>
      </c>
      <c r="D93" s="2" t="s">
        <v>107</v>
      </c>
      <c r="E93" s="2" t="s">
        <v>836</v>
      </c>
      <c r="F93" s="2" t="s">
        <v>836</v>
      </c>
      <c r="G93" s="20"/>
    </row>
    <row r="94" spans="1:7" ht="21" customHeight="1" x14ac:dyDescent="0.15">
      <c r="A94" s="21">
        <v>310</v>
      </c>
      <c r="B94" s="12" t="str">
        <f ca="1">VLOOKUP($A94,OFFSET(gachas!$A$1,0,0,COUNTA(gachas!$A:$A),MATCH(B$1,gachas!$1:$1,0)-MATCH($A$1,gachas!$1:$1,0)+1),MATCH(B$1,gachas!$1:$1,0)-MATCH($A$1,gachas!$1:$1,0)+1,FALSE)</f>
        <v>ノーマルガチャ</v>
      </c>
      <c r="C94" s="18">
        <v>1</v>
      </c>
      <c r="D94" s="2" t="s">
        <v>107</v>
      </c>
      <c r="E94" s="2" t="s">
        <v>836</v>
      </c>
      <c r="F94" s="2" t="s">
        <v>836</v>
      </c>
      <c r="G94" s="20"/>
    </row>
    <row r="95" spans="1:7" ht="21" customHeight="1" x14ac:dyDescent="0.15">
      <c r="A95" s="21">
        <v>320</v>
      </c>
      <c r="B95" s="12" t="str">
        <f ca="1">VLOOKUP($A95,OFFSET(gachas!$A$1,0,0,COUNTA(gachas!$A:$A),MATCH(B$1,gachas!$1:$1,0)-MATCH($A$1,gachas!$1:$1,0)+1),MATCH(B$1,gachas!$1:$1,0)-MATCH($A$1,gachas!$1:$1,0)+1,FALSE)</f>
        <v>ノーマルガチャ&lt;日本昔話追加&gt;</v>
      </c>
      <c r="C95" s="18">
        <v>1</v>
      </c>
      <c r="D95" s="2" t="s">
        <v>107</v>
      </c>
      <c r="E95" s="2" t="s">
        <v>836</v>
      </c>
      <c r="F95" s="2" t="s">
        <v>836</v>
      </c>
      <c r="G95" s="20"/>
    </row>
    <row r="96" spans="1:7" ht="21" customHeight="1" x14ac:dyDescent="0.15">
      <c r="A96" s="21">
        <v>327</v>
      </c>
      <c r="B96" s="12" t="str">
        <f ca="1">VLOOKUP($A96,OFFSET(gachas!$A$1,0,0,COUNTA(gachas!$A:$A),MATCH(B$1,gachas!$1:$1,0)-MATCH($A$1,gachas!$1:$1,0)+1),MATCH(B$1,gachas!$1:$1,0)-MATCH($A$1,gachas!$1:$1,0)+1,FALSE)</f>
        <v>ノーマルガチャ&lt;戦国追加&gt;</v>
      </c>
      <c r="C96" s="18">
        <v>1</v>
      </c>
      <c r="D96" s="2" t="s">
        <v>107</v>
      </c>
      <c r="E96" s="2" t="s">
        <v>836</v>
      </c>
      <c r="F96" s="2" t="s">
        <v>836</v>
      </c>
      <c r="G96" s="20"/>
    </row>
    <row r="97" spans="1:7" ht="21" customHeight="1" x14ac:dyDescent="0.15">
      <c r="A97" s="21">
        <v>337</v>
      </c>
      <c r="B97" s="12" t="str">
        <f ca="1">VLOOKUP($A97,OFFSET(gachas!$A$1,0,0,COUNTA(gachas!$A:$A),MATCH(B$1,gachas!$1:$1,0)-MATCH($A$1,gachas!$1:$1,0)+1),MATCH(B$1,gachas!$1:$1,0)-MATCH($A$1,gachas!$1:$1,0)+1,FALSE)</f>
        <v>ノーマルガチャ&lt;天使in&gt;</v>
      </c>
      <c r="C97" s="18">
        <v>1</v>
      </c>
      <c r="D97" s="2" t="s">
        <v>107</v>
      </c>
      <c r="E97" s="2" t="s">
        <v>836</v>
      </c>
      <c r="F97" s="2" t="s">
        <v>836</v>
      </c>
      <c r="G97" s="20"/>
    </row>
    <row r="98" spans="1:7" ht="21" customHeight="1" x14ac:dyDescent="0.15">
      <c r="A98" s="21">
        <v>347</v>
      </c>
      <c r="B98" s="12" t="str">
        <f ca="1">VLOOKUP($A98,OFFSET(gachas!$A$1,0,0,COUNTA(gachas!$A:$A),MATCH(B$1,gachas!$1:$1,0)-MATCH($A$1,gachas!$1:$1,0)+1),MATCH(B$1,gachas!$1:$1,0)-MATCH($A$1,gachas!$1:$1,0)+1,FALSE)</f>
        <v>ノーマルガチャ&lt;グリム2in&gt;</v>
      </c>
      <c r="C98" s="18">
        <v>1</v>
      </c>
      <c r="D98" s="2" t="s">
        <v>107</v>
      </c>
      <c r="E98" s="2" t="s">
        <v>836</v>
      </c>
      <c r="F98" s="2" t="s">
        <v>836</v>
      </c>
      <c r="G98" s="20"/>
    </row>
    <row r="99" spans="1:7" ht="21" customHeight="1" x14ac:dyDescent="0.15">
      <c r="A99" s="21">
        <v>338</v>
      </c>
      <c r="B99" s="12" t="str">
        <f ca="1">VLOOKUP($A99,OFFSET(gachas!$A$1,0,0,COUNTA(gachas!$A:$A),MATCH(B$1,gachas!$1:$1,0)-MATCH($A$1,gachas!$1:$1,0)+1),MATCH(B$1,gachas!$1:$1,0)-MATCH($A$1,gachas!$1:$1,0)+1,FALSE)</f>
        <v>TVCM放送記念10連限定ガチャ</v>
      </c>
      <c r="C99" s="18">
        <v>10</v>
      </c>
      <c r="D99" s="2" t="s">
        <v>851</v>
      </c>
      <c r="E99" s="2" t="s">
        <v>852</v>
      </c>
      <c r="F99" s="2">
        <v>1</v>
      </c>
      <c r="G99" s="20"/>
    </row>
    <row r="100" spans="1:7" ht="21" customHeight="1" x14ac:dyDescent="0.15">
      <c r="A100" s="21">
        <v>351</v>
      </c>
      <c r="B100" s="12" t="str">
        <f ca="1">VLOOKUP($A100,OFFSET(gachas!$A$1,0,0,COUNTA(gachas!$A:$A),MATCH(B$1,gachas!$1:$1,0)-MATCH($A$1,gachas!$1:$1,0)+1),MATCH(B$1,gachas!$1:$1,0)-MATCH($A$1,gachas!$1:$1,0)+1,FALSE)</f>
        <v>300万DL突破記念ガチャ</v>
      </c>
      <c r="C100" s="18">
        <v>10</v>
      </c>
      <c r="D100" s="2" t="s">
        <v>986</v>
      </c>
      <c r="E100" s="2" t="s">
        <v>852</v>
      </c>
      <c r="F100" s="2">
        <v>5</v>
      </c>
      <c r="G100" s="20"/>
    </row>
    <row r="101" spans="1:7" ht="21" customHeight="1" x14ac:dyDescent="0.15">
      <c r="A101" s="21">
        <v>353</v>
      </c>
      <c r="B101" s="12" t="str">
        <f ca="1">VLOOKUP($A101,OFFSET(gachas!$A$1,0,0,COUNTA(gachas!$A:$A),MATCH(B$1,gachas!$1:$1,0)-MATCH($A$1,gachas!$1:$1,0)+1),MATCH(B$1,gachas!$1:$1,0)-MATCH($A$1,gachas!$1:$1,0)+1,FALSE)</f>
        <v>ハンプティおまけガチャ&lt;1回のみ&gt;</v>
      </c>
      <c r="C101" s="18">
        <v>10</v>
      </c>
      <c r="D101" s="2" t="s">
        <v>985</v>
      </c>
      <c r="E101" s="2" t="s">
        <v>852</v>
      </c>
      <c r="F101" s="2">
        <v>1</v>
      </c>
      <c r="G101" s="20"/>
    </row>
    <row r="102" spans="1:7" ht="21" customHeight="1" x14ac:dyDescent="0.15">
      <c r="A102" s="21">
        <v>361</v>
      </c>
      <c r="B102" s="12" t="str">
        <f ca="1">VLOOKUP($A102,OFFSET(gachas!$A$1,0,0,COUNTA(gachas!$A:$A),MATCH(B$1,gachas!$1:$1,0)-MATCH($A$1,gachas!$1:$1,0)+1),MATCH(B$1,gachas!$1:$1,0)-MATCH($A$1,gachas!$1:$1,0)+1,FALSE)</f>
        <v>レアガチャ&lt;ギリシャin&gt;</v>
      </c>
      <c r="C102" s="18">
        <v>1</v>
      </c>
      <c r="D102" s="2" t="s">
        <v>107</v>
      </c>
      <c r="E102" s="2" t="s">
        <v>84</v>
      </c>
      <c r="F102" s="2" t="s">
        <v>84</v>
      </c>
      <c r="G102" s="20"/>
    </row>
    <row r="103" spans="1:7" ht="21" customHeight="1" x14ac:dyDescent="0.15">
      <c r="A103" s="21">
        <v>364</v>
      </c>
      <c r="B103" s="12" t="str">
        <f ca="1">VLOOKUP($A103,OFFSET(gachas!$A$1,0,0,COUNTA(gachas!$A:$A),MATCH(B$1,gachas!$1:$1,0)-MATCH($A$1,gachas!$1:$1,0)+1),MATCH(B$1,gachas!$1:$1,0)-MATCH($A$1,gachas!$1:$1,0)+1,FALSE)</f>
        <v>レアガチャ&lt;フランス革命in&gt;</v>
      </c>
      <c r="C103" s="18">
        <v>1</v>
      </c>
      <c r="D103" s="2" t="s">
        <v>107</v>
      </c>
      <c r="E103" s="2" t="s">
        <v>84</v>
      </c>
      <c r="F103" s="2" t="s">
        <v>84</v>
      </c>
      <c r="G103" s="20"/>
    </row>
    <row r="104" spans="1:7" ht="21" customHeight="1" x14ac:dyDescent="0.15">
      <c r="A104" s="21">
        <v>366</v>
      </c>
      <c r="B104" s="12" t="str">
        <f ca="1">VLOOKUP($A104,OFFSET(gachas!$A$1,0,0,COUNTA(gachas!$A:$A),MATCH(B$1,gachas!$1:$1,0)-MATCH($A$1,gachas!$1:$1,0)+1),MATCH(B$1,gachas!$1:$1,0)-MATCH($A$1,gachas!$1:$1,0)+1,FALSE)</f>
        <v>7月ステップアップフィーバー</v>
      </c>
      <c r="C104" s="18">
        <v>10</v>
      </c>
      <c r="D104" s="2" t="s">
        <v>1157</v>
      </c>
      <c r="E104" s="2" t="s">
        <v>852</v>
      </c>
      <c r="F104" s="2">
        <v>15</v>
      </c>
      <c r="G104" s="20"/>
    </row>
    <row r="105" spans="1:7" ht="21" customHeight="1" x14ac:dyDescent="0.15">
      <c r="A105" s="21">
        <v>368</v>
      </c>
      <c r="B105" s="12" t="str">
        <f ca="1">VLOOKUP($A105,OFFSET(gachas!$A$1,0,0,COUNTA(gachas!$A:$A),MATCH(B$1,gachas!$1:$1,0)-MATCH($A$1,gachas!$1:$1,0)+1),MATCH(B$1,gachas!$1:$1,0)-MATCH($A$1,gachas!$1:$1,0)+1,FALSE)</f>
        <v>1周年記念ステップアップ</v>
      </c>
      <c r="C105" s="18">
        <v>10</v>
      </c>
      <c r="D105" s="2" t="s">
        <v>1176</v>
      </c>
      <c r="E105" s="2" t="s">
        <v>852</v>
      </c>
      <c r="F105" s="2">
        <v>5</v>
      </c>
      <c r="G105" s="20"/>
    </row>
    <row r="106" spans="1:7" ht="21" customHeight="1" x14ac:dyDescent="0.15">
      <c r="A106" s="21">
        <v>380</v>
      </c>
      <c r="B106" s="12" t="str">
        <f ca="1">VLOOKUP($A106,OFFSET(gachas!$A$1,0,0,COUNTA(gachas!$A:$A),MATCH(B$1,gachas!$1:$1,0)-MATCH($A$1,gachas!$1:$1,0)+1),MATCH(B$1,gachas!$1:$1,0)-MATCH($A$1,gachas!$1:$1,0)+1,FALSE)</f>
        <v>レアガチャ&lt;エジプトin&gt;</v>
      </c>
      <c r="C106" s="18">
        <v>1</v>
      </c>
      <c r="D106" s="2" t="s">
        <v>107</v>
      </c>
      <c r="E106" s="2" t="s">
        <v>257</v>
      </c>
      <c r="F106" s="2" t="s">
        <v>1293</v>
      </c>
      <c r="G106" s="20"/>
    </row>
    <row r="107" spans="1:7" ht="21" customHeight="1" x14ac:dyDescent="0.15">
      <c r="A107" s="21">
        <v>391</v>
      </c>
      <c r="B107" s="12" t="str">
        <f ca="1">VLOOKUP($A107,OFFSET(gachas!$A$1,0,0,COUNTA(gachas!$A:$A),MATCH(B$1,gachas!$1:$1,0)-MATCH($A$1,gachas!$1:$1,0)+1),MATCH(B$1,gachas!$1:$1,0)-MATCH($A$1,gachas!$1:$1,0)+1,FALSE)</f>
        <v>レアガチャ（平安in）</v>
      </c>
      <c r="C107" s="18">
        <v>1</v>
      </c>
      <c r="D107" s="2" t="s">
        <v>107</v>
      </c>
      <c r="E107" s="2" t="s">
        <v>84</v>
      </c>
      <c r="F107" s="2" t="s">
        <v>84</v>
      </c>
      <c r="G107" s="20"/>
    </row>
    <row r="108" spans="1:7" ht="21" customHeight="1" x14ac:dyDescent="0.15">
      <c r="A108" s="21">
        <v>395</v>
      </c>
      <c r="B108" s="12" t="str">
        <f ca="1">VLOOKUP($A108,OFFSET(gachas!$A$1,0,0,COUNTA(gachas!$A:$A),MATCH(B$1,gachas!$1:$1,0)-MATCH($A$1,gachas!$1:$1,0)+1),MATCH(B$1,gachas!$1:$1,0)-MATCH($A$1,gachas!$1:$1,0)+1,FALSE)</f>
        <v>TVCM第2弾放送記念 1日1回無料レアガチャ</v>
      </c>
      <c r="C108" s="18">
        <v>1</v>
      </c>
      <c r="D108" s="2" t="s">
        <v>1449</v>
      </c>
      <c r="E108" s="2" t="s">
        <v>1432</v>
      </c>
      <c r="F108" s="2">
        <v>1</v>
      </c>
      <c r="G108" s="20"/>
    </row>
    <row r="109" spans="1:7" ht="21" customHeight="1" x14ac:dyDescent="0.15">
      <c r="A109" s="21">
        <v>396</v>
      </c>
      <c r="B109" s="12" t="str">
        <f ca="1">VLOOKUP($A109,OFFSET(gachas!$A$1,0,0,COUNTA(gachas!$A:$A),MATCH(B$1,gachas!$1:$1,0)-MATCH($A$1,gachas!$1:$1,0)+1),MATCH(B$1,gachas!$1:$1,0)-MATCH($A$1,gachas!$1:$1,0)+1,FALSE)</f>
        <v>TVCM第2弾記念ガチャ１</v>
      </c>
      <c r="C109" s="18">
        <v>10</v>
      </c>
      <c r="D109" s="2" t="s">
        <v>1445</v>
      </c>
      <c r="E109" s="2" t="s">
        <v>1346</v>
      </c>
      <c r="F109" s="2">
        <v>1</v>
      </c>
      <c r="G109" s="20"/>
    </row>
    <row r="110" spans="1:7" ht="21" customHeight="1" x14ac:dyDescent="0.15">
      <c r="A110" s="21">
        <v>398</v>
      </c>
      <c r="B110" s="12" t="str">
        <f ca="1">VLOOKUP($A110,OFFSET(gachas!$A$1,0,0,COUNTA(gachas!$A:$A),MATCH(B$1,gachas!$1:$1,0)-MATCH($A$1,gachas!$1:$1,0)+1),MATCH(B$1,gachas!$1:$1,0)-MATCH($A$1,gachas!$1:$1,0)+1,FALSE)</f>
        <v>レアガチャ（メソポタミアin）</v>
      </c>
      <c r="C110" s="18">
        <v>1</v>
      </c>
      <c r="D110" s="2" t="s">
        <v>107</v>
      </c>
      <c r="E110" s="2" t="s">
        <v>84</v>
      </c>
      <c r="F110" s="2" t="s">
        <v>84</v>
      </c>
      <c r="G110" s="20"/>
    </row>
    <row r="111" spans="1:7" ht="21" customHeight="1" x14ac:dyDescent="0.15">
      <c r="A111" s="21">
        <v>401</v>
      </c>
      <c r="B111" s="12" t="str">
        <f ca="1">VLOOKUP($A111,OFFSET(gachas!$A$1,0,0,COUNTA(gachas!$A:$A),MATCH(B$1,gachas!$1:$1,0)-MATCH($A$1,gachas!$1:$1,0)+1),MATCH(B$1,gachas!$1:$1,0)-MATCH($A$1,gachas!$1:$1,0)+1,FALSE)</f>
        <v>TVCM第2弾放送記念 1日1回無料レアガチャ</v>
      </c>
      <c r="C111" s="18">
        <v>1</v>
      </c>
      <c r="D111" s="2" t="s">
        <v>1449</v>
      </c>
      <c r="E111" s="2" t="s">
        <v>1432</v>
      </c>
      <c r="F111" s="2">
        <v>1</v>
      </c>
      <c r="G111" s="20"/>
    </row>
    <row r="112" spans="1:7" ht="22" customHeight="1" x14ac:dyDescent="0.15">
      <c r="A112" s="21">
        <v>405</v>
      </c>
      <c r="B112" s="12" t="str">
        <f ca="1">VLOOKUP($A112,OFFSET(gachas!$A$1,0,0,COUNTA(gachas!$A:$A),MATCH(B$1,gachas!$1:$1,0)-MATCH($A$1,gachas!$1:$1,0)+1),MATCH(B$1,gachas!$1:$1,0)-MATCH($A$1,gachas!$1:$1,0)+1,FALSE)</f>
        <v>レアガチャ（画家in）</v>
      </c>
      <c r="C112" s="18">
        <v>1</v>
      </c>
      <c r="D112" s="2" t="s">
        <v>107</v>
      </c>
      <c r="E112" s="2" t="s">
        <v>257</v>
      </c>
      <c r="F112" s="2" t="s">
        <v>84</v>
      </c>
      <c r="G112" s="20"/>
    </row>
    <row r="113" spans="1:7" ht="22" customHeight="1" x14ac:dyDescent="0.15">
      <c r="A113" s="21">
        <v>407</v>
      </c>
      <c r="B113" s="12" t="str">
        <f ca="1">VLOOKUP($A113,OFFSET(gachas!$A$1,0,0,COUNTA(gachas!$A:$A),MATCH(B$1,gachas!$1:$1,0)-MATCH($A$1,gachas!$1:$1,0)+1),MATCH(B$1,gachas!$1:$1,0)-MATCH($A$1,gachas!$1:$1,0)+1,FALSE)</f>
        <v>ハンプティおまけガチャ</v>
      </c>
      <c r="C113" s="18">
        <v>10</v>
      </c>
      <c r="D113" s="2" t="s">
        <v>1553</v>
      </c>
      <c r="E113" s="2" t="s">
        <v>852</v>
      </c>
      <c r="F113" s="2">
        <v>5</v>
      </c>
      <c r="G113" s="20"/>
    </row>
    <row r="114" spans="1:7" ht="22" customHeight="1" x14ac:dyDescent="0.15">
      <c r="A114" s="21">
        <v>408</v>
      </c>
      <c r="B114" s="12" t="str">
        <f ca="1">VLOOKUP($A114,OFFSET(gachas!$A$1,0,0,COUNTA(gachas!$A:$A),MATCH(B$1,gachas!$1:$1,0)-MATCH($A$1,gachas!$1:$1,0)+1),MATCH(B$1,gachas!$1:$1,0)-MATCH($A$1,gachas!$1:$1,0)+1,FALSE)</f>
        <v>全世界600万DL記念1日1回無料ガチャ</v>
      </c>
      <c r="C114" s="18">
        <v>1</v>
      </c>
      <c r="D114" s="2" t="s">
        <v>1581</v>
      </c>
      <c r="E114" s="2" t="s">
        <v>1582</v>
      </c>
      <c r="F114" s="2">
        <v>1</v>
      </c>
      <c r="G114" s="20"/>
    </row>
    <row r="115" spans="1:7" ht="22" customHeight="1" x14ac:dyDescent="0.15">
      <c r="A115" s="21">
        <v>384</v>
      </c>
      <c r="B115" s="12" t="str">
        <f ca="1">VLOOKUP($A115,OFFSET(gachas!$A$1,0,0,COUNTA(gachas!$A:$A),MATCH(B$1,gachas!$1:$1,0)-MATCH($A$1,gachas!$1:$1,0)+1),MATCH(B$1,gachas!$1:$1,0)-MATCH($A$1,gachas!$1:$1,0)+1,FALSE)</f>
        <v>サマーセール特集記念ステップアップ</v>
      </c>
      <c r="C115" s="18">
        <v>10</v>
      </c>
      <c r="D115" s="2" t="s">
        <v>1345</v>
      </c>
      <c r="E115" s="2" t="s">
        <v>1346</v>
      </c>
      <c r="F115" s="2">
        <v>7</v>
      </c>
      <c r="G115" s="20"/>
    </row>
    <row r="116" spans="1:7" ht="21" customHeight="1" x14ac:dyDescent="0.15">
      <c r="A116" s="21">
        <v>201</v>
      </c>
      <c r="B116" s="12" t="str">
        <f ca="1">VLOOKUP($A116,OFFSET(gachas!$A$1,0,0,COUNTA(gachas!$A:$A),MATCH(B$1,gachas!$1:$1,0)-MATCH($A$1,gachas!$1:$1,0)+1),MATCH(B$1,gachas!$1:$1,0)-MATCH($A$1,gachas!$1:$1,0)+1,FALSE)</f>
        <v>男気リンクガチャ（常設）</v>
      </c>
      <c r="C116" s="18">
        <v>1</v>
      </c>
      <c r="D116" s="2" t="s">
        <v>108</v>
      </c>
      <c r="E116" s="2" t="s">
        <v>836</v>
      </c>
      <c r="F116" s="2" t="s">
        <v>836</v>
      </c>
      <c r="G116" s="20" t="s">
        <v>102</v>
      </c>
    </row>
    <row r="117" spans="1:7" ht="21" customHeight="1" x14ac:dyDescent="0.15">
      <c r="A117" s="21">
        <v>205</v>
      </c>
      <c r="B117" s="12" t="str">
        <f ca="1">VLOOKUP($A117,OFFSET(gachas!$A$1,0,0,COUNTA(gachas!$A:$A),MATCH(B$1,gachas!$1:$1,0)-MATCH($A$1,gachas!$1:$1,0)+1),MATCH(B$1,gachas!$1:$1,0)-MATCH($A$1,gachas!$1:$1,0)+1,FALSE)</f>
        <v>新年フィーバー</v>
      </c>
      <c r="C117" s="18">
        <v>1</v>
      </c>
      <c r="D117" s="2" t="s">
        <v>108</v>
      </c>
      <c r="E117" s="2" t="s">
        <v>836</v>
      </c>
      <c r="F117" s="2" t="s">
        <v>836</v>
      </c>
      <c r="G117" s="20"/>
    </row>
    <row r="118" spans="1:7" ht="21" customHeight="1" x14ac:dyDescent="0.15">
      <c r="A118" s="21">
        <v>206</v>
      </c>
      <c r="B118" s="12" t="str">
        <f ca="1">VLOOKUP($A118,OFFSET(gachas!$A$1,0,0,COUNTA(gachas!$A:$A),MATCH(B$1,gachas!$1:$1,0)-MATCH($A$1,gachas!$1:$1,0)+1),MATCH(B$1,gachas!$1:$1,0)-MATCH($A$1,gachas!$1:$1,0)+1,FALSE)</f>
        <v>ミクリンク</v>
      </c>
      <c r="C118" s="18">
        <v>1</v>
      </c>
      <c r="D118" s="2" t="s">
        <v>108</v>
      </c>
      <c r="E118" s="2" t="s">
        <v>836</v>
      </c>
      <c r="F118" s="2" t="s">
        <v>836</v>
      </c>
      <c r="G118" s="20"/>
    </row>
    <row r="119" spans="1:7" ht="21" customHeight="1" x14ac:dyDescent="0.15">
      <c r="A119" s="21">
        <v>207</v>
      </c>
      <c r="B119" s="12" t="str">
        <f ca="1">VLOOKUP($A119,OFFSET(gachas!$A$1,0,0,COUNTA(gachas!$A:$A),MATCH(B$1,gachas!$1:$1,0)-MATCH($A$1,gachas!$1:$1,0)+1),MATCH(B$1,gachas!$1:$1,0)-MATCH($A$1,gachas!$1:$1,0)+1,FALSE)</f>
        <v>四神UPリンクガチャ</v>
      </c>
      <c r="C119" s="18">
        <v>1</v>
      </c>
      <c r="D119" s="2" t="s">
        <v>108</v>
      </c>
      <c r="E119" s="2" t="s">
        <v>836</v>
      </c>
      <c r="F119" s="2" t="s">
        <v>836</v>
      </c>
      <c r="G119" s="20"/>
    </row>
    <row r="120" spans="1:7" ht="21" customHeight="1" x14ac:dyDescent="0.15">
      <c r="A120" s="21">
        <v>208</v>
      </c>
      <c r="B120" s="12" t="str">
        <f ca="1">VLOOKUP($A120,OFFSET(gachas!$A$1,0,0,COUNTA(gachas!$A:$A),MATCH(B$1,gachas!$1:$1,0)-MATCH($A$1,gachas!$1:$1,0)+1),MATCH(B$1,gachas!$1:$1,0)-MATCH($A$1,gachas!$1:$1,0)+1,FALSE)</f>
        <v>メタルフィーバー&lt;リンク&gt;</v>
      </c>
      <c r="C120" s="18">
        <v>1</v>
      </c>
      <c r="D120" s="2" t="s">
        <v>108</v>
      </c>
      <c r="E120" s="2" t="s">
        <v>836</v>
      </c>
      <c r="F120" s="2" t="s">
        <v>836</v>
      </c>
      <c r="G120" s="20"/>
    </row>
    <row r="121" spans="1:7" ht="21" customHeight="1" x14ac:dyDescent="0.15">
      <c r="A121" s="21">
        <v>209</v>
      </c>
      <c r="B121" s="12" t="str">
        <f ca="1">VLOOKUP($A121,OFFSET(gachas!$A$1,0,0,COUNTA(gachas!$A:$A),MATCH(B$1,gachas!$1:$1,0)-MATCH($A$1,gachas!$1:$1,0)+1),MATCH(B$1,gachas!$1:$1,0)-MATCH($A$1,gachas!$1:$1,0)+1,FALSE)</f>
        <v>メタルフィーバー&lt;208調整&gt;</v>
      </c>
      <c r="C121" s="18">
        <v>1</v>
      </c>
      <c r="D121" s="2" t="s">
        <v>108</v>
      </c>
      <c r="E121" s="2" t="s">
        <v>836</v>
      </c>
      <c r="F121" s="2" t="s">
        <v>836</v>
      </c>
      <c r="G121" s="20"/>
    </row>
    <row r="122" spans="1:7" ht="21" customHeight="1" x14ac:dyDescent="0.15">
      <c r="A122" s="21">
        <v>210</v>
      </c>
      <c r="B122" s="12" t="str">
        <f ca="1">VLOOKUP($A122,OFFSET(gachas!$A$1,0,0,COUNTA(gachas!$A:$A),MATCH(B$1,gachas!$1:$1,0)-MATCH($A$1,gachas!$1:$1,0)+1),MATCH(B$1,gachas!$1:$1,0)-MATCH($A$1,gachas!$1:$1,0)+1,FALSE)</f>
        <v>KIRIMIリンク</v>
      </c>
      <c r="C122" s="18">
        <v>1</v>
      </c>
      <c r="D122" s="2" t="s">
        <v>108</v>
      </c>
      <c r="E122" s="2" t="s">
        <v>685</v>
      </c>
      <c r="F122" s="2" t="s">
        <v>685</v>
      </c>
      <c r="G122" s="20"/>
    </row>
    <row r="123" spans="1:7" ht="21" customHeight="1" x14ac:dyDescent="0.15">
      <c r="A123" s="21">
        <v>211</v>
      </c>
      <c r="B123" s="12" t="str">
        <f ca="1">VLOOKUP($A123,OFFSET(gachas!$A$1,0,0,COUNTA(gachas!$A:$A),MATCH(B$1,gachas!$1:$1,0)-MATCH($A$1,gachas!$1:$1,0)+1),MATCH(B$1,gachas!$1:$1,0)-MATCH($A$1,gachas!$1:$1,0)+1,FALSE)</f>
        <v>Hyperリンク</v>
      </c>
      <c r="C123" s="18">
        <v>1</v>
      </c>
      <c r="D123" s="2" t="s">
        <v>108</v>
      </c>
      <c r="E123" s="2" t="s">
        <v>257</v>
      </c>
      <c r="F123" s="2" t="s">
        <v>257</v>
      </c>
      <c r="G123" s="20"/>
    </row>
    <row r="124" spans="1:7" ht="21" customHeight="1" x14ac:dyDescent="0.15">
      <c r="A124" s="21">
        <v>212</v>
      </c>
      <c r="B124" s="12" t="str">
        <f ca="1">VLOOKUP($A124,OFFSET(gachas!$A$1,0,0,COUNTA(gachas!$A:$A),MATCH(B$1,gachas!$1:$1,0)-MATCH($A$1,gachas!$1:$1,0)+1),MATCH(B$1,gachas!$1:$1,0)-MATCH($A$1,gachas!$1:$1,0)+1,FALSE)</f>
        <v>男気リンクガチャ（常設）</v>
      </c>
      <c r="C124" s="18">
        <v>1</v>
      </c>
      <c r="D124" s="2" t="s">
        <v>108</v>
      </c>
      <c r="E124" s="2" t="s">
        <v>257</v>
      </c>
      <c r="F124" s="2" t="s">
        <v>257</v>
      </c>
      <c r="G124" s="20"/>
    </row>
    <row r="125" spans="1:7" ht="21" customHeight="1" x14ac:dyDescent="0.15">
      <c r="A125" s="21">
        <v>213</v>
      </c>
      <c r="B125" s="12" t="str">
        <f ca="1">VLOOKUP($A125,OFFSET(gachas!$A$1,0,0,COUNTA(gachas!$A:$A),MATCH(B$1,gachas!$1:$1,0)-MATCH($A$1,gachas!$1:$1,0)+1),MATCH(B$1,gachas!$1:$1,0)-MATCH($A$1,gachas!$1:$1,0)+1,FALSE)</f>
        <v>Happyリンクガチャ</v>
      </c>
      <c r="C125" s="18">
        <v>1</v>
      </c>
      <c r="D125" s="2" t="s">
        <v>108</v>
      </c>
      <c r="E125" s="2" t="s">
        <v>84</v>
      </c>
      <c r="F125" s="2" t="s">
        <v>84</v>
      </c>
      <c r="G125" s="20"/>
    </row>
    <row r="126" spans="1:7" ht="21" customHeight="1" x14ac:dyDescent="0.15">
      <c r="A126" s="21">
        <v>214</v>
      </c>
      <c r="B126" s="12" t="str">
        <f ca="1">VLOOKUP($A126,OFFSET(gachas!$A$1,0,0,COUNTA(gachas!$A:$A),MATCH(B$1,gachas!$1:$1,0)-MATCH($A$1,gachas!$1:$1,0)+1),MATCH(B$1,gachas!$1:$1,0)-MATCH($A$1,gachas!$1:$1,0)+1,FALSE)</f>
        <v>ニムダリンクガチャ</v>
      </c>
      <c r="C126" s="18">
        <v>1</v>
      </c>
      <c r="D126" s="2" t="s">
        <v>108</v>
      </c>
      <c r="E126" s="2" t="s">
        <v>84</v>
      </c>
      <c r="F126" s="2" t="s">
        <v>84</v>
      </c>
      <c r="G126" s="20"/>
    </row>
    <row r="127" spans="1:7" ht="21" customHeight="1" x14ac:dyDescent="0.15">
      <c r="A127" s="21">
        <v>215</v>
      </c>
      <c r="B127" s="12" t="str">
        <f ca="1">VLOOKUP($A127,OFFSET(gachas!$A$1,0,0,COUNTA(gachas!$A:$A),MATCH(B$1,gachas!$1:$1,0)-MATCH($A$1,gachas!$1:$1,0)+1),MATCH(B$1,gachas!$1:$1,0)-MATCH($A$1,gachas!$1:$1,0)+1,FALSE)</f>
        <v>170315リンクガチャ</v>
      </c>
      <c r="C127" s="18">
        <v>1</v>
      </c>
      <c r="D127" s="2" t="s">
        <v>108</v>
      </c>
      <c r="E127" s="2" t="s">
        <v>84</v>
      </c>
      <c r="F127" s="2" t="s">
        <v>84</v>
      </c>
      <c r="G127" s="20"/>
    </row>
    <row r="128" spans="1:7" ht="21" customHeight="1" x14ac:dyDescent="0.15">
      <c r="A128" s="21">
        <v>216</v>
      </c>
      <c r="B128" s="12" t="str">
        <f ca="1">VLOOKUP($A128,OFFSET(gachas!$A$1,0,0,COUNTA(gachas!$A:$A),MATCH(B$1,gachas!$1:$1,0)-MATCH($A$1,gachas!$1:$1,0)+1),MATCH(B$1,gachas!$1:$1,0)-MATCH($A$1,gachas!$1:$1,0)+1,FALSE)</f>
        <v>モリスリンクガチャ</v>
      </c>
      <c r="C128" s="18">
        <v>1</v>
      </c>
      <c r="D128" s="2" t="s">
        <v>108</v>
      </c>
      <c r="E128" s="2" t="s">
        <v>84</v>
      </c>
      <c r="F128" s="2" t="s">
        <v>84</v>
      </c>
      <c r="G128" s="20"/>
    </row>
    <row r="129" spans="1:7" ht="21" customHeight="1" x14ac:dyDescent="0.15">
      <c r="A129" s="2">
        <v>411</v>
      </c>
      <c r="B129" s="12" t="str">
        <f ca="1">VLOOKUP($A129,OFFSET(gachas!$A$1,0,0,COUNTA(gachas!$A:$A),MATCH(B$1,gachas!$1:$1,0)-MATCH($A$1,gachas!$1:$1,0)+1),MATCH(B$1,gachas!$1:$1,0)-MATCH($A$1,gachas!$1:$1,0)+1,FALSE)</f>
        <v>全世界600万DL記念1日1回無料ガチャ-1日目-</v>
      </c>
      <c r="C129" s="18">
        <v>1</v>
      </c>
      <c r="D129" s="2" t="s">
        <v>1630</v>
      </c>
      <c r="E129" s="2" t="s">
        <v>1582</v>
      </c>
      <c r="F129" s="2">
        <v>1</v>
      </c>
      <c r="G129" s="2"/>
    </row>
    <row r="130" spans="1:7" ht="21" customHeight="1" x14ac:dyDescent="0.15">
      <c r="A130" s="2">
        <v>412</v>
      </c>
      <c r="B130" s="12" t="str">
        <f ca="1">VLOOKUP($A130,OFFSET(gachas!$A$1,0,0,COUNTA(gachas!$A:$A),MATCH(B$1,gachas!$1:$1,0)-MATCH($A$1,gachas!$1:$1,0)+1),MATCH(B$1,gachas!$1:$1,0)-MATCH($A$1,gachas!$1:$1,0)+1,FALSE)</f>
        <v>全世界600万DL記念1日1回無料ガチャ-2日目-</v>
      </c>
      <c r="C130" s="18">
        <v>1</v>
      </c>
      <c r="D130" s="2" t="s">
        <v>1631</v>
      </c>
      <c r="E130" s="2" t="s">
        <v>1582</v>
      </c>
      <c r="F130" s="2">
        <v>1</v>
      </c>
      <c r="G130" s="2"/>
    </row>
    <row r="131" spans="1:7" ht="21" customHeight="1" x14ac:dyDescent="0.15">
      <c r="A131" s="2">
        <v>413</v>
      </c>
      <c r="B131" s="12" t="str">
        <f ca="1">VLOOKUP($A131,OFFSET(gachas!$A$1,0,0,COUNTA(gachas!$A:$A),MATCH(B$1,gachas!$1:$1,0)-MATCH($A$1,gachas!$1:$1,0)+1),MATCH(B$1,gachas!$1:$1,0)-MATCH($A$1,gachas!$1:$1,0)+1,FALSE)</f>
        <v>全世界600万DL記念1日1回無料ガチャ-3日目-</v>
      </c>
      <c r="C131" s="18">
        <v>1</v>
      </c>
      <c r="D131" s="2" t="s">
        <v>1632</v>
      </c>
      <c r="E131" s="2" t="s">
        <v>1582</v>
      </c>
      <c r="F131" s="2">
        <v>1</v>
      </c>
      <c r="G131" s="2"/>
    </row>
    <row r="132" spans="1:7" ht="21" customHeight="1" x14ac:dyDescent="0.15">
      <c r="A132" s="2">
        <v>414</v>
      </c>
      <c r="B132" s="12" t="str">
        <f ca="1">VLOOKUP($A132,OFFSET(gachas!$A$1,0,0,COUNTA(gachas!$A:$A),MATCH(B$1,gachas!$1:$1,0)-MATCH($A$1,gachas!$1:$1,0)+1),MATCH(B$1,gachas!$1:$1,0)-MATCH($A$1,gachas!$1:$1,0)+1,FALSE)</f>
        <v>全世界600万DL記念1日1回無料ガチャ-4日目-</v>
      </c>
      <c r="C132" s="18">
        <v>1</v>
      </c>
      <c r="D132" s="2" t="s">
        <v>1633</v>
      </c>
      <c r="E132" s="2" t="s">
        <v>1582</v>
      </c>
      <c r="F132" s="2">
        <v>1</v>
      </c>
      <c r="G132" s="2"/>
    </row>
    <row r="133" spans="1:7" ht="21" customHeight="1" x14ac:dyDescent="0.15">
      <c r="A133" s="2">
        <v>415</v>
      </c>
      <c r="B133" s="12" t="str">
        <f ca="1">VLOOKUP($A133,OFFSET(gachas!$A$1,0,0,COUNTA(gachas!$A:$A),MATCH(B$1,gachas!$1:$1,0)-MATCH($A$1,gachas!$1:$1,0)+1),MATCH(B$1,gachas!$1:$1,0)-MATCH($A$1,gachas!$1:$1,0)+1,FALSE)</f>
        <v>全世界600万DL記念1日1回無料ガチャ-5日目-</v>
      </c>
      <c r="C133" s="18">
        <v>1</v>
      </c>
      <c r="D133" s="2" t="s">
        <v>1634</v>
      </c>
      <c r="E133" s="2" t="s">
        <v>1582</v>
      </c>
      <c r="F133" s="2">
        <v>1</v>
      </c>
      <c r="G133" s="2"/>
    </row>
    <row r="134" spans="1:7" ht="21" customHeight="1" x14ac:dyDescent="0.15">
      <c r="A134" s="2">
        <v>416</v>
      </c>
      <c r="B134" s="12" t="str">
        <f ca="1">VLOOKUP($A134,OFFSET(gachas!$A$1,0,0,COUNTA(gachas!$A:$A),MATCH(B$1,gachas!$1:$1,0)-MATCH($A$1,gachas!$1:$1,0)+1),MATCH(B$1,gachas!$1:$1,0)-MATCH($A$1,gachas!$1:$1,0)+1,FALSE)</f>
        <v>全世界600万DL記念1日1回無料ガチャ-6日目-</v>
      </c>
      <c r="C134" s="18">
        <v>1</v>
      </c>
      <c r="D134" s="2" t="s">
        <v>1635</v>
      </c>
      <c r="E134" s="2" t="s">
        <v>1582</v>
      </c>
      <c r="F134" s="2">
        <v>1</v>
      </c>
      <c r="G134" s="2"/>
    </row>
    <row r="135" spans="1:7" ht="21" customHeight="1" x14ac:dyDescent="0.15">
      <c r="A135" s="2">
        <v>417</v>
      </c>
      <c r="B135" s="12" t="str">
        <f ca="1">VLOOKUP($A135,OFFSET(gachas!$A$1,0,0,COUNTA(gachas!$A:$A),MATCH(B$1,gachas!$1:$1,0)-MATCH($A$1,gachas!$1:$1,0)+1),MATCH(B$1,gachas!$1:$1,0)-MATCH($A$1,gachas!$1:$1,0)+1,FALSE)</f>
        <v>全世界600万DL記念1日1回無料ガチャ-7日目-</v>
      </c>
      <c r="C135" s="18">
        <v>1</v>
      </c>
      <c r="D135" s="2" t="s">
        <v>1636</v>
      </c>
      <c r="E135" s="2" t="s">
        <v>1582</v>
      </c>
      <c r="F135" s="2">
        <v>1</v>
      </c>
      <c r="G135" s="2"/>
    </row>
    <row r="136" spans="1:7" ht="21" customHeight="1" x14ac:dyDescent="0.15">
      <c r="A136" s="2">
        <v>418</v>
      </c>
      <c r="B136" s="12" t="str">
        <f ca="1">VLOOKUP($A136,OFFSET(gachas!$A$1,0,0,COUNTA(gachas!$A:$A),MATCH(B$1,gachas!$1:$1,0)-MATCH($A$1,gachas!$1:$1,0)+1),MATCH(B$1,gachas!$1:$1,0)-MATCH($A$1,gachas!$1:$1,0)+1,FALSE)</f>
        <v>全世界600万DL記念1日1回無料ガチャ-8日目-</v>
      </c>
      <c r="C136" s="18">
        <v>1</v>
      </c>
      <c r="D136" s="2" t="s">
        <v>1637</v>
      </c>
      <c r="E136" s="2" t="s">
        <v>1582</v>
      </c>
      <c r="F136" s="2">
        <v>1</v>
      </c>
      <c r="G136" s="2"/>
    </row>
    <row r="137" spans="1:7" ht="21" customHeight="1" x14ac:dyDescent="0.15">
      <c r="A137" s="2">
        <v>419</v>
      </c>
      <c r="B137" s="12" t="str">
        <f ca="1">VLOOKUP($A137,OFFSET(gachas!$A$1,0,0,COUNTA(gachas!$A:$A),MATCH(B$1,gachas!$1:$1,0)-MATCH($A$1,gachas!$1:$1,0)+1),MATCH(B$1,gachas!$1:$1,0)-MATCH($A$1,gachas!$1:$1,0)+1,FALSE)</f>
        <v>全世界600万DL記念1日1回無料ガチャ-9日目-</v>
      </c>
      <c r="C137" s="18">
        <v>1</v>
      </c>
      <c r="D137" s="2" t="s">
        <v>1638</v>
      </c>
      <c r="E137" s="2" t="s">
        <v>1582</v>
      </c>
      <c r="F137" s="2">
        <v>1</v>
      </c>
      <c r="G137" s="2"/>
    </row>
    <row r="138" spans="1:7" ht="21" customHeight="1" x14ac:dyDescent="0.15">
      <c r="A138" s="2">
        <v>420</v>
      </c>
      <c r="B138" s="12" t="str">
        <f ca="1">VLOOKUP($A138,OFFSET(gachas!$A$1,0,0,COUNTA(gachas!$A:$A),MATCH(B$1,gachas!$1:$1,0)-MATCH($A$1,gachas!$1:$1,0)+1),MATCH(B$1,gachas!$1:$1,0)-MATCH($A$1,gachas!$1:$1,0)+1,FALSE)</f>
        <v>全世界600万DL記念1日1回無料ガチャ-10日目-</v>
      </c>
      <c r="C138" s="18">
        <v>1</v>
      </c>
      <c r="D138" s="2" t="s">
        <v>1639</v>
      </c>
      <c r="E138" s="2" t="s">
        <v>1582</v>
      </c>
      <c r="F138" s="2">
        <v>1</v>
      </c>
      <c r="G138" s="2"/>
    </row>
    <row r="139" spans="1:7" ht="21" customHeight="1" x14ac:dyDescent="0.15">
      <c r="A139" s="2">
        <v>422</v>
      </c>
      <c r="B139" s="12" t="str">
        <f ca="1">VLOOKUP($A139,OFFSET(gachas!$A$1,0,0,COUNTA(gachas!$A:$A),MATCH(B$1,gachas!$1:$1,0)-MATCH($A$1,gachas!$1:$1,0)+1),MATCH(B$1,gachas!$1:$1,0)-MATCH($A$1,gachas!$1:$1,0)+1,FALSE)</f>
        <v>レアガチャ(三国志in)</v>
      </c>
      <c r="C139" s="18">
        <v>1</v>
      </c>
      <c r="D139" s="2" t="s">
        <v>107</v>
      </c>
      <c r="E139" s="2" t="s">
        <v>257</v>
      </c>
      <c r="F139" s="2" t="s">
        <v>84</v>
      </c>
      <c r="G139" s="2"/>
    </row>
    <row r="140" spans="1:7" ht="21" customHeight="1" x14ac:dyDescent="0.15">
      <c r="A140" s="2">
        <v>429</v>
      </c>
      <c r="B140" s="12" t="str">
        <f ca="1">VLOOKUP($A140,OFFSET(gachas!$A$1,0,0,COUNTA(gachas!$A:$A),MATCH(B$1,gachas!$1:$1,0)-MATCH($A$1,gachas!$1:$1,0)+1),MATCH(B$1,gachas!$1:$1,0)-MATCH($A$1,gachas!$1:$1,0)+1,FALSE)</f>
        <v>レアガチャ（インド第2弾in）</v>
      </c>
      <c r="C140" s="18">
        <v>1</v>
      </c>
      <c r="D140" s="2" t="s">
        <v>107</v>
      </c>
      <c r="E140" s="2" t="s">
        <v>257</v>
      </c>
      <c r="F140" s="2" t="s">
        <v>84</v>
      </c>
      <c r="G140" s="2"/>
    </row>
    <row r="141" spans="1:7" ht="21" customHeight="1" x14ac:dyDescent="0.15">
      <c r="A141" s="2">
        <v>436</v>
      </c>
      <c r="B141" s="12" t="str">
        <f ca="1">VLOOKUP($A141,OFFSET(gachas!$A$1,0,0,COUNTA(gachas!$A:$A),MATCH(B$1,gachas!$1:$1,0)-MATCH($A$1,gachas!$1:$1,0)+1),MATCH(B$1,gachas!$1:$1,0)-MATCH($A$1,gachas!$1:$1,0)+1,FALSE)</f>
        <v>毎日1回無料ハロウィンガチャ</v>
      </c>
      <c r="C141" s="18">
        <v>1</v>
      </c>
      <c r="D141" s="2" t="s">
        <v>1830</v>
      </c>
      <c r="E141" s="2" t="s">
        <v>1432</v>
      </c>
      <c r="F141" s="2">
        <v>1</v>
      </c>
      <c r="G141" s="2"/>
    </row>
    <row r="142" spans="1:7" ht="21" customHeight="1" x14ac:dyDescent="0.15">
      <c r="A142" s="2">
        <v>445</v>
      </c>
      <c r="B142" s="12" t="str">
        <f ca="1">VLOOKUP($A142,OFFSET(gachas!$A$1,0,0,COUNTA(gachas!$A:$A),MATCH(B$1,gachas!$1:$1,0)-MATCH($A$1,gachas!$1:$1,0)+1),MATCH(B$1,gachas!$1:$1,0)-MATCH($A$1,gachas!$1:$1,0)+1,FALSE)</f>
        <v>レアガチャ（ギリシャ神話第2弾in）</v>
      </c>
      <c r="C142" s="18">
        <v>1</v>
      </c>
      <c r="D142" s="2" t="s">
        <v>1899</v>
      </c>
      <c r="E142" s="2" t="s">
        <v>1900</v>
      </c>
      <c r="F142" s="2" t="s">
        <v>1900</v>
      </c>
      <c r="G142" s="2"/>
    </row>
    <row r="143" spans="1:7" ht="21" customHeight="1" x14ac:dyDescent="0.15">
      <c r="A143" s="2">
        <v>455</v>
      </c>
      <c r="B143" s="12" t="str">
        <f ca="1">VLOOKUP($A143,OFFSET(gachas!$A$1,0,0,COUNTA(gachas!$A:$A),MATCH(B$1,gachas!$1:$1,0)-MATCH($A$1,gachas!$1:$1,0)+1),MATCH(B$1,gachas!$1:$1,0)-MATCH($A$1,gachas!$1:$1,0)+1,FALSE)</f>
        <v>レアガチャ（文豪in）</v>
      </c>
      <c r="C143" s="18">
        <v>1</v>
      </c>
      <c r="D143" s="2" t="s">
        <v>1899</v>
      </c>
      <c r="E143" s="2" t="s">
        <v>1900</v>
      </c>
      <c r="F143" s="2" t="s">
        <v>1900</v>
      </c>
      <c r="G143" s="2"/>
    </row>
    <row r="144" spans="1:7" ht="21" customHeight="1" x14ac:dyDescent="0.15">
      <c r="A144" s="2">
        <v>456</v>
      </c>
      <c r="B144" s="12" t="str">
        <f ca="1">VLOOKUP($A144,OFFSET(gachas!$A$1,0,0,COUNTA(gachas!$A:$A),MATCH(B$1,gachas!$1:$1,0)-MATCH($A$1,gachas!$1:$1,0)+1),MATCH(B$1,gachas!$1:$1,0)-MATCH($A$1,gachas!$1:$1,0)+1,FALSE)</f>
        <v>全世界700万DL突破記念フェス限確定ガチャ</v>
      </c>
      <c r="C144" s="18">
        <v>10</v>
      </c>
      <c r="D144" s="2" t="s">
        <v>2100</v>
      </c>
      <c r="E144" s="2" t="s">
        <v>852</v>
      </c>
      <c r="F144" s="2">
        <v>7</v>
      </c>
      <c r="G144" s="2"/>
    </row>
    <row r="145" spans="1:7" ht="22" customHeight="1" x14ac:dyDescent="0.15">
      <c r="A145" s="2">
        <v>457</v>
      </c>
      <c r="B145" s="12" t="str">
        <f ca="1">VLOOKUP($A145,OFFSET(gachas!$A$1,0,0,COUNTA(gachas!$A:$A),MATCH(B$1,gachas!$1:$1,0)-MATCH($A$1,gachas!$1:$1,0)+1),MATCH(B$1,gachas!$1:$1,0)-MATCH($A$1,gachas!$1:$1,0)+1,FALSE)</f>
        <v>全世界700万DL突破記念無料レアガチャ1日目</v>
      </c>
      <c r="C145" s="18">
        <v>1</v>
      </c>
      <c r="D145" s="2" t="s">
        <v>2025</v>
      </c>
      <c r="E145" s="2" t="s">
        <v>1582</v>
      </c>
      <c r="F145" s="2">
        <v>1</v>
      </c>
      <c r="G145" s="2"/>
    </row>
    <row r="146" spans="1:7" ht="21" customHeight="1" x14ac:dyDescent="0.15">
      <c r="A146" s="2">
        <v>458</v>
      </c>
      <c r="B146" s="12" t="str">
        <f ca="1">VLOOKUP($A146,OFFSET(gachas!$A$1,0,0,COUNTA(gachas!$A:$A),MATCH(B$1,gachas!$1:$1,0)-MATCH($A$1,gachas!$1:$1,0)+1),MATCH(B$1,gachas!$1:$1,0)-MATCH($A$1,gachas!$1:$1,0)+1,FALSE)</f>
        <v>全世界700万DL突破記念無料レアガチャ2日目</v>
      </c>
      <c r="C146" s="18">
        <v>1</v>
      </c>
      <c r="D146" s="2" t="s">
        <v>2026</v>
      </c>
      <c r="E146" s="2" t="s">
        <v>1582</v>
      </c>
      <c r="F146" s="2">
        <v>1</v>
      </c>
      <c r="G146" s="2"/>
    </row>
    <row r="147" spans="1:7" ht="21" customHeight="1" x14ac:dyDescent="0.15">
      <c r="A147" s="2">
        <v>459</v>
      </c>
      <c r="B147" s="12" t="str">
        <f ca="1">VLOOKUP($A147,OFFSET(gachas!$A$1,0,0,COUNTA(gachas!$A:$A),MATCH(B$1,gachas!$1:$1,0)-MATCH($A$1,gachas!$1:$1,0)+1),MATCH(B$1,gachas!$1:$1,0)-MATCH($A$1,gachas!$1:$1,0)+1,FALSE)</f>
        <v>全世界700万DL突破記念無料レアガチャ3日目</v>
      </c>
      <c r="C147" s="18">
        <v>1</v>
      </c>
      <c r="D147" s="2" t="s">
        <v>2027</v>
      </c>
      <c r="E147" s="2" t="s">
        <v>1582</v>
      </c>
      <c r="F147" s="2">
        <v>1</v>
      </c>
      <c r="G147" s="2"/>
    </row>
    <row r="148" spans="1:7" ht="21" customHeight="1" x14ac:dyDescent="0.15">
      <c r="A148" s="2">
        <v>460</v>
      </c>
      <c r="B148" s="12" t="str">
        <f ca="1">VLOOKUP($A148,OFFSET(gachas!$A$1,0,0,COUNTA(gachas!$A:$A),MATCH(B$1,gachas!$1:$1,0)-MATCH($A$1,gachas!$1:$1,0)+1),MATCH(B$1,gachas!$1:$1,0)-MATCH($A$1,gachas!$1:$1,0)+1,FALSE)</f>
        <v>全世界700万DL突破記念無料レアガチャ4日目</v>
      </c>
      <c r="C148" s="18">
        <v>1</v>
      </c>
      <c r="D148" s="2" t="s">
        <v>2028</v>
      </c>
      <c r="E148" s="2" t="s">
        <v>1582</v>
      </c>
      <c r="F148" s="2">
        <v>1</v>
      </c>
      <c r="G148" s="2"/>
    </row>
    <row r="149" spans="1:7" ht="21" customHeight="1" x14ac:dyDescent="0.15">
      <c r="A149" s="2">
        <v>461</v>
      </c>
      <c r="B149" s="12" t="str">
        <f ca="1">VLOOKUP($A149,OFFSET(gachas!$A$1,0,0,COUNTA(gachas!$A:$A),MATCH(B$1,gachas!$1:$1,0)-MATCH($A$1,gachas!$1:$1,0)+1),MATCH(B$1,gachas!$1:$1,0)-MATCH($A$1,gachas!$1:$1,0)+1,FALSE)</f>
        <v>全世界700万DL突破記念無料レアガチャ5日目</v>
      </c>
      <c r="C149" s="18">
        <v>1</v>
      </c>
      <c r="D149" s="2" t="s">
        <v>2029</v>
      </c>
      <c r="E149" s="2" t="s">
        <v>1582</v>
      </c>
      <c r="F149" s="2">
        <v>1</v>
      </c>
      <c r="G149" s="2"/>
    </row>
    <row r="150" spans="1:7" ht="21" customHeight="1" x14ac:dyDescent="0.15">
      <c r="A150" s="2">
        <v>462</v>
      </c>
      <c r="B150" s="12" t="str">
        <f ca="1">VLOOKUP($A150,OFFSET(gachas!$A$1,0,0,COUNTA(gachas!$A:$A),MATCH(B$1,gachas!$1:$1,0)-MATCH($A$1,gachas!$1:$1,0)+1),MATCH(B$1,gachas!$1:$1,0)-MATCH($A$1,gachas!$1:$1,0)+1,FALSE)</f>
        <v>全世界700万DL突破記念無料レアガチャ6日目</v>
      </c>
      <c r="C150" s="18">
        <v>1</v>
      </c>
      <c r="D150" s="2" t="s">
        <v>2030</v>
      </c>
      <c r="E150" s="2" t="s">
        <v>1582</v>
      </c>
      <c r="F150" s="2">
        <v>1</v>
      </c>
      <c r="G150" s="2"/>
    </row>
    <row r="151" spans="1:7" ht="21" customHeight="1" x14ac:dyDescent="0.15">
      <c r="A151" s="2">
        <v>463</v>
      </c>
      <c r="B151" s="12" t="str">
        <f ca="1">VLOOKUP($A151,OFFSET(gachas!$A$1,0,0,COUNTA(gachas!$A:$A),MATCH(B$1,gachas!$1:$1,0)-MATCH($A$1,gachas!$1:$1,0)+1),MATCH(B$1,gachas!$1:$1,0)-MATCH($A$1,gachas!$1:$1,0)+1,FALSE)</f>
        <v>全世界700万DL突破記念無料レアガチャ7日目</v>
      </c>
      <c r="C151" s="18">
        <v>1</v>
      </c>
      <c r="D151" s="2" t="s">
        <v>2031</v>
      </c>
      <c r="E151" s="2" t="s">
        <v>1582</v>
      </c>
      <c r="F151" s="2">
        <v>1</v>
      </c>
      <c r="G151" s="2"/>
    </row>
    <row r="152" spans="1:7" ht="21" customHeight="1" x14ac:dyDescent="0.15">
      <c r="A152" s="2">
        <v>464</v>
      </c>
      <c r="B152" s="12" t="str">
        <f ca="1">VLOOKUP($A152,OFFSET(gachas!$A$1,0,0,COUNTA(gachas!$A:$A),MATCH(B$1,gachas!$1:$1,0)-MATCH($A$1,gachas!$1:$1,0)+1),MATCH(B$1,gachas!$1:$1,0)-MATCH($A$1,gachas!$1:$1,0)+1,FALSE)</f>
        <v>全世界700万DL突破記念無料レアガチャ8日目（★6）</v>
      </c>
      <c r="C152" s="18">
        <v>1</v>
      </c>
      <c r="D152" s="2" t="s">
        <v>2032</v>
      </c>
      <c r="E152" s="2" t="s">
        <v>1582</v>
      </c>
      <c r="F152" s="2">
        <v>1</v>
      </c>
      <c r="G152" s="2"/>
    </row>
    <row r="153" spans="1:7" ht="21" customHeight="1" x14ac:dyDescent="0.15">
      <c r="A153" s="2">
        <v>465</v>
      </c>
      <c r="B153" s="12" t="str">
        <f ca="1">VLOOKUP($A153,OFFSET(gachas!$A$1,0,0,COUNTA(gachas!$A:$A),MATCH(B$1,gachas!$1:$1,0)-MATCH($A$1,gachas!$1:$1,0)+1),MATCH(B$1,gachas!$1:$1,0)-MATCH($A$1,gachas!$1:$1,0)+1,FALSE)</f>
        <v>全世界700万DL突破記念★6覚醒可能ユニット確定無料ガチャ</v>
      </c>
      <c r="C153" s="18">
        <v>1</v>
      </c>
      <c r="D153" s="2" t="s">
        <v>2042</v>
      </c>
      <c r="E153" s="2" t="s">
        <v>2043</v>
      </c>
      <c r="F153" s="2">
        <v>1</v>
      </c>
      <c r="G153" s="2"/>
    </row>
    <row r="154" spans="1:7" ht="21" customHeight="1" x14ac:dyDescent="0.15">
      <c r="A154" s="2">
        <v>476</v>
      </c>
      <c r="B154" s="12" t="str">
        <f ca="1">VLOOKUP($A154,OFFSET(gachas!$A$1,0,0,COUNTA(gachas!$A:$A),MATCH(B$1,gachas!$1:$1,0)-MATCH($A$1,gachas!$1:$1,0)+1),MATCH(B$1,gachas!$1:$1,0)-MATCH($A$1,gachas!$1:$1,0)+1,FALSE)</f>
        <v>全世界700万DL突破記念★6覚醒可能ユニット確定無料ガチャ（後半）</v>
      </c>
      <c r="C154" s="18">
        <v>1</v>
      </c>
      <c r="D154" s="2" t="s">
        <v>2178</v>
      </c>
      <c r="E154" s="2" t="s">
        <v>2043</v>
      </c>
      <c r="F154" s="2">
        <v>1</v>
      </c>
      <c r="G154" s="2"/>
    </row>
    <row r="155" spans="1:7" ht="21" customHeight="1" x14ac:dyDescent="0.15">
      <c r="A155" s="2">
        <v>481</v>
      </c>
      <c r="B155" s="12" t="str">
        <f ca="1">VLOOKUP($A155,OFFSET(gachas!$A$1,0,0,COUNTA(gachas!$A:$A),MATCH(B$1,gachas!$1:$1,0)-MATCH($A$1,gachas!$1:$1,0)+1),MATCH(B$1,gachas!$1:$1,0)-MATCH($A$1,gachas!$1:$1,0)+1,FALSE)</f>
        <v>全世界700万DL突破記念無料レアガチャ8日目（★5）</v>
      </c>
      <c r="C155" s="18">
        <v>1</v>
      </c>
      <c r="D155" s="2" t="s">
        <v>2223</v>
      </c>
      <c r="E155" s="2" t="s">
        <v>2224</v>
      </c>
      <c r="F155" s="2">
        <v>1</v>
      </c>
      <c r="G155" s="2"/>
    </row>
    <row r="156" spans="1:7" ht="21" customHeight="1" x14ac:dyDescent="0.15">
      <c r="A156" s="2">
        <v>484</v>
      </c>
      <c r="B156" s="12" t="str">
        <f ca="1">VLOOKUP($A156,OFFSET(gachas!$A$1,0,0,COUNTA(gachas!$A:$A),MATCH(B$1,gachas!$1:$1,0)-MATCH($A$1,gachas!$1:$1,0)+1),MATCH(B$1,gachas!$1:$1,0)-MATCH($A$1,gachas!$1:$1,0)+1,FALSE)</f>
        <v>1日1回無料クリスマスガチャ</v>
      </c>
      <c r="C156" s="18">
        <v>1</v>
      </c>
      <c r="D156" s="2" t="s">
        <v>2255</v>
      </c>
      <c r="E156" s="2" t="s">
        <v>2224</v>
      </c>
      <c r="F156" s="2">
        <v>1</v>
      </c>
      <c r="G156" s="2"/>
    </row>
    <row r="157" spans="1:7" ht="21" customHeight="1" x14ac:dyDescent="0.15">
      <c r="A157" s="2">
        <v>494</v>
      </c>
      <c r="B157" s="12" t="str">
        <f ca="1">VLOOKUP($A157,OFFSET(gachas!$A$1,0,0,COUNTA(gachas!$A:$A),MATCH(B$1,gachas!$1:$1,0)-MATCH($A$1,gachas!$1:$1,0)+1),MATCH(B$1,gachas!$1:$1,0)-MATCH($A$1,gachas!$1:$1,0)+1,FALSE)</f>
        <v>レアガチャ（戦国2in）</v>
      </c>
      <c r="C157" s="18">
        <v>1</v>
      </c>
      <c r="D157" s="2" t="s">
        <v>1899</v>
      </c>
      <c r="E157" s="2" t="s">
        <v>257</v>
      </c>
      <c r="F157" s="2" t="s">
        <v>257</v>
      </c>
      <c r="G157" s="2"/>
    </row>
    <row r="158" spans="1:7" ht="21" customHeight="1" x14ac:dyDescent="0.15">
      <c r="A158" s="2">
        <v>506</v>
      </c>
      <c r="B158" s="12" t="str">
        <f ca="1">VLOOKUP($A158,OFFSET(gachas!$A$1,0,0,COUNTA(gachas!$A:$A),MATCH(B$1,gachas!$1:$1,0)-MATCH($A$1,gachas!$1:$1,0)+1),MATCH(B$1,gachas!$1:$1,0)-MATCH($A$1,gachas!$1:$1,0)+1,FALSE)</f>
        <v>フィーバーフェス（１日目）</v>
      </c>
      <c r="C158" s="18">
        <v>10</v>
      </c>
      <c r="D158" s="2" t="s">
        <v>2490</v>
      </c>
      <c r="E158" s="2" t="s">
        <v>257</v>
      </c>
      <c r="F158" s="2" t="s">
        <v>257</v>
      </c>
      <c r="G158" s="2"/>
    </row>
    <row r="159" spans="1:7" ht="21" customHeight="1" x14ac:dyDescent="0.15">
      <c r="A159" s="2">
        <v>507</v>
      </c>
      <c r="B159" s="12" t="str">
        <f ca="1">VLOOKUP($A159,OFFSET(gachas!$A$1,0,0,COUNTA(gachas!$A:$A),MATCH(B$1,gachas!$1:$1,0)-MATCH($A$1,gachas!$1:$1,0)+1),MATCH(B$1,gachas!$1:$1,0)-MATCH($A$1,gachas!$1:$1,0)+1,FALSE)</f>
        <v>フィーバーフェス（2日目）</v>
      </c>
      <c r="C159" s="18">
        <v>10</v>
      </c>
      <c r="D159" s="2" t="s">
        <v>2491</v>
      </c>
      <c r="E159" s="2" t="s">
        <v>257</v>
      </c>
      <c r="F159" s="2" t="s">
        <v>257</v>
      </c>
      <c r="G159" s="2"/>
    </row>
    <row r="160" spans="1:7" ht="21" customHeight="1" x14ac:dyDescent="0.15">
      <c r="A160" s="2">
        <v>508</v>
      </c>
      <c r="B160" s="12" t="str">
        <f ca="1">VLOOKUP($A160,OFFSET(gachas!$A$1,0,0,COUNTA(gachas!$A:$A),MATCH(B$1,gachas!$1:$1,0)-MATCH($A$1,gachas!$1:$1,0)+1),MATCH(B$1,gachas!$1:$1,0)-MATCH($A$1,gachas!$1:$1,0)+1,FALSE)</f>
        <v>フィーバーフェス（3日目）</v>
      </c>
      <c r="C160" s="18">
        <v>10</v>
      </c>
      <c r="D160" s="2" t="s">
        <v>2492</v>
      </c>
      <c r="E160" s="2" t="s">
        <v>257</v>
      </c>
      <c r="F160" s="2" t="s">
        <v>257</v>
      </c>
      <c r="G160" s="2"/>
    </row>
    <row r="161" spans="1:7" ht="21" customHeight="1" x14ac:dyDescent="0.15">
      <c r="A161" s="2">
        <v>514</v>
      </c>
      <c r="B161" s="12" t="str">
        <f ca="1">VLOOKUP($A161,OFFSET(gachas!$A$1,0,0,COUNTA(gachas!$A:$A),MATCH(B$1,gachas!$1:$1,0)-MATCH($A$1,gachas!$1:$1,0)+1),MATCH(B$1,gachas!$1:$1,0)-MATCH($A$1,gachas!$1:$1,0)+1,FALSE)</f>
        <v>レアガチャ（北欧in）</v>
      </c>
      <c r="C161" s="18">
        <v>1</v>
      </c>
      <c r="D161" s="2" t="s">
        <v>1899</v>
      </c>
      <c r="E161" s="2" t="s">
        <v>257</v>
      </c>
      <c r="F161" s="2" t="s">
        <v>257</v>
      </c>
      <c r="G161" s="2"/>
    </row>
    <row r="162" spans="1:7" ht="21" customHeight="1" x14ac:dyDescent="0.15">
      <c r="A162" s="2">
        <v>524</v>
      </c>
      <c r="B162" s="12" t="str">
        <f ca="1">VLOOKUP($A162,OFFSET(gachas!$A$1,0,0,COUNTA(gachas!$A:$A),MATCH(B$1,gachas!$1:$1,0)-MATCH($A$1,gachas!$1:$1,0)+1),MATCH(B$1,gachas!$1:$1,0)-MATCH($A$1,gachas!$1:$1,0)+1,FALSE)</f>
        <v>フィーバーフェス（1日目）</v>
      </c>
      <c r="C162" s="18">
        <v>10</v>
      </c>
      <c r="D162" s="2" t="s">
        <v>2649</v>
      </c>
      <c r="E162" s="2" t="s">
        <v>257</v>
      </c>
      <c r="F162" s="2" t="s">
        <v>257</v>
      </c>
      <c r="G162" s="2"/>
    </row>
    <row r="163" spans="1:7" ht="21" customHeight="1" x14ac:dyDescent="0.15">
      <c r="A163" s="2">
        <v>525</v>
      </c>
      <c r="B163" s="12" t="str">
        <f ca="1">VLOOKUP($A163,OFFSET(gachas!$A$1,0,0,COUNTA(gachas!$A:$A),MATCH(B$1,gachas!$1:$1,0)-MATCH($A$1,gachas!$1:$1,0)+1),MATCH(B$1,gachas!$1:$1,0)-MATCH($A$1,gachas!$1:$1,0)+1,FALSE)</f>
        <v>フィーバーフェス（2日目）</v>
      </c>
      <c r="C163" s="18">
        <v>10</v>
      </c>
      <c r="D163" s="2" t="s">
        <v>2649</v>
      </c>
      <c r="E163" s="2" t="s">
        <v>257</v>
      </c>
      <c r="F163" s="2" t="s">
        <v>257</v>
      </c>
      <c r="G163" s="2"/>
    </row>
    <row r="164" spans="1:7" ht="21" customHeight="1" x14ac:dyDescent="0.15">
      <c r="A164" s="2">
        <v>526</v>
      </c>
      <c r="B164" s="12" t="str">
        <f ca="1">VLOOKUP($A164,OFFSET(gachas!$A$1,0,0,COUNTA(gachas!$A:$A),MATCH(B$1,gachas!$1:$1,0)-MATCH($A$1,gachas!$1:$1,0)+1),MATCH(B$1,gachas!$1:$1,0)-MATCH($A$1,gachas!$1:$1,0)+1,FALSE)</f>
        <v>フィーバーフェス（3日目）</v>
      </c>
      <c r="C164" s="18">
        <v>10</v>
      </c>
      <c r="D164" s="2" t="s">
        <v>2649</v>
      </c>
      <c r="E164" s="2" t="s">
        <v>257</v>
      </c>
      <c r="F164" s="2" t="s">
        <v>257</v>
      </c>
      <c r="G164" s="2"/>
    </row>
    <row r="165" spans="1:7" ht="21" customHeight="1" x14ac:dyDescent="0.15">
      <c r="A165" s="2">
        <v>531</v>
      </c>
      <c r="B165" s="12" t="str">
        <f ca="1">VLOOKUP($A165,OFFSET(gachas!$A$1,0,0,COUNTA(gachas!$A:$A),MATCH(B$1,gachas!$1:$1,0)-MATCH($A$1,gachas!$1:$1,0)+1),MATCH(B$1,gachas!$1:$1,0)-MATCH($A$1,gachas!$1:$1,0)+1,FALSE)</f>
        <v>1日1回無料スペシャルサマーガチャ(22日)</v>
      </c>
      <c r="C165" s="18">
        <v>1</v>
      </c>
      <c r="D165" s="2" t="s">
        <v>2650</v>
      </c>
      <c r="E165" s="2" t="s">
        <v>1432</v>
      </c>
      <c r="F165" s="2">
        <v>1</v>
      </c>
      <c r="G165" s="2"/>
    </row>
    <row r="166" spans="1:7" ht="21" customHeight="1" x14ac:dyDescent="0.15">
      <c r="A166" s="2">
        <v>532</v>
      </c>
      <c r="B166" s="12" t="str">
        <f ca="1">VLOOKUP($A166,OFFSET(gachas!$A$1,0,0,COUNTA(gachas!$A:$A),MATCH(B$1,gachas!$1:$1,0)-MATCH($A$1,gachas!$1:$1,0)+1),MATCH(B$1,gachas!$1:$1,0)-MATCH($A$1,gachas!$1:$1,0)+1,FALSE)</f>
        <v>常設レアガチャ（日本神話in)</v>
      </c>
      <c r="C166" s="18">
        <v>1</v>
      </c>
      <c r="D166" s="2" t="s">
        <v>1899</v>
      </c>
      <c r="E166" s="2" t="s">
        <v>257</v>
      </c>
      <c r="F166" s="2" t="s">
        <v>257</v>
      </c>
    </row>
    <row r="167" spans="1:7" ht="21" customHeight="1" x14ac:dyDescent="0.15">
      <c r="A167" s="2">
        <v>533</v>
      </c>
      <c r="B167" s="12" t="str">
        <f ca="1">VLOOKUP($A167,OFFSET(gachas!$A$1,0,0,COUNTA(gachas!$A:$A),MATCH(B$1,gachas!$1:$1,0)-MATCH($A$1,gachas!$1:$1,0)+1),MATCH(B$1,gachas!$1:$1,0)-MATCH($A$1,gachas!$1:$1,0)+1,FALSE)</f>
        <v>1日1回無料スペシャルサマーガチャ(23日)</v>
      </c>
      <c r="C167" s="18">
        <v>1</v>
      </c>
      <c r="D167" s="2" t="s">
        <v>2679</v>
      </c>
      <c r="E167" s="2" t="s">
        <v>1432</v>
      </c>
      <c r="F167" s="2">
        <v>1</v>
      </c>
    </row>
    <row r="168" spans="1:7" ht="21" customHeight="1" x14ac:dyDescent="0.15">
      <c r="A168" s="2">
        <v>534</v>
      </c>
      <c r="B168" s="12" t="str">
        <f ca="1">VLOOKUP($A168,OFFSET(gachas!$A$1,0,0,COUNTA(gachas!$A:$A),MATCH(B$1,gachas!$1:$1,0)-MATCH($A$1,gachas!$1:$1,0)+1),MATCH(B$1,gachas!$1:$1,0)-MATCH($A$1,gachas!$1:$1,0)+1,FALSE)</f>
        <v>1日1回無料スペシャルサマーガチャ(24日)</v>
      </c>
      <c r="C168" s="18">
        <v>1</v>
      </c>
      <c r="D168" s="2" t="s">
        <v>2680</v>
      </c>
      <c r="E168" s="2" t="s">
        <v>1432</v>
      </c>
      <c r="F168" s="2">
        <v>1</v>
      </c>
    </row>
    <row r="169" spans="1:7" ht="21" customHeight="1" x14ac:dyDescent="0.15">
      <c r="A169" s="2">
        <v>535</v>
      </c>
      <c r="B169" s="12" t="str">
        <f ca="1">VLOOKUP($A169,OFFSET(gachas!$A$1,0,0,COUNTA(gachas!$A:$A),MATCH(B$1,gachas!$1:$1,0)-MATCH($A$1,gachas!$1:$1,0)+1),MATCH(B$1,gachas!$1:$1,0)-MATCH($A$1,gachas!$1:$1,0)+1,FALSE)</f>
        <v>1日1回無料スペシャルサマーガチャ(25日)</v>
      </c>
      <c r="C169" s="18">
        <v>1</v>
      </c>
      <c r="D169" s="2" t="s">
        <v>2681</v>
      </c>
      <c r="E169" s="2" t="s">
        <v>1432</v>
      </c>
      <c r="F169" s="2">
        <v>1</v>
      </c>
    </row>
    <row r="170" spans="1:7" ht="21" customHeight="1" x14ac:dyDescent="0.15">
      <c r="A170" s="2">
        <v>536</v>
      </c>
      <c r="B170" s="12" t="str">
        <f ca="1">VLOOKUP($A170,OFFSET(gachas!$A$1,0,0,COUNTA(gachas!$A:$A),MATCH(B$1,gachas!$1:$1,0)-MATCH($A$1,gachas!$1:$1,0)+1),MATCH(B$1,gachas!$1:$1,0)-MATCH($A$1,gachas!$1:$1,0)+1,FALSE)</f>
        <v>1日1回無料スペシャルサマーガチャ(26日)</v>
      </c>
      <c r="C170" s="18">
        <v>1</v>
      </c>
      <c r="D170" s="2" t="s">
        <v>2682</v>
      </c>
      <c r="E170" s="2" t="s">
        <v>1432</v>
      </c>
      <c r="F170" s="2">
        <v>1</v>
      </c>
    </row>
    <row r="171" spans="1:7" ht="21" customHeight="1" x14ac:dyDescent="0.15">
      <c r="A171" s="2">
        <v>537</v>
      </c>
      <c r="B171" s="12" t="str">
        <f ca="1">VLOOKUP($A171,OFFSET(gachas!$A$1,0,0,COUNTA(gachas!$A:$A),MATCH(B$1,gachas!$1:$1,0)-MATCH($A$1,gachas!$1:$1,0)+1),MATCH(B$1,gachas!$1:$1,0)-MATCH($A$1,gachas!$1:$1,0)+1,FALSE)</f>
        <v>1日1回無料スペシャルサマーガチャ(27日)</v>
      </c>
      <c r="C171" s="18">
        <v>1</v>
      </c>
      <c r="D171" s="2" t="s">
        <v>2683</v>
      </c>
      <c r="E171" s="2" t="s">
        <v>1432</v>
      </c>
      <c r="F171" s="2">
        <v>1</v>
      </c>
    </row>
    <row r="172" spans="1:7" ht="21" customHeight="1" x14ac:dyDescent="0.15">
      <c r="A172" s="2">
        <v>538</v>
      </c>
      <c r="B172" s="12" t="str">
        <f ca="1">VLOOKUP($A172,OFFSET(gachas!$A$1,0,0,COUNTA(gachas!$A:$A),MATCH(B$1,gachas!$1:$1,0)-MATCH($A$1,gachas!$1:$1,0)+1),MATCH(B$1,gachas!$1:$1,0)-MATCH($A$1,gachas!$1:$1,0)+1,FALSE)</f>
        <v>1日1回無料スペシャルサマーガチャ(28日)</v>
      </c>
      <c r="C172" s="18">
        <v>1</v>
      </c>
      <c r="D172" s="2" t="s">
        <v>2684</v>
      </c>
      <c r="E172" s="2" t="s">
        <v>1432</v>
      </c>
      <c r="F172" s="2">
        <v>1</v>
      </c>
    </row>
    <row r="173" spans="1:7" ht="21" customHeight="1" x14ac:dyDescent="0.15">
      <c r="A173" s="2">
        <v>543</v>
      </c>
      <c r="B173" s="12" t="str">
        <f ca="1">VLOOKUP($A173,OFFSET(gachas!$A$1,0,0,COUNTA(gachas!$A:$A),MATCH(B$1,gachas!$1:$1,0)-MATCH($A$1,gachas!$1:$1,0)+1),MATCH(B$1,gachas!$1:$1,0)-MATCH($A$1,gachas!$1:$1,0)+1,FALSE)</f>
        <v>1日1回無料ホワイトデーガチャ</v>
      </c>
      <c r="C173" s="18">
        <v>1</v>
      </c>
      <c r="D173" s="2" t="s">
        <v>2783</v>
      </c>
      <c r="E173" s="2" t="s">
        <v>1432</v>
      </c>
      <c r="F173" s="2">
        <v>1</v>
      </c>
      <c r="G173" s="2"/>
    </row>
    <row r="174" spans="1:7" ht="21" customHeight="1" x14ac:dyDescent="0.15">
      <c r="A174" s="2">
        <v>547</v>
      </c>
      <c r="B174" s="12" t="str">
        <f ca="1">VLOOKUP($A174,OFFSET(gachas!$A$1,0,0,COUNTA(gachas!$A:$A),MATCH(B$1,gachas!$1:$1,0)-MATCH($A$1,gachas!$1:$1,0)+1),MATCH(B$1,gachas!$1:$1,0)-MATCH($A$1,gachas!$1:$1,0)+1,FALSE)</f>
        <v>ホワイトデー記念ガチャ男性SP</v>
      </c>
      <c r="C174" s="18">
        <v>10</v>
      </c>
      <c r="D174" s="2" t="s">
        <v>2823</v>
      </c>
      <c r="E174" s="2" t="s">
        <v>852</v>
      </c>
      <c r="F174" s="2">
        <v>3</v>
      </c>
      <c r="G174" s="2"/>
    </row>
    <row r="175" spans="1:7" ht="21" customHeight="1" x14ac:dyDescent="0.15">
      <c r="A175" s="2">
        <v>548</v>
      </c>
      <c r="B175" s="12" t="str">
        <f ca="1">VLOOKUP($A175,OFFSET(gachas!$A$1,0,0,COUNTA(gachas!$A:$A),MATCH(B$1,gachas!$1:$1,0)-MATCH($A$1,gachas!$1:$1,0)+1),MATCH(B$1,gachas!$1:$1,0)-MATCH($A$1,gachas!$1:$1,0)+1,FALSE)</f>
        <v>フィーバーフェス（1日目）</v>
      </c>
      <c r="C175" s="18">
        <v>10</v>
      </c>
      <c r="D175" s="2" t="s">
        <v>2830</v>
      </c>
      <c r="E175" s="2" t="s">
        <v>84</v>
      </c>
      <c r="F175" s="2" t="s">
        <v>84</v>
      </c>
      <c r="G175" s="2"/>
    </row>
    <row r="176" spans="1:7" ht="21" customHeight="1" x14ac:dyDescent="0.15">
      <c r="A176" s="2">
        <v>549</v>
      </c>
      <c r="B176" s="12" t="str">
        <f ca="1">VLOOKUP($A176,OFFSET(gachas!$A$1,0,0,COUNTA(gachas!$A:$A),MATCH(B$1,gachas!$1:$1,0)-MATCH($A$1,gachas!$1:$1,0)+1),MATCH(B$1,gachas!$1:$1,0)-MATCH($A$1,gachas!$1:$1,0)+1,FALSE)</f>
        <v>フィーバーフェス（2日目）</v>
      </c>
      <c r="C176" s="18">
        <v>10</v>
      </c>
      <c r="D176" s="2" t="s">
        <v>2830</v>
      </c>
      <c r="E176" s="2" t="s">
        <v>84</v>
      </c>
      <c r="F176" s="2" t="s">
        <v>84</v>
      </c>
      <c r="G176" s="2"/>
    </row>
    <row r="177" spans="1:7" ht="21" customHeight="1" x14ac:dyDescent="0.15">
      <c r="A177" s="2">
        <v>550</v>
      </c>
      <c r="B177" s="12" t="str">
        <f ca="1">VLOOKUP($A177,OFFSET(gachas!$A$1,0,0,COUNTA(gachas!$A:$A),MATCH(B$1,gachas!$1:$1,0)-MATCH($A$1,gachas!$1:$1,0)+1),MATCH(B$1,gachas!$1:$1,0)-MATCH($A$1,gachas!$1:$1,0)+1,FALSE)</f>
        <v>フィーバーフェス（3日目）</v>
      </c>
      <c r="C177" s="18">
        <v>10</v>
      </c>
      <c r="D177" s="2" t="s">
        <v>2830</v>
      </c>
      <c r="E177" s="2" t="s">
        <v>84</v>
      </c>
      <c r="F177" s="2" t="s">
        <v>84</v>
      </c>
      <c r="G177" s="2"/>
    </row>
    <row r="178" spans="1:7" ht="21" customHeight="1" x14ac:dyDescent="0.15">
      <c r="A178" s="2">
        <v>554</v>
      </c>
      <c r="B178" s="12" t="str">
        <f ca="1">VLOOKUP($A178,OFFSET(gachas!$A$1,0,0,COUNTA(gachas!$A:$A),MATCH(B$1,gachas!$1:$1,0)-MATCH($A$1,gachas!$1:$1,0)+1),MATCH(B$1,gachas!$1:$1,0)-MATCH($A$1,gachas!$1:$1,0)+1,FALSE)</f>
        <v>１日１回マスターキーつきガチャ</v>
      </c>
      <c r="C178" s="18">
        <v>10</v>
      </c>
      <c r="D178" s="2" t="s">
        <v>2852</v>
      </c>
      <c r="E178" s="2" t="s">
        <v>1432</v>
      </c>
      <c r="F178" s="2">
        <v>1</v>
      </c>
      <c r="G178" s="2"/>
    </row>
    <row r="179" spans="1:7" ht="21" customHeight="1" x14ac:dyDescent="0.15">
      <c r="A179" s="2">
        <v>564</v>
      </c>
      <c r="B179" s="12" t="str">
        <f ca="1">VLOOKUP($A179,OFFSET(gachas!$A$1,0,0,COUNTA(gachas!$A:$A),MATCH(B$1,gachas!$1:$1,0)-MATCH($A$1,gachas!$1:$1,0)+1),MATCH(B$1,gachas!$1:$1,0)-MATCH($A$1,gachas!$1:$1,0)+1,FALSE)</f>
        <v>和風ピックアップガチャ</v>
      </c>
      <c r="C179" s="18">
        <v>10</v>
      </c>
      <c r="D179" s="2" t="s">
        <v>2966</v>
      </c>
      <c r="E179" s="2" t="s">
        <v>852</v>
      </c>
      <c r="F179" s="2">
        <v>3</v>
      </c>
      <c r="G179" s="2"/>
    </row>
    <row r="180" spans="1:7" ht="21" customHeight="1" x14ac:dyDescent="0.15">
      <c r="A180" s="2">
        <v>566</v>
      </c>
      <c r="B180" s="12" t="str">
        <f ca="1">VLOOKUP($A180,OFFSET(gachas!$A$1,0,0,COUNTA(gachas!$A:$A),MATCH(B$1,gachas!$1:$1,0)-MATCH($A$1,gachas!$1:$1,0)+1),MATCH(B$1,gachas!$1:$1,0)-MATCH($A$1,gachas!$1:$1,0)+1,FALSE)</f>
        <v>フィーバーフェス（1日目）</v>
      </c>
      <c r="C180" s="18">
        <v>10</v>
      </c>
      <c r="D180" s="2" t="s">
        <v>2984</v>
      </c>
      <c r="E180" s="2" t="s">
        <v>257</v>
      </c>
      <c r="F180" s="2" t="s">
        <v>257</v>
      </c>
      <c r="G180" s="2"/>
    </row>
    <row r="181" spans="1:7" ht="21" customHeight="1" x14ac:dyDescent="0.15">
      <c r="A181" s="2">
        <v>567</v>
      </c>
      <c r="B181" s="12" t="str">
        <f ca="1">VLOOKUP($A181,OFFSET(gachas!$A$1,0,0,COUNTA(gachas!$A:$A),MATCH(B$1,gachas!$1:$1,0)-MATCH($A$1,gachas!$1:$1,0)+1),MATCH(B$1,gachas!$1:$1,0)-MATCH($A$1,gachas!$1:$1,0)+1,FALSE)</f>
        <v>フィーバーフェス（2日目）</v>
      </c>
      <c r="C181" s="18">
        <v>10</v>
      </c>
      <c r="D181" s="2" t="s">
        <v>2984</v>
      </c>
      <c r="E181" s="2" t="s">
        <v>257</v>
      </c>
      <c r="F181" s="2" t="s">
        <v>257</v>
      </c>
      <c r="G181" s="2"/>
    </row>
    <row r="182" spans="1:7" ht="21" customHeight="1" x14ac:dyDescent="0.15">
      <c r="A182" s="2">
        <v>568</v>
      </c>
      <c r="B182" s="12" t="str">
        <f ca="1">VLOOKUP($A182,OFFSET(gachas!$A$1,0,0,COUNTA(gachas!$A:$A),MATCH(B$1,gachas!$1:$1,0)-MATCH($A$1,gachas!$1:$1,0)+1),MATCH(B$1,gachas!$1:$1,0)-MATCH($A$1,gachas!$1:$1,0)+1,FALSE)</f>
        <v>フィーバーフェス（3日目）</v>
      </c>
      <c r="C182" s="18">
        <v>10</v>
      </c>
      <c r="D182" s="2" t="s">
        <v>2984</v>
      </c>
      <c r="E182" s="2" t="s">
        <v>257</v>
      </c>
      <c r="F182" s="2" t="s">
        <v>257</v>
      </c>
      <c r="G182" s="2"/>
    </row>
    <row r="183" spans="1:7" ht="21" customHeight="1" x14ac:dyDescent="0.15">
      <c r="A183" s="2">
        <v>579</v>
      </c>
      <c r="B183" s="12" t="str">
        <f ca="1">VLOOKUP($A183,OFFSET(gachas!$A$1,0,0,COUNTA(gachas!$A:$A),MATCH(B$1,gachas!$1:$1,0)-MATCH($A$1,gachas!$1:$1,0)+1),MATCH(B$1,gachas!$1:$1,0)-MATCH($A$1,gachas!$1:$1,0)+1,FALSE)</f>
        <v>1000億BK記念_ランクアップ無料ガチャ&lt;ランク1&gt;</v>
      </c>
      <c r="C183" s="18">
        <v>1</v>
      </c>
      <c r="D183" s="2" t="s">
        <v>3042</v>
      </c>
      <c r="E183" s="2" t="s">
        <v>1432</v>
      </c>
      <c r="F183" s="2">
        <v>1</v>
      </c>
      <c r="G183" s="2"/>
    </row>
    <row r="184" spans="1:7" ht="21" customHeight="1" x14ac:dyDescent="0.15">
      <c r="A184" s="2">
        <v>580</v>
      </c>
      <c r="B184" s="12" t="str">
        <f ca="1">VLOOKUP($A184,OFFSET(gachas!$A$1,0,0,COUNTA(gachas!$A:$A),MATCH(B$1,gachas!$1:$1,0)-MATCH($A$1,gachas!$1:$1,0)+1),MATCH(B$1,gachas!$1:$1,0)-MATCH($A$1,gachas!$1:$1,0)+1,FALSE)</f>
        <v>1000億BK記念_ランクアップ無料ガチャ&lt;ランク2&gt;</v>
      </c>
      <c r="C184" s="18">
        <v>1</v>
      </c>
      <c r="D184" s="2" t="s">
        <v>3043</v>
      </c>
      <c r="E184" s="2" t="s">
        <v>1432</v>
      </c>
      <c r="F184" s="2">
        <v>1</v>
      </c>
      <c r="G184" s="2"/>
    </row>
    <row r="185" spans="1:7" ht="21" customHeight="1" x14ac:dyDescent="0.15">
      <c r="A185" s="2">
        <v>581</v>
      </c>
      <c r="B185" s="12" t="str">
        <f ca="1">VLOOKUP($A185,OFFSET(gachas!$A$1,0,0,COUNTA(gachas!$A:$A),MATCH(B$1,gachas!$1:$1,0)-MATCH($A$1,gachas!$1:$1,0)+1),MATCH(B$1,gachas!$1:$1,0)-MATCH($A$1,gachas!$1:$1,0)+1,FALSE)</f>
        <v>1000億BK記念_ランクアップ無料ガチャ&lt;ランク3&gt;</v>
      </c>
      <c r="C185" s="18">
        <v>1</v>
      </c>
      <c r="D185" s="2" t="s">
        <v>3044</v>
      </c>
      <c r="E185" s="2" t="s">
        <v>1432</v>
      </c>
      <c r="F185" s="2">
        <v>1</v>
      </c>
      <c r="G185" s="2"/>
    </row>
    <row r="186" spans="1:7" ht="21" customHeight="1" x14ac:dyDescent="0.15">
      <c r="A186" s="2">
        <v>582</v>
      </c>
      <c r="B186" s="12" t="str">
        <f ca="1">VLOOKUP($A186,OFFSET(gachas!$A$1,0,0,COUNTA(gachas!$A:$A),MATCH(B$1,gachas!$1:$1,0)-MATCH($A$1,gachas!$1:$1,0)+1),MATCH(B$1,gachas!$1:$1,0)-MATCH($A$1,gachas!$1:$1,0)+1,FALSE)</f>
        <v>1000億BK記念_ランクアップ無料ガチャ&lt;スペシャル&gt;</v>
      </c>
      <c r="C186" s="18">
        <v>1</v>
      </c>
      <c r="D186" s="2" t="s">
        <v>3045</v>
      </c>
      <c r="E186" s="2" t="s">
        <v>852</v>
      </c>
      <c r="F186" s="2">
        <v>1</v>
      </c>
      <c r="G186" s="2"/>
    </row>
    <row r="187" spans="1:7" ht="21" customHeight="1" x14ac:dyDescent="0.15">
      <c r="A187" s="2">
        <v>583</v>
      </c>
      <c r="B187" s="12" t="str">
        <f ca="1">VLOOKUP($A187,OFFSET(gachas!$A$1,0,0,COUNTA(gachas!$A:$A),MATCH(B$1,gachas!$1:$1,0)-MATCH($A$1,gachas!$1:$1,0)+1),MATCH(B$1,gachas!$1:$1,0)-MATCH($A$1,gachas!$1:$1,0)+1,FALSE)</f>
        <v>1000億BK記念_10連無料ガチャ</v>
      </c>
      <c r="C187" s="18">
        <v>10</v>
      </c>
      <c r="D187" s="2" t="s">
        <v>3087</v>
      </c>
      <c r="E187" s="2" t="s">
        <v>852</v>
      </c>
      <c r="F187" s="2">
        <v>1</v>
      </c>
      <c r="G187" s="2"/>
    </row>
    <row r="188" spans="1:7" ht="21" customHeight="1" x14ac:dyDescent="0.15">
      <c r="A188" s="2">
        <v>590</v>
      </c>
      <c r="B188" s="12" t="str">
        <f ca="1">VLOOKUP($A188,OFFSET(gachas!$A$1,0,0,COUNTA(gachas!$A:$A),MATCH(B$1,gachas!$1:$1,0)-MATCH($A$1,gachas!$1:$1,0)+1),MATCH(B$1,gachas!$1:$1,0)-MATCH($A$1,gachas!$1:$1,0)+1,FALSE)</f>
        <v>常設レアガチャ（童話in)</v>
      </c>
      <c r="C188" s="18">
        <v>1</v>
      </c>
      <c r="D188" s="2" t="s">
        <v>1899</v>
      </c>
      <c r="E188" s="2" t="s">
        <v>257</v>
      </c>
      <c r="F188" s="2" t="s">
        <v>257</v>
      </c>
    </row>
    <row r="189" spans="1:7" ht="21" customHeight="1" x14ac:dyDescent="0.15">
      <c r="A189" s="2">
        <v>591</v>
      </c>
      <c r="B189" s="12" t="str">
        <f ca="1">VLOOKUP($A189,OFFSET(gachas!$A$1,0,0,COUNTA(gachas!$A:$A),MATCH(B$1,gachas!$1:$1,0)-MATCH($A$1,gachas!$1:$1,0)+1),MATCH(B$1,gachas!$1:$1,0)-MATCH($A$1,gachas!$1:$1,0)+1,FALSE)</f>
        <v xml:space="preserve"> 5月フィーバーフェス（チョイス1）</v>
      </c>
      <c r="C189" s="18">
        <v>10</v>
      </c>
      <c r="D189" s="2" t="s">
        <v>3225</v>
      </c>
      <c r="E189" s="2" t="s">
        <v>257</v>
      </c>
      <c r="F189" s="2" t="s">
        <v>257</v>
      </c>
      <c r="G189" s="2"/>
    </row>
    <row r="190" spans="1:7" ht="21" customHeight="1" x14ac:dyDescent="0.15">
      <c r="A190" s="2">
        <v>592</v>
      </c>
      <c r="B190" s="12" t="str">
        <f ca="1">VLOOKUP($A190,OFFSET(gachas!$A$1,0,0,COUNTA(gachas!$A:$A),MATCH(B$1,gachas!$1:$1,0)-MATCH($A$1,gachas!$1:$1,0)+1),MATCH(B$1,gachas!$1:$1,0)-MATCH($A$1,gachas!$1:$1,0)+1,FALSE)</f>
        <v xml:space="preserve"> 5月フィーバーフェス（チョイス2）</v>
      </c>
      <c r="C190" s="18">
        <v>10</v>
      </c>
      <c r="D190" s="2" t="s">
        <v>3225</v>
      </c>
      <c r="E190" s="2" t="s">
        <v>257</v>
      </c>
      <c r="F190" s="2" t="s">
        <v>257</v>
      </c>
      <c r="G190" s="2"/>
    </row>
    <row r="191" spans="1:7" ht="21" customHeight="1" x14ac:dyDescent="0.15">
      <c r="A191" s="2">
        <v>593</v>
      </c>
      <c r="B191" s="12" t="str">
        <f ca="1">VLOOKUP($A191,OFFSET(gachas!$A$1,0,0,COUNTA(gachas!$A:$A),MATCH(B$1,gachas!$1:$1,0)-MATCH($A$1,gachas!$1:$1,0)+1),MATCH(B$1,gachas!$1:$1,0)-MATCH($A$1,gachas!$1:$1,0)+1,FALSE)</f>
        <v xml:space="preserve"> 5月フィーバーフェス（チョイス3）</v>
      </c>
      <c r="C191" s="18">
        <v>10</v>
      </c>
      <c r="D191" s="2" t="s">
        <v>3225</v>
      </c>
      <c r="E191" s="2" t="s">
        <v>257</v>
      </c>
      <c r="F191" s="2" t="s">
        <v>257</v>
      </c>
      <c r="G191" s="2"/>
    </row>
    <row r="192" spans="1:7" ht="21" customHeight="1" x14ac:dyDescent="0.15">
      <c r="A192" s="2">
        <v>594</v>
      </c>
      <c r="B192" s="12" t="str">
        <f ca="1">VLOOKUP($A192,OFFSET(gachas!$A$1,0,0,COUNTA(gachas!$A:$A),MATCH(B$1,gachas!$1:$1,0)-MATCH($A$1,gachas!$1:$1,0)+1),MATCH(B$1,gachas!$1:$1,0)-MATCH($A$1,gachas!$1:$1,0)+1,FALSE)</f>
        <v xml:space="preserve"> 5月フィーバーフェス（チョイス4）</v>
      </c>
      <c r="C192" s="18">
        <v>10</v>
      </c>
      <c r="D192" s="2" t="s">
        <v>3225</v>
      </c>
      <c r="E192" s="2" t="s">
        <v>257</v>
      </c>
      <c r="F192" s="2" t="s">
        <v>257</v>
      </c>
      <c r="G192" s="2"/>
    </row>
    <row r="193" spans="1:7" ht="21" customHeight="1" x14ac:dyDescent="0.15">
      <c r="A193" s="2">
        <v>597</v>
      </c>
      <c r="B193" s="12" t="str">
        <f ca="1">VLOOKUP($A193,OFFSET(gachas!$A$1,0,0,COUNTA(gachas!$A:$A),MATCH(B$1,gachas!$1:$1,0)-MATCH($A$1,gachas!$1:$1,0)+1),MATCH(B$1,gachas!$1:$1,0)-MATCH($A$1,gachas!$1:$1,0)+1,FALSE)</f>
        <v>★6確定ガチャ</v>
      </c>
      <c r="C193" s="18">
        <v>10</v>
      </c>
      <c r="D193" s="2" t="s">
        <v>3296</v>
      </c>
      <c r="E193" s="2" t="s">
        <v>852</v>
      </c>
      <c r="F193" s="2">
        <v>3</v>
      </c>
      <c r="G193" s="2"/>
    </row>
  </sheetData>
  <phoneticPr fontId="12"/>
  <pageMargins left="0.75" right="0.75" top="1" bottom="1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  <outlinePr summaryBelow="0" summaryRight="0"/>
  </sheetPr>
  <dimension ref="A1:H599"/>
  <sheetViews>
    <sheetView showGridLines="0" zoomScale="110" zoomScaleNormal="110" zoomScalePageLayoutView="110" workbookViewId="0">
      <pane ySplit="1" topLeftCell="A507" activePane="bottomLeft" state="frozen"/>
      <selection pane="bottomLeft" activeCell="A522" activeCellId="1" sqref="A520:XFD520 A522:XFD522"/>
    </sheetView>
  </sheetViews>
  <sheetFormatPr baseColWidth="12" defaultRowHeight="21" customHeight="1" outlineLevelRow="1" x14ac:dyDescent="0.15"/>
  <cols>
    <col min="1" max="1" width="13" style="10"/>
    <col min="2" max="2" width="14.796875" style="1" bestFit="1" customWidth="1"/>
    <col min="3" max="3" width="13" style="1"/>
    <col min="4" max="4" width="48.3984375" style="1" customWidth="1"/>
    <col min="5" max="6" width="19.19921875" style="1" bestFit="1" customWidth="1"/>
    <col min="7" max="7" width="7.796875" style="51" customWidth="1"/>
    <col min="8" max="16384" width="13" style="1"/>
  </cols>
  <sheetData>
    <row r="1" spans="1:8" ht="21" customHeight="1" x14ac:dyDescent="0.15">
      <c r="A1" s="10" t="s">
        <v>132</v>
      </c>
      <c r="B1" s="5" t="s">
        <v>29</v>
      </c>
      <c r="C1" s="5" t="s">
        <v>9</v>
      </c>
      <c r="D1" s="4" t="s">
        <v>38</v>
      </c>
      <c r="E1" s="5" t="s">
        <v>1</v>
      </c>
      <c r="F1" s="5" t="s">
        <v>2</v>
      </c>
      <c r="G1" s="5" t="s">
        <v>3</v>
      </c>
      <c r="H1" s="5" t="s">
        <v>10</v>
      </c>
    </row>
    <row r="2" spans="1:8" ht="21" customHeight="1" x14ac:dyDescent="0.15">
      <c r="A2" s="10" t="str">
        <f t="shared" ref="A2:A109" si="0">B2&amp;C2</f>
        <v>9999202</v>
      </c>
      <c r="B2" s="23">
        <v>9999</v>
      </c>
      <c r="C2" s="2">
        <v>202</v>
      </c>
      <c r="D2" s="52" t="str">
        <f>IFERROR(VLOOKUP(C2,gachas!A:C,3),0)</f>
        <v>男気リンクガチャ（常設）</v>
      </c>
      <c r="E2" s="53" t="s">
        <v>185</v>
      </c>
      <c r="F2" s="53" t="s">
        <v>1563</v>
      </c>
      <c r="G2" s="24">
        <v>100</v>
      </c>
      <c r="H2" s="2">
        <v>65500</v>
      </c>
    </row>
    <row r="3" spans="1:8" ht="21" customHeight="1" x14ac:dyDescent="0.15">
      <c r="A3" s="10" t="str">
        <f t="shared" ref="A3" si="1">B3&amp;C3</f>
        <v>10012212</v>
      </c>
      <c r="B3" s="23">
        <v>10012</v>
      </c>
      <c r="C3" s="2">
        <v>212</v>
      </c>
      <c r="D3" s="52" t="str">
        <f>IFERROR(VLOOKUP(C3,gachas!A:C,3),0)</f>
        <v>男気リンクガチャ（常設）</v>
      </c>
      <c r="E3" s="53" t="s">
        <v>1564</v>
      </c>
      <c r="F3" s="53" t="s">
        <v>2845</v>
      </c>
      <c r="G3" s="24">
        <v>100</v>
      </c>
      <c r="H3" s="2">
        <v>65500</v>
      </c>
    </row>
    <row r="4" spans="1:8" ht="21" customHeight="1" x14ac:dyDescent="0.15">
      <c r="A4" s="10" t="str">
        <f t="shared" ref="A4" si="2">B4&amp;C4</f>
        <v>10022215</v>
      </c>
      <c r="B4" s="23">
        <v>10022</v>
      </c>
      <c r="C4" s="2">
        <v>215</v>
      </c>
      <c r="D4" s="52" t="str">
        <f>IFERROR(VLOOKUP(C4,gachas!A:C,3),0)</f>
        <v>170315リンクガチャ</v>
      </c>
      <c r="E4" s="53" t="s">
        <v>2845</v>
      </c>
      <c r="F4" s="53" t="s">
        <v>186</v>
      </c>
      <c r="G4" s="24">
        <v>100</v>
      </c>
      <c r="H4" s="2">
        <v>65500</v>
      </c>
    </row>
    <row r="5" spans="1:8" ht="21" customHeight="1" x14ac:dyDescent="0.15">
      <c r="A5" s="10" t="str">
        <f t="shared" si="0"/>
        <v>10000203</v>
      </c>
      <c r="B5" s="23">
        <v>10000</v>
      </c>
      <c r="C5" s="2">
        <v>203</v>
      </c>
      <c r="D5" s="52" t="str">
        <f>IFERROR(VLOOKUP(C5,gachas!A:C,3),0)</f>
        <v>ゴールドフィーバー&lt;リンク&gt;</v>
      </c>
      <c r="E5" s="53" t="s">
        <v>1207</v>
      </c>
      <c r="F5" s="53" t="s">
        <v>1208</v>
      </c>
      <c r="G5" s="24">
        <v>101</v>
      </c>
      <c r="H5" s="2">
        <v>65000</v>
      </c>
    </row>
    <row r="6" spans="1:8" ht="21" customHeight="1" x14ac:dyDescent="0.15">
      <c r="A6" s="10" t="str">
        <f t="shared" si="0"/>
        <v>10001204</v>
      </c>
      <c r="B6" s="23">
        <v>10001</v>
      </c>
      <c r="C6" s="2">
        <v>204</v>
      </c>
      <c r="D6" s="52" t="str">
        <f>IFERROR(VLOOKUP(C6,gachas!A:C,3),0)</f>
        <v>サンタフィーバー</v>
      </c>
      <c r="E6" s="53" t="s">
        <v>351</v>
      </c>
      <c r="F6" s="53" t="s">
        <v>352</v>
      </c>
      <c r="G6" s="24">
        <v>100</v>
      </c>
      <c r="H6" s="2">
        <v>65001</v>
      </c>
    </row>
    <row r="7" spans="1:8" ht="21" customHeight="1" x14ac:dyDescent="0.15">
      <c r="A7" s="10" t="str">
        <f t="shared" si="0"/>
        <v>10002205</v>
      </c>
      <c r="B7" s="23">
        <v>10002</v>
      </c>
      <c r="C7" s="2">
        <v>205</v>
      </c>
      <c r="D7" s="52" t="str">
        <f>IFERROR(VLOOKUP(C7,gachas!A:C,3),0)</f>
        <v>新年フィーバー</v>
      </c>
      <c r="E7" s="53" t="s">
        <v>381</v>
      </c>
      <c r="F7" s="53" t="s">
        <v>382</v>
      </c>
      <c r="G7" s="24">
        <v>100</v>
      </c>
      <c r="H7" s="2">
        <v>65001</v>
      </c>
    </row>
    <row r="8" spans="1:8" ht="21" customHeight="1" x14ac:dyDescent="0.15">
      <c r="A8" s="10" t="str">
        <f t="shared" si="0"/>
        <v>10003206</v>
      </c>
      <c r="B8" s="23">
        <v>10003</v>
      </c>
      <c r="C8" s="2">
        <v>206</v>
      </c>
      <c r="D8" s="52" t="str">
        <f>IFERROR(VLOOKUP(C8,gachas!A:C,3),0)</f>
        <v>ミクリンク</v>
      </c>
      <c r="E8" s="53" t="s">
        <v>490</v>
      </c>
      <c r="F8" s="53" t="s">
        <v>491</v>
      </c>
      <c r="G8" s="24">
        <v>100</v>
      </c>
      <c r="H8" s="2">
        <v>65001</v>
      </c>
    </row>
    <row r="9" spans="1:8" ht="21" customHeight="1" x14ac:dyDescent="0.15">
      <c r="A9" s="10" t="str">
        <f t="shared" si="0"/>
        <v>10004207</v>
      </c>
      <c r="B9" s="23">
        <v>10004</v>
      </c>
      <c r="C9" s="2">
        <v>207</v>
      </c>
      <c r="D9" s="52" t="str">
        <f>IFERROR(VLOOKUP(C9,gachas!A:C,3),0)</f>
        <v>四神UPリンクガチャ</v>
      </c>
      <c r="E9" s="53" t="s">
        <v>541</v>
      </c>
      <c r="F9" s="53" t="s">
        <v>542</v>
      </c>
      <c r="G9" s="24">
        <v>100</v>
      </c>
      <c r="H9" s="2">
        <v>65001</v>
      </c>
    </row>
    <row r="10" spans="1:8" ht="21" customHeight="1" x14ac:dyDescent="0.15">
      <c r="A10" s="10" t="str">
        <f t="shared" si="0"/>
        <v>10005208</v>
      </c>
      <c r="B10" s="23">
        <v>10005</v>
      </c>
      <c r="C10" s="2">
        <v>208</v>
      </c>
      <c r="D10" s="52" t="str">
        <f>IFERROR(VLOOKUP(C10,gachas!A:C,3),0)</f>
        <v>メタルフィーバー&lt;リンク&gt;</v>
      </c>
      <c r="E10" s="53" t="s">
        <v>867</v>
      </c>
      <c r="F10" s="53" t="s">
        <v>868</v>
      </c>
      <c r="G10" s="24">
        <v>102</v>
      </c>
      <c r="H10" s="2">
        <v>65001</v>
      </c>
    </row>
    <row r="11" spans="1:8" ht="21" customHeight="1" x14ac:dyDescent="0.15">
      <c r="A11" s="10" t="str">
        <f t="shared" si="0"/>
        <v>10006209</v>
      </c>
      <c r="B11" s="23">
        <v>10006</v>
      </c>
      <c r="C11" s="2">
        <v>209</v>
      </c>
      <c r="D11" s="52" t="str">
        <f>IFERROR(VLOOKUP(C11,gachas!A:C,3),0)</f>
        <v>メタルフィーバー&lt;208調整&gt;</v>
      </c>
      <c r="E11" s="53" t="s">
        <v>1207</v>
      </c>
      <c r="F11" s="53" t="s">
        <v>1208</v>
      </c>
      <c r="G11" s="24">
        <v>102</v>
      </c>
      <c r="H11" s="2">
        <v>65001</v>
      </c>
    </row>
    <row r="12" spans="1:8" ht="21" customHeight="1" x14ac:dyDescent="0.15">
      <c r="A12" s="10" t="str">
        <f t="shared" ref="A12:A30" si="3">B12&amp;C12</f>
        <v>10007210</v>
      </c>
      <c r="B12" s="23">
        <v>10007</v>
      </c>
      <c r="C12" s="2">
        <v>210</v>
      </c>
      <c r="D12" s="52" t="str">
        <f>IFERROR(VLOOKUP(C12,gachas!A:C,3),0)</f>
        <v>KIRIMIリンク</v>
      </c>
      <c r="E12" s="53" t="s">
        <v>1038</v>
      </c>
      <c r="F12" s="53" t="s">
        <v>1039</v>
      </c>
      <c r="G12" s="24">
        <v>102</v>
      </c>
      <c r="H12" s="2">
        <v>65001</v>
      </c>
    </row>
    <row r="13" spans="1:8" ht="21" customHeight="1" x14ac:dyDescent="0.15">
      <c r="A13" s="10" t="str">
        <f t="shared" si="3"/>
        <v>10008209</v>
      </c>
      <c r="B13" s="23">
        <v>10008</v>
      </c>
      <c r="C13" s="2">
        <v>209</v>
      </c>
      <c r="D13" s="52" t="str">
        <f>IFERROR(VLOOKUP(C13,gachas!A:C,3),0)</f>
        <v>メタルフィーバー&lt;208調整&gt;</v>
      </c>
      <c r="E13" s="53" t="s">
        <v>1446</v>
      </c>
      <c r="F13" s="53" t="s">
        <v>1327</v>
      </c>
      <c r="G13" s="24">
        <v>102</v>
      </c>
      <c r="H13" s="2">
        <v>65001</v>
      </c>
    </row>
    <row r="14" spans="1:8" ht="21" customHeight="1" x14ac:dyDescent="0.15">
      <c r="A14" s="10" t="str">
        <f t="shared" si="3"/>
        <v>10009203</v>
      </c>
      <c r="B14" s="23">
        <f>B13+1</f>
        <v>10009</v>
      </c>
      <c r="C14" s="2">
        <v>203</v>
      </c>
      <c r="D14" s="52" t="str">
        <f>IFERROR(VLOOKUP(C14,gachas!A:C,3),0)</f>
        <v>ゴールドフィーバー&lt;リンク&gt;</v>
      </c>
      <c r="E14" s="53" t="s">
        <v>1447</v>
      </c>
      <c r="F14" s="53" t="s">
        <v>1448</v>
      </c>
      <c r="G14" s="24">
        <v>101</v>
      </c>
      <c r="H14" s="2">
        <v>65000</v>
      </c>
    </row>
    <row r="15" spans="1:8" ht="22" customHeight="1" x14ac:dyDescent="0.15">
      <c r="A15" s="10" t="str">
        <f t="shared" si="3"/>
        <v>10010209</v>
      </c>
      <c r="B15" s="23">
        <f>B14+1</f>
        <v>10010</v>
      </c>
      <c r="C15" s="2">
        <v>209</v>
      </c>
      <c r="D15" s="52" t="str">
        <f>IFERROR(VLOOKUP(C15,gachas!A:C,3),0)</f>
        <v>メタルフィーバー&lt;208調整&gt;</v>
      </c>
      <c r="E15" s="53" t="s">
        <v>1447</v>
      </c>
      <c r="F15" s="53" t="s">
        <v>1448</v>
      </c>
      <c r="G15" s="24">
        <v>102</v>
      </c>
      <c r="H15" s="2">
        <v>65001</v>
      </c>
    </row>
    <row r="16" spans="1:8" ht="22" customHeight="1" x14ac:dyDescent="0.15">
      <c r="A16" s="10" t="str">
        <f t="shared" si="3"/>
        <v>10011211</v>
      </c>
      <c r="B16" s="23">
        <f>B15+1</f>
        <v>10011</v>
      </c>
      <c r="C16" s="2">
        <v>211</v>
      </c>
      <c r="D16" s="52" t="str">
        <f>IFERROR(VLOOKUP(C16,gachas!A:C,3),0)</f>
        <v>Hyperリンク</v>
      </c>
      <c r="E16" s="53" t="s">
        <v>1552</v>
      </c>
      <c r="F16" s="53" t="s">
        <v>1561</v>
      </c>
      <c r="G16" s="24">
        <v>103</v>
      </c>
      <c r="H16" s="2">
        <v>65001</v>
      </c>
    </row>
    <row r="17" spans="1:8" ht="22" customHeight="1" x14ac:dyDescent="0.15">
      <c r="A17" s="10" t="str">
        <f t="shared" si="3"/>
        <v>10013209</v>
      </c>
      <c r="B17" s="23">
        <v>10013</v>
      </c>
      <c r="C17" s="2">
        <v>209</v>
      </c>
      <c r="D17" s="52" t="str">
        <f>IFERROR(VLOOKUP(C17,gachas!A:C,3),0)</f>
        <v>メタルフィーバー&lt;208調整&gt;</v>
      </c>
      <c r="E17" s="53" t="s">
        <v>1784</v>
      </c>
      <c r="F17" s="53" t="s">
        <v>1785</v>
      </c>
      <c r="G17" s="24">
        <v>101</v>
      </c>
      <c r="H17" s="2">
        <v>65001</v>
      </c>
    </row>
    <row r="18" spans="1:8" ht="22" customHeight="1" x14ac:dyDescent="0.15">
      <c r="A18" s="10" t="str">
        <f t="shared" ref="A18:A19" si="4">B18&amp;C18</f>
        <v>10014209</v>
      </c>
      <c r="B18" s="23">
        <v>10014</v>
      </c>
      <c r="C18" s="2">
        <v>209</v>
      </c>
      <c r="D18" s="52" t="str">
        <f>IFERROR(VLOOKUP(C18,gachas!A:C,3),0)</f>
        <v>メタルフィーバー&lt;208調整&gt;</v>
      </c>
      <c r="E18" s="53" t="s">
        <v>1903</v>
      </c>
      <c r="F18" s="53" t="s">
        <v>1904</v>
      </c>
      <c r="G18" s="24">
        <v>101</v>
      </c>
      <c r="H18" s="2">
        <v>65001</v>
      </c>
    </row>
    <row r="19" spans="1:8" ht="22" customHeight="1" x14ac:dyDescent="0.15">
      <c r="A19" s="10" t="str">
        <f t="shared" si="4"/>
        <v>10015203</v>
      </c>
      <c r="B19" s="23">
        <v>10015</v>
      </c>
      <c r="C19" s="2">
        <v>203</v>
      </c>
      <c r="D19" s="52" t="str">
        <f>IFERROR(VLOOKUP(C19,gachas!A:C,3),0)</f>
        <v>ゴールドフィーバー&lt;リンク&gt;</v>
      </c>
      <c r="E19" s="53" t="s">
        <v>1954</v>
      </c>
      <c r="F19" s="53" t="s">
        <v>1955</v>
      </c>
      <c r="G19" s="24">
        <v>101</v>
      </c>
      <c r="H19" s="2">
        <v>65001</v>
      </c>
    </row>
    <row r="20" spans="1:8" ht="22" customHeight="1" x14ac:dyDescent="0.15">
      <c r="A20" s="10" t="str">
        <f t="shared" ref="A20" si="5">B20&amp;C20</f>
        <v>10016211</v>
      </c>
      <c r="B20" s="23">
        <v>10016</v>
      </c>
      <c r="C20" s="2">
        <v>211</v>
      </c>
      <c r="D20" s="52" t="str">
        <f>IFERROR(VLOOKUP(C20,gachas!A:C,3),0)</f>
        <v>Hyperリンク</v>
      </c>
      <c r="E20" s="53" t="s">
        <v>2119</v>
      </c>
      <c r="F20" s="53" t="s">
        <v>2121</v>
      </c>
      <c r="G20" s="24">
        <v>101</v>
      </c>
      <c r="H20" s="2">
        <v>65001</v>
      </c>
    </row>
    <row r="21" spans="1:8" ht="22" customHeight="1" x14ac:dyDescent="0.15">
      <c r="A21" s="10" t="str">
        <f t="shared" ref="A21" si="6">B21&amp;C21</f>
        <v>10017213</v>
      </c>
      <c r="B21" s="23">
        <v>10017</v>
      </c>
      <c r="C21" s="2">
        <v>213</v>
      </c>
      <c r="D21" s="52" t="str">
        <f>IFERROR(VLOOKUP(C21,gachas!A:C,3),0)</f>
        <v>Happyリンクガチャ</v>
      </c>
      <c r="E21" s="53" t="s">
        <v>2195</v>
      </c>
      <c r="F21" s="53" t="s">
        <v>2196</v>
      </c>
      <c r="G21" s="24">
        <v>101</v>
      </c>
      <c r="H21" s="2">
        <v>65001</v>
      </c>
    </row>
    <row r="22" spans="1:8" ht="22" customHeight="1" x14ac:dyDescent="0.15">
      <c r="A22" s="10" t="str">
        <f t="shared" ref="A22:A23" si="7">B22&amp;C22</f>
        <v>10018211</v>
      </c>
      <c r="B22" s="23">
        <v>10018</v>
      </c>
      <c r="C22" s="2">
        <v>211</v>
      </c>
      <c r="D22" s="52" t="str">
        <f>IFERROR(VLOOKUP(C22,gachas!A:C,3),0)</f>
        <v>Hyperリンク</v>
      </c>
      <c r="E22" s="53" t="s">
        <v>2405</v>
      </c>
      <c r="F22" s="53" t="s">
        <v>2406</v>
      </c>
      <c r="G22" s="24">
        <v>102</v>
      </c>
      <c r="H22" s="2">
        <v>65001</v>
      </c>
    </row>
    <row r="23" spans="1:8" ht="22" customHeight="1" x14ac:dyDescent="0.15">
      <c r="A23" s="10" t="str">
        <f t="shared" si="7"/>
        <v>10019213</v>
      </c>
      <c r="B23" s="23">
        <v>10019</v>
      </c>
      <c r="C23" s="2">
        <v>213</v>
      </c>
      <c r="D23" s="52" t="str">
        <f>IFERROR(VLOOKUP(C23,gachas!A:C,3),0)</f>
        <v>Happyリンクガチャ</v>
      </c>
      <c r="E23" s="53" t="s">
        <v>2408</v>
      </c>
      <c r="F23" s="53" t="s">
        <v>2407</v>
      </c>
      <c r="G23" s="24">
        <v>101</v>
      </c>
      <c r="H23" s="2">
        <v>65001</v>
      </c>
    </row>
    <row r="24" spans="1:8" ht="22" customHeight="1" x14ac:dyDescent="0.15">
      <c r="A24" s="10" t="str">
        <f t="shared" ref="A24:A26" si="8">B24&amp;C24</f>
        <v>10020211</v>
      </c>
      <c r="B24" s="23">
        <v>10020</v>
      </c>
      <c r="C24" s="2">
        <v>211</v>
      </c>
      <c r="D24" s="52" t="str">
        <f>IFERROR(VLOOKUP(C24,gachas!A:C,3),0)</f>
        <v>Hyperリンク</v>
      </c>
      <c r="E24" s="53" t="s">
        <v>2544</v>
      </c>
      <c r="F24" s="53" t="s">
        <v>2549</v>
      </c>
      <c r="G24" s="24">
        <v>101</v>
      </c>
      <c r="H24" s="2">
        <v>65001</v>
      </c>
    </row>
    <row r="25" spans="1:8" ht="22" customHeight="1" x14ac:dyDescent="0.15">
      <c r="A25" s="10" t="str">
        <f t="shared" si="8"/>
        <v>10021214</v>
      </c>
      <c r="B25" s="23">
        <v>10021</v>
      </c>
      <c r="C25" s="2">
        <v>214</v>
      </c>
      <c r="D25" s="52" t="str">
        <f>IFERROR(VLOOKUP(C25,gachas!A:C,3),0)</f>
        <v>ニムダリンクガチャ</v>
      </c>
      <c r="E25" s="53" t="s">
        <v>2757</v>
      </c>
      <c r="F25" s="53" t="s">
        <v>2697</v>
      </c>
      <c r="G25" s="24">
        <v>101</v>
      </c>
      <c r="H25" s="2">
        <v>65001</v>
      </c>
    </row>
    <row r="26" spans="1:8" ht="22" customHeight="1" x14ac:dyDescent="0.15">
      <c r="A26" s="10" t="str">
        <f t="shared" si="8"/>
        <v>10023213</v>
      </c>
      <c r="B26" s="23">
        <v>10023</v>
      </c>
      <c r="C26" s="2">
        <v>213</v>
      </c>
      <c r="D26" s="52" t="str">
        <f>IFERROR(VLOOKUP(C26,gachas!A:C,3),0)</f>
        <v>Happyリンクガチャ</v>
      </c>
      <c r="E26" s="53" t="s">
        <v>2918</v>
      </c>
      <c r="F26" s="53" t="s">
        <v>2919</v>
      </c>
      <c r="G26" s="24">
        <v>101</v>
      </c>
      <c r="H26" s="2">
        <v>65001</v>
      </c>
    </row>
    <row r="27" spans="1:8" ht="22" customHeight="1" x14ac:dyDescent="0.15">
      <c r="A27" s="10" t="str">
        <f t="shared" ref="A27" si="9">B27&amp;C27</f>
        <v>10024216</v>
      </c>
      <c r="B27" s="23">
        <v>10024</v>
      </c>
      <c r="C27" s="2">
        <v>216</v>
      </c>
      <c r="D27" s="52" t="str">
        <f>IFERROR(VLOOKUP(C27,gachas!A:C,3),0)</f>
        <v>モリスリンクガチャ</v>
      </c>
      <c r="E27" s="53" t="s">
        <v>3031</v>
      </c>
      <c r="F27" s="53" t="s">
        <v>3032</v>
      </c>
      <c r="G27" s="24">
        <v>101</v>
      </c>
      <c r="H27" s="2">
        <v>65001</v>
      </c>
    </row>
    <row r="28" spans="1:8" ht="22" customHeight="1" x14ac:dyDescent="0.15">
      <c r="A28" s="10" t="str">
        <f t="shared" ref="A28" si="10">B28&amp;C28</f>
        <v>10025217</v>
      </c>
      <c r="B28" s="23">
        <v>10025</v>
      </c>
      <c r="C28" s="2">
        <v>217</v>
      </c>
      <c r="D28" s="52" t="str">
        <f>IFERROR(VLOOKUP(C28,gachas!A:C,3),0)</f>
        <v>メリッサリンクガチャ</v>
      </c>
      <c r="E28" s="53" t="s">
        <v>3311</v>
      </c>
      <c r="F28" s="53" t="s">
        <v>3312</v>
      </c>
      <c r="G28" s="24">
        <v>101</v>
      </c>
      <c r="H28" s="2">
        <v>65001</v>
      </c>
    </row>
    <row r="29" spans="1:8" ht="21" customHeight="1" x14ac:dyDescent="0.15">
      <c r="A29" s="10" t="str">
        <f t="shared" si="3"/>
        <v>60026002</v>
      </c>
      <c r="B29" s="23">
        <v>6002</v>
      </c>
      <c r="C29" s="2">
        <v>6002</v>
      </c>
      <c r="D29" s="52" t="str">
        <f>IFERROR(VLOOKUP(C29,gachas!A:C,3),0)</f>
        <v>6月ランキングガチャ</v>
      </c>
      <c r="E29" s="42" t="s">
        <v>1049</v>
      </c>
      <c r="F29" s="55" t="s">
        <v>1048</v>
      </c>
      <c r="G29" s="24">
        <f>B29</f>
        <v>6002</v>
      </c>
      <c r="H29" s="103">
        <v>9883</v>
      </c>
    </row>
    <row r="30" spans="1:8" ht="21" customHeight="1" x14ac:dyDescent="0.15">
      <c r="A30" s="10" t="str">
        <f t="shared" si="3"/>
        <v>60036003</v>
      </c>
      <c r="B30" s="23">
        <v>6003</v>
      </c>
      <c r="C30" s="2">
        <v>6003</v>
      </c>
      <c r="D30" s="52" t="str">
        <f>IFERROR(VLOOKUP(C30,gachas!A:C,3),0)</f>
        <v>6月ランキングピースガチャ</v>
      </c>
      <c r="E30" s="42" t="s">
        <v>1049</v>
      </c>
      <c r="F30" s="55" t="s">
        <v>1048</v>
      </c>
      <c r="G30" s="24">
        <f>B30</f>
        <v>6003</v>
      </c>
      <c r="H30" s="103">
        <v>9883</v>
      </c>
    </row>
    <row r="31" spans="1:8" ht="21" customHeight="1" x14ac:dyDescent="0.15">
      <c r="A31" s="10" t="str">
        <f t="shared" ref="A31" si="11">B31&amp;C31</f>
        <v>60046004</v>
      </c>
      <c r="B31" s="23">
        <v>6004</v>
      </c>
      <c r="C31" s="2">
        <v>6004</v>
      </c>
      <c r="D31" s="52" t="str">
        <f>IFERROR(VLOOKUP(C31,gachas!A:C,3),0)</f>
        <v>7月ランキングガチャ&lt;槍&gt;</v>
      </c>
      <c r="E31" s="42" t="s">
        <v>1227</v>
      </c>
      <c r="F31" s="105" t="s">
        <v>1191</v>
      </c>
      <c r="G31" s="24">
        <f>B31</f>
        <v>6004</v>
      </c>
      <c r="H31" s="103">
        <v>9883</v>
      </c>
    </row>
    <row r="32" spans="1:8" ht="21" customHeight="1" x14ac:dyDescent="0.15">
      <c r="A32" s="10" t="str">
        <f t="shared" ref="A32" si="12">B32&amp;C32</f>
        <v>60056005</v>
      </c>
      <c r="B32" s="23">
        <v>6005</v>
      </c>
      <c r="C32" s="2">
        <v>6005</v>
      </c>
      <c r="D32" s="52" t="str">
        <f>IFERROR(VLOOKUP(C32,gachas!A:C,3),0)</f>
        <v>7月ランキングピースガチャ</v>
      </c>
      <c r="E32" s="42" t="s">
        <v>1227</v>
      </c>
      <c r="F32" s="105" t="s">
        <v>1191</v>
      </c>
      <c r="G32" s="24">
        <f t="shared" ref="G32:G34" si="13">B32</f>
        <v>6005</v>
      </c>
      <c r="H32" s="103">
        <v>9883</v>
      </c>
    </row>
    <row r="33" spans="1:8" ht="21" customHeight="1" x14ac:dyDescent="0.15">
      <c r="A33" s="10" t="str">
        <f>B33&amp;C33</f>
        <v>60066006</v>
      </c>
      <c r="B33" s="23">
        <v>6006</v>
      </c>
      <c r="C33" s="56">
        <v>6006</v>
      </c>
      <c r="D33" s="52" t="str">
        <f>IFERROR(VLOOKUP(C33,gachas!A:C,3),0)</f>
        <v>ランキングガチャ&lt;刀&gt;</v>
      </c>
      <c r="E33" s="42" t="s">
        <v>1313</v>
      </c>
      <c r="F33" s="105" t="s">
        <v>1131</v>
      </c>
      <c r="G33" s="24">
        <f t="shared" si="13"/>
        <v>6006</v>
      </c>
      <c r="H33" s="103">
        <v>9883</v>
      </c>
    </row>
    <row r="34" spans="1:8" ht="21" customHeight="1" x14ac:dyDescent="0.15">
      <c r="A34" s="10" t="str">
        <f>B34&amp;C34</f>
        <v>60076007</v>
      </c>
      <c r="B34" s="23">
        <v>6007</v>
      </c>
      <c r="C34" s="56">
        <v>6007</v>
      </c>
      <c r="D34" s="52" t="str">
        <f>IFERROR(VLOOKUP(C34,gachas!A:C,3),0)</f>
        <v>ランキングピースガチャ&lt;刀&gt;</v>
      </c>
      <c r="E34" s="42" t="s">
        <v>1313</v>
      </c>
      <c r="F34" s="105" t="s">
        <v>1131</v>
      </c>
      <c r="G34" s="24">
        <f t="shared" si="13"/>
        <v>6007</v>
      </c>
      <c r="H34" s="103">
        <v>9883</v>
      </c>
    </row>
    <row r="35" spans="1:8" ht="21" customHeight="1" x14ac:dyDescent="0.15">
      <c r="A35" s="10" t="str">
        <f>B35&amp;C35</f>
        <v>60086008</v>
      </c>
      <c r="B35" s="23">
        <v>6008</v>
      </c>
      <c r="C35" s="56">
        <v>6008</v>
      </c>
      <c r="D35" s="52" t="str">
        <f>IFERROR(VLOOKUP(C35,gachas!A:C,3),0)</f>
        <v>ランキングガチャ&lt;刀&gt; 6月チケット対応</v>
      </c>
      <c r="E35" s="42" t="s">
        <v>1303</v>
      </c>
      <c r="F35" s="105" t="s">
        <v>1131</v>
      </c>
      <c r="G35" s="24">
        <f t="shared" ref="G35" si="14">B35</f>
        <v>6008</v>
      </c>
      <c r="H35" s="103">
        <v>9883</v>
      </c>
    </row>
    <row r="36" spans="1:8" ht="21" customHeight="1" x14ac:dyDescent="0.15">
      <c r="A36" s="10" t="str">
        <f t="shared" ref="A36:A37" si="15">B36&amp;C36</f>
        <v>60096009</v>
      </c>
      <c r="B36" s="23">
        <v>6009</v>
      </c>
      <c r="C36" s="56">
        <v>6009</v>
      </c>
      <c r="D36" s="52" t="str">
        <f>IFERROR(VLOOKUP(C36,gachas!A:C,3),0)</f>
        <v>ランキングガチャ&lt;杖&gt;</v>
      </c>
      <c r="E36" s="42" t="s">
        <v>2278</v>
      </c>
      <c r="F36" s="105" t="s">
        <v>1131</v>
      </c>
      <c r="G36" s="24">
        <f t="shared" ref="G36:G37" si="16">B36</f>
        <v>6009</v>
      </c>
      <c r="H36" s="103">
        <v>9883</v>
      </c>
    </row>
    <row r="37" spans="1:8" ht="21" customHeight="1" x14ac:dyDescent="0.15">
      <c r="A37" s="10" t="str">
        <f t="shared" si="15"/>
        <v>60106010</v>
      </c>
      <c r="B37" s="23">
        <v>6010</v>
      </c>
      <c r="C37" s="56">
        <v>6010</v>
      </c>
      <c r="D37" s="52" t="str">
        <f>IFERROR(VLOOKUP(C37,gachas!A:C,3),0)</f>
        <v>ランキングピースガチャ&lt;杖&gt;</v>
      </c>
      <c r="E37" s="42" t="s">
        <v>2279</v>
      </c>
      <c r="F37" s="105" t="s">
        <v>1131</v>
      </c>
      <c r="G37" s="24">
        <f t="shared" si="16"/>
        <v>6010</v>
      </c>
      <c r="H37" s="103">
        <v>9883</v>
      </c>
    </row>
    <row r="38" spans="1:8" ht="22" customHeight="1" x14ac:dyDescent="0.15">
      <c r="A38" s="10" t="str">
        <f t="shared" si="0"/>
        <v>70007000</v>
      </c>
      <c r="B38" s="2">
        <v>7000</v>
      </c>
      <c r="C38" s="2">
        <v>7000</v>
      </c>
      <c r="D38" s="52" t="str">
        <f>IFERROR(VLOOKUP(C38,gachas!A:C,3),0)</f>
        <v>初心者応援チケットガチャ</v>
      </c>
      <c r="E38" s="42" t="s">
        <v>785</v>
      </c>
      <c r="F38" s="55" t="s">
        <v>828</v>
      </c>
      <c r="G38" s="24">
        <v>7000</v>
      </c>
      <c r="H38" s="6">
        <v>3</v>
      </c>
    </row>
    <row r="39" spans="1:8" ht="21" customHeight="1" x14ac:dyDescent="0.15">
      <c r="A39" s="10" t="str">
        <f t="shared" ref="A39" si="17">B39&amp;C39</f>
        <v>70017001</v>
      </c>
      <c r="B39" s="2">
        <f t="shared" ref="B39:C43" si="18">B38+1</f>
        <v>7001</v>
      </c>
      <c r="C39" s="2">
        <f t="shared" si="18"/>
        <v>7001</v>
      </c>
      <c r="D39" s="52" t="str">
        <f>IFERROR(VLOOKUP(C39,gachas!A:C,3),0)</f>
        <v>初心者応援チケットガチャ&lt;天使in&gt;</v>
      </c>
      <c r="E39" s="42" t="s">
        <v>829</v>
      </c>
      <c r="F39" s="55" t="s">
        <v>845</v>
      </c>
      <c r="G39" s="24">
        <v>7000</v>
      </c>
      <c r="H39" s="6">
        <v>3</v>
      </c>
    </row>
    <row r="40" spans="1:8" ht="21" customHeight="1" x14ac:dyDescent="0.15">
      <c r="A40" s="10" t="str">
        <f t="shared" ref="A40" si="19">B40&amp;C40</f>
        <v>70027002</v>
      </c>
      <c r="B40" s="2">
        <f t="shared" si="18"/>
        <v>7002</v>
      </c>
      <c r="C40" s="2">
        <f t="shared" si="18"/>
        <v>7002</v>
      </c>
      <c r="D40" s="52" t="str">
        <f>IFERROR(VLOOKUP(C40,gachas!A:C,3),0)</f>
        <v>初心者応援チケットガチャ&lt;八咫ヘングレin&gt;</v>
      </c>
      <c r="E40" s="42" t="s">
        <v>846</v>
      </c>
      <c r="F40" s="55" t="s">
        <v>893</v>
      </c>
      <c r="G40" s="24">
        <v>7000</v>
      </c>
      <c r="H40" s="6">
        <v>3</v>
      </c>
    </row>
    <row r="41" spans="1:8" ht="21" customHeight="1" x14ac:dyDescent="0.15">
      <c r="A41" s="10" t="str">
        <f t="shared" ref="A41" si="20">B41&amp;C41</f>
        <v>70037003</v>
      </c>
      <c r="B41" s="2">
        <f t="shared" si="18"/>
        <v>7003</v>
      </c>
      <c r="C41" s="2">
        <f t="shared" si="18"/>
        <v>7003</v>
      </c>
      <c r="D41" s="52" t="str">
        <f>IFERROR(VLOOKUP(C41,gachas!A:C,3),0)</f>
        <v>初心者応援チケットガチャ&lt;グリム2in&gt;</v>
      </c>
      <c r="E41" s="42" t="s">
        <v>894</v>
      </c>
      <c r="F41" s="55" t="s">
        <v>920</v>
      </c>
      <c r="G41" s="24">
        <v>7000</v>
      </c>
      <c r="H41" s="6">
        <v>3</v>
      </c>
    </row>
    <row r="42" spans="1:8" ht="21" customHeight="1" x14ac:dyDescent="0.15">
      <c r="A42" s="10" t="str">
        <f t="shared" ref="A42" si="21">B42&amp;C42</f>
        <v>70047004</v>
      </c>
      <c r="B42" s="2">
        <f t="shared" si="18"/>
        <v>7004</v>
      </c>
      <c r="C42" s="2">
        <f t="shared" si="18"/>
        <v>7004</v>
      </c>
      <c r="D42" s="52" t="str">
        <f>IFERROR(VLOOKUP(C42,gachas!A:C,3),0)</f>
        <v>初心者応援チケットガチャ&lt;D.R.T.H.、モルドレッドin&gt;</v>
      </c>
      <c r="E42" s="42" t="s">
        <v>908</v>
      </c>
      <c r="F42" s="55" t="s">
        <v>1088</v>
      </c>
      <c r="G42" s="24">
        <v>7000</v>
      </c>
      <c r="H42" s="6">
        <v>3</v>
      </c>
    </row>
    <row r="43" spans="1:8" ht="21" customHeight="1" x14ac:dyDescent="0.15">
      <c r="A43" s="10" t="str">
        <f t="shared" ref="A43" si="22">B43&amp;C43</f>
        <v>70057005</v>
      </c>
      <c r="B43" s="2">
        <f t="shared" si="18"/>
        <v>7005</v>
      </c>
      <c r="C43" s="2">
        <f t="shared" si="18"/>
        <v>7005</v>
      </c>
      <c r="D43" s="52" t="str">
        <f>IFERROR(VLOOKUP(C43,gachas!A:C,3),0)</f>
        <v>初心者応援チケットガチャ&lt;アポロン、ヘルメス&gt;</v>
      </c>
      <c r="E43" s="42" t="s">
        <v>1089</v>
      </c>
      <c r="F43" s="107" t="s">
        <v>1169</v>
      </c>
      <c r="G43" s="24">
        <v>7000</v>
      </c>
      <c r="H43" s="6">
        <v>3</v>
      </c>
    </row>
    <row r="44" spans="1:8" ht="21" customHeight="1" x14ac:dyDescent="0.15">
      <c r="A44" s="10" t="str">
        <f t="shared" ref="A44" si="23">B44&amp;C44</f>
        <v>70067006</v>
      </c>
      <c r="B44" s="2">
        <f t="shared" ref="B44:C51" si="24">B43+1</f>
        <v>7006</v>
      </c>
      <c r="C44" s="2">
        <f t="shared" si="24"/>
        <v>7006</v>
      </c>
      <c r="D44" s="52" t="str">
        <f>IFERROR(VLOOKUP(C44,gachas!A:C,3),0)</f>
        <v>初心者応援チケットガチャ&lt;フランスin&gt;</v>
      </c>
      <c r="E44" s="42" t="s">
        <v>1165</v>
      </c>
      <c r="F44" s="55" t="s">
        <v>1302</v>
      </c>
      <c r="G44" s="24">
        <v>7000</v>
      </c>
      <c r="H44" s="6">
        <v>3</v>
      </c>
    </row>
    <row r="45" spans="1:8" ht="21" customHeight="1" x14ac:dyDescent="0.15">
      <c r="A45" s="10" t="str">
        <f t="shared" ref="A45" si="25">B45&amp;C45</f>
        <v>70077007</v>
      </c>
      <c r="B45" s="2">
        <f t="shared" si="24"/>
        <v>7007</v>
      </c>
      <c r="C45" s="2">
        <f t="shared" si="24"/>
        <v>7007</v>
      </c>
      <c r="D45" s="52" t="str">
        <f>IFERROR(VLOOKUP(C45,gachas!A:C,3),0)</f>
        <v>初心者応援チケットガチャ&lt;エジプトin&gt;</v>
      </c>
      <c r="E45" s="42" t="s">
        <v>1290</v>
      </c>
      <c r="F45" s="55" t="s">
        <v>1412</v>
      </c>
      <c r="G45" s="24">
        <v>7000</v>
      </c>
      <c r="H45" s="6">
        <v>3</v>
      </c>
    </row>
    <row r="46" spans="1:8" ht="21" customHeight="1" x14ac:dyDescent="0.15">
      <c r="A46" s="10" t="str">
        <f t="shared" ref="A46" si="26">B46&amp;C46</f>
        <v>70087008</v>
      </c>
      <c r="B46" s="2">
        <f t="shared" si="24"/>
        <v>7008</v>
      </c>
      <c r="C46" s="2">
        <f t="shared" si="24"/>
        <v>7008</v>
      </c>
      <c r="D46" s="52" t="str">
        <f>IFERROR(VLOOKUP(C46,gachas!A:C,3),0)</f>
        <v>初心者応援チケットガチャ&lt;平安in&gt;</v>
      </c>
      <c r="E46" s="42" t="s">
        <v>1413</v>
      </c>
      <c r="F46" s="55" t="s">
        <v>1487</v>
      </c>
      <c r="G46" s="24">
        <v>7000</v>
      </c>
      <c r="H46" s="6">
        <v>3</v>
      </c>
    </row>
    <row r="47" spans="1:8" ht="21" customHeight="1" x14ac:dyDescent="0.15">
      <c r="A47" s="10" t="str">
        <f t="shared" ref="A47" si="27">B47&amp;C47</f>
        <v>70097009</v>
      </c>
      <c r="B47" s="2">
        <f t="shared" si="24"/>
        <v>7009</v>
      </c>
      <c r="C47" s="2">
        <f t="shared" si="24"/>
        <v>7009</v>
      </c>
      <c r="D47" s="52" t="str">
        <f>IFERROR(VLOOKUP(C47,gachas!A:C,3),0)</f>
        <v>初心者応援チケットガチャ&lt;メソポタミアin&gt;</v>
      </c>
      <c r="E47" s="42" t="s">
        <v>1488</v>
      </c>
      <c r="F47" s="55" t="s">
        <v>1530</v>
      </c>
      <c r="G47" s="24">
        <v>7000</v>
      </c>
      <c r="H47" s="6">
        <v>3</v>
      </c>
    </row>
    <row r="48" spans="1:8" ht="21" customHeight="1" x14ac:dyDescent="0.15">
      <c r="A48" s="10" t="str">
        <f t="shared" ref="A48" si="28">B48&amp;C48</f>
        <v>70107010</v>
      </c>
      <c r="B48" s="2">
        <f t="shared" si="24"/>
        <v>7010</v>
      </c>
      <c r="C48" s="2">
        <f t="shared" si="24"/>
        <v>7010</v>
      </c>
      <c r="D48" s="52" t="str">
        <f>IFERROR(VLOOKUP(C48,gachas!A:C,3),0)</f>
        <v>初心者応援チケットガチャ&lt;画家in&gt;</v>
      </c>
      <c r="E48" s="42" t="s">
        <v>1522</v>
      </c>
      <c r="F48" s="55" t="s">
        <v>1689</v>
      </c>
      <c r="G48" s="24">
        <v>7000</v>
      </c>
      <c r="H48" s="6">
        <v>3</v>
      </c>
    </row>
    <row r="49" spans="1:8" ht="21" customHeight="1" x14ac:dyDescent="0.15">
      <c r="A49" s="10" t="str">
        <f t="shared" ref="A49" si="29">B49&amp;C49</f>
        <v>70117011</v>
      </c>
      <c r="B49" s="2">
        <f t="shared" si="24"/>
        <v>7011</v>
      </c>
      <c r="C49" s="2">
        <f t="shared" si="24"/>
        <v>7011</v>
      </c>
      <c r="D49" s="52" t="str">
        <f>IFERROR(VLOOKUP(C49,gachas!A:C,3),0)</f>
        <v>初心者応援チケットガチャ&lt;三国志in&gt;</v>
      </c>
      <c r="E49" s="42" t="s">
        <v>1677</v>
      </c>
      <c r="F49" s="55" t="s">
        <v>1760</v>
      </c>
      <c r="G49" s="24">
        <v>7000</v>
      </c>
      <c r="H49" s="6">
        <v>3</v>
      </c>
    </row>
    <row r="50" spans="1:8" ht="21" customHeight="1" x14ac:dyDescent="0.15">
      <c r="A50" s="10" t="str">
        <f t="shared" ref="A50" si="30">B50&amp;C50</f>
        <v>70127012</v>
      </c>
      <c r="B50" s="2">
        <f t="shared" si="24"/>
        <v>7012</v>
      </c>
      <c r="C50" s="2">
        <f t="shared" si="24"/>
        <v>7012</v>
      </c>
      <c r="D50" s="52" t="str">
        <f>IFERROR(VLOOKUP(C50,gachas!A:C,3),0)</f>
        <v>初心者応援チケットガチャ&lt;インド第2弾in&gt;</v>
      </c>
      <c r="E50" s="42" t="s">
        <v>1761</v>
      </c>
      <c r="F50" s="42" t="s">
        <v>1929</v>
      </c>
      <c r="G50" s="24">
        <v>7000</v>
      </c>
      <c r="H50" s="6">
        <v>3</v>
      </c>
    </row>
    <row r="51" spans="1:8" ht="21" customHeight="1" x14ac:dyDescent="0.15">
      <c r="A51" s="10" t="str">
        <f t="shared" ref="A51" si="31">B51&amp;C51</f>
        <v>70137013</v>
      </c>
      <c r="B51" s="2">
        <f t="shared" si="24"/>
        <v>7013</v>
      </c>
      <c r="C51" s="2">
        <f t="shared" si="24"/>
        <v>7013</v>
      </c>
      <c r="D51" s="52" t="str">
        <f>IFERROR(VLOOKUP(C51,gachas!A:C,3),0)</f>
        <v>初心者応援チケットガチャ&lt;ギリシャ神話第2弾in&gt;</v>
      </c>
      <c r="E51" s="42" t="s">
        <v>1996</v>
      </c>
      <c r="F51" s="42" t="s">
        <v>2011</v>
      </c>
      <c r="G51" s="24">
        <v>7000</v>
      </c>
      <c r="H51" s="6">
        <v>3</v>
      </c>
    </row>
    <row r="52" spans="1:8" ht="21" customHeight="1" x14ac:dyDescent="0.15">
      <c r="A52" s="10" t="str">
        <f t="shared" ref="A52:A56" si="32">B52&amp;C52</f>
        <v>70147014</v>
      </c>
      <c r="B52" s="2">
        <f t="shared" ref="B52:C52" si="33">B51+1</f>
        <v>7014</v>
      </c>
      <c r="C52" s="2">
        <f t="shared" si="33"/>
        <v>7014</v>
      </c>
      <c r="D52" s="52" t="str">
        <f>IFERROR(VLOOKUP(C52,gachas!A:C,3),0)</f>
        <v>新初心者パック★6＜リリース＞</v>
      </c>
      <c r="E52" s="42" t="s">
        <v>2120</v>
      </c>
      <c r="F52" s="42" t="s">
        <v>2371</v>
      </c>
      <c r="G52" s="60">
        <v>7018</v>
      </c>
      <c r="H52" s="6">
        <v>3</v>
      </c>
    </row>
    <row r="53" spans="1:8" ht="21" customHeight="1" x14ac:dyDescent="0.15">
      <c r="A53" s="10" t="str">
        <f t="shared" si="32"/>
        <v>70157015</v>
      </c>
      <c r="B53" s="2">
        <f t="shared" ref="B53:C53" si="34">B52+1</f>
        <v>7015</v>
      </c>
      <c r="C53" s="2">
        <f t="shared" si="34"/>
        <v>7015</v>
      </c>
      <c r="D53" s="52" t="str">
        <f>IFERROR(VLOOKUP(C53,gachas!A:C,3),0)</f>
        <v>新初心者パック赤＜リリース＞</v>
      </c>
      <c r="E53" s="42" t="s">
        <v>2120</v>
      </c>
      <c r="F53" s="42" t="s">
        <v>2371</v>
      </c>
      <c r="G53" s="60">
        <v>7017</v>
      </c>
      <c r="H53" s="6">
        <v>3</v>
      </c>
    </row>
    <row r="54" spans="1:8" ht="21" customHeight="1" x14ac:dyDescent="0.15">
      <c r="A54" s="10" t="str">
        <f t="shared" si="32"/>
        <v>70167016</v>
      </c>
      <c r="B54" s="2">
        <f t="shared" ref="B54:C54" si="35">B53+1</f>
        <v>7016</v>
      </c>
      <c r="C54" s="2">
        <f t="shared" si="35"/>
        <v>7016</v>
      </c>
      <c r="D54" s="52" t="str">
        <f>IFERROR(VLOOKUP(C54,gachas!A:C,3),0)</f>
        <v>新初心者パック青＜リリース＞</v>
      </c>
      <c r="E54" s="42" t="s">
        <v>2120</v>
      </c>
      <c r="F54" s="42" t="s">
        <v>2371</v>
      </c>
      <c r="G54" s="60">
        <v>7016</v>
      </c>
      <c r="H54" s="6">
        <v>3</v>
      </c>
    </row>
    <row r="55" spans="1:8" ht="21" customHeight="1" x14ac:dyDescent="0.15">
      <c r="A55" s="10" t="str">
        <f t="shared" si="32"/>
        <v>70177017</v>
      </c>
      <c r="B55" s="2">
        <f t="shared" ref="B55:C55" si="36">B54+1</f>
        <v>7017</v>
      </c>
      <c r="C55" s="2">
        <f t="shared" si="36"/>
        <v>7017</v>
      </c>
      <c r="D55" s="52" t="str">
        <f>IFERROR(VLOOKUP(C55,gachas!A:C,3),0)</f>
        <v>新初心者パック緑＜リリース＞</v>
      </c>
      <c r="E55" s="42" t="s">
        <v>2120</v>
      </c>
      <c r="F55" s="42" t="s">
        <v>2371</v>
      </c>
      <c r="G55" s="60">
        <v>7015</v>
      </c>
      <c r="H55" s="6">
        <v>3</v>
      </c>
    </row>
    <row r="56" spans="1:8" ht="21" customHeight="1" x14ac:dyDescent="0.15">
      <c r="A56" s="10" t="str">
        <f t="shared" si="32"/>
        <v>70187018</v>
      </c>
      <c r="B56" s="2">
        <f t="shared" ref="B56:C57" si="37">B55+1</f>
        <v>7018</v>
      </c>
      <c r="C56" s="2">
        <f t="shared" si="37"/>
        <v>7018</v>
      </c>
      <c r="D56" s="52" t="str">
        <f>IFERROR(VLOOKUP(C56,gachas!A:C,3),0)</f>
        <v>新初心者パック黄＜リリース＞</v>
      </c>
      <c r="E56" s="42" t="s">
        <v>2120</v>
      </c>
      <c r="F56" s="42" t="s">
        <v>2371</v>
      </c>
      <c r="G56" s="60">
        <v>7014</v>
      </c>
      <c r="H56" s="6">
        <v>3</v>
      </c>
    </row>
    <row r="57" spans="1:8" ht="21" customHeight="1" x14ac:dyDescent="0.15">
      <c r="A57" s="10" t="str">
        <f t="shared" ref="A57:A62" si="38">B57&amp;C57</f>
        <v>70197019</v>
      </c>
      <c r="B57" s="2">
        <f t="shared" si="37"/>
        <v>7019</v>
      </c>
      <c r="C57" s="2">
        <f t="shared" si="37"/>
        <v>7019</v>
      </c>
      <c r="D57" s="52" t="str">
        <f>IFERROR(VLOOKUP(C57,gachas!A:C,3),0)</f>
        <v>初心者応援チケットガチャ&lt;文豪in&gt;</v>
      </c>
      <c r="E57" s="42" t="s">
        <v>2012</v>
      </c>
      <c r="F57" s="105" t="s">
        <v>1131</v>
      </c>
      <c r="G57" s="24">
        <v>7000</v>
      </c>
      <c r="H57" s="6">
        <v>3</v>
      </c>
    </row>
    <row r="58" spans="1:8" ht="21" customHeight="1" x14ac:dyDescent="0.15">
      <c r="A58" s="10" t="str">
        <f t="shared" si="38"/>
        <v>70207020</v>
      </c>
      <c r="B58" s="2">
        <f t="shared" ref="B58:C58" si="39">B57+1</f>
        <v>7020</v>
      </c>
      <c r="C58" s="2">
        <f t="shared" si="39"/>
        <v>7020</v>
      </c>
      <c r="D58" s="52" t="str">
        <f>IFERROR(VLOOKUP(C58,gachas!A:C,3),0)</f>
        <v>新初心者パック★6＜戦国2in＞</v>
      </c>
      <c r="E58" s="42" t="s">
        <v>2372</v>
      </c>
      <c r="F58" s="42" t="s">
        <v>2532</v>
      </c>
      <c r="G58" s="60">
        <v>7018</v>
      </c>
      <c r="H58" s="6">
        <v>3</v>
      </c>
    </row>
    <row r="59" spans="1:8" ht="21" customHeight="1" x14ac:dyDescent="0.15">
      <c r="A59" s="10" t="str">
        <f t="shared" si="38"/>
        <v>70217021</v>
      </c>
      <c r="B59" s="2">
        <f t="shared" ref="B59:C59" si="40">B58+1</f>
        <v>7021</v>
      </c>
      <c r="C59" s="2">
        <f t="shared" si="40"/>
        <v>7021</v>
      </c>
      <c r="D59" s="52" t="str">
        <f>IFERROR(VLOOKUP(C59,gachas!A:C,3),0)</f>
        <v>新初心者パック赤＜戦国2in＞</v>
      </c>
      <c r="E59" s="42" t="s">
        <v>2372</v>
      </c>
      <c r="F59" s="42" t="s">
        <v>2532</v>
      </c>
      <c r="G59" s="60">
        <v>7017</v>
      </c>
      <c r="H59" s="6">
        <v>3</v>
      </c>
    </row>
    <row r="60" spans="1:8" ht="21" customHeight="1" x14ac:dyDescent="0.15">
      <c r="A60" s="10" t="str">
        <f t="shared" si="38"/>
        <v>70227022</v>
      </c>
      <c r="B60" s="2">
        <f t="shared" ref="B60:C60" si="41">B59+1</f>
        <v>7022</v>
      </c>
      <c r="C60" s="2">
        <f t="shared" si="41"/>
        <v>7022</v>
      </c>
      <c r="D60" s="52" t="str">
        <f>IFERROR(VLOOKUP(C60,gachas!A:C,3),0)</f>
        <v>新初心者パック青＜戦国2in＞</v>
      </c>
      <c r="E60" s="42" t="s">
        <v>2372</v>
      </c>
      <c r="F60" s="42" t="s">
        <v>2532</v>
      </c>
      <c r="G60" s="60">
        <v>7016</v>
      </c>
      <c r="H60" s="6">
        <v>3</v>
      </c>
    </row>
    <row r="61" spans="1:8" ht="21" customHeight="1" x14ac:dyDescent="0.15">
      <c r="A61" s="10" t="str">
        <f t="shared" si="38"/>
        <v>70237023</v>
      </c>
      <c r="B61" s="2">
        <f t="shared" ref="B61:C61" si="42">B60+1</f>
        <v>7023</v>
      </c>
      <c r="C61" s="2">
        <f t="shared" si="42"/>
        <v>7023</v>
      </c>
      <c r="D61" s="52" t="str">
        <f>IFERROR(VLOOKUP(C61,gachas!A:C,3),0)</f>
        <v>新初心者パック緑＜戦国2in＞</v>
      </c>
      <c r="E61" s="42" t="s">
        <v>2372</v>
      </c>
      <c r="F61" s="42" t="s">
        <v>2532</v>
      </c>
      <c r="G61" s="60">
        <v>7015</v>
      </c>
      <c r="H61" s="6">
        <v>3</v>
      </c>
    </row>
    <row r="62" spans="1:8" ht="21" customHeight="1" x14ac:dyDescent="0.15">
      <c r="A62" s="10" t="str">
        <f t="shared" si="38"/>
        <v>70247024</v>
      </c>
      <c r="B62" s="2">
        <f t="shared" ref="B62:C62" si="43">B61+1</f>
        <v>7024</v>
      </c>
      <c r="C62" s="2">
        <f t="shared" si="43"/>
        <v>7024</v>
      </c>
      <c r="D62" s="52" t="str">
        <f>IFERROR(VLOOKUP(C62,gachas!A:C,3),0)</f>
        <v>新初心者パック黄＜戦国2in＞</v>
      </c>
      <c r="E62" s="42" t="s">
        <v>2372</v>
      </c>
      <c r="F62" s="42" t="s">
        <v>2532</v>
      </c>
      <c r="G62" s="60">
        <v>7014</v>
      </c>
      <c r="H62" s="6">
        <v>3</v>
      </c>
    </row>
    <row r="63" spans="1:8" ht="21" customHeight="1" x14ac:dyDescent="0.15">
      <c r="A63" s="10" t="str">
        <f t="shared" ref="A63:A67" si="44">B63&amp;C63</f>
        <v>70257025</v>
      </c>
      <c r="B63" s="2">
        <f t="shared" ref="B63:C63" si="45">B62+1</f>
        <v>7025</v>
      </c>
      <c r="C63" s="2">
        <f t="shared" si="45"/>
        <v>7025</v>
      </c>
      <c r="D63" s="52" t="str">
        <f>IFERROR(VLOOKUP(C63,gachas!A:C,3),0)</f>
        <v>新初心者パック★6＜北欧2in＞</v>
      </c>
      <c r="E63" s="42" t="s">
        <v>2533</v>
      </c>
      <c r="F63" s="42" t="s">
        <v>2654</v>
      </c>
      <c r="G63" s="60">
        <v>7018</v>
      </c>
      <c r="H63" s="6">
        <v>3</v>
      </c>
    </row>
    <row r="64" spans="1:8" ht="21" customHeight="1" x14ac:dyDescent="0.15">
      <c r="A64" s="10" t="str">
        <f t="shared" si="44"/>
        <v>70267026</v>
      </c>
      <c r="B64" s="2">
        <f t="shared" ref="B64:C64" si="46">B63+1</f>
        <v>7026</v>
      </c>
      <c r="C64" s="2">
        <f t="shared" si="46"/>
        <v>7026</v>
      </c>
      <c r="D64" s="52" t="str">
        <f>IFERROR(VLOOKUP(C64,gachas!A:C,3),0)</f>
        <v>新初心者パック赤＜北欧2in＞</v>
      </c>
      <c r="E64" s="42" t="s">
        <v>2533</v>
      </c>
      <c r="F64" s="42" t="s">
        <v>2654</v>
      </c>
      <c r="G64" s="60">
        <v>7017</v>
      </c>
      <c r="H64" s="6">
        <v>3</v>
      </c>
    </row>
    <row r="65" spans="1:8" ht="21" customHeight="1" x14ac:dyDescent="0.15">
      <c r="A65" s="10" t="str">
        <f t="shared" si="44"/>
        <v>70277027</v>
      </c>
      <c r="B65" s="2">
        <f t="shared" ref="B65:C65" si="47">B64+1</f>
        <v>7027</v>
      </c>
      <c r="C65" s="2">
        <f t="shared" si="47"/>
        <v>7027</v>
      </c>
      <c r="D65" s="52" t="str">
        <f>IFERROR(VLOOKUP(C65,gachas!A:C,3),0)</f>
        <v>新初心者パック青＜北欧2in＞</v>
      </c>
      <c r="E65" s="42" t="s">
        <v>2533</v>
      </c>
      <c r="F65" s="42" t="s">
        <v>2654</v>
      </c>
      <c r="G65" s="60">
        <v>7016</v>
      </c>
      <c r="H65" s="6">
        <v>3</v>
      </c>
    </row>
    <row r="66" spans="1:8" ht="21" customHeight="1" x14ac:dyDescent="0.15">
      <c r="A66" s="10" t="str">
        <f t="shared" si="44"/>
        <v>70287028</v>
      </c>
      <c r="B66" s="2">
        <f t="shared" ref="B66:C66" si="48">B65+1</f>
        <v>7028</v>
      </c>
      <c r="C66" s="2">
        <f t="shared" si="48"/>
        <v>7028</v>
      </c>
      <c r="D66" s="52" t="str">
        <f>IFERROR(VLOOKUP(C66,gachas!A:C,3),0)</f>
        <v>新初心者パック緑＜北欧2in＞</v>
      </c>
      <c r="E66" s="42" t="s">
        <v>2533</v>
      </c>
      <c r="F66" s="42" t="s">
        <v>2654</v>
      </c>
      <c r="G66" s="60">
        <v>7015</v>
      </c>
      <c r="H66" s="6">
        <v>3</v>
      </c>
    </row>
    <row r="67" spans="1:8" ht="21" customHeight="1" x14ac:dyDescent="0.15">
      <c r="A67" s="10" t="str">
        <f t="shared" si="44"/>
        <v>70297029</v>
      </c>
      <c r="B67" s="2">
        <f t="shared" ref="B67:C67" si="49">B66+1</f>
        <v>7029</v>
      </c>
      <c r="C67" s="2">
        <f t="shared" si="49"/>
        <v>7029</v>
      </c>
      <c r="D67" s="52" t="str">
        <f>IFERROR(VLOOKUP(C67,gachas!A:C,3),0)</f>
        <v>新初心者パック黄＜北欧2in＞</v>
      </c>
      <c r="E67" s="42" t="s">
        <v>2533</v>
      </c>
      <c r="F67" s="42" t="s">
        <v>2654</v>
      </c>
      <c r="G67" s="60">
        <v>7014</v>
      </c>
      <c r="H67" s="6">
        <v>3</v>
      </c>
    </row>
    <row r="68" spans="1:8" ht="21" customHeight="1" x14ac:dyDescent="0.15">
      <c r="A68" s="10" t="str">
        <f t="shared" ref="A68:A72" si="50">B68&amp;C68</f>
        <v>70307030</v>
      </c>
      <c r="B68" s="2">
        <v>7030</v>
      </c>
      <c r="C68" s="2">
        <v>7030</v>
      </c>
      <c r="D68" s="52" t="str">
        <f>IFERROR(VLOOKUP(C68,gachas!A:C,3),0)</f>
        <v>新初心者パック★6＜日本神話2in＞</v>
      </c>
      <c r="E68" s="42" t="s">
        <v>2632</v>
      </c>
      <c r="F68" s="42" t="s">
        <v>3181</v>
      </c>
      <c r="G68" s="60">
        <v>7018</v>
      </c>
      <c r="H68" s="6">
        <v>3</v>
      </c>
    </row>
    <row r="69" spans="1:8" ht="21" customHeight="1" x14ac:dyDescent="0.15">
      <c r="A69" s="10" t="str">
        <f t="shared" si="50"/>
        <v>70317031</v>
      </c>
      <c r="B69" s="2">
        <f t="shared" ref="B69:C69" si="51">B68+1</f>
        <v>7031</v>
      </c>
      <c r="C69" s="2">
        <f t="shared" si="51"/>
        <v>7031</v>
      </c>
      <c r="D69" s="52" t="str">
        <f>IFERROR(VLOOKUP(C69,gachas!A:C,3),0)</f>
        <v>新初心者パック赤＜日本神話2in＞</v>
      </c>
      <c r="E69" s="42" t="s">
        <v>2632</v>
      </c>
      <c r="F69" s="42" t="s">
        <v>3181</v>
      </c>
      <c r="G69" s="60">
        <v>7017</v>
      </c>
      <c r="H69" s="6">
        <v>3</v>
      </c>
    </row>
    <row r="70" spans="1:8" ht="21" customHeight="1" x14ac:dyDescent="0.15">
      <c r="A70" s="10" t="str">
        <f t="shared" si="50"/>
        <v>70327032</v>
      </c>
      <c r="B70" s="2">
        <f t="shared" ref="B70:C70" si="52">B69+1</f>
        <v>7032</v>
      </c>
      <c r="C70" s="2">
        <f t="shared" si="52"/>
        <v>7032</v>
      </c>
      <c r="D70" s="52" t="str">
        <f>IFERROR(VLOOKUP(C70,gachas!A:C,3),0)</f>
        <v>新初心者パック青＜日本神話2in＞</v>
      </c>
      <c r="E70" s="42" t="s">
        <v>2632</v>
      </c>
      <c r="F70" s="42" t="s">
        <v>3181</v>
      </c>
      <c r="G70" s="60">
        <v>7016</v>
      </c>
      <c r="H70" s="6">
        <v>3</v>
      </c>
    </row>
    <row r="71" spans="1:8" ht="21" customHeight="1" x14ac:dyDescent="0.15">
      <c r="A71" s="10" t="str">
        <f t="shared" si="50"/>
        <v>70337033</v>
      </c>
      <c r="B71" s="2">
        <f t="shared" ref="B71:C71" si="53">B70+1</f>
        <v>7033</v>
      </c>
      <c r="C71" s="2">
        <f t="shared" si="53"/>
        <v>7033</v>
      </c>
      <c r="D71" s="52" t="str">
        <f>IFERROR(VLOOKUP(C71,gachas!A:C,3),0)</f>
        <v>新初心者パック緑＜日本神話2in＞</v>
      </c>
      <c r="E71" s="42" t="s">
        <v>2632</v>
      </c>
      <c r="F71" s="42" t="s">
        <v>3181</v>
      </c>
      <c r="G71" s="60">
        <v>7015</v>
      </c>
      <c r="H71" s="6">
        <v>3</v>
      </c>
    </row>
    <row r="72" spans="1:8" ht="21" customHeight="1" x14ac:dyDescent="0.15">
      <c r="A72" s="10" t="str">
        <f t="shared" si="50"/>
        <v>70347034</v>
      </c>
      <c r="B72" s="2">
        <f t="shared" ref="B72:C73" si="54">B71+1</f>
        <v>7034</v>
      </c>
      <c r="C72" s="2">
        <f t="shared" si="54"/>
        <v>7034</v>
      </c>
      <c r="D72" s="52" t="str">
        <f>IFERROR(VLOOKUP(C72,gachas!A:C,3),0)</f>
        <v>新初心者パック黄＜日本神話2in＞</v>
      </c>
      <c r="E72" s="42" t="s">
        <v>2632</v>
      </c>
      <c r="F72" s="42" t="s">
        <v>3181</v>
      </c>
      <c r="G72" s="60">
        <v>7014</v>
      </c>
      <c r="H72" s="6">
        <v>3</v>
      </c>
    </row>
    <row r="73" spans="1:8" ht="21" customHeight="1" x14ac:dyDescent="0.15">
      <c r="A73" s="10" t="str">
        <f t="shared" ref="A73:A77" si="55">B73&amp;C73</f>
        <v>70357035</v>
      </c>
      <c r="B73" s="2">
        <f t="shared" si="54"/>
        <v>7035</v>
      </c>
      <c r="C73" s="2">
        <f t="shared" si="54"/>
        <v>7035</v>
      </c>
      <c r="D73" s="52" t="str">
        <f>IFERROR(VLOOKUP(C73,gachas!A:C,3),0)</f>
        <v>新初心者パック★6＜童話in＞</v>
      </c>
      <c r="E73" s="42" t="s">
        <v>3180</v>
      </c>
      <c r="F73" s="105" t="s">
        <v>1131</v>
      </c>
      <c r="G73" s="60">
        <v>7018</v>
      </c>
      <c r="H73" s="6">
        <v>3</v>
      </c>
    </row>
    <row r="74" spans="1:8" ht="21" customHeight="1" x14ac:dyDescent="0.15">
      <c r="A74" s="10" t="str">
        <f t="shared" si="55"/>
        <v>70367036</v>
      </c>
      <c r="B74" s="2">
        <f t="shared" ref="B74:C74" si="56">B73+1</f>
        <v>7036</v>
      </c>
      <c r="C74" s="2">
        <f t="shared" si="56"/>
        <v>7036</v>
      </c>
      <c r="D74" s="52" t="str">
        <f>IFERROR(VLOOKUP(C74,gachas!A:C,3),0)</f>
        <v>新初心者パック赤＜童話in＞</v>
      </c>
      <c r="E74" s="42" t="s">
        <v>3180</v>
      </c>
      <c r="F74" s="105" t="s">
        <v>1131</v>
      </c>
      <c r="G74" s="60">
        <v>7017</v>
      </c>
      <c r="H74" s="6">
        <v>3</v>
      </c>
    </row>
    <row r="75" spans="1:8" ht="21" customHeight="1" x14ac:dyDescent="0.15">
      <c r="A75" s="10" t="str">
        <f t="shared" si="55"/>
        <v>70377037</v>
      </c>
      <c r="B75" s="2">
        <f t="shared" ref="B75:C75" si="57">B74+1</f>
        <v>7037</v>
      </c>
      <c r="C75" s="2">
        <f t="shared" si="57"/>
        <v>7037</v>
      </c>
      <c r="D75" s="52" t="str">
        <f>IFERROR(VLOOKUP(C75,gachas!A:C,3),0)</f>
        <v>新初心者パック青＜童話in＞</v>
      </c>
      <c r="E75" s="42" t="s">
        <v>3180</v>
      </c>
      <c r="F75" s="105" t="s">
        <v>1131</v>
      </c>
      <c r="G75" s="60">
        <v>7016</v>
      </c>
      <c r="H75" s="6">
        <v>3</v>
      </c>
    </row>
    <row r="76" spans="1:8" ht="21" customHeight="1" x14ac:dyDescent="0.15">
      <c r="A76" s="10" t="str">
        <f t="shared" si="55"/>
        <v>70387038</v>
      </c>
      <c r="B76" s="2">
        <f t="shared" ref="B76:C76" si="58">B75+1</f>
        <v>7038</v>
      </c>
      <c r="C76" s="2">
        <f t="shared" si="58"/>
        <v>7038</v>
      </c>
      <c r="D76" s="52" t="str">
        <f>IFERROR(VLOOKUP(C76,gachas!A:C,3),0)</f>
        <v>新初心者パック緑＜童話in＞</v>
      </c>
      <c r="E76" s="42" t="s">
        <v>3180</v>
      </c>
      <c r="F76" s="105" t="s">
        <v>1131</v>
      </c>
      <c r="G76" s="60">
        <v>7015</v>
      </c>
      <c r="H76" s="6">
        <v>3</v>
      </c>
    </row>
    <row r="77" spans="1:8" ht="21" customHeight="1" x14ac:dyDescent="0.15">
      <c r="A77" s="10" t="str">
        <f t="shared" si="55"/>
        <v>70397039</v>
      </c>
      <c r="B77" s="2">
        <f t="shared" ref="B77:C77" si="59">B76+1</f>
        <v>7039</v>
      </c>
      <c r="C77" s="2">
        <f t="shared" si="59"/>
        <v>7039</v>
      </c>
      <c r="D77" s="52" t="str">
        <f>IFERROR(VLOOKUP(C77,gachas!A:C,3),0)</f>
        <v>新初心者パック黄＜童話in＞</v>
      </c>
      <c r="E77" s="42" t="s">
        <v>3180</v>
      </c>
      <c r="F77" s="105" t="s">
        <v>1131</v>
      </c>
      <c r="G77" s="60">
        <v>7014</v>
      </c>
      <c r="H77" s="6">
        <v>3</v>
      </c>
    </row>
    <row r="78" spans="1:8" ht="21" customHeight="1" x14ac:dyDescent="0.15">
      <c r="A78" s="10" t="str">
        <f t="shared" ref="A78:A79" si="60">B78&amp;C78</f>
        <v>71007100</v>
      </c>
      <c r="B78" s="2">
        <v>7100</v>
      </c>
      <c r="C78" s="2">
        <v>7100</v>
      </c>
      <c r="D78" s="52" t="str">
        <f>IFERROR(VLOOKUP(C78,gachas!A:C,3),0)</f>
        <v>中級者チケットガチャ</v>
      </c>
      <c r="E78" s="42" t="s">
        <v>785</v>
      </c>
      <c r="F78" s="55" t="s">
        <v>828</v>
      </c>
      <c r="G78" s="24">
        <v>7100</v>
      </c>
      <c r="H78" s="6">
        <v>2</v>
      </c>
    </row>
    <row r="79" spans="1:8" ht="21" customHeight="1" x14ac:dyDescent="0.15">
      <c r="A79" s="10" t="str">
        <f t="shared" si="60"/>
        <v>71017101</v>
      </c>
      <c r="B79" s="2">
        <f t="shared" ref="B79:C89" si="61">B78+1</f>
        <v>7101</v>
      </c>
      <c r="C79" s="2">
        <f t="shared" si="61"/>
        <v>7101</v>
      </c>
      <c r="D79" s="52" t="str">
        <f>IFERROR(VLOOKUP(C79,gachas!A:C,3),0)</f>
        <v>中級者チケットガチャ&lt;天使in&gt;</v>
      </c>
      <c r="E79" s="42" t="s">
        <v>829</v>
      </c>
      <c r="F79" s="55" t="s">
        <v>847</v>
      </c>
      <c r="G79" s="24">
        <v>7100</v>
      </c>
      <c r="H79" s="6">
        <v>2</v>
      </c>
    </row>
    <row r="80" spans="1:8" ht="21" customHeight="1" x14ac:dyDescent="0.15">
      <c r="A80" s="10" t="str">
        <f t="shared" si="0"/>
        <v>71027102</v>
      </c>
      <c r="B80" s="2">
        <f t="shared" si="61"/>
        <v>7102</v>
      </c>
      <c r="C80" s="2">
        <f t="shared" si="61"/>
        <v>7102</v>
      </c>
      <c r="D80" s="52" t="str">
        <f>IFERROR(VLOOKUP(C80,gachas!A:C,3),0)</f>
        <v>中級者チケットガチャ&lt;八咫ヘングレin&gt;</v>
      </c>
      <c r="E80" s="42" t="s">
        <v>846</v>
      </c>
      <c r="F80" s="55" t="s">
        <v>893</v>
      </c>
      <c r="G80" s="24">
        <v>7100</v>
      </c>
      <c r="H80" s="6">
        <v>2</v>
      </c>
    </row>
    <row r="81" spans="1:8" ht="21" customHeight="1" x14ac:dyDescent="0.15">
      <c r="A81" s="10" t="str">
        <f t="shared" ref="A81" si="62">B81&amp;C81</f>
        <v>71037103</v>
      </c>
      <c r="B81" s="2">
        <f t="shared" si="61"/>
        <v>7103</v>
      </c>
      <c r="C81" s="2">
        <f t="shared" si="61"/>
        <v>7103</v>
      </c>
      <c r="D81" s="52" t="str">
        <f>IFERROR(VLOOKUP(C81,gachas!A:C,3),0)</f>
        <v>中級者チケットガチャ&lt;グリム2in&gt;</v>
      </c>
      <c r="E81" s="42" t="s">
        <v>894</v>
      </c>
      <c r="F81" s="55" t="s">
        <v>920</v>
      </c>
      <c r="G81" s="24">
        <v>7100</v>
      </c>
      <c r="H81" s="6">
        <v>2</v>
      </c>
    </row>
    <row r="82" spans="1:8" ht="21" customHeight="1" x14ac:dyDescent="0.15">
      <c r="A82" s="10" t="str">
        <f t="shared" ref="A82" si="63">B82&amp;C82</f>
        <v>71047104</v>
      </c>
      <c r="B82" s="2">
        <f t="shared" si="61"/>
        <v>7104</v>
      </c>
      <c r="C82" s="2">
        <f t="shared" si="61"/>
        <v>7104</v>
      </c>
      <c r="D82" s="52" t="str">
        <f>IFERROR(VLOOKUP(C82,gachas!A:C,3),0)</f>
        <v>中級者チケットガチャ&lt;D.R.T.H.、モルドレッドin&gt;</v>
      </c>
      <c r="E82" s="42" t="s">
        <v>915</v>
      </c>
      <c r="F82" s="55" t="s">
        <v>1047</v>
      </c>
      <c r="G82" s="24">
        <v>7100</v>
      </c>
      <c r="H82" s="6">
        <v>2</v>
      </c>
    </row>
    <row r="83" spans="1:8" ht="21" customHeight="1" x14ac:dyDescent="0.15">
      <c r="A83" s="10" t="str">
        <f t="shared" ref="A83" si="64">B83&amp;C83</f>
        <v>71057105</v>
      </c>
      <c r="B83" s="2">
        <f t="shared" si="61"/>
        <v>7105</v>
      </c>
      <c r="C83" s="2">
        <f t="shared" si="61"/>
        <v>7105</v>
      </c>
      <c r="D83" s="52" t="str">
        <f>IFERROR(VLOOKUP(C83,gachas!A:C,3),0)</f>
        <v>中級者チケットガチャ&lt;ペロー、ハーメルン&gt;</v>
      </c>
      <c r="E83" s="42" t="s">
        <v>1016</v>
      </c>
      <c r="F83" s="55" t="s">
        <v>1088</v>
      </c>
      <c r="G83" s="24">
        <v>7100</v>
      </c>
      <c r="H83" s="6">
        <v>2</v>
      </c>
    </row>
    <row r="84" spans="1:8" ht="21" customHeight="1" x14ac:dyDescent="0.15">
      <c r="A84" s="10" t="str">
        <f t="shared" ref="A84" si="65">B84&amp;C84</f>
        <v>71067106</v>
      </c>
      <c r="B84" s="2">
        <f t="shared" si="61"/>
        <v>7106</v>
      </c>
      <c r="C84" s="2">
        <f t="shared" si="61"/>
        <v>7106</v>
      </c>
      <c r="D84" s="52" t="str">
        <f>IFERROR(VLOOKUP(C84,gachas!A:C,3),0)</f>
        <v>中級者チケットガチャ&lt;アポロン、ヘルメス&gt;</v>
      </c>
      <c r="E84" s="42" t="s">
        <v>1091</v>
      </c>
      <c r="F84" s="105" t="s">
        <v>1170</v>
      </c>
      <c r="G84" s="24">
        <v>7100</v>
      </c>
      <c r="H84" s="6">
        <v>2</v>
      </c>
    </row>
    <row r="85" spans="1:8" ht="21" customHeight="1" x14ac:dyDescent="0.15">
      <c r="A85" s="10" t="str">
        <f t="shared" ref="A85" si="66">B85&amp;C85</f>
        <v>71077107</v>
      </c>
      <c r="B85" s="2">
        <f t="shared" si="61"/>
        <v>7107</v>
      </c>
      <c r="C85" s="2">
        <f t="shared" si="61"/>
        <v>7107</v>
      </c>
      <c r="D85" s="52" t="str">
        <f>IFERROR(VLOOKUP(C85,gachas!A:C,3),0)</f>
        <v>中級者チケットガチャ&lt;フランスin&gt;</v>
      </c>
      <c r="E85" s="42" t="s">
        <v>1166</v>
      </c>
      <c r="F85" s="105" t="s">
        <v>1282</v>
      </c>
      <c r="G85" s="24">
        <v>7100</v>
      </c>
      <c r="H85" s="6">
        <v>2</v>
      </c>
    </row>
    <row r="86" spans="1:8" ht="21" customHeight="1" x14ac:dyDescent="0.15">
      <c r="A86" s="10" t="str">
        <f t="shared" ref="A86" si="67">B86&amp;C86</f>
        <v>71087108</v>
      </c>
      <c r="B86" s="2">
        <f t="shared" si="61"/>
        <v>7108</v>
      </c>
      <c r="C86" s="2">
        <f t="shared" si="61"/>
        <v>7108</v>
      </c>
      <c r="D86" s="52" t="str">
        <f>IFERROR(VLOOKUP(C86,gachas!A:C,3),0)</f>
        <v>中級者チケットガチャ&lt;クルミ、フウガ、ラプ、フレイヤin&gt;</v>
      </c>
      <c r="E86" s="42" t="s">
        <v>1283</v>
      </c>
      <c r="F86" s="55" t="s">
        <v>1307</v>
      </c>
      <c r="G86" s="24">
        <v>7100</v>
      </c>
      <c r="H86" s="6">
        <v>2</v>
      </c>
    </row>
    <row r="87" spans="1:8" ht="21" customHeight="1" x14ac:dyDescent="0.15">
      <c r="A87" s="10" t="str">
        <f t="shared" ref="A87" si="68">B87&amp;C87</f>
        <v>71097109</v>
      </c>
      <c r="B87" s="2">
        <f t="shared" si="61"/>
        <v>7109</v>
      </c>
      <c r="C87" s="2">
        <f t="shared" si="61"/>
        <v>7109</v>
      </c>
      <c r="D87" s="52" t="str">
        <f>IFERROR(VLOOKUP(C87,gachas!A:C,3),0)</f>
        <v>中級者チケットガチャ&lt;近藤、ランスロットin&gt;</v>
      </c>
      <c r="E87" s="42" t="s">
        <v>1303</v>
      </c>
      <c r="F87" s="55" t="s">
        <v>1308</v>
      </c>
      <c r="G87" s="24">
        <v>7100</v>
      </c>
      <c r="H87" s="6">
        <v>2</v>
      </c>
    </row>
    <row r="88" spans="1:8" ht="21" customHeight="1" x14ac:dyDescent="0.15">
      <c r="A88" s="10" t="str">
        <f t="shared" ref="A88" si="69">B88&amp;C88</f>
        <v>71107110</v>
      </c>
      <c r="B88" s="2">
        <f t="shared" si="61"/>
        <v>7110</v>
      </c>
      <c r="C88" s="2">
        <f t="shared" si="61"/>
        <v>7110</v>
      </c>
      <c r="D88" s="52" t="str">
        <f>IFERROR(VLOOKUP(C88,gachas!A:C,3),0)</f>
        <v>中級者チケットガチャ&lt;エジプトin&gt;</v>
      </c>
      <c r="E88" s="42" t="s">
        <v>1305</v>
      </c>
      <c r="F88" s="55" t="s">
        <v>1357</v>
      </c>
      <c r="G88" s="24">
        <v>7100</v>
      </c>
      <c r="H88" s="6">
        <v>2</v>
      </c>
    </row>
    <row r="89" spans="1:8" ht="21" customHeight="1" x14ac:dyDescent="0.15">
      <c r="A89" s="10" t="str">
        <f t="shared" ref="A89" si="70">B89&amp;C89</f>
        <v>71117111</v>
      </c>
      <c r="B89" s="2">
        <f t="shared" si="61"/>
        <v>7111</v>
      </c>
      <c r="C89" s="2">
        <f t="shared" si="61"/>
        <v>7111</v>
      </c>
      <c r="D89" s="52" t="str">
        <f>IFERROR(VLOOKUP(C89,gachas!A:C,3),0)</f>
        <v>中級者チケットガチャ&lt;ヴィシュヌ、サラスヴァティin&gt;</v>
      </c>
      <c r="E89" s="42" t="s">
        <v>1356</v>
      </c>
      <c r="F89" s="55" t="s">
        <v>1380</v>
      </c>
      <c r="G89" s="24">
        <v>7100</v>
      </c>
      <c r="H89" s="6">
        <v>2</v>
      </c>
    </row>
    <row r="90" spans="1:8" ht="21" customHeight="1" x14ac:dyDescent="0.15">
      <c r="A90" s="10" t="str">
        <f t="shared" ref="A90" si="71">B90&amp;C90</f>
        <v>71127112</v>
      </c>
      <c r="B90" s="2">
        <f t="shared" ref="B90:C92" si="72">B89+1</f>
        <v>7112</v>
      </c>
      <c r="C90" s="2">
        <f t="shared" si="72"/>
        <v>7112</v>
      </c>
      <c r="D90" s="52" t="str">
        <f>IFERROR(VLOOKUP(C90,gachas!A:C,3),0)</f>
        <v>中級者チケットガチャ&lt;ハヅル、イナバin&gt;</v>
      </c>
      <c r="E90" s="42" t="s">
        <v>1381</v>
      </c>
      <c r="F90" s="55" t="s">
        <v>1412</v>
      </c>
      <c r="G90" s="24">
        <v>7100</v>
      </c>
      <c r="H90" s="6">
        <v>2</v>
      </c>
    </row>
    <row r="91" spans="1:8" ht="21" customHeight="1" x14ac:dyDescent="0.15">
      <c r="A91" s="10" t="str">
        <f t="shared" ref="A91" si="73">B91&amp;C91</f>
        <v>71137113</v>
      </c>
      <c r="B91" s="2">
        <f t="shared" si="72"/>
        <v>7113</v>
      </c>
      <c r="C91" s="2">
        <f t="shared" si="72"/>
        <v>7113</v>
      </c>
      <c r="D91" s="52" t="str">
        <f>IFERROR(VLOOKUP(C91,gachas!A:C,3),0)</f>
        <v>中級者チケットガチャ&lt;平安in&gt;</v>
      </c>
      <c r="E91" s="42" t="s">
        <v>1413</v>
      </c>
      <c r="F91" s="55" t="s">
        <v>1487</v>
      </c>
      <c r="G91" s="24">
        <v>7100</v>
      </c>
      <c r="H91" s="6">
        <v>2</v>
      </c>
    </row>
    <row r="92" spans="1:8" ht="21" customHeight="1" x14ac:dyDescent="0.15">
      <c r="A92" s="10" t="str">
        <f t="shared" ref="A92" si="74">B92&amp;C92</f>
        <v>71147114</v>
      </c>
      <c r="B92" s="2">
        <f t="shared" si="72"/>
        <v>7114</v>
      </c>
      <c r="C92" s="2">
        <f t="shared" si="72"/>
        <v>7114</v>
      </c>
      <c r="D92" s="52" t="str">
        <f>IFERROR(VLOOKUP(C92,gachas!A:C,3),0)</f>
        <v>中級者チケットガチャ&lt;メソポタミアin&gt;</v>
      </c>
      <c r="E92" s="42" t="s">
        <v>1488</v>
      </c>
      <c r="F92" s="55" t="s">
        <v>1492</v>
      </c>
      <c r="G92" s="24">
        <v>7100</v>
      </c>
      <c r="H92" s="6">
        <v>2</v>
      </c>
    </row>
    <row r="93" spans="1:8" ht="21" customHeight="1" x14ac:dyDescent="0.15">
      <c r="A93" s="10" t="str">
        <f t="shared" ref="A93" si="75">B93&amp;C93</f>
        <v>71157115</v>
      </c>
      <c r="B93" s="2">
        <f t="shared" ref="B93:B107" si="76">B92+1</f>
        <v>7115</v>
      </c>
      <c r="C93" s="2">
        <f t="shared" ref="C93:C107" si="77">C92+1</f>
        <v>7115</v>
      </c>
      <c r="D93" s="52" t="str">
        <f>IFERROR(VLOOKUP(C93,gachas!A:C,3),0)</f>
        <v>中級者チケットガチャ&lt;アルフヘイムin&gt;</v>
      </c>
      <c r="E93" s="42" t="s">
        <v>1491</v>
      </c>
      <c r="F93" s="55" t="s">
        <v>1500</v>
      </c>
      <c r="G93" s="24">
        <v>7100</v>
      </c>
      <c r="H93" s="6">
        <v>2</v>
      </c>
    </row>
    <row r="94" spans="1:8" ht="21" customHeight="1" x14ac:dyDescent="0.15">
      <c r="A94" s="10" t="str">
        <f t="shared" ref="A94" si="78">B94&amp;C94</f>
        <v>71167116</v>
      </c>
      <c r="B94" s="2">
        <f t="shared" si="76"/>
        <v>7116</v>
      </c>
      <c r="C94" s="2">
        <f t="shared" si="77"/>
        <v>7116</v>
      </c>
      <c r="D94" s="52" t="str">
        <f>IFERROR(VLOOKUP(C94,gachas!A:C,3),0)</f>
        <v>中級者チケットガチャ&lt;ドライグin&gt;</v>
      </c>
      <c r="E94" s="42" t="s">
        <v>1501</v>
      </c>
      <c r="F94" s="42" t="s">
        <v>1530</v>
      </c>
      <c r="G94" s="24">
        <v>7100</v>
      </c>
      <c r="H94" s="6">
        <v>2</v>
      </c>
    </row>
    <row r="95" spans="1:8" ht="21" customHeight="1" x14ac:dyDescent="0.15">
      <c r="A95" s="10" t="str">
        <f t="shared" ref="A95" si="79">B95&amp;C95</f>
        <v>71177117</v>
      </c>
      <c r="B95" s="2">
        <f t="shared" si="76"/>
        <v>7117</v>
      </c>
      <c r="C95" s="2">
        <f t="shared" si="77"/>
        <v>7117</v>
      </c>
      <c r="D95" s="52" t="str">
        <f>IFERROR(VLOOKUP(C95,gachas!A:C,3),0)</f>
        <v>中級者チケットガチャ&lt;画家in&gt;</v>
      </c>
      <c r="E95" s="42" t="s">
        <v>1522</v>
      </c>
      <c r="F95" s="55" t="s">
        <v>1689</v>
      </c>
      <c r="G95" s="24">
        <v>7100</v>
      </c>
      <c r="H95" s="6">
        <v>2</v>
      </c>
    </row>
    <row r="96" spans="1:8" ht="21" customHeight="1" x14ac:dyDescent="0.15">
      <c r="A96" s="10" t="str">
        <f t="shared" ref="A96" si="80">B96&amp;C96</f>
        <v>71187118</v>
      </c>
      <c r="B96" s="2">
        <f t="shared" si="76"/>
        <v>7118</v>
      </c>
      <c r="C96" s="2">
        <f t="shared" si="77"/>
        <v>7118</v>
      </c>
      <c r="D96" s="52" t="str">
        <f>IFERROR(VLOOKUP(C96,gachas!A:C,3),0)</f>
        <v>中級者チケットガチャ&lt;三国志in&gt;</v>
      </c>
      <c r="E96" s="42" t="s">
        <v>1677</v>
      </c>
      <c r="F96" s="55" t="s">
        <v>1760</v>
      </c>
      <c r="G96" s="24">
        <v>7100</v>
      </c>
      <c r="H96" s="6">
        <v>2</v>
      </c>
    </row>
    <row r="97" spans="1:8" ht="21" customHeight="1" x14ac:dyDescent="0.15">
      <c r="A97" s="10" t="str">
        <f t="shared" ref="A97" si="81">B97&amp;C97</f>
        <v>71197119</v>
      </c>
      <c r="B97" s="2">
        <f t="shared" si="76"/>
        <v>7119</v>
      </c>
      <c r="C97" s="2">
        <f t="shared" si="77"/>
        <v>7119</v>
      </c>
      <c r="D97" s="52" t="str">
        <f>IFERROR(VLOOKUP(C97,gachas!A:C,3),0)</f>
        <v>中級者チケットガチャ&lt;インド第2弾in&gt;</v>
      </c>
      <c r="E97" s="42" t="s">
        <v>1761</v>
      </c>
      <c r="F97" s="42" t="s">
        <v>1931</v>
      </c>
      <c r="G97" s="24">
        <v>7100</v>
      </c>
      <c r="H97" s="6">
        <v>2</v>
      </c>
    </row>
    <row r="98" spans="1:8" ht="21" customHeight="1" x14ac:dyDescent="0.15">
      <c r="A98" s="10" t="str">
        <f t="shared" ref="A98" si="82">B98&amp;C98</f>
        <v>71207120</v>
      </c>
      <c r="B98" s="2">
        <f t="shared" si="76"/>
        <v>7120</v>
      </c>
      <c r="C98" s="2">
        <f t="shared" si="77"/>
        <v>7120</v>
      </c>
      <c r="D98" s="52" t="str">
        <f>IFERROR(VLOOKUP(C98,gachas!A:C,3),0)</f>
        <v>中級者チケットガチャ&lt;ギリシャ神話第2弾in&gt;</v>
      </c>
      <c r="E98" s="42" t="s">
        <v>1901</v>
      </c>
      <c r="F98" s="42" t="s">
        <v>2013</v>
      </c>
      <c r="G98" s="24">
        <v>7100</v>
      </c>
      <c r="H98" s="6">
        <v>2</v>
      </c>
    </row>
    <row r="99" spans="1:8" ht="21" customHeight="1" x14ac:dyDescent="0.15">
      <c r="A99" s="10" t="str">
        <f t="shared" ref="A99:A102" si="83">B99&amp;C99</f>
        <v>71217121</v>
      </c>
      <c r="B99" s="2">
        <f t="shared" si="76"/>
        <v>7121</v>
      </c>
      <c r="C99" s="2">
        <f t="shared" si="77"/>
        <v>7121</v>
      </c>
      <c r="D99" s="52" t="str">
        <f>IFERROR(VLOOKUP(C99,gachas!A:C,3),0)</f>
        <v>赤属性選抜ガチャ＜リリース＞</v>
      </c>
      <c r="E99" s="42" t="s">
        <v>2120</v>
      </c>
      <c r="F99" s="105" t="s">
        <v>1930</v>
      </c>
      <c r="G99" s="60">
        <v>7124</v>
      </c>
      <c r="H99" s="6">
        <v>2</v>
      </c>
    </row>
    <row r="100" spans="1:8" ht="21" customHeight="1" x14ac:dyDescent="0.15">
      <c r="A100" s="10" t="str">
        <f t="shared" si="83"/>
        <v>71227122</v>
      </c>
      <c r="B100" s="2">
        <f t="shared" si="76"/>
        <v>7122</v>
      </c>
      <c r="C100" s="2">
        <f t="shared" si="77"/>
        <v>7122</v>
      </c>
      <c r="D100" s="52" t="str">
        <f>IFERROR(VLOOKUP(C100,gachas!A:C,3),0)</f>
        <v>青属性選抜ガチャ＜リリース＞</v>
      </c>
      <c r="E100" s="42" t="s">
        <v>2120</v>
      </c>
      <c r="F100" s="105" t="s">
        <v>1930</v>
      </c>
      <c r="G100" s="60">
        <v>7123</v>
      </c>
      <c r="H100" s="6">
        <v>2</v>
      </c>
    </row>
    <row r="101" spans="1:8" ht="21" customHeight="1" x14ac:dyDescent="0.15">
      <c r="A101" s="10" t="str">
        <f t="shared" si="83"/>
        <v>71237123</v>
      </c>
      <c r="B101" s="2">
        <f t="shared" si="76"/>
        <v>7123</v>
      </c>
      <c r="C101" s="2">
        <f t="shared" si="77"/>
        <v>7123</v>
      </c>
      <c r="D101" s="52" t="str">
        <f>IFERROR(VLOOKUP(C101,gachas!A:C,3),0)</f>
        <v>緑属性選抜ガチャ＜リリース＞</v>
      </c>
      <c r="E101" s="42" t="s">
        <v>2120</v>
      </c>
      <c r="F101" s="105" t="s">
        <v>1930</v>
      </c>
      <c r="G101" s="60">
        <v>7122</v>
      </c>
      <c r="H101" s="6">
        <v>2</v>
      </c>
    </row>
    <row r="102" spans="1:8" ht="21" customHeight="1" x14ac:dyDescent="0.15">
      <c r="A102" s="10" t="str">
        <f t="shared" si="83"/>
        <v>71247124</v>
      </c>
      <c r="B102" s="2">
        <f t="shared" si="76"/>
        <v>7124</v>
      </c>
      <c r="C102" s="2">
        <f t="shared" si="77"/>
        <v>7124</v>
      </c>
      <c r="D102" s="52" t="str">
        <f>IFERROR(VLOOKUP(C102,gachas!A:C,3),0)</f>
        <v>黄属性選抜ガチャ＜リリース＞</v>
      </c>
      <c r="E102" s="42" t="s">
        <v>2120</v>
      </c>
      <c r="F102" s="105" t="s">
        <v>1930</v>
      </c>
      <c r="G102" s="60">
        <v>7121</v>
      </c>
      <c r="H102" s="6">
        <v>2</v>
      </c>
    </row>
    <row r="103" spans="1:8" ht="21" customHeight="1" x14ac:dyDescent="0.15">
      <c r="A103" s="10" t="str">
        <f t="shared" ref="A103:A107" si="84">B103&amp;C103</f>
        <v>71257125</v>
      </c>
      <c r="B103" s="2">
        <f t="shared" si="76"/>
        <v>7125</v>
      </c>
      <c r="C103" s="2">
        <f t="shared" si="77"/>
        <v>7125</v>
      </c>
      <c r="D103" s="52" t="str">
        <f>IFERROR(VLOOKUP(C103,gachas!A:C,3),0)</f>
        <v>中級者チケットガチャ&lt;文豪in&gt;</v>
      </c>
      <c r="E103" s="42" t="s">
        <v>2014</v>
      </c>
      <c r="F103" s="105" t="s">
        <v>1131</v>
      </c>
      <c r="G103" s="24">
        <v>7100</v>
      </c>
      <c r="H103" s="6">
        <v>2</v>
      </c>
    </row>
    <row r="104" spans="1:8" ht="21" customHeight="1" x14ac:dyDescent="0.15">
      <c r="A104" s="10" t="str">
        <f t="shared" si="84"/>
        <v>71267126</v>
      </c>
      <c r="B104" s="2">
        <f t="shared" si="76"/>
        <v>7126</v>
      </c>
      <c r="C104" s="2">
        <f t="shared" si="77"/>
        <v>7126</v>
      </c>
      <c r="D104" s="52" t="str">
        <f>IFERROR(VLOOKUP(C104,gachas!A:C,3),0)</f>
        <v>赤属性選抜ガチャ＜第二弾＞</v>
      </c>
      <c r="E104" s="42" t="s">
        <v>3209</v>
      </c>
      <c r="F104" s="105" t="s">
        <v>1131</v>
      </c>
      <c r="G104" s="60">
        <v>7129</v>
      </c>
      <c r="H104" s="6">
        <v>2</v>
      </c>
    </row>
    <row r="105" spans="1:8" ht="21" customHeight="1" x14ac:dyDescent="0.15">
      <c r="A105" s="10" t="str">
        <f t="shared" si="84"/>
        <v>71277127</v>
      </c>
      <c r="B105" s="2">
        <f t="shared" si="76"/>
        <v>7127</v>
      </c>
      <c r="C105" s="2">
        <f t="shared" si="77"/>
        <v>7127</v>
      </c>
      <c r="D105" s="52" t="str">
        <f>IFERROR(VLOOKUP(C105,gachas!A:C,3),0)</f>
        <v>青属性選抜ガチャ＜第二弾＞</v>
      </c>
      <c r="E105" s="42" t="s">
        <v>3209</v>
      </c>
      <c r="F105" s="105" t="s">
        <v>1131</v>
      </c>
      <c r="G105" s="60">
        <v>7128</v>
      </c>
      <c r="H105" s="6">
        <v>2</v>
      </c>
    </row>
    <row r="106" spans="1:8" ht="21" customHeight="1" x14ac:dyDescent="0.15">
      <c r="A106" s="10" t="str">
        <f t="shared" si="84"/>
        <v>71287128</v>
      </c>
      <c r="B106" s="2">
        <f t="shared" si="76"/>
        <v>7128</v>
      </c>
      <c r="C106" s="2">
        <f t="shared" si="77"/>
        <v>7128</v>
      </c>
      <c r="D106" s="52" t="str">
        <f>IFERROR(VLOOKUP(C106,gachas!A:C,3),0)</f>
        <v>緑属性選抜ガチャ＜第二弾＞</v>
      </c>
      <c r="E106" s="42" t="s">
        <v>3209</v>
      </c>
      <c r="F106" s="105" t="s">
        <v>1131</v>
      </c>
      <c r="G106" s="60">
        <v>7127</v>
      </c>
      <c r="H106" s="6">
        <v>2</v>
      </c>
    </row>
    <row r="107" spans="1:8" ht="21" customHeight="1" x14ac:dyDescent="0.15">
      <c r="A107" s="10" t="str">
        <f t="shared" si="84"/>
        <v>71297129</v>
      </c>
      <c r="B107" s="2">
        <f t="shared" si="76"/>
        <v>7129</v>
      </c>
      <c r="C107" s="2">
        <f t="shared" si="77"/>
        <v>7129</v>
      </c>
      <c r="D107" s="52" t="str">
        <f>IFERROR(VLOOKUP(C107,gachas!A:C,3),0)</f>
        <v>黄属性選抜ガチャ＜第二弾＞</v>
      </c>
      <c r="E107" s="42" t="s">
        <v>3209</v>
      </c>
      <c r="F107" s="105" t="s">
        <v>1131</v>
      </c>
      <c r="G107" s="60">
        <v>7126</v>
      </c>
      <c r="H107" s="6">
        <v>2</v>
      </c>
    </row>
    <row r="108" spans="1:8" ht="21" customHeight="1" x14ac:dyDescent="0.15">
      <c r="A108" s="10" t="str">
        <f t="shared" si="0"/>
        <v>72007200</v>
      </c>
      <c r="B108" s="2">
        <v>7200</v>
      </c>
      <c r="C108" s="2">
        <v>7200</v>
      </c>
      <c r="D108" s="52" t="str">
        <f>IFERROR(VLOOKUP(C108,gachas!A:C,3),0)</f>
        <v>超お得チケットガチャ</v>
      </c>
      <c r="E108" s="42" t="s">
        <v>785</v>
      </c>
      <c r="F108" s="55" t="s">
        <v>828</v>
      </c>
      <c r="G108" s="24">
        <v>7200</v>
      </c>
      <c r="H108" s="6">
        <v>1</v>
      </c>
    </row>
    <row r="109" spans="1:8" ht="21" customHeight="1" x14ac:dyDescent="0.15">
      <c r="A109" s="10" t="str">
        <f t="shared" si="0"/>
        <v>72017201</v>
      </c>
      <c r="B109" s="2">
        <f t="shared" ref="B109:C119" si="85">B108+1</f>
        <v>7201</v>
      </c>
      <c r="C109" s="2">
        <f t="shared" si="85"/>
        <v>7201</v>
      </c>
      <c r="D109" s="52" t="str">
        <f>IFERROR(VLOOKUP(C109,gachas!A:C,3),0)</f>
        <v>超お得チケットガチャ&lt;天使in&gt;</v>
      </c>
      <c r="E109" s="42" t="s">
        <v>829</v>
      </c>
      <c r="F109" s="55" t="s">
        <v>848</v>
      </c>
      <c r="G109" s="24">
        <v>7200</v>
      </c>
      <c r="H109" s="6">
        <v>1</v>
      </c>
    </row>
    <row r="110" spans="1:8" ht="21" customHeight="1" x14ac:dyDescent="0.15">
      <c r="A110" s="10" t="str">
        <f t="shared" ref="A110" si="86">B110&amp;C110</f>
        <v>72027202</v>
      </c>
      <c r="B110" s="2">
        <f t="shared" si="85"/>
        <v>7202</v>
      </c>
      <c r="C110" s="2">
        <f t="shared" si="85"/>
        <v>7202</v>
      </c>
      <c r="D110" s="52" t="str">
        <f>IFERROR(VLOOKUP(C110,gachas!A:C,3),0)</f>
        <v>超お得チケットガチャ&lt;八咫ヘングレin&gt;</v>
      </c>
      <c r="E110" s="42" t="s">
        <v>846</v>
      </c>
      <c r="F110" s="55" t="s">
        <v>893</v>
      </c>
      <c r="G110" s="24">
        <v>7200</v>
      </c>
      <c r="H110" s="6">
        <v>1</v>
      </c>
    </row>
    <row r="111" spans="1:8" ht="21" customHeight="1" x14ac:dyDescent="0.15">
      <c r="A111" s="10" t="str">
        <f t="shared" ref="A111" si="87">B111&amp;C111</f>
        <v>72037203</v>
      </c>
      <c r="B111" s="2">
        <f t="shared" si="85"/>
        <v>7203</v>
      </c>
      <c r="C111" s="2">
        <f t="shared" si="85"/>
        <v>7203</v>
      </c>
      <c r="D111" s="52" t="str">
        <f>IFERROR(VLOOKUP(C111,gachas!A:C,3),0)</f>
        <v>超お得チケットガチャ&lt;グリム2in&gt;</v>
      </c>
      <c r="E111" s="42" t="s">
        <v>894</v>
      </c>
      <c r="F111" s="55" t="s">
        <v>920</v>
      </c>
      <c r="G111" s="24">
        <v>7200</v>
      </c>
      <c r="H111" s="6">
        <v>1</v>
      </c>
    </row>
    <row r="112" spans="1:8" ht="21" customHeight="1" x14ac:dyDescent="0.15">
      <c r="A112" s="10" t="str">
        <f t="shared" ref="A112" si="88">B112&amp;C112</f>
        <v>72047204</v>
      </c>
      <c r="B112" s="2">
        <f t="shared" si="85"/>
        <v>7204</v>
      </c>
      <c r="C112" s="2">
        <f t="shared" si="85"/>
        <v>7204</v>
      </c>
      <c r="D112" s="52" t="str">
        <f>IFERROR(VLOOKUP(C112,gachas!A:C,3),0)</f>
        <v>超お得チケットガチャ&lt;D.R.T.H.、モルドレッドin&gt;</v>
      </c>
      <c r="E112" s="42" t="s">
        <v>908</v>
      </c>
      <c r="F112" s="55" t="s">
        <v>1047</v>
      </c>
      <c r="G112" s="24">
        <v>7200</v>
      </c>
      <c r="H112" s="6">
        <v>1</v>
      </c>
    </row>
    <row r="113" spans="1:8" ht="21" customHeight="1" x14ac:dyDescent="0.15">
      <c r="A113" s="10" t="str">
        <f t="shared" ref="A113" si="89">B113&amp;C113</f>
        <v>72057205</v>
      </c>
      <c r="B113" s="2">
        <f t="shared" si="85"/>
        <v>7205</v>
      </c>
      <c r="C113" s="2">
        <f t="shared" si="85"/>
        <v>7205</v>
      </c>
      <c r="D113" s="52" t="str">
        <f>IFERROR(VLOOKUP(C113,gachas!A:C,3),0)</f>
        <v>超お得チケットガチャ&lt;ペロー、ハーメルン&gt;</v>
      </c>
      <c r="E113" s="42" t="s">
        <v>1046</v>
      </c>
      <c r="F113" s="55" t="s">
        <v>1088</v>
      </c>
      <c r="G113" s="24">
        <v>7200</v>
      </c>
      <c r="H113" s="6">
        <v>1</v>
      </c>
    </row>
    <row r="114" spans="1:8" ht="21" customHeight="1" x14ac:dyDescent="0.15">
      <c r="A114" s="10" t="str">
        <f t="shared" ref="A114" si="90">B114&amp;C114</f>
        <v>72067206</v>
      </c>
      <c r="B114" s="2">
        <f t="shared" si="85"/>
        <v>7206</v>
      </c>
      <c r="C114" s="2">
        <f t="shared" si="85"/>
        <v>7206</v>
      </c>
      <c r="D114" s="52" t="str">
        <f>IFERROR(VLOOKUP(C114,gachas!A:C,3),0)</f>
        <v>超お得チケットガチャ&lt;アポロン、ヘルメス&gt;</v>
      </c>
      <c r="E114" s="42" t="s">
        <v>1104</v>
      </c>
      <c r="F114" s="105" t="s">
        <v>1171</v>
      </c>
      <c r="G114" s="24">
        <v>7200</v>
      </c>
      <c r="H114" s="6">
        <v>1</v>
      </c>
    </row>
    <row r="115" spans="1:8" ht="21" customHeight="1" x14ac:dyDescent="0.15">
      <c r="A115" s="10" t="str">
        <f t="shared" ref="A115" si="91">B115&amp;C115</f>
        <v>72077207</v>
      </c>
      <c r="B115" s="2">
        <f t="shared" si="85"/>
        <v>7207</v>
      </c>
      <c r="C115" s="2">
        <f t="shared" si="85"/>
        <v>7207</v>
      </c>
      <c r="D115" s="52" t="str">
        <f>IFERROR(VLOOKUP(C115,gachas!A:C,3),0)</f>
        <v>超お得チケットガチャ&lt;フランスin&gt;</v>
      </c>
      <c r="E115" s="42" t="s">
        <v>1166</v>
      </c>
      <c r="F115" s="105" t="s">
        <v>1282</v>
      </c>
      <c r="G115" s="24">
        <v>7200</v>
      </c>
      <c r="H115" s="6">
        <v>1</v>
      </c>
    </row>
    <row r="116" spans="1:8" ht="21" customHeight="1" x14ac:dyDescent="0.15">
      <c r="A116" s="10" t="str">
        <f t="shared" ref="A116" si="92">B116&amp;C116</f>
        <v>72087208</v>
      </c>
      <c r="B116" s="2">
        <f t="shared" si="85"/>
        <v>7208</v>
      </c>
      <c r="C116" s="2">
        <f t="shared" si="85"/>
        <v>7208</v>
      </c>
      <c r="D116" s="52" t="str">
        <f>IFERROR(VLOOKUP(C116,gachas!A:C,3),0)</f>
        <v>超お得チケットガチャ&lt;クルミ、フウガ、ラプ、フレイヤin&gt;</v>
      </c>
      <c r="E116" s="42" t="s">
        <v>1281</v>
      </c>
      <c r="F116" s="55" t="s">
        <v>1307</v>
      </c>
      <c r="G116" s="24">
        <v>7200</v>
      </c>
      <c r="H116" s="6">
        <v>1</v>
      </c>
    </row>
    <row r="117" spans="1:8" ht="21" customHeight="1" x14ac:dyDescent="0.15">
      <c r="A117" s="10" t="str">
        <f t="shared" ref="A117" si="93">B117&amp;C117</f>
        <v>72097209</v>
      </c>
      <c r="B117" s="2">
        <f t="shared" si="85"/>
        <v>7209</v>
      </c>
      <c r="C117" s="2">
        <f t="shared" si="85"/>
        <v>7209</v>
      </c>
      <c r="D117" s="52" t="str">
        <f>IFERROR(VLOOKUP(C117,gachas!A:C,3),0)</f>
        <v>超お得チケットガチャ&lt;近藤、ランスロットin&gt;</v>
      </c>
      <c r="E117" s="42" t="s">
        <v>1303</v>
      </c>
      <c r="F117" s="55" t="s">
        <v>1304</v>
      </c>
      <c r="G117" s="24">
        <v>7200</v>
      </c>
      <c r="H117" s="6">
        <v>1</v>
      </c>
    </row>
    <row r="118" spans="1:8" ht="21" customHeight="1" x14ac:dyDescent="0.15">
      <c r="A118" s="10" t="str">
        <f t="shared" ref="A118" si="94">B118&amp;C118</f>
        <v>72107210</v>
      </c>
      <c r="B118" s="2">
        <f t="shared" si="85"/>
        <v>7210</v>
      </c>
      <c r="C118" s="2">
        <f t="shared" si="85"/>
        <v>7210</v>
      </c>
      <c r="D118" s="52" t="str">
        <f>IFERROR(VLOOKUP(C118,gachas!A:C,3),0)</f>
        <v>超お得チケットガチャ&lt;エジプトin&gt;</v>
      </c>
      <c r="E118" s="42" t="s">
        <v>1358</v>
      </c>
      <c r="F118" s="55" t="s">
        <v>1357</v>
      </c>
      <c r="G118" s="24">
        <v>7200</v>
      </c>
      <c r="H118" s="6">
        <v>1</v>
      </c>
    </row>
    <row r="119" spans="1:8" ht="21" customHeight="1" x14ac:dyDescent="0.15">
      <c r="A119" s="10" t="str">
        <f t="shared" ref="A119" si="95">B119&amp;C119</f>
        <v>72117211</v>
      </c>
      <c r="B119" s="2">
        <f t="shared" si="85"/>
        <v>7211</v>
      </c>
      <c r="C119" s="2">
        <f t="shared" si="85"/>
        <v>7211</v>
      </c>
      <c r="D119" s="52" t="str">
        <f>IFERROR(VLOOKUP(C119,gachas!A:C,3),0)</f>
        <v>超お得チケットガチャ&lt;ヴィシュヌ、サラスヴァティin&gt;</v>
      </c>
      <c r="E119" s="42" t="s">
        <v>1359</v>
      </c>
      <c r="F119" s="55" t="s">
        <v>1380</v>
      </c>
      <c r="G119" s="24">
        <v>7200</v>
      </c>
      <c r="H119" s="6">
        <v>1</v>
      </c>
    </row>
    <row r="120" spans="1:8" ht="21" customHeight="1" x14ac:dyDescent="0.15">
      <c r="A120" s="10" t="str">
        <f t="shared" ref="A120" si="96">B120&amp;C120</f>
        <v>72127212</v>
      </c>
      <c r="B120" s="2">
        <f t="shared" ref="B120:C122" si="97">B119+1</f>
        <v>7212</v>
      </c>
      <c r="C120" s="2">
        <f t="shared" si="97"/>
        <v>7212</v>
      </c>
      <c r="D120" s="52" t="str">
        <f>IFERROR(VLOOKUP(C120,gachas!A:C,3),0)</f>
        <v>超お得チケットガチャ&lt;ハヅル、イナバin&gt;</v>
      </c>
      <c r="E120" s="42" t="s">
        <v>1382</v>
      </c>
      <c r="F120" s="55" t="s">
        <v>1412</v>
      </c>
      <c r="G120" s="24">
        <v>7200</v>
      </c>
      <c r="H120" s="6">
        <v>1</v>
      </c>
    </row>
    <row r="121" spans="1:8" ht="21" customHeight="1" x14ac:dyDescent="0.15">
      <c r="A121" s="10" t="str">
        <f t="shared" ref="A121" si="98">B121&amp;C121</f>
        <v>72137213</v>
      </c>
      <c r="B121" s="2">
        <f t="shared" si="97"/>
        <v>7213</v>
      </c>
      <c r="C121" s="2">
        <f t="shared" si="97"/>
        <v>7213</v>
      </c>
      <c r="D121" s="52" t="str">
        <f>IFERROR(VLOOKUP(C121,gachas!A:C,3),0)</f>
        <v>超お得チケットガチャ&lt;平安in&gt;</v>
      </c>
      <c r="E121" s="42" t="s">
        <v>1413</v>
      </c>
      <c r="F121" s="55" t="s">
        <v>1487</v>
      </c>
      <c r="G121" s="24">
        <v>7200</v>
      </c>
      <c r="H121" s="6">
        <v>1</v>
      </c>
    </row>
    <row r="122" spans="1:8" ht="21" customHeight="1" x14ac:dyDescent="0.15">
      <c r="A122" s="10" t="str">
        <f t="shared" ref="A122" si="99">B122&amp;C122</f>
        <v>72147214</v>
      </c>
      <c r="B122" s="2">
        <f t="shared" si="97"/>
        <v>7214</v>
      </c>
      <c r="C122" s="2">
        <f t="shared" si="97"/>
        <v>7214</v>
      </c>
      <c r="D122" s="52" t="str">
        <f>IFERROR(VLOOKUP(C122,gachas!A:C,3),0)</f>
        <v>超お得チケットガチャ&lt;メソポタミアin&gt;</v>
      </c>
      <c r="E122" s="42" t="s">
        <v>1488</v>
      </c>
      <c r="F122" s="55" t="s">
        <v>1492</v>
      </c>
      <c r="G122" s="24">
        <v>7200</v>
      </c>
      <c r="H122" s="6">
        <v>1</v>
      </c>
    </row>
    <row r="123" spans="1:8" ht="21" customHeight="1" x14ac:dyDescent="0.15">
      <c r="A123" s="10" t="str">
        <f t="shared" ref="A123" si="100">B123&amp;C123</f>
        <v>72157215</v>
      </c>
      <c r="B123" s="2">
        <f t="shared" ref="B123:B130" si="101">B122+1</f>
        <v>7215</v>
      </c>
      <c r="C123" s="2">
        <f t="shared" ref="C123:C134" si="102">C122+1</f>
        <v>7215</v>
      </c>
      <c r="D123" s="52" t="str">
        <f>IFERROR(VLOOKUP(C123,gachas!A:C,3),0)</f>
        <v>超お得チケットガチャ&lt;アルフヘイムin&gt;</v>
      </c>
      <c r="E123" s="42" t="s">
        <v>1491</v>
      </c>
      <c r="F123" s="55" t="s">
        <v>1500</v>
      </c>
      <c r="G123" s="24">
        <v>7200</v>
      </c>
      <c r="H123" s="6">
        <v>1</v>
      </c>
    </row>
    <row r="124" spans="1:8" ht="21" customHeight="1" x14ac:dyDescent="0.15">
      <c r="A124" s="10" t="str">
        <f t="shared" ref="A124" si="103">B124&amp;C124</f>
        <v>72167216</v>
      </c>
      <c r="B124" s="2">
        <f t="shared" si="101"/>
        <v>7216</v>
      </c>
      <c r="C124" s="2">
        <f t="shared" si="102"/>
        <v>7216</v>
      </c>
      <c r="D124" s="52" t="str">
        <f>IFERROR(VLOOKUP(C124,gachas!A:C,3),0)</f>
        <v>超お得チケットガチャ&lt;ドライグin&gt;</v>
      </c>
      <c r="E124" s="42" t="s">
        <v>1501</v>
      </c>
      <c r="F124" s="42" t="s">
        <v>1530</v>
      </c>
      <c r="G124" s="24">
        <v>7200</v>
      </c>
      <c r="H124" s="6">
        <v>1</v>
      </c>
    </row>
    <row r="125" spans="1:8" ht="21" customHeight="1" x14ac:dyDescent="0.15">
      <c r="A125" s="10" t="str">
        <f t="shared" ref="A125" si="104">B125&amp;C125</f>
        <v>72177217</v>
      </c>
      <c r="B125" s="2">
        <f t="shared" si="101"/>
        <v>7217</v>
      </c>
      <c r="C125" s="2">
        <f t="shared" si="102"/>
        <v>7217</v>
      </c>
      <c r="D125" s="52" t="str">
        <f>IFERROR(VLOOKUP(C125,gachas!A:C,3),0)</f>
        <v>超お得チケットガチャ&lt;画家in&gt;</v>
      </c>
      <c r="E125" s="42" t="s">
        <v>1522</v>
      </c>
      <c r="F125" s="55" t="s">
        <v>1689</v>
      </c>
      <c r="G125" s="24">
        <v>7200</v>
      </c>
      <c r="H125" s="6">
        <v>1</v>
      </c>
    </row>
    <row r="126" spans="1:8" ht="21" customHeight="1" x14ac:dyDescent="0.15">
      <c r="A126" s="10" t="str">
        <f t="shared" ref="A126" si="105">B126&amp;C126</f>
        <v>72187218</v>
      </c>
      <c r="B126" s="2">
        <f t="shared" si="101"/>
        <v>7218</v>
      </c>
      <c r="C126" s="2">
        <f t="shared" si="102"/>
        <v>7218</v>
      </c>
      <c r="D126" s="52" t="str">
        <f>IFERROR(VLOOKUP(C126,gachas!A:C,3),0)</f>
        <v>超お得チケットガチャ&lt;三国志in&gt;</v>
      </c>
      <c r="E126" s="42" t="s">
        <v>1677</v>
      </c>
      <c r="F126" s="55" t="s">
        <v>1760</v>
      </c>
      <c r="G126" s="24">
        <v>7200</v>
      </c>
      <c r="H126" s="6">
        <v>1</v>
      </c>
    </row>
    <row r="127" spans="1:8" ht="21" customHeight="1" x14ac:dyDescent="0.15">
      <c r="A127" s="10" t="str">
        <f t="shared" ref="A127" si="106">B127&amp;C127</f>
        <v>72197219</v>
      </c>
      <c r="B127" s="2">
        <f t="shared" si="101"/>
        <v>7219</v>
      </c>
      <c r="C127" s="2">
        <f t="shared" si="102"/>
        <v>7219</v>
      </c>
      <c r="D127" s="52" t="str">
        <f>IFERROR(VLOOKUP(C127,gachas!A:C,3),0)</f>
        <v>超お得チケットガチャ&lt;インド第2弾in&gt;</v>
      </c>
      <c r="E127" s="42" t="s">
        <v>1761</v>
      </c>
      <c r="F127" s="42" t="s">
        <v>1932</v>
      </c>
      <c r="G127" s="24">
        <v>7200</v>
      </c>
      <c r="H127" s="6">
        <v>1</v>
      </c>
    </row>
    <row r="128" spans="1:8" ht="21" customHeight="1" x14ac:dyDescent="0.15">
      <c r="A128" s="10" t="str">
        <f t="shared" ref="A128" si="107">B128&amp;C128</f>
        <v>72207220</v>
      </c>
      <c r="B128" s="2">
        <f t="shared" si="101"/>
        <v>7220</v>
      </c>
      <c r="C128" s="2">
        <f t="shared" si="102"/>
        <v>7220</v>
      </c>
      <c r="D128" s="52" t="str">
        <f>IFERROR(VLOOKUP(C128,gachas!A:C,3),0)</f>
        <v>超お得チケットガチャ&lt;ギリシャ神話第2弾in&gt;</v>
      </c>
      <c r="E128" s="42" t="s">
        <v>1901</v>
      </c>
      <c r="F128" s="42" t="s">
        <v>2015</v>
      </c>
      <c r="G128" s="24">
        <v>7200</v>
      </c>
      <c r="H128" s="6">
        <v>1</v>
      </c>
    </row>
    <row r="129" spans="1:8" ht="21" customHeight="1" x14ac:dyDescent="0.15">
      <c r="A129" s="10" t="str">
        <f t="shared" ref="A129" si="108">B129&amp;C129</f>
        <v>72217221</v>
      </c>
      <c r="B129" s="2">
        <f t="shared" si="101"/>
        <v>7221</v>
      </c>
      <c r="C129" s="2">
        <f t="shared" si="102"/>
        <v>7221</v>
      </c>
      <c r="D129" s="52" t="str">
        <f>IFERROR(VLOOKUP(C129,gachas!A:C,3),0)</f>
        <v>超お得チケットガチャ&lt;文豪in&gt;</v>
      </c>
      <c r="E129" s="42" t="s">
        <v>2016</v>
      </c>
      <c r="F129" s="42" t="s">
        <v>2371</v>
      </c>
      <c r="G129" s="24">
        <v>7200</v>
      </c>
      <c r="H129" s="6">
        <v>1</v>
      </c>
    </row>
    <row r="130" spans="1:8" ht="21" customHeight="1" x14ac:dyDescent="0.15">
      <c r="A130" s="10" t="str">
        <f t="shared" ref="A130" si="109">B130&amp;C130</f>
        <v>72227222</v>
      </c>
      <c r="B130" s="2">
        <f t="shared" si="101"/>
        <v>7222</v>
      </c>
      <c r="C130" s="2">
        <f t="shared" si="102"/>
        <v>7222</v>
      </c>
      <c r="D130" s="52" t="str">
        <f>IFERROR(VLOOKUP(C130,gachas!A:C,3),0)</f>
        <v>超お得チケットガチャ&lt;戦国2in&gt;</v>
      </c>
      <c r="E130" s="42" t="s">
        <v>2370</v>
      </c>
      <c r="F130" s="42" t="s">
        <v>2532</v>
      </c>
      <c r="G130" s="24">
        <v>7200</v>
      </c>
      <c r="H130" s="6">
        <v>1</v>
      </c>
    </row>
    <row r="131" spans="1:8" ht="21" customHeight="1" x14ac:dyDescent="0.15">
      <c r="A131" s="10" t="str">
        <f t="shared" ref="A131" si="110">B131&amp;C131</f>
        <v>72237223</v>
      </c>
      <c r="B131" s="2">
        <f>B130+1</f>
        <v>7223</v>
      </c>
      <c r="C131" s="2">
        <f t="shared" si="102"/>
        <v>7223</v>
      </c>
      <c r="D131" s="52" t="str">
        <f>IFERROR(VLOOKUP(C131,gachas!A:C,3),0)</f>
        <v>超お得チケットガチャ&lt;北欧in&gt;</v>
      </c>
      <c r="E131" s="42" t="s">
        <v>2533</v>
      </c>
      <c r="F131" s="42" t="s">
        <v>2667</v>
      </c>
      <c r="G131" s="24">
        <v>7200</v>
      </c>
      <c r="H131" s="6">
        <v>1</v>
      </c>
    </row>
    <row r="132" spans="1:8" ht="21" customHeight="1" x14ac:dyDescent="0.15">
      <c r="A132" s="10" t="str">
        <f t="shared" ref="A132" si="111">B132&amp;C132</f>
        <v>72247224</v>
      </c>
      <c r="B132" s="2">
        <f>B131+1</f>
        <v>7224</v>
      </c>
      <c r="C132" s="2">
        <f t="shared" si="102"/>
        <v>7224</v>
      </c>
      <c r="D132" s="52" t="str">
        <f>IFERROR(VLOOKUP(C132,gachas!A:C,3),0)</f>
        <v>超お得チケットガチャ&lt;日本神話in&gt;</v>
      </c>
      <c r="E132" s="42" t="s">
        <v>2666</v>
      </c>
      <c r="F132" s="77" t="s">
        <v>3181</v>
      </c>
      <c r="G132" s="24">
        <v>7200</v>
      </c>
      <c r="H132" s="6">
        <v>1</v>
      </c>
    </row>
    <row r="133" spans="1:8" ht="21" customHeight="1" x14ac:dyDescent="0.15">
      <c r="A133" s="10" t="str">
        <f t="shared" ref="A133:A134" si="112">B133&amp;C133</f>
        <v>72257225</v>
      </c>
      <c r="B133" s="2">
        <f>B132+1</f>
        <v>7225</v>
      </c>
      <c r="C133" s="2">
        <f t="shared" si="102"/>
        <v>7225</v>
      </c>
      <c r="D133" s="52" t="str">
        <f>IFERROR(VLOOKUP(C133,gachas!A:C,3),0)</f>
        <v>お花見キャンペーン記念★6確定チャンスパック</v>
      </c>
      <c r="E133" s="42" t="s">
        <v>2983</v>
      </c>
      <c r="F133" s="105" t="s">
        <v>1131</v>
      </c>
      <c r="G133" s="24">
        <v>7224</v>
      </c>
      <c r="H133" s="6">
        <v>1</v>
      </c>
    </row>
    <row r="134" spans="1:8" ht="21" customHeight="1" x14ac:dyDescent="0.15">
      <c r="A134" s="10" t="str">
        <f t="shared" si="112"/>
        <v>72267226</v>
      </c>
      <c r="B134" s="2">
        <f>B133+1</f>
        <v>7226</v>
      </c>
      <c r="C134" s="2">
        <f t="shared" si="102"/>
        <v>7226</v>
      </c>
      <c r="D134" s="52" t="str">
        <f>IFERROR(VLOOKUP(C134,gachas!A:C,3),0)</f>
        <v>超お得チケットガチャ&lt;童話in&gt;</v>
      </c>
      <c r="E134" s="42" t="s">
        <v>3180</v>
      </c>
      <c r="F134" s="105" t="s">
        <v>1131</v>
      </c>
      <c r="G134" s="24">
        <v>7200</v>
      </c>
      <c r="H134" s="6">
        <v>1</v>
      </c>
    </row>
    <row r="135" spans="1:8" ht="21" customHeight="1" x14ac:dyDescent="0.15">
      <c r="A135" s="10" t="str">
        <f t="shared" ref="A135:A172" si="113">B135&amp;C135</f>
        <v>00</v>
      </c>
      <c r="B135" s="24">
        <v>0</v>
      </c>
      <c r="C135" s="2">
        <v>0</v>
      </c>
      <c r="D135" s="52">
        <f>IFERROR(VLOOKUP(C135,gachas!A:C,3),0)</f>
        <v>0</v>
      </c>
      <c r="E135" s="28" t="s">
        <v>124</v>
      </c>
      <c r="F135" s="28" t="s">
        <v>131</v>
      </c>
      <c r="G135" s="24">
        <v>1</v>
      </c>
      <c r="H135" s="2">
        <v>65001</v>
      </c>
    </row>
    <row r="136" spans="1:8" ht="21" customHeight="1" x14ac:dyDescent="0.15">
      <c r="A136" s="10" t="str">
        <f t="shared" si="113"/>
        <v>11</v>
      </c>
      <c r="B136" s="24">
        <v>1</v>
      </c>
      <c r="C136" s="2">
        <v>1</v>
      </c>
      <c r="D136" s="52">
        <f>IFERROR(VLOOKUP(C136,gachas!A:C,3),0)</f>
        <v>0</v>
      </c>
      <c r="E136" s="28" t="s">
        <v>125</v>
      </c>
      <c r="F136" s="28" t="s">
        <v>127</v>
      </c>
      <c r="G136" s="24">
        <v>1</v>
      </c>
      <c r="H136" s="2">
        <v>1</v>
      </c>
    </row>
    <row r="137" spans="1:8" ht="21" customHeight="1" x14ac:dyDescent="0.15">
      <c r="A137" s="10" t="str">
        <f t="shared" si="113"/>
        <v>22</v>
      </c>
      <c r="B137" s="24">
        <v>2</v>
      </c>
      <c r="C137" s="2">
        <v>2</v>
      </c>
      <c r="D137" s="52">
        <f>IFERROR(VLOOKUP(C137,gachas!A:C,3),0)</f>
        <v>0</v>
      </c>
      <c r="E137" s="28" t="s">
        <v>126</v>
      </c>
      <c r="F137" s="28" t="s">
        <v>128</v>
      </c>
      <c r="G137" s="24">
        <v>1</v>
      </c>
      <c r="H137" s="2">
        <v>2</v>
      </c>
    </row>
    <row r="138" spans="1:8" ht="21" customHeight="1" x14ac:dyDescent="0.15">
      <c r="A138" s="10" t="str">
        <f t="shared" si="113"/>
        <v>33</v>
      </c>
      <c r="B138" s="24">
        <v>3</v>
      </c>
      <c r="C138" s="2">
        <v>3</v>
      </c>
      <c r="D138" s="52">
        <f>IFERROR(VLOOKUP(C138,gachas!A:C,3),0)</f>
        <v>0</v>
      </c>
      <c r="E138" s="28" t="s">
        <v>129</v>
      </c>
      <c r="F138" s="28" t="s">
        <v>130</v>
      </c>
      <c r="G138" s="24">
        <v>1</v>
      </c>
      <c r="H138" s="2">
        <v>3</v>
      </c>
    </row>
    <row r="139" spans="1:8" ht="21" customHeight="1" x14ac:dyDescent="0.15">
      <c r="A139" s="10" t="str">
        <f t="shared" ref="A139" si="114">B139&amp;C139</f>
        <v>44</v>
      </c>
      <c r="B139" s="24">
        <v>4</v>
      </c>
      <c r="C139" s="2">
        <v>4</v>
      </c>
      <c r="D139" s="52">
        <f>IFERROR(VLOOKUP(C139,gachas!A:C,3),0)</f>
        <v>0</v>
      </c>
      <c r="E139" s="28" t="s">
        <v>388</v>
      </c>
      <c r="F139" s="28" t="s">
        <v>389</v>
      </c>
      <c r="G139" s="24">
        <v>1</v>
      </c>
      <c r="H139" s="2">
        <v>800</v>
      </c>
    </row>
    <row r="140" spans="1:8" ht="21" customHeight="1" x14ac:dyDescent="0.15">
      <c r="A140" s="10" t="str">
        <f t="shared" ref="A140:A141" si="115">B140&amp;C140</f>
        <v>55</v>
      </c>
      <c r="B140" s="24">
        <v>5</v>
      </c>
      <c r="C140" s="2">
        <v>5</v>
      </c>
      <c r="D140" s="52">
        <f>IFERROR(VLOOKUP(C140,gachas!A:C,3),0)</f>
        <v>0</v>
      </c>
      <c r="E140" s="28" t="s">
        <v>595</v>
      </c>
      <c r="F140" s="28" t="s">
        <v>596</v>
      </c>
      <c r="G140" s="24">
        <v>1</v>
      </c>
      <c r="H140" s="2">
        <v>801</v>
      </c>
    </row>
    <row r="141" spans="1:8" ht="21" customHeight="1" x14ac:dyDescent="0.15">
      <c r="A141" s="10" t="str">
        <f t="shared" si="115"/>
        <v>66</v>
      </c>
      <c r="B141" s="24">
        <v>6</v>
      </c>
      <c r="C141" s="2">
        <v>6</v>
      </c>
      <c r="D141" s="52">
        <f>IFERROR(VLOOKUP(C141,gachas!A:C,3),0)</f>
        <v>0</v>
      </c>
      <c r="E141" s="28" t="s">
        <v>595</v>
      </c>
      <c r="F141" s="28" t="s">
        <v>596</v>
      </c>
      <c r="G141" s="24">
        <v>1</v>
      </c>
      <c r="H141" s="2">
        <v>802</v>
      </c>
    </row>
    <row r="142" spans="1:8" ht="21" customHeight="1" outlineLevel="1" x14ac:dyDescent="0.15">
      <c r="A142" s="10" t="str">
        <f t="shared" si="113"/>
        <v>1010100</v>
      </c>
      <c r="B142" s="7">
        <v>1010</v>
      </c>
      <c r="C142" s="2">
        <f t="shared" ref="C142:C145" si="116">C143-1</f>
        <v>100</v>
      </c>
      <c r="D142" s="52" t="str">
        <f>IFERROR(VLOOKUP(C142,gachas!A:C,3),0)</f>
        <v>テスト用ガチャ</v>
      </c>
      <c r="E142" s="53" t="s">
        <v>187</v>
      </c>
      <c r="F142" s="53" t="s">
        <v>188</v>
      </c>
      <c r="G142" s="24">
        <v>1</v>
      </c>
      <c r="H142" s="2">
        <v>1</v>
      </c>
    </row>
    <row r="143" spans="1:8" ht="21" customHeight="1" outlineLevel="1" x14ac:dyDescent="0.15">
      <c r="A143" s="10" t="str">
        <f t="shared" si="113"/>
        <v>1011101</v>
      </c>
      <c r="B143" s="7">
        <v>1011</v>
      </c>
      <c r="C143" s="2">
        <f t="shared" si="116"/>
        <v>101</v>
      </c>
      <c r="D143" s="52" t="str">
        <f>IFERROR(VLOOKUP(C143,gachas!A:C,3),0)</f>
        <v>テスト用ガチャ</v>
      </c>
      <c r="E143" s="53" t="s">
        <v>187</v>
      </c>
      <c r="F143" s="53" t="s">
        <v>188</v>
      </c>
      <c r="G143" s="24">
        <v>1</v>
      </c>
      <c r="H143" s="2">
        <v>1</v>
      </c>
    </row>
    <row r="144" spans="1:8" ht="21" customHeight="1" outlineLevel="1" x14ac:dyDescent="0.15">
      <c r="A144" s="10" t="str">
        <f t="shared" si="113"/>
        <v>1020102</v>
      </c>
      <c r="B144" s="7">
        <v>1020</v>
      </c>
      <c r="C144" s="2">
        <f t="shared" si="116"/>
        <v>102</v>
      </c>
      <c r="D144" s="52" t="str">
        <f>IFERROR(VLOOKUP(C144,gachas!A:C,3),0)</f>
        <v>レアガチャ（追加02 確率UP）</v>
      </c>
      <c r="E144" s="53" t="s">
        <v>187</v>
      </c>
      <c r="F144" s="53" t="s">
        <v>188</v>
      </c>
      <c r="G144" s="24">
        <v>1</v>
      </c>
      <c r="H144" s="2">
        <v>1</v>
      </c>
    </row>
    <row r="145" spans="1:8" ht="21" customHeight="1" outlineLevel="1" x14ac:dyDescent="0.15">
      <c r="A145" s="10" t="str">
        <f t="shared" si="113"/>
        <v>1021103</v>
      </c>
      <c r="B145" s="7">
        <v>1021</v>
      </c>
      <c r="C145" s="2">
        <f t="shared" si="116"/>
        <v>103</v>
      </c>
      <c r="D145" s="52" t="str">
        <f>IFERROR(VLOOKUP(C145,gachas!A:C,3),0)</f>
        <v>レアガチャ（追加02）（大罪）</v>
      </c>
      <c r="E145" s="53" t="s">
        <v>187</v>
      </c>
      <c r="F145" s="53" t="s">
        <v>188</v>
      </c>
      <c r="G145" s="24">
        <v>1</v>
      </c>
      <c r="H145" s="2">
        <v>1</v>
      </c>
    </row>
    <row r="146" spans="1:8" ht="21" customHeight="1" outlineLevel="1" x14ac:dyDescent="0.15">
      <c r="A146" s="10" t="str">
        <f t="shared" si="113"/>
        <v>1030104</v>
      </c>
      <c r="B146" s="14">
        <v>1030</v>
      </c>
      <c r="C146" s="2">
        <f t="shared" ref="C146:C155" si="117">C147-1</f>
        <v>104</v>
      </c>
      <c r="D146" s="52" t="str">
        <f>IFERROR(VLOOKUP(C146,gachas!A:C,3),0)</f>
        <v>ピックアップ01　開始</v>
      </c>
      <c r="E146" s="53" t="s">
        <v>187</v>
      </c>
      <c r="F146" s="53" t="s">
        <v>188</v>
      </c>
      <c r="G146" s="24">
        <v>1</v>
      </c>
      <c r="H146" s="2">
        <v>10000</v>
      </c>
    </row>
    <row r="147" spans="1:8" ht="21" customHeight="1" outlineLevel="1" x14ac:dyDescent="0.15">
      <c r="A147" s="10" t="str">
        <f t="shared" si="113"/>
        <v>1040105</v>
      </c>
      <c r="B147" s="14">
        <v>1040</v>
      </c>
      <c r="C147" s="2">
        <f t="shared" si="117"/>
        <v>105</v>
      </c>
      <c r="D147" s="52" t="str">
        <f>IFERROR(VLOOKUP(C147,gachas!A:C,3),0)</f>
        <v>ピックアップ01　あと少し</v>
      </c>
      <c r="E147" s="53" t="s">
        <v>187</v>
      </c>
      <c r="F147" s="53" t="s">
        <v>188</v>
      </c>
      <c r="G147" s="24">
        <v>1</v>
      </c>
      <c r="H147" s="2">
        <f>H146-1</f>
        <v>9999</v>
      </c>
    </row>
    <row r="148" spans="1:8" ht="21" customHeight="1" outlineLevel="1" x14ac:dyDescent="0.15">
      <c r="A148" s="10" t="str">
        <f t="shared" si="113"/>
        <v>1050106</v>
      </c>
      <c r="B148" s="14">
        <v>1050</v>
      </c>
      <c r="C148" s="2">
        <f t="shared" si="117"/>
        <v>106</v>
      </c>
      <c r="D148" s="52" t="str">
        <f>IFERROR(VLOOKUP(C148,gachas!A:C,3),0)</f>
        <v>ピックアップ01　最終日</v>
      </c>
      <c r="E148" s="53" t="s">
        <v>187</v>
      </c>
      <c r="F148" s="53" t="s">
        <v>188</v>
      </c>
      <c r="G148" s="24">
        <v>1</v>
      </c>
      <c r="H148" s="2">
        <f t="shared" ref="H148:H211" si="118">H147-1</f>
        <v>9998</v>
      </c>
    </row>
    <row r="149" spans="1:8" ht="21" customHeight="1" outlineLevel="1" x14ac:dyDescent="0.15">
      <c r="A149" s="10" t="str">
        <f t="shared" si="113"/>
        <v>1060107</v>
      </c>
      <c r="B149" s="14">
        <v>1060</v>
      </c>
      <c r="C149" s="2">
        <f t="shared" si="117"/>
        <v>107</v>
      </c>
      <c r="D149" s="52" t="str">
        <f>IFERROR(VLOOKUP(C149,gachas!A:C,3),0)</f>
        <v>新キャラ追加03（新撰組）</v>
      </c>
      <c r="E149" s="53" t="s">
        <v>187</v>
      </c>
      <c r="F149" s="53" t="s">
        <v>188</v>
      </c>
      <c r="G149" s="24">
        <v>1</v>
      </c>
      <c r="H149" s="2">
        <f t="shared" si="118"/>
        <v>9997</v>
      </c>
    </row>
    <row r="150" spans="1:8" ht="21" customHeight="1" outlineLevel="1" x14ac:dyDescent="0.15">
      <c r="A150" s="10" t="str">
        <f t="shared" si="113"/>
        <v>1070108</v>
      </c>
      <c r="B150" s="14">
        <v>1070</v>
      </c>
      <c r="C150" s="2">
        <f t="shared" si="117"/>
        <v>108</v>
      </c>
      <c r="D150" s="52" t="str">
        <f>IFERROR(VLOOKUP(C150,gachas!A:C,3),0)</f>
        <v>赤アップ01　開始</v>
      </c>
      <c r="E150" s="53" t="s">
        <v>187</v>
      </c>
      <c r="F150" s="53" t="s">
        <v>188</v>
      </c>
      <c r="G150" s="24">
        <v>1</v>
      </c>
      <c r="H150" s="2">
        <f t="shared" si="118"/>
        <v>9996</v>
      </c>
    </row>
    <row r="151" spans="1:8" ht="21" customHeight="1" outlineLevel="1" x14ac:dyDescent="0.15">
      <c r="A151" s="10" t="str">
        <f t="shared" si="113"/>
        <v>1080109</v>
      </c>
      <c r="B151" s="14">
        <v>1080</v>
      </c>
      <c r="C151" s="2">
        <f t="shared" si="117"/>
        <v>109</v>
      </c>
      <c r="D151" s="52" t="str">
        <f>IFERROR(VLOOKUP(C151,gachas!A:C,3),0)</f>
        <v>赤アップ0１　あと少し</v>
      </c>
      <c r="E151" s="53" t="s">
        <v>187</v>
      </c>
      <c r="F151" s="53" t="s">
        <v>188</v>
      </c>
      <c r="G151" s="24">
        <v>1</v>
      </c>
      <c r="H151" s="2">
        <f t="shared" si="118"/>
        <v>9995</v>
      </c>
    </row>
    <row r="152" spans="1:8" ht="21" customHeight="1" outlineLevel="1" x14ac:dyDescent="0.15">
      <c r="A152" s="10" t="str">
        <f t="shared" si="113"/>
        <v>1090110</v>
      </c>
      <c r="B152" s="14">
        <v>1090</v>
      </c>
      <c r="C152" s="2">
        <f t="shared" si="117"/>
        <v>110</v>
      </c>
      <c r="D152" s="52" t="str">
        <f>IFERROR(VLOOKUP(C152,gachas!A:C,3),0)</f>
        <v>赤アップ0１　最終日</v>
      </c>
      <c r="E152" s="53" t="s">
        <v>187</v>
      </c>
      <c r="F152" s="53" t="s">
        <v>188</v>
      </c>
      <c r="G152" s="24">
        <v>1</v>
      </c>
      <c r="H152" s="2">
        <f t="shared" si="118"/>
        <v>9994</v>
      </c>
    </row>
    <row r="153" spans="1:8" ht="21" customHeight="1" outlineLevel="1" x14ac:dyDescent="0.15">
      <c r="A153" s="10" t="str">
        <f t="shared" si="113"/>
        <v>1100111</v>
      </c>
      <c r="B153" s="14">
        <v>1100</v>
      </c>
      <c r="C153" s="2">
        <f t="shared" si="117"/>
        <v>111</v>
      </c>
      <c r="D153" s="52" t="str">
        <f>IFERROR(VLOOKUP(C153,gachas!A:C,3),0)</f>
        <v>ピックアップ02(沖田) 開始</v>
      </c>
      <c r="E153" s="53" t="s">
        <v>187</v>
      </c>
      <c r="F153" s="53" t="s">
        <v>188</v>
      </c>
      <c r="G153" s="24">
        <v>1</v>
      </c>
      <c r="H153" s="2">
        <f t="shared" si="118"/>
        <v>9993</v>
      </c>
    </row>
    <row r="154" spans="1:8" ht="21" customHeight="1" outlineLevel="1" x14ac:dyDescent="0.15">
      <c r="A154" s="10" t="str">
        <f t="shared" si="113"/>
        <v>1110112</v>
      </c>
      <c r="B154" s="14">
        <v>1110</v>
      </c>
      <c r="C154" s="2">
        <f t="shared" si="117"/>
        <v>112</v>
      </c>
      <c r="D154" s="52" t="str">
        <f>IFERROR(VLOOKUP(C154,gachas!A:C,3),0)</f>
        <v>ピックアップ02(沖田) あと少し</v>
      </c>
      <c r="E154" s="53" t="s">
        <v>187</v>
      </c>
      <c r="F154" s="53" t="s">
        <v>188</v>
      </c>
      <c r="G154" s="24">
        <v>1</v>
      </c>
      <c r="H154" s="2">
        <f t="shared" si="118"/>
        <v>9992</v>
      </c>
    </row>
    <row r="155" spans="1:8" ht="21" customHeight="1" outlineLevel="1" x14ac:dyDescent="0.15">
      <c r="A155" s="10" t="str">
        <f t="shared" si="113"/>
        <v>1120113</v>
      </c>
      <c r="B155" s="14">
        <v>1120</v>
      </c>
      <c r="C155" s="2">
        <f t="shared" si="117"/>
        <v>113</v>
      </c>
      <c r="D155" s="52" t="str">
        <f>IFERROR(VLOOKUP(C155,gachas!A:C,3),0)</f>
        <v>ピックアップ02(沖田) 最終日</v>
      </c>
      <c r="E155" s="53" t="s">
        <v>187</v>
      </c>
      <c r="F155" s="53" t="s">
        <v>188</v>
      </c>
      <c r="G155" s="24">
        <v>1</v>
      </c>
      <c r="H155" s="2">
        <f t="shared" si="118"/>
        <v>9991</v>
      </c>
    </row>
    <row r="156" spans="1:8" ht="21" customHeight="1" outlineLevel="1" x14ac:dyDescent="0.15">
      <c r="A156" s="10" t="str">
        <f t="shared" si="113"/>
        <v>1130114</v>
      </c>
      <c r="B156" s="14">
        <v>1130</v>
      </c>
      <c r="C156" s="2">
        <f>C157-1</f>
        <v>114</v>
      </c>
      <c r="D156" s="52" t="str">
        <f>IFERROR(VLOOKUP(C156,gachas!A:C,3),0)</f>
        <v>新キャラ追加04(ドラゴン）確率アップ</v>
      </c>
      <c r="E156" s="53" t="s">
        <v>187</v>
      </c>
      <c r="F156" s="53" t="s">
        <v>188</v>
      </c>
      <c r="G156" s="24">
        <v>1</v>
      </c>
      <c r="H156" s="2">
        <f t="shared" si="118"/>
        <v>9990</v>
      </c>
    </row>
    <row r="157" spans="1:8" ht="21" customHeight="1" outlineLevel="1" x14ac:dyDescent="0.15">
      <c r="A157" s="10" t="str">
        <f t="shared" si="113"/>
        <v>1131115</v>
      </c>
      <c r="B157" s="14">
        <v>1131</v>
      </c>
      <c r="C157" s="2">
        <f>C158-1</f>
        <v>115</v>
      </c>
      <c r="D157" s="52" t="str">
        <f>IFERROR(VLOOKUP(C157,gachas!A:C,3),0)</f>
        <v>青アップ01　開始</v>
      </c>
      <c r="E157" s="53" t="s">
        <v>189</v>
      </c>
      <c r="F157" s="53" t="s">
        <v>190</v>
      </c>
      <c r="G157" s="24">
        <v>1</v>
      </c>
      <c r="H157" s="2">
        <f t="shared" si="118"/>
        <v>9989</v>
      </c>
    </row>
    <row r="158" spans="1:8" ht="21" customHeight="1" outlineLevel="1" x14ac:dyDescent="0.15">
      <c r="A158" s="10" t="str">
        <f t="shared" si="113"/>
        <v>1132116</v>
      </c>
      <c r="B158" s="14">
        <v>1132</v>
      </c>
      <c r="C158" s="2">
        <f>C159-1</f>
        <v>116</v>
      </c>
      <c r="D158" s="52" t="str">
        <f>IFERROR(VLOOKUP(C158,gachas!A:C,3),0)</f>
        <v>青アップ0１　あと少し</v>
      </c>
      <c r="E158" s="53" t="s">
        <v>191</v>
      </c>
      <c r="F158" s="53" t="s">
        <v>192</v>
      </c>
      <c r="G158" s="24">
        <v>1</v>
      </c>
      <c r="H158" s="2">
        <f t="shared" si="118"/>
        <v>9988</v>
      </c>
    </row>
    <row r="159" spans="1:8" ht="21" customHeight="1" outlineLevel="1" x14ac:dyDescent="0.15">
      <c r="A159" s="10" t="str">
        <f t="shared" si="113"/>
        <v>1140117</v>
      </c>
      <c r="B159" s="14">
        <v>1140</v>
      </c>
      <c r="C159" s="2">
        <f>C160-1</f>
        <v>117</v>
      </c>
      <c r="D159" s="52" t="str">
        <f>IFERROR(VLOOKUP(C159,gachas!A:C,3),0)</f>
        <v>青アップ0１　最終日</v>
      </c>
      <c r="E159" s="53" t="s">
        <v>193</v>
      </c>
      <c r="F159" s="53" t="s">
        <v>194</v>
      </c>
      <c r="G159" s="24">
        <v>1</v>
      </c>
      <c r="H159" s="2">
        <f t="shared" si="118"/>
        <v>9987</v>
      </c>
    </row>
    <row r="160" spans="1:8" ht="21" customHeight="1" outlineLevel="1" x14ac:dyDescent="0.15">
      <c r="A160" s="10" t="str">
        <f t="shared" si="113"/>
        <v>1141118</v>
      </c>
      <c r="B160" s="14">
        <v>1141</v>
      </c>
      <c r="C160" s="2">
        <f>C161-1</f>
        <v>118</v>
      </c>
      <c r="D160" s="52" t="str">
        <f>IFERROR(VLOOKUP(C160,gachas!A:C,3),0)</f>
        <v>緑アップ01 開始</v>
      </c>
      <c r="E160" s="53" t="s">
        <v>187</v>
      </c>
      <c r="F160" s="53" t="s">
        <v>188</v>
      </c>
      <c r="G160" s="24">
        <v>1</v>
      </c>
      <c r="H160" s="2">
        <f t="shared" si="118"/>
        <v>9986</v>
      </c>
    </row>
    <row r="161" spans="1:8" ht="21" customHeight="1" x14ac:dyDescent="0.15">
      <c r="A161" s="10" t="str">
        <f t="shared" si="113"/>
        <v>1142119</v>
      </c>
      <c r="B161" s="14">
        <v>1142</v>
      </c>
      <c r="C161" s="2">
        <v>119</v>
      </c>
      <c r="D161" s="52" t="str">
        <f>IFERROR(VLOOKUP(C161,gachas!A:C,3),0)</f>
        <v>緑アップ01 あと少し</v>
      </c>
      <c r="E161" s="53" t="s">
        <v>187</v>
      </c>
      <c r="F161" s="53" t="s">
        <v>188</v>
      </c>
      <c r="G161" s="24">
        <v>1</v>
      </c>
      <c r="H161" s="2">
        <f t="shared" si="118"/>
        <v>9985</v>
      </c>
    </row>
    <row r="162" spans="1:8" ht="21" customHeight="1" x14ac:dyDescent="0.15">
      <c r="A162" s="10" t="str">
        <f t="shared" si="113"/>
        <v>1143120</v>
      </c>
      <c r="B162" s="14">
        <v>1143</v>
      </c>
      <c r="C162" s="2">
        <v>120</v>
      </c>
      <c r="D162" s="52" t="str">
        <f>IFERROR(VLOOKUP(C162,gachas!A:C,3),0)</f>
        <v>緑アップ01 最終日</v>
      </c>
      <c r="E162" s="53" t="s">
        <v>195</v>
      </c>
      <c r="F162" s="53" t="s">
        <v>196</v>
      </c>
      <c r="G162" s="24">
        <v>1</v>
      </c>
      <c r="H162" s="2">
        <f t="shared" si="118"/>
        <v>9984</v>
      </c>
    </row>
    <row r="163" spans="1:8" ht="21" customHeight="1" x14ac:dyDescent="0.15">
      <c r="A163" s="10" t="str">
        <f t="shared" si="113"/>
        <v>1144121</v>
      </c>
      <c r="B163" s="14">
        <v>1144</v>
      </c>
      <c r="C163" s="2">
        <v>121</v>
      </c>
      <c r="D163" s="52" t="str">
        <f>IFERROR(VLOOKUP(C163,gachas!A:C,3),0)</f>
        <v>赤アップ02開始</v>
      </c>
      <c r="E163" s="53" t="s">
        <v>197</v>
      </c>
      <c r="F163" s="53" t="s">
        <v>198</v>
      </c>
      <c r="G163" s="24">
        <v>1</v>
      </c>
      <c r="H163" s="2">
        <f t="shared" si="118"/>
        <v>9983</v>
      </c>
    </row>
    <row r="164" spans="1:8" ht="21" customHeight="1" x14ac:dyDescent="0.15">
      <c r="A164" s="10" t="str">
        <f t="shared" si="113"/>
        <v>114411</v>
      </c>
      <c r="B164" s="14">
        <v>11441</v>
      </c>
      <c r="C164" s="2">
        <v>1</v>
      </c>
      <c r="D164" s="52">
        <f>IFERROR(VLOOKUP(C164,gachas!A:C,3),0)</f>
        <v>0</v>
      </c>
      <c r="E164" s="53" t="s">
        <v>199</v>
      </c>
      <c r="F164" s="53" t="s">
        <v>198</v>
      </c>
      <c r="G164" s="24">
        <v>1</v>
      </c>
      <c r="H164" s="2">
        <f t="shared" si="118"/>
        <v>9982</v>
      </c>
    </row>
    <row r="165" spans="1:8" ht="21" customHeight="1" x14ac:dyDescent="0.15">
      <c r="A165" s="10" t="str">
        <f t="shared" si="113"/>
        <v>1145122</v>
      </c>
      <c r="B165" s="14">
        <v>1145</v>
      </c>
      <c r="C165" s="6">
        <v>122</v>
      </c>
      <c r="D165" s="52" t="str">
        <f>IFERROR(VLOOKUP(C165,gachas!A:C,3),0)</f>
        <v>新キャラ追加04(ドラゴン）あと少し</v>
      </c>
      <c r="E165" s="53" t="s">
        <v>200</v>
      </c>
      <c r="F165" s="53" t="s">
        <v>201</v>
      </c>
      <c r="G165" s="24">
        <v>1</v>
      </c>
      <c r="H165" s="2">
        <f t="shared" si="118"/>
        <v>9981</v>
      </c>
    </row>
    <row r="166" spans="1:8" ht="21" customHeight="1" x14ac:dyDescent="0.15">
      <c r="A166" s="10" t="str">
        <f t="shared" si="113"/>
        <v>1146123</v>
      </c>
      <c r="B166" s="14">
        <v>1146</v>
      </c>
      <c r="C166" s="6">
        <v>123</v>
      </c>
      <c r="D166" s="52" t="str">
        <f>IFERROR(VLOOKUP(C166,gachas!A:C,3),0)</f>
        <v>新キャラ追加04(ドラゴン）最終日</v>
      </c>
      <c r="E166" s="53" t="s">
        <v>202</v>
      </c>
      <c r="F166" s="53" t="s">
        <v>203</v>
      </c>
      <c r="G166" s="24">
        <v>1</v>
      </c>
      <c r="H166" s="2">
        <f t="shared" si="118"/>
        <v>9980</v>
      </c>
    </row>
    <row r="167" spans="1:8" ht="21" customHeight="1" x14ac:dyDescent="0.15">
      <c r="A167" s="10" t="str">
        <f t="shared" si="113"/>
        <v>1150124</v>
      </c>
      <c r="B167" s="14">
        <v>1150</v>
      </c>
      <c r="C167" s="6">
        <v>124</v>
      </c>
      <c r="D167" s="52" t="str">
        <f>IFERROR(VLOOKUP(C167,gachas!A:C,3),0)</f>
        <v>新キャラ追加04(ドラゴン)通常</v>
      </c>
      <c r="E167" s="53" t="s">
        <v>204</v>
      </c>
      <c r="F167" s="53" t="s">
        <v>205</v>
      </c>
      <c r="G167" s="24">
        <v>1</v>
      </c>
      <c r="H167" s="2">
        <f t="shared" si="118"/>
        <v>9979</v>
      </c>
    </row>
    <row r="168" spans="1:8" ht="21" customHeight="1" x14ac:dyDescent="0.15">
      <c r="A168" s="10" t="str">
        <f t="shared" si="113"/>
        <v>1160125</v>
      </c>
      <c r="B168" s="14">
        <v>1160</v>
      </c>
      <c r="C168" s="6">
        <v>125</v>
      </c>
      <c r="D168" s="52" t="str">
        <f>IFERROR(VLOOKUP(C168,gachas!A:C,3),0)</f>
        <v>赤アップ02　あと少し</v>
      </c>
      <c r="E168" s="53" t="s">
        <v>206</v>
      </c>
      <c r="F168" s="53" t="s">
        <v>207</v>
      </c>
      <c r="G168" s="24">
        <v>1</v>
      </c>
      <c r="H168" s="2">
        <f t="shared" si="118"/>
        <v>9978</v>
      </c>
    </row>
    <row r="169" spans="1:8" ht="21" customHeight="1" x14ac:dyDescent="0.15">
      <c r="A169" s="10" t="str">
        <f t="shared" si="113"/>
        <v>1170126</v>
      </c>
      <c r="B169" s="14">
        <v>1170</v>
      </c>
      <c r="C169" s="6">
        <v>126</v>
      </c>
      <c r="D169" s="52" t="str">
        <f>IFERROR(VLOOKUP(C169,gachas!A:C,3),0)</f>
        <v>赤アップ02　最終日</v>
      </c>
      <c r="E169" s="53" t="s">
        <v>208</v>
      </c>
      <c r="F169" s="53" t="s">
        <v>209</v>
      </c>
      <c r="G169" s="24">
        <v>1</v>
      </c>
      <c r="H169" s="2">
        <f t="shared" si="118"/>
        <v>9977</v>
      </c>
    </row>
    <row r="170" spans="1:8" ht="21" customHeight="1" x14ac:dyDescent="0.15">
      <c r="A170" s="10" t="str">
        <f t="shared" si="113"/>
        <v>1171127</v>
      </c>
      <c r="B170" s="14">
        <v>1171</v>
      </c>
      <c r="C170" s="6">
        <v>127</v>
      </c>
      <c r="D170" s="52" t="str">
        <f>IFERROR(VLOOKUP(C170,gachas!A:C,3),0)</f>
        <v>黄アップ01　開始</v>
      </c>
      <c r="E170" s="53" t="s">
        <v>210</v>
      </c>
      <c r="F170" s="53" t="s">
        <v>211</v>
      </c>
      <c r="G170" s="24">
        <v>1</v>
      </c>
      <c r="H170" s="2">
        <f t="shared" si="118"/>
        <v>9976</v>
      </c>
    </row>
    <row r="171" spans="1:8" ht="21" customHeight="1" x14ac:dyDescent="0.15">
      <c r="A171" s="10" t="str">
        <f t="shared" ref="A171" si="119">B171&amp;C171</f>
        <v>1172128</v>
      </c>
      <c r="B171" s="14">
        <v>1172</v>
      </c>
      <c r="C171" s="6">
        <v>128</v>
      </c>
      <c r="D171" s="52" t="str">
        <f>IFERROR(VLOOKUP(C171,gachas!A:C,3),0)</f>
        <v>黄アップ01　あと少し</v>
      </c>
      <c r="E171" s="53" t="s">
        <v>212</v>
      </c>
      <c r="F171" s="53" t="s">
        <v>213</v>
      </c>
      <c r="G171" s="24">
        <v>1</v>
      </c>
      <c r="H171" s="2">
        <f t="shared" si="118"/>
        <v>9975</v>
      </c>
    </row>
    <row r="172" spans="1:8" ht="21" customHeight="1" x14ac:dyDescent="0.15">
      <c r="A172" s="10" t="str">
        <f t="shared" si="113"/>
        <v>1173129</v>
      </c>
      <c r="B172" s="14">
        <v>1173</v>
      </c>
      <c r="C172" s="6">
        <v>129</v>
      </c>
      <c r="D172" s="52" t="str">
        <f>IFERROR(VLOOKUP(C172,gachas!A:C,3),0)</f>
        <v>黄アップ01　最終日</v>
      </c>
      <c r="E172" s="53" t="s">
        <v>214</v>
      </c>
      <c r="F172" s="53" t="s">
        <v>215</v>
      </c>
      <c r="G172" s="24">
        <v>1</v>
      </c>
      <c r="H172" s="2">
        <f t="shared" si="118"/>
        <v>9974</v>
      </c>
    </row>
    <row r="173" spans="1:8" ht="21" customHeight="1" x14ac:dyDescent="0.15">
      <c r="A173" s="10" t="str">
        <f t="shared" ref="A173:A178" si="120">B173&amp;C173</f>
        <v>1180130</v>
      </c>
      <c r="B173" s="14">
        <v>1180</v>
      </c>
      <c r="C173" s="6">
        <v>130</v>
      </c>
      <c r="D173" s="52" t="str">
        <f>IFERROR(VLOOKUP(C173,gachas!A:C,3),0)</f>
        <v>新撰組UP 開始</v>
      </c>
      <c r="E173" s="53" t="s">
        <v>216</v>
      </c>
      <c r="F173" s="53" t="s">
        <v>217</v>
      </c>
      <c r="G173" s="24">
        <v>1</v>
      </c>
      <c r="H173" s="2">
        <f t="shared" si="118"/>
        <v>9973</v>
      </c>
    </row>
    <row r="174" spans="1:8" ht="21" customHeight="1" x14ac:dyDescent="0.15">
      <c r="A174" s="10" t="str">
        <f t="shared" si="120"/>
        <v>1181131</v>
      </c>
      <c r="B174" s="14">
        <v>1181</v>
      </c>
      <c r="C174" s="6">
        <v>131</v>
      </c>
      <c r="D174" s="52" t="str">
        <f>IFERROR(VLOOKUP(C174,gachas!A:C,3),0)</f>
        <v>新撰組UP あと少し</v>
      </c>
      <c r="E174" s="53" t="s">
        <v>218</v>
      </c>
      <c r="F174" s="53" t="s">
        <v>219</v>
      </c>
      <c r="G174" s="24">
        <v>1</v>
      </c>
      <c r="H174" s="2">
        <f t="shared" si="118"/>
        <v>9972</v>
      </c>
    </row>
    <row r="175" spans="1:8" ht="21" customHeight="1" x14ac:dyDescent="0.15">
      <c r="A175" s="10" t="str">
        <f t="shared" si="120"/>
        <v>1182132</v>
      </c>
      <c r="B175" s="14">
        <v>1182</v>
      </c>
      <c r="C175" s="6">
        <v>132</v>
      </c>
      <c r="D175" s="52" t="str">
        <f>IFERROR(VLOOKUP(C175,gachas!A:C,3),0)</f>
        <v>新撰組UP 最終日</v>
      </c>
      <c r="E175" s="53" t="s">
        <v>220</v>
      </c>
      <c r="F175" s="53" t="s">
        <v>221</v>
      </c>
      <c r="G175" s="24">
        <v>1</v>
      </c>
      <c r="H175" s="2">
        <f t="shared" si="118"/>
        <v>9971</v>
      </c>
    </row>
    <row r="176" spans="1:8" ht="21" customHeight="1" x14ac:dyDescent="0.15">
      <c r="A176" s="10" t="str">
        <f t="shared" si="120"/>
        <v>1190133</v>
      </c>
      <c r="B176" s="14">
        <v>1190</v>
      </c>
      <c r="C176" s="6">
        <v>133</v>
      </c>
      <c r="D176" s="52" t="str">
        <f>IFERROR(VLOOKUP(C176,gachas!A:C,3),0)</f>
        <v>童話ガチャ　開始</v>
      </c>
      <c r="E176" s="53" t="s">
        <v>222</v>
      </c>
      <c r="F176" s="53" t="s">
        <v>223</v>
      </c>
      <c r="G176" s="24">
        <v>1</v>
      </c>
      <c r="H176" s="2">
        <f t="shared" si="118"/>
        <v>9970</v>
      </c>
    </row>
    <row r="177" spans="1:8" ht="21" customHeight="1" x14ac:dyDescent="0.15">
      <c r="A177" s="10" t="str">
        <f t="shared" si="120"/>
        <v>1191134</v>
      </c>
      <c r="B177" s="14">
        <v>1191</v>
      </c>
      <c r="C177" s="6">
        <v>134</v>
      </c>
      <c r="D177" s="52" t="str">
        <f>IFERROR(VLOOKUP(C177,gachas!A:C,3),0)</f>
        <v>童話ガチャ　あと少し</v>
      </c>
      <c r="E177" s="53" t="s">
        <v>224</v>
      </c>
      <c r="F177" s="53" t="s">
        <v>225</v>
      </c>
      <c r="G177" s="24">
        <v>1</v>
      </c>
      <c r="H177" s="2">
        <f t="shared" si="118"/>
        <v>9969</v>
      </c>
    </row>
    <row r="178" spans="1:8" ht="21" customHeight="1" x14ac:dyDescent="0.15">
      <c r="A178" s="10" t="str">
        <f t="shared" si="120"/>
        <v>1192135</v>
      </c>
      <c r="B178" s="14">
        <v>1192</v>
      </c>
      <c r="C178" s="6">
        <v>135</v>
      </c>
      <c r="D178" s="52" t="str">
        <f>IFERROR(VLOOKUP(C178,gachas!A:C,3),0)</f>
        <v>童話ガチャ　最終日</v>
      </c>
      <c r="E178" s="53" t="s">
        <v>226</v>
      </c>
      <c r="F178" s="53" t="s">
        <v>227</v>
      </c>
      <c r="G178" s="24">
        <v>1</v>
      </c>
      <c r="H178" s="2">
        <f t="shared" si="118"/>
        <v>9968</v>
      </c>
    </row>
    <row r="179" spans="1:8" ht="21" customHeight="1" x14ac:dyDescent="0.15">
      <c r="A179" s="10" t="str">
        <f t="shared" ref="A179:A180" si="121">B179&amp;C179</f>
        <v>1200136</v>
      </c>
      <c r="B179" s="14">
        <v>1200</v>
      </c>
      <c r="C179" s="6">
        <v>136</v>
      </c>
      <c r="D179" s="52" t="str">
        <f>IFERROR(VLOOKUP(C179,gachas!A:C,3),0)</f>
        <v xml:space="preserve">攻撃凸 </v>
      </c>
      <c r="E179" s="53" t="s">
        <v>228</v>
      </c>
      <c r="F179" s="53" t="s">
        <v>229</v>
      </c>
      <c r="G179" s="24">
        <v>1</v>
      </c>
      <c r="H179" s="2">
        <f t="shared" si="118"/>
        <v>9967</v>
      </c>
    </row>
    <row r="180" spans="1:8" ht="21" customHeight="1" x14ac:dyDescent="0.15">
      <c r="A180" s="10" t="str">
        <f t="shared" si="121"/>
        <v>1210138</v>
      </c>
      <c r="B180" s="14">
        <v>1210</v>
      </c>
      <c r="C180" s="6">
        <v>138</v>
      </c>
      <c r="D180" s="52" t="str">
        <f>IFERROR(VLOOKUP(C180,gachas!A:C,3),0)</f>
        <v>斎藤ピックアップ</v>
      </c>
      <c r="E180" s="53" t="s">
        <v>230</v>
      </c>
      <c r="F180" s="53" t="s">
        <v>231</v>
      </c>
      <c r="G180" s="24">
        <v>1</v>
      </c>
      <c r="H180" s="2">
        <f t="shared" si="118"/>
        <v>9966</v>
      </c>
    </row>
    <row r="181" spans="1:8" ht="21" customHeight="1" x14ac:dyDescent="0.15">
      <c r="A181" s="10" t="str">
        <f t="shared" ref="A181:A182" si="122">B181&amp;C181</f>
        <v>1220140</v>
      </c>
      <c r="B181" s="14">
        <v>1220</v>
      </c>
      <c r="C181" s="6">
        <v>140</v>
      </c>
      <c r="D181" s="52" t="str">
        <f>IFERROR(VLOOKUP(C181,gachas!A:C,3),0)</f>
        <v>新ガチャ（神話動物）前半</v>
      </c>
      <c r="E181" s="53" t="s">
        <v>232</v>
      </c>
      <c r="F181" s="53" t="s">
        <v>233</v>
      </c>
      <c r="G181" s="24">
        <v>1</v>
      </c>
      <c r="H181" s="2">
        <f t="shared" si="118"/>
        <v>9965</v>
      </c>
    </row>
    <row r="182" spans="1:8" ht="21" customHeight="1" x14ac:dyDescent="0.15">
      <c r="A182" s="10" t="str">
        <f t="shared" si="122"/>
        <v>1230142</v>
      </c>
      <c r="B182" s="14">
        <v>1230</v>
      </c>
      <c r="C182" s="6">
        <v>142</v>
      </c>
      <c r="D182" s="52" t="str">
        <f>IFERROR(VLOOKUP(C182,gachas!A:C,3),0)</f>
        <v>新ガチャ（神話動物）後半</v>
      </c>
      <c r="E182" s="53" t="s">
        <v>234</v>
      </c>
      <c r="F182" s="53" t="s">
        <v>265</v>
      </c>
      <c r="G182" s="24">
        <v>1</v>
      </c>
      <c r="H182" s="2">
        <f t="shared" si="118"/>
        <v>9964</v>
      </c>
    </row>
    <row r="183" spans="1:8" ht="21" customHeight="1" x14ac:dyDescent="0.15">
      <c r="A183" s="10" t="str">
        <f t="shared" ref="A183:A184" si="123">B183&amp;C183</f>
        <v>144144</v>
      </c>
      <c r="B183" s="14">
        <v>144</v>
      </c>
      <c r="C183" s="6">
        <v>144</v>
      </c>
      <c r="D183" s="52" t="str">
        <f>IFERROR(VLOOKUP(C183,gachas!A:C,3),0)</f>
        <v>フィーバーフェスティバル</v>
      </c>
      <c r="E183" s="54" t="s">
        <v>236</v>
      </c>
      <c r="F183" s="54" t="s">
        <v>237</v>
      </c>
      <c r="G183" s="24">
        <v>1</v>
      </c>
      <c r="H183" s="2">
        <f t="shared" si="118"/>
        <v>9963</v>
      </c>
    </row>
    <row r="184" spans="1:8" ht="21" customHeight="1" x14ac:dyDescent="0.15">
      <c r="A184" s="10" t="str">
        <f t="shared" si="123"/>
        <v>146146</v>
      </c>
      <c r="B184" s="14">
        <v>146</v>
      </c>
      <c r="C184" s="6">
        <v>146</v>
      </c>
      <c r="D184" s="52" t="str">
        <f>IFERROR(VLOOKUP(C184,gachas!A:C,3),0)</f>
        <v>新ガチャ（神話動物）恒常</v>
      </c>
      <c r="E184" s="54" t="s">
        <v>263</v>
      </c>
      <c r="F184" s="54" t="s">
        <v>264</v>
      </c>
      <c r="G184" s="24">
        <v>1</v>
      </c>
      <c r="H184" s="2">
        <f t="shared" si="118"/>
        <v>9962</v>
      </c>
    </row>
    <row r="185" spans="1:8" ht="21" customHeight="1" x14ac:dyDescent="0.15">
      <c r="A185" s="10" t="str">
        <f t="shared" ref="A185" si="124">B185&amp;C185</f>
        <v>148148</v>
      </c>
      <c r="B185" s="14">
        <v>148</v>
      </c>
      <c r="C185" s="6">
        <v>148</v>
      </c>
      <c r="D185" s="52" t="str">
        <f>IFERROR(VLOOKUP(C185,gachas!A:C,3),0)</f>
        <v>親指ピックアップ</v>
      </c>
      <c r="E185" s="54" t="s">
        <v>242</v>
      </c>
      <c r="F185" s="54" t="s">
        <v>243</v>
      </c>
      <c r="G185" s="24">
        <v>1</v>
      </c>
      <c r="H185" s="2">
        <f t="shared" si="118"/>
        <v>9961</v>
      </c>
    </row>
    <row r="186" spans="1:8" ht="21" customHeight="1" x14ac:dyDescent="0.15">
      <c r="A186" s="10" t="str">
        <f t="shared" ref="A186" si="125">B186&amp;C186</f>
        <v>149149</v>
      </c>
      <c r="B186" s="14">
        <v>149</v>
      </c>
      <c r="C186" s="6">
        <v>149</v>
      </c>
      <c r="D186" s="52" t="str">
        <f>IFERROR(VLOOKUP(C186,gachas!A:C,3),0)</f>
        <v>山田ピックアップ</v>
      </c>
      <c r="E186" s="54" t="s">
        <v>274</v>
      </c>
      <c r="F186" s="54" t="s">
        <v>262</v>
      </c>
      <c r="G186" s="24">
        <v>1</v>
      </c>
      <c r="H186" s="2">
        <f t="shared" si="118"/>
        <v>9960</v>
      </c>
    </row>
    <row r="187" spans="1:8" ht="21" customHeight="1" x14ac:dyDescent="0.15">
      <c r="A187" s="10" t="str">
        <f t="shared" ref="A187:A188" si="126">B187&amp;C187</f>
        <v>150150</v>
      </c>
      <c r="B187" s="14">
        <v>150</v>
      </c>
      <c r="C187" s="6">
        <v>150</v>
      </c>
      <c r="D187" s="52" t="str">
        <f>IFERROR(VLOOKUP(C187,gachas!A:C,3),0)</f>
        <v>100万DL記念</v>
      </c>
      <c r="E187" s="54" t="s">
        <v>298</v>
      </c>
      <c r="F187" s="54" t="s">
        <v>299</v>
      </c>
      <c r="G187" s="24">
        <v>1</v>
      </c>
      <c r="H187" s="2">
        <f t="shared" si="118"/>
        <v>9959</v>
      </c>
    </row>
    <row r="188" spans="1:8" ht="21" customHeight="1" x14ac:dyDescent="0.15">
      <c r="A188" s="10" t="str">
        <f t="shared" si="126"/>
        <v>151151</v>
      </c>
      <c r="B188" s="14">
        <v>151</v>
      </c>
      <c r="C188" s="6">
        <v>151</v>
      </c>
      <c r="D188" s="52" t="str">
        <f>IFERROR(VLOOKUP(C188,gachas!A:C,3),0)</f>
        <v>オズ</v>
      </c>
      <c r="E188" s="54" t="s">
        <v>283</v>
      </c>
      <c r="F188" s="54" t="s">
        <v>277</v>
      </c>
      <c r="G188" s="24">
        <v>1</v>
      </c>
      <c r="H188" s="2">
        <f t="shared" si="118"/>
        <v>9958</v>
      </c>
    </row>
    <row r="189" spans="1:8" ht="21" customHeight="1" x14ac:dyDescent="0.15">
      <c r="A189" s="10" t="str">
        <f t="shared" ref="A189" si="127">B189&amp;C189</f>
        <v>152152</v>
      </c>
      <c r="B189" s="14">
        <v>152</v>
      </c>
      <c r="C189" s="6">
        <v>152</v>
      </c>
      <c r="D189" s="52" t="str">
        <f>IFERROR(VLOOKUP(C189,gachas!A:C,3),0)</f>
        <v>ウィザードピックアップ</v>
      </c>
      <c r="E189" s="54" t="s">
        <v>284</v>
      </c>
      <c r="F189" s="54" t="s">
        <v>277</v>
      </c>
      <c r="G189" s="24">
        <v>1</v>
      </c>
      <c r="H189" s="2">
        <f t="shared" si="118"/>
        <v>9957</v>
      </c>
    </row>
    <row r="190" spans="1:8" ht="21" customHeight="1" x14ac:dyDescent="0.15">
      <c r="A190" s="10" t="str">
        <f t="shared" ref="A190:A196" si="128">B190&amp;C190</f>
        <v>153153</v>
      </c>
      <c r="B190" s="14">
        <v>153</v>
      </c>
      <c r="C190" s="6">
        <v>153</v>
      </c>
      <c r="D190" s="52" t="str">
        <f>IFERROR(VLOOKUP(C190,gachas!A:C,3),0)</f>
        <v>フィバフェス</v>
      </c>
      <c r="E190" s="54" t="s">
        <v>296</v>
      </c>
      <c r="F190" s="54" t="s">
        <v>297</v>
      </c>
      <c r="G190" s="24">
        <v>1</v>
      </c>
      <c r="H190" s="2">
        <f t="shared" si="118"/>
        <v>9956</v>
      </c>
    </row>
    <row r="191" spans="1:8" ht="21" customHeight="1" x14ac:dyDescent="0.15">
      <c r="A191" s="10" t="str">
        <f t="shared" si="128"/>
        <v>154154</v>
      </c>
      <c r="B191" s="14">
        <v>154</v>
      </c>
      <c r="C191" s="6">
        <v>154</v>
      </c>
      <c r="D191" s="52" t="str">
        <f>IFERROR(VLOOKUP(C191,gachas!A:C,3),0)</f>
        <v>円卓ガチャ</v>
      </c>
      <c r="E191" s="54" t="s">
        <v>302</v>
      </c>
      <c r="F191" s="54" t="s">
        <v>314</v>
      </c>
      <c r="G191" s="24">
        <v>1</v>
      </c>
      <c r="H191" s="2">
        <f t="shared" si="118"/>
        <v>9955</v>
      </c>
    </row>
    <row r="192" spans="1:8" ht="21" customHeight="1" x14ac:dyDescent="0.15">
      <c r="A192" s="10" t="str">
        <f t="shared" si="128"/>
        <v>155155</v>
      </c>
      <c r="B192" s="14">
        <v>155</v>
      </c>
      <c r="C192" s="6">
        <v>155</v>
      </c>
      <c r="D192" s="52" t="str">
        <f>IFERROR(VLOOKUP(C192,gachas!A:C,3),0)</f>
        <v>緑フィーバー</v>
      </c>
      <c r="E192" s="54" t="s">
        <v>308</v>
      </c>
      <c r="F192" s="54" t="s">
        <v>304</v>
      </c>
      <c r="G192" s="24">
        <v>1</v>
      </c>
      <c r="H192" s="2">
        <f t="shared" si="118"/>
        <v>9954</v>
      </c>
    </row>
    <row r="193" spans="1:8" ht="21" customHeight="1" x14ac:dyDescent="0.15">
      <c r="A193" s="10" t="str">
        <f t="shared" si="128"/>
        <v>156156</v>
      </c>
      <c r="B193" s="14">
        <v>156</v>
      </c>
      <c r="C193" s="6">
        <v>156</v>
      </c>
      <c r="D193" s="52" t="str">
        <f>IFERROR(VLOOKUP(C193,gachas!A:C,3),0)</f>
        <v>クラファーセレクション</v>
      </c>
      <c r="E193" s="54" t="s">
        <v>310</v>
      </c>
      <c r="F193" s="54" t="s">
        <v>311</v>
      </c>
      <c r="G193" s="24">
        <v>1</v>
      </c>
      <c r="H193" s="2">
        <f t="shared" si="118"/>
        <v>9953</v>
      </c>
    </row>
    <row r="194" spans="1:8" ht="21" customHeight="1" x14ac:dyDescent="0.15">
      <c r="A194" s="10" t="str">
        <f t="shared" si="128"/>
        <v>157157</v>
      </c>
      <c r="B194" s="14">
        <v>157</v>
      </c>
      <c r="C194" s="6">
        <v>157</v>
      </c>
      <c r="D194" s="52" t="str">
        <f>IFERROR(VLOOKUP(C194,gachas!A:C,3),0)</f>
        <v>体力フィーバー</v>
      </c>
      <c r="E194" s="54" t="s">
        <v>317</v>
      </c>
      <c r="F194" s="54" t="s">
        <v>318</v>
      </c>
      <c r="G194" s="24">
        <v>1</v>
      </c>
      <c r="H194" s="2">
        <f t="shared" si="118"/>
        <v>9952</v>
      </c>
    </row>
    <row r="195" spans="1:8" ht="21" customHeight="1" x14ac:dyDescent="0.15">
      <c r="A195" s="10" t="str">
        <f t="shared" si="128"/>
        <v>158158</v>
      </c>
      <c r="B195" s="14">
        <v>158</v>
      </c>
      <c r="C195" s="6">
        <v>158</v>
      </c>
      <c r="D195" s="52" t="str">
        <f>IFERROR(VLOOKUP(C195,gachas!A:C,3),0)</f>
        <v>ブルーフェスティバル</v>
      </c>
      <c r="E195" s="54" t="s">
        <v>317</v>
      </c>
      <c r="F195" s="54" t="s">
        <v>326</v>
      </c>
      <c r="G195" s="24">
        <v>1</v>
      </c>
      <c r="H195" s="2">
        <f t="shared" si="118"/>
        <v>9951</v>
      </c>
    </row>
    <row r="196" spans="1:8" ht="21" customHeight="1" x14ac:dyDescent="0.15">
      <c r="A196" s="10" t="str">
        <f t="shared" si="128"/>
        <v>159159</v>
      </c>
      <c r="B196" s="14">
        <v>159</v>
      </c>
      <c r="C196" s="6">
        <v>159</v>
      </c>
      <c r="D196" s="52" t="str">
        <f>IFERROR(VLOOKUP(C196,gachas!A:C,3),0)</f>
        <v>オズ対抗ピックアップ</v>
      </c>
      <c r="E196" s="54" t="s">
        <v>328</v>
      </c>
      <c r="F196" s="54" t="s">
        <v>329</v>
      </c>
      <c r="G196" s="24">
        <v>1</v>
      </c>
      <c r="H196" s="2">
        <f t="shared" si="118"/>
        <v>9950</v>
      </c>
    </row>
    <row r="197" spans="1:8" ht="21" customHeight="1" x14ac:dyDescent="0.15">
      <c r="A197" s="10" t="str">
        <f t="shared" ref="A197" si="129">B197&amp;C197</f>
        <v>160160</v>
      </c>
      <c r="B197" s="14">
        <v>160</v>
      </c>
      <c r="C197" s="6">
        <v>160</v>
      </c>
      <c r="D197" s="52" t="str">
        <f>IFERROR(VLOOKUP(C197,gachas!A:C,3),0)</f>
        <v>クリスマスフェス</v>
      </c>
      <c r="E197" s="54" t="s">
        <v>324</v>
      </c>
      <c r="F197" s="54" t="s">
        <v>325</v>
      </c>
      <c r="G197" s="24">
        <v>1</v>
      </c>
      <c r="H197" s="2">
        <f t="shared" si="118"/>
        <v>9949</v>
      </c>
    </row>
    <row r="198" spans="1:8" ht="21" customHeight="1" x14ac:dyDescent="0.15">
      <c r="A198" s="10" t="str">
        <f t="shared" ref="A198" si="130">B198&amp;C198</f>
        <v>161161</v>
      </c>
      <c r="B198" s="14">
        <v>161</v>
      </c>
      <c r="C198" s="6">
        <v>161</v>
      </c>
      <c r="D198" s="52" t="str">
        <f>IFERROR(VLOOKUP(C198,gachas!A:C,3),0)</f>
        <v>赤フィーバー</v>
      </c>
      <c r="E198" s="54" t="s">
        <v>346</v>
      </c>
      <c r="F198" s="54" t="s">
        <v>325</v>
      </c>
      <c r="G198" s="24">
        <v>1</v>
      </c>
      <c r="H198" s="2">
        <f t="shared" si="118"/>
        <v>9948</v>
      </c>
    </row>
    <row r="199" spans="1:8" ht="21" customHeight="1" x14ac:dyDescent="0.15">
      <c r="A199" s="10" t="str">
        <f t="shared" ref="A199" si="131">B199&amp;C199</f>
        <v>162162</v>
      </c>
      <c r="B199" s="14">
        <v>162</v>
      </c>
      <c r="C199" s="6">
        <v>162</v>
      </c>
      <c r="D199" s="52" t="str">
        <f>IFERROR(VLOOKUP(C199,gachas!A:C,3),0)</f>
        <v>アーサー対抗ピックアップ</v>
      </c>
      <c r="E199" s="54" t="s">
        <v>347</v>
      </c>
      <c r="F199" s="54" t="s">
        <v>384</v>
      </c>
      <c r="G199" s="24">
        <v>1</v>
      </c>
      <c r="H199" s="2">
        <f t="shared" si="118"/>
        <v>9947</v>
      </c>
    </row>
    <row r="200" spans="1:8" ht="21" customHeight="1" x14ac:dyDescent="0.15">
      <c r="A200" s="10" t="str">
        <f t="shared" ref="A200" si="132">B200&amp;C200</f>
        <v>163163</v>
      </c>
      <c r="B200" s="14">
        <v>163</v>
      </c>
      <c r="C200" s="6">
        <v>163</v>
      </c>
      <c r="D200" s="52" t="str">
        <f>IFERROR(VLOOKUP(C200,gachas!A:C,3),0)</f>
        <v>ロキガチャ</v>
      </c>
      <c r="E200" s="54" t="s">
        <v>396</v>
      </c>
      <c r="F200" s="54" t="s">
        <v>395</v>
      </c>
      <c r="G200" s="24">
        <v>1</v>
      </c>
      <c r="H200" s="2">
        <f t="shared" si="118"/>
        <v>9946</v>
      </c>
    </row>
    <row r="201" spans="1:8" ht="21" customHeight="1" x14ac:dyDescent="0.15">
      <c r="A201" s="10" t="str">
        <f t="shared" ref="A201" si="133">B201&amp;C201</f>
        <v>164164</v>
      </c>
      <c r="B201" s="14">
        <v>164</v>
      </c>
      <c r="C201" s="6">
        <v>164</v>
      </c>
      <c r="D201" s="52" t="str">
        <f>IFERROR(VLOOKUP(C201,gachas!A:C,3),0)</f>
        <v>ドラゴンフィーバー</v>
      </c>
      <c r="E201" s="54" t="s">
        <v>354</v>
      </c>
      <c r="F201" s="54" t="s">
        <v>357</v>
      </c>
      <c r="G201" s="24">
        <v>1</v>
      </c>
      <c r="H201" s="2">
        <f t="shared" si="118"/>
        <v>9945</v>
      </c>
    </row>
    <row r="202" spans="1:8" ht="21" customHeight="1" x14ac:dyDescent="0.15">
      <c r="A202" s="10" t="str">
        <f t="shared" ref="A202" si="134">B202&amp;C202</f>
        <v>165165</v>
      </c>
      <c r="B202" s="14">
        <v>165</v>
      </c>
      <c r="C202" s="6">
        <v>165</v>
      </c>
      <c r="D202" s="52" t="str">
        <f>IFERROR(VLOOKUP(C202,gachas!A:C,3),0)</f>
        <v>年忘れフィーバーフェス</v>
      </c>
      <c r="E202" s="54" t="s">
        <v>360</v>
      </c>
      <c r="F202" s="54" t="s">
        <v>361</v>
      </c>
      <c r="G202" s="24">
        <v>1</v>
      </c>
      <c r="H202" s="2">
        <f t="shared" si="118"/>
        <v>9944</v>
      </c>
    </row>
    <row r="203" spans="1:8" ht="21" customHeight="1" x14ac:dyDescent="0.15">
      <c r="A203" s="10" t="str">
        <f t="shared" ref="A203" si="135">B203&amp;C203</f>
        <v>166166</v>
      </c>
      <c r="B203" s="14">
        <v>166</v>
      </c>
      <c r="C203" s="6">
        <v>166</v>
      </c>
      <c r="D203" s="52" t="str">
        <f>IFERROR(VLOOKUP(C203,gachas!A:C,3),0)</f>
        <v>お年玉ガチャ</v>
      </c>
      <c r="E203" s="54" t="s">
        <v>371</v>
      </c>
      <c r="F203" s="54" t="s">
        <v>365</v>
      </c>
      <c r="G203" s="24">
        <v>1</v>
      </c>
      <c r="H203" s="2">
        <f t="shared" si="118"/>
        <v>9943</v>
      </c>
    </row>
    <row r="204" spans="1:8" ht="21" customHeight="1" x14ac:dyDescent="0.15">
      <c r="A204" s="10" t="str">
        <f t="shared" ref="A204" si="136">B204&amp;C204</f>
        <v>167167</v>
      </c>
      <c r="B204" s="14">
        <v>167</v>
      </c>
      <c r="C204" s="6">
        <v>167</v>
      </c>
      <c r="D204" s="52" t="str">
        <f>IFERROR(VLOOKUP(C204,gachas!A:C,3),0)</f>
        <v>福袋ガチャ</v>
      </c>
      <c r="E204" s="54" t="s">
        <v>379</v>
      </c>
      <c r="F204" s="54" t="s">
        <v>385</v>
      </c>
      <c r="G204" s="24">
        <v>1</v>
      </c>
      <c r="H204" s="2">
        <f t="shared" si="118"/>
        <v>9942</v>
      </c>
    </row>
    <row r="205" spans="1:8" ht="21" customHeight="1" x14ac:dyDescent="0.15">
      <c r="A205" s="10" t="str">
        <f t="shared" ref="A205" si="137">B205&amp;C205</f>
        <v>168168</v>
      </c>
      <c r="B205" s="14">
        <v>168</v>
      </c>
      <c r="C205" s="6">
        <v>168</v>
      </c>
      <c r="D205" s="52" t="str">
        <f>IFERROR(VLOOKUP(C205,gachas!A:C,3),0)</f>
        <v>美女と野獣ガチャ（バナーA)</v>
      </c>
      <c r="E205" s="54" t="s">
        <v>393</v>
      </c>
      <c r="F205" s="54" t="s">
        <v>401</v>
      </c>
      <c r="G205" s="24">
        <v>1</v>
      </c>
      <c r="H205" s="2">
        <f t="shared" si="118"/>
        <v>9941</v>
      </c>
    </row>
    <row r="206" spans="1:8" ht="21" customHeight="1" x14ac:dyDescent="0.15">
      <c r="A206" s="10" t="str">
        <f t="shared" ref="A206" si="138">B206&amp;C206</f>
        <v>169169</v>
      </c>
      <c r="B206" s="14">
        <v>169</v>
      </c>
      <c r="C206" s="6">
        <v>169</v>
      </c>
      <c r="D206" s="52" t="str">
        <f>IFERROR(VLOOKUP(C206,gachas!A:C,3),0)</f>
        <v>美女と野獣ガチャ（バナーB）</v>
      </c>
      <c r="E206" s="54" t="s">
        <v>400</v>
      </c>
      <c r="F206" s="54" t="s">
        <v>390</v>
      </c>
      <c r="G206" s="24">
        <v>1</v>
      </c>
      <c r="H206" s="2">
        <f t="shared" si="118"/>
        <v>9940</v>
      </c>
    </row>
    <row r="207" spans="1:8" ht="21" customHeight="1" x14ac:dyDescent="0.15">
      <c r="A207" s="10" t="str">
        <f t="shared" ref="A207" si="139">B207&amp;C207</f>
        <v>170170</v>
      </c>
      <c r="B207" s="14">
        <v>170</v>
      </c>
      <c r="C207" s="6">
        <v>170</v>
      </c>
      <c r="D207" s="52" t="str">
        <f>IFERROR(VLOOKUP(C207,gachas!A:C,3),0)</f>
        <v>ブルーフェスティバル</v>
      </c>
      <c r="E207" s="54" t="s">
        <v>394</v>
      </c>
      <c r="F207" s="54" t="s">
        <v>397</v>
      </c>
      <c r="G207" s="24">
        <v>1</v>
      </c>
      <c r="H207" s="2">
        <f t="shared" si="118"/>
        <v>9939</v>
      </c>
    </row>
    <row r="208" spans="1:8" ht="21" customHeight="1" x14ac:dyDescent="0.15">
      <c r="A208" s="10" t="str">
        <f t="shared" ref="A208:A209" si="140">B208&amp;C208</f>
        <v>171171</v>
      </c>
      <c r="B208" s="14">
        <v>171</v>
      </c>
      <c r="C208" s="6">
        <v>171</v>
      </c>
      <c r="D208" s="52" t="str">
        <f>IFERROR(VLOOKUP(C208,gachas!A:C,3),0)</f>
        <v>150万DL記念ガチャ</v>
      </c>
      <c r="E208" s="54" t="s">
        <v>404</v>
      </c>
      <c r="F208" s="54" t="s">
        <v>405</v>
      </c>
      <c r="G208" s="24">
        <v>1</v>
      </c>
      <c r="H208" s="2">
        <f t="shared" si="118"/>
        <v>9938</v>
      </c>
    </row>
    <row r="209" spans="1:8" ht="21" customHeight="1" x14ac:dyDescent="0.15">
      <c r="A209" s="10" t="str">
        <f t="shared" si="140"/>
        <v>172172</v>
      </c>
      <c r="B209" s="14">
        <v>172</v>
      </c>
      <c r="C209" s="6">
        <v>172</v>
      </c>
      <c r="D209" s="52" t="str">
        <f>IFERROR(VLOOKUP(C209,gachas!A:C,3),0)</f>
        <v>グリム対抗ピックアップ</v>
      </c>
      <c r="E209" s="54" t="s">
        <v>408</v>
      </c>
      <c r="F209" s="54" t="s">
        <v>406</v>
      </c>
      <c r="G209" s="24">
        <v>1</v>
      </c>
      <c r="H209" s="2">
        <f t="shared" si="118"/>
        <v>9937</v>
      </c>
    </row>
    <row r="210" spans="1:8" ht="21" customHeight="1" x14ac:dyDescent="0.15">
      <c r="A210" s="10" t="str">
        <f t="shared" ref="A210:A211" si="141">B210&amp;C210</f>
        <v>173173</v>
      </c>
      <c r="B210" s="14">
        <v>173</v>
      </c>
      <c r="C210" s="6">
        <v>173</v>
      </c>
      <c r="D210" s="52" t="str">
        <f>IFERROR(VLOOKUP(C210,gachas!A:C,3),0)</f>
        <v>アルフヘイムガチャ</v>
      </c>
      <c r="E210" s="54" t="s">
        <v>446</v>
      </c>
      <c r="F210" s="54" t="s">
        <v>502</v>
      </c>
      <c r="G210" s="24">
        <v>1</v>
      </c>
      <c r="H210" s="2">
        <f t="shared" si="118"/>
        <v>9936</v>
      </c>
    </row>
    <row r="211" spans="1:8" ht="21" customHeight="1" x14ac:dyDescent="0.15">
      <c r="A211" s="10" t="str">
        <f t="shared" si="141"/>
        <v>174174</v>
      </c>
      <c r="B211" s="14">
        <v>174</v>
      </c>
      <c r="C211" s="6">
        <v>174</v>
      </c>
      <c r="D211" s="52" t="str">
        <f>IFERROR(VLOOKUP(C211,gachas!A:C,3),0)</f>
        <v>レッドフェスティバル</v>
      </c>
      <c r="E211" s="54" t="s">
        <v>442</v>
      </c>
      <c r="F211" s="54" t="s">
        <v>447</v>
      </c>
      <c r="G211" s="24">
        <v>1</v>
      </c>
      <c r="H211" s="2">
        <f t="shared" si="118"/>
        <v>9935</v>
      </c>
    </row>
    <row r="212" spans="1:8" ht="21" customHeight="1" x14ac:dyDescent="0.15">
      <c r="A212" s="10" t="str">
        <f t="shared" ref="A212" si="142">B212&amp;C212</f>
        <v>175175</v>
      </c>
      <c r="B212" s="14">
        <v>175</v>
      </c>
      <c r="C212" s="6">
        <v>175</v>
      </c>
      <c r="D212" s="52" t="str">
        <f>IFERROR(VLOOKUP(C212,gachas!A:C,3),0)</f>
        <v>ステップアップガチャ</v>
      </c>
      <c r="E212" s="54" t="s">
        <v>421</v>
      </c>
      <c r="F212" s="54" t="s">
        <v>420</v>
      </c>
      <c r="G212" s="24">
        <v>1</v>
      </c>
      <c r="H212" s="2">
        <f t="shared" ref="H212:H240" si="143">H211-1</f>
        <v>9934</v>
      </c>
    </row>
    <row r="213" spans="1:8" ht="21" customHeight="1" x14ac:dyDescent="0.15">
      <c r="A213" s="10" t="str">
        <f t="shared" ref="A213:A216" si="144">B213&amp;C213</f>
        <v>176176</v>
      </c>
      <c r="B213" s="14">
        <v>176</v>
      </c>
      <c r="C213" s="6">
        <v>176</v>
      </c>
      <c r="D213" s="52" t="str">
        <f>IFERROR(VLOOKUP(C213,gachas!A:C,3),0)</f>
        <v>ドラゴンフィーバー</v>
      </c>
      <c r="E213" s="54" t="s">
        <v>442</v>
      </c>
      <c r="F213" s="54" t="s">
        <v>448</v>
      </c>
      <c r="G213" s="24">
        <v>1</v>
      </c>
      <c r="H213" s="2">
        <f t="shared" si="143"/>
        <v>9933</v>
      </c>
    </row>
    <row r="214" spans="1:8" ht="21" customHeight="1" x14ac:dyDescent="0.15">
      <c r="A214" s="10" t="str">
        <f t="shared" si="144"/>
        <v>177177</v>
      </c>
      <c r="B214" s="14">
        <v>177</v>
      </c>
      <c r="C214" s="14">
        <v>177</v>
      </c>
      <c r="D214" s="52" t="str">
        <f>IFERROR(VLOOKUP(C214,gachas!A:C,3),0)</f>
        <v>クラコレ</v>
      </c>
      <c r="E214" s="54" t="s">
        <v>478</v>
      </c>
      <c r="F214" s="54" t="s">
        <v>462</v>
      </c>
      <c r="G214" s="24">
        <v>1</v>
      </c>
      <c r="H214" s="2">
        <f t="shared" si="143"/>
        <v>9932</v>
      </c>
    </row>
    <row r="215" spans="1:8" ht="21" customHeight="1" x14ac:dyDescent="0.15">
      <c r="A215" s="10" t="str">
        <f t="shared" si="144"/>
        <v>178178</v>
      </c>
      <c r="B215" s="14">
        <v>178</v>
      </c>
      <c r="C215" s="14">
        <v>178</v>
      </c>
      <c r="D215" s="52" t="str">
        <f>IFERROR(VLOOKUP(C215,gachas!A:C,3),0)</f>
        <v>ミクガチャ（ミクUP）</v>
      </c>
      <c r="E215" s="54" t="s">
        <v>479</v>
      </c>
      <c r="F215" s="54" t="s">
        <v>485</v>
      </c>
      <c r="G215" s="24">
        <v>1</v>
      </c>
      <c r="H215" s="2">
        <f t="shared" si="143"/>
        <v>9931</v>
      </c>
    </row>
    <row r="216" spans="1:8" ht="21" customHeight="1" x14ac:dyDescent="0.15">
      <c r="A216" s="10" t="str">
        <f t="shared" si="144"/>
        <v>179179</v>
      </c>
      <c r="B216" s="14">
        <v>179</v>
      </c>
      <c r="C216" s="14">
        <v>179</v>
      </c>
      <c r="D216" s="52" t="str">
        <f>IFERROR(VLOOKUP(C216,gachas!A:C,3),0)</f>
        <v>ミクガチャ（アペンドUP）</v>
      </c>
      <c r="E216" s="54" t="s">
        <v>486</v>
      </c>
      <c r="F216" s="54" t="s">
        <v>480</v>
      </c>
      <c r="G216" s="24">
        <v>1</v>
      </c>
      <c r="H216" s="2">
        <f t="shared" si="143"/>
        <v>9930</v>
      </c>
    </row>
    <row r="217" spans="1:8" ht="21" customHeight="1" x14ac:dyDescent="0.15">
      <c r="A217" s="10" t="str">
        <f t="shared" ref="A217" si="145">B217&amp;C217</f>
        <v>180180</v>
      </c>
      <c r="B217" s="14">
        <v>180</v>
      </c>
      <c r="C217" s="14">
        <v>180</v>
      </c>
      <c r="D217" s="52" t="str">
        <f>IFERROR(VLOOKUP(C217,gachas!A:C,3),0)</f>
        <v>フィーバーフェスティバル</v>
      </c>
      <c r="E217" s="54" t="s">
        <v>498</v>
      </c>
      <c r="F217" s="54" t="s">
        <v>499</v>
      </c>
      <c r="G217" s="24">
        <v>1</v>
      </c>
      <c r="H217" s="2">
        <f t="shared" si="143"/>
        <v>9929</v>
      </c>
    </row>
    <row r="218" spans="1:8" ht="21" customHeight="1" x14ac:dyDescent="0.15">
      <c r="A218" s="10" t="str">
        <f t="shared" ref="A218:A219" si="146">B218&amp;C218</f>
        <v>181181</v>
      </c>
      <c r="B218" s="14">
        <v>181</v>
      </c>
      <c r="C218" s="14">
        <v>181</v>
      </c>
      <c r="D218" s="52" t="str">
        <f>IFERROR(VLOOKUP(C218,gachas!A:C,3),0)</f>
        <v>ピックアップフィーバー</v>
      </c>
      <c r="E218" s="54" t="s">
        <v>494</v>
      </c>
      <c r="F218" s="54" t="s">
        <v>500</v>
      </c>
      <c r="G218" s="24">
        <v>1</v>
      </c>
      <c r="H218" s="2">
        <f t="shared" si="143"/>
        <v>9928</v>
      </c>
    </row>
    <row r="219" spans="1:8" ht="21" customHeight="1" x14ac:dyDescent="0.15">
      <c r="A219" s="10" t="str">
        <f t="shared" si="146"/>
        <v>182182</v>
      </c>
      <c r="B219" s="14">
        <v>182</v>
      </c>
      <c r="C219" s="14">
        <v>182</v>
      </c>
      <c r="D219" s="52" t="str">
        <f>IFERROR(VLOOKUP(C219,gachas!A:C,3),0)</f>
        <v>ラグナロクガチャ２</v>
      </c>
      <c r="E219" s="54" t="s">
        <v>497</v>
      </c>
      <c r="F219" s="54" t="s">
        <v>555</v>
      </c>
      <c r="G219" s="24">
        <v>1</v>
      </c>
      <c r="H219" s="2">
        <f t="shared" si="143"/>
        <v>9927</v>
      </c>
    </row>
    <row r="220" spans="1:8" ht="21" customHeight="1" x14ac:dyDescent="0.15">
      <c r="A220" s="10" t="str">
        <f t="shared" ref="A220:A221" si="147">B220&amp;C220</f>
        <v>184184</v>
      </c>
      <c r="B220" s="14">
        <v>184</v>
      </c>
      <c r="C220" s="14">
        <v>184</v>
      </c>
      <c r="D220" s="52" t="str">
        <f>IFERROR(VLOOKUP(C220,gachas!A:C,3),0)</f>
        <v>イエローフェス（ハップル）</v>
      </c>
      <c r="E220" s="54" t="s">
        <v>513</v>
      </c>
      <c r="F220" s="54" t="s">
        <v>514</v>
      </c>
      <c r="G220" s="24">
        <v>1</v>
      </c>
      <c r="H220" s="2">
        <f t="shared" si="143"/>
        <v>9926</v>
      </c>
    </row>
    <row r="221" spans="1:8" ht="21" customHeight="1" x14ac:dyDescent="0.15">
      <c r="A221" s="10" t="str">
        <f t="shared" si="147"/>
        <v>185185</v>
      </c>
      <c r="B221" s="14">
        <v>185</v>
      </c>
      <c r="C221" s="14">
        <v>185</v>
      </c>
      <c r="D221" s="52" t="str">
        <f>IFERROR(VLOOKUP(C221,gachas!A:C,3),0)</f>
        <v>旧Wiz対抗ピックアップ</v>
      </c>
      <c r="E221" s="54" t="s">
        <v>515</v>
      </c>
      <c r="F221" s="54" t="s">
        <v>516</v>
      </c>
      <c r="G221" s="24">
        <v>1</v>
      </c>
      <c r="H221" s="2">
        <f t="shared" si="143"/>
        <v>9925</v>
      </c>
    </row>
    <row r="222" spans="1:8" ht="21" customHeight="1" x14ac:dyDescent="0.15">
      <c r="A222" s="10" t="str">
        <f t="shared" ref="A222" si="148">B222&amp;C222</f>
        <v>186186</v>
      </c>
      <c r="B222" s="14">
        <v>186</v>
      </c>
      <c r="C222" s="14">
        <v>186</v>
      </c>
      <c r="D222" s="52" t="str">
        <f>IFERROR(VLOOKUP(C222,gachas!A:C,3),0)</f>
        <v>ステップアップフィーバー</v>
      </c>
      <c r="E222" s="54" t="s">
        <v>545</v>
      </c>
      <c r="F222" s="54" t="s">
        <v>519</v>
      </c>
      <c r="G222" s="24">
        <v>1</v>
      </c>
      <c r="H222" s="2">
        <f t="shared" si="143"/>
        <v>9924</v>
      </c>
    </row>
    <row r="223" spans="1:8" ht="21" customHeight="1" x14ac:dyDescent="0.15">
      <c r="A223" s="10" t="str">
        <f t="shared" ref="A223:A225" si="149">B223&amp;C223</f>
        <v>187187</v>
      </c>
      <c r="B223" s="14">
        <v>187</v>
      </c>
      <c r="C223" s="14">
        <v>187</v>
      </c>
      <c r="D223" s="52" t="str">
        <f>IFERROR(VLOOKUP(C223,gachas!A:C,3),0)</f>
        <v>マシンフィーバー</v>
      </c>
      <c r="E223" s="54" t="s">
        <v>523</v>
      </c>
      <c r="F223" s="54" t="s">
        <v>524</v>
      </c>
      <c r="G223" s="24">
        <v>1</v>
      </c>
      <c r="H223" s="2">
        <f t="shared" si="143"/>
        <v>9923</v>
      </c>
    </row>
    <row r="224" spans="1:8" ht="21" customHeight="1" x14ac:dyDescent="0.15">
      <c r="A224" s="10" t="str">
        <f t="shared" si="149"/>
        <v>188188</v>
      </c>
      <c r="B224" s="14">
        <v>188</v>
      </c>
      <c r="C224" s="14">
        <v>188</v>
      </c>
      <c r="D224" s="52" t="str">
        <f>IFERROR(VLOOKUP(C224,gachas!A:C,3),0)</f>
        <v>第２弾 200万DL記念ガチャ</v>
      </c>
      <c r="E224" s="54" t="s">
        <v>554</v>
      </c>
      <c r="F224" s="54" t="s">
        <v>551</v>
      </c>
      <c r="G224" s="24">
        <v>1</v>
      </c>
      <c r="H224" s="2">
        <f t="shared" si="143"/>
        <v>9922</v>
      </c>
    </row>
    <row r="225" spans="1:8" ht="21" customHeight="1" x14ac:dyDescent="0.15">
      <c r="A225" s="10" t="str">
        <f t="shared" si="149"/>
        <v>189189</v>
      </c>
      <c r="B225" s="14">
        <v>189</v>
      </c>
      <c r="C225" s="14">
        <v>189</v>
      </c>
      <c r="D225" s="52" t="str">
        <f>IFERROR(VLOOKUP(C225,gachas!A:C,3),0)</f>
        <v>クラファーコレクション</v>
      </c>
      <c r="E225" s="54" t="s">
        <v>525</v>
      </c>
      <c r="F225" s="54" t="s">
        <v>543</v>
      </c>
      <c r="G225" s="24">
        <v>1</v>
      </c>
      <c r="H225" s="2">
        <f t="shared" si="143"/>
        <v>9921</v>
      </c>
    </row>
    <row r="226" spans="1:8" ht="21" customHeight="1" x14ac:dyDescent="0.15">
      <c r="A226" s="10" t="str">
        <f t="shared" ref="A226" si="150">B226&amp;C226</f>
        <v>190190</v>
      </c>
      <c r="B226" s="14">
        <v>190</v>
      </c>
      <c r="C226" s="14">
        <v>190</v>
      </c>
      <c r="D226" s="52" t="str">
        <f>IFERROR(VLOOKUP(C226,gachas!A:C,3),0)</f>
        <v>第１弾 200万DL記念ガチャ</v>
      </c>
      <c r="E226" s="54" t="s">
        <v>556</v>
      </c>
      <c r="F226" s="54" t="s">
        <v>550</v>
      </c>
      <c r="G226" s="24">
        <v>1</v>
      </c>
      <c r="H226" s="2">
        <f t="shared" si="143"/>
        <v>9920</v>
      </c>
    </row>
    <row r="227" spans="1:8" ht="21" customHeight="1" x14ac:dyDescent="0.15">
      <c r="A227" s="10" t="str">
        <f t="shared" ref="A227" si="151">B227&amp;C227</f>
        <v>196196</v>
      </c>
      <c r="B227" s="14">
        <v>196</v>
      </c>
      <c r="C227" s="14">
        <v>196</v>
      </c>
      <c r="D227" s="52" t="str">
        <f>IFERROR(VLOOKUP(C227,gachas!A:C,3),0)</f>
        <v>フィーバーフェスティバル（ファラデーUP）</v>
      </c>
      <c r="E227" s="54" t="s">
        <v>579</v>
      </c>
      <c r="F227" s="54" t="s">
        <v>563</v>
      </c>
      <c r="G227" s="24">
        <v>1</v>
      </c>
      <c r="H227" s="2">
        <f t="shared" si="143"/>
        <v>9919</v>
      </c>
    </row>
    <row r="228" spans="1:8" ht="21" customHeight="1" x14ac:dyDescent="0.15">
      <c r="A228" s="10" t="str">
        <f t="shared" ref="A228:A229" si="152">B228&amp;C228</f>
        <v>197197</v>
      </c>
      <c r="B228" s="14">
        <v>197</v>
      </c>
      <c r="C228" s="14">
        <v>197</v>
      </c>
      <c r="D228" s="52" t="str">
        <f>IFERROR(VLOOKUP(C228,gachas!A:C,3),0)</f>
        <v>フィーバーフェスティバル（ユークリッドUP）</v>
      </c>
      <c r="E228" s="54" t="s">
        <v>564</v>
      </c>
      <c r="F228" s="54" t="s">
        <v>565</v>
      </c>
      <c r="G228" s="24">
        <v>1</v>
      </c>
      <c r="H228" s="2">
        <f t="shared" si="143"/>
        <v>9918</v>
      </c>
    </row>
    <row r="229" spans="1:8" ht="21" customHeight="1" x14ac:dyDescent="0.15">
      <c r="A229" s="10" t="str">
        <f t="shared" si="152"/>
        <v>198198</v>
      </c>
      <c r="B229" s="14">
        <v>198</v>
      </c>
      <c r="C229" s="14">
        <v>198</v>
      </c>
      <c r="D229" s="52" t="str">
        <f>IFERROR(VLOOKUP(C229,gachas!A:C,3),0)</f>
        <v>スーパーセレクション</v>
      </c>
      <c r="E229" s="54" t="s">
        <v>580</v>
      </c>
      <c r="F229" s="54" t="s">
        <v>581</v>
      </c>
      <c r="G229" s="24">
        <v>1</v>
      </c>
      <c r="H229" s="2">
        <f t="shared" si="143"/>
        <v>9917</v>
      </c>
    </row>
    <row r="230" spans="1:8" ht="21" customHeight="1" x14ac:dyDescent="0.15">
      <c r="A230" s="10" t="str">
        <f t="shared" ref="A230:A231" si="153">B230&amp;C230</f>
        <v>199199</v>
      </c>
      <c r="B230" s="14">
        <v>199</v>
      </c>
      <c r="C230" s="14">
        <v>199</v>
      </c>
      <c r="D230" s="52" t="str">
        <f>IFERROR(VLOOKUP(C230,gachas!A:C,3),0)</f>
        <v>妖怪ガチャ１</v>
      </c>
      <c r="E230" s="54" t="s">
        <v>605</v>
      </c>
      <c r="F230" s="54" t="s">
        <v>606</v>
      </c>
      <c r="G230" s="24">
        <v>1</v>
      </c>
      <c r="H230" s="2">
        <f t="shared" si="143"/>
        <v>9916</v>
      </c>
    </row>
    <row r="231" spans="1:8" ht="21" customHeight="1" x14ac:dyDescent="0.15">
      <c r="A231" s="10" t="str">
        <f t="shared" si="153"/>
        <v>300300</v>
      </c>
      <c r="B231" s="14">
        <v>300</v>
      </c>
      <c r="C231" s="14">
        <v>300</v>
      </c>
      <c r="D231" s="52" t="str">
        <f>IFERROR(VLOOKUP(C231,gachas!A:C,3),0)</f>
        <v>ノーマルガチャ</v>
      </c>
      <c r="E231" s="54" t="s">
        <v>608</v>
      </c>
      <c r="F231" s="54" t="s">
        <v>607</v>
      </c>
      <c r="G231" s="24">
        <v>1</v>
      </c>
      <c r="H231" s="2">
        <f t="shared" si="143"/>
        <v>9915</v>
      </c>
    </row>
    <row r="232" spans="1:8" ht="21" customHeight="1" x14ac:dyDescent="0.15">
      <c r="A232" s="10" t="str">
        <f t="shared" ref="A232:A233" si="154">B232&amp;C232</f>
        <v>301301</v>
      </c>
      <c r="B232" s="14">
        <v>301</v>
      </c>
      <c r="C232" s="14">
        <v>301</v>
      </c>
      <c r="D232" s="52" t="str">
        <f>IFERROR(VLOOKUP(C232,gachas!A:C,3),0)</f>
        <v>確率の支配者</v>
      </c>
      <c r="E232" s="54" t="s">
        <v>604</v>
      </c>
      <c r="F232" s="54" t="s">
        <v>603</v>
      </c>
      <c r="G232" s="24">
        <v>1</v>
      </c>
      <c r="H232" s="2">
        <f t="shared" si="143"/>
        <v>9914</v>
      </c>
    </row>
    <row r="233" spans="1:8" ht="21" customHeight="1" x14ac:dyDescent="0.15">
      <c r="A233" s="10" t="str">
        <f t="shared" si="154"/>
        <v>302302</v>
      </c>
      <c r="B233" s="14">
        <v>302</v>
      </c>
      <c r="C233" s="14">
        <v>302</v>
      </c>
      <c r="D233" s="52" t="str">
        <f>IFERROR(VLOOKUP(C233,gachas!A:C,3),0)</f>
        <v>ステップアップフィーバー</v>
      </c>
      <c r="E233" s="54" t="s">
        <v>610</v>
      </c>
      <c r="F233" s="54" t="s">
        <v>614</v>
      </c>
      <c r="G233" s="24">
        <v>1</v>
      </c>
      <c r="H233" s="2">
        <f t="shared" si="143"/>
        <v>9913</v>
      </c>
    </row>
    <row r="234" spans="1:8" ht="21" customHeight="1" x14ac:dyDescent="0.15">
      <c r="A234" s="10" t="str">
        <f t="shared" ref="A234:A236" si="155">B234&amp;C234</f>
        <v>303303</v>
      </c>
      <c r="B234" s="14">
        <v>303</v>
      </c>
      <c r="C234" s="14">
        <v>303</v>
      </c>
      <c r="D234" s="52" t="str">
        <f>IFERROR(VLOOKUP(C234,gachas!A:C,3),0)</f>
        <v>グリーンフェス（チューリング）</v>
      </c>
      <c r="E234" s="54" t="s">
        <v>616</v>
      </c>
      <c r="F234" s="54" t="s">
        <v>617</v>
      </c>
      <c r="G234" s="24">
        <v>1</v>
      </c>
      <c r="H234" s="2">
        <f t="shared" si="143"/>
        <v>9912</v>
      </c>
    </row>
    <row r="235" spans="1:8" ht="21" customHeight="1" x14ac:dyDescent="0.15">
      <c r="A235" s="10" t="str">
        <f t="shared" si="155"/>
        <v>304304</v>
      </c>
      <c r="B235" s="14">
        <v>304</v>
      </c>
      <c r="C235" s="14">
        <v>304</v>
      </c>
      <c r="D235" s="52" t="str">
        <f>IFERROR(VLOOKUP(C235,gachas!A:C,3),0)</f>
        <v>ピックアップフィーバー</v>
      </c>
      <c r="E235" s="54" t="s">
        <v>621</v>
      </c>
      <c r="F235" s="54" t="s">
        <v>656</v>
      </c>
      <c r="G235" s="24">
        <v>1</v>
      </c>
      <c r="H235" s="2">
        <f t="shared" si="143"/>
        <v>9911</v>
      </c>
    </row>
    <row r="236" spans="1:8" ht="21" customHeight="1" x14ac:dyDescent="0.15">
      <c r="A236" s="10" t="str">
        <f t="shared" si="155"/>
        <v>305305</v>
      </c>
      <c r="B236" s="14">
        <v>305</v>
      </c>
      <c r="C236" s="14">
        <v>305</v>
      </c>
      <c r="D236" s="52" t="s">
        <v>622</v>
      </c>
      <c r="E236" s="54" t="s">
        <v>623</v>
      </c>
      <c r="F236" s="54" t="s">
        <v>624</v>
      </c>
      <c r="G236" s="24">
        <v>1</v>
      </c>
      <c r="H236" s="2">
        <f t="shared" si="143"/>
        <v>9910</v>
      </c>
    </row>
    <row r="237" spans="1:8" ht="21" customHeight="1" x14ac:dyDescent="0.15">
      <c r="A237" s="10" t="str">
        <f t="shared" ref="A237:A239" si="156">B237&amp;C237</f>
        <v>306306</v>
      </c>
      <c r="B237" s="14">
        <v>306</v>
      </c>
      <c r="C237" s="14">
        <v>306</v>
      </c>
      <c r="D237" s="52" t="s">
        <v>632</v>
      </c>
      <c r="E237" s="54" t="s">
        <v>634</v>
      </c>
      <c r="F237" s="54" t="s">
        <v>635</v>
      </c>
      <c r="G237" s="24">
        <v>1</v>
      </c>
      <c r="H237" s="2">
        <f t="shared" si="143"/>
        <v>9909</v>
      </c>
    </row>
    <row r="238" spans="1:8" ht="21" customHeight="1" x14ac:dyDescent="0.15">
      <c r="A238" s="10" t="str">
        <f t="shared" si="156"/>
        <v>307307</v>
      </c>
      <c r="B238" s="14">
        <v>307</v>
      </c>
      <c r="C238" s="14">
        <v>307</v>
      </c>
      <c r="D238" s="52" t="s">
        <v>633</v>
      </c>
      <c r="E238" s="54" t="s">
        <v>634</v>
      </c>
      <c r="F238" s="54" t="s">
        <v>635</v>
      </c>
      <c r="G238" s="24">
        <v>1</v>
      </c>
      <c r="H238" s="2">
        <f t="shared" si="143"/>
        <v>9908</v>
      </c>
    </row>
    <row r="239" spans="1:8" ht="21" customHeight="1" x14ac:dyDescent="0.15">
      <c r="A239" s="10" t="str">
        <f t="shared" si="156"/>
        <v>308308</v>
      </c>
      <c r="B239" s="14">
        <v>308</v>
      </c>
      <c r="C239" s="14">
        <v>308</v>
      </c>
      <c r="D239" s="52" t="s">
        <v>651</v>
      </c>
      <c r="E239" s="54" t="s">
        <v>654</v>
      </c>
      <c r="F239" s="54" t="s">
        <v>655</v>
      </c>
      <c r="G239" s="24">
        <v>1</v>
      </c>
      <c r="H239" s="2">
        <f t="shared" si="143"/>
        <v>9907</v>
      </c>
    </row>
    <row r="240" spans="1:8" ht="21" customHeight="1" x14ac:dyDescent="0.15">
      <c r="A240" s="10" t="str">
        <f t="shared" ref="A240:A243" si="157">B240&amp;C240</f>
        <v>309309</v>
      </c>
      <c r="B240" s="14">
        <v>309</v>
      </c>
      <c r="C240" s="14">
        <v>309</v>
      </c>
      <c r="D240" s="52" t="s">
        <v>652</v>
      </c>
      <c r="E240" s="54" t="s">
        <v>647</v>
      </c>
      <c r="F240" s="54" t="s">
        <v>646</v>
      </c>
      <c r="G240" s="24">
        <v>1</v>
      </c>
      <c r="H240" s="2">
        <f t="shared" si="143"/>
        <v>9906</v>
      </c>
    </row>
    <row r="241" spans="1:8" ht="21" customHeight="1" x14ac:dyDescent="0.15">
      <c r="A241" s="10" t="str">
        <f t="shared" si="157"/>
        <v>310310</v>
      </c>
      <c r="B241" s="14">
        <v>310</v>
      </c>
      <c r="C241" s="14">
        <v>310</v>
      </c>
      <c r="D241" s="52" t="s">
        <v>653</v>
      </c>
      <c r="E241" s="54" t="s">
        <v>647</v>
      </c>
      <c r="F241" s="54" t="s">
        <v>703</v>
      </c>
      <c r="G241" s="24">
        <v>1</v>
      </c>
      <c r="H241" s="2">
        <v>11000</v>
      </c>
    </row>
    <row r="242" spans="1:8" ht="21" customHeight="1" x14ac:dyDescent="0.15">
      <c r="A242" s="10" t="str">
        <f t="shared" si="157"/>
        <v>311311</v>
      </c>
      <c r="B242" s="14">
        <v>311</v>
      </c>
      <c r="C242" s="14">
        <v>311</v>
      </c>
      <c r="D242" s="52" t="str">
        <f>IFERROR(VLOOKUP(C242,gachas!A:C,3),0)</f>
        <v>回復フィーバー</v>
      </c>
      <c r="E242" s="54" t="s">
        <v>658</v>
      </c>
      <c r="F242" s="54" t="s">
        <v>659</v>
      </c>
      <c r="G242" s="24">
        <v>1</v>
      </c>
      <c r="H242" s="2">
        <f>H240-1</f>
        <v>9905</v>
      </c>
    </row>
    <row r="243" spans="1:8" ht="21" customHeight="1" x14ac:dyDescent="0.15">
      <c r="A243" s="10" t="str">
        <f t="shared" si="157"/>
        <v>312312</v>
      </c>
      <c r="B243" s="14">
        <v>312</v>
      </c>
      <c r="C243" s="14">
        <v>312</v>
      </c>
      <c r="D243" s="52" t="str">
        <f>IFERROR(VLOOKUP(C243,gachas!A:C,3),0)</f>
        <v>ステップアップフィーバー</v>
      </c>
      <c r="E243" s="54" t="s">
        <v>677</v>
      </c>
      <c r="F243" s="54" t="s">
        <v>679</v>
      </c>
      <c r="G243" s="24">
        <v>1</v>
      </c>
      <c r="H243" s="2">
        <f t="shared" ref="H243" si="158">H242-1</f>
        <v>9904</v>
      </c>
    </row>
    <row r="244" spans="1:8" ht="21" customHeight="1" x14ac:dyDescent="0.15">
      <c r="A244" s="10" t="str">
        <f t="shared" ref="A244:A245" si="159">B244&amp;C244</f>
        <v>313313</v>
      </c>
      <c r="B244" s="14">
        <v>313</v>
      </c>
      <c r="C244" s="14">
        <v>313</v>
      </c>
      <c r="D244" s="52" t="str">
        <f>IFERROR(VLOOKUP(C244,gachas!A:C,3),0)</f>
        <v>超カラーフェス前半&lt;赤黄&gt;</v>
      </c>
      <c r="E244" s="54" t="s">
        <v>666</v>
      </c>
      <c r="F244" s="54" t="s">
        <v>673</v>
      </c>
      <c r="G244" s="24">
        <v>1</v>
      </c>
      <c r="H244" s="6">
        <v>9902</v>
      </c>
    </row>
    <row r="245" spans="1:8" ht="21" customHeight="1" x14ac:dyDescent="0.15">
      <c r="A245" s="10" t="str">
        <f t="shared" si="159"/>
        <v>314314</v>
      </c>
      <c r="B245" s="14">
        <v>314</v>
      </c>
      <c r="C245" s="14">
        <v>314</v>
      </c>
      <c r="D245" s="52" t="str">
        <f>IFERROR(VLOOKUP(C245,gachas!A:C,3),0)</f>
        <v>超カラーフェス後半&lt;青緑&gt;</v>
      </c>
      <c r="E245" s="54" t="s">
        <v>667</v>
      </c>
      <c r="F245" s="54" t="s">
        <v>668</v>
      </c>
      <c r="G245" s="24">
        <v>1</v>
      </c>
      <c r="H245" s="6">
        <v>9901</v>
      </c>
    </row>
    <row r="246" spans="1:8" ht="21" customHeight="1" x14ac:dyDescent="0.15">
      <c r="A246" s="10" t="str">
        <f t="shared" ref="A246" si="160">B246&amp;C246</f>
        <v>315315</v>
      </c>
      <c r="B246" s="14">
        <v>315</v>
      </c>
      <c r="C246" s="14">
        <v>315</v>
      </c>
      <c r="D246" s="52" t="str">
        <f>IFERROR(VLOOKUP(C246,gachas!A:C,3),0)</f>
        <v>ピックアップフィーバー&lt;バランス編&gt;</v>
      </c>
      <c r="E246" s="54" t="s">
        <v>678</v>
      </c>
      <c r="F246" s="54" t="s">
        <v>687</v>
      </c>
      <c r="G246" s="24">
        <v>1</v>
      </c>
      <c r="H246" s="6">
        <v>9903</v>
      </c>
    </row>
    <row r="247" spans="1:8" ht="21" customHeight="1" x14ac:dyDescent="0.15">
      <c r="A247" s="10" t="str">
        <f t="shared" ref="A247:A248" si="161">B247&amp;C247</f>
        <v>316316</v>
      </c>
      <c r="B247" s="14">
        <v>316</v>
      </c>
      <c r="C247" s="14">
        <v>316</v>
      </c>
      <c r="D247" s="52" t="str">
        <f>IFERROR(VLOOKUP(C247,gachas!A:C,3),0)</f>
        <v>３月フィーバーフェス&lt;前半&gt;</v>
      </c>
      <c r="E247" s="54" t="s">
        <v>682</v>
      </c>
      <c r="F247" s="54" t="s">
        <v>679</v>
      </c>
      <c r="G247" s="24">
        <v>1</v>
      </c>
      <c r="H247" s="2">
        <v>9900</v>
      </c>
    </row>
    <row r="248" spans="1:8" ht="21" customHeight="1" x14ac:dyDescent="0.15">
      <c r="A248" s="10" t="str">
        <f t="shared" si="161"/>
        <v>317317</v>
      </c>
      <c r="B248" s="14">
        <v>317</v>
      </c>
      <c r="C248" s="14">
        <v>317</v>
      </c>
      <c r="D248" s="52" t="str">
        <f>IFERROR(VLOOKUP(C248,gachas!A:C,3),0)</f>
        <v>３月フィーバーフェス&lt;後半&gt;</v>
      </c>
      <c r="E248" s="54" t="s">
        <v>686</v>
      </c>
      <c r="F248" s="54" t="s">
        <v>683</v>
      </c>
      <c r="G248" s="24">
        <v>1</v>
      </c>
      <c r="H248" s="2">
        <v>9898</v>
      </c>
    </row>
    <row r="249" spans="1:8" ht="21" customHeight="1" x14ac:dyDescent="0.15">
      <c r="A249" s="10" t="str">
        <f t="shared" ref="A249" si="162">B249&amp;C249</f>
        <v>318318</v>
      </c>
      <c r="B249" s="23">
        <v>318</v>
      </c>
      <c r="C249" s="2">
        <v>318</v>
      </c>
      <c r="D249" s="52" t="str">
        <f>IFERROR(VLOOKUP(C249,gachas!A:C,3),0)</f>
        <v>ピックアップフィーバー&lt;新春厳選&gt;</v>
      </c>
      <c r="E249" s="53" t="s">
        <v>697</v>
      </c>
      <c r="F249" s="53" t="s">
        <v>698</v>
      </c>
      <c r="G249" s="24">
        <v>1</v>
      </c>
      <c r="H249" s="6">
        <v>9899</v>
      </c>
    </row>
    <row r="250" spans="1:8" ht="21" customHeight="1" x14ac:dyDescent="0.15">
      <c r="A250" s="10" t="str">
        <f t="shared" ref="A250" si="163">B250&amp;C250</f>
        <v>319319</v>
      </c>
      <c r="B250" s="23">
        <v>319</v>
      </c>
      <c r="C250" s="2">
        <v>319</v>
      </c>
      <c r="D250" s="52" t="str">
        <f>IFERROR(VLOOKUP(C250,gachas!A:C,3),0)</f>
        <v>新キャラ追加&lt;日本昔話&gt;</v>
      </c>
      <c r="E250" s="53" t="s">
        <v>701</v>
      </c>
      <c r="F250" s="53" t="s">
        <v>702</v>
      </c>
      <c r="G250" s="24">
        <v>1</v>
      </c>
      <c r="H250" s="6">
        <v>9897</v>
      </c>
    </row>
    <row r="251" spans="1:8" ht="21" customHeight="1" x14ac:dyDescent="0.15">
      <c r="A251" s="10" t="str">
        <f t="shared" ref="A251" si="164">B251&amp;C251</f>
        <v>320320</v>
      </c>
      <c r="B251" s="23">
        <v>320</v>
      </c>
      <c r="C251" s="2">
        <v>320</v>
      </c>
      <c r="D251" s="52" t="str">
        <f>IFERROR(VLOOKUP(C251,gachas!A:C,3),0)</f>
        <v>ノーマルガチャ&lt;日本昔話追加&gt;</v>
      </c>
      <c r="E251" s="53" t="s">
        <v>701</v>
      </c>
      <c r="F251" s="61" t="s">
        <v>749</v>
      </c>
      <c r="G251" s="24">
        <v>1</v>
      </c>
      <c r="H251" s="62">
        <v>11000</v>
      </c>
    </row>
    <row r="252" spans="1:8" ht="21" customHeight="1" x14ac:dyDescent="0.15">
      <c r="A252" s="10" t="str">
        <f t="shared" ref="A252" si="165">B252&amp;C252</f>
        <v>321321</v>
      </c>
      <c r="B252" s="23">
        <v>321</v>
      </c>
      <c r="C252" s="2">
        <v>321</v>
      </c>
      <c r="D252" s="52" t="str">
        <f>IFERROR(VLOOKUP(C252,gachas!A:C,3),0)</f>
        <v>ステップアップフィーバー&lt;4月頭&gt;</v>
      </c>
      <c r="E252" s="53" t="s">
        <v>707</v>
      </c>
      <c r="F252" s="53" t="s">
        <v>708</v>
      </c>
      <c r="G252" s="24">
        <v>1</v>
      </c>
      <c r="H252" s="6">
        <v>9896</v>
      </c>
    </row>
    <row r="253" spans="1:8" ht="21" customHeight="1" x14ac:dyDescent="0.15">
      <c r="A253" s="10" t="str">
        <f t="shared" ref="A253:A254" si="166">B253&amp;C253</f>
        <v>322322</v>
      </c>
      <c r="B253" s="23">
        <v>322</v>
      </c>
      <c r="C253" s="2">
        <v>322</v>
      </c>
      <c r="D253" s="52" t="str">
        <f>IFERROR(VLOOKUP(C253,gachas!A:C,3),0)</f>
        <v>ピックアップフィーバー&lt;ランス&amp;近藤&gt;</v>
      </c>
      <c r="E253" s="42" t="s">
        <v>718</v>
      </c>
      <c r="F253" s="55" t="s">
        <v>721</v>
      </c>
      <c r="G253" s="24">
        <v>1</v>
      </c>
      <c r="H253" s="6">
        <f>H252-1</f>
        <v>9895</v>
      </c>
    </row>
    <row r="254" spans="1:8" ht="21" customHeight="1" x14ac:dyDescent="0.15">
      <c r="A254" s="10" t="str">
        <f t="shared" si="166"/>
        <v>323323</v>
      </c>
      <c r="B254" s="23">
        <v>323</v>
      </c>
      <c r="C254" s="2">
        <v>323</v>
      </c>
      <c r="D254" s="52" t="str">
        <f>IFERROR(VLOOKUP(C254,gachas!A:C,3),0)</f>
        <v>イエローフェス&lt;5月フーリエ&gt;</v>
      </c>
      <c r="E254" s="42" t="s">
        <v>719</v>
      </c>
      <c r="F254" s="55" t="s">
        <v>720</v>
      </c>
      <c r="G254" s="24">
        <v>1</v>
      </c>
      <c r="H254" s="6">
        <f>H253-1</f>
        <v>9894</v>
      </c>
    </row>
    <row r="255" spans="1:8" ht="21" customHeight="1" x14ac:dyDescent="0.15">
      <c r="A255" s="10" t="str">
        <f t="shared" ref="A255:A258" si="167">B255&amp;C255</f>
        <v>324324</v>
      </c>
      <c r="B255" s="23">
        <v>324</v>
      </c>
      <c r="C255" s="2">
        <v>324</v>
      </c>
      <c r="D255" s="52" t="str">
        <f>IFERROR(VLOOKUP(C255,gachas!A:C,3),0)</f>
        <v>★6開放記念ガチャ&lt;オイフォイ&gt;</v>
      </c>
      <c r="E255" s="42" t="s">
        <v>723</v>
      </c>
      <c r="F255" s="55" t="s">
        <v>724</v>
      </c>
      <c r="G255" s="24">
        <v>1</v>
      </c>
      <c r="H255" s="6">
        <v>9889</v>
      </c>
    </row>
    <row r="256" spans="1:8" ht="21" customHeight="1" x14ac:dyDescent="0.15">
      <c r="A256" s="10" t="str">
        <f t="shared" si="167"/>
        <v>325325</v>
      </c>
      <c r="B256" s="23">
        <v>325</v>
      </c>
      <c r="C256" s="2">
        <v>325</v>
      </c>
      <c r="D256" s="52" t="str">
        <f>IFERROR(VLOOKUP(C256,gachas!A:C,3),0)</f>
        <v>ランキング対抗ガチャ&lt;ヘイウェイ&gt;</v>
      </c>
      <c r="E256" s="42" t="s">
        <v>729</v>
      </c>
      <c r="F256" s="55" t="s">
        <v>776</v>
      </c>
      <c r="G256" s="24">
        <v>1</v>
      </c>
      <c r="H256" s="6">
        <v>9886</v>
      </c>
    </row>
    <row r="257" spans="1:8" ht="21" customHeight="1" x14ac:dyDescent="0.15">
      <c r="A257" s="10" t="str">
        <f t="shared" si="167"/>
        <v>326326</v>
      </c>
      <c r="B257" s="23">
        <v>326</v>
      </c>
      <c r="C257" s="2">
        <v>326</v>
      </c>
      <c r="D257" s="52" t="str">
        <f>IFERROR(VLOOKUP(C257,gachas!A:C,3),0)</f>
        <v>新キャラ追加&lt;戦国&gt;</v>
      </c>
      <c r="E257" s="42" t="s">
        <v>747</v>
      </c>
      <c r="F257" s="55" t="s">
        <v>748</v>
      </c>
      <c r="G257" s="24">
        <v>1</v>
      </c>
      <c r="H257" s="6">
        <v>9888</v>
      </c>
    </row>
    <row r="258" spans="1:8" ht="21" customHeight="1" x14ac:dyDescent="0.15">
      <c r="A258" s="10" t="str">
        <f t="shared" si="167"/>
        <v>327327</v>
      </c>
      <c r="B258" s="23">
        <v>327</v>
      </c>
      <c r="C258" s="2">
        <v>327</v>
      </c>
      <c r="D258" s="52" t="str">
        <f>IFERROR(VLOOKUP(C258,gachas!A:C,3),0)</f>
        <v>ノーマルガチャ&lt;戦国追加&gt;</v>
      </c>
      <c r="E258" s="42" t="s">
        <v>747</v>
      </c>
      <c r="F258" s="63" t="s">
        <v>811</v>
      </c>
      <c r="G258" s="74">
        <v>200</v>
      </c>
      <c r="H258" s="62">
        <v>11000</v>
      </c>
    </row>
    <row r="259" spans="1:8" ht="21" customHeight="1" x14ac:dyDescent="0.15">
      <c r="A259" s="10" t="str">
        <f t="shared" ref="A259:A260" si="168">B259&amp;C259</f>
        <v>328328</v>
      </c>
      <c r="B259" s="23">
        <v>328</v>
      </c>
      <c r="C259" s="2">
        <v>328</v>
      </c>
      <c r="D259" s="52" t="str">
        <f>IFERROR(VLOOKUP(C259,gachas!A:C,3),0)</f>
        <v>ブルーフェス&lt;フィボナッチ&gt;</v>
      </c>
      <c r="E259" s="42" t="s">
        <v>750</v>
      </c>
      <c r="F259" s="55" t="s">
        <v>751</v>
      </c>
      <c r="G259" s="24">
        <f>C259</f>
        <v>328</v>
      </c>
      <c r="H259" s="6">
        <v>9887</v>
      </c>
    </row>
    <row r="260" spans="1:8" ht="21" customHeight="1" x14ac:dyDescent="0.15">
      <c r="A260" s="10" t="str">
        <f t="shared" si="168"/>
        <v>60006000</v>
      </c>
      <c r="B260" s="23">
        <v>6000</v>
      </c>
      <c r="C260" s="2">
        <v>6000</v>
      </c>
      <c r="D260" s="52" t="str">
        <f>IFERROR(VLOOKUP(C260,gachas!A:C,3),0)</f>
        <v>４月ランキングガチャ</v>
      </c>
      <c r="E260" s="42" t="s">
        <v>782</v>
      </c>
      <c r="F260" s="55" t="s">
        <v>808</v>
      </c>
      <c r="G260" s="24">
        <v>6000</v>
      </c>
      <c r="H260" s="65">
        <v>9883</v>
      </c>
    </row>
    <row r="261" spans="1:8" ht="21" customHeight="1" x14ac:dyDescent="0.15">
      <c r="A261" s="10" t="str">
        <f t="shared" ref="A261" si="169">B261&amp;C261</f>
        <v>60016001</v>
      </c>
      <c r="B261" s="23">
        <v>6001</v>
      </c>
      <c r="C261" s="2">
        <v>6001</v>
      </c>
      <c r="D261" s="52" t="str">
        <f>IFERROR(VLOOKUP(C261,gachas!A:C,3),0)</f>
        <v>４月ランキングピースガチャ</v>
      </c>
      <c r="E261" s="42" t="s">
        <v>809</v>
      </c>
      <c r="F261" s="55" t="s">
        <v>808</v>
      </c>
      <c r="G261" s="24">
        <v>6001</v>
      </c>
      <c r="H261" s="65">
        <v>9883</v>
      </c>
    </row>
    <row r="262" spans="1:8" ht="21" customHeight="1" x14ac:dyDescent="0.15">
      <c r="A262" s="10" t="str">
        <f t="shared" ref="A262" si="170">B262&amp;C262</f>
        <v>329329</v>
      </c>
      <c r="B262" s="23">
        <v>329</v>
      </c>
      <c r="C262" s="2">
        <v>329</v>
      </c>
      <c r="D262" s="52" t="str">
        <f>IFERROR(VLOOKUP(C262,gachas!A:C,3),0)</f>
        <v>★6解放ガチャ&lt;沖田親指&gt;</v>
      </c>
      <c r="E262" s="42" t="s">
        <v>753</v>
      </c>
      <c r="F262" s="55" t="s">
        <v>754</v>
      </c>
      <c r="G262" s="24">
        <f>C262</f>
        <v>329</v>
      </c>
      <c r="H262" s="6">
        <v>9885</v>
      </c>
    </row>
    <row r="263" spans="1:8" ht="21" customHeight="1" x14ac:dyDescent="0.15">
      <c r="A263" s="10" t="str">
        <f t="shared" ref="A263:A269" si="171">B263&amp;C263</f>
        <v>330330</v>
      </c>
      <c r="B263" s="23">
        <v>330</v>
      </c>
      <c r="C263" s="2">
        <v>330</v>
      </c>
      <c r="D263" s="52" t="str">
        <f>IFERROR(VLOOKUP(C263,gachas!A:C,3),0)</f>
        <v>デュラララガチャ宵&lt;帝人&gt;</v>
      </c>
      <c r="E263" s="42" t="s">
        <v>764</v>
      </c>
      <c r="F263" s="55" t="s">
        <v>765</v>
      </c>
      <c r="G263" s="24">
        <f t="shared" ref="G263:G275" si="172">C263</f>
        <v>330</v>
      </c>
      <c r="H263" s="6">
        <v>9884</v>
      </c>
    </row>
    <row r="264" spans="1:8" ht="21" customHeight="1" x14ac:dyDescent="0.15">
      <c r="A264" s="10" t="str">
        <f t="shared" si="171"/>
        <v>1330330</v>
      </c>
      <c r="B264" s="23">
        <v>1330</v>
      </c>
      <c r="C264" s="2">
        <v>330</v>
      </c>
      <c r="D264" s="52" t="str">
        <f>IFERROR(VLOOKUP(C264,gachas!A:C,3),0)</f>
        <v>デュラララガチャ宵&lt;帝人&gt;</v>
      </c>
      <c r="E264" s="42" t="s">
        <v>766</v>
      </c>
      <c r="F264" s="55" t="s">
        <v>767</v>
      </c>
      <c r="G264" s="24">
        <f t="shared" si="172"/>
        <v>330</v>
      </c>
      <c r="H264" s="6">
        <v>9884</v>
      </c>
    </row>
    <row r="265" spans="1:8" ht="21" customHeight="1" x14ac:dyDescent="0.15">
      <c r="A265" s="10" t="str">
        <f t="shared" si="171"/>
        <v>2330330</v>
      </c>
      <c r="B265" s="23">
        <v>2330</v>
      </c>
      <c r="C265" s="2">
        <v>330</v>
      </c>
      <c r="D265" s="52" t="str">
        <f>IFERROR(VLOOKUP(C265,gachas!A:C,3),0)</f>
        <v>デュラララガチャ宵&lt;帝人&gt;</v>
      </c>
      <c r="E265" s="42" t="s">
        <v>768</v>
      </c>
      <c r="F265" s="55" t="s">
        <v>769</v>
      </c>
      <c r="G265" s="24">
        <f t="shared" si="172"/>
        <v>330</v>
      </c>
      <c r="H265" s="6">
        <v>9882</v>
      </c>
    </row>
    <row r="266" spans="1:8" ht="21" customHeight="1" x14ac:dyDescent="0.15">
      <c r="A266" s="10" t="str">
        <f t="shared" si="171"/>
        <v>331331</v>
      </c>
      <c r="B266" s="23">
        <v>331</v>
      </c>
      <c r="C266" s="2">
        <v>331</v>
      </c>
      <c r="D266" s="52" t="str">
        <f>IFERROR(VLOOKUP(C266,gachas!A:C,3),0)</f>
        <v>デュラララガチャ暁&lt;静雄&gt;</v>
      </c>
      <c r="E266" s="42" t="s">
        <v>770</v>
      </c>
      <c r="F266" s="55" t="s">
        <v>771</v>
      </c>
      <c r="G266" s="24">
        <f t="shared" si="172"/>
        <v>331</v>
      </c>
      <c r="H266" s="6">
        <v>9882</v>
      </c>
    </row>
    <row r="267" spans="1:8" ht="21" customHeight="1" x14ac:dyDescent="0.15">
      <c r="A267" s="10" t="str">
        <f t="shared" si="171"/>
        <v>1331331</v>
      </c>
      <c r="B267" s="23">
        <v>1331</v>
      </c>
      <c r="C267" s="2">
        <v>331</v>
      </c>
      <c r="D267" s="52" t="str">
        <f>IFERROR(VLOOKUP(C267,gachas!A:C,3),0)</f>
        <v>デュラララガチャ暁&lt;静雄&gt;</v>
      </c>
      <c r="E267" s="42" t="s">
        <v>772</v>
      </c>
      <c r="F267" s="55" t="s">
        <v>773</v>
      </c>
      <c r="G267" s="24">
        <f t="shared" si="172"/>
        <v>331</v>
      </c>
      <c r="H267" s="6">
        <v>9882</v>
      </c>
    </row>
    <row r="268" spans="1:8" ht="21" customHeight="1" x14ac:dyDescent="0.15">
      <c r="A268" s="10" t="str">
        <f t="shared" si="171"/>
        <v>2331331</v>
      </c>
      <c r="B268" s="23">
        <v>2331</v>
      </c>
      <c r="C268" s="2">
        <v>331</v>
      </c>
      <c r="D268" s="52" t="str">
        <f>IFERROR(VLOOKUP(C268,gachas!A:C,3),0)</f>
        <v>デュラララガチャ暁&lt;静雄&gt;</v>
      </c>
      <c r="E268" s="42" t="s">
        <v>774</v>
      </c>
      <c r="F268" s="55" t="s">
        <v>775</v>
      </c>
      <c r="G268" s="24">
        <f t="shared" si="172"/>
        <v>331</v>
      </c>
      <c r="H268" s="6">
        <v>9882</v>
      </c>
    </row>
    <row r="269" spans="1:8" ht="21" customHeight="1" x14ac:dyDescent="0.15">
      <c r="A269" s="10" t="str">
        <f t="shared" si="171"/>
        <v>1325325</v>
      </c>
      <c r="B269" s="23">
        <v>1325</v>
      </c>
      <c r="C269" s="2">
        <v>325</v>
      </c>
      <c r="D269" s="52" t="str">
        <f>IFERROR(VLOOKUP(C269,gachas!A:C,3),0)</f>
        <v>ランキング対抗ガチャ&lt;ヘイウェイ&gt;</v>
      </c>
      <c r="E269" s="42" t="s">
        <v>792</v>
      </c>
      <c r="F269" s="55" t="s">
        <v>793</v>
      </c>
      <c r="G269" s="24">
        <f t="shared" si="172"/>
        <v>325</v>
      </c>
      <c r="H269" s="6">
        <f>H268-1</f>
        <v>9881</v>
      </c>
    </row>
    <row r="270" spans="1:8" ht="21" customHeight="1" x14ac:dyDescent="0.15">
      <c r="A270" s="10" t="str">
        <f t="shared" ref="A270" si="173">B270&amp;C270</f>
        <v>332332</v>
      </c>
      <c r="B270" s="23">
        <v>332</v>
      </c>
      <c r="C270" s="2">
        <v>332</v>
      </c>
      <c r="D270" s="52" t="str">
        <f>IFERROR(VLOOKUP(C270,gachas!A:C,3),0)</f>
        <v>４月フィーバーフェス&lt;前半&gt;</v>
      </c>
      <c r="E270" s="42" t="s">
        <v>788</v>
      </c>
      <c r="F270" s="55" t="s">
        <v>789</v>
      </c>
      <c r="G270" s="24">
        <f t="shared" si="172"/>
        <v>332</v>
      </c>
      <c r="H270" s="6">
        <f>H269-1</f>
        <v>9880</v>
      </c>
    </row>
    <row r="271" spans="1:8" ht="21" customHeight="1" x14ac:dyDescent="0.15">
      <c r="A271" s="10" t="str">
        <f t="shared" ref="A271:A272" si="174">B271&amp;C271</f>
        <v>333333</v>
      </c>
      <c r="B271" s="23">
        <v>333</v>
      </c>
      <c r="C271" s="2">
        <v>333</v>
      </c>
      <c r="D271" s="52" t="str">
        <f>IFERROR(VLOOKUP(C271,gachas!A:C,3),0)</f>
        <v>４月フィーバーフェス&lt;後半&gt;</v>
      </c>
      <c r="E271" s="42" t="s">
        <v>790</v>
      </c>
      <c r="F271" s="55" t="s">
        <v>791</v>
      </c>
      <c r="G271" s="24">
        <f t="shared" si="172"/>
        <v>333</v>
      </c>
      <c r="H271" s="6">
        <v>9880</v>
      </c>
    </row>
    <row r="272" spans="1:8" ht="21" customHeight="1" x14ac:dyDescent="0.15">
      <c r="A272" s="10" t="str">
        <f t="shared" si="174"/>
        <v>334334</v>
      </c>
      <c r="B272" s="23">
        <v>334</v>
      </c>
      <c r="C272" s="2">
        <v>334</v>
      </c>
      <c r="D272" s="52" t="str">
        <f>IFERROR(VLOOKUP(C272,gachas!A:C,3),0)</f>
        <v>ハンプティ&lt;初回限定&gt;</v>
      </c>
      <c r="E272" s="42" t="s">
        <v>818</v>
      </c>
      <c r="F272" s="55" t="s">
        <v>819</v>
      </c>
      <c r="G272" s="24">
        <f t="shared" si="172"/>
        <v>334</v>
      </c>
      <c r="H272" s="6">
        <f>H271-1</f>
        <v>9879</v>
      </c>
    </row>
    <row r="273" spans="1:8" ht="21" customHeight="1" x14ac:dyDescent="0.15">
      <c r="A273" s="10" t="str">
        <f t="shared" ref="A273" si="175">B273&amp;C273</f>
        <v>335335</v>
      </c>
      <c r="B273" s="23">
        <v>335</v>
      </c>
      <c r="C273" s="2">
        <v>335</v>
      </c>
      <c r="D273" s="52" t="str">
        <f>IFERROR(VLOOKUP(C273,gachas!A:C,3),0)</f>
        <v>４月ステップアップフィーバー</v>
      </c>
      <c r="E273" s="42" t="s">
        <v>820</v>
      </c>
      <c r="F273" s="55" t="s">
        <v>844</v>
      </c>
      <c r="G273" s="24">
        <f t="shared" si="172"/>
        <v>335</v>
      </c>
      <c r="H273" s="6">
        <f>H272-1</f>
        <v>9878</v>
      </c>
    </row>
    <row r="274" spans="1:8" ht="21" customHeight="1" x14ac:dyDescent="0.15">
      <c r="A274" s="10" t="str">
        <f t="shared" ref="A274:A275" si="176">B274&amp;C274</f>
        <v>13355000</v>
      </c>
      <c r="B274" s="23">
        <v>1335</v>
      </c>
      <c r="C274" s="2">
        <v>5000</v>
      </c>
      <c r="D274" s="52" t="str">
        <f>IFERROR(VLOOKUP(C274,gachas!A:C,3),0)</f>
        <v>４月ステップアップ&lt;50%券&gt;</v>
      </c>
      <c r="E274" s="42" t="s">
        <v>820</v>
      </c>
      <c r="F274" s="55" t="s">
        <v>831</v>
      </c>
      <c r="G274" s="24">
        <f t="shared" si="172"/>
        <v>5000</v>
      </c>
      <c r="H274" s="6">
        <v>9878</v>
      </c>
    </row>
    <row r="275" spans="1:8" ht="21" customHeight="1" x14ac:dyDescent="0.15">
      <c r="A275" s="10" t="str">
        <f t="shared" si="176"/>
        <v>336336</v>
      </c>
      <c r="B275" s="23">
        <v>336</v>
      </c>
      <c r="C275" s="2">
        <v>336</v>
      </c>
      <c r="D275" s="52" t="str">
        <f>IFERROR(VLOOKUP(C275,gachas!A:C,3),0)</f>
        <v>新キャラ追加&lt;天使悪魔&gt;</v>
      </c>
      <c r="E275" s="42" t="s">
        <v>810</v>
      </c>
      <c r="F275" s="55" t="s">
        <v>899</v>
      </c>
      <c r="G275" s="24">
        <f t="shared" si="172"/>
        <v>336</v>
      </c>
      <c r="H275" s="6">
        <f>H274-1</f>
        <v>9877</v>
      </c>
    </row>
    <row r="276" spans="1:8" ht="21" customHeight="1" x14ac:dyDescent="0.15">
      <c r="A276" s="10" t="str">
        <f t="shared" ref="A276:A277" si="177">B276&amp;C276</f>
        <v>337337</v>
      </c>
      <c r="B276" s="23">
        <v>337</v>
      </c>
      <c r="C276" s="2">
        <v>337</v>
      </c>
      <c r="D276" s="52" t="str">
        <f>IFERROR(VLOOKUP(C276,gachas!A:C,3),0)</f>
        <v>ノーマルガチャ&lt;天使in&gt;</v>
      </c>
      <c r="E276" s="42" t="s">
        <v>810</v>
      </c>
      <c r="F276" s="55" t="s">
        <v>893</v>
      </c>
      <c r="G276" s="74">
        <v>200</v>
      </c>
      <c r="H276" s="62">
        <v>11000</v>
      </c>
    </row>
    <row r="277" spans="1:8" ht="21" customHeight="1" x14ac:dyDescent="0.15">
      <c r="A277" s="10" t="str">
        <f t="shared" si="177"/>
        <v>338338</v>
      </c>
      <c r="B277" s="23">
        <v>338</v>
      </c>
      <c r="C277" s="2">
        <v>338</v>
      </c>
      <c r="D277" s="52" t="str">
        <f>IFERROR(VLOOKUP(C277,gachas!A:C,3),0)</f>
        <v>TVCM放送記念10連限定ガチャ</v>
      </c>
      <c r="E277" s="42" t="s">
        <v>869</v>
      </c>
      <c r="F277" s="55" t="s">
        <v>870</v>
      </c>
      <c r="G277" s="24">
        <f t="shared" ref="G277" si="178">C277</f>
        <v>338</v>
      </c>
      <c r="H277" s="6">
        <f>H276-1</f>
        <v>10999</v>
      </c>
    </row>
    <row r="278" spans="1:8" ht="21" customHeight="1" x14ac:dyDescent="0.15">
      <c r="A278" s="10" t="str">
        <f t="shared" ref="A278:A285" si="179">B278&amp;C278</f>
        <v>339339</v>
      </c>
      <c r="B278" s="23">
        <v>339</v>
      </c>
      <c r="C278" s="2">
        <v>339</v>
      </c>
      <c r="D278" s="52" t="str">
        <f>IFERROR(VLOOKUP(C278,gachas!A:C,3),0)</f>
        <v>ピックアップフィーバー&lt;八咫烏、ヘングレ&gt;</v>
      </c>
      <c r="E278" s="42" t="s">
        <v>853</v>
      </c>
      <c r="F278" s="55" t="s">
        <v>872</v>
      </c>
      <c r="G278" s="24">
        <f>C278</f>
        <v>339</v>
      </c>
      <c r="H278" s="62">
        <v>11000</v>
      </c>
    </row>
    <row r="279" spans="1:8" ht="21" customHeight="1" x14ac:dyDescent="0.15">
      <c r="A279" s="10" t="str">
        <f t="shared" si="179"/>
        <v>340340</v>
      </c>
      <c r="B279" s="23">
        <v>340</v>
      </c>
      <c r="C279" s="23">
        <v>340</v>
      </c>
      <c r="D279" s="52" t="str">
        <f>IFERROR(VLOOKUP(C279,gachas!A:C,3),0)</f>
        <v>TVCM放送記念フェス&lt;ファラ、ハーシェル&gt;</v>
      </c>
      <c r="E279" s="42" t="s">
        <v>883</v>
      </c>
      <c r="F279" s="55" t="s">
        <v>884</v>
      </c>
      <c r="G279" s="24">
        <v>341</v>
      </c>
      <c r="H279" s="6">
        <f t="shared" ref="H279:H311" si="180">H278-1</f>
        <v>10999</v>
      </c>
    </row>
    <row r="280" spans="1:8" ht="21" customHeight="1" x14ac:dyDescent="0.15">
      <c r="A280" s="10" t="str">
        <f t="shared" si="179"/>
        <v>341341</v>
      </c>
      <c r="B280" s="23">
        <v>341</v>
      </c>
      <c r="C280" s="23">
        <v>341</v>
      </c>
      <c r="D280" s="52" t="str">
        <f>IFERROR(VLOOKUP(C280,gachas!A:C,3),0)</f>
        <v>TVCM放送記念フェス&lt;ハイゼン、メビ&gt;</v>
      </c>
      <c r="E280" s="42" t="s">
        <v>883</v>
      </c>
      <c r="F280" s="55" t="s">
        <v>884</v>
      </c>
      <c r="G280" s="24">
        <v>340</v>
      </c>
      <c r="H280" s="6">
        <f t="shared" si="180"/>
        <v>10998</v>
      </c>
    </row>
    <row r="281" spans="1:8" ht="21" customHeight="1" x14ac:dyDescent="0.15">
      <c r="A281" s="10" t="str">
        <f t="shared" si="179"/>
        <v>342342</v>
      </c>
      <c r="B281" s="23">
        <v>342</v>
      </c>
      <c r="C281" s="23">
        <v>342</v>
      </c>
      <c r="D281" s="52" t="str">
        <f>IFERROR(VLOOKUP(C281,gachas!A:C,3),0)</f>
        <v>超フィーバーフェス（オイラーUP）</v>
      </c>
      <c r="E281" s="42" t="s">
        <v>885</v>
      </c>
      <c r="F281" s="55" t="s">
        <v>886</v>
      </c>
      <c r="G281" s="24">
        <v>345</v>
      </c>
      <c r="H281" s="6">
        <f t="shared" si="180"/>
        <v>10997</v>
      </c>
    </row>
    <row r="282" spans="1:8" ht="21" customHeight="1" x14ac:dyDescent="0.15">
      <c r="A282" s="10" t="str">
        <f t="shared" si="179"/>
        <v>343343</v>
      </c>
      <c r="B282" s="23">
        <v>343</v>
      </c>
      <c r="C282" s="23">
        <v>343</v>
      </c>
      <c r="D282" s="52" t="str">
        <f>IFERROR(VLOOKUP(C282,gachas!A:C,3),0)</f>
        <v>超フィーバーフェス（クロネッカーUP）</v>
      </c>
      <c r="E282" s="42" t="s">
        <v>885</v>
      </c>
      <c r="F282" s="55" t="s">
        <v>886</v>
      </c>
      <c r="G282" s="24">
        <v>344</v>
      </c>
      <c r="H282" s="6">
        <f t="shared" si="180"/>
        <v>10996</v>
      </c>
    </row>
    <row r="283" spans="1:8" ht="21" customHeight="1" x14ac:dyDescent="0.15">
      <c r="A283" s="10" t="str">
        <f t="shared" si="179"/>
        <v>344344</v>
      </c>
      <c r="B283" s="23">
        <v>344</v>
      </c>
      <c r="C283" s="23">
        <v>344</v>
      </c>
      <c r="D283" s="52" t="str">
        <f>IFERROR(VLOOKUP(C283,gachas!A:C,3),0)</f>
        <v>超フィーバーフェス（ユークリッドUP）</v>
      </c>
      <c r="E283" s="42" t="s">
        <v>885</v>
      </c>
      <c r="F283" s="55" t="s">
        <v>886</v>
      </c>
      <c r="G283" s="24">
        <v>343</v>
      </c>
      <c r="H283" s="6">
        <f t="shared" si="180"/>
        <v>10995</v>
      </c>
    </row>
    <row r="284" spans="1:8" ht="21" customHeight="1" x14ac:dyDescent="0.15">
      <c r="A284" s="10" t="str">
        <f t="shared" si="179"/>
        <v>345345</v>
      </c>
      <c r="B284" s="23">
        <v>345</v>
      </c>
      <c r="C284" s="23">
        <v>345</v>
      </c>
      <c r="D284" s="52" t="str">
        <f>IFERROR(VLOOKUP(C284,gachas!A:C,3),0)</f>
        <v>超フィーバーフェス（ラグランジュUP）</v>
      </c>
      <c r="E284" s="42" t="s">
        <v>885</v>
      </c>
      <c r="F284" s="55" t="s">
        <v>886</v>
      </c>
      <c r="G284" s="24">
        <v>342</v>
      </c>
      <c r="H284" s="6">
        <f t="shared" si="180"/>
        <v>10994</v>
      </c>
    </row>
    <row r="285" spans="1:8" ht="21" customHeight="1" x14ac:dyDescent="0.15">
      <c r="A285" s="10" t="str">
        <f t="shared" si="179"/>
        <v>346346</v>
      </c>
      <c r="B285" s="23">
        <v>346</v>
      </c>
      <c r="C285" s="23">
        <v>346</v>
      </c>
      <c r="D285" s="52" t="str">
        <f>IFERROR(VLOOKUP(C285,gachas!A:C,3),0)</f>
        <v>新キャラ追加&lt;グリム&gt;</v>
      </c>
      <c r="E285" s="42" t="s">
        <v>889</v>
      </c>
      <c r="F285" s="55" t="s">
        <v>888</v>
      </c>
      <c r="G285" s="24">
        <f t="shared" ref="G285" si="181">C285</f>
        <v>346</v>
      </c>
      <c r="H285" s="6">
        <f t="shared" si="180"/>
        <v>10993</v>
      </c>
    </row>
    <row r="286" spans="1:8" ht="21" customHeight="1" x14ac:dyDescent="0.15">
      <c r="A286" s="10" t="str">
        <f t="shared" ref="A286:A287" si="182">B286&amp;C286</f>
        <v>347347</v>
      </c>
      <c r="B286" s="23">
        <v>347</v>
      </c>
      <c r="C286" s="23">
        <v>347</v>
      </c>
      <c r="D286" s="52" t="str">
        <f>IFERROR(VLOOKUP(C286,gachas!A:C,3),0)</f>
        <v>ノーマルガチャ&lt;グリム2in&gt;</v>
      </c>
      <c r="E286" s="42" t="s">
        <v>890</v>
      </c>
      <c r="F286" s="105" t="s">
        <v>1088</v>
      </c>
      <c r="G286" s="60">
        <v>200</v>
      </c>
      <c r="H286" s="62">
        <v>11000</v>
      </c>
    </row>
    <row r="287" spans="1:8" ht="21" customHeight="1" x14ac:dyDescent="0.15">
      <c r="A287" s="10" t="str">
        <f t="shared" si="182"/>
        <v>348348</v>
      </c>
      <c r="B287" s="23">
        <v>348</v>
      </c>
      <c r="C287" s="23">
        <v>348</v>
      </c>
      <c r="D287" s="52" t="str">
        <f>IFERROR(VLOOKUP(C287,gachas!A:C,3),0)</f>
        <v>ピックアップ&lt;モルド、D.R.T.H&gt;</v>
      </c>
      <c r="E287" s="42" t="s">
        <v>908</v>
      </c>
      <c r="F287" s="55" t="s">
        <v>1002</v>
      </c>
      <c r="G287" s="24">
        <f t="shared" ref="G287" si="183">C287</f>
        <v>348</v>
      </c>
      <c r="H287" s="6">
        <f t="shared" si="180"/>
        <v>10999</v>
      </c>
    </row>
    <row r="288" spans="1:8" ht="21" customHeight="1" x14ac:dyDescent="0.15">
      <c r="A288" s="10" t="str">
        <f t="shared" ref="A288" si="184">B288&amp;C288</f>
        <v>349349</v>
      </c>
      <c r="B288" s="23">
        <v>349</v>
      </c>
      <c r="C288" s="23">
        <v>349</v>
      </c>
      <c r="D288" s="52" t="str">
        <f>IFERROR(VLOOKUP(C288,gachas!A:C,3),0)</f>
        <v>ステップアップ&lt;ブール&gt;</v>
      </c>
      <c r="E288" s="42" t="s">
        <v>916</v>
      </c>
      <c r="F288" s="77" t="s">
        <v>917</v>
      </c>
      <c r="G288" s="99">
        <v>350</v>
      </c>
      <c r="H288" s="6">
        <f t="shared" si="180"/>
        <v>10998</v>
      </c>
    </row>
    <row r="289" spans="1:8" ht="21" customHeight="1" x14ac:dyDescent="0.15">
      <c r="A289" s="10" t="str">
        <f t="shared" ref="A289" si="185">B289&amp;C289</f>
        <v>350350</v>
      </c>
      <c r="B289" s="23">
        <v>350</v>
      </c>
      <c r="C289" s="23">
        <v>350</v>
      </c>
      <c r="D289" s="52" t="str">
        <f>IFERROR(VLOOKUP(C289,gachas!A:C,3),0)</f>
        <v>フィーバーフェス(フロイト、ラグランジュ)</v>
      </c>
      <c r="E289" s="42" t="s">
        <v>916</v>
      </c>
      <c r="F289" s="77" t="s">
        <v>919</v>
      </c>
      <c r="G289" s="99">
        <v>349</v>
      </c>
      <c r="H289" s="6">
        <f t="shared" si="180"/>
        <v>10997</v>
      </c>
    </row>
    <row r="290" spans="1:8" ht="21" customHeight="1" x14ac:dyDescent="0.15">
      <c r="A290" s="10" t="str">
        <f t="shared" ref="A290:A292" si="186">B290&amp;C290</f>
        <v>351351</v>
      </c>
      <c r="B290" s="23">
        <v>351</v>
      </c>
      <c r="C290" s="23">
        <v>351</v>
      </c>
      <c r="D290" s="52" t="str">
        <f>IFERROR(VLOOKUP(C290,gachas!A:C,3),0)</f>
        <v>300万DL突破記念ガチャ</v>
      </c>
      <c r="E290" s="42" t="s">
        <v>987</v>
      </c>
      <c r="F290" s="77" t="s">
        <v>988</v>
      </c>
      <c r="G290" s="24">
        <f t="shared" ref="G290:G292" si="187">C290</f>
        <v>351</v>
      </c>
      <c r="H290" s="6">
        <f t="shared" si="180"/>
        <v>10996</v>
      </c>
    </row>
    <row r="291" spans="1:8" ht="21" customHeight="1" x14ac:dyDescent="0.15">
      <c r="A291" s="10" t="str">
        <f t="shared" si="186"/>
        <v>352352</v>
      </c>
      <c r="B291" s="23">
        <v>352</v>
      </c>
      <c r="C291" s="23">
        <v>352</v>
      </c>
      <c r="D291" s="52" t="str">
        <f>IFERROR(VLOOKUP(C291,gachas!A:C,3),0)</f>
        <v>ランキング対抗ガチャ&lt;シュヴァルツシルト&gt;</v>
      </c>
      <c r="E291" s="42" t="s">
        <v>989</v>
      </c>
      <c r="F291" s="77" t="s">
        <v>1008</v>
      </c>
      <c r="G291" s="24">
        <f t="shared" si="187"/>
        <v>352</v>
      </c>
      <c r="H291" s="6">
        <f t="shared" si="180"/>
        <v>10995</v>
      </c>
    </row>
    <row r="292" spans="1:8" ht="21" customHeight="1" x14ac:dyDescent="0.15">
      <c r="A292" s="10" t="str">
        <f t="shared" si="186"/>
        <v>353353</v>
      </c>
      <c r="B292" s="23">
        <v>353</v>
      </c>
      <c r="C292" s="23">
        <v>353</v>
      </c>
      <c r="D292" s="52" t="str">
        <f>IFERROR(VLOOKUP(C292,gachas!A:C,3),0)</f>
        <v>ハンプティおまけガチャ&lt;1回のみ&gt;</v>
      </c>
      <c r="E292" s="42" t="s">
        <v>990</v>
      </c>
      <c r="F292" s="77" t="s">
        <v>991</v>
      </c>
      <c r="G292" s="24">
        <f t="shared" si="187"/>
        <v>353</v>
      </c>
      <c r="H292" s="6">
        <f t="shared" si="180"/>
        <v>10994</v>
      </c>
    </row>
    <row r="293" spans="1:8" ht="21" customHeight="1" x14ac:dyDescent="0.15">
      <c r="A293" s="10" t="str">
        <f t="shared" ref="A293:A295" si="188">B293&amp;C293</f>
        <v>354354</v>
      </c>
      <c r="B293" s="23">
        <v>354</v>
      </c>
      <c r="C293" s="23">
        <v>354</v>
      </c>
      <c r="D293" s="52" t="str">
        <f>IFERROR(VLOOKUP(C293,gachas!A:C,3),0)</f>
        <v>ピックアップ&lt;ペロー、ハーメルン&gt;</v>
      </c>
      <c r="E293" s="42" t="s">
        <v>1016</v>
      </c>
      <c r="F293" s="77" t="s">
        <v>1017</v>
      </c>
      <c r="G293" s="24">
        <f t="shared" ref="G293:G295" si="189">C293</f>
        <v>354</v>
      </c>
      <c r="H293" s="6">
        <f t="shared" si="180"/>
        <v>10993</v>
      </c>
    </row>
    <row r="294" spans="1:8" ht="21" customHeight="1" x14ac:dyDescent="0.15">
      <c r="A294" s="10" t="str">
        <f t="shared" si="188"/>
        <v>355355</v>
      </c>
      <c r="B294" s="23">
        <v>355</v>
      </c>
      <c r="C294" s="23">
        <v>355</v>
      </c>
      <c r="D294" s="52" t="str">
        <f>IFERROR(VLOOKUP(C294,gachas!A:C,3),0)</f>
        <v>サンリオガチャ前半</v>
      </c>
      <c r="E294" s="42" t="s">
        <v>1018</v>
      </c>
      <c r="F294" s="77" t="s">
        <v>1019</v>
      </c>
      <c r="G294" s="24">
        <f t="shared" si="189"/>
        <v>355</v>
      </c>
      <c r="H294" s="6">
        <f t="shared" si="180"/>
        <v>10992</v>
      </c>
    </row>
    <row r="295" spans="1:8" ht="21" customHeight="1" x14ac:dyDescent="0.15">
      <c r="A295" s="10" t="str">
        <f t="shared" si="188"/>
        <v>356356</v>
      </c>
      <c r="B295" s="23">
        <v>356</v>
      </c>
      <c r="C295" s="23">
        <v>356</v>
      </c>
      <c r="D295" s="52" t="str">
        <f>IFERROR(VLOOKUP(C295,gachas!A:C,3),0)</f>
        <v>ダブルカラーフェス&lt;レッド、グリーン&gt;</v>
      </c>
      <c r="E295" s="42" t="s">
        <v>1020</v>
      </c>
      <c r="F295" s="77" t="s">
        <v>1057</v>
      </c>
      <c r="G295" s="24">
        <f t="shared" si="189"/>
        <v>356</v>
      </c>
      <c r="H295" s="6">
        <f t="shared" si="180"/>
        <v>10991</v>
      </c>
    </row>
    <row r="296" spans="1:8" ht="21" customHeight="1" x14ac:dyDescent="0.15">
      <c r="A296" s="10" t="str">
        <f t="shared" ref="A296:A297" si="190">B296&amp;C296</f>
        <v>357357</v>
      </c>
      <c r="B296" s="23">
        <v>357</v>
      </c>
      <c r="C296" s="23">
        <v>357</v>
      </c>
      <c r="D296" s="52" t="str">
        <f>IFERROR(VLOOKUP(C296,gachas!A:C,3),0)</f>
        <v>サンリオガチャ後半</v>
      </c>
      <c r="E296" s="42" t="s">
        <v>1064</v>
      </c>
      <c r="F296" s="77" t="s">
        <v>1065</v>
      </c>
      <c r="G296" s="24">
        <f t="shared" ref="G296:G297" si="191">C296</f>
        <v>357</v>
      </c>
      <c r="H296" s="6">
        <f t="shared" si="180"/>
        <v>10990</v>
      </c>
    </row>
    <row r="297" spans="1:8" ht="21" customHeight="1" x14ac:dyDescent="0.15">
      <c r="A297" s="10" t="str">
        <f t="shared" si="190"/>
        <v>358358</v>
      </c>
      <c r="B297" s="23">
        <v>358</v>
      </c>
      <c r="C297" s="23">
        <v>358</v>
      </c>
      <c r="D297" s="52" t="str">
        <f>IFERROR(VLOOKUP(C297,gachas!A:C,3),0)</f>
        <v>400万DL突破記念ガチャ</v>
      </c>
      <c r="E297" s="42" t="s">
        <v>1114</v>
      </c>
      <c r="F297" s="77" t="s">
        <v>1115</v>
      </c>
      <c r="G297" s="24">
        <f t="shared" si="191"/>
        <v>358</v>
      </c>
      <c r="H297" s="6">
        <f t="shared" si="180"/>
        <v>10989</v>
      </c>
    </row>
    <row r="298" spans="1:8" ht="21" customHeight="1" x14ac:dyDescent="0.15">
      <c r="A298" s="10" t="str">
        <f t="shared" ref="A298:A301" si="192">B298&amp;C298</f>
        <v>359359</v>
      </c>
      <c r="B298" s="23">
        <v>359</v>
      </c>
      <c r="C298" s="23">
        <v>359</v>
      </c>
      <c r="D298" s="52" t="str">
        <f>IFERROR(VLOOKUP(C298,gachas!A:C,3),0)</f>
        <v>Wカラーフェス&lt;青、黄&gt;</v>
      </c>
      <c r="E298" s="42" t="s">
        <v>1087</v>
      </c>
      <c r="F298" s="77" t="s">
        <v>1088</v>
      </c>
      <c r="G298" s="24">
        <f t="shared" ref="G298:G301" si="193">C298</f>
        <v>359</v>
      </c>
      <c r="H298" s="6">
        <f t="shared" si="180"/>
        <v>10988</v>
      </c>
    </row>
    <row r="299" spans="1:8" ht="21" customHeight="1" x14ac:dyDescent="0.15">
      <c r="A299" s="10" t="str">
        <f t="shared" si="192"/>
        <v>360360</v>
      </c>
      <c r="B299" s="23">
        <v>360</v>
      </c>
      <c r="C299" s="23">
        <v>360</v>
      </c>
      <c r="D299" s="52" t="str">
        <f>IFERROR(VLOOKUP(C299,gachas!A:C,3),0)</f>
        <v>ギリシャ神話ガチャ（新キャラ）</v>
      </c>
      <c r="E299" s="42" t="s">
        <v>1089</v>
      </c>
      <c r="F299" s="77" t="s">
        <v>1090</v>
      </c>
      <c r="G299" s="24">
        <f t="shared" si="193"/>
        <v>360</v>
      </c>
      <c r="H299" s="6">
        <f t="shared" si="180"/>
        <v>10987</v>
      </c>
    </row>
    <row r="300" spans="1:8" ht="21" customHeight="1" x14ac:dyDescent="0.15">
      <c r="A300" s="10" t="str">
        <f t="shared" si="192"/>
        <v>361361</v>
      </c>
      <c r="B300" s="23">
        <v>361</v>
      </c>
      <c r="C300" s="23">
        <v>361</v>
      </c>
      <c r="D300" s="52" t="str">
        <f>IFERROR(VLOOKUP(C300,gachas!A:C,3),0)</f>
        <v>レアガチャ&lt;ギリシャin&gt;</v>
      </c>
      <c r="E300" s="42" t="s">
        <v>1091</v>
      </c>
      <c r="F300" s="105" t="s">
        <v>1192</v>
      </c>
      <c r="G300" s="60">
        <v>200</v>
      </c>
      <c r="H300" s="6">
        <f t="shared" si="180"/>
        <v>10986</v>
      </c>
    </row>
    <row r="301" spans="1:8" ht="21" customHeight="1" x14ac:dyDescent="0.15">
      <c r="A301" s="10" t="str">
        <f t="shared" si="192"/>
        <v>362362</v>
      </c>
      <c r="B301" s="23">
        <v>362</v>
      </c>
      <c r="C301" s="23">
        <v>362</v>
      </c>
      <c r="D301" s="52" t="str">
        <f>IFERROR(VLOOKUP(C301,gachas!A:C,3),0)</f>
        <v>フィーバーフェス&lt;ポアソン、クロネッカー&gt;</v>
      </c>
      <c r="E301" s="42" t="s">
        <v>1092</v>
      </c>
      <c r="F301" s="77" t="s">
        <v>1093</v>
      </c>
      <c r="G301" s="24">
        <f t="shared" si="193"/>
        <v>362</v>
      </c>
      <c r="H301" s="6">
        <f t="shared" si="180"/>
        <v>10985</v>
      </c>
    </row>
    <row r="302" spans="1:8" ht="21" customHeight="1" x14ac:dyDescent="0.15">
      <c r="A302" s="10" t="str">
        <f t="shared" ref="A302:A303" si="194">B302&amp;C302</f>
        <v>363363</v>
      </c>
      <c r="B302" s="23">
        <v>363</v>
      </c>
      <c r="C302" s="23">
        <v>363</v>
      </c>
      <c r="D302" s="52" t="str">
        <f>IFERROR(VLOOKUP(C302,gachas!A:C,3),0)</f>
        <v>フランス革命ガチャ</v>
      </c>
      <c r="E302" s="42" t="s">
        <v>1160</v>
      </c>
      <c r="F302" s="77" t="s">
        <v>1161</v>
      </c>
      <c r="G302" s="60">
        <v>365</v>
      </c>
      <c r="H302" s="6">
        <f t="shared" si="180"/>
        <v>10984</v>
      </c>
    </row>
    <row r="303" spans="1:8" ht="21" customHeight="1" x14ac:dyDescent="0.15">
      <c r="A303" s="10" t="str">
        <f t="shared" si="194"/>
        <v>364364</v>
      </c>
      <c r="B303" s="23">
        <v>364</v>
      </c>
      <c r="C303" s="23">
        <v>364</v>
      </c>
      <c r="D303" s="52" t="str">
        <f>IFERROR(VLOOKUP(C303,gachas!A:C,3),0)</f>
        <v>レアガチャ&lt;フランス革命in&gt;</v>
      </c>
      <c r="E303" s="42" t="s">
        <v>1159</v>
      </c>
      <c r="F303" s="107" t="s">
        <v>1302</v>
      </c>
      <c r="G303" s="60">
        <v>200</v>
      </c>
      <c r="H303" s="6">
        <f t="shared" si="180"/>
        <v>10983</v>
      </c>
    </row>
    <row r="304" spans="1:8" ht="21" customHeight="1" x14ac:dyDescent="0.15">
      <c r="A304" s="10" t="str">
        <f t="shared" ref="A304" si="195">B304&amp;C304</f>
        <v>365365</v>
      </c>
      <c r="B304" s="23">
        <v>365</v>
      </c>
      <c r="C304" s="23">
        <v>365</v>
      </c>
      <c r="D304" s="52" t="str">
        <f>IFERROR(VLOOKUP(C304,gachas!A:C,3),0)</f>
        <v>七夕ステップアップガチャ</v>
      </c>
      <c r="E304" s="42" t="s">
        <v>1158</v>
      </c>
      <c r="F304" s="77" t="s">
        <v>1117</v>
      </c>
      <c r="G304" s="60">
        <v>366</v>
      </c>
      <c r="H304" s="6">
        <f t="shared" si="180"/>
        <v>10982</v>
      </c>
    </row>
    <row r="305" spans="1:8" ht="21" customHeight="1" x14ac:dyDescent="0.15">
      <c r="A305" s="10" t="str">
        <f t="shared" ref="A305" si="196">B305&amp;C305</f>
        <v>366366</v>
      </c>
      <c r="B305" s="23">
        <v>366</v>
      </c>
      <c r="C305" s="23">
        <v>366</v>
      </c>
      <c r="D305" s="52" t="str">
        <f>IFERROR(VLOOKUP(C305,gachas!A:C,3),0)</f>
        <v>7月ステップアップフィーバー</v>
      </c>
      <c r="E305" s="42" t="s">
        <v>1145</v>
      </c>
      <c r="F305" s="77" t="s">
        <v>1146</v>
      </c>
      <c r="G305" s="60">
        <v>363</v>
      </c>
      <c r="H305" s="6">
        <f t="shared" si="180"/>
        <v>10981</v>
      </c>
    </row>
    <row r="306" spans="1:8" ht="21" customHeight="1" x14ac:dyDescent="0.15">
      <c r="A306" s="10" t="str">
        <f t="shared" ref="A306:A307" si="197">B306&amp;C306</f>
        <v>367367</v>
      </c>
      <c r="B306" s="23">
        <v>367</v>
      </c>
      <c r="C306" s="23">
        <v>367</v>
      </c>
      <c r="D306" s="52" t="str">
        <f>IFERROR(VLOOKUP(C306,gachas!A:C,3),0)</f>
        <v>ランキング対抗ガチャ&lt;フレネル&gt;</v>
      </c>
      <c r="E306" s="42" t="s">
        <v>1193</v>
      </c>
      <c r="F306" s="77" t="s">
        <v>1175</v>
      </c>
      <c r="G306" s="24">
        <f>C306</f>
        <v>367</v>
      </c>
      <c r="H306" s="6">
        <f t="shared" si="180"/>
        <v>10980</v>
      </c>
    </row>
    <row r="307" spans="1:8" ht="21" customHeight="1" x14ac:dyDescent="0.15">
      <c r="A307" s="10" t="str">
        <f t="shared" si="197"/>
        <v>368368</v>
      </c>
      <c r="B307" s="23">
        <v>368</v>
      </c>
      <c r="C307" s="23">
        <v>368</v>
      </c>
      <c r="D307" s="52" t="str">
        <f>IFERROR(VLOOKUP(C307,gachas!A:C,3),0)</f>
        <v>1周年記念ステップアップ</v>
      </c>
      <c r="E307" s="42" t="s">
        <v>1172</v>
      </c>
      <c r="F307" s="77" t="s">
        <v>1173</v>
      </c>
      <c r="G307" s="24">
        <f>C307</f>
        <v>368</v>
      </c>
      <c r="H307" s="6">
        <f t="shared" si="180"/>
        <v>10979</v>
      </c>
    </row>
    <row r="308" spans="1:8" ht="21" customHeight="1" x14ac:dyDescent="0.15">
      <c r="A308" s="10" t="str">
        <f t="shared" ref="A308:A309" si="198">B308&amp;C308</f>
        <v>369369</v>
      </c>
      <c r="B308" s="23">
        <v>369</v>
      </c>
      <c r="C308" s="23">
        <v>369</v>
      </c>
      <c r="D308" s="52" t="str">
        <f>IFERROR(VLOOKUP(C308,gachas!A:C,3),0)</f>
        <v>超覚醒記念ガチャ</v>
      </c>
      <c r="E308" s="42" t="s">
        <v>1201</v>
      </c>
      <c r="F308" s="77" t="s">
        <v>1202</v>
      </c>
      <c r="G308" s="24">
        <f t="shared" ref="G308:G309" si="199">C308</f>
        <v>369</v>
      </c>
      <c r="H308" s="6">
        <f t="shared" si="180"/>
        <v>10978</v>
      </c>
    </row>
    <row r="309" spans="1:8" ht="21" customHeight="1" x14ac:dyDescent="0.15">
      <c r="A309" s="10" t="str">
        <f t="shared" si="198"/>
        <v>370370</v>
      </c>
      <c r="B309" s="23">
        <v>370</v>
      </c>
      <c r="C309" s="23">
        <v>370</v>
      </c>
      <c r="D309" s="52" t="str">
        <f>IFERROR(VLOOKUP(C309,gachas!A:C,3),0)</f>
        <v>新クラファーコレクション</v>
      </c>
      <c r="E309" s="42" t="s">
        <v>1203</v>
      </c>
      <c r="F309" s="77" t="s">
        <v>1221</v>
      </c>
      <c r="G309" s="24">
        <f t="shared" si="199"/>
        <v>370</v>
      </c>
      <c r="H309" s="6">
        <f t="shared" si="180"/>
        <v>10977</v>
      </c>
    </row>
    <row r="310" spans="1:8" ht="21" customHeight="1" x14ac:dyDescent="0.15">
      <c r="A310" s="10" t="str">
        <f t="shared" ref="A310:A311" si="200">B310&amp;C310</f>
        <v>371371</v>
      </c>
      <c r="B310" s="23">
        <v>371</v>
      </c>
      <c r="C310" s="23">
        <v>371</v>
      </c>
      <c r="D310" s="52" t="str">
        <f>IFERROR(VLOOKUP(C310,gachas!A:C,3),0)</f>
        <v>水着ガチャ&lt;SideA&gt;</v>
      </c>
      <c r="E310" s="42" t="s">
        <v>1204</v>
      </c>
      <c r="F310" s="77" t="s">
        <v>1205</v>
      </c>
      <c r="G310" s="60">
        <v>372</v>
      </c>
      <c r="H310" s="6">
        <f t="shared" si="180"/>
        <v>10976</v>
      </c>
    </row>
    <row r="311" spans="1:8" ht="21" customHeight="1" x14ac:dyDescent="0.15">
      <c r="A311" s="10" t="str">
        <f t="shared" si="200"/>
        <v>372372</v>
      </c>
      <c r="B311" s="23">
        <v>372</v>
      </c>
      <c r="C311" s="23">
        <v>372</v>
      </c>
      <c r="D311" s="52" t="str">
        <f>IFERROR(VLOOKUP(C311,gachas!A:C,3),0)</f>
        <v>水着ガチャ&lt;SideB&gt;</v>
      </c>
      <c r="E311" s="42" t="s">
        <v>1204</v>
      </c>
      <c r="F311" s="77" t="s">
        <v>1205</v>
      </c>
      <c r="G311" s="60">
        <v>371</v>
      </c>
      <c r="H311" s="6">
        <f t="shared" si="180"/>
        <v>10975</v>
      </c>
    </row>
    <row r="312" spans="1:8" ht="21" customHeight="1" x14ac:dyDescent="0.15">
      <c r="A312" s="10" t="str">
        <f t="shared" ref="A312" si="201">B312&amp;C312</f>
        <v>73007300</v>
      </c>
      <c r="B312" s="23">
        <v>7300</v>
      </c>
      <c r="C312" s="23">
        <v>7300</v>
      </c>
      <c r="D312" s="52" t="str">
        <f>IFERROR(VLOOKUP(C312,gachas!A:C,3),0)</f>
        <v>スイカチケットガチャ</v>
      </c>
      <c r="E312" s="42" t="s">
        <v>2638</v>
      </c>
      <c r="F312" s="42" t="s">
        <v>2651</v>
      </c>
      <c r="G312" s="60">
        <v>199</v>
      </c>
      <c r="H312" s="6">
        <v>0</v>
      </c>
    </row>
    <row r="313" spans="1:8" ht="21" customHeight="1" x14ac:dyDescent="0.15">
      <c r="A313" s="10" t="str">
        <f t="shared" ref="A313:A314" si="202">B313&amp;C313</f>
        <v>73017301</v>
      </c>
      <c r="B313" s="23">
        <v>7301</v>
      </c>
      <c r="C313" s="23">
        <v>7301</v>
      </c>
      <c r="D313" s="52" t="str">
        <f>IFERROR(VLOOKUP(C313,gachas!A:C,3),0)</f>
        <v>スイカチケットガチャ10連</v>
      </c>
      <c r="E313" s="42" t="s">
        <v>2638</v>
      </c>
      <c r="F313" s="42" t="s">
        <v>2651</v>
      </c>
      <c r="G313" s="60">
        <v>198</v>
      </c>
      <c r="H313" s="6">
        <v>0</v>
      </c>
    </row>
    <row r="314" spans="1:8" ht="21" customHeight="1" x14ac:dyDescent="0.15">
      <c r="A314" s="10" t="str">
        <f t="shared" si="202"/>
        <v>373373</v>
      </c>
      <c r="B314" s="23">
        <v>373</v>
      </c>
      <c r="C314" s="23">
        <v>373</v>
      </c>
      <c r="D314" s="52" t="str">
        <f>IFERROR(VLOOKUP(C314,gachas!A:C,3),0)</f>
        <v>復刻ピックアップ&lt;沖田、親指&gt;</v>
      </c>
      <c r="E314" s="42" t="s">
        <v>1250</v>
      </c>
      <c r="F314" s="77" t="s">
        <v>1255</v>
      </c>
      <c r="G314" s="60">
        <v>201</v>
      </c>
      <c r="H314" s="106">
        <v>10974</v>
      </c>
    </row>
    <row r="315" spans="1:8" ht="21" customHeight="1" x14ac:dyDescent="0.15">
      <c r="A315" s="10" t="str">
        <f t="shared" ref="A315:A318" si="203">B315&amp;C315</f>
        <v>374374</v>
      </c>
      <c r="B315" s="23">
        <v>374</v>
      </c>
      <c r="C315" s="23">
        <v>374</v>
      </c>
      <c r="D315" s="52" t="str">
        <f>IFERROR(VLOOKUP(C315,gachas!A:C,3),0)</f>
        <v>復刻ピックアップ&lt;モルド、DRTH&gt;</v>
      </c>
      <c r="E315" s="42" t="s">
        <v>1256</v>
      </c>
      <c r="F315" s="77" t="s">
        <v>1257</v>
      </c>
      <c r="G315" s="60">
        <v>201</v>
      </c>
      <c r="H315" s="6">
        <f t="shared" ref="H315:H367" si="204">H314-1</f>
        <v>10973</v>
      </c>
    </row>
    <row r="316" spans="1:8" ht="21" customHeight="1" x14ac:dyDescent="0.15">
      <c r="A316" s="10" t="str">
        <f t="shared" si="203"/>
        <v>375375</v>
      </c>
      <c r="B316" s="23">
        <v>375</v>
      </c>
      <c r="C316" s="23">
        <v>375</v>
      </c>
      <c r="D316" s="52" t="str">
        <f>IFERROR(VLOOKUP(C316,gachas!A:C,3),0)</f>
        <v>復刻ピックアップ&lt;ペロー、ハーメルン&gt;</v>
      </c>
      <c r="E316" s="42" t="s">
        <v>1251</v>
      </c>
      <c r="F316" s="77" t="s">
        <v>1258</v>
      </c>
      <c r="G316" s="60">
        <v>201</v>
      </c>
      <c r="H316" s="6">
        <f t="shared" si="204"/>
        <v>10972</v>
      </c>
    </row>
    <row r="317" spans="1:8" ht="21" customHeight="1" x14ac:dyDescent="0.15">
      <c r="A317" s="10" t="str">
        <f t="shared" si="203"/>
        <v>376376</v>
      </c>
      <c r="B317" s="23">
        <v>376</v>
      </c>
      <c r="C317" s="23">
        <v>376</v>
      </c>
      <c r="D317" s="52" t="str">
        <f>IFERROR(VLOOKUP(C317,gachas!A:C,3),0)</f>
        <v>R6解放ピックアップ&lt;クルミ、フウガ、ラプ、フレイヤ&gt;</v>
      </c>
      <c r="E317" s="42" t="s">
        <v>1253</v>
      </c>
      <c r="F317" s="77" t="s">
        <v>1254</v>
      </c>
      <c r="G317" s="24">
        <f t="shared" ref="G317:G318" si="205">C317</f>
        <v>376</v>
      </c>
      <c r="H317" s="6">
        <f t="shared" si="204"/>
        <v>10971</v>
      </c>
    </row>
    <row r="318" spans="1:8" ht="21" customHeight="1" x14ac:dyDescent="0.15">
      <c r="A318" s="10" t="str">
        <f t="shared" si="203"/>
        <v>377377</v>
      </c>
      <c r="B318" s="23">
        <v>377</v>
      </c>
      <c r="C318" s="23">
        <v>377</v>
      </c>
      <c r="D318" s="52" t="str">
        <f>IFERROR(VLOOKUP(C318,gachas!A:C,3),0)</f>
        <v>ランキング対抗ガチャ&lt;ヘイウェイ&gt;</v>
      </c>
      <c r="E318" s="42" t="s">
        <v>1252</v>
      </c>
      <c r="F318" s="77" t="s">
        <v>1319</v>
      </c>
      <c r="G318" s="24">
        <f t="shared" si="205"/>
        <v>377</v>
      </c>
      <c r="H318" s="6">
        <f t="shared" si="204"/>
        <v>10970</v>
      </c>
    </row>
    <row r="319" spans="1:8" ht="21" customHeight="1" x14ac:dyDescent="0.15">
      <c r="A319" s="10" t="str">
        <f t="shared" ref="A319:A322" si="206">B319&amp;C319</f>
        <v>378378</v>
      </c>
      <c r="B319" s="23">
        <v>378</v>
      </c>
      <c r="C319" s="23">
        <v>378</v>
      </c>
      <c r="D319" s="52" t="str">
        <f>IFERROR(VLOOKUP(C319,gachas!A:C,3),0)</f>
        <v>7月フィーバーフェス</v>
      </c>
      <c r="E319" s="42" t="s">
        <v>1288</v>
      </c>
      <c r="F319" s="77" t="s">
        <v>1289</v>
      </c>
      <c r="G319" s="24">
        <f t="shared" ref="G319:G322" si="207">C319</f>
        <v>378</v>
      </c>
      <c r="H319" s="6">
        <f t="shared" si="204"/>
        <v>10969</v>
      </c>
    </row>
    <row r="320" spans="1:8" ht="21" customHeight="1" x14ac:dyDescent="0.15">
      <c r="A320" s="10" t="str">
        <f t="shared" si="206"/>
        <v>379379</v>
      </c>
      <c r="B320" s="23">
        <v>379</v>
      </c>
      <c r="C320" s="23">
        <v>379</v>
      </c>
      <c r="D320" s="52" t="str">
        <f>IFERROR(VLOOKUP(C320,gachas!A:C,3),0)</f>
        <v>エジプトガチャ</v>
      </c>
      <c r="E320" s="42" t="s">
        <v>1290</v>
      </c>
      <c r="F320" s="77" t="s">
        <v>1291</v>
      </c>
      <c r="G320" s="24">
        <f t="shared" si="207"/>
        <v>379</v>
      </c>
      <c r="H320" s="6">
        <f t="shared" si="204"/>
        <v>10968</v>
      </c>
    </row>
    <row r="321" spans="1:8" ht="21" customHeight="1" x14ac:dyDescent="0.15">
      <c r="A321" s="10" t="str">
        <f t="shared" si="206"/>
        <v>380380</v>
      </c>
      <c r="B321" s="23">
        <v>380</v>
      </c>
      <c r="C321" s="23">
        <v>380</v>
      </c>
      <c r="D321" s="52" t="str">
        <f>IFERROR(VLOOKUP(C321,gachas!A:C,3),0)</f>
        <v>レアガチャ&lt;エジプトin&gt;</v>
      </c>
      <c r="E321" s="42" t="s">
        <v>1290</v>
      </c>
      <c r="F321" s="105" t="s">
        <v>1415</v>
      </c>
      <c r="G321" s="60">
        <v>200</v>
      </c>
      <c r="H321" s="6">
        <f t="shared" si="204"/>
        <v>10967</v>
      </c>
    </row>
    <row r="322" spans="1:8" ht="21" customHeight="1" x14ac:dyDescent="0.15">
      <c r="A322" s="10" t="str">
        <f t="shared" si="206"/>
        <v>381381</v>
      </c>
      <c r="B322" s="23">
        <v>381</v>
      </c>
      <c r="C322" s="23">
        <v>381</v>
      </c>
      <c r="D322" s="52" t="str">
        <f>IFERROR(VLOOKUP(C322,gachas!A:C,3),0)</f>
        <v>近藤ランスピックアップ</v>
      </c>
      <c r="E322" s="42" t="s">
        <v>1325</v>
      </c>
      <c r="F322" s="77" t="s">
        <v>1292</v>
      </c>
      <c r="G322" s="24">
        <f t="shared" si="207"/>
        <v>381</v>
      </c>
      <c r="H322" s="6">
        <f t="shared" si="204"/>
        <v>10966</v>
      </c>
    </row>
    <row r="323" spans="1:8" ht="21" customHeight="1" x14ac:dyDescent="0.15">
      <c r="A323" s="10" t="str">
        <f t="shared" ref="A323:A327" si="208">B323&amp;C323</f>
        <v>382382</v>
      </c>
      <c r="B323" s="23">
        <v>382</v>
      </c>
      <c r="C323" s="23">
        <v>382</v>
      </c>
      <c r="D323" s="52" t="str">
        <f>IFERROR(VLOOKUP(C323,gachas!A:C,3),0)</f>
        <v>1周年記念スペシャルガチャ</v>
      </c>
      <c r="E323" s="42" t="s">
        <v>1326</v>
      </c>
      <c r="F323" s="77" t="s">
        <v>1327</v>
      </c>
      <c r="G323" s="24">
        <f t="shared" ref="G323:G324" si="209">C323</f>
        <v>382</v>
      </c>
      <c r="H323" s="6">
        <f t="shared" si="204"/>
        <v>10965</v>
      </c>
    </row>
    <row r="324" spans="1:8" ht="21" customHeight="1" x14ac:dyDescent="0.15">
      <c r="A324" s="10" t="str">
        <f t="shared" si="208"/>
        <v>383383</v>
      </c>
      <c r="B324" s="23">
        <v>383</v>
      </c>
      <c r="C324" s="23">
        <v>383</v>
      </c>
      <c r="D324" s="52" t="str">
        <f>IFERROR(VLOOKUP(C324,gachas!A:C,3),0)</f>
        <v>R6解放ピックアップ&lt;ヴィシュヌ、サラスヴァティ&gt;</v>
      </c>
      <c r="E324" s="42" t="s">
        <v>1328</v>
      </c>
      <c r="F324" s="77" t="s">
        <v>1329</v>
      </c>
      <c r="G324" s="24">
        <f t="shared" si="209"/>
        <v>383</v>
      </c>
      <c r="H324" s="6">
        <f t="shared" si="204"/>
        <v>10964</v>
      </c>
    </row>
    <row r="325" spans="1:8" ht="21" customHeight="1" x14ac:dyDescent="0.15">
      <c r="A325" s="10" t="str">
        <f t="shared" si="208"/>
        <v>384384</v>
      </c>
      <c r="B325" s="23">
        <v>384</v>
      </c>
      <c r="C325" s="23">
        <v>384</v>
      </c>
      <c r="D325" s="52" t="str">
        <f>IFERROR(VLOOKUP(C325,gachas!A:C,3),0)</f>
        <v>サマーセール特集記念ステップアップ</v>
      </c>
      <c r="E325" s="42" t="s">
        <v>1330</v>
      </c>
      <c r="F325" s="77" t="s">
        <v>1376</v>
      </c>
      <c r="G325" s="60">
        <v>385</v>
      </c>
      <c r="H325" s="6">
        <f t="shared" si="204"/>
        <v>10963</v>
      </c>
    </row>
    <row r="326" spans="1:8" ht="21" customHeight="1" x14ac:dyDescent="0.15">
      <c r="A326" s="10" t="str">
        <f t="shared" si="208"/>
        <v>385385</v>
      </c>
      <c r="B326" s="23">
        <v>385</v>
      </c>
      <c r="C326" s="23">
        <v>385</v>
      </c>
      <c r="D326" s="52" t="str">
        <f>IFERROR(VLOOKUP(C326,gachas!A:C,3),0)</f>
        <v>進撃コラボ前半</v>
      </c>
      <c r="E326" s="42" t="s">
        <v>1331</v>
      </c>
      <c r="F326" s="77" t="s">
        <v>1332</v>
      </c>
      <c r="G326" s="60">
        <v>384</v>
      </c>
      <c r="H326" s="6">
        <f t="shared" si="204"/>
        <v>10962</v>
      </c>
    </row>
    <row r="327" spans="1:8" ht="21" customHeight="1" x14ac:dyDescent="0.15">
      <c r="A327" s="10" t="str">
        <f t="shared" si="208"/>
        <v>386386</v>
      </c>
      <c r="B327" s="23">
        <v>386</v>
      </c>
      <c r="C327" s="23">
        <v>386</v>
      </c>
      <c r="D327" s="52" t="str">
        <f>IFERROR(VLOOKUP(C327,gachas!A:C,3),0)</f>
        <v>進撃コラボ後半</v>
      </c>
      <c r="E327" s="42" t="s">
        <v>1333</v>
      </c>
      <c r="F327" s="77" t="s">
        <v>1334</v>
      </c>
      <c r="G327" s="60">
        <v>388</v>
      </c>
      <c r="H327" s="6">
        <f t="shared" si="204"/>
        <v>10961</v>
      </c>
    </row>
    <row r="328" spans="1:8" ht="21" customHeight="1" x14ac:dyDescent="0.15">
      <c r="A328" s="10" t="str">
        <f t="shared" ref="A328" si="210">B328&amp;C328</f>
        <v>387387</v>
      </c>
      <c r="B328" s="23">
        <v>387</v>
      </c>
      <c r="C328" s="23">
        <v>387</v>
      </c>
      <c r="D328" s="52" t="str">
        <f>IFERROR(VLOOKUP(C328,gachas!A:C,3),0)</f>
        <v>R6解放ピックアップ&lt;ハヅル、イナバ&gt;</v>
      </c>
      <c r="E328" s="42" t="s">
        <v>1391</v>
      </c>
      <c r="F328" s="77" t="s">
        <v>1387</v>
      </c>
      <c r="G328" s="60">
        <v>386</v>
      </c>
      <c r="H328" s="6">
        <f t="shared" si="204"/>
        <v>10960</v>
      </c>
    </row>
    <row r="329" spans="1:8" ht="21" customHeight="1" x14ac:dyDescent="0.15">
      <c r="A329" s="10" t="str">
        <f t="shared" ref="A329" si="211">B329&amp;C329</f>
        <v>388388</v>
      </c>
      <c r="B329" s="23">
        <v>388</v>
      </c>
      <c r="C329" s="23">
        <v>388</v>
      </c>
      <c r="D329" s="52" t="str">
        <f>IFERROR(VLOOKUP(C329,gachas!A:C,3),0)</f>
        <v>ランキング対抗&lt;ド・モルガン&gt;</v>
      </c>
      <c r="E329" s="42" t="s">
        <v>1388</v>
      </c>
      <c r="F329" s="77" t="s">
        <v>1386</v>
      </c>
      <c r="G329" s="60">
        <v>387</v>
      </c>
      <c r="H329" s="6">
        <f t="shared" si="204"/>
        <v>10959</v>
      </c>
    </row>
    <row r="330" spans="1:8" ht="21" customHeight="1" x14ac:dyDescent="0.15">
      <c r="A330" s="10" t="str">
        <f t="shared" ref="A330" si="212">B330&amp;C330</f>
        <v>389389</v>
      </c>
      <c r="B330" s="23">
        <v>389</v>
      </c>
      <c r="C330" s="23">
        <v>389</v>
      </c>
      <c r="D330" s="52" t="str">
        <f>IFERROR(VLOOKUP(C330,gachas!A:C,3),0)</f>
        <v>Wカラーフェス&lt;青、黄&gt;</v>
      </c>
      <c r="E330" s="42" t="s">
        <v>1401</v>
      </c>
      <c r="F330" s="77" t="s">
        <v>1402</v>
      </c>
      <c r="G330" s="60">
        <v>388</v>
      </c>
      <c r="H330" s="6">
        <f t="shared" si="204"/>
        <v>10958</v>
      </c>
    </row>
    <row r="331" spans="1:8" ht="21" customHeight="1" x14ac:dyDescent="0.15">
      <c r="A331" s="10" t="str">
        <f t="shared" ref="A331" si="213">B331&amp;C331</f>
        <v>390390</v>
      </c>
      <c r="B331" s="23">
        <v>390</v>
      </c>
      <c r="C331" s="23">
        <v>390</v>
      </c>
      <c r="D331" s="52" t="str">
        <f>IFERROR(VLOOKUP(C331,gachas!A:C,3),0)</f>
        <v>平安ガチャ</v>
      </c>
      <c r="E331" s="42" t="s">
        <v>1406</v>
      </c>
      <c r="F331" s="77" t="s">
        <v>1407</v>
      </c>
      <c r="G331" s="24">
        <f t="shared" ref="G331" si="214">C331</f>
        <v>390</v>
      </c>
      <c r="H331" s="6">
        <f t="shared" si="204"/>
        <v>10957</v>
      </c>
    </row>
    <row r="332" spans="1:8" ht="21" customHeight="1" x14ac:dyDescent="0.15">
      <c r="A332" s="10" t="str">
        <f t="shared" ref="A332" si="215">B332&amp;C332</f>
        <v>391391</v>
      </c>
      <c r="B332" s="23">
        <v>391</v>
      </c>
      <c r="C332" s="23">
        <v>391</v>
      </c>
      <c r="D332" s="52" t="str">
        <f>IFERROR(VLOOKUP(C332,gachas!A:C,3),0)</f>
        <v>レアガチャ（平安in）</v>
      </c>
      <c r="E332" s="42" t="s">
        <v>1406</v>
      </c>
      <c r="F332" s="105" t="s">
        <v>1474</v>
      </c>
      <c r="G332" s="24">
        <v>200</v>
      </c>
      <c r="H332" s="6">
        <f t="shared" si="204"/>
        <v>10956</v>
      </c>
    </row>
    <row r="333" spans="1:8" ht="21" customHeight="1" x14ac:dyDescent="0.15">
      <c r="A333" s="10" t="str">
        <f t="shared" ref="A333" si="216">B333&amp;C333</f>
        <v>392392</v>
      </c>
      <c r="B333" s="23">
        <v>392</v>
      </c>
      <c r="C333" s="23">
        <v>392</v>
      </c>
      <c r="D333" s="52" t="str">
        <f>IFERROR(VLOOKUP(C333,gachas!A:C,3),0)</f>
        <v>復刻ピックアップ&lt;円卓&gt;</v>
      </c>
      <c r="E333" s="42" t="s">
        <v>1433</v>
      </c>
      <c r="F333" s="105" t="s">
        <v>1434</v>
      </c>
      <c r="G333" s="24">
        <v>393</v>
      </c>
      <c r="H333" s="6">
        <f t="shared" si="204"/>
        <v>10955</v>
      </c>
    </row>
    <row r="334" spans="1:8" ht="21" customHeight="1" x14ac:dyDescent="0.15">
      <c r="A334" s="10" t="str">
        <f t="shared" ref="A334:A335" si="217">B334&amp;C334</f>
        <v>393393</v>
      </c>
      <c r="B334" s="23">
        <v>393</v>
      </c>
      <c r="C334" s="23">
        <v>393</v>
      </c>
      <c r="D334" s="52" t="str">
        <f>IFERROR(VLOOKUP(C334,gachas!A:C,3),0)</f>
        <v>8月フィーバーフェス</v>
      </c>
      <c r="E334" s="42" t="s">
        <v>1464</v>
      </c>
      <c r="F334" s="105" t="s">
        <v>1465</v>
      </c>
      <c r="G334" s="24">
        <v>394</v>
      </c>
      <c r="H334" s="6">
        <f>H332-1</f>
        <v>10955</v>
      </c>
    </row>
    <row r="335" spans="1:8" ht="21" customHeight="1" x14ac:dyDescent="0.15">
      <c r="A335" s="10" t="str">
        <f t="shared" si="217"/>
        <v>394394</v>
      </c>
      <c r="B335" s="23">
        <v>394</v>
      </c>
      <c r="C335" s="23">
        <v>394</v>
      </c>
      <c r="D335" s="52" t="str">
        <f>IFERROR(VLOOKUP(C335,gachas!A:C,3),0)</f>
        <v>ランキング対抗&lt;シュヴァルツシルト&gt;</v>
      </c>
      <c r="E335" s="42" t="s">
        <v>1423</v>
      </c>
      <c r="F335" s="105" t="s">
        <v>1482</v>
      </c>
      <c r="G335" s="24">
        <v>395</v>
      </c>
      <c r="H335" s="6">
        <f t="shared" si="204"/>
        <v>10954</v>
      </c>
    </row>
    <row r="336" spans="1:8" ht="21" customHeight="1" x14ac:dyDescent="0.15">
      <c r="A336" s="10" t="str">
        <f t="shared" ref="A336" si="218">B336&amp;C336</f>
        <v>395395</v>
      </c>
      <c r="B336" s="23">
        <v>395</v>
      </c>
      <c r="C336" s="23">
        <v>395</v>
      </c>
      <c r="D336" s="52" t="str">
        <f>IFERROR(VLOOKUP(C336,gachas!A:C,3),0)</f>
        <v>TVCM第2弾放送記念 1日1回無料レアガチャ</v>
      </c>
      <c r="E336" s="42" t="s">
        <v>1435</v>
      </c>
      <c r="F336" s="105" t="s">
        <v>1484</v>
      </c>
      <c r="G336" s="24">
        <v>392</v>
      </c>
      <c r="H336" s="6">
        <f t="shared" si="204"/>
        <v>10953</v>
      </c>
    </row>
    <row r="337" spans="1:8" ht="21" customHeight="1" x14ac:dyDescent="0.15">
      <c r="A337" s="10" t="str">
        <f t="shared" ref="A337" si="219">B337&amp;C337</f>
        <v>396396</v>
      </c>
      <c r="B337" s="23">
        <v>396</v>
      </c>
      <c r="C337" s="23">
        <v>396</v>
      </c>
      <c r="D337" s="52" t="str">
        <f>IFERROR(VLOOKUP(C337,gachas!A:C,3),0)</f>
        <v>TVCM第2弾記念ガチャ１</v>
      </c>
      <c r="E337" s="42" t="s">
        <v>1435</v>
      </c>
      <c r="F337" s="105" t="s">
        <v>1444</v>
      </c>
      <c r="G337" s="24">
        <v>391</v>
      </c>
      <c r="H337" s="6">
        <f t="shared" si="204"/>
        <v>10952</v>
      </c>
    </row>
    <row r="338" spans="1:8" ht="21" customHeight="1" x14ac:dyDescent="0.15">
      <c r="A338" s="10" t="str">
        <f t="shared" ref="A338:A339" si="220">B338&amp;C338</f>
        <v>397397</v>
      </c>
      <c r="B338" s="23">
        <v>397</v>
      </c>
      <c r="C338" s="23">
        <v>397</v>
      </c>
      <c r="D338" s="52" t="str">
        <f>IFERROR(VLOOKUP(C338,gachas!A:C,3),0)</f>
        <v>メソポタミアガチャ</v>
      </c>
      <c r="E338" s="42" t="s">
        <v>1457</v>
      </c>
      <c r="F338" s="105" t="s">
        <v>1478</v>
      </c>
      <c r="G338" s="24">
        <v>396</v>
      </c>
      <c r="H338" s="6">
        <f t="shared" si="204"/>
        <v>10951</v>
      </c>
    </row>
    <row r="339" spans="1:8" ht="21" customHeight="1" x14ac:dyDescent="0.15">
      <c r="A339" s="10" t="str">
        <f t="shared" si="220"/>
        <v>398398</v>
      </c>
      <c r="B339" s="23">
        <v>398</v>
      </c>
      <c r="C339" s="23">
        <v>398</v>
      </c>
      <c r="D339" s="52" t="str">
        <f>IFERROR(VLOOKUP(C339,gachas!A:C,3),0)</f>
        <v>レアガチャ（メソポタミアin）</v>
      </c>
      <c r="E339" s="42" t="s">
        <v>1458</v>
      </c>
      <c r="F339" s="105" t="s">
        <v>1530</v>
      </c>
      <c r="G339" s="24">
        <v>200</v>
      </c>
      <c r="H339" s="6">
        <f t="shared" si="204"/>
        <v>10950</v>
      </c>
    </row>
    <row r="340" spans="1:8" ht="21" customHeight="1" x14ac:dyDescent="0.15">
      <c r="A340" s="10" t="str">
        <f t="shared" ref="A340" si="221">B340&amp;C340</f>
        <v>399399</v>
      </c>
      <c r="B340" s="23">
        <v>399</v>
      </c>
      <c r="C340" s="23">
        <v>399</v>
      </c>
      <c r="D340" s="52" t="str">
        <f>IFERROR(VLOOKUP(C340,gachas!A:C,3),0)</f>
        <v>TVCM第2弾放送記念ガチャ2</v>
      </c>
      <c r="E340" s="42" t="s">
        <v>1469</v>
      </c>
      <c r="F340" s="105" t="s">
        <v>1481</v>
      </c>
      <c r="G340" s="24">
        <v>397</v>
      </c>
      <c r="H340" s="6">
        <f t="shared" si="204"/>
        <v>10949</v>
      </c>
    </row>
    <row r="341" spans="1:8" ht="21" customHeight="1" x14ac:dyDescent="0.15">
      <c r="A341" s="10" t="str">
        <f t="shared" ref="A341" si="222">B341&amp;C341</f>
        <v>400400</v>
      </c>
      <c r="B341" s="23">
        <v>400</v>
      </c>
      <c r="C341" s="23">
        <v>400</v>
      </c>
      <c r="D341" s="52" t="str">
        <f>IFERROR(VLOOKUP(C341,gachas!A:C,3),0)</f>
        <v>ランキング対抗&lt;ウィグナー&gt;</v>
      </c>
      <c r="E341" s="42" t="s">
        <v>1476</v>
      </c>
      <c r="F341" s="105" t="s">
        <v>1495</v>
      </c>
      <c r="G341" s="24">
        <v>399</v>
      </c>
      <c r="H341" s="6">
        <f t="shared" si="204"/>
        <v>10948</v>
      </c>
    </row>
    <row r="342" spans="1:8" ht="21" customHeight="1" x14ac:dyDescent="0.15">
      <c r="A342" s="10" t="str">
        <f t="shared" ref="A342" si="223">B342&amp;C342</f>
        <v>401401</v>
      </c>
      <c r="B342" s="23">
        <v>401</v>
      </c>
      <c r="C342" s="23">
        <v>401</v>
      </c>
      <c r="D342" s="52" t="str">
        <f>IFERROR(VLOOKUP(C342,gachas!A:C,3),0)</f>
        <v>TVCM第2弾放送記念 1日1回無料レアガチャ</v>
      </c>
      <c r="E342" s="42" t="s">
        <v>1483</v>
      </c>
      <c r="F342" s="105" t="s">
        <v>1444</v>
      </c>
      <c r="G342" s="24">
        <v>392</v>
      </c>
      <c r="H342" s="6">
        <f t="shared" si="204"/>
        <v>10947</v>
      </c>
    </row>
    <row r="343" spans="1:8" ht="21" customHeight="1" x14ac:dyDescent="0.15">
      <c r="A343" s="10" t="str">
        <f t="shared" ref="A343" si="224">B343&amp;C343</f>
        <v>402402</v>
      </c>
      <c r="B343" s="23">
        <v>402</v>
      </c>
      <c r="C343" s="23">
        <v>402</v>
      </c>
      <c r="D343" s="52" t="str">
        <f>IFERROR(VLOOKUP(C343,gachas!A:C,3),0)</f>
        <v>R6解放ピックアップ&lt;ドライグ、アルフヘイム&gt;</v>
      </c>
      <c r="E343" s="42" t="s">
        <v>1515</v>
      </c>
      <c r="F343" s="105" t="s">
        <v>1497</v>
      </c>
      <c r="G343" s="24">
        <v>398</v>
      </c>
      <c r="H343" s="6">
        <f t="shared" si="204"/>
        <v>10946</v>
      </c>
    </row>
    <row r="344" spans="1:8" ht="21" customHeight="1" x14ac:dyDescent="0.15">
      <c r="A344" s="10" t="str">
        <f t="shared" ref="A344:A345" si="225">B344&amp;C344</f>
        <v>403403</v>
      </c>
      <c r="B344" s="23">
        <v>403</v>
      </c>
      <c r="C344" s="23">
        <v>403</v>
      </c>
      <c r="D344" s="52" t="str">
        <f>IFERROR(VLOOKUP(C344,gachas!A:C,3),0)</f>
        <v>R6解放ピックアップ&lt;ヤマタノオロチ、リヴァイアサン&gt;</v>
      </c>
      <c r="E344" s="42" t="s">
        <v>1520</v>
      </c>
      <c r="F344" s="105" t="s">
        <v>1521</v>
      </c>
      <c r="G344" s="24">
        <v>400</v>
      </c>
      <c r="H344" s="6">
        <f t="shared" si="204"/>
        <v>10945</v>
      </c>
    </row>
    <row r="345" spans="1:8" ht="21" customHeight="1" x14ac:dyDescent="0.15">
      <c r="A345" s="10" t="str">
        <f t="shared" si="225"/>
        <v>404404</v>
      </c>
      <c r="B345" s="23">
        <v>404</v>
      </c>
      <c r="C345" s="23">
        <v>404</v>
      </c>
      <c r="D345" s="52" t="str">
        <f>IFERROR(VLOOKUP(C345,gachas!A:C,3),0)</f>
        <v>ニューフェイスガチャ(画家)</v>
      </c>
      <c r="E345" s="42" t="s">
        <v>1522</v>
      </c>
      <c r="F345" s="105" t="s">
        <v>1523</v>
      </c>
      <c r="G345" s="24">
        <v>401</v>
      </c>
      <c r="H345" s="6">
        <f t="shared" si="204"/>
        <v>10944</v>
      </c>
    </row>
    <row r="346" spans="1:8" ht="21" customHeight="1" x14ac:dyDescent="0.15">
      <c r="A346" s="10" t="str">
        <f t="shared" ref="A346" si="226">B346&amp;C346</f>
        <v>405405</v>
      </c>
      <c r="B346" s="23">
        <v>405</v>
      </c>
      <c r="C346" s="23">
        <v>405</v>
      </c>
      <c r="D346" s="52" t="str">
        <f>IFERROR(VLOOKUP(C346,gachas!A:C,3),0)</f>
        <v>レアガチャ（画家in）</v>
      </c>
      <c r="E346" s="42" t="s">
        <v>1522</v>
      </c>
      <c r="F346" s="105" t="s">
        <v>1673</v>
      </c>
      <c r="G346" s="24">
        <v>200</v>
      </c>
      <c r="H346" s="6">
        <f t="shared" si="204"/>
        <v>10943</v>
      </c>
    </row>
    <row r="347" spans="1:8" ht="21" customHeight="1" x14ac:dyDescent="0.15">
      <c r="A347" s="10" t="str">
        <f t="shared" ref="A347" si="227">B347&amp;C347</f>
        <v>406406</v>
      </c>
      <c r="B347" s="23">
        <v>406</v>
      </c>
      <c r="C347" s="23">
        <v>406</v>
      </c>
      <c r="D347" s="52" t="str">
        <f>IFERROR(VLOOKUP(C347,gachas!A:C,3),0)</f>
        <v>復刻ピックアップ&lt;ヘングレ、親指、マルドゥク、メタトロン&gt;</v>
      </c>
      <c r="E347" s="42" t="s">
        <v>1533</v>
      </c>
      <c r="F347" s="105" t="s">
        <v>1534</v>
      </c>
      <c r="G347" s="24">
        <v>402</v>
      </c>
      <c r="H347" s="6">
        <f t="shared" si="204"/>
        <v>10942</v>
      </c>
    </row>
    <row r="348" spans="1:8" ht="21" customHeight="1" x14ac:dyDescent="0.15">
      <c r="A348" s="10" t="str">
        <f t="shared" ref="A348" si="228">B348&amp;C348</f>
        <v>407407</v>
      </c>
      <c r="B348" s="23">
        <v>407</v>
      </c>
      <c r="C348" s="23">
        <v>407</v>
      </c>
      <c r="D348" s="52" t="str">
        <f>IFERROR(VLOOKUP(C348,gachas!A:C,3),0)</f>
        <v>ハンプティおまけガチャ</v>
      </c>
      <c r="E348" s="42" t="s">
        <v>1554</v>
      </c>
      <c r="F348" s="105" t="s">
        <v>1551</v>
      </c>
      <c r="G348" s="24">
        <v>201</v>
      </c>
      <c r="H348" s="6">
        <f t="shared" si="204"/>
        <v>10941</v>
      </c>
    </row>
    <row r="349" spans="1:8" ht="21" customHeight="1" x14ac:dyDescent="0.15">
      <c r="A349" s="10" t="str">
        <f t="shared" ref="A349:A350" si="229">B349&amp;C349</f>
        <v>409409</v>
      </c>
      <c r="B349" s="23">
        <v>409</v>
      </c>
      <c r="C349" s="23">
        <v>409</v>
      </c>
      <c r="D349" s="52" t="str">
        <f>IFERROR(VLOOKUP(C349,gachas!A:C,3),0)</f>
        <v>600万DLガチャ1（カラーフェス限）</v>
      </c>
      <c r="E349" s="42" t="s">
        <v>1583</v>
      </c>
      <c r="F349" s="105" t="s">
        <v>1585</v>
      </c>
      <c r="G349" s="24">
        <f t="shared" ref="G349:G351" si="230">C349</f>
        <v>409</v>
      </c>
      <c r="H349" s="6">
        <f t="shared" si="204"/>
        <v>10940</v>
      </c>
    </row>
    <row r="350" spans="1:8" ht="21" customHeight="1" x14ac:dyDescent="0.15">
      <c r="A350" s="10" t="str">
        <f t="shared" si="229"/>
        <v>73027302</v>
      </c>
      <c r="B350" s="23">
        <v>7302</v>
      </c>
      <c r="C350" s="23">
        <v>7302</v>
      </c>
      <c r="D350" s="52" t="str">
        <f>IFERROR(VLOOKUP(C350,gachas!A:C,3),0)</f>
        <v>超厳選チケットガチャ</v>
      </c>
      <c r="E350" s="42" t="s">
        <v>1583</v>
      </c>
      <c r="F350" s="105" t="s">
        <v>1131</v>
      </c>
      <c r="G350" s="60">
        <v>405</v>
      </c>
      <c r="H350" s="6">
        <f t="shared" si="204"/>
        <v>10939</v>
      </c>
    </row>
    <row r="351" spans="1:8" ht="21" customHeight="1" x14ac:dyDescent="0.15">
      <c r="A351" s="10" t="str">
        <f t="shared" ref="A351" si="231">B351&amp;C351</f>
        <v>410410</v>
      </c>
      <c r="B351" s="23">
        <v>410</v>
      </c>
      <c r="C351" s="23">
        <v>410</v>
      </c>
      <c r="D351" s="52" t="str">
        <f>IFERROR(VLOOKUP(C351,gachas!A:C,3),0)</f>
        <v>600万DLガチャ2（パレート）</v>
      </c>
      <c r="E351" s="42" t="s">
        <v>1616</v>
      </c>
      <c r="F351" s="105" t="s">
        <v>1584</v>
      </c>
      <c r="G351" s="24">
        <f t="shared" si="230"/>
        <v>410</v>
      </c>
      <c r="H351" s="6">
        <f t="shared" si="204"/>
        <v>10938</v>
      </c>
    </row>
    <row r="352" spans="1:8" ht="21" customHeight="1" x14ac:dyDescent="0.15">
      <c r="A352" s="10" t="str">
        <f t="shared" ref="A352:A353" si="232">B352&amp;C352</f>
        <v>411411</v>
      </c>
      <c r="B352" s="23">
        <v>411</v>
      </c>
      <c r="C352" s="23">
        <v>411</v>
      </c>
      <c r="D352" s="52" t="str">
        <f>IFERROR(VLOOKUP(C352,gachas!A:C,3),0)</f>
        <v>全世界600万DL記念1日1回無料ガチャ-1日目-</v>
      </c>
      <c r="E352" s="42" t="s">
        <v>1583</v>
      </c>
      <c r="F352" s="42" t="s">
        <v>1641</v>
      </c>
      <c r="G352" s="24">
        <f t="shared" ref="G352:G353" si="233">C352</f>
        <v>411</v>
      </c>
      <c r="H352" s="6">
        <f t="shared" si="204"/>
        <v>10937</v>
      </c>
    </row>
    <row r="353" spans="1:8" ht="21" customHeight="1" x14ac:dyDescent="0.15">
      <c r="A353" s="10" t="str">
        <f t="shared" si="232"/>
        <v>412412</v>
      </c>
      <c r="B353" s="23">
        <v>412</v>
      </c>
      <c r="C353" s="23">
        <v>412</v>
      </c>
      <c r="D353" s="52" t="str">
        <f>IFERROR(VLOOKUP(C353,gachas!A:C,3),0)</f>
        <v>全世界600万DL記念1日1回無料ガチャ-2日目-</v>
      </c>
      <c r="E353" s="42" t="s">
        <v>1640</v>
      </c>
      <c r="F353" s="42" t="s">
        <v>1642</v>
      </c>
      <c r="G353" s="24">
        <f t="shared" si="233"/>
        <v>412</v>
      </c>
      <c r="H353" s="6">
        <f t="shared" si="204"/>
        <v>10936</v>
      </c>
    </row>
    <row r="354" spans="1:8" ht="21" customHeight="1" x14ac:dyDescent="0.15">
      <c r="A354" s="10" t="str">
        <f t="shared" ref="A354" si="234">B354&amp;C354</f>
        <v>413413</v>
      </c>
      <c r="B354" s="23">
        <v>413</v>
      </c>
      <c r="C354" s="23">
        <v>413</v>
      </c>
      <c r="D354" s="52" t="str">
        <f>IFERROR(VLOOKUP(C354,gachas!A:C,3),0)</f>
        <v>全世界600万DL記念1日1回無料ガチャ-3日目-</v>
      </c>
      <c r="E354" s="42" t="s">
        <v>1643</v>
      </c>
      <c r="F354" s="42" t="s">
        <v>1644</v>
      </c>
      <c r="G354" s="24">
        <f t="shared" ref="G354" si="235">C354</f>
        <v>413</v>
      </c>
      <c r="H354" s="6">
        <f t="shared" si="204"/>
        <v>10935</v>
      </c>
    </row>
    <row r="355" spans="1:8" ht="21" customHeight="1" x14ac:dyDescent="0.15">
      <c r="A355" s="10" t="str">
        <f t="shared" ref="A355:A361" si="236">B355&amp;C355</f>
        <v>414414</v>
      </c>
      <c r="B355" s="23">
        <v>414</v>
      </c>
      <c r="C355" s="23">
        <v>414</v>
      </c>
      <c r="D355" s="52" t="str">
        <f>IFERROR(VLOOKUP(C355,gachas!A:C,3),0)</f>
        <v>全世界600万DL記念1日1回無料ガチャ-4日目-</v>
      </c>
      <c r="E355" s="42" t="s">
        <v>1645</v>
      </c>
      <c r="F355" s="42" t="s">
        <v>1648</v>
      </c>
      <c r="G355" s="24">
        <f t="shared" ref="G355:G361" si="237">C355</f>
        <v>414</v>
      </c>
      <c r="H355" s="6">
        <f t="shared" si="204"/>
        <v>10934</v>
      </c>
    </row>
    <row r="356" spans="1:8" ht="21" customHeight="1" x14ac:dyDescent="0.15">
      <c r="A356" s="10" t="str">
        <f t="shared" si="236"/>
        <v>415415</v>
      </c>
      <c r="B356" s="23">
        <v>415</v>
      </c>
      <c r="C356" s="23">
        <v>415</v>
      </c>
      <c r="D356" s="52" t="str">
        <f>IFERROR(VLOOKUP(C356,gachas!A:C,3),0)</f>
        <v>全世界600万DL記念1日1回無料ガチャ-5日目-</v>
      </c>
      <c r="E356" s="42" t="s">
        <v>1647</v>
      </c>
      <c r="F356" s="42" t="s">
        <v>1646</v>
      </c>
      <c r="G356" s="24">
        <f t="shared" si="237"/>
        <v>415</v>
      </c>
      <c r="H356" s="6">
        <f t="shared" si="204"/>
        <v>10933</v>
      </c>
    </row>
    <row r="357" spans="1:8" ht="21" customHeight="1" x14ac:dyDescent="0.15">
      <c r="A357" s="10" t="str">
        <f t="shared" si="236"/>
        <v>416416</v>
      </c>
      <c r="B357" s="23">
        <v>416</v>
      </c>
      <c r="C357" s="23">
        <v>416</v>
      </c>
      <c r="D357" s="52" t="str">
        <f>IFERROR(VLOOKUP(C357,gachas!A:C,3),0)</f>
        <v>全世界600万DL記念1日1回無料ガチャ-6日目-</v>
      </c>
      <c r="E357" s="42" t="s">
        <v>1649</v>
      </c>
      <c r="F357" s="42" t="s">
        <v>1650</v>
      </c>
      <c r="G357" s="24">
        <f t="shared" si="237"/>
        <v>416</v>
      </c>
      <c r="H357" s="6">
        <f t="shared" si="204"/>
        <v>10932</v>
      </c>
    </row>
    <row r="358" spans="1:8" ht="21" customHeight="1" x14ac:dyDescent="0.15">
      <c r="A358" s="10" t="str">
        <f t="shared" si="236"/>
        <v>417417</v>
      </c>
      <c r="B358" s="23">
        <v>417</v>
      </c>
      <c r="C358" s="23">
        <v>417</v>
      </c>
      <c r="D358" s="52" t="str">
        <f>IFERROR(VLOOKUP(C358,gachas!A:C,3),0)</f>
        <v>全世界600万DL記念1日1回無料ガチャ-7日目-</v>
      </c>
      <c r="E358" s="42" t="s">
        <v>1651</v>
      </c>
      <c r="F358" s="42" t="s">
        <v>1652</v>
      </c>
      <c r="G358" s="24">
        <f t="shared" si="237"/>
        <v>417</v>
      </c>
      <c r="H358" s="6">
        <f t="shared" si="204"/>
        <v>10931</v>
      </c>
    </row>
    <row r="359" spans="1:8" ht="21" customHeight="1" x14ac:dyDescent="0.15">
      <c r="A359" s="10" t="str">
        <f t="shared" si="236"/>
        <v>418418</v>
      </c>
      <c r="B359" s="23">
        <v>418</v>
      </c>
      <c r="C359" s="23">
        <v>418</v>
      </c>
      <c r="D359" s="52" t="str">
        <f>IFERROR(VLOOKUP(C359,gachas!A:C,3),0)</f>
        <v>全世界600万DL記念1日1回無料ガチャ-8日目-</v>
      </c>
      <c r="E359" s="42" t="s">
        <v>1653</v>
      </c>
      <c r="F359" s="42" t="s">
        <v>1654</v>
      </c>
      <c r="G359" s="24">
        <f t="shared" si="237"/>
        <v>418</v>
      </c>
      <c r="H359" s="6">
        <f t="shared" si="204"/>
        <v>10930</v>
      </c>
    </row>
    <row r="360" spans="1:8" ht="21" customHeight="1" x14ac:dyDescent="0.15">
      <c r="A360" s="10" t="str">
        <f t="shared" si="236"/>
        <v>419419</v>
      </c>
      <c r="B360" s="23">
        <v>419</v>
      </c>
      <c r="C360" s="23">
        <v>419</v>
      </c>
      <c r="D360" s="52" t="str">
        <f>IFERROR(VLOOKUP(C360,gachas!A:C,3),0)</f>
        <v>全世界600万DL記念1日1回無料ガチャ-9日目-</v>
      </c>
      <c r="E360" s="42" t="s">
        <v>1655</v>
      </c>
      <c r="F360" s="42" t="s">
        <v>1656</v>
      </c>
      <c r="G360" s="24">
        <f t="shared" si="237"/>
        <v>419</v>
      </c>
      <c r="H360" s="6">
        <f t="shared" si="204"/>
        <v>10929</v>
      </c>
    </row>
    <row r="361" spans="1:8" ht="21" customHeight="1" x14ac:dyDescent="0.15">
      <c r="A361" s="10" t="str">
        <f t="shared" si="236"/>
        <v>420420</v>
      </c>
      <c r="B361" s="23">
        <v>420</v>
      </c>
      <c r="C361" s="23">
        <v>420</v>
      </c>
      <c r="D361" s="52" t="str">
        <f>IFERROR(VLOOKUP(C361,gachas!A:C,3),0)</f>
        <v>全世界600万DL記念1日1回無料ガチャ-10日目-</v>
      </c>
      <c r="E361" s="42" t="s">
        <v>1657</v>
      </c>
      <c r="F361" s="42" t="s">
        <v>1658</v>
      </c>
      <c r="G361" s="24">
        <f t="shared" si="237"/>
        <v>420</v>
      </c>
      <c r="H361" s="6">
        <f t="shared" si="204"/>
        <v>10928</v>
      </c>
    </row>
    <row r="362" spans="1:8" ht="21" customHeight="1" x14ac:dyDescent="0.15">
      <c r="A362" s="10" t="str">
        <f t="shared" ref="A362" si="238">B362&amp;C362</f>
        <v>421421</v>
      </c>
      <c r="B362" s="23">
        <v>421</v>
      </c>
      <c r="C362" s="23">
        <v>421</v>
      </c>
      <c r="D362" s="52" t="str">
        <f>IFERROR(VLOOKUP(C362,gachas!A:C,3),0)</f>
        <v>9月フィーバーフェスティバル</v>
      </c>
      <c r="E362" s="42" t="s">
        <v>1684</v>
      </c>
      <c r="F362" s="42" t="s">
        <v>1673</v>
      </c>
      <c r="G362" s="24">
        <f t="shared" ref="G362" si="239">C362</f>
        <v>421</v>
      </c>
      <c r="H362" s="6">
        <f t="shared" si="204"/>
        <v>10927</v>
      </c>
    </row>
    <row r="363" spans="1:8" ht="21" customHeight="1" x14ac:dyDescent="0.15">
      <c r="A363" s="10" t="str">
        <f t="shared" ref="A363:A364" si="240">B363&amp;C363</f>
        <v>422422</v>
      </c>
      <c r="B363" s="23">
        <v>422</v>
      </c>
      <c r="C363" s="23">
        <v>422</v>
      </c>
      <c r="D363" s="52" t="str">
        <f>IFERROR(VLOOKUP(C363,gachas!A:C,3),0)</f>
        <v>レアガチャ(三国志in)</v>
      </c>
      <c r="E363" s="42" t="s">
        <v>1677</v>
      </c>
      <c r="F363" s="42" t="s">
        <v>1760</v>
      </c>
      <c r="G363" s="24">
        <v>200</v>
      </c>
      <c r="H363" s="6">
        <f t="shared" si="204"/>
        <v>10926</v>
      </c>
    </row>
    <row r="364" spans="1:8" ht="21" customHeight="1" x14ac:dyDescent="0.15">
      <c r="A364" s="10" t="str">
        <f t="shared" si="240"/>
        <v>423423</v>
      </c>
      <c r="B364" s="23">
        <v>423</v>
      </c>
      <c r="C364" s="23">
        <v>423</v>
      </c>
      <c r="D364" s="52" t="str">
        <f>IFERROR(VLOOKUP(C364,gachas!A:C,3),0)</f>
        <v>ニューフェイスガチャ(三国志)</v>
      </c>
      <c r="E364" s="42" t="s">
        <v>1708</v>
      </c>
      <c r="F364" s="42" t="s">
        <v>1707</v>
      </c>
      <c r="G364" s="24">
        <f t="shared" ref="G364" si="241">C364</f>
        <v>423</v>
      </c>
      <c r="H364" s="6">
        <f t="shared" si="204"/>
        <v>10925</v>
      </c>
    </row>
    <row r="365" spans="1:8" ht="21" customHeight="1" x14ac:dyDescent="0.15">
      <c r="A365" s="10" t="str">
        <f t="shared" ref="A365" si="242">B365&amp;C365</f>
        <v>424424</v>
      </c>
      <c r="B365" s="23">
        <v>424</v>
      </c>
      <c r="C365" s="23">
        <v>424</v>
      </c>
      <c r="D365" s="52" t="str">
        <f>IFERROR(VLOOKUP(C365,gachas!A:C,3),0)</f>
        <v>ウィザード対抗確定ガチャ&lt;近藤、モルドレッド、八咫烏、バステト&gt;</v>
      </c>
      <c r="E365" s="42" t="s">
        <v>1691</v>
      </c>
      <c r="F365" s="42" t="s">
        <v>1692</v>
      </c>
      <c r="G365" s="24">
        <f t="shared" ref="G365" si="243">C365</f>
        <v>424</v>
      </c>
      <c r="H365" s="6">
        <f t="shared" si="204"/>
        <v>10924</v>
      </c>
    </row>
    <row r="366" spans="1:8" ht="21" customHeight="1" x14ac:dyDescent="0.15">
      <c r="A366" s="10" t="str">
        <f t="shared" ref="A366" si="244">B366&amp;C366</f>
        <v>425425</v>
      </c>
      <c r="B366" s="23">
        <v>425</v>
      </c>
      <c r="C366" s="23">
        <v>425</v>
      </c>
      <c r="D366" s="52" t="str">
        <f>IFERROR(VLOOKUP(C366,gachas!A:C,3),0)</f>
        <v>ランキング対抗ガチャ&lt;フレネル&gt;</v>
      </c>
      <c r="E366" s="42" t="s">
        <v>1710</v>
      </c>
      <c r="F366" s="42" t="s">
        <v>1711</v>
      </c>
      <c r="G366" s="24">
        <f t="shared" ref="G366" si="245">C366</f>
        <v>425</v>
      </c>
      <c r="H366" s="6">
        <f t="shared" si="204"/>
        <v>10923</v>
      </c>
    </row>
    <row r="367" spans="1:8" ht="21" customHeight="1" x14ac:dyDescent="0.15">
      <c r="A367" s="10" t="str">
        <f t="shared" ref="A367" si="246">B367&amp;C367</f>
        <v>426426</v>
      </c>
      <c r="B367" s="23">
        <v>426</v>
      </c>
      <c r="C367" s="23">
        <v>426</v>
      </c>
      <c r="D367" s="52" t="str">
        <f>IFERROR(VLOOKUP(C367,gachas!A:C,3),0)</f>
        <v>確定ステップアップガチャ</v>
      </c>
      <c r="E367" s="42" t="s">
        <v>1728</v>
      </c>
      <c r="F367" s="42" t="s">
        <v>1729</v>
      </c>
      <c r="G367" s="24">
        <f t="shared" ref="G367" si="247">C367</f>
        <v>426</v>
      </c>
      <c r="H367" s="6">
        <f t="shared" si="204"/>
        <v>10922</v>
      </c>
    </row>
    <row r="368" spans="1:8" ht="21" customHeight="1" x14ac:dyDescent="0.15">
      <c r="A368" s="10" t="str">
        <f t="shared" ref="A368" si="248">B368&amp;C368</f>
        <v>427427</v>
      </c>
      <c r="B368" s="23">
        <v>427</v>
      </c>
      <c r="C368" s="23">
        <v>427</v>
      </c>
      <c r="D368" s="52" t="str">
        <f>IFERROR(VLOOKUP(C368,gachas!A:C,3),0)</f>
        <v>新クラファーコレクション</v>
      </c>
      <c r="E368" s="42" t="s">
        <v>1723</v>
      </c>
      <c r="F368" s="42" t="s">
        <v>1730</v>
      </c>
      <c r="G368" s="24">
        <f t="shared" ref="G368" si="249">C368</f>
        <v>427</v>
      </c>
      <c r="H368" s="6">
        <f>H366-1</f>
        <v>10922</v>
      </c>
    </row>
    <row r="369" spans="1:8" ht="21" customHeight="1" x14ac:dyDescent="0.15">
      <c r="A369" s="10" t="str">
        <f t="shared" ref="A369" si="250">B369&amp;C369</f>
        <v>428428</v>
      </c>
      <c r="B369" s="23">
        <v>428</v>
      </c>
      <c r="C369" s="23">
        <v>428</v>
      </c>
      <c r="D369" s="52" t="str">
        <f>IFERROR(VLOOKUP(C369,gachas!A:C,3),0)</f>
        <v>フィーバーフェスティバル</v>
      </c>
      <c r="E369" s="42" t="s">
        <v>1733</v>
      </c>
      <c r="F369" s="42" t="s">
        <v>1734</v>
      </c>
      <c r="G369" s="24">
        <v>429</v>
      </c>
      <c r="H369" s="6">
        <f>H367-1</f>
        <v>10921</v>
      </c>
    </row>
    <row r="370" spans="1:8" ht="21" customHeight="1" x14ac:dyDescent="0.15">
      <c r="A370" s="10" t="str">
        <f t="shared" ref="A370" si="251">B370&amp;C370</f>
        <v>73037303</v>
      </c>
      <c r="B370" s="23">
        <v>7303</v>
      </c>
      <c r="C370" s="23">
        <v>7303</v>
      </c>
      <c r="D370" s="52" t="str">
        <f>IFERROR(VLOOKUP(C370,gachas!A:C,3),0)</f>
        <v>★6覚醒可能ユニット確定ガチャ</v>
      </c>
      <c r="E370" s="42" t="s">
        <v>1733</v>
      </c>
      <c r="F370" s="42" t="s">
        <v>1987</v>
      </c>
      <c r="G370" s="24">
        <v>428</v>
      </c>
      <c r="H370" s="6">
        <f>H368-1</f>
        <v>10921</v>
      </c>
    </row>
    <row r="371" spans="1:8" ht="21" customHeight="1" x14ac:dyDescent="0.15">
      <c r="A371" s="10" t="str">
        <f t="shared" ref="A371" si="252">B371&amp;C371</f>
        <v>429429</v>
      </c>
      <c r="B371" s="23">
        <v>429</v>
      </c>
      <c r="C371" s="23">
        <v>429</v>
      </c>
      <c r="D371" s="52" t="str">
        <f>IFERROR(VLOOKUP(C371,gachas!A:C,3),0)</f>
        <v>レアガチャ（インド第2弾in）</v>
      </c>
      <c r="E371" s="42" t="s">
        <v>1759</v>
      </c>
      <c r="F371" s="42" t="s">
        <v>1933</v>
      </c>
      <c r="G371" s="60">
        <v>200</v>
      </c>
      <c r="H371" s="6">
        <f>H369-1</f>
        <v>10920</v>
      </c>
    </row>
    <row r="372" spans="1:8" ht="21" customHeight="1" x14ac:dyDescent="0.15">
      <c r="A372" s="10" t="str">
        <f t="shared" ref="A372:A374" si="253">B372&amp;C372</f>
        <v>430430</v>
      </c>
      <c r="B372" s="23">
        <v>430</v>
      </c>
      <c r="C372" s="23">
        <v>430</v>
      </c>
      <c r="D372" s="52" t="str">
        <f>IFERROR(VLOOKUP(C372,gachas!A:C,3),0)</f>
        <v>アビリティピックアップガチャ</v>
      </c>
      <c r="E372" s="42" t="s">
        <v>1776</v>
      </c>
      <c r="F372" s="42" t="s">
        <v>1777</v>
      </c>
      <c r="G372" s="24">
        <f>C372</f>
        <v>430</v>
      </c>
      <c r="H372" s="6">
        <f t="shared" ref="H372:H416" si="254">H370-1</f>
        <v>10920</v>
      </c>
    </row>
    <row r="373" spans="1:8" ht="21" customHeight="1" x14ac:dyDescent="0.15">
      <c r="A373" s="10" t="str">
        <f t="shared" si="253"/>
        <v>431431</v>
      </c>
      <c r="B373" s="23">
        <v>431</v>
      </c>
      <c r="C373" s="23">
        <v>431</v>
      </c>
      <c r="D373" s="52" t="str">
        <f>IFERROR(VLOOKUP(C373,gachas!A:C,3),0)</f>
        <v>ニューフェイスガチャ（インド第2弾）</v>
      </c>
      <c r="E373" s="42" t="s">
        <v>1759</v>
      </c>
      <c r="F373" s="42" t="s">
        <v>1778</v>
      </c>
      <c r="G373" s="24">
        <f t="shared" ref="G373:G374" si="255">C373</f>
        <v>431</v>
      </c>
      <c r="H373" s="6">
        <f t="shared" si="254"/>
        <v>10919</v>
      </c>
    </row>
    <row r="374" spans="1:8" ht="21" customHeight="1" x14ac:dyDescent="0.15">
      <c r="A374" s="10" t="str">
        <f t="shared" si="253"/>
        <v>432432</v>
      </c>
      <c r="B374" s="23">
        <v>432</v>
      </c>
      <c r="C374" s="23">
        <v>432</v>
      </c>
      <c r="D374" s="52" t="str">
        <f>IFERROR(VLOOKUP(C374,gachas!A:C,3),0)</f>
        <v>ピックアップカラーガチャ（赤）</v>
      </c>
      <c r="E374" s="42" t="s">
        <v>1779</v>
      </c>
      <c r="F374" s="42" t="s">
        <v>1780</v>
      </c>
      <c r="G374" s="24">
        <f t="shared" si="255"/>
        <v>432</v>
      </c>
      <c r="H374" s="6">
        <f t="shared" si="254"/>
        <v>10919</v>
      </c>
    </row>
    <row r="375" spans="1:8" ht="21" customHeight="1" x14ac:dyDescent="0.15">
      <c r="A375" s="10" t="str">
        <f t="shared" ref="A375" si="256">B375&amp;C375</f>
        <v>433433</v>
      </c>
      <c r="B375" s="23">
        <v>433</v>
      </c>
      <c r="C375" s="23">
        <v>433</v>
      </c>
      <c r="D375" s="52" t="str">
        <f>IFERROR(VLOOKUP(C375,gachas!A:C,3),0)</f>
        <v>ランキング対抗ガチャ&lt;マクローリン&gt;</v>
      </c>
      <c r="E375" s="42" t="s">
        <v>1788</v>
      </c>
      <c r="F375" s="42" t="s">
        <v>1836</v>
      </c>
      <c r="G375" s="24">
        <f t="shared" ref="G375" si="257">C375</f>
        <v>433</v>
      </c>
      <c r="H375" s="6">
        <f t="shared" si="254"/>
        <v>10918</v>
      </c>
    </row>
    <row r="376" spans="1:8" ht="21" customHeight="1" x14ac:dyDescent="0.15">
      <c r="A376" s="10" t="str">
        <f t="shared" ref="A376" si="258">B376&amp;C376</f>
        <v>434434</v>
      </c>
      <c r="B376" s="23">
        <v>434</v>
      </c>
      <c r="C376" s="23">
        <v>434</v>
      </c>
      <c r="D376" s="52" t="str">
        <f>IFERROR(VLOOKUP(C376,gachas!A:C,3),0)</f>
        <v>確定ステップアップガチャ</v>
      </c>
      <c r="E376" s="42" t="s">
        <v>1801</v>
      </c>
      <c r="F376" s="42" t="s">
        <v>1802</v>
      </c>
      <c r="G376" s="24">
        <f t="shared" ref="G376" si="259">C376</f>
        <v>434</v>
      </c>
      <c r="H376" s="6">
        <f t="shared" si="254"/>
        <v>10918</v>
      </c>
    </row>
    <row r="377" spans="1:8" ht="21" customHeight="1" x14ac:dyDescent="0.15">
      <c r="A377" s="10" t="str">
        <f t="shared" ref="A377" si="260">B377&amp;C377</f>
        <v>435435</v>
      </c>
      <c r="B377" s="23">
        <v>435</v>
      </c>
      <c r="C377" s="23">
        <v>435</v>
      </c>
      <c r="D377" s="52" t="str">
        <f>IFERROR(VLOOKUP(C377,gachas!A:C,3),0)</f>
        <v>スペシャルハロウィンガチャ</v>
      </c>
      <c r="E377" s="42" t="s">
        <v>1916</v>
      </c>
      <c r="F377" s="42" t="s">
        <v>1917</v>
      </c>
      <c r="G377" s="24">
        <v>445</v>
      </c>
      <c r="H377" s="6">
        <f t="shared" si="254"/>
        <v>10917</v>
      </c>
    </row>
    <row r="378" spans="1:8" ht="21" customHeight="1" x14ac:dyDescent="0.15">
      <c r="A378" s="10" t="str">
        <f t="shared" ref="A378" si="261">B378&amp;C378</f>
        <v>73047304</v>
      </c>
      <c r="B378" s="23">
        <v>7304</v>
      </c>
      <c r="C378" s="23">
        <v>7304</v>
      </c>
      <c r="D378" s="52" t="str">
        <f>IFERROR(VLOOKUP(C378,gachas!A:C,3),0)</f>
        <v>お菓子チケットガチャ</v>
      </c>
      <c r="E378" s="42" t="s">
        <v>1916</v>
      </c>
      <c r="F378" s="42" t="s">
        <v>1889</v>
      </c>
      <c r="G378" s="24">
        <v>198</v>
      </c>
      <c r="H378" s="6">
        <f t="shared" si="254"/>
        <v>10917</v>
      </c>
    </row>
    <row r="379" spans="1:8" ht="21" customHeight="1" x14ac:dyDescent="0.15">
      <c r="A379" s="10" t="str">
        <f t="shared" ref="A379" si="262">B379&amp;C379</f>
        <v>73057305</v>
      </c>
      <c r="B379" s="23">
        <v>7305</v>
      </c>
      <c r="C379" s="23">
        <v>7305</v>
      </c>
      <c r="D379" s="52" t="str">
        <f>IFERROR(VLOOKUP(C379,gachas!A:C,3),0)</f>
        <v>お菓子チケットガチャ10連</v>
      </c>
      <c r="E379" s="42" t="s">
        <v>1916</v>
      </c>
      <c r="F379" s="42" t="s">
        <v>1941</v>
      </c>
      <c r="G379" s="24">
        <v>199</v>
      </c>
      <c r="H379" s="6">
        <f t="shared" si="254"/>
        <v>10916</v>
      </c>
    </row>
    <row r="380" spans="1:8" ht="21" customHeight="1" x14ac:dyDescent="0.15">
      <c r="A380" s="10" t="str">
        <f t="shared" ref="A380" si="263">B380&amp;C380</f>
        <v>436436</v>
      </c>
      <c r="B380" s="23">
        <v>436</v>
      </c>
      <c r="C380" s="23">
        <v>436</v>
      </c>
      <c r="D380" s="52" t="str">
        <f>IFERROR(VLOOKUP(C380,gachas!A:C,3),0)</f>
        <v>毎日1回無料ハロウィンガチャ</v>
      </c>
      <c r="E380" s="42" t="s">
        <v>1807</v>
      </c>
      <c r="F380" s="42" t="s">
        <v>1808</v>
      </c>
      <c r="G380" s="24">
        <f t="shared" ref="G380" si="264">C380</f>
        <v>436</v>
      </c>
      <c r="H380" s="6">
        <f t="shared" si="254"/>
        <v>10916</v>
      </c>
    </row>
    <row r="381" spans="1:8" ht="21" customHeight="1" x14ac:dyDescent="0.15">
      <c r="A381" s="10" t="str">
        <f t="shared" ref="A381" si="265">B381&amp;C381</f>
        <v>437437</v>
      </c>
      <c r="B381" s="23">
        <v>437</v>
      </c>
      <c r="C381" s="23">
        <v>437</v>
      </c>
      <c r="D381" s="52" t="str">
        <f>IFERROR(VLOOKUP(C381,gachas!A:C,3),0)</f>
        <v>タワーオブザクイーン攻略応援ガチャ</v>
      </c>
      <c r="E381" s="42" t="s">
        <v>1858</v>
      </c>
      <c r="F381" s="42" t="s">
        <v>1859</v>
      </c>
      <c r="G381" s="24">
        <f t="shared" ref="G381" si="266">C381</f>
        <v>437</v>
      </c>
      <c r="H381" s="6">
        <f t="shared" si="254"/>
        <v>10915</v>
      </c>
    </row>
    <row r="382" spans="1:8" ht="21" customHeight="1" x14ac:dyDescent="0.15">
      <c r="A382" s="10" t="str">
        <f t="shared" ref="A382:A385" si="267">B382&amp;C382</f>
        <v>438438</v>
      </c>
      <c r="B382" s="23">
        <v>438</v>
      </c>
      <c r="C382" s="23">
        <v>438</v>
      </c>
      <c r="D382" s="52" t="str">
        <f>IFERROR(VLOOKUP(C382,gachas!A:C,3),0)</f>
        <v>超フィーバーフィーバーフェスティバル＜ガロア、ディラック＞</v>
      </c>
      <c r="E382" s="42" t="s">
        <v>1860</v>
      </c>
      <c r="F382" s="42" t="s">
        <v>1861</v>
      </c>
      <c r="G382" s="24">
        <f t="shared" ref="G382:G385" si="268">C382</f>
        <v>438</v>
      </c>
      <c r="H382" s="6">
        <f t="shared" si="254"/>
        <v>10915</v>
      </c>
    </row>
    <row r="383" spans="1:8" ht="21" customHeight="1" x14ac:dyDescent="0.15">
      <c r="A383" s="10" t="str">
        <f t="shared" si="267"/>
        <v>439439</v>
      </c>
      <c r="B383" s="23">
        <v>439</v>
      </c>
      <c r="C383" s="23">
        <v>439</v>
      </c>
      <c r="D383" s="52" t="str">
        <f>IFERROR(VLOOKUP(C383,gachas!A:C,3),0)</f>
        <v>超フィーバーフィーバーフェスティバル＜ガロア、クロネッカー＞</v>
      </c>
      <c r="E383" s="42" t="s">
        <v>1862</v>
      </c>
      <c r="F383" s="42" t="s">
        <v>1808</v>
      </c>
      <c r="G383" s="24">
        <f t="shared" si="268"/>
        <v>439</v>
      </c>
      <c r="H383" s="6">
        <f t="shared" si="254"/>
        <v>10914</v>
      </c>
    </row>
    <row r="384" spans="1:8" ht="21" customHeight="1" x14ac:dyDescent="0.15">
      <c r="A384" s="10" t="str">
        <f t="shared" si="267"/>
        <v>440440</v>
      </c>
      <c r="B384" s="23">
        <v>440</v>
      </c>
      <c r="C384" s="23">
        <v>440</v>
      </c>
      <c r="D384" s="52" t="str">
        <f>IFERROR(VLOOKUP(C384,gachas!A:C,3),0)</f>
        <v>超フィーバーフィーバーフェスティバル＜ガロア、セキ＞</v>
      </c>
      <c r="E384" s="42" t="s">
        <v>1863</v>
      </c>
      <c r="F384" s="42" t="s">
        <v>1864</v>
      </c>
      <c r="G384" s="24">
        <f t="shared" si="268"/>
        <v>440</v>
      </c>
      <c r="H384" s="6">
        <f t="shared" si="254"/>
        <v>10914</v>
      </c>
    </row>
    <row r="385" spans="1:8" ht="21" customHeight="1" x14ac:dyDescent="0.15">
      <c r="A385" s="10" t="str">
        <f t="shared" si="267"/>
        <v>441441</v>
      </c>
      <c r="B385" s="23">
        <v>441</v>
      </c>
      <c r="C385" s="23">
        <v>441</v>
      </c>
      <c r="D385" s="52" t="str">
        <f>IFERROR(VLOOKUP(C385,gachas!A:C,3),0)</f>
        <v>ピックアップカラーガチャ（青）</v>
      </c>
      <c r="E385" s="42" t="s">
        <v>1865</v>
      </c>
      <c r="F385" s="42" t="s">
        <v>1866</v>
      </c>
      <c r="G385" s="24">
        <f t="shared" si="268"/>
        <v>441</v>
      </c>
      <c r="H385" s="6">
        <f t="shared" si="254"/>
        <v>10913</v>
      </c>
    </row>
    <row r="386" spans="1:8" ht="21" customHeight="1" x14ac:dyDescent="0.15">
      <c r="A386" s="10" t="str">
        <f t="shared" ref="A386" si="269">B386&amp;C386</f>
        <v>442442</v>
      </c>
      <c r="B386" s="23">
        <v>442</v>
      </c>
      <c r="C386" s="23">
        <v>442</v>
      </c>
      <c r="D386" s="52" t="str">
        <f>IFERROR(VLOOKUP(C386,gachas!A:C,3),0)</f>
        <v>ランキング対抗ガチャ&lt;ウィグナー&gt;</v>
      </c>
      <c r="E386" s="42" t="s">
        <v>1880</v>
      </c>
      <c r="F386" s="42" t="s">
        <v>1881</v>
      </c>
      <c r="G386" s="24">
        <f t="shared" ref="G386" si="270">C386</f>
        <v>442</v>
      </c>
      <c r="H386" s="6">
        <f t="shared" si="254"/>
        <v>10913</v>
      </c>
    </row>
    <row r="387" spans="1:8" ht="21" customHeight="1" x14ac:dyDescent="0.15">
      <c r="A387" s="10" t="str">
        <f t="shared" ref="A387" si="271">B387&amp;C387</f>
        <v>443443</v>
      </c>
      <c r="B387" s="23">
        <v>443</v>
      </c>
      <c r="C387" s="23">
        <v>443</v>
      </c>
      <c r="D387" s="52" t="str">
        <f>IFERROR(VLOOKUP(C387,gachas!A:C,3),0)</f>
        <v>ニューフェイスガチャ（ギリシャ神話第2弾）</v>
      </c>
      <c r="E387" s="42" t="s">
        <v>1888</v>
      </c>
      <c r="F387" s="42" t="s">
        <v>1889</v>
      </c>
      <c r="G387" s="60">
        <v>444</v>
      </c>
      <c r="H387" s="6">
        <f t="shared" si="254"/>
        <v>10912</v>
      </c>
    </row>
    <row r="388" spans="1:8" ht="21" customHeight="1" x14ac:dyDescent="0.15">
      <c r="A388" s="10" t="str">
        <f t="shared" ref="A388" si="272">B388&amp;C388</f>
        <v>444444</v>
      </c>
      <c r="B388" s="23">
        <v>444</v>
      </c>
      <c r="C388" s="23">
        <v>444</v>
      </c>
      <c r="D388" s="52" t="str">
        <f>IFERROR(VLOOKUP(C388,gachas!A:C,3),0)</f>
        <v>確定ステップアップガチャ</v>
      </c>
      <c r="E388" s="42" t="s">
        <v>1891</v>
      </c>
      <c r="F388" s="42" t="s">
        <v>1892</v>
      </c>
      <c r="G388" s="60">
        <v>443</v>
      </c>
      <c r="H388" s="6">
        <f t="shared" si="254"/>
        <v>10912</v>
      </c>
    </row>
    <row r="389" spans="1:8" ht="21" customHeight="1" x14ac:dyDescent="0.15">
      <c r="A389" s="10" t="str">
        <f t="shared" ref="A389" si="273">B389&amp;C389</f>
        <v>445445</v>
      </c>
      <c r="B389" s="23">
        <v>445</v>
      </c>
      <c r="C389" s="23">
        <v>445</v>
      </c>
      <c r="D389" s="52" t="str">
        <f>IFERROR(VLOOKUP(C389,gachas!A:C,3),0)</f>
        <v>レアガチャ（ギリシャ神話第2弾in）</v>
      </c>
      <c r="E389" s="42" t="s">
        <v>1888</v>
      </c>
      <c r="F389" s="42" t="s">
        <v>2002</v>
      </c>
      <c r="G389" s="60">
        <v>200</v>
      </c>
      <c r="H389" s="6">
        <f t="shared" si="254"/>
        <v>10911</v>
      </c>
    </row>
    <row r="390" spans="1:8" ht="21" customHeight="1" x14ac:dyDescent="0.15">
      <c r="A390" s="10" t="str">
        <f t="shared" ref="A390:A392" si="274">B390&amp;C390</f>
        <v>446446</v>
      </c>
      <c r="B390" s="23">
        <v>446</v>
      </c>
      <c r="C390" s="23">
        <v>446</v>
      </c>
      <c r="D390" s="52" t="str">
        <f>IFERROR(VLOOKUP(C390,gachas!A:C,3),0)</f>
        <v>超フィーバーフィーバーフェスティバル＜ガロア、ディラック＞再</v>
      </c>
      <c r="E390" s="42" t="s">
        <v>1903</v>
      </c>
      <c r="F390" s="42" t="s">
        <v>1908</v>
      </c>
      <c r="G390" s="24">
        <f>B390</f>
        <v>446</v>
      </c>
      <c r="H390" s="6">
        <f t="shared" si="254"/>
        <v>10911</v>
      </c>
    </row>
    <row r="391" spans="1:8" ht="21" customHeight="1" x14ac:dyDescent="0.15">
      <c r="A391" s="10" t="str">
        <f t="shared" si="274"/>
        <v>447447</v>
      </c>
      <c r="B391" s="23">
        <v>447</v>
      </c>
      <c r="C391" s="23">
        <v>447</v>
      </c>
      <c r="D391" s="52" t="str">
        <f>IFERROR(VLOOKUP(C391,gachas!A:C,3),0)</f>
        <v>超フィーバーフィーバーフェスティバル＜ガロア、クロネッカー＞再</v>
      </c>
      <c r="E391" s="42" t="s">
        <v>1903</v>
      </c>
      <c r="F391" s="42" t="s">
        <v>1908</v>
      </c>
      <c r="G391" s="24">
        <f t="shared" ref="G391:G392" si="275">B391</f>
        <v>447</v>
      </c>
      <c r="H391" s="6">
        <f t="shared" si="254"/>
        <v>10910</v>
      </c>
    </row>
    <row r="392" spans="1:8" ht="21" customHeight="1" x14ac:dyDescent="0.15">
      <c r="A392" s="10" t="str">
        <f t="shared" si="274"/>
        <v>448448</v>
      </c>
      <c r="B392" s="23">
        <v>448</v>
      </c>
      <c r="C392" s="23">
        <v>448</v>
      </c>
      <c r="D392" s="52" t="str">
        <f>IFERROR(VLOOKUP(C392,gachas!A:C,3),0)</f>
        <v>超フィーバーフィーバーフェスティバル＜ガロア、セキ＞再</v>
      </c>
      <c r="E392" s="42" t="s">
        <v>1903</v>
      </c>
      <c r="F392" s="42" t="s">
        <v>1908</v>
      </c>
      <c r="G392" s="24">
        <f t="shared" si="275"/>
        <v>448</v>
      </c>
      <c r="H392" s="6">
        <f t="shared" si="254"/>
        <v>10910</v>
      </c>
    </row>
    <row r="393" spans="1:8" ht="21" customHeight="1" x14ac:dyDescent="0.15">
      <c r="A393" s="10" t="str">
        <f t="shared" ref="A393" si="276">B393&amp;C393</f>
        <v>449449</v>
      </c>
      <c r="B393" s="23">
        <v>449</v>
      </c>
      <c r="C393" s="23">
        <v>449</v>
      </c>
      <c r="D393" s="52" t="str">
        <f>IFERROR(VLOOKUP(C393,gachas!A:C,3),0)</f>
        <v>ウィザード対抗確定ガチャ</v>
      </c>
      <c r="E393" s="42" t="s">
        <v>1969</v>
      </c>
      <c r="F393" s="42" t="s">
        <v>1970</v>
      </c>
      <c r="G393" s="24">
        <f t="shared" ref="G393" si="277">B393</f>
        <v>449</v>
      </c>
      <c r="H393" s="6">
        <f t="shared" si="254"/>
        <v>10909</v>
      </c>
    </row>
    <row r="394" spans="1:8" ht="21" customHeight="1" x14ac:dyDescent="0.15">
      <c r="A394" s="10" t="str">
        <f t="shared" ref="A394:A396" si="278">B394&amp;C394</f>
        <v>450450</v>
      </c>
      <c r="B394" s="23">
        <v>450</v>
      </c>
      <c r="C394" s="23">
        <v>450</v>
      </c>
      <c r="D394" s="52" t="str">
        <f>IFERROR(VLOOKUP(C394,gachas!A:C,3),0)</f>
        <v>フィーバーフェスティバル＜ケプラー、チューリング＞</v>
      </c>
      <c r="E394" s="42" t="s">
        <v>1944</v>
      </c>
      <c r="F394" s="42" t="s">
        <v>1945</v>
      </c>
      <c r="G394" s="24">
        <f t="shared" ref="G394:G395" si="279">B394</f>
        <v>450</v>
      </c>
      <c r="H394" s="6">
        <f t="shared" si="254"/>
        <v>10909</v>
      </c>
    </row>
    <row r="395" spans="1:8" ht="21" customHeight="1" x14ac:dyDescent="0.15">
      <c r="A395" s="10" t="str">
        <f t="shared" si="278"/>
        <v>451451</v>
      </c>
      <c r="B395" s="23">
        <v>451</v>
      </c>
      <c r="C395" s="23">
        <v>451</v>
      </c>
      <c r="D395" s="52" t="str">
        <f>IFERROR(VLOOKUP(C395,gachas!A:C,3),0)</f>
        <v>フィーバーフェスティバル＜ケプラー、モールス＞</v>
      </c>
      <c r="E395" s="42" t="s">
        <v>1946</v>
      </c>
      <c r="F395" s="42" t="s">
        <v>1947</v>
      </c>
      <c r="G395" s="24">
        <f t="shared" si="279"/>
        <v>451</v>
      </c>
      <c r="H395" s="6">
        <f t="shared" si="254"/>
        <v>10908</v>
      </c>
    </row>
    <row r="396" spans="1:8" ht="21" customHeight="1" x14ac:dyDescent="0.15">
      <c r="A396" s="10" t="str">
        <f t="shared" si="278"/>
        <v>452452</v>
      </c>
      <c r="B396" s="23">
        <v>452</v>
      </c>
      <c r="C396" s="23">
        <v>452</v>
      </c>
      <c r="D396" s="52" t="str">
        <f>IFERROR(VLOOKUP(C396,gachas!A:C,3),0)</f>
        <v>フィーバーフェスティバル＜ケプラー、フィボナッチ＞</v>
      </c>
      <c r="E396" s="42" t="s">
        <v>1948</v>
      </c>
      <c r="F396" s="42" t="s">
        <v>1949</v>
      </c>
      <c r="G396" s="60">
        <v>453</v>
      </c>
      <c r="H396" s="6">
        <f t="shared" si="254"/>
        <v>10908</v>
      </c>
    </row>
    <row r="397" spans="1:8" ht="21" customHeight="1" x14ac:dyDescent="0.15">
      <c r="A397" s="10" t="str">
        <f t="shared" ref="A397" si="280">B397&amp;C397</f>
        <v>453453</v>
      </c>
      <c r="B397" s="23">
        <v>453</v>
      </c>
      <c r="C397" s="23">
        <v>453</v>
      </c>
      <c r="D397" s="52" t="str">
        <f>IFERROR(VLOOKUP(C397,gachas!A:C,3),0)</f>
        <v>タワーオブザクイーン攻略応援ガチャ</v>
      </c>
      <c r="E397" s="42" t="s">
        <v>1948</v>
      </c>
      <c r="F397" s="42" t="s">
        <v>1965</v>
      </c>
      <c r="G397" s="60">
        <v>452</v>
      </c>
      <c r="H397" s="6">
        <f t="shared" si="254"/>
        <v>10907</v>
      </c>
    </row>
    <row r="398" spans="1:8" ht="21" customHeight="1" x14ac:dyDescent="0.15">
      <c r="A398" s="10" t="str">
        <f t="shared" ref="A398" si="281">B398&amp;C398</f>
        <v>73067306</v>
      </c>
      <c r="B398" s="23">
        <v>7306</v>
      </c>
      <c r="C398" s="23">
        <v>7306</v>
      </c>
      <c r="D398" s="52" t="str">
        <f>IFERROR(VLOOKUP(C398,gachas!A:C,3),0)</f>
        <v>★6覚醒可能ユニット確定ガチャ</v>
      </c>
      <c r="E398" s="42" t="s">
        <v>1968</v>
      </c>
      <c r="F398" s="42" t="s">
        <v>2290</v>
      </c>
      <c r="G398" s="60">
        <v>454</v>
      </c>
      <c r="H398" s="6">
        <f t="shared" si="254"/>
        <v>10907</v>
      </c>
    </row>
    <row r="399" spans="1:8" ht="21" customHeight="1" x14ac:dyDescent="0.15">
      <c r="A399" s="10" t="str">
        <f t="shared" ref="A399:A400" si="282">B399&amp;C399</f>
        <v>454454</v>
      </c>
      <c r="B399" s="23">
        <v>454</v>
      </c>
      <c r="C399" s="23">
        <v>454</v>
      </c>
      <c r="D399" s="52" t="str">
        <f>IFERROR(VLOOKUP(C399,gachas!A:C,3),0)</f>
        <v>ニューフェイスガチャ（文豪）</v>
      </c>
      <c r="E399" s="42" t="s">
        <v>2003</v>
      </c>
      <c r="F399" s="42" t="s">
        <v>2001</v>
      </c>
      <c r="G399" s="60">
        <v>455</v>
      </c>
      <c r="H399" s="6">
        <f>H397-1</f>
        <v>10906</v>
      </c>
    </row>
    <row r="400" spans="1:8" ht="21" customHeight="1" x14ac:dyDescent="0.15">
      <c r="A400" s="10" t="str">
        <f t="shared" si="282"/>
        <v>455455</v>
      </c>
      <c r="B400" s="23">
        <v>455</v>
      </c>
      <c r="C400" s="23">
        <v>455</v>
      </c>
      <c r="D400" s="52" t="str">
        <f>IFERROR(VLOOKUP(C400,gachas!A:C,3),0)</f>
        <v>レアガチャ（文豪in）</v>
      </c>
      <c r="E400" s="42" t="s">
        <v>2000</v>
      </c>
      <c r="F400" s="42" t="s">
        <v>2329</v>
      </c>
      <c r="G400" s="60">
        <v>200</v>
      </c>
      <c r="H400" s="6">
        <f>H398-1</f>
        <v>10906</v>
      </c>
    </row>
    <row r="401" spans="1:8" ht="21" customHeight="1" x14ac:dyDescent="0.15">
      <c r="A401" s="10" t="str">
        <f t="shared" ref="A401" si="283">B401&amp;C401</f>
        <v>456456</v>
      </c>
      <c r="B401" s="23">
        <v>456</v>
      </c>
      <c r="C401" s="23">
        <v>456</v>
      </c>
      <c r="D401" s="52" t="str">
        <f>IFERROR(VLOOKUP(C401,gachas!A:C,3),0)</f>
        <v>全世界700万DL突破記念フェス限確定ガチャ</v>
      </c>
      <c r="E401" s="42" t="s">
        <v>2103</v>
      </c>
      <c r="F401" s="42" t="s">
        <v>2130</v>
      </c>
      <c r="G401" s="24">
        <f t="shared" ref="G401" si="284">B401</f>
        <v>456</v>
      </c>
      <c r="H401" s="6">
        <f>H399-1</f>
        <v>10905</v>
      </c>
    </row>
    <row r="402" spans="1:8" ht="21" customHeight="1" x14ac:dyDescent="0.15">
      <c r="A402" s="10" t="str">
        <f t="shared" ref="A402:A408" si="285">B402&amp;C402</f>
        <v>457457</v>
      </c>
      <c r="B402" s="23">
        <f>B401+1</f>
        <v>457</v>
      </c>
      <c r="C402" s="23">
        <f>C401+1</f>
        <v>457</v>
      </c>
      <c r="D402" s="52" t="str">
        <f>IFERROR(VLOOKUP(C402,gachas!A:C,3),0)</f>
        <v>全世界700万DL突破記念無料レアガチャ1日目</v>
      </c>
      <c r="E402" s="42" t="s">
        <v>2104</v>
      </c>
      <c r="F402" s="42" t="s">
        <v>2111</v>
      </c>
      <c r="G402" s="24">
        <f t="shared" ref="G402:G408" si="286">B402</f>
        <v>457</v>
      </c>
      <c r="H402" s="6">
        <f>H400-1</f>
        <v>10905</v>
      </c>
    </row>
    <row r="403" spans="1:8" ht="21" customHeight="1" x14ac:dyDescent="0.15">
      <c r="A403" s="10" t="str">
        <f t="shared" si="285"/>
        <v>458458</v>
      </c>
      <c r="B403" s="23">
        <f t="shared" ref="B403:B408" si="287">B402+1</f>
        <v>458</v>
      </c>
      <c r="C403" s="23">
        <f t="shared" ref="C403:C408" si="288">C402+1</f>
        <v>458</v>
      </c>
      <c r="D403" s="52" t="str">
        <f>IFERROR(VLOOKUP(C403,gachas!A:C,3),0)</f>
        <v>全世界700万DL突破記念無料レアガチャ2日目</v>
      </c>
      <c r="E403" s="42" t="s">
        <v>2105</v>
      </c>
      <c r="F403" s="42" t="s">
        <v>2112</v>
      </c>
      <c r="G403" s="24">
        <f t="shared" si="286"/>
        <v>458</v>
      </c>
      <c r="H403" s="6">
        <f t="shared" si="254"/>
        <v>10904</v>
      </c>
    </row>
    <row r="404" spans="1:8" ht="21" customHeight="1" x14ac:dyDescent="0.15">
      <c r="A404" s="10" t="str">
        <f t="shared" si="285"/>
        <v>459459</v>
      </c>
      <c r="B404" s="23">
        <f t="shared" si="287"/>
        <v>459</v>
      </c>
      <c r="C404" s="23">
        <f t="shared" si="288"/>
        <v>459</v>
      </c>
      <c r="D404" s="52" t="str">
        <f>IFERROR(VLOOKUP(C404,gachas!A:C,3),0)</f>
        <v>全世界700万DL突破記念無料レアガチャ3日目</v>
      </c>
      <c r="E404" s="42" t="s">
        <v>2106</v>
      </c>
      <c r="F404" s="42" t="s">
        <v>2113</v>
      </c>
      <c r="G404" s="24">
        <f t="shared" si="286"/>
        <v>459</v>
      </c>
      <c r="H404" s="6">
        <f t="shared" si="254"/>
        <v>10904</v>
      </c>
    </row>
    <row r="405" spans="1:8" ht="21" customHeight="1" x14ac:dyDescent="0.15">
      <c r="A405" s="10" t="str">
        <f t="shared" si="285"/>
        <v>460460</v>
      </c>
      <c r="B405" s="23">
        <f t="shared" si="287"/>
        <v>460</v>
      </c>
      <c r="C405" s="23">
        <f t="shared" si="288"/>
        <v>460</v>
      </c>
      <c r="D405" s="52" t="str">
        <f>IFERROR(VLOOKUP(C405,gachas!A:C,3),0)</f>
        <v>全世界700万DL突破記念無料レアガチャ4日目</v>
      </c>
      <c r="E405" s="42" t="s">
        <v>2107</v>
      </c>
      <c r="F405" s="42" t="s">
        <v>2114</v>
      </c>
      <c r="G405" s="24">
        <f t="shared" si="286"/>
        <v>460</v>
      </c>
      <c r="H405" s="6">
        <f t="shared" si="254"/>
        <v>10903</v>
      </c>
    </row>
    <row r="406" spans="1:8" ht="21" customHeight="1" x14ac:dyDescent="0.15">
      <c r="A406" s="10" t="str">
        <f t="shared" si="285"/>
        <v>461461</v>
      </c>
      <c r="B406" s="23">
        <f t="shared" si="287"/>
        <v>461</v>
      </c>
      <c r="C406" s="23">
        <f t="shared" si="288"/>
        <v>461</v>
      </c>
      <c r="D406" s="52" t="str">
        <f>IFERROR(VLOOKUP(C406,gachas!A:C,3),0)</f>
        <v>全世界700万DL突破記念無料レアガチャ5日目</v>
      </c>
      <c r="E406" s="42" t="s">
        <v>2108</v>
      </c>
      <c r="F406" s="42" t="s">
        <v>2115</v>
      </c>
      <c r="G406" s="24">
        <f t="shared" si="286"/>
        <v>461</v>
      </c>
      <c r="H406" s="6">
        <f t="shared" si="254"/>
        <v>10903</v>
      </c>
    </row>
    <row r="407" spans="1:8" ht="21" customHeight="1" x14ac:dyDescent="0.15">
      <c r="A407" s="10" t="str">
        <f t="shared" si="285"/>
        <v>462462</v>
      </c>
      <c r="B407" s="23">
        <f t="shared" si="287"/>
        <v>462</v>
      </c>
      <c r="C407" s="23">
        <f t="shared" si="288"/>
        <v>462</v>
      </c>
      <c r="D407" s="52" t="str">
        <f>IFERROR(VLOOKUP(C407,gachas!A:C,3),0)</f>
        <v>全世界700万DL突破記念無料レアガチャ6日目</v>
      </c>
      <c r="E407" s="42" t="s">
        <v>2109</v>
      </c>
      <c r="F407" s="42" t="s">
        <v>2116</v>
      </c>
      <c r="G407" s="24">
        <f t="shared" si="286"/>
        <v>462</v>
      </c>
      <c r="H407" s="6">
        <f t="shared" si="254"/>
        <v>10902</v>
      </c>
    </row>
    <row r="408" spans="1:8" ht="21" customHeight="1" x14ac:dyDescent="0.15">
      <c r="A408" s="10" t="str">
        <f t="shared" si="285"/>
        <v>463463</v>
      </c>
      <c r="B408" s="23">
        <f t="shared" si="287"/>
        <v>463</v>
      </c>
      <c r="C408" s="23">
        <f t="shared" si="288"/>
        <v>463</v>
      </c>
      <c r="D408" s="52" t="str">
        <f>IFERROR(VLOOKUP(C408,gachas!A:C,3),0)</f>
        <v>全世界700万DL突破記念無料レアガチャ7日目</v>
      </c>
      <c r="E408" s="42" t="s">
        <v>2110</v>
      </c>
      <c r="F408" s="42" t="s">
        <v>2117</v>
      </c>
      <c r="G408" s="24">
        <f t="shared" si="286"/>
        <v>463</v>
      </c>
      <c r="H408" s="6">
        <f t="shared" si="254"/>
        <v>10902</v>
      </c>
    </row>
    <row r="409" spans="1:8" ht="21" customHeight="1" x14ac:dyDescent="0.15">
      <c r="A409" s="10" t="str">
        <f t="shared" ref="A409" si="289">B409&amp;C409</f>
        <v>464464</v>
      </c>
      <c r="B409" s="23">
        <f t="shared" ref="B409:B410" si="290">B408+1</f>
        <v>464</v>
      </c>
      <c r="C409" s="23">
        <f t="shared" ref="C409:C410" si="291">C408+1</f>
        <v>464</v>
      </c>
      <c r="D409" s="52" t="str">
        <f>IFERROR(VLOOKUP(C409,gachas!A:C,3),0)</f>
        <v>全世界700万DL突破記念無料レアガチャ8日目（★6）</v>
      </c>
      <c r="E409" s="42" t="s">
        <v>2219</v>
      </c>
      <c r="F409" s="42" t="s">
        <v>2230</v>
      </c>
      <c r="G409" s="24">
        <v>467</v>
      </c>
      <c r="H409" s="6">
        <f t="shared" si="254"/>
        <v>10901</v>
      </c>
    </row>
    <row r="410" spans="1:8" ht="21" customHeight="1" x14ac:dyDescent="0.15">
      <c r="A410" s="10" t="str">
        <f t="shared" ref="A410" si="292">B410&amp;C410</f>
        <v>465465</v>
      </c>
      <c r="B410" s="23">
        <f t="shared" si="290"/>
        <v>465</v>
      </c>
      <c r="C410" s="23">
        <f t="shared" si="291"/>
        <v>465</v>
      </c>
      <c r="D410" s="52" t="str">
        <f>IFERROR(VLOOKUP(C410,gachas!A:C,3),0)</f>
        <v>全世界700万DL突破記念★6覚醒可能ユニット確定無料ガチャ</v>
      </c>
      <c r="E410" s="42" t="s">
        <v>2122</v>
      </c>
      <c r="F410" s="42" t="s">
        <v>2118</v>
      </c>
      <c r="G410" s="24">
        <f t="shared" ref="G410" si="293">B410</f>
        <v>465</v>
      </c>
      <c r="H410" s="6">
        <f t="shared" si="254"/>
        <v>10901</v>
      </c>
    </row>
    <row r="411" spans="1:8" ht="21" customHeight="1" x14ac:dyDescent="0.15">
      <c r="A411" s="10" t="str">
        <f t="shared" ref="A411" si="294">B411&amp;C411</f>
        <v>73077307</v>
      </c>
      <c r="B411" s="23">
        <v>7307</v>
      </c>
      <c r="C411" s="23">
        <v>7307</v>
      </c>
      <c r="D411" s="52" t="str">
        <f>IFERROR(VLOOKUP(C411,gachas!A:C,3),0)</f>
        <v>カムバックチケットガチャ</v>
      </c>
      <c r="E411" s="42" t="s">
        <v>2131</v>
      </c>
      <c r="F411" s="105" t="s">
        <v>1131</v>
      </c>
      <c r="G411" s="24">
        <f t="shared" ref="G411" si="295">B411</f>
        <v>7307</v>
      </c>
      <c r="H411" s="6">
        <f t="shared" si="254"/>
        <v>10900</v>
      </c>
    </row>
    <row r="412" spans="1:8" ht="21" customHeight="1" x14ac:dyDescent="0.15">
      <c r="A412" s="10" t="str">
        <f t="shared" ref="A412" si="296">B412&amp;C412</f>
        <v>466466</v>
      </c>
      <c r="B412" s="23">
        <v>466</v>
      </c>
      <c r="C412" s="23">
        <v>466</v>
      </c>
      <c r="D412" s="52" t="str">
        <f>IFERROR(VLOOKUP(C412,gachas!A:C,3),0)</f>
        <v>全世界700万DL突破記念スペシャルガチャ第1弾</v>
      </c>
      <c r="E412" s="42" t="s">
        <v>2125</v>
      </c>
      <c r="F412" s="42" t="s">
        <v>2126</v>
      </c>
      <c r="G412" s="24">
        <f t="shared" ref="G412" si="297">B412</f>
        <v>466</v>
      </c>
      <c r="H412" s="6">
        <f t="shared" si="254"/>
        <v>10900</v>
      </c>
    </row>
    <row r="413" spans="1:8" ht="21" customHeight="1" x14ac:dyDescent="0.15">
      <c r="A413" s="10" t="str">
        <f t="shared" ref="A413" si="298">B413&amp;C413</f>
        <v>467467</v>
      </c>
      <c r="B413" s="23">
        <v>467</v>
      </c>
      <c r="C413" s="23">
        <v>467</v>
      </c>
      <c r="D413" s="52" t="str">
        <f>IFERROR(VLOOKUP(C413,gachas!A:C,3),0)</f>
        <v>全世界700万DL突破記念スペシャルガチャ第2弾</v>
      </c>
      <c r="E413" s="42" t="s">
        <v>2127</v>
      </c>
      <c r="F413" s="42" t="s">
        <v>2096</v>
      </c>
      <c r="G413" s="60">
        <v>468</v>
      </c>
      <c r="H413" s="6">
        <f t="shared" si="254"/>
        <v>10899</v>
      </c>
    </row>
    <row r="414" spans="1:8" ht="21" customHeight="1" x14ac:dyDescent="0.15">
      <c r="A414" s="10" t="str">
        <f t="shared" ref="A414:A415" si="299">B414&amp;C414</f>
        <v>468468</v>
      </c>
      <c r="B414" s="23">
        <v>468</v>
      </c>
      <c r="C414" s="23">
        <v>468</v>
      </c>
      <c r="D414" s="52" t="str">
        <f>IFERROR(VLOOKUP(C414,gachas!A:C,3),0)</f>
        <v>全世界700万DL突破記念スペシャルガチャ第3弾</v>
      </c>
      <c r="E414" s="42" t="s">
        <v>2128</v>
      </c>
      <c r="F414" s="42" t="s">
        <v>2129</v>
      </c>
      <c r="G414" s="60">
        <v>469</v>
      </c>
      <c r="H414" s="6">
        <f t="shared" si="254"/>
        <v>10899</v>
      </c>
    </row>
    <row r="415" spans="1:8" ht="21" customHeight="1" x14ac:dyDescent="0.15">
      <c r="A415" s="10" t="str">
        <f t="shared" si="299"/>
        <v>469469</v>
      </c>
      <c r="B415" s="23">
        <v>469</v>
      </c>
      <c r="C415" s="23">
        <v>469</v>
      </c>
      <c r="D415" s="52" t="str">
        <f>IFERROR(VLOOKUP(C415,gachas!A:C,3),0)</f>
        <v>ピックアップカラーガチャ（黄）</v>
      </c>
      <c r="E415" s="54" t="s">
        <v>2233</v>
      </c>
      <c r="F415" s="54" t="s">
        <v>2280</v>
      </c>
      <c r="G415" s="60">
        <v>480</v>
      </c>
      <c r="H415" s="6">
        <f t="shared" si="254"/>
        <v>10898</v>
      </c>
    </row>
    <row r="416" spans="1:8" ht="21" customHeight="1" x14ac:dyDescent="0.15">
      <c r="A416" s="10" t="str">
        <f t="shared" ref="A416" si="300">B416&amp;C416</f>
        <v>470470</v>
      </c>
      <c r="B416" s="23">
        <v>470</v>
      </c>
      <c r="C416" s="23">
        <v>470</v>
      </c>
      <c r="D416" s="52" t="str">
        <f>IFERROR(VLOOKUP(C416,gachas!A:C,3),0)</f>
        <v>全世界700万DL突破記念台港澳祭典</v>
      </c>
      <c r="E416" s="54" t="s">
        <v>2192</v>
      </c>
      <c r="F416" s="54" t="s">
        <v>2193</v>
      </c>
      <c r="G416" s="60">
        <v>479</v>
      </c>
      <c r="H416" s="6">
        <f t="shared" si="254"/>
        <v>10898</v>
      </c>
    </row>
    <row r="417" spans="1:8" ht="21" customHeight="1" x14ac:dyDescent="0.15">
      <c r="A417" s="10" t="str">
        <f t="shared" ref="A417" si="301">B417&amp;C417</f>
        <v>471471</v>
      </c>
      <c r="B417" s="23">
        <v>471</v>
      </c>
      <c r="C417" s="23">
        <v>471</v>
      </c>
      <c r="D417" s="52" t="str">
        <f>IFERROR(VLOOKUP(C417,gachas!A:C,3),0)</f>
        <v>確定ステップアップガチャ</v>
      </c>
      <c r="E417" s="42" t="s">
        <v>2136</v>
      </c>
      <c r="F417" s="42" t="s">
        <v>2137</v>
      </c>
      <c r="G417" s="60">
        <v>470</v>
      </c>
      <c r="H417" s="6">
        <f>H414-1</f>
        <v>10898</v>
      </c>
    </row>
    <row r="418" spans="1:8" ht="21" customHeight="1" x14ac:dyDescent="0.15">
      <c r="A418" s="10" t="str">
        <f t="shared" ref="A418:A425" si="302">B418&amp;C418</f>
        <v>472472</v>
      </c>
      <c r="B418" s="23">
        <f>B417+1</f>
        <v>472</v>
      </c>
      <c r="C418" s="23">
        <f>C417+1</f>
        <v>472</v>
      </c>
      <c r="D418" s="52" t="str">
        <f>IFERROR(VLOOKUP(C418,gachas!A:C,3),0)</f>
        <v>全世界700万DL記念チケットガチャ（赤）</v>
      </c>
      <c r="E418" s="42" t="s">
        <v>2179</v>
      </c>
      <c r="F418" s="42" t="s">
        <v>2218</v>
      </c>
      <c r="G418" s="60">
        <v>474</v>
      </c>
      <c r="H418" s="6">
        <f t="shared" ref="H418:H435" si="303">H415-1</f>
        <v>10897</v>
      </c>
    </row>
    <row r="419" spans="1:8" ht="21" customHeight="1" x14ac:dyDescent="0.15">
      <c r="A419" s="10" t="str">
        <f t="shared" si="302"/>
        <v>473473</v>
      </c>
      <c r="B419" s="23">
        <f t="shared" ref="B419:B435" si="304">B418+1</f>
        <v>473</v>
      </c>
      <c r="C419" s="23">
        <f t="shared" ref="C419:C435" si="305">C418+1</f>
        <v>473</v>
      </c>
      <c r="D419" s="52" t="str">
        <f>IFERROR(VLOOKUP(C419,gachas!A:C,3),0)</f>
        <v>全世界700万DL記念チケットガチャ（青）</v>
      </c>
      <c r="E419" s="42" t="s">
        <v>2179</v>
      </c>
      <c r="F419" s="42" t="s">
        <v>2218</v>
      </c>
      <c r="G419" s="60">
        <v>473</v>
      </c>
      <c r="H419" s="6">
        <f t="shared" si="303"/>
        <v>10897</v>
      </c>
    </row>
    <row r="420" spans="1:8" ht="21" customHeight="1" x14ac:dyDescent="0.15">
      <c r="A420" s="10" t="str">
        <f t="shared" si="302"/>
        <v>474474</v>
      </c>
      <c r="B420" s="23">
        <f t="shared" si="304"/>
        <v>474</v>
      </c>
      <c r="C420" s="23">
        <f t="shared" si="305"/>
        <v>474</v>
      </c>
      <c r="D420" s="52" t="str">
        <f>IFERROR(VLOOKUP(C420,gachas!A:C,3),0)</f>
        <v>全世界700万DL記念チケットガチャ（緑）</v>
      </c>
      <c r="E420" s="42" t="s">
        <v>2179</v>
      </c>
      <c r="F420" s="42" t="s">
        <v>2218</v>
      </c>
      <c r="G420" s="60">
        <v>472</v>
      </c>
      <c r="H420" s="6">
        <f t="shared" si="303"/>
        <v>10897</v>
      </c>
    </row>
    <row r="421" spans="1:8" ht="21" customHeight="1" x14ac:dyDescent="0.15">
      <c r="A421" s="10" t="str">
        <f t="shared" si="302"/>
        <v>475475</v>
      </c>
      <c r="B421" s="23">
        <f t="shared" si="304"/>
        <v>475</v>
      </c>
      <c r="C421" s="23">
        <f t="shared" si="305"/>
        <v>475</v>
      </c>
      <c r="D421" s="52" t="str">
        <f>IFERROR(VLOOKUP(C421,gachas!A:C,3),0)</f>
        <v>全世界700万DL記念チケットガチャ（黄）</v>
      </c>
      <c r="E421" s="42" t="s">
        <v>2179</v>
      </c>
      <c r="F421" s="42" t="s">
        <v>2218</v>
      </c>
      <c r="G421" s="60">
        <v>471</v>
      </c>
      <c r="H421" s="6">
        <f t="shared" si="303"/>
        <v>10896</v>
      </c>
    </row>
    <row r="422" spans="1:8" ht="21" customHeight="1" x14ac:dyDescent="0.15">
      <c r="A422" s="10" t="str">
        <f t="shared" si="302"/>
        <v>476476</v>
      </c>
      <c r="B422" s="23">
        <f t="shared" si="304"/>
        <v>476</v>
      </c>
      <c r="C422" s="23">
        <f t="shared" si="305"/>
        <v>476</v>
      </c>
      <c r="D422" s="52" t="str">
        <f>IFERROR(VLOOKUP(C422,gachas!A:C,3),0)</f>
        <v>全世界700万DL突破記念★6覚醒可能ユニット確定無料ガチャ（後半）</v>
      </c>
      <c r="E422" s="42" t="s">
        <v>2179</v>
      </c>
      <c r="F422" s="42" t="s">
        <v>2180</v>
      </c>
      <c r="G422" s="60">
        <v>476</v>
      </c>
      <c r="H422" s="6">
        <f t="shared" si="303"/>
        <v>10896</v>
      </c>
    </row>
    <row r="423" spans="1:8" ht="21" customHeight="1" x14ac:dyDescent="0.15">
      <c r="A423" s="10" t="str">
        <f t="shared" si="302"/>
        <v>477477</v>
      </c>
      <c r="B423" s="23">
        <f t="shared" si="304"/>
        <v>477</v>
      </c>
      <c r="C423" s="23">
        <f t="shared" si="305"/>
        <v>477</v>
      </c>
      <c r="D423" s="52" t="str">
        <f>IFERROR(VLOOKUP(C423,gachas!A:C,3),0)</f>
        <v>超フィーバーフェスティバル＜ベルヌーイ、ユークリッド＞</v>
      </c>
      <c r="E423" s="42" t="s">
        <v>2181</v>
      </c>
      <c r="F423" s="42" t="s">
        <v>2182</v>
      </c>
      <c r="G423" s="60">
        <v>475</v>
      </c>
      <c r="H423" s="6">
        <f t="shared" si="303"/>
        <v>10896</v>
      </c>
    </row>
    <row r="424" spans="1:8" ht="21" customHeight="1" x14ac:dyDescent="0.15">
      <c r="A424" s="10" t="str">
        <f t="shared" si="302"/>
        <v>478478</v>
      </c>
      <c r="B424" s="23">
        <f t="shared" si="304"/>
        <v>478</v>
      </c>
      <c r="C424" s="23">
        <f t="shared" si="305"/>
        <v>478</v>
      </c>
      <c r="D424" s="52" t="str">
        <f>IFERROR(VLOOKUP(C424,gachas!A:C,3),0)</f>
        <v>超フィーバーフェスティバル＜ベルヌーイ、フロイト＞</v>
      </c>
      <c r="E424" s="42" t="s">
        <v>2179</v>
      </c>
      <c r="F424" s="42" t="s">
        <v>2183</v>
      </c>
      <c r="G424" s="60">
        <v>477</v>
      </c>
      <c r="H424" s="6">
        <f t="shared" si="303"/>
        <v>10895</v>
      </c>
    </row>
    <row r="425" spans="1:8" ht="21" customHeight="1" x14ac:dyDescent="0.15">
      <c r="A425" s="10" t="str">
        <f t="shared" si="302"/>
        <v>479479</v>
      </c>
      <c r="B425" s="23">
        <f t="shared" si="304"/>
        <v>479</v>
      </c>
      <c r="C425" s="23">
        <f t="shared" si="305"/>
        <v>479</v>
      </c>
      <c r="D425" s="52" t="str">
        <f>IFERROR(VLOOKUP(C425,gachas!A:C,3),0)</f>
        <v>超フィーバーフェスティバル＜ベルヌーイ、ファラデー＞</v>
      </c>
      <c r="E425" s="42" t="s">
        <v>2185</v>
      </c>
      <c r="F425" s="42" t="s">
        <v>2184</v>
      </c>
      <c r="G425" s="60">
        <v>478</v>
      </c>
      <c r="H425" s="6">
        <f t="shared" si="303"/>
        <v>10895</v>
      </c>
    </row>
    <row r="426" spans="1:8" ht="21" customHeight="1" x14ac:dyDescent="0.15">
      <c r="A426" s="10" t="str">
        <f t="shared" ref="A426" si="306">B426&amp;C426</f>
        <v>480480</v>
      </c>
      <c r="B426" s="23">
        <f t="shared" si="304"/>
        <v>480</v>
      </c>
      <c r="C426" s="23">
        <f t="shared" si="305"/>
        <v>480</v>
      </c>
      <c r="D426" s="52" t="str">
        <f>IFERROR(VLOOKUP(C426,gachas!A:C,3),0)</f>
        <v>ランキング対抗ガチャ&lt;ヒルベルト&gt;</v>
      </c>
      <c r="E426" s="42" t="s">
        <v>2214</v>
      </c>
      <c r="F426" s="42" t="s">
        <v>2215</v>
      </c>
      <c r="G426" s="60">
        <v>481</v>
      </c>
      <c r="H426" s="6">
        <f t="shared" si="303"/>
        <v>10895</v>
      </c>
    </row>
    <row r="427" spans="1:8" ht="21" customHeight="1" x14ac:dyDescent="0.15">
      <c r="A427" s="10" t="str">
        <f t="shared" ref="A427" si="307">B427&amp;C427</f>
        <v>481481</v>
      </c>
      <c r="B427" s="23">
        <f t="shared" si="304"/>
        <v>481</v>
      </c>
      <c r="C427" s="23">
        <f t="shared" si="305"/>
        <v>481</v>
      </c>
      <c r="D427" s="52" t="str">
        <f>IFERROR(VLOOKUP(C427,gachas!A:C,3),0)</f>
        <v>全世界700万DL突破記念無料レアガチャ8日目（★5）</v>
      </c>
      <c r="E427" s="42" t="s">
        <v>2225</v>
      </c>
      <c r="F427" s="42" t="s">
        <v>2226</v>
      </c>
      <c r="G427" s="60">
        <v>464</v>
      </c>
      <c r="H427" s="6">
        <f t="shared" si="303"/>
        <v>10894</v>
      </c>
    </row>
    <row r="428" spans="1:8" ht="21" customHeight="1" x14ac:dyDescent="0.15">
      <c r="A428" s="10" t="str">
        <f t="shared" ref="A428:A435" si="308">B428&amp;C428</f>
        <v>482482</v>
      </c>
      <c r="B428" s="23">
        <f t="shared" si="304"/>
        <v>482</v>
      </c>
      <c r="C428" s="23">
        <f t="shared" si="305"/>
        <v>482</v>
      </c>
      <c r="D428" s="52" t="str">
        <f>IFERROR(VLOOKUP(C428,gachas!A:C,3),0)</f>
        <v>★6解放記念ガチャ</v>
      </c>
      <c r="E428" s="42" t="s">
        <v>2256</v>
      </c>
      <c r="F428" s="42" t="s">
        <v>2257</v>
      </c>
      <c r="G428" s="24">
        <f>C428</f>
        <v>482</v>
      </c>
      <c r="H428" s="6">
        <f>H425-1</f>
        <v>10894</v>
      </c>
    </row>
    <row r="429" spans="1:8" ht="21" customHeight="1" x14ac:dyDescent="0.15">
      <c r="A429" s="10" t="str">
        <f t="shared" si="308"/>
        <v>483483</v>
      </c>
      <c r="B429" s="23">
        <f t="shared" si="304"/>
        <v>483</v>
      </c>
      <c r="C429" s="23">
        <f t="shared" si="305"/>
        <v>483</v>
      </c>
      <c r="D429" s="52" t="str">
        <f>IFERROR(VLOOKUP(C429,gachas!A:C,3),0)</f>
        <v>確定ステップアップガチャ</v>
      </c>
      <c r="E429" s="42" t="s">
        <v>2258</v>
      </c>
      <c r="F429" s="42" t="s">
        <v>2259</v>
      </c>
      <c r="G429" s="24">
        <f t="shared" ref="G429" si="309">C429</f>
        <v>483</v>
      </c>
      <c r="H429" s="6">
        <f t="shared" si="303"/>
        <v>10894</v>
      </c>
    </row>
    <row r="430" spans="1:8" ht="21" customHeight="1" x14ac:dyDescent="0.15">
      <c r="A430" s="10" t="str">
        <f t="shared" si="308"/>
        <v>484484</v>
      </c>
      <c r="B430" s="23">
        <f t="shared" si="304"/>
        <v>484</v>
      </c>
      <c r="C430" s="23">
        <f t="shared" si="305"/>
        <v>484</v>
      </c>
      <c r="D430" s="52" t="str">
        <f>IFERROR(VLOOKUP(C430,gachas!A:C,3),0)</f>
        <v>1日1回無料クリスマスガチャ</v>
      </c>
      <c r="E430" s="42" t="s">
        <v>2260</v>
      </c>
      <c r="F430" s="42" t="s">
        <v>2261</v>
      </c>
      <c r="G430" s="60">
        <v>489</v>
      </c>
      <c r="H430" s="6">
        <f t="shared" si="303"/>
        <v>10893</v>
      </c>
    </row>
    <row r="431" spans="1:8" ht="21" customHeight="1" x14ac:dyDescent="0.15">
      <c r="A431" s="10" t="str">
        <f t="shared" si="308"/>
        <v>485485</v>
      </c>
      <c r="B431" s="23">
        <f t="shared" si="304"/>
        <v>485</v>
      </c>
      <c r="C431" s="23">
        <f t="shared" si="305"/>
        <v>485</v>
      </c>
      <c r="D431" s="52" t="str">
        <f>IFERROR(VLOOKUP(C431,gachas!A:C,3),0)</f>
        <v>クリスマススペシャルガチャSide:A</v>
      </c>
      <c r="E431" s="42" t="s">
        <v>2260</v>
      </c>
      <c r="F431" s="42" t="s">
        <v>2331</v>
      </c>
      <c r="G431" s="60">
        <v>485</v>
      </c>
      <c r="H431" s="6">
        <f t="shared" si="303"/>
        <v>10893</v>
      </c>
    </row>
    <row r="432" spans="1:8" ht="21" customHeight="1" x14ac:dyDescent="0.15">
      <c r="A432" s="10" t="str">
        <f t="shared" si="308"/>
        <v>486486</v>
      </c>
      <c r="B432" s="23">
        <f t="shared" si="304"/>
        <v>486</v>
      </c>
      <c r="C432" s="23">
        <f t="shared" si="305"/>
        <v>486</v>
      </c>
      <c r="D432" s="52" t="str">
        <f>IFERROR(VLOOKUP(C432,gachas!A:C,3),0)</f>
        <v>クリスマススペシャルガチャSide:B</v>
      </c>
      <c r="E432" s="42" t="s">
        <v>2260</v>
      </c>
      <c r="F432" s="42" t="s">
        <v>2330</v>
      </c>
      <c r="G432" s="60">
        <v>484</v>
      </c>
      <c r="H432" s="6">
        <f t="shared" si="303"/>
        <v>10893</v>
      </c>
    </row>
    <row r="433" spans="1:8" ht="21" customHeight="1" x14ac:dyDescent="0.15">
      <c r="A433" s="10" t="str">
        <f t="shared" si="308"/>
        <v>487487</v>
      </c>
      <c r="B433" s="23">
        <f t="shared" si="304"/>
        <v>487</v>
      </c>
      <c r="C433" s="23">
        <f t="shared" si="305"/>
        <v>487</v>
      </c>
      <c r="D433" s="52" t="str">
        <f>IFERROR(VLOOKUP(C433,gachas!A:C,3),0)</f>
        <v>フィーバーフェスティバル＜ボーア、シュレディンガー＞</v>
      </c>
      <c r="E433" s="42" t="s">
        <v>2262</v>
      </c>
      <c r="F433" s="42" t="s">
        <v>2263</v>
      </c>
      <c r="G433" s="60">
        <f t="shared" ref="G433:G435" si="310">C433-1</f>
        <v>486</v>
      </c>
      <c r="H433" s="6">
        <f t="shared" si="303"/>
        <v>10892</v>
      </c>
    </row>
    <row r="434" spans="1:8" ht="21" customHeight="1" x14ac:dyDescent="0.15">
      <c r="A434" s="10" t="str">
        <f t="shared" si="308"/>
        <v>488488</v>
      </c>
      <c r="B434" s="23">
        <f t="shared" si="304"/>
        <v>488</v>
      </c>
      <c r="C434" s="23">
        <f t="shared" si="305"/>
        <v>488</v>
      </c>
      <c r="D434" s="52" t="str">
        <f>IFERROR(VLOOKUP(C434,gachas!A:C,3),0)</f>
        <v>フィーバーフェスティバル＜ボーア、ハップル＞</v>
      </c>
      <c r="E434" s="42" t="s">
        <v>2264</v>
      </c>
      <c r="F434" s="42" t="s">
        <v>2265</v>
      </c>
      <c r="G434" s="60">
        <f t="shared" si="310"/>
        <v>487</v>
      </c>
      <c r="H434" s="6">
        <f t="shared" si="303"/>
        <v>10892</v>
      </c>
    </row>
    <row r="435" spans="1:8" ht="21" customHeight="1" x14ac:dyDescent="0.15">
      <c r="A435" s="10" t="str">
        <f t="shared" si="308"/>
        <v>489489</v>
      </c>
      <c r="B435" s="23">
        <f t="shared" si="304"/>
        <v>489</v>
      </c>
      <c r="C435" s="23">
        <f t="shared" si="305"/>
        <v>489</v>
      </c>
      <c r="D435" s="52" t="str">
        <f>IFERROR(VLOOKUP(C435,gachas!A:C,3),0)</f>
        <v>フィーバーフェスティバル＜ボーア、ヘンペル＞</v>
      </c>
      <c r="E435" s="42" t="s">
        <v>2266</v>
      </c>
      <c r="F435" s="42" t="s">
        <v>2267</v>
      </c>
      <c r="G435" s="60">
        <f t="shared" si="310"/>
        <v>488</v>
      </c>
      <c r="H435" s="6">
        <f t="shared" si="303"/>
        <v>10892</v>
      </c>
    </row>
    <row r="436" spans="1:8" ht="21" customHeight="1" x14ac:dyDescent="0.15">
      <c r="A436" s="10" t="str">
        <f t="shared" ref="A436:A437" si="311">B436&amp;C436</f>
        <v>73087308</v>
      </c>
      <c r="B436" s="23">
        <v>7308</v>
      </c>
      <c r="C436" s="23">
        <v>7308</v>
      </c>
      <c r="D436" s="52" t="str">
        <f>IFERROR(VLOOKUP(C436,gachas!A:C,3),0)</f>
        <v>ウィンターチケットガチャ</v>
      </c>
      <c r="E436" s="42" t="s">
        <v>3290</v>
      </c>
      <c r="F436" s="42" t="s">
        <v>3291</v>
      </c>
      <c r="G436" s="60">
        <v>199</v>
      </c>
      <c r="H436" s="6">
        <f>H433-1</f>
        <v>10891</v>
      </c>
    </row>
    <row r="437" spans="1:8" ht="21" customHeight="1" x14ac:dyDescent="0.15">
      <c r="A437" s="10" t="str">
        <f t="shared" si="311"/>
        <v>73097309</v>
      </c>
      <c r="B437" s="23">
        <f>B436+1</f>
        <v>7309</v>
      </c>
      <c r="C437" s="23">
        <f>C436+1</f>
        <v>7309</v>
      </c>
      <c r="D437" s="52" t="str">
        <f>IFERROR(VLOOKUP(C437,gachas!A:C,3),0)</f>
        <v>ウィンターチケットガチャ10連</v>
      </c>
      <c r="E437" s="42" t="s">
        <v>3290</v>
      </c>
      <c r="F437" s="42" t="s">
        <v>3291</v>
      </c>
      <c r="G437" s="60">
        <v>198</v>
      </c>
      <c r="H437" s="6">
        <f>H434-1</f>
        <v>10891</v>
      </c>
    </row>
    <row r="438" spans="1:8" ht="21" customHeight="1" x14ac:dyDescent="0.15">
      <c r="A438" s="10" t="str">
        <f t="shared" ref="A438:A439" si="312">B438&amp;C438</f>
        <v>73107310</v>
      </c>
      <c r="B438" s="23">
        <f>B437+1</f>
        <v>7310</v>
      </c>
      <c r="C438" s="23">
        <f>C437+1</f>
        <v>7310</v>
      </c>
      <c r="D438" s="52" t="str">
        <f>IFERROR(VLOOKUP(C438,gachas!A:C,3),0)</f>
        <v>★6覚醒可能ユニット確定ガチャ</v>
      </c>
      <c r="E438" s="42" t="s">
        <v>2262</v>
      </c>
      <c r="F438" s="42" t="s">
        <v>2519</v>
      </c>
      <c r="G438" s="60">
        <v>490</v>
      </c>
      <c r="H438" s="6">
        <f>H435-1</f>
        <v>10891</v>
      </c>
    </row>
    <row r="439" spans="1:8" ht="21" customHeight="1" x14ac:dyDescent="0.15">
      <c r="A439" s="10" t="str">
        <f t="shared" si="312"/>
        <v>490490</v>
      </c>
      <c r="B439" s="23">
        <v>490</v>
      </c>
      <c r="C439" s="23">
        <v>490</v>
      </c>
      <c r="D439" s="52" t="str">
        <f>IFERROR(VLOOKUP(C439,gachas!A:C,3),0)</f>
        <v>カラーピック（ラプンツェル、アルフヘイム）</v>
      </c>
      <c r="E439" s="42" t="s">
        <v>2295</v>
      </c>
      <c r="F439" s="42" t="s">
        <v>2332</v>
      </c>
      <c r="G439" s="60">
        <f t="shared" ref="G439" si="313">C439-1</f>
        <v>489</v>
      </c>
      <c r="H439" s="6">
        <f t="shared" ref="H439:H457" si="314">H436-1</f>
        <v>10890</v>
      </c>
    </row>
    <row r="440" spans="1:8" ht="21" customHeight="1" x14ac:dyDescent="0.15">
      <c r="A440" s="10" t="str">
        <f t="shared" ref="A440:A441" si="315">B440&amp;C440</f>
        <v>491491</v>
      </c>
      <c r="B440" s="23">
        <f t="shared" ref="B440:C440" si="316">B439+1</f>
        <v>491</v>
      </c>
      <c r="C440" s="23">
        <f t="shared" si="316"/>
        <v>491</v>
      </c>
      <c r="D440" s="52" t="str">
        <f>IFERROR(VLOOKUP(C440,gachas!A:C,3),0)</f>
        <v>クリスマスランキング対抗&lt; ニコラ&gt;</v>
      </c>
      <c r="E440" s="42" t="s">
        <v>2296</v>
      </c>
      <c r="F440" s="42" t="s">
        <v>2330</v>
      </c>
      <c r="G440" s="60">
        <f t="shared" ref="G440:G441" si="317">C440-1</f>
        <v>490</v>
      </c>
      <c r="H440" s="6">
        <f t="shared" si="314"/>
        <v>10890</v>
      </c>
    </row>
    <row r="441" spans="1:8" ht="21" customHeight="1" x14ac:dyDescent="0.15">
      <c r="A441" s="10" t="str">
        <f t="shared" si="315"/>
        <v>492492</v>
      </c>
      <c r="B441" s="23">
        <f t="shared" ref="B441:C441" si="318">B440+1</f>
        <v>492</v>
      </c>
      <c r="C441" s="23">
        <f t="shared" si="318"/>
        <v>492</v>
      </c>
      <c r="D441" s="52" t="str">
        <f>IFERROR(VLOOKUP(C441,gachas!A:C,3),0)</f>
        <v>R6解放ピックアップ&lt;ユミル、ライオン&gt;</v>
      </c>
      <c r="E441" s="42" t="s">
        <v>2297</v>
      </c>
      <c r="F441" s="42" t="s">
        <v>2298</v>
      </c>
      <c r="G441" s="60">
        <f t="shared" si="317"/>
        <v>491</v>
      </c>
      <c r="H441" s="6">
        <f t="shared" si="314"/>
        <v>10890</v>
      </c>
    </row>
    <row r="442" spans="1:8" ht="21" customHeight="1" x14ac:dyDescent="0.15">
      <c r="A442" s="10" t="str">
        <f t="shared" ref="A442:A443" si="319">B442&amp;C442</f>
        <v>493493</v>
      </c>
      <c r="B442" s="23">
        <f t="shared" ref="B442:C442" si="320">B441+1</f>
        <v>493</v>
      </c>
      <c r="C442" s="23">
        <f t="shared" si="320"/>
        <v>493</v>
      </c>
      <c r="D442" s="52" t="str">
        <f>IFERROR(VLOOKUP(C442,gachas!A:C,3),0)</f>
        <v>ニューフェイスガチャ（戦国2）</v>
      </c>
      <c r="E442" s="42" t="s">
        <v>2326</v>
      </c>
      <c r="F442" s="42" t="s">
        <v>2328</v>
      </c>
      <c r="G442" s="60">
        <f t="shared" ref="G442" si="321">C442-1</f>
        <v>492</v>
      </c>
      <c r="H442" s="6">
        <f t="shared" si="314"/>
        <v>10889</v>
      </c>
    </row>
    <row r="443" spans="1:8" ht="21" customHeight="1" x14ac:dyDescent="0.15">
      <c r="A443" s="10" t="str">
        <f t="shared" si="319"/>
        <v>494494</v>
      </c>
      <c r="B443" s="23">
        <f t="shared" ref="B443:C446" si="322">B442+1</f>
        <v>494</v>
      </c>
      <c r="C443" s="23">
        <f t="shared" si="322"/>
        <v>494</v>
      </c>
      <c r="D443" s="52" t="str">
        <f>IFERROR(VLOOKUP(C443,gachas!A:C,3),0)</f>
        <v>レアガチャ（戦国2in）</v>
      </c>
      <c r="E443" s="42" t="s">
        <v>2327</v>
      </c>
      <c r="F443" s="42" t="s">
        <v>2511</v>
      </c>
      <c r="G443" s="60">
        <v>200</v>
      </c>
      <c r="H443" s="6">
        <f t="shared" si="314"/>
        <v>10889</v>
      </c>
    </row>
    <row r="444" spans="1:8" ht="21" customHeight="1" x14ac:dyDescent="0.15">
      <c r="A444" s="10" t="str">
        <f t="shared" ref="A444" si="323">B444&amp;C444</f>
        <v>495495</v>
      </c>
      <c r="B444" s="23">
        <f t="shared" si="322"/>
        <v>495</v>
      </c>
      <c r="C444" s="23">
        <f t="shared" si="322"/>
        <v>495</v>
      </c>
      <c r="D444" s="52" t="str">
        <f>IFERROR(VLOOKUP(C444,gachas!A:C,3),0)</f>
        <v>デュラララガチャ宵&lt;帝人&gt;</v>
      </c>
      <c r="E444" s="42" t="s">
        <v>2347</v>
      </c>
      <c r="F444" s="42" t="s">
        <v>2335</v>
      </c>
      <c r="G444" s="60">
        <v>493</v>
      </c>
      <c r="H444" s="6">
        <f t="shared" si="314"/>
        <v>10889</v>
      </c>
    </row>
    <row r="445" spans="1:8" ht="21" customHeight="1" x14ac:dyDescent="0.15">
      <c r="A445" s="10" t="str">
        <f t="shared" ref="A445" si="324">B445&amp;C445</f>
        <v>496496</v>
      </c>
      <c r="B445" s="23">
        <f t="shared" si="322"/>
        <v>496</v>
      </c>
      <c r="C445" s="23">
        <f t="shared" si="322"/>
        <v>496</v>
      </c>
      <c r="D445" s="52" t="str">
        <f>IFERROR(VLOOKUP(C445,gachas!A:C,3),0)</f>
        <v>★6解放記念ガチャ＜アスタロト、フール＞</v>
      </c>
      <c r="E445" s="42" t="s">
        <v>2348</v>
      </c>
      <c r="F445" s="42" t="s">
        <v>2349</v>
      </c>
      <c r="G445" s="60">
        <v>494</v>
      </c>
      <c r="H445" s="6">
        <f t="shared" si="314"/>
        <v>10888</v>
      </c>
    </row>
    <row r="446" spans="1:8" ht="21" customHeight="1" x14ac:dyDescent="0.15">
      <c r="A446" s="10" t="str">
        <f t="shared" ref="A446" si="325">B446&amp;C446</f>
        <v>497497</v>
      </c>
      <c r="B446" s="23">
        <f t="shared" si="322"/>
        <v>497</v>
      </c>
      <c r="C446" s="23">
        <f t="shared" si="322"/>
        <v>497</v>
      </c>
      <c r="D446" s="52" t="str">
        <f>IFERROR(VLOOKUP(C446,gachas!A:C,3),0)</f>
        <v>デュラララガチャ暁&lt;静雄&gt;</v>
      </c>
      <c r="E446" s="42" t="s">
        <v>2353</v>
      </c>
      <c r="F446" s="42" t="s">
        <v>2354</v>
      </c>
      <c r="G446" s="60">
        <v>500</v>
      </c>
      <c r="H446" s="6">
        <f t="shared" si="314"/>
        <v>10888</v>
      </c>
    </row>
    <row r="447" spans="1:8" ht="21" customHeight="1" x14ac:dyDescent="0.15">
      <c r="A447" s="10" t="str">
        <f t="shared" ref="A447:A450" si="326">B447&amp;C447</f>
        <v>498498</v>
      </c>
      <c r="B447" s="23">
        <f t="shared" ref="B447:C447" si="327">B446+1</f>
        <v>498</v>
      </c>
      <c r="C447" s="23">
        <f t="shared" si="327"/>
        <v>498</v>
      </c>
      <c r="D447" s="52" t="str">
        <f>IFERROR(VLOOKUP(C447,gachas!A:C,3),0)</f>
        <v>大晦日24時間限定 記念限定ユニット確定ガチャ（仮）</v>
      </c>
      <c r="E447" s="42" t="s">
        <v>2385</v>
      </c>
      <c r="F447" s="42" t="s">
        <v>2386</v>
      </c>
      <c r="G447" s="60">
        <v>495</v>
      </c>
      <c r="H447" s="6">
        <f t="shared" si="314"/>
        <v>10888</v>
      </c>
    </row>
    <row r="448" spans="1:8" ht="21" customHeight="1" x14ac:dyDescent="0.15">
      <c r="A448" s="10" t="str">
        <f t="shared" si="326"/>
        <v>499499</v>
      </c>
      <c r="B448" s="23">
        <f t="shared" ref="B448:C448" si="328">B447+1</f>
        <v>499</v>
      </c>
      <c r="C448" s="23">
        <f t="shared" si="328"/>
        <v>499</v>
      </c>
      <c r="D448" s="52" t="str">
        <f>IFERROR(VLOOKUP(C448,gachas!A:C,3),0)</f>
        <v>お正月超フィーバーフェス赤（仮）</v>
      </c>
      <c r="E448" s="42" t="s">
        <v>2387</v>
      </c>
      <c r="F448" s="42" t="s">
        <v>2388</v>
      </c>
      <c r="G448" s="60">
        <v>499</v>
      </c>
      <c r="H448" s="6">
        <f t="shared" si="314"/>
        <v>10887</v>
      </c>
    </row>
    <row r="449" spans="1:8" ht="21" customHeight="1" x14ac:dyDescent="0.15">
      <c r="A449" s="10" t="str">
        <f t="shared" si="326"/>
        <v>500500</v>
      </c>
      <c r="B449" s="23">
        <f t="shared" ref="B449:C449" si="329">B448+1</f>
        <v>500</v>
      </c>
      <c r="C449" s="23">
        <f t="shared" si="329"/>
        <v>500</v>
      </c>
      <c r="D449" s="52" t="str">
        <f>IFERROR(VLOOKUP(C449,gachas!A:C,3),0)</f>
        <v>お正月超フィーバーフェス緑（仮）</v>
      </c>
      <c r="E449" s="42" t="s">
        <v>2387</v>
      </c>
      <c r="F449" s="42" t="s">
        <v>2388</v>
      </c>
      <c r="G449" s="60">
        <v>498</v>
      </c>
      <c r="H449" s="6">
        <f t="shared" si="314"/>
        <v>10887</v>
      </c>
    </row>
    <row r="450" spans="1:8" ht="21" customHeight="1" x14ac:dyDescent="0.15">
      <c r="A450" s="10" t="str">
        <f t="shared" si="326"/>
        <v>501501</v>
      </c>
      <c r="B450" s="23">
        <f t="shared" ref="B450:C451" si="330">B449+1</f>
        <v>501</v>
      </c>
      <c r="C450" s="23">
        <f t="shared" si="330"/>
        <v>501</v>
      </c>
      <c r="D450" s="52" t="str">
        <f>IFERROR(VLOOKUP(C450,gachas!A:C,3),0)</f>
        <v>お正月超フィーバーフェス青（仮）</v>
      </c>
      <c r="E450" s="42" t="s">
        <v>2387</v>
      </c>
      <c r="F450" s="42" t="s">
        <v>2388</v>
      </c>
      <c r="G450" s="60">
        <v>497</v>
      </c>
      <c r="H450" s="6">
        <f t="shared" si="314"/>
        <v>10887</v>
      </c>
    </row>
    <row r="451" spans="1:8" ht="21" customHeight="1" x14ac:dyDescent="0.15">
      <c r="A451" s="10" t="str">
        <f t="shared" ref="A451" si="331">B451&amp;C451</f>
        <v>502502</v>
      </c>
      <c r="B451" s="23">
        <f t="shared" si="330"/>
        <v>502</v>
      </c>
      <c r="C451" s="23">
        <f t="shared" si="330"/>
        <v>502</v>
      </c>
      <c r="D451" s="52" t="str">
        <f>IFERROR(VLOOKUP(C451,gachas!A:C,3),0)</f>
        <v>お正月超フィーバーフェス黄（仮）</v>
      </c>
      <c r="E451" s="42" t="s">
        <v>2387</v>
      </c>
      <c r="F451" s="42" t="s">
        <v>2388</v>
      </c>
      <c r="G451" s="60">
        <v>496</v>
      </c>
      <c r="H451" s="6">
        <f t="shared" si="314"/>
        <v>10886</v>
      </c>
    </row>
    <row r="452" spans="1:8" ht="21" customHeight="1" x14ac:dyDescent="0.15">
      <c r="A452" s="10" t="str">
        <f t="shared" ref="A452:A453" si="332">B452&amp;C452</f>
        <v>503503</v>
      </c>
      <c r="B452" s="23">
        <f t="shared" ref="B452:C452" si="333">B451+1</f>
        <v>503</v>
      </c>
      <c r="C452" s="23">
        <f t="shared" si="333"/>
        <v>503</v>
      </c>
      <c r="D452" s="52" t="str">
        <f>IFERROR(VLOOKUP(C452,gachas!A:C,3),0)</f>
        <v>ランキング対抗ガチャ&lt;マクローリン&gt;</v>
      </c>
      <c r="E452" s="42" t="s">
        <v>2452</v>
      </c>
      <c r="F452" s="42" t="s">
        <v>2453</v>
      </c>
      <c r="G452" s="60">
        <v>501</v>
      </c>
      <c r="H452" s="6">
        <f t="shared" si="314"/>
        <v>10886</v>
      </c>
    </row>
    <row r="453" spans="1:8" ht="21" customHeight="1" x14ac:dyDescent="0.15">
      <c r="A453" s="10" t="str">
        <f t="shared" si="332"/>
        <v>504504</v>
      </c>
      <c r="B453" s="23">
        <f t="shared" ref="B453:C454" si="334">B452+1</f>
        <v>504</v>
      </c>
      <c r="C453" s="23">
        <f t="shared" si="334"/>
        <v>504</v>
      </c>
      <c r="D453" s="52" t="str">
        <f>IFERROR(VLOOKUP(C453,gachas!A:C,3),0)</f>
        <v>新年特別開催台港澳祭典SIDE:A</v>
      </c>
      <c r="E453" s="42" t="s">
        <v>2454</v>
      </c>
      <c r="F453" s="42" t="s">
        <v>2455</v>
      </c>
      <c r="G453" s="24">
        <f>G452+1</f>
        <v>502</v>
      </c>
      <c r="H453" s="6">
        <f t="shared" si="314"/>
        <v>10886</v>
      </c>
    </row>
    <row r="454" spans="1:8" ht="21" customHeight="1" x14ac:dyDescent="0.15">
      <c r="A454" s="10" t="str">
        <f t="shared" ref="A454" si="335">B454&amp;C454</f>
        <v>505505</v>
      </c>
      <c r="B454" s="23">
        <f t="shared" si="334"/>
        <v>505</v>
      </c>
      <c r="C454" s="23">
        <f t="shared" si="334"/>
        <v>505</v>
      </c>
      <c r="D454" s="52" t="str">
        <f>IFERROR(VLOOKUP(C454,gachas!A:C,3),0)</f>
        <v>新年特別開催台港澳祭典SIDE:B</v>
      </c>
      <c r="E454" s="42" t="s">
        <v>2454</v>
      </c>
      <c r="F454" s="42" t="s">
        <v>2455</v>
      </c>
      <c r="G454" s="24">
        <f>G453+1</f>
        <v>503</v>
      </c>
      <c r="H454" s="6">
        <f t="shared" si="314"/>
        <v>10885</v>
      </c>
    </row>
    <row r="455" spans="1:8" ht="21" customHeight="1" x14ac:dyDescent="0.15">
      <c r="A455" s="10" t="str">
        <f t="shared" ref="A455:A457" si="336">B455&amp;C455</f>
        <v>506506</v>
      </c>
      <c r="B455" s="23">
        <f t="shared" ref="B455:C455" si="337">B454+1</f>
        <v>506</v>
      </c>
      <c r="C455" s="23">
        <f t="shared" si="337"/>
        <v>506</v>
      </c>
      <c r="D455" s="52" t="str">
        <f>IFERROR(VLOOKUP(C455,gachas!A:C,3),0)</f>
        <v>フィーバーフェス（１日目）</v>
      </c>
      <c r="E455" s="42" t="s">
        <v>2478</v>
      </c>
      <c r="F455" s="42" t="s">
        <v>2479</v>
      </c>
      <c r="G455" s="24">
        <f t="shared" ref="G455:G457" si="338">G454+1</f>
        <v>504</v>
      </c>
      <c r="H455" s="6">
        <f>H452-1</f>
        <v>10885</v>
      </c>
    </row>
    <row r="456" spans="1:8" ht="21" customHeight="1" x14ac:dyDescent="0.15">
      <c r="A456" s="10" t="str">
        <f t="shared" si="336"/>
        <v>507507</v>
      </c>
      <c r="B456" s="23">
        <f t="shared" ref="B456:C456" si="339">B455+1</f>
        <v>507</v>
      </c>
      <c r="C456" s="23">
        <f t="shared" si="339"/>
        <v>507</v>
      </c>
      <c r="D456" s="52" t="str">
        <f>IFERROR(VLOOKUP(C456,gachas!A:C,3),0)</f>
        <v>フィーバーフェス（2日目）</v>
      </c>
      <c r="E456" s="42" t="s">
        <v>2480</v>
      </c>
      <c r="F456" s="42" t="s">
        <v>2481</v>
      </c>
      <c r="G456" s="24">
        <f t="shared" si="338"/>
        <v>505</v>
      </c>
      <c r="H456" s="6">
        <f t="shared" si="314"/>
        <v>10885</v>
      </c>
    </row>
    <row r="457" spans="1:8" ht="21" customHeight="1" x14ac:dyDescent="0.15">
      <c r="A457" s="10" t="str">
        <f t="shared" si="336"/>
        <v>508508</v>
      </c>
      <c r="B457" s="23">
        <f t="shared" ref="B457:C457" si="340">B456+1</f>
        <v>508</v>
      </c>
      <c r="C457" s="23">
        <f t="shared" si="340"/>
        <v>508</v>
      </c>
      <c r="D457" s="52" t="str">
        <f>IFERROR(VLOOKUP(C457,gachas!A:C,3),0)</f>
        <v>フィーバーフェス（3日目）</v>
      </c>
      <c r="E457" s="42" t="s">
        <v>2482</v>
      </c>
      <c r="F457" s="42" t="s">
        <v>2483</v>
      </c>
      <c r="G457" s="24">
        <f t="shared" si="338"/>
        <v>506</v>
      </c>
      <c r="H457" s="6">
        <f t="shared" si="314"/>
        <v>10884</v>
      </c>
    </row>
    <row r="458" spans="1:8" ht="21" customHeight="1" x14ac:dyDescent="0.15">
      <c r="A458" s="10" t="str">
        <f t="shared" ref="A458" si="341">B458&amp;C458</f>
        <v>509509</v>
      </c>
      <c r="B458" s="23">
        <f t="shared" ref="B458:C460" si="342">B457+1</f>
        <v>509</v>
      </c>
      <c r="C458" s="23">
        <f t="shared" si="342"/>
        <v>509</v>
      </c>
      <c r="D458" s="52" t="str">
        <f>IFERROR(VLOOKUP(C458,gachas!A:C,3),0)</f>
        <v>ニューフェイスガチャ（北欧）</v>
      </c>
      <c r="E458" s="42" t="s">
        <v>2501</v>
      </c>
      <c r="F458" s="42" t="s">
        <v>2500</v>
      </c>
      <c r="G458" s="24">
        <f>G457+1</f>
        <v>507</v>
      </c>
      <c r="H458" s="6">
        <f>H455-1</f>
        <v>10884</v>
      </c>
    </row>
    <row r="459" spans="1:8" ht="21" customHeight="1" x14ac:dyDescent="0.15">
      <c r="A459" s="10" t="str">
        <f t="shared" ref="A459" si="343">B459&amp;C459</f>
        <v>510510</v>
      </c>
      <c r="B459" s="23">
        <f t="shared" si="342"/>
        <v>510</v>
      </c>
      <c r="C459" s="23">
        <f t="shared" si="342"/>
        <v>510</v>
      </c>
      <c r="D459" s="52" t="str">
        <f>IFERROR(VLOOKUP(C459,gachas!A:C,3),0)</f>
        <v>カラーピックアップ（トルストイ、ハーメルン）</v>
      </c>
      <c r="E459" s="42" t="s">
        <v>2502</v>
      </c>
      <c r="F459" s="42" t="s">
        <v>2503</v>
      </c>
      <c r="G459" s="24">
        <f>G458+1</f>
        <v>508</v>
      </c>
      <c r="H459" s="6">
        <f>H456-1</f>
        <v>10884</v>
      </c>
    </row>
    <row r="460" spans="1:8" ht="21" customHeight="1" x14ac:dyDescent="0.15">
      <c r="A460" s="10" t="str">
        <f t="shared" ref="A460" si="344">B460&amp;C460</f>
        <v>511511</v>
      </c>
      <c r="B460" s="23">
        <f t="shared" si="342"/>
        <v>511</v>
      </c>
      <c r="C460" s="23">
        <f t="shared" si="342"/>
        <v>511</v>
      </c>
      <c r="D460" s="52" t="str">
        <f>IFERROR(VLOOKUP(C460,gachas!A:C,3),0)</f>
        <v>ランキング対抗（ルメートル）</v>
      </c>
      <c r="E460" s="42" t="s">
        <v>2505</v>
      </c>
      <c r="F460" s="42" t="s">
        <v>2503</v>
      </c>
      <c r="G460" s="24">
        <f>G459+1</f>
        <v>509</v>
      </c>
      <c r="H460" s="6">
        <f>H457-1</f>
        <v>10883</v>
      </c>
    </row>
    <row r="461" spans="1:8" ht="21" customHeight="1" x14ac:dyDescent="0.15">
      <c r="A461" s="10" t="str">
        <f t="shared" ref="A461:A469" si="345">B461&amp;C461</f>
        <v>512512</v>
      </c>
      <c r="B461" s="23">
        <v>512</v>
      </c>
      <c r="C461" s="23">
        <v>512</v>
      </c>
      <c r="D461" s="52" t="str">
        <f>IFERROR(VLOOKUP(C461,gachas!A:C,3),0)</f>
        <v>ミクガチャA</v>
      </c>
      <c r="E461" s="42" t="s">
        <v>2550</v>
      </c>
      <c r="F461" s="42" t="s">
        <v>2549</v>
      </c>
      <c r="G461" s="60">
        <v>511</v>
      </c>
      <c r="H461" s="6">
        <f>H452-1</f>
        <v>10885</v>
      </c>
    </row>
    <row r="462" spans="1:8" ht="21" customHeight="1" x14ac:dyDescent="0.15">
      <c r="A462" s="10" t="str">
        <f t="shared" si="345"/>
        <v>513513</v>
      </c>
      <c r="B462" s="23">
        <f t="shared" ref="B462" si="346">B461+1</f>
        <v>513</v>
      </c>
      <c r="C462" s="23">
        <f t="shared" ref="C462" si="347">C461+1</f>
        <v>513</v>
      </c>
      <c r="D462" s="52" t="str">
        <f>IFERROR(VLOOKUP(C462,gachas!A:C,3),0)</f>
        <v>ミクガチャB</v>
      </c>
      <c r="E462" s="42" t="s">
        <v>2599</v>
      </c>
      <c r="F462" s="42" t="s">
        <v>2549</v>
      </c>
      <c r="G462" s="60">
        <v>522</v>
      </c>
      <c r="H462" s="6">
        <f>H453-1</f>
        <v>10885</v>
      </c>
    </row>
    <row r="463" spans="1:8" ht="21" customHeight="1" x14ac:dyDescent="0.15">
      <c r="A463" s="10" t="str">
        <f>B463&amp;C463</f>
        <v>514514</v>
      </c>
      <c r="B463" s="23">
        <v>514</v>
      </c>
      <c r="C463" s="23">
        <v>514</v>
      </c>
      <c r="D463" s="52" t="str">
        <f>IFERROR(VLOOKUP(C463,gachas!A:C,3),0)</f>
        <v>レアガチャ（北欧in）</v>
      </c>
      <c r="E463" s="42" t="s">
        <v>2501</v>
      </c>
      <c r="F463" s="42" t="s">
        <v>2654</v>
      </c>
      <c r="G463" s="60">
        <v>200</v>
      </c>
      <c r="H463" s="6">
        <f>H461-1</f>
        <v>10884</v>
      </c>
    </row>
    <row r="464" spans="1:8" ht="21" customHeight="1" x14ac:dyDescent="0.15">
      <c r="A464" s="10" t="str">
        <f t="shared" ref="A464:A467" si="348">B464&amp;C464</f>
        <v>515515</v>
      </c>
      <c r="B464" s="23">
        <v>515</v>
      </c>
      <c r="C464" s="23">
        <v>515</v>
      </c>
      <c r="D464" s="52" t="str">
        <f>IFERROR(VLOOKUP(C464,gachas!A:C,3),0)</f>
        <v>超フェス&lt;ラプラス、ラグランジュ&gt;</v>
      </c>
      <c r="E464" s="42" t="s">
        <v>2556</v>
      </c>
      <c r="F464" s="42" t="s">
        <v>2557</v>
      </c>
      <c r="G464" s="24">
        <f>B464</f>
        <v>515</v>
      </c>
      <c r="H464" s="6">
        <f t="shared" ref="H464:H466" si="349">H462-1</f>
        <v>10884</v>
      </c>
    </row>
    <row r="465" spans="1:8" ht="21" customHeight="1" x14ac:dyDescent="0.15">
      <c r="A465" s="10" t="str">
        <f t="shared" si="348"/>
        <v>516516</v>
      </c>
      <c r="B465" s="23">
        <v>516</v>
      </c>
      <c r="C465" s="23">
        <v>516</v>
      </c>
      <c r="D465" s="52" t="str">
        <f>IFERROR(VLOOKUP(C465,gachas!A:C,3),0)</f>
        <v>超フェス&lt;ラプラス、オイラー&gt;</v>
      </c>
      <c r="E465" s="42" t="s">
        <v>2558</v>
      </c>
      <c r="F465" s="42" t="s">
        <v>2559</v>
      </c>
      <c r="G465" s="24">
        <f t="shared" ref="G465:G466" si="350">G464+1</f>
        <v>516</v>
      </c>
      <c r="H465" s="6">
        <f t="shared" si="349"/>
        <v>10883</v>
      </c>
    </row>
    <row r="466" spans="1:8" ht="21" customHeight="1" x14ac:dyDescent="0.15">
      <c r="A466" s="10" t="str">
        <f t="shared" si="348"/>
        <v>517517</v>
      </c>
      <c r="B466" s="23">
        <v>517</v>
      </c>
      <c r="C466" s="23">
        <v>517</v>
      </c>
      <c r="D466" s="52" t="str">
        <f>IFERROR(VLOOKUP(C466,gachas!A:C,3),0)</f>
        <v>超フェス&lt;ラプラス、ディラック&gt;</v>
      </c>
      <c r="E466" s="42" t="s">
        <v>2560</v>
      </c>
      <c r="F466" s="42" t="s">
        <v>2468</v>
      </c>
      <c r="G466" s="24">
        <f t="shared" si="350"/>
        <v>517</v>
      </c>
      <c r="H466" s="6">
        <f t="shared" si="349"/>
        <v>10883</v>
      </c>
    </row>
    <row r="467" spans="1:8" ht="21" customHeight="1" x14ac:dyDescent="0.15">
      <c r="A467" s="10" t="str">
        <f t="shared" si="348"/>
        <v>518518</v>
      </c>
      <c r="B467" s="23">
        <v>518</v>
      </c>
      <c r="C467" s="23">
        <v>518</v>
      </c>
      <c r="D467" s="52" t="str">
        <f>IFERROR(VLOOKUP(C467,gachas!A:C,3),0)</f>
        <v>ミクガチャC</v>
      </c>
      <c r="E467" s="42" t="s">
        <v>2544</v>
      </c>
      <c r="F467" s="42" t="s">
        <v>2549</v>
      </c>
      <c r="G467" s="60">
        <v>512</v>
      </c>
      <c r="H467" s="6">
        <f>H462-1</f>
        <v>10884</v>
      </c>
    </row>
    <row r="468" spans="1:8" ht="21" customHeight="1" x14ac:dyDescent="0.15">
      <c r="A468" s="10" t="str">
        <f t="shared" si="345"/>
        <v>519519</v>
      </c>
      <c r="B468" s="23">
        <v>519</v>
      </c>
      <c r="C468" s="23">
        <v>519</v>
      </c>
      <c r="D468" s="52" t="str">
        <f>IFERROR(VLOOKUP(C468,gachas!A:C,3),0)</f>
        <v>タワー攻略応援ガチャ</v>
      </c>
      <c r="E468" s="42" t="s">
        <v>2574</v>
      </c>
      <c r="F468" s="42" t="s">
        <v>2575</v>
      </c>
      <c r="G468" s="60">
        <v>509</v>
      </c>
      <c r="H468" s="6">
        <f>H454-1</f>
        <v>10884</v>
      </c>
    </row>
    <row r="469" spans="1:8" ht="21" customHeight="1" x14ac:dyDescent="0.15">
      <c r="A469" s="10" t="str">
        <f t="shared" si="345"/>
        <v>73117311</v>
      </c>
      <c r="B469" s="23">
        <v>7311</v>
      </c>
      <c r="C469" s="23">
        <v>7311</v>
      </c>
      <c r="D469" s="52" t="str">
        <f>IFERROR(VLOOKUP(C469,gachas!A:C,3),0)</f>
        <v>★6覚醒可能ユニット確定ガチャ</v>
      </c>
      <c r="E469" s="42" t="s">
        <v>2518</v>
      </c>
      <c r="F469" s="42" t="s">
        <v>2654</v>
      </c>
      <c r="G469" s="60">
        <v>507</v>
      </c>
      <c r="H469" s="6">
        <f>H462-1</f>
        <v>10884</v>
      </c>
    </row>
    <row r="470" spans="1:8" ht="21" customHeight="1" x14ac:dyDescent="0.15">
      <c r="A470" s="10" t="str">
        <f t="shared" ref="A470:A473" si="351">B470&amp;C470</f>
        <v>520520</v>
      </c>
      <c r="B470" s="23">
        <v>520</v>
      </c>
      <c r="C470" s="23">
        <v>520</v>
      </c>
      <c r="D470" s="52" t="str">
        <f>IFERROR(VLOOKUP(C470,gachas!A:C,3),0)</f>
        <v>確定ステップアップ</v>
      </c>
      <c r="E470" s="42" t="s">
        <v>2579</v>
      </c>
      <c r="F470" s="42" t="s">
        <v>2580</v>
      </c>
      <c r="G470" s="24">
        <v>520</v>
      </c>
      <c r="H470" s="6">
        <f t="shared" ref="H470:H488" si="352">H463-1</f>
        <v>10883</v>
      </c>
    </row>
    <row r="471" spans="1:8" ht="21" customHeight="1" x14ac:dyDescent="0.15">
      <c r="A471" s="10" t="str">
        <f t="shared" si="351"/>
        <v>521521</v>
      </c>
      <c r="B471" s="23">
        <v>521</v>
      </c>
      <c r="C471" s="23">
        <v>521</v>
      </c>
      <c r="D471" s="52" t="str">
        <f>IFERROR(VLOOKUP(C471,gachas!A:C,3),0)</f>
        <v>新クラファーコレクション</v>
      </c>
      <c r="E471" s="42" t="s">
        <v>2581</v>
      </c>
      <c r="F471" s="42" t="s">
        <v>2582</v>
      </c>
      <c r="G471" s="24">
        <f t="shared" ref="G471" si="353">G470+1</f>
        <v>521</v>
      </c>
      <c r="H471" s="6">
        <f t="shared" si="352"/>
        <v>10883</v>
      </c>
    </row>
    <row r="472" spans="1:8" ht="21" customHeight="1" x14ac:dyDescent="0.15">
      <c r="A472" s="10" t="str">
        <f t="shared" si="351"/>
        <v>522522</v>
      </c>
      <c r="B472" s="23">
        <v>522</v>
      </c>
      <c r="C472" s="23">
        <v>522</v>
      </c>
      <c r="D472" s="52" t="str">
        <f>IFERROR(VLOOKUP(C472,gachas!A:C,3),0)</f>
        <v>バレンタインガチャA&lt;トウカ、ヴァニレ&gt;</v>
      </c>
      <c r="E472" s="42" t="s">
        <v>2601</v>
      </c>
      <c r="F472" s="42" t="s">
        <v>2602</v>
      </c>
      <c r="G472" s="24">
        <v>525</v>
      </c>
      <c r="H472" s="6">
        <f t="shared" si="352"/>
        <v>10882</v>
      </c>
    </row>
    <row r="473" spans="1:8" ht="21" customHeight="1" x14ac:dyDescent="0.15">
      <c r="A473" s="10" t="str">
        <f t="shared" si="351"/>
        <v>523523</v>
      </c>
      <c r="B473" s="23">
        <v>523</v>
      </c>
      <c r="C473" s="23">
        <v>523</v>
      </c>
      <c r="D473" s="52" t="str">
        <f>IFERROR(VLOOKUP(C473,gachas!A:C,3),0)</f>
        <v>バレンタインガチャB&lt;フォンデュ、コルネ&gt;</v>
      </c>
      <c r="E473" s="42" t="s">
        <v>2613</v>
      </c>
      <c r="F473" s="42" t="s">
        <v>2602</v>
      </c>
      <c r="G473" s="24">
        <v>524</v>
      </c>
      <c r="H473" s="6">
        <f t="shared" si="352"/>
        <v>10882</v>
      </c>
    </row>
    <row r="474" spans="1:8" ht="21" customHeight="1" x14ac:dyDescent="0.15">
      <c r="A474" s="10" t="str">
        <f t="shared" ref="A474:A477" si="354">B474&amp;C474</f>
        <v>524524</v>
      </c>
      <c r="B474" s="23">
        <v>524</v>
      </c>
      <c r="C474" s="23">
        <v>524</v>
      </c>
      <c r="D474" s="52" t="str">
        <f>IFERROR(VLOOKUP(C474,gachas!A:C,3),0)</f>
        <v>フィーバーフェス（1日目）</v>
      </c>
      <c r="E474" s="42" t="s">
        <v>2614</v>
      </c>
      <c r="F474" s="42" t="s">
        <v>2617</v>
      </c>
      <c r="G474" s="24">
        <v>526</v>
      </c>
      <c r="H474" s="6">
        <f t="shared" si="352"/>
        <v>10883</v>
      </c>
    </row>
    <row r="475" spans="1:8" ht="21" customHeight="1" x14ac:dyDescent="0.15">
      <c r="A475" s="10" t="str">
        <f t="shared" si="354"/>
        <v>525525</v>
      </c>
      <c r="B475" s="23">
        <v>525</v>
      </c>
      <c r="C475" s="23">
        <v>525</v>
      </c>
      <c r="D475" s="52" t="str">
        <f>IFERROR(VLOOKUP(C475,gachas!A:C,3),0)</f>
        <v>フィーバーフェス（2日目）</v>
      </c>
      <c r="E475" s="42" t="s">
        <v>2615</v>
      </c>
      <c r="F475" s="42" t="s">
        <v>2618</v>
      </c>
      <c r="G475" s="24">
        <v>527</v>
      </c>
      <c r="H475" s="6">
        <f t="shared" si="352"/>
        <v>10883</v>
      </c>
    </row>
    <row r="476" spans="1:8" ht="21" customHeight="1" x14ac:dyDescent="0.15">
      <c r="A476" s="10" t="str">
        <f t="shared" si="354"/>
        <v>526526</v>
      </c>
      <c r="B476" s="23">
        <v>526</v>
      </c>
      <c r="C476" s="23">
        <v>526</v>
      </c>
      <c r="D476" s="52" t="str">
        <f>IFERROR(VLOOKUP(C476,gachas!A:C,3),0)</f>
        <v>フィーバーフェス（3日目）</v>
      </c>
      <c r="E476" s="42" t="s">
        <v>2616</v>
      </c>
      <c r="F476" s="42" t="s">
        <v>2619</v>
      </c>
      <c r="G476" s="24">
        <v>528</v>
      </c>
      <c r="H476" s="6">
        <f t="shared" si="352"/>
        <v>10883</v>
      </c>
    </row>
    <row r="477" spans="1:8" ht="21" customHeight="1" x14ac:dyDescent="0.15">
      <c r="A477" s="10" t="str">
        <f t="shared" si="354"/>
        <v>527527</v>
      </c>
      <c r="B477" s="23">
        <v>527</v>
      </c>
      <c r="C477" s="23">
        <v>527</v>
      </c>
      <c r="D477" s="52" t="str">
        <f>IFERROR(VLOOKUP(C477,gachas!A:C,3),0)</f>
        <v>アビリティピックアップ（プロテクトブレイク）</v>
      </c>
      <c r="E477" s="42" t="s">
        <v>2605</v>
      </c>
      <c r="F477" s="42" t="s">
        <v>2606</v>
      </c>
      <c r="G477" s="24">
        <v>523</v>
      </c>
      <c r="H477" s="6">
        <f t="shared" si="352"/>
        <v>10882</v>
      </c>
    </row>
    <row r="478" spans="1:8" ht="21" customHeight="1" x14ac:dyDescent="0.15">
      <c r="A478" s="10" t="str">
        <f t="shared" ref="A478" si="355">B478&amp;C478</f>
        <v>528528</v>
      </c>
      <c r="B478" s="23">
        <v>528</v>
      </c>
      <c r="C478" s="23">
        <v>528</v>
      </c>
      <c r="D478" s="52" t="str">
        <f>IFERROR(VLOOKUP(C478,gachas!A:C,3),0)</f>
        <v>ニューフェイスピックアップ</v>
      </c>
      <c r="E478" s="42" t="s">
        <v>2632</v>
      </c>
      <c r="F478" s="42" t="s">
        <v>2633</v>
      </c>
      <c r="G478" s="24">
        <v>529</v>
      </c>
      <c r="H478" s="6">
        <f t="shared" si="352"/>
        <v>10882</v>
      </c>
    </row>
    <row r="479" spans="1:8" ht="21" customHeight="1" x14ac:dyDescent="0.15">
      <c r="A479" s="10" t="str">
        <f t="shared" ref="A479:A481" si="356">B479&amp;C479</f>
        <v>529529</v>
      </c>
      <c r="B479" s="23">
        <v>529</v>
      </c>
      <c r="C479" s="23">
        <v>529</v>
      </c>
      <c r="D479" s="52" t="str">
        <f>IFERROR(VLOOKUP(C479,gachas!A:C,3),0)</f>
        <v>スペシャルサマーガチャ＋SideA</v>
      </c>
      <c r="E479" s="42" t="s">
        <v>2638</v>
      </c>
      <c r="F479" s="42" t="s">
        <v>2639</v>
      </c>
      <c r="G479" s="24">
        <v>531</v>
      </c>
      <c r="H479" s="6">
        <f t="shared" si="352"/>
        <v>10881</v>
      </c>
    </row>
    <row r="480" spans="1:8" ht="21" customHeight="1" x14ac:dyDescent="0.15">
      <c r="A480" s="10" t="str">
        <f t="shared" si="356"/>
        <v>530530</v>
      </c>
      <c r="B480" s="23">
        <v>530</v>
      </c>
      <c r="C480" s="23">
        <v>530</v>
      </c>
      <c r="D480" s="52" t="str">
        <f>IFERROR(VLOOKUP(C480,gachas!A:C,3),0)</f>
        <v>スペシャルサマーガチャ＋SideB</v>
      </c>
      <c r="E480" s="42" t="s">
        <v>2638</v>
      </c>
      <c r="F480" s="42" t="s">
        <v>2639</v>
      </c>
      <c r="G480" s="24">
        <v>530</v>
      </c>
      <c r="H480" s="6">
        <f t="shared" si="352"/>
        <v>10881</v>
      </c>
    </row>
    <row r="481" spans="1:8" ht="21" customHeight="1" x14ac:dyDescent="0.15">
      <c r="A481" s="10" t="str">
        <f t="shared" si="356"/>
        <v>531531</v>
      </c>
      <c r="B481" s="23">
        <v>531</v>
      </c>
      <c r="C481" s="23">
        <v>531</v>
      </c>
      <c r="D481" s="52" t="str">
        <f>IFERROR(VLOOKUP(C481,gachas!A:C,3),0)</f>
        <v>1日1回無料スペシャルサマーガチャ(22日)</v>
      </c>
      <c r="E481" s="42" t="s">
        <v>2638</v>
      </c>
      <c r="F481" s="42" t="s">
        <v>2685</v>
      </c>
      <c r="G481" s="24">
        <v>532</v>
      </c>
      <c r="H481" s="6">
        <f t="shared" si="352"/>
        <v>10882</v>
      </c>
    </row>
    <row r="482" spans="1:8" ht="21" customHeight="1" x14ac:dyDescent="0.15">
      <c r="A482" s="10" t="str">
        <f>B482&amp;C482</f>
        <v>532532</v>
      </c>
      <c r="B482" s="23">
        <v>532</v>
      </c>
      <c r="C482" s="23">
        <v>532</v>
      </c>
      <c r="D482" s="52" t="str">
        <f>IFERROR(VLOOKUP(C482,gachas!A:C,3),0)</f>
        <v>常設レアガチャ（日本神話in)</v>
      </c>
      <c r="E482" s="42" t="s">
        <v>2653</v>
      </c>
      <c r="F482" s="105" t="s">
        <v>3181</v>
      </c>
      <c r="G482" s="60">
        <v>200</v>
      </c>
      <c r="H482" s="6">
        <f t="shared" si="352"/>
        <v>10882</v>
      </c>
    </row>
    <row r="483" spans="1:8" ht="21" customHeight="1" x14ac:dyDescent="0.15">
      <c r="A483" s="10" t="str">
        <f t="shared" ref="A483:A488" si="357">B483&amp;C483</f>
        <v>533533</v>
      </c>
      <c r="B483" s="23">
        <v>533</v>
      </c>
      <c r="C483" s="23">
        <v>533</v>
      </c>
      <c r="D483" s="52" t="str">
        <f>IFERROR(VLOOKUP(C483,gachas!A:C,3),0)</f>
        <v>1日1回無料スペシャルサマーガチャ(23日)</v>
      </c>
      <c r="E483" s="42" t="s">
        <v>2686</v>
      </c>
      <c r="F483" s="42" t="s">
        <v>2687</v>
      </c>
      <c r="G483" s="24">
        <v>532</v>
      </c>
      <c r="H483" s="6">
        <f t="shared" si="352"/>
        <v>10882</v>
      </c>
    </row>
    <row r="484" spans="1:8" ht="21" customHeight="1" x14ac:dyDescent="0.15">
      <c r="A484" s="10" t="str">
        <f t="shared" si="357"/>
        <v>534534</v>
      </c>
      <c r="B484" s="23">
        <v>534</v>
      </c>
      <c r="C484" s="23">
        <v>534</v>
      </c>
      <c r="D484" s="52" t="str">
        <f>IFERROR(VLOOKUP(C484,gachas!A:C,3),0)</f>
        <v>1日1回無料スペシャルサマーガチャ(24日)</v>
      </c>
      <c r="E484" s="42" t="s">
        <v>2688</v>
      </c>
      <c r="F484" s="42" t="s">
        <v>2689</v>
      </c>
      <c r="G484" s="24">
        <v>532</v>
      </c>
      <c r="H484" s="6">
        <f t="shared" si="352"/>
        <v>10881</v>
      </c>
    </row>
    <row r="485" spans="1:8" ht="21" customHeight="1" x14ac:dyDescent="0.15">
      <c r="A485" s="10" t="str">
        <f t="shared" si="357"/>
        <v>535535</v>
      </c>
      <c r="B485" s="23">
        <v>535</v>
      </c>
      <c r="C485" s="23">
        <v>535</v>
      </c>
      <c r="D485" s="52" t="str">
        <f>IFERROR(VLOOKUP(C485,gachas!A:C,3),0)</f>
        <v>1日1回無料スペシャルサマーガチャ(25日)</v>
      </c>
      <c r="E485" s="42" t="s">
        <v>2690</v>
      </c>
      <c r="F485" s="42" t="s">
        <v>2694</v>
      </c>
      <c r="G485" s="24">
        <v>532</v>
      </c>
      <c r="H485" s="6">
        <f t="shared" si="352"/>
        <v>10881</v>
      </c>
    </row>
    <row r="486" spans="1:8" ht="21" customHeight="1" x14ac:dyDescent="0.15">
      <c r="A486" s="10" t="str">
        <f t="shared" si="357"/>
        <v>536536</v>
      </c>
      <c r="B486" s="23">
        <v>536</v>
      </c>
      <c r="C486" s="23">
        <v>536</v>
      </c>
      <c r="D486" s="52" t="str">
        <f>IFERROR(VLOOKUP(C486,gachas!A:C,3),0)</f>
        <v>1日1回無料スペシャルサマーガチャ(26日)</v>
      </c>
      <c r="E486" s="42" t="s">
        <v>2691</v>
      </c>
      <c r="F486" s="42" t="s">
        <v>2695</v>
      </c>
      <c r="G486" s="24">
        <v>532</v>
      </c>
      <c r="H486" s="6">
        <f t="shared" si="352"/>
        <v>10880</v>
      </c>
    </row>
    <row r="487" spans="1:8" ht="21" customHeight="1" x14ac:dyDescent="0.15">
      <c r="A487" s="10" t="str">
        <f t="shared" si="357"/>
        <v>537537</v>
      </c>
      <c r="B487" s="23">
        <v>537</v>
      </c>
      <c r="C487" s="23">
        <v>537</v>
      </c>
      <c r="D487" s="52" t="str">
        <f>IFERROR(VLOOKUP(C487,gachas!A:C,3),0)</f>
        <v>1日1回無料スペシャルサマーガチャ(27日)</v>
      </c>
      <c r="E487" s="42" t="s">
        <v>2692</v>
      </c>
      <c r="F487" s="42" t="s">
        <v>2696</v>
      </c>
      <c r="G487" s="24">
        <v>532</v>
      </c>
      <c r="H487" s="6">
        <f t="shared" si="352"/>
        <v>10880</v>
      </c>
    </row>
    <row r="488" spans="1:8" ht="21" customHeight="1" x14ac:dyDescent="0.15">
      <c r="A488" s="10" t="str">
        <f t="shared" si="357"/>
        <v>538538</v>
      </c>
      <c r="B488" s="23">
        <v>538</v>
      </c>
      <c r="C488" s="23">
        <v>538</v>
      </c>
      <c r="D488" s="52" t="str">
        <f>IFERROR(VLOOKUP(C488,gachas!A:C,3),0)</f>
        <v>1日1回無料スペシャルサマーガチャ(28日)</v>
      </c>
      <c r="E488" s="42" t="s">
        <v>2693</v>
      </c>
      <c r="F488" s="42" t="s">
        <v>2697</v>
      </c>
      <c r="G488" s="24">
        <v>532</v>
      </c>
      <c r="H488" s="6">
        <f t="shared" si="352"/>
        <v>10881</v>
      </c>
    </row>
    <row r="489" spans="1:8" ht="21" customHeight="1" x14ac:dyDescent="0.15">
      <c r="A489" s="10" t="str">
        <f>B489&amp;C489</f>
        <v>73127312</v>
      </c>
      <c r="B489" s="23">
        <v>7312</v>
      </c>
      <c r="C489" s="23">
        <v>7312</v>
      </c>
      <c r="D489" s="52" t="str">
        <f>IFERROR(VLOOKUP(C489,gachas!A:C,3),0)</f>
        <v>★6覚醒可能ユニット確定ガチャ</v>
      </c>
      <c r="E489" s="42" t="s">
        <v>2632</v>
      </c>
      <c r="F489" s="42" t="s">
        <v>3181</v>
      </c>
      <c r="G489" s="60">
        <v>507</v>
      </c>
      <c r="H489" s="6">
        <f>H476-1</f>
        <v>10882</v>
      </c>
    </row>
    <row r="490" spans="1:8" ht="21" customHeight="1" x14ac:dyDescent="0.15">
      <c r="A490" s="10" t="str">
        <f t="shared" ref="A490:A527" si="358">B490&amp;C490</f>
        <v>73137313</v>
      </c>
      <c r="B490" s="2">
        <v>7313</v>
      </c>
      <c r="C490" s="2">
        <v>7313</v>
      </c>
      <c r="D490" s="52" t="str">
        <f>IFERROR(VLOOKUP(C490,gachas!A:C,3),0)</f>
        <v>30日達成スペシャルチケットガチャ(赤)</v>
      </c>
      <c r="E490" s="42" t="s">
        <v>2718</v>
      </c>
      <c r="F490" s="42" t="s">
        <v>3139</v>
      </c>
      <c r="G490" s="60">
        <v>7013</v>
      </c>
      <c r="H490" s="6">
        <v>3</v>
      </c>
    </row>
    <row r="491" spans="1:8" ht="21" customHeight="1" x14ac:dyDescent="0.15">
      <c r="A491" s="10" t="str">
        <f t="shared" si="358"/>
        <v>73147314</v>
      </c>
      <c r="B491" s="2">
        <f t="shared" ref="B491:C491" si="359">B490+1</f>
        <v>7314</v>
      </c>
      <c r="C491" s="2">
        <f t="shared" si="359"/>
        <v>7314</v>
      </c>
      <c r="D491" s="52" t="str">
        <f>IFERROR(VLOOKUP(C491,gachas!A:C,3),0)</f>
        <v>30日達成スペシャルチケットガチャ(青)</v>
      </c>
      <c r="E491" s="42" t="s">
        <v>2718</v>
      </c>
      <c r="F491" s="42" t="s">
        <v>3139</v>
      </c>
      <c r="G491" s="60">
        <v>7012</v>
      </c>
      <c r="H491" s="6">
        <v>3</v>
      </c>
    </row>
    <row r="492" spans="1:8" ht="21" customHeight="1" x14ac:dyDescent="0.15">
      <c r="A492" s="10" t="str">
        <f t="shared" si="358"/>
        <v>73157315</v>
      </c>
      <c r="B492" s="2">
        <f t="shared" ref="B492:C492" si="360">B491+1</f>
        <v>7315</v>
      </c>
      <c r="C492" s="2">
        <f t="shared" si="360"/>
        <v>7315</v>
      </c>
      <c r="D492" s="52" t="str">
        <f>IFERROR(VLOOKUP(C492,gachas!A:C,3),0)</f>
        <v>30日達成スペシャルチケットガチャ(緑)</v>
      </c>
      <c r="E492" s="42" t="s">
        <v>2718</v>
      </c>
      <c r="F492" s="42" t="s">
        <v>3139</v>
      </c>
      <c r="G492" s="60">
        <v>7011</v>
      </c>
      <c r="H492" s="6">
        <v>3</v>
      </c>
    </row>
    <row r="493" spans="1:8" ht="21" customHeight="1" x14ac:dyDescent="0.15">
      <c r="A493" s="10" t="str">
        <f t="shared" si="358"/>
        <v>73167316</v>
      </c>
      <c r="B493" s="2">
        <f t="shared" ref="B493:C494" si="361">B492+1</f>
        <v>7316</v>
      </c>
      <c r="C493" s="2">
        <f t="shared" si="361"/>
        <v>7316</v>
      </c>
      <c r="D493" s="52" t="str">
        <f>IFERROR(VLOOKUP(C493,gachas!A:C,3),0)</f>
        <v>30日達成スペシャルチケットガチャ(黄)</v>
      </c>
      <c r="E493" s="42" t="s">
        <v>2718</v>
      </c>
      <c r="F493" s="42" t="s">
        <v>3139</v>
      </c>
      <c r="G493" s="60">
        <v>7010</v>
      </c>
      <c r="H493" s="6">
        <v>3</v>
      </c>
    </row>
    <row r="494" spans="1:8" ht="21" customHeight="1" x14ac:dyDescent="0.15">
      <c r="A494" s="10" t="str">
        <f t="shared" ref="A494:A495" si="362">B494&amp;C494</f>
        <v>73177317</v>
      </c>
      <c r="B494" s="2">
        <f t="shared" si="361"/>
        <v>7317</v>
      </c>
      <c r="C494" s="2">
        <f t="shared" si="361"/>
        <v>7317</v>
      </c>
      <c r="D494" s="52" t="str">
        <f>IFERROR(VLOOKUP(C494,gachas!A:C,3),0)</f>
        <v>ホワイトデーチケットガチャ</v>
      </c>
      <c r="E494" s="42" t="s">
        <v>2784</v>
      </c>
      <c r="F494" s="42" t="s">
        <v>2801</v>
      </c>
      <c r="G494" s="60">
        <v>199</v>
      </c>
      <c r="H494" s="6">
        <v>3</v>
      </c>
    </row>
    <row r="495" spans="1:8" ht="21" customHeight="1" x14ac:dyDescent="0.15">
      <c r="A495" s="10" t="str">
        <f t="shared" si="362"/>
        <v>73187318</v>
      </c>
      <c r="B495" s="2">
        <f>B494+1</f>
        <v>7318</v>
      </c>
      <c r="C495" s="2">
        <f>C494+1</f>
        <v>7318</v>
      </c>
      <c r="D495" s="52" t="str">
        <f>IFERROR(VLOOKUP(C495,gachas!A:C,3),0)</f>
        <v>ホワイトデーチケットガチャ10連</v>
      </c>
      <c r="E495" s="42" t="s">
        <v>2784</v>
      </c>
      <c r="F495" s="42" t="s">
        <v>2801</v>
      </c>
      <c r="G495" s="60">
        <v>198</v>
      </c>
      <c r="H495" s="6">
        <v>3</v>
      </c>
    </row>
    <row r="496" spans="1:8" ht="21" customHeight="1" x14ac:dyDescent="0.15">
      <c r="A496" s="10" t="str">
        <f t="shared" ref="A496:A497" si="363">B496&amp;C496</f>
        <v>73197319</v>
      </c>
      <c r="B496" s="2">
        <f t="shared" ref="B496:C496" si="364">B495+1</f>
        <v>7319</v>
      </c>
      <c r="C496" s="2">
        <f t="shared" si="364"/>
        <v>7319</v>
      </c>
      <c r="D496" s="52" t="str">
        <f>IFERROR(VLOOKUP(C496,gachas!A:C,3),0)</f>
        <v>にゃんこワクワクチケットガチャ</v>
      </c>
      <c r="E496" s="42" t="s">
        <v>2853</v>
      </c>
      <c r="F496" s="42" t="s">
        <v>2854</v>
      </c>
      <c r="G496" s="60">
        <v>201</v>
      </c>
      <c r="H496" s="6">
        <v>3</v>
      </c>
    </row>
    <row r="497" spans="1:8" ht="21" customHeight="1" x14ac:dyDescent="0.15">
      <c r="A497" s="10" t="str">
        <f t="shared" si="363"/>
        <v>73207320</v>
      </c>
      <c r="B497" s="2">
        <f t="shared" ref="B497:C499" si="365">B496+1</f>
        <v>7320</v>
      </c>
      <c r="C497" s="2">
        <f t="shared" si="365"/>
        <v>7320</v>
      </c>
      <c r="D497" s="52" t="str">
        <f>IFERROR(VLOOKUP(C497,gachas!A:C,3),0)</f>
        <v>にゃんこワクワクチケットガチャ10連</v>
      </c>
      <c r="E497" s="42" t="s">
        <v>2853</v>
      </c>
      <c r="F497" s="42" t="s">
        <v>2854</v>
      </c>
      <c r="G497" s="60">
        <v>200</v>
      </c>
      <c r="H497" s="6">
        <v>3</v>
      </c>
    </row>
    <row r="498" spans="1:8" ht="21" customHeight="1" x14ac:dyDescent="0.15">
      <c r="A498" s="10" t="str">
        <f t="shared" ref="A498:A499" si="366">B498&amp;C498</f>
        <v>73217321</v>
      </c>
      <c r="B498" s="2">
        <f t="shared" si="365"/>
        <v>7321</v>
      </c>
      <c r="C498" s="2">
        <f t="shared" si="365"/>
        <v>7321</v>
      </c>
      <c r="D498" s="52" t="str">
        <f>IFERROR(VLOOKUP(C498,gachas!A:C,3),0)</f>
        <v>桜の花びら交換所 1枚</v>
      </c>
      <c r="E498" s="42" t="s">
        <v>2937</v>
      </c>
      <c r="F498" s="42" t="s">
        <v>2945</v>
      </c>
      <c r="G498" s="60">
        <v>201</v>
      </c>
      <c r="H498" s="6">
        <v>3</v>
      </c>
    </row>
    <row r="499" spans="1:8" ht="21" customHeight="1" x14ac:dyDescent="0.15">
      <c r="A499" s="10" t="str">
        <f t="shared" si="366"/>
        <v>73227322</v>
      </c>
      <c r="B499" s="2">
        <f t="shared" si="365"/>
        <v>7322</v>
      </c>
      <c r="C499" s="2">
        <f t="shared" si="365"/>
        <v>7322</v>
      </c>
      <c r="D499" s="52" t="str">
        <f>IFERROR(VLOOKUP(C499,gachas!A:C,3),0)</f>
        <v>桜の花びら交換所 10枚</v>
      </c>
      <c r="E499" s="42" t="s">
        <v>2937</v>
      </c>
      <c r="F499" s="42" t="s">
        <v>2945</v>
      </c>
      <c r="G499" s="60">
        <v>200</v>
      </c>
      <c r="H499" s="6">
        <v>3</v>
      </c>
    </row>
    <row r="500" spans="1:8" ht="21" customHeight="1" x14ac:dyDescent="0.15">
      <c r="A500" s="10" t="str">
        <f t="shared" ref="A500:A502" si="367">B500&amp;C500</f>
        <v>73237323</v>
      </c>
      <c r="B500" s="2">
        <f t="shared" ref="B500:C500" si="368">B499+1</f>
        <v>7323</v>
      </c>
      <c r="C500" s="2">
        <f t="shared" si="368"/>
        <v>7323</v>
      </c>
      <c r="D500" s="52" t="str">
        <f>IFERROR(VLOOKUP(C500,gachas!A:C,3),0)</f>
        <v>ハッピーチケットピースガチャ_レベル1</v>
      </c>
      <c r="E500" s="42" t="s">
        <v>3138</v>
      </c>
      <c r="F500" s="42" t="s">
        <v>3139</v>
      </c>
      <c r="G500" s="60">
        <v>148</v>
      </c>
      <c r="H500" s="6">
        <v>3</v>
      </c>
    </row>
    <row r="501" spans="1:8" ht="21" customHeight="1" x14ac:dyDescent="0.15">
      <c r="A501" s="10" t="str">
        <f t="shared" si="367"/>
        <v>73247324</v>
      </c>
      <c r="B501" s="2">
        <f t="shared" ref="B501:C501" si="369">B500+1</f>
        <v>7324</v>
      </c>
      <c r="C501" s="2">
        <f t="shared" si="369"/>
        <v>7324</v>
      </c>
      <c r="D501" s="52" t="str">
        <f>IFERROR(VLOOKUP(C501,gachas!A:C,3),0)</f>
        <v>ハッピーチケットピースガチャ_レベル2</v>
      </c>
      <c r="E501" s="42" t="s">
        <v>3138</v>
      </c>
      <c r="F501" s="42" t="s">
        <v>3139</v>
      </c>
      <c r="G501" s="60">
        <v>149</v>
      </c>
      <c r="H501" s="6">
        <v>3</v>
      </c>
    </row>
    <row r="502" spans="1:8" ht="21" customHeight="1" x14ac:dyDescent="0.15">
      <c r="A502" s="10" t="str">
        <f t="shared" si="367"/>
        <v>73257325</v>
      </c>
      <c r="B502" s="2">
        <f t="shared" ref="B502:C502" si="370">B501+1</f>
        <v>7325</v>
      </c>
      <c r="C502" s="2">
        <f t="shared" si="370"/>
        <v>7325</v>
      </c>
      <c r="D502" s="52" t="str">
        <f>IFERROR(VLOOKUP(C502,gachas!A:C,3),0)</f>
        <v>ハッピーチケットピースガチャ_レベル3</v>
      </c>
      <c r="E502" s="42" t="s">
        <v>3138</v>
      </c>
      <c r="F502" s="42" t="s">
        <v>3139</v>
      </c>
      <c r="G502" s="60">
        <v>150</v>
      </c>
      <c r="H502" s="6">
        <v>3</v>
      </c>
    </row>
    <row r="503" spans="1:8" ht="21" customHeight="1" x14ac:dyDescent="0.15">
      <c r="A503" s="10" t="str">
        <f t="shared" ref="A503:A505" si="371">B503&amp;C503</f>
        <v>73267326</v>
      </c>
      <c r="B503" s="2">
        <f t="shared" ref="B503:C503" si="372">B502+1</f>
        <v>7326</v>
      </c>
      <c r="C503" s="2">
        <f t="shared" si="372"/>
        <v>7326</v>
      </c>
      <c r="D503" s="52" t="str">
        <f>IFERROR(VLOOKUP(C503,gachas!A:C,3),0)</f>
        <v>ハッピーチケットピースガチャ_レベル1（童話in）</v>
      </c>
      <c r="E503" s="42" t="s">
        <v>3143</v>
      </c>
      <c r="F503" s="105" t="s">
        <v>2717</v>
      </c>
      <c r="G503" s="60">
        <v>148</v>
      </c>
      <c r="H503" s="6">
        <v>3</v>
      </c>
    </row>
    <row r="504" spans="1:8" ht="21" customHeight="1" x14ac:dyDescent="0.15">
      <c r="A504" s="10" t="str">
        <f t="shared" si="371"/>
        <v>73277327</v>
      </c>
      <c r="B504" s="2">
        <f t="shared" ref="B504:C504" si="373">B503+1</f>
        <v>7327</v>
      </c>
      <c r="C504" s="2">
        <f t="shared" si="373"/>
        <v>7327</v>
      </c>
      <c r="D504" s="52" t="str">
        <f>IFERROR(VLOOKUP(C504,gachas!A:C,3),0)</f>
        <v>ハッピーチケットピースガチャ_レベル2（童話in）</v>
      </c>
      <c r="E504" s="42" t="s">
        <v>3143</v>
      </c>
      <c r="F504" s="105" t="s">
        <v>2717</v>
      </c>
      <c r="G504" s="60">
        <v>149</v>
      </c>
      <c r="H504" s="6">
        <v>3</v>
      </c>
    </row>
    <row r="505" spans="1:8" ht="21" customHeight="1" x14ac:dyDescent="0.15">
      <c r="A505" s="10" t="str">
        <f t="shared" si="371"/>
        <v>73287328</v>
      </c>
      <c r="B505" s="2">
        <f t="shared" ref="B505:C507" si="374">B504+1</f>
        <v>7328</v>
      </c>
      <c r="C505" s="2">
        <f t="shared" si="374"/>
        <v>7328</v>
      </c>
      <c r="D505" s="52" t="str">
        <f>IFERROR(VLOOKUP(C505,gachas!A:C,3),0)</f>
        <v>ハッピーチケットピースガチャ_レベル3（童話in）</v>
      </c>
      <c r="E505" s="42" t="s">
        <v>3143</v>
      </c>
      <c r="F505" s="105" t="s">
        <v>2717</v>
      </c>
      <c r="G505" s="60">
        <v>150</v>
      </c>
      <c r="H505" s="6">
        <v>3</v>
      </c>
    </row>
    <row r="506" spans="1:8" ht="21" customHeight="1" x14ac:dyDescent="0.15">
      <c r="A506" s="10" t="str">
        <f>B506&amp;C506</f>
        <v>73297329</v>
      </c>
      <c r="B506" s="2">
        <f t="shared" si="374"/>
        <v>7329</v>
      </c>
      <c r="C506" s="2">
        <f t="shared" si="374"/>
        <v>7329</v>
      </c>
      <c r="D506" s="52" t="str">
        <f>IFERROR(VLOOKUP(C506,gachas!A:C,3),0)</f>
        <v>★6覚醒可能ユニット確定ガチャ（童話in）</v>
      </c>
      <c r="E506" s="42" t="s">
        <v>3180</v>
      </c>
      <c r="F506" s="105" t="s">
        <v>1131</v>
      </c>
      <c r="G506" s="60">
        <v>507</v>
      </c>
      <c r="H506" s="6">
        <f>H493-1</f>
        <v>2</v>
      </c>
    </row>
    <row r="507" spans="1:8" ht="21" customHeight="1" x14ac:dyDescent="0.15">
      <c r="A507" s="10" t="str">
        <f t="shared" ref="A507:A510" si="375">B507&amp;C507</f>
        <v>73307330</v>
      </c>
      <c r="B507" s="2">
        <f t="shared" si="374"/>
        <v>7330</v>
      </c>
      <c r="C507" s="2">
        <f t="shared" si="374"/>
        <v>7330</v>
      </c>
      <c r="D507" s="52" t="str">
        <f>IFERROR(VLOOKUP(C507,gachas!A:C,3),0)</f>
        <v>30日達成スペシャルチケットガチャ(赤)（童話in）</v>
      </c>
      <c r="E507" s="42" t="s">
        <v>3180</v>
      </c>
      <c r="F507" s="105" t="s">
        <v>2717</v>
      </c>
      <c r="G507" s="60">
        <v>7013</v>
      </c>
      <c r="H507" s="6">
        <v>3</v>
      </c>
    </row>
    <row r="508" spans="1:8" ht="21" customHeight="1" x14ac:dyDescent="0.15">
      <c r="A508" s="10" t="str">
        <f t="shared" si="375"/>
        <v>73317331</v>
      </c>
      <c r="B508" s="2">
        <f t="shared" ref="B508:C508" si="376">B507+1</f>
        <v>7331</v>
      </c>
      <c r="C508" s="2">
        <f t="shared" si="376"/>
        <v>7331</v>
      </c>
      <c r="D508" s="52" t="str">
        <f>IFERROR(VLOOKUP(C508,gachas!A:C,3),0)</f>
        <v>30日達成スペシャルチケットガチャ(青)（童話in）</v>
      </c>
      <c r="E508" s="42" t="s">
        <v>3180</v>
      </c>
      <c r="F508" s="105" t="s">
        <v>2717</v>
      </c>
      <c r="G508" s="60">
        <v>7012</v>
      </c>
      <c r="H508" s="6">
        <v>3</v>
      </c>
    </row>
    <row r="509" spans="1:8" ht="21" customHeight="1" x14ac:dyDescent="0.15">
      <c r="A509" s="10" t="str">
        <f t="shared" si="375"/>
        <v>73327332</v>
      </c>
      <c r="B509" s="2">
        <f t="shared" ref="B509:C509" si="377">B508+1</f>
        <v>7332</v>
      </c>
      <c r="C509" s="2">
        <f t="shared" si="377"/>
        <v>7332</v>
      </c>
      <c r="D509" s="52" t="str">
        <f>IFERROR(VLOOKUP(C509,gachas!A:C,3),0)</f>
        <v>30日達成スペシャルチケットガチャ(緑)（童話in）</v>
      </c>
      <c r="E509" s="42" t="s">
        <v>3180</v>
      </c>
      <c r="F509" s="105" t="s">
        <v>2717</v>
      </c>
      <c r="G509" s="60">
        <v>7011</v>
      </c>
      <c r="H509" s="6">
        <v>3</v>
      </c>
    </row>
    <row r="510" spans="1:8" ht="21" customHeight="1" x14ac:dyDescent="0.15">
      <c r="A510" s="10" t="str">
        <f t="shared" si="375"/>
        <v>73337333</v>
      </c>
      <c r="B510" s="2">
        <f t="shared" ref="B510:C510" si="378">B509+1</f>
        <v>7333</v>
      </c>
      <c r="C510" s="2">
        <f t="shared" si="378"/>
        <v>7333</v>
      </c>
      <c r="D510" s="52" t="str">
        <f>IFERROR(VLOOKUP(C510,gachas!A:C,3),0)</f>
        <v>30日達成スペシャルチケットガチャ(黄)（童話in）</v>
      </c>
      <c r="E510" s="42" t="s">
        <v>3180</v>
      </c>
      <c r="F510" s="105" t="s">
        <v>2717</v>
      </c>
      <c r="G510" s="60">
        <v>7010</v>
      </c>
      <c r="H510" s="6">
        <v>3</v>
      </c>
    </row>
    <row r="511" spans="1:8" ht="21" customHeight="1" x14ac:dyDescent="0.15">
      <c r="A511" s="10" t="str">
        <f t="shared" ref="A511:A513" si="379">B511&amp;C511</f>
        <v>73347334</v>
      </c>
      <c r="B511" s="2">
        <f t="shared" ref="B511:C511" si="380">B510+1</f>
        <v>7334</v>
      </c>
      <c r="C511" s="2">
        <f t="shared" si="380"/>
        <v>7334</v>
      </c>
      <c r="D511" s="52" t="str">
        <f>IFERROR(VLOOKUP(C511,gachas!A:C,3),0)</f>
        <v>ハガレンコラボチケットガチャ（エド）</v>
      </c>
      <c r="E511" s="42" t="s">
        <v>3264</v>
      </c>
      <c r="F511" s="42" t="s">
        <v>3286</v>
      </c>
      <c r="G511" s="60">
        <v>7336</v>
      </c>
      <c r="H511" s="6">
        <v>3</v>
      </c>
    </row>
    <row r="512" spans="1:8" ht="21" customHeight="1" x14ac:dyDescent="0.15">
      <c r="A512" s="10" t="str">
        <f t="shared" si="379"/>
        <v>73357335</v>
      </c>
      <c r="B512" s="2">
        <f t="shared" ref="B512:C512" si="381">B511+1</f>
        <v>7335</v>
      </c>
      <c r="C512" s="2">
        <f t="shared" si="381"/>
        <v>7335</v>
      </c>
      <c r="D512" s="52" t="str">
        <f>IFERROR(VLOOKUP(C512,gachas!A:C,3),0)</f>
        <v>ハガレンコラボチケットガチャ（アル）</v>
      </c>
      <c r="E512" s="42" t="s">
        <v>3264</v>
      </c>
      <c r="F512" s="42" t="s">
        <v>3286</v>
      </c>
      <c r="G512" s="60">
        <v>7335</v>
      </c>
      <c r="H512" s="6">
        <v>3</v>
      </c>
    </row>
    <row r="513" spans="1:8" ht="21" customHeight="1" x14ac:dyDescent="0.15">
      <c r="A513" s="10" t="str">
        <f t="shared" si="379"/>
        <v>73367336</v>
      </c>
      <c r="B513" s="2">
        <f t="shared" ref="B513:C513" si="382">B512+1</f>
        <v>7336</v>
      </c>
      <c r="C513" s="2">
        <f t="shared" si="382"/>
        <v>7336</v>
      </c>
      <c r="D513" s="52" t="str">
        <f>IFERROR(VLOOKUP(C513,gachas!A:C,3),0)</f>
        <v>ハガレンコラボチケットガチャ（ロイ）</v>
      </c>
      <c r="E513" s="42" t="s">
        <v>3264</v>
      </c>
      <c r="F513" s="42" t="s">
        <v>3286</v>
      </c>
      <c r="G513" s="60">
        <v>7334</v>
      </c>
      <c r="H513" s="6">
        <v>3</v>
      </c>
    </row>
    <row r="514" spans="1:8" ht="21" customHeight="1" x14ac:dyDescent="0.15">
      <c r="A514" s="10" t="str">
        <f t="shared" ref="A514:A517" si="383">B514&amp;C514</f>
        <v>73377337</v>
      </c>
      <c r="B514" s="2">
        <f t="shared" ref="B514:C514" si="384">B513+1</f>
        <v>7337</v>
      </c>
      <c r="C514" s="2">
        <f t="shared" si="384"/>
        <v>7337</v>
      </c>
      <c r="D514" s="52" t="str">
        <f>IFERROR(VLOOKUP(C514,gachas!A:C,3),0)</f>
        <v>800万DL突破記念_無料チケットガチャ（レベル1）</v>
      </c>
      <c r="E514" s="42" t="s">
        <v>3311</v>
      </c>
      <c r="F514" s="42" t="s">
        <v>3343</v>
      </c>
      <c r="G514" s="152">
        <f>B514</f>
        <v>7337</v>
      </c>
      <c r="H514" s="6">
        <v>3</v>
      </c>
    </row>
    <row r="515" spans="1:8" ht="21" customHeight="1" x14ac:dyDescent="0.15">
      <c r="A515" s="10" t="str">
        <f t="shared" si="383"/>
        <v>73387338</v>
      </c>
      <c r="B515" s="2">
        <f t="shared" ref="B515:C515" si="385">B514+1</f>
        <v>7338</v>
      </c>
      <c r="C515" s="2">
        <f t="shared" si="385"/>
        <v>7338</v>
      </c>
      <c r="D515" s="52" t="str">
        <f>IFERROR(VLOOKUP(C515,gachas!A:C,3),0)</f>
        <v>800万DL突破記念_無料チケットガチャ（レベル2）</v>
      </c>
      <c r="E515" s="42" t="s">
        <v>3311</v>
      </c>
      <c r="F515" s="42" t="s">
        <v>3343</v>
      </c>
      <c r="G515" s="152">
        <f>B515</f>
        <v>7338</v>
      </c>
      <c r="H515" s="6">
        <v>3</v>
      </c>
    </row>
    <row r="516" spans="1:8" ht="21" customHeight="1" x14ac:dyDescent="0.15">
      <c r="A516" s="10" t="str">
        <f t="shared" si="383"/>
        <v>73397339</v>
      </c>
      <c r="B516" s="2">
        <f t="shared" ref="B516:C516" si="386">B515+1</f>
        <v>7339</v>
      </c>
      <c r="C516" s="2">
        <f t="shared" si="386"/>
        <v>7339</v>
      </c>
      <c r="D516" s="52" t="str">
        <f>IFERROR(VLOOKUP(C516,gachas!A:C,3),0)</f>
        <v>800万DL突破記念_無料チケットガチャ（レベル3）</v>
      </c>
      <c r="E516" s="42" t="s">
        <v>3311</v>
      </c>
      <c r="F516" s="42" t="s">
        <v>3343</v>
      </c>
      <c r="G516" s="152">
        <f>B516</f>
        <v>7339</v>
      </c>
      <c r="H516" s="6">
        <v>3</v>
      </c>
    </row>
    <row r="517" spans="1:8" ht="21" customHeight="1" x14ac:dyDescent="0.15">
      <c r="A517" s="10" t="str">
        <f t="shared" si="383"/>
        <v>73407340</v>
      </c>
      <c r="B517" s="2">
        <f t="shared" ref="B517:C517" si="387">B516+1</f>
        <v>7340</v>
      </c>
      <c r="C517" s="2">
        <f t="shared" si="387"/>
        <v>7340</v>
      </c>
      <c r="D517" s="52" t="str">
        <f>IFERROR(VLOOKUP(C517,gachas!A:C,3),0)</f>
        <v>800万DL突破記念_無料チケットガチャ（レベル4）</v>
      </c>
      <c r="E517" s="42" t="s">
        <v>3311</v>
      </c>
      <c r="F517" s="42" t="s">
        <v>3343</v>
      </c>
      <c r="G517" s="152">
        <f>B517</f>
        <v>7340</v>
      </c>
      <c r="H517" s="6">
        <v>3</v>
      </c>
    </row>
    <row r="518" spans="1:8" ht="21" customHeight="1" x14ac:dyDescent="0.15">
      <c r="A518" s="10" t="str">
        <f t="shared" ref="A518:A519" si="388">B518&amp;C518</f>
        <v>73417341</v>
      </c>
      <c r="B518" s="2">
        <f t="shared" ref="B518:C518" si="389">B517+1</f>
        <v>7341</v>
      </c>
      <c r="C518" s="2">
        <f t="shared" si="389"/>
        <v>7341</v>
      </c>
      <c r="D518" s="52" t="str">
        <f>IFERROR(VLOOKUP(C518,gachas!A:C,3),0)</f>
        <v>ジューンブライドチケットガチャSideA</v>
      </c>
      <c r="E518" s="42" t="s">
        <v>3398</v>
      </c>
      <c r="F518" s="42" t="s">
        <v>3406</v>
      </c>
      <c r="G518" s="154">
        <v>7342</v>
      </c>
      <c r="H518" s="6">
        <v>3</v>
      </c>
    </row>
    <row r="519" spans="1:8" ht="21" customHeight="1" x14ac:dyDescent="0.15">
      <c r="A519" s="10" t="str">
        <f t="shared" si="388"/>
        <v>73427342</v>
      </c>
      <c r="B519" s="2">
        <f t="shared" ref="B519:C519" si="390">B518+1</f>
        <v>7342</v>
      </c>
      <c r="C519" s="2">
        <f t="shared" si="390"/>
        <v>7342</v>
      </c>
      <c r="D519" s="52" t="str">
        <f>IFERROR(VLOOKUP(C519,gachas!A:C,3),0)</f>
        <v>ジューンブライドチケットガチャSideB</v>
      </c>
      <c r="E519" s="42" t="s">
        <v>3398</v>
      </c>
      <c r="F519" s="42" t="s">
        <v>3406</v>
      </c>
      <c r="G519" s="154">
        <v>7341</v>
      </c>
      <c r="H519" s="6">
        <v>3</v>
      </c>
    </row>
    <row r="520" spans="1:8" ht="22" customHeight="1" x14ac:dyDescent="0.15">
      <c r="A520" s="10" t="str">
        <f t="shared" ref="A520:A521" si="391">B520&amp;C520</f>
        <v>73437343</v>
      </c>
      <c r="B520" s="2">
        <f t="shared" ref="B520:C520" si="392">B519+1</f>
        <v>7343</v>
      </c>
      <c r="C520" s="2">
        <f t="shared" si="392"/>
        <v>7343</v>
      </c>
      <c r="D520" s="52" t="str">
        <f>IFERROR(VLOOKUP(C520,gachas!A:C,3),0)</f>
        <v>ジューンブライド_レッドブーケガチャ</v>
      </c>
      <c r="E520" s="105" t="s">
        <v>2717</v>
      </c>
      <c r="F520" s="105" t="s">
        <v>2717</v>
      </c>
      <c r="G520" s="154">
        <v>203</v>
      </c>
      <c r="H520" s="6">
        <v>3</v>
      </c>
    </row>
    <row r="521" spans="1:8" ht="21" customHeight="1" x14ac:dyDescent="0.15">
      <c r="A521" s="10" t="str">
        <f t="shared" si="391"/>
        <v>73447344</v>
      </c>
      <c r="B521" s="2">
        <f t="shared" ref="B521:C521" si="393">B520+1</f>
        <v>7344</v>
      </c>
      <c r="C521" s="2">
        <f t="shared" si="393"/>
        <v>7344</v>
      </c>
      <c r="D521" s="52" t="str">
        <f>IFERROR(VLOOKUP(C521,gachas!A:C,3),0)</f>
        <v>ジューンブライド_レッドブーケガチャ10連</v>
      </c>
      <c r="E521" s="42" t="s">
        <v>3398</v>
      </c>
      <c r="F521" s="42" t="s">
        <v>3406</v>
      </c>
      <c r="G521" s="154">
        <v>202</v>
      </c>
      <c r="H521" s="6">
        <v>3</v>
      </c>
    </row>
    <row r="522" spans="1:8" ht="21" customHeight="1" x14ac:dyDescent="0.15">
      <c r="A522" s="10" t="str">
        <f t="shared" ref="A522:A523" si="394">B522&amp;C522</f>
        <v>73457345</v>
      </c>
      <c r="B522" s="2">
        <f t="shared" ref="B522:C522" si="395">B521+1</f>
        <v>7345</v>
      </c>
      <c r="C522" s="2">
        <f t="shared" si="395"/>
        <v>7345</v>
      </c>
      <c r="D522" s="52" t="str">
        <f>IFERROR(VLOOKUP(C522,gachas!A:C,3),0)</f>
        <v>ジューンブライド_グリーンブーケガチャ</v>
      </c>
      <c r="E522" s="105" t="s">
        <v>2717</v>
      </c>
      <c r="F522" s="105" t="s">
        <v>2717</v>
      </c>
      <c r="G522" s="154">
        <v>201</v>
      </c>
      <c r="H522" s="6">
        <v>3</v>
      </c>
    </row>
    <row r="523" spans="1:8" ht="21" customHeight="1" x14ac:dyDescent="0.15">
      <c r="A523" s="10" t="str">
        <f t="shared" si="394"/>
        <v>73467346</v>
      </c>
      <c r="B523" s="2">
        <f t="shared" ref="B523:C523" si="396">B522+1</f>
        <v>7346</v>
      </c>
      <c r="C523" s="2">
        <f t="shared" si="396"/>
        <v>7346</v>
      </c>
      <c r="D523" s="52" t="str">
        <f>IFERROR(VLOOKUP(C523,gachas!A:C,3),0)</f>
        <v>ジューンブライド_グリーンブーケガチャ10連</v>
      </c>
      <c r="E523" s="42" t="s">
        <v>3398</v>
      </c>
      <c r="F523" s="42" t="s">
        <v>3406</v>
      </c>
      <c r="G523" s="154">
        <v>200</v>
      </c>
      <c r="H523" s="6">
        <v>3</v>
      </c>
    </row>
    <row r="524" spans="1:8" ht="21" customHeight="1" x14ac:dyDescent="0.15">
      <c r="A524" s="10" t="str">
        <f t="shared" si="358"/>
        <v>539539</v>
      </c>
      <c r="B524" s="23">
        <v>539</v>
      </c>
      <c r="C524" s="23">
        <v>539</v>
      </c>
      <c r="D524" s="52" t="str">
        <f>IFERROR(VLOOKUP(C524,gachas!A:C,3),0)</f>
        <v>超フェス&lt;パウリ、ベルヌーイ&gt;</v>
      </c>
      <c r="E524" s="42" t="s">
        <v>2728</v>
      </c>
      <c r="F524" s="42" t="s">
        <v>2639</v>
      </c>
      <c r="G524" s="24">
        <f>B524</f>
        <v>539</v>
      </c>
      <c r="H524" s="6">
        <f>H492-1</f>
        <v>2</v>
      </c>
    </row>
    <row r="525" spans="1:8" ht="21" customHeight="1" x14ac:dyDescent="0.15">
      <c r="A525" s="10" t="str">
        <f t="shared" si="358"/>
        <v>540540</v>
      </c>
      <c r="B525" s="23">
        <v>540</v>
      </c>
      <c r="C525" s="23">
        <v>540</v>
      </c>
      <c r="D525" s="52" t="str">
        <f>IFERROR(VLOOKUP(C525,gachas!A:C,3),0)</f>
        <v>超フェス&lt;パウリ、セキ&gt;</v>
      </c>
      <c r="E525" s="42" t="s">
        <v>2729</v>
      </c>
      <c r="F525" s="42" t="s">
        <v>2730</v>
      </c>
      <c r="G525" s="24">
        <f t="shared" ref="G525:G527" si="397">G524+1</f>
        <v>540</v>
      </c>
      <c r="H525" s="6">
        <f>H493-1</f>
        <v>2</v>
      </c>
    </row>
    <row r="526" spans="1:8" ht="21" customHeight="1" x14ac:dyDescent="0.15">
      <c r="A526" s="10" t="str">
        <f t="shared" si="358"/>
        <v>541541</v>
      </c>
      <c r="B526" s="23">
        <v>541</v>
      </c>
      <c r="C526" s="23">
        <v>541</v>
      </c>
      <c r="D526" s="52" t="str">
        <f>IFERROR(VLOOKUP(C526,gachas!A:C,3),0)</f>
        <v>超フェス&lt;パウリ、ファラデー&gt;</v>
      </c>
      <c r="E526" s="42" t="s">
        <v>2731</v>
      </c>
      <c r="F526" s="42" t="s">
        <v>2732</v>
      </c>
      <c r="G526" s="24">
        <f t="shared" si="397"/>
        <v>541</v>
      </c>
      <c r="H526" s="6">
        <f t="shared" ref="H526" si="398">H524-1</f>
        <v>1</v>
      </c>
    </row>
    <row r="527" spans="1:8" ht="21" customHeight="1" x14ac:dyDescent="0.15">
      <c r="A527" s="10" t="str">
        <f t="shared" si="358"/>
        <v>542542</v>
      </c>
      <c r="B527" s="23">
        <f t="shared" ref="B527:C530" si="399">B526+1</f>
        <v>542</v>
      </c>
      <c r="C527" s="23">
        <f t="shared" si="399"/>
        <v>542</v>
      </c>
      <c r="D527" s="52" t="str">
        <f>IFERROR(VLOOKUP(C527,gachas!A:C,3),0)</f>
        <v>ランキング対抗ガチャ&lt;ド・モルガン&gt;</v>
      </c>
      <c r="E527" s="42" t="s">
        <v>2762</v>
      </c>
      <c r="F527" s="42" t="s">
        <v>2763</v>
      </c>
      <c r="G527" s="24">
        <f t="shared" si="397"/>
        <v>542</v>
      </c>
      <c r="H527" s="6">
        <f t="shared" ref="H527:H530" si="400">H524-1</f>
        <v>1</v>
      </c>
    </row>
    <row r="528" spans="1:8" ht="21" customHeight="1" x14ac:dyDescent="0.15">
      <c r="A528" s="10" t="str">
        <f t="shared" ref="A528:A530" si="401">B528&amp;C528</f>
        <v>543543</v>
      </c>
      <c r="B528" s="23">
        <f t="shared" si="399"/>
        <v>543</v>
      </c>
      <c r="C528" s="23">
        <f t="shared" si="399"/>
        <v>543</v>
      </c>
      <c r="D528" s="52" t="str">
        <f>IFERROR(VLOOKUP(C528,gachas!A:C,3),0)</f>
        <v>1日1回無料ホワイトデーガチャ</v>
      </c>
      <c r="E528" s="42" t="s">
        <v>2784</v>
      </c>
      <c r="F528" s="42" t="s">
        <v>2790</v>
      </c>
      <c r="G528" s="60">
        <v>547</v>
      </c>
      <c r="H528" s="6">
        <f t="shared" si="400"/>
        <v>1</v>
      </c>
    </row>
    <row r="529" spans="1:8" ht="21" customHeight="1" x14ac:dyDescent="0.15">
      <c r="A529" s="10" t="str">
        <f t="shared" si="401"/>
        <v>544544</v>
      </c>
      <c r="B529" s="23">
        <f t="shared" si="399"/>
        <v>544</v>
      </c>
      <c r="C529" s="23">
        <f t="shared" si="399"/>
        <v>544</v>
      </c>
      <c r="D529" s="52" t="str">
        <f>IFERROR(VLOOKUP(C529,gachas!A:C,3),0)</f>
        <v>ホワイトデーガチャ</v>
      </c>
      <c r="E529" s="42" t="s">
        <v>2784</v>
      </c>
      <c r="F529" s="42" t="s">
        <v>2790</v>
      </c>
      <c r="G529" s="60">
        <v>545</v>
      </c>
      <c r="H529" s="6">
        <f t="shared" si="400"/>
        <v>0</v>
      </c>
    </row>
    <row r="530" spans="1:8" ht="21" customHeight="1" x14ac:dyDescent="0.15">
      <c r="A530" s="10" t="str">
        <f t="shared" si="401"/>
        <v>545545</v>
      </c>
      <c r="B530" s="23">
        <f t="shared" si="399"/>
        <v>545</v>
      </c>
      <c r="C530" s="23">
        <f t="shared" si="399"/>
        <v>545</v>
      </c>
      <c r="D530" s="52" t="str">
        <f>IFERROR(VLOOKUP(C530,gachas!A:C,3),0)</f>
        <v>バグUPセレクション</v>
      </c>
      <c r="E530" s="42" t="s">
        <v>2785</v>
      </c>
      <c r="F530" s="42" t="s">
        <v>2791</v>
      </c>
      <c r="G530" s="60">
        <v>543</v>
      </c>
      <c r="H530" s="6">
        <f t="shared" si="400"/>
        <v>0</v>
      </c>
    </row>
    <row r="531" spans="1:8" ht="21" customHeight="1" x14ac:dyDescent="0.15">
      <c r="A531" s="10" t="str">
        <f t="shared" ref="A531:A535" si="402">B531&amp;C531</f>
        <v>546546</v>
      </c>
      <c r="B531" s="23">
        <f t="shared" ref="B531:C531" si="403">B530+1</f>
        <v>546</v>
      </c>
      <c r="C531" s="23">
        <f t="shared" si="403"/>
        <v>546</v>
      </c>
      <c r="D531" s="52" t="str">
        <f>IFERROR(VLOOKUP(C531,gachas!A:C,3),0)</f>
        <v>アビリティピックアップ（お邪魔ブレイク）</v>
      </c>
      <c r="E531" s="42" t="s">
        <v>2807</v>
      </c>
      <c r="F531" s="42" t="s">
        <v>2808</v>
      </c>
      <c r="G531" s="60">
        <v>544</v>
      </c>
      <c r="H531" s="6">
        <v>3</v>
      </c>
    </row>
    <row r="532" spans="1:8" ht="21" customHeight="1" x14ac:dyDescent="0.15">
      <c r="A532" s="10" t="str">
        <f t="shared" si="402"/>
        <v>547547</v>
      </c>
      <c r="B532" s="23">
        <f t="shared" ref="B532:C532" si="404">B531+1</f>
        <v>547</v>
      </c>
      <c r="C532" s="23">
        <f t="shared" si="404"/>
        <v>547</v>
      </c>
      <c r="D532" s="52" t="str">
        <f>IFERROR(VLOOKUP(C532,gachas!A:C,3),0)</f>
        <v>ホワイトデー記念ガチャ男性SP</v>
      </c>
      <c r="E532" s="42" t="s">
        <v>2809</v>
      </c>
      <c r="F532" s="42" t="s">
        <v>2790</v>
      </c>
      <c r="G532" s="60">
        <v>546</v>
      </c>
      <c r="H532" s="6">
        <v>3</v>
      </c>
    </row>
    <row r="533" spans="1:8" ht="21" customHeight="1" x14ac:dyDescent="0.15">
      <c r="A533" s="10" t="str">
        <f t="shared" si="402"/>
        <v>548548</v>
      </c>
      <c r="B533" s="23">
        <f t="shared" ref="B533:C533" si="405">B532+1</f>
        <v>548</v>
      </c>
      <c r="C533" s="23">
        <f t="shared" si="405"/>
        <v>548</v>
      </c>
      <c r="D533" s="52" t="str">
        <f>IFERROR(VLOOKUP(C533,gachas!A:C,3),0)</f>
        <v>フィーバーフェス（1日目）</v>
      </c>
      <c r="E533" s="42" t="s">
        <v>2810</v>
      </c>
      <c r="F533" s="42" t="s">
        <v>2813</v>
      </c>
      <c r="G533" s="60">
        <v>548</v>
      </c>
      <c r="H533" s="6">
        <v>3</v>
      </c>
    </row>
    <row r="534" spans="1:8" ht="21" customHeight="1" x14ac:dyDescent="0.15">
      <c r="A534" s="10" t="str">
        <f t="shared" si="402"/>
        <v>549549</v>
      </c>
      <c r="B534" s="23">
        <f t="shared" ref="B534:C534" si="406">B533+1</f>
        <v>549</v>
      </c>
      <c r="C534" s="23">
        <f t="shared" si="406"/>
        <v>549</v>
      </c>
      <c r="D534" s="52" t="str">
        <f>IFERROR(VLOOKUP(C534,gachas!A:C,3),0)</f>
        <v>フィーバーフェス（2日目）</v>
      </c>
      <c r="E534" s="42" t="s">
        <v>2811</v>
      </c>
      <c r="F534" s="42" t="s">
        <v>2814</v>
      </c>
      <c r="G534" s="60">
        <v>549</v>
      </c>
      <c r="H534" s="6">
        <v>3</v>
      </c>
    </row>
    <row r="535" spans="1:8" ht="21" customHeight="1" x14ac:dyDescent="0.15">
      <c r="A535" s="10" t="str">
        <f t="shared" si="402"/>
        <v>550550</v>
      </c>
      <c r="B535" s="23">
        <f t="shared" ref="B535:C535" si="407">B534+1</f>
        <v>550</v>
      </c>
      <c r="C535" s="23">
        <f t="shared" si="407"/>
        <v>550</v>
      </c>
      <c r="D535" s="52" t="str">
        <f>IFERROR(VLOOKUP(C535,gachas!A:C,3),0)</f>
        <v>フィーバーフェス（3日目）</v>
      </c>
      <c r="E535" s="42" t="s">
        <v>2812</v>
      </c>
      <c r="F535" s="42" t="s">
        <v>2808</v>
      </c>
      <c r="G535" s="60">
        <v>550</v>
      </c>
      <c r="H535" s="6">
        <v>3</v>
      </c>
    </row>
    <row r="536" spans="1:8" ht="21" customHeight="1" x14ac:dyDescent="0.15">
      <c r="A536" s="10" t="str">
        <f t="shared" ref="A536:A539" si="408">B536&amp;C536</f>
        <v>551551</v>
      </c>
      <c r="B536" s="23">
        <f t="shared" ref="B536:C536" si="409">B535+1</f>
        <v>551</v>
      </c>
      <c r="C536" s="23">
        <f t="shared" si="409"/>
        <v>551</v>
      </c>
      <c r="D536" s="52" t="str">
        <f>IFERROR(VLOOKUP(C536,gachas!A:C,3),0)</f>
        <v>にゃんこガチャA</v>
      </c>
      <c r="E536" s="42" t="s">
        <v>2853</v>
      </c>
      <c r="F536" s="42" t="s">
        <v>2856</v>
      </c>
      <c r="G536" s="60">
        <v>554</v>
      </c>
      <c r="H536" s="6">
        <v>3</v>
      </c>
    </row>
    <row r="537" spans="1:8" ht="21" customHeight="1" x14ac:dyDescent="0.15">
      <c r="A537" s="10" t="str">
        <f t="shared" si="408"/>
        <v>552552</v>
      </c>
      <c r="B537" s="23">
        <f t="shared" ref="B537:C537" si="410">B536+1</f>
        <v>552</v>
      </c>
      <c r="C537" s="23">
        <f t="shared" si="410"/>
        <v>552</v>
      </c>
      <c r="D537" s="52" t="str">
        <f>IFERROR(VLOOKUP(C537,gachas!A:C,3),0)</f>
        <v>にゃんこガチャB</v>
      </c>
      <c r="E537" s="42" t="s">
        <v>2855</v>
      </c>
      <c r="F537" s="42" t="s">
        <v>2854</v>
      </c>
      <c r="G537" s="60">
        <v>556</v>
      </c>
      <c r="H537" s="6">
        <v>3</v>
      </c>
    </row>
    <row r="538" spans="1:8" ht="21" customHeight="1" x14ac:dyDescent="0.15">
      <c r="A538" s="10" t="str">
        <f t="shared" si="408"/>
        <v>553553</v>
      </c>
      <c r="B538" s="23">
        <f t="shared" ref="B538:C538" si="411">B537+1</f>
        <v>553</v>
      </c>
      <c r="C538" s="23">
        <f t="shared" si="411"/>
        <v>553</v>
      </c>
      <c r="D538" s="52" t="str">
        <f>IFERROR(VLOOKUP(C538,gachas!A:C,3),0)</f>
        <v>確定ステップアップガチャ</v>
      </c>
      <c r="E538" s="42" t="s">
        <v>2858</v>
      </c>
      <c r="F538" s="42" t="s">
        <v>2857</v>
      </c>
      <c r="G538" s="60">
        <v>551</v>
      </c>
      <c r="H538" s="6">
        <v>3</v>
      </c>
    </row>
    <row r="539" spans="1:8" ht="21" customHeight="1" x14ac:dyDescent="0.15">
      <c r="A539" s="10" t="str">
        <f t="shared" si="408"/>
        <v>554554</v>
      </c>
      <c r="B539" s="143">
        <f t="shared" ref="B539:C540" si="412">B538+1</f>
        <v>554</v>
      </c>
      <c r="C539" s="143">
        <f t="shared" si="412"/>
        <v>554</v>
      </c>
      <c r="D539" s="144" t="str">
        <f>IFERROR(VLOOKUP(C539,gachas!A:C,3),0)</f>
        <v>１日１回マスターキーつきガチャ</v>
      </c>
      <c r="E539" s="145" t="s">
        <v>2887</v>
      </c>
      <c r="F539" s="145" t="s">
        <v>2887</v>
      </c>
      <c r="G539" s="146">
        <v>552</v>
      </c>
      <c r="H539" s="147">
        <v>3</v>
      </c>
    </row>
    <row r="540" spans="1:8" ht="21" customHeight="1" x14ac:dyDescent="0.15">
      <c r="A540" s="10" t="str">
        <f t="shared" ref="A540" si="413">B540&amp;C540</f>
        <v>555555</v>
      </c>
      <c r="B540" s="23">
        <f t="shared" si="412"/>
        <v>555</v>
      </c>
      <c r="C540" s="23">
        <f t="shared" si="412"/>
        <v>555</v>
      </c>
      <c r="D540" s="52" t="str">
        <f>IFERROR(VLOOKUP(C540,gachas!A:C,3),0)</f>
        <v>タワー攻略応援ガチャ</v>
      </c>
      <c r="E540" s="42" t="s">
        <v>2855</v>
      </c>
      <c r="F540" s="42" t="s">
        <v>2888</v>
      </c>
      <c r="G540" s="60">
        <v>553</v>
      </c>
      <c r="H540" s="6">
        <v>3</v>
      </c>
    </row>
    <row r="541" spans="1:8" ht="21" customHeight="1" x14ac:dyDescent="0.15">
      <c r="A541" s="10" t="str">
        <f t="shared" ref="A541:A545" si="414">B541&amp;C541</f>
        <v>556556</v>
      </c>
      <c r="B541" s="23">
        <f t="shared" ref="B541:C541" si="415">B540+1</f>
        <v>556</v>
      </c>
      <c r="C541" s="23">
        <f t="shared" si="415"/>
        <v>556</v>
      </c>
      <c r="D541" s="52" t="str">
        <f>IFERROR(VLOOKUP(C541,gachas!A:C,3),0)</f>
        <v>新生活応援セール記念ガチャ</v>
      </c>
      <c r="E541" s="42" t="s">
        <v>2893</v>
      </c>
      <c r="F541" s="42" t="s">
        <v>2894</v>
      </c>
      <c r="G541" s="60">
        <v>555</v>
      </c>
      <c r="H541" s="6">
        <v>3</v>
      </c>
    </row>
    <row r="542" spans="1:8" ht="21" customHeight="1" x14ac:dyDescent="0.15">
      <c r="A542" s="10" t="str">
        <f t="shared" si="414"/>
        <v>557557</v>
      </c>
      <c r="B542" s="23">
        <f t="shared" ref="B542:C542" si="416">B541+1</f>
        <v>557</v>
      </c>
      <c r="C542" s="23">
        <f t="shared" si="416"/>
        <v>557</v>
      </c>
      <c r="D542" s="52" t="str">
        <f>IFERROR(VLOOKUP(C542,gachas!A:C,3),0)</f>
        <v>春の超フィーバーフェス（青）</v>
      </c>
      <c r="E542" s="42" t="s">
        <v>2920</v>
      </c>
      <c r="F542" s="42" t="s">
        <v>2923</v>
      </c>
      <c r="G542" s="60">
        <v>558</v>
      </c>
      <c r="H542" s="6">
        <v>3</v>
      </c>
    </row>
    <row r="543" spans="1:8" ht="21" customHeight="1" x14ac:dyDescent="0.15">
      <c r="A543" s="10" t="str">
        <f t="shared" si="414"/>
        <v>558558</v>
      </c>
      <c r="B543" s="23">
        <f t="shared" ref="B543:C543" si="417">B542+1</f>
        <v>558</v>
      </c>
      <c r="C543" s="23">
        <f t="shared" si="417"/>
        <v>558</v>
      </c>
      <c r="D543" s="52" t="str">
        <f>IFERROR(VLOOKUP(C543,gachas!A:C,3),0)</f>
        <v>春の超フィーバーフェス（赤）</v>
      </c>
      <c r="E543" s="42" t="s">
        <v>2921</v>
      </c>
      <c r="F543" s="42" t="s">
        <v>2924</v>
      </c>
      <c r="G543" s="24">
        <f t="shared" ref="G543:G550" si="418">G542+1</f>
        <v>559</v>
      </c>
      <c r="H543" s="6">
        <v>3</v>
      </c>
    </row>
    <row r="544" spans="1:8" ht="21" customHeight="1" x14ac:dyDescent="0.15">
      <c r="A544" s="10" t="str">
        <f t="shared" si="414"/>
        <v>559559</v>
      </c>
      <c r="B544" s="23">
        <f t="shared" ref="B544:C544" si="419">B543+1</f>
        <v>559</v>
      </c>
      <c r="C544" s="23">
        <f t="shared" si="419"/>
        <v>559</v>
      </c>
      <c r="D544" s="52" t="str">
        <f>IFERROR(VLOOKUP(C544,gachas!A:C,3),0)</f>
        <v>春の超フィーバーフェス（緑）</v>
      </c>
      <c r="E544" s="42" t="s">
        <v>2922</v>
      </c>
      <c r="F544" s="42" t="s">
        <v>2888</v>
      </c>
      <c r="G544" s="24">
        <f t="shared" si="418"/>
        <v>560</v>
      </c>
      <c r="H544" s="6">
        <v>3</v>
      </c>
    </row>
    <row r="545" spans="1:8" ht="21" customHeight="1" x14ac:dyDescent="0.15">
      <c r="A545" s="10" t="str">
        <f t="shared" si="414"/>
        <v>560560</v>
      </c>
      <c r="B545" s="23">
        <f t="shared" ref="B545:C550" si="420">B544+1</f>
        <v>560</v>
      </c>
      <c r="C545" s="23">
        <f t="shared" si="420"/>
        <v>560</v>
      </c>
      <c r="D545" s="52" t="str">
        <f>IFERROR(VLOOKUP(C545,gachas!A:C,3),0)</f>
        <v>春の超フィーバーフェス（黄）</v>
      </c>
      <c r="E545" s="42" t="s">
        <v>2895</v>
      </c>
      <c r="F545" s="42" t="s">
        <v>2888</v>
      </c>
      <c r="G545" s="24">
        <v>557</v>
      </c>
      <c r="H545" s="6">
        <v>3</v>
      </c>
    </row>
    <row r="546" spans="1:8" ht="21" customHeight="1" x14ac:dyDescent="0.15">
      <c r="A546" s="10" t="str">
        <f t="shared" ref="A546:A553" si="421">B546&amp;C546</f>
        <v>561561</v>
      </c>
      <c r="B546" s="23">
        <f t="shared" si="420"/>
        <v>561</v>
      </c>
      <c r="C546" s="23">
        <f t="shared" si="420"/>
        <v>561</v>
      </c>
      <c r="D546" s="52" t="str">
        <f>IFERROR(VLOOKUP(C546,gachas!A:C,3),0)</f>
        <v>ミニステップアップガチャ</v>
      </c>
      <c r="E546" s="42" t="s">
        <v>2935</v>
      </c>
      <c r="F546" s="42" t="s">
        <v>2936</v>
      </c>
      <c r="G546" s="24">
        <v>561</v>
      </c>
      <c r="H546" s="6">
        <v>3</v>
      </c>
    </row>
    <row r="547" spans="1:8" ht="21" customHeight="1" x14ac:dyDescent="0.15">
      <c r="A547" s="10" t="str">
        <f t="shared" si="421"/>
        <v>562562</v>
      </c>
      <c r="B547" s="23">
        <f t="shared" si="420"/>
        <v>562</v>
      </c>
      <c r="C547" s="23">
        <f t="shared" si="420"/>
        <v>562</v>
      </c>
      <c r="D547" s="52" t="str">
        <f>IFERROR(VLOOKUP(C547,gachas!A:C,3),0)</f>
        <v>花見ガチャ&lt;前半&gt;</v>
      </c>
      <c r="E547" s="42" t="s">
        <v>2937</v>
      </c>
      <c r="F547" s="42" t="s">
        <v>2939</v>
      </c>
      <c r="G547" s="24">
        <f t="shared" si="418"/>
        <v>562</v>
      </c>
      <c r="H547" s="6">
        <v>3</v>
      </c>
    </row>
    <row r="548" spans="1:8" ht="21" customHeight="1" x14ac:dyDescent="0.15">
      <c r="A548" s="10" t="str">
        <f t="shared" si="421"/>
        <v>563563</v>
      </c>
      <c r="B548" s="23">
        <f t="shared" si="420"/>
        <v>563</v>
      </c>
      <c r="C548" s="23">
        <f t="shared" si="420"/>
        <v>563</v>
      </c>
      <c r="D548" s="52" t="str">
        <f>IFERROR(VLOOKUP(C548,gachas!A:C,3),0)</f>
        <v>花見ガチャ&lt;後半&gt;</v>
      </c>
      <c r="E548" s="42" t="s">
        <v>2938</v>
      </c>
      <c r="F548" s="42" t="s">
        <v>2939</v>
      </c>
      <c r="G548" s="24">
        <f t="shared" si="418"/>
        <v>563</v>
      </c>
      <c r="H548" s="6">
        <v>3</v>
      </c>
    </row>
    <row r="549" spans="1:8" ht="21" customHeight="1" x14ac:dyDescent="0.15">
      <c r="A549" s="10" t="str">
        <f t="shared" si="421"/>
        <v>564564</v>
      </c>
      <c r="B549" s="23">
        <f t="shared" si="420"/>
        <v>564</v>
      </c>
      <c r="C549" s="23">
        <f t="shared" si="420"/>
        <v>564</v>
      </c>
      <c r="D549" s="52" t="str">
        <f>IFERROR(VLOOKUP(C549,gachas!A:C,3),0)</f>
        <v>和風ピックアップガチャ</v>
      </c>
      <c r="E549" s="42" t="s">
        <v>2967</v>
      </c>
      <c r="F549" s="42" t="s">
        <v>2968</v>
      </c>
      <c r="G549" s="24">
        <f t="shared" si="418"/>
        <v>564</v>
      </c>
      <c r="H549" s="6">
        <v>3</v>
      </c>
    </row>
    <row r="550" spans="1:8" ht="21" customHeight="1" x14ac:dyDescent="0.15">
      <c r="A550" s="10" t="str">
        <f t="shared" si="421"/>
        <v>565565</v>
      </c>
      <c r="B550" s="23">
        <f t="shared" si="420"/>
        <v>565</v>
      </c>
      <c r="C550" s="23">
        <f t="shared" si="420"/>
        <v>565</v>
      </c>
      <c r="D550" s="52" t="str">
        <f>IFERROR(VLOOKUP(C550,gachas!A:C,3),0)</f>
        <v>ニューフェイスピックアップ</v>
      </c>
      <c r="E550" s="42" t="s">
        <v>2973</v>
      </c>
      <c r="F550" s="107" t="s">
        <v>3181</v>
      </c>
      <c r="G550" s="24">
        <f t="shared" si="418"/>
        <v>565</v>
      </c>
      <c r="H550" s="6">
        <v>3</v>
      </c>
    </row>
    <row r="551" spans="1:8" ht="21" customHeight="1" x14ac:dyDescent="0.15">
      <c r="A551" s="10" t="str">
        <f t="shared" si="421"/>
        <v>566566</v>
      </c>
      <c r="B551" s="23">
        <f t="shared" ref="B551:C551" si="422">B550+1</f>
        <v>566</v>
      </c>
      <c r="C551" s="23">
        <f t="shared" si="422"/>
        <v>566</v>
      </c>
      <c r="D551" s="52" t="str">
        <f>IFERROR(VLOOKUP(C551,gachas!A:C,3),0)</f>
        <v>フィーバーフェス（1日目）</v>
      </c>
      <c r="E551" s="42" t="s">
        <v>2986</v>
      </c>
      <c r="F551" s="42" t="s">
        <v>2987</v>
      </c>
      <c r="G551" s="24">
        <f t="shared" ref="G551:G553" si="423">G550+1</f>
        <v>566</v>
      </c>
      <c r="H551" s="6">
        <v>3</v>
      </c>
    </row>
    <row r="552" spans="1:8" ht="21" customHeight="1" x14ac:dyDescent="0.15">
      <c r="A552" s="10" t="str">
        <f t="shared" si="421"/>
        <v>567567</v>
      </c>
      <c r="B552" s="23">
        <f t="shared" ref="B552:C552" si="424">B551+1</f>
        <v>567</v>
      </c>
      <c r="C552" s="23">
        <f t="shared" si="424"/>
        <v>567</v>
      </c>
      <c r="D552" s="52" t="str">
        <f>IFERROR(VLOOKUP(C552,gachas!A:C,3),0)</f>
        <v>フィーバーフェス（2日目）</v>
      </c>
      <c r="E552" s="42" t="s">
        <v>2985</v>
      </c>
      <c r="F552" s="42" t="s">
        <v>2988</v>
      </c>
      <c r="G552" s="24">
        <f t="shared" si="423"/>
        <v>567</v>
      </c>
      <c r="H552" s="6">
        <v>3</v>
      </c>
    </row>
    <row r="553" spans="1:8" ht="21" customHeight="1" x14ac:dyDescent="0.15">
      <c r="A553" s="10" t="str">
        <f t="shared" si="421"/>
        <v>568568</v>
      </c>
      <c r="B553" s="23">
        <f t="shared" ref="B553:C553" si="425">B552+1</f>
        <v>568</v>
      </c>
      <c r="C553" s="23">
        <f t="shared" si="425"/>
        <v>568</v>
      </c>
      <c r="D553" s="52" t="str">
        <f>IFERROR(VLOOKUP(C553,gachas!A:C,3),0)</f>
        <v>フィーバーフェス（3日目）</v>
      </c>
      <c r="E553" s="42" t="s">
        <v>2989</v>
      </c>
      <c r="F553" s="42" t="s">
        <v>2990</v>
      </c>
      <c r="G553" s="24">
        <f t="shared" si="423"/>
        <v>568</v>
      </c>
      <c r="H553" s="6">
        <v>3</v>
      </c>
    </row>
    <row r="554" spans="1:8" ht="21" customHeight="1" x14ac:dyDescent="0.15">
      <c r="A554" s="10" t="str">
        <f t="shared" ref="A554:A557" si="426">B554&amp;C554</f>
        <v>569569</v>
      </c>
      <c r="B554" s="23">
        <f t="shared" ref="B554:C554" si="427">B553+1</f>
        <v>569</v>
      </c>
      <c r="C554" s="23">
        <f t="shared" si="427"/>
        <v>569</v>
      </c>
      <c r="D554" s="52" t="str">
        <f>IFERROR(VLOOKUP(C554,gachas!A:C,3),0)</f>
        <v>グリム攻略応援ガチャ</v>
      </c>
      <c r="E554" s="42" t="s">
        <v>3004</v>
      </c>
      <c r="F554" s="42" t="s">
        <v>3005</v>
      </c>
      <c r="G554" s="24">
        <f t="shared" ref="G554:G568" si="428">G553+1</f>
        <v>569</v>
      </c>
      <c r="H554" s="6">
        <v>3</v>
      </c>
    </row>
    <row r="555" spans="1:8" ht="21" customHeight="1" x14ac:dyDescent="0.15">
      <c r="A555" s="10" t="str">
        <f t="shared" si="426"/>
        <v>570570</v>
      </c>
      <c r="B555" s="23">
        <f t="shared" ref="B555:C555" si="429">B554+1</f>
        <v>570</v>
      </c>
      <c r="C555" s="23">
        <f t="shared" si="429"/>
        <v>570</v>
      </c>
      <c r="D555" s="52" t="str">
        <f>IFERROR(VLOOKUP(C555,gachas!A:C,3),0)</f>
        <v>Gスター攻略応援ガチャ</v>
      </c>
      <c r="E555" s="42" t="s">
        <v>3004</v>
      </c>
      <c r="F555" s="42" t="s">
        <v>3005</v>
      </c>
      <c r="G555" s="24">
        <f t="shared" si="428"/>
        <v>570</v>
      </c>
      <c r="H555" s="6">
        <v>3</v>
      </c>
    </row>
    <row r="556" spans="1:8" ht="21" customHeight="1" x14ac:dyDescent="0.15">
      <c r="A556" s="10" t="str">
        <f t="shared" si="426"/>
        <v>571571</v>
      </c>
      <c r="B556" s="23">
        <f t="shared" ref="B556:C557" si="430">B555+1</f>
        <v>571</v>
      </c>
      <c r="C556" s="23">
        <f t="shared" si="430"/>
        <v>571</v>
      </c>
      <c r="D556" s="52" t="str">
        <f>IFERROR(VLOOKUP(C556,gachas!A:C,3),0)</f>
        <v>服部半蔵攻略応援ガチャ</v>
      </c>
      <c r="E556" s="42" t="s">
        <v>3006</v>
      </c>
      <c r="F556" s="42" t="s">
        <v>3007</v>
      </c>
      <c r="G556" s="24">
        <f t="shared" si="428"/>
        <v>571</v>
      </c>
      <c r="H556" s="6">
        <v>3</v>
      </c>
    </row>
    <row r="557" spans="1:8" ht="21" customHeight="1" x14ac:dyDescent="0.15">
      <c r="A557" s="10" t="str">
        <f t="shared" si="426"/>
        <v>572572</v>
      </c>
      <c r="B557" s="23">
        <f t="shared" si="430"/>
        <v>572</v>
      </c>
      <c r="C557" s="23">
        <f t="shared" si="430"/>
        <v>572</v>
      </c>
      <c r="D557" s="52" t="str">
        <f>IFERROR(VLOOKUP(C557,gachas!A:C,3),0)</f>
        <v>ランキング対抗ガチャ&lt;ヘイウェイ&gt;</v>
      </c>
      <c r="E557" s="42" t="s">
        <v>3008</v>
      </c>
      <c r="F557" s="42" t="s">
        <v>3009</v>
      </c>
      <c r="G557" s="24">
        <f t="shared" si="428"/>
        <v>572</v>
      </c>
      <c r="H557" s="6">
        <v>3</v>
      </c>
    </row>
    <row r="558" spans="1:8" ht="21" customHeight="1" x14ac:dyDescent="0.15">
      <c r="A558" s="10" t="str">
        <f t="shared" ref="A558:A567" si="431">B558&amp;C558</f>
        <v>573573</v>
      </c>
      <c r="B558" s="23">
        <f t="shared" ref="B558:C558" si="432">B557+1</f>
        <v>573</v>
      </c>
      <c r="C558" s="23">
        <f t="shared" si="432"/>
        <v>573</v>
      </c>
      <c r="D558" s="52" t="str">
        <f>IFERROR(VLOOKUP(C558,gachas!A:C,3),0)</f>
        <v>1000億BK記念_海外版限定スペシャルガチャ_前半</v>
      </c>
      <c r="E558" s="42" t="s">
        <v>3031</v>
      </c>
      <c r="F558" s="42" t="s">
        <v>3032</v>
      </c>
      <c r="G558" s="60">
        <v>574</v>
      </c>
      <c r="H558" s="6">
        <v>3</v>
      </c>
    </row>
    <row r="559" spans="1:8" ht="21" customHeight="1" x14ac:dyDescent="0.15">
      <c r="A559" s="10" t="str">
        <f t="shared" si="431"/>
        <v>574574</v>
      </c>
      <c r="B559" s="23">
        <f t="shared" ref="B559:C559" si="433">B558+1</f>
        <v>574</v>
      </c>
      <c r="C559" s="23">
        <f t="shared" si="433"/>
        <v>574</v>
      </c>
      <c r="D559" s="52" t="str">
        <f>IFERROR(VLOOKUP(C559,gachas!A:C,3),0)</f>
        <v>1000億BK記念_ユニットガチャ&lt;パラケルスス&gt;</v>
      </c>
      <c r="E559" s="42" t="s">
        <v>3031</v>
      </c>
      <c r="F559" s="42" t="s">
        <v>3051</v>
      </c>
      <c r="G559" s="24">
        <f t="shared" si="428"/>
        <v>575</v>
      </c>
      <c r="H559" s="6">
        <v>3</v>
      </c>
    </row>
    <row r="560" spans="1:8" ht="21" customHeight="1" x14ac:dyDescent="0.15">
      <c r="A560" s="10" t="str">
        <f t="shared" si="431"/>
        <v>575575</v>
      </c>
      <c r="B560" s="23">
        <f t="shared" ref="B560:C560" si="434">B559+1</f>
        <v>575</v>
      </c>
      <c r="C560" s="23">
        <f t="shared" si="434"/>
        <v>575</v>
      </c>
      <c r="D560" s="52" t="str">
        <f>IFERROR(VLOOKUP(C560,gachas!A:C,3),0)</f>
        <v>1000億BK記念_ユニットガチャ&lt;ブール&gt;</v>
      </c>
      <c r="E560" s="42" t="s">
        <v>3046</v>
      </c>
      <c r="F560" s="42" t="s">
        <v>3132</v>
      </c>
      <c r="G560" s="24">
        <f t="shared" si="428"/>
        <v>576</v>
      </c>
      <c r="H560" s="6">
        <v>3</v>
      </c>
    </row>
    <row r="561" spans="1:8" ht="21" customHeight="1" x14ac:dyDescent="0.15">
      <c r="A561" s="10" t="str">
        <f t="shared" si="431"/>
        <v>576576</v>
      </c>
      <c r="B561" s="23">
        <f t="shared" ref="B561:C561" si="435">B560+1</f>
        <v>576</v>
      </c>
      <c r="C561" s="23">
        <f t="shared" si="435"/>
        <v>576</v>
      </c>
      <c r="D561" s="52" t="str">
        <f>IFERROR(VLOOKUP(C561,gachas!A:C,3),0)</f>
        <v>1000億BK記念_ユニットガチャ&lt;パレート&gt;</v>
      </c>
      <c r="E561" s="42" t="s">
        <v>3047</v>
      </c>
      <c r="F561" s="42" t="s">
        <v>3133</v>
      </c>
      <c r="G561" s="24">
        <f t="shared" si="428"/>
        <v>577</v>
      </c>
      <c r="H561" s="6">
        <v>3</v>
      </c>
    </row>
    <row r="562" spans="1:8" ht="21" customHeight="1" x14ac:dyDescent="0.15">
      <c r="A562" s="10" t="str">
        <f t="shared" si="431"/>
        <v>577577</v>
      </c>
      <c r="B562" s="23">
        <f t="shared" ref="B562:C562" si="436">B561+1</f>
        <v>577</v>
      </c>
      <c r="C562" s="23">
        <f t="shared" si="436"/>
        <v>577</v>
      </c>
      <c r="D562" s="52" t="str">
        <f>IFERROR(VLOOKUP(C562,gachas!A:C,3),0)</f>
        <v>1000億BK記念_ユニットガチャ&lt;ハーシェル&amp;フェルマー&gt;</v>
      </c>
      <c r="E562" s="42" t="s">
        <v>3048</v>
      </c>
      <c r="F562" s="42" t="s">
        <v>3049</v>
      </c>
      <c r="G562" s="24">
        <f t="shared" si="428"/>
        <v>578</v>
      </c>
      <c r="H562" s="6">
        <v>3</v>
      </c>
    </row>
    <row r="563" spans="1:8" ht="21" customHeight="1" x14ac:dyDescent="0.15">
      <c r="A563" s="10" t="str">
        <f t="shared" si="431"/>
        <v>578578</v>
      </c>
      <c r="B563" s="23">
        <f t="shared" ref="B563:C563" si="437">B562+1</f>
        <v>578</v>
      </c>
      <c r="C563" s="23">
        <f t="shared" si="437"/>
        <v>578</v>
      </c>
      <c r="D563" s="52" t="str">
        <f>IFERROR(VLOOKUP(C563,gachas!A:C,3),0)</f>
        <v>1000億BK記念_海外版限定スペシャルガチャ_後半</v>
      </c>
      <c r="E563" s="42" t="s">
        <v>3050</v>
      </c>
      <c r="F563" s="42" t="s">
        <v>3051</v>
      </c>
      <c r="G563" s="24">
        <f t="shared" si="428"/>
        <v>579</v>
      </c>
      <c r="H563" s="6">
        <v>3</v>
      </c>
    </row>
    <row r="564" spans="1:8" ht="21" customHeight="1" x14ac:dyDescent="0.15">
      <c r="A564" s="10" t="str">
        <f t="shared" si="431"/>
        <v>579579</v>
      </c>
      <c r="B564" s="23">
        <f t="shared" ref="B564:C564" si="438">B563+1</f>
        <v>579</v>
      </c>
      <c r="C564" s="23">
        <f t="shared" si="438"/>
        <v>579</v>
      </c>
      <c r="D564" s="52" t="str">
        <f>IFERROR(VLOOKUP(C564,gachas!A:C,3),0)</f>
        <v>1000億BK記念_ランクアップ無料ガチャ&lt;ランク1&gt;</v>
      </c>
      <c r="E564" s="42" t="s">
        <v>3031</v>
      </c>
      <c r="F564" s="42" t="s">
        <v>3182</v>
      </c>
      <c r="G564" s="24">
        <f t="shared" si="428"/>
        <v>580</v>
      </c>
      <c r="H564" s="6">
        <v>3</v>
      </c>
    </row>
    <row r="565" spans="1:8" ht="21" customHeight="1" x14ac:dyDescent="0.15">
      <c r="A565" s="10" t="str">
        <f t="shared" si="431"/>
        <v>580580</v>
      </c>
      <c r="B565" s="23">
        <f t="shared" ref="B565:C565" si="439">B564+1</f>
        <v>580</v>
      </c>
      <c r="C565" s="23">
        <f t="shared" si="439"/>
        <v>580</v>
      </c>
      <c r="D565" s="52" t="str">
        <f>IFERROR(VLOOKUP(C565,gachas!A:C,3),0)</f>
        <v>1000億BK記念_ランクアップ無料ガチャ&lt;ランク2&gt;</v>
      </c>
      <c r="E565" s="42" t="s">
        <v>3183</v>
      </c>
      <c r="F565" s="42" t="s">
        <v>3184</v>
      </c>
      <c r="G565" s="24">
        <f t="shared" si="428"/>
        <v>581</v>
      </c>
      <c r="H565" s="6">
        <v>3</v>
      </c>
    </row>
    <row r="566" spans="1:8" ht="21" customHeight="1" x14ac:dyDescent="0.15">
      <c r="A566" s="10" t="str">
        <f t="shared" si="431"/>
        <v>581581</v>
      </c>
      <c r="B566" s="23">
        <f t="shared" ref="B566:C566" si="440">B565+1</f>
        <v>581</v>
      </c>
      <c r="C566" s="23">
        <f t="shared" si="440"/>
        <v>581</v>
      </c>
      <c r="D566" s="52" t="str">
        <f>IFERROR(VLOOKUP(C566,gachas!A:C,3),0)</f>
        <v>1000億BK記念_ランクアップ無料ガチャ&lt;ランク3&gt;</v>
      </c>
      <c r="E566" s="42" t="s">
        <v>3185</v>
      </c>
      <c r="F566" s="42" t="s">
        <v>3051</v>
      </c>
      <c r="G566" s="24">
        <f t="shared" si="428"/>
        <v>582</v>
      </c>
      <c r="H566" s="6">
        <v>3</v>
      </c>
    </row>
    <row r="567" spans="1:8" ht="21" customHeight="1" x14ac:dyDescent="0.15">
      <c r="A567" s="10" t="str">
        <f t="shared" si="431"/>
        <v>582582</v>
      </c>
      <c r="B567" s="23">
        <f t="shared" ref="B567:C567" si="441">B566+1</f>
        <v>582</v>
      </c>
      <c r="C567" s="23">
        <f t="shared" si="441"/>
        <v>582</v>
      </c>
      <c r="D567" s="52" t="str">
        <f>IFERROR(VLOOKUP(C567,gachas!A:C,3),0)</f>
        <v>1000億BK記念_ランクアップ無料ガチャ&lt;スペシャル&gt;</v>
      </c>
      <c r="E567" s="42" t="s">
        <v>3186</v>
      </c>
      <c r="F567" s="42" t="s">
        <v>3051</v>
      </c>
      <c r="G567" s="24">
        <f t="shared" si="428"/>
        <v>583</v>
      </c>
      <c r="H567" s="6">
        <v>3</v>
      </c>
    </row>
    <row r="568" spans="1:8" ht="21" customHeight="1" x14ac:dyDescent="0.15">
      <c r="A568" s="10" t="str">
        <f t="shared" ref="A568:A569" si="442">B568&amp;C568</f>
        <v>583583</v>
      </c>
      <c r="B568" s="23">
        <f t="shared" ref="B568:C568" si="443">B567+1</f>
        <v>583</v>
      </c>
      <c r="C568" s="23">
        <f t="shared" si="443"/>
        <v>583</v>
      </c>
      <c r="D568" s="52" t="str">
        <f>IFERROR(VLOOKUP(C568,gachas!A:C,3),0)</f>
        <v>1000億BK記念_10連無料ガチャ</v>
      </c>
      <c r="E568" s="42" t="s">
        <v>3031</v>
      </c>
      <c r="F568" s="42" t="s">
        <v>3051</v>
      </c>
      <c r="G568" s="24">
        <f t="shared" si="428"/>
        <v>584</v>
      </c>
      <c r="H568" s="6">
        <v>3</v>
      </c>
    </row>
    <row r="569" spans="1:8" ht="21" customHeight="1" x14ac:dyDescent="0.15">
      <c r="A569" s="10" t="str">
        <f t="shared" si="442"/>
        <v>584584</v>
      </c>
      <c r="B569" s="23">
        <f t="shared" ref="B569:C569" si="444">B568+1</f>
        <v>584</v>
      </c>
      <c r="C569" s="23">
        <f t="shared" si="444"/>
        <v>584</v>
      </c>
      <c r="D569" s="52" t="str">
        <f>IFERROR(VLOOKUP(C569,gachas!A:C,3),0)</f>
        <v>ミニステップアップガチャ</v>
      </c>
      <c r="E569" s="42" t="s">
        <v>3086</v>
      </c>
      <c r="F569" s="42" t="s">
        <v>3049</v>
      </c>
      <c r="G569" s="60">
        <v>573</v>
      </c>
      <c r="H569" s="6">
        <v>3</v>
      </c>
    </row>
    <row r="570" spans="1:8" ht="21" customHeight="1" x14ac:dyDescent="0.15">
      <c r="A570" s="10" t="str">
        <f t="shared" ref="A570:A572" si="445">B570&amp;C570</f>
        <v>585585</v>
      </c>
      <c r="B570" s="23">
        <f t="shared" ref="B570:C570" si="446">B569+1</f>
        <v>585</v>
      </c>
      <c r="C570" s="23">
        <f t="shared" si="446"/>
        <v>585</v>
      </c>
      <c r="D570" s="52" t="str">
        <f>IFERROR(VLOOKUP(C570,gachas!A:C,3),0)</f>
        <v>4月超フェス＜1日目＞</v>
      </c>
      <c r="E570" s="42" t="s">
        <v>3149</v>
      </c>
      <c r="F570" s="42" t="s">
        <v>3152</v>
      </c>
      <c r="G570" s="24">
        <f>B570</f>
        <v>585</v>
      </c>
      <c r="H570" s="6">
        <v>3</v>
      </c>
    </row>
    <row r="571" spans="1:8" ht="21" customHeight="1" x14ac:dyDescent="0.15">
      <c r="A571" s="10" t="str">
        <f t="shared" si="445"/>
        <v>586586</v>
      </c>
      <c r="B571" s="23">
        <f t="shared" ref="B571:C571" si="447">B570+1</f>
        <v>586</v>
      </c>
      <c r="C571" s="23">
        <f t="shared" si="447"/>
        <v>586</v>
      </c>
      <c r="D571" s="52" t="str">
        <f>IFERROR(VLOOKUP(C571,gachas!A:C,3),0)</f>
        <v>4月超フェス＜2日目＞</v>
      </c>
      <c r="E571" s="42" t="s">
        <v>3150</v>
      </c>
      <c r="F571" s="42" t="s">
        <v>3153</v>
      </c>
      <c r="G571" s="24">
        <f>B571</f>
        <v>586</v>
      </c>
      <c r="H571" s="6">
        <v>3</v>
      </c>
    </row>
    <row r="572" spans="1:8" ht="21" customHeight="1" x14ac:dyDescent="0.15">
      <c r="A572" s="10" t="str">
        <f t="shared" si="445"/>
        <v>587587</v>
      </c>
      <c r="B572" s="23">
        <f t="shared" ref="B572:C575" si="448">B571+1</f>
        <v>587</v>
      </c>
      <c r="C572" s="23">
        <f t="shared" si="448"/>
        <v>587</v>
      </c>
      <c r="D572" s="52" t="str">
        <f>IFERROR(VLOOKUP(C572,gachas!A:C,3),0)</f>
        <v>4月超フェス＜3日目＞</v>
      </c>
      <c r="E572" s="42" t="s">
        <v>3151</v>
      </c>
      <c r="F572" s="42" t="s">
        <v>3032</v>
      </c>
      <c r="G572" s="24">
        <f>B572</f>
        <v>587</v>
      </c>
      <c r="H572" s="6">
        <v>3</v>
      </c>
    </row>
    <row r="573" spans="1:8" ht="21" customHeight="1" x14ac:dyDescent="0.15">
      <c r="A573" s="10" t="str">
        <f t="shared" ref="A573" si="449">B573&amp;C573</f>
        <v>588588</v>
      </c>
      <c r="B573" s="23">
        <f t="shared" si="448"/>
        <v>588</v>
      </c>
      <c r="C573" s="23">
        <f t="shared" si="448"/>
        <v>588</v>
      </c>
      <c r="D573" s="52" t="str">
        <f>IFERROR(VLOOKUP(C573,gachas!A:C,3),0)</f>
        <v>ランキング対抗ガチャ&lt;ヒルベルト&gt;</v>
      </c>
      <c r="E573" s="42" t="s">
        <v>3154</v>
      </c>
      <c r="F573" s="42" t="s">
        <v>3155</v>
      </c>
      <c r="G573" s="24">
        <f>B573</f>
        <v>588</v>
      </c>
      <c r="H573" s="6">
        <v>3</v>
      </c>
    </row>
    <row r="574" spans="1:8" ht="21" customHeight="1" x14ac:dyDescent="0.15">
      <c r="A574" s="10" t="str">
        <f t="shared" ref="A574" si="450">B574&amp;C574</f>
        <v>589589</v>
      </c>
      <c r="B574" s="23">
        <f t="shared" si="448"/>
        <v>589</v>
      </c>
      <c r="C574" s="23">
        <f t="shared" si="448"/>
        <v>589</v>
      </c>
      <c r="D574" s="52" t="str">
        <f>IFERROR(VLOOKUP(C574,gachas!A:C,3),0)</f>
        <v>ニューフェイスガチャ（英傑）</v>
      </c>
      <c r="E574" s="42" t="s">
        <v>3143</v>
      </c>
      <c r="F574" s="42" t="s">
        <v>3220</v>
      </c>
      <c r="G574" s="24">
        <f>B574</f>
        <v>589</v>
      </c>
      <c r="H574" s="6">
        <v>3</v>
      </c>
    </row>
    <row r="575" spans="1:8" ht="21" customHeight="1" x14ac:dyDescent="0.15">
      <c r="A575" s="10" t="str">
        <f>B575&amp;C575</f>
        <v>590590</v>
      </c>
      <c r="B575" s="23">
        <f t="shared" si="448"/>
        <v>590</v>
      </c>
      <c r="C575" s="23">
        <f t="shared" si="448"/>
        <v>590</v>
      </c>
      <c r="D575" s="52" t="str">
        <f>IFERROR(VLOOKUP(C575,gachas!A:C,3),0)</f>
        <v>常設レアガチャ（童話in)</v>
      </c>
      <c r="E575" s="42" t="s">
        <v>3180</v>
      </c>
      <c r="F575" s="105" t="s">
        <v>1131</v>
      </c>
      <c r="G575" s="60">
        <v>200</v>
      </c>
      <c r="H575" s="6">
        <v>3</v>
      </c>
    </row>
    <row r="576" spans="1:8" ht="21" customHeight="1" x14ac:dyDescent="0.15">
      <c r="A576" s="10" t="str">
        <f t="shared" ref="A576:A579" si="451">B576&amp;C576</f>
        <v>591591</v>
      </c>
      <c r="B576" s="23">
        <f t="shared" ref="B576:C576" si="452">B575+1</f>
        <v>591</v>
      </c>
      <c r="C576" s="23">
        <f t="shared" si="452"/>
        <v>591</v>
      </c>
      <c r="D576" s="52" t="str">
        <f>IFERROR(VLOOKUP(C576,gachas!A:C,3),0)</f>
        <v xml:space="preserve"> 5月フィーバーフェス（チョイス1）</v>
      </c>
      <c r="E576" s="42" t="s">
        <v>3226</v>
      </c>
      <c r="F576" s="42" t="s">
        <v>3227</v>
      </c>
      <c r="G576" s="60">
        <v>592</v>
      </c>
      <c r="H576" s="6">
        <v>3</v>
      </c>
    </row>
    <row r="577" spans="1:8" ht="21" customHeight="1" x14ac:dyDescent="0.15">
      <c r="A577" s="10" t="str">
        <f t="shared" si="451"/>
        <v>592592</v>
      </c>
      <c r="B577" s="23">
        <f t="shared" ref="B577:C577" si="453">B576+1</f>
        <v>592</v>
      </c>
      <c r="C577" s="23">
        <f t="shared" si="453"/>
        <v>592</v>
      </c>
      <c r="D577" s="52" t="str">
        <f>IFERROR(VLOOKUP(C577,gachas!A:C,3),0)</f>
        <v xml:space="preserve"> 5月フィーバーフェス（チョイス2）</v>
      </c>
      <c r="E577" s="42" t="s">
        <v>3226</v>
      </c>
      <c r="F577" s="42" t="s">
        <v>3227</v>
      </c>
      <c r="G577" s="60">
        <v>591</v>
      </c>
      <c r="H577" s="6">
        <v>3</v>
      </c>
    </row>
    <row r="578" spans="1:8" ht="21" customHeight="1" x14ac:dyDescent="0.15">
      <c r="A578" s="10" t="str">
        <f t="shared" si="451"/>
        <v>593593</v>
      </c>
      <c r="B578" s="23">
        <f t="shared" ref="B578:C578" si="454">B577+1</f>
        <v>593</v>
      </c>
      <c r="C578" s="23">
        <f t="shared" si="454"/>
        <v>593</v>
      </c>
      <c r="D578" s="52" t="str">
        <f>IFERROR(VLOOKUP(C578,gachas!A:C,3),0)</f>
        <v xml:space="preserve"> 5月フィーバーフェス（チョイス3）</v>
      </c>
      <c r="E578" s="42" t="s">
        <v>3228</v>
      </c>
      <c r="F578" s="42" t="s">
        <v>3229</v>
      </c>
      <c r="G578" s="60">
        <v>594</v>
      </c>
      <c r="H578" s="6">
        <v>3</v>
      </c>
    </row>
    <row r="579" spans="1:8" ht="21" customHeight="1" x14ac:dyDescent="0.15">
      <c r="A579" s="10" t="str">
        <f t="shared" si="451"/>
        <v>594594</v>
      </c>
      <c r="B579" s="23">
        <f t="shared" ref="B579:C583" si="455">B578+1</f>
        <v>594</v>
      </c>
      <c r="C579" s="23">
        <f t="shared" si="455"/>
        <v>594</v>
      </c>
      <c r="D579" s="52" t="str">
        <f>IFERROR(VLOOKUP(C579,gachas!A:C,3),0)</f>
        <v xml:space="preserve"> 5月フィーバーフェス（チョイス4）</v>
      </c>
      <c r="E579" s="42" t="s">
        <v>3228</v>
      </c>
      <c r="F579" s="42" t="s">
        <v>3229</v>
      </c>
      <c r="G579" s="60">
        <v>593</v>
      </c>
      <c r="H579" s="6">
        <v>3</v>
      </c>
    </row>
    <row r="580" spans="1:8" ht="21" customHeight="1" x14ac:dyDescent="0.15">
      <c r="A580" s="10" t="str">
        <f t="shared" ref="A580" si="456">B580&amp;C580</f>
        <v>595595</v>
      </c>
      <c r="B580" s="23">
        <f t="shared" si="455"/>
        <v>595</v>
      </c>
      <c r="C580" s="23">
        <f t="shared" si="455"/>
        <v>595</v>
      </c>
      <c r="D580" s="52" t="str">
        <f>IFERROR(VLOOKUP(C580,gachas!A:C,3),0)</f>
        <v>確定ステップアップガチャ（童話in)</v>
      </c>
      <c r="E580" s="42" t="s">
        <v>3244</v>
      </c>
      <c r="F580" s="42" t="s">
        <v>3245</v>
      </c>
      <c r="G580" s="24">
        <f>B580</f>
        <v>595</v>
      </c>
      <c r="H580" s="6">
        <v>3</v>
      </c>
    </row>
    <row r="581" spans="1:8" ht="21" customHeight="1" x14ac:dyDescent="0.15">
      <c r="A581" s="10" t="str">
        <f t="shared" ref="A581" si="457">B581&amp;C581</f>
        <v>596596</v>
      </c>
      <c r="B581" s="23">
        <f t="shared" si="455"/>
        <v>596</v>
      </c>
      <c r="C581" s="23">
        <f t="shared" si="455"/>
        <v>596</v>
      </c>
      <c r="D581" s="52" t="str">
        <f>IFERROR(VLOOKUP(C581,gachas!A:C,3),0)</f>
        <v>ランキング対抗ガチャ&lt;ライプニッツ&gt;</v>
      </c>
      <c r="E581" s="42" t="s">
        <v>3246</v>
      </c>
      <c r="F581" s="42" t="s">
        <v>3247</v>
      </c>
      <c r="G581" s="24">
        <f>B581</f>
        <v>596</v>
      </c>
      <c r="H581" s="6">
        <v>3</v>
      </c>
    </row>
    <row r="582" spans="1:8" ht="21" customHeight="1" x14ac:dyDescent="0.15">
      <c r="A582" s="10" t="str">
        <f t="shared" ref="A582:A586" si="458">B582&amp;C582</f>
        <v>597597</v>
      </c>
      <c r="B582" s="23">
        <f t="shared" si="455"/>
        <v>597</v>
      </c>
      <c r="C582" s="23">
        <f t="shared" si="455"/>
        <v>597</v>
      </c>
      <c r="D582" s="52" t="str">
        <f>IFERROR(VLOOKUP(C582,gachas!A:C,3),0)</f>
        <v>★6確定ガチャ</v>
      </c>
      <c r="E582" s="42" t="s">
        <v>3262</v>
      </c>
      <c r="F582" s="42" t="s">
        <v>3263</v>
      </c>
      <c r="G582" s="24">
        <f>B582</f>
        <v>597</v>
      </c>
      <c r="H582" s="6">
        <v>3</v>
      </c>
    </row>
    <row r="583" spans="1:8" ht="21" customHeight="1" x14ac:dyDescent="0.15">
      <c r="A583" s="10" t="str">
        <f t="shared" si="458"/>
        <v>598598</v>
      </c>
      <c r="B583" s="23">
        <f t="shared" si="455"/>
        <v>598</v>
      </c>
      <c r="C583" s="23">
        <f t="shared" si="455"/>
        <v>598</v>
      </c>
      <c r="D583" s="52" t="str">
        <f>IFERROR(VLOOKUP(C583,gachas!A:C,3),0)</f>
        <v>ハガレンコラボガチャ</v>
      </c>
      <c r="E583" s="42" t="s">
        <v>3264</v>
      </c>
      <c r="F583" s="42" t="s">
        <v>3287</v>
      </c>
      <c r="G583" s="24">
        <f>B583</f>
        <v>598</v>
      </c>
      <c r="H583" s="6">
        <v>3</v>
      </c>
    </row>
    <row r="584" spans="1:8" ht="21" customHeight="1" x14ac:dyDescent="0.15">
      <c r="A584" s="10" t="str">
        <f t="shared" si="458"/>
        <v>599599</v>
      </c>
      <c r="B584" s="23">
        <f t="shared" ref="B584:C585" si="459">B583+1</f>
        <v>599</v>
      </c>
      <c r="C584" s="23">
        <f t="shared" si="459"/>
        <v>599</v>
      </c>
      <c r="D584" s="52" t="str">
        <f>IFERROR(VLOOKUP(C584,gachas!A:C,3),0)</f>
        <v>新クラファーコレクション</v>
      </c>
      <c r="E584" s="42" t="s">
        <v>3265</v>
      </c>
      <c r="F584" s="42" t="s">
        <v>3266</v>
      </c>
      <c r="G584" s="24">
        <f t="shared" ref="G584" si="460">B584</f>
        <v>599</v>
      </c>
      <c r="H584" s="6">
        <v>3</v>
      </c>
    </row>
    <row r="585" spans="1:8" ht="21" customHeight="1" x14ac:dyDescent="0.15">
      <c r="A585" s="10" t="str">
        <f t="shared" si="458"/>
        <v>600600</v>
      </c>
      <c r="B585" s="23">
        <f t="shared" si="459"/>
        <v>600</v>
      </c>
      <c r="C585" s="23">
        <f t="shared" si="459"/>
        <v>600</v>
      </c>
      <c r="D585" s="52" t="str">
        <f>IFERROR(VLOOKUP(C585,gachas!A:C,3),0)</f>
        <v>クリスマススペシャルガチャSide:A</v>
      </c>
      <c r="E585" s="42" t="s">
        <v>3267</v>
      </c>
      <c r="F585" s="42" t="s">
        <v>3268</v>
      </c>
      <c r="G585" s="60">
        <v>601</v>
      </c>
      <c r="H585" s="6">
        <v>3</v>
      </c>
    </row>
    <row r="586" spans="1:8" ht="21" customHeight="1" x14ac:dyDescent="0.15">
      <c r="A586" s="10" t="str">
        <f t="shared" si="458"/>
        <v>601601</v>
      </c>
      <c r="B586" s="23">
        <f t="shared" ref="B586:C586" si="461">B585+1</f>
        <v>601</v>
      </c>
      <c r="C586" s="23">
        <f t="shared" si="461"/>
        <v>601</v>
      </c>
      <c r="D586" s="52" t="str">
        <f>IFERROR(VLOOKUP(C586,gachas!A:C,3),0)</f>
        <v>クリスマススペシャルガチャSide:B</v>
      </c>
      <c r="E586" s="42" t="s">
        <v>3267</v>
      </c>
      <c r="F586" s="42" t="s">
        <v>3268</v>
      </c>
      <c r="G586" s="60">
        <v>600</v>
      </c>
      <c r="H586" s="6">
        <v>3</v>
      </c>
    </row>
    <row r="587" spans="1:8" ht="21" customHeight="1" x14ac:dyDescent="0.15">
      <c r="A587" s="10" t="str">
        <f t="shared" ref="A587:A590" si="462">B587&amp;C587</f>
        <v>602602</v>
      </c>
      <c r="B587" s="23">
        <f t="shared" ref="B587:C587" si="463">B586+1</f>
        <v>602</v>
      </c>
      <c r="C587" s="23">
        <f t="shared" si="463"/>
        <v>602</v>
      </c>
      <c r="D587" s="52" t="str">
        <f>IFERROR(VLOOKUP(C587,gachas!A:C,3),0)</f>
        <v>全世界800万DL突破記念ガチャSideA（セルシウス）</v>
      </c>
      <c r="E587" s="42" t="s">
        <v>3311</v>
      </c>
      <c r="F587" s="42" t="s">
        <v>3312</v>
      </c>
      <c r="G587" s="60">
        <v>603</v>
      </c>
      <c r="H587" s="6">
        <v>3</v>
      </c>
    </row>
    <row r="588" spans="1:8" ht="21" customHeight="1" x14ac:dyDescent="0.15">
      <c r="A588" s="10" t="str">
        <f t="shared" si="462"/>
        <v>603603</v>
      </c>
      <c r="B588" s="23">
        <f t="shared" ref="B588:C588" si="464">B587+1</f>
        <v>603</v>
      </c>
      <c r="C588" s="23">
        <f t="shared" si="464"/>
        <v>603</v>
      </c>
      <c r="D588" s="52" t="str">
        <f>IFERROR(VLOOKUP(C588,gachas!A:C,3),0)</f>
        <v>全世界800万DL突破記念ガチャSideB（ハイゼンベルク）</v>
      </c>
      <c r="E588" s="42" t="s">
        <v>3311</v>
      </c>
      <c r="F588" s="42" t="s">
        <v>3313</v>
      </c>
      <c r="G588" s="60">
        <v>602</v>
      </c>
      <c r="H588" s="6">
        <v>3</v>
      </c>
    </row>
    <row r="589" spans="1:8" ht="21" customHeight="1" x14ac:dyDescent="0.15">
      <c r="A589" s="10" t="str">
        <f t="shared" si="462"/>
        <v>604604</v>
      </c>
      <c r="B589" s="23">
        <f t="shared" ref="B589:C589" si="465">B588+1</f>
        <v>604</v>
      </c>
      <c r="C589" s="23">
        <f t="shared" si="465"/>
        <v>604</v>
      </c>
      <c r="D589" s="52" t="str">
        <f>IFERROR(VLOOKUP(C589,gachas!A:C,3),0)</f>
        <v>全世界800万DL突破記念ガチャSideC（メビウス）</v>
      </c>
      <c r="E589" s="42" t="s">
        <v>3314</v>
      </c>
      <c r="F589" s="42" t="s">
        <v>3315</v>
      </c>
      <c r="G589" s="60">
        <v>606</v>
      </c>
      <c r="H589" s="6">
        <v>3</v>
      </c>
    </row>
    <row r="590" spans="1:8" ht="21" customHeight="1" x14ac:dyDescent="0.15">
      <c r="A590" s="10" t="str">
        <f t="shared" si="462"/>
        <v>605605</v>
      </c>
      <c r="B590" s="23">
        <f t="shared" ref="B590:C590" si="466">B589+1</f>
        <v>605</v>
      </c>
      <c r="C590" s="23">
        <f t="shared" si="466"/>
        <v>605</v>
      </c>
      <c r="D590" s="52" t="str">
        <f>IFERROR(VLOOKUP(C590,gachas!A:C,3),0)</f>
        <v>全世界800万DL突破記念ガチャSideD（コーシー）</v>
      </c>
      <c r="E590" s="42" t="s">
        <v>3316</v>
      </c>
      <c r="F590" s="42" t="s">
        <v>3312</v>
      </c>
      <c r="G590" s="60">
        <v>610</v>
      </c>
      <c r="H590" s="6">
        <v>3</v>
      </c>
    </row>
    <row r="591" spans="1:8" ht="21" customHeight="1" x14ac:dyDescent="0.15">
      <c r="A591" s="10" t="str">
        <f t="shared" ref="A591:A594" si="467">B591&amp;C591</f>
        <v>606606</v>
      </c>
      <c r="B591" s="23">
        <f t="shared" ref="B591:C591" si="468">B590+1</f>
        <v>606</v>
      </c>
      <c r="C591" s="23">
        <f t="shared" si="468"/>
        <v>606</v>
      </c>
      <c r="D591" s="52" t="str">
        <f>IFERROR(VLOOKUP(C591,gachas!A:C,3),0)</f>
        <v xml:space="preserve"> 5月超フェス（チョイス1）</v>
      </c>
      <c r="E591" s="42" t="s">
        <v>3317</v>
      </c>
      <c r="F591" s="42" t="s">
        <v>3318</v>
      </c>
      <c r="G591" s="60">
        <v>605</v>
      </c>
      <c r="H591" s="6">
        <v>3</v>
      </c>
    </row>
    <row r="592" spans="1:8" ht="21" customHeight="1" x14ac:dyDescent="0.15">
      <c r="A592" s="10" t="str">
        <f t="shared" si="467"/>
        <v>607607</v>
      </c>
      <c r="B592" s="23">
        <f t="shared" ref="B592:C592" si="469">B591+1</f>
        <v>607</v>
      </c>
      <c r="C592" s="23">
        <f t="shared" si="469"/>
        <v>607</v>
      </c>
      <c r="D592" s="52" t="str">
        <f>IFERROR(VLOOKUP(C592,gachas!A:C,3),0)</f>
        <v xml:space="preserve"> 5月超フェス（チョイス2）</v>
      </c>
      <c r="E592" s="42" t="s">
        <v>3317</v>
      </c>
      <c r="F592" s="42" t="s">
        <v>3318</v>
      </c>
      <c r="G592" s="60">
        <v>604</v>
      </c>
      <c r="H592" s="6">
        <v>3</v>
      </c>
    </row>
    <row r="593" spans="1:8" ht="21" customHeight="1" x14ac:dyDescent="0.15">
      <c r="A593" s="10" t="str">
        <f t="shared" si="467"/>
        <v>608608</v>
      </c>
      <c r="B593" s="23">
        <f t="shared" ref="B593:C593" si="470">B592+1</f>
        <v>608</v>
      </c>
      <c r="C593" s="23">
        <f t="shared" si="470"/>
        <v>608</v>
      </c>
      <c r="D593" s="52" t="str">
        <f>IFERROR(VLOOKUP(C593,gachas!A:C,3),0)</f>
        <v xml:space="preserve"> 5月超フェス（チョイス3）</v>
      </c>
      <c r="E593" s="42" t="s">
        <v>3319</v>
      </c>
      <c r="F593" s="42" t="s">
        <v>3313</v>
      </c>
      <c r="G593" s="60">
        <v>608</v>
      </c>
      <c r="H593" s="6">
        <v>3</v>
      </c>
    </row>
    <row r="594" spans="1:8" ht="21" customHeight="1" x14ac:dyDescent="0.15">
      <c r="A594" s="10" t="str">
        <f t="shared" si="467"/>
        <v>609609</v>
      </c>
      <c r="B594" s="23">
        <f t="shared" ref="B594:C595" si="471">B593+1</f>
        <v>609</v>
      </c>
      <c r="C594" s="23">
        <f t="shared" si="471"/>
        <v>609</v>
      </c>
      <c r="D594" s="52" t="str">
        <f>IFERROR(VLOOKUP(C594,gachas!A:C,3),0)</f>
        <v xml:space="preserve"> 5月超フェス（チョイス4）</v>
      </c>
      <c r="E594" s="42" t="s">
        <v>3319</v>
      </c>
      <c r="F594" s="42" t="s">
        <v>3313</v>
      </c>
      <c r="G594" s="60">
        <v>607</v>
      </c>
      <c r="H594" s="6">
        <v>3</v>
      </c>
    </row>
    <row r="595" spans="1:8" ht="21" customHeight="1" x14ac:dyDescent="0.15">
      <c r="A595" s="10" t="str">
        <f t="shared" ref="A595" si="472">B595&amp;C595</f>
        <v>610610</v>
      </c>
      <c r="B595" s="23">
        <f t="shared" si="471"/>
        <v>610</v>
      </c>
      <c r="C595" s="23">
        <f t="shared" si="471"/>
        <v>610</v>
      </c>
      <c r="D595" s="52" t="str">
        <f>IFERROR(VLOOKUP(C595,gachas!A:C,3),0)</f>
        <v>全世界800万DL突破記念_海外版限定スペシャルガチャ（関羽）</v>
      </c>
      <c r="E595" s="42" t="s">
        <v>3377</v>
      </c>
      <c r="F595" s="42" t="s">
        <v>3312</v>
      </c>
      <c r="G595" s="60">
        <v>609</v>
      </c>
      <c r="H595" s="6">
        <v>3</v>
      </c>
    </row>
    <row r="596" spans="1:8" ht="21" customHeight="1" x14ac:dyDescent="0.15">
      <c r="A596" s="10" t="str">
        <f t="shared" ref="A596:A597" si="473">B596&amp;C596</f>
        <v>611611</v>
      </c>
      <c r="B596" s="23">
        <f t="shared" ref="B596:C596" si="474">B595+1</f>
        <v>611</v>
      </c>
      <c r="C596" s="23">
        <f t="shared" si="474"/>
        <v>611</v>
      </c>
      <c r="D596" s="52" t="str">
        <f>IFERROR(VLOOKUP(C596,gachas!A:C,3),0)</f>
        <v>ランキング対抗ガチャ&lt;シュヴァルツシルト&gt;</v>
      </c>
      <c r="E596" s="42" t="s">
        <v>3379</v>
      </c>
      <c r="F596" s="42" t="s">
        <v>3380</v>
      </c>
      <c r="G596" s="24">
        <f>B596</f>
        <v>611</v>
      </c>
      <c r="H596" s="6">
        <v>3</v>
      </c>
    </row>
    <row r="597" spans="1:8" ht="21" customHeight="1" x14ac:dyDescent="0.15">
      <c r="A597" s="10" t="str">
        <f t="shared" si="473"/>
        <v>612612</v>
      </c>
      <c r="B597" s="23">
        <f t="shared" ref="B597:C597" si="475">B596+1</f>
        <v>612</v>
      </c>
      <c r="C597" s="23">
        <f t="shared" si="475"/>
        <v>612</v>
      </c>
      <c r="D597" s="52" t="str">
        <f>IFERROR(VLOOKUP(C597,gachas!A:C,3),0)</f>
        <v>確定ステップアップガチャ（童話in)</v>
      </c>
      <c r="E597" s="42" t="s">
        <v>3381</v>
      </c>
      <c r="F597" s="42" t="s">
        <v>3382</v>
      </c>
      <c r="G597" s="24">
        <f>B597</f>
        <v>612</v>
      </c>
      <c r="H597" s="6">
        <v>3</v>
      </c>
    </row>
    <row r="598" spans="1:8" ht="21" customHeight="1" x14ac:dyDescent="0.15">
      <c r="A598" s="10" t="str">
        <f t="shared" ref="A598:A599" si="476">B598&amp;C598</f>
        <v>613613</v>
      </c>
      <c r="B598" s="23">
        <f t="shared" ref="B598:C598" si="477">B597+1</f>
        <v>613</v>
      </c>
      <c r="C598" s="23">
        <f t="shared" si="477"/>
        <v>613</v>
      </c>
      <c r="D598" s="52" t="str">
        <f>IFERROR(VLOOKUP(C598,gachas!A:C,3),0)</f>
        <v>ジューンブライドガチャSideA</v>
      </c>
      <c r="E598" s="42" t="s">
        <v>3398</v>
      </c>
      <c r="F598" s="42" t="s">
        <v>3220</v>
      </c>
      <c r="G598" s="60">
        <v>614</v>
      </c>
      <c r="H598" s="6">
        <v>3</v>
      </c>
    </row>
    <row r="599" spans="1:8" ht="21" customHeight="1" x14ac:dyDescent="0.15">
      <c r="A599" s="10" t="str">
        <f t="shared" si="476"/>
        <v>614614</v>
      </c>
      <c r="B599" s="23">
        <f t="shared" ref="B599:C599" si="478">B598+1</f>
        <v>614</v>
      </c>
      <c r="C599" s="23">
        <f t="shared" si="478"/>
        <v>614</v>
      </c>
      <c r="D599" s="52" t="str">
        <f>IFERROR(VLOOKUP(C599,gachas!A:C,3),0)</f>
        <v>ジューンブライドガチャSideB</v>
      </c>
      <c r="E599" s="42" t="s">
        <v>3398</v>
      </c>
      <c r="F599" s="42" t="s">
        <v>3220</v>
      </c>
      <c r="G599" s="60">
        <v>613</v>
      </c>
      <c r="H599" s="6">
        <v>3</v>
      </c>
    </row>
  </sheetData>
  <autoFilter ref="A1:H361"/>
  <phoneticPr fontId="1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 enableFormatConditionsCalculation="0">
    <tabColor rgb="FF0000FF"/>
  </sheetPr>
  <dimension ref="A1:K274"/>
  <sheetViews>
    <sheetView workbookViewId="0">
      <pane ySplit="1" topLeftCell="A171" activePane="bottomLeft" state="frozen"/>
      <selection pane="bottomLeft" activeCell="G217" sqref="G217"/>
    </sheetView>
  </sheetViews>
  <sheetFormatPr baseColWidth="12" defaultRowHeight="14" x14ac:dyDescent="0.15"/>
  <cols>
    <col min="1" max="2" width="13" style="87"/>
    <col min="3" max="3" width="50.796875" style="87" customWidth="1"/>
    <col min="4" max="4" width="14" style="87" bestFit="1" customWidth="1"/>
    <col min="5" max="5" width="16.3984375" style="87" bestFit="1" customWidth="1"/>
    <col min="6" max="6" width="81.3984375" style="98" customWidth="1"/>
    <col min="7" max="7" width="13" style="87"/>
    <col min="8" max="8" width="16.19921875" style="87" bestFit="1" customWidth="1"/>
    <col min="9" max="9" width="13" style="87"/>
    <col min="10" max="10" width="21.19921875" style="87" bestFit="1" customWidth="1"/>
    <col min="11" max="16384" width="13" style="87"/>
  </cols>
  <sheetData>
    <row r="1" spans="1:11" ht="15" x14ac:dyDescent="0.15">
      <c r="A1" s="82" t="s">
        <v>924</v>
      </c>
      <c r="B1" s="82" t="s">
        <v>939</v>
      </c>
      <c r="C1" s="82" t="s">
        <v>940</v>
      </c>
      <c r="D1" s="83" t="s">
        <v>941</v>
      </c>
      <c r="E1" s="83" t="s">
        <v>942</v>
      </c>
      <c r="F1" s="84" t="s">
        <v>943</v>
      </c>
      <c r="G1" s="85" t="s">
        <v>944</v>
      </c>
      <c r="H1" s="86" t="s">
        <v>945</v>
      </c>
      <c r="J1" s="87" t="s">
        <v>946</v>
      </c>
    </row>
    <row r="2" spans="1:11" ht="15" x14ac:dyDescent="0.15">
      <c r="A2" s="88" t="str">
        <f>"9"&amp;TEXT(RIGHT(B2,3),"000")</f>
        <v>9349</v>
      </c>
      <c r="B2" s="89" t="s">
        <v>947</v>
      </c>
      <c r="C2" s="100" t="str">
        <f>VLOOKUP(VALUE(RIGHT(B2,3)),gachas!A:C,3,FALSE)</f>
        <v>ステップアップ&lt;ブール&gt;</v>
      </c>
      <c r="D2" s="100" t="str">
        <f t="shared" ref="D2:D263" si="0">B2&amp;".png"</f>
        <v>gacha349.png</v>
      </c>
      <c r="E2" s="101" t="str">
        <f t="shared" ref="E2:E9" si="1">RIGHT(B2,3)</f>
        <v>349</v>
      </c>
      <c r="F2" s="89" t="s">
        <v>948</v>
      </c>
      <c r="G2" s="90" t="s">
        <v>949</v>
      </c>
      <c r="H2" s="90" t="s">
        <v>950</v>
      </c>
      <c r="J2" s="92" t="s">
        <v>951</v>
      </c>
    </row>
    <row r="3" spans="1:11" x14ac:dyDescent="0.15">
      <c r="A3" s="88" t="str">
        <f>"9"&amp;TEXT(RIGHT(B3,3),"000")</f>
        <v>9350</v>
      </c>
      <c r="B3" s="89" t="s">
        <v>966</v>
      </c>
      <c r="C3" s="100" t="str">
        <f>VLOOKUP(VALUE(RIGHT(B3,3)),gachas!A:C,3,FALSE)</f>
        <v>フィーバーフェス(フロイト、ラグランジュ)</v>
      </c>
      <c r="D3" s="100" t="str">
        <f t="shared" si="0"/>
        <v>gacha350.png</v>
      </c>
      <c r="E3" s="101" t="str">
        <f t="shared" si="1"/>
        <v>350</v>
      </c>
      <c r="F3" s="89" t="s">
        <v>967</v>
      </c>
      <c r="G3" s="90" t="s">
        <v>841</v>
      </c>
      <c r="H3" s="90" t="s">
        <v>434</v>
      </c>
      <c r="J3" s="87" t="s">
        <v>955</v>
      </c>
      <c r="K3" s="87" t="s">
        <v>956</v>
      </c>
    </row>
    <row r="4" spans="1:11" x14ac:dyDescent="0.15">
      <c r="A4" s="88" t="str">
        <f t="shared" ref="A4:A9" si="2">"9"&amp;TEXT(RIGHT(B4,3),"000")</f>
        <v>9351</v>
      </c>
      <c r="B4" s="89" t="s">
        <v>992</v>
      </c>
      <c r="C4" s="100" t="str">
        <f>VLOOKUP(VALUE(RIGHT(B4,3)),gachas!A:C,3,FALSE)</f>
        <v>300万DL突破記念ガチャ</v>
      </c>
      <c r="D4" s="100" t="str">
        <f t="shared" si="0"/>
        <v>gacha351.png</v>
      </c>
      <c r="E4" s="101" t="str">
        <f t="shared" si="1"/>
        <v>351</v>
      </c>
      <c r="F4" s="89" t="s">
        <v>997</v>
      </c>
      <c r="G4" s="90" t="s">
        <v>954</v>
      </c>
      <c r="H4" s="90" t="s">
        <v>257</v>
      </c>
      <c r="J4" s="87" t="s">
        <v>961</v>
      </c>
      <c r="K4" s="87" t="s">
        <v>962</v>
      </c>
    </row>
    <row r="5" spans="1:11" x14ac:dyDescent="0.15">
      <c r="A5" s="88" t="str">
        <f t="shared" si="2"/>
        <v>9352</v>
      </c>
      <c r="B5" s="89" t="s">
        <v>993</v>
      </c>
      <c r="C5" s="100" t="str">
        <f>VLOOKUP(VALUE(RIGHT(B5,3)),gachas!A:C,3,FALSE)</f>
        <v>ランキング対抗ガチャ&lt;シュヴァルツシルト&gt;</v>
      </c>
      <c r="D5" s="100" t="str">
        <f t="shared" si="0"/>
        <v>gacha352.png</v>
      </c>
      <c r="E5" s="101" t="str">
        <f t="shared" si="1"/>
        <v>352</v>
      </c>
      <c r="F5" s="89" t="s">
        <v>995</v>
      </c>
      <c r="G5" s="90" t="s">
        <v>954</v>
      </c>
      <c r="H5" s="90" t="s">
        <v>257</v>
      </c>
      <c r="J5" s="87" t="s">
        <v>89</v>
      </c>
      <c r="K5" s="87" t="s">
        <v>963</v>
      </c>
    </row>
    <row r="6" spans="1:11" x14ac:dyDescent="0.15">
      <c r="A6" s="88" t="str">
        <f t="shared" ref="A6:A8" si="3">"9"&amp;TEXT(RIGHT(B6,3),"000")</f>
        <v>9353</v>
      </c>
      <c r="B6" s="89" t="s">
        <v>994</v>
      </c>
      <c r="C6" s="100" t="str">
        <f>VLOOKUP(VALUE(RIGHT(B6,3)),gachas!A:C,3,FALSE)</f>
        <v>ハンプティおまけガチャ&lt;1回のみ&gt;</v>
      </c>
      <c r="D6" s="100" t="str">
        <f t="shared" ref="D6:D8" si="4">B6&amp;".png"</f>
        <v>gacha353.png</v>
      </c>
      <c r="E6" s="101" t="str">
        <f t="shared" ref="E6:E8" si="5">RIGHT(B6,3)</f>
        <v>353</v>
      </c>
      <c r="F6" s="89" t="s">
        <v>996</v>
      </c>
      <c r="G6" s="90" t="s">
        <v>841</v>
      </c>
      <c r="H6" s="90" t="s">
        <v>685</v>
      </c>
    </row>
    <row r="7" spans="1:11" x14ac:dyDescent="0.15">
      <c r="A7" s="88" t="str">
        <f t="shared" si="3"/>
        <v>9354</v>
      </c>
      <c r="B7" s="89" t="s">
        <v>1021</v>
      </c>
      <c r="C7" s="100" t="str">
        <f>VLOOKUP(VALUE(RIGHT(B7,3)),gachas!A:C,3,FALSE)</f>
        <v>ピックアップ&lt;ペロー、ハーメルン&gt;</v>
      </c>
      <c r="D7" s="100" t="str">
        <f t="shared" si="4"/>
        <v>gacha354.png</v>
      </c>
      <c r="E7" s="101" t="str">
        <f t="shared" si="5"/>
        <v>354</v>
      </c>
      <c r="F7" s="89" t="s">
        <v>1025</v>
      </c>
      <c r="G7" s="90" t="s">
        <v>841</v>
      </c>
      <c r="H7" s="90" t="s">
        <v>685</v>
      </c>
    </row>
    <row r="8" spans="1:11" x14ac:dyDescent="0.15">
      <c r="A8" s="88" t="str">
        <f t="shared" si="3"/>
        <v>9355</v>
      </c>
      <c r="B8" s="89" t="s">
        <v>1022</v>
      </c>
      <c r="C8" s="100" t="str">
        <f>VLOOKUP(VALUE(RIGHT(B8,3)),gachas!A:C,3,FALSE)</f>
        <v>サンリオガチャ前半</v>
      </c>
      <c r="D8" s="100" t="str">
        <f t="shared" si="4"/>
        <v>gacha355.png</v>
      </c>
      <c r="E8" s="101" t="str">
        <f t="shared" si="5"/>
        <v>355</v>
      </c>
      <c r="F8" s="89" t="s">
        <v>1024</v>
      </c>
      <c r="G8" s="90" t="s">
        <v>841</v>
      </c>
      <c r="H8" s="90" t="s">
        <v>685</v>
      </c>
    </row>
    <row r="9" spans="1:11" x14ac:dyDescent="0.15">
      <c r="A9" s="88" t="str">
        <f t="shared" si="2"/>
        <v>9356</v>
      </c>
      <c r="B9" s="89" t="s">
        <v>1023</v>
      </c>
      <c r="C9" s="100" t="str">
        <f>VLOOKUP(VALUE(RIGHT(B9,3)),gachas!A:C,3,FALSE)</f>
        <v>ダブルカラーフェス&lt;レッド、グリーン&gt;</v>
      </c>
      <c r="D9" s="100" t="str">
        <f t="shared" si="0"/>
        <v>gacha356.png</v>
      </c>
      <c r="E9" s="101" t="str">
        <f t="shared" si="1"/>
        <v>356</v>
      </c>
      <c r="F9" s="89" t="s">
        <v>1105</v>
      </c>
      <c r="G9" s="90" t="s">
        <v>954</v>
      </c>
      <c r="H9" s="90" t="s">
        <v>950</v>
      </c>
    </row>
    <row r="10" spans="1:11" x14ac:dyDescent="0.15">
      <c r="A10" s="88" t="str">
        <f t="shared" ref="A10" si="6">"9"&amp;TEXT(RIGHT(B10,3),"000")</f>
        <v>9357</v>
      </c>
      <c r="B10" s="89" t="s">
        <v>1070</v>
      </c>
      <c r="C10" s="100" t="str">
        <f>VLOOKUP(VALUE(RIGHT(B10,3)),gachas!A:C,3,FALSE)</f>
        <v>サンリオガチャ後半</v>
      </c>
      <c r="D10" s="100" t="str">
        <f t="shared" ref="D10" si="7">B10&amp;".png"</f>
        <v>gacha357.png</v>
      </c>
      <c r="E10" s="101" t="str">
        <f t="shared" ref="E10" si="8">RIGHT(B10,3)</f>
        <v>357</v>
      </c>
      <c r="F10" s="89" t="s">
        <v>1072</v>
      </c>
      <c r="G10" s="90" t="s">
        <v>841</v>
      </c>
      <c r="H10" s="90" t="s">
        <v>684</v>
      </c>
    </row>
    <row r="11" spans="1:11" x14ac:dyDescent="0.15">
      <c r="A11" s="88" t="str">
        <f t="shared" ref="A11" si="9">"9"&amp;TEXT(RIGHT(B11,3),"000")</f>
        <v>9358</v>
      </c>
      <c r="B11" s="89" t="s">
        <v>1071</v>
      </c>
      <c r="C11" s="100" t="str">
        <f>VLOOKUP(VALUE(RIGHT(B11,3)),gachas!A:C,3,FALSE)</f>
        <v>400万DL突破記念ガチャ</v>
      </c>
      <c r="D11" s="100" t="str">
        <f t="shared" ref="D11" si="10">B11&amp;".png"</f>
        <v>gacha358.png</v>
      </c>
      <c r="E11" s="101" t="str">
        <f t="shared" ref="E11" si="11">RIGHT(B11,3)</f>
        <v>358</v>
      </c>
      <c r="F11" s="89" t="s">
        <v>1080</v>
      </c>
      <c r="G11" s="90" t="s">
        <v>841</v>
      </c>
      <c r="H11" s="90" t="s">
        <v>684</v>
      </c>
    </row>
    <row r="12" spans="1:11" x14ac:dyDescent="0.15">
      <c r="A12" s="88" t="str">
        <f t="shared" ref="A12:A13" si="12">"9"&amp;TEXT(RIGHT(B12,3),"000")</f>
        <v>9359</v>
      </c>
      <c r="B12" s="89" t="s">
        <v>1095</v>
      </c>
      <c r="C12" s="100" t="str">
        <f>VLOOKUP(VALUE(RIGHT(B12,3)),gachas!A:C,3,FALSE)</f>
        <v>Wカラーフェス&lt;青、黄&gt;</v>
      </c>
      <c r="D12" s="100" t="str">
        <f t="shared" ref="D12:D13" si="13">B12&amp;".png"</f>
        <v>gacha359.png</v>
      </c>
      <c r="E12" s="101" t="str">
        <f t="shared" ref="E12:E13" si="14">RIGHT(B12,3)</f>
        <v>359</v>
      </c>
      <c r="F12" s="89" t="s">
        <v>1106</v>
      </c>
      <c r="G12" s="90" t="s">
        <v>841</v>
      </c>
      <c r="H12" s="90" t="s">
        <v>84</v>
      </c>
    </row>
    <row r="13" spans="1:11" x14ac:dyDescent="0.15">
      <c r="A13" s="88" t="str">
        <f t="shared" si="12"/>
        <v>9360</v>
      </c>
      <c r="B13" s="89" t="s">
        <v>1096</v>
      </c>
      <c r="C13" s="100" t="str">
        <f>VLOOKUP(VALUE(RIGHT(B13,3)),gachas!A:C,3,FALSE)</f>
        <v>ギリシャ神話ガチャ（新キャラ）</v>
      </c>
      <c r="D13" s="100" t="str">
        <f t="shared" si="13"/>
        <v>gacha360.png</v>
      </c>
      <c r="E13" s="101" t="str">
        <f t="shared" si="14"/>
        <v>360</v>
      </c>
      <c r="F13" s="89" t="s">
        <v>1109</v>
      </c>
      <c r="G13" s="90" t="s">
        <v>841</v>
      </c>
      <c r="H13" s="90" t="s">
        <v>84</v>
      </c>
    </row>
    <row r="14" spans="1:11" x14ac:dyDescent="0.15">
      <c r="A14" s="88" t="str">
        <f t="shared" ref="A14" si="15">"9"&amp;TEXT(RIGHT(B14,3),"000")</f>
        <v>9362</v>
      </c>
      <c r="B14" s="89" t="s">
        <v>1098</v>
      </c>
      <c r="C14" s="100" t="str">
        <f>VLOOKUP(VALUE(RIGHT(B14,3)),gachas!A:C,3,FALSE)</f>
        <v>フィーバーフェス&lt;ポアソン、クロネッカー&gt;</v>
      </c>
      <c r="D14" s="100" t="str">
        <f t="shared" ref="D14" si="16">B14&amp;".png"</f>
        <v>gacha362.png</v>
      </c>
      <c r="E14" s="101" t="str">
        <f t="shared" ref="E14" si="17">RIGHT(B14,3)</f>
        <v>362</v>
      </c>
      <c r="F14" s="89" t="s">
        <v>1107</v>
      </c>
      <c r="G14" s="90" t="s">
        <v>841</v>
      </c>
      <c r="H14" s="90" t="s">
        <v>84</v>
      </c>
    </row>
    <row r="15" spans="1:11" x14ac:dyDescent="0.15">
      <c r="A15" s="108" t="s">
        <v>1149</v>
      </c>
      <c r="B15" s="89" t="s">
        <v>1120</v>
      </c>
      <c r="C15" s="100" t="str">
        <f>VLOOKUP(VALUE(RIGHT(B15,3)),gachas!A:C,3,FALSE)</f>
        <v>フランス革命ガチャ</v>
      </c>
      <c r="D15" s="100" t="str">
        <f t="shared" ref="D15" si="18">B15&amp;".png"</f>
        <v>gacha363.png</v>
      </c>
      <c r="E15" s="101" t="str">
        <f t="shared" ref="E15" si="19">RIGHT(B15,3)</f>
        <v>363</v>
      </c>
      <c r="F15" s="89" t="s">
        <v>1139</v>
      </c>
      <c r="G15" s="90" t="s">
        <v>841</v>
      </c>
      <c r="H15" s="90" t="s">
        <v>84</v>
      </c>
    </row>
    <row r="16" spans="1:11" x14ac:dyDescent="0.15">
      <c r="A16" s="108" t="s">
        <v>1150</v>
      </c>
      <c r="B16" s="89" t="s">
        <v>1137</v>
      </c>
      <c r="C16" s="100" t="str">
        <f>VLOOKUP(VALUE(RIGHT(B16,3)),gachas!A:C,3,FALSE)</f>
        <v>七夕ステップアップガチャ</v>
      </c>
      <c r="D16" s="100" t="str">
        <f t="shared" ref="D16" si="20">B16&amp;".png"</f>
        <v>gacha365.png</v>
      </c>
      <c r="E16" s="101" t="str">
        <f t="shared" ref="E16" si="21">RIGHT(B16,3)</f>
        <v>365</v>
      </c>
      <c r="F16" s="89" t="s">
        <v>1121</v>
      </c>
      <c r="G16" s="90" t="s">
        <v>841</v>
      </c>
      <c r="H16" s="90" t="s">
        <v>84</v>
      </c>
    </row>
    <row r="17" spans="1:8" x14ac:dyDescent="0.15">
      <c r="A17" s="108" t="s">
        <v>1148</v>
      </c>
      <c r="B17" s="89" t="s">
        <v>1147</v>
      </c>
      <c r="C17" s="100" t="str">
        <f>VLOOKUP(VALUE(RIGHT(B17,3)),gachas!A:C,3,FALSE)</f>
        <v>7月ステップアップフィーバー</v>
      </c>
      <c r="D17" s="100" t="str">
        <f t="shared" ref="D17" si="22">B17&amp;".png"</f>
        <v>gacha366.png</v>
      </c>
      <c r="E17" s="101" t="str">
        <f t="shared" ref="E17" si="23">RIGHT(B17,3)</f>
        <v>366</v>
      </c>
      <c r="F17" s="89" t="s">
        <v>1442</v>
      </c>
      <c r="G17" s="90" t="s">
        <v>841</v>
      </c>
      <c r="H17" s="90" t="s">
        <v>84</v>
      </c>
    </row>
    <row r="18" spans="1:8" x14ac:dyDescent="0.15">
      <c r="A18" s="88" t="str">
        <f t="shared" ref="A18:A19" si="24">"9"&amp;TEXT(RIGHT(B18,3),"000")</f>
        <v>9367</v>
      </c>
      <c r="B18" s="89" t="s">
        <v>1177</v>
      </c>
      <c r="C18" s="100" t="str">
        <f>VLOOKUP(VALUE(RIGHT(B18,3)),gachas!A:C,3,FALSE)</f>
        <v>ランキング対抗ガチャ&lt;フレネル&gt;</v>
      </c>
      <c r="D18" s="100" t="str">
        <f t="shared" ref="D18" si="25">B18&amp;".png"</f>
        <v>gacha367.png</v>
      </c>
      <c r="E18" s="101" t="str">
        <f t="shared" ref="E18" si="26">RIGHT(B18,3)</f>
        <v>367</v>
      </c>
      <c r="F18" s="89" t="s">
        <v>1179</v>
      </c>
      <c r="G18" s="90" t="s">
        <v>841</v>
      </c>
      <c r="H18" s="90" t="s">
        <v>84</v>
      </c>
    </row>
    <row r="19" spans="1:8" x14ac:dyDescent="0.15">
      <c r="A19" s="88" t="str">
        <f t="shared" si="24"/>
        <v>9368</v>
      </c>
      <c r="B19" s="89" t="s">
        <v>1178</v>
      </c>
      <c r="C19" s="100" t="str">
        <f>VLOOKUP(VALUE(RIGHT(B19,3)),gachas!A:C,3,FALSE)</f>
        <v>1周年記念ステップアップ</v>
      </c>
      <c r="D19" s="100" t="str">
        <f t="shared" ref="D19" si="27">B19&amp;".png"</f>
        <v>gacha368.png</v>
      </c>
      <c r="E19" s="101" t="str">
        <f t="shared" ref="E19" si="28">RIGHT(B19,3)</f>
        <v>368</v>
      </c>
      <c r="F19" s="89" t="s">
        <v>1181</v>
      </c>
      <c r="G19" s="90" t="s">
        <v>841</v>
      </c>
      <c r="H19" s="90" t="s">
        <v>84</v>
      </c>
    </row>
    <row r="20" spans="1:8" x14ac:dyDescent="0.15">
      <c r="A20" s="88" t="str">
        <f t="shared" ref="A20" si="29">"9"&amp;TEXT(RIGHT(B20,3),"000")</f>
        <v>9369</v>
      </c>
      <c r="B20" s="89" t="s">
        <v>1210</v>
      </c>
      <c r="C20" s="100" t="str">
        <f>VLOOKUP(VALUE(RIGHT(B20,3)),gachas!A:C,3,FALSE)</f>
        <v>超覚醒記念ガチャ</v>
      </c>
      <c r="D20" s="100" t="str">
        <f t="shared" ref="D20" si="30">B20&amp;".png"</f>
        <v>gacha369.png</v>
      </c>
      <c r="E20" s="101" t="str">
        <f t="shared" ref="E20" si="31">RIGHT(B20,3)</f>
        <v>369</v>
      </c>
      <c r="F20" s="89" t="s">
        <v>1211</v>
      </c>
      <c r="G20" s="90" t="s">
        <v>841</v>
      </c>
      <c r="H20" s="90" t="s">
        <v>84</v>
      </c>
    </row>
    <row r="21" spans="1:8" x14ac:dyDescent="0.15">
      <c r="A21" s="88" t="str">
        <f t="shared" ref="A21" si="32">"9"&amp;TEXT(RIGHT(B21,3),"000")</f>
        <v>9370</v>
      </c>
      <c r="B21" s="89" t="s">
        <v>1212</v>
      </c>
      <c r="C21" s="100" t="str">
        <f>VLOOKUP(VALUE(RIGHT(B21,3)),gachas!A:C,3,FALSE)</f>
        <v>新クラファーコレクション</v>
      </c>
      <c r="D21" s="100" t="str">
        <f t="shared" ref="D21" si="33">B21&amp;".png"</f>
        <v>gacha370.png</v>
      </c>
      <c r="E21" s="101" t="str">
        <f t="shared" ref="E21" si="34">RIGHT(B21,3)</f>
        <v>370</v>
      </c>
      <c r="F21" s="89" t="s">
        <v>1213</v>
      </c>
      <c r="G21" s="90" t="s">
        <v>841</v>
      </c>
      <c r="H21" s="90" t="s">
        <v>84</v>
      </c>
    </row>
    <row r="22" spans="1:8" x14ac:dyDescent="0.15">
      <c r="A22" s="108" t="s">
        <v>1222</v>
      </c>
      <c r="B22" s="89" t="s">
        <v>1214</v>
      </c>
      <c r="C22" s="100" t="str">
        <f>VLOOKUP(VALUE(RIGHT(B22,3)),gachas!A:C,3,FALSE)</f>
        <v>水着ガチャ&lt;SideA&gt;</v>
      </c>
      <c r="D22" s="102" t="s">
        <v>1240</v>
      </c>
      <c r="E22" s="101" t="str">
        <f t="shared" ref="E22" si="35">RIGHT(B22,3)</f>
        <v>371</v>
      </c>
      <c r="F22" s="89" t="s">
        <v>1811</v>
      </c>
      <c r="G22" s="90" t="s">
        <v>841</v>
      </c>
      <c r="H22" s="90" t="s">
        <v>84</v>
      </c>
    </row>
    <row r="23" spans="1:8" x14ac:dyDescent="0.15">
      <c r="A23" s="108" t="s">
        <v>1223</v>
      </c>
      <c r="B23" s="89" t="s">
        <v>1215</v>
      </c>
      <c r="C23" s="100" t="str">
        <f>VLOOKUP(VALUE(RIGHT(B23,3)),gachas!A:C,3,FALSE)</f>
        <v>水着ガチャ&lt;SideB&gt;</v>
      </c>
      <c r="D23" s="102" t="s">
        <v>1241</v>
      </c>
      <c r="E23" s="101" t="str">
        <f t="shared" ref="E23" si="36">RIGHT(B23,3)</f>
        <v>372</v>
      </c>
      <c r="F23" s="89" t="s">
        <v>1216</v>
      </c>
      <c r="G23" s="90" t="s">
        <v>841</v>
      </c>
      <c r="H23" s="90" t="s">
        <v>84</v>
      </c>
    </row>
    <row r="24" spans="1:8" x14ac:dyDescent="0.15">
      <c r="A24" s="88" t="str">
        <f t="shared" ref="A24" si="37">"9"&amp;TEXT(RIGHT(B24,3),"000")</f>
        <v>9376</v>
      </c>
      <c r="B24" s="89" t="s">
        <v>1264</v>
      </c>
      <c r="C24" s="100" t="str">
        <f>VLOOKUP(VALUE(RIGHT(B24,3)),gachas!A:C,3,FALSE)</f>
        <v>R6解放ピックアップ&lt;クルミ、フウガ、ラプ、フレイヤ&gt;</v>
      </c>
      <c r="D24" s="100" t="str">
        <f t="shared" ref="D24:D33" si="38">B24&amp;".png"</f>
        <v>gacha376.png</v>
      </c>
      <c r="E24" s="101" t="str">
        <f t="shared" ref="E24:E34" si="39">RIGHT(B24,3)</f>
        <v>376</v>
      </c>
      <c r="F24" s="89" t="s">
        <v>1025</v>
      </c>
      <c r="G24" s="90" t="s">
        <v>841</v>
      </c>
      <c r="H24" s="90" t="s">
        <v>84</v>
      </c>
    </row>
    <row r="25" spans="1:8" x14ac:dyDescent="0.15">
      <c r="A25" s="88" t="str">
        <f t="shared" ref="A25:A32" si="40">"9"&amp;TEXT(RIGHT(B25,3),"000")</f>
        <v>9377</v>
      </c>
      <c r="B25" s="89" t="s">
        <v>1265</v>
      </c>
      <c r="C25" s="100" t="str">
        <f>VLOOKUP(VALUE(RIGHT(B25,3)),gachas!A:C,3,FALSE)</f>
        <v>ランキング対抗ガチャ&lt;ヘイウェイ&gt;</v>
      </c>
      <c r="D25" s="100" t="str">
        <f t="shared" ref="D25:D32" si="41">B25&amp;".png"</f>
        <v>gacha377.png</v>
      </c>
      <c r="E25" s="101" t="str">
        <f t="shared" ref="E25:E32" si="42">RIGHT(B25,3)</f>
        <v>377</v>
      </c>
      <c r="F25" s="89" t="s">
        <v>1267</v>
      </c>
      <c r="G25" s="90" t="s">
        <v>841</v>
      </c>
      <c r="H25" s="90" t="s">
        <v>84</v>
      </c>
    </row>
    <row r="26" spans="1:8" x14ac:dyDescent="0.15">
      <c r="A26" s="88" t="str">
        <f t="shared" si="40"/>
        <v>9378</v>
      </c>
      <c r="B26" s="89" t="s">
        <v>1294</v>
      </c>
      <c r="C26" s="100" t="str">
        <f>VLOOKUP(VALUE(RIGHT(B26,3)),gachas!A:C,3,FALSE)</f>
        <v>7月フィーバーフェス</v>
      </c>
      <c r="D26" s="100" t="str">
        <f t="shared" si="41"/>
        <v>gacha378.png</v>
      </c>
      <c r="E26" s="101" t="str">
        <f t="shared" si="42"/>
        <v>378</v>
      </c>
      <c r="F26" s="89" t="s">
        <v>1107</v>
      </c>
      <c r="G26" s="90" t="s">
        <v>841</v>
      </c>
      <c r="H26" s="90" t="s">
        <v>84</v>
      </c>
    </row>
    <row r="27" spans="1:8" x14ac:dyDescent="0.15">
      <c r="A27" s="88" t="str">
        <f t="shared" si="40"/>
        <v>9379</v>
      </c>
      <c r="B27" s="89" t="s">
        <v>1295</v>
      </c>
      <c r="C27" s="100" t="str">
        <f>VLOOKUP(VALUE(RIGHT(B27,3)),gachas!A:C,3,FALSE)</f>
        <v>エジプトガチャ</v>
      </c>
      <c r="D27" s="100" t="str">
        <f t="shared" si="41"/>
        <v>gacha379.png</v>
      </c>
      <c r="E27" s="101" t="str">
        <f t="shared" si="42"/>
        <v>379</v>
      </c>
      <c r="F27" s="89" t="s">
        <v>1139</v>
      </c>
      <c r="G27" s="90" t="s">
        <v>841</v>
      </c>
      <c r="H27" s="90" t="s">
        <v>84</v>
      </c>
    </row>
    <row r="28" spans="1:8" x14ac:dyDescent="0.15">
      <c r="A28" s="88" t="str">
        <f t="shared" si="40"/>
        <v>9381</v>
      </c>
      <c r="B28" s="89" t="s">
        <v>1297</v>
      </c>
      <c r="C28" s="100" t="str">
        <f>VLOOKUP(VALUE(RIGHT(B28,3)),gachas!A:C,3,FALSE)</f>
        <v>近藤ランスピックアップ</v>
      </c>
      <c r="D28" s="100" t="str">
        <f t="shared" si="41"/>
        <v>gacha381.png</v>
      </c>
      <c r="E28" s="101" t="str">
        <f t="shared" si="42"/>
        <v>381</v>
      </c>
      <c r="F28" s="89" t="s">
        <v>1025</v>
      </c>
      <c r="G28" s="90" t="s">
        <v>841</v>
      </c>
      <c r="H28" s="90" t="s">
        <v>84</v>
      </c>
    </row>
    <row r="29" spans="1:8" x14ac:dyDescent="0.15">
      <c r="A29" s="88" t="str">
        <f t="shared" si="40"/>
        <v>9382</v>
      </c>
      <c r="B29" s="89" t="s">
        <v>1335</v>
      </c>
      <c r="C29" s="100" t="str">
        <f>VLOOKUP(VALUE(RIGHT(B29,3)),gachas!A:C,3,FALSE)</f>
        <v>1周年記念スペシャルガチャ</v>
      </c>
      <c r="D29" s="100" t="str">
        <f t="shared" si="41"/>
        <v>gacha382.png</v>
      </c>
      <c r="E29" s="101" t="str">
        <f t="shared" si="42"/>
        <v>382</v>
      </c>
      <c r="F29" s="89" t="s">
        <v>1375</v>
      </c>
      <c r="G29" s="90" t="s">
        <v>841</v>
      </c>
      <c r="H29" s="90" t="s">
        <v>84</v>
      </c>
    </row>
    <row r="30" spans="1:8" x14ac:dyDescent="0.15">
      <c r="A30" s="88" t="str">
        <f t="shared" si="40"/>
        <v>9383</v>
      </c>
      <c r="B30" s="89" t="s">
        <v>1336</v>
      </c>
      <c r="C30" s="100" t="str">
        <f>VLOOKUP(VALUE(RIGHT(B30,3)),gachas!A:C,3,FALSE)</f>
        <v>R6解放ピックアップ&lt;ヴィシュヌ、サラスヴァティ&gt;</v>
      </c>
      <c r="D30" s="100" t="str">
        <f t="shared" si="41"/>
        <v>gacha383.png</v>
      </c>
      <c r="E30" s="101" t="str">
        <f t="shared" si="42"/>
        <v>383</v>
      </c>
      <c r="F30" s="89" t="s">
        <v>1025</v>
      </c>
      <c r="G30" s="90" t="s">
        <v>841</v>
      </c>
      <c r="H30" s="90" t="s">
        <v>84</v>
      </c>
    </row>
    <row r="31" spans="1:8" x14ac:dyDescent="0.15">
      <c r="A31" s="88" t="str">
        <f t="shared" si="40"/>
        <v>9384</v>
      </c>
      <c r="B31" s="89" t="s">
        <v>1337</v>
      </c>
      <c r="C31" s="100" t="str">
        <f>VLOOKUP(VALUE(RIGHT(B31,3)),gachas!A:C,3,FALSE)</f>
        <v>サマーセール特集記念ステップアップ</v>
      </c>
      <c r="D31" s="100" t="str">
        <f t="shared" si="41"/>
        <v>gacha384.png</v>
      </c>
      <c r="E31" s="101" t="str">
        <f t="shared" si="42"/>
        <v>384</v>
      </c>
      <c r="F31" s="89" t="s">
        <v>1377</v>
      </c>
      <c r="G31" s="90" t="s">
        <v>841</v>
      </c>
      <c r="H31" s="90" t="s">
        <v>84</v>
      </c>
    </row>
    <row r="32" spans="1:8" x14ac:dyDescent="0.15">
      <c r="A32" s="88" t="str">
        <f t="shared" si="40"/>
        <v>9385</v>
      </c>
      <c r="B32" s="89" t="s">
        <v>1338</v>
      </c>
      <c r="C32" s="100" t="str">
        <f>VLOOKUP(VALUE(RIGHT(B32,3)),gachas!A:C,3,FALSE)</f>
        <v>進撃コラボ前半</v>
      </c>
      <c r="D32" s="100" t="str">
        <f t="shared" si="41"/>
        <v>gacha385.png</v>
      </c>
      <c r="E32" s="101" t="str">
        <f t="shared" si="42"/>
        <v>385</v>
      </c>
      <c r="F32" s="89" t="s">
        <v>1373</v>
      </c>
      <c r="G32" s="90" t="s">
        <v>841</v>
      </c>
      <c r="H32" s="90" t="s">
        <v>84</v>
      </c>
    </row>
    <row r="33" spans="1:8" x14ac:dyDescent="0.15">
      <c r="A33" s="88">
        <v>9388</v>
      </c>
      <c r="B33" s="89" t="s">
        <v>1339</v>
      </c>
      <c r="C33" s="100" t="str">
        <f>VLOOKUP(VALUE(RIGHT(B33,3)),gachas!A:C,3,FALSE)</f>
        <v>進撃コラボ後半</v>
      </c>
      <c r="D33" s="100" t="str">
        <f t="shared" si="38"/>
        <v>gacha386.png</v>
      </c>
      <c r="E33" s="101" t="str">
        <f t="shared" si="39"/>
        <v>386</v>
      </c>
      <c r="F33" s="89" t="s">
        <v>1374</v>
      </c>
      <c r="G33" s="90" t="s">
        <v>841</v>
      </c>
      <c r="H33" s="90" t="s">
        <v>84</v>
      </c>
    </row>
    <row r="34" spans="1:8" x14ac:dyDescent="0.15">
      <c r="A34" s="88">
        <v>9386</v>
      </c>
      <c r="B34" s="89" t="s">
        <v>1383</v>
      </c>
      <c r="C34" s="100" t="str">
        <f>VLOOKUP(VALUE(RIGHT(B34,3)),gachas!A:C,3,FALSE)</f>
        <v>R6解放ピックアップ&lt;ハヅル、イナバ&gt;</v>
      </c>
      <c r="D34" s="100" t="str">
        <f t="shared" ref="D34:D36" si="43">B34&amp;".png"</f>
        <v>gacha387.png</v>
      </c>
      <c r="E34" s="101" t="str">
        <f t="shared" si="39"/>
        <v>387</v>
      </c>
      <c r="F34" s="89" t="s">
        <v>1025</v>
      </c>
      <c r="G34" s="90" t="s">
        <v>841</v>
      </c>
      <c r="H34" s="90" t="s">
        <v>84</v>
      </c>
    </row>
    <row r="35" spans="1:8" x14ac:dyDescent="0.15">
      <c r="A35" s="88">
        <v>9387</v>
      </c>
      <c r="B35" s="89" t="s">
        <v>1389</v>
      </c>
      <c r="C35" s="100" t="str">
        <f>VLOOKUP(VALUE(RIGHT(B35,3)),gachas!A:C,3,FALSE)</f>
        <v>ランキング対抗&lt;ド・モルガン&gt;</v>
      </c>
      <c r="D35" s="100" t="str">
        <f t="shared" si="43"/>
        <v>gacha388.png</v>
      </c>
      <c r="E35" s="101" t="str">
        <f t="shared" ref="E35:E36" si="44">RIGHT(B35,3)</f>
        <v>388</v>
      </c>
      <c r="F35" s="89" t="s">
        <v>1390</v>
      </c>
      <c r="G35" s="90" t="s">
        <v>841</v>
      </c>
      <c r="H35" s="90" t="s">
        <v>84</v>
      </c>
    </row>
    <row r="36" spans="1:8" x14ac:dyDescent="0.15">
      <c r="A36" s="88">
        <v>9389</v>
      </c>
      <c r="B36" s="89" t="s">
        <v>1403</v>
      </c>
      <c r="C36" s="100" t="str">
        <f>VLOOKUP(VALUE(RIGHT(B36,3)),gachas!A:C,3,FALSE)</f>
        <v>Wカラーフェス&lt;青、黄&gt;</v>
      </c>
      <c r="D36" s="100" t="str">
        <f t="shared" si="43"/>
        <v>gacha389.png</v>
      </c>
      <c r="E36" s="101" t="str">
        <f t="shared" si="44"/>
        <v>389</v>
      </c>
      <c r="F36" s="89" t="s">
        <v>1587</v>
      </c>
      <c r="G36" s="90" t="s">
        <v>1404</v>
      </c>
      <c r="H36" s="90" t="s">
        <v>84</v>
      </c>
    </row>
    <row r="37" spans="1:8" x14ac:dyDescent="0.15">
      <c r="A37" s="88" t="str">
        <f t="shared" ref="A37" si="45">"9"&amp;TEXT(RIGHT(B37,3),"000")</f>
        <v>9390</v>
      </c>
      <c r="B37" s="89" t="s">
        <v>1408</v>
      </c>
      <c r="C37" s="100" t="str">
        <f>VLOOKUP(VALUE(RIGHT(B37,3)),gachas!A:C,3,FALSE)</f>
        <v>平安ガチャ</v>
      </c>
      <c r="D37" s="100" t="str">
        <f t="shared" ref="D37:D38" si="46">B37&amp;".png"</f>
        <v>gacha390.png</v>
      </c>
      <c r="E37" s="101" t="str">
        <f t="shared" ref="E37" si="47">RIGHT(B37,3)</f>
        <v>390</v>
      </c>
      <c r="F37" s="89" t="s">
        <v>1139</v>
      </c>
      <c r="G37" s="90" t="s">
        <v>1404</v>
      </c>
      <c r="H37" s="90" t="s">
        <v>84</v>
      </c>
    </row>
    <row r="38" spans="1:8" x14ac:dyDescent="0.15">
      <c r="A38" s="88" t="str">
        <f t="shared" ref="A38" si="48">"9"&amp;TEXT(RIGHT(B38,3),"000")</f>
        <v>9392</v>
      </c>
      <c r="B38" s="89" t="s">
        <v>1436</v>
      </c>
      <c r="C38" s="100" t="str">
        <f>VLOOKUP(VALUE(RIGHT(B38,3)),gachas!A:C,3,FALSE)</f>
        <v>復刻ピックアップ&lt;円卓&gt;</v>
      </c>
      <c r="D38" s="100" t="str">
        <f t="shared" si="46"/>
        <v>gacha392.png</v>
      </c>
      <c r="E38" s="101" t="str">
        <f t="shared" ref="E38" si="49">RIGHT(B38,3)</f>
        <v>392</v>
      </c>
      <c r="F38" s="89" t="s">
        <v>1462</v>
      </c>
      <c r="G38" s="90" t="s">
        <v>841</v>
      </c>
      <c r="H38" s="90" t="s">
        <v>84</v>
      </c>
    </row>
    <row r="39" spans="1:8" x14ac:dyDescent="0.15">
      <c r="A39" s="88" t="str">
        <f>"9"&amp;TEXT(RIGHT(B39,3),"000")</f>
        <v>9393</v>
      </c>
      <c r="B39" s="89" t="s">
        <v>1424</v>
      </c>
      <c r="C39" s="100" t="str">
        <f>VLOOKUP(VALUE(RIGHT(B39,3)),gachas!A:C,3,FALSE)</f>
        <v>8月フィーバーフェス</v>
      </c>
      <c r="D39" s="100" t="str">
        <f t="shared" ref="D39:D41" si="50">B39&amp;".png"</f>
        <v>gacha393.png</v>
      </c>
      <c r="E39" s="101" t="str">
        <f t="shared" ref="E39:E41" si="51">RIGHT(B39,3)</f>
        <v>393</v>
      </c>
      <c r="F39" s="89" t="s">
        <v>1107</v>
      </c>
      <c r="G39" s="90" t="s">
        <v>1404</v>
      </c>
      <c r="H39" s="90" t="s">
        <v>84</v>
      </c>
    </row>
    <row r="40" spans="1:8" x14ac:dyDescent="0.15">
      <c r="A40" s="88" t="str">
        <f t="shared" ref="A40" si="52">"9"&amp;TEXT(RIGHT(B40,3),"000")</f>
        <v>9394</v>
      </c>
      <c r="B40" s="89" t="s">
        <v>1425</v>
      </c>
      <c r="C40" s="100" t="str">
        <f>VLOOKUP(VALUE(RIGHT(B40,3)),gachas!A:C,3,FALSE)</f>
        <v>ランキング対抗&lt;シュヴァルツシルト&gt;</v>
      </c>
      <c r="D40" s="100" t="str">
        <f t="shared" si="50"/>
        <v>gacha394.png</v>
      </c>
      <c r="E40" s="101" t="str">
        <f t="shared" si="51"/>
        <v>394</v>
      </c>
      <c r="F40" s="89" t="s">
        <v>1426</v>
      </c>
      <c r="G40" s="90" t="s">
        <v>1404</v>
      </c>
      <c r="H40" s="90" t="s">
        <v>84</v>
      </c>
    </row>
    <row r="41" spans="1:8" x14ac:dyDescent="0.15">
      <c r="A41" s="88" t="str">
        <f>"9"&amp;TEXT(RIGHT(B41,3),"000")</f>
        <v>9397</v>
      </c>
      <c r="B41" s="89" t="s">
        <v>1459</v>
      </c>
      <c r="C41" s="100" t="str">
        <f>VLOOKUP(VALUE(RIGHT(B41,3)),gachas!A:C,3,FALSE)</f>
        <v>メソポタミアガチャ</v>
      </c>
      <c r="D41" s="100" t="str">
        <f t="shared" si="50"/>
        <v>gacha397.png</v>
      </c>
      <c r="E41" s="101" t="str">
        <f t="shared" si="51"/>
        <v>397</v>
      </c>
      <c r="F41" s="89" t="s">
        <v>1473</v>
      </c>
      <c r="G41" s="90" t="s">
        <v>1404</v>
      </c>
      <c r="H41" s="90" t="s">
        <v>84</v>
      </c>
    </row>
    <row r="42" spans="1:8" x14ac:dyDescent="0.15">
      <c r="A42" s="94">
        <v>9402</v>
      </c>
      <c r="B42" s="89" t="s">
        <v>1477</v>
      </c>
      <c r="C42" s="100" t="str">
        <f>VLOOKUP(VALUE(RIGHT(B42,3)),gachas!A:C,3,FALSE)</f>
        <v>ランキング対抗&lt;ウィグナー&gt;</v>
      </c>
      <c r="D42" s="100" t="str">
        <f t="shared" ref="D42" si="53">B42&amp;".png"</f>
        <v>gacha400.png</v>
      </c>
      <c r="E42" s="101" t="str">
        <f t="shared" ref="E42" si="54">RIGHT(B42,3)</f>
        <v>400</v>
      </c>
      <c r="F42" s="89" t="s">
        <v>1426</v>
      </c>
      <c r="G42" s="90" t="s">
        <v>949</v>
      </c>
      <c r="H42" s="90" t="s">
        <v>84</v>
      </c>
    </row>
    <row r="43" spans="1:8" x14ac:dyDescent="0.15">
      <c r="A43" s="94">
        <v>9400</v>
      </c>
      <c r="B43" s="89" t="s">
        <v>1496</v>
      </c>
      <c r="C43" s="100" t="str">
        <f>VLOOKUP(VALUE(RIGHT(B43,3)),gachas!A:C,3,FALSE)</f>
        <v>R6解放ピックアップ&lt;ドライグ、アルフヘイム&gt;</v>
      </c>
      <c r="D43" s="100" t="str">
        <f t="shared" ref="D43" si="55">B43&amp;".png"</f>
        <v>gacha402.png</v>
      </c>
      <c r="E43" s="101" t="str">
        <f t="shared" ref="E43" si="56">RIGHT(B43,3)</f>
        <v>402</v>
      </c>
      <c r="F43" s="89" t="s">
        <v>1025</v>
      </c>
      <c r="G43" s="90" t="s">
        <v>949</v>
      </c>
      <c r="H43" s="90" t="s">
        <v>84</v>
      </c>
    </row>
    <row r="44" spans="1:8" ht="15" customHeight="1" x14ac:dyDescent="0.15">
      <c r="A44" s="88" t="str">
        <f>"9"&amp;TEXT(RIGHT(B44,3),"000")</f>
        <v>9403</v>
      </c>
      <c r="B44" s="89" t="s">
        <v>1524</v>
      </c>
      <c r="C44" s="100" t="str">
        <f>VLOOKUP(VALUE(RIGHT(B44,3)),gachas!A:C,3,FALSE)</f>
        <v>R6解放ピックアップ&lt;ヤマタノオロチ、リヴァイアサン&gt;</v>
      </c>
      <c r="D44" s="100" t="str">
        <f t="shared" ref="D44:D45" si="57">B44&amp;".png"</f>
        <v>gacha403.png</v>
      </c>
      <c r="E44" s="101" t="str">
        <f t="shared" ref="E44:E45" si="58">RIGHT(B44,3)</f>
        <v>403</v>
      </c>
      <c r="F44" s="89" t="s">
        <v>1025</v>
      </c>
      <c r="G44" s="90" t="s">
        <v>841</v>
      </c>
      <c r="H44" s="90" t="s">
        <v>84</v>
      </c>
    </row>
    <row r="45" spans="1:8" x14ac:dyDescent="0.15">
      <c r="A45" s="88" t="str">
        <f>"9"&amp;TEXT(RIGHT(B45,3),"000")</f>
        <v>9404</v>
      </c>
      <c r="B45" s="89" t="s">
        <v>1525</v>
      </c>
      <c r="C45" s="100" t="str">
        <f>VLOOKUP(VALUE(RIGHT(B45,3)),gachas!A:C,3,FALSE)</f>
        <v>ニューフェイスガチャ(画家)</v>
      </c>
      <c r="D45" s="100" t="str">
        <f t="shared" si="57"/>
        <v>gacha404.png</v>
      </c>
      <c r="E45" s="101" t="str">
        <f t="shared" si="58"/>
        <v>404</v>
      </c>
      <c r="F45" s="89" t="s">
        <v>1473</v>
      </c>
      <c r="G45" s="90" t="s">
        <v>841</v>
      </c>
      <c r="H45" s="90" t="s">
        <v>84</v>
      </c>
    </row>
    <row r="46" spans="1:8" ht="15" customHeight="1" x14ac:dyDescent="0.15">
      <c r="A46" s="88" t="str">
        <f>"9"&amp;TEXT(RIGHT(B46,3),"000")</f>
        <v>9406</v>
      </c>
      <c r="B46" s="89" t="s">
        <v>1535</v>
      </c>
      <c r="C46" s="100" t="str">
        <f>VLOOKUP(VALUE(RIGHT(B46,3)),gachas!A:C,3,FALSE)</f>
        <v>復刻ピックアップ&lt;ヘングレ、親指、マルドゥク、メタトロン&gt;</v>
      </c>
      <c r="D46" s="100" t="str">
        <f t="shared" ref="D46" si="59">B46&amp;".png"</f>
        <v>gacha406.png</v>
      </c>
      <c r="E46" s="101" t="str">
        <f t="shared" ref="E46" si="60">RIGHT(B46,3)</f>
        <v>406</v>
      </c>
      <c r="F46" s="89" t="s">
        <v>1025</v>
      </c>
      <c r="G46" s="90" t="s">
        <v>841</v>
      </c>
      <c r="H46" s="90" t="s">
        <v>84</v>
      </c>
    </row>
    <row r="47" spans="1:8" ht="15" customHeight="1" x14ac:dyDescent="0.15">
      <c r="A47" s="88" t="str">
        <f t="shared" ref="A47" si="61">"9"&amp;TEXT(RIGHT(B47,3),"000")</f>
        <v>9407</v>
      </c>
      <c r="B47" s="89" t="s">
        <v>1539</v>
      </c>
      <c r="C47" s="100" t="str">
        <f>VLOOKUP(VALUE(RIGHT(B47,3)),gachas!A:C,3,FALSE)</f>
        <v>ハンプティおまけガチャ</v>
      </c>
      <c r="D47" s="100" t="str">
        <f t="shared" ref="D47" si="62">B47&amp;".png"</f>
        <v>gacha407.png</v>
      </c>
      <c r="E47" s="101" t="str">
        <f t="shared" ref="E47" si="63">RIGHT(B47,3)</f>
        <v>407</v>
      </c>
      <c r="F47" s="89" t="s">
        <v>1562</v>
      </c>
      <c r="G47" s="90" t="s">
        <v>841</v>
      </c>
      <c r="H47" s="90" t="s">
        <v>84</v>
      </c>
    </row>
    <row r="48" spans="1:8" ht="15" customHeight="1" x14ac:dyDescent="0.15">
      <c r="A48" s="88" t="str">
        <f t="shared" ref="A48" si="64">"9"&amp;TEXT(RIGHT(B48,3),"000")</f>
        <v>9409</v>
      </c>
      <c r="B48" s="89" t="s">
        <v>1586</v>
      </c>
      <c r="C48" s="100" t="str">
        <f>VLOOKUP(VALUE(RIGHT(B48,3)),gachas!A:C,3,FALSE)</f>
        <v>600万DLガチャ1（カラーフェス限）</v>
      </c>
      <c r="D48" s="100" t="str">
        <f t="shared" ref="D48" si="65">B48&amp;".png"</f>
        <v>gacha409.png</v>
      </c>
      <c r="E48" s="101" t="str">
        <f t="shared" ref="E48" si="66">RIGHT(B48,3)</f>
        <v>409</v>
      </c>
      <c r="F48" s="89" t="s">
        <v>1602</v>
      </c>
      <c r="G48" s="90" t="s">
        <v>841</v>
      </c>
      <c r="H48" s="90" t="s">
        <v>84</v>
      </c>
    </row>
    <row r="49" spans="1:8" ht="15" customHeight="1" x14ac:dyDescent="0.15">
      <c r="A49" s="88" t="str">
        <f t="shared" ref="A49" si="67">"9"&amp;TEXT(RIGHT(B49,3),"000")</f>
        <v>9410</v>
      </c>
      <c r="B49" s="89" t="s">
        <v>1592</v>
      </c>
      <c r="C49" s="100" t="str">
        <f>VLOOKUP(VALUE(RIGHT(B49,3)),gachas!A:C,3,FALSE)</f>
        <v>600万DLガチャ2（パレート）</v>
      </c>
      <c r="D49" s="100" t="str">
        <f t="shared" ref="D49" si="68">B49&amp;".png"</f>
        <v>gacha410.png</v>
      </c>
      <c r="E49" s="101" t="str">
        <f t="shared" ref="E49" si="69">RIGHT(B49,3)</f>
        <v>410</v>
      </c>
      <c r="F49" s="89" t="s">
        <v>1671</v>
      </c>
      <c r="G49" s="90" t="s">
        <v>841</v>
      </c>
      <c r="H49" s="90" t="s">
        <v>84</v>
      </c>
    </row>
    <row r="50" spans="1:8" ht="15" customHeight="1" x14ac:dyDescent="0.15">
      <c r="A50" s="88" t="str">
        <f t="shared" ref="A50" si="70">"9"&amp;TEXT(RIGHT(B50,3),"000")</f>
        <v>9421</v>
      </c>
      <c r="B50" s="89" t="s">
        <v>1674</v>
      </c>
      <c r="C50" s="100" t="str">
        <f>VLOOKUP(VALUE(RIGHT(B50,3)),gachas!A:C,3,FALSE)</f>
        <v>9月フィーバーフェスティバル</v>
      </c>
      <c r="D50" s="100" t="str">
        <f t="shared" ref="D50" si="71">B50&amp;".png"</f>
        <v>gacha421.png</v>
      </c>
      <c r="E50" s="101" t="str">
        <f t="shared" ref="E50" si="72">RIGHT(B50,3)</f>
        <v>421</v>
      </c>
      <c r="F50" s="89" t="s">
        <v>1107</v>
      </c>
      <c r="G50" s="90" t="s">
        <v>841</v>
      </c>
      <c r="H50" s="90" t="s">
        <v>84</v>
      </c>
    </row>
    <row r="51" spans="1:8" ht="15" customHeight="1" x14ac:dyDescent="0.15">
      <c r="A51" s="88" t="str">
        <f t="shared" ref="A51" si="73">"9"&amp;TEXT(RIGHT(B51,3),"000")</f>
        <v>9423</v>
      </c>
      <c r="B51" s="89" t="s">
        <v>1679</v>
      </c>
      <c r="C51" s="100" t="str">
        <f>VLOOKUP(VALUE(RIGHT(B51,3)),gachas!A:C,3,FALSE)</f>
        <v>ニューフェイスガチャ(三国志)</v>
      </c>
      <c r="D51" s="100" t="str">
        <f t="shared" ref="D51" si="74">B51&amp;".png"</f>
        <v>gacha423.png</v>
      </c>
      <c r="E51" s="101" t="str">
        <f t="shared" ref="E51" si="75">RIGHT(B51,3)</f>
        <v>423</v>
      </c>
      <c r="F51" s="89" t="s">
        <v>1706</v>
      </c>
      <c r="G51" s="90" t="s">
        <v>841</v>
      </c>
      <c r="H51" s="90" t="s">
        <v>84</v>
      </c>
    </row>
    <row r="52" spans="1:8" ht="15" customHeight="1" x14ac:dyDescent="0.15">
      <c r="A52" s="88" t="str">
        <f t="shared" ref="A52" si="76">"9"&amp;TEXT(RIGHT(B52,3),"000")</f>
        <v>9424</v>
      </c>
      <c r="B52" s="89" t="s">
        <v>1693</v>
      </c>
      <c r="C52" s="100" t="str">
        <f>VLOOKUP(VALUE(RIGHT(B52,3)),gachas!A:C,3,FALSE)</f>
        <v>ウィザード対抗確定ガチャ&lt;近藤、モルドレッド、八咫烏、バステト&gt;</v>
      </c>
      <c r="D52" s="100" t="str">
        <f t="shared" ref="D52" si="77">B52&amp;".png"</f>
        <v>gacha424.png</v>
      </c>
      <c r="E52" s="101" t="str">
        <f t="shared" ref="E52" si="78">RIGHT(B52,3)</f>
        <v>424</v>
      </c>
      <c r="F52" s="89" t="s">
        <v>1701</v>
      </c>
      <c r="G52" s="90" t="s">
        <v>841</v>
      </c>
      <c r="H52" s="90" t="s">
        <v>84</v>
      </c>
    </row>
    <row r="53" spans="1:8" ht="15" customHeight="1" x14ac:dyDescent="0.15">
      <c r="A53" s="88" t="str">
        <f t="shared" ref="A53" si="79">"9"&amp;TEXT(RIGHT(B53,3),"000")</f>
        <v>9425</v>
      </c>
      <c r="B53" s="89" t="s">
        <v>1712</v>
      </c>
      <c r="C53" s="100" t="str">
        <f>VLOOKUP(VALUE(RIGHT(B53,3)),gachas!A:C,3,FALSE)</f>
        <v>ランキング対抗ガチャ&lt;フレネル&gt;</v>
      </c>
      <c r="D53" s="100" t="str">
        <f t="shared" ref="D53" si="80">B53&amp;".png"</f>
        <v>gacha425.png</v>
      </c>
      <c r="E53" s="101" t="str">
        <f t="shared" ref="E53" si="81">RIGHT(B53,3)</f>
        <v>425</v>
      </c>
      <c r="F53" s="89" t="s">
        <v>1715</v>
      </c>
      <c r="G53" s="90" t="s">
        <v>841</v>
      </c>
      <c r="H53" s="90" t="s">
        <v>84</v>
      </c>
    </row>
    <row r="54" spans="1:8" ht="15" customHeight="1" x14ac:dyDescent="0.15">
      <c r="A54" s="88" t="str">
        <f t="shared" ref="A54" si="82">"9"&amp;TEXT(RIGHT(B54,3),"000")</f>
        <v>9426</v>
      </c>
      <c r="B54" s="89" t="s">
        <v>1731</v>
      </c>
      <c r="C54" s="100" t="str">
        <f>VLOOKUP(VALUE(RIGHT(B54,3)),gachas!A:C,3,FALSE)</f>
        <v>確定ステップアップガチャ</v>
      </c>
      <c r="D54" s="100" t="str">
        <f t="shared" ref="D54" si="83">B54&amp;".png"</f>
        <v>gacha426.png</v>
      </c>
      <c r="E54" s="101" t="str">
        <f t="shared" ref="E54" si="84">RIGHT(B54,3)</f>
        <v>426</v>
      </c>
      <c r="F54" s="89" t="s">
        <v>1737</v>
      </c>
      <c r="G54" s="90" t="s">
        <v>841</v>
      </c>
      <c r="H54" s="90" t="s">
        <v>84</v>
      </c>
    </row>
    <row r="55" spans="1:8" ht="15" customHeight="1" x14ac:dyDescent="0.15">
      <c r="A55" s="88" t="str">
        <f t="shared" ref="A55" si="85">"9"&amp;TEXT(RIGHT(B55,3),"000")</f>
        <v>9427</v>
      </c>
      <c r="B55" s="89" t="s">
        <v>1724</v>
      </c>
      <c r="C55" s="100" t="str">
        <f>VLOOKUP(VALUE(RIGHT(B55,3)),gachas!A:C,3,FALSE)</f>
        <v>新クラファーコレクション</v>
      </c>
      <c r="D55" s="100" t="str">
        <f t="shared" ref="D55" si="86">B55&amp;".png"</f>
        <v>gacha427.png</v>
      </c>
      <c r="E55" s="101" t="str">
        <f t="shared" ref="E55" si="87">RIGHT(B55,3)</f>
        <v>427</v>
      </c>
      <c r="F55" s="89" t="s">
        <v>1725</v>
      </c>
      <c r="G55" s="90" t="s">
        <v>841</v>
      </c>
      <c r="H55" s="90" t="s">
        <v>84</v>
      </c>
    </row>
    <row r="56" spans="1:8" ht="15" customHeight="1" x14ac:dyDescent="0.15">
      <c r="A56" s="88" t="str">
        <f t="shared" ref="A56" si="88">"9"&amp;TEXT(RIGHT(B56,3),"000")</f>
        <v>9428</v>
      </c>
      <c r="B56" s="89" t="s">
        <v>1735</v>
      </c>
      <c r="C56" s="100" t="str">
        <f>VLOOKUP(VALUE(RIGHT(B56,3)),gachas!A:C,3,FALSE)</f>
        <v>フィーバーフェスティバル</v>
      </c>
      <c r="D56" s="100" t="str">
        <f t="shared" ref="D56" si="89">B56&amp;".png"</f>
        <v>gacha428.png</v>
      </c>
      <c r="E56" s="101" t="str">
        <f t="shared" ref="E56" si="90">RIGHT(B56,3)</f>
        <v>428</v>
      </c>
      <c r="F56" s="89" t="s">
        <v>1745</v>
      </c>
      <c r="G56" s="90" t="s">
        <v>841</v>
      </c>
      <c r="H56" s="90" t="s">
        <v>84</v>
      </c>
    </row>
    <row r="57" spans="1:8" ht="15" customHeight="1" x14ac:dyDescent="0.15">
      <c r="A57" s="88" t="str">
        <f t="shared" ref="A57:A59" si="91">"9"&amp;TEXT(RIGHT(B57,3),"000")</f>
        <v>9430</v>
      </c>
      <c r="B57" s="89" t="s">
        <v>1770</v>
      </c>
      <c r="C57" s="100" t="str">
        <f>VLOOKUP(VALUE(RIGHT(B57,3)),gachas!A:C,3,FALSE)</f>
        <v>アビリティピックアップガチャ</v>
      </c>
      <c r="D57" s="100" t="str">
        <f t="shared" ref="D57:D59" si="92">B57&amp;".png"</f>
        <v>gacha430.png</v>
      </c>
      <c r="E57" s="101" t="str">
        <f t="shared" ref="E57:E59" si="93">RIGHT(B57,3)</f>
        <v>430</v>
      </c>
      <c r="F57" s="89" t="s">
        <v>1773</v>
      </c>
      <c r="G57" s="90" t="s">
        <v>841</v>
      </c>
      <c r="H57" s="90" t="s">
        <v>84</v>
      </c>
    </row>
    <row r="58" spans="1:8" ht="15" customHeight="1" x14ac:dyDescent="0.15">
      <c r="A58" s="88" t="str">
        <f t="shared" si="91"/>
        <v>9431</v>
      </c>
      <c r="B58" s="89" t="s">
        <v>1771</v>
      </c>
      <c r="C58" s="100" t="str">
        <f>VLOOKUP(VALUE(RIGHT(B58,3)),gachas!A:C,3,FALSE)</f>
        <v>ニューフェイスガチャ（インド第2弾）</v>
      </c>
      <c r="D58" s="100" t="str">
        <f t="shared" si="92"/>
        <v>gacha431.png</v>
      </c>
      <c r="E58" s="101" t="str">
        <f t="shared" si="93"/>
        <v>431</v>
      </c>
      <c r="F58" s="89" t="s">
        <v>1774</v>
      </c>
      <c r="G58" s="90" t="s">
        <v>841</v>
      </c>
      <c r="H58" s="90" t="s">
        <v>84</v>
      </c>
    </row>
    <row r="59" spans="1:8" ht="15" customHeight="1" x14ac:dyDescent="0.15">
      <c r="A59" s="88" t="str">
        <f t="shared" si="91"/>
        <v>9432</v>
      </c>
      <c r="B59" s="89" t="s">
        <v>1772</v>
      </c>
      <c r="C59" s="100" t="str">
        <f>VLOOKUP(VALUE(RIGHT(B59,3)),gachas!A:C,3,FALSE)</f>
        <v>ピックアップカラーガチャ（赤）</v>
      </c>
      <c r="D59" s="100" t="str">
        <f t="shared" si="92"/>
        <v>gacha432.png</v>
      </c>
      <c r="E59" s="101" t="str">
        <f t="shared" si="93"/>
        <v>432</v>
      </c>
      <c r="F59" s="89" t="s">
        <v>1025</v>
      </c>
      <c r="G59" s="90" t="s">
        <v>841</v>
      </c>
      <c r="H59" s="90" t="s">
        <v>84</v>
      </c>
    </row>
    <row r="60" spans="1:8" ht="15" customHeight="1" x14ac:dyDescent="0.15">
      <c r="A60" s="88" t="str">
        <f t="shared" ref="A60" si="94">"9"&amp;TEXT(RIGHT(B60,3),"000")</f>
        <v>9433</v>
      </c>
      <c r="B60" s="89" t="s">
        <v>1789</v>
      </c>
      <c r="C60" s="100" t="str">
        <f>VLOOKUP(VALUE(RIGHT(B60,3)),gachas!A:C,3,FALSE)</f>
        <v>ランキング対抗ガチャ&lt;マクローリン&gt;</v>
      </c>
      <c r="D60" s="100" t="str">
        <f t="shared" ref="D60" si="95">B60&amp;".png"</f>
        <v>gacha433.png</v>
      </c>
      <c r="E60" s="101" t="str">
        <f t="shared" ref="E60" si="96">RIGHT(B60,3)</f>
        <v>433</v>
      </c>
      <c r="F60" s="89" t="s">
        <v>1795</v>
      </c>
      <c r="G60" s="90" t="s">
        <v>841</v>
      </c>
      <c r="H60" s="90" t="s">
        <v>84</v>
      </c>
    </row>
    <row r="61" spans="1:8" ht="15" customHeight="1" x14ac:dyDescent="0.15">
      <c r="A61" s="88" t="str">
        <f t="shared" ref="A61" si="97">"9"&amp;TEXT(RIGHT(B61,3),"000")</f>
        <v>9434</v>
      </c>
      <c r="B61" s="89" t="s">
        <v>1803</v>
      </c>
      <c r="C61" s="100" t="str">
        <f>VLOOKUP(VALUE(RIGHT(B61,3)),gachas!A:C,3,FALSE)</f>
        <v>確定ステップアップガチャ</v>
      </c>
      <c r="D61" s="100" t="str">
        <f t="shared" ref="D61" si="98">B61&amp;".png"</f>
        <v>gacha434.png</v>
      </c>
      <c r="E61" s="101" t="str">
        <f t="shared" ref="E61" si="99">RIGHT(B61,3)</f>
        <v>434</v>
      </c>
      <c r="F61" s="89" t="s">
        <v>1810</v>
      </c>
      <c r="G61" s="90" t="s">
        <v>841</v>
      </c>
      <c r="H61" s="90" t="s">
        <v>84</v>
      </c>
    </row>
    <row r="62" spans="1:8" ht="15" customHeight="1" x14ac:dyDescent="0.15">
      <c r="A62" s="94">
        <v>9445</v>
      </c>
      <c r="B62" s="89" t="s">
        <v>1809</v>
      </c>
      <c r="C62" s="100" t="str">
        <f>VLOOKUP(VALUE(RIGHT(B62,3)),gachas!A:C,3,FALSE)</f>
        <v>スペシャルハロウィンガチャ</v>
      </c>
      <c r="D62" s="100" t="str">
        <f t="shared" ref="D62" si="100">B62&amp;".png"</f>
        <v>gacha435.png</v>
      </c>
      <c r="E62" s="101" t="str">
        <f t="shared" ref="E62" si="101">RIGHT(B62,3)</f>
        <v>435</v>
      </c>
      <c r="F62" s="89" t="s">
        <v>1832</v>
      </c>
      <c r="G62" s="90" t="s">
        <v>841</v>
      </c>
      <c r="H62" s="90" t="s">
        <v>84</v>
      </c>
    </row>
    <row r="63" spans="1:8" ht="15" customHeight="1" x14ac:dyDescent="0.15">
      <c r="A63" s="88" t="str">
        <f t="shared" ref="A63" si="102">"9"&amp;TEXT(RIGHT(B63,3),"000")</f>
        <v>9437</v>
      </c>
      <c r="B63" s="89" t="s">
        <v>1846</v>
      </c>
      <c r="C63" s="100" t="str">
        <f>VLOOKUP(VALUE(RIGHT(B63,3)),gachas!A:C,3,FALSE)</f>
        <v>タワーオブザクイーン攻略応援ガチャ</v>
      </c>
      <c r="D63" s="100" t="str">
        <f t="shared" ref="D63" si="103">B63&amp;".png"</f>
        <v>gacha437.png</v>
      </c>
      <c r="E63" s="101" t="str">
        <f t="shared" ref="E63" si="104">RIGHT(B63,3)</f>
        <v>437</v>
      </c>
      <c r="F63" s="89" t="s">
        <v>1847</v>
      </c>
      <c r="G63" s="90" t="s">
        <v>841</v>
      </c>
      <c r="H63" s="90" t="s">
        <v>84</v>
      </c>
    </row>
    <row r="64" spans="1:8" ht="15" customHeight="1" x14ac:dyDescent="0.15">
      <c r="A64" s="88" t="str">
        <f t="shared" ref="A64:A67" si="105">"9"&amp;TEXT(RIGHT(B64,3),"000")</f>
        <v>9438</v>
      </c>
      <c r="B64" s="89" t="s">
        <v>1867</v>
      </c>
      <c r="C64" s="100" t="str">
        <f>VLOOKUP(VALUE(RIGHT(B64,3)),gachas!A:C,3,FALSE)</f>
        <v>超フィーバーフィーバーフェスティバル＜ガロア、ディラック＞</v>
      </c>
      <c r="D64" s="100" t="str">
        <f t="shared" ref="D64:D67" si="106">B64&amp;".png"</f>
        <v>gacha438.png</v>
      </c>
      <c r="E64" s="101" t="str">
        <f t="shared" ref="E64:E67" si="107">RIGHT(B64,3)</f>
        <v>438</v>
      </c>
      <c r="F64" s="89" t="s">
        <v>1871</v>
      </c>
      <c r="G64" s="90" t="s">
        <v>841</v>
      </c>
      <c r="H64" s="90" t="s">
        <v>84</v>
      </c>
    </row>
    <row r="65" spans="1:8" ht="15" customHeight="1" x14ac:dyDescent="0.15">
      <c r="A65" s="88" t="str">
        <f t="shared" si="105"/>
        <v>9439</v>
      </c>
      <c r="B65" s="89" t="s">
        <v>1868</v>
      </c>
      <c r="C65" s="100" t="str">
        <f>VLOOKUP(VALUE(RIGHT(B65,3)),gachas!A:C,3,FALSE)</f>
        <v>超フィーバーフィーバーフェスティバル＜ガロア、クロネッカー＞</v>
      </c>
      <c r="D65" s="100" t="str">
        <f t="shared" si="106"/>
        <v>gacha439.png</v>
      </c>
      <c r="E65" s="101" t="str">
        <f t="shared" si="107"/>
        <v>439</v>
      </c>
      <c r="F65" s="89" t="s">
        <v>1871</v>
      </c>
      <c r="G65" s="90" t="s">
        <v>841</v>
      </c>
      <c r="H65" s="90" t="s">
        <v>84</v>
      </c>
    </row>
    <row r="66" spans="1:8" ht="15" customHeight="1" x14ac:dyDescent="0.15">
      <c r="A66" s="88" t="str">
        <f t="shared" si="105"/>
        <v>9440</v>
      </c>
      <c r="B66" s="89" t="s">
        <v>1869</v>
      </c>
      <c r="C66" s="100" t="str">
        <f>VLOOKUP(VALUE(RIGHT(B66,3)),gachas!A:C,3,FALSE)</f>
        <v>超フィーバーフィーバーフェスティバル＜ガロア、セキ＞</v>
      </c>
      <c r="D66" s="100" t="str">
        <f t="shared" si="106"/>
        <v>gacha440.png</v>
      </c>
      <c r="E66" s="101" t="str">
        <f t="shared" si="107"/>
        <v>440</v>
      </c>
      <c r="F66" s="89" t="s">
        <v>1871</v>
      </c>
      <c r="G66" s="90" t="s">
        <v>841</v>
      </c>
      <c r="H66" s="90" t="s">
        <v>84</v>
      </c>
    </row>
    <row r="67" spans="1:8" ht="15" customHeight="1" x14ac:dyDescent="0.15">
      <c r="A67" s="88" t="str">
        <f t="shared" si="105"/>
        <v>9441</v>
      </c>
      <c r="B67" s="89" t="s">
        <v>1870</v>
      </c>
      <c r="C67" s="100" t="str">
        <f>VLOOKUP(VALUE(RIGHT(B67,3)),gachas!A:C,3,FALSE)</f>
        <v>ピックアップカラーガチャ（青）</v>
      </c>
      <c r="D67" s="100" t="str">
        <f t="shared" si="106"/>
        <v>gacha441.png</v>
      </c>
      <c r="E67" s="101" t="str">
        <f t="shared" si="107"/>
        <v>441</v>
      </c>
      <c r="F67" s="89" t="s">
        <v>1025</v>
      </c>
      <c r="G67" s="90" t="s">
        <v>841</v>
      </c>
      <c r="H67" s="90" t="s">
        <v>84</v>
      </c>
    </row>
    <row r="68" spans="1:8" ht="15" customHeight="1" x14ac:dyDescent="0.15">
      <c r="A68" s="88" t="str">
        <f t="shared" ref="A68" si="108">"9"&amp;TEXT(RIGHT(B68,3),"000")</f>
        <v>9442</v>
      </c>
      <c r="B68" s="89" t="s">
        <v>1882</v>
      </c>
      <c r="C68" s="100" t="str">
        <f>VLOOKUP(VALUE(RIGHT(B68,3)),gachas!A:C,3,FALSE)</f>
        <v>ランキング対抗ガチャ&lt;ウィグナー&gt;</v>
      </c>
      <c r="D68" s="100" t="str">
        <f t="shared" ref="D68" si="109">B68&amp;".png"</f>
        <v>gacha442.png</v>
      </c>
      <c r="E68" s="101" t="str">
        <f t="shared" ref="E68" si="110">RIGHT(B68,3)</f>
        <v>442</v>
      </c>
      <c r="F68" s="89" t="s">
        <v>995</v>
      </c>
      <c r="G68" s="90" t="s">
        <v>841</v>
      </c>
      <c r="H68" s="90" t="s">
        <v>84</v>
      </c>
    </row>
    <row r="69" spans="1:8" ht="15" customHeight="1" x14ac:dyDescent="0.15">
      <c r="A69" s="94">
        <v>9444</v>
      </c>
      <c r="B69" s="89" t="s">
        <v>1890</v>
      </c>
      <c r="C69" s="100" t="str">
        <f>VLOOKUP(VALUE(RIGHT(B69,3)),gachas!A:C,3,FALSE)</f>
        <v>ニューフェイスガチャ（ギリシャ神話第2弾）</v>
      </c>
      <c r="D69" s="100" t="str">
        <f t="shared" ref="D69" si="111">B69&amp;".png"</f>
        <v>gacha443.png</v>
      </c>
      <c r="E69" s="101" t="str">
        <f t="shared" ref="E69" si="112">RIGHT(B69,3)</f>
        <v>443</v>
      </c>
      <c r="F69" s="89" t="s">
        <v>1139</v>
      </c>
      <c r="G69" s="90" t="s">
        <v>841</v>
      </c>
      <c r="H69" s="90" t="s">
        <v>84</v>
      </c>
    </row>
    <row r="70" spans="1:8" ht="15" customHeight="1" x14ac:dyDescent="0.15">
      <c r="A70" s="94">
        <v>9443</v>
      </c>
      <c r="B70" s="89" t="s">
        <v>1893</v>
      </c>
      <c r="C70" s="100" t="str">
        <f>VLOOKUP(VALUE(RIGHT(B70,3)),gachas!A:C,3,FALSE)</f>
        <v>確定ステップアップガチャ</v>
      </c>
      <c r="D70" s="100" t="str">
        <f t="shared" ref="D70" si="113">B70&amp;".png"</f>
        <v>gacha444.png</v>
      </c>
      <c r="E70" s="101" t="str">
        <f t="shared" ref="E70:E73" si="114">RIGHT(B70,3)</f>
        <v>444</v>
      </c>
      <c r="F70" s="89" t="s">
        <v>1737</v>
      </c>
      <c r="G70" s="90" t="s">
        <v>841</v>
      </c>
      <c r="H70" s="90" t="s">
        <v>84</v>
      </c>
    </row>
    <row r="71" spans="1:8" ht="15" customHeight="1" x14ac:dyDescent="0.15">
      <c r="A71" s="88" t="str">
        <f t="shared" ref="A71:A73" si="115">"9"&amp;TEXT(RIGHT(B71,3),"000")</f>
        <v>9446</v>
      </c>
      <c r="B71" s="89" t="s">
        <v>1909</v>
      </c>
      <c r="C71" s="100" t="str">
        <f>VLOOKUP(VALUE(RIGHT(B71,3)),gachas!A:C,3,FALSE)</f>
        <v>超フィーバーフィーバーフェスティバル＜ガロア、ディラック＞再</v>
      </c>
      <c r="D71" s="102" t="s">
        <v>1926</v>
      </c>
      <c r="E71" s="101" t="str">
        <f t="shared" si="114"/>
        <v>446</v>
      </c>
      <c r="F71" s="89" t="s">
        <v>1871</v>
      </c>
      <c r="G71" s="90" t="s">
        <v>841</v>
      </c>
      <c r="H71" s="90" t="s">
        <v>84</v>
      </c>
    </row>
    <row r="72" spans="1:8" ht="15" customHeight="1" x14ac:dyDescent="0.15">
      <c r="A72" s="88" t="str">
        <f t="shared" si="115"/>
        <v>9447</v>
      </c>
      <c r="B72" s="89" t="s">
        <v>1910</v>
      </c>
      <c r="C72" s="100" t="str">
        <f>VLOOKUP(VALUE(RIGHT(B72,3)),gachas!A:C,3,FALSE)</f>
        <v>超フィーバーフィーバーフェスティバル＜ガロア、クロネッカー＞再</v>
      </c>
      <c r="D72" s="102" t="s">
        <v>1927</v>
      </c>
      <c r="E72" s="101" t="str">
        <f t="shared" si="114"/>
        <v>447</v>
      </c>
      <c r="F72" s="89" t="s">
        <v>1871</v>
      </c>
      <c r="G72" s="90" t="s">
        <v>841</v>
      </c>
      <c r="H72" s="90" t="s">
        <v>84</v>
      </c>
    </row>
    <row r="73" spans="1:8" ht="15" customHeight="1" x14ac:dyDescent="0.15">
      <c r="A73" s="88" t="str">
        <f t="shared" si="115"/>
        <v>9448</v>
      </c>
      <c r="B73" s="89" t="s">
        <v>1911</v>
      </c>
      <c r="C73" s="100" t="str">
        <f>VLOOKUP(VALUE(RIGHT(B73,3)),gachas!A:C,3,FALSE)</f>
        <v>超フィーバーフィーバーフェスティバル＜ガロア、セキ＞再</v>
      </c>
      <c r="D73" s="102" t="s">
        <v>1928</v>
      </c>
      <c r="E73" s="101" t="str">
        <f t="shared" si="114"/>
        <v>448</v>
      </c>
      <c r="F73" s="89" t="s">
        <v>1871</v>
      </c>
      <c r="G73" s="90" t="s">
        <v>841</v>
      </c>
      <c r="H73" s="90" t="s">
        <v>84</v>
      </c>
    </row>
    <row r="74" spans="1:8" ht="15" customHeight="1" x14ac:dyDescent="0.15">
      <c r="A74" s="88" t="str">
        <f t="shared" ref="A74" si="116">"9"&amp;TEXT(RIGHT(B74,3),"000")</f>
        <v>9449</v>
      </c>
      <c r="B74" s="89" t="s">
        <v>1937</v>
      </c>
      <c r="C74" s="100" t="str">
        <f>VLOOKUP(VALUE(RIGHT(B74,3)),gachas!A:C,3,FALSE)</f>
        <v>ウィザード対抗確定ガチャ</v>
      </c>
      <c r="D74" s="100" t="str">
        <f t="shared" ref="D74" si="117">B74&amp;".png"</f>
        <v>gacha449.png</v>
      </c>
      <c r="E74" s="101" t="str">
        <f t="shared" ref="E74" si="118">RIGHT(B74,3)</f>
        <v>449</v>
      </c>
      <c r="F74" s="89" t="s">
        <v>1773</v>
      </c>
      <c r="G74" s="90" t="s">
        <v>841</v>
      </c>
      <c r="H74" s="90" t="s">
        <v>84</v>
      </c>
    </row>
    <row r="75" spans="1:8" ht="15" customHeight="1" x14ac:dyDescent="0.15">
      <c r="A75" s="88" t="str">
        <f t="shared" ref="A75:A76" si="119">"9"&amp;TEXT(RIGHT(B75,3),"000")</f>
        <v>9450</v>
      </c>
      <c r="B75" s="89" t="s">
        <v>1950</v>
      </c>
      <c r="C75" s="100" t="str">
        <f>VLOOKUP(VALUE(RIGHT(B75,3)),gachas!A:C,3,FALSE)</f>
        <v>フィーバーフェスティバル＜ケプラー、チューリング＞</v>
      </c>
      <c r="D75" s="100" t="str">
        <f t="shared" ref="D75:D77" si="120">B75&amp;".png"</f>
        <v>gacha450.png</v>
      </c>
      <c r="E75" s="101" t="str">
        <f t="shared" ref="E75:E77" si="121">RIGHT(B75,3)</f>
        <v>450</v>
      </c>
      <c r="F75" s="89" t="s">
        <v>1953</v>
      </c>
      <c r="G75" s="90" t="s">
        <v>841</v>
      </c>
      <c r="H75" s="90" t="s">
        <v>84</v>
      </c>
    </row>
    <row r="76" spans="1:8" ht="15" customHeight="1" x14ac:dyDescent="0.15">
      <c r="A76" s="88" t="str">
        <f t="shared" si="119"/>
        <v>9451</v>
      </c>
      <c r="B76" s="89" t="s">
        <v>1951</v>
      </c>
      <c r="C76" s="100" t="str">
        <f>VLOOKUP(VALUE(RIGHT(B76,3)),gachas!A:C,3,FALSE)</f>
        <v>フィーバーフェスティバル＜ケプラー、モールス＞</v>
      </c>
      <c r="D76" s="100" t="str">
        <f t="shared" si="120"/>
        <v>gacha451.png</v>
      </c>
      <c r="E76" s="101" t="str">
        <f t="shared" si="121"/>
        <v>451</v>
      </c>
      <c r="F76" s="89" t="s">
        <v>1953</v>
      </c>
      <c r="G76" s="90" t="s">
        <v>841</v>
      </c>
      <c r="H76" s="90" t="s">
        <v>84</v>
      </c>
    </row>
    <row r="77" spans="1:8" ht="15" customHeight="1" x14ac:dyDescent="0.15">
      <c r="A77" s="94">
        <v>9453</v>
      </c>
      <c r="B77" s="89" t="s">
        <v>1952</v>
      </c>
      <c r="C77" s="100" t="str">
        <f>VLOOKUP(VALUE(RIGHT(B77,3)),gachas!A:C,3,FALSE)</f>
        <v>フィーバーフェスティバル＜ケプラー、フィボナッチ＞</v>
      </c>
      <c r="D77" s="100" t="str">
        <f t="shared" si="120"/>
        <v>gacha452.png</v>
      </c>
      <c r="E77" s="101" t="str">
        <f t="shared" si="121"/>
        <v>452</v>
      </c>
      <c r="F77" s="89" t="s">
        <v>1953</v>
      </c>
      <c r="G77" s="90" t="s">
        <v>841</v>
      </c>
      <c r="H77" s="90" t="s">
        <v>84</v>
      </c>
    </row>
    <row r="78" spans="1:8" ht="15" customHeight="1" x14ac:dyDescent="0.15">
      <c r="A78" s="94">
        <v>9452</v>
      </c>
      <c r="B78" s="89" t="s">
        <v>1966</v>
      </c>
      <c r="C78" s="100" t="str">
        <f>VLOOKUP(VALUE(RIGHT(B78,3)),gachas!A:C,3,FALSE)</f>
        <v>タワーオブザクイーン攻略応援ガチャ</v>
      </c>
      <c r="D78" s="100" t="str">
        <f t="shared" ref="D78:D79" si="122">B78&amp;".png"</f>
        <v>gacha453.png</v>
      </c>
      <c r="E78" s="101" t="str">
        <f t="shared" ref="E78:E79" si="123">RIGHT(B78,3)</f>
        <v>453</v>
      </c>
      <c r="F78" s="89" t="s">
        <v>2886</v>
      </c>
      <c r="G78" s="90" t="s">
        <v>841</v>
      </c>
      <c r="H78" s="90" t="s">
        <v>84</v>
      </c>
    </row>
    <row r="79" spans="1:8" ht="15" customHeight="1" x14ac:dyDescent="0.15">
      <c r="A79" s="88" t="str">
        <f t="shared" ref="A79" si="124">"9"&amp;TEXT(RIGHT(B79,3),"000")</f>
        <v>9454</v>
      </c>
      <c r="B79" s="89" t="s">
        <v>2004</v>
      </c>
      <c r="C79" s="100" t="str">
        <f>VLOOKUP(VALUE(RIGHT(B79,3)),gachas!A:C,3,FALSE)</f>
        <v>ニューフェイスガチャ（文豪）</v>
      </c>
      <c r="D79" s="100" t="str">
        <f t="shared" si="122"/>
        <v>gacha454.png</v>
      </c>
      <c r="E79" s="101" t="str">
        <f t="shared" si="123"/>
        <v>454</v>
      </c>
      <c r="F79" s="89" t="s">
        <v>1139</v>
      </c>
      <c r="G79" s="90" t="s">
        <v>841</v>
      </c>
      <c r="H79" s="90" t="s">
        <v>84</v>
      </c>
    </row>
    <row r="80" spans="1:8" ht="15" customHeight="1" x14ac:dyDescent="0.15">
      <c r="A80" s="88" t="str">
        <f t="shared" ref="A80" si="125">"9"&amp;TEXT(RIGHT(B80,3),"000")</f>
        <v>9456</v>
      </c>
      <c r="B80" s="89" t="s">
        <v>2021</v>
      </c>
      <c r="C80" s="100" t="str">
        <f>VLOOKUP(VALUE(RIGHT(B80,3)),gachas!A:C,3,FALSE)</f>
        <v>全世界700万DL突破記念フェス限確定ガチャ</v>
      </c>
      <c r="D80" s="100" t="str">
        <f t="shared" ref="D80" si="126">B80&amp;".png"</f>
        <v>gacha456.png</v>
      </c>
      <c r="E80" s="101" t="str">
        <f t="shared" ref="E80" si="127">RIGHT(B80,3)</f>
        <v>456</v>
      </c>
      <c r="F80" s="89" t="s">
        <v>2022</v>
      </c>
      <c r="G80" s="90" t="s">
        <v>841</v>
      </c>
      <c r="H80" s="90" t="s">
        <v>84</v>
      </c>
    </row>
    <row r="81" spans="1:8" ht="15" customHeight="1" x14ac:dyDescent="0.15">
      <c r="A81" s="88" t="str">
        <f t="shared" ref="A81" si="128">"9"&amp;TEXT(RIGHT(B81,3),"000")</f>
        <v>9466</v>
      </c>
      <c r="B81" s="89" t="s">
        <v>2051</v>
      </c>
      <c r="C81" s="100" t="str">
        <f>VLOOKUP(VALUE(RIGHT(B81,3)),gachas!A:C,3,FALSE)</f>
        <v>全世界700万DL突破記念スペシャルガチャ第1弾</v>
      </c>
      <c r="D81" s="100" t="str">
        <f t="shared" ref="D81" si="129">B81&amp;".png"</f>
        <v>gacha466.png</v>
      </c>
      <c r="E81" s="101" t="str">
        <f t="shared" ref="E81" si="130">RIGHT(B81,3)</f>
        <v>466</v>
      </c>
      <c r="F81" s="89" t="s">
        <v>2052</v>
      </c>
      <c r="G81" s="90" t="s">
        <v>841</v>
      </c>
      <c r="H81" s="90" t="s">
        <v>84</v>
      </c>
    </row>
    <row r="82" spans="1:8" ht="15" customHeight="1" x14ac:dyDescent="0.15">
      <c r="A82" s="94">
        <v>9468</v>
      </c>
      <c r="B82" s="89" t="s">
        <v>2059</v>
      </c>
      <c r="C82" s="100" t="str">
        <f>VLOOKUP(VALUE(RIGHT(B82,3)),gachas!A:C,3,FALSE)</f>
        <v>全世界700万DL突破記念スペシャルガチャ第2弾</v>
      </c>
      <c r="D82" s="100" t="str">
        <f t="shared" ref="D82" si="131">B82&amp;".png"</f>
        <v>gacha467.png</v>
      </c>
      <c r="E82" s="101" t="str">
        <f t="shared" ref="E82" si="132">RIGHT(B82,3)</f>
        <v>467</v>
      </c>
      <c r="F82" s="89" t="s">
        <v>2052</v>
      </c>
      <c r="G82" s="90" t="s">
        <v>841</v>
      </c>
      <c r="H82" s="90" t="s">
        <v>84</v>
      </c>
    </row>
    <row r="83" spans="1:8" ht="15" customHeight="1" x14ac:dyDescent="0.15">
      <c r="A83" s="94">
        <v>9469</v>
      </c>
      <c r="B83" s="89" t="s">
        <v>2097</v>
      </c>
      <c r="C83" s="100" t="str">
        <f>VLOOKUP(VALUE(RIGHT(B83,3)),gachas!A:C,3,FALSE)</f>
        <v>全世界700万DL突破記念スペシャルガチャ第3弾</v>
      </c>
      <c r="D83" s="100" t="str">
        <f t="shared" ref="D83:D88" si="133">B83&amp;".png"</f>
        <v>gacha468.png</v>
      </c>
      <c r="E83" s="101" t="str">
        <f t="shared" ref="E83:E85" si="134">RIGHT(B83,3)</f>
        <v>468</v>
      </c>
      <c r="F83" s="89" t="s">
        <v>2099</v>
      </c>
      <c r="G83" s="90" t="s">
        <v>841</v>
      </c>
      <c r="H83" s="90" t="s">
        <v>84</v>
      </c>
    </row>
    <row r="84" spans="1:8" ht="15" customHeight="1" x14ac:dyDescent="0.15">
      <c r="A84" s="94">
        <v>9480</v>
      </c>
      <c r="B84" s="89" t="s">
        <v>2098</v>
      </c>
      <c r="C84" s="100" t="str">
        <f>VLOOKUP(VALUE(RIGHT(B84,3)),gachas!A:C,3,FALSE)</f>
        <v>ピックアップカラーガチャ（黄）</v>
      </c>
      <c r="D84" s="100" t="str">
        <f t="shared" si="133"/>
        <v>gacha469.png</v>
      </c>
      <c r="E84" s="101" t="str">
        <f t="shared" si="134"/>
        <v>469</v>
      </c>
      <c r="F84" s="89" t="s">
        <v>2307</v>
      </c>
      <c r="G84" s="90" t="s">
        <v>841</v>
      </c>
      <c r="H84" s="90" t="s">
        <v>84</v>
      </c>
    </row>
    <row r="85" spans="1:8" ht="15" customHeight="1" x14ac:dyDescent="0.15">
      <c r="A85" s="94">
        <v>9455</v>
      </c>
      <c r="B85" s="89" t="s">
        <v>2132</v>
      </c>
      <c r="C85" s="100" t="str">
        <f>VLOOKUP(VALUE(RIGHT(B85,3)),gachas!A:C,3,FALSE)</f>
        <v>確定ステップアップガチャ</v>
      </c>
      <c r="D85" s="102" t="s">
        <v>2135</v>
      </c>
      <c r="E85" s="101" t="str">
        <f t="shared" si="134"/>
        <v>471</v>
      </c>
      <c r="F85" s="89" t="s">
        <v>2134</v>
      </c>
      <c r="G85" s="90" t="s">
        <v>841</v>
      </c>
      <c r="H85" s="90" t="s">
        <v>84</v>
      </c>
    </row>
    <row r="86" spans="1:8" ht="15" customHeight="1" x14ac:dyDescent="0.15">
      <c r="A86" s="94">
        <v>9476</v>
      </c>
      <c r="B86" s="89" t="s">
        <v>2186</v>
      </c>
      <c r="C86" s="100" t="str">
        <f>VLOOKUP(VALUE(RIGHT(B86,3)),gachas!A:C,3,FALSE)</f>
        <v>超フィーバーフェスティバル＜ベルヌーイ、ユークリッド＞</v>
      </c>
      <c r="D86" s="100" t="str">
        <f t="shared" si="133"/>
        <v>gacha477.png</v>
      </c>
      <c r="E86" s="101" t="str">
        <f t="shared" ref="E86:E88" si="135">RIGHT(B86,3)</f>
        <v>477</v>
      </c>
      <c r="F86" s="89" t="s">
        <v>1871</v>
      </c>
      <c r="G86" s="90" t="s">
        <v>841</v>
      </c>
      <c r="H86" s="90" t="s">
        <v>84</v>
      </c>
    </row>
    <row r="87" spans="1:8" ht="15" customHeight="1" x14ac:dyDescent="0.15">
      <c r="A87" s="94">
        <v>9477</v>
      </c>
      <c r="B87" s="89" t="s">
        <v>2187</v>
      </c>
      <c r="C87" s="100" t="str">
        <f>VLOOKUP(VALUE(RIGHT(B87,3)),gachas!A:C,3,FALSE)</f>
        <v>超フィーバーフェスティバル＜ベルヌーイ、フロイト＞</v>
      </c>
      <c r="D87" s="100" t="str">
        <f t="shared" si="133"/>
        <v>gacha478.png</v>
      </c>
      <c r="E87" s="101" t="str">
        <f t="shared" si="135"/>
        <v>478</v>
      </c>
      <c r="F87" s="89" t="s">
        <v>1871</v>
      </c>
      <c r="G87" s="90" t="s">
        <v>841</v>
      </c>
      <c r="H87" s="90" t="s">
        <v>84</v>
      </c>
    </row>
    <row r="88" spans="1:8" ht="15" customHeight="1" x14ac:dyDescent="0.15">
      <c r="A88" s="94">
        <v>9478</v>
      </c>
      <c r="B88" s="89" t="s">
        <v>2188</v>
      </c>
      <c r="C88" s="100" t="str">
        <f>VLOOKUP(VALUE(RIGHT(B88,3)),gachas!A:C,3,FALSE)</f>
        <v>超フィーバーフェスティバル＜ベルヌーイ、ファラデー＞</v>
      </c>
      <c r="D88" s="100" t="str">
        <f t="shared" si="133"/>
        <v>gacha479.png</v>
      </c>
      <c r="E88" s="101" t="str">
        <f t="shared" si="135"/>
        <v>479</v>
      </c>
      <c r="F88" s="89" t="s">
        <v>1871</v>
      </c>
      <c r="G88" s="90" t="s">
        <v>841</v>
      </c>
      <c r="H88" s="90" t="s">
        <v>84</v>
      </c>
    </row>
    <row r="89" spans="1:8" ht="15" customHeight="1" x14ac:dyDescent="0.15">
      <c r="A89" s="94">
        <v>9479</v>
      </c>
      <c r="B89" s="89" t="s">
        <v>2189</v>
      </c>
      <c r="C89" s="100" t="str">
        <f>VLOOKUP(VALUE(RIGHT(B89,3)),gachas!A:C,3,FALSE)</f>
        <v>全世界700万DL突破記念台港澳祭典</v>
      </c>
      <c r="D89" s="100" t="str">
        <f t="shared" ref="D89" si="136">B89&amp;".png"</f>
        <v>gacha470.png</v>
      </c>
      <c r="E89" s="101" t="str">
        <f t="shared" ref="E89" si="137">RIGHT(B89,3)</f>
        <v>470</v>
      </c>
      <c r="F89" s="89" t="s">
        <v>2337</v>
      </c>
      <c r="G89" s="90" t="s">
        <v>841</v>
      </c>
      <c r="H89" s="90" t="s">
        <v>84</v>
      </c>
    </row>
    <row r="90" spans="1:8" ht="15" customHeight="1" x14ac:dyDescent="0.15">
      <c r="A90" s="94">
        <v>9481</v>
      </c>
      <c r="B90" s="89" t="s">
        <v>2216</v>
      </c>
      <c r="C90" s="100" t="str">
        <f>VLOOKUP(VALUE(RIGHT(B90,3)),gachas!A:C,3,FALSE)</f>
        <v>ランキング対抗ガチャ&lt;ヒルベルト&gt;</v>
      </c>
      <c r="D90" s="100" t="str">
        <f t="shared" ref="D90" si="138">B90&amp;".png"</f>
        <v>gacha480.png</v>
      </c>
      <c r="E90" s="101" t="str">
        <f t="shared" ref="E90" si="139">RIGHT(B90,3)</f>
        <v>480</v>
      </c>
      <c r="F90" s="89" t="s">
        <v>2309</v>
      </c>
      <c r="G90" s="90" t="s">
        <v>841</v>
      </c>
      <c r="H90" s="90" t="s">
        <v>84</v>
      </c>
    </row>
    <row r="91" spans="1:8" ht="15" customHeight="1" x14ac:dyDescent="0.15">
      <c r="A91" s="88" t="str">
        <f t="shared" ref="A91:A98" si="140">"9"&amp;TEXT(RIGHT(B91,3),"000")</f>
        <v>9482</v>
      </c>
      <c r="B91" s="89" t="s">
        <v>2268</v>
      </c>
      <c r="C91" s="100" t="str">
        <f>VLOOKUP(VALUE(RIGHT(B91,3)),gachas!A:C,3,FALSE)</f>
        <v>★6解放記念ガチャ</v>
      </c>
      <c r="D91" s="100" t="str">
        <f t="shared" ref="D91:D96" si="141">B91&amp;".png"</f>
        <v>gacha482.png</v>
      </c>
      <c r="E91" s="101" t="str">
        <f t="shared" ref="E91:E96" si="142">RIGHT(B91,3)</f>
        <v>482</v>
      </c>
      <c r="F91" s="89" t="s">
        <v>2312</v>
      </c>
      <c r="G91" s="90" t="s">
        <v>841</v>
      </c>
      <c r="H91" s="90" t="s">
        <v>84</v>
      </c>
    </row>
    <row r="92" spans="1:8" ht="15" customHeight="1" x14ac:dyDescent="0.15">
      <c r="A92" s="88" t="str">
        <f t="shared" si="140"/>
        <v>9483</v>
      </c>
      <c r="B92" s="89" t="s">
        <v>2269</v>
      </c>
      <c r="C92" s="100" t="str">
        <f>VLOOKUP(VALUE(RIGHT(B92,3)),gachas!A:C,3,FALSE)</f>
        <v>確定ステップアップガチャ</v>
      </c>
      <c r="D92" s="102" t="s">
        <v>2288</v>
      </c>
      <c r="E92" s="101" t="str">
        <f t="shared" si="142"/>
        <v>483</v>
      </c>
      <c r="F92" s="89" t="s">
        <v>2311</v>
      </c>
      <c r="G92" s="90" t="s">
        <v>841</v>
      </c>
      <c r="H92" s="90" t="s">
        <v>84</v>
      </c>
    </row>
    <row r="93" spans="1:8" ht="15" customHeight="1" x14ac:dyDescent="0.15">
      <c r="A93" s="88" t="str">
        <f t="shared" si="140"/>
        <v>9484</v>
      </c>
      <c r="B93" s="89" t="s">
        <v>2270</v>
      </c>
      <c r="C93" s="100" t="str">
        <f>VLOOKUP(VALUE(RIGHT(B93,3)),gachas!A:C,3,FALSE)</f>
        <v>1日1回無料クリスマスガチャ</v>
      </c>
      <c r="D93" s="100" t="str">
        <f t="shared" si="141"/>
        <v>gacha484.png</v>
      </c>
      <c r="E93" s="101" t="str">
        <f t="shared" si="142"/>
        <v>484</v>
      </c>
      <c r="F93" s="89" t="s">
        <v>2276</v>
      </c>
      <c r="G93" s="90" t="s">
        <v>841</v>
      </c>
      <c r="H93" s="90" t="s">
        <v>84</v>
      </c>
    </row>
    <row r="94" spans="1:8" ht="15" customHeight="1" x14ac:dyDescent="0.15">
      <c r="A94" s="94">
        <v>9486</v>
      </c>
      <c r="B94" s="89" t="s">
        <v>2271</v>
      </c>
      <c r="C94" s="100" t="str">
        <f>VLOOKUP(VALUE(RIGHT(B94,3)),gachas!A:C,3,FALSE)</f>
        <v>クリスマススペシャルガチャSide:A</v>
      </c>
      <c r="D94" s="100" t="str">
        <f t="shared" si="141"/>
        <v>gacha485.png</v>
      </c>
      <c r="E94" s="101" t="str">
        <f t="shared" si="142"/>
        <v>485</v>
      </c>
      <c r="F94" s="89" t="s">
        <v>2277</v>
      </c>
      <c r="G94" s="90" t="s">
        <v>841</v>
      </c>
      <c r="H94" s="90" t="s">
        <v>84</v>
      </c>
    </row>
    <row r="95" spans="1:8" ht="15" customHeight="1" x14ac:dyDescent="0.15">
      <c r="A95" s="94">
        <v>9485</v>
      </c>
      <c r="B95" s="89" t="s">
        <v>2272</v>
      </c>
      <c r="C95" s="100" t="str">
        <f>VLOOKUP(VALUE(RIGHT(B95,3)),gachas!A:C,3,FALSE)</f>
        <v>クリスマススペシャルガチャSide:B</v>
      </c>
      <c r="D95" s="100" t="str">
        <f t="shared" si="141"/>
        <v>gacha486.png</v>
      </c>
      <c r="E95" s="101" t="str">
        <f t="shared" si="142"/>
        <v>486</v>
      </c>
      <c r="F95" s="89" t="s">
        <v>2277</v>
      </c>
      <c r="G95" s="90" t="s">
        <v>841</v>
      </c>
      <c r="H95" s="90" t="s">
        <v>84</v>
      </c>
    </row>
    <row r="96" spans="1:8" ht="15" customHeight="1" x14ac:dyDescent="0.15">
      <c r="A96" s="88" t="str">
        <f t="shared" si="140"/>
        <v>9487</v>
      </c>
      <c r="B96" s="89" t="s">
        <v>2273</v>
      </c>
      <c r="C96" s="100" t="str">
        <f>VLOOKUP(VALUE(RIGHT(B96,3)),gachas!A:C,3,FALSE)</f>
        <v>フィーバーフェスティバル＜ボーア、シュレディンガー＞</v>
      </c>
      <c r="D96" s="100" t="str">
        <f t="shared" si="141"/>
        <v>gacha487.png</v>
      </c>
      <c r="E96" s="101" t="str">
        <f t="shared" si="142"/>
        <v>487</v>
      </c>
      <c r="F96" s="89" t="s">
        <v>1953</v>
      </c>
      <c r="G96" s="90" t="s">
        <v>841</v>
      </c>
      <c r="H96" s="90" t="s">
        <v>84</v>
      </c>
    </row>
    <row r="97" spans="1:8" ht="15" customHeight="1" x14ac:dyDescent="0.15">
      <c r="A97" s="88" t="str">
        <f t="shared" si="140"/>
        <v>9488</v>
      </c>
      <c r="B97" s="89" t="s">
        <v>2274</v>
      </c>
      <c r="C97" s="100" t="str">
        <f>VLOOKUP(VALUE(RIGHT(B97,3)),gachas!A:C,3,FALSE)</f>
        <v>フィーバーフェスティバル＜ボーア、ハップル＞</v>
      </c>
      <c r="D97" s="100" t="str">
        <f t="shared" ref="D97:D98" si="143">B97&amp;".png"</f>
        <v>gacha488.png</v>
      </c>
      <c r="E97" s="101" t="str">
        <f t="shared" ref="E97:E98" si="144">RIGHT(B97,3)</f>
        <v>488</v>
      </c>
      <c r="F97" s="89" t="s">
        <v>1953</v>
      </c>
      <c r="G97" s="90" t="s">
        <v>841</v>
      </c>
      <c r="H97" s="90" t="s">
        <v>84</v>
      </c>
    </row>
    <row r="98" spans="1:8" ht="15" customHeight="1" x14ac:dyDescent="0.15">
      <c r="A98" s="88" t="str">
        <f t="shared" si="140"/>
        <v>9489</v>
      </c>
      <c r="B98" s="89" t="s">
        <v>2275</v>
      </c>
      <c r="C98" s="100" t="str">
        <f>VLOOKUP(VALUE(RIGHT(B98,3)),gachas!A:C,3,FALSE)</f>
        <v>フィーバーフェスティバル＜ボーア、ヘンペル＞</v>
      </c>
      <c r="D98" s="100" t="str">
        <f t="shared" si="143"/>
        <v>gacha489.png</v>
      </c>
      <c r="E98" s="101" t="str">
        <f t="shared" si="144"/>
        <v>489</v>
      </c>
      <c r="F98" s="89" t="s">
        <v>1953</v>
      </c>
      <c r="G98" s="90" t="s">
        <v>841</v>
      </c>
      <c r="H98" s="90" t="s">
        <v>84</v>
      </c>
    </row>
    <row r="99" spans="1:8" ht="15" customHeight="1" x14ac:dyDescent="0.15">
      <c r="A99" s="88" t="str">
        <f t="shared" ref="A99:A101" si="145">"9"&amp;TEXT(RIGHT(B99,3),"000")</f>
        <v>9490</v>
      </c>
      <c r="B99" s="89" t="s">
        <v>2304</v>
      </c>
      <c r="C99" s="100" t="str">
        <f>VLOOKUP(VALUE(RIGHT(B99,3)),gachas!A:C,3,FALSE)</f>
        <v>カラーピック（ラプンツェル、アルフヘイム）</v>
      </c>
      <c r="D99" s="100" t="str">
        <f t="shared" ref="D99:D101" si="146">B99&amp;".png"</f>
        <v>gacha490.png</v>
      </c>
      <c r="E99" s="101" t="str">
        <f t="shared" ref="E99:E101" si="147">RIGHT(B99,3)</f>
        <v>490</v>
      </c>
      <c r="F99" s="89" t="s">
        <v>2308</v>
      </c>
      <c r="G99" s="90" t="s">
        <v>841</v>
      </c>
      <c r="H99" s="90" t="s">
        <v>84</v>
      </c>
    </row>
    <row r="100" spans="1:8" ht="15" customHeight="1" x14ac:dyDescent="0.15">
      <c r="A100" s="88" t="str">
        <f t="shared" si="145"/>
        <v>9491</v>
      </c>
      <c r="B100" s="89" t="s">
        <v>2305</v>
      </c>
      <c r="C100" s="100" t="str">
        <f>VLOOKUP(VALUE(RIGHT(B100,3)),gachas!A:C,3,FALSE)</f>
        <v>クリスマスランキング対抗&lt; ニコラ&gt;</v>
      </c>
      <c r="D100" s="100" t="str">
        <f t="shared" si="146"/>
        <v>gacha491.png</v>
      </c>
      <c r="E100" s="101" t="str">
        <f t="shared" si="147"/>
        <v>491</v>
      </c>
      <c r="F100" s="89" t="s">
        <v>2310</v>
      </c>
      <c r="G100" s="90" t="s">
        <v>841</v>
      </c>
      <c r="H100" s="90" t="s">
        <v>84</v>
      </c>
    </row>
    <row r="101" spans="1:8" ht="15" customHeight="1" x14ac:dyDescent="0.15">
      <c r="A101" s="88" t="str">
        <f t="shared" si="145"/>
        <v>9492</v>
      </c>
      <c r="B101" s="89" t="s">
        <v>2306</v>
      </c>
      <c r="C101" s="100" t="str">
        <f>VLOOKUP(VALUE(RIGHT(B101,3)),gachas!A:C,3,FALSE)</f>
        <v>R6解放ピックアップ&lt;ユミル、ライオン&gt;</v>
      </c>
      <c r="D101" s="100" t="str">
        <f t="shared" si="146"/>
        <v>gacha492.png</v>
      </c>
      <c r="E101" s="101" t="str">
        <f t="shared" si="147"/>
        <v>492</v>
      </c>
      <c r="F101" s="89" t="s">
        <v>2313</v>
      </c>
      <c r="G101" s="90" t="s">
        <v>841</v>
      </c>
      <c r="H101" s="90" t="s">
        <v>84</v>
      </c>
    </row>
    <row r="102" spans="1:8" ht="15" customHeight="1" x14ac:dyDescent="0.15">
      <c r="A102" s="88" t="str">
        <f t="shared" ref="A102" si="148">"9"&amp;TEXT(RIGHT(B102,3),"000")</f>
        <v>9493</v>
      </c>
      <c r="B102" s="89" t="s">
        <v>2333</v>
      </c>
      <c r="C102" s="100" t="str">
        <f>VLOOKUP(VALUE(RIGHT(B102,3)),gachas!A:C,3,FALSE)</f>
        <v>ニューフェイスガチャ（戦国2）</v>
      </c>
      <c r="D102" s="100" t="str">
        <f t="shared" ref="D102:D104" si="149">B102&amp;".png"</f>
        <v>gacha493.png</v>
      </c>
      <c r="E102" s="101" t="str">
        <f t="shared" ref="E102" si="150">RIGHT(B102,3)</f>
        <v>493</v>
      </c>
      <c r="F102" s="89" t="s">
        <v>1139</v>
      </c>
      <c r="G102" s="90" t="s">
        <v>841</v>
      </c>
      <c r="H102" s="90" t="s">
        <v>84</v>
      </c>
    </row>
    <row r="103" spans="1:8" ht="15" customHeight="1" x14ac:dyDescent="0.15">
      <c r="A103" s="88" t="str">
        <f t="shared" ref="A103" si="151">"9"&amp;TEXT(RIGHT(B103,3),"000")</f>
        <v>9495</v>
      </c>
      <c r="B103" s="89" t="s">
        <v>2336</v>
      </c>
      <c r="C103" s="100" t="str">
        <f>VLOOKUP(VALUE(RIGHT(B103,3)),gachas!A:C,3,FALSE)</f>
        <v>デュラララガチャ宵&lt;帝人&gt;</v>
      </c>
      <c r="D103" s="102" t="s">
        <v>2340</v>
      </c>
      <c r="E103" s="101" t="str">
        <f t="shared" ref="E103" si="152">RIGHT(B103,3)</f>
        <v>495</v>
      </c>
      <c r="F103" s="89" t="s">
        <v>2338</v>
      </c>
      <c r="G103" s="90" t="s">
        <v>841</v>
      </c>
      <c r="H103" s="90" t="s">
        <v>84</v>
      </c>
    </row>
    <row r="104" spans="1:8" ht="15" customHeight="1" x14ac:dyDescent="0.15">
      <c r="A104" s="88" t="str">
        <f t="shared" ref="A104" si="153">"9"&amp;TEXT(RIGHT(B104,3),"000")</f>
        <v>9496</v>
      </c>
      <c r="B104" s="89" t="s">
        <v>2350</v>
      </c>
      <c r="C104" s="100" t="str">
        <f>VLOOKUP(VALUE(RIGHT(B104,3)),gachas!A:C,3,FALSE)</f>
        <v>★6解放記念ガチャ＜アスタロト、フール＞</v>
      </c>
      <c r="D104" s="100" t="str">
        <f t="shared" si="149"/>
        <v>gacha496.png</v>
      </c>
      <c r="E104" s="101" t="str">
        <f t="shared" ref="E104:E105" si="154">RIGHT(B104,3)</f>
        <v>496</v>
      </c>
      <c r="F104" s="89" t="s">
        <v>2313</v>
      </c>
      <c r="G104" s="90" t="s">
        <v>841</v>
      </c>
      <c r="H104" s="90" t="s">
        <v>84</v>
      </c>
    </row>
    <row r="105" spans="1:8" ht="15" customHeight="1" x14ac:dyDescent="0.15">
      <c r="A105" s="94">
        <v>9502</v>
      </c>
      <c r="B105" s="89" t="s">
        <v>2355</v>
      </c>
      <c r="C105" s="100" t="str">
        <f>VLOOKUP(VALUE(RIGHT(B105,3)),gachas!A:C,3,FALSE)</f>
        <v>デュラララガチャ暁&lt;静雄&gt;</v>
      </c>
      <c r="D105" s="102" t="s">
        <v>2356</v>
      </c>
      <c r="E105" s="101" t="str">
        <f t="shared" si="154"/>
        <v>497</v>
      </c>
      <c r="F105" s="89" t="s">
        <v>2338</v>
      </c>
      <c r="G105" s="90" t="s">
        <v>841</v>
      </c>
      <c r="H105" s="90" t="s">
        <v>84</v>
      </c>
    </row>
    <row r="106" spans="1:8" ht="15" customHeight="1" x14ac:dyDescent="0.15">
      <c r="A106" s="94">
        <v>9497</v>
      </c>
      <c r="B106" s="89" t="s">
        <v>2389</v>
      </c>
      <c r="C106" s="100" t="str">
        <f>VLOOKUP(VALUE(RIGHT(B106,3)),gachas!A:C,3,FALSE)</f>
        <v>大晦日24時間限定 記念限定ユニット確定ガチャ（仮）</v>
      </c>
      <c r="D106" s="100" t="str">
        <f t="shared" ref="D106:D113" si="155">B106&amp;".png"</f>
        <v>gacha498.png</v>
      </c>
      <c r="E106" s="101" t="str">
        <f t="shared" ref="E106:E113" si="156">RIGHT(B106,3)</f>
        <v>498</v>
      </c>
      <c r="F106" s="89" t="s">
        <v>2394</v>
      </c>
      <c r="G106" s="90" t="s">
        <v>841</v>
      </c>
      <c r="H106" s="90" t="s">
        <v>84</v>
      </c>
    </row>
    <row r="107" spans="1:8" ht="15" customHeight="1" x14ac:dyDescent="0.15">
      <c r="A107" s="94">
        <v>9501</v>
      </c>
      <c r="B107" s="89" t="s">
        <v>2390</v>
      </c>
      <c r="C107" s="100" t="str">
        <f>VLOOKUP(VALUE(RIGHT(B107,3)),gachas!A:C,3,FALSE)</f>
        <v>お正月超フィーバーフェス赤（仮）</v>
      </c>
      <c r="D107" s="100" t="str">
        <f t="shared" si="155"/>
        <v>gacha499.png</v>
      </c>
      <c r="E107" s="101" t="str">
        <f t="shared" si="156"/>
        <v>499</v>
      </c>
      <c r="F107" s="89" t="s">
        <v>2395</v>
      </c>
      <c r="G107" s="90" t="s">
        <v>841</v>
      </c>
      <c r="H107" s="90" t="s">
        <v>84</v>
      </c>
    </row>
    <row r="108" spans="1:8" ht="15" customHeight="1" x14ac:dyDescent="0.15">
      <c r="A108" s="94">
        <v>9500</v>
      </c>
      <c r="B108" s="89" t="s">
        <v>2391</v>
      </c>
      <c r="C108" s="100" t="str">
        <f>VLOOKUP(VALUE(RIGHT(B108,3)),gachas!A:C,3,FALSE)</f>
        <v>お正月超フィーバーフェス緑（仮）</v>
      </c>
      <c r="D108" s="100" t="str">
        <f t="shared" si="155"/>
        <v>gacha500.png</v>
      </c>
      <c r="E108" s="101" t="str">
        <f t="shared" si="156"/>
        <v>500</v>
      </c>
      <c r="F108" s="89" t="s">
        <v>2396</v>
      </c>
      <c r="G108" s="90" t="s">
        <v>841</v>
      </c>
      <c r="H108" s="90" t="s">
        <v>84</v>
      </c>
    </row>
    <row r="109" spans="1:8" ht="15" customHeight="1" x14ac:dyDescent="0.15">
      <c r="A109" s="94">
        <v>9499</v>
      </c>
      <c r="B109" s="89" t="s">
        <v>2392</v>
      </c>
      <c r="C109" s="100" t="str">
        <f>VLOOKUP(VALUE(RIGHT(B109,3)),gachas!A:C,3,FALSE)</f>
        <v>お正月超フィーバーフェス青（仮）</v>
      </c>
      <c r="D109" s="100" t="str">
        <f t="shared" si="155"/>
        <v>gacha501.png</v>
      </c>
      <c r="E109" s="101" t="str">
        <f t="shared" si="156"/>
        <v>501</v>
      </c>
      <c r="F109" s="89" t="s">
        <v>2397</v>
      </c>
      <c r="G109" s="90" t="s">
        <v>841</v>
      </c>
      <c r="H109" s="90" t="s">
        <v>84</v>
      </c>
    </row>
    <row r="110" spans="1:8" ht="15" customHeight="1" x14ac:dyDescent="0.15">
      <c r="A110" s="94">
        <v>9498</v>
      </c>
      <c r="B110" s="89" t="s">
        <v>2393</v>
      </c>
      <c r="C110" s="100" t="str">
        <f>VLOOKUP(VALUE(RIGHT(B110,3)),gachas!A:C,3,FALSE)</f>
        <v>お正月超フィーバーフェス黄（仮）</v>
      </c>
      <c r="D110" s="100" t="str">
        <f t="shared" si="155"/>
        <v>gacha502.png</v>
      </c>
      <c r="E110" s="101" t="str">
        <f t="shared" si="156"/>
        <v>502</v>
      </c>
      <c r="F110" s="89" t="s">
        <v>2398</v>
      </c>
      <c r="G110" s="90" t="s">
        <v>841</v>
      </c>
      <c r="H110" s="90" t="s">
        <v>84</v>
      </c>
    </row>
    <row r="111" spans="1:8" ht="15" customHeight="1" x14ac:dyDescent="0.15">
      <c r="A111" s="88" t="str">
        <f t="shared" ref="A111:A113" si="157">"9"&amp;TEXT(RIGHT(B111,3),"000")</f>
        <v>9503</v>
      </c>
      <c r="B111" s="89" t="s">
        <v>2456</v>
      </c>
      <c r="C111" s="100" t="str">
        <f>VLOOKUP(VALUE(RIGHT(B111,3)),gachas!A:C,3,FALSE)</f>
        <v>ランキング対抗ガチャ&lt;マクローリン&gt;</v>
      </c>
      <c r="D111" s="100" t="str">
        <f t="shared" si="155"/>
        <v>gacha503.png</v>
      </c>
      <c r="E111" s="101" t="str">
        <f t="shared" si="156"/>
        <v>503</v>
      </c>
      <c r="F111" s="89" t="s">
        <v>2460</v>
      </c>
      <c r="G111" s="90" t="s">
        <v>841</v>
      </c>
      <c r="H111" s="90" t="s">
        <v>84</v>
      </c>
    </row>
    <row r="112" spans="1:8" ht="15" customHeight="1" x14ac:dyDescent="0.15">
      <c r="A112" s="88" t="str">
        <f t="shared" si="157"/>
        <v>9504</v>
      </c>
      <c r="B112" s="89" t="s">
        <v>2457</v>
      </c>
      <c r="C112" s="100" t="str">
        <f>VLOOKUP(VALUE(RIGHT(B112,3)),gachas!A:C,3,FALSE)</f>
        <v>新年特別開催台港澳祭典SIDE:A</v>
      </c>
      <c r="D112" s="100" t="str">
        <f t="shared" si="155"/>
        <v>gacha504.png</v>
      </c>
      <c r="E112" s="101" t="str">
        <f t="shared" si="156"/>
        <v>504</v>
      </c>
      <c r="F112" s="89" t="s">
        <v>2459</v>
      </c>
      <c r="G112" s="90" t="s">
        <v>841</v>
      </c>
      <c r="H112" s="90" t="s">
        <v>84</v>
      </c>
    </row>
    <row r="113" spans="1:8" ht="15" customHeight="1" x14ac:dyDescent="0.15">
      <c r="A113" s="88" t="str">
        <f t="shared" si="157"/>
        <v>9505</v>
      </c>
      <c r="B113" s="89" t="s">
        <v>2458</v>
      </c>
      <c r="C113" s="100" t="str">
        <f>VLOOKUP(VALUE(RIGHT(B113,3)),gachas!A:C,3,FALSE)</f>
        <v>新年特別開催台港澳祭典SIDE:B</v>
      </c>
      <c r="D113" s="100" t="str">
        <f t="shared" si="155"/>
        <v>gacha505.png</v>
      </c>
      <c r="E113" s="101" t="str">
        <f t="shared" si="156"/>
        <v>505</v>
      </c>
      <c r="F113" s="89" t="s">
        <v>2337</v>
      </c>
      <c r="G113" s="90" t="s">
        <v>841</v>
      </c>
      <c r="H113" s="90" t="s">
        <v>84</v>
      </c>
    </row>
    <row r="114" spans="1:8" ht="15" customHeight="1" x14ac:dyDescent="0.15">
      <c r="A114" s="88" t="str">
        <f t="shared" ref="A114:A119" si="158">"9"&amp;TEXT(RIGHT(B114,3),"000")</f>
        <v>9506</v>
      </c>
      <c r="B114" s="89" t="s">
        <v>2493</v>
      </c>
      <c r="C114" s="100" t="str">
        <f>VLOOKUP(VALUE(RIGHT(B114,3)),gachas!A:C,3,FALSE)</f>
        <v>フィーバーフェス（１日目）</v>
      </c>
      <c r="D114" s="100" t="str">
        <f t="shared" ref="D114:D119" si="159">B114&amp;".png"</f>
        <v>gacha506.png</v>
      </c>
      <c r="E114" s="101" t="str">
        <f t="shared" ref="E114:E119" si="160">RIGHT(B114,3)</f>
        <v>506</v>
      </c>
      <c r="F114" s="89" t="s">
        <v>2496</v>
      </c>
      <c r="G114" s="90" t="s">
        <v>841</v>
      </c>
      <c r="H114" s="90" t="s">
        <v>84</v>
      </c>
    </row>
    <row r="115" spans="1:8" ht="15" customHeight="1" x14ac:dyDescent="0.15">
      <c r="A115" s="88" t="str">
        <f t="shared" si="158"/>
        <v>9507</v>
      </c>
      <c r="B115" s="89" t="s">
        <v>2494</v>
      </c>
      <c r="C115" s="100" t="str">
        <f>VLOOKUP(VALUE(RIGHT(B115,3)),gachas!A:C,3,FALSE)</f>
        <v>フィーバーフェス（2日目）</v>
      </c>
      <c r="D115" s="100" t="str">
        <f t="shared" si="159"/>
        <v>gacha507.png</v>
      </c>
      <c r="E115" s="101" t="str">
        <f t="shared" si="160"/>
        <v>507</v>
      </c>
      <c r="F115" s="89" t="s">
        <v>2497</v>
      </c>
      <c r="G115" s="90" t="s">
        <v>841</v>
      </c>
      <c r="H115" s="90" t="s">
        <v>84</v>
      </c>
    </row>
    <row r="116" spans="1:8" ht="15" customHeight="1" x14ac:dyDescent="0.15">
      <c r="A116" s="88" t="str">
        <f t="shared" si="158"/>
        <v>9508</v>
      </c>
      <c r="B116" s="89" t="s">
        <v>2495</v>
      </c>
      <c r="C116" s="100" t="str">
        <f>VLOOKUP(VALUE(RIGHT(B116,3)),gachas!A:C,3,FALSE)</f>
        <v>フィーバーフェス（3日目）</v>
      </c>
      <c r="D116" s="100" t="str">
        <f t="shared" si="159"/>
        <v>gacha508.png</v>
      </c>
      <c r="E116" s="101" t="str">
        <f t="shared" si="160"/>
        <v>508</v>
      </c>
      <c r="F116" s="89" t="s">
        <v>2498</v>
      </c>
      <c r="G116" s="90" t="s">
        <v>841</v>
      </c>
      <c r="H116" s="90" t="s">
        <v>84</v>
      </c>
    </row>
    <row r="117" spans="1:8" ht="15" customHeight="1" x14ac:dyDescent="0.15">
      <c r="A117" s="88" t="str">
        <f t="shared" ref="A117:A118" si="161">"9"&amp;TEXT(RIGHT(B117,3),"000")</f>
        <v>9509</v>
      </c>
      <c r="B117" s="89" t="s">
        <v>2506</v>
      </c>
      <c r="C117" s="100" t="str">
        <f>VLOOKUP(VALUE(RIGHT(B117,3)),gachas!A:C,3,FALSE)</f>
        <v>ニューフェイスガチャ（北欧）</v>
      </c>
      <c r="D117" s="100" t="str">
        <f t="shared" ref="D117:D118" si="162">B117&amp;".png"</f>
        <v>gacha509.png</v>
      </c>
      <c r="E117" s="101" t="str">
        <f t="shared" ref="E117:E118" si="163">RIGHT(B117,3)</f>
        <v>509</v>
      </c>
      <c r="F117" s="89" t="s">
        <v>1139</v>
      </c>
      <c r="G117" s="90" t="s">
        <v>841</v>
      </c>
      <c r="H117" s="90" t="s">
        <v>84</v>
      </c>
    </row>
    <row r="118" spans="1:8" ht="15" customHeight="1" x14ac:dyDescent="0.15">
      <c r="A118" s="88" t="str">
        <f t="shared" si="161"/>
        <v>9510</v>
      </c>
      <c r="B118" s="89" t="s">
        <v>2507</v>
      </c>
      <c r="C118" s="100" t="str">
        <f>VLOOKUP(VALUE(RIGHT(B118,3)),gachas!A:C,3,FALSE)</f>
        <v>カラーピックアップ（トルストイ、ハーメルン）</v>
      </c>
      <c r="D118" s="100" t="str">
        <f t="shared" si="162"/>
        <v>gacha510.png</v>
      </c>
      <c r="E118" s="101" t="str">
        <f t="shared" si="163"/>
        <v>510</v>
      </c>
      <c r="F118" s="89" t="s">
        <v>2308</v>
      </c>
      <c r="G118" s="90" t="s">
        <v>841</v>
      </c>
      <c r="H118" s="90" t="s">
        <v>84</v>
      </c>
    </row>
    <row r="119" spans="1:8" ht="15" customHeight="1" x14ac:dyDescent="0.15">
      <c r="A119" s="88" t="str">
        <f t="shared" si="158"/>
        <v>9511</v>
      </c>
      <c r="B119" s="89" t="s">
        <v>2508</v>
      </c>
      <c r="C119" s="100" t="str">
        <f>VLOOKUP(VALUE(RIGHT(B119,3)),gachas!A:C,3,FALSE)</f>
        <v>ランキング対抗（ルメートル）</v>
      </c>
      <c r="D119" s="100" t="str">
        <f t="shared" si="159"/>
        <v>gacha511.png</v>
      </c>
      <c r="E119" s="101" t="str">
        <f t="shared" si="160"/>
        <v>511</v>
      </c>
      <c r="F119" s="89" t="s">
        <v>2509</v>
      </c>
      <c r="G119" s="90" t="s">
        <v>841</v>
      </c>
      <c r="H119" s="90" t="s">
        <v>84</v>
      </c>
    </row>
    <row r="120" spans="1:8" ht="15" customHeight="1" x14ac:dyDescent="0.15">
      <c r="A120" s="94">
        <v>9513</v>
      </c>
      <c r="B120" s="89" t="s">
        <v>2469</v>
      </c>
      <c r="C120" s="100" t="str">
        <f>VLOOKUP(VALUE(RIGHT(B120,3)),gachas!A:C,3,FALSE)</f>
        <v>ミクガチャA</v>
      </c>
      <c r="D120" s="100" t="str">
        <f t="shared" ref="D120:D125" si="164">B120&amp;".png"</f>
        <v>gacha512.png</v>
      </c>
      <c r="E120" s="101" t="str">
        <f t="shared" ref="E120:E125" si="165">RIGHT(B120,3)</f>
        <v>512</v>
      </c>
      <c r="F120" s="89" t="s">
        <v>2545</v>
      </c>
      <c r="G120" s="90" t="s">
        <v>841</v>
      </c>
      <c r="H120" s="90" t="s">
        <v>84</v>
      </c>
    </row>
    <row r="121" spans="1:8" ht="15" customHeight="1" x14ac:dyDescent="0.15">
      <c r="A121" s="94">
        <v>9512</v>
      </c>
      <c r="B121" s="89" t="s">
        <v>2470</v>
      </c>
      <c r="C121" s="100" t="str">
        <f>VLOOKUP(VALUE(RIGHT(B121,3)),gachas!A:C,3,FALSE)</f>
        <v>ミクガチャB</v>
      </c>
      <c r="D121" s="100" t="str">
        <f t="shared" si="164"/>
        <v>gacha513.png</v>
      </c>
      <c r="E121" s="101" t="str">
        <f t="shared" si="165"/>
        <v>513</v>
      </c>
      <c r="F121" s="89" t="s">
        <v>2547</v>
      </c>
      <c r="G121" s="90" t="s">
        <v>841</v>
      </c>
      <c r="H121" s="90" t="s">
        <v>84</v>
      </c>
    </row>
    <row r="122" spans="1:8" ht="15" customHeight="1" x14ac:dyDescent="0.15">
      <c r="A122" s="88" t="str">
        <f t="shared" ref="A122:A124" si="166">"9"&amp;TEXT(RIGHT(B122,3),"000")</f>
        <v>9515</v>
      </c>
      <c r="B122" s="89" t="s">
        <v>2561</v>
      </c>
      <c r="C122" s="100" t="str">
        <f>VLOOKUP(VALUE(RIGHT(B122,3)),gachas!A:C,3,FALSE)</f>
        <v>超フェス&lt;ラプラス、ラグランジュ&gt;</v>
      </c>
      <c r="D122" s="100" t="str">
        <f t="shared" ref="D122:D124" si="167">B122&amp;".png"</f>
        <v>gacha515.png</v>
      </c>
      <c r="E122" s="101" t="str">
        <f t="shared" ref="E122:E124" si="168">RIGHT(B122,3)</f>
        <v>515</v>
      </c>
      <c r="F122" s="89" t="s">
        <v>2564</v>
      </c>
      <c r="G122" s="90" t="s">
        <v>841</v>
      </c>
      <c r="H122" s="90" t="s">
        <v>84</v>
      </c>
    </row>
    <row r="123" spans="1:8" ht="15" customHeight="1" x14ac:dyDescent="0.15">
      <c r="A123" s="88" t="str">
        <f t="shared" si="166"/>
        <v>9516</v>
      </c>
      <c r="B123" s="89" t="s">
        <v>2562</v>
      </c>
      <c r="C123" s="100" t="str">
        <f>VLOOKUP(VALUE(RIGHT(B123,3)),gachas!A:C,3,FALSE)</f>
        <v>超フェス&lt;ラプラス、オイラー&gt;</v>
      </c>
      <c r="D123" s="100" t="str">
        <f t="shared" si="167"/>
        <v>gacha516.png</v>
      </c>
      <c r="E123" s="101" t="str">
        <f t="shared" si="168"/>
        <v>516</v>
      </c>
      <c r="F123" s="89" t="s">
        <v>2566</v>
      </c>
      <c r="G123" s="90" t="s">
        <v>841</v>
      </c>
      <c r="H123" s="90" t="s">
        <v>84</v>
      </c>
    </row>
    <row r="124" spans="1:8" ht="15" customHeight="1" x14ac:dyDescent="0.15">
      <c r="A124" s="88" t="str">
        <f t="shared" si="166"/>
        <v>9517</v>
      </c>
      <c r="B124" s="89" t="s">
        <v>2563</v>
      </c>
      <c r="C124" s="100" t="str">
        <f>VLOOKUP(VALUE(RIGHT(B124,3)),gachas!A:C,3,FALSE)</f>
        <v>超フェス&lt;ラプラス、ディラック&gt;</v>
      </c>
      <c r="D124" s="100" t="str">
        <f t="shared" si="167"/>
        <v>gacha517.png</v>
      </c>
      <c r="E124" s="101" t="str">
        <f t="shared" si="168"/>
        <v>517</v>
      </c>
      <c r="F124" s="89" t="s">
        <v>2565</v>
      </c>
      <c r="G124" s="90" t="s">
        <v>841</v>
      </c>
      <c r="H124" s="90" t="s">
        <v>84</v>
      </c>
    </row>
    <row r="125" spans="1:8" ht="15" customHeight="1" x14ac:dyDescent="0.15">
      <c r="A125" s="88" t="str">
        <f t="shared" ref="A125" si="169">"9"&amp;TEXT(RIGHT(B125,3),"000")</f>
        <v>9518</v>
      </c>
      <c r="B125" s="89" t="s">
        <v>2471</v>
      </c>
      <c r="C125" s="100" t="str">
        <f>VLOOKUP(VALUE(RIGHT(B125,3)),gachas!A:C,3,FALSE)</f>
        <v>ミクガチャC</v>
      </c>
      <c r="D125" s="100" t="str">
        <f t="shared" si="164"/>
        <v>gacha518.png</v>
      </c>
      <c r="E125" s="101" t="str">
        <f t="shared" si="165"/>
        <v>518</v>
      </c>
      <c r="F125" s="89" t="s">
        <v>2546</v>
      </c>
      <c r="G125" s="90" t="s">
        <v>841</v>
      </c>
      <c r="H125" s="90" t="s">
        <v>84</v>
      </c>
    </row>
    <row r="126" spans="1:8" ht="15" customHeight="1" x14ac:dyDescent="0.15">
      <c r="A126" s="88" t="str">
        <f t="shared" ref="A126:A127" si="170">"9"&amp;TEXT(RIGHT(B126,3),"000")</f>
        <v>9520</v>
      </c>
      <c r="B126" s="89" t="s">
        <v>2583</v>
      </c>
      <c r="C126" s="100" t="str">
        <f>VLOOKUP(VALUE(RIGHT(B126,3)),gachas!A:C,3,FALSE)</f>
        <v>確定ステップアップ</v>
      </c>
      <c r="D126" s="100" t="str">
        <f t="shared" ref="D126:D129" si="171">B126&amp;".png"</f>
        <v>gacha520.png</v>
      </c>
      <c r="E126" s="101" t="str">
        <f t="shared" ref="E126:E129" si="172">RIGHT(B126,3)</f>
        <v>520</v>
      </c>
      <c r="F126" s="89" t="s">
        <v>2134</v>
      </c>
      <c r="G126" s="90" t="s">
        <v>841</v>
      </c>
      <c r="H126" s="90" t="s">
        <v>84</v>
      </c>
    </row>
    <row r="127" spans="1:8" ht="15" customHeight="1" x14ac:dyDescent="0.15">
      <c r="A127" s="88" t="str">
        <f t="shared" si="170"/>
        <v>9521</v>
      </c>
      <c r="B127" s="89" t="s">
        <v>2584</v>
      </c>
      <c r="C127" s="100" t="str">
        <f>VLOOKUP(VALUE(RIGHT(B127,3)),gachas!A:C,3,FALSE)</f>
        <v>新クラファーコレクション</v>
      </c>
      <c r="D127" s="100" t="str">
        <f t="shared" si="171"/>
        <v>gacha521.png</v>
      </c>
      <c r="E127" s="101" t="str">
        <f t="shared" si="172"/>
        <v>521</v>
      </c>
      <c r="F127" s="89" t="s">
        <v>2598</v>
      </c>
      <c r="G127" s="90" t="s">
        <v>841</v>
      </c>
      <c r="H127" s="90" t="s">
        <v>84</v>
      </c>
    </row>
    <row r="128" spans="1:8" ht="15" customHeight="1" x14ac:dyDescent="0.15">
      <c r="A128" s="94">
        <v>9524</v>
      </c>
      <c r="B128" s="89" t="s">
        <v>2585</v>
      </c>
      <c r="C128" s="100" t="str">
        <f>VLOOKUP(VALUE(RIGHT(B128,3)),gachas!A:C,3,FALSE)</f>
        <v>バレンタインガチャA&lt;トウカ、ヴァニレ&gt;</v>
      </c>
      <c r="D128" s="100" t="str">
        <f t="shared" si="171"/>
        <v>gacha522.png</v>
      </c>
      <c r="E128" s="101" t="str">
        <f t="shared" si="172"/>
        <v>522</v>
      </c>
      <c r="F128" s="89" t="s">
        <v>2587</v>
      </c>
      <c r="G128" s="90" t="s">
        <v>841</v>
      </c>
      <c r="H128" s="90" t="s">
        <v>84</v>
      </c>
    </row>
    <row r="129" spans="1:8" ht="15" customHeight="1" x14ac:dyDescent="0.15">
      <c r="A129" s="94">
        <v>9523</v>
      </c>
      <c r="B129" s="89" t="s">
        <v>2586</v>
      </c>
      <c r="C129" s="100" t="str">
        <f>VLOOKUP(VALUE(RIGHT(B129,3)),gachas!A:C,3,FALSE)</f>
        <v>バレンタインガチャB&lt;フォンデュ、コルネ&gt;</v>
      </c>
      <c r="D129" s="100" t="str">
        <f t="shared" si="171"/>
        <v>gacha523.png</v>
      </c>
      <c r="E129" s="101" t="str">
        <f t="shared" si="172"/>
        <v>523</v>
      </c>
      <c r="F129" s="89" t="s">
        <v>2587</v>
      </c>
      <c r="G129" s="90" t="s">
        <v>841</v>
      </c>
      <c r="H129" s="90" t="s">
        <v>84</v>
      </c>
    </row>
    <row r="130" spans="1:8" ht="15" customHeight="1" x14ac:dyDescent="0.15">
      <c r="A130" s="94">
        <v>9525</v>
      </c>
      <c r="B130" s="89" t="s">
        <v>2607</v>
      </c>
      <c r="C130" s="100" t="str">
        <f>VLOOKUP(VALUE(RIGHT(B130,3)),gachas!A:C,3,FALSE)</f>
        <v>フィーバーフェス（1日目）</v>
      </c>
      <c r="D130" s="100" t="str">
        <f t="shared" ref="D130:D133" si="173">B130&amp;".png"</f>
        <v>gacha524.png</v>
      </c>
      <c r="E130" s="101" t="str">
        <f t="shared" ref="E130:E133" si="174">RIGHT(B130,3)</f>
        <v>524</v>
      </c>
      <c r="F130" s="89" t="s">
        <v>2611</v>
      </c>
      <c r="G130" s="90" t="s">
        <v>841</v>
      </c>
      <c r="H130" s="90" t="s">
        <v>84</v>
      </c>
    </row>
    <row r="131" spans="1:8" ht="15" customHeight="1" x14ac:dyDescent="0.15">
      <c r="A131" s="94">
        <v>9526</v>
      </c>
      <c r="B131" s="89" t="s">
        <v>2608</v>
      </c>
      <c r="C131" s="100" t="str">
        <f>VLOOKUP(VALUE(RIGHT(B131,3)),gachas!A:C,3,FALSE)</f>
        <v>フィーバーフェス（2日目）</v>
      </c>
      <c r="D131" s="100" t="str">
        <f t="shared" si="173"/>
        <v>gacha525.png</v>
      </c>
      <c r="E131" s="101" t="str">
        <f t="shared" si="174"/>
        <v>525</v>
      </c>
      <c r="F131" s="89" t="s">
        <v>2612</v>
      </c>
      <c r="G131" s="90" t="s">
        <v>841</v>
      </c>
      <c r="H131" s="90" t="s">
        <v>84</v>
      </c>
    </row>
    <row r="132" spans="1:8" ht="15" customHeight="1" x14ac:dyDescent="0.15">
      <c r="A132" s="94">
        <v>9527</v>
      </c>
      <c r="B132" s="89" t="s">
        <v>2609</v>
      </c>
      <c r="C132" s="100" t="str">
        <f>VLOOKUP(VALUE(RIGHT(B132,3)),gachas!A:C,3,FALSE)</f>
        <v>フィーバーフェス（3日目）</v>
      </c>
      <c r="D132" s="100" t="str">
        <f t="shared" si="173"/>
        <v>gacha526.png</v>
      </c>
      <c r="E132" s="101" t="str">
        <f t="shared" si="174"/>
        <v>526</v>
      </c>
      <c r="F132" s="89" t="s">
        <v>2670</v>
      </c>
      <c r="G132" s="90" t="s">
        <v>841</v>
      </c>
      <c r="H132" s="90" t="s">
        <v>84</v>
      </c>
    </row>
    <row r="133" spans="1:8" ht="15" customHeight="1" x14ac:dyDescent="0.15">
      <c r="A133" s="94">
        <v>9522</v>
      </c>
      <c r="B133" s="89" t="s">
        <v>2610</v>
      </c>
      <c r="C133" s="100" t="str">
        <f>VLOOKUP(VALUE(RIGHT(B133,3)),gachas!A:C,3,FALSE)</f>
        <v>アビリティピックアップ（プロテクトブレイク）</v>
      </c>
      <c r="D133" s="100" t="str">
        <f t="shared" si="173"/>
        <v>gacha527.png</v>
      </c>
      <c r="E133" s="101" t="str">
        <f t="shared" si="174"/>
        <v>527</v>
      </c>
      <c r="F133" s="89" t="s">
        <v>2312</v>
      </c>
      <c r="G133" s="90" t="s">
        <v>841</v>
      </c>
      <c r="H133" s="90" t="s">
        <v>84</v>
      </c>
    </row>
    <row r="134" spans="1:8" ht="15" customHeight="1" x14ac:dyDescent="0.15">
      <c r="A134" s="94">
        <v>9528</v>
      </c>
      <c r="B134" s="89" t="s">
        <v>2634</v>
      </c>
      <c r="C134" s="100" t="str">
        <f>VLOOKUP(VALUE(RIGHT(B134,3)),gachas!A:C,3,FALSE)</f>
        <v>ニューフェイスピックアップ</v>
      </c>
      <c r="D134" s="100" t="str">
        <f t="shared" ref="D134:D136" si="175">B134&amp;".png"</f>
        <v>gacha528.png</v>
      </c>
      <c r="E134" s="101" t="str">
        <f t="shared" ref="E134:E137" si="176">RIGHT(B134,3)</f>
        <v>528</v>
      </c>
      <c r="F134" s="89" t="s">
        <v>2635</v>
      </c>
      <c r="G134" s="90" t="s">
        <v>841</v>
      </c>
      <c r="H134" s="90" t="s">
        <v>84</v>
      </c>
    </row>
    <row r="135" spans="1:8" ht="15" customHeight="1" x14ac:dyDescent="0.15">
      <c r="A135" s="94">
        <v>9530</v>
      </c>
      <c r="B135" s="89" t="s">
        <v>2640</v>
      </c>
      <c r="C135" s="100" t="str">
        <f>VLOOKUP(VALUE(RIGHT(B135,3)),gachas!A:C,3,FALSE)</f>
        <v>スペシャルサマーガチャ＋SideA</v>
      </c>
      <c r="D135" s="100" t="str">
        <f t="shared" si="175"/>
        <v>gacha529.png</v>
      </c>
      <c r="E135" s="101" t="str">
        <f t="shared" si="176"/>
        <v>529</v>
      </c>
      <c r="F135" s="89" t="s">
        <v>2647</v>
      </c>
      <c r="G135" s="90" t="s">
        <v>841</v>
      </c>
      <c r="H135" s="90" t="s">
        <v>84</v>
      </c>
    </row>
    <row r="136" spans="1:8" ht="15" customHeight="1" x14ac:dyDescent="0.15">
      <c r="A136" s="94">
        <v>9529</v>
      </c>
      <c r="B136" s="89" t="s">
        <v>2641</v>
      </c>
      <c r="C136" s="100" t="str">
        <f>VLOOKUP(VALUE(RIGHT(B136,3)),gachas!A:C,3,FALSE)</f>
        <v>スペシャルサマーガチャ＋SideB</v>
      </c>
      <c r="D136" s="100" t="str">
        <f t="shared" si="175"/>
        <v>gacha530.png</v>
      </c>
      <c r="E136" s="101" t="str">
        <f t="shared" si="176"/>
        <v>530</v>
      </c>
      <c r="F136" s="89" t="s">
        <v>2647</v>
      </c>
      <c r="G136" s="90" t="s">
        <v>841</v>
      </c>
      <c r="H136" s="90" t="s">
        <v>84</v>
      </c>
    </row>
    <row r="137" spans="1:8" ht="15" customHeight="1" x14ac:dyDescent="0.15">
      <c r="A137" s="138">
        <v>9531</v>
      </c>
      <c r="B137" s="89" t="s">
        <v>2642</v>
      </c>
      <c r="C137" s="100" t="str">
        <f>VLOOKUP(VALUE(RIGHT(B137,3)),gachas!A:C,3,FALSE)</f>
        <v>1日1回無料スペシャルサマーガチャ(22日)</v>
      </c>
      <c r="D137" s="102" t="s">
        <v>2715</v>
      </c>
      <c r="E137" s="101" t="str">
        <f t="shared" si="176"/>
        <v>531</v>
      </c>
      <c r="F137" s="89" t="s">
        <v>2646</v>
      </c>
      <c r="G137" s="90" t="s">
        <v>841</v>
      </c>
      <c r="H137" s="90" t="s">
        <v>84</v>
      </c>
    </row>
    <row r="138" spans="1:8" ht="15" customHeight="1" x14ac:dyDescent="0.15">
      <c r="A138" s="138">
        <v>9533</v>
      </c>
      <c r="B138" s="89" t="s">
        <v>2698</v>
      </c>
      <c r="C138" s="100" t="str">
        <f>VLOOKUP(VALUE(RIGHT(B138,3)),gachas!A:C,3,FALSE)</f>
        <v>1日1回無料スペシャルサマーガチャ(23日)</v>
      </c>
      <c r="D138" s="102" t="s">
        <v>2715</v>
      </c>
      <c r="E138" s="101" t="str">
        <f t="shared" ref="E138:E159" si="177">RIGHT(B138,3)</f>
        <v>533</v>
      </c>
      <c r="F138" s="89" t="s">
        <v>2646</v>
      </c>
      <c r="G138" s="90" t="s">
        <v>841</v>
      </c>
      <c r="H138" s="90" t="s">
        <v>84</v>
      </c>
    </row>
    <row r="139" spans="1:8" ht="15" customHeight="1" x14ac:dyDescent="0.15">
      <c r="A139" s="138">
        <v>9534</v>
      </c>
      <c r="B139" s="89" t="s">
        <v>2699</v>
      </c>
      <c r="C139" s="100" t="str">
        <f>VLOOKUP(VALUE(RIGHT(B139,3)),gachas!A:C,3,FALSE)</f>
        <v>1日1回無料スペシャルサマーガチャ(24日)</v>
      </c>
      <c r="D139" s="102" t="s">
        <v>2715</v>
      </c>
      <c r="E139" s="101" t="str">
        <f t="shared" si="177"/>
        <v>534</v>
      </c>
      <c r="F139" s="89" t="s">
        <v>2646</v>
      </c>
      <c r="G139" s="90" t="s">
        <v>841</v>
      </c>
      <c r="H139" s="90" t="s">
        <v>84</v>
      </c>
    </row>
    <row r="140" spans="1:8" ht="15" customHeight="1" x14ac:dyDescent="0.15">
      <c r="A140" s="138">
        <v>9535</v>
      </c>
      <c r="B140" s="89" t="s">
        <v>2700</v>
      </c>
      <c r="C140" s="100" t="str">
        <f>VLOOKUP(VALUE(RIGHT(B140,3)),gachas!A:C,3,FALSE)</f>
        <v>1日1回無料スペシャルサマーガチャ(25日)</v>
      </c>
      <c r="D140" s="102" t="s">
        <v>2715</v>
      </c>
      <c r="E140" s="101" t="str">
        <f t="shared" si="177"/>
        <v>535</v>
      </c>
      <c r="F140" s="89" t="s">
        <v>2646</v>
      </c>
      <c r="G140" s="90" t="s">
        <v>841</v>
      </c>
      <c r="H140" s="90" t="s">
        <v>84</v>
      </c>
    </row>
    <row r="141" spans="1:8" ht="15" customHeight="1" x14ac:dyDescent="0.15">
      <c r="A141" s="138">
        <v>9536</v>
      </c>
      <c r="B141" s="89" t="s">
        <v>2701</v>
      </c>
      <c r="C141" s="100" t="str">
        <f>VLOOKUP(VALUE(RIGHT(B141,3)),gachas!A:C,3,FALSE)</f>
        <v>1日1回無料スペシャルサマーガチャ(26日)</v>
      </c>
      <c r="D141" s="102" t="s">
        <v>2715</v>
      </c>
      <c r="E141" s="101" t="str">
        <f t="shared" si="177"/>
        <v>536</v>
      </c>
      <c r="F141" s="89" t="s">
        <v>2646</v>
      </c>
      <c r="G141" s="90" t="s">
        <v>841</v>
      </c>
      <c r="H141" s="90" t="s">
        <v>84</v>
      </c>
    </row>
    <row r="142" spans="1:8" ht="15" customHeight="1" x14ac:dyDescent="0.15">
      <c r="A142" s="138">
        <v>9537</v>
      </c>
      <c r="B142" s="89" t="s">
        <v>2702</v>
      </c>
      <c r="C142" s="100" t="str">
        <f>VLOOKUP(VALUE(RIGHT(B142,3)),gachas!A:C,3,FALSE)</f>
        <v>1日1回無料スペシャルサマーガチャ(27日)</v>
      </c>
      <c r="D142" s="102" t="s">
        <v>2715</v>
      </c>
      <c r="E142" s="101" t="str">
        <f t="shared" si="177"/>
        <v>537</v>
      </c>
      <c r="F142" s="89" t="s">
        <v>2646</v>
      </c>
      <c r="G142" s="90" t="s">
        <v>841</v>
      </c>
      <c r="H142" s="90" t="s">
        <v>84</v>
      </c>
    </row>
    <row r="143" spans="1:8" ht="15" customHeight="1" x14ac:dyDescent="0.15">
      <c r="A143" s="138">
        <v>9538</v>
      </c>
      <c r="B143" s="89" t="s">
        <v>2703</v>
      </c>
      <c r="C143" s="100" t="str">
        <f>VLOOKUP(VALUE(RIGHT(B143,3)),gachas!A:C,3,FALSE)</f>
        <v>1日1回無料スペシャルサマーガチャ(28日)</v>
      </c>
      <c r="D143" s="102" t="s">
        <v>2715</v>
      </c>
      <c r="E143" s="101" t="str">
        <f t="shared" si="177"/>
        <v>538</v>
      </c>
      <c r="F143" s="89" t="s">
        <v>2646</v>
      </c>
      <c r="G143" s="90" t="s">
        <v>841</v>
      </c>
      <c r="H143" s="90" t="s">
        <v>84</v>
      </c>
    </row>
    <row r="144" spans="1:8" ht="15" customHeight="1" x14ac:dyDescent="0.15">
      <c r="A144" s="138">
        <v>9539</v>
      </c>
      <c r="B144" s="89" t="s">
        <v>2746</v>
      </c>
      <c r="C144" s="100" t="str">
        <f>VLOOKUP(VALUE(RIGHT(B144,3)),gachas!A:C,3,FALSE)</f>
        <v>超フェス&lt;パウリ、ベルヌーイ&gt;</v>
      </c>
      <c r="D144" s="100" t="str">
        <f t="shared" ref="D144:D147" si="178">B144&amp;".png"</f>
        <v>gacha539.png</v>
      </c>
      <c r="E144" s="101" t="str">
        <f t="shared" si="177"/>
        <v>539</v>
      </c>
      <c r="F144" s="89" t="s">
        <v>2749</v>
      </c>
      <c r="G144" s="90" t="s">
        <v>841</v>
      </c>
      <c r="H144" s="90" t="s">
        <v>84</v>
      </c>
    </row>
    <row r="145" spans="1:10" ht="15" customHeight="1" x14ac:dyDescent="0.15">
      <c r="A145" s="138">
        <v>9540</v>
      </c>
      <c r="B145" s="89" t="s">
        <v>2747</v>
      </c>
      <c r="C145" s="100" t="str">
        <f>VLOOKUP(VALUE(RIGHT(B145,3)),gachas!A:C,3,FALSE)</f>
        <v>超フェス&lt;パウリ、セキ&gt;</v>
      </c>
      <c r="D145" s="100" t="str">
        <f t="shared" si="178"/>
        <v>gacha540.png</v>
      </c>
      <c r="E145" s="101" t="str">
        <f t="shared" si="177"/>
        <v>540</v>
      </c>
      <c r="F145" s="89" t="s">
        <v>2750</v>
      </c>
      <c r="G145" s="90" t="s">
        <v>841</v>
      </c>
      <c r="H145" s="90" t="s">
        <v>84</v>
      </c>
    </row>
    <row r="146" spans="1:10" ht="15" customHeight="1" x14ac:dyDescent="0.15">
      <c r="A146" s="138">
        <v>9541</v>
      </c>
      <c r="B146" s="89" t="s">
        <v>2748</v>
      </c>
      <c r="C146" s="100" t="str">
        <f>VLOOKUP(VALUE(RIGHT(B146,3)),gachas!A:C,3,FALSE)</f>
        <v>超フェス&lt;パウリ、ファラデー&gt;</v>
      </c>
      <c r="D146" s="100" t="str">
        <f t="shared" si="178"/>
        <v>gacha541.png</v>
      </c>
      <c r="E146" s="101" t="str">
        <f t="shared" si="177"/>
        <v>541</v>
      </c>
      <c r="F146" s="89" t="s">
        <v>2751</v>
      </c>
      <c r="G146" s="90" t="s">
        <v>841</v>
      </c>
      <c r="H146" s="90" t="s">
        <v>84</v>
      </c>
    </row>
    <row r="147" spans="1:10" ht="15" customHeight="1" x14ac:dyDescent="0.15">
      <c r="A147" s="88" t="str">
        <f>"9"&amp;TEXT(RIGHT(B147,3),"000")</f>
        <v>9542</v>
      </c>
      <c r="B147" s="89" t="s">
        <v>2764</v>
      </c>
      <c r="C147" s="100" t="str">
        <f>VLOOKUP(VALUE(RIGHT(B147,3)),gachas!A:C,3,FALSE)</f>
        <v>ランキング対抗ガチャ&lt;ド・モルガン&gt;</v>
      </c>
      <c r="D147" s="100" t="str">
        <f t="shared" si="178"/>
        <v>gacha542.png</v>
      </c>
      <c r="E147" s="101" t="str">
        <f t="shared" si="177"/>
        <v>542</v>
      </c>
      <c r="F147" s="89" t="s">
        <v>2765</v>
      </c>
      <c r="G147" s="90" t="s">
        <v>841</v>
      </c>
      <c r="H147" s="90" t="s">
        <v>84</v>
      </c>
    </row>
    <row r="148" spans="1:10" ht="15" customHeight="1" x14ac:dyDescent="0.15">
      <c r="A148" s="94">
        <v>9547</v>
      </c>
      <c r="B148" s="89" t="s">
        <v>2786</v>
      </c>
      <c r="C148" s="100" t="str">
        <f>VLOOKUP(VALUE(RIGHT(B148,3)),gachas!A:C,3,FALSE)</f>
        <v>1日1回無料ホワイトデーガチャ</v>
      </c>
      <c r="D148" s="100" t="str">
        <f t="shared" ref="D148:D155" si="179">B148&amp;".png"</f>
        <v>gacha543.png</v>
      </c>
      <c r="E148" s="101" t="str">
        <f t="shared" si="177"/>
        <v>543</v>
      </c>
      <c r="F148" s="89" t="s">
        <v>2789</v>
      </c>
      <c r="G148" s="90" t="s">
        <v>841</v>
      </c>
      <c r="H148" s="90" t="s">
        <v>84</v>
      </c>
    </row>
    <row r="149" spans="1:10" ht="15" customHeight="1" x14ac:dyDescent="0.15">
      <c r="A149" s="94">
        <v>9545</v>
      </c>
      <c r="B149" s="89" t="s">
        <v>2787</v>
      </c>
      <c r="C149" s="100" t="str">
        <f>VLOOKUP(VALUE(RIGHT(B149,3)),gachas!A:C,3,FALSE)</f>
        <v>ホワイトデーガチャ</v>
      </c>
      <c r="D149" s="100" t="str">
        <f t="shared" si="179"/>
        <v>gacha544.png</v>
      </c>
      <c r="E149" s="101" t="str">
        <f t="shared" si="177"/>
        <v>544</v>
      </c>
      <c r="F149" s="89" t="s">
        <v>2802</v>
      </c>
      <c r="G149" s="90" t="s">
        <v>841</v>
      </c>
      <c r="H149" s="90" t="s">
        <v>84</v>
      </c>
    </row>
    <row r="150" spans="1:10" ht="15" customHeight="1" x14ac:dyDescent="0.15">
      <c r="A150" s="94">
        <v>9543</v>
      </c>
      <c r="B150" s="89" t="s">
        <v>2788</v>
      </c>
      <c r="C150" s="100" t="str">
        <f>VLOOKUP(VALUE(RIGHT(B150,3)),gachas!A:C,3,FALSE)</f>
        <v>バグUPセレクション</v>
      </c>
      <c r="D150" s="100" t="str">
        <f t="shared" si="179"/>
        <v>gacha545.png</v>
      </c>
      <c r="E150" s="101" t="str">
        <f t="shared" si="177"/>
        <v>545</v>
      </c>
      <c r="F150" s="89" t="s">
        <v>2794</v>
      </c>
      <c r="G150" s="90" t="s">
        <v>841</v>
      </c>
      <c r="H150" s="90" t="s">
        <v>84</v>
      </c>
    </row>
    <row r="151" spans="1:10" ht="15" customHeight="1" x14ac:dyDescent="0.15">
      <c r="A151" s="94">
        <v>9544</v>
      </c>
      <c r="B151" s="89" t="s">
        <v>2824</v>
      </c>
      <c r="C151" s="100" t="str">
        <f>VLOOKUP(VALUE(RIGHT(B151,3)),gachas!A:C,3,FALSE)</f>
        <v>アビリティピックアップ（お邪魔ブレイク）</v>
      </c>
      <c r="D151" s="100" t="str">
        <f t="shared" si="179"/>
        <v>gacha546.png</v>
      </c>
      <c r="E151" s="101" t="str">
        <f t="shared" si="177"/>
        <v>546</v>
      </c>
      <c r="F151" s="89" t="s">
        <v>2312</v>
      </c>
      <c r="G151" s="90" t="s">
        <v>841</v>
      </c>
      <c r="H151" s="90" t="s">
        <v>84</v>
      </c>
    </row>
    <row r="152" spans="1:10" ht="15" customHeight="1" x14ac:dyDescent="0.15">
      <c r="A152" s="94">
        <v>9546</v>
      </c>
      <c r="B152" s="89" t="s">
        <v>2825</v>
      </c>
      <c r="C152" s="100" t="str">
        <f>VLOOKUP(VALUE(RIGHT(B152,3)),gachas!A:C,3,FALSE)</f>
        <v>ホワイトデー記念ガチャ男性SP</v>
      </c>
      <c r="D152" s="100" t="str">
        <f t="shared" si="179"/>
        <v>gacha547.png</v>
      </c>
      <c r="E152" s="101" t="str">
        <f t="shared" si="177"/>
        <v>547</v>
      </c>
      <c r="F152" s="89" t="s">
        <v>2829</v>
      </c>
      <c r="G152" s="90" t="s">
        <v>841</v>
      </c>
      <c r="H152" s="90" t="s">
        <v>84</v>
      </c>
    </row>
    <row r="153" spans="1:10" ht="15" customHeight="1" x14ac:dyDescent="0.15">
      <c r="A153" s="88" t="str">
        <f>"9"&amp;TEXT(RIGHT(B153,3),"000")</f>
        <v>9548</v>
      </c>
      <c r="B153" s="89" t="s">
        <v>2826</v>
      </c>
      <c r="C153" s="100" t="str">
        <f>VLOOKUP(VALUE(RIGHT(B153,3)),gachas!A:C,3,FALSE)</f>
        <v>フィーバーフェス（1日目）</v>
      </c>
      <c r="D153" s="100" t="str">
        <f t="shared" si="179"/>
        <v>gacha548.png</v>
      </c>
      <c r="E153" s="101" t="str">
        <f t="shared" si="177"/>
        <v>548</v>
      </c>
      <c r="F153" s="89" t="s">
        <v>2831</v>
      </c>
      <c r="G153" s="90" t="s">
        <v>841</v>
      </c>
      <c r="H153" s="90" t="s">
        <v>84</v>
      </c>
    </row>
    <row r="154" spans="1:10" ht="15" customHeight="1" x14ac:dyDescent="0.15">
      <c r="A154" s="88" t="str">
        <f>"9"&amp;TEXT(RIGHT(B154,3),"000")</f>
        <v>9549</v>
      </c>
      <c r="B154" s="89" t="s">
        <v>2827</v>
      </c>
      <c r="C154" s="100" t="str">
        <f>VLOOKUP(VALUE(RIGHT(B154,3)),gachas!A:C,3,FALSE)</f>
        <v>フィーバーフェス（2日目）</v>
      </c>
      <c r="D154" s="100" t="str">
        <f t="shared" si="179"/>
        <v>gacha549.png</v>
      </c>
      <c r="E154" s="101" t="str">
        <f t="shared" si="177"/>
        <v>549</v>
      </c>
      <c r="F154" s="89" t="s">
        <v>2832</v>
      </c>
      <c r="G154" s="90" t="s">
        <v>841</v>
      </c>
      <c r="H154" s="90" t="s">
        <v>84</v>
      </c>
    </row>
    <row r="155" spans="1:10" ht="15" customHeight="1" x14ac:dyDescent="0.15">
      <c r="A155" s="88" t="str">
        <f>"9"&amp;TEXT(RIGHT(B155,3),"000")</f>
        <v>9550</v>
      </c>
      <c r="B155" s="89" t="s">
        <v>2828</v>
      </c>
      <c r="C155" s="100" t="str">
        <f>VLOOKUP(VALUE(RIGHT(B155,3)),gachas!A:C,3,FALSE)</f>
        <v>フィーバーフェス（3日目）</v>
      </c>
      <c r="D155" s="100" t="str">
        <f t="shared" si="179"/>
        <v>gacha550.png</v>
      </c>
      <c r="E155" s="101" t="str">
        <f t="shared" si="177"/>
        <v>550</v>
      </c>
      <c r="F155" s="89" t="s">
        <v>2833</v>
      </c>
      <c r="G155" s="90" t="s">
        <v>841</v>
      </c>
      <c r="H155" s="90" t="s">
        <v>84</v>
      </c>
    </row>
    <row r="156" spans="1:10" ht="15" customHeight="1" x14ac:dyDescent="0.15">
      <c r="A156" s="94">
        <v>9554</v>
      </c>
      <c r="B156" s="89" t="s">
        <v>2859</v>
      </c>
      <c r="C156" s="100" t="str">
        <f>VLOOKUP(VALUE(RIGHT(B156,3)),gachas!A:C,3,FALSE)</f>
        <v>にゃんこガチャA</v>
      </c>
      <c r="D156" s="100" t="str">
        <f t="shared" ref="D156:D160" si="180">B156&amp;".png"</f>
        <v>gacha551.png</v>
      </c>
      <c r="E156" s="101" t="str">
        <f t="shared" si="177"/>
        <v>551</v>
      </c>
      <c r="F156" s="89" t="s">
        <v>2869</v>
      </c>
      <c r="G156" s="90" t="s">
        <v>841</v>
      </c>
      <c r="H156" s="90" t="s">
        <v>84</v>
      </c>
    </row>
    <row r="157" spans="1:10" ht="15" customHeight="1" x14ac:dyDescent="0.15">
      <c r="A157" s="94">
        <v>9556</v>
      </c>
      <c r="B157" s="89" t="s">
        <v>2860</v>
      </c>
      <c r="C157" s="100" t="str">
        <f>VLOOKUP(VALUE(RIGHT(B157,3)),gachas!A:C,3,FALSE)</f>
        <v>にゃんこガチャB</v>
      </c>
      <c r="D157" s="100" t="str">
        <f t="shared" si="180"/>
        <v>gacha552.png</v>
      </c>
      <c r="E157" s="101" t="str">
        <f t="shared" si="177"/>
        <v>552</v>
      </c>
      <c r="F157" s="89" t="s">
        <v>2869</v>
      </c>
      <c r="G157" s="90" t="s">
        <v>841</v>
      </c>
      <c r="H157" s="90" t="s">
        <v>84</v>
      </c>
    </row>
    <row r="158" spans="1:10" ht="15" customHeight="1" x14ac:dyDescent="0.2">
      <c r="A158" s="94">
        <v>9551</v>
      </c>
      <c r="B158" s="89" t="s">
        <v>2902</v>
      </c>
      <c r="C158" s="100" t="str">
        <f>VLOOKUP(VALUE(RIGHT(B158,3)),gachas!A:C,3,FALSE)</f>
        <v>確定ステップアップガチャ</v>
      </c>
      <c r="D158" s="100" t="str">
        <f t="shared" si="180"/>
        <v>gacha553.png</v>
      </c>
      <c r="E158" s="101" t="str">
        <f t="shared" si="177"/>
        <v>553</v>
      </c>
      <c r="F158" s="89" t="s">
        <v>2870</v>
      </c>
      <c r="G158" s="90" t="s">
        <v>841</v>
      </c>
      <c r="H158" s="90" t="s">
        <v>84</v>
      </c>
      <c r="J158" s="148"/>
    </row>
    <row r="159" spans="1:10" ht="15" customHeight="1" x14ac:dyDescent="0.15">
      <c r="A159" s="94">
        <v>9552</v>
      </c>
      <c r="B159" s="89" t="s">
        <v>2861</v>
      </c>
      <c r="C159" s="100" t="str">
        <f>VLOOKUP(VALUE(RIGHT(B159,3)),gachas!A:C,3,FALSE)</f>
        <v>１日１回マスターキーつきガチャ</v>
      </c>
      <c r="D159" s="100" t="str">
        <f t="shared" si="180"/>
        <v>gacha554.png</v>
      </c>
      <c r="E159" s="101" t="str">
        <f t="shared" si="177"/>
        <v>554</v>
      </c>
      <c r="F159" s="89" t="s">
        <v>2862</v>
      </c>
      <c r="G159" s="90" t="s">
        <v>841</v>
      </c>
      <c r="H159" s="90" t="s">
        <v>84</v>
      </c>
    </row>
    <row r="160" spans="1:10" ht="15" customHeight="1" x14ac:dyDescent="0.15">
      <c r="A160" s="94">
        <v>9553</v>
      </c>
      <c r="B160" s="89" t="s">
        <v>2885</v>
      </c>
      <c r="C160" s="100" t="str">
        <f>VLOOKUP(VALUE(RIGHT(B160,3)),gachas!A:C,3,FALSE)</f>
        <v>タワー攻略応援ガチャ</v>
      </c>
      <c r="D160" s="100" t="str">
        <f t="shared" si="180"/>
        <v>gacha555.png</v>
      </c>
      <c r="E160" s="101" t="str">
        <f t="shared" ref="E160" si="181">RIGHT(B160,3)</f>
        <v>555</v>
      </c>
      <c r="F160" s="89" t="s">
        <v>2927</v>
      </c>
      <c r="G160" s="90" t="s">
        <v>841</v>
      </c>
      <c r="H160" s="90" t="s">
        <v>84</v>
      </c>
    </row>
    <row r="161" spans="1:10" ht="15" customHeight="1" x14ac:dyDescent="0.15">
      <c r="A161" s="94">
        <v>9555</v>
      </c>
      <c r="B161" s="89" t="s">
        <v>2897</v>
      </c>
      <c r="C161" s="100" t="str">
        <f>VLOOKUP(VALUE(RIGHT(B161,3)),gachas!A:C,3,FALSE)</f>
        <v>新生活応援セール記念ガチャ</v>
      </c>
      <c r="D161" s="100" t="str">
        <f t="shared" ref="D161:D166" si="182">B161&amp;".png"</f>
        <v>gacha556.png</v>
      </c>
      <c r="E161" s="101" t="str">
        <f t="shared" ref="E161:E166" si="183">RIGHT(B161,3)</f>
        <v>556</v>
      </c>
      <c r="F161" s="88" t="s">
        <v>2925</v>
      </c>
      <c r="G161" s="90" t="s">
        <v>841</v>
      </c>
      <c r="H161" s="90" t="s">
        <v>84</v>
      </c>
    </row>
    <row r="162" spans="1:10" ht="15" customHeight="1" x14ac:dyDescent="0.15">
      <c r="A162" s="94">
        <v>9558</v>
      </c>
      <c r="B162" s="89" t="s">
        <v>2898</v>
      </c>
      <c r="C162" s="100" t="str">
        <f>VLOOKUP(VALUE(RIGHT(B162,3)),gachas!A:C,3,FALSE)</f>
        <v>春の超フィーバーフェス（青）</v>
      </c>
      <c r="D162" s="100" t="str">
        <f t="shared" si="182"/>
        <v>gacha557.png</v>
      </c>
      <c r="E162" s="101" t="str">
        <f t="shared" si="183"/>
        <v>557</v>
      </c>
      <c r="F162" s="88" t="s">
        <v>2906</v>
      </c>
      <c r="G162" s="90" t="s">
        <v>841</v>
      </c>
      <c r="H162" s="90" t="s">
        <v>84</v>
      </c>
    </row>
    <row r="163" spans="1:10" ht="15" customHeight="1" x14ac:dyDescent="0.15">
      <c r="A163" s="94">
        <v>9559</v>
      </c>
      <c r="B163" s="89" t="s">
        <v>2899</v>
      </c>
      <c r="C163" s="100" t="str">
        <f>VLOOKUP(VALUE(RIGHT(B163,3)),gachas!A:C,3,FALSE)</f>
        <v>春の超フィーバーフェス（赤）</v>
      </c>
      <c r="D163" s="100" t="str">
        <f t="shared" si="182"/>
        <v>gacha558.png</v>
      </c>
      <c r="E163" s="101" t="str">
        <f t="shared" si="183"/>
        <v>558</v>
      </c>
      <c r="F163" s="88" t="s">
        <v>2905</v>
      </c>
      <c r="G163" s="90" t="s">
        <v>841</v>
      </c>
      <c r="H163" s="90" t="s">
        <v>84</v>
      </c>
    </row>
    <row r="164" spans="1:10" ht="15" customHeight="1" x14ac:dyDescent="0.15">
      <c r="A164" s="94">
        <v>9560</v>
      </c>
      <c r="B164" s="89" t="s">
        <v>2900</v>
      </c>
      <c r="C164" s="100" t="str">
        <f>VLOOKUP(VALUE(RIGHT(B164,3)),gachas!A:C,3,FALSE)</f>
        <v>春の超フィーバーフェス（緑）</v>
      </c>
      <c r="D164" s="100" t="str">
        <f t="shared" si="182"/>
        <v>gacha559.png</v>
      </c>
      <c r="E164" s="101" t="str">
        <f t="shared" si="183"/>
        <v>559</v>
      </c>
      <c r="F164" s="88" t="s">
        <v>2904</v>
      </c>
      <c r="G164" s="90" t="s">
        <v>841</v>
      </c>
      <c r="H164" s="90" t="s">
        <v>84</v>
      </c>
    </row>
    <row r="165" spans="1:10" ht="15" customHeight="1" x14ac:dyDescent="0.15">
      <c r="A165" s="94">
        <v>9557</v>
      </c>
      <c r="B165" s="89" t="s">
        <v>2901</v>
      </c>
      <c r="C165" s="100" t="str">
        <f>VLOOKUP(VALUE(RIGHT(B165,3)),gachas!A:C,3,FALSE)</f>
        <v>春の超フィーバーフェス（黄）</v>
      </c>
      <c r="D165" s="100" t="str">
        <f t="shared" si="182"/>
        <v>gacha560.png</v>
      </c>
      <c r="E165" s="101" t="str">
        <f t="shared" si="183"/>
        <v>560</v>
      </c>
      <c r="F165" s="88" t="s">
        <v>2903</v>
      </c>
      <c r="G165" s="90" t="s">
        <v>841</v>
      </c>
      <c r="H165" s="90" t="s">
        <v>84</v>
      </c>
    </row>
    <row r="166" spans="1:10" ht="15" customHeight="1" x14ac:dyDescent="0.2">
      <c r="A166" s="88" t="str">
        <f>"9"&amp;TEXT(RIGHT(B166,3),"000")</f>
        <v>9561</v>
      </c>
      <c r="B166" s="89" t="s">
        <v>2957</v>
      </c>
      <c r="C166" s="100" t="str">
        <f>VLOOKUP(VALUE(RIGHT(B166,3)),gachas!A:C,3,FALSE)</f>
        <v>ミニステップアップガチャ</v>
      </c>
      <c r="D166" s="100" t="str">
        <f t="shared" si="182"/>
        <v>gacha561.png</v>
      </c>
      <c r="E166" s="101" t="str">
        <f t="shared" si="183"/>
        <v>561</v>
      </c>
      <c r="F166" s="89" t="s">
        <v>2870</v>
      </c>
      <c r="G166" s="90" t="s">
        <v>841</v>
      </c>
      <c r="H166" s="90" t="s">
        <v>84</v>
      </c>
      <c r="J166" s="148"/>
    </row>
    <row r="167" spans="1:10" ht="15" customHeight="1" x14ac:dyDescent="0.2">
      <c r="A167" s="88" t="str">
        <f>"9"&amp;TEXT(RIGHT(B167,3),"000")</f>
        <v>9562</v>
      </c>
      <c r="B167" s="89" t="s">
        <v>2958</v>
      </c>
      <c r="C167" s="100" t="str">
        <f>VLOOKUP(VALUE(RIGHT(B167,3)),gachas!A:C,3,FALSE)</f>
        <v>花見ガチャ&lt;前半&gt;</v>
      </c>
      <c r="D167" s="100" t="str">
        <f t="shared" ref="D167:D173" si="184">B167&amp;".png"</f>
        <v>gacha562.png</v>
      </c>
      <c r="E167" s="101" t="str">
        <f t="shared" ref="E167:E173" si="185">RIGHT(B167,3)</f>
        <v>562</v>
      </c>
      <c r="F167" s="89" t="s">
        <v>2960</v>
      </c>
      <c r="G167" s="90" t="s">
        <v>841</v>
      </c>
      <c r="H167" s="90" t="s">
        <v>84</v>
      </c>
      <c r="J167" s="148"/>
    </row>
    <row r="168" spans="1:10" ht="15" customHeight="1" x14ac:dyDescent="0.2">
      <c r="A168" s="88" t="str">
        <f>"9"&amp;TEXT(RIGHT(B168,3),"000")</f>
        <v>9563</v>
      </c>
      <c r="B168" s="89" t="s">
        <v>2959</v>
      </c>
      <c r="C168" s="100" t="str">
        <f>VLOOKUP(VALUE(RIGHT(B168,3)),gachas!A:C,3,FALSE)</f>
        <v>花見ガチャ&lt;後半&gt;</v>
      </c>
      <c r="D168" s="100" t="str">
        <f t="shared" si="184"/>
        <v>gacha563.png</v>
      </c>
      <c r="E168" s="101" t="str">
        <f t="shared" si="185"/>
        <v>563</v>
      </c>
      <c r="F168" s="89" t="s">
        <v>2960</v>
      </c>
      <c r="G168" s="90" t="s">
        <v>841</v>
      </c>
      <c r="H168" s="90" t="s">
        <v>84</v>
      </c>
      <c r="J168" s="148"/>
    </row>
    <row r="169" spans="1:10" ht="15" customHeight="1" x14ac:dyDescent="0.15">
      <c r="A169" s="94">
        <v>9564</v>
      </c>
      <c r="B169" s="89" t="s">
        <v>2969</v>
      </c>
      <c r="C169" s="100" t="str">
        <f>VLOOKUP(VALUE(RIGHT(B169,3)),gachas!A:C,3,FALSE)</f>
        <v>和風ピックアップガチャ</v>
      </c>
      <c r="D169" s="100" t="str">
        <f t="shared" si="184"/>
        <v>gacha564.png</v>
      </c>
      <c r="E169" s="101" t="str">
        <f t="shared" si="185"/>
        <v>564</v>
      </c>
      <c r="F169" s="89" t="s">
        <v>2979</v>
      </c>
      <c r="G169" s="90" t="s">
        <v>841</v>
      </c>
      <c r="H169" s="90" t="s">
        <v>84</v>
      </c>
    </row>
    <row r="170" spans="1:10" ht="15" customHeight="1" x14ac:dyDescent="0.15">
      <c r="A170" s="94">
        <v>9565</v>
      </c>
      <c r="B170" s="89" t="s">
        <v>2974</v>
      </c>
      <c r="C170" s="100" t="str">
        <f>VLOOKUP(VALUE(RIGHT(B170,3)),gachas!A:C,3,FALSE)</f>
        <v>ニューフェイスピックアップ</v>
      </c>
      <c r="D170" s="100" t="str">
        <f t="shared" si="184"/>
        <v>gacha565.png</v>
      </c>
      <c r="E170" s="101" t="str">
        <f t="shared" si="185"/>
        <v>565</v>
      </c>
      <c r="F170" s="89" t="s">
        <v>2635</v>
      </c>
      <c r="G170" s="90" t="s">
        <v>841</v>
      </c>
      <c r="H170" s="90" t="s">
        <v>84</v>
      </c>
    </row>
    <row r="171" spans="1:10" ht="15" customHeight="1" x14ac:dyDescent="0.15">
      <c r="A171" s="88" t="str">
        <f>"9"&amp;TEXT(RIGHT(B171,3),"000")</f>
        <v>9566</v>
      </c>
      <c r="B171" s="89" t="s">
        <v>2991</v>
      </c>
      <c r="C171" s="100" t="str">
        <f>VLOOKUP(VALUE(RIGHT(B171,3)),gachas!A:C,3,FALSE)</f>
        <v>フィーバーフェス（1日目）</v>
      </c>
      <c r="D171" s="100" t="str">
        <f t="shared" si="184"/>
        <v>gacha566.png</v>
      </c>
      <c r="E171" s="101" t="str">
        <f t="shared" si="185"/>
        <v>566</v>
      </c>
      <c r="F171" s="89" t="s">
        <v>2997</v>
      </c>
      <c r="G171" s="90" t="s">
        <v>841</v>
      </c>
      <c r="H171" s="90" t="s">
        <v>84</v>
      </c>
    </row>
    <row r="172" spans="1:10" ht="15" customHeight="1" x14ac:dyDescent="0.15">
      <c r="A172" s="88" t="str">
        <f>"9"&amp;TEXT(RIGHT(B172,3),"000")</f>
        <v>9567</v>
      </c>
      <c r="B172" s="89" t="s">
        <v>2992</v>
      </c>
      <c r="C172" s="100" t="str">
        <f>VLOOKUP(VALUE(RIGHT(B172,3)),gachas!A:C,3,FALSE)</f>
        <v>フィーバーフェス（2日目）</v>
      </c>
      <c r="D172" s="100" t="str">
        <f t="shared" si="184"/>
        <v>gacha567.png</v>
      </c>
      <c r="E172" s="101" t="str">
        <f t="shared" si="185"/>
        <v>567</v>
      </c>
      <c r="F172" s="89" t="s">
        <v>2998</v>
      </c>
      <c r="G172" s="90" t="s">
        <v>841</v>
      </c>
      <c r="H172" s="90" t="s">
        <v>84</v>
      </c>
    </row>
    <row r="173" spans="1:10" ht="15" customHeight="1" x14ac:dyDescent="0.15">
      <c r="A173" s="88" t="str">
        <f>"9"&amp;TEXT(RIGHT(B173,3),"000")</f>
        <v>9568</v>
      </c>
      <c r="B173" s="89" t="s">
        <v>2993</v>
      </c>
      <c r="C173" s="100" t="str">
        <f>VLOOKUP(VALUE(RIGHT(B173,3)),gachas!A:C,3,FALSE)</f>
        <v>フィーバーフェス（3日目）</v>
      </c>
      <c r="D173" s="100" t="str">
        <f t="shared" si="184"/>
        <v>gacha568.png</v>
      </c>
      <c r="E173" s="101" t="str">
        <f t="shared" si="185"/>
        <v>568</v>
      </c>
      <c r="F173" s="89" t="s">
        <v>2999</v>
      </c>
      <c r="G173" s="90" t="s">
        <v>841</v>
      </c>
      <c r="H173" s="90" t="s">
        <v>84</v>
      </c>
    </row>
    <row r="174" spans="1:10" ht="15" customHeight="1" x14ac:dyDescent="0.15">
      <c r="A174" s="88" t="str">
        <f t="shared" ref="A174:A177" si="186">"9"&amp;TEXT(RIGHT(B174,3),"000")</f>
        <v>9569</v>
      </c>
      <c r="B174" s="89" t="s">
        <v>3010</v>
      </c>
      <c r="C174" s="100" t="str">
        <f>VLOOKUP(VALUE(RIGHT(B174,3)),gachas!A:C,3,FALSE)</f>
        <v>グリム攻略応援ガチャ</v>
      </c>
      <c r="D174" s="100" t="str">
        <f t="shared" ref="D174:D177" si="187">B174&amp;".png"</f>
        <v>gacha569.png</v>
      </c>
      <c r="E174" s="101" t="str">
        <f t="shared" ref="E174:E177" si="188">RIGHT(B174,3)</f>
        <v>569</v>
      </c>
      <c r="F174" s="89" t="s">
        <v>3028</v>
      </c>
      <c r="G174" s="90" t="s">
        <v>841</v>
      </c>
      <c r="H174" s="90" t="s">
        <v>84</v>
      </c>
    </row>
    <row r="175" spans="1:10" ht="15" customHeight="1" x14ac:dyDescent="0.15">
      <c r="A175" s="88" t="str">
        <f t="shared" si="186"/>
        <v>9570</v>
      </c>
      <c r="B175" s="89" t="s">
        <v>3011</v>
      </c>
      <c r="C175" s="100" t="str">
        <f>VLOOKUP(VALUE(RIGHT(B175,3)),gachas!A:C,3,FALSE)</f>
        <v>Gスター攻略応援ガチャ</v>
      </c>
      <c r="D175" s="100" t="str">
        <f t="shared" si="187"/>
        <v>gacha570.png</v>
      </c>
      <c r="E175" s="101" t="str">
        <f t="shared" si="188"/>
        <v>570</v>
      </c>
      <c r="F175" s="89" t="s">
        <v>3028</v>
      </c>
      <c r="G175" s="90" t="s">
        <v>841</v>
      </c>
      <c r="H175" s="90" t="s">
        <v>84</v>
      </c>
    </row>
    <row r="176" spans="1:10" ht="15" customHeight="1" x14ac:dyDescent="0.15">
      <c r="A176" s="88" t="str">
        <f t="shared" si="186"/>
        <v>9571</v>
      </c>
      <c r="B176" s="89" t="s">
        <v>3012</v>
      </c>
      <c r="C176" s="100" t="str">
        <f>VLOOKUP(VALUE(RIGHT(B176,3)),gachas!A:C,3,FALSE)</f>
        <v>服部半蔵攻略応援ガチャ</v>
      </c>
      <c r="D176" s="100" t="str">
        <f t="shared" si="187"/>
        <v>gacha571.png</v>
      </c>
      <c r="E176" s="101" t="str">
        <f t="shared" si="188"/>
        <v>571</v>
      </c>
      <c r="F176" s="89" t="s">
        <v>3028</v>
      </c>
      <c r="G176" s="90" t="s">
        <v>841</v>
      </c>
      <c r="H176" s="90" t="s">
        <v>84</v>
      </c>
    </row>
    <row r="177" spans="1:8" ht="15" customHeight="1" x14ac:dyDescent="0.15">
      <c r="A177" s="88" t="str">
        <f t="shared" si="186"/>
        <v>9572</v>
      </c>
      <c r="B177" s="89" t="s">
        <v>3013</v>
      </c>
      <c r="C177" s="100" t="str">
        <f>VLOOKUP(VALUE(RIGHT(B177,3)),gachas!A:C,3,FALSE)</f>
        <v>ランキング対抗ガチャ&lt;ヘイウェイ&gt;</v>
      </c>
      <c r="D177" s="100" t="str">
        <f t="shared" si="187"/>
        <v>gacha572.png</v>
      </c>
      <c r="E177" s="101" t="str">
        <f t="shared" si="188"/>
        <v>572</v>
      </c>
      <c r="F177" s="89" t="s">
        <v>3014</v>
      </c>
      <c r="G177" s="90" t="s">
        <v>841</v>
      </c>
      <c r="H177" s="90" t="s">
        <v>84</v>
      </c>
    </row>
    <row r="178" spans="1:8" ht="15" customHeight="1" x14ac:dyDescent="0.15">
      <c r="A178" s="149">
        <v>9574</v>
      </c>
      <c r="B178" s="89" t="s">
        <v>3069</v>
      </c>
      <c r="C178" s="100" t="str">
        <f>VLOOKUP(VALUE(RIGHT(B178,3)),gachas!A:C,3,FALSE)</f>
        <v>1000億BK記念_海外版限定スペシャルガチャ_前半</v>
      </c>
      <c r="D178" s="100" t="str">
        <f t="shared" ref="D178:D182" si="189">B178&amp;".png"</f>
        <v>gacha573.png</v>
      </c>
      <c r="E178" s="101" t="str">
        <f t="shared" ref="E178:E182" si="190">RIGHT(B178,3)</f>
        <v>573</v>
      </c>
      <c r="F178" s="89" t="s">
        <v>3075</v>
      </c>
      <c r="G178" s="90" t="s">
        <v>841</v>
      </c>
      <c r="H178" s="90" t="s">
        <v>84</v>
      </c>
    </row>
    <row r="179" spans="1:8" ht="15" customHeight="1" x14ac:dyDescent="0.15">
      <c r="A179" s="149">
        <f>A178+1</f>
        <v>9575</v>
      </c>
      <c r="B179" s="89" t="s">
        <v>3070</v>
      </c>
      <c r="C179" s="100" t="str">
        <f>VLOOKUP(VALUE(RIGHT(B179,3)),gachas!A:C,3,FALSE)</f>
        <v>1000億BK記念_ユニットガチャ&lt;パラケルスス&gt;</v>
      </c>
      <c r="D179" s="100" t="str">
        <f t="shared" si="189"/>
        <v>gacha574.png</v>
      </c>
      <c r="E179" s="101" t="str">
        <f t="shared" si="190"/>
        <v>574</v>
      </c>
      <c r="F179" s="89" t="s">
        <v>3077</v>
      </c>
      <c r="G179" s="90" t="s">
        <v>841</v>
      </c>
      <c r="H179" s="90" t="s">
        <v>84</v>
      </c>
    </row>
    <row r="180" spans="1:8" ht="15" customHeight="1" x14ac:dyDescent="0.15">
      <c r="A180" s="149">
        <f t="shared" ref="A180:A188" si="191">A179+1</f>
        <v>9576</v>
      </c>
      <c r="B180" s="89" t="s">
        <v>3071</v>
      </c>
      <c r="C180" s="100" t="str">
        <f>VLOOKUP(VALUE(RIGHT(B180,3)),gachas!A:C,3,FALSE)</f>
        <v>1000億BK記念_ユニットガチャ&lt;ブール&gt;</v>
      </c>
      <c r="D180" s="100" t="str">
        <f t="shared" si="189"/>
        <v>gacha575.png</v>
      </c>
      <c r="E180" s="101" t="str">
        <f t="shared" si="190"/>
        <v>575</v>
      </c>
      <c r="F180" s="89" t="s">
        <v>3079</v>
      </c>
      <c r="G180" s="90" t="s">
        <v>841</v>
      </c>
      <c r="H180" s="90" t="s">
        <v>84</v>
      </c>
    </row>
    <row r="181" spans="1:8" ht="15" customHeight="1" x14ac:dyDescent="0.15">
      <c r="A181" s="149">
        <f t="shared" si="191"/>
        <v>9577</v>
      </c>
      <c r="B181" s="89" t="s">
        <v>3072</v>
      </c>
      <c r="C181" s="100" t="str">
        <f>VLOOKUP(VALUE(RIGHT(B181,3)),gachas!A:C,3,FALSE)</f>
        <v>1000億BK記念_ユニットガチャ&lt;パレート&gt;</v>
      </c>
      <c r="D181" s="100" t="str">
        <f t="shared" si="189"/>
        <v>gacha576.png</v>
      </c>
      <c r="E181" s="101" t="str">
        <f t="shared" si="190"/>
        <v>576</v>
      </c>
      <c r="F181" s="89" t="s">
        <v>3080</v>
      </c>
      <c r="G181" s="90" t="s">
        <v>841</v>
      </c>
      <c r="H181" s="90" t="s">
        <v>84</v>
      </c>
    </row>
    <row r="182" spans="1:8" ht="15" customHeight="1" x14ac:dyDescent="0.15">
      <c r="A182" s="149">
        <f t="shared" si="191"/>
        <v>9578</v>
      </c>
      <c r="B182" s="89" t="s">
        <v>3073</v>
      </c>
      <c r="C182" s="100" t="str">
        <f>VLOOKUP(VALUE(RIGHT(B182,3)),gachas!A:C,3,FALSE)</f>
        <v>1000億BK記念_ユニットガチャ&lt;ハーシェル&amp;フェルマー&gt;</v>
      </c>
      <c r="D182" s="100" t="str">
        <f t="shared" si="189"/>
        <v>gacha577.png</v>
      </c>
      <c r="E182" s="101" t="str">
        <f t="shared" si="190"/>
        <v>577</v>
      </c>
      <c r="F182" s="89" t="s">
        <v>3078</v>
      </c>
      <c r="G182" s="90" t="s">
        <v>841</v>
      </c>
      <c r="H182" s="90" t="s">
        <v>84</v>
      </c>
    </row>
    <row r="183" spans="1:8" ht="15" customHeight="1" x14ac:dyDescent="0.15">
      <c r="A183" s="149">
        <f t="shared" si="191"/>
        <v>9579</v>
      </c>
      <c r="B183" s="89" t="s">
        <v>3074</v>
      </c>
      <c r="C183" s="100" t="str">
        <f>VLOOKUP(VALUE(RIGHT(B183,3)),gachas!A:C,3,FALSE)</f>
        <v>1000億BK記念_海外版限定スペシャルガチャ_後半</v>
      </c>
      <c r="D183" s="100" t="str">
        <f t="shared" ref="D183" si="192">B183&amp;".png"</f>
        <v>gacha578.png</v>
      </c>
      <c r="E183" s="101" t="str">
        <f t="shared" ref="E183:E188" si="193">RIGHT(B183,3)</f>
        <v>578</v>
      </c>
      <c r="F183" s="89" t="s">
        <v>3076</v>
      </c>
      <c r="G183" s="90" t="s">
        <v>841</v>
      </c>
      <c r="H183" s="90" t="s">
        <v>84</v>
      </c>
    </row>
    <row r="184" spans="1:8" ht="15" customHeight="1" x14ac:dyDescent="0.15">
      <c r="A184" s="149">
        <f t="shared" si="191"/>
        <v>9580</v>
      </c>
      <c r="B184" s="89" t="s">
        <v>3118</v>
      </c>
      <c r="C184" s="100" t="str">
        <f>VLOOKUP(VALUE(RIGHT(B184,3)),gachas!A:C,3,FALSE)</f>
        <v>1000億BK記念_ランクアップ無料ガチャ&lt;ランク1&gt;</v>
      </c>
      <c r="D184" s="100" t="str">
        <f t="shared" ref="D184" si="194">B184&amp;".png"</f>
        <v>gacha579.png</v>
      </c>
      <c r="E184" s="101" t="str">
        <f t="shared" si="193"/>
        <v>579</v>
      </c>
      <c r="F184" s="89" t="s">
        <v>3123</v>
      </c>
      <c r="G184" s="90" t="s">
        <v>841</v>
      </c>
      <c r="H184" s="90" t="s">
        <v>84</v>
      </c>
    </row>
    <row r="185" spans="1:8" ht="15" customHeight="1" x14ac:dyDescent="0.15">
      <c r="A185" s="149">
        <f t="shared" si="191"/>
        <v>9581</v>
      </c>
      <c r="B185" s="89" t="s">
        <v>3119</v>
      </c>
      <c r="C185" s="100" t="str">
        <f>VLOOKUP(VALUE(RIGHT(B185,3)),gachas!A:C,3,FALSE)</f>
        <v>1000億BK記念_ランクアップ無料ガチャ&lt;ランク2&gt;</v>
      </c>
      <c r="D185" s="100" t="str">
        <f t="shared" ref="D185:D193" si="195">B185&amp;".png"</f>
        <v>gacha580.png</v>
      </c>
      <c r="E185" s="101" t="str">
        <f t="shared" si="193"/>
        <v>580</v>
      </c>
      <c r="F185" s="89" t="s">
        <v>3124</v>
      </c>
      <c r="G185" s="90" t="s">
        <v>841</v>
      </c>
      <c r="H185" s="90" t="s">
        <v>84</v>
      </c>
    </row>
    <row r="186" spans="1:8" ht="15" customHeight="1" x14ac:dyDescent="0.15">
      <c r="A186" s="149">
        <f t="shared" si="191"/>
        <v>9582</v>
      </c>
      <c r="B186" s="89" t="s">
        <v>3120</v>
      </c>
      <c r="C186" s="100" t="str">
        <f>VLOOKUP(VALUE(RIGHT(B186,3)),gachas!A:C,3,FALSE)</f>
        <v>1000億BK記念_ランクアップ無料ガチャ&lt;ランク3&gt;</v>
      </c>
      <c r="D186" s="100" t="str">
        <f t="shared" si="195"/>
        <v>gacha581.png</v>
      </c>
      <c r="E186" s="101" t="str">
        <f t="shared" si="193"/>
        <v>581</v>
      </c>
      <c r="F186" s="89" t="s">
        <v>3125</v>
      </c>
      <c r="G186" s="90" t="s">
        <v>841</v>
      </c>
      <c r="H186" s="90" t="s">
        <v>84</v>
      </c>
    </row>
    <row r="187" spans="1:8" ht="15" customHeight="1" x14ac:dyDescent="0.15">
      <c r="A187" s="149">
        <f t="shared" si="191"/>
        <v>9583</v>
      </c>
      <c r="B187" s="89" t="s">
        <v>3121</v>
      </c>
      <c r="C187" s="100" t="str">
        <f>VLOOKUP(VALUE(RIGHT(B187,3)),gachas!A:C,3,FALSE)</f>
        <v>1000億BK記念_ランクアップ無料ガチャ&lt;スペシャル&gt;</v>
      </c>
      <c r="D187" s="100" t="str">
        <f t="shared" si="195"/>
        <v>gacha582.png</v>
      </c>
      <c r="E187" s="101" t="str">
        <f t="shared" si="193"/>
        <v>582</v>
      </c>
      <c r="F187" s="89" t="s">
        <v>3127</v>
      </c>
      <c r="G187" s="90" t="s">
        <v>841</v>
      </c>
      <c r="H187" s="90" t="s">
        <v>84</v>
      </c>
    </row>
    <row r="188" spans="1:8" ht="15" customHeight="1" x14ac:dyDescent="0.15">
      <c r="A188" s="149">
        <f t="shared" si="191"/>
        <v>9584</v>
      </c>
      <c r="B188" s="89" t="s">
        <v>3122</v>
      </c>
      <c r="C188" s="100" t="str">
        <f>VLOOKUP(VALUE(RIGHT(B188,3)),gachas!A:C,3,FALSE)</f>
        <v>1000億BK記念_10連無料ガチャ</v>
      </c>
      <c r="D188" s="100" t="str">
        <f t="shared" si="195"/>
        <v>gacha583.png</v>
      </c>
      <c r="E188" s="101" t="str">
        <f t="shared" si="193"/>
        <v>583</v>
      </c>
      <c r="F188" s="89" t="s">
        <v>3126</v>
      </c>
      <c r="G188" s="90" t="s">
        <v>841</v>
      </c>
      <c r="H188" s="90" t="s">
        <v>84</v>
      </c>
    </row>
    <row r="189" spans="1:8" ht="15" customHeight="1" x14ac:dyDescent="0.15">
      <c r="A189" s="149">
        <v>9573</v>
      </c>
      <c r="B189" s="89" t="s">
        <v>3088</v>
      </c>
      <c r="C189" s="100" t="str">
        <f>VLOOKUP(VALUE(RIGHT(B189,3)),gachas!A:C,3,FALSE)</f>
        <v>ミニステップアップガチャ</v>
      </c>
      <c r="D189" s="102" t="s">
        <v>3110</v>
      </c>
      <c r="E189" s="101" t="str">
        <f t="shared" ref="E189" si="196">RIGHT(B189,3)</f>
        <v>584</v>
      </c>
      <c r="F189" s="89" t="s">
        <v>3089</v>
      </c>
      <c r="G189" s="90" t="s">
        <v>841</v>
      </c>
      <c r="H189" s="90" t="s">
        <v>84</v>
      </c>
    </row>
    <row r="190" spans="1:8" ht="15" customHeight="1" x14ac:dyDescent="0.15">
      <c r="A190" s="149">
        <v>9585</v>
      </c>
      <c r="B190" s="89" t="s">
        <v>3163</v>
      </c>
      <c r="C190" s="100" t="str">
        <f>VLOOKUP(VALUE(RIGHT(B190,3)),gachas!A:C,3,FALSE)</f>
        <v>4月超フェス＜1日目＞</v>
      </c>
      <c r="D190" s="100" t="str">
        <f t="shared" si="195"/>
        <v>gacha585.png</v>
      </c>
      <c r="E190" s="101" t="str">
        <f t="shared" ref="E190:E193" si="197">RIGHT(B190,3)</f>
        <v>585</v>
      </c>
      <c r="F190" s="88" t="s">
        <v>3167</v>
      </c>
      <c r="G190" s="90" t="s">
        <v>841</v>
      </c>
      <c r="H190" s="90" t="s">
        <v>84</v>
      </c>
    </row>
    <row r="191" spans="1:8" ht="15" customHeight="1" x14ac:dyDescent="0.15">
      <c r="A191" s="151">
        <f t="shared" ref="A191:A194" si="198">A190+1</f>
        <v>9586</v>
      </c>
      <c r="B191" s="89" t="s">
        <v>3164</v>
      </c>
      <c r="C191" s="100" t="str">
        <f>VLOOKUP(VALUE(RIGHT(B191,3)),gachas!A:C,3,FALSE)</f>
        <v>4月超フェス＜2日目＞</v>
      </c>
      <c r="D191" s="100" t="str">
        <f t="shared" si="195"/>
        <v>gacha586.png</v>
      </c>
      <c r="E191" s="101" t="str">
        <f t="shared" si="197"/>
        <v>586</v>
      </c>
      <c r="F191" s="88" t="s">
        <v>3167</v>
      </c>
      <c r="G191" s="90" t="s">
        <v>841</v>
      </c>
      <c r="H191" s="90" t="s">
        <v>84</v>
      </c>
    </row>
    <row r="192" spans="1:8" ht="15" customHeight="1" x14ac:dyDescent="0.15">
      <c r="A192" s="151">
        <f t="shared" si="198"/>
        <v>9587</v>
      </c>
      <c r="B192" s="89" t="s">
        <v>3165</v>
      </c>
      <c r="C192" s="100" t="str">
        <f>VLOOKUP(VALUE(RIGHT(B192,3)),gachas!A:C,3,FALSE)</f>
        <v>4月超フェス＜3日目＞</v>
      </c>
      <c r="D192" s="100" t="str">
        <f t="shared" si="195"/>
        <v>gacha587.png</v>
      </c>
      <c r="E192" s="101" t="str">
        <f t="shared" si="197"/>
        <v>587</v>
      </c>
      <c r="F192" s="88" t="s">
        <v>3168</v>
      </c>
      <c r="G192" s="90" t="s">
        <v>841</v>
      </c>
      <c r="H192" s="90" t="s">
        <v>84</v>
      </c>
    </row>
    <row r="193" spans="1:8" ht="15" customHeight="1" x14ac:dyDescent="0.15">
      <c r="A193" s="151">
        <f t="shared" si="198"/>
        <v>9588</v>
      </c>
      <c r="B193" s="89" t="s">
        <v>3166</v>
      </c>
      <c r="C193" s="100" t="str">
        <f>VLOOKUP(VALUE(RIGHT(B193,3)),gachas!A:C,3,FALSE)</f>
        <v>ランキング対抗ガチャ&lt;ヒルベルト&gt;</v>
      </c>
      <c r="D193" s="100" t="str">
        <f t="shared" si="195"/>
        <v>gacha588.png</v>
      </c>
      <c r="E193" s="101" t="str">
        <f t="shared" si="197"/>
        <v>588</v>
      </c>
      <c r="F193" s="89" t="s">
        <v>3169</v>
      </c>
      <c r="G193" s="90" t="s">
        <v>841</v>
      </c>
      <c r="H193" s="90" t="s">
        <v>84</v>
      </c>
    </row>
    <row r="194" spans="1:8" ht="15" customHeight="1" x14ac:dyDescent="0.15">
      <c r="A194" s="151">
        <f t="shared" si="198"/>
        <v>9589</v>
      </c>
      <c r="B194" s="89" t="s">
        <v>3175</v>
      </c>
      <c r="C194" s="100" t="str">
        <f>VLOOKUP(VALUE(RIGHT(B194,3)),gachas!A:C,3,FALSE)</f>
        <v>ニューフェイスガチャ（英傑）</v>
      </c>
      <c r="D194" s="100" t="str">
        <f t="shared" ref="D194" si="199">B194&amp;".png"</f>
        <v>gacha589.png</v>
      </c>
      <c r="E194" s="101" t="str">
        <f t="shared" ref="E194" si="200">RIGHT(B194,3)</f>
        <v>589</v>
      </c>
      <c r="F194" s="89" t="s">
        <v>3176</v>
      </c>
      <c r="G194" s="90" t="s">
        <v>841</v>
      </c>
      <c r="H194" s="90" t="s">
        <v>84</v>
      </c>
    </row>
    <row r="195" spans="1:8" ht="15" customHeight="1" x14ac:dyDescent="0.15">
      <c r="A195" s="149">
        <v>9592</v>
      </c>
      <c r="B195" s="89" t="s">
        <v>3230</v>
      </c>
      <c r="C195" s="100" t="str">
        <f>VLOOKUP(VALUE(RIGHT(B195,3)),gachas!A:C,3,FALSE)</f>
        <v xml:space="preserve"> 5月フィーバーフェス（チョイス1）</v>
      </c>
      <c r="D195" s="100" t="str">
        <f t="shared" ref="D195:D200" si="201">B195&amp;".png"</f>
        <v>gacha591.png</v>
      </c>
      <c r="E195" s="101" t="str">
        <f t="shared" ref="E195:E200" si="202">RIGHT(B195,3)</f>
        <v>591</v>
      </c>
      <c r="F195" s="89" t="s">
        <v>3234</v>
      </c>
      <c r="G195" s="90" t="s">
        <v>841</v>
      </c>
      <c r="H195" s="90" t="s">
        <v>84</v>
      </c>
    </row>
    <row r="196" spans="1:8" ht="15" customHeight="1" x14ac:dyDescent="0.15">
      <c r="A196" s="149">
        <v>9591</v>
      </c>
      <c r="B196" s="89" t="s">
        <v>3231</v>
      </c>
      <c r="C196" s="100" t="str">
        <f>VLOOKUP(VALUE(RIGHT(B196,3)),gachas!A:C,3,FALSE)</f>
        <v xml:space="preserve"> 5月フィーバーフェス（チョイス2）</v>
      </c>
      <c r="D196" s="100" t="str">
        <f t="shared" si="201"/>
        <v>gacha592.png</v>
      </c>
      <c r="E196" s="101" t="str">
        <f t="shared" si="202"/>
        <v>592</v>
      </c>
      <c r="F196" s="89" t="s">
        <v>3235</v>
      </c>
      <c r="G196" s="90" t="s">
        <v>841</v>
      </c>
      <c r="H196" s="90" t="s">
        <v>84</v>
      </c>
    </row>
    <row r="197" spans="1:8" ht="15" customHeight="1" x14ac:dyDescent="0.15">
      <c r="A197" s="149">
        <v>9594</v>
      </c>
      <c r="B197" s="89" t="s">
        <v>3232</v>
      </c>
      <c r="C197" s="100" t="str">
        <f>VLOOKUP(VALUE(RIGHT(B197,3)),gachas!A:C,3,FALSE)</f>
        <v xml:space="preserve"> 5月フィーバーフェス（チョイス3）</v>
      </c>
      <c r="D197" s="100" t="str">
        <f t="shared" si="201"/>
        <v>gacha593.png</v>
      </c>
      <c r="E197" s="101" t="str">
        <f t="shared" si="202"/>
        <v>593</v>
      </c>
      <c r="F197" s="89" t="s">
        <v>3236</v>
      </c>
      <c r="G197" s="90" t="s">
        <v>841</v>
      </c>
      <c r="H197" s="90" t="s">
        <v>84</v>
      </c>
    </row>
    <row r="198" spans="1:8" ht="15" customHeight="1" x14ac:dyDescent="0.15">
      <c r="A198" s="149">
        <v>9593</v>
      </c>
      <c r="B198" s="89" t="s">
        <v>3233</v>
      </c>
      <c r="C198" s="100" t="str">
        <f>VLOOKUP(VALUE(RIGHT(B198,3)),gachas!A:C,3,FALSE)</f>
        <v xml:space="preserve"> 5月フィーバーフェス（チョイス4）</v>
      </c>
      <c r="D198" s="100" t="str">
        <f t="shared" si="201"/>
        <v>gacha594.png</v>
      </c>
      <c r="E198" s="101" t="str">
        <f t="shared" si="202"/>
        <v>594</v>
      </c>
      <c r="F198" s="89" t="s">
        <v>3237</v>
      </c>
      <c r="G198" s="90" t="s">
        <v>841</v>
      </c>
      <c r="H198" s="90" t="s">
        <v>84</v>
      </c>
    </row>
    <row r="199" spans="1:8" ht="15" customHeight="1" x14ac:dyDescent="0.15">
      <c r="A199" s="88" t="str">
        <f t="shared" ref="A199:A200" si="203">"9"&amp;TEXT(RIGHT(B199,3),"000")</f>
        <v>9595</v>
      </c>
      <c r="B199" s="89" t="s">
        <v>3248</v>
      </c>
      <c r="C199" s="100" t="str">
        <f>VLOOKUP(VALUE(RIGHT(B199,3)),gachas!A:C,3,FALSE)</f>
        <v>確定ステップアップガチャ（童話in)</v>
      </c>
      <c r="D199" s="100" t="str">
        <f t="shared" si="201"/>
        <v>gacha595.png</v>
      </c>
      <c r="E199" s="101" t="str">
        <f t="shared" si="202"/>
        <v>595</v>
      </c>
      <c r="F199" s="89" t="s">
        <v>3089</v>
      </c>
      <c r="G199" s="90" t="s">
        <v>841</v>
      </c>
      <c r="H199" s="90" t="s">
        <v>84</v>
      </c>
    </row>
    <row r="200" spans="1:8" ht="15" customHeight="1" x14ac:dyDescent="0.15">
      <c r="A200" s="88" t="str">
        <f t="shared" si="203"/>
        <v>9596</v>
      </c>
      <c r="B200" s="89" t="s">
        <v>3249</v>
      </c>
      <c r="C200" s="100" t="str">
        <f>VLOOKUP(VALUE(RIGHT(B200,3)),gachas!A:C,3,FALSE)</f>
        <v>ランキング対抗ガチャ&lt;ライプニッツ&gt;</v>
      </c>
      <c r="D200" s="100" t="str">
        <f t="shared" si="201"/>
        <v>gacha596.png</v>
      </c>
      <c r="E200" s="101" t="str">
        <f t="shared" si="202"/>
        <v>596</v>
      </c>
      <c r="F200" s="89" t="s">
        <v>3250</v>
      </c>
      <c r="G200" s="90" t="s">
        <v>841</v>
      </c>
      <c r="H200" s="90" t="s">
        <v>84</v>
      </c>
    </row>
    <row r="201" spans="1:8" ht="15" customHeight="1" x14ac:dyDescent="0.15">
      <c r="A201" s="88" t="str">
        <f t="shared" ref="A201:A205" si="204">"9"&amp;TEXT(RIGHT(B201,3),"000")</f>
        <v>9597</v>
      </c>
      <c r="B201" s="89" t="s">
        <v>3269</v>
      </c>
      <c r="C201" s="100" t="str">
        <f>VLOOKUP(VALUE(RIGHT(B201,3)),gachas!A:C,3,FALSE)</f>
        <v>★6確定ガチャ</v>
      </c>
      <c r="D201" s="100" t="str">
        <f t="shared" ref="D201:D205" si="205">B201&amp;".png"</f>
        <v>gacha597.png</v>
      </c>
      <c r="E201" s="101" t="str">
        <f t="shared" ref="E201:E205" si="206">RIGHT(B201,3)</f>
        <v>597</v>
      </c>
      <c r="F201" s="89" t="s">
        <v>3274</v>
      </c>
      <c r="G201" s="90" t="s">
        <v>841</v>
      </c>
      <c r="H201" s="90" t="s">
        <v>84</v>
      </c>
    </row>
    <row r="202" spans="1:8" ht="15" customHeight="1" x14ac:dyDescent="0.15">
      <c r="A202" s="88" t="str">
        <f t="shared" si="204"/>
        <v>9598</v>
      </c>
      <c r="B202" s="89" t="s">
        <v>3270</v>
      </c>
      <c r="C202" s="100" t="str">
        <f>VLOOKUP(VALUE(RIGHT(B202,3)),gachas!A:C,3,FALSE)</f>
        <v>ハガレンコラボガチャ</v>
      </c>
      <c r="D202" s="100" t="str">
        <f t="shared" si="205"/>
        <v>gacha598.png</v>
      </c>
      <c r="E202" s="101" t="str">
        <f t="shared" si="206"/>
        <v>598</v>
      </c>
      <c r="F202" s="89" t="s">
        <v>3276</v>
      </c>
      <c r="G202" s="90" t="s">
        <v>841</v>
      </c>
      <c r="H202" s="90" t="s">
        <v>84</v>
      </c>
    </row>
    <row r="203" spans="1:8" ht="15" customHeight="1" x14ac:dyDescent="0.15">
      <c r="A203" s="88" t="str">
        <f t="shared" si="204"/>
        <v>9599</v>
      </c>
      <c r="B203" s="89" t="s">
        <v>3271</v>
      </c>
      <c r="C203" s="100" t="str">
        <f>VLOOKUP(VALUE(RIGHT(B203,3)),gachas!A:C,3,FALSE)</f>
        <v>新クラファーコレクション</v>
      </c>
      <c r="D203" s="100" t="str">
        <f t="shared" si="205"/>
        <v>gacha599.png</v>
      </c>
      <c r="E203" s="101" t="str">
        <f t="shared" si="206"/>
        <v>599</v>
      </c>
      <c r="F203" s="89" t="s">
        <v>3277</v>
      </c>
      <c r="G203" s="90" t="s">
        <v>841</v>
      </c>
      <c r="H203" s="90" t="s">
        <v>84</v>
      </c>
    </row>
    <row r="204" spans="1:8" ht="15" customHeight="1" x14ac:dyDescent="0.15">
      <c r="A204" s="88" t="str">
        <f t="shared" si="204"/>
        <v>9600</v>
      </c>
      <c r="B204" s="89" t="s">
        <v>3272</v>
      </c>
      <c r="C204" s="100" t="str">
        <f>VLOOKUP(VALUE(RIGHT(B204,3)),gachas!A:C,3,FALSE)</f>
        <v>クリスマススペシャルガチャSide:A</v>
      </c>
      <c r="D204" s="100" t="str">
        <f t="shared" si="205"/>
        <v>gacha600.png</v>
      </c>
      <c r="E204" s="101" t="str">
        <f t="shared" si="206"/>
        <v>600</v>
      </c>
      <c r="F204" s="89" t="s">
        <v>3275</v>
      </c>
      <c r="G204" s="90" t="s">
        <v>841</v>
      </c>
      <c r="H204" s="90" t="s">
        <v>84</v>
      </c>
    </row>
    <row r="205" spans="1:8" ht="15" customHeight="1" x14ac:dyDescent="0.15">
      <c r="A205" s="88" t="str">
        <f t="shared" si="204"/>
        <v>9601</v>
      </c>
      <c r="B205" s="89" t="s">
        <v>3273</v>
      </c>
      <c r="C205" s="100" t="str">
        <f>VLOOKUP(VALUE(RIGHT(B205,3)),gachas!A:C,3,FALSE)</f>
        <v>クリスマススペシャルガチャSide:B</v>
      </c>
      <c r="D205" s="100" t="str">
        <f t="shared" si="205"/>
        <v>gacha601.png</v>
      </c>
      <c r="E205" s="101" t="str">
        <f t="shared" si="206"/>
        <v>601</v>
      </c>
      <c r="F205" s="89" t="s">
        <v>3275</v>
      </c>
      <c r="G205" s="90" t="s">
        <v>841</v>
      </c>
      <c r="H205" s="90" t="s">
        <v>84</v>
      </c>
    </row>
    <row r="206" spans="1:8" ht="15" customHeight="1" x14ac:dyDescent="0.15">
      <c r="A206" s="60">
        <v>9603</v>
      </c>
      <c r="B206" s="89" t="s">
        <v>3321</v>
      </c>
      <c r="C206" s="100" t="str">
        <f>VLOOKUP(VALUE(RIGHT(B206,3)),gachas!A:C,3,FALSE)</f>
        <v>全世界800万DL突破記念ガチャSideA（セルシウス）</v>
      </c>
      <c r="D206" s="100" t="str">
        <f t="shared" ref="D206:D218" si="207">B206&amp;".png"</f>
        <v>gacha602.png</v>
      </c>
      <c r="E206" s="101" t="str">
        <f t="shared" ref="E206:E216" si="208">RIGHT(B206,3)</f>
        <v>602</v>
      </c>
      <c r="F206" s="89" t="s">
        <v>3330</v>
      </c>
      <c r="G206" s="90" t="s">
        <v>841</v>
      </c>
      <c r="H206" s="90" t="s">
        <v>84</v>
      </c>
    </row>
    <row r="207" spans="1:8" ht="15" customHeight="1" x14ac:dyDescent="0.15">
      <c r="A207" s="60">
        <v>9602</v>
      </c>
      <c r="B207" s="89" t="s">
        <v>3322</v>
      </c>
      <c r="C207" s="100" t="str">
        <f>VLOOKUP(VALUE(RIGHT(B207,3)),gachas!A:C,3,FALSE)</f>
        <v>全世界800万DL突破記念ガチャSideB（ハイゼンベルク）</v>
      </c>
      <c r="D207" s="100" t="str">
        <f t="shared" si="207"/>
        <v>gacha603.png</v>
      </c>
      <c r="E207" s="101" t="str">
        <f t="shared" si="208"/>
        <v>603</v>
      </c>
      <c r="F207" s="89" t="s">
        <v>3331</v>
      </c>
      <c r="G207" s="90" t="s">
        <v>841</v>
      </c>
      <c r="H207" s="90" t="s">
        <v>84</v>
      </c>
    </row>
    <row r="208" spans="1:8" ht="15" customHeight="1" x14ac:dyDescent="0.15">
      <c r="A208" s="60">
        <v>9606</v>
      </c>
      <c r="B208" s="89" t="s">
        <v>3323</v>
      </c>
      <c r="C208" s="100" t="str">
        <f>VLOOKUP(VALUE(RIGHT(B208,3)),gachas!A:C,3,FALSE)</f>
        <v>全世界800万DL突破記念ガチャSideC（メビウス）</v>
      </c>
      <c r="D208" s="100" t="str">
        <f t="shared" si="207"/>
        <v>gacha604.png</v>
      </c>
      <c r="E208" s="101" t="str">
        <f t="shared" si="208"/>
        <v>604</v>
      </c>
      <c r="F208" s="89" t="s">
        <v>3332</v>
      </c>
      <c r="G208" s="90" t="s">
        <v>841</v>
      </c>
      <c r="H208" s="90" t="s">
        <v>84</v>
      </c>
    </row>
    <row r="209" spans="1:8" ht="15" customHeight="1" x14ac:dyDescent="0.15">
      <c r="A209" s="60">
        <v>9610</v>
      </c>
      <c r="B209" s="89" t="s">
        <v>3324</v>
      </c>
      <c r="C209" s="100" t="str">
        <f>VLOOKUP(VALUE(RIGHT(B209,3)),gachas!A:C,3,FALSE)</f>
        <v>全世界800万DL突破記念ガチャSideD（コーシー）</v>
      </c>
      <c r="D209" s="100" t="str">
        <f t="shared" si="207"/>
        <v>gacha605.png</v>
      </c>
      <c r="E209" s="101" t="str">
        <f t="shared" si="208"/>
        <v>605</v>
      </c>
      <c r="F209" s="89" t="s">
        <v>3333</v>
      </c>
      <c r="G209" s="90" t="s">
        <v>841</v>
      </c>
      <c r="H209" s="90" t="s">
        <v>84</v>
      </c>
    </row>
    <row r="210" spans="1:8" ht="15" customHeight="1" x14ac:dyDescent="0.15">
      <c r="A210" s="60">
        <v>9605</v>
      </c>
      <c r="B210" s="89" t="s">
        <v>3325</v>
      </c>
      <c r="C210" s="100" t="str">
        <f>VLOOKUP(VALUE(RIGHT(B210,3)),gachas!A:C,3,FALSE)</f>
        <v xml:space="preserve"> 5月超フェス（チョイス1）</v>
      </c>
      <c r="D210" s="100" t="str">
        <f t="shared" si="207"/>
        <v>gacha606.png</v>
      </c>
      <c r="E210" s="101" t="str">
        <f t="shared" si="208"/>
        <v>606</v>
      </c>
      <c r="F210" s="89" t="s">
        <v>3373</v>
      </c>
      <c r="G210" s="90" t="s">
        <v>841</v>
      </c>
      <c r="H210" s="90" t="s">
        <v>84</v>
      </c>
    </row>
    <row r="211" spans="1:8" ht="15" customHeight="1" x14ac:dyDescent="0.15">
      <c r="A211" s="60">
        <v>9604</v>
      </c>
      <c r="B211" s="89" t="s">
        <v>3326</v>
      </c>
      <c r="C211" s="100" t="str">
        <f>VLOOKUP(VALUE(RIGHT(B211,3)),gachas!A:C,3,FALSE)</f>
        <v xml:space="preserve"> 5月超フェス（チョイス2）</v>
      </c>
      <c r="D211" s="100" t="str">
        <f t="shared" si="207"/>
        <v>gacha607.png</v>
      </c>
      <c r="E211" s="101" t="str">
        <f t="shared" si="208"/>
        <v>607</v>
      </c>
      <c r="F211" s="89" t="s">
        <v>3374</v>
      </c>
      <c r="G211" s="90" t="s">
        <v>841</v>
      </c>
      <c r="H211" s="90" t="s">
        <v>84</v>
      </c>
    </row>
    <row r="212" spans="1:8" ht="15" customHeight="1" x14ac:dyDescent="0.15">
      <c r="A212" s="60">
        <v>9608</v>
      </c>
      <c r="B212" s="89" t="s">
        <v>3327</v>
      </c>
      <c r="C212" s="100" t="str">
        <f>VLOOKUP(VALUE(RIGHT(B212,3)),gachas!A:C,3,FALSE)</f>
        <v xml:space="preserve"> 5月超フェス（チョイス3）</v>
      </c>
      <c r="D212" s="100" t="str">
        <f t="shared" si="207"/>
        <v>gacha608.png</v>
      </c>
      <c r="E212" s="101" t="str">
        <f t="shared" si="208"/>
        <v>608</v>
      </c>
      <c r="F212" s="89" t="s">
        <v>3375</v>
      </c>
      <c r="G212" s="90" t="s">
        <v>841</v>
      </c>
      <c r="H212" s="90" t="s">
        <v>84</v>
      </c>
    </row>
    <row r="213" spans="1:8" ht="15" customHeight="1" x14ac:dyDescent="0.15">
      <c r="A213" s="60">
        <v>9607</v>
      </c>
      <c r="B213" s="89" t="s">
        <v>3328</v>
      </c>
      <c r="C213" s="100" t="str">
        <f>VLOOKUP(VALUE(RIGHT(B213,3)),gachas!A:C,3,FALSE)</f>
        <v xml:space="preserve"> 5月超フェス（チョイス4）</v>
      </c>
      <c r="D213" s="100" t="str">
        <f t="shared" si="207"/>
        <v>gacha609.png</v>
      </c>
      <c r="E213" s="101" t="str">
        <f t="shared" si="208"/>
        <v>609</v>
      </c>
      <c r="F213" s="89" t="s">
        <v>3376</v>
      </c>
      <c r="G213" s="90" t="s">
        <v>841</v>
      </c>
      <c r="H213" s="90" t="s">
        <v>84</v>
      </c>
    </row>
    <row r="214" spans="1:8" ht="15" customHeight="1" x14ac:dyDescent="0.15">
      <c r="A214" s="60">
        <v>9609</v>
      </c>
      <c r="B214" s="89" t="s">
        <v>3329</v>
      </c>
      <c r="C214" s="100" t="str">
        <f>VLOOKUP(VALUE(RIGHT(B214,3)),gachas!A:C,3,FALSE)</f>
        <v>全世界800万DL突破記念_海外版限定スペシャルガチャ（関羽）</v>
      </c>
      <c r="D214" s="100" t="str">
        <f t="shared" si="207"/>
        <v>gacha610.png</v>
      </c>
      <c r="E214" s="101" t="str">
        <f t="shared" si="208"/>
        <v>610</v>
      </c>
      <c r="F214" s="89" t="s">
        <v>3334</v>
      </c>
      <c r="G214" s="90" t="s">
        <v>841</v>
      </c>
      <c r="H214" s="90" t="s">
        <v>84</v>
      </c>
    </row>
    <row r="215" spans="1:8" ht="15" customHeight="1" x14ac:dyDescent="0.15">
      <c r="A215" s="88" t="str">
        <f t="shared" ref="A215:A216" si="209">"9"&amp;TEXT(RIGHT(B215,3),"000")</f>
        <v>9611</v>
      </c>
      <c r="B215" s="89" t="s">
        <v>3383</v>
      </c>
      <c r="C215" s="100" t="str">
        <f>VLOOKUP(VALUE(RIGHT(B215,3)),gachas!A:C,3,FALSE)</f>
        <v>ランキング対抗ガチャ&lt;シュヴァルツシルト&gt;</v>
      </c>
      <c r="D215" s="100" t="str">
        <f t="shared" si="207"/>
        <v>gacha611.png</v>
      </c>
      <c r="E215" s="101" t="str">
        <f t="shared" si="208"/>
        <v>611</v>
      </c>
      <c r="F215" s="89" t="s">
        <v>3385</v>
      </c>
      <c r="G215" s="90" t="s">
        <v>841</v>
      </c>
      <c r="H215" s="90" t="s">
        <v>84</v>
      </c>
    </row>
    <row r="216" spans="1:8" ht="15" customHeight="1" x14ac:dyDescent="0.15">
      <c r="A216" s="88" t="str">
        <f t="shared" si="209"/>
        <v>9612</v>
      </c>
      <c r="B216" s="89" t="s">
        <v>3384</v>
      </c>
      <c r="C216" s="100" t="str">
        <f>VLOOKUP(VALUE(RIGHT(B216,3)),gachas!A:C,3,FALSE)</f>
        <v>確定ステップアップガチャ（童話in)</v>
      </c>
      <c r="D216" s="102" t="str">
        <f>D199</f>
        <v>gacha595.png</v>
      </c>
      <c r="E216" s="101" t="str">
        <f t="shared" si="208"/>
        <v>612</v>
      </c>
      <c r="F216" s="89" t="s">
        <v>3089</v>
      </c>
      <c r="G216" s="90" t="s">
        <v>841</v>
      </c>
      <c r="H216" s="90" t="s">
        <v>84</v>
      </c>
    </row>
    <row r="217" spans="1:8" ht="15" customHeight="1" x14ac:dyDescent="0.15">
      <c r="A217" s="88">
        <v>9614</v>
      </c>
      <c r="B217" s="89" t="s">
        <v>3399</v>
      </c>
      <c r="C217" s="100" t="str">
        <f>VLOOKUP(VALUE(RIGHT(B217,3)),gachas!A:C,3,FALSE)</f>
        <v>ジューンブライドガチャSideA</v>
      </c>
      <c r="D217" s="100" t="str">
        <f t="shared" si="207"/>
        <v>gacha613.png</v>
      </c>
      <c r="E217" s="101" t="str">
        <f t="shared" ref="E217" si="210">RIGHT(B217,3)</f>
        <v>613</v>
      </c>
      <c r="F217" s="89" t="s">
        <v>3401</v>
      </c>
      <c r="G217" s="90" t="s">
        <v>841</v>
      </c>
      <c r="H217" s="90" t="s">
        <v>84</v>
      </c>
    </row>
    <row r="218" spans="1:8" ht="15" customHeight="1" x14ac:dyDescent="0.15">
      <c r="A218" s="88">
        <v>9613</v>
      </c>
      <c r="B218" s="89" t="s">
        <v>3400</v>
      </c>
      <c r="C218" s="100" t="str">
        <f>VLOOKUP(VALUE(RIGHT(B218,3)),gachas!A:C,3,FALSE)</f>
        <v>ジューンブライドガチャSideB</v>
      </c>
      <c r="D218" s="100" t="str">
        <f t="shared" si="207"/>
        <v>gacha614.png</v>
      </c>
      <c r="E218" s="101" t="str">
        <f t="shared" ref="E218" si="211">RIGHT(B218,3)</f>
        <v>614</v>
      </c>
      <c r="F218" s="89" t="s">
        <v>3401</v>
      </c>
      <c r="G218" s="90" t="s">
        <v>841</v>
      </c>
      <c r="H218" s="90" t="s">
        <v>84</v>
      </c>
    </row>
    <row r="219" spans="1:8" x14ac:dyDescent="0.15">
      <c r="A219" s="93" t="str">
        <f>"8"&amp;TEXT(RIGHT(B219,3),"000")</f>
        <v>8347</v>
      </c>
      <c r="B219" s="89" t="s">
        <v>952</v>
      </c>
      <c r="C219" s="100" t="str">
        <f>VLOOKUP(VALUE(RIGHT(B219,3)),gachas!A:C,3,FALSE)</f>
        <v>ノーマルガチャ&lt;グリム2in&gt;</v>
      </c>
      <c r="D219" s="100" t="str">
        <f>B219&amp;".png"</f>
        <v>gacha347.png</v>
      </c>
      <c r="E219" s="101" t="str">
        <f>RIGHT(B219,3)</f>
        <v>347</v>
      </c>
      <c r="F219" s="89" t="s">
        <v>953</v>
      </c>
      <c r="G219" s="90" t="s">
        <v>954</v>
      </c>
      <c r="H219" s="90" t="s">
        <v>257</v>
      </c>
    </row>
    <row r="220" spans="1:8" x14ac:dyDescent="0.15">
      <c r="A220" s="93" t="str">
        <f>"8"&amp;TEXT(RIGHT(B220,3),"000")</f>
        <v>8361</v>
      </c>
      <c r="B220" s="89" t="s">
        <v>1097</v>
      </c>
      <c r="C220" s="100" t="str">
        <f>VLOOKUP(VALUE(RIGHT(B220,3)),gachas!A:C,3,FALSE)</f>
        <v>レアガチャ&lt;ギリシャin&gt;</v>
      </c>
      <c r="D220" s="100" t="str">
        <f>B220&amp;".png"</f>
        <v>gacha361.png</v>
      </c>
      <c r="E220" s="101" t="str">
        <f>RIGHT(B220,3)</f>
        <v>361</v>
      </c>
      <c r="F220" s="89" t="s">
        <v>953</v>
      </c>
      <c r="G220" s="90" t="s">
        <v>841</v>
      </c>
      <c r="H220" s="90" t="s">
        <v>84</v>
      </c>
    </row>
    <row r="221" spans="1:8" x14ac:dyDescent="0.15">
      <c r="A221" s="93" t="str">
        <f>"8"&amp;TEXT(RIGHT(B221,3),"000")</f>
        <v>8364</v>
      </c>
      <c r="B221" s="89" t="s">
        <v>1138</v>
      </c>
      <c r="C221" s="100" t="str">
        <f>VLOOKUP(VALUE(RIGHT(B221,3)),gachas!A:C,3,FALSE)</f>
        <v>レアガチャ&lt;フランス革命in&gt;</v>
      </c>
      <c r="D221" s="100" t="str">
        <f>B221&amp;".png"</f>
        <v>gacha364.png</v>
      </c>
      <c r="E221" s="101" t="str">
        <f>RIGHT(B221,3)</f>
        <v>364</v>
      </c>
      <c r="F221" s="89" t="s">
        <v>953</v>
      </c>
      <c r="G221" s="90" t="s">
        <v>841</v>
      </c>
      <c r="H221" s="90" t="s">
        <v>84</v>
      </c>
    </row>
    <row r="222" spans="1:8" ht="15" customHeight="1" x14ac:dyDescent="0.15">
      <c r="A222" s="93" t="str">
        <f t="shared" ref="A222:A224" si="212">"8"&amp;TEXT(RIGHT(B222,3),"000")</f>
        <v>8373</v>
      </c>
      <c r="B222" s="89" t="s">
        <v>1261</v>
      </c>
      <c r="C222" s="100" t="str">
        <f>VLOOKUP(VALUE(RIGHT(B222,3)),gachas!A:C,3,FALSE)</f>
        <v>復刻ピックアップ&lt;沖田、親指&gt;</v>
      </c>
      <c r="D222" s="102" t="s">
        <v>1268</v>
      </c>
      <c r="E222" s="101" t="str">
        <f t="shared" ref="E222:E224" si="213">RIGHT(B222,3)</f>
        <v>373</v>
      </c>
      <c r="F222" s="89" t="s">
        <v>1025</v>
      </c>
      <c r="G222" s="90" t="s">
        <v>841</v>
      </c>
      <c r="H222" s="90" t="s">
        <v>84</v>
      </c>
    </row>
    <row r="223" spans="1:8" x14ac:dyDescent="0.15">
      <c r="A223" s="93" t="str">
        <f t="shared" si="212"/>
        <v>8374</v>
      </c>
      <c r="B223" s="89" t="s">
        <v>1262</v>
      </c>
      <c r="C223" s="100" t="str">
        <f>VLOOKUP(VALUE(RIGHT(B223,3)),gachas!A:C,3,FALSE)</f>
        <v>復刻ピックアップ&lt;モルド、DRTH&gt;</v>
      </c>
      <c r="D223" s="102" t="s">
        <v>1269</v>
      </c>
      <c r="E223" s="101" t="str">
        <f t="shared" si="213"/>
        <v>374</v>
      </c>
      <c r="F223" s="89" t="s">
        <v>1025</v>
      </c>
      <c r="G223" s="90" t="s">
        <v>841</v>
      </c>
      <c r="H223" s="90" t="s">
        <v>84</v>
      </c>
    </row>
    <row r="224" spans="1:8" x14ac:dyDescent="0.15">
      <c r="A224" s="93" t="str">
        <f t="shared" si="212"/>
        <v>8375</v>
      </c>
      <c r="B224" s="89" t="s">
        <v>1263</v>
      </c>
      <c r="C224" s="100" t="str">
        <f>VLOOKUP(VALUE(RIGHT(B224,3)),gachas!A:C,3,FALSE)</f>
        <v>復刻ピックアップ&lt;ペロー、ハーメルン&gt;</v>
      </c>
      <c r="D224" s="102" t="s">
        <v>1266</v>
      </c>
      <c r="E224" s="101" t="str">
        <f t="shared" si="213"/>
        <v>375</v>
      </c>
      <c r="F224" s="89" t="s">
        <v>1025</v>
      </c>
      <c r="G224" s="90" t="s">
        <v>841</v>
      </c>
      <c r="H224" s="90" t="s">
        <v>84</v>
      </c>
    </row>
    <row r="225" spans="1:8" x14ac:dyDescent="0.15">
      <c r="A225" s="93" t="str">
        <f t="shared" ref="A225:A229" si="214">"8"&amp;TEXT(RIGHT(B225,3),"000")</f>
        <v>8380</v>
      </c>
      <c r="B225" s="89" t="s">
        <v>1296</v>
      </c>
      <c r="C225" s="100" t="str">
        <f>VLOOKUP(VALUE(RIGHT(B225,3)),gachas!A:C,3,FALSE)</f>
        <v>レアガチャ&lt;エジプトin&gt;</v>
      </c>
      <c r="D225" s="100" t="str">
        <f t="shared" ref="D225:D240" si="215">B225&amp;".png"</f>
        <v>gacha380.png</v>
      </c>
      <c r="E225" s="101" t="str">
        <f t="shared" ref="E225:E239" si="216">RIGHT(B225,3)</f>
        <v>380</v>
      </c>
      <c r="F225" s="89" t="s">
        <v>953</v>
      </c>
      <c r="G225" s="90" t="s">
        <v>841</v>
      </c>
      <c r="H225" s="90" t="s">
        <v>84</v>
      </c>
    </row>
    <row r="226" spans="1:8" x14ac:dyDescent="0.15">
      <c r="A226" s="93" t="str">
        <f t="shared" si="214"/>
        <v>8391</v>
      </c>
      <c r="B226" s="89" t="s">
        <v>1418</v>
      </c>
      <c r="C226" s="100" t="str">
        <f>VLOOKUP(VALUE(RIGHT(B226,3)),gachas!A:C,3,FALSE)</f>
        <v>レアガチャ（平安in）</v>
      </c>
      <c r="D226" s="100" t="str">
        <f t="shared" si="215"/>
        <v>gacha391.png</v>
      </c>
      <c r="E226" s="101" t="str">
        <f t="shared" si="216"/>
        <v>391</v>
      </c>
      <c r="F226" s="89" t="s">
        <v>953</v>
      </c>
      <c r="G226" s="90" t="s">
        <v>841</v>
      </c>
      <c r="H226" s="90" t="s">
        <v>84</v>
      </c>
    </row>
    <row r="227" spans="1:8" x14ac:dyDescent="0.15">
      <c r="A227" s="93" t="str">
        <f t="shared" si="214"/>
        <v>8395</v>
      </c>
      <c r="B227" s="89" t="s">
        <v>1437</v>
      </c>
      <c r="C227" s="100" t="str">
        <f>VLOOKUP(VALUE(RIGHT(B227,3)),gachas!A:C,3,FALSE)</f>
        <v>TVCM第2弾放送記念 1日1回無料レアガチャ</v>
      </c>
      <c r="D227" s="100" t="str">
        <f t="shared" si="215"/>
        <v>gacha395.png</v>
      </c>
      <c r="E227" s="101" t="str">
        <f t="shared" si="216"/>
        <v>395</v>
      </c>
      <c r="F227" s="89" t="s">
        <v>1443</v>
      </c>
      <c r="G227" s="90" t="s">
        <v>841</v>
      </c>
      <c r="H227" s="90" t="s">
        <v>84</v>
      </c>
    </row>
    <row r="228" spans="1:8" x14ac:dyDescent="0.15">
      <c r="A228" s="93" t="str">
        <f t="shared" si="214"/>
        <v>8396</v>
      </c>
      <c r="B228" s="89" t="s">
        <v>1441</v>
      </c>
      <c r="C228" s="100" t="str">
        <f>VLOOKUP(VALUE(RIGHT(B228,3)),gachas!A:C,3,FALSE)</f>
        <v>TVCM第2弾記念ガチャ１</v>
      </c>
      <c r="D228" s="100" t="str">
        <f t="shared" si="215"/>
        <v>gacha396.png</v>
      </c>
      <c r="E228" s="101" t="str">
        <f t="shared" si="216"/>
        <v>396</v>
      </c>
      <c r="F228" s="89" t="s">
        <v>1471</v>
      </c>
      <c r="G228" s="90" t="s">
        <v>841</v>
      </c>
      <c r="H228" s="90" t="s">
        <v>84</v>
      </c>
    </row>
    <row r="229" spans="1:8" x14ac:dyDescent="0.15">
      <c r="A229" s="93" t="str">
        <f t="shared" si="214"/>
        <v>8398</v>
      </c>
      <c r="B229" s="89" t="s">
        <v>1460</v>
      </c>
      <c r="C229" s="100" t="str">
        <f>VLOOKUP(VALUE(RIGHT(B229,3)),gachas!A:C,3,FALSE)</f>
        <v>レアガチャ（メソポタミアin）</v>
      </c>
      <c r="D229" s="100" t="str">
        <f t="shared" si="215"/>
        <v>gacha398.png</v>
      </c>
      <c r="E229" s="101" t="str">
        <f t="shared" si="216"/>
        <v>398</v>
      </c>
      <c r="F229" s="89" t="s">
        <v>953</v>
      </c>
      <c r="G229" s="90" t="s">
        <v>841</v>
      </c>
      <c r="H229" s="90" t="s">
        <v>84</v>
      </c>
    </row>
    <row r="230" spans="1:8" x14ac:dyDescent="0.15">
      <c r="A230" s="93" t="str">
        <f t="shared" ref="A230" si="217">"8"&amp;TEXT(RIGHT(B230,3),"000")</f>
        <v>8405</v>
      </c>
      <c r="B230" s="89" t="s">
        <v>1531</v>
      </c>
      <c r="C230" s="100" t="str">
        <f>VLOOKUP(VALUE(RIGHT(B230,3)),gachas!A:C,3,FALSE)</f>
        <v>レアガチャ（画家in）</v>
      </c>
      <c r="D230" s="100" t="str">
        <f t="shared" ref="D230" si="218">B230&amp;".png"</f>
        <v>gacha405.png</v>
      </c>
      <c r="E230" s="101" t="str">
        <f t="shared" ref="E230" si="219">RIGHT(B230,3)</f>
        <v>405</v>
      </c>
      <c r="F230" s="89" t="s">
        <v>953</v>
      </c>
      <c r="G230" s="90" t="s">
        <v>841</v>
      </c>
      <c r="H230" s="90" t="s">
        <v>84</v>
      </c>
    </row>
    <row r="231" spans="1:8" x14ac:dyDescent="0.15">
      <c r="A231" s="93" t="str">
        <f t="shared" ref="A231" si="220">"8"&amp;TEXT(RIGHT(B231,3),"000")</f>
        <v>8422</v>
      </c>
      <c r="B231" s="89" t="s">
        <v>1678</v>
      </c>
      <c r="C231" s="100" t="str">
        <f>VLOOKUP(VALUE(RIGHT(B231,3)),gachas!A:C,3,FALSE)</f>
        <v>レアガチャ(三国志in)</v>
      </c>
      <c r="D231" s="100" t="str">
        <f t="shared" ref="D231" si="221">B231&amp;".png"</f>
        <v>gacha422.png</v>
      </c>
      <c r="E231" s="101" t="str">
        <f t="shared" ref="E231" si="222">RIGHT(B231,3)</f>
        <v>422</v>
      </c>
      <c r="F231" s="89" t="s">
        <v>953</v>
      </c>
      <c r="G231" s="90" t="s">
        <v>841</v>
      </c>
      <c r="H231" s="90" t="s">
        <v>84</v>
      </c>
    </row>
    <row r="232" spans="1:8" x14ac:dyDescent="0.15">
      <c r="A232" s="93" t="str">
        <f t="shared" ref="A232" si="223">"8"&amp;TEXT(RIGHT(B232,3),"000")</f>
        <v>8429</v>
      </c>
      <c r="B232" s="89" t="s">
        <v>1762</v>
      </c>
      <c r="C232" s="100" t="str">
        <f>VLOOKUP(VALUE(RIGHT(B232,3)),gachas!A:C,3,FALSE)</f>
        <v>レアガチャ（インド第2弾in）</v>
      </c>
      <c r="D232" s="100" t="str">
        <f t="shared" ref="D232" si="224">B232&amp;".png"</f>
        <v>gacha429.png</v>
      </c>
      <c r="E232" s="101" t="str">
        <f t="shared" ref="E232" si="225">RIGHT(B232,3)</f>
        <v>429</v>
      </c>
      <c r="F232" s="89" t="s">
        <v>953</v>
      </c>
      <c r="G232" s="90" t="s">
        <v>841</v>
      </c>
      <c r="H232" s="90" t="s">
        <v>84</v>
      </c>
    </row>
    <row r="233" spans="1:8" ht="15" customHeight="1" x14ac:dyDescent="0.15">
      <c r="A233" s="93" t="str">
        <f t="shared" ref="A233" si="226">"8"&amp;TEXT(RIGHT(B233,3),"000")</f>
        <v>8445</v>
      </c>
      <c r="B233" s="89" t="s">
        <v>1902</v>
      </c>
      <c r="C233" s="100" t="str">
        <f>VLOOKUP(VALUE(RIGHT(B233,3)),gachas!A:C,3,FALSE)</f>
        <v>レアガチャ（ギリシャ神話第2弾in）</v>
      </c>
      <c r="D233" s="100" t="str">
        <f t="shared" ref="D233" si="227">B233&amp;".png"</f>
        <v>gacha445.png</v>
      </c>
      <c r="E233" s="101" t="str">
        <f t="shared" ref="E233" si="228">RIGHT(B233,3)</f>
        <v>445</v>
      </c>
      <c r="F233" s="89" t="s">
        <v>953</v>
      </c>
      <c r="G233" s="90" t="s">
        <v>841</v>
      </c>
      <c r="H233" s="90" t="s">
        <v>84</v>
      </c>
    </row>
    <row r="234" spans="1:8" ht="15" customHeight="1" x14ac:dyDescent="0.15">
      <c r="A234" s="93" t="str">
        <f t="shared" ref="A234" si="229">"8"&amp;TEXT(RIGHT(B234,3),"000")</f>
        <v>8455</v>
      </c>
      <c r="B234" s="89" t="s">
        <v>2005</v>
      </c>
      <c r="C234" s="100" t="str">
        <f>VLOOKUP(VALUE(RIGHT(B234,3)),gachas!A:C,3,FALSE)</f>
        <v>レアガチャ（文豪in）</v>
      </c>
      <c r="D234" s="100" t="str">
        <f t="shared" ref="D234" si="230">B234&amp;".png"</f>
        <v>gacha455.png</v>
      </c>
      <c r="E234" s="101" t="str">
        <f t="shared" ref="E234" si="231">RIGHT(B234,3)</f>
        <v>455</v>
      </c>
      <c r="F234" s="89" t="s">
        <v>953</v>
      </c>
      <c r="G234" s="90" t="s">
        <v>841</v>
      </c>
      <c r="H234" s="90" t="s">
        <v>84</v>
      </c>
    </row>
    <row r="235" spans="1:8" ht="15" customHeight="1" x14ac:dyDescent="0.15">
      <c r="A235" s="93" t="str">
        <f t="shared" ref="A235" si="232">"8"&amp;TEXT(RIGHT(B235,3),"000")</f>
        <v>8494</v>
      </c>
      <c r="B235" s="89" t="s">
        <v>2334</v>
      </c>
      <c r="C235" s="100" t="str">
        <f>VLOOKUP(VALUE(RIGHT(B235,3)),gachas!A:C,3,FALSE)</f>
        <v>レアガチャ（戦国2in）</v>
      </c>
      <c r="D235" s="100" t="str">
        <f t="shared" ref="D235" si="233">B235&amp;".png"</f>
        <v>gacha494.png</v>
      </c>
      <c r="E235" s="101" t="str">
        <f t="shared" ref="E235" si="234">RIGHT(B235,3)</f>
        <v>494</v>
      </c>
      <c r="F235" s="89" t="s">
        <v>953</v>
      </c>
      <c r="G235" s="90" t="s">
        <v>841</v>
      </c>
      <c r="H235" s="90" t="s">
        <v>84</v>
      </c>
    </row>
    <row r="236" spans="1:8" ht="15" customHeight="1" x14ac:dyDescent="0.15">
      <c r="A236" s="93" t="str">
        <f t="shared" ref="A236" si="235">"8"&amp;TEXT(RIGHT(B236,3),"000")</f>
        <v>8514</v>
      </c>
      <c r="B236" s="89" t="s">
        <v>2512</v>
      </c>
      <c r="C236" s="100" t="str">
        <f>VLOOKUP(VALUE(RIGHT(B236,3)),gachas!A:C,3,FALSE)</f>
        <v>レアガチャ（北欧in）</v>
      </c>
      <c r="D236" s="102" t="s">
        <v>2534</v>
      </c>
      <c r="E236" s="101" t="str">
        <f t="shared" ref="E236" si="236">RIGHT(B236,3)</f>
        <v>514</v>
      </c>
      <c r="F236" s="89" t="s">
        <v>953</v>
      </c>
      <c r="G236" s="90" t="s">
        <v>841</v>
      </c>
      <c r="H236" s="90" t="s">
        <v>84</v>
      </c>
    </row>
    <row r="237" spans="1:8" ht="15" customHeight="1" x14ac:dyDescent="0.15">
      <c r="A237" s="93" t="str">
        <f t="shared" ref="A237" si="237">"8"&amp;TEXT(RIGHT(B237,3),"000")</f>
        <v>8532</v>
      </c>
      <c r="B237" s="89" t="s">
        <v>2655</v>
      </c>
      <c r="C237" s="100" t="str">
        <f>VLOOKUP(VALUE(RIGHT(B237,3)),gachas!A:C,3,FALSE)</f>
        <v>常設レアガチャ（日本神話in)</v>
      </c>
      <c r="D237" s="102" t="s">
        <v>2669</v>
      </c>
      <c r="E237" s="101" t="str">
        <f t="shared" ref="E237" si="238">RIGHT(B237,3)</f>
        <v>532</v>
      </c>
      <c r="F237" s="89" t="s">
        <v>953</v>
      </c>
      <c r="G237" s="90" t="s">
        <v>841</v>
      </c>
      <c r="H237" s="90" t="s">
        <v>84</v>
      </c>
    </row>
    <row r="238" spans="1:8" ht="15" customHeight="1" x14ac:dyDescent="0.15">
      <c r="A238" s="93" t="str">
        <f t="shared" ref="A238" si="239">"8"&amp;TEXT(RIGHT(B238,3),"000")</f>
        <v>8590</v>
      </c>
      <c r="B238" s="89" t="s">
        <v>3202</v>
      </c>
      <c r="C238" s="100" t="str">
        <f>VLOOKUP(VALUE(RIGHT(B238,3)),gachas!A:C,3,FALSE)</f>
        <v>常設レアガチャ（童話in)</v>
      </c>
      <c r="D238" s="102" t="s">
        <v>3203</v>
      </c>
      <c r="E238" s="101" t="str">
        <f t="shared" ref="E238" si="240">RIGHT(B238,3)</f>
        <v>590</v>
      </c>
      <c r="F238" s="89" t="s">
        <v>953</v>
      </c>
      <c r="G238" s="90" t="s">
        <v>841</v>
      </c>
      <c r="H238" s="90" t="s">
        <v>84</v>
      </c>
    </row>
    <row r="239" spans="1:8" x14ac:dyDescent="0.15">
      <c r="A239" s="93" t="str">
        <f>"9"&amp;TEXT(RIGHT(B239,3),"000")</f>
        <v>9399</v>
      </c>
      <c r="B239" s="89" t="s">
        <v>1470</v>
      </c>
      <c r="C239" s="100" t="str">
        <f>VLOOKUP(VALUE(RIGHT(B239,3)),gachas!A:C,3,FALSE)</f>
        <v>TVCM第2弾放送記念ガチャ2</v>
      </c>
      <c r="D239" s="100" t="str">
        <f t="shared" si="215"/>
        <v>gacha399.png</v>
      </c>
      <c r="E239" s="101" t="str">
        <f t="shared" si="216"/>
        <v>399</v>
      </c>
      <c r="F239" s="89" t="s">
        <v>1472</v>
      </c>
      <c r="G239" s="90" t="s">
        <v>841</v>
      </c>
      <c r="H239" s="90" t="s">
        <v>84</v>
      </c>
    </row>
    <row r="240" spans="1:8" x14ac:dyDescent="0.15">
      <c r="A240" s="94" t="str">
        <f>"8"&amp;TEXT(RIGHT(B240,3),"000")</f>
        <v>8401</v>
      </c>
      <c r="B240" s="89" t="s">
        <v>1485</v>
      </c>
      <c r="C240" s="100" t="str">
        <f>VLOOKUP(VALUE(RIGHT(B240,3)),gachas!A:C,3,FALSE)</f>
        <v>TVCM第2弾放送記念 1日1回無料レアガチャ</v>
      </c>
      <c r="D240" s="100" t="str">
        <f t="shared" si="215"/>
        <v>gacha401.png</v>
      </c>
      <c r="E240" s="101" t="str">
        <f t="shared" ref="E240" si="241">RIGHT(B240,3)</f>
        <v>401</v>
      </c>
      <c r="F240" s="89" t="s">
        <v>1443</v>
      </c>
      <c r="G240" s="90" t="s">
        <v>841</v>
      </c>
      <c r="H240" s="90" t="s">
        <v>84</v>
      </c>
    </row>
    <row r="241" spans="1:8" x14ac:dyDescent="0.15">
      <c r="A241" s="94" t="str">
        <f>"8"&amp;TEXT(RIGHT(B241,3),"000")</f>
        <v>8411</v>
      </c>
      <c r="B241" s="89" t="s">
        <v>1660</v>
      </c>
      <c r="C241" s="100" t="str">
        <f>VLOOKUP(VALUE(RIGHT(B241,3)),gachas!A:C,3,FALSE)</f>
        <v>全世界600万DL記念1日1回無料ガチャ-1日目-</v>
      </c>
      <c r="D241" s="102" t="s">
        <v>1670</v>
      </c>
      <c r="E241" s="101" t="str">
        <f t="shared" ref="E241:E250" si="242">RIGHT(B241,3)</f>
        <v>411</v>
      </c>
      <c r="F241" s="89" t="s">
        <v>1612</v>
      </c>
      <c r="G241" s="90" t="s">
        <v>841</v>
      </c>
      <c r="H241" s="90" t="s">
        <v>84</v>
      </c>
    </row>
    <row r="242" spans="1:8" x14ac:dyDescent="0.15">
      <c r="A242" s="94">
        <v>8412</v>
      </c>
      <c r="B242" s="89" t="s">
        <v>1661</v>
      </c>
      <c r="C242" s="100" t="str">
        <f>VLOOKUP(VALUE(RIGHT(B242,3)),gachas!A:C,3,FALSE)</f>
        <v>全世界600万DL記念1日1回無料ガチャ-2日目-</v>
      </c>
      <c r="D242" s="102" t="str">
        <f>D241</f>
        <v>gacha408.png</v>
      </c>
      <c r="E242" s="101" t="str">
        <f t="shared" si="242"/>
        <v>412</v>
      </c>
      <c r="F242" s="89" t="s">
        <v>1612</v>
      </c>
      <c r="G242" s="90" t="s">
        <v>841</v>
      </c>
      <c r="H242" s="90" t="s">
        <v>84</v>
      </c>
    </row>
    <row r="243" spans="1:8" x14ac:dyDescent="0.15">
      <c r="A243" s="94">
        <v>8413</v>
      </c>
      <c r="B243" s="89" t="s">
        <v>1662</v>
      </c>
      <c r="C243" s="100" t="str">
        <f>VLOOKUP(VALUE(RIGHT(B243,3)),gachas!A:C,3,FALSE)</f>
        <v>全世界600万DL記念1日1回無料ガチャ-3日目-</v>
      </c>
      <c r="D243" s="102" t="str">
        <f t="shared" ref="D243:D258" si="243">D242</f>
        <v>gacha408.png</v>
      </c>
      <c r="E243" s="101" t="str">
        <f t="shared" si="242"/>
        <v>413</v>
      </c>
      <c r="F243" s="89" t="s">
        <v>1612</v>
      </c>
      <c r="G243" s="90" t="s">
        <v>841</v>
      </c>
      <c r="H243" s="90" t="s">
        <v>84</v>
      </c>
    </row>
    <row r="244" spans="1:8" x14ac:dyDescent="0.15">
      <c r="A244" s="94">
        <f>A243+1</f>
        <v>8414</v>
      </c>
      <c r="B244" s="89" t="s">
        <v>1663</v>
      </c>
      <c r="C244" s="100" t="str">
        <f>VLOOKUP(VALUE(RIGHT(B244,3)),gachas!A:C,3,FALSE)</f>
        <v>全世界600万DL記念1日1回無料ガチャ-4日目-</v>
      </c>
      <c r="D244" s="102" t="str">
        <f t="shared" si="243"/>
        <v>gacha408.png</v>
      </c>
      <c r="E244" s="101" t="str">
        <f t="shared" si="242"/>
        <v>414</v>
      </c>
      <c r="F244" s="89" t="s">
        <v>1612</v>
      </c>
      <c r="G244" s="90" t="s">
        <v>841</v>
      </c>
      <c r="H244" s="90" t="s">
        <v>84</v>
      </c>
    </row>
    <row r="245" spans="1:8" x14ac:dyDescent="0.15">
      <c r="A245" s="94">
        <f t="shared" ref="A245:A250" si="244">A244+1</f>
        <v>8415</v>
      </c>
      <c r="B245" s="89" t="s">
        <v>1664</v>
      </c>
      <c r="C245" s="100" t="str">
        <f>VLOOKUP(VALUE(RIGHT(B245,3)),gachas!A:C,3,FALSE)</f>
        <v>全世界600万DL記念1日1回無料ガチャ-5日目-</v>
      </c>
      <c r="D245" s="102" t="str">
        <f t="shared" si="243"/>
        <v>gacha408.png</v>
      </c>
      <c r="E245" s="101" t="str">
        <f t="shared" si="242"/>
        <v>415</v>
      </c>
      <c r="F245" s="89" t="s">
        <v>1612</v>
      </c>
      <c r="G245" s="90" t="s">
        <v>841</v>
      </c>
      <c r="H245" s="90" t="s">
        <v>84</v>
      </c>
    </row>
    <row r="246" spans="1:8" x14ac:dyDescent="0.15">
      <c r="A246" s="94">
        <f t="shared" si="244"/>
        <v>8416</v>
      </c>
      <c r="B246" s="89" t="s">
        <v>1665</v>
      </c>
      <c r="C246" s="100" t="str">
        <f>VLOOKUP(VALUE(RIGHT(B246,3)),gachas!A:C,3,FALSE)</f>
        <v>全世界600万DL記念1日1回無料ガチャ-6日目-</v>
      </c>
      <c r="D246" s="102" t="str">
        <f t="shared" si="243"/>
        <v>gacha408.png</v>
      </c>
      <c r="E246" s="101" t="str">
        <f t="shared" si="242"/>
        <v>416</v>
      </c>
      <c r="F246" s="89" t="s">
        <v>1612</v>
      </c>
      <c r="G246" s="90" t="s">
        <v>841</v>
      </c>
      <c r="H246" s="90" t="s">
        <v>84</v>
      </c>
    </row>
    <row r="247" spans="1:8" x14ac:dyDescent="0.15">
      <c r="A247" s="94">
        <f t="shared" si="244"/>
        <v>8417</v>
      </c>
      <c r="B247" s="89" t="s">
        <v>1666</v>
      </c>
      <c r="C247" s="100" t="str">
        <f>VLOOKUP(VALUE(RIGHT(B247,3)),gachas!A:C,3,FALSE)</f>
        <v>全世界600万DL記念1日1回無料ガチャ-7日目-</v>
      </c>
      <c r="D247" s="102" t="str">
        <f t="shared" si="243"/>
        <v>gacha408.png</v>
      </c>
      <c r="E247" s="101" t="str">
        <f t="shared" si="242"/>
        <v>417</v>
      </c>
      <c r="F247" s="89" t="s">
        <v>1612</v>
      </c>
      <c r="G247" s="90" t="s">
        <v>841</v>
      </c>
      <c r="H247" s="90" t="s">
        <v>84</v>
      </c>
    </row>
    <row r="248" spans="1:8" x14ac:dyDescent="0.15">
      <c r="A248" s="94">
        <f t="shared" si="244"/>
        <v>8418</v>
      </c>
      <c r="B248" s="89" t="s">
        <v>1667</v>
      </c>
      <c r="C248" s="100" t="str">
        <f>VLOOKUP(VALUE(RIGHT(B248,3)),gachas!A:C,3,FALSE)</f>
        <v>全世界600万DL記念1日1回無料ガチャ-8日目-</v>
      </c>
      <c r="D248" s="102" t="str">
        <f t="shared" si="243"/>
        <v>gacha408.png</v>
      </c>
      <c r="E248" s="101" t="str">
        <f t="shared" si="242"/>
        <v>418</v>
      </c>
      <c r="F248" s="89" t="s">
        <v>1612</v>
      </c>
      <c r="G248" s="90" t="s">
        <v>841</v>
      </c>
      <c r="H248" s="90" t="s">
        <v>84</v>
      </c>
    </row>
    <row r="249" spans="1:8" x14ac:dyDescent="0.15">
      <c r="A249" s="94">
        <f t="shared" si="244"/>
        <v>8419</v>
      </c>
      <c r="B249" s="89" t="s">
        <v>1668</v>
      </c>
      <c r="C249" s="100" t="str">
        <f>VLOOKUP(VALUE(RIGHT(B249,3)),gachas!A:C,3,FALSE)</f>
        <v>全世界600万DL記念1日1回無料ガチャ-9日目-</v>
      </c>
      <c r="D249" s="102" t="str">
        <f t="shared" si="243"/>
        <v>gacha408.png</v>
      </c>
      <c r="E249" s="101" t="str">
        <f t="shared" si="242"/>
        <v>419</v>
      </c>
      <c r="F249" s="89" t="s">
        <v>1612</v>
      </c>
      <c r="G249" s="90" t="s">
        <v>841</v>
      </c>
      <c r="H249" s="90" t="s">
        <v>84</v>
      </c>
    </row>
    <row r="250" spans="1:8" x14ac:dyDescent="0.15">
      <c r="A250" s="94">
        <f t="shared" si="244"/>
        <v>8420</v>
      </c>
      <c r="B250" s="89" t="s">
        <v>1669</v>
      </c>
      <c r="C250" s="100" t="str">
        <f>VLOOKUP(VALUE(RIGHT(B250,3)),gachas!A:C,3,FALSE)</f>
        <v>全世界600万DL記念1日1回無料ガチャ-10日目-</v>
      </c>
      <c r="D250" s="102" t="str">
        <f t="shared" si="243"/>
        <v>gacha408.png</v>
      </c>
      <c r="E250" s="101" t="str">
        <f t="shared" si="242"/>
        <v>420</v>
      </c>
      <c r="F250" s="89" t="s">
        <v>1612</v>
      </c>
      <c r="G250" s="90" t="s">
        <v>841</v>
      </c>
      <c r="H250" s="90" t="s">
        <v>84</v>
      </c>
    </row>
    <row r="251" spans="1:8" x14ac:dyDescent="0.15">
      <c r="A251" s="93" t="str">
        <f t="shared" ref="A251:A258" si="245">"8"&amp;TEXT(RIGHT(B251,3),"000")</f>
        <v>8457</v>
      </c>
      <c r="B251" s="89" t="s">
        <v>2033</v>
      </c>
      <c r="C251" s="100" t="str">
        <f>VLOOKUP(VALUE(RIGHT(B251,3)),gachas!A:C,3,FALSE)</f>
        <v>全世界700万DL突破記念無料レアガチャ1日目</v>
      </c>
      <c r="D251" s="100" t="str">
        <f t="shared" ref="D251" si="246">B251&amp;".png"</f>
        <v>gacha457.png</v>
      </c>
      <c r="E251" s="101" t="str">
        <f t="shared" ref="E251" si="247">RIGHT(B251,3)</f>
        <v>457</v>
      </c>
      <c r="F251" s="89" t="s">
        <v>2041</v>
      </c>
      <c r="G251" s="90" t="s">
        <v>841</v>
      </c>
      <c r="H251" s="90" t="s">
        <v>84</v>
      </c>
    </row>
    <row r="252" spans="1:8" x14ac:dyDescent="0.15">
      <c r="A252" s="93" t="str">
        <f t="shared" si="245"/>
        <v>8458</v>
      </c>
      <c r="B252" s="89" t="s">
        <v>2034</v>
      </c>
      <c r="C252" s="100" t="str">
        <f>VLOOKUP(VALUE(RIGHT(B252,3)),gachas!A:C,3,FALSE)</f>
        <v>全世界700万DL突破記念無料レアガチャ2日目</v>
      </c>
      <c r="D252" s="102" t="str">
        <f t="shared" si="243"/>
        <v>gacha457.png</v>
      </c>
      <c r="E252" s="101" t="str">
        <f t="shared" ref="E252:E258" si="248">RIGHT(B252,3)</f>
        <v>458</v>
      </c>
      <c r="F252" s="89" t="s">
        <v>2041</v>
      </c>
      <c r="G252" s="90" t="s">
        <v>841</v>
      </c>
      <c r="H252" s="90" t="s">
        <v>84</v>
      </c>
    </row>
    <row r="253" spans="1:8" x14ac:dyDescent="0.15">
      <c r="A253" s="93" t="str">
        <f t="shared" si="245"/>
        <v>8459</v>
      </c>
      <c r="B253" s="89" t="s">
        <v>2035</v>
      </c>
      <c r="C253" s="100" t="str">
        <f>VLOOKUP(VALUE(RIGHT(B253,3)),gachas!A:C,3,FALSE)</f>
        <v>全世界700万DL突破記念無料レアガチャ3日目</v>
      </c>
      <c r="D253" s="102" t="str">
        <f t="shared" si="243"/>
        <v>gacha457.png</v>
      </c>
      <c r="E253" s="101" t="str">
        <f t="shared" si="248"/>
        <v>459</v>
      </c>
      <c r="F253" s="89" t="s">
        <v>2041</v>
      </c>
      <c r="G253" s="90" t="s">
        <v>841</v>
      </c>
      <c r="H253" s="90" t="s">
        <v>84</v>
      </c>
    </row>
    <row r="254" spans="1:8" x14ac:dyDescent="0.15">
      <c r="A254" s="93" t="str">
        <f t="shared" si="245"/>
        <v>8460</v>
      </c>
      <c r="B254" s="89" t="s">
        <v>2036</v>
      </c>
      <c r="C254" s="100" t="str">
        <f>VLOOKUP(VALUE(RIGHT(B254,3)),gachas!A:C,3,FALSE)</f>
        <v>全世界700万DL突破記念無料レアガチャ4日目</v>
      </c>
      <c r="D254" s="102" t="str">
        <f t="shared" si="243"/>
        <v>gacha457.png</v>
      </c>
      <c r="E254" s="101" t="str">
        <f t="shared" si="248"/>
        <v>460</v>
      </c>
      <c r="F254" s="89" t="s">
        <v>2041</v>
      </c>
      <c r="G254" s="90" t="s">
        <v>841</v>
      </c>
      <c r="H254" s="90" t="s">
        <v>84</v>
      </c>
    </row>
    <row r="255" spans="1:8" x14ac:dyDescent="0.15">
      <c r="A255" s="93" t="str">
        <f t="shared" si="245"/>
        <v>8461</v>
      </c>
      <c r="B255" s="89" t="s">
        <v>2037</v>
      </c>
      <c r="C255" s="100" t="str">
        <f>VLOOKUP(VALUE(RIGHT(B255,3)),gachas!A:C,3,FALSE)</f>
        <v>全世界700万DL突破記念無料レアガチャ5日目</v>
      </c>
      <c r="D255" s="102" t="str">
        <f t="shared" si="243"/>
        <v>gacha457.png</v>
      </c>
      <c r="E255" s="101" t="str">
        <f t="shared" si="248"/>
        <v>461</v>
      </c>
      <c r="F255" s="89" t="s">
        <v>2041</v>
      </c>
      <c r="G255" s="90" t="s">
        <v>841</v>
      </c>
      <c r="H255" s="90" t="s">
        <v>84</v>
      </c>
    </row>
    <row r="256" spans="1:8" x14ac:dyDescent="0.15">
      <c r="A256" s="93" t="str">
        <f t="shared" si="245"/>
        <v>8462</v>
      </c>
      <c r="B256" s="89" t="s">
        <v>2038</v>
      </c>
      <c r="C256" s="100" t="str">
        <f>VLOOKUP(VALUE(RIGHT(B256,3)),gachas!A:C,3,FALSE)</f>
        <v>全世界700万DL突破記念無料レアガチャ6日目</v>
      </c>
      <c r="D256" s="102" t="str">
        <f t="shared" si="243"/>
        <v>gacha457.png</v>
      </c>
      <c r="E256" s="101" t="str">
        <f t="shared" si="248"/>
        <v>462</v>
      </c>
      <c r="F256" s="89" t="s">
        <v>2041</v>
      </c>
      <c r="G256" s="90" t="s">
        <v>841</v>
      </c>
      <c r="H256" s="90" t="s">
        <v>84</v>
      </c>
    </row>
    <row r="257" spans="1:11" x14ac:dyDescent="0.15">
      <c r="A257" s="93" t="str">
        <f t="shared" si="245"/>
        <v>8463</v>
      </c>
      <c r="B257" s="89" t="s">
        <v>2039</v>
      </c>
      <c r="C257" s="100" t="str">
        <f>VLOOKUP(VALUE(RIGHT(B257,3)),gachas!A:C,3,FALSE)</f>
        <v>全世界700万DL突破記念無料レアガチャ7日目</v>
      </c>
      <c r="D257" s="102" t="str">
        <f t="shared" si="243"/>
        <v>gacha457.png</v>
      </c>
      <c r="E257" s="101" t="str">
        <f t="shared" si="248"/>
        <v>463</v>
      </c>
      <c r="F257" s="89" t="s">
        <v>2041</v>
      </c>
      <c r="G257" s="90" t="s">
        <v>841</v>
      </c>
      <c r="H257" s="90" t="s">
        <v>84</v>
      </c>
    </row>
    <row r="258" spans="1:11" x14ac:dyDescent="0.15">
      <c r="A258" s="93" t="str">
        <f t="shared" si="245"/>
        <v>8464</v>
      </c>
      <c r="B258" s="89" t="s">
        <v>2040</v>
      </c>
      <c r="C258" s="100" t="str">
        <f>VLOOKUP(VALUE(RIGHT(B258,3)),gachas!A:C,3,FALSE)</f>
        <v>全世界700万DL突破記念無料レアガチャ8日目（★6）</v>
      </c>
      <c r="D258" s="102" t="str">
        <f t="shared" si="243"/>
        <v>gacha457.png</v>
      </c>
      <c r="E258" s="101" t="str">
        <f t="shared" si="248"/>
        <v>464</v>
      </c>
      <c r="F258" s="89" t="s">
        <v>2041</v>
      </c>
      <c r="G258" s="90" t="s">
        <v>841</v>
      </c>
      <c r="H258" s="90" t="s">
        <v>84</v>
      </c>
    </row>
    <row r="259" spans="1:11" x14ac:dyDescent="0.15">
      <c r="A259" s="93" t="str">
        <f t="shared" ref="A259" si="249">"8"&amp;TEXT(RIGHT(B259,3),"000")</f>
        <v>8465</v>
      </c>
      <c r="B259" s="89" t="s">
        <v>2044</v>
      </c>
      <c r="C259" s="100" t="str">
        <f>VLOOKUP(VALUE(RIGHT(B259,3)),gachas!A:C,3,FALSE)</f>
        <v>全世界700万DL突破記念★6覚醒可能ユニット確定無料ガチャ</v>
      </c>
      <c r="D259" s="100" t="str">
        <f t="shared" ref="D259" si="250">B259&amp;".png"</f>
        <v>gacha465.png</v>
      </c>
      <c r="E259" s="101" t="str">
        <f t="shared" ref="E259" si="251">RIGHT(B259,3)</f>
        <v>465</v>
      </c>
      <c r="F259" s="89" t="s">
        <v>2045</v>
      </c>
      <c r="G259" s="90" t="s">
        <v>841</v>
      </c>
      <c r="H259" s="90" t="s">
        <v>84</v>
      </c>
    </row>
    <row r="260" spans="1:11" x14ac:dyDescent="0.15">
      <c r="A260" s="93" t="str">
        <f t="shared" ref="A260" si="252">"8"&amp;TEXT(RIGHT(B260,3),"000")</f>
        <v>8476</v>
      </c>
      <c r="B260" s="89" t="s">
        <v>2200</v>
      </c>
      <c r="C260" s="100" t="str">
        <f>VLOOKUP(VALUE(RIGHT(B260,3)),gachas!A:C,3,FALSE)</f>
        <v>全世界700万DL突破記念★6覚醒可能ユニット確定無料ガチャ（後半）</v>
      </c>
      <c r="D260" s="100" t="str">
        <f t="shared" ref="D260" si="253">B260&amp;".png"</f>
        <v>gacha476.png</v>
      </c>
      <c r="E260" s="101" t="str">
        <f t="shared" ref="E260" si="254">RIGHT(B260,3)</f>
        <v>476</v>
      </c>
      <c r="F260" s="89" t="s">
        <v>2045</v>
      </c>
      <c r="G260" s="90" t="s">
        <v>841</v>
      </c>
      <c r="H260" s="90" t="s">
        <v>84</v>
      </c>
    </row>
    <row r="261" spans="1:11" x14ac:dyDescent="0.15">
      <c r="A261" s="94" t="str">
        <f>"8"&amp;TEXT(RIGHT(B261,3),"000")</f>
        <v>8436</v>
      </c>
      <c r="B261" s="89" t="s">
        <v>1831</v>
      </c>
      <c r="C261" s="100" t="str">
        <f>VLOOKUP(VALUE(RIGHT(B261,3)),gachas!A:C,3,FALSE)</f>
        <v>毎日1回無料ハロウィンガチャ</v>
      </c>
      <c r="D261" s="102" t="s">
        <v>1838</v>
      </c>
      <c r="E261" s="101" t="str">
        <f t="shared" ref="E261" si="255">RIGHT(B261,3)</f>
        <v>436</v>
      </c>
      <c r="F261" s="89" t="s">
        <v>1837</v>
      </c>
      <c r="G261" s="90" t="s">
        <v>841</v>
      </c>
      <c r="H261" s="90" t="s">
        <v>84</v>
      </c>
    </row>
    <row r="262" spans="1:11" x14ac:dyDescent="0.15">
      <c r="A262" s="88" t="str">
        <f>"7"&amp;TEXT(RIGHT(B262,3),"000")</f>
        <v>7208</v>
      </c>
      <c r="B262" s="89" t="s">
        <v>957</v>
      </c>
      <c r="C262" s="100" t="str">
        <f>VLOOKUP(VALUE(RIGHT(B262,3)),gachas!A:C,3,FALSE)</f>
        <v>メタルフィーバー&lt;リンク&gt;</v>
      </c>
      <c r="D262" s="94" t="s">
        <v>958</v>
      </c>
      <c r="E262" s="102">
        <v>10005</v>
      </c>
      <c r="F262" s="95" t="s">
        <v>959</v>
      </c>
      <c r="G262" s="90" t="s">
        <v>949</v>
      </c>
      <c r="H262" s="90" t="s">
        <v>960</v>
      </c>
    </row>
    <row r="263" spans="1:11" x14ac:dyDescent="0.15">
      <c r="A263" s="88" t="str">
        <f>"7"&amp;TEXT(RIGHT(B263,3),"000")</f>
        <v>7209</v>
      </c>
      <c r="B263" s="89" t="s">
        <v>1004</v>
      </c>
      <c r="C263" s="100" t="str">
        <f>VLOOKUP(VALUE(RIGHT(B263,3)),gachas!A:C,3,FALSE)</f>
        <v>メタルフィーバー&lt;208調整&gt;</v>
      </c>
      <c r="D263" s="100" t="str">
        <f t="shared" si="0"/>
        <v>gacha209.png</v>
      </c>
      <c r="E263" s="102">
        <f>E262+1</f>
        <v>10006</v>
      </c>
      <c r="F263" s="95" t="s">
        <v>959</v>
      </c>
      <c r="G263" s="90" t="s">
        <v>949</v>
      </c>
      <c r="H263" s="90" t="s">
        <v>84</v>
      </c>
    </row>
    <row r="264" spans="1:11" x14ac:dyDescent="0.15">
      <c r="A264" s="88" t="str">
        <f>"7"&amp;TEXT(RIGHT(B264,3),"000")</f>
        <v>7210</v>
      </c>
      <c r="B264" s="89" t="s">
        <v>1040</v>
      </c>
      <c r="C264" s="100" t="str">
        <f>VLOOKUP(VALUE(RIGHT(B264,3)),gachas!A:C,3,FALSE)</f>
        <v>KIRIMIリンク</v>
      </c>
      <c r="D264" s="100" t="str">
        <f t="shared" ref="D264" si="256">B264&amp;".png"</f>
        <v>gacha210.png</v>
      </c>
      <c r="E264" s="102">
        <f>E263+1</f>
        <v>10007</v>
      </c>
      <c r="F264" s="95" t="s">
        <v>2198</v>
      </c>
      <c r="G264" s="90" t="s">
        <v>841</v>
      </c>
      <c r="H264" s="90" t="s">
        <v>84</v>
      </c>
    </row>
    <row r="265" spans="1:11" x14ac:dyDescent="0.15">
      <c r="A265" s="88" t="str">
        <f>"7"&amp;TEXT(RIGHT(B265,3),"000")</f>
        <v>7211</v>
      </c>
      <c r="B265" s="89" t="s">
        <v>1555</v>
      </c>
      <c r="C265" s="100" t="str">
        <f>VLOOKUP(VALUE(RIGHT(B265,3)),gachas!A:C,3,FALSE)</f>
        <v>Hyperリンク</v>
      </c>
      <c r="D265" s="100" t="str">
        <f t="shared" ref="D265" si="257">B265&amp;".png"</f>
        <v>gacha211.png</v>
      </c>
      <c r="E265" s="102">
        <v>10011</v>
      </c>
      <c r="F265" s="95" t="s">
        <v>1556</v>
      </c>
      <c r="G265" s="90" t="s">
        <v>841</v>
      </c>
      <c r="H265" s="90" t="s">
        <v>84</v>
      </c>
      <c r="J265" s="91"/>
      <c r="K265" s="91"/>
    </row>
    <row r="266" spans="1:11" ht="15" customHeight="1" x14ac:dyDescent="0.15">
      <c r="A266" s="88" t="str">
        <f>"7"&amp;TEXT(RIGHT(B266,3),"000")</f>
        <v>7213</v>
      </c>
      <c r="B266" s="89" t="s">
        <v>2197</v>
      </c>
      <c r="C266" s="100" t="str">
        <f>VLOOKUP(VALUE(RIGHT(B266,3)),gachas!A:C,3,FALSE)</f>
        <v>Happyリンクガチャ</v>
      </c>
      <c r="D266" s="100" t="str">
        <f t="shared" ref="D266" si="258">B266&amp;".png"</f>
        <v>gacha213.png</v>
      </c>
      <c r="E266" s="102">
        <v>10017</v>
      </c>
      <c r="F266" s="95" t="s">
        <v>2199</v>
      </c>
      <c r="G266" s="90" t="s">
        <v>841</v>
      </c>
      <c r="H266" s="90" t="s">
        <v>84</v>
      </c>
      <c r="J266" s="91"/>
      <c r="K266" s="91"/>
    </row>
    <row r="267" spans="1:11" x14ac:dyDescent="0.15">
      <c r="A267" s="88">
        <v>7214</v>
      </c>
      <c r="B267" s="89" t="s">
        <v>2744</v>
      </c>
      <c r="C267" s="100" t="str">
        <f>VLOOKUP(VALUE(RIGHT(B267,3)),gachas!A:C,3,FALSE)</f>
        <v>ニムダリンクガチャ</v>
      </c>
      <c r="D267" s="100" t="str">
        <f t="shared" ref="D267" si="259">B267&amp;".png"</f>
        <v>gacha214.png</v>
      </c>
      <c r="E267" s="102">
        <v>10021</v>
      </c>
      <c r="F267" s="95" t="s">
        <v>2745</v>
      </c>
      <c r="G267" s="90" t="s">
        <v>841</v>
      </c>
      <c r="H267" s="90" t="s">
        <v>84</v>
      </c>
      <c r="J267" s="91"/>
      <c r="K267" s="91"/>
    </row>
    <row r="268" spans="1:11" x14ac:dyDescent="0.15">
      <c r="A268" s="88">
        <v>7216</v>
      </c>
      <c r="B268" s="89" t="s">
        <v>3114</v>
      </c>
      <c r="C268" s="100" t="str">
        <f>VLOOKUP(VALUE(RIGHT(B268,3)),gachas!A:C,3,FALSE)</f>
        <v>モリスリンクガチャ</v>
      </c>
      <c r="D268" s="100" t="str">
        <f t="shared" ref="D268" si="260">B268&amp;".png"</f>
        <v>gacha216.png</v>
      </c>
      <c r="E268" s="102">
        <v>10024</v>
      </c>
      <c r="F268" s="95" t="s">
        <v>3115</v>
      </c>
      <c r="G268" s="90" t="s">
        <v>841</v>
      </c>
      <c r="H268" s="90" t="s">
        <v>84</v>
      </c>
      <c r="J268" s="91"/>
      <c r="K268" s="91"/>
    </row>
    <row r="269" spans="1:11" x14ac:dyDescent="0.15">
      <c r="A269" s="88">
        <v>7217</v>
      </c>
      <c r="B269" s="89" t="s">
        <v>3349</v>
      </c>
      <c r="C269" s="100" t="str">
        <f>VLOOKUP(VALUE(RIGHT(B269,3)),gachas!A:C,3,FALSE)</f>
        <v>メリッサリンクガチャ</v>
      </c>
      <c r="D269" s="100" t="str">
        <f t="shared" ref="D269" si="261">B269&amp;".png"</f>
        <v>gacha217.png</v>
      </c>
      <c r="E269" s="102">
        <v>10025</v>
      </c>
      <c r="F269" s="95" t="s">
        <v>3350</v>
      </c>
      <c r="G269" s="90" t="s">
        <v>841</v>
      </c>
      <c r="H269" s="90" t="s">
        <v>84</v>
      </c>
      <c r="J269" s="91"/>
      <c r="K269" s="91"/>
    </row>
    <row r="270" spans="1:11" ht="15" x14ac:dyDescent="0.15">
      <c r="F270" s="96"/>
      <c r="J270" s="97"/>
      <c r="K270" s="97"/>
    </row>
    <row r="271" spans="1:11" ht="15" x14ac:dyDescent="0.15">
      <c r="J271" s="97"/>
      <c r="K271" s="97"/>
    </row>
    <row r="272" spans="1:11" ht="15" x14ac:dyDescent="0.15">
      <c r="J272" s="97"/>
      <c r="K272" s="97"/>
    </row>
    <row r="273" spans="10:11" ht="15" x14ac:dyDescent="0.15">
      <c r="J273" s="97"/>
      <c r="K273" s="97"/>
    </row>
    <row r="274" spans="10:11" ht="15" x14ac:dyDescent="0.15">
      <c r="K274" s="97"/>
    </row>
  </sheetData>
  <phoneticPr fontId="12"/>
  <pageMargins left="0.7" right="0.7" top="0.75" bottom="0.75" header="0.3" footer="0.3"/>
  <pageSetup paperSize="9" orientation="portrait" horizontalDpi="0" verticalDpi="0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D5"/>
  <sheetViews>
    <sheetView showGridLines="0" zoomScale="150" workbookViewId="0">
      <selection activeCell="B5" sqref="B5"/>
    </sheetView>
  </sheetViews>
  <sheetFormatPr baseColWidth="12" defaultRowHeight="21" customHeight="1" x14ac:dyDescent="0.15"/>
  <cols>
    <col min="1" max="3" width="14.19921875" style="1" customWidth="1"/>
    <col min="4" max="4" width="18.59765625" style="1" customWidth="1"/>
    <col min="5" max="16384" width="13" style="1"/>
  </cols>
  <sheetData>
    <row r="1" spans="1:4" ht="21" customHeight="1" x14ac:dyDescent="0.15">
      <c r="A1" s="5" t="s">
        <v>21</v>
      </c>
      <c r="B1" s="5" t="s">
        <v>5</v>
      </c>
      <c r="C1" s="5" t="s">
        <v>6</v>
      </c>
      <c r="D1" s="4" t="s">
        <v>8</v>
      </c>
    </row>
    <row r="2" spans="1:4" ht="21" customHeight="1" x14ac:dyDescent="0.15">
      <c r="A2" s="2">
        <v>100</v>
      </c>
      <c r="B2" s="3" t="s">
        <v>22</v>
      </c>
      <c r="C2" s="2">
        <v>5</v>
      </c>
      <c r="D2" s="2" t="s">
        <v>11</v>
      </c>
    </row>
    <row r="3" spans="1:4" ht="21" customHeight="1" x14ac:dyDescent="0.15">
      <c r="A3" s="2">
        <v>200</v>
      </c>
      <c r="B3" s="3" t="s">
        <v>7</v>
      </c>
      <c r="C3" s="2">
        <v>100</v>
      </c>
      <c r="D3" s="2" t="s">
        <v>11</v>
      </c>
    </row>
    <row r="4" spans="1:4" ht="21" customHeight="1" x14ac:dyDescent="0.15">
      <c r="A4" s="2">
        <v>201</v>
      </c>
      <c r="B4" s="3" t="s">
        <v>7</v>
      </c>
      <c r="C4" s="2">
        <v>100</v>
      </c>
      <c r="D4" s="2" t="s">
        <v>267</v>
      </c>
    </row>
    <row r="5" spans="1:4" ht="21" customHeight="1" x14ac:dyDescent="0.15">
      <c r="A5" s="2">
        <v>300</v>
      </c>
      <c r="B5" s="3" t="s">
        <v>22</v>
      </c>
      <c r="C5" s="2">
        <v>1</v>
      </c>
      <c r="D5" s="2" t="s">
        <v>592</v>
      </c>
    </row>
  </sheetData>
  <phoneticPr fontId="1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F7"/>
  <sheetViews>
    <sheetView showGridLines="0" workbookViewId="0">
      <selection activeCell="D7" sqref="D7"/>
    </sheetView>
  </sheetViews>
  <sheetFormatPr baseColWidth="12" defaultRowHeight="21" customHeight="1" outlineLevelCol="1" x14ac:dyDescent="0.15"/>
  <cols>
    <col min="1" max="1" width="4.3984375" style="1" bestFit="1" customWidth="1"/>
    <col min="2" max="2" width="7.3984375" style="1" bestFit="1" customWidth="1"/>
    <col min="3" max="4" width="16.19921875" style="1" bestFit="1" customWidth="1" outlineLevel="1"/>
    <col min="5" max="5" width="4.3984375" style="1" bestFit="1" customWidth="1"/>
    <col min="6" max="6" width="62" style="1" bestFit="1" customWidth="1"/>
    <col min="7" max="16384" width="13" style="1"/>
  </cols>
  <sheetData>
    <row r="1" spans="1:6" ht="21" customHeight="1" x14ac:dyDescent="0.15">
      <c r="A1" s="5" t="s">
        <v>12</v>
      </c>
      <c r="B1" s="5" t="s">
        <v>19</v>
      </c>
      <c r="C1" s="5" t="s">
        <v>13</v>
      </c>
      <c r="D1" s="5" t="s">
        <v>14</v>
      </c>
      <c r="E1" s="5" t="s">
        <v>15</v>
      </c>
      <c r="F1" s="4" t="s">
        <v>8</v>
      </c>
    </row>
    <row r="2" spans="1:6" ht="21" customHeight="1" x14ac:dyDescent="0.15">
      <c r="A2" s="2">
        <v>4</v>
      </c>
      <c r="B2" s="2">
        <v>0</v>
      </c>
      <c r="C2" s="8" t="s">
        <v>739</v>
      </c>
      <c r="D2" s="8" t="s">
        <v>414</v>
      </c>
      <c r="E2" s="2">
        <v>50</v>
      </c>
      <c r="F2" s="2" t="s">
        <v>268</v>
      </c>
    </row>
    <row r="3" spans="1:6" ht="21" customHeight="1" x14ac:dyDescent="0.15">
      <c r="A3" s="2">
        <v>4</v>
      </c>
      <c r="B3" s="2">
        <v>1</v>
      </c>
      <c r="C3" s="8" t="s">
        <v>413</v>
      </c>
      <c r="D3" s="8" t="s">
        <v>412</v>
      </c>
      <c r="E3" s="2">
        <v>0</v>
      </c>
      <c r="F3" s="2" t="s">
        <v>268</v>
      </c>
    </row>
    <row r="4" spans="1:6" ht="21" customHeight="1" x14ac:dyDescent="0.15">
      <c r="A4" s="2">
        <v>4</v>
      </c>
      <c r="B4" s="2">
        <v>2</v>
      </c>
      <c r="C4" s="8" t="s">
        <v>415</v>
      </c>
      <c r="D4" s="8" t="s">
        <v>417</v>
      </c>
      <c r="E4" s="2">
        <v>50</v>
      </c>
      <c r="F4" s="2" t="s">
        <v>268</v>
      </c>
    </row>
    <row r="5" spans="1:6" ht="21" customHeight="1" x14ac:dyDescent="0.15">
      <c r="A5" s="2">
        <v>5</v>
      </c>
      <c r="B5" s="2">
        <v>0</v>
      </c>
      <c r="C5" s="8" t="s">
        <v>739</v>
      </c>
      <c r="D5" s="8" t="s">
        <v>452</v>
      </c>
      <c r="E5" s="2">
        <v>50</v>
      </c>
      <c r="F5" s="2" t="s">
        <v>416</v>
      </c>
    </row>
    <row r="6" spans="1:6" ht="21" customHeight="1" x14ac:dyDescent="0.15">
      <c r="A6" s="2">
        <v>5</v>
      </c>
      <c r="B6" s="2">
        <v>1</v>
      </c>
      <c r="C6" s="8" t="s">
        <v>453</v>
      </c>
      <c r="D6" s="8" t="s">
        <v>454</v>
      </c>
      <c r="E6" s="2">
        <v>0</v>
      </c>
      <c r="F6" s="2" t="s">
        <v>416</v>
      </c>
    </row>
    <row r="7" spans="1:6" ht="21" customHeight="1" x14ac:dyDescent="0.15">
      <c r="A7" s="2">
        <v>5</v>
      </c>
      <c r="B7" s="2">
        <v>2</v>
      </c>
      <c r="C7" s="8" t="s">
        <v>455</v>
      </c>
      <c r="D7" s="8" t="s">
        <v>417</v>
      </c>
      <c r="E7" s="2">
        <v>50</v>
      </c>
      <c r="F7" s="2" t="s">
        <v>416</v>
      </c>
    </row>
  </sheetData>
  <phoneticPr fontId="12"/>
  <pageMargins left="0.75" right="0.75" top="1" bottom="1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theme="0" tint="-0.499984740745262"/>
    <outlinePr summaryBelow="0" summaryRight="0"/>
  </sheetPr>
  <dimension ref="A1:F101"/>
  <sheetViews>
    <sheetView showGridLines="0" zoomScale="92" workbookViewId="0">
      <selection activeCell="I18" sqref="I18"/>
    </sheetView>
  </sheetViews>
  <sheetFormatPr baseColWidth="12" defaultRowHeight="21" customHeight="1" outlineLevelCol="1" x14ac:dyDescent="0.15"/>
  <cols>
    <col min="1" max="1" width="13" style="10"/>
    <col min="2" max="2" width="14.19921875" style="1" customWidth="1"/>
    <col min="3" max="3" width="24.3984375" style="1" bestFit="1" customWidth="1"/>
    <col min="4" max="4" width="14.19921875" style="1" customWidth="1"/>
    <col min="5" max="5" width="21.59765625" style="1" bestFit="1" customWidth="1" outlineLevel="1"/>
    <col min="6" max="16384" width="13" style="1"/>
  </cols>
  <sheetData>
    <row r="1" spans="1:6" ht="21" customHeight="1" x14ac:dyDescent="0.15">
      <c r="A1" s="10" t="s">
        <v>109</v>
      </c>
      <c r="B1" s="5" t="s">
        <v>105</v>
      </c>
      <c r="C1" s="4" t="s">
        <v>8</v>
      </c>
      <c r="D1" s="5" t="s">
        <v>100</v>
      </c>
      <c r="E1" s="4" t="s">
        <v>483</v>
      </c>
      <c r="F1" s="22" t="s">
        <v>106</v>
      </c>
    </row>
    <row r="2" spans="1:6" ht="21" customHeight="1" x14ac:dyDescent="0.15">
      <c r="A2" s="10" t="str">
        <f t="shared" ref="A2:A4" si="0">B2&amp;D2&amp;F2</f>
        <v>poly_101</v>
      </c>
      <c r="B2" s="18" t="s">
        <v>107</v>
      </c>
      <c r="C2" s="23"/>
      <c r="D2" s="24">
        <v>0</v>
      </c>
      <c r="E2" s="23"/>
      <c r="F2" s="18">
        <v>1</v>
      </c>
    </row>
    <row r="3" spans="1:6" ht="21" customHeight="1" x14ac:dyDescent="0.15">
      <c r="A3" s="10" t="str">
        <f t="shared" si="0"/>
        <v>poly_111</v>
      </c>
      <c r="B3" s="18" t="s">
        <v>107</v>
      </c>
      <c r="C3" s="23"/>
      <c r="D3" s="24">
        <v>1</v>
      </c>
      <c r="E3" s="23"/>
      <c r="F3" s="18">
        <v>1</v>
      </c>
    </row>
    <row r="4" spans="1:6" ht="21" customHeight="1" x14ac:dyDescent="0.15">
      <c r="A4" s="10" t="str">
        <f t="shared" si="0"/>
        <v>poly_121</v>
      </c>
      <c r="B4" s="18" t="s">
        <v>107</v>
      </c>
      <c r="C4" s="23"/>
      <c r="D4" s="24">
        <v>2</v>
      </c>
      <c r="E4" s="23"/>
      <c r="F4" s="18">
        <v>1</v>
      </c>
    </row>
    <row r="5" spans="1:6" ht="21" customHeight="1" x14ac:dyDescent="0.15">
      <c r="A5" s="10" t="str">
        <f>B5&amp;D5&amp;F5</f>
        <v>poly_11021</v>
      </c>
      <c r="B5" s="2" t="s">
        <v>107</v>
      </c>
      <c r="C5" s="20" t="s">
        <v>101</v>
      </c>
      <c r="D5" s="21">
        <v>102</v>
      </c>
      <c r="E5" s="12" t="str">
        <f ca="1">VLOOKUP($D5,OFFSET(gachas!$A$1,0,0,COUNTA(gachas!$A:$A),MATCH(E$1,gachas!$1:$1,0)-MATCH($D$1,gachas!$1:$1,0)+1),MATCH(E$1,gachas!$1:$1,0)-MATCH($D$1,gachas!$1:$1,0)+1,FALSE)</f>
        <v>レアガチャ（追加02 確率UP）</v>
      </c>
      <c r="F5" s="18">
        <v>1</v>
      </c>
    </row>
    <row r="6" spans="1:6" ht="21" customHeight="1" x14ac:dyDescent="0.15">
      <c r="A6" s="10" t="str">
        <f t="shared" ref="A6:A98" si="1">B6&amp;D6&amp;F6</f>
        <v>poly_11031</v>
      </c>
      <c r="B6" s="2" t="s">
        <v>107</v>
      </c>
      <c r="C6" s="20"/>
      <c r="D6" s="21">
        <v>103</v>
      </c>
      <c r="E6" s="12" t="str">
        <f ca="1">VLOOKUP($D6,OFFSET(gachas!$A$1,0,0,COUNTA(gachas!$A:$A),MATCH(E$1,gachas!$1:$1,0)-MATCH($D$1,gachas!$1:$1,0)+1),MATCH(E$1,gachas!$1:$1,0)-MATCH($D$1,gachas!$1:$1,0)+1,FALSE)</f>
        <v>レアガチャ（追加02）（大罪）</v>
      </c>
      <c r="F6" s="18">
        <v>1</v>
      </c>
    </row>
    <row r="7" spans="1:6" ht="21" customHeight="1" x14ac:dyDescent="0.15">
      <c r="A7" s="10" t="str">
        <f t="shared" si="1"/>
        <v>poly_11041</v>
      </c>
      <c r="B7" s="2" t="s">
        <v>107</v>
      </c>
      <c r="C7" s="20"/>
      <c r="D7" s="21">
        <v>104</v>
      </c>
      <c r="E7" s="12" t="str">
        <f ca="1">VLOOKUP($D7,OFFSET(gachas!$A$1,0,0,COUNTA(gachas!$A:$A),MATCH(E$1,gachas!$1:$1,0)-MATCH($D$1,gachas!$1:$1,0)+1),MATCH(E$1,gachas!$1:$1,0)-MATCH($D$1,gachas!$1:$1,0)+1,FALSE)</f>
        <v>ピックアップ01　開始</v>
      </c>
      <c r="F7" s="18">
        <v>1</v>
      </c>
    </row>
    <row r="8" spans="1:6" ht="21" customHeight="1" x14ac:dyDescent="0.15">
      <c r="A8" s="10" t="str">
        <f t="shared" si="1"/>
        <v>poly_11051</v>
      </c>
      <c r="B8" s="2" t="s">
        <v>107</v>
      </c>
      <c r="C8" s="20"/>
      <c r="D8" s="21">
        <v>105</v>
      </c>
      <c r="E8" s="12" t="str">
        <f ca="1">VLOOKUP($D8,OFFSET(gachas!$A$1,0,0,COUNTA(gachas!$A:$A),MATCH(E$1,gachas!$1:$1,0)-MATCH($D$1,gachas!$1:$1,0)+1),MATCH(E$1,gachas!$1:$1,0)-MATCH($D$1,gachas!$1:$1,0)+1,FALSE)</f>
        <v>ピックアップ01　あと少し</v>
      </c>
      <c r="F8" s="18">
        <v>1</v>
      </c>
    </row>
    <row r="9" spans="1:6" ht="21" customHeight="1" x14ac:dyDescent="0.15">
      <c r="A9" s="10" t="str">
        <f t="shared" si="1"/>
        <v>poly_11061</v>
      </c>
      <c r="B9" s="2" t="s">
        <v>107</v>
      </c>
      <c r="C9" s="20"/>
      <c r="D9" s="21">
        <v>106</v>
      </c>
      <c r="E9" s="12" t="str">
        <f ca="1">VLOOKUP($D9,OFFSET(gachas!$A$1,0,0,COUNTA(gachas!$A:$A),MATCH(E$1,gachas!$1:$1,0)-MATCH($D$1,gachas!$1:$1,0)+1),MATCH(E$1,gachas!$1:$1,0)-MATCH($D$1,gachas!$1:$1,0)+1,FALSE)</f>
        <v>ピックアップ01　最終日</v>
      </c>
      <c r="F9" s="18">
        <v>1</v>
      </c>
    </row>
    <row r="10" spans="1:6" ht="21" customHeight="1" x14ac:dyDescent="0.15">
      <c r="A10" s="10" t="str">
        <f t="shared" si="1"/>
        <v>poly_11071</v>
      </c>
      <c r="B10" s="2" t="s">
        <v>107</v>
      </c>
      <c r="C10" s="20"/>
      <c r="D10" s="21">
        <v>107</v>
      </c>
      <c r="E10" s="12" t="str">
        <f ca="1">VLOOKUP($D10,OFFSET(gachas!$A$1,0,0,COUNTA(gachas!$A:$A),MATCH(E$1,gachas!$1:$1,0)-MATCH($D$1,gachas!$1:$1,0)+1),MATCH(E$1,gachas!$1:$1,0)-MATCH($D$1,gachas!$1:$1,0)+1,FALSE)</f>
        <v>新キャラ追加03（新撰組）</v>
      </c>
      <c r="F10" s="18">
        <v>1</v>
      </c>
    </row>
    <row r="11" spans="1:6" ht="21" customHeight="1" x14ac:dyDescent="0.15">
      <c r="A11" s="10" t="str">
        <f t="shared" si="1"/>
        <v>poly_11081</v>
      </c>
      <c r="B11" s="2" t="s">
        <v>107</v>
      </c>
      <c r="C11" s="20"/>
      <c r="D11" s="21">
        <v>108</v>
      </c>
      <c r="E11" s="12" t="str">
        <f ca="1">VLOOKUP($D11,OFFSET(gachas!$A$1,0,0,COUNTA(gachas!$A:$A),MATCH(E$1,gachas!$1:$1,0)-MATCH($D$1,gachas!$1:$1,0)+1),MATCH(E$1,gachas!$1:$1,0)-MATCH($D$1,gachas!$1:$1,0)+1,FALSE)</f>
        <v>赤アップ01　開始</v>
      </c>
      <c r="F11" s="18">
        <v>1</v>
      </c>
    </row>
    <row r="12" spans="1:6" ht="21" customHeight="1" x14ac:dyDescent="0.15">
      <c r="A12" s="10" t="str">
        <f t="shared" si="1"/>
        <v>poly_11091</v>
      </c>
      <c r="B12" s="2" t="s">
        <v>107</v>
      </c>
      <c r="C12" s="20"/>
      <c r="D12" s="21">
        <v>109</v>
      </c>
      <c r="E12" s="12" t="str">
        <f ca="1">VLOOKUP($D12,OFFSET(gachas!$A$1,0,0,COUNTA(gachas!$A:$A),MATCH(E$1,gachas!$1:$1,0)-MATCH($D$1,gachas!$1:$1,0)+1),MATCH(E$1,gachas!$1:$1,0)-MATCH($D$1,gachas!$1:$1,0)+1,FALSE)</f>
        <v>赤アップ0１　あと少し</v>
      </c>
      <c r="F12" s="18">
        <v>1</v>
      </c>
    </row>
    <row r="13" spans="1:6" ht="21" customHeight="1" x14ac:dyDescent="0.15">
      <c r="A13" s="10" t="str">
        <f t="shared" si="1"/>
        <v>poly_11101</v>
      </c>
      <c r="B13" s="2" t="s">
        <v>107</v>
      </c>
      <c r="C13" s="20"/>
      <c r="D13" s="21">
        <v>110</v>
      </c>
      <c r="E13" s="12" t="str">
        <f ca="1">VLOOKUP($D13,OFFSET(gachas!$A$1,0,0,COUNTA(gachas!$A:$A),MATCH(E$1,gachas!$1:$1,0)-MATCH($D$1,gachas!$1:$1,0)+1),MATCH(E$1,gachas!$1:$1,0)-MATCH($D$1,gachas!$1:$1,0)+1,FALSE)</f>
        <v>赤アップ0１　最終日</v>
      </c>
      <c r="F13" s="18">
        <v>1</v>
      </c>
    </row>
    <row r="14" spans="1:6" ht="21" customHeight="1" x14ac:dyDescent="0.15">
      <c r="A14" s="10" t="str">
        <f t="shared" si="1"/>
        <v>poly_11111</v>
      </c>
      <c r="B14" s="2" t="s">
        <v>107</v>
      </c>
      <c r="C14" s="20"/>
      <c r="D14" s="21">
        <v>111</v>
      </c>
      <c r="E14" s="12" t="str">
        <f ca="1">VLOOKUP($D14,OFFSET(gachas!$A$1,0,0,COUNTA(gachas!$A:$A),MATCH(E$1,gachas!$1:$1,0)-MATCH($D$1,gachas!$1:$1,0)+1),MATCH(E$1,gachas!$1:$1,0)-MATCH($D$1,gachas!$1:$1,0)+1,FALSE)</f>
        <v>ピックアップ02(沖田) 開始</v>
      </c>
      <c r="F14" s="18">
        <v>1</v>
      </c>
    </row>
    <row r="15" spans="1:6" ht="21" customHeight="1" x14ac:dyDescent="0.15">
      <c r="A15" s="10" t="str">
        <f t="shared" si="1"/>
        <v>poly_11121</v>
      </c>
      <c r="B15" s="2" t="s">
        <v>107</v>
      </c>
      <c r="C15" s="20"/>
      <c r="D15" s="21">
        <v>112</v>
      </c>
      <c r="E15" s="12" t="str">
        <f ca="1">VLOOKUP($D15,OFFSET(gachas!$A$1,0,0,COUNTA(gachas!$A:$A),MATCH(E$1,gachas!$1:$1,0)-MATCH($D$1,gachas!$1:$1,0)+1),MATCH(E$1,gachas!$1:$1,0)-MATCH($D$1,gachas!$1:$1,0)+1,FALSE)</f>
        <v>ピックアップ02(沖田) あと少し</v>
      </c>
      <c r="F15" s="18">
        <v>1</v>
      </c>
    </row>
    <row r="16" spans="1:6" ht="21" customHeight="1" x14ac:dyDescent="0.15">
      <c r="A16" s="10" t="str">
        <f t="shared" si="1"/>
        <v>poly_11131</v>
      </c>
      <c r="B16" s="2" t="s">
        <v>107</v>
      </c>
      <c r="C16" s="20"/>
      <c r="D16" s="21">
        <v>113</v>
      </c>
      <c r="E16" s="12" t="str">
        <f ca="1">VLOOKUP($D16,OFFSET(gachas!$A$1,0,0,COUNTA(gachas!$A:$A),MATCH(E$1,gachas!$1:$1,0)-MATCH($D$1,gachas!$1:$1,0)+1),MATCH(E$1,gachas!$1:$1,0)-MATCH($D$1,gachas!$1:$1,0)+1,FALSE)</f>
        <v>ピックアップ02(沖田) 最終日</v>
      </c>
      <c r="F16" s="18">
        <v>1</v>
      </c>
    </row>
    <row r="17" spans="1:6" ht="21" customHeight="1" x14ac:dyDescent="0.15">
      <c r="A17" s="10" t="str">
        <f t="shared" si="1"/>
        <v>poly_11141</v>
      </c>
      <c r="B17" s="2" t="s">
        <v>107</v>
      </c>
      <c r="C17" s="20"/>
      <c r="D17" s="21">
        <v>114</v>
      </c>
      <c r="E17" s="12" t="str">
        <f ca="1">VLOOKUP($D17,OFFSET(gachas!$A$1,0,0,COUNTA(gachas!$A:$A),MATCH(E$1,gachas!$1:$1,0)-MATCH($D$1,gachas!$1:$1,0)+1),MATCH(E$1,gachas!$1:$1,0)-MATCH($D$1,gachas!$1:$1,0)+1,FALSE)</f>
        <v>新キャラ追加04(ドラゴン）確率アップ</v>
      </c>
      <c r="F17" s="18">
        <v>1</v>
      </c>
    </row>
    <row r="18" spans="1:6" ht="21" customHeight="1" x14ac:dyDescent="0.15">
      <c r="A18" s="10" t="str">
        <f t="shared" si="1"/>
        <v>poly_11151</v>
      </c>
      <c r="B18" s="2" t="s">
        <v>107</v>
      </c>
      <c r="C18" s="20"/>
      <c r="D18" s="21">
        <v>115</v>
      </c>
      <c r="E18" s="12" t="str">
        <f ca="1">VLOOKUP($D18,OFFSET(gachas!$A$1,0,0,COUNTA(gachas!$A:$A),MATCH(E$1,gachas!$1:$1,0)-MATCH($D$1,gachas!$1:$1,0)+1),MATCH(E$1,gachas!$1:$1,0)-MATCH($D$1,gachas!$1:$1,0)+1,FALSE)</f>
        <v>青アップ01　開始</v>
      </c>
      <c r="F18" s="18">
        <v>1</v>
      </c>
    </row>
    <row r="19" spans="1:6" ht="21" customHeight="1" x14ac:dyDescent="0.15">
      <c r="A19" s="10" t="str">
        <f t="shared" si="1"/>
        <v>poly_11161</v>
      </c>
      <c r="B19" s="2" t="s">
        <v>107</v>
      </c>
      <c r="C19" s="20"/>
      <c r="D19" s="21">
        <v>116</v>
      </c>
      <c r="E19" s="12" t="str">
        <f ca="1">VLOOKUP($D19,OFFSET(gachas!$A$1,0,0,COUNTA(gachas!$A:$A),MATCH(E$1,gachas!$1:$1,0)-MATCH($D$1,gachas!$1:$1,0)+1),MATCH(E$1,gachas!$1:$1,0)-MATCH($D$1,gachas!$1:$1,0)+1,FALSE)</f>
        <v>青アップ0１　あと少し</v>
      </c>
      <c r="F19" s="18">
        <v>1</v>
      </c>
    </row>
    <row r="20" spans="1:6" ht="21" customHeight="1" x14ac:dyDescent="0.15">
      <c r="A20" s="10" t="str">
        <f t="shared" si="1"/>
        <v>poly_11171</v>
      </c>
      <c r="B20" s="2" t="s">
        <v>107</v>
      </c>
      <c r="C20" s="20"/>
      <c r="D20" s="21">
        <v>117</v>
      </c>
      <c r="E20" s="12" t="str">
        <f ca="1">VLOOKUP($D20,OFFSET(gachas!$A$1,0,0,COUNTA(gachas!$A:$A),MATCH(E$1,gachas!$1:$1,0)-MATCH($D$1,gachas!$1:$1,0)+1),MATCH(E$1,gachas!$1:$1,0)-MATCH($D$1,gachas!$1:$1,0)+1,FALSE)</f>
        <v>青アップ0１　最終日</v>
      </c>
      <c r="F20" s="18">
        <v>1</v>
      </c>
    </row>
    <row r="21" spans="1:6" ht="21" customHeight="1" x14ac:dyDescent="0.15">
      <c r="A21" s="10" t="str">
        <f t="shared" si="1"/>
        <v>poly_11181</v>
      </c>
      <c r="B21" s="2" t="s">
        <v>107</v>
      </c>
      <c r="C21" s="20"/>
      <c r="D21" s="21">
        <v>118</v>
      </c>
      <c r="E21" s="12" t="str">
        <f ca="1">VLOOKUP($D21,OFFSET(gachas!$A$1,0,0,COUNTA(gachas!$A:$A),MATCH(E$1,gachas!$1:$1,0)-MATCH($D$1,gachas!$1:$1,0)+1),MATCH(E$1,gachas!$1:$1,0)-MATCH($D$1,gachas!$1:$1,0)+1,FALSE)</f>
        <v>緑アップ01 開始</v>
      </c>
      <c r="F21" s="18">
        <v>1</v>
      </c>
    </row>
    <row r="22" spans="1:6" ht="21" customHeight="1" x14ac:dyDescent="0.15">
      <c r="A22" s="10" t="str">
        <f t="shared" si="1"/>
        <v>poly_11191</v>
      </c>
      <c r="B22" s="2" t="s">
        <v>107</v>
      </c>
      <c r="C22" s="20"/>
      <c r="D22" s="21">
        <v>119</v>
      </c>
      <c r="E22" s="12" t="str">
        <f ca="1">VLOOKUP($D22,OFFSET(gachas!$A$1,0,0,COUNTA(gachas!$A:$A),MATCH(E$1,gachas!$1:$1,0)-MATCH($D$1,gachas!$1:$1,0)+1),MATCH(E$1,gachas!$1:$1,0)-MATCH($D$1,gachas!$1:$1,0)+1,FALSE)</f>
        <v>緑アップ01 あと少し</v>
      </c>
      <c r="F22" s="18">
        <v>1</v>
      </c>
    </row>
    <row r="23" spans="1:6" ht="21" customHeight="1" x14ac:dyDescent="0.15">
      <c r="A23" s="10" t="str">
        <f t="shared" si="1"/>
        <v>poly_11201</v>
      </c>
      <c r="B23" s="2" t="s">
        <v>107</v>
      </c>
      <c r="C23" s="20"/>
      <c r="D23" s="21">
        <v>120</v>
      </c>
      <c r="E23" s="12" t="str">
        <f ca="1">VLOOKUP($D23,OFFSET(gachas!$A$1,0,0,COUNTA(gachas!$A:$A),MATCH(E$1,gachas!$1:$1,0)-MATCH($D$1,gachas!$1:$1,0)+1),MATCH(E$1,gachas!$1:$1,0)-MATCH($D$1,gachas!$1:$1,0)+1,FALSE)</f>
        <v>緑アップ01 最終日</v>
      </c>
      <c r="F23" s="18">
        <v>1</v>
      </c>
    </row>
    <row r="24" spans="1:6" ht="21" customHeight="1" x14ac:dyDescent="0.15">
      <c r="A24" s="10" t="str">
        <f t="shared" si="1"/>
        <v>poly_11211</v>
      </c>
      <c r="B24" s="2" t="s">
        <v>107</v>
      </c>
      <c r="C24" s="20"/>
      <c r="D24" s="21">
        <v>121</v>
      </c>
      <c r="E24" s="12" t="str">
        <f ca="1">VLOOKUP($D24,OFFSET(gachas!$A$1,0,0,COUNTA(gachas!$A:$A),MATCH(E$1,gachas!$1:$1,0)-MATCH($D$1,gachas!$1:$1,0)+1),MATCH(E$1,gachas!$1:$1,0)-MATCH($D$1,gachas!$1:$1,0)+1,FALSE)</f>
        <v>赤アップ02開始</v>
      </c>
      <c r="F24" s="18">
        <v>1</v>
      </c>
    </row>
    <row r="25" spans="1:6" ht="21" customHeight="1" x14ac:dyDescent="0.15">
      <c r="A25" s="10" t="str">
        <f t="shared" si="1"/>
        <v>poly_11221</v>
      </c>
      <c r="B25" s="2" t="s">
        <v>107</v>
      </c>
      <c r="C25" s="20"/>
      <c r="D25" s="21">
        <v>122</v>
      </c>
      <c r="E25" s="12" t="str">
        <f ca="1">VLOOKUP($D25,OFFSET(gachas!$A$1,0,0,COUNTA(gachas!$A:$A),MATCH(E$1,gachas!$1:$1,0)-MATCH($D$1,gachas!$1:$1,0)+1),MATCH(E$1,gachas!$1:$1,0)-MATCH($D$1,gachas!$1:$1,0)+1,FALSE)</f>
        <v>新キャラ追加04(ドラゴン）あと少し</v>
      </c>
      <c r="F25" s="18">
        <v>1</v>
      </c>
    </row>
    <row r="26" spans="1:6" ht="21" customHeight="1" x14ac:dyDescent="0.15">
      <c r="A26" s="10" t="str">
        <f t="shared" si="1"/>
        <v>poly_11231</v>
      </c>
      <c r="B26" s="2" t="s">
        <v>107</v>
      </c>
      <c r="C26" s="20"/>
      <c r="D26" s="21">
        <v>123</v>
      </c>
      <c r="E26" s="12" t="str">
        <f ca="1">VLOOKUP($D26,OFFSET(gachas!$A$1,0,0,COUNTA(gachas!$A:$A),MATCH(E$1,gachas!$1:$1,0)-MATCH($D$1,gachas!$1:$1,0)+1),MATCH(E$1,gachas!$1:$1,0)-MATCH($D$1,gachas!$1:$1,0)+1,FALSE)</f>
        <v>新キャラ追加04(ドラゴン）最終日</v>
      </c>
      <c r="F26" s="18">
        <v>1</v>
      </c>
    </row>
    <row r="27" spans="1:6" ht="21" customHeight="1" x14ac:dyDescent="0.15">
      <c r="A27" s="10" t="str">
        <f t="shared" si="1"/>
        <v>poly_11241</v>
      </c>
      <c r="B27" s="2" t="s">
        <v>107</v>
      </c>
      <c r="C27" s="20"/>
      <c r="D27" s="21">
        <v>124</v>
      </c>
      <c r="E27" s="12" t="str">
        <f ca="1">VLOOKUP($D27,OFFSET(gachas!$A$1,0,0,COUNTA(gachas!$A:$A),MATCH(E$1,gachas!$1:$1,0)-MATCH($D$1,gachas!$1:$1,0)+1),MATCH(E$1,gachas!$1:$1,0)-MATCH($D$1,gachas!$1:$1,0)+1,FALSE)</f>
        <v>新キャラ追加04(ドラゴン)通常</v>
      </c>
      <c r="F27" s="18">
        <v>1</v>
      </c>
    </row>
    <row r="28" spans="1:6" ht="21" customHeight="1" x14ac:dyDescent="0.15">
      <c r="A28" s="10" t="str">
        <f t="shared" si="1"/>
        <v>poly_11251</v>
      </c>
      <c r="B28" s="2" t="s">
        <v>107</v>
      </c>
      <c r="C28" s="20"/>
      <c r="D28" s="21">
        <v>125</v>
      </c>
      <c r="E28" s="12" t="str">
        <f ca="1">VLOOKUP($D28,OFFSET(gachas!$A$1,0,0,COUNTA(gachas!$A:$A),MATCH(E$1,gachas!$1:$1,0)-MATCH($D$1,gachas!$1:$1,0)+1),MATCH(E$1,gachas!$1:$1,0)-MATCH($D$1,gachas!$1:$1,0)+1,FALSE)</f>
        <v>赤アップ02　あと少し</v>
      </c>
      <c r="F28" s="18">
        <v>1</v>
      </c>
    </row>
    <row r="29" spans="1:6" ht="21" customHeight="1" x14ac:dyDescent="0.15">
      <c r="A29" s="10" t="str">
        <f t="shared" si="1"/>
        <v>poly_11261</v>
      </c>
      <c r="B29" s="2" t="s">
        <v>107</v>
      </c>
      <c r="C29" s="20"/>
      <c r="D29" s="21">
        <v>126</v>
      </c>
      <c r="E29" s="12" t="str">
        <f ca="1">VLOOKUP($D29,OFFSET(gachas!$A$1,0,0,COUNTA(gachas!$A:$A),MATCH(E$1,gachas!$1:$1,0)-MATCH($D$1,gachas!$1:$1,0)+1),MATCH(E$1,gachas!$1:$1,0)-MATCH($D$1,gachas!$1:$1,0)+1,FALSE)</f>
        <v>赤アップ02　最終日</v>
      </c>
      <c r="F29" s="18">
        <v>1</v>
      </c>
    </row>
    <row r="30" spans="1:6" ht="21" customHeight="1" x14ac:dyDescent="0.15">
      <c r="A30" s="10" t="str">
        <f t="shared" si="1"/>
        <v>poly_11271</v>
      </c>
      <c r="B30" s="2" t="s">
        <v>107</v>
      </c>
      <c r="C30" s="20"/>
      <c r="D30" s="21">
        <v>127</v>
      </c>
      <c r="E30" s="12" t="str">
        <f ca="1">VLOOKUP($D30,OFFSET(gachas!$A$1,0,0,COUNTA(gachas!$A:$A),MATCH(E$1,gachas!$1:$1,0)-MATCH($D$1,gachas!$1:$1,0)+1),MATCH(E$1,gachas!$1:$1,0)-MATCH($D$1,gachas!$1:$1,0)+1,FALSE)</f>
        <v>黄アップ01　開始</v>
      </c>
      <c r="F30" s="18">
        <v>1</v>
      </c>
    </row>
    <row r="31" spans="1:6" ht="21" customHeight="1" x14ac:dyDescent="0.15">
      <c r="A31" s="10" t="str">
        <f t="shared" si="1"/>
        <v>poly_11281</v>
      </c>
      <c r="B31" s="2" t="s">
        <v>107</v>
      </c>
      <c r="C31" s="20"/>
      <c r="D31" s="21">
        <v>128</v>
      </c>
      <c r="E31" s="12" t="str">
        <f ca="1">VLOOKUP($D31,OFFSET(gachas!$A$1,0,0,COUNTA(gachas!$A:$A),MATCH(E$1,gachas!$1:$1,0)-MATCH($D$1,gachas!$1:$1,0)+1),MATCH(E$1,gachas!$1:$1,0)-MATCH($D$1,gachas!$1:$1,0)+1,FALSE)</f>
        <v>黄アップ01　あと少し</v>
      </c>
      <c r="F31" s="18">
        <v>1</v>
      </c>
    </row>
    <row r="32" spans="1:6" ht="21" customHeight="1" x14ac:dyDescent="0.15">
      <c r="A32" s="10" t="str">
        <f t="shared" si="1"/>
        <v>poly_11291</v>
      </c>
      <c r="B32" s="2" t="s">
        <v>107</v>
      </c>
      <c r="C32" s="20"/>
      <c r="D32" s="21">
        <v>129</v>
      </c>
      <c r="E32" s="12" t="str">
        <f ca="1">VLOOKUP($D32,OFFSET(gachas!$A$1,0,0,COUNTA(gachas!$A:$A),MATCH(E$1,gachas!$1:$1,0)-MATCH($D$1,gachas!$1:$1,0)+1),MATCH(E$1,gachas!$1:$1,0)-MATCH($D$1,gachas!$1:$1,0)+1,FALSE)</f>
        <v>黄アップ01　最終日</v>
      </c>
      <c r="F32" s="18">
        <v>1</v>
      </c>
    </row>
    <row r="33" spans="1:6" ht="21" customHeight="1" x14ac:dyDescent="0.15">
      <c r="A33" s="10" t="str">
        <f t="shared" ref="A33:A38" si="2">B33&amp;D33&amp;F33</f>
        <v>poly_11301</v>
      </c>
      <c r="B33" s="2" t="s">
        <v>107</v>
      </c>
      <c r="C33" s="20"/>
      <c r="D33" s="21">
        <v>130</v>
      </c>
      <c r="E33" s="12" t="str">
        <f ca="1">VLOOKUP($D33,OFFSET(gachas!$A$1,0,0,COUNTA(gachas!$A:$A),MATCH(E$1,gachas!$1:$1,0)-MATCH($D$1,gachas!$1:$1,0)+1),MATCH(E$1,gachas!$1:$1,0)-MATCH($D$1,gachas!$1:$1,0)+1,FALSE)</f>
        <v>新撰組UP 開始</v>
      </c>
      <c r="F33" s="18">
        <v>1</v>
      </c>
    </row>
    <row r="34" spans="1:6" ht="21" customHeight="1" x14ac:dyDescent="0.15">
      <c r="A34" s="10" t="str">
        <f t="shared" si="2"/>
        <v>poly_11311</v>
      </c>
      <c r="B34" s="2" t="s">
        <v>107</v>
      </c>
      <c r="C34" s="20"/>
      <c r="D34" s="21">
        <v>131</v>
      </c>
      <c r="E34" s="12" t="str">
        <f ca="1">VLOOKUP($D34,OFFSET(gachas!$A$1,0,0,COUNTA(gachas!$A:$A),MATCH(E$1,gachas!$1:$1,0)-MATCH($D$1,gachas!$1:$1,0)+1),MATCH(E$1,gachas!$1:$1,0)-MATCH($D$1,gachas!$1:$1,0)+1,FALSE)</f>
        <v>新撰組UP あと少し</v>
      </c>
      <c r="F34" s="18">
        <v>1</v>
      </c>
    </row>
    <row r="35" spans="1:6" ht="21" customHeight="1" x14ac:dyDescent="0.15">
      <c r="A35" s="10" t="str">
        <f t="shared" si="2"/>
        <v>poly_11321</v>
      </c>
      <c r="B35" s="2" t="s">
        <v>107</v>
      </c>
      <c r="C35" s="20"/>
      <c r="D35" s="21">
        <v>132</v>
      </c>
      <c r="E35" s="12" t="str">
        <f ca="1">VLOOKUP($D35,OFFSET(gachas!$A$1,0,0,COUNTA(gachas!$A:$A),MATCH(E$1,gachas!$1:$1,0)-MATCH($D$1,gachas!$1:$1,0)+1),MATCH(E$1,gachas!$1:$1,0)-MATCH($D$1,gachas!$1:$1,0)+1,FALSE)</f>
        <v>新撰組UP 最終日</v>
      </c>
      <c r="F35" s="18">
        <v>1</v>
      </c>
    </row>
    <row r="36" spans="1:6" ht="21" customHeight="1" x14ac:dyDescent="0.15">
      <c r="A36" s="10" t="str">
        <f t="shared" si="2"/>
        <v>poly_11331</v>
      </c>
      <c r="B36" s="2" t="s">
        <v>107</v>
      </c>
      <c r="C36" s="20"/>
      <c r="D36" s="21">
        <v>133</v>
      </c>
      <c r="E36" s="12" t="str">
        <f ca="1">VLOOKUP($D36,OFFSET(gachas!$A$1,0,0,COUNTA(gachas!$A:$A),MATCH(E$1,gachas!$1:$1,0)-MATCH($D$1,gachas!$1:$1,0)+1),MATCH(E$1,gachas!$1:$1,0)-MATCH($D$1,gachas!$1:$1,0)+1,FALSE)</f>
        <v>童話ガチャ　開始</v>
      </c>
      <c r="F36" s="18">
        <v>1</v>
      </c>
    </row>
    <row r="37" spans="1:6" ht="21" customHeight="1" x14ac:dyDescent="0.15">
      <c r="A37" s="10" t="str">
        <f t="shared" si="2"/>
        <v>poly_11341</v>
      </c>
      <c r="B37" s="2" t="s">
        <v>107</v>
      </c>
      <c r="C37" s="20"/>
      <c r="D37" s="21">
        <v>134</v>
      </c>
      <c r="E37" s="12" t="str">
        <f ca="1">VLOOKUP($D37,OFFSET(gachas!$A$1,0,0,COUNTA(gachas!$A:$A),MATCH(E$1,gachas!$1:$1,0)-MATCH($D$1,gachas!$1:$1,0)+1),MATCH(E$1,gachas!$1:$1,0)-MATCH($D$1,gachas!$1:$1,0)+1,FALSE)</f>
        <v>童話ガチャ　あと少し</v>
      </c>
      <c r="F37" s="18">
        <v>1</v>
      </c>
    </row>
    <row r="38" spans="1:6" ht="21" customHeight="1" x14ac:dyDescent="0.15">
      <c r="A38" s="10" t="str">
        <f t="shared" si="2"/>
        <v>poly_11351</v>
      </c>
      <c r="B38" s="2" t="s">
        <v>107</v>
      </c>
      <c r="C38" s="20"/>
      <c r="D38" s="21">
        <v>135</v>
      </c>
      <c r="E38" s="12" t="str">
        <f ca="1">VLOOKUP($D38,OFFSET(gachas!$A$1,0,0,COUNTA(gachas!$A:$A),MATCH(E$1,gachas!$1:$1,0)-MATCH($D$1,gachas!$1:$1,0)+1),MATCH(E$1,gachas!$1:$1,0)-MATCH($D$1,gachas!$1:$1,0)+1,FALSE)</f>
        <v>童話ガチャ　最終日</v>
      </c>
      <c r="F38" s="18">
        <v>1</v>
      </c>
    </row>
    <row r="39" spans="1:6" ht="21" customHeight="1" x14ac:dyDescent="0.15">
      <c r="A39" s="10" t="str">
        <f t="shared" ref="A39:A40" si="3">B39&amp;D39&amp;F39</f>
        <v>poly_11361</v>
      </c>
      <c r="B39" s="2" t="s">
        <v>107</v>
      </c>
      <c r="C39" s="20"/>
      <c r="D39" s="21">
        <v>136</v>
      </c>
      <c r="E39" s="12" t="str">
        <f ca="1">VLOOKUP($D39,OFFSET(gachas!$A$1,0,0,COUNTA(gachas!$A:$A),MATCH(E$1,gachas!$1:$1,0)-MATCH($D$1,gachas!$1:$1,0)+1),MATCH(E$1,gachas!$1:$1,0)-MATCH($D$1,gachas!$1:$1,0)+1,FALSE)</f>
        <v xml:space="preserve">攻撃凸 </v>
      </c>
      <c r="F39" s="18">
        <v>1</v>
      </c>
    </row>
    <row r="40" spans="1:6" ht="21" customHeight="1" x14ac:dyDescent="0.15">
      <c r="A40" s="10" t="str">
        <f t="shared" si="3"/>
        <v>poly_11381</v>
      </c>
      <c r="B40" s="2" t="s">
        <v>107</v>
      </c>
      <c r="C40" s="20"/>
      <c r="D40" s="21">
        <v>138</v>
      </c>
      <c r="E40" s="12" t="str">
        <f ca="1">VLOOKUP($D40,OFFSET(gachas!$A$1,0,0,COUNTA(gachas!$A:$A),MATCH(E$1,gachas!$1:$1,0)-MATCH($D$1,gachas!$1:$1,0)+1),MATCH(E$1,gachas!$1:$1,0)-MATCH($D$1,gachas!$1:$1,0)+1,FALSE)</f>
        <v>斎藤ピックアップ</v>
      </c>
      <c r="F40" s="18">
        <v>1</v>
      </c>
    </row>
    <row r="41" spans="1:6" ht="21" customHeight="1" x14ac:dyDescent="0.15">
      <c r="A41" s="10" t="str">
        <f t="shared" ref="A41:A45" si="4">B41&amp;D41&amp;F41</f>
        <v>poly_11401</v>
      </c>
      <c r="B41" s="2" t="s">
        <v>107</v>
      </c>
      <c r="C41" s="20"/>
      <c r="D41" s="21">
        <v>140</v>
      </c>
      <c r="E41" s="12" t="str">
        <f ca="1">VLOOKUP($D41,OFFSET(gachas!$A$1,0,0,COUNTA(gachas!$A:$A),MATCH(E$1,gachas!$1:$1,0)-MATCH($D$1,gachas!$1:$1,0)+1),MATCH(E$1,gachas!$1:$1,0)-MATCH($D$1,gachas!$1:$1,0)+1,FALSE)</f>
        <v>新ガチャ（神話動物）前半</v>
      </c>
      <c r="F41" s="18">
        <v>1</v>
      </c>
    </row>
    <row r="42" spans="1:6" ht="21" customHeight="1" x14ac:dyDescent="0.15">
      <c r="A42" s="10" t="str">
        <f t="shared" ref="A42:A44" si="5">B42&amp;D42&amp;F42</f>
        <v>poly_11421</v>
      </c>
      <c r="B42" s="2" t="s">
        <v>107</v>
      </c>
      <c r="C42" s="20"/>
      <c r="D42" s="21">
        <v>142</v>
      </c>
      <c r="E42" s="12" t="str">
        <f ca="1">VLOOKUP($D42,OFFSET(gachas!$A$1,0,0,COUNTA(gachas!$A:$A),MATCH(E$1,gachas!$1:$1,0)-MATCH($D$1,gachas!$1:$1,0)+1),MATCH(E$1,gachas!$1:$1,0)-MATCH($D$1,gachas!$1:$1,0)+1,FALSE)</f>
        <v>新ガチャ（神話動物）後半</v>
      </c>
      <c r="F42" s="18">
        <v>1</v>
      </c>
    </row>
    <row r="43" spans="1:6" ht="21" customHeight="1" x14ac:dyDescent="0.15">
      <c r="A43" s="10" t="str">
        <f t="shared" si="5"/>
        <v>poly_11441</v>
      </c>
      <c r="B43" s="2" t="s">
        <v>107</v>
      </c>
      <c r="C43" s="20"/>
      <c r="D43" s="21">
        <v>144</v>
      </c>
      <c r="E43" s="12" t="str">
        <f ca="1">VLOOKUP($D43,OFFSET(gachas!$A$1,0,0,COUNTA(gachas!$A:$A),MATCH(E$1,gachas!$1:$1,0)-MATCH($D$1,gachas!$1:$1,0)+1),MATCH(E$1,gachas!$1:$1,0)-MATCH($D$1,gachas!$1:$1,0)+1,FALSE)</f>
        <v>フィーバーフェスティバル</v>
      </c>
      <c r="F43" s="18">
        <v>1</v>
      </c>
    </row>
    <row r="44" spans="1:6" ht="21" customHeight="1" x14ac:dyDescent="0.15">
      <c r="A44" s="10" t="str">
        <f t="shared" si="5"/>
        <v>poly_11461</v>
      </c>
      <c r="B44" s="2" t="s">
        <v>107</v>
      </c>
      <c r="C44" s="20"/>
      <c r="D44" s="21">
        <v>146</v>
      </c>
      <c r="E44" s="12" t="str">
        <f ca="1">VLOOKUP($D44,OFFSET(gachas!$A$1,0,0,COUNTA(gachas!$A:$A),MATCH(E$1,gachas!$1:$1,0)-MATCH($D$1,gachas!$1:$1,0)+1),MATCH(E$1,gachas!$1:$1,0)-MATCH($D$1,gachas!$1:$1,0)+1,FALSE)</f>
        <v>新ガチャ（神話動物）恒常</v>
      </c>
      <c r="F44" s="18">
        <v>1</v>
      </c>
    </row>
    <row r="45" spans="1:6" ht="21" customHeight="1" x14ac:dyDescent="0.15">
      <c r="A45" s="10" t="str">
        <f t="shared" si="4"/>
        <v>poly_11481</v>
      </c>
      <c r="B45" s="2" t="s">
        <v>107</v>
      </c>
      <c r="C45" s="20"/>
      <c r="D45" s="21">
        <v>148</v>
      </c>
      <c r="E45" s="12" t="str">
        <f ca="1">VLOOKUP($D45,OFFSET(gachas!$A$1,0,0,COUNTA(gachas!$A:$A),MATCH(E$1,gachas!$1:$1,0)-MATCH($D$1,gachas!$1:$1,0)+1),MATCH(E$1,gachas!$1:$1,0)-MATCH($D$1,gachas!$1:$1,0)+1,FALSE)</f>
        <v>親指ピックアップ</v>
      </c>
      <c r="F45" s="18">
        <v>1</v>
      </c>
    </row>
    <row r="46" spans="1:6" ht="21" customHeight="1" x14ac:dyDescent="0.15">
      <c r="A46" s="10" t="str">
        <f t="shared" ref="A46" si="6">B46&amp;D46&amp;F46</f>
        <v>poly_11491</v>
      </c>
      <c r="B46" s="2" t="s">
        <v>107</v>
      </c>
      <c r="C46" s="20"/>
      <c r="D46" s="21">
        <v>149</v>
      </c>
      <c r="E46" s="12" t="str">
        <f ca="1">VLOOKUP($D46,OFFSET(gachas!$A$1,0,0,COUNTA(gachas!$A:$A),MATCH(E$1,gachas!$1:$1,0)-MATCH($D$1,gachas!$1:$1,0)+1),MATCH(E$1,gachas!$1:$1,0)-MATCH($D$1,gachas!$1:$1,0)+1,FALSE)</f>
        <v>山田ピックアップ</v>
      </c>
      <c r="F46" s="18">
        <v>1</v>
      </c>
    </row>
    <row r="47" spans="1:6" ht="21" customHeight="1" x14ac:dyDescent="0.15">
      <c r="A47" s="10" t="str">
        <f t="shared" ref="A47:A48" si="7">B47&amp;D47&amp;F47</f>
        <v>poly_11501</v>
      </c>
      <c r="B47" s="2" t="s">
        <v>107</v>
      </c>
      <c r="C47" s="20"/>
      <c r="D47" s="21">
        <v>150</v>
      </c>
      <c r="E47" s="12" t="str">
        <f ca="1">VLOOKUP($D47,OFFSET(gachas!$A$1,0,0,COUNTA(gachas!$A:$A),MATCH(E$1,gachas!$1:$1,0)-MATCH($D$1,gachas!$1:$1,0)+1),MATCH(E$1,gachas!$1:$1,0)-MATCH($D$1,gachas!$1:$1,0)+1,FALSE)</f>
        <v>100万DL記念</v>
      </c>
      <c r="F47" s="18">
        <v>1</v>
      </c>
    </row>
    <row r="48" spans="1:6" ht="21" customHeight="1" x14ac:dyDescent="0.15">
      <c r="A48" s="10" t="str">
        <f t="shared" si="7"/>
        <v>poly_11511</v>
      </c>
      <c r="B48" s="2" t="s">
        <v>107</v>
      </c>
      <c r="C48" s="20"/>
      <c r="D48" s="21">
        <v>151</v>
      </c>
      <c r="E48" s="12" t="str">
        <f ca="1">VLOOKUP($D48,OFFSET(gachas!$A$1,0,0,COUNTA(gachas!$A:$A),MATCH(E$1,gachas!$1:$1,0)-MATCH($D$1,gachas!$1:$1,0)+1),MATCH(E$1,gachas!$1:$1,0)-MATCH($D$1,gachas!$1:$1,0)+1,FALSE)</f>
        <v>オズ</v>
      </c>
      <c r="F48" s="18">
        <v>1</v>
      </c>
    </row>
    <row r="49" spans="1:6" ht="21" customHeight="1" x14ac:dyDescent="0.15">
      <c r="A49" s="10" t="str">
        <f t="shared" ref="A49" si="8">B49&amp;D49&amp;F49</f>
        <v>poly_11521</v>
      </c>
      <c r="B49" s="2" t="s">
        <v>107</v>
      </c>
      <c r="C49" s="20"/>
      <c r="D49" s="21">
        <v>152</v>
      </c>
      <c r="E49" s="12" t="str">
        <f ca="1">VLOOKUP($D49,OFFSET(gachas!$A$1,0,0,COUNTA(gachas!$A:$A),MATCH(E$1,gachas!$1:$1,0)-MATCH($D$1,gachas!$1:$1,0)+1),MATCH(E$1,gachas!$1:$1,0)-MATCH($D$1,gachas!$1:$1,0)+1,FALSE)</f>
        <v>ウィザードピックアップ</v>
      </c>
      <c r="F49" s="18">
        <v>1</v>
      </c>
    </row>
    <row r="50" spans="1:6" ht="21" customHeight="1" x14ac:dyDescent="0.15">
      <c r="A50" s="10" t="str">
        <f t="shared" ref="A50:A59" si="9">B50&amp;D50&amp;F50</f>
        <v>poly_11531</v>
      </c>
      <c r="B50" s="2" t="s">
        <v>107</v>
      </c>
      <c r="C50" s="20"/>
      <c r="D50" s="21">
        <v>153</v>
      </c>
      <c r="E50" s="12" t="str">
        <f ca="1">VLOOKUP($D50,OFFSET(gachas!$A$1,0,0,COUNTA(gachas!$A:$A),MATCH(E$1,gachas!$1:$1,0)-MATCH($D$1,gachas!$1:$1,0)+1),MATCH(E$1,gachas!$1:$1,0)-MATCH($D$1,gachas!$1:$1,0)+1,FALSE)</f>
        <v>フィバフェス</v>
      </c>
      <c r="F50" s="18">
        <v>1</v>
      </c>
    </row>
    <row r="51" spans="1:6" ht="21" customHeight="1" x14ac:dyDescent="0.15">
      <c r="A51" s="10" t="str">
        <f t="shared" si="9"/>
        <v>poly_11541</v>
      </c>
      <c r="B51" s="2" t="s">
        <v>107</v>
      </c>
      <c r="C51" s="20"/>
      <c r="D51" s="21">
        <v>154</v>
      </c>
      <c r="E51" s="12" t="str">
        <f ca="1">VLOOKUP($D51,OFFSET(gachas!$A$1,0,0,COUNTA(gachas!$A:$A),MATCH(E$1,gachas!$1:$1,0)-MATCH($D$1,gachas!$1:$1,0)+1),MATCH(E$1,gachas!$1:$1,0)-MATCH($D$1,gachas!$1:$1,0)+1,FALSE)</f>
        <v>円卓ガチャ</v>
      </c>
      <c r="F51" s="18">
        <v>1</v>
      </c>
    </row>
    <row r="52" spans="1:6" ht="21" customHeight="1" x14ac:dyDescent="0.15">
      <c r="A52" s="10" t="str">
        <f t="shared" si="9"/>
        <v>poly_11551</v>
      </c>
      <c r="B52" s="2" t="s">
        <v>107</v>
      </c>
      <c r="C52" s="20"/>
      <c r="D52" s="21">
        <v>155</v>
      </c>
      <c r="E52" s="12" t="str">
        <f ca="1">VLOOKUP($D52,OFFSET(gachas!$A$1,0,0,COUNTA(gachas!$A:$A),MATCH(E$1,gachas!$1:$1,0)-MATCH($D$1,gachas!$1:$1,0)+1),MATCH(E$1,gachas!$1:$1,0)-MATCH($D$1,gachas!$1:$1,0)+1,FALSE)</f>
        <v>緑フィーバー</v>
      </c>
      <c r="F52" s="18">
        <v>1</v>
      </c>
    </row>
    <row r="53" spans="1:6" ht="21" customHeight="1" x14ac:dyDescent="0.15">
      <c r="A53" s="10" t="str">
        <f t="shared" si="9"/>
        <v>poly_11561</v>
      </c>
      <c r="B53" s="2" t="s">
        <v>107</v>
      </c>
      <c r="C53" s="20"/>
      <c r="D53" s="21">
        <v>156</v>
      </c>
      <c r="E53" s="12" t="str">
        <f ca="1">VLOOKUP($D53,OFFSET(gachas!$A$1,0,0,COUNTA(gachas!$A:$A),MATCH(E$1,gachas!$1:$1,0)-MATCH($D$1,gachas!$1:$1,0)+1),MATCH(E$1,gachas!$1:$1,0)-MATCH($D$1,gachas!$1:$1,0)+1,FALSE)</f>
        <v>クラファーセレクション</v>
      </c>
      <c r="F53" s="18">
        <v>1</v>
      </c>
    </row>
    <row r="54" spans="1:6" ht="21" customHeight="1" x14ac:dyDescent="0.15">
      <c r="A54" s="10" t="str">
        <f t="shared" si="9"/>
        <v>poly_11571</v>
      </c>
      <c r="B54" s="2" t="s">
        <v>107</v>
      </c>
      <c r="C54" s="20"/>
      <c r="D54" s="21">
        <v>157</v>
      </c>
      <c r="E54" s="12" t="str">
        <f ca="1">VLOOKUP($D54,OFFSET(gachas!$A$1,0,0,COUNTA(gachas!$A:$A),MATCH(E$1,gachas!$1:$1,0)-MATCH($D$1,gachas!$1:$1,0)+1),MATCH(E$1,gachas!$1:$1,0)-MATCH($D$1,gachas!$1:$1,0)+1,FALSE)</f>
        <v>体力フィーバー</v>
      </c>
      <c r="F54" s="18">
        <v>1</v>
      </c>
    </row>
    <row r="55" spans="1:6" ht="21" customHeight="1" x14ac:dyDescent="0.15">
      <c r="A55" s="10" t="str">
        <f t="shared" si="9"/>
        <v>poly_11581</v>
      </c>
      <c r="B55" s="2" t="s">
        <v>107</v>
      </c>
      <c r="C55" s="20"/>
      <c r="D55" s="21">
        <v>158</v>
      </c>
      <c r="E55" s="12" t="str">
        <f ca="1">VLOOKUP($D55,OFFSET(gachas!$A$1,0,0,COUNTA(gachas!$A:$A),MATCH(E$1,gachas!$1:$1,0)-MATCH($D$1,gachas!$1:$1,0)+1),MATCH(E$1,gachas!$1:$1,0)-MATCH($D$1,gachas!$1:$1,0)+1,FALSE)</f>
        <v>ブルーフェスティバル</v>
      </c>
      <c r="F55" s="18">
        <v>1</v>
      </c>
    </row>
    <row r="56" spans="1:6" ht="21" customHeight="1" x14ac:dyDescent="0.15">
      <c r="A56" s="10" t="str">
        <f t="shared" ref="A56:A58" si="10">B56&amp;D56&amp;F56</f>
        <v>poly_11591</v>
      </c>
      <c r="B56" s="2" t="s">
        <v>107</v>
      </c>
      <c r="C56" s="20"/>
      <c r="D56" s="21">
        <v>159</v>
      </c>
      <c r="E56" s="12" t="str">
        <f ca="1">VLOOKUP($D56,OFFSET(gachas!$A$1,0,0,COUNTA(gachas!$A:$A),MATCH(E$1,gachas!$1:$1,0)-MATCH($D$1,gachas!$1:$1,0)+1),MATCH(E$1,gachas!$1:$1,0)-MATCH($D$1,gachas!$1:$1,0)+1,FALSE)</f>
        <v>オズ対抗ピックアップ</v>
      </c>
      <c r="F56" s="18">
        <v>1</v>
      </c>
    </row>
    <row r="57" spans="1:6" ht="21" customHeight="1" x14ac:dyDescent="0.15">
      <c r="A57" s="10" t="str">
        <f t="shared" si="10"/>
        <v>poly_11601</v>
      </c>
      <c r="B57" s="2" t="s">
        <v>107</v>
      </c>
      <c r="C57" s="20"/>
      <c r="D57" s="21">
        <v>160</v>
      </c>
      <c r="E57" s="12" t="str">
        <f ca="1">VLOOKUP($D57,OFFSET(gachas!$A$1,0,0,COUNTA(gachas!$A:$A),MATCH(E$1,gachas!$1:$1,0)-MATCH($D$1,gachas!$1:$1,0)+1),MATCH(E$1,gachas!$1:$1,0)-MATCH($D$1,gachas!$1:$1,0)+1,FALSE)</f>
        <v>クリスマスフェス</v>
      </c>
      <c r="F57" s="18">
        <v>1</v>
      </c>
    </row>
    <row r="58" spans="1:6" ht="21" customHeight="1" x14ac:dyDescent="0.15">
      <c r="A58" s="10" t="str">
        <f t="shared" si="10"/>
        <v>poly_11611</v>
      </c>
      <c r="B58" s="2" t="s">
        <v>107</v>
      </c>
      <c r="C58" s="20"/>
      <c r="D58" s="21">
        <v>161</v>
      </c>
      <c r="E58" s="12" t="str">
        <f ca="1">VLOOKUP($D58,OFFSET(gachas!$A$1,0,0,COUNTA(gachas!$A:$A),MATCH(E$1,gachas!$1:$1,0)-MATCH($D$1,gachas!$1:$1,0)+1),MATCH(E$1,gachas!$1:$1,0)-MATCH($D$1,gachas!$1:$1,0)+1,FALSE)</f>
        <v>赤フィーバー</v>
      </c>
      <c r="F58" s="18">
        <v>1</v>
      </c>
    </row>
    <row r="59" spans="1:6" ht="21" customHeight="1" x14ac:dyDescent="0.15">
      <c r="A59" s="10" t="str">
        <f t="shared" si="9"/>
        <v>poly_11621</v>
      </c>
      <c r="B59" s="2" t="s">
        <v>107</v>
      </c>
      <c r="C59" s="20"/>
      <c r="D59" s="21">
        <v>162</v>
      </c>
      <c r="E59" s="12" t="str">
        <f ca="1">VLOOKUP($D59,OFFSET(gachas!$A$1,0,0,COUNTA(gachas!$A:$A),MATCH(E$1,gachas!$1:$1,0)-MATCH($D$1,gachas!$1:$1,0)+1),MATCH(E$1,gachas!$1:$1,0)-MATCH($D$1,gachas!$1:$1,0)+1,FALSE)</f>
        <v>アーサー対抗ピックアップ</v>
      </c>
      <c r="F59" s="18">
        <v>1</v>
      </c>
    </row>
    <row r="60" spans="1:6" ht="21" customHeight="1" x14ac:dyDescent="0.15">
      <c r="A60" s="10" t="str">
        <f t="shared" ref="A60" si="11">B60&amp;D60&amp;F60</f>
        <v>poly_11631</v>
      </c>
      <c r="B60" s="2" t="s">
        <v>107</v>
      </c>
      <c r="C60" s="20"/>
      <c r="D60" s="21">
        <v>163</v>
      </c>
      <c r="E60" s="12" t="str">
        <f ca="1">VLOOKUP($D60,OFFSET(gachas!$A$1,0,0,COUNTA(gachas!$A:$A),MATCH(E$1,gachas!$1:$1,0)-MATCH($D$1,gachas!$1:$1,0)+1),MATCH(E$1,gachas!$1:$1,0)-MATCH($D$1,gachas!$1:$1,0)+1,FALSE)</f>
        <v>ロキガチャ</v>
      </c>
      <c r="F60" s="18">
        <v>1</v>
      </c>
    </row>
    <row r="61" spans="1:6" ht="21" customHeight="1" x14ac:dyDescent="0.15">
      <c r="A61" s="10" t="str">
        <f t="shared" ref="A61" si="12">B61&amp;D61&amp;F61</f>
        <v>poly_11641</v>
      </c>
      <c r="B61" s="2" t="s">
        <v>107</v>
      </c>
      <c r="C61" s="20"/>
      <c r="D61" s="21">
        <v>164</v>
      </c>
      <c r="E61" s="12" t="str">
        <f ca="1">VLOOKUP($D61,OFFSET(gachas!$A$1,0,0,COUNTA(gachas!$A:$A),MATCH(E$1,gachas!$1:$1,0)-MATCH($D$1,gachas!$1:$1,0)+1),MATCH(E$1,gachas!$1:$1,0)-MATCH($D$1,gachas!$1:$1,0)+1,FALSE)</f>
        <v>ドラゴンフィーバー</v>
      </c>
      <c r="F61" s="18">
        <v>1</v>
      </c>
    </row>
    <row r="62" spans="1:6" ht="21" customHeight="1" x14ac:dyDescent="0.15">
      <c r="A62" s="10" t="str">
        <f t="shared" ref="A62" si="13">B62&amp;D62&amp;F62</f>
        <v>poly_11651</v>
      </c>
      <c r="B62" s="2" t="s">
        <v>107</v>
      </c>
      <c r="C62" s="20"/>
      <c r="D62" s="21">
        <v>165</v>
      </c>
      <c r="E62" s="12" t="str">
        <f ca="1">VLOOKUP($D62,OFFSET(gachas!$A$1,0,0,COUNTA(gachas!$A:$A),MATCH(E$1,gachas!$1:$1,0)-MATCH($D$1,gachas!$1:$1,0)+1),MATCH(E$1,gachas!$1:$1,0)-MATCH($D$1,gachas!$1:$1,0)+1,FALSE)</f>
        <v>年忘れフィーバーフェス</v>
      </c>
      <c r="F62" s="18">
        <v>1</v>
      </c>
    </row>
    <row r="63" spans="1:6" ht="21" customHeight="1" x14ac:dyDescent="0.15">
      <c r="A63" s="10" t="str">
        <f t="shared" ref="A63:A72" si="14">B63&amp;D63&amp;F63</f>
        <v>poly_11661</v>
      </c>
      <c r="B63" s="2" t="s">
        <v>107</v>
      </c>
      <c r="C63" s="20"/>
      <c r="D63" s="21">
        <v>166</v>
      </c>
      <c r="E63" s="12" t="str">
        <f ca="1">VLOOKUP($D63,OFFSET(gachas!$A$1,0,0,COUNTA(gachas!$A:$A),MATCH(E$1,gachas!$1:$1,0)-MATCH($D$1,gachas!$1:$1,0)+1),MATCH(E$1,gachas!$1:$1,0)-MATCH($D$1,gachas!$1:$1,0)+1,FALSE)</f>
        <v>お年玉ガチャ</v>
      </c>
      <c r="F63" s="18">
        <v>1</v>
      </c>
    </row>
    <row r="64" spans="1:6" ht="21" customHeight="1" x14ac:dyDescent="0.15">
      <c r="A64" s="10" t="str">
        <f t="shared" si="14"/>
        <v>poly_11671</v>
      </c>
      <c r="B64" s="2" t="s">
        <v>107</v>
      </c>
      <c r="C64" s="20"/>
      <c r="D64" s="21">
        <v>167</v>
      </c>
      <c r="E64" s="12" t="str">
        <f ca="1">VLOOKUP($D64,OFFSET(gachas!$A$1,0,0,COUNTA(gachas!$A:$A),MATCH(E$1,gachas!$1:$1,0)-MATCH($D$1,gachas!$1:$1,0)+1),MATCH(E$1,gachas!$1:$1,0)-MATCH($D$1,gachas!$1:$1,0)+1,FALSE)</f>
        <v>福袋ガチャ</v>
      </c>
      <c r="F64" s="18">
        <v>1</v>
      </c>
    </row>
    <row r="65" spans="1:6" ht="21" customHeight="1" x14ac:dyDescent="0.15">
      <c r="A65" s="10" t="str">
        <f t="shared" si="14"/>
        <v>poly_11681</v>
      </c>
      <c r="B65" s="2" t="s">
        <v>107</v>
      </c>
      <c r="C65" s="20"/>
      <c r="D65" s="21">
        <v>168</v>
      </c>
      <c r="E65" s="12" t="str">
        <f ca="1">VLOOKUP($D65,OFFSET(gachas!$A$1,0,0,COUNTA(gachas!$A:$A),MATCH(E$1,gachas!$1:$1,0)-MATCH($D$1,gachas!$1:$1,0)+1),MATCH(E$1,gachas!$1:$1,0)-MATCH($D$1,gachas!$1:$1,0)+1,FALSE)</f>
        <v>美女と野獣ガチャ（バナーA)</v>
      </c>
      <c r="F65" s="18">
        <v>1</v>
      </c>
    </row>
    <row r="66" spans="1:6" ht="21" customHeight="1" x14ac:dyDescent="0.15">
      <c r="A66" s="10" t="str">
        <f t="shared" si="14"/>
        <v>poly_11691</v>
      </c>
      <c r="B66" s="2" t="s">
        <v>107</v>
      </c>
      <c r="C66" s="20"/>
      <c r="D66" s="21">
        <v>169</v>
      </c>
      <c r="E66" s="12" t="str">
        <f ca="1">VLOOKUP($D66,OFFSET(gachas!$A$1,0,0,COUNTA(gachas!$A:$A),MATCH(E$1,gachas!$1:$1,0)-MATCH($D$1,gachas!$1:$1,0)+1),MATCH(E$1,gachas!$1:$1,0)-MATCH($D$1,gachas!$1:$1,0)+1,FALSE)</f>
        <v>美女と野獣ガチャ（バナーB）</v>
      </c>
      <c r="F66" s="18">
        <v>1</v>
      </c>
    </row>
    <row r="67" spans="1:6" ht="21" customHeight="1" x14ac:dyDescent="0.15">
      <c r="A67" s="10" t="str">
        <f t="shared" si="14"/>
        <v>poly_11701</v>
      </c>
      <c r="B67" s="2" t="s">
        <v>107</v>
      </c>
      <c r="C67" s="20"/>
      <c r="D67" s="21">
        <v>170</v>
      </c>
      <c r="E67" s="12" t="str">
        <f ca="1">VLOOKUP($D67,OFFSET(gachas!$A$1,0,0,COUNTA(gachas!$A:$A),MATCH(E$1,gachas!$1:$1,0)-MATCH($D$1,gachas!$1:$1,0)+1),MATCH(E$1,gachas!$1:$1,0)-MATCH($D$1,gachas!$1:$1,0)+1,FALSE)</f>
        <v>ブルーフェスティバル</v>
      </c>
      <c r="F67" s="18">
        <v>1</v>
      </c>
    </row>
    <row r="68" spans="1:6" ht="21" customHeight="1" x14ac:dyDescent="0.15">
      <c r="A68" s="10" t="str">
        <f t="shared" si="14"/>
        <v>poly_11711</v>
      </c>
      <c r="B68" s="2" t="s">
        <v>107</v>
      </c>
      <c r="C68" s="20"/>
      <c r="D68" s="21">
        <v>171</v>
      </c>
      <c r="E68" s="12" t="str">
        <f ca="1">VLOOKUP($D68,OFFSET(gachas!$A$1,0,0,COUNTA(gachas!$A:$A),MATCH(E$1,gachas!$1:$1,0)-MATCH($D$1,gachas!$1:$1,0)+1),MATCH(E$1,gachas!$1:$1,0)-MATCH($D$1,gachas!$1:$1,0)+1,FALSE)</f>
        <v>150万DL記念ガチャ</v>
      </c>
      <c r="F68" s="18">
        <v>1</v>
      </c>
    </row>
    <row r="69" spans="1:6" ht="21" customHeight="1" x14ac:dyDescent="0.15">
      <c r="A69" s="10" t="str">
        <f t="shared" ref="A69:A70" si="15">B69&amp;D69&amp;F69</f>
        <v>poly_11721</v>
      </c>
      <c r="B69" s="2" t="s">
        <v>107</v>
      </c>
      <c r="C69" s="20"/>
      <c r="D69" s="21">
        <v>172</v>
      </c>
      <c r="E69" s="12" t="str">
        <f ca="1">VLOOKUP($D69,OFFSET(gachas!$A$1,0,0,COUNTA(gachas!$A:$A),MATCH(E$1,gachas!$1:$1,0)-MATCH($D$1,gachas!$1:$1,0)+1),MATCH(E$1,gachas!$1:$1,0)-MATCH($D$1,gachas!$1:$1,0)+1,FALSE)</f>
        <v>グリム対抗ピックアップ</v>
      </c>
      <c r="F69" s="18">
        <v>1</v>
      </c>
    </row>
    <row r="70" spans="1:6" ht="21" customHeight="1" x14ac:dyDescent="0.15">
      <c r="A70" s="10" t="str">
        <f t="shared" si="15"/>
        <v>poly_11731</v>
      </c>
      <c r="B70" s="2" t="s">
        <v>107</v>
      </c>
      <c r="C70" s="20"/>
      <c r="D70" s="21">
        <v>173</v>
      </c>
      <c r="E70" s="12" t="str">
        <f ca="1">VLOOKUP($D70,OFFSET(gachas!$A$1,0,0,COUNTA(gachas!$A:$A),MATCH(E$1,gachas!$1:$1,0)-MATCH($D$1,gachas!$1:$1,0)+1),MATCH(E$1,gachas!$1:$1,0)-MATCH($D$1,gachas!$1:$1,0)+1,FALSE)</f>
        <v>アルフヘイムガチャ</v>
      </c>
      <c r="F70" s="18">
        <v>1</v>
      </c>
    </row>
    <row r="71" spans="1:6" ht="21" customHeight="1" x14ac:dyDescent="0.15">
      <c r="A71" s="10" t="str">
        <f t="shared" si="14"/>
        <v>poly_11741</v>
      </c>
      <c r="B71" s="2" t="s">
        <v>107</v>
      </c>
      <c r="C71" s="20"/>
      <c r="D71" s="21">
        <v>174</v>
      </c>
      <c r="E71" s="12" t="str">
        <f ca="1">VLOOKUP($D71,OFFSET(gachas!$A$1,0,0,COUNTA(gachas!$A:$A),MATCH(E$1,gachas!$1:$1,0)-MATCH($D$1,gachas!$1:$1,0)+1),MATCH(E$1,gachas!$1:$1,0)-MATCH($D$1,gachas!$1:$1,0)+1,FALSE)</f>
        <v>レッドフェスティバル</v>
      </c>
      <c r="F71" s="18">
        <v>1</v>
      </c>
    </row>
    <row r="72" spans="1:6" ht="21" customHeight="1" x14ac:dyDescent="0.15">
      <c r="A72" s="10" t="str">
        <f t="shared" si="14"/>
        <v>poly_11751</v>
      </c>
      <c r="B72" s="2" t="s">
        <v>107</v>
      </c>
      <c r="C72" s="20"/>
      <c r="D72" s="21">
        <v>175</v>
      </c>
      <c r="E72" s="12" t="str">
        <f ca="1">VLOOKUP($D72,OFFSET(gachas!$A$1,0,0,COUNTA(gachas!$A:$A),MATCH(E$1,gachas!$1:$1,0)-MATCH($D$1,gachas!$1:$1,0)+1),MATCH(E$1,gachas!$1:$1,0)-MATCH($D$1,gachas!$1:$1,0)+1,FALSE)</f>
        <v>ステップアップガチャ</v>
      </c>
      <c r="F72" s="18">
        <v>1</v>
      </c>
    </row>
    <row r="73" spans="1:6" ht="21" customHeight="1" x14ac:dyDescent="0.15">
      <c r="A73" s="10" t="str">
        <f t="shared" ref="A73:A78" si="16">B73&amp;D73&amp;F73</f>
        <v>poly_11761</v>
      </c>
      <c r="B73" s="2" t="s">
        <v>107</v>
      </c>
      <c r="C73" s="20"/>
      <c r="D73" s="21">
        <v>176</v>
      </c>
      <c r="E73" s="12" t="str">
        <f ca="1">VLOOKUP($D73,OFFSET(gachas!$A$1,0,0,COUNTA(gachas!$A:$A),MATCH(E$1,gachas!$1:$1,0)-MATCH($D$1,gachas!$1:$1,0)+1),MATCH(E$1,gachas!$1:$1,0)-MATCH($D$1,gachas!$1:$1,0)+1,FALSE)</f>
        <v>ドラゴンフィーバー</v>
      </c>
      <c r="F73" s="18">
        <v>1</v>
      </c>
    </row>
    <row r="74" spans="1:6" ht="21" customHeight="1" x14ac:dyDescent="0.15">
      <c r="A74" s="10" t="str">
        <f t="shared" si="16"/>
        <v>poly_11771</v>
      </c>
      <c r="B74" s="2" t="s">
        <v>107</v>
      </c>
      <c r="C74" s="20"/>
      <c r="D74" s="21">
        <v>177</v>
      </c>
      <c r="E74" s="12" t="str">
        <f ca="1">VLOOKUP($D74,OFFSET(gachas!$A$1,0,0,COUNTA(gachas!$A:$A),MATCH(E$1,gachas!$1:$1,0)-MATCH($D$1,gachas!$1:$1,0)+1),MATCH(E$1,gachas!$1:$1,0)-MATCH($D$1,gachas!$1:$1,0)+1,FALSE)</f>
        <v>クラコレ</v>
      </c>
      <c r="F74" s="18">
        <v>1</v>
      </c>
    </row>
    <row r="75" spans="1:6" ht="21" customHeight="1" x14ac:dyDescent="0.15">
      <c r="A75" s="10" t="str">
        <f t="shared" si="16"/>
        <v>poly_11781</v>
      </c>
      <c r="B75" s="2" t="s">
        <v>107</v>
      </c>
      <c r="C75" s="20"/>
      <c r="D75" s="21">
        <v>178</v>
      </c>
      <c r="E75" s="12" t="str">
        <f ca="1">VLOOKUP($D75,OFFSET(gachas!$A$1,0,0,COUNTA(gachas!$A:$A),MATCH(E$1,gachas!$1:$1,0)-MATCH($D$1,gachas!$1:$1,0)+1),MATCH(E$1,gachas!$1:$1,0)-MATCH($D$1,gachas!$1:$1,0)+1,FALSE)</f>
        <v>ミクガチャ（ミクUP）</v>
      </c>
      <c r="F75" s="18">
        <v>1</v>
      </c>
    </row>
    <row r="76" spans="1:6" ht="21" customHeight="1" x14ac:dyDescent="0.15">
      <c r="A76" s="10" t="str">
        <f t="shared" si="16"/>
        <v>poly_11791</v>
      </c>
      <c r="B76" s="2" t="s">
        <v>107</v>
      </c>
      <c r="C76" s="20"/>
      <c r="D76" s="21">
        <v>179</v>
      </c>
      <c r="E76" s="12" t="str">
        <f ca="1">VLOOKUP($D76,OFFSET(gachas!$A$1,0,0,COUNTA(gachas!$A:$A),MATCH(E$1,gachas!$1:$1,0)-MATCH($D$1,gachas!$1:$1,0)+1),MATCH(E$1,gachas!$1:$1,0)-MATCH($D$1,gachas!$1:$1,0)+1,FALSE)</f>
        <v>ミクガチャ（アペンドUP）</v>
      </c>
      <c r="F76" s="18">
        <v>1</v>
      </c>
    </row>
    <row r="77" spans="1:6" ht="21" customHeight="1" x14ac:dyDescent="0.15">
      <c r="A77" s="10" t="str">
        <f t="shared" ref="A77" si="17">B77&amp;D77&amp;F77</f>
        <v>poly_11801</v>
      </c>
      <c r="B77" s="2" t="s">
        <v>107</v>
      </c>
      <c r="C77" s="20"/>
      <c r="D77" s="21">
        <v>180</v>
      </c>
      <c r="E77" s="12" t="str">
        <f ca="1">VLOOKUP($D77,OFFSET(gachas!$A$1,0,0,COUNTA(gachas!$A:$A),MATCH(E$1,gachas!$1:$1,0)-MATCH($D$1,gachas!$1:$1,0)+1),MATCH(E$1,gachas!$1:$1,0)-MATCH($D$1,gachas!$1:$1,0)+1,FALSE)</f>
        <v>フィーバーフェスティバル</v>
      </c>
      <c r="F77" s="18">
        <v>1</v>
      </c>
    </row>
    <row r="78" spans="1:6" ht="21" customHeight="1" x14ac:dyDescent="0.15">
      <c r="A78" s="10" t="str">
        <f t="shared" si="16"/>
        <v>poly_11811</v>
      </c>
      <c r="B78" s="2" t="s">
        <v>107</v>
      </c>
      <c r="C78" s="20"/>
      <c r="D78" s="21">
        <v>181</v>
      </c>
      <c r="E78" s="12" t="str">
        <f ca="1">VLOOKUP($D78,OFFSET(gachas!$A$1,0,0,COUNTA(gachas!$A:$A),MATCH(E$1,gachas!$1:$1,0)-MATCH($D$1,gachas!$1:$1,0)+1),MATCH(E$1,gachas!$1:$1,0)-MATCH($D$1,gachas!$1:$1,0)+1,FALSE)</f>
        <v>ピックアップフィーバー</v>
      </c>
      <c r="F78" s="18">
        <v>1</v>
      </c>
    </row>
    <row r="79" spans="1:6" ht="21" customHeight="1" x14ac:dyDescent="0.15">
      <c r="A79" s="10" t="str">
        <f t="shared" ref="A79:A83" si="18">B79&amp;D79&amp;F79</f>
        <v>poly_11821</v>
      </c>
      <c r="B79" s="2" t="s">
        <v>107</v>
      </c>
      <c r="C79" s="20"/>
      <c r="D79" s="21">
        <v>182</v>
      </c>
      <c r="E79" s="12" t="str">
        <f ca="1">VLOOKUP($D79,OFFSET(gachas!$A$1,0,0,COUNTA(gachas!$A:$A),MATCH(E$1,gachas!$1:$1,0)-MATCH($D$1,gachas!$1:$1,0)+1),MATCH(E$1,gachas!$1:$1,0)-MATCH($D$1,gachas!$1:$1,0)+1,FALSE)</f>
        <v>ラグナロクガチャ２</v>
      </c>
      <c r="F79" s="18">
        <v>1</v>
      </c>
    </row>
    <row r="80" spans="1:6" ht="21" customHeight="1" x14ac:dyDescent="0.15">
      <c r="A80" s="10" t="str">
        <f t="shared" si="18"/>
        <v>poly_11841</v>
      </c>
      <c r="B80" s="2" t="s">
        <v>107</v>
      </c>
      <c r="C80" s="20"/>
      <c r="D80" s="21">
        <v>184</v>
      </c>
      <c r="E80" s="12" t="str">
        <f ca="1">VLOOKUP($D80,OFFSET(gachas!$A$1,0,0,COUNTA(gachas!$A:$A),MATCH(E$1,gachas!$1:$1,0)-MATCH($D$1,gachas!$1:$1,0)+1),MATCH(E$1,gachas!$1:$1,0)-MATCH($D$1,gachas!$1:$1,0)+1,FALSE)</f>
        <v>イエローフェス（ハップル）</v>
      </c>
      <c r="F80" s="18">
        <v>1</v>
      </c>
    </row>
    <row r="81" spans="1:6" ht="21" customHeight="1" x14ac:dyDescent="0.15">
      <c r="A81" s="10" t="str">
        <f t="shared" si="18"/>
        <v>poly_11851</v>
      </c>
      <c r="B81" s="2" t="s">
        <v>107</v>
      </c>
      <c r="C81" s="20"/>
      <c r="D81" s="21">
        <v>185</v>
      </c>
      <c r="E81" s="12" t="str">
        <f ca="1">VLOOKUP($D81,OFFSET(gachas!$A$1,0,0,COUNTA(gachas!$A:$A),MATCH(E$1,gachas!$1:$1,0)-MATCH($D$1,gachas!$1:$1,0)+1),MATCH(E$1,gachas!$1:$1,0)-MATCH($D$1,gachas!$1:$1,0)+1,FALSE)</f>
        <v>旧Wiz対抗ピックアップ</v>
      </c>
      <c r="F81" s="18">
        <v>1</v>
      </c>
    </row>
    <row r="82" spans="1:6" ht="21" customHeight="1" x14ac:dyDescent="0.15">
      <c r="A82" s="10" t="str">
        <f t="shared" si="18"/>
        <v>poly_11871</v>
      </c>
      <c r="B82" s="2" t="s">
        <v>107</v>
      </c>
      <c r="C82" s="20"/>
      <c r="D82" s="21">
        <v>187</v>
      </c>
      <c r="E82" s="12" t="str">
        <f ca="1">VLOOKUP($D82,OFFSET(gachas!$A$1,0,0,COUNTA(gachas!$A:$A),MATCH(E$1,gachas!$1:$1,0)-MATCH($D$1,gachas!$1:$1,0)+1),MATCH(E$1,gachas!$1:$1,0)-MATCH($D$1,gachas!$1:$1,0)+1,FALSE)</f>
        <v>マシンフィーバー</v>
      </c>
      <c r="F82" s="18">
        <v>1</v>
      </c>
    </row>
    <row r="83" spans="1:6" ht="21" customHeight="1" x14ac:dyDescent="0.15">
      <c r="A83" s="10" t="str">
        <f t="shared" si="18"/>
        <v>poly_11891</v>
      </c>
      <c r="B83" s="2" t="s">
        <v>107</v>
      </c>
      <c r="C83" s="20"/>
      <c r="D83" s="21">
        <v>189</v>
      </c>
      <c r="E83" s="12" t="str">
        <f ca="1">VLOOKUP($D83,OFFSET(gachas!$A$1,0,0,COUNTA(gachas!$A:$A),MATCH(E$1,gachas!$1:$1,0)-MATCH($D$1,gachas!$1:$1,0)+1),MATCH(E$1,gachas!$1:$1,0)-MATCH($D$1,gachas!$1:$1,0)+1,FALSE)</f>
        <v>クラファーコレクション</v>
      </c>
      <c r="F83" s="18">
        <v>1</v>
      </c>
    </row>
    <row r="84" spans="1:6" ht="21" customHeight="1" x14ac:dyDescent="0.15">
      <c r="A84" s="10" t="str">
        <f t="shared" ref="A84:A86" si="19">B84&amp;D84&amp;F84</f>
        <v>poly_11901</v>
      </c>
      <c r="B84" s="2" t="s">
        <v>107</v>
      </c>
      <c r="C84" s="20"/>
      <c r="D84" s="21">
        <v>190</v>
      </c>
      <c r="E84" s="12" t="str">
        <f ca="1">VLOOKUP($D84,OFFSET(gachas!$A$1,0,0,COUNTA(gachas!$A:$A),MATCH(E$1,gachas!$1:$1,0)-MATCH($D$1,gachas!$1:$1,0)+1),MATCH(E$1,gachas!$1:$1,0)-MATCH($D$1,gachas!$1:$1,0)+1,FALSE)</f>
        <v>第１弾 200万DL記念ガチャ</v>
      </c>
      <c r="F84" s="18">
        <v>1</v>
      </c>
    </row>
    <row r="85" spans="1:6" ht="21" customHeight="1" x14ac:dyDescent="0.15">
      <c r="A85" s="10" t="str">
        <f t="shared" si="19"/>
        <v>poly_11961</v>
      </c>
      <c r="B85" s="2" t="s">
        <v>107</v>
      </c>
      <c r="C85" s="20"/>
      <c r="D85" s="21">
        <v>196</v>
      </c>
      <c r="E85" s="12" t="str">
        <f ca="1">VLOOKUP($D85,OFFSET(gachas!$A$1,0,0,COUNTA(gachas!$A:$A),MATCH(E$1,gachas!$1:$1,0)-MATCH($D$1,gachas!$1:$1,0)+1),MATCH(E$1,gachas!$1:$1,0)-MATCH($D$1,gachas!$1:$1,0)+1,FALSE)</f>
        <v>フィーバーフェスティバル（ファラデーUP）</v>
      </c>
      <c r="F85" s="18">
        <v>1</v>
      </c>
    </row>
    <row r="86" spans="1:6" ht="21" customHeight="1" x14ac:dyDescent="0.15">
      <c r="A86" s="10" t="str">
        <f t="shared" si="19"/>
        <v>poly_11971</v>
      </c>
      <c r="B86" s="2" t="s">
        <v>107</v>
      </c>
      <c r="C86" s="20"/>
      <c r="D86" s="21">
        <v>197</v>
      </c>
      <c r="E86" s="12" t="str">
        <f ca="1">VLOOKUP($D86,OFFSET(gachas!$A$1,0,0,COUNTA(gachas!$A:$A),MATCH(E$1,gachas!$1:$1,0)-MATCH($D$1,gachas!$1:$1,0)+1),MATCH(E$1,gachas!$1:$1,0)-MATCH($D$1,gachas!$1:$1,0)+1,FALSE)</f>
        <v>フィーバーフェスティバル（ユークリッドUP）</v>
      </c>
      <c r="F86" s="18">
        <v>1</v>
      </c>
    </row>
    <row r="87" spans="1:6" ht="21" customHeight="1" x14ac:dyDescent="0.15">
      <c r="A87" s="10" t="str">
        <f>B87&amp;D87&amp;F87</f>
        <v>poly_13031</v>
      </c>
      <c r="B87" s="2" t="s">
        <v>107</v>
      </c>
      <c r="C87" s="20"/>
      <c r="D87" s="21">
        <v>303</v>
      </c>
      <c r="E87" s="12" t="str">
        <f ca="1">VLOOKUP($D87,OFFSET(gachas!$A$1,0,0,COUNTA(gachas!$A:$A),MATCH(E$1,gachas!$1:$1,0)-MATCH($D$1,gachas!$1:$1,0)+1),MATCH(E$1,gachas!$1:$1,0)-MATCH($D$1,gachas!$1:$1,0)+1,FALSE)</f>
        <v>グリーンフェス（チューリング）</v>
      </c>
      <c r="F87" s="18">
        <v>1</v>
      </c>
    </row>
    <row r="88" spans="1:6" ht="21" customHeight="1" x14ac:dyDescent="0.15">
      <c r="A88" s="10" t="str">
        <f>B88&amp;D88&amp;F88</f>
        <v>poly_13051</v>
      </c>
      <c r="B88" s="2" t="s">
        <v>107</v>
      </c>
      <c r="C88" s="20"/>
      <c r="D88" s="21">
        <v>305</v>
      </c>
      <c r="E88" s="12" t="str">
        <f ca="1">VLOOKUP($D88,OFFSET(gachas!$A$1,0,0,COUNTA(gachas!$A:$A),MATCH(E$1,gachas!$1:$1,0)-MATCH($D$1,gachas!$1:$1,0)+1),MATCH(E$1,gachas!$1:$1,0)-MATCH($D$1,gachas!$1:$1,0)+1,FALSE)</f>
        <v>ホワイトデーガチャ</v>
      </c>
      <c r="F88" s="18">
        <v>1</v>
      </c>
    </row>
    <row r="89" spans="1:6" ht="21" customHeight="1" x14ac:dyDescent="0.15">
      <c r="A89" s="10" t="str">
        <f>B89&amp;D89&amp;F89</f>
        <v>poly_13061</v>
      </c>
      <c r="B89" s="2" t="s">
        <v>107</v>
      </c>
      <c r="C89" s="20"/>
      <c r="D89" s="21">
        <v>306</v>
      </c>
      <c r="E89" s="12" t="str">
        <f ca="1">VLOOKUP($D89,OFFSET(gachas!$A$1,0,0,COUNTA(gachas!$A:$A),MATCH(E$1,gachas!$1:$1,0)-MATCH($D$1,gachas!$1:$1,0)+1),MATCH(E$1,gachas!$1:$1,0)-MATCH($D$1,gachas!$1:$1,0)+1,FALSE)</f>
        <v>ガールズフィーバー</v>
      </c>
      <c r="F89" s="18">
        <v>1</v>
      </c>
    </row>
    <row r="90" spans="1:6" ht="21" customHeight="1" x14ac:dyDescent="0.15">
      <c r="A90" s="10" t="str">
        <f>B90&amp;D90&amp;F90</f>
        <v>poly_13071</v>
      </c>
      <c r="B90" s="2" t="s">
        <v>107</v>
      </c>
      <c r="C90" s="20"/>
      <c r="D90" s="21">
        <v>307</v>
      </c>
      <c r="E90" s="12" t="str">
        <f ca="1">VLOOKUP($D90,OFFSET(gachas!$A$1,0,0,COUNTA(gachas!$A:$A),MATCH(E$1,gachas!$1:$1,0)-MATCH($D$1,gachas!$1:$1,0)+1),MATCH(E$1,gachas!$1:$1,0)-MATCH($D$1,gachas!$1:$1,0)+1,FALSE)</f>
        <v>ボーイズフィーバー</v>
      </c>
      <c r="F90" s="18">
        <v>1</v>
      </c>
    </row>
    <row r="91" spans="1:6" ht="21" customHeight="1" x14ac:dyDescent="0.15">
      <c r="A91" s="10" t="str">
        <f t="shared" ref="A91:A92" si="20">B91&amp;D91&amp;F91</f>
        <v>poly_13081</v>
      </c>
      <c r="B91" s="2" t="s">
        <v>107</v>
      </c>
      <c r="C91" s="20"/>
      <c r="D91" s="21">
        <v>308</v>
      </c>
      <c r="E91" s="12" t="str">
        <f ca="1">VLOOKUP($D91,OFFSET(gachas!$A$1,0,0,COUNTA(gachas!$A:$A),MATCH(E$1,gachas!$1:$1,0)-MATCH($D$1,gachas!$1:$1,0)+1),MATCH(E$1,gachas!$1:$1,0)-MATCH($D$1,gachas!$1:$1,0)+1,FALSE)</f>
        <v>ブルーフェスティバル</v>
      </c>
      <c r="F91" s="18">
        <v>1</v>
      </c>
    </row>
    <row r="92" spans="1:6" ht="21" customHeight="1" x14ac:dyDescent="0.15">
      <c r="A92" s="10" t="str">
        <f t="shared" si="20"/>
        <v>poly_13091</v>
      </c>
      <c r="B92" s="2" t="s">
        <v>107</v>
      </c>
      <c r="C92" s="20"/>
      <c r="D92" s="21">
        <v>309</v>
      </c>
      <c r="E92" s="12" t="str">
        <f ca="1">VLOOKUP($D92,OFFSET(gachas!$A$1,0,0,COUNTA(gachas!$A:$A),MATCH(E$1,gachas!$1:$1,0)-MATCH($D$1,gachas!$1:$1,0)+1),MATCH(E$1,gachas!$1:$1,0)-MATCH($D$1,gachas!$1:$1,0)+1,FALSE)</f>
        <v>インドガチャ</v>
      </c>
      <c r="F92" s="18">
        <v>1</v>
      </c>
    </row>
    <row r="93" spans="1:6" ht="21" customHeight="1" x14ac:dyDescent="0.15">
      <c r="A93" s="10" t="str">
        <f t="shared" ref="A93" si="21">B93&amp;D93&amp;F93</f>
        <v>poly_13001</v>
      </c>
      <c r="B93" s="2" t="s">
        <v>107</v>
      </c>
      <c r="C93" s="20"/>
      <c r="D93" s="21">
        <v>300</v>
      </c>
      <c r="E93" s="12" t="str">
        <f ca="1">VLOOKUP($D93,OFFSET(gachas!$A$1,0,0,COUNTA(gachas!$A:$A),MATCH(E$1,gachas!$1:$1,0)-MATCH($D$1,gachas!$1:$1,0)+1),MATCH(E$1,gachas!$1:$1,0)-MATCH($D$1,gachas!$1:$1,0)+1,FALSE)</f>
        <v>ノーマルガチャ</v>
      </c>
      <c r="F93" s="18">
        <v>1</v>
      </c>
    </row>
    <row r="94" spans="1:6" ht="21" customHeight="1" x14ac:dyDescent="0.15">
      <c r="A94" s="10" t="str">
        <f t="shared" ref="A94" si="22">B94&amp;D94&amp;F94</f>
        <v>poly_13101</v>
      </c>
      <c r="B94" s="2" t="s">
        <v>107</v>
      </c>
      <c r="C94" s="20"/>
      <c r="D94" s="21">
        <v>310</v>
      </c>
      <c r="E94" s="12" t="str">
        <f ca="1">VLOOKUP($D94,OFFSET(gachas!$A$1,0,0,COUNTA(gachas!$A:$A),MATCH(E$1,gachas!$1:$1,0)-MATCH($D$1,gachas!$1:$1,0)+1),MATCH(E$1,gachas!$1:$1,0)-MATCH($D$1,gachas!$1:$1,0)+1,FALSE)</f>
        <v>ノーマルガチャ</v>
      </c>
      <c r="F94" s="18">
        <v>1</v>
      </c>
    </row>
    <row r="95" spans="1:6" ht="21" customHeight="1" x14ac:dyDescent="0.15">
      <c r="A95" s="10" t="str">
        <f t="shared" ref="A95" si="23">B95&amp;D95&amp;F95</f>
        <v>poly_13201</v>
      </c>
      <c r="B95" s="2" t="s">
        <v>107</v>
      </c>
      <c r="C95" s="20"/>
      <c r="D95" s="21">
        <v>320</v>
      </c>
      <c r="E95" s="12" t="str">
        <f ca="1">VLOOKUP($D95,OFFSET(gachas!$A$1,0,0,COUNTA(gachas!$A:$A),MATCH(E$1,gachas!$1:$1,0)-MATCH($D$1,gachas!$1:$1,0)+1),MATCH(E$1,gachas!$1:$1,0)-MATCH($D$1,gachas!$1:$1,0)+1,FALSE)</f>
        <v>ノーマルガチャ&lt;日本昔話追加&gt;</v>
      </c>
      <c r="F95" s="18">
        <v>1</v>
      </c>
    </row>
    <row r="96" spans="1:6" ht="21" customHeight="1" x14ac:dyDescent="0.15">
      <c r="A96" s="10" t="str">
        <f t="shared" ref="A96" si="24">B96&amp;D96&amp;F96</f>
        <v>poly_13271</v>
      </c>
      <c r="B96" s="2" t="s">
        <v>107</v>
      </c>
      <c r="C96" s="20"/>
      <c r="D96" s="21">
        <v>327</v>
      </c>
      <c r="E96" s="12" t="str">
        <f ca="1">VLOOKUP($D96,OFFSET(gachas!$A$1,0,0,COUNTA(gachas!$A:$A),MATCH(E$1,gachas!$1:$1,0)-MATCH($D$1,gachas!$1:$1,0)+1),MATCH(E$1,gachas!$1:$1,0)-MATCH($D$1,gachas!$1:$1,0)+1,FALSE)</f>
        <v>ノーマルガチャ&lt;戦国追加&gt;</v>
      </c>
      <c r="F96" s="18">
        <v>1</v>
      </c>
    </row>
    <row r="97" spans="1:6" ht="21" customHeight="1" x14ac:dyDescent="0.15">
      <c r="A97" s="10" t="str">
        <f t="shared" ref="A97" si="25">B97&amp;D97&amp;F97</f>
        <v>poly_13371</v>
      </c>
      <c r="B97" s="2" t="s">
        <v>107</v>
      </c>
      <c r="C97" s="20"/>
      <c r="D97" s="21">
        <v>337</v>
      </c>
      <c r="E97" s="12" t="str">
        <f ca="1">VLOOKUP($D97,OFFSET(gachas!$A$1,0,0,COUNTA(gachas!$A:$A),MATCH(E$1,gachas!$1:$1,0)-MATCH($D$1,gachas!$1:$1,0)+1),MATCH(E$1,gachas!$1:$1,0)-MATCH($D$1,gachas!$1:$1,0)+1,FALSE)</f>
        <v>ノーマルガチャ&lt;天使in&gt;</v>
      </c>
      <c r="F97" s="18">
        <v>1</v>
      </c>
    </row>
    <row r="98" spans="1:6" ht="21" customHeight="1" x14ac:dyDescent="0.15">
      <c r="A98" s="10" t="str">
        <f t="shared" si="1"/>
        <v>link_12011</v>
      </c>
      <c r="B98" s="2" t="s">
        <v>108</v>
      </c>
      <c r="C98" s="20" t="s">
        <v>102</v>
      </c>
      <c r="D98" s="21">
        <v>201</v>
      </c>
      <c r="E98" s="12" t="str">
        <f ca="1">VLOOKUP($D98,OFFSET(gachas!$A$1,0,0,COUNTA(gachas!$A:$A),MATCH(E$1,gachas!$1:$1,0)-MATCH($D$1,gachas!$1:$1,0)+1),MATCH(E$1,gachas!$1:$1,0)-MATCH($D$1,gachas!$1:$1,0)+1,FALSE)</f>
        <v>男気リンクガチャ（常設）</v>
      </c>
      <c r="F98" s="18">
        <v>1</v>
      </c>
    </row>
    <row r="99" spans="1:6" ht="21" customHeight="1" x14ac:dyDescent="0.15">
      <c r="A99" s="10" t="str">
        <f t="shared" ref="A99" si="26">B99&amp;D99&amp;F99</f>
        <v>link_12051</v>
      </c>
      <c r="B99" s="2" t="s">
        <v>108</v>
      </c>
      <c r="C99" s="20"/>
      <c r="D99" s="21">
        <v>205</v>
      </c>
      <c r="E99" s="12" t="str">
        <f ca="1">VLOOKUP($D99,OFFSET(gachas!$A$1,0,0,COUNTA(gachas!$A:$A),MATCH(E$1,gachas!$1:$1,0)-MATCH($D$1,gachas!$1:$1,0)+1),MATCH(E$1,gachas!$1:$1,0)-MATCH($D$1,gachas!$1:$1,0)+1,FALSE)</f>
        <v>新年フィーバー</v>
      </c>
      <c r="F99" s="18">
        <v>1</v>
      </c>
    </row>
    <row r="100" spans="1:6" ht="21" customHeight="1" x14ac:dyDescent="0.15">
      <c r="A100" s="10" t="str">
        <f t="shared" ref="A100" si="27">B100&amp;D100&amp;F100</f>
        <v>link_12061</v>
      </c>
      <c r="B100" s="2" t="s">
        <v>108</v>
      </c>
      <c r="C100" s="20"/>
      <c r="D100" s="21">
        <v>206</v>
      </c>
      <c r="E100" s="12" t="str">
        <f ca="1">VLOOKUP($D100,OFFSET(gachas!$A$1,0,0,COUNTA(gachas!$A:$A),MATCH(E$1,gachas!$1:$1,0)-MATCH($D$1,gachas!$1:$1,0)+1),MATCH(E$1,gachas!$1:$1,0)-MATCH($D$1,gachas!$1:$1,0)+1,FALSE)</f>
        <v>ミクリンク</v>
      </c>
      <c r="F100" s="18">
        <v>1</v>
      </c>
    </row>
    <row r="101" spans="1:6" ht="21" customHeight="1" x14ac:dyDescent="0.15">
      <c r="A101" s="10" t="str">
        <f t="shared" ref="A101" si="28">B101&amp;D101&amp;F101</f>
        <v>link_12071</v>
      </c>
      <c r="B101" s="2" t="s">
        <v>108</v>
      </c>
      <c r="C101" s="20"/>
      <c r="D101" s="21">
        <v>207</v>
      </c>
      <c r="E101" s="12" t="str">
        <f ca="1">VLOOKUP($D101,OFFSET(gachas!$A$1,0,0,COUNTA(gachas!$A:$A),MATCH(E$1,gachas!$1:$1,0)-MATCH($D$1,gachas!$1:$1,0)+1),MATCH(E$1,gachas!$1:$1,0)-MATCH($D$1,gachas!$1:$1,0)+1,FALSE)</f>
        <v>四神UPリンクガチャ</v>
      </c>
      <c r="F101" s="18">
        <v>1</v>
      </c>
    </row>
  </sheetData>
  <phoneticPr fontId="12"/>
  <pageMargins left="0.75" right="0.75" top="1" bottom="1" header="0.3" footer="0.3"/>
  <pageSetup paperSize="9" orientation="portrait" horizontalDpi="4294967292" verticalDpi="429496729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output</vt:lpstr>
      <vt:lpstr>gachas</vt:lpstr>
      <vt:lpstr>gacha_elements</vt:lpstr>
      <vt:lpstr>gacha_patterns</vt:lpstr>
      <vt:lpstr>gacha_schedules</vt:lpstr>
      <vt:lpstr>banners_tips</vt:lpstr>
      <vt:lpstr>gacha_types</vt:lpstr>
      <vt:lpstr>gacha_rarity_bump</vt:lpstr>
      <vt:lpstr>gacha_groups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2017-06-08T02:27:02Z</dcterms:modified>
</cp:coreProperties>
</file>